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4F703795456207/Modeling/CFM/0. Topics/6. Debt/6.1 Streamwise Ltd/"/>
    </mc:Choice>
  </mc:AlternateContent>
  <xr:revisionPtr revIDLastSave="1324" documentId="8_{091C9070-165E-444B-A381-87D7BF7BE595}" xr6:coauthVersionLast="47" xr6:coauthVersionMax="47" xr10:uidLastSave="{F0A60299-5DC3-4A5D-A8E4-122D74822750}"/>
  <bookViews>
    <workbookView xWindow="28680" yWindow="-120" windowWidth="29040" windowHeight="16440" xr2:uid="{00000000-000D-0000-FFFF-FFFF00000000}"/>
  </bookViews>
  <sheets>
    <sheet name="Debt" sheetId="8" r:id="rId1"/>
    <sheet name="CaseData" sheetId="1" r:id="rId2"/>
    <sheet name="CaseSolution" sheetId="7" r:id="rId3"/>
  </sheets>
  <definedNames>
    <definedName name="company">CaseData!$B$1</definedName>
    <definedName name="Date">CaseData!$T$29:$Y$29</definedName>
    <definedName name="periods">CaseData!$D$47</definedName>
    <definedName name="_xlnm.Print_Area" localSheetId="0">Debt!$A$1:$M$188</definedName>
    <definedName name="_xlnm.Print_Titles" localSheetId="0">Debt!$1:$4</definedName>
    <definedName name="start_date">CaseData!$D$46</definedName>
    <definedName name="topic">"CFM Topic: " &amp; CaseData!$D$48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 a="1"/>
  <c r="H75" i="8"/>
  <c r="H83" i="8"/>
  <c r="H84" i="8"/>
  <c r="H93" i="8"/>
  <c r="H92" i="8"/>
  <c r="H94" i="8"/>
  <c r="I92" i="8"/>
  <c r="I75" i="8"/>
  <c r="I83" i="8"/>
  <c r="I84" i="8"/>
  <c r="I93" i="8"/>
  <c r="I94" i="8"/>
  <c r="J92" i="8"/>
  <c r="N18" i="1" a="1"/>
  <c r="J98" i="8" a="1"/>
  <c r="J99" i="8"/>
  <c r="J160" i="8"/>
  <c r="I98" i="8" a="1"/>
  <c r="I99" i="8"/>
  <c r="I160" i="8"/>
  <c r="H98" i="8" a="1"/>
  <c r="H99" i="8"/>
  <c r="H160" i="8"/>
  <c r="F183" i="8"/>
  <c r="F182" i="8"/>
  <c r="F181" i="8"/>
  <c r="F180" i="8"/>
  <c r="F179" i="8"/>
  <c r="F178" i="8"/>
  <c r="G178" i="8" a="1"/>
  <c r="H129" i="8"/>
  <c r="H130" i="8"/>
  <c r="H56" i="8"/>
  <c r="H128" i="8"/>
  <c r="H131" i="8"/>
  <c r="H30" i="8"/>
  <c r="H29" i="8"/>
  <c r="H42" i="8"/>
  <c r="G38" i="8"/>
  <c r="G57" i="8"/>
  <c r="G76" i="8"/>
  <c r="G8" i="8"/>
  <c r="G9" i="8"/>
  <c r="G10" i="8"/>
  <c r="H43" i="8"/>
  <c r="H44" i="8"/>
  <c r="H47" i="8"/>
  <c r="H48" i="8"/>
  <c r="H49" i="8"/>
  <c r="H108" i="8"/>
  <c r="H55" i="8"/>
  <c r="H62" i="8"/>
  <c r="H63" i="8"/>
  <c r="H64" i="8"/>
  <c r="H67" i="8"/>
  <c r="H109" i="8"/>
  <c r="H74" i="8"/>
  <c r="H80" i="8"/>
  <c r="H81" i="8"/>
  <c r="H110" i="8"/>
  <c r="H111" i="8"/>
  <c r="H112" i="8"/>
  <c r="H31" i="8"/>
  <c r="H16" i="8"/>
  <c r="H17" i="8"/>
  <c r="H18" i="8"/>
  <c r="G20" i="8"/>
  <c r="H21" i="8"/>
  <c r="H32" i="8"/>
  <c r="H33" i="8"/>
  <c r="H36" i="8"/>
  <c r="H37" i="8"/>
  <c r="H38" i="8"/>
  <c r="I36" i="8"/>
  <c r="H137" i="8"/>
  <c r="H76" i="8"/>
  <c r="H139" i="8"/>
  <c r="H140" i="8"/>
  <c r="H57" i="8"/>
  <c r="H138" i="8"/>
  <c r="H141" i="8"/>
  <c r="H8" i="8"/>
  <c r="H9" i="8"/>
  <c r="H10" i="8"/>
  <c r="I43" i="8"/>
  <c r="I42" i="8"/>
  <c r="I44" i="8"/>
  <c r="I47" i="8"/>
  <c r="I48" i="8"/>
  <c r="I49" i="8"/>
  <c r="I118" i="8"/>
  <c r="I129" i="8"/>
  <c r="I130" i="8"/>
  <c r="I55" i="8"/>
  <c r="I56" i="8"/>
  <c r="I128" i="8"/>
  <c r="I131" i="8"/>
  <c r="I30" i="8"/>
  <c r="I108" i="8"/>
  <c r="I63" i="8"/>
  <c r="I62" i="8"/>
  <c r="I64" i="8"/>
  <c r="I67" i="8"/>
  <c r="I109" i="8"/>
  <c r="I74" i="8"/>
  <c r="I80" i="8"/>
  <c r="I81" i="8"/>
  <c r="I110" i="8"/>
  <c r="I111" i="8"/>
  <c r="I112" i="8"/>
  <c r="I31" i="8"/>
  <c r="I17" i="8"/>
  <c r="I16" i="8"/>
  <c r="I18" i="8"/>
  <c r="I21" i="8"/>
  <c r="I32" i="8"/>
  <c r="I29" i="8"/>
  <c r="I33" i="8"/>
  <c r="I37" i="8"/>
  <c r="I38" i="8"/>
  <c r="J36" i="8"/>
  <c r="I137" i="8"/>
  <c r="I76" i="8"/>
  <c r="I139" i="8"/>
  <c r="I140" i="8"/>
  <c r="I57" i="8"/>
  <c r="I138" i="8"/>
  <c r="I141" i="8"/>
  <c r="I8" i="8"/>
  <c r="I9" i="8"/>
  <c r="I10" i="8"/>
  <c r="J43" i="8"/>
  <c r="J42" i="8"/>
  <c r="J44" i="8"/>
  <c r="J47" i="8"/>
  <c r="J48" i="8"/>
  <c r="J49" i="8"/>
  <c r="J118" i="8"/>
  <c r="J75" i="8"/>
  <c r="J129" i="8"/>
  <c r="J83" i="8"/>
  <c r="J84" i="8"/>
  <c r="J93" i="8"/>
  <c r="J130" i="8"/>
  <c r="J55" i="8"/>
  <c r="J56" i="8"/>
  <c r="J128" i="8"/>
  <c r="J131" i="8"/>
  <c r="J30" i="8"/>
  <c r="J108" i="8"/>
  <c r="J63" i="8"/>
  <c r="J62" i="8"/>
  <c r="J64" i="8"/>
  <c r="J67" i="8"/>
  <c r="J109" i="8"/>
  <c r="J74" i="8"/>
  <c r="J80" i="8"/>
  <c r="J81" i="8"/>
  <c r="J110" i="8"/>
  <c r="J111" i="8"/>
  <c r="J112" i="8"/>
  <c r="J31" i="8"/>
  <c r="J17" i="8"/>
  <c r="J16" i="8"/>
  <c r="J18" i="8"/>
  <c r="J21" i="8"/>
  <c r="J32" i="8"/>
  <c r="J29" i="8"/>
  <c r="J33" i="8"/>
  <c r="J37" i="8"/>
  <c r="J38" i="8"/>
  <c r="K36" i="8"/>
  <c r="J137" i="8"/>
  <c r="J76" i="8"/>
  <c r="J139" i="8"/>
  <c r="J94" i="8"/>
  <c r="J140" i="8"/>
  <c r="J57" i="8"/>
  <c r="J138" i="8"/>
  <c r="J141" i="8"/>
  <c r="J8" i="8"/>
  <c r="J9" i="8"/>
  <c r="J10" i="8"/>
  <c r="K43" i="8"/>
  <c r="K42" i="8"/>
  <c r="K44" i="8"/>
  <c r="K47" i="8"/>
  <c r="K48" i="8"/>
  <c r="K49" i="8"/>
  <c r="K118" i="8"/>
  <c r="K75" i="8"/>
  <c r="K129" i="8"/>
  <c r="K83" i="8"/>
  <c r="K84" i="8"/>
  <c r="K93" i="8"/>
  <c r="K130" i="8"/>
  <c r="K55" i="8"/>
  <c r="K56" i="8"/>
  <c r="K128" i="8"/>
  <c r="K131" i="8"/>
  <c r="K30" i="8"/>
  <c r="K108" i="8"/>
  <c r="K63" i="8"/>
  <c r="K62" i="8"/>
  <c r="K64" i="8"/>
  <c r="K67" i="8"/>
  <c r="K109" i="8"/>
  <c r="K74" i="8"/>
  <c r="K80" i="8"/>
  <c r="K81" i="8"/>
  <c r="K110" i="8"/>
  <c r="K92" i="8"/>
  <c r="K98" i="8" a="1"/>
  <c r="K99" i="8"/>
  <c r="K111" i="8"/>
  <c r="K112" i="8"/>
  <c r="K31" i="8"/>
  <c r="K17" i="8"/>
  <c r="K16" i="8"/>
  <c r="K18" i="8"/>
  <c r="K21" i="8"/>
  <c r="K32" i="8"/>
  <c r="K29" i="8"/>
  <c r="K33" i="8"/>
  <c r="K37" i="8"/>
  <c r="K38" i="8"/>
  <c r="L36" i="8"/>
  <c r="K137" i="8"/>
  <c r="K76" i="8"/>
  <c r="K139" i="8"/>
  <c r="K94" i="8"/>
  <c r="K140" i="8"/>
  <c r="K57" i="8"/>
  <c r="K138" i="8"/>
  <c r="K141" i="8"/>
  <c r="K8" i="8"/>
  <c r="K9" i="8"/>
  <c r="K10" i="8"/>
  <c r="L43" i="8"/>
  <c r="L42" i="8"/>
  <c r="L44" i="8"/>
  <c r="L47" i="8"/>
  <c r="L48" i="8"/>
  <c r="L49" i="8"/>
  <c r="L118" i="8"/>
  <c r="L75" i="8"/>
  <c r="L129" i="8"/>
  <c r="L83" i="8"/>
  <c r="L84" i="8"/>
  <c r="L93" i="8"/>
  <c r="L130" i="8"/>
  <c r="L55" i="8"/>
  <c r="L56" i="8"/>
  <c r="L128" i="8"/>
  <c r="L131" i="8"/>
  <c r="L30" i="8"/>
  <c r="L108" i="8"/>
  <c r="L63" i="8"/>
  <c r="L62" i="8"/>
  <c r="L64" i="8"/>
  <c r="L67" i="8"/>
  <c r="L109" i="8"/>
  <c r="L74" i="8"/>
  <c r="L80" i="8"/>
  <c r="L81" i="8"/>
  <c r="L110" i="8"/>
  <c r="L92" i="8"/>
  <c r="L98" i="8" a="1"/>
  <c r="L99" i="8"/>
  <c r="L111" i="8"/>
  <c r="L112" i="8"/>
  <c r="L31" i="8"/>
  <c r="L17" i="8"/>
  <c r="L16" i="8"/>
  <c r="L18" i="8"/>
  <c r="L21" i="8"/>
  <c r="L32" i="8"/>
  <c r="L29" i="8"/>
  <c r="L33" i="8"/>
  <c r="L37" i="8"/>
  <c r="L38" i="8"/>
  <c r="M36" i="8"/>
  <c r="L137" i="8"/>
  <c r="L76" i="8"/>
  <c r="L139" i="8"/>
  <c r="L94" i="8"/>
  <c r="L140" i="8"/>
  <c r="L57" i="8"/>
  <c r="L138" i="8"/>
  <c r="L141" i="8"/>
  <c r="L8" i="8"/>
  <c r="L9" i="8"/>
  <c r="L10" i="8"/>
  <c r="M43" i="8"/>
  <c r="M42" i="8"/>
  <c r="M44" i="8"/>
  <c r="M47" i="8"/>
  <c r="M48" i="8"/>
  <c r="M49" i="8"/>
  <c r="M118" i="8"/>
  <c r="H118" i="8"/>
  <c r="H157" i="8" a="1"/>
  <c r="I119" i="8"/>
  <c r="J119" i="8"/>
  <c r="K119" i="8"/>
  <c r="L119" i="8"/>
  <c r="M63" i="8"/>
  <c r="M62" i="8"/>
  <c r="M64" i="8"/>
  <c r="M55" i="8"/>
  <c r="M67" i="8"/>
  <c r="M119" i="8"/>
  <c r="H119" i="8"/>
  <c r="H158" i="8" a="1"/>
  <c r="H159" i="8"/>
  <c r="H161" i="8"/>
  <c r="H149" i="8"/>
  <c r="H147" i="8"/>
  <c r="H148" i="8"/>
  <c r="H150" i="8"/>
  <c r="H177" i="8"/>
  <c r="I159" i="8"/>
  <c r="I161" i="8"/>
  <c r="I149" i="8"/>
  <c r="I147" i="8"/>
  <c r="I148" i="8"/>
  <c r="I150" i="8"/>
  <c r="I177" i="8"/>
  <c r="J159" i="8"/>
  <c r="J161" i="8"/>
  <c r="J149" i="8"/>
  <c r="J147" i="8"/>
  <c r="J148" i="8"/>
  <c r="J150" i="8"/>
  <c r="J177" i="8"/>
  <c r="K159" i="8"/>
  <c r="K160" i="8"/>
  <c r="K161" i="8"/>
  <c r="K149" i="8"/>
  <c r="K147" i="8"/>
  <c r="K148" i="8"/>
  <c r="K150" i="8"/>
  <c r="K177" i="8"/>
  <c r="L159" i="8"/>
  <c r="L160" i="8"/>
  <c r="L161" i="8"/>
  <c r="L149" i="8"/>
  <c r="L147" i="8"/>
  <c r="L148" i="8"/>
  <c r="L150" i="8"/>
  <c r="L177" i="8"/>
  <c r="M74" i="8"/>
  <c r="M80" i="8"/>
  <c r="M81" i="8"/>
  <c r="M159" i="8"/>
  <c r="M92" i="8"/>
  <c r="M98" i="8" a="1"/>
  <c r="M99" i="8"/>
  <c r="M160" i="8"/>
  <c r="M161" i="8"/>
  <c r="M149" i="8"/>
  <c r="M147" i="8"/>
  <c r="M148" i="8"/>
  <c r="M150" i="8"/>
  <c r="M177" i="8"/>
  <c r="G152" i="8"/>
  <c r="H153" i="8"/>
  <c r="I153" i="8"/>
  <c r="J153" i="8"/>
  <c r="K153" i="8"/>
  <c r="M153" i="8"/>
  <c r="L153" i="8"/>
  <c r="J167" i="8"/>
  <c r="F173" i="8"/>
  <c r="F172" i="8"/>
  <c r="F171" i="8"/>
  <c r="F170" i="8"/>
  <c r="F169" i="8"/>
  <c r="F168" i="8"/>
  <c r="E168" i="8" a="1"/>
  <c r="K167" i="8"/>
  <c r="M108" i="8"/>
  <c r="M109" i="8"/>
  <c r="M110" i="8"/>
  <c r="M111" i="8"/>
  <c r="M112" i="8"/>
  <c r="M17" i="8"/>
  <c r="M16" i="8"/>
  <c r="M18" i="8"/>
  <c r="M21" i="8"/>
  <c r="F149" i="8"/>
  <c r="E149" i="8"/>
  <c r="S31" i="7"/>
  <c r="E57" i="7"/>
  <c r="E65" i="7"/>
  <c r="E110" i="7"/>
  <c r="E143" i="7"/>
  <c r="E113" i="7"/>
  <c r="E144" i="7"/>
  <c r="E114" i="7"/>
  <c r="E127" i="7"/>
  <c r="E145" i="7"/>
  <c r="E18" i="7"/>
  <c r="E20" i="7"/>
  <c r="E99" i="7"/>
  <c r="E142" i="7"/>
  <c r="E146" i="7"/>
  <c r="E92" i="7"/>
  <c r="E120" i="7"/>
  <c r="S42" i="7"/>
  <c r="D111" i="7"/>
  <c r="I19" i="7"/>
  <c r="E116" i="7"/>
  <c r="E118" i="7"/>
  <c r="E121" i="7"/>
  <c r="E158" i="7"/>
  <c r="S32" i="7"/>
  <c r="D79" i="7"/>
  <c r="E61" i="7"/>
  <c r="E81" i="7"/>
  <c r="D135" i="7"/>
  <c r="S38" i="7"/>
  <c r="D100" i="7"/>
  <c r="D136" i="7"/>
  <c r="D137" i="7"/>
  <c r="D138" i="7"/>
  <c r="D139" i="7"/>
  <c r="D58" i="7"/>
  <c r="D67" i="7"/>
  <c r="G12" i="7"/>
  <c r="G13" i="7"/>
  <c r="G14" i="7"/>
  <c r="I14" i="7"/>
  <c r="I13" i="7"/>
  <c r="I12" i="7"/>
  <c r="I11" i="7"/>
  <c r="G11" i="7"/>
  <c r="E82" i="7"/>
  <c r="E83" i="7"/>
  <c r="E85" i="7"/>
  <c r="E7" i="7"/>
  <c r="E10" i="7"/>
  <c r="E86" i="7"/>
  <c r="E87" i="7"/>
  <c r="E149" i="7"/>
  <c r="E156" i="7"/>
  <c r="E102" i="7"/>
  <c r="E103" i="7"/>
  <c r="E104" i="7"/>
  <c r="E106" i="7"/>
  <c r="E150" i="7"/>
  <c r="E157" i="7"/>
  <c r="E160" i="7"/>
  <c r="E93" i="7"/>
  <c r="E130" i="7"/>
  <c r="E132" i="7"/>
  <c r="E152" i="7"/>
  <c r="E151" i="7"/>
  <c r="E153" i="7"/>
  <c r="E71" i="7"/>
  <c r="E60" i="7"/>
  <c r="E70" i="7"/>
  <c r="E72" i="7"/>
  <c r="E74" i="7"/>
  <c r="E94" i="7"/>
  <c r="E91" i="7"/>
  <c r="E95" i="7"/>
  <c r="E77" i="7"/>
  <c r="E78" i="7"/>
  <c r="E79" i="7"/>
  <c r="E135" i="7"/>
  <c r="E109" i="7"/>
  <c r="E111" i="7"/>
  <c r="E137" i="7"/>
  <c r="E126" i="7"/>
  <c r="E128" i="7"/>
  <c r="E138" i="7"/>
  <c r="E98" i="7"/>
  <c r="E100" i="7"/>
  <c r="E136" i="7"/>
  <c r="E139" i="7"/>
  <c r="E58" i="7"/>
  <c r="E67" i="7"/>
  <c r="F82" i="7"/>
  <c r="F61" i="7"/>
  <c r="F81" i="7"/>
  <c r="F83" i="7"/>
  <c r="F85" i="7"/>
  <c r="F86" i="7"/>
  <c r="F87" i="7"/>
  <c r="F149" i="7"/>
  <c r="E162" i="7"/>
  <c r="F57" i="7"/>
  <c r="F65" i="7"/>
  <c r="F162" i="7"/>
  <c r="J33" i="7"/>
  <c r="J34" i="7"/>
  <c r="J35" i="7"/>
  <c r="K33" i="7"/>
  <c r="K34" i="7"/>
  <c r="K35" i="7"/>
  <c r="S33" i="7"/>
  <c r="S34" i="7"/>
  <c r="S35" i="7"/>
  <c r="R33" i="7"/>
  <c r="R34" i="7"/>
  <c r="R35" i="7"/>
  <c r="Q33" i="7"/>
  <c r="Q34" i="7"/>
  <c r="Q35" i="7"/>
  <c r="P33" i="7"/>
  <c r="P34" i="7"/>
  <c r="P35" i="7"/>
  <c r="O33" i="7"/>
  <c r="O34" i="7"/>
  <c r="O35" i="7"/>
  <c r="N33" i="7"/>
  <c r="N34" i="7"/>
  <c r="N35" i="7"/>
  <c r="M33" i="7"/>
  <c r="M34" i="7"/>
  <c r="M35" i="7"/>
  <c r="L33" i="7"/>
  <c r="L34" i="7"/>
  <c r="L35" i="7"/>
  <c r="F171" i="7"/>
  <c r="E121" i="8"/>
  <c r="M75" i="8"/>
  <c r="M83" i="8"/>
  <c r="M84" i="8"/>
  <c r="M101" i="8"/>
  <c r="M121" i="8"/>
  <c r="L101" i="8"/>
  <c r="L121" i="8"/>
  <c r="K101" i="8"/>
  <c r="K121" i="8"/>
  <c r="J101" i="8"/>
  <c r="J121" i="8"/>
  <c r="I101" i="8"/>
  <c r="I121" i="8"/>
  <c r="H101" i="8"/>
  <c r="H121" i="8"/>
  <c r="M93" i="8"/>
  <c r="M94" i="8"/>
  <c r="G3" i="8"/>
  <c r="M85" i="8"/>
  <c r="M120" i="8"/>
  <c r="M122" i="8"/>
  <c r="L85" i="8"/>
  <c r="L120" i="8"/>
  <c r="L122" i="8"/>
  <c r="K85" i="8"/>
  <c r="K120" i="8"/>
  <c r="K122" i="8"/>
  <c r="J85" i="8"/>
  <c r="J120" i="8"/>
  <c r="J122" i="8"/>
  <c r="I85" i="8"/>
  <c r="I120" i="8"/>
  <c r="I122" i="8"/>
  <c r="H85" i="8"/>
  <c r="H120" i="8"/>
  <c r="H122" i="8"/>
  <c r="F121" i="8"/>
  <c r="F120" i="8"/>
  <c r="F119" i="8"/>
  <c r="F118" i="8"/>
  <c r="E120" i="8"/>
  <c r="E119" i="8"/>
  <c r="E118" i="8"/>
  <c r="F110" i="8"/>
  <c r="E110" i="8"/>
  <c r="M9" i="8"/>
  <c r="M29" i="8"/>
  <c r="M56" i="8"/>
  <c r="M128" i="8"/>
  <c r="M129" i="8"/>
  <c r="M130" i="8"/>
  <c r="M131" i="8"/>
  <c r="M30" i="8"/>
  <c r="M57" i="8"/>
  <c r="M138" i="8"/>
  <c r="M76" i="8"/>
  <c r="M139" i="8"/>
  <c r="M140" i="8"/>
  <c r="F8" i="8"/>
  <c r="E8" i="8"/>
  <c r="G140" i="8"/>
  <c r="F140" i="8"/>
  <c r="E140" i="8"/>
  <c r="G139" i="8"/>
  <c r="F139" i="8"/>
  <c r="E139" i="8"/>
  <c r="G138" i="8"/>
  <c r="F138" i="8"/>
  <c r="E138" i="8"/>
  <c r="G137" i="8"/>
  <c r="F137" i="8"/>
  <c r="E137" i="8"/>
  <c r="F131" i="8"/>
  <c r="F130" i="8"/>
  <c r="E130" i="8"/>
  <c r="F129" i="8"/>
  <c r="E129" i="8"/>
  <c r="F128" i="8"/>
  <c r="E128" i="8"/>
  <c r="E17" i="8"/>
  <c r="E31" i="8"/>
  <c r="F111" i="8"/>
  <c r="E111" i="8"/>
  <c r="F109" i="8"/>
  <c r="E109" i="8"/>
  <c r="F108" i="8"/>
  <c r="E108" i="8"/>
  <c r="A2" i="8" a="1"/>
  <c r="A1" i="8" a="1"/>
  <c r="D198" i="7"/>
  <c r="D199" i="7"/>
  <c r="D200" i="7"/>
  <c r="D201" i="7"/>
  <c r="D202" i="7"/>
  <c r="D197" i="7"/>
  <c r="C181" i="7" a="1"/>
  <c r="C197" i="7" a="1"/>
  <c r="C205" i="7"/>
  <c r="B164" i="7"/>
  <c r="B163" i="7"/>
  <c r="D65" i="7"/>
  <c r="D76" i="7"/>
  <c r="J61" i="7"/>
  <c r="J81" i="7"/>
  <c r="J102" i="7"/>
  <c r="I61" i="7"/>
  <c r="I81" i="7"/>
  <c r="I102" i="7"/>
  <c r="H61" i="7"/>
  <c r="H81" i="7"/>
  <c r="G61" i="7"/>
  <c r="G81" i="7"/>
  <c r="F102" i="7"/>
  <c r="J60" i="7"/>
  <c r="J70" i="7"/>
  <c r="I60" i="7"/>
  <c r="I70" i="7"/>
  <c r="H60" i="7"/>
  <c r="H70" i="7"/>
  <c r="H91" i="7"/>
  <c r="G60" i="7"/>
  <c r="G70" i="7"/>
  <c r="G91" i="7"/>
  <c r="F60" i="7"/>
  <c r="F70" i="7"/>
  <c r="F91" i="7"/>
  <c r="J59" i="7"/>
  <c r="J164" i="7"/>
  <c r="I59" i="7"/>
  <c r="I164" i="7"/>
  <c r="H59" i="7"/>
  <c r="H164" i="7"/>
  <c r="G59" i="7"/>
  <c r="G164" i="7"/>
  <c r="F59" i="7"/>
  <c r="F164" i="7"/>
  <c r="E59" i="7"/>
  <c r="E164" i="7"/>
  <c r="J58" i="7"/>
  <c r="J163" i="7"/>
  <c r="I58" i="7"/>
  <c r="I163" i="7"/>
  <c r="H58" i="7"/>
  <c r="H163" i="7"/>
  <c r="G58" i="7"/>
  <c r="G163" i="7"/>
  <c r="F58" i="7"/>
  <c r="F163" i="7"/>
  <c r="E163" i="7"/>
  <c r="D57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B41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I34" i="7"/>
  <c r="H34" i="7"/>
  <c r="G34" i="7"/>
  <c r="F34" i="7"/>
  <c r="E34" i="7"/>
  <c r="I33" i="7"/>
  <c r="H33" i="7"/>
  <c r="G33" i="7"/>
  <c r="F33" i="7"/>
  <c r="E33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H24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B31" i="7"/>
  <c r="M26" i="7"/>
  <c r="M27" i="7"/>
  <c r="E25" i="7"/>
  <c r="I21" i="7"/>
  <c r="I22" i="7"/>
  <c r="F116" i="7"/>
  <c r="I18" i="7"/>
  <c r="I17" i="7"/>
  <c r="E17" i="7"/>
  <c r="E13" i="7"/>
  <c r="E8" i="7"/>
  <c r="B4" i="7"/>
  <c r="T32" i="1"/>
  <c r="T56" i="1"/>
  <c r="P25" i="1"/>
  <c r="P26" i="1"/>
  <c r="M43" i="1"/>
  <c r="G43" i="1"/>
  <c r="S43" i="1"/>
  <c r="F70" i="1"/>
  <c r="F81" i="1"/>
  <c r="G70" i="1"/>
  <c r="G81" i="1"/>
  <c r="H70" i="1"/>
  <c r="H81" i="1"/>
  <c r="I70" i="1"/>
  <c r="I81" i="1"/>
  <c r="J70" i="1"/>
  <c r="J81" i="1"/>
  <c r="E70" i="1"/>
  <c r="E81" i="1"/>
  <c r="E38" i="1"/>
  <c r="E71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U53" i="1"/>
  <c r="V53" i="1"/>
  <c r="W53" i="1"/>
  <c r="X53" i="1"/>
  <c r="Y53" i="1"/>
  <c r="U55" i="1"/>
  <c r="V55" i="1"/>
  <c r="W55" i="1"/>
  <c r="X55" i="1"/>
  <c r="Y55" i="1"/>
  <c r="T55" i="1"/>
  <c r="T53" i="1"/>
  <c r="T35" i="1"/>
  <c r="T38" i="1"/>
  <c r="T29" i="1"/>
  <c r="U29" i="1"/>
  <c r="V29" i="1"/>
  <c r="W29" i="1"/>
  <c r="X29" i="1"/>
  <c r="Y29" i="1"/>
  <c r="Y41" i="1"/>
  <c r="Y42" i="1"/>
  <c r="J73" i="1"/>
  <c r="P51" i="7"/>
  <c r="F99" i="7"/>
  <c r="F142" i="7"/>
  <c r="I46" i="7"/>
  <c r="I48" i="7"/>
  <c r="G99" i="7"/>
  <c r="G142" i="7"/>
  <c r="L46" i="7"/>
  <c r="L48" i="7"/>
  <c r="Q52" i="7"/>
  <c r="M46" i="7"/>
  <c r="M48" i="7"/>
  <c r="R52" i="7"/>
  <c r="O51" i="7"/>
  <c r="N46" i="7"/>
  <c r="N48" i="7"/>
  <c r="L51" i="7"/>
  <c r="K51" i="7"/>
  <c r="D97" i="7"/>
  <c r="D123" i="7"/>
  <c r="N51" i="7"/>
  <c r="Q51" i="7"/>
  <c r="R51" i="7"/>
  <c r="D108" i="7"/>
  <c r="S51" i="7"/>
  <c r="E35" i="7"/>
  <c r="F51" i="7"/>
  <c r="I116" i="7"/>
  <c r="G116" i="7"/>
  <c r="E51" i="7"/>
  <c r="H116" i="7"/>
  <c r="J99" i="7"/>
  <c r="J142" i="7"/>
  <c r="G51" i="7"/>
  <c r="J116" i="7"/>
  <c r="S52" i="7"/>
  <c r="E46" i="7"/>
  <c r="E48" i="7"/>
  <c r="J51" i="7"/>
  <c r="D69" i="7"/>
  <c r="D134" i="7"/>
  <c r="G46" i="7"/>
  <c r="G48" i="7"/>
  <c r="L52" i="7"/>
  <c r="D141" i="7"/>
  <c r="O46" i="7"/>
  <c r="O48" i="7"/>
  <c r="M51" i="7"/>
  <c r="D148" i="7"/>
  <c r="I51" i="7"/>
  <c r="P52" i="7"/>
  <c r="M52" i="7"/>
  <c r="N52" i="7"/>
  <c r="D155" i="7"/>
  <c r="K52" i="7"/>
  <c r="J46" i="7"/>
  <c r="J48" i="7"/>
  <c r="O52" i="7"/>
  <c r="H51" i="7"/>
  <c r="F46" i="7"/>
  <c r="F48" i="7"/>
  <c r="H46" i="7"/>
  <c r="H48" i="7"/>
  <c r="K46" i="7"/>
  <c r="K48" i="7"/>
  <c r="R46" i="7"/>
  <c r="R48" i="7"/>
  <c r="I91" i="7"/>
  <c r="P46" i="7"/>
  <c r="P48" i="7"/>
  <c r="Q46" i="7"/>
  <c r="Q48" i="7"/>
  <c r="H52" i="7"/>
  <c r="F35" i="7"/>
  <c r="G35" i="7"/>
  <c r="G102" i="7"/>
  <c r="D46" i="7"/>
  <c r="D48" i="7"/>
  <c r="S46" i="7"/>
  <c r="S48" i="7"/>
  <c r="I35" i="7"/>
  <c r="I52" i="7"/>
  <c r="J91" i="7"/>
  <c r="H35" i="7"/>
  <c r="H102" i="7"/>
  <c r="H99" i="7"/>
  <c r="H142" i="7"/>
  <c r="F52" i="7"/>
  <c r="I99" i="7"/>
  <c r="I142" i="7"/>
  <c r="G52" i="7"/>
  <c r="J52" i="7"/>
  <c r="E52" i="7"/>
  <c r="Y44" i="1"/>
  <c r="J71" i="1"/>
  <c r="T41" i="1"/>
  <c r="U41" i="1"/>
  <c r="U44" i="1"/>
  <c r="T42" i="1"/>
  <c r="U42" i="1"/>
  <c r="F73" i="1"/>
  <c r="I71" i="1"/>
  <c r="V41" i="1"/>
  <c r="W41" i="1"/>
  <c r="W44" i="1"/>
  <c r="H71" i="1"/>
  <c r="G71" i="1"/>
  <c r="X41" i="1"/>
  <c r="X44" i="1"/>
  <c r="F71" i="1"/>
  <c r="V42" i="1"/>
  <c r="W42" i="1"/>
  <c r="X42" i="1"/>
  <c r="I73" i="1"/>
  <c r="H73" i="1"/>
  <c r="V44" i="1"/>
  <c r="G73" i="1"/>
  <c r="U35" i="1"/>
  <c r="E108" i="7"/>
  <c r="E76" i="7"/>
  <c r="E97" i="7"/>
  <c r="E134" i="7"/>
  <c r="E69" i="7"/>
  <c r="E123" i="7"/>
  <c r="E155" i="7"/>
  <c r="E141" i="7"/>
  <c r="E148" i="7"/>
  <c r="E173" i="7"/>
  <c r="F98" i="7"/>
  <c r="F100" i="7"/>
  <c r="E73" i="1"/>
  <c r="T44" i="1"/>
  <c r="U38" i="1"/>
  <c r="V35" i="1"/>
  <c r="V38" i="1"/>
  <c r="G57" i="7"/>
  <c r="H57" i="7"/>
  <c r="F113" i="7"/>
  <c r="G98" i="7"/>
  <c r="G100" i="7"/>
  <c r="F136" i="7"/>
  <c r="E174" i="7"/>
  <c r="F123" i="7"/>
  <c r="F110" i="7"/>
  <c r="F97" i="7"/>
  <c r="F69" i="7"/>
  <c r="F141" i="7"/>
  <c r="F134" i="7"/>
  <c r="F148" i="7"/>
  <c r="F76" i="7"/>
  <c r="F108" i="7"/>
  <c r="F155" i="7"/>
  <c r="F118" i="7"/>
  <c r="F109" i="7"/>
  <c r="W35" i="1"/>
  <c r="G65" i="7"/>
  <c r="G162" i="7"/>
  <c r="E171" i="7"/>
  <c r="F114" i="7"/>
  <c r="F127" i="7"/>
  <c r="F145" i="7"/>
  <c r="F143" i="7"/>
  <c r="F126" i="7"/>
  <c r="E124" i="7"/>
  <c r="E172" i="7"/>
  <c r="F111" i="7"/>
  <c r="F151" i="7"/>
  <c r="F173" i="7"/>
  <c r="H65" i="7"/>
  <c r="I57" i="7"/>
  <c r="F130" i="7"/>
  <c r="F132" i="7"/>
  <c r="F120" i="7"/>
  <c r="F121" i="7"/>
  <c r="F158" i="7"/>
  <c r="F144" i="7"/>
  <c r="G136" i="7"/>
  <c r="H98" i="7"/>
  <c r="H100" i="7"/>
  <c r="W38" i="1"/>
  <c r="X35" i="1"/>
  <c r="G155" i="7"/>
  <c r="G76" i="7"/>
  <c r="G148" i="7"/>
  <c r="G134" i="7"/>
  <c r="G108" i="7"/>
  <c r="G113" i="7"/>
  <c r="G120" i="7"/>
  <c r="G121" i="7"/>
  <c r="G158" i="7"/>
  <c r="G123" i="7"/>
  <c r="G69" i="7"/>
  <c r="G141" i="7"/>
  <c r="G97" i="7"/>
  <c r="H113" i="7"/>
  <c r="F128" i="7"/>
  <c r="F146" i="7"/>
  <c r="F92" i="7"/>
  <c r="F152" i="7"/>
  <c r="F174" i="7"/>
  <c r="I65" i="7"/>
  <c r="J57" i="7"/>
  <c r="J65" i="7"/>
  <c r="E175" i="7"/>
  <c r="E165" i="7"/>
  <c r="H162" i="7"/>
  <c r="H134" i="7"/>
  <c r="H97" i="7"/>
  <c r="H155" i="7"/>
  <c r="H141" i="7"/>
  <c r="H69" i="7"/>
  <c r="H148" i="7"/>
  <c r="H123" i="7"/>
  <c r="H108" i="7"/>
  <c r="H76" i="7"/>
  <c r="H136" i="7"/>
  <c r="I98" i="7"/>
  <c r="I100" i="7"/>
  <c r="G109" i="7"/>
  <c r="F137" i="7"/>
  <c r="G118" i="7"/>
  <c r="X38" i="1"/>
  <c r="Y35" i="1"/>
  <c r="K19" i="7" a="1"/>
  <c r="K19" i="7"/>
  <c r="G126" i="7"/>
  <c r="F124" i="7"/>
  <c r="F138" i="7"/>
  <c r="E168" i="7"/>
  <c r="E166" i="7"/>
  <c r="H190" i="7"/>
  <c r="D205" i="7"/>
  <c r="I136" i="7"/>
  <c r="J98" i="7"/>
  <c r="J100" i="7"/>
  <c r="J136" i="7"/>
  <c r="G173" i="7"/>
  <c r="G151" i="7"/>
  <c r="F77" i="7"/>
  <c r="G110" i="7"/>
  <c r="H120" i="7"/>
  <c r="H121" i="7"/>
  <c r="H158" i="7"/>
  <c r="J76" i="7"/>
  <c r="J162" i="7"/>
  <c r="J97" i="7"/>
  <c r="J141" i="7"/>
  <c r="J69" i="7"/>
  <c r="J148" i="7"/>
  <c r="J134" i="7"/>
  <c r="J123" i="7"/>
  <c r="J155" i="7"/>
  <c r="J108" i="7"/>
  <c r="I162" i="7"/>
  <c r="I97" i="7"/>
  <c r="I108" i="7"/>
  <c r="I113" i="7"/>
  <c r="I141" i="7"/>
  <c r="I69" i="7"/>
  <c r="I134" i="7"/>
  <c r="I148" i="7"/>
  <c r="I123" i="7"/>
  <c r="I155" i="7"/>
  <c r="I76" i="7"/>
  <c r="Y38" i="1"/>
  <c r="J113" i="7"/>
  <c r="J120" i="7"/>
  <c r="K22" i="7"/>
  <c r="K20" i="7"/>
  <c r="K21" i="7"/>
  <c r="G130" i="7"/>
  <c r="G132" i="7"/>
  <c r="K23" i="7"/>
  <c r="K24" i="7"/>
  <c r="G114" i="7"/>
  <c r="G127" i="7"/>
  <c r="G143" i="7"/>
  <c r="G144" i="7"/>
  <c r="F103" i="7"/>
  <c r="F104" i="7"/>
  <c r="F106" i="7"/>
  <c r="F150" i="7"/>
  <c r="I120" i="7"/>
  <c r="I121" i="7"/>
  <c r="I158" i="7"/>
  <c r="G111" i="7"/>
  <c r="H130" i="7"/>
  <c r="I130" i="7"/>
  <c r="J130" i="7"/>
  <c r="F157" i="7"/>
  <c r="F172" i="7"/>
  <c r="H109" i="7"/>
  <c r="G137" i="7"/>
  <c r="H118" i="7"/>
  <c r="F153" i="7"/>
  <c r="F71" i="7"/>
  <c r="F72" i="7"/>
  <c r="F74" i="7"/>
  <c r="F94" i="7"/>
  <c r="F156" i="7"/>
  <c r="J121" i="7"/>
  <c r="J158" i="7"/>
  <c r="G145" i="7"/>
  <c r="G146" i="7"/>
  <c r="G92" i="7"/>
  <c r="G128" i="7"/>
  <c r="G174" i="7"/>
  <c r="G152" i="7"/>
  <c r="H110" i="7"/>
  <c r="H111" i="7"/>
  <c r="F160" i="7"/>
  <c r="F93" i="7"/>
  <c r="F95" i="7"/>
  <c r="F78" i="7"/>
  <c r="F79" i="7"/>
  <c r="F175" i="7"/>
  <c r="F165" i="7"/>
  <c r="F166" i="7"/>
  <c r="I190" i="7"/>
  <c r="H173" i="7"/>
  <c r="H151" i="7"/>
  <c r="H126" i="7"/>
  <c r="G138" i="7"/>
  <c r="G124" i="7"/>
  <c r="H132" i="7"/>
  <c r="H137" i="7"/>
  <c r="I118" i="7"/>
  <c r="I151" i="7"/>
  <c r="I109" i="7"/>
  <c r="H143" i="7"/>
  <c r="H144" i="7"/>
  <c r="H114" i="7"/>
  <c r="H127" i="7"/>
  <c r="H145" i="7"/>
  <c r="I110" i="7"/>
  <c r="F168" i="7"/>
  <c r="H152" i="7"/>
  <c r="H174" i="7"/>
  <c r="F135" i="7"/>
  <c r="F139" i="7"/>
  <c r="F67" i="7"/>
  <c r="G82" i="7"/>
  <c r="G77" i="7"/>
  <c r="G86" i="7"/>
  <c r="I173" i="7"/>
  <c r="H128" i="7"/>
  <c r="I132" i="7"/>
  <c r="I152" i="7"/>
  <c r="H146" i="7"/>
  <c r="H92" i="7"/>
  <c r="I114" i="7"/>
  <c r="I127" i="7"/>
  <c r="I145" i="7"/>
  <c r="I143" i="7"/>
  <c r="I144" i="7"/>
  <c r="I111" i="7"/>
  <c r="G103" i="7"/>
  <c r="G104" i="7"/>
  <c r="G106" i="7"/>
  <c r="G150" i="7"/>
  <c r="G83" i="7"/>
  <c r="G85" i="7"/>
  <c r="G87" i="7"/>
  <c r="G149" i="7"/>
  <c r="G171" i="7"/>
  <c r="I126" i="7"/>
  <c r="I128" i="7"/>
  <c r="I174" i="7"/>
  <c r="H138" i="7"/>
  <c r="H124" i="7"/>
  <c r="J109" i="7"/>
  <c r="I137" i="7"/>
  <c r="J118" i="7"/>
  <c r="I146" i="7"/>
  <c r="I92" i="7"/>
  <c r="G153" i="7"/>
  <c r="G71" i="7"/>
  <c r="G72" i="7"/>
  <c r="G74" i="7"/>
  <c r="G94" i="7"/>
  <c r="G156" i="7"/>
  <c r="G157" i="7"/>
  <c r="G172" i="7"/>
  <c r="J110" i="7"/>
  <c r="I138" i="7"/>
  <c r="J132" i="7"/>
  <c r="I124" i="7"/>
  <c r="J126" i="7"/>
  <c r="J173" i="7"/>
  <c r="J151" i="7"/>
  <c r="G160" i="7"/>
  <c r="G93" i="7"/>
  <c r="G95" i="7"/>
  <c r="G78" i="7"/>
  <c r="G79" i="7"/>
  <c r="G175" i="7"/>
  <c r="G165" i="7"/>
  <c r="J114" i="7"/>
  <c r="J127" i="7"/>
  <c r="J145" i="7"/>
  <c r="J143" i="7"/>
  <c r="J144" i="7"/>
  <c r="J111" i="7"/>
  <c r="J137" i="7"/>
  <c r="J152" i="7"/>
  <c r="J174" i="7"/>
  <c r="G166" i="7"/>
  <c r="J190" i="7"/>
  <c r="G168" i="7"/>
  <c r="G135" i="7"/>
  <c r="G139" i="7"/>
  <c r="G67" i="7"/>
  <c r="H82" i="7"/>
  <c r="H77" i="7"/>
  <c r="H86" i="7"/>
  <c r="J146" i="7"/>
  <c r="J92" i="7"/>
  <c r="J128" i="7"/>
  <c r="H103" i="7"/>
  <c r="H104" i="7"/>
  <c r="H106" i="7"/>
  <c r="H150" i="7"/>
  <c r="H83" i="7"/>
  <c r="H85" i="7"/>
  <c r="H87" i="7"/>
  <c r="H149" i="7"/>
  <c r="J138" i="7"/>
  <c r="J124" i="7"/>
  <c r="H153" i="7"/>
  <c r="H71" i="7"/>
  <c r="H72" i="7"/>
  <c r="H74" i="7"/>
  <c r="H94" i="7"/>
  <c r="H156" i="7"/>
  <c r="H171" i="7"/>
  <c r="H157" i="7"/>
  <c r="H172" i="7"/>
  <c r="H175" i="7"/>
  <c r="H165" i="7"/>
  <c r="H160" i="7"/>
  <c r="H93" i="7"/>
  <c r="H95" i="7"/>
  <c r="H78" i="7"/>
  <c r="H79" i="7"/>
  <c r="H135" i="7"/>
  <c r="H139" i="7"/>
  <c r="H67" i="7"/>
  <c r="I82" i="7"/>
  <c r="H168" i="7"/>
  <c r="H166" i="7"/>
  <c r="K190" i="7"/>
  <c r="I86" i="7"/>
  <c r="I77" i="7"/>
  <c r="I103" i="7"/>
  <c r="I104" i="7"/>
  <c r="I106" i="7"/>
  <c r="I150" i="7"/>
  <c r="I83" i="7"/>
  <c r="I85" i="7"/>
  <c r="I87" i="7"/>
  <c r="I149" i="7"/>
  <c r="I153" i="7"/>
  <c r="I71" i="7"/>
  <c r="I72" i="7"/>
  <c r="I74" i="7"/>
  <c r="I94" i="7"/>
  <c r="I157" i="7"/>
  <c r="I172" i="7"/>
  <c r="I171" i="7"/>
  <c r="I175" i="7"/>
  <c r="I165" i="7"/>
  <c r="I156" i="7"/>
  <c r="I160" i="7"/>
  <c r="I93" i="7"/>
  <c r="I95" i="7"/>
  <c r="I78" i="7"/>
  <c r="I79" i="7"/>
  <c r="I166" i="7"/>
  <c r="L190" i="7"/>
  <c r="I168" i="7"/>
  <c r="I135" i="7"/>
  <c r="I139" i="7"/>
  <c r="I67" i="7"/>
  <c r="J82" i="7"/>
  <c r="J77" i="7"/>
  <c r="J86" i="7"/>
  <c r="J103" i="7"/>
  <c r="J104" i="7"/>
  <c r="J106" i="7"/>
  <c r="J150" i="7"/>
  <c r="J83" i="7"/>
  <c r="J85" i="7"/>
  <c r="J87" i="7"/>
  <c r="J149" i="7"/>
  <c r="J156" i="7"/>
  <c r="J153" i="7"/>
  <c r="J71" i="7"/>
  <c r="J72" i="7"/>
  <c r="J74" i="7"/>
  <c r="J94" i="7"/>
  <c r="J171" i="7"/>
  <c r="J157" i="7"/>
  <c r="J172" i="7"/>
  <c r="J160" i="7"/>
  <c r="J93" i="7"/>
  <c r="J95" i="7"/>
  <c r="J78" i="7"/>
  <c r="J79" i="7"/>
  <c r="J135" i="7"/>
  <c r="J139" i="7"/>
  <c r="J67" i="7"/>
  <c r="J175" i="7"/>
  <c r="J165" i="7"/>
  <c r="J166" i="7"/>
  <c r="M190" i="7"/>
  <c r="I180" i="7"/>
  <c r="C190" i="7"/>
  <c r="D190" i="7"/>
  <c r="J168" i="7"/>
  <c r="H180" i="7"/>
  <c r="D181" i="7"/>
  <c r="D184" i="7"/>
  <c r="D185" i="7"/>
  <c r="D186" i="7"/>
  <c r="D182" i="7"/>
  <c r="D183" i="7"/>
  <c r="T57" i="1"/>
  <c r="T36" i="1"/>
  <c r="E72" i="1"/>
  <c r="T31" i="1"/>
  <c r="E74" i="1"/>
  <c r="E82" i="1"/>
  <c r="E83" i="1"/>
  <c r="E84" i="1"/>
  <c r="E76" i="1"/>
  <c r="E75" i="1"/>
  <c r="E77" i="1"/>
  <c r="T30" i="1"/>
  <c r="T52" i="1"/>
  <c r="T54" i="1"/>
  <c r="U56" i="1"/>
  <c r="U57" i="1"/>
  <c r="U36" i="1"/>
  <c r="F72" i="1"/>
  <c r="U32" i="1"/>
  <c r="U31" i="1"/>
  <c r="F74" i="1"/>
  <c r="F82" i="1"/>
  <c r="F83" i="1"/>
  <c r="F84" i="1"/>
  <c r="F76" i="1"/>
  <c r="F75" i="1"/>
  <c r="F77" i="1"/>
  <c r="U30" i="1"/>
  <c r="U52" i="1"/>
  <c r="U54" i="1"/>
  <c r="V56" i="1"/>
  <c r="V57" i="1"/>
  <c r="V36" i="1"/>
  <c r="G72" i="1"/>
  <c r="V32" i="1"/>
  <c r="V31" i="1"/>
  <c r="G74" i="1"/>
  <c r="G75" i="1"/>
  <c r="G82" i="1"/>
  <c r="G83" i="1"/>
  <c r="G84" i="1"/>
  <c r="G76" i="1"/>
  <c r="G77" i="1"/>
  <c r="V30" i="1"/>
  <c r="W32" i="1"/>
  <c r="V52" i="1"/>
  <c r="V54" i="1"/>
  <c r="W56" i="1"/>
  <c r="W57" i="1"/>
  <c r="W36" i="1"/>
  <c r="H72" i="1"/>
  <c r="W31" i="1"/>
  <c r="H74" i="1"/>
  <c r="H75" i="1"/>
  <c r="H82" i="1"/>
  <c r="H83" i="1"/>
  <c r="H84" i="1"/>
  <c r="H76" i="1"/>
  <c r="H77" i="1"/>
  <c r="W30" i="1"/>
  <c r="W52" i="1"/>
  <c r="W54" i="1"/>
  <c r="X56" i="1"/>
  <c r="X57" i="1"/>
  <c r="X36" i="1"/>
  <c r="I72" i="1"/>
  <c r="X32" i="1"/>
  <c r="X31" i="1"/>
  <c r="I74" i="1"/>
  <c r="I75" i="1"/>
  <c r="I82" i="1"/>
  <c r="I83" i="1"/>
  <c r="I84" i="1"/>
  <c r="I76" i="1"/>
  <c r="I77" i="1"/>
  <c r="X30" i="1"/>
  <c r="X52" i="1"/>
  <c r="X54" i="1"/>
  <c r="Y56" i="1"/>
  <c r="Y57" i="1"/>
  <c r="Y36" i="1"/>
  <c r="J72" i="1"/>
  <c r="Y32" i="1"/>
  <c r="Y31" i="1"/>
  <c r="J74" i="1"/>
  <c r="J82" i="1"/>
  <c r="J83" i="1"/>
  <c r="J84" i="1"/>
  <c r="J76" i="1"/>
  <c r="J75" i="1"/>
  <c r="J77" i="1"/>
  <c r="Y30" i="1"/>
  <c r="Y52" i="1"/>
  <c r="Y54" i="1"/>
  <c r="M31" i="8"/>
  <c r="M32" i="8"/>
  <c r="M33" i="8"/>
  <c r="M37" i="8"/>
  <c r="M38" i="8"/>
  <c r="M137" i="8"/>
  <c r="M141" i="8"/>
  <c r="M8" i="8"/>
  <c r="M10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<sst xmlns="http://schemas.openxmlformats.org/spreadsheetml/2006/main" count="392" uniqueCount="186">
  <si>
    <t>Existing Debt as at Sep. 30, 2018</t>
  </si>
  <si>
    <t>Senior Secured Term Loan:</t>
  </si>
  <si>
    <t>Monthy Amortization</t>
  </si>
  <si>
    <t>Revolving Credit Facility:</t>
  </si>
  <si>
    <t>Max. Amount</t>
  </si>
  <si>
    <t>Balance Outstanding</t>
  </si>
  <si>
    <t>Total Debt /</t>
  </si>
  <si>
    <t>Spread to</t>
  </si>
  <si>
    <t>LIBOR</t>
  </si>
  <si>
    <t>EBITDA &gt;=</t>
  </si>
  <si>
    <t>Original Amount</t>
  </si>
  <si>
    <t>Same</t>
  </si>
  <si>
    <t>Final Maturity</t>
  </si>
  <si>
    <t>Jun. 30, 2022</t>
  </si>
  <si>
    <t>Face Amount</t>
  </si>
  <si>
    <t>Subordinated Notes:</t>
  </si>
  <si>
    <t>(payable monthly)</t>
  </si>
  <si>
    <t>Payable semi-annually on:</t>
  </si>
  <si>
    <t>Amortization</t>
  </si>
  <si>
    <t>Sep. 30</t>
  </si>
  <si>
    <t>Mar. 31</t>
  </si>
  <si>
    <t>Mar. 31, 2019</t>
  </si>
  <si>
    <t>Ending Balance</t>
  </si>
  <si>
    <t>Drawn Interest</t>
  </si>
  <si>
    <t>Undrawn Interest</t>
  </si>
  <si>
    <t>Interest</t>
  </si>
  <si>
    <t>Historical Debt Details</t>
  </si>
  <si>
    <t>(in thousands of $)</t>
  </si>
  <si>
    <t>Total Debt</t>
  </si>
  <si>
    <t>TTM EBITDA</t>
  </si>
  <si>
    <t>Spread</t>
  </si>
  <si>
    <t>Rate</t>
  </si>
  <si>
    <t>Annual Undrawn Rate</t>
  </si>
  <si>
    <t>Annual Drawn Rates</t>
  </si>
  <si>
    <t>Annual Coupon</t>
  </si>
  <si>
    <t>Annual Drawn Rate</t>
  </si>
  <si>
    <t>as revolver</t>
  </si>
  <si>
    <t>Forecasted Data</t>
  </si>
  <si>
    <t>TTM Capex</t>
  </si>
  <si>
    <t>Early Call Prices:</t>
  </si>
  <si>
    <t>Total Debt / EBITDA</t>
  </si>
  <si>
    <t>Streamwise Ltd.</t>
  </si>
  <si>
    <t>New Senior Notes:</t>
  </si>
  <si>
    <t>Annual Coupons:</t>
  </si>
  <si>
    <t>Taxes</t>
  </si>
  <si>
    <t>Applicable Rate:</t>
  </si>
  <si>
    <t>Free Cash Flow Before Debt Service &amp; Taxes</t>
  </si>
  <si>
    <t>New Calculations</t>
  </si>
  <si>
    <t>Beginning Balance</t>
  </si>
  <si>
    <t>Less: Cash Interest</t>
  </si>
  <si>
    <t>Taxable Income</t>
  </si>
  <si>
    <t>Cash Taxes</t>
  </si>
  <si>
    <t>Additions / Repayments</t>
  </si>
  <si>
    <t>FCF Available for (Needed From) Revolver</t>
  </si>
  <si>
    <t>FCF Available for (Needed From) Revolver:</t>
  </si>
  <si>
    <t>Less: Taxes</t>
  </si>
  <si>
    <t>FCF Before Debt Service &amp; Taxes</t>
  </si>
  <si>
    <t>Revolver</t>
  </si>
  <si>
    <t>Senior Term Loan</t>
  </si>
  <si>
    <t>Existing Subordinated Notes</t>
  </si>
  <si>
    <t>New Senior Notes</t>
  </si>
  <si>
    <t>Interest Expense</t>
  </si>
  <si>
    <t>Effective Interest Rate (Annual)</t>
  </si>
  <si>
    <t>Total Interest Expense (Accrued)</t>
  </si>
  <si>
    <t>Cash Interest Expense</t>
  </si>
  <si>
    <t>Total Debt - End of Period</t>
  </si>
  <si>
    <t>Total Principal Additions / (Repayments)</t>
  </si>
  <si>
    <t>Date Issued</t>
  </si>
  <si>
    <t>Less: Interest Expense (Accrued)</t>
  </si>
  <si>
    <t>Principal Additions / (Repayments)</t>
  </si>
  <si>
    <t>Call Premium on Subordinated Notes</t>
  </si>
  <si>
    <t>Outstanding?</t>
  </si>
  <si>
    <t>Cash Needed to Refinance</t>
  </si>
  <si>
    <t>Call Price</t>
  </si>
  <si>
    <t>Cash Interest Payment?</t>
  </si>
  <si>
    <t>Cash Interest</t>
  </si>
  <si>
    <t>Total Interest Expense</t>
  </si>
  <si>
    <t>Interest Coverage Ratio</t>
  </si>
  <si>
    <t>TTM Interest Expense</t>
  </si>
  <si>
    <t>Total Interest</t>
  </si>
  <si>
    <t>TTM Interest Expense:</t>
  </si>
  <si>
    <t>Total TTM Interest</t>
  </si>
  <si>
    <t>Standby Fee</t>
  </si>
  <si>
    <t>Total Revolver Interest</t>
  </si>
  <si>
    <t>Drawn Interest Expense</t>
  </si>
  <si>
    <t>Total Reveolver Interest</t>
  </si>
  <si>
    <t>EBITDA Cushion</t>
  </si>
  <si>
    <t>payable monthly based on prev. month</t>
  </si>
  <si>
    <t>Principal Repayment</t>
  </si>
  <si>
    <t>Cashflow</t>
  </si>
  <si>
    <t>Senior Debt - Principal Payment</t>
  </si>
  <si>
    <t>Senior Debt - Interest Payment</t>
  </si>
  <si>
    <t>Subordinated Notes Interest</t>
  </si>
  <si>
    <t>Cash flow before tax</t>
  </si>
  <si>
    <t>Tax</t>
  </si>
  <si>
    <t>Net Cash Inflow</t>
  </si>
  <si>
    <t>Call Payment</t>
  </si>
  <si>
    <t>Call Date</t>
  </si>
  <si>
    <t>Interest Paid</t>
  </si>
  <si>
    <t>Revolver Interest</t>
  </si>
  <si>
    <t>Tax Expense</t>
  </si>
  <si>
    <t>Taxable FCF</t>
  </si>
  <si>
    <t>Interest (Accrued) for Tax</t>
  </si>
  <si>
    <t>d)</t>
  </si>
  <si>
    <t>Refinance Date</t>
  </si>
  <si>
    <t>e)</t>
  </si>
  <si>
    <t>All new below</t>
  </si>
  <si>
    <t>After</t>
  </si>
  <si>
    <t>Date</t>
  </si>
  <si>
    <t>Call Prices</t>
  </si>
  <si>
    <t>Period</t>
  </si>
  <si>
    <t>Min ICR?</t>
  </si>
  <si>
    <t>Minimum ICR - Call Date Scenarios</t>
  </si>
  <si>
    <t>Minimum ICR Value - Which Month (Regardless of Scenario)</t>
  </si>
  <si>
    <t>Min EBITDA Cushion</t>
  </si>
  <si>
    <t>Occurs In</t>
  </si>
  <si>
    <t>Min ICR Value</t>
  </si>
  <si>
    <t>Month</t>
  </si>
  <si>
    <t>Monthly Timeline</t>
  </si>
  <si>
    <t>Call Refinance Date</t>
  </si>
  <si>
    <t>ICR Covenant Not Breached?</t>
  </si>
  <si>
    <t>DEBT SCHEDULE</t>
  </si>
  <si>
    <t>Unit</t>
  </si>
  <si>
    <t>date</t>
  </si>
  <si>
    <t>Model start date</t>
  </si>
  <si>
    <t>Number of periods</t>
  </si>
  <si>
    <t>months</t>
  </si>
  <si>
    <t>Topic</t>
  </si>
  <si>
    <t>Debt</t>
  </si>
  <si>
    <t>USD</t>
  </si>
  <si>
    <t>less</t>
  </si>
  <si>
    <t>Interest expenses</t>
  </si>
  <si>
    <t>Taxes paid</t>
  </si>
  <si>
    <t>Free cash flow after repayment of debt service and taxes</t>
  </si>
  <si>
    <t>Revolver Drawdown / (Repayment)</t>
  </si>
  <si>
    <t>Revolver closing balance</t>
  </si>
  <si>
    <t>Revolver beginning balance</t>
  </si>
  <si>
    <t>Revolver interest expenses</t>
  </si>
  <si>
    <t>%</t>
  </si>
  <si>
    <t>Spread to LIBOR based on Total Debt / EBIDTA</t>
  </si>
  <si>
    <t>Effective interest rate on revolver</t>
  </si>
  <si>
    <t>Standby fee on undrawn revolver facility</t>
  </si>
  <si>
    <t>Senior Secured Term Loan</t>
  </si>
  <si>
    <t>Senior Secured Term Loan opening balance</t>
  </si>
  <si>
    <t>Senior Secured Term Loan drawdown / (repayments)</t>
  </si>
  <si>
    <t>Senior Secured Term Loan closing balance</t>
  </si>
  <si>
    <t>Senior Secured Term Loan interest expenses</t>
  </si>
  <si>
    <t>Effective interest rate on Senior Secured Term Loan</t>
  </si>
  <si>
    <t>Subordinated Notes</t>
  </si>
  <si>
    <t>Subordinated Notes opening balance</t>
  </si>
  <si>
    <t>Subordinated Notes drawdown / (repayment)</t>
  </si>
  <si>
    <t>Subordinated Notes closing balance</t>
  </si>
  <si>
    <t>Subordinated Notes interest expenses</t>
  </si>
  <si>
    <t>On or before</t>
  </si>
  <si>
    <t>Before</t>
  </si>
  <si>
    <t>Call price</t>
  </si>
  <si>
    <t>Subordinated Notes interest accrued</t>
  </si>
  <si>
    <t>New Subordinated Notes</t>
  </si>
  <si>
    <t>New Subordinated Notes opening balance</t>
  </si>
  <si>
    <t>Subordinated Notes issue / (repayment)</t>
  </si>
  <si>
    <t>New Subordinated Notes interest expenses</t>
  </si>
  <si>
    <t>Effective interest rate on New Subordinated Notes</t>
  </si>
  <si>
    <t>Effective interest rate on Subordinated Notes</t>
  </si>
  <si>
    <t>Interest expenses accrued</t>
  </si>
  <si>
    <t>Taxable income</t>
  </si>
  <si>
    <t>Principal additions / (repayments)</t>
  </si>
  <si>
    <t>Principal addition / (repayment)</t>
  </si>
  <si>
    <t>New Subordinated Notes closing balance</t>
  </si>
  <si>
    <t>Total Debt / EBIDTA</t>
  </si>
  <si>
    <t>EBIDTA</t>
  </si>
  <si>
    <t>Interest paid</t>
  </si>
  <si>
    <t>multiple</t>
  </si>
  <si>
    <t>New Subordinated Notes interest expenses accrued</t>
  </si>
  <si>
    <t>(monthly amortization)</t>
  </si>
  <si>
    <t>( payable semi-annually)</t>
  </si>
  <si>
    <t>Interest Coverage Ratio (ICR)</t>
  </si>
  <si>
    <t>TTM EBIDTA</t>
  </si>
  <si>
    <t>TTM Interest expenses</t>
  </si>
  <si>
    <t>End of schedule</t>
  </si>
  <si>
    <t>Applicable tax rate</t>
  </si>
  <si>
    <t>Mandatory ICR</t>
  </si>
  <si>
    <t>Answers</t>
  </si>
  <si>
    <t>Refinancing date</t>
  </si>
  <si>
    <t xml:space="preserve">In which refinincing scenarios does the minimum ICR occur? </t>
  </si>
  <si>
    <t>What is the minimum ICR and in which month does it occur?</t>
  </si>
  <si>
    <t>When is the covenant of 2.25x breached?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</si>
</sst>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-* #,##0.00_-;\-* #,##0.00_-;_-* &quot;-&quot;??_-;_-@_-"/>
    <numFmt numFmtId="165" formatCode="&quot;$&quot;#,##0_);\(&quot;$&quot;#,##0\)"/>
    <numFmt numFmtId="166" formatCode="&quot;$&quot;#,##0_);[Red]\(&quot;$&quot;#,##0\)"/>
    <numFmt numFmtId="167" formatCode="&quot;$&quot;#,##0.00_);[Red]\(&quot;$&quot;#,##0.00\)"/>
    <numFmt numFmtId="168" formatCode="_(* #,##0.00_);_(* \(#,##0.00\);_(* &quot;-&quot;??_);_(@_)"/>
    <numFmt numFmtId="169" formatCode="0.0\ \x"/>
    <numFmt numFmtId="170" formatCode="0.0%"/>
    <numFmt numFmtId="171" formatCode="0\ &quot;bps&quot;"/>
    <numFmt numFmtId="172" formatCode="0.000%"/>
    <numFmt numFmtId="173" formatCode="[=0]&quot;No&quot;;[=1]&quot;Yes&quot;"/>
    <numFmt numFmtId="174" formatCode="0.00\ \x"/>
    <numFmt numFmtId="175" formatCode="0.00\x"/>
    <numFmt numFmtId="176" formatCode="0.0\x"/>
    <numFmt numFmtId="177" formatCode="_-* #,##0_-;\-* #,##0_-;_-* &quot;-&quot;??_-;_-@_-"/>
    <numFmt numFmtId="178" formatCode="#,##0_);\(#,##0\);&quot;-  &quot;;&quot; &quot;@"/>
    <numFmt numFmtId="179" formatCode="0.00%\ ;\-0.00%\ _);&quot;-  &quot;;&quot; &quot;@&quot; &quot;"/>
    <numFmt numFmtId="180" formatCode="#,##0.0000_);\(#,##0.0000\);&quot;-  &quot;;&quot; &quot;@&quot; &quot;"/>
    <numFmt numFmtId="181" formatCode="dd\ mmm\ yyyy_);\(###0\);&quot;-  &quot;;&quot; &quot;@&quot; &quot;"/>
    <numFmt numFmtId="182" formatCode="dd\ mmm\ yy_);\(###0\);&quot;-  &quot;;&quot; &quot;@&quot; &quot;"/>
    <numFmt numFmtId="183" formatCode="###0_);\(###0\);&quot;-  &quot;;&quot; &quot;@&quot; &quot;"/>
  </numFmts>
  <fonts count="37"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b/>
      <u/>
      <sz val="10"/>
      <color rgb="FF0000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</borders>
  <cellStyleXfs count="17">
    <xf numFmtId="178" fontId="0" fillId="0" borderId="0" applyFont="0" applyFill="0" applyBorder="0" applyProtection="0">
      <alignment vertical="top"/>
    </xf>
    <xf numFmtId="0" fontId="4" fillId="0" borderId="0"/>
    <xf numFmtId="168" fontId="5" fillId="0" borderId="0" applyFont="0" applyFill="0" applyBorder="0" applyAlignment="0" applyProtection="0"/>
    <xf numFmtId="0" fontId="6" fillId="0" borderId="0" applyNumberFormat="0" applyFont="0" applyFill="0" applyBorder="0" applyProtection="0">
      <alignment horizontal="centerContinuous"/>
    </xf>
    <xf numFmtId="0" fontId="6" fillId="0" borderId="1" applyNumberFormat="0" applyFont="0" applyFill="0" applyAlignment="0" applyProtection="0"/>
    <xf numFmtId="0" fontId="6" fillId="0" borderId="0" applyNumberFormat="0" applyFont="0" applyFill="0" applyBorder="0" applyProtection="0">
      <alignment horizontal="center"/>
    </xf>
    <xf numFmtId="167" fontId="7" fillId="0" borderId="16">
      <protection locked="0"/>
    </xf>
    <xf numFmtId="0" fontId="6" fillId="0" borderId="17" applyNumberFormat="0" applyFont="0" applyFill="0" applyAlignment="0" applyProtection="0"/>
    <xf numFmtId="0" fontId="8" fillId="0" borderId="0" applyNumberFormat="0" applyFill="0" applyBorder="0" applyAlignment="0" applyProtection="0"/>
    <xf numFmtId="177" fontId="5" fillId="0" borderId="0" applyNumberFormat="0" applyFill="0" applyBorder="0" applyAlignment="0" applyProtection="0"/>
    <xf numFmtId="0" fontId="6" fillId="0" borderId="15" applyNumberFormat="0" applyFont="0" applyFill="0" applyAlignment="0" applyProtection="0"/>
    <xf numFmtId="164" fontId="21" fillId="0" borderId="0" applyFont="0" applyFill="0" applyBorder="0" applyAlignment="0" applyProtection="0"/>
    <xf numFmtId="179" fontId="21" fillId="0" borderId="0" applyFont="0" applyFill="0" applyBorder="0" applyProtection="0">
      <alignment vertical="top"/>
    </xf>
    <xf numFmtId="180" fontId="27" fillId="0" borderId="0" applyFont="0" applyFill="0" applyBorder="0" applyProtection="0">
      <alignment vertical="top"/>
    </xf>
    <xf numFmtId="181" fontId="27" fillId="0" borderId="0" applyFont="0" applyFill="0" applyBorder="0" applyProtection="0">
      <alignment vertical="top"/>
    </xf>
    <xf numFmtId="182" fontId="27" fillId="0" borderId="0" applyFont="0" applyFill="0" applyBorder="0" applyProtection="0">
      <alignment vertical="top"/>
    </xf>
    <xf numFmtId="183" fontId="27" fillId="0" borderId="0" applyFont="0" applyFill="0" applyBorder="0" applyProtection="0">
      <alignment vertical="top"/>
    </xf>
  </cellStyleXfs>
  <cellXfs count="234">
    <xf numFmtId="178" fontId="0" fillId="0" borderId="0" xfId="0">
      <alignment vertical="top"/>
    </xf>
    <xf numFmtId="178" fontId="1" fillId="0" borderId="0" xfId="0" applyFont="1">
      <alignment vertical="top"/>
    </xf>
    <xf numFmtId="178" fontId="2" fillId="0" borderId="0" xfId="0" applyFont="1">
      <alignment vertical="top"/>
    </xf>
    <xf numFmtId="166" fontId="2" fillId="0" borderId="0" xfId="0" applyNumberFormat="1" applyFont="1">
      <alignment vertical="top"/>
    </xf>
    <xf numFmtId="178" fontId="3" fillId="0" borderId="0" xfId="0" applyFont="1">
      <alignment vertical="top"/>
    </xf>
    <xf numFmtId="167" fontId="2" fillId="0" borderId="0" xfId="0" applyNumberFormat="1" applyFont="1">
      <alignment vertical="top"/>
    </xf>
    <xf numFmtId="165" fontId="2" fillId="0" borderId="0" xfId="0" applyNumberFormat="1" applyFont="1">
      <alignment vertical="top"/>
    </xf>
    <xf numFmtId="178" fontId="9" fillId="0" borderId="0" xfId="0" applyFont="1">
      <alignment vertical="top"/>
    </xf>
    <xf numFmtId="178" fontId="10" fillId="0" borderId="0" xfId="0" applyFont="1">
      <alignment vertical="top"/>
    </xf>
    <xf numFmtId="178" fontId="11" fillId="2" borderId="2" xfId="0" applyFont="1" applyFill="1" applyBorder="1">
      <alignment vertical="top"/>
    </xf>
    <xf numFmtId="178" fontId="11" fillId="2" borderId="3" xfId="0" applyFont="1" applyFill="1" applyBorder="1">
      <alignment vertical="top"/>
    </xf>
    <xf numFmtId="178" fontId="11" fillId="2" borderId="4" xfId="0" applyFont="1" applyFill="1" applyBorder="1">
      <alignment vertical="top"/>
    </xf>
    <xf numFmtId="178" fontId="1" fillId="0" borderId="1" xfId="0" applyFont="1" applyBorder="1">
      <alignment vertical="top"/>
    </xf>
    <xf numFmtId="178" fontId="2" fillId="0" borderId="1" xfId="0" applyFont="1" applyBorder="1">
      <alignment vertical="top"/>
    </xf>
    <xf numFmtId="178" fontId="2" fillId="0" borderId="5" xfId="0" applyFont="1" applyBorder="1">
      <alignment vertical="top"/>
    </xf>
    <xf numFmtId="178" fontId="2" fillId="0" borderId="6" xfId="0" applyFont="1" applyBorder="1">
      <alignment vertical="top"/>
    </xf>
    <xf numFmtId="166" fontId="2" fillId="0" borderId="6" xfId="0" applyNumberFormat="1" applyFont="1" applyBorder="1" applyAlignment="1">
      <alignment horizontal="center"/>
    </xf>
    <xf numFmtId="166" fontId="2" fillId="0" borderId="6" xfId="0" applyNumberFormat="1" applyFont="1" applyBorder="1">
      <alignment vertical="top"/>
    </xf>
    <xf numFmtId="178" fontId="1" fillId="0" borderId="6" xfId="0" applyFont="1" applyBorder="1" applyAlignment="1">
      <alignment horizontal="centerContinuous"/>
    </xf>
    <xf numFmtId="178" fontId="1" fillId="0" borderId="7" xfId="0" applyFont="1" applyBorder="1" applyAlignment="1">
      <alignment horizontal="centerContinuous"/>
    </xf>
    <xf numFmtId="178" fontId="2" fillId="0" borderId="8" xfId="0" applyFont="1" applyBorder="1">
      <alignment vertical="top"/>
    </xf>
    <xf numFmtId="166" fontId="2" fillId="0" borderId="0" xfId="0" applyNumberFormat="1" applyFont="1" applyAlignment="1">
      <alignment horizontal="center"/>
    </xf>
    <xf numFmtId="178" fontId="1" fillId="0" borderId="1" xfId="0" applyFont="1" applyBorder="1" applyAlignment="1">
      <alignment horizontal="centerContinuous"/>
    </xf>
    <xf numFmtId="178" fontId="2" fillId="0" borderId="1" xfId="0" applyFont="1" applyBorder="1" applyAlignment="1">
      <alignment horizontal="centerContinuous"/>
    </xf>
    <xf numFmtId="178" fontId="2" fillId="0" borderId="11" xfId="0" applyFont="1" applyBorder="1" applyAlignment="1">
      <alignment horizontal="centerContinuous"/>
    </xf>
    <xf numFmtId="178" fontId="1" fillId="0" borderId="0" xfId="0" applyFont="1" applyAlignment="1">
      <alignment horizontal="center"/>
    </xf>
    <xf numFmtId="178" fontId="1" fillId="0" borderId="9" xfId="0" applyFont="1" applyBorder="1" applyAlignment="1">
      <alignment horizontal="center"/>
    </xf>
    <xf numFmtId="171" fontId="2" fillId="0" borderId="0" xfId="0" applyNumberFormat="1" applyFont="1" applyAlignment="1">
      <alignment horizontal="center"/>
    </xf>
    <xf numFmtId="178" fontId="12" fillId="0" borderId="0" xfId="0" applyFont="1" applyAlignment="1">
      <alignment horizontal="center"/>
    </xf>
    <xf numFmtId="178" fontId="12" fillId="0" borderId="9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171" fontId="2" fillId="0" borderId="9" xfId="0" applyNumberFormat="1" applyFont="1" applyBorder="1" applyAlignment="1">
      <alignment horizontal="center"/>
    </xf>
    <xf numFmtId="178" fontId="2" fillId="0" borderId="10" xfId="0" applyFont="1" applyBorder="1">
      <alignment vertical="top"/>
    </xf>
    <xf numFmtId="176" fontId="2" fillId="0" borderId="1" xfId="0" applyNumberFormat="1" applyFont="1" applyBorder="1" applyAlignment="1">
      <alignment horizontal="center"/>
    </xf>
    <xf numFmtId="171" fontId="2" fillId="0" borderId="11" xfId="0" applyNumberFormat="1" applyFont="1" applyBorder="1" applyAlignment="1">
      <alignment horizontal="center"/>
    </xf>
    <xf numFmtId="178" fontId="2" fillId="0" borderId="0" xfId="0" applyFont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166" fontId="2" fillId="0" borderId="9" xfId="0" quotePrefix="1" applyNumberFormat="1" applyFont="1" applyBorder="1" applyAlignment="1">
      <alignment horizontal="center"/>
    </xf>
    <xf numFmtId="178" fontId="2" fillId="0" borderId="9" xfId="0" applyFont="1" applyBorder="1">
      <alignment vertical="top"/>
    </xf>
    <xf numFmtId="9" fontId="2" fillId="0" borderId="0" xfId="0" applyNumberFormat="1" applyFont="1">
      <alignment vertical="top"/>
    </xf>
    <xf numFmtId="172" fontId="2" fillId="0" borderId="9" xfId="0" quotePrefix="1" applyNumberFormat="1" applyFont="1" applyBorder="1" applyAlignment="1">
      <alignment horizontal="center"/>
    </xf>
    <xf numFmtId="10" fontId="2" fillId="0" borderId="9" xfId="0" quotePrefix="1" applyNumberFormat="1" applyFont="1" applyBorder="1" applyAlignment="1">
      <alignment horizontal="center"/>
    </xf>
    <xf numFmtId="178" fontId="2" fillId="0" borderId="9" xfId="0" applyFont="1" applyBorder="1" applyAlignment="1">
      <alignment horizontal="center"/>
    </xf>
    <xf numFmtId="178" fontId="2" fillId="0" borderId="8" xfId="0" applyFont="1" applyBorder="1" applyAlignment="1">
      <alignment horizontal="left" indent="1"/>
    </xf>
    <xf numFmtId="9" fontId="2" fillId="0" borderId="9" xfId="0" quotePrefix="1" applyNumberFormat="1" applyFont="1" applyBorder="1" applyAlignment="1">
      <alignment horizontal="center"/>
    </xf>
    <xf numFmtId="178" fontId="2" fillId="0" borderId="11" xfId="0" applyFont="1" applyBorder="1" applyAlignment="1">
      <alignment horizontal="center"/>
    </xf>
    <xf numFmtId="178" fontId="2" fillId="0" borderId="10" xfId="0" applyFont="1" applyBorder="1" applyAlignment="1">
      <alignment horizontal="left" indent="1"/>
    </xf>
    <xf numFmtId="9" fontId="2" fillId="0" borderId="11" xfId="0" quotePrefix="1" applyNumberFormat="1" applyFont="1" applyBorder="1" applyAlignment="1">
      <alignment horizontal="center"/>
    </xf>
    <xf numFmtId="14" fontId="13" fillId="0" borderId="0" xfId="0" applyNumberFormat="1" applyFont="1">
      <alignment vertical="top"/>
    </xf>
    <xf numFmtId="14" fontId="14" fillId="0" borderId="0" xfId="0" applyNumberFormat="1" applyFont="1">
      <alignment vertical="top"/>
    </xf>
    <xf numFmtId="166" fontId="15" fillId="0" borderId="0" xfId="0" applyNumberFormat="1" applyFont="1">
      <alignment vertical="top"/>
    </xf>
    <xf numFmtId="178" fontId="15" fillId="0" borderId="0" xfId="0" applyFont="1">
      <alignment vertical="top"/>
    </xf>
    <xf numFmtId="178" fontId="16" fillId="0" borderId="0" xfId="0" applyFont="1">
      <alignment vertical="top"/>
    </xf>
    <xf numFmtId="169" fontId="15" fillId="3" borderId="0" xfId="0" applyNumberFormat="1" applyFont="1" applyFill="1">
      <alignment vertical="top"/>
    </xf>
    <xf numFmtId="10" fontId="15" fillId="0" borderId="0" xfId="0" applyNumberFormat="1" applyFont="1">
      <alignment vertical="top"/>
    </xf>
    <xf numFmtId="166" fontId="17" fillId="0" borderId="0" xfId="0" applyNumberFormat="1" applyFont="1">
      <alignment vertical="top"/>
    </xf>
    <xf numFmtId="10" fontId="17" fillId="0" borderId="0" xfId="0" applyNumberFormat="1" applyFont="1">
      <alignment vertical="top"/>
    </xf>
    <xf numFmtId="166" fontId="15" fillId="0" borderId="6" xfId="0" applyNumberFormat="1" applyFont="1" applyBorder="1" applyAlignment="1">
      <alignment horizontal="center"/>
    </xf>
    <xf numFmtId="166" fontId="15" fillId="0" borderId="0" xfId="0" applyNumberFormat="1" applyFont="1" applyAlignment="1">
      <alignment horizontal="center"/>
    </xf>
    <xf numFmtId="166" fontId="17" fillId="0" borderId="7" xfId="0" applyNumberFormat="1" applyFont="1" applyBorder="1" applyAlignment="1">
      <alignment horizontal="center"/>
    </xf>
    <xf numFmtId="178" fontId="1" fillId="0" borderId="8" xfId="0" applyFont="1" applyBorder="1">
      <alignment vertical="top"/>
    </xf>
    <xf numFmtId="170" fontId="17" fillId="0" borderId="9" xfId="0" quotePrefix="1" applyNumberFormat="1" applyFont="1" applyBorder="1" applyAlignment="1">
      <alignment horizontal="center"/>
    </xf>
    <xf numFmtId="171" fontId="15" fillId="0" borderId="0" xfId="0" applyNumberFormat="1" applyFont="1" applyAlignment="1">
      <alignment horizontal="center"/>
    </xf>
    <xf numFmtId="14" fontId="2" fillId="0" borderId="10" xfId="0" applyNumberFormat="1" applyFont="1" applyBorder="1">
      <alignment vertical="top"/>
    </xf>
    <xf numFmtId="172" fontId="17" fillId="0" borderId="11" xfId="0" quotePrefix="1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71" fontId="15" fillId="0" borderId="9" xfId="0" applyNumberFormat="1" applyFont="1" applyBorder="1" applyAlignment="1">
      <alignment horizontal="center"/>
    </xf>
    <xf numFmtId="174" fontId="15" fillId="0" borderId="0" xfId="0" applyNumberFormat="1" applyFont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171" fontId="15" fillId="0" borderId="11" xfId="0" applyNumberFormat="1" applyFont="1" applyBorder="1" applyAlignment="1">
      <alignment horizontal="center"/>
    </xf>
    <xf numFmtId="166" fontId="15" fillId="3" borderId="7" xfId="0" applyNumberFormat="1" applyFont="1" applyFill="1" applyBorder="1" applyAlignment="1">
      <alignment horizontal="center"/>
    </xf>
    <xf numFmtId="166" fontId="15" fillId="3" borderId="9" xfId="0" applyNumberFormat="1" applyFont="1" applyFill="1" applyBorder="1" applyAlignment="1">
      <alignment horizontal="center"/>
    </xf>
    <xf numFmtId="166" fontId="15" fillId="0" borderId="9" xfId="0" quotePrefix="1" applyNumberFormat="1" applyFont="1" applyBorder="1" applyAlignment="1">
      <alignment horizontal="center"/>
    </xf>
    <xf numFmtId="166" fontId="17" fillId="0" borderId="9" xfId="0" applyNumberFormat="1" applyFont="1" applyBorder="1" applyAlignment="1">
      <alignment horizontal="center"/>
    </xf>
    <xf numFmtId="172" fontId="15" fillId="0" borderId="9" xfId="0" quotePrefix="1" applyNumberFormat="1" applyFont="1" applyBorder="1" applyAlignment="1">
      <alignment horizontal="center"/>
    </xf>
    <xf numFmtId="14" fontId="2" fillId="0" borderId="8" xfId="0" applyNumberFormat="1" applyFont="1" applyBorder="1">
      <alignment vertical="top"/>
    </xf>
    <xf numFmtId="172" fontId="17" fillId="0" borderId="9" xfId="0" quotePrefix="1" applyNumberFormat="1" applyFont="1" applyBorder="1" applyAlignment="1">
      <alignment horizontal="center"/>
    </xf>
    <xf numFmtId="10" fontId="15" fillId="0" borderId="9" xfId="0" quotePrefix="1" applyNumberFormat="1" applyFont="1" applyBorder="1" applyAlignment="1">
      <alignment horizontal="center"/>
    </xf>
    <xf numFmtId="14" fontId="17" fillId="0" borderId="9" xfId="0" applyNumberFormat="1" applyFont="1" applyBorder="1" applyAlignment="1">
      <alignment horizontal="center"/>
    </xf>
    <xf numFmtId="14" fontId="15" fillId="0" borderId="9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9" fontId="17" fillId="0" borderId="9" xfId="0" quotePrefix="1" applyNumberFormat="1" applyFont="1" applyBorder="1" applyAlignment="1">
      <alignment horizontal="center"/>
    </xf>
    <xf numFmtId="9" fontId="17" fillId="0" borderId="11" xfId="0" quotePrefix="1" applyNumberFormat="1" applyFont="1" applyBorder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178" fontId="17" fillId="0" borderId="0" xfId="0" applyFont="1">
      <alignment vertical="top"/>
    </xf>
    <xf numFmtId="169" fontId="2" fillId="3" borderId="0" xfId="0" applyNumberFormat="1" applyFont="1" applyFill="1">
      <alignment vertical="top"/>
    </xf>
    <xf numFmtId="10" fontId="2" fillId="0" borderId="0" xfId="0" applyNumberFormat="1" applyFont="1">
      <alignment vertical="top"/>
    </xf>
    <xf numFmtId="178" fontId="19" fillId="0" borderId="12" xfId="0" applyFont="1" applyBorder="1">
      <alignment vertical="top"/>
    </xf>
    <xf numFmtId="178" fontId="19" fillId="0" borderId="13" xfId="0" applyFont="1" applyBorder="1">
      <alignment vertical="top"/>
    </xf>
    <xf numFmtId="174" fontId="19" fillId="0" borderId="13" xfId="0" applyNumberFormat="1" applyFont="1" applyBorder="1">
      <alignment vertical="top"/>
    </xf>
    <xf numFmtId="174" fontId="19" fillId="0" borderId="14" xfId="0" applyNumberFormat="1" applyFont="1" applyBorder="1">
      <alignment vertical="top"/>
    </xf>
    <xf numFmtId="178" fontId="1" fillId="4" borderId="2" xfId="0" applyFont="1" applyFill="1" applyBorder="1">
      <alignment vertical="top"/>
    </xf>
    <xf numFmtId="178" fontId="2" fillId="4" borderId="3" xfId="0" applyFont="1" applyFill="1" applyBorder="1">
      <alignment vertical="top"/>
    </xf>
    <xf numFmtId="14" fontId="14" fillId="4" borderId="3" xfId="0" applyNumberFormat="1" applyFont="1" applyFill="1" applyBorder="1">
      <alignment vertical="top"/>
    </xf>
    <xf numFmtId="14" fontId="14" fillId="4" borderId="4" xfId="0" applyNumberFormat="1" applyFont="1" applyFill="1" applyBorder="1">
      <alignment vertical="top"/>
    </xf>
    <xf numFmtId="165" fontId="2" fillId="0" borderId="1" xfId="0" applyNumberFormat="1" applyFont="1" applyBorder="1">
      <alignment vertical="top"/>
    </xf>
    <xf numFmtId="165" fontId="1" fillId="0" borderId="0" xfId="0" applyNumberFormat="1" applyFont="1">
      <alignment vertical="top"/>
    </xf>
    <xf numFmtId="10" fontId="15" fillId="0" borderId="1" xfId="0" applyNumberFormat="1" applyFont="1" applyBorder="1">
      <alignment vertical="top"/>
    </xf>
    <xf numFmtId="10" fontId="20" fillId="0" borderId="0" xfId="0" applyNumberFormat="1" applyFont="1">
      <alignment vertical="top"/>
    </xf>
    <xf numFmtId="178" fontId="19" fillId="0" borderId="0" xfId="0" applyFont="1">
      <alignment vertical="top"/>
    </xf>
    <xf numFmtId="172" fontId="15" fillId="0" borderId="0" xfId="0" applyNumberFormat="1" applyFont="1">
      <alignment vertical="top"/>
    </xf>
    <xf numFmtId="165" fontId="1" fillId="3" borderId="0" xfId="0" applyNumberFormat="1" applyFont="1" applyFill="1">
      <alignment vertical="top"/>
    </xf>
    <xf numFmtId="178" fontId="2" fillId="3" borderId="0" xfId="0" applyFont="1" applyFill="1">
      <alignment vertical="top"/>
    </xf>
    <xf numFmtId="165" fontId="2" fillId="3" borderId="0" xfId="0" applyNumberFormat="1" applyFont="1" applyFill="1">
      <alignment vertical="top"/>
    </xf>
    <xf numFmtId="173" fontId="2" fillId="3" borderId="0" xfId="0" applyNumberFormat="1" applyFont="1" applyFill="1">
      <alignment vertical="top"/>
    </xf>
    <xf numFmtId="178" fontId="1" fillId="3" borderId="0" xfId="0" applyFont="1" applyFill="1">
      <alignment vertical="top"/>
    </xf>
    <xf numFmtId="173" fontId="2" fillId="0" borderId="0" xfId="0" applyNumberFormat="1" applyFont="1">
      <alignment vertical="top"/>
    </xf>
    <xf numFmtId="165" fontId="18" fillId="0" borderId="0" xfId="0" applyNumberFormat="1" applyFont="1">
      <alignment vertical="top"/>
    </xf>
    <xf numFmtId="165" fontId="17" fillId="0" borderId="1" xfId="0" applyNumberFormat="1" applyFont="1" applyBorder="1">
      <alignment vertical="top"/>
    </xf>
    <xf numFmtId="178" fontId="1" fillId="0" borderId="2" xfId="0" applyFont="1" applyBorder="1">
      <alignment vertical="top"/>
    </xf>
    <xf numFmtId="178" fontId="1" fillId="0" borderId="3" xfId="0" applyFont="1" applyBorder="1">
      <alignment vertical="top"/>
    </xf>
    <xf numFmtId="165" fontId="1" fillId="0" borderId="3" xfId="0" applyNumberFormat="1" applyFont="1" applyBorder="1">
      <alignment vertical="top"/>
    </xf>
    <xf numFmtId="175" fontId="1" fillId="0" borderId="3" xfId="0" applyNumberFormat="1" applyFont="1" applyBorder="1">
      <alignment vertical="top"/>
    </xf>
    <xf numFmtId="175" fontId="1" fillId="0" borderId="4" xfId="0" applyNumberFormat="1" applyFont="1" applyBorder="1">
      <alignment vertical="top"/>
    </xf>
    <xf numFmtId="165" fontId="1" fillId="0" borderId="4" xfId="0" applyNumberFormat="1" applyFont="1" applyBorder="1">
      <alignment vertical="top"/>
    </xf>
    <xf numFmtId="178" fontId="2" fillId="0" borderId="0" xfId="0" applyFont="1" applyAlignment="1">
      <alignment horizontal="left" indent="1"/>
    </xf>
    <xf numFmtId="178" fontId="1" fillId="0" borderId="0" xfId="0" applyFont="1" applyAlignment="1">
      <alignment horizontal="left" indent="1"/>
    </xf>
    <xf numFmtId="10" fontId="15" fillId="0" borderId="0" xfId="12" applyNumberFormat="1" applyFont="1">
      <alignment vertical="top"/>
    </xf>
    <xf numFmtId="10" fontId="2" fillId="0" borderId="0" xfId="12" applyNumberFormat="1" applyFont="1">
      <alignment vertical="top"/>
    </xf>
    <xf numFmtId="166" fontId="3" fillId="0" borderId="0" xfId="0" applyNumberFormat="1" applyFont="1">
      <alignment vertical="top"/>
    </xf>
    <xf numFmtId="177" fontId="2" fillId="0" borderId="0" xfId="11" applyNumberFormat="1" applyFont="1"/>
    <xf numFmtId="166" fontId="0" fillId="0" borderId="0" xfId="0" applyNumberFormat="1">
      <alignment vertical="top"/>
    </xf>
    <xf numFmtId="177" fontId="0" fillId="0" borderId="0" xfId="11" applyNumberFormat="1" applyFont="1"/>
    <xf numFmtId="178" fontId="22" fillId="0" borderId="0" xfId="0" applyFont="1">
      <alignment vertical="top"/>
    </xf>
    <xf numFmtId="165" fontId="1" fillId="5" borderId="0" xfId="0" applyNumberFormat="1" applyFont="1" applyFill="1">
      <alignment vertical="top"/>
    </xf>
    <xf numFmtId="178" fontId="1" fillId="0" borderId="5" xfId="0" applyFont="1" applyBorder="1">
      <alignment vertical="top"/>
    </xf>
    <xf numFmtId="165" fontId="2" fillId="5" borderId="0" xfId="0" applyNumberFormat="1" applyFont="1" applyFill="1">
      <alignment vertical="top"/>
    </xf>
    <xf numFmtId="178" fontId="24" fillId="0" borderId="0" xfId="0" applyFont="1" applyAlignment="1">
      <alignment horizontal="left"/>
    </xf>
    <xf numFmtId="175" fontId="2" fillId="0" borderId="0" xfId="0" applyNumberFormat="1" applyFont="1">
      <alignment vertical="top"/>
    </xf>
    <xf numFmtId="178" fontId="23" fillId="0" borderId="0" xfId="0" applyFont="1">
      <alignment vertical="top"/>
    </xf>
    <xf numFmtId="175" fontId="1" fillId="0" borderId="0" xfId="0" applyNumberFormat="1" applyFont="1">
      <alignment vertical="top"/>
    </xf>
    <xf numFmtId="14" fontId="2" fillId="0" borderId="5" xfId="0" applyNumberFormat="1" applyFont="1" applyBorder="1">
      <alignment vertical="top"/>
    </xf>
    <xf numFmtId="165" fontId="2" fillId="0" borderId="5" xfId="0" applyNumberFormat="1" applyFont="1" applyBorder="1">
      <alignment vertical="top"/>
    </xf>
    <xf numFmtId="175" fontId="2" fillId="0" borderId="7" xfId="0" applyNumberFormat="1" applyFont="1" applyBorder="1">
      <alignment vertical="top"/>
    </xf>
    <xf numFmtId="165" fontId="2" fillId="0" borderId="8" xfId="0" applyNumberFormat="1" applyFont="1" applyBorder="1">
      <alignment vertical="top"/>
    </xf>
    <xf numFmtId="175" fontId="2" fillId="0" borderId="9" xfId="0" applyNumberFormat="1" applyFont="1" applyBorder="1">
      <alignment vertical="top"/>
    </xf>
    <xf numFmtId="165" fontId="2" fillId="0" borderId="10" xfId="0" applyNumberFormat="1" applyFont="1" applyBorder="1">
      <alignment vertical="top"/>
    </xf>
    <xf numFmtId="175" fontId="2" fillId="0" borderId="11" xfId="0" applyNumberFormat="1" applyFont="1" applyBorder="1">
      <alignment vertical="top"/>
    </xf>
    <xf numFmtId="175" fontId="0" fillId="0" borderId="0" xfId="0" applyNumberFormat="1">
      <alignment vertical="top"/>
    </xf>
    <xf numFmtId="175" fontId="2" fillId="0" borderId="5" xfId="0" applyNumberFormat="1" applyFont="1" applyBorder="1">
      <alignment vertical="top"/>
    </xf>
    <xf numFmtId="175" fontId="2" fillId="0" borderId="6" xfId="0" applyNumberFormat="1" applyFont="1" applyBorder="1">
      <alignment vertical="top"/>
    </xf>
    <xf numFmtId="175" fontId="2" fillId="0" borderId="8" xfId="0" applyNumberFormat="1" applyFont="1" applyBorder="1">
      <alignment vertical="top"/>
    </xf>
    <xf numFmtId="175" fontId="2" fillId="0" borderId="10" xfId="0" applyNumberFormat="1" applyFont="1" applyBorder="1">
      <alignment vertical="top"/>
    </xf>
    <xf numFmtId="175" fontId="2" fillId="0" borderId="1" xfId="0" applyNumberFormat="1" applyFont="1" applyBorder="1">
      <alignment vertical="top"/>
    </xf>
    <xf numFmtId="178" fontId="2" fillId="6" borderId="0" xfId="0" applyFont="1" applyFill="1">
      <alignment vertical="top"/>
    </xf>
    <xf numFmtId="14" fontId="15" fillId="0" borderId="0" xfId="0" applyNumberFormat="1" applyFont="1">
      <alignment vertical="top"/>
    </xf>
    <xf numFmtId="14" fontId="17" fillId="0" borderId="0" xfId="0" applyNumberFormat="1" applyFont="1">
      <alignment vertical="top"/>
    </xf>
    <xf numFmtId="178" fontId="1" fillId="0" borderId="9" xfId="0" applyFont="1" applyBorder="1">
      <alignment vertical="top"/>
    </xf>
    <xf numFmtId="14" fontId="10" fillId="0" borderId="0" xfId="0" applyNumberFormat="1" applyFont="1">
      <alignment vertical="top"/>
    </xf>
    <xf numFmtId="178" fontId="22" fillId="0" borderId="0" xfId="0" applyFont="1" applyAlignment="1">
      <alignment horizontal="right"/>
    </xf>
    <xf numFmtId="14" fontId="18" fillId="7" borderId="15" xfId="0" applyNumberFormat="1" applyFont="1" applyFill="1" applyBorder="1" applyAlignment="1">
      <alignment horizontal="center"/>
    </xf>
    <xf numFmtId="14" fontId="14" fillId="4" borderId="0" xfId="0" applyNumberFormat="1" applyFont="1" applyFill="1">
      <alignment vertical="top"/>
    </xf>
    <xf numFmtId="175" fontId="2" fillId="0" borderId="0" xfId="0" applyNumberFormat="1" applyFont="1" applyAlignment="1">
      <alignment horizontal="center"/>
    </xf>
    <xf numFmtId="9" fontId="15" fillId="0" borderId="0" xfId="0" applyNumberFormat="1" applyFont="1">
      <alignment vertical="top"/>
    </xf>
    <xf numFmtId="178" fontId="2" fillId="0" borderId="8" xfId="0" applyFont="1" applyBorder="1" applyAlignment="1">
      <alignment horizontal="left"/>
    </xf>
    <xf numFmtId="178" fontId="2" fillId="0" borderId="10" xfId="0" applyFont="1" applyBorder="1" applyAlignment="1">
      <alignment horizontal="left"/>
    </xf>
    <xf numFmtId="14" fontId="17" fillId="0" borderId="1" xfId="0" applyNumberFormat="1" applyFont="1" applyBorder="1">
      <alignment vertical="top"/>
    </xf>
    <xf numFmtId="178" fontId="25" fillId="8" borderId="0" xfId="0" applyFont="1" applyFill="1">
      <alignment vertical="top"/>
    </xf>
    <xf numFmtId="178" fontId="0" fillId="9" borderId="0" xfId="0" applyFill="1">
      <alignment vertical="top"/>
    </xf>
    <xf numFmtId="178" fontId="26" fillId="9" borderId="0" xfId="0" applyFont="1" applyFill="1">
      <alignment vertical="top"/>
    </xf>
    <xf numFmtId="178" fontId="26" fillId="0" borderId="0" xfId="0" applyFont="1">
      <alignment vertical="top"/>
    </xf>
    <xf numFmtId="178" fontId="2" fillId="10" borderId="18" xfId="0" applyFont="1" applyFill="1" applyBorder="1">
      <alignment vertical="top"/>
    </xf>
    <xf numFmtId="182" fontId="2" fillId="10" borderId="19" xfId="15" applyFont="1" applyFill="1" applyBorder="1">
      <alignment vertical="top"/>
    </xf>
    <xf numFmtId="178" fontId="2" fillId="10" borderId="19" xfId="0" applyFont="1" applyFill="1" applyBorder="1">
      <alignment vertical="top"/>
    </xf>
    <xf numFmtId="181" fontId="25" fillId="8" borderId="0" xfId="14" applyFont="1" applyFill="1">
      <alignment vertical="top"/>
    </xf>
    <xf numFmtId="179" fontId="0" fillId="0" borderId="0" xfId="12" applyFont="1">
      <alignment vertical="top"/>
    </xf>
    <xf numFmtId="178" fontId="28" fillId="8" borderId="0" xfId="0" applyFont="1" applyFill="1" applyAlignment="1">
      <alignment horizontal="left" vertical="center"/>
    </xf>
    <xf numFmtId="178" fontId="29" fillId="9" borderId="0" xfId="0" applyFont="1" applyFill="1" applyAlignment="1">
      <alignment horizontal="left" vertical="center"/>
    </xf>
    <xf numFmtId="178" fontId="29" fillId="0" borderId="0" xfId="0" applyFont="1" applyAlignment="1">
      <alignment horizontal="left" vertical="center"/>
    </xf>
    <xf numFmtId="178" fontId="29" fillId="0" borderId="0" xfId="0" applyFont="1" applyAlignment="1">
      <alignment horizontal="right" vertical="center"/>
    </xf>
    <xf numFmtId="178" fontId="0" fillId="0" borderId="1" xfId="0" applyBorder="1">
      <alignment vertical="top"/>
    </xf>
    <xf numFmtId="178" fontId="0" fillId="0" borderId="0" xfId="0" applyFill="1" applyBorder="1">
      <alignment vertical="top"/>
    </xf>
    <xf numFmtId="178" fontId="0" fillId="0" borderId="20" xfId="0" applyBorder="1">
      <alignment vertical="top"/>
    </xf>
    <xf numFmtId="178" fontId="0" fillId="0" borderId="0" xfId="0" applyBorder="1">
      <alignment vertical="top"/>
    </xf>
    <xf numFmtId="178" fontId="0" fillId="0" borderId="21" xfId="0" applyBorder="1">
      <alignment vertical="top"/>
    </xf>
    <xf numFmtId="178" fontId="0" fillId="0" borderId="0" xfId="0" applyBorder="1" applyAlignment="1">
      <alignment horizontal="left" vertical="top" indent="1"/>
    </xf>
    <xf numFmtId="178" fontId="0" fillId="0" borderId="0" xfId="0" applyAlignment="1">
      <alignment horizontal="left" vertical="top" indent="1"/>
    </xf>
    <xf numFmtId="178" fontId="0" fillId="0" borderId="1" xfId="0" applyBorder="1" applyAlignment="1">
      <alignment horizontal="left" vertical="top" indent="1"/>
    </xf>
    <xf numFmtId="181" fontId="2" fillId="0" borderId="0" xfId="14" applyFont="1">
      <alignment vertical="top"/>
    </xf>
    <xf numFmtId="181" fontId="2" fillId="0" borderId="1" xfId="14" applyFont="1" applyBorder="1">
      <alignment vertical="top"/>
    </xf>
    <xf numFmtId="178" fontId="0" fillId="0" borderId="0" xfId="0" applyFont="1" applyFill="1">
      <alignment vertical="top"/>
    </xf>
    <xf numFmtId="178" fontId="0" fillId="0" borderId="0" xfId="0" applyFont="1">
      <alignment vertical="top"/>
    </xf>
    <xf numFmtId="178" fontId="0" fillId="0" borderId="20" xfId="0" applyFill="1" applyBorder="1">
      <alignment vertical="top"/>
    </xf>
    <xf numFmtId="178" fontId="0" fillId="0" borderId="0" xfId="0" applyFill="1">
      <alignment vertical="top"/>
    </xf>
    <xf numFmtId="178" fontId="0" fillId="0" borderId="1" xfId="0" applyFill="1" applyBorder="1">
      <alignment vertical="top"/>
    </xf>
    <xf numFmtId="178" fontId="0" fillId="0" borderId="0" xfId="0" applyAlignment="1">
      <alignment horizontal="left" vertical="top"/>
    </xf>
    <xf numFmtId="178" fontId="25" fillId="0" borderId="0" xfId="0" applyFont="1" applyFill="1">
      <alignment vertical="top"/>
    </xf>
    <xf numFmtId="178" fontId="28" fillId="0" borderId="0" xfId="0" applyFont="1" applyFill="1" applyAlignment="1">
      <alignment horizontal="left" vertical="center"/>
    </xf>
    <xf numFmtId="181" fontId="25" fillId="0" borderId="0" xfId="14" applyFont="1" applyFill="1">
      <alignment vertical="top"/>
    </xf>
    <xf numFmtId="178" fontId="25" fillId="9" borderId="0" xfId="0" applyFont="1" applyFill="1">
      <alignment vertical="top"/>
    </xf>
    <xf numFmtId="178" fontId="28" fillId="9" borderId="0" xfId="0" applyFont="1" applyFill="1" applyAlignment="1">
      <alignment horizontal="left" vertical="center"/>
    </xf>
    <xf numFmtId="181" fontId="25" fillId="9" borderId="0" xfId="14" applyFont="1" applyFill="1">
      <alignment vertical="top"/>
    </xf>
    <xf numFmtId="178" fontId="30" fillId="9" borderId="0" xfId="0" applyFont="1" applyFill="1">
      <alignment vertical="top"/>
    </xf>
    <xf numFmtId="178" fontId="30" fillId="0" borderId="0" xfId="0" applyFont="1" applyFill="1">
      <alignment vertical="top"/>
    </xf>
    <xf numFmtId="178" fontId="31" fillId="0" borderId="0" xfId="0" applyFont="1" applyFill="1" applyAlignment="1">
      <alignment horizontal="left" vertical="center"/>
    </xf>
    <xf numFmtId="181" fontId="30" fillId="0" borderId="0" xfId="14" applyFont="1" applyFill="1">
      <alignment vertical="top"/>
    </xf>
    <xf numFmtId="178" fontId="30" fillId="0" borderId="0" xfId="0" applyFont="1">
      <alignment vertical="top"/>
    </xf>
    <xf numFmtId="178" fontId="32" fillId="0" borderId="0" xfId="0" applyFont="1">
      <alignment vertical="top"/>
    </xf>
    <xf numFmtId="178" fontId="33" fillId="0" borderId="0" xfId="0" applyFont="1" applyAlignment="1">
      <alignment horizontal="left" vertical="center"/>
    </xf>
    <xf numFmtId="178" fontId="32" fillId="0" borderId="0" xfId="0" applyFont="1" applyFill="1">
      <alignment vertical="top"/>
    </xf>
    <xf numFmtId="176" fontId="32" fillId="0" borderId="0" xfId="0" applyNumberFormat="1" applyFont="1" applyFill="1">
      <alignment vertical="top"/>
    </xf>
    <xf numFmtId="176" fontId="32" fillId="9" borderId="0" xfId="0" applyNumberFormat="1" applyFont="1" applyFill="1">
      <alignment vertical="top"/>
    </xf>
    <xf numFmtId="179" fontId="0" fillId="0" borderId="1" xfId="12" applyFont="1" applyFill="1" applyBorder="1">
      <alignment vertical="top"/>
    </xf>
    <xf numFmtId="179" fontId="26" fillId="0" borderId="0" xfId="12" applyFont="1">
      <alignment vertical="top"/>
    </xf>
    <xf numFmtId="182" fontId="25" fillId="8" borderId="0" xfId="15" applyFont="1" applyFill="1">
      <alignment vertical="top"/>
    </xf>
    <xf numFmtId="178" fontId="35" fillId="0" borderId="0" xfId="0" applyFont="1" applyAlignment="1">
      <alignment horizontal="left" vertical="top" indent="1"/>
    </xf>
    <xf numFmtId="178" fontId="26" fillId="0" borderId="0" xfId="0" applyFont="1" applyFill="1">
      <alignment vertical="top"/>
    </xf>
    <xf numFmtId="178" fontId="29" fillId="0" borderId="0" xfId="0" applyFont="1" applyFill="1" applyAlignment="1">
      <alignment horizontal="left" vertical="center"/>
    </xf>
    <xf numFmtId="178" fontId="34" fillId="0" borderId="0" xfId="0" applyFont="1">
      <alignment vertical="top"/>
    </xf>
    <xf numFmtId="178" fontId="34" fillId="9" borderId="21" xfId="0" applyFont="1" applyFill="1" applyBorder="1">
      <alignment vertical="top"/>
    </xf>
    <xf numFmtId="178" fontId="34" fillId="9" borderId="0" xfId="0" applyFont="1" applyFill="1">
      <alignment vertical="top"/>
    </xf>
    <xf numFmtId="179" fontId="34" fillId="0" borderId="0" xfId="12" applyFont="1">
      <alignment vertical="top"/>
    </xf>
    <xf numFmtId="178" fontId="26" fillId="0" borderId="0" xfId="0" applyFont="1" applyFill="1" applyBorder="1">
      <alignment vertical="top"/>
    </xf>
    <xf numFmtId="175" fontId="30" fillId="0" borderId="0" xfId="0" applyNumberFormat="1" applyFont="1" applyFill="1">
      <alignment vertical="top"/>
    </xf>
    <xf numFmtId="178" fontId="34" fillId="9" borderId="1" xfId="0" applyFont="1" applyFill="1" applyBorder="1">
      <alignment vertical="top"/>
    </xf>
    <xf numFmtId="179" fontId="34" fillId="9" borderId="0" xfId="12" applyFont="1" applyFill="1">
      <alignment vertical="top"/>
    </xf>
    <xf numFmtId="175" fontId="32" fillId="0" borderId="0" xfId="0" applyNumberFormat="1" applyFont="1" applyFill="1">
      <alignment vertical="top"/>
    </xf>
    <xf numFmtId="178" fontId="0" fillId="0" borderId="0" xfId="0" applyFont="1" applyFill="1" applyBorder="1">
      <alignment vertical="top"/>
    </xf>
    <xf numFmtId="175" fontId="32" fillId="9" borderId="0" xfId="0" applyNumberFormat="1" applyFont="1" applyFill="1">
      <alignment vertical="top"/>
    </xf>
    <xf numFmtId="175" fontId="34" fillId="9" borderId="0" xfId="0" applyNumberFormat="1" applyFont="1" applyFill="1">
      <alignment vertical="top"/>
    </xf>
    <xf numFmtId="178" fontId="0" fillId="0" borderId="0" xfId="0" applyFont="1" applyAlignment="1">
      <alignment horizontal="left" vertical="center"/>
    </xf>
    <xf numFmtId="181" fontId="0" fillId="0" borderId="0" xfId="14" applyFont="1">
      <alignment vertical="top"/>
    </xf>
    <xf numFmtId="182" fontId="0" fillId="0" borderId="0" xfId="15" applyFont="1">
      <alignment vertical="top"/>
    </xf>
    <xf numFmtId="178" fontId="26" fillId="0" borderId="6" xfId="0" applyFont="1" applyBorder="1">
      <alignment vertical="top"/>
    </xf>
    <xf numFmtId="175" fontId="30" fillId="0" borderId="7" xfId="0" applyNumberFormat="1" applyFont="1" applyFill="1" applyBorder="1">
      <alignment vertical="top"/>
    </xf>
    <xf numFmtId="182" fontId="0" fillId="0" borderId="8" xfId="15" applyFont="1" applyBorder="1">
      <alignment vertical="top"/>
    </xf>
    <xf numFmtId="175" fontId="32" fillId="0" borderId="9" xfId="0" applyNumberFormat="1" applyFont="1" applyFill="1" applyBorder="1">
      <alignment vertical="top"/>
    </xf>
    <xf numFmtId="182" fontId="0" fillId="0" borderId="10" xfId="15" applyFont="1" applyBorder="1">
      <alignment vertical="top"/>
    </xf>
    <xf numFmtId="175" fontId="32" fillId="0" borderId="11" xfId="0" applyNumberFormat="1" applyFont="1" applyFill="1" applyBorder="1">
      <alignment vertical="top"/>
    </xf>
    <xf numFmtId="178" fontId="26" fillId="0" borderId="5" xfId="0" applyFont="1" applyBorder="1" applyAlignment="1">
      <alignment horizontal="right" vertical="top"/>
    </xf>
    <xf numFmtId="14" fontId="36" fillId="0" borderId="0" xfId="0" applyNumberFormat="1" applyFont="1">
      <alignment vertical="top"/>
    </xf>
    <xf numFmtId="182" fontId="32" fillId="0" borderId="0" xfId="15" applyFont="1" applyFill="1">
      <alignment vertical="top"/>
    </xf>
    <xf numFmtId="178" fontId="23" fillId="0" borderId="0" xfId="0" applyFont="1" applyAlignment="1">
      <alignment horizontal="center" wrapText="1"/>
    </xf>
  </cellXfs>
  <cellStyles count="17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" xfId="11" builtinId="3"/>
    <cellStyle name="Comma 2" xfId="2" xr:uid="{00000000-0005-0000-0000-000003000000}"/>
    <cellStyle name="Currency [2]" xfId="6" xr:uid="{00000000-0005-0000-0000-000004000000}"/>
    <cellStyle name="DateLong" xfId="14" xr:uid="{FE8B6453-F4C2-494C-A1CF-293A67E37290}"/>
    <cellStyle name="DateShort" xfId="15" xr:uid="{C2009C4C-2A86-49B8-B43F-53BC8CDA87C5}"/>
    <cellStyle name="Double" xfId="7" xr:uid="{00000000-0005-0000-0000-000005000000}"/>
    <cellStyle name="Factor" xfId="13" xr:uid="{8DCDD8F8-80DB-41B8-BBF1-E4B1BF34094F}"/>
    <cellStyle name="Normal" xfId="0" builtinId="0" customBuiltin="1"/>
    <cellStyle name="Normal 2" xfId="1" xr:uid="{00000000-0005-0000-0000-000007000000}"/>
    <cellStyle name="Numbers" xfId="8" xr:uid="{00000000-0005-0000-0000-00000A000000}"/>
    <cellStyle name="Numbers - Bold - Italic" xfId="9" xr:uid="{00000000-0005-0000-0000-00000B000000}"/>
    <cellStyle name="Outline" xfId="10" xr:uid="{00000000-0005-0000-0000-00000C000000}"/>
    <cellStyle name="Percent" xfId="12" builtinId="5" customBuiltin="1"/>
    <cellStyle name="Year" xfId="16" xr:uid="{D2AD043D-E384-4FF1-8575-25C4BD47C103}"/>
  </cellStyles>
  <dxfs count="6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321161</xdr:colOff>
      <xdr:row>167</xdr:row>
      <xdr:rowOff>97043</xdr:rowOff>
    </xdr:from>
    <xdr:to>
      <xdr:col>12</xdr:col>
      <xdr:colOff>939389</xdr:colOff>
      <xdr:row>171</xdr:row>
      <xdr:rowOff>145676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14AFA7-6AC2-FA9F-A35D-EB828904FF70}"/>
            </a:ext>
          </a:extLst>
        </xdr:cNvPr>
        <xdr:cNvSpPr txBox="1"/>
      </xdr:nvSpPr>
      <xdr:spPr>
        <a:xfrm>
          <a:off x="10608161" y="28235014"/>
          <a:ext cx="1593140" cy="7209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100"/>
            <a:t>For Table,</a:t>
          </a:r>
          <a:r>
            <a:rPr lang="fr-CH" sz="1100" baseline="0"/>
            <a:t> the switch must be original, a link is not enough.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ABC512-0C88-44E4-BDB7-C9BC6280A6A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542a0cd-c2b7-4dac-be70-99f5d2d30b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2909-FB79-480E-878C-50191E42D95A}">
  <sheetPr>
    <pageSetUpPr autoPageBreaks="0" fitToPage="1"/>
  </sheetPr>
  <dimension ref="A1:N188"/>
  <sheetViews>
    <sheetView showGridLines="0" tabSelected="1" zoomScale="85" zoomScaleNormal="85" workbookViewId="0">
      <pane xSplit="7" ySplit="3" topLeftCell="H130" activePane="bottomRight" state="frozen"/>
      <selection pane="topRight" activeCell="J1" sqref="J1"/>
      <selection pane="bottomLeft" activeCell="A4" sqref="A4"/>
      <selection pane="bottomRight" activeCell="H157" sqref="H157"/>
    </sheetView>
  </sheetViews>
  <sheetFormatPr defaultColWidth="10.69921875" defaultRowHeight="13.8"/>
  <cols>
    <col min="1" max="1" width="1.69921875" style="161" customWidth="1"/>
    <col min="2" max="3" width="1.59765625" customWidth="1"/>
    <col min="4" max="4" width="1.59765625" style="169" customWidth="1"/>
    <col min="5" max="5" width="55.69921875" customWidth="1"/>
    <col min="6" max="7" width="10.69921875" customWidth="1"/>
    <col min="8" max="13" width="12.69921875" customWidth="1"/>
    <col min="14" max="14" width="11.8984375" bestFit="1" customWidth="1"/>
  </cols>
  <sheetData>
    <row r="1" spans="1:14" s="158" customFormat="1">
      <c r="A1" s="158" t="str" cm="1">
        <f t="array" ref="A1">company</f>
        <v>Streamwise Ltd.</v>
      </c>
      <c r="D1" s="167"/>
    </row>
    <row r="2" spans="1:14" s="158" customFormat="1">
      <c r="A2" s="158" t="str" cm="1">
        <f t="array" ref="A2">topic</f>
        <v>CFM Topic: Debt</v>
      </c>
      <c r="D2" s="167"/>
    </row>
    <row r="3" spans="1:14" s="158" customFormat="1">
      <c r="A3" s="158" t="s">
        <v>121</v>
      </c>
      <c r="D3" s="167"/>
      <c r="F3" s="158" t="s">
        <v>122</v>
      </c>
      <c r="G3" s="205">
        <f xml:space="preserve"> EOMONTH( $H$3, - 1 )</f>
        <v>43373</v>
      </c>
      <c r="H3" s="165" cm="1">
        <f t="array" ref="H3:M3" xml:space="preserve"> EOMONTH( start_date, _xlfn.SEQUENCE( 1, periods, 0, 1 ) )</f>
        <v>43404</v>
      </c>
      <c r="I3" s="165">
        <v>43434</v>
      </c>
      <c r="J3" s="165">
        <v>43465</v>
      </c>
      <c r="K3" s="165">
        <v>43496</v>
      </c>
      <c r="L3" s="165">
        <v>43524</v>
      </c>
      <c r="M3" s="165">
        <v>43555</v>
      </c>
      <c r="N3" s="165"/>
    </row>
    <row r="4" spans="1:14" s="187" customFormat="1">
      <c r="D4" s="188"/>
      <c r="H4" s="189"/>
      <c r="I4" s="189"/>
      <c r="J4" s="189"/>
      <c r="K4" s="189"/>
      <c r="L4" s="189"/>
      <c r="M4" s="189"/>
      <c r="N4" s="189"/>
    </row>
    <row r="5" spans="1:14" s="190" customFormat="1">
      <c r="A5" s="193" t="s">
        <v>168</v>
      </c>
      <c r="D5" s="191"/>
      <c r="H5" s="192"/>
      <c r="I5" s="192"/>
      <c r="J5" s="192"/>
      <c r="K5" s="192"/>
      <c r="L5" s="192"/>
      <c r="M5" s="192"/>
      <c r="N5" s="192"/>
    </row>
    <row r="6" spans="1:14" s="194" customFormat="1">
      <c r="D6" s="195"/>
      <c r="H6" s="196"/>
      <c r="I6" s="196"/>
      <c r="J6" s="196"/>
      <c r="K6" s="196"/>
      <c r="L6" s="196"/>
      <c r="M6" s="196"/>
      <c r="N6" s="196"/>
    </row>
    <row r="7" spans="1:14" s="194" customFormat="1">
      <c r="D7" s="195"/>
      <c r="H7" s="196"/>
      <c r="I7" s="196"/>
      <c r="J7" s="196"/>
      <c r="K7" s="196"/>
      <c r="L7" s="196"/>
      <c r="M7" s="196"/>
      <c r="N7" s="196"/>
    </row>
    <row r="8" spans="1:14" s="194" customFormat="1">
      <c r="D8" s="195"/>
      <c r="E8" s="200" t="str">
        <f>E$141</f>
        <v>Total Debt</v>
      </c>
      <c r="F8" s="200" t="str">
        <f>F$141</f>
        <v>USD</v>
      </c>
      <c r="G8" s="211">
        <f>SUM($G38, $G57, $G76, $G94 )</f>
        <v>686848</v>
      </c>
      <c r="H8" s="200">
        <f t="shared" ref="H8:M8" si="0">H$141</f>
        <v>681911.16850000003</v>
      </c>
      <c r="I8" s="200">
        <f t="shared" si="0"/>
        <v>678265.4587916719</v>
      </c>
      <c r="J8" s="200">
        <f t="shared" si="0"/>
        <v>682917.33520507813</v>
      </c>
      <c r="K8" s="200">
        <f t="shared" si="0"/>
        <v>680818.36851501465</v>
      </c>
      <c r="L8" s="200">
        <f t="shared" si="0"/>
        <v>678745.63890857692</v>
      </c>
      <c r="M8" s="200">
        <f t="shared" si="0"/>
        <v>677104.92599718878</v>
      </c>
      <c r="N8" s="196"/>
    </row>
    <row r="9" spans="1:14" s="194" customFormat="1">
      <c r="D9" s="195"/>
      <c r="E9" s="200" t="s">
        <v>169</v>
      </c>
      <c r="F9" s="200" t="s">
        <v>129</v>
      </c>
      <c r="G9" s="211">
        <f>CaseData!$S$53</f>
        <v>191177</v>
      </c>
      <c r="H9" s="200">
        <f>CaseData!E$63</f>
        <v>193220</v>
      </c>
      <c r="I9" s="200">
        <f>CaseData!F$63</f>
        <v>189600</v>
      </c>
      <c r="J9" s="200">
        <f>CaseData!G$63</f>
        <v>186312</v>
      </c>
      <c r="K9" s="200">
        <f>CaseData!H$63</f>
        <v>185545</v>
      </c>
      <c r="L9" s="200">
        <f>CaseData!I$63</f>
        <v>185313</v>
      </c>
      <c r="M9" s="200">
        <f>CaseData!J$63</f>
        <v>183795</v>
      </c>
      <c r="N9" s="196"/>
    </row>
    <row r="10" spans="1:14" s="194" customFormat="1">
      <c r="D10" s="195"/>
      <c r="E10" s="200" t="s">
        <v>168</v>
      </c>
      <c r="F10" s="200" t="s">
        <v>171</v>
      </c>
      <c r="G10" s="202">
        <f xml:space="preserve"> G8 / G9</f>
        <v>3.5927334355074092</v>
      </c>
      <c r="H10" s="201">
        <f xml:space="preserve"> H8 / H9</f>
        <v>3.5291955724045132</v>
      </c>
      <c r="I10" s="201">
        <f t="shared" ref="I10:M10" si="1" xml:space="preserve"> I8 / I9</f>
        <v>3.577349466200801</v>
      </c>
      <c r="J10" s="201">
        <f t="shared" si="1"/>
        <v>3.6654500794638998</v>
      </c>
      <c r="K10" s="201">
        <f t="shared" si="1"/>
        <v>3.6692897599774428</v>
      </c>
      <c r="L10" s="201">
        <f t="shared" si="1"/>
        <v>3.6626984556322379</v>
      </c>
      <c r="M10" s="201">
        <f t="shared" si="1"/>
        <v>3.6840225577256658</v>
      </c>
      <c r="N10" s="196"/>
    </row>
    <row r="11" spans="1:14" s="194" customFormat="1">
      <c r="D11" s="195"/>
      <c r="E11" s="200"/>
      <c r="F11" s="200"/>
      <c r="G11" s="201"/>
      <c r="H11" s="201"/>
      <c r="I11" s="201"/>
      <c r="J11" s="201"/>
      <c r="K11" s="201"/>
      <c r="L11" s="201"/>
      <c r="M11" s="201"/>
      <c r="N11" s="196"/>
    </row>
    <row r="12" spans="1:14" s="198" customFormat="1">
      <c r="A12" s="197"/>
      <c r="D12" s="199"/>
    </row>
    <row r="13" spans="1:14" s="159" customFormat="1">
      <c r="A13" s="160" t="s">
        <v>44</v>
      </c>
      <c r="D13" s="168"/>
    </row>
    <row r="16" spans="1:14">
      <c r="E16" t="s">
        <v>46</v>
      </c>
      <c r="F16" t="s">
        <v>129</v>
      </c>
      <c r="H16" s="209">
        <f>CaseData!E$65</f>
        <v>10393.67</v>
      </c>
      <c r="I16" s="209">
        <f>CaseData!F$65</f>
        <v>8667.5730000000003</v>
      </c>
      <c r="J16" s="209">
        <f>CaseData!G$65</f>
        <v>6355.84</v>
      </c>
      <c r="K16" s="209">
        <f>CaseData!H$65</f>
        <v>8884.2049999999999</v>
      </c>
      <c r="L16" s="209">
        <f>CaseData!I$65</f>
        <v>11026.2</v>
      </c>
      <c r="M16" s="209">
        <f>CaseData!J$65</f>
        <v>5745.4089999999997</v>
      </c>
    </row>
    <row r="17" spans="1:13">
      <c r="D17" s="170" t="s">
        <v>130</v>
      </c>
      <c r="E17" s="178" t="str">
        <f>E$112</f>
        <v>Interest expenses accrued</v>
      </c>
      <c r="F17" s="171" t="s">
        <v>129</v>
      </c>
      <c r="G17" s="171"/>
      <c r="H17" s="185">
        <f>H$112 * - 1</f>
        <v>-3811.2280000000001</v>
      </c>
      <c r="I17" s="185">
        <f t="shared" ref="I17:M17" si="2">I$112 * - 1</f>
        <v>-3806.6267222291667</v>
      </c>
      <c r="J17" s="185">
        <f t="shared" si="2"/>
        <v>-3806.223900213562</v>
      </c>
      <c r="K17" s="185">
        <f t="shared" si="2"/>
        <v>-3363.4926753234863</v>
      </c>
      <c r="L17" s="185">
        <f t="shared" si="2"/>
        <v>-3453.4364850915272</v>
      </c>
      <c r="M17" s="185">
        <f t="shared" si="2"/>
        <v>-3557.7917848157404</v>
      </c>
    </row>
    <row r="18" spans="1:13">
      <c r="D18" s="170"/>
      <c r="E18" s="186" t="s">
        <v>164</v>
      </c>
      <c r="F18" t="s">
        <v>129</v>
      </c>
      <c r="H18" s="184">
        <f>SUM(H16:H17)</f>
        <v>6582.442</v>
      </c>
      <c r="I18" s="184">
        <f t="shared" ref="I18:M18" si="3">SUM(I16:I17)</f>
        <v>4860.9462777708341</v>
      </c>
      <c r="J18" s="184">
        <f t="shared" si="3"/>
        <v>2549.6160997864381</v>
      </c>
      <c r="K18" s="184">
        <f t="shared" si="3"/>
        <v>5520.7123246765132</v>
      </c>
      <c r="L18" s="184">
        <f t="shared" si="3"/>
        <v>7572.7635149084736</v>
      </c>
      <c r="M18" s="184">
        <f t="shared" si="3"/>
        <v>2187.6172151842593</v>
      </c>
    </row>
    <row r="19" spans="1:13">
      <c r="D19" s="170"/>
      <c r="E19" s="186"/>
      <c r="H19" s="184"/>
      <c r="I19" s="184"/>
      <c r="J19" s="184"/>
      <c r="K19" s="184"/>
      <c r="L19" s="184"/>
      <c r="M19" s="184"/>
    </row>
    <row r="20" spans="1:13">
      <c r="D20" s="170"/>
      <c r="E20" s="186" t="s">
        <v>179</v>
      </c>
      <c r="F20" t="s">
        <v>138</v>
      </c>
      <c r="G20" s="216">
        <f>CaseData!$K$8</f>
        <v>0.25</v>
      </c>
      <c r="H20" s="184"/>
      <c r="I20" s="184"/>
      <c r="J20" s="184"/>
      <c r="K20" s="184"/>
      <c r="L20" s="184"/>
      <c r="M20" s="184"/>
    </row>
    <row r="21" spans="1:13">
      <c r="D21" s="170"/>
      <c r="E21" s="186" t="s">
        <v>132</v>
      </c>
      <c r="F21" t="s">
        <v>129</v>
      </c>
      <c r="H21" s="184">
        <f t="shared" ref="H21:M21" si="4" xml:space="preserve"> H$18 * $G$20</f>
        <v>1645.6105</v>
      </c>
      <c r="I21" s="184">
        <f t="shared" si="4"/>
        <v>1215.2365694427085</v>
      </c>
      <c r="J21" s="184">
        <f t="shared" si="4"/>
        <v>637.40402494660952</v>
      </c>
      <c r="K21" s="184">
        <f t="shared" si="4"/>
        <v>1380.1780811691283</v>
      </c>
      <c r="L21" s="184">
        <f t="shared" si="4"/>
        <v>1893.1908787271184</v>
      </c>
      <c r="M21" s="184">
        <f t="shared" si="4"/>
        <v>546.90430379606482</v>
      </c>
    </row>
    <row r="24" spans="1:13" s="159" customFormat="1">
      <c r="A24" s="160" t="s">
        <v>57</v>
      </c>
      <c r="D24" s="168"/>
    </row>
    <row r="27" spans="1:13">
      <c r="B27" s="161"/>
      <c r="C27" s="161" t="s">
        <v>133</v>
      </c>
    </row>
    <row r="29" spans="1:13">
      <c r="E29" t="s">
        <v>46</v>
      </c>
      <c r="F29" t="s">
        <v>129</v>
      </c>
      <c r="H29" s="209">
        <f>CaseData!E$65</f>
        <v>10393.67</v>
      </c>
      <c r="I29" s="209">
        <f>CaseData!F$65</f>
        <v>8667.5730000000003</v>
      </c>
      <c r="J29" s="209">
        <f>CaseData!G$65</f>
        <v>6355.84</v>
      </c>
      <c r="K29" s="209">
        <f>CaseData!H$65</f>
        <v>8884.2049999999999</v>
      </c>
      <c r="L29" s="209">
        <f>CaseData!I$65</f>
        <v>11026.2</v>
      </c>
      <c r="M29" s="209">
        <f>CaseData!J$65</f>
        <v>5745.4089999999997</v>
      </c>
    </row>
    <row r="30" spans="1:13">
      <c r="E30" s="177" t="s">
        <v>166</v>
      </c>
      <c r="F30" t="s">
        <v>129</v>
      </c>
      <c r="G30" s="177"/>
      <c r="H30" s="182">
        <f>H$131</f>
        <v>-2179.6875</v>
      </c>
      <c r="I30" s="182">
        <f t="shared" ref="I30:M30" si="5">I$131</f>
        <v>-2152.44140625</v>
      </c>
      <c r="J30" s="182">
        <f t="shared" si="5"/>
        <v>12874.464111328125</v>
      </c>
      <c r="K30" s="182">
        <f t="shared" si="5"/>
        <v>-2098.9666900634766</v>
      </c>
      <c r="L30" s="182">
        <f t="shared" si="5"/>
        <v>-2072.7296064376833</v>
      </c>
      <c r="M30" s="182">
        <f t="shared" si="5"/>
        <v>-2046.8204863572123</v>
      </c>
    </row>
    <row r="31" spans="1:13">
      <c r="D31" s="170" t="s">
        <v>130</v>
      </c>
      <c r="E31" s="177" t="str">
        <f>E$112</f>
        <v>Interest expenses accrued</v>
      </c>
      <c r="F31" t="s">
        <v>129</v>
      </c>
      <c r="H31" s="184">
        <f>H$112 * - 1</f>
        <v>-3811.2280000000001</v>
      </c>
      <c r="I31" s="184">
        <f t="shared" ref="I31:M31" si="6">I$112 * - 1</f>
        <v>-3806.6267222291667</v>
      </c>
      <c r="J31" s="184">
        <f t="shared" si="6"/>
        <v>-3806.223900213562</v>
      </c>
      <c r="K31" s="184">
        <f t="shared" si="6"/>
        <v>-3363.4926753234863</v>
      </c>
      <c r="L31" s="184">
        <f t="shared" si="6"/>
        <v>-3453.4364850915272</v>
      </c>
      <c r="M31" s="184">
        <f t="shared" si="6"/>
        <v>-3557.7917848157404</v>
      </c>
    </row>
    <row r="32" spans="1:13">
      <c r="D32" s="170" t="s">
        <v>130</v>
      </c>
      <c r="E32" s="178" t="s">
        <v>132</v>
      </c>
      <c r="F32" s="171" t="s">
        <v>129</v>
      </c>
      <c r="G32" s="171"/>
      <c r="H32" s="185">
        <f xml:space="preserve"> H$21 * - 1</f>
        <v>-1645.6105</v>
      </c>
      <c r="I32" s="185">
        <f t="shared" ref="I32:M32" si="7" xml:space="preserve"> I$21 * - 1</f>
        <v>-1215.2365694427085</v>
      </c>
      <c r="J32" s="185">
        <f t="shared" si="7"/>
        <v>-637.40402494660952</v>
      </c>
      <c r="K32" s="185">
        <f t="shared" si="7"/>
        <v>-1380.1780811691283</v>
      </c>
      <c r="L32" s="185">
        <f t="shared" si="7"/>
        <v>-1893.1908787271184</v>
      </c>
      <c r="M32" s="185">
        <f t="shared" si="7"/>
        <v>-546.90430379606482</v>
      </c>
    </row>
    <row r="33" spans="3:13">
      <c r="E33" t="s">
        <v>133</v>
      </c>
      <c r="F33" s="172" t="s">
        <v>129</v>
      </c>
      <c r="H33">
        <f xml:space="preserve"> SUM( H29:H32)</f>
        <v>2757.1440000000002</v>
      </c>
      <c r="I33">
        <f t="shared" ref="I33:M33" si="8" xml:space="preserve"> SUM( I29:I32)</f>
        <v>1493.2683020781251</v>
      </c>
      <c r="J33">
        <f t="shared" si="8"/>
        <v>14786.676186167955</v>
      </c>
      <c r="K33">
        <f t="shared" si="8"/>
        <v>2041.5675534439088</v>
      </c>
      <c r="L33">
        <f t="shared" si="8"/>
        <v>3606.8430297436726</v>
      </c>
      <c r="M33">
        <f t="shared" si="8"/>
        <v>-406.10757496901783</v>
      </c>
    </row>
    <row r="36" spans="3:13">
      <c r="E36" s="173" t="s">
        <v>136</v>
      </c>
      <c r="F36" s="173" t="s">
        <v>129</v>
      </c>
      <c r="G36" s="173"/>
      <c r="H36" s="173">
        <f xml:space="preserve"> G$38</f>
        <v>12473</v>
      </c>
      <c r="I36" s="173">
        <f t="shared" ref="I36:M36" si="9" xml:space="preserve"> H$38</f>
        <v>9715.8559999999998</v>
      </c>
      <c r="J36" s="173">
        <f t="shared" si="9"/>
        <v>8222.5876979218738</v>
      </c>
      <c r="K36" s="173">
        <f t="shared" si="9"/>
        <v>0</v>
      </c>
      <c r="L36" s="173">
        <f t="shared" si="9"/>
        <v>0</v>
      </c>
      <c r="M36" s="173">
        <f t="shared" si="9"/>
        <v>0</v>
      </c>
    </row>
    <row r="37" spans="3:13">
      <c r="E37" s="176" t="s">
        <v>134</v>
      </c>
      <c r="F37" s="174" t="s">
        <v>129</v>
      </c>
      <c r="G37" s="174"/>
      <c r="H37" s="174">
        <f t="shared" ref="H37:M37" si="10" xml:space="preserve"> - MIN( H36, H33)</f>
        <v>-2757.1440000000002</v>
      </c>
      <c r="I37" s="174">
        <f t="shared" si="10"/>
        <v>-1493.2683020781251</v>
      </c>
      <c r="J37" s="174">
        <f t="shared" si="10"/>
        <v>-8222.5876979218738</v>
      </c>
      <c r="K37" s="174">
        <f t="shared" si="10"/>
        <v>0</v>
      </c>
      <c r="L37" s="174">
        <f t="shared" si="10"/>
        <v>0</v>
      </c>
      <c r="M37" s="174">
        <f t="shared" si="10"/>
        <v>406.10757496901783</v>
      </c>
    </row>
    <row r="38" spans="3:13">
      <c r="E38" s="175" t="s">
        <v>135</v>
      </c>
      <c r="F38" s="175" t="s">
        <v>129</v>
      </c>
      <c r="G38" s="210">
        <f>CaseData!$E$8</f>
        <v>12473</v>
      </c>
      <c r="H38" s="175">
        <f>SUM(H36:H37)</f>
        <v>9715.8559999999998</v>
      </c>
      <c r="I38" s="175">
        <f t="shared" ref="I38:M38" si="11">SUM(I36:I37)</f>
        <v>8222.5876979218738</v>
      </c>
      <c r="J38" s="175">
        <f t="shared" si="11"/>
        <v>0</v>
      </c>
      <c r="K38" s="175">
        <f t="shared" si="11"/>
        <v>0</v>
      </c>
      <c r="L38" s="175">
        <f t="shared" si="11"/>
        <v>0</v>
      </c>
      <c r="M38" s="175">
        <f t="shared" si="11"/>
        <v>406.10757496901783</v>
      </c>
    </row>
    <row r="40" spans="3:13">
      <c r="C40" s="161" t="s">
        <v>137</v>
      </c>
    </row>
    <row r="42" spans="3:13">
      <c r="E42" t="s">
        <v>8</v>
      </c>
      <c r="F42" t="s">
        <v>138</v>
      </c>
      <c r="H42" s="212">
        <f>CaseData!E$66</f>
        <v>2.2499999999999999E-2</v>
      </c>
      <c r="I42" s="212">
        <f>CaseData!F$66</f>
        <v>2.35E-2</v>
      </c>
      <c r="J42" s="212">
        <f>CaseData!G$66</f>
        <v>2.4500000000000001E-2</v>
      </c>
      <c r="K42" s="212">
        <f>CaseData!H$66</f>
        <v>2.5499999999999998E-2</v>
      </c>
      <c r="L42" s="212">
        <f>CaseData!I$66</f>
        <v>2.6499999999999999E-2</v>
      </c>
      <c r="M42" s="212">
        <f>CaseData!J$66</f>
        <v>2.7E-2</v>
      </c>
    </row>
    <row r="43" spans="3:13">
      <c r="E43" s="171" t="s">
        <v>139</v>
      </c>
      <c r="F43" s="171" t="s">
        <v>138</v>
      </c>
      <c r="G43" s="171"/>
      <c r="H43" s="203">
        <f>_xlfn.XLOOKUP(G$10, CaseData!$G$11:$G$14, CaseData!$I$11:$I$14,,-1)/10000</f>
        <v>0.03</v>
      </c>
      <c r="I43" s="203">
        <f>_xlfn.XLOOKUP(H$10, CaseData!$G$11:$G$14, CaseData!$I$11:$I$14,,-1)/10000</f>
        <v>0.03</v>
      </c>
      <c r="J43" s="203">
        <f>_xlfn.XLOOKUP(I$10, CaseData!$G$11:$G$14, CaseData!$I$11:$I$14,,-1)/10000</f>
        <v>0.03</v>
      </c>
      <c r="K43" s="203">
        <f>_xlfn.XLOOKUP(J$10, CaseData!$G$11:$G$14, CaseData!$I$11:$I$14,,-1)/10000</f>
        <v>0.03</v>
      </c>
      <c r="L43" s="203">
        <f>_xlfn.XLOOKUP(K$10, CaseData!$G$11:$G$14, CaseData!$I$11:$I$14,,-1)/10000</f>
        <v>0.03</v>
      </c>
      <c r="M43" s="203">
        <f>_xlfn.XLOOKUP(L$10, CaseData!$G$11:$G$14, CaseData!$I$11:$I$14,,-1)/10000</f>
        <v>0.03</v>
      </c>
    </row>
    <row r="44" spans="3:13">
      <c r="E44" s="161" t="s">
        <v>140</v>
      </c>
      <c r="F44" s="161" t="s">
        <v>138</v>
      </c>
      <c r="G44" s="161"/>
      <c r="H44" s="204">
        <f>SUM(H42:H43)</f>
        <v>5.2499999999999998E-2</v>
      </c>
      <c r="I44" s="204">
        <f t="shared" ref="I44:M44" si="12">SUM(I42:I43)</f>
        <v>5.3499999999999999E-2</v>
      </c>
      <c r="J44" s="204">
        <f t="shared" si="12"/>
        <v>5.45E-2</v>
      </c>
      <c r="K44" s="204">
        <f t="shared" si="12"/>
        <v>5.5499999999999994E-2</v>
      </c>
      <c r="L44" s="204">
        <f t="shared" si="12"/>
        <v>5.6499999999999995E-2</v>
      </c>
      <c r="M44" s="204">
        <f t="shared" si="12"/>
        <v>5.6999999999999995E-2</v>
      </c>
    </row>
    <row r="47" spans="3:13">
      <c r="E47" t="s">
        <v>84</v>
      </c>
      <c r="F47" t="s">
        <v>129</v>
      </c>
      <c r="H47">
        <f xml:space="preserve"> IF( H$3 = start_date, CaseData!$E$8 * H$44, H$36 * Debt!H$44 ) / 12</f>
        <v>54.569375000000001</v>
      </c>
      <c r="I47">
        <f xml:space="preserve"> IF( I$3 = start_date, CaseData!$E$8 * I$44, I$36 * Debt!I$44 ) / 12</f>
        <v>43.316524666666659</v>
      </c>
      <c r="J47">
        <f xml:space="preserve"> IF( J$3 = start_date, CaseData!$E$8 * J$44, J$36 * Debt!J$44 ) / 12</f>
        <v>37.344252461395179</v>
      </c>
      <c r="K47">
        <f xml:space="preserve"> IF( K$3 = start_date, CaseData!$E$8 * K$44, K$36 * Debt!K$44 ) / 12</f>
        <v>0</v>
      </c>
      <c r="L47">
        <f xml:space="preserve"> IF( L$3 = start_date, CaseData!$E$8 * L$44, L$36 * Debt!L$44 ) / 12</f>
        <v>0</v>
      </c>
      <c r="M47">
        <f xml:space="preserve"> IF( M$3 = start_date, CaseData!$E$8 * M$44, M$36 * Debt!M$44 ) / 12</f>
        <v>0</v>
      </c>
    </row>
    <row r="48" spans="3:13">
      <c r="E48" s="171" t="s">
        <v>141</v>
      </c>
      <c r="F48" s="171" t="s">
        <v>129</v>
      </c>
      <c r="G48" s="171"/>
      <c r="H48" s="171">
        <f>IF(H$3 = start_date, ( CaseData!$E$7 - CaseData!$E$8 ) * ( CaseData!$E$10/10000 ) / 12, ( CaseData!$E$7 - Debt!H$36 ) * ( CaseData!$E$10 / 10000 ) / 12 )</f>
        <v>25.018000000000001</v>
      </c>
      <c r="I48" s="171">
        <f>IF(I$3=start_date, (CaseData!$E$7-CaseData!$E$8)*(CaseData!$E$10/10000)/12, (CaseData!$E$7-Debt!I$36)*(CaseData!$E$10/10000)/12)</f>
        <v>26.856095999999997</v>
      </c>
      <c r="J48" s="171">
        <f>IF(J$3=start_date, (CaseData!$E$7-CaseData!$E$8)*(CaseData!$E$10/10000)/12, (CaseData!$E$7-Debt!J$36)*(CaseData!$E$10/10000)/12)</f>
        <v>27.851608201385417</v>
      </c>
      <c r="K48" s="171">
        <f>IF(K$3=start_date, (CaseData!$E$7-CaseData!$E$8)*(CaseData!$E$10/10000)/12, (CaseData!$E$7-Debt!K$36)*(CaseData!$E$10/10000)/12)</f>
        <v>33.333333333333336</v>
      </c>
      <c r="L48" s="171">
        <f>IF(L$3=start_date, (CaseData!$E$7-CaseData!$E$8)*(CaseData!$E$10/10000)/12, (CaseData!$E$7-Debt!L$36)*(CaseData!$E$10/10000)/12)</f>
        <v>33.333333333333336</v>
      </c>
      <c r="M48" s="171">
        <f>IF(M$3=start_date, (CaseData!$E$7-CaseData!$E$8)*(CaseData!$E$10/10000)/12, (CaseData!$E$7-Debt!M$36)*(CaseData!$E$10/10000)/12)</f>
        <v>33.333333333333336</v>
      </c>
    </row>
    <row r="49" spans="1:13">
      <c r="E49" s="161" t="s">
        <v>137</v>
      </c>
      <c r="F49" s="161" t="s">
        <v>129</v>
      </c>
      <c r="H49" s="161">
        <f>SUM(H47:H48)</f>
        <v>79.587375000000009</v>
      </c>
      <c r="I49" s="161">
        <f t="shared" ref="I49:M49" si="13">SUM(I47:I48)</f>
        <v>70.17262066666666</v>
      </c>
      <c r="J49" s="161">
        <f t="shared" si="13"/>
        <v>65.195860662780603</v>
      </c>
      <c r="K49" s="161">
        <f t="shared" si="13"/>
        <v>33.333333333333336</v>
      </c>
      <c r="L49" s="161">
        <f t="shared" si="13"/>
        <v>33.333333333333336</v>
      </c>
      <c r="M49" s="161">
        <f t="shared" si="13"/>
        <v>33.333333333333336</v>
      </c>
    </row>
    <row r="52" spans="1:13" s="159" customFormat="1">
      <c r="A52" s="160" t="s">
        <v>142</v>
      </c>
      <c r="D52" s="168"/>
    </row>
    <row r="55" spans="1:13">
      <c r="E55" s="173" t="s">
        <v>143</v>
      </c>
      <c r="F55" s="173" t="s">
        <v>129</v>
      </c>
      <c r="G55" s="173"/>
      <c r="H55" s="173">
        <f xml:space="preserve"> G$57</f>
        <v>174375</v>
      </c>
      <c r="I55" s="173">
        <f t="shared" ref="I55:M55" si="14" xml:space="preserve"> H$57</f>
        <v>172195.3125</v>
      </c>
      <c r="J55" s="173">
        <f t="shared" si="14"/>
        <v>170042.87109375</v>
      </c>
      <c r="K55" s="173">
        <f t="shared" si="14"/>
        <v>167917.33520507813</v>
      </c>
      <c r="L55" s="173">
        <f t="shared" si="14"/>
        <v>165818.36851501465</v>
      </c>
      <c r="M55" s="173">
        <f t="shared" si="14"/>
        <v>163745.63890857698</v>
      </c>
    </row>
    <row r="56" spans="1:13">
      <c r="E56" s="176" t="s">
        <v>144</v>
      </c>
      <c r="F56" s="174" t="s">
        <v>129</v>
      </c>
      <c r="G56" s="174"/>
      <c r="H56" s="174">
        <f xml:space="preserve"> IF( H$3 = start_date, CaseData!$E$17 * CaseData!$E$20, H$55 * CaseData!$E$20  ) * - 1</f>
        <v>-2179.6875</v>
      </c>
      <c r="I56" s="174">
        <f xml:space="preserve"> IF( I$3 = start_date, CaseData!$E$17 * CaseData!$E$20, I$55 * CaseData!$E$20  ) * - 1</f>
        <v>-2152.44140625</v>
      </c>
      <c r="J56" s="174">
        <f xml:space="preserve"> IF( J$3 = start_date, CaseData!$E$17 * CaseData!$E$20, J$55 * CaseData!$E$20  ) * - 1</f>
        <v>-2125.535888671875</v>
      </c>
      <c r="K56" s="174">
        <f xml:space="preserve"> IF( K$3 = start_date, CaseData!$E$17 * CaseData!$E$20, K$55 * CaseData!$E$20  ) * - 1</f>
        <v>-2098.9666900634766</v>
      </c>
      <c r="L56" s="174">
        <f xml:space="preserve"> IF( L$3 = start_date, CaseData!$E$17 * CaseData!$E$20, L$55 * CaseData!$E$20  ) * - 1</f>
        <v>-2072.7296064376833</v>
      </c>
      <c r="M56" s="174">
        <f xml:space="preserve"> IF( M$3 = start_date, CaseData!$E$17 * CaseData!$E$20, M$55 * CaseData!$E$20  ) * - 1</f>
        <v>-2046.8204863572123</v>
      </c>
    </row>
    <row r="57" spans="1:13">
      <c r="E57" s="175" t="s">
        <v>145</v>
      </c>
      <c r="F57" s="175" t="s">
        <v>129</v>
      </c>
      <c r="G57" s="210">
        <f xml:space="preserve"> CaseData!$E$17</f>
        <v>174375</v>
      </c>
      <c r="H57" s="175">
        <f xml:space="preserve"> SUM(H55:H56)</f>
        <v>172195.3125</v>
      </c>
      <c r="I57" s="175">
        <f t="shared" ref="I57:M57" si="15" xml:space="preserve"> SUM(I55:I56)</f>
        <v>170042.87109375</v>
      </c>
      <c r="J57" s="175">
        <f t="shared" si="15"/>
        <v>167917.33520507813</v>
      </c>
      <c r="K57" s="175">
        <f t="shared" si="15"/>
        <v>165818.36851501465</v>
      </c>
      <c r="L57" s="175">
        <f t="shared" si="15"/>
        <v>163745.63890857698</v>
      </c>
      <c r="M57" s="175">
        <f t="shared" si="15"/>
        <v>161698.81842221977</v>
      </c>
    </row>
    <row r="60" spans="1:13">
      <c r="C60" s="161" t="s">
        <v>146</v>
      </c>
    </row>
    <row r="62" spans="1:13">
      <c r="E62" t="s">
        <v>8</v>
      </c>
      <c r="F62" t="s">
        <v>138</v>
      </c>
      <c r="H62" s="212">
        <f>CaseData!E$66</f>
        <v>2.2499999999999999E-2</v>
      </c>
      <c r="I62" s="212">
        <f>CaseData!F$66</f>
        <v>2.35E-2</v>
      </c>
      <c r="J62" s="212">
        <f>CaseData!G$66</f>
        <v>2.4500000000000001E-2</v>
      </c>
      <c r="K62" s="212">
        <f>CaseData!H$66</f>
        <v>2.5499999999999998E-2</v>
      </c>
      <c r="L62" s="212">
        <f>CaseData!I$66</f>
        <v>2.6499999999999999E-2</v>
      </c>
      <c r="M62" s="212">
        <f>CaseData!J$66</f>
        <v>2.7E-2</v>
      </c>
    </row>
    <row r="63" spans="1:13">
      <c r="E63" s="171" t="s">
        <v>139</v>
      </c>
      <c r="F63" s="171" t="s">
        <v>138</v>
      </c>
      <c r="G63" s="171"/>
      <c r="H63" s="203">
        <f xml:space="preserve"> _xlfn.XLOOKUP( G$10, CaseData!$G$11:$G$14, CaseData!$I$11:$I$14,,-1 ) / 10000</f>
        <v>0.03</v>
      </c>
      <c r="I63" s="203">
        <f xml:space="preserve"> _xlfn.XLOOKUP( H$10, CaseData!$G$11:$G$14, CaseData!$I$11:$I$14,,-1 ) / 10000</f>
        <v>0.03</v>
      </c>
      <c r="J63" s="203">
        <f xml:space="preserve"> _xlfn.XLOOKUP( I$10, CaseData!$G$11:$G$14, CaseData!$I$11:$I$14,,-1 ) / 10000</f>
        <v>0.03</v>
      </c>
      <c r="K63" s="203">
        <f xml:space="preserve"> _xlfn.XLOOKUP( J$10, CaseData!$G$11:$G$14, CaseData!$I$11:$I$14,,-1 ) / 10000</f>
        <v>0.03</v>
      </c>
      <c r="L63" s="203">
        <f xml:space="preserve"> _xlfn.XLOOKUP( K$10, CaseData!$G$11:$G$14, CaseData!$I$11:$I$14,,-1 ) / 10000</f>
        <v>0.03</v>
      </c>
      <c r="M63" s="203">
        <f xml:space="preserve"> _xlfn.XLOOKUP( L$10, CaseData!$G$11:$G$14, CaseData!$I$11:$I$14,,-1 ) / 10000</f>
        <v>0.03</v>
      </c>
    </row>
    <row r="64" spans="1:13">
      <c r="E64" s="161" t="s">
        <v>147</v>
      </c>
      <c r="F64" s="161" t="s">
        <v>138</v>
      </c>
      <c r="G64" s="161"/>
      <c r="H64" s="204">
        <f>SUM(H62:H63)</f>
        <v>5.2499999999999998E-2</v>
      </c>
      <c r="I64" s="204">
        <f t="shared" ref="I64:M64" si="16">SUM(I62:I63)</f>
        <v>5.3499999999999999E-2</v>
      </c>
      <c r="J64" s="204">
        <f t="shared" si="16"/>
        <v>5.45E-2</v>
      </c>
      <c r="K64" s="204">
        <f t="shared" si="16"/>
        <v>5.5499999999999994E-2</v>
      </c>
      <c r="L64" s="204">
        <f t="shared" si="16"/>
        <v>5.6499999999999995E-2</v>
      </c>
      <c r="M64" s="204">
        <f t="shared" si="16"/>
        <v>5.6999999999999995E-2</v>
      </c>
    </row>
    <row r="67" spans="1:13">
      <c r="E67" s="161" t="s">
        <v>146</v>
      </c>
      <c r="F67" s="161" t="s">
        <v>129</v>
      </c>
      <c r="H67" s="161">
        <f xml:space="preserve"> H$55 * H64 / 12</f>
        <v>762.890625</v>
      </c>
      <c r="I67" s="161">
        <f t="shared" ref="I67:M67" si="17" xml:space="preserve"> I$55 * I64 / 12</f>
        <v>767.7041015625</v>
      </c>
      <c r="J67" s="161">
        <f t="shared" si="17"/>
        <v>772.27803955078127</v>
      </c>
      <c r="K67" s="161">
        <f t="shared" si="17"/>
        <v>776.61767532348631</v>
      </c>
      <c r="L67" s="161">
        <f t="shared" si="17"/>
        <v>780.7281517581938</v>
      </c>
      <c r="M67" s="161">
        <f t="shared" si="17"/>
        <v>777.79178481574047</v>
      </c>
    </row>
    <row r="68" spans="1:13" ht="14.4">
      <c r="E68" s="206" t="s">
        <v>173</v>
      </c>
    </row>
    <row r="69" spans="1:13" ht="14.4">
      <c r="E69" s="206"/>
    </row>
    <row r="71" spans="1:13" s="159" customFormat="1">
      <c r="A71" s="160" t="s">
        <v>148</v>
      </c>
      <c r="D71" s="168"/>
    </row>
    <row r="74" spans="1:13">
      <c r="E74" s="173" t="s">
        <v>149</v>
      </c>
      <c r="F74" s="173" t="s">
        <v>129</v>
      </c>
      <c r="G74" s="173"/>
      <c r="H74" s="173">
        <f xml:space="preserve"> G$76</f>
        <v>500000</v>
      </c>
      <c r="I74" s="173">
        <f t="shared" ref="I74:M74" si="18" xml:space="preserve"> H$76</f>
        <v>500000</v>
      </c>
      <c r="J74" s="173">
        <f t="shared" si="18"/>
        <v>500000</v>
      </c>
      <c r="K74" s="173">
        <f t="shared" si="18"/>
        <v>0</v>
      </c>
      <c r="L74" s="173">
        <f t="shared" si="18"/>
        <v>0</v>
      </c>
      <c r="M74" s="173">
        <f t="shared" si="18"/>
        <v>0</v>
      </c>
    </row>
    <row r="75" spans="1:13">
      <c r="E75" s="176" t="s">
        <v>150</v>
      </c>
      <c r="F75" s="174" t="s">
        <v>129</v>
      </c>
      <c r="G75" s="174"/>
      <c r="H75" s="174">
        <f xml:space="preserve"> IF( H$3 = Debt!$M$166, CaseData!$I$17 * - 1, 0 )</f>
        <v>0</v>
      </c>
      <c r="I75" s="174">
        <f xml:space="preserve"> IF( I$3 = Debt!$M$166, CaseData!$I$17 * - 1, 0 )</f>
        <v>0</v>
      </c>
      <c r="J75" s="174">
        <f xml:space="preserve"> IF( J$3 = Debt!$M$166, CaseData!$I$17 * - 1, 0 )</f>
        <v>-500000</v>
      </c>
      <c r="K75" s="174">
        <f xml:space="preserve"> IF( K$3 = Debt!$M$166, CaseData!$I$17 * - 1, 0 )</f>
        <v>0</v>
      </c>
      <c r="L75" s="174">
        <f xml:space="preserve"> IF( L$3 = Debt!$M$166, CaseData!$I$17 * - 1, 0 )</f>
        <v>0</v>
      </c>
      <c r="M75" s="174">
        <f xml:space="preserve"> IF( M$3 = Debt!$M$166, CaseData!$I$17 * - 1, 0 )</f>
        <v>0</v>
      </c>
    </row>
    <row r="76" spans="1:13">
      <c r="E76" s="175" t="s">
        <v>151</v>
      </c>
      <c r="F76" s="175" t="s">
        <v>129</v>
      </c>
      <c r="G76" s="210">
        <f>CaseData!$I$17</f>
        <v>500000</v>
      </c>
      <c r="H76" s="175">
        <f xml:space="preserve"> SUM( H74:H75)</f>
        <v>500000</v>
      </c>
      <c r="I76" s="175">
        <f t="shared" ref="I76:M76" si="19" xml:space="preserve"> SUM( I74:I75)</f>
        <v>500000</v>
      </c>
      <c r="J76" s="175">
        <f t="shared" si="19"/>
        <v>0</v>
      </c>
      <c r="K76" s="175">
        <f t="shared" si="19"/>
        <v>0</v>
      </c>
      <c r="L76" s="175">
        <f t="shared" si="19"/>
        <v>0</v>
      </c>
      <c r="M76" s="175">
        <f t="shared" si="19"/>
        <v>0</v>
      </c>
    </row>
    <row r="78" spans="1:13">
      <c r="C78" s="161" t="s">
        <v>152</v>
      </c>
    </row>
    <row r="80" spans="1:13">
      <c r="E80" t="s">
        <v>162</v>
      </c>
      <c r="F80" t="s">
        <v>138</v>
      </c>
      <c r="H80" s="212">
        <f xml:space="preserve"> CaseData!$I$19</f>
        <v>7.1249999999999994E-2</v>
      </c>
      <c r="I80" s="212">
        <f xml:space="preserve"> CaseData!$I$19</f>
        <v>7.1249999999999994E-2</v>
      </c>
      <c r="J80" s="212">
        <f xml:space="preserve"> CaseData!$I$19</f>
        <v>7.1249999999999994E-2</v>
      </c>
      <c r="K80" s="212">
        <f xml:space="preserve"> CaseData!$I$19</f>
        <v>7.1249999999999994E-2</v>
      </c>
      <c r="L80" s="212">
        <f xml:space="preserve"> CaseData!$I$19</f>
        <v>7.1249999999999994E-2</v>
      </c>
      <c r="M80" s="212">
        <f xml:space="preserve"> CaseData!$I$19</f>
        <v>7.1249999999999994E-2</v>
      </c>
    </row>
    <row r="81" spans="1:13">
      <c r="E81" s="181" t="s">
        <v>156</v>
      </c>
      <c r="F81" s="182" t="s">
        <v>129</v>
      </c>
      <c r="G81" s="182"/>
      <c r="H81" s="182">
        <f xml:space="preserve"> H$74 * H$80 / 12</f>
        <v>2968.75</v>
      </c>
      <c r="I81" s="182">
        <f t="shared" ref="I81:M81" si="20" xml:space="preserve"> I$74 * I$80 / 12</f>
        <v>2968.75</v>
      </c>
      <c r="J81" s="182">
        <f t="shared" si="20"/>
        <v>2968.75</v>
      </c>
      <c r="K81" s="182">
        <f t="shared" si="20"/>
        <v>0</v>
      </c>
      <c r="L81" s="182">
        <f t="shared" si="20"/>
        <v>0</v>
      </c>
      <c r="M81" s="182">
        <f t="shared" si="20"/>
        <v>0</v>
      </c>
    </row>
    <row r="83" spans="1:13">
      <c r="E83" t="s">
        <v>155</v>
      </c>
      <c r="F83" t="s">
        <v>138</v>
      </c>
      <c r="H83" s="166">
        <f xml:space="preserve"> IF( H$3 &lt;= CaseData!$H$24, CaseData!$I$24,
      IF( OR( H$3 &gt; CaseData!$H$24, H$3 &lt; CaseData!$H$25 ), CaseData!$I$25, 0 ) )</f>
        <v>1.03</v>
      </c>
      <c r="I83" s="166">
        <f xml:space="preserve"> IF( I$3 &lt;= CaseData!$H$24, CaseData!$I$24,
      IF( OR( I$3 &gt; CaseData!$H$24, I$3 &lt; CaseData!$H$25 ), CaseData!$I$25, 0 ) )</f>
        <v>1.03</v>
      </c>
      <c r="J83" s="166">
        <f xml:space="preserve"> IF( J$3 &lt;= CaseData!$H$24, CaseData!$I$24,
      IF( OR( J$3 &gt; CaseData!$H$24, J$3 &lt; CaseData!$H$25 ), CaseData!$I$25, 0 ) )</f>
        <v>1.03</v>
      </c>
      <c r="K83" s="166">
        <f xml:space="preserve"> IF( K$3 &lt;= CaseData!$H$24, CaseData!$I$24,
      IF( OR( K$3 &gt; CaseData!$H$24, K$3 &lt; CaseData!$H$25 ), CaseData!$I$25, 0 ) )</f>
        <v>1.02</v>
      </c>
      <c r="L83" s="166">
        <f xml:space="preserve"> IF( L$3 &lt;= CaseData!$H$24, CaseData!$I$24,
      IF( OR( L$3 &gt; CaseData!$H$24, L$3 &lt; CaseData!$H$25 ), CaseData!$I$25, 0 ) )</f>
        <v>1.02</v>
      </c>
      <c r="M83" s="166">
        <f xml:space="preserve"> IF( M$3 &lt;= CaseData!$H$24, CaseData!$I$24,
      IF( OR( M$3 &gt; CaseData!$H$24, M$3 &lt; CaseData!$H$25 ), CaseData!$I$25, 0 ) )</f>
        <v>1.02</v>
      </c>
    </row>
    <row r="84" spans="1:13">
      <c r="E84" t="s">
        <v>72</v>
      </c>
      <c r="F84" t="s">
        <v>129</v>
      </c>
      <c r="H84">
        <f xml:space="preserve"> H$75 * H$83 * - 1</f>
        <v>0</v>
      </c>
      <c r="I84">
        <f t="shared" ref="I84:M84" si="21" xml:space="preserve"> I$75 * I$83 * - 1</f>
        <v>0</v>
      </c>
      <c r="J84">
        <f t="shared" si="21"/>
        <v>515000</v>
      </c>
      <c r="K84">
        <f t="shared" si="21"/>
        <v>0</v>
      </c>
      <c r="L84">
        <f t="shared" si="21"/>
        <v>0</v>
      </c>
      <c r="M84">
        <f t="shared" si="21"/>
        <v>0</v>
      </c>
    </row>
    <row r="85" spans="1:13">
      <c r="E85" s="161" t="s">
        <v>152</v>
      </c>
      <c r="F85" s="161" t="s">
        <v>129</v>
      </c>
      <c r="G85" s="161"/>
      <c r="H85" s="161">
        <f xml:space="preserve"> IF( H$84 &gt; 0, H$81 * COUNT( $H81:H81 ), 0 )</f>
        <v>0</v>
      </c>
      <c r="I85" s="161">
        <f xml:space="preserve"> IF( I$84 &gt; 0, I$81 * COUNT( $H81:I81 ), 0 )</f>
        <v>0</v>
      </c>
      <c r="J85" s="161">
        <f xml:space="preserve"> IF( J$84 &gt; 0, J$81 * COUNT( $H81:J81 ), 0 )</f>
        <v>8906.25</v>
      </c>
      <c r="K85" s="161">
        <f xml:space="preserve"> IF( K$84 &gt; 0, K$81 * COUNT( $H81:K81 ), 0 )</f>
        <v>0</v>
      </c>
      <c r="L85" s="161">
        <f xml:space="preserve"> IF( L$84 &gt; 0, L$81 * COUNT( $H81:L81 ), 0 )</f>
        <v>0</v>
      </c>
      <c r="M85" s="161">
        <f xml:space="preserve"> IF( M$84 &gt; 0, M$81 * COUNT( $H81:M81 ), 0 )</f>
        <v>0</v>
      </c>
    </row>
    <row r="86" spans="1:13" ht="14.4">
      <c r="E86" s="206" t="s">
        <v>174</v>
      </c>
    </row>
    <row r="87" spans="1:13" ht="14.4">
      <c r="E87" s="206"/>
    </row>
    <row r="89" spans="1:13" s="159" customFormat="1">
      <c r="A89" s="160" t="s">
        <v>157</v>
      </c>
      <c r="D89" s="168"/>
    </row>
    <row r="90" spans="1:13" s="184" customFormat="1">
      <c r="A90" s="207"/>
      <c r="D90" s="208"/>
    </row>
    <row r="92" spans="1:13">
      <c r="E92" s="173" t="s">
        <v>158</v>
      </c>
      <c r="F92" s="173" t="s">
        <v>129</v>
      </c>
      <c r="G92" s="173"/>
      <c r="H92" s="183">
        <f xml:space="preserve"> G$94</f>
        <v>0</v>
      </c>
      <c r="I92" s="183">
        <f t="shared" ref="I92:M92" si="22" xml:space="preserve"> H$94</f>
        <v>0</v>
      </c>
      <c r="J92" s="183">
        <f t="shared" si="22"/>
        <v>0</v>
      </c>
      <c r="K92" s="183">
        <f t="shared" si="22"/>
        <v>515000</v>
      </c>
      <c r="L92" s="183">
        <f t="shared" si="22"/>
        <v>515000</v>
      </c>
      <c r="M92" s="183">
        <f t="shared" si="22"/>
        <v>515000</v>
      </c>
    </row>
    <row r="93" spans="1:13">
      <c r="E93" s="176" t="s">
        <v>159</v>
      </c>
      <c r="F93" s="174" t="s">
        <v>129</v>
      </c>
      <c r="G93" s="174"/>
      <c r="H93" s="174">
        <f xml:space="preserve"> IF( H$84 &gt; 0, H$84, 0 )</f>
        <v>0</v>
      </c>
      <c r="I93" s="174">
        <f t="shared" ref="I93:M93" si="23" xml:space="preserve"> IF( I$84 &gt; 0, I$84, 0 )</f>
        <v>0</v>
      </c>
      <c r="J93" s="174">
        <f t="shared" si="23"/>
        <v>515000</v>
      </c>
      <c r="K93" s="174">
        <f t="shared" si="23"/>
        <v>0</v>
      </c>
      <c r="L93" s="174">
        <f t="shared" si="23"/>
        <v>0</v>
      </c>
      <c r="M93" s="174">
        <f t="shared" si="23"/>
        <v>0</v>
      </c>
    </row>
    <row r="94" spans="1:13">
      <c r="E94" s="175" t="s">
        <v>167</v>
      </c>
      <c r="F94" s="175" t="s">
        <v>129</v>
      </c>
      <c r="G94" s="210">
        <v>0</v>
      </c>
      <c r="H94" s="175">
        <f>SUM( H92:H93)</f>
        <v>0</v>
      </c>
      <c r="I94" s="175">
        <f t="shared" ref="I94:M94" si="24">SUM( I92:I93)</f>
        <v>0</v>
      </c>
      <c r="J94" s="175">
        <f t="shared" si="24"/>
        <v>515000</v>
      </c>
      <c r="K94" s="175">
        <f t="shared" si="24"/>
        <v>515000</v>
      </c>
      <c r="L94" s="175">
        <f t="shared" si="24"/>
        <v>515000</v>
      </c>
      <c r="M94" s="175">
        <f t="shared" si="24"/>
        <v>515000</v>
      </c>
    </row>
    <row r="96" spans="1:13">
      <c r="C96" s="161" t="s">
        <v>160</v>
      </c>
    </row>
    <row r="98" spans="1:13">
      <c r="E98" t="s">
        <v>161</v>
      </c>
      <c r="F98" t="s">
        <v>138</v>
      </c>
      <c r="H98" s="166" cm="1">
        <f t="array" ref="H98" xml:space="preserve"> _xlfn.XLOOKUP( H$3,_xlfn.ANCHORARRAY( CaseData!$N$18), CaseData!$P$18:$P$23,, -1 )</f>
        <v>5.0500000000000003E-2</v>
      </c>
      <c r="I98" s="166" cm="1">
        <f t="array" ref="I98" xml:space="preserve"> _xlfn.XLOOKUP( I$3,_xlfn.ANCHORARRAY( CaseData!$N$18), CaseData!$P$18:$P$23,, -1 )</f>
        <v>5.2499999999999998E-2</v>
      </c>
      <c r="J98" s="166" cm="1">
        <f t="array" ref="J98" xml:space="preserve"> _xlfn.XLOOKUP( J$3,_xlfn.ANCHORARRAY( CaseData!$N$18), CaseData!$P$18:$P$23,, -1 )</f>
        <v>5.7000000000000002E-2</v>
      </c>
      <c r="K98" s="166" cm="1">
        <f t="array" ref="K98" xml:space="preserve"> _xlfn.XLOOKUP( K$3,_xlfn.ANCHORARRAY( CaseData!$N$18), CaseData!$P$18:$P$23,, -1 )</f>
        <v>5.9499999999999997E-2</v>
      </c>
      <c r="L98" s="166" cm="1">
        <f t="array" ref="L98" xml:space="preserve"> _xlfn.XLOOKUP( L$3,_xlfn.ANCHORARRAY( CaseData!$N$18), CaseData!$P$18:$P$23,, -1 )</f>
        <v>6.1499999999999999E-2</v>
      </c>
      <c r="M98" s="166" cm="1">
        <f t="array" ref="M98" xml:space="preserve"> _xlfn.XLOOKUP( M$3,_xlfn.ANCHORARRAY( CaseData!$N$18), CaseData!$P$18:$P$23,, -1 )</f>
        <v>6.4000000000000001E-2</v>
      </c>
    </row>
    <row r="99" spans="1:13" s="182" customFormat="1">
      <c r="D99" s="169"/>
      <c r="E99" s="182" t="s">
        <v>172</v>
      </c>
      <c r="F99" s="182" t="s">
        <v>129</v>
      </c>
      <c r="H99" s="182">
        <f xml:space="preserve"> H$92 * H$98 / 12</f>
        <v>0</v>
      </c>
      <c r="I99" s="182">
        <f t="shared" ref="I99:M99" si="25" xml:space="preserve"> I$92 * I$98 / 12</f>
        <v>0</v>
      </c>
      <c r="J99" s="182">
        <f t="shared" si="25"/>
        <v>0</v>
      </c>
      <c r="K99" s="182">
        <f t="shared" si="25"/>
        <v>2553.5416666666665</v>
      </c>
      <c r="L99" s="182">
        <f t="shared" si="25"/>
        <v>2639.375</v>
      </c>
      <c r="M99" s="182">
        <f t="shared" si="25"/>
        <v>2746.6666666666665</v>
      </c>
    </row>
    <row r="100" spans="1:13" s="182" customFormat="1">
      <c r="D100" s="169"/>
    </row>
    <row r="101" spans="1:13" s="182" customFormat="1">
      <c r="D101" s="169"/>
      <c r="E101" s="182" t="s">
        <v>160</v>
      </c>
      <c r="F101" s="182" t="s">
        <v>129</v>
      </c>
      <c r="H101" s="161">
        <f xml:space="preserve"> IF( H$84 &gt; 0, H$99 * COUNT( $H99:H99 ), 0 )</f>
        <v>0</v>
      </c>
      <c r="I101" s="161">
        <f xml:space="preserve"> IF( I$84 &gt; 0, I$99 * COUNT( $H99:I99 ), 0 )</f>
        <v>0</v>
      </c>
      <c r="J101" s="161">
        <f xml:space="preserve"> IF( J$84 &gt; 0, J$99 * COUNT( $H99:J99 ), 0 )</f>
        <v>0</v>
      </c>
      <c r="K101" s="161">
        <f xml:space="preserve"> IF( K$84 &gt; 0, K$99 * COUNT( $H99:K99 ), 0 )</f>
        <v>0</v>
      </c>
      <c r="L101" s="161">
        <f xml:space="preserve"> IF( L$84 &gt; 0, L$99 * COUNT( $H99:L99 ), 0 )</f>
        <v>0</v>
      </c>
      <c r="M101" s="161">
        <f xml:space="preserve"> IF( M$84 &gt; 0, M$99 * COUNT( $H99:M99 ), 0 )</f>
        <v>0</v>
      </c>
    </row>
    <row r="102" spans="1:13" ht="14.4">
      <c r="E102" s="206" t="s">
        <v>174</v>
      </c>
    </row>
    <row r="103" spans="1:13" ht="14.4">
      <c r="E103" s="206"/>
    </row>
    <row r="105" spans="1:13" s="159" customFormat="1">
      <c r="A105" s="160" t="s">
        <v>131</v>
      </c>
      <c r="D105" s="168"/>
    </row>
    <row r="108" spans="1:13">
      <c r="E108" t="str">
        <f>E$49</f>
        <v>Revolver interest expenses</v>
      </c>
      <c r="F108" t="str">
        <f t="shared" ref="F108:M108" si="26">F$49</f>
        <v>USD</v>
      </c>
      <c r="H108">
        <f t="shared" si="26"/>
        <v>79.587375000000009</v>
      </c>
      <c r="I108">
        <f t="shared" si="26"/>
        <v>70.17262066666666</v>
      </c>
      <c r="J108">
        <f t="shared" si="26"/>
        <v>65.195860662780603</v>
      </c>
      <c r="K108">
        <f t="shared" si="26"/>
        <v>33.333333333333336</v>
      </c>
      <c r="L108">
        <f t="shared" si="26"/>
        <v>33.333333333333336</v>
      </c>
      <c r="M108">
        <f t="shared" si="26"/>
        <v>33.333333333333336</v>
      </c>
    </row>
    <row r="109" spans="1:13">
      <c r="E109" t="str">
        <f>E$67</f>
        <v>Senior Secured Term Loan interest expenses</v>
      </c>
      <c r="F109" t="str">
        <f t="shared" ref="F109:M109" si="27">F$67</f>
        <v>USD</v>
      </c>
      <c r="H109">
        <f t="shared" si="27"/>
        <v>762.890625</v>
      </c>
      <c r="I109">
        <f t="shared" si="27"/>
        <v>767.7041015625</v>
      </c>
      <c r="J109">
        <f t="shared" si="27"/>
        <v>772.27803955078127</v>
      </c>
      <c r="K109">
        <f t="shared" si="27"/>
        <v>776.61767532348631</v>
      </c>
      <c r="L109">
        <f t="shared" si="27"/>
        <v>780.7281517581938</v>
      </c>
      <c r="M109">
        <f t="shared" si="27"/>
        <v>777.79178481574047</v>
      </c>
    </row>
    <row r="110" spans="1:13">
      <c r="E110" t="str">
        <f>E$81</f>
        <v>Subordinated Notes interest accrued</v>
      </c>
      <c r="F110" t="str">
        <f t="shared" ref="F110:M110" si="28">F$81</f>
        <v>USD</v>
      </c>
      <c r="H110">
        <f t="shared" si="28"/>
        <v>2968.75</v>
      </c>
      <c r="I110">
        <f t="shared" si="28"/>
        <v>2968.75</v>
      </c>
      <c r="J110">
        <f t="shared" si="28"/>
        <v>2968.75</v>
      </c>
      <c r="K110">
        <f t="shared" si="28"/>
        <v>0</v>
      </c>
      <c r="L110">
        <f t="shared" si="28"/>
        <v>0</v>
      </c>
      <c r="M110">
        <f t="shared" si="28"/>
        <v>0</v>
      </c>
    </row>
    <row r="111" spans="1:13">
      <c r="E111" s="171" t="str">
        <f>E$99</f>
        <v>New Subordinated Notes interest expenses accrued</v>
      </c>
      <c r="F111" s="171" t="str">
        <f>F$99</f>
        <v>USD</v>
      </c>
      <c r="G111" s="171"/>
      <c r="H111" s="171">
        <f t="shared" ref="H111:M111" si="29">H$99</f>
        <v>0</v>
      </c>
      <c r="I111" s="171">
        <f t="shared" si="29"/>
        <v>0</v>
      </c>
      <c r="J111" s="171">
        <f t="shared" si="29"/>
        <v>0</v>
      </c>
      <c r="K111" s="171">
        <f t="shared" si="29"/>
        <v>2553.5416666666665</v>
      </c>
      <c r="L111" s="171">
        <f t="shared" si="29"/>
        <v>2639.375</v>
      </c>
      <c r="M111" s="171">
        <f t="shared" si="29"/>
        <v>2746.6666666666665</v>
      </c>
    </row>
    <row r="112" spans="1:13">
      <c r="E112" s="161" t="s">
        <v>163</v>
      </c>
      <c r="F112" s="161" t="s">
        <v>129</v>
      </c>
      <c r="G112" s="161"/>
      <c r="H112" s="161">
        <f>SUM(H108:H111)</f>
        <v>3811.2280000000001</v>
      </c>
      <c r="I112" s="161">
        <f t="shared" ref="I112:M112" si="30">SUM(I108:I111)</f>
        <v>3806.6267222291667</v>
      </c>
      <c r="J112" s="161">
        <f t="shared" si="30"/>
        <v>3806.223900213562</v>
      </c>
      <c r="K112" s="161">
        <f t="shared" si="30"/>
        <v>3363.4926753234863</v>
      </c>
      <c r="L112" s="161">
        <f t="shared" si="30"/>
        <v>3453.4364850915272</v>
      </c>
      <c r="M112" s="161">
        <f t="shared" si="30"/>
        <v>3557.7917848157404</v>
      </c>
    </row>
    <row r="113" spans="1:13">
      <c r="E113" s="161"/>
      <c r="F113" s="161"/>
      <c r="G113" s="161"/>
      <c r="H113" s="161"/>
      <c r="I113" s="161"/>
      <c r="J113" s="161"/>
      <c r="K113" s="161"/>
      <c r="L113" s="161"/>
      <c r="M113" s="161"/>
    </row>
    <row r="114" spans="1:13">
      <c r="E114" s="161"/>
      <c r="F114" s="161"/>
      <c r="G114" s="161"/>
      <c r="H114" s="161"/>
      <c r="I114" s="161"/>
      <c r="J114" s="161"/>
      <c r="K114" s="161"/>
      <c r="L114" s="161"/>
      <c r="M114" s="161"/>
    </row>
    <row r="115" spans="1:13" s="159" customFormat="1">
      <c r="A115" s="160" t="s">
        <v>170</v>
      </c>
      <c r="D115" s="168"/>
      <c r="E115" s="160"/>
      <c r="F115" s="160"/>
      <c r="G115" s="160"/>
      <c r="H115" s="160"/>
      <c r="I115" s="160"/>
      <c r="J115" s="160"/>
      <c r="K115" s="160"/>
      <c r="L115" s="160"/>
      <c r="M115" s="160"/>
    </row>
    <row r="116" spans="1:13">
      <c r="E116" s="161"/>
      <c r="F116" s="161"/>
      <c r="G116" s="161"/>
      <c r="H116" s="161"/>
      <c r="I116" s="161"/>
      <c r="J116" s="161"/>
      <c r="K116" s="161"/>
      <c r="L116" s="161"/>
      <c r="M116" s="161"/>
    </row>
    <row r="117" spans="1:13">
      <c r="E117" s="161"/>
      <c r="F117" s="161"/>
      <c r="G117" s="161"/>
      <c r="H117" s="161"/>
      <c r="I117" s="161"/>
      <c r="J117" s="161"/>
      <c r="K117" s="161"/>
      <c r="L117" s="161"/>
      <c r="M117" s="161"/>
    </row>
    <row r="118" spans="1:13">
      <c r="E118" t="str">
        <f>E$49</f>
        <v>Revolver interest expenses</v>
      </c>
      <c r="F118" t="str">
        <f t="shared" ref="F118:M118" si="31">F$49</f>
        <v>USD</v>
      </c>
      <c r="H118">
        <f t="shared" si="31"/>
        <v>79.587375000000009</v>
      </c>
      <c r="I118">
        <f t="shared" si="31"/>
        <v>70.17262066666666</v>
      </c>
      <c r="J118">
        <f t="shared" si="31"/>
        <v>65.195860662780603</v>
      </c>
      <c r="K118">
        <f t="shared" si="31"/>
        <v>33.333333333333336</v>
      </c>
      <c r="L118">
        <f t="shared" si="31"/>
        <v>33.333333333333336</v>
      </c>
      <c r="M118">
        <f t="shared" si="31"/>
        <v>33.333333333333336</v>
      </c>
    </row>
    <row r="119" spans="1:13">
      <c r="E119" t="str">
        <f>E$67</f>
        <v>Senior Secured Term Loan interest expenses</v>
      </c>
      <c r="F119" t="str">
        <f t="shared" ref="F119:M119" si="32">F$67</f>
        <v>USD</v>
      </c>
      <c r="H119">
        <f t="shared" si="32"/>
        <v>762.890625</v>
      </c>
      <c r="I119">
        <f t="shared" si="32"/>
        <v>767.7041015625</v>
      </c>
      <c r="J119">
        <f t="shared" si="32"/>
        <v>772.27803955078127</v>
      </c>
      <c r="K119">
        <f t="shared" si="32"/>
        <v>776.61767532348631</v>
      </c>
      <c r="L119">
        <f t="shared" si="32"/>
        <v>780.7281517581938</v>
      </c>
      <c r="M119">
        <f t="shared" si="32"/>
        <v>777.79178481574047</v>
      </c>
    </row>
    <row r="120" spans="1:13">
      <c r="E120" t="str">
        <f>E$85</f>
        <v>Subordinated Notes interest expenses</v>
      </c>
      <c r="F120" t="str">
        <f t="shared" ref="F120:M120" si="33">F$85</f>
        <v>USD</v>
      </c>
      <c r="H120">
        <f t="shared" si="33"/>
        <v>0</v>
      </c>
      <c r="I120">
        <f t="shared" si="33"/>
        <v>0</v>
      </c>
      <c r="J120">
        <f t="shared" si="33"/>
        <v>8906.25</v>
      </c>
      <c r="K120">
        <f t="shared" si="33"/>
        <v>0</v>
      </c>
      <c r="L120">
        <f t="shared" si="33"/>
        <v>0</v>
      </c>
      <c r="M120">
        <f t="shared" si="33"/>
        <v>0</v>
      </c>
    </row>
    <row r="121" spans="1:13">
      <c r="E121" s="171" t="str">
        <f>E$101</f>
        <v>New Subordinated Notes interest expenses</v>
      </c>
      <c r="F121" s="171" t="str">
        <f t="shared" ref="F121" si="34">F$99</f>
        <v>USD</v>
      </c>
      <c r="G121" s="171"/>
      <c r="H121" s="171">
        <f>H$101</f>
        <v>0</v>
      </c>
      <c r="I121" s="171">
        <f t="shared" ref="I121:M121" si="35">I$101</f>
        <v>0</v>
      </c>
      <c r="J121" s="171">
        <f t="shared" si="35"/>
        <v>0</v>
      </c>
      <c r="K121" s="171">
        <f t="shared" si="35"/>
        <v>0</v>
      </c>
      <c r="L121" s="171">
        <f t="shared" si="35"/>
        <v>0</v>
      </c>
      <c r="M121" s="171">
        <f t="shared" si="35"/>
        <v>0</v>
      </c>
    </row>
    <row r="122" spans="1:13">
      <c r="E122" s="161" t="s">
        <v>170</v>
      </c>
      <c r="F122" s="161" t="s">
        <v>129</v>
      </c>
      <c r="G122" s="161"/>
      <c r="H122" s="161">
        <f>SUM(H118:H121)</f>
        <v>842.47800000000007</v>
      </c>
      <c r="I122" s="161">
        <f t="shared" ref="I122:M122" si="36">SUM(I118:I121)</f>
        <v>837.87672222916672</v>
      </c>
      <c r="J122" s="161">
        <f t="shared" si="36"/>
        <v>9743.7239002135611</v>
      </c>
      <c r="K122" s="161">
        <f t="shared" si="36"/>
        <v>809.95100865681968</v>
      </c>
      <c r="L122" s="161">
        <f t="shared" si="36"/>
        <v>814.06148509152717</v>
      </c>
      <c r="M122" s="161">
        <f t="shared" si="36"/>
        <v>811.12511814907384</v>
      </c>
    </row>
    <row r="123" spans="1:13">
      <c r="E123" s="161"/>
      <c r="F123" s="161"/>
      <c r="G123" s="161"/>
      <c r="H123" s="161"/>
      <c r="I123" s="161"/>
      <c r="J123" s="161"/>
      <c r="K123" s="161"/>
      <c r="L123" s="161"/>
      <c r="M123" s="161"/>
    </row>
    <row r="124" spans="1:13">
      <c r="E124" s="161"/>
      <c r="F124" s="161"/>
      <c r="G124" s="161"/>
    </row>
    <row r="125" spans="1:13" s="159" customFormat="1">
      <c r="A125" s="160" t="s">
        <v>165</v>
      </c>
      <c r="D125" s="168"/>
    </row>
    <row r="128" spans="1:13">
      <c r="E128" t="str">
        <f>E$56</f>
        <v>Senior Secured Term Loan drawdown / (repayments)</v>
      </c>
      <c r="F128" t="str">
        <f t="shared" ref="F128:M128" si="37">F$56</f>
        <v>USD</v>
      </c>
      <c r="H128">
        <f t="shared" si="37"/>
        <v>-2179.6875</v>
      </c>
      <c r="I128">
        <f t="shared" si="37"/>
        <v>-2152.44140625</v>
      </c>
      <c r="J128">
        <f t="shared" si="37"/>
        <v>-2125.535888671875</v>
      </c>
      <c r="K128">
        <f t="shared" si="37"/>
        <v>-2098.9666900634766</v>
      </c>
      <c r="L128">
        <f t="shared" si="37"/>
        <v>-2072.7296064376833</v>
      </c>
      <c r="M128">
        <f t="shared" si="37"/>
        <v>-2046.8204863572123</v>
      </c>
    </row>
    <row r="129" spans="1:13">
      <c r="E129" t="str">
        <f>E$75</f>
        <v>Subordinated Notes drawdown / (repayment)</v>
      </c>
      <c r="F129" t="str">
        <f t="shared" ref="F129:M129" si="38">F$75</f>
        <v>USD</v>
      </c>
      <c r="H129">
        <f t="shared" si="38"/>
        <v>0</v>
      </c>
      <c r="I129">
        <f t="shared" si="38"/>
        <v>0</v>
      </c>
      <c r="J129">
        <f t="shared" si="38"/>
        <v>-500000</v>
      </c>
      <c r="K129">
        <f t="shared" si="38"/>
        <v>0</v>
      </c>
      <c r="L129">
        <f t="shared" si="38"/>
        <v>0</v>
      </c>
      <c r="M129">
        <f t="shared" si="38"/>
        <v>0</v>
      </c>
    </row>
    <row r="130" spans="1:13">
      <c r="E130" s="171" t="str">
        <f>E$93</f>
        <v>Subordinated Notes issue / (repayment)</v>
      </c>
      <c r="F130" s="171" t="str">
        <f t="shared" ref="F130:M131" si="39">F$93</f>
        <v>USD</v>
      </c>
      <c r="G130" s="171"/>
      <c r="H130" s="171">
        <f t="shared" si="39"/>
        <v>0</v>
      </c>
      <c r="I130" s="171">
        <f t="shared" si="39"/>
        <v>0</v>
      </c>
      <c r="J130" s="171">
        <f t="shared" si="39"/>
        <v>515000</v>
      </c>
      <c r="K130" s="171">
        <f t="shared" si="39"/>
        <v>0</v>
      </c>
      <c r="L130" s="171">
        <f t="shared" si="39"/>
        <v>0</v>
      </c>
      <c r="M130" s="171">
        <f t="shared" si="39"/>
        <v>0</v>
      </c>
    </row>
    <row r="131" spans="1:13">
      <c r="E131" s="161" t="s">
        <v>165</v>
      </c>
      <c r="F131" s="161" t="str">
        <f t="shared" si="39"/>
        <v>USD</v>
      </c>
      <c r="G131" s="161"/>
      <c r="H131" s="161">
        <f>SUM(H128:H130)</f>
        <v>-2179.6875</v>
      </c>
      <c r="I131" s="161">
        <f t="shared" ref="I131:M131" si="40">SUM(I128:I130)</f>
        <v>-2152.44140625</v>
      </c>
      <c r="J131" s="161">
        <f t="shared" si="40"/>
        <v>12874.464111328125</v>
      </c>
      <c r="K131" s="161">
        <f t="shared" si="40"/>
        <v>-2098.9666900634766</v>
      </c>
      <c r="L131" s="161">
        <f t="shared" si="40"/>
        <v>-2072.7296064376833</v>
      </c>
      <c r="M131" s="161">
        <f t="shared" si="40"/>
        <v>-2046.8204863572123</v>
      </c>
    </row>
    <row r="132" spans="1:13">
      <c r="E132" s="161"/>
      <c r="F132" s="161"/>
      <c r="G132" s="161"/>
      <c r="H132" s="161"/>
      <c r="I132" s="161"/>
      <c r="J132" s="161"/>
      <c r="K132" s="161"/>
      <c r="L132" s="161"/>
      <c r="M132" s="161"/>
    </row>
    <row r="134" spans="1:13" s="159" customFormat="1">
      <c r="A134" s="160" t="s">
        <v>28</v>
      </c>
      <c r="D134" s="168"/>
    </row>
    <row r="137" spans="1:13">
      <c r="E137" t="str">
        <f t="shared" ref="E137:M137" si="41">E$38</f>
        <v>Revolver closing balance</v>
      </c>
      <c r="F137" t="str">
        <f t="shared" si="41"/>
        <v>USD</v>
      </c>
      <c r="G137" s="211">
        <f t="shared" si="41"/>
        <v>12473</v>
      </c>
      <c r="H137">
        <f t="shared" si="41"/>
        <v>9715.8559999999998</v>
      </c>
      <c r="I137">
        <f t="shared" si="41"/>
        <v>8222.5876979218738</v>
      </c>
      <c r="J137">
        <f t="shared" si="41"/>
        <v>0</v>
      </c>
      <c r="K137">
        <f t="shared" si="41"/>
        <v>0</v>
      </c>
      <c r="L137">
        <f t="shared" si="41"/>
        <v>0</v>
      </c>
      <c r="M137">
        <f t="shared" si="41"/>
        <v>406.10757496901783</v>
      </c>
    </row>
    <row r="138" spans="1:13">
      <c r="E138" t="str">
        <f t="shared" ref="E138:M138" si="42">E$57</f>
        <v>Senior Secured Term Loan closing balance</v>
      </c>
      <c r="F138" t="str">
        <f t="shared" si="42"/>
        <v>USD</v>
      </c>
      <c r="G138" s="211">
        <f t="shared" si="42"/>
        <v>174375</v>
      </c>
      <c r="H138">
        <f t="shared" si="42"/>
        <v>172195.3125</v>
      </c>
      <c r="I138">
        <f t="shared" si="42"/>
        <v>170042.87109375</v>
      </c>
      <c r="J138">
        <f t="shared" si="42"/>
        <v>167917.33520507813</v>
      </c>
      <c r="K138">
        <f t="shared" si="42"/>
        <v>165818.36851501465</v>
      </c>
      <c r="L138">
        <f t="shared" si="42"/>
        <v>163745.63890857698</v>
      </c>
      <c r="M138">
        <f t="shared" si="42"/>
        <v>161698.81842221977</v>
      </c>
    </row>
    <row r="139" spans="1:13">
      <c r="E139" t="str">
        <f t="shared" ref="E139:M139" si="43">E$76</f>
        <v>Subordinated Notes closing balance</v>
      </c>
      <c r="F139" t="str">
        <f t="shared" si="43"/>
        <v>USD</v>
      </c>
      <c r="G139" s="211">
        <f t="shared" si="43"/>
        <v>500000</v>
      </c>
      <c r="H139">
        <f t="shared" si="43"/>
        <v>500000</v>
      </c>
      <c r="I139">
        <f t="shared" si="43"/>
        <v>500000</v>
      </c>
      <c r="J139">
        <f t="shared" si="43"/>
        <v>0</v>
      </c>
      <c r="K139">
        <f t="shared" si="43"/>
        <v>0</v>
      </c>
      <c r="L139">
        <f t="shared" si="43"/>
        <v>0</v>
      </c>
      <c r="M139">
        <f t="shared" si="43"/>
        <v>0</v>
      </c>
    </row>
    <row r="140" spans="1:13">
      <c r="E140" s="171" t="str">
        <f t="shared" ref="E140:M140" si="44">E$94</f>
        <v>New Subordinated Notes closing balance</v>
      </c>
      <c r="F140" s="171" t="str">
        <f t="shared" si="44"/>
        <v>USD</v>
      </c>
      <c r="G140" s="215">
        <f t="shared" si="44"/>
        <v>0</v>
      </c>
      <c r="H140" s="171">
        <f t="shared" si="44"/>
        <v>0</v>
      </c>
      <c r="I140" s="171">
        <f t="shared" si="44"/>
        <v>0</v>
      </c>
      <c r="J140" s="171">
        <f t="shared" si="44"/>
        <v>515000</v>
      </c>
      <c r="K140" s="171">
        <f t="shared" si="44"/>
        <v>515000</v>
      </c>
      <c r="L140" s="171">
        <f t="shared" si="44"/>
        <v>515000</v>
      </c>
      <c r="M140" s="171">
        <f t="shared" si="44"/>
        <v>515000</v>
      </c>
    </row>
    <row r="141" spans="1:13">
      <c r="E141" s="161" t="s">
        <v>28</v>
      </c>
      <c r="F141" s="161" t="s">
        <v>129</v>
      </c>
      <c r="G141" s="161"/>
      <c r="H141" s="161">
        <f>SUM(H137:H140)</f>
        <v>681911.16850000003</v>
      </c>
      <c r="I141" s="161">
        <f t="shared" ref="I141:M141" si="45">SUM(I137:I140)</f>
        <v>678265.4587916719</v>
      </c>
      <c r="J141" s="161">
        <f t="shared" si="45"/>
        <v>682917.33520507813</v>
      </c>
      <c r="K141" s="161">
        <f t="shared" si="45"/>
        <v>680818.36851501465</v>
      </c>
      <c r="L141" s="161">
        <f t="shared" si="45"/>
        <v>678745.63890857692</v>
      </c>
      <c r="M141" s="161">
        <f t="shared" si="45"/>
        <v>677104.92599718878</v>
      </c>
    </row>
    <row r="144" spans="1:13" s="159" customFormat="1">
      <c r="A144" s="160" t="s">
        <v>175</v>
      </c>
      <c r="D144" s="168"/>
    </row>
    <row r="147" spans="3:13">
      <c r="E147" t="s">
        <v>176</v>
      </c>
      <c r="F147" t="s">
        <v>129</v>
      </c>
      <c r="H147" s="209">
        <f>CaseData!E$63</f>
        <v>193220</v>
      </c>
      <c r="I147" s="209">
        <f>CaseData!F$63</f>
        <v>189600</v>
      </c>
      <c r="J147" s="209">
        <f>CaseData!G$63</f>
        <v>186312</v>
      </c>
      <c r="K147" s="209">
        <f>CaseData!H$63</f>
        <v>185545</v>
      </c>
      <c r="L147" s="209">
        <f>CaseData!I$63</f>
        <v>185313</v>
      </c>
      <c r="M147" s="209">
        <f>CaseData!J$63</f>
        <v>183795</v>
      </c>
    </row>
    <row r="148" spans="3:13">
      <c r="E148" t="s">
        <v>38</v>
      </c>
      <c r="F148" t="s">
        <v>129</v>
      </c>
      <c r="H148" s="209">
        <f>CaseData!E$64</f>
        <v>81423</v>
      </c>
      <c r="I148" s="209">
        <f>CaseData!F$64</f>
        <v>63499</v>
      </c>
      <c r="J148" s="209">
        <f>CaseData!G$64</f>
        <v>89256</v>
      </c>
      <c r="K148" s="209">
        <f>CaseData!H$64</f>
        <v>86777</v>
      </c>
      <c r="L148" s="209">
        <f>CaseData!I$64</f>
        <v>77656</v>
      </c>
      <c r="M148" s="209">
        <f>CaseData!J$64</f>
        <v>83704</v>
      </c>
    </row>
    <row r="149" spans="3:13">
      <c r="E149" s="171" t="str">
        <f>E$161</f>
        <v>TTM Interest expenses</v>
      </c>
      <c r="F149" s="171" t="str">
        <f>F$161</f>
        <v>USD</v>
      </c>
      <c r="G149" s="171"/>
      <c r="H149" s="171">
        <f t="shared" ref="H149:M149" si="46">H$161</f>
        <v>46899.411</v>
      </c>
      <c r="I149" s="171">
        <f t="shared" si="46"/>
        <v>46794.686722229169</v>
      </c>
      <c r="J149" s="171">
        <f t="shared" si="46"/>
        <v>46583.152622442729</v>
      </c>
      <c r="K149" s="171">
        <f t="shared" si="46"/>
        <v>41431.272631099549</v>
      </c>
      <c r="L149" s="171">
        <f t="shared" si="46"/>
        <v>42295.894116191077</v>
      </c>
      <c r="M149" s="171">
        <f t="shared" si="46"/>
        <v>43424.491234340152</v>
      </c>
    </row>
    <row r="150" spans="3:13">
      <c r="E150" s="161" t="s">
        <v>175</v>
      </c>
      <c r="F150" s="161" t="s">
        <v>129</v>
      </c>
      <c r="G150" s="161"/>
      <c r="H150" s="214">
        <f>( H147 - H148 ) / H149</f>
        <v>2.383761280072366</v>
      </c>
      <c r="I150" s="214">
        <f t="shared" ref="I150:M150" si="47">( I147 - I148 ) / I149</f>
        <v>2.6947717536507723</v>
      </c>
      <c r="J150" s="214">
        <f t="shared" si="47"/>
        <v>2.0835000324396371</v>
      </c>
      <c r="K150" s="214">
        <f t="shared" si="47"/>
        <v>2.3838997387172172</v>
      </c>
      <c r="L150" s="214">
        <f t="shared" si="47"/>
        <v>2.5453298068189643</v>
      </c>
      <c r="M150" s="214">
        <f t="shared" si="47"/>
        <v>2.3049435273716665</v>
      </c>
    </row>
    <row r="151" spans="3:13">
      <c r="E151" s="161"/>
      <c r="F151" s="161"/>
      <c r="G151" s="161"/>
      <c r="H151" s="214"/>
      <c r="I151" s="214"/>
      <c r="J151" s="214"/>
      <c r="K151" s="214"/>
      <c r="L151" s="214"/>
      <c r="M151" s="214"/>
    </row>
    <row r="152" spans="3:13" s="182" customFormat="1">
      <c r="D152" s="169"/>
      <c r="E152" s="218" t="s">
        <v>180</v>
      </c>
      <c r="F152" s="218" t="s">
        <v>171</v>
      </c>
      <c r="G152" s="220">
        <f>CaseData!$E$13</f>
        <v>2.25</v>
      </c>
      <c r="H152" s="217"/>
      <c r="I152" s="217"/>
      <c r="J152" s="217"/>
      <c r="K152" s="217"/>
      <c r="L152" s="217"/>
      <c r="M152" s="217"/>
    </row>
    <row r="153" spans="3:13">
      <c r="E153" s="161" t="s">
        <v>86</v>
      </c>
      <c r="F153" s="213" t="s">
        <v>129</v>
      </c>
      <c r="G153" s="161"/>
      <c r="H153" s="161">
        <f xml:space="preserve"> H$147 - ( $G$152 * H$149 + H$148 )</f>
        <v>6273.3252499999944</v>
      </c>
      <c r="I153" s="161">
        <f t="shared" ref="I153:M153" si="48" xml:space="preserve"> I$147 - ( $G$152 * I$149 + I$148 )</f>
        <v>20812.954874984367</v>
      </c>
      <c r="J153" s="161">
        <f t="shared" si="48"/>
        <v>-7756.0934004961455</v>
      </c>
      <c r="K153" s="161">
        <f t="shared" si="48"/>
        <v>5547.6365800260101</v>
      </c>
      <c r="L153" s="161">
        <f t="shared" si="48"/>
        <v>12491.238238570077</v>
      </c>
      <c r="M153" s="161">
        <f t="shared" si="48"/>
        <v>2385.8947227346653</v>
      </c>
    </row>
    <row r="155" spans="3:13">
      <c r="C155" s="161" t="s">
        <v>177</v>
      </c>
    </row>
    <row r="157" spans="3:13">
      <c r="E157" t="s">
        <v>137</v>
      </c>
      <c r="F157" t="s">
        <v>129</v>
      </c>
      <c r="H157" cm="1">
        <f t="array" ref="H157:M157" xml:space="preserve"> _xlfn.LET(
      _xlpm.historicals,  CaseData!$E$31:$S$31 + CaseData!$E$32:$S$32,
      _xlpm.forecast,     Debt!$H$118:$M$118,
      _xlpm.hist_count,   COLUMNS( _xlpm.historicals ),
      _xlpm.fcst_count,   COLUMNS( _xlpm.forecast ),
      _xlpm.full,         _xlfn.HSTACK( _xlpm.historicals, _xlpm.forecast ),
      _xlfn.MAKEARRAY( 1, _xlpm.fcst_count,
                 _xlfn.LAMBDA(_xlpm.i,_xlpm.j,
                         SUM( _xlfn.TAKE( _xlfn.TAKE( _xlpm.full, , _xlpm.hist_count + _xlpm.j ), , -12 ) ) ) ) )</f>
        <v>1360.101375</v>
      </c>
      <c r="I157">
        <v>1353.4069956666667</v>
      </c>
      <c r="J157">
        <v>1302.1078563294475</v>
      </c>
      <c r="K157">
        <v>1206.9451896627806</v>
      </c>
      <c r="L157">
        <v>1096.080522996114</v>
      </c>
      <c r="M157">
        <v>1025.7128563294475</v>
      </c>
    </row>
    <row r="158" spans="3:13">
      <c r="E158" t="s">
        <v>146</v>
      </c>
      <c r="F158" t="s">
        <v>129</v>
      </c>
      <c r="H158" cm="1">
        <f t="array" ref="H158:M158" xml:space="preserve"> _xlfn.LET(
      _xlpm.historicals,  CaseData!$E$36:$S$36,
      _xlpm.forecast,     Debt!$H$119:$M$119,
      _xlpm.hist_count,   COLUMNS( _xlpm.historicals ),
      _xlpm.fcst_count,   COLUMNS( _xlpm.forecast ),
      _xlpm.full,         _xlfn.HSTACK( _xlpm.historicals, _xlpm.forecast ),
      _xlfn.MAKEARRAY( 1, _xlpm.fcst_count,
                 _xlfn.LAMBDA(_xlpm.i,_xlpm.j,
                         SUM( _xlfn.TAKE( _xlfn.TAKE( _xlpm.full, , _xlpm.hist_count + _xlpm.j ), , -12 ) ) ) ) )</f>
        <v>9914.3096250000017</v>
      </c>
      <c r="I158">
        <v>9816.2797265625013</v>
      </c>
      <c r="J158">
        <v>9656.0447661132821</v>
      </c>
      <c r="K158">
        <v>9581.8274414367679</v>
      </c>
      <c r="L158">
        <v>9527.3135931949619</v>
      </c>
      <c r="M158">
        <v>9438.7783780107038</v>
      </c>
    </row>
    <row r="159" spans="3:13">
      <c r="E159" t="s">
        <v>152</v>
      </c>
      <c r="F159" t="s">
        <v>129</v>
      </c>
      <c r="H159">
        <f xml:space="preserve"> H$81 * 12</f>
        <v>35625</v>
      </c>
      <c r="I159">
        <f t="shared" ref="I159:M159" si="49" xml:space="preserve"> I$81 * 12</f>
        <v>35625</v>
      </c>
      <c r="J159">
        <f t="shared" si="49"/>
        <v>35625</v>
      </c>
      <c r="K159">
        <f t="shared" si="49"/>
        <v>0</v>
      </c>
      <c r="L159">
        <f t="shared" si="49"/>
        <v>0</v>
      </c>
      <c r="M159">
        <f t="shared" si="49"/>
        <v>0</v>
      </c>
    </row>
    <row r="160" spans="3:13">
      <c r="E160" s="171" t="s">
        <v>160</v>
      </c>
      <c r="F160" s="171" t="s">
        <v>129</v>
      </c>
      <c r="G160" s="171"/>
      <c r="H160" s="171">
        <f xml:space="preserve"> H$99 * 12</f>
        <v>0</v>
      </c>
      <c r="I160" s="171">
        <f xml:space="preserve"> I$99 * 12</f>
        <v>0</v>
      </c>
      <c r="J160" s="171">
        <f xml:space="preserve"> J$99 * 12</f>
        <v>0</v>
      </c>
      <c r="K160" s="171">
        <f xml:space="preserve"> K$99 * 12</f>
        <v>30642.5</v>
      </c>
      <c r="L160" s="171">
        <f t="shared" ref="L160:M160" si="50" xml:space="preserve"> L$99 * 12</f>
        <v>31672.5</v>
      </c>
      <c r="M160" s="171">
        <f t="shared" si="50"/>
        <v>32960</v>
      </c>
    </row>
    <row r="161" spans="1:13">
      <c r="E161" s="213" t="s">
        <v>177</v>
      </c>
      <c r="F161" s="213" t="s">
        <v>129</v>
      </c>
      <c r="G161" s="161"/>
      <c r="H161" s="161">
        <f>SUM(H157:H160)</f>
        <v>46899.411</v>
      </c>
      <c r="I161" s="161">
        <f t="shared" ref="I161:M161" si="51">SUM(I157:I160)</f>
        <v>46794.686722229169</v>
      </c>
      <c r="J161" s="161">
        <f t="shared" si="51"/>
        <v>46583.152622442729</v>
      </c>
      <c r="K161" s="161">
        <f t="shared" si="51"/>
        <v>41431.272631099549</v>
      </c>
      <c r="L161" s="161">
        <f t="shared" si="51"/>
        <v>42295.894116191077</v>
      </c>
      <c r="M161" s="161">
        <f t="shared" si="51"/>
        <v>43424.491234340152</v>
      </c>
    </row>
    <row r="162" spans="1:13">
      <c r="E162" s="213"/>
      <c r="F162" s="213"/>
      <c r="G162" s="161"/>
      <c r="H162" s="161"/>
      <c r="I162" s="161"/>
      <c r="J162" s="161"/>
      <c r="K162" s="161"/>
      <c r="L162" s="161"/>
      <c r="M162" s="161"/>
    </row>
    <row r="164" spans="1:13" s="159" customFormat="1">
      <c r="A164" s="160" t="s">
        <v>181</v>
      </c>
      <c r="D164" s="168"/>
    </row>
    <row r="166" spans="1:13">
      <c r="C166" s="221" t="s">
        <v>103</v>
      </c>
      <c r="E166" t="s">
        <v>183</v>
      </c>
      <c r="M166" s="231">
        <v>43465</v>
      </c>
    </row>
    <row r="167" spans="1:13">
      <c r="H167" s="214"/>
      <c r="I167" s="230" t="s">
        <v>182</v>
      </c>
      <c r="J167" s="224">
        <f xml:space="preserve"> MIN( H153:M153 )</f>
        <v>-7756.0934004961455</v>
      </c>
      <c r="K167" s="225">
        <f xml:space="preserve"> MIN(H150:M150 )</f>
        <v>2.0835000324396371</v>
      </c>
      <c r="L167" s="214"/>
      <c r="M167" s="214"/>
    </row>
    <row r="168" spans="1:13">
      <c r="E168" s="222" cm="1">
        <f t="array" ref="E168:E173">TRANSPOSE(_xlfn.ANCHORARRAY( H3) )</f>
        <v>43404</v>
      </c>
      <c r="F168" t="str">
        <f t="shared" ref="F168:F173" si="52" xml:space="preserve"> IF( J168 = $J$167, "✓","X")</f>
        <v>X</v>
      </c>
      <c r="I168" s="226">
        <v>43404</v>
      </c>
      <c r="J168" s="174">
        <f t="dataTable" ref="J168:K173" dt2D="0" dtr="0" r1="M166"/>
        <v>2540.4738057259237</v>
      </c>
      <c r="K168" s="227">
        <v>2.3085959531525195</v>
      </c>
    </row>
    <row r="169" spans="1:13">
      <c r="E169" s="222">
        <v>43434</v>
      </c>
      <c r="F169" t="str">
        <f t="shared" si="52"/>
        <v>X</v>
      </c>
      <c r="I169" s="226">
        <v>43434</v>
      </c>
      <c r="J169" s="174">
        <v>2457.585409225896</v>
      </c>
      <c r="K169" s="227">
        <v>2.3066360112870705</v>
      </c>
    </row>
    <row r="170" spans="1:13">
      <c r="E170" s="222">
        <v>43465</v>
      </c>
      <c r="F170" t="str">
        <f t="shared" si="52"/>
        <v>✓</v>
      </c>
      <c r="I170" s="226">
        <v>43465</v>
      </c>
      <c r="J170" s="174">
        <v>-7756.0934004961455</v>
      </c>
      <c r="K170" s="227">
        <v>2.0835000324396371</v>
      </c>
    </row>
    <row r="171" spans="1:13">
      <c r="E171" s="222">
        <v>43496</v>
      </c>
      <c r="F171" t="str">
        <f t="shared" si="52"/>
        <v>✓</v>
      </c>
      <c r="I171" s="226">
        <v>43496</v>
      </c>
      <c r="J171" s="174">
        <v>-7756.0934004961455</v>
      </c>
      <c r="K171" s="227">
        <v>2.0835000324396371</v>
      </c>
    </row>
    <row r="172" spans="1:13">
      <c r="E172" s="222">
        <v>43524</v>
      </c>
      <c r="F172" t="str">
        <f t="shared" si="52"/>
        <v>✓</v>
      </c>
      <c r="I172" s="226">
        <v>43524</v>
      </c>
      <c r="J172" s="174">
        <v>-7756.0934004961455</v>
      </c>
      <c r="K172" s="227">
        <v>2.0835000324396371</v>
      </c>
    </row>
    <row r="173" spans="1:13">
      <c r="E173" s="222">
        <v>43555</v>
      </c>
      <c r="F173" t="str">
        <f t="shared" si="52"/>
        <v>✓</v>
      </c>
      <c r="I173" s="228">
        <v>43555</v>
      </c>
      <c r="J173" s="171">
        <v>-7756.0934004961455</v>
      </c>
      <c r="K173" s="229">
        <v>2.0835000324396371</v>
      </c>
    </row>
    <row r="176" spans="1:13">
      <c r="H176" s="232">
        <v>43404</v>
      </c>
      <c r="I176" s="232">
        <v>43434</v>
      </c>
      <c r="J176" s="232">
        <v>43465</v>
      </c>
      <c r="K176" s="232">
        <v>43496</v>
      </c>
      <c r="L176" s="232">
        <v>43524</v>
      </c>
      <c r="M176" s="232">
        <v>43555</v>
      </c>
    </row>
    <row r="177" spans="1:13">
      <c r="E177" t="s">
        <v>184</v>
      </c>
      <c r="H177" s="214">
        <f t="shared" ref="H177:M177" si="53">H150</f>
        <v>2.383761280072366</v>
      </c>
      <c r="I177" s="214">
        <f t="shared" si="53"/>
        <v>2.6947717536507723</v>
      </c>
      <c r="J177" s="214">
        <f t="shared" si="53"/>
        <v>2.0835000324396371</v>
      </c>
      <c r="K177" s="214">
        <f t="shared" si="53"/>
        <v>2.3838997387172172</v>
      </c>
      <c r="L177" s="214">
        <f t="shared" si="53"/>
        <v>2.5453298068189643</v>
      </c>
      <c r="M177" s="214">
        <f t="shared" si="53"/>
        <v>2.3049435273716665</v>
      </c>
    </row>
    <row r="178" spans="1:13" ht="14.4">
      <c r="E178" s="206" t="s">
        <v>185</v>
      </c>
      <c r="F178" t="str">
        <f>IF( $J168 &gt;= 0, "✓","X")</f>
        <v>✓</v>
      </c>
      <c r="G178" s="223" cm="1">
        <f t="array" ref="G178:G183">TRANSPOSE(_xlfn.ANCHORARRAY(H3))</f>
        <v>43404</v>
      </c>
      <c r="H178" s="217">
        <f t="dataTable" ref="H178:M183" dt2D="0" dtr="0" r1="M166" ca="1"/>
        <v>2.383761280072366</v>
      </c>
      <c r="I178" s="217">
        <v>3.3036377312279011</v>
      </c>
      <c r="J178" s="217">
        <v>2.4116616838323806</v>
      </c>
      <c r="K178" s="217">
        <v>2.3878593146040941</v>
      </c>
      <c r="L178" s="217">
        <v>2.5494709482757547</v>
      </c>
      <c r="M178" s="217">
        <v>2.3085959531525195</v>
      </c>
    </row>
    <row r="179" spans="1:13">
      <c r="F179" t="str">
        <f t="shared" ref="F179:F183" si="54">IF( $J169 &gt;= 0, "✓","X")</f>
        <v>✓</v>
      </c>
      <c r="G179" s="223">
        <v>43434</v>
      </c>
      <c r="H179" s="217">
        <v>2.383761280072366</v>
      </c>
      <c r="I179" s="217">
        <v>2.6947717536507723</v>
      </c>
      <c r="J179" s="217">
        <v>2.4094560966351555</v>
      </c>
      <c r="K179" s="217">
        <v>2.385734476709501</v>
      </c>
      <c r="L179" s="217">
        <v>2.5472487113219979</v>
      </c>
      <c r="M179" s="217">
        <v>2.3066360112870705</v>
      </c>
    </row>
    <row r="180" spans="1:13">
      <c r="F180" t="str">
        <f t="shared" si="54"/>
        <v>X</v>
      </c>
      <c r="G180" s="223">
        <v>43465</v>
      </c>
      <c r="H180" s="217">
        <v>2.383761280072366</v>
      </c>
      <c r="I180" s="217">
        <v>2.6947717536507723</v>
      </c>
      <c r="J180" s="219">
        <v>2.0835000324396371</v>
      </c>
      <c r="K180" s="217">
        <v>2.3838997387172172</v>
      </c>
      <c r="L180" s="217">
        <v>2.5453298068189643</v>
      </c>
      <c r="M180" s="217">
        <v>2.3049435273716665</v>
      </c>
    </row>
    <row r="181" spans="1:13">
      <c r="F181" t="str">
        <f t="shared" si="54"/>
        <v>X</v>
      </c>
      <c r="G181" s="223">
        <v>43496</v>
      </c>
      <c r="H181" s="217">
        <v>2.383761280072366</v>
      </c>
      <c r="I181" s="217">
        <v>2.6947717536507723</v>
      </c>
      <c r="J181" s="219">
        <v>2.0835000324396371</v>
      </c>
      <c r="K181" s="219">
        <v>2.1264591814387046</v>
      </c>
      <c r="L181" s="217">
        <v>2.5619329773065265</v>
      </c>
      <c r="M181" s="217">
        <v>2.3202575589731418</v>
      </c>
    </row>
    <row r="182" spans="1:13">
      <c r="F182" t="str">
        <f t="shared" si="54"/>
        <v>X</v>
      </c>
      <c r="G182" s="223">
        <v>43524</v>
      </c>
      <c r="H182" s="217">
        <v>2.383761280072366</v>
      </c>
      <c r="I182" s="217">
        <v>2.6947717536507723</v>
      </c>
      <c r="J182" s="219">
        <v>2.0835000324396371</v>
      </c>
      <c r="K182" s="219">
        <v>2.1264591814387046</v>
      </c>
      <c r="L182" s="217">
        <v>2.3247537950798818</v>
      </c>
      <c r="M182" s="217">
        <v>2.3187952794862907</v>
      </c>
    </row>
    <row r="183" spans="1:13">
      <c r="F183" t="str">
        <f t="shared" si="54"/>
        <v>X</v>
      </c>
      <c r="G183" s="223">
        <v>43555</v>
      </c>
      <c r="H183" s="217">
        <v>2.383761280072366</v>
      </c>
      <c r="I183" s="217">
        <v>2.6947717536507723</v>
      </c>
      <c r="J183" s="219">
        <v>2.0835000324396371</v>
      </c>
      <c r="K183" s="219">
        <v>2.1264591814387046</v>
      </c>
      <c r="L183" s="217">
        <v>2.3247537950798818</v>
      </c>
      <c r="M183" s="219">
        <v>2.168164382793822</v>
      </c>
    </row>
    <row r="184" spans="1:13">
      <c r="C184" t="s">
        <v>105</v>
      </c>
      <c r="G184" s="223"/>
      <c r="H184" s="217"/>
      <c r="I184" s="217"/>
      <c r="J184" s="217"/>
      <c r="K184" s="217"/>
      <c r="L184" s="217"/>
      <c r="M184" s="217"/>
    </row>
    <row r="185" spans="1:13">
      <c r="E185" t="s">
        <v>114</v>
      </c>
      <c r="F185">
        <v>6273.3252499999944</v>
      </c>
      <c r="G185" t="s">
        <v>115</v>
      </c>
    </row>
    <row r="186" spans="1:13">
      <c r="G186" s="223">
        <v>43404</v>
      </c>
    </row>
    <row r="188" spans="1:13" s="159" customFormat="1">
      <c r="A188" s="160" t="s">
        <v>178</v>
      </c>
      <c r="D188" s="168"/>
    </row>
  </sheetData>
  <conditionalFormatting sqref="H184:M184">
    <cfRule type="expression" dxfId="5" priority="1">
      <formula>"MIN($H$178:$M$184"</formula>
    </cfRule>
  </conditionalFormatting>
  <dataValidations disablePrompts="1" count="1">
    <dataValidation type="list" allowBlank="1" showInputMessage="1" showErrorMessage="1" sqref="M166" xr:uid="{A48308A7-2BD5-4C6E-9049-A92868677EEC}">
      <formula1>Date</formula1>
    </dataValidation>
  </dataValidations>
  <printOptions horizontalCentered="1"/>
  <pageMargins left="0.15748031496062992" right="0.15748031496062992" top="0.39370078740157483" bottom="0.39370078740157483" header="0.15748031496062992" footer="0.15748031496062992"/>
  <pageSetup scale="60" fitToHeight="0" orientation="portrait" r:id="rId1"/>
  <headerFooter>
    <oddFooter>&amp;L&amp;"Arial,Regular"Financial Modeling Institute
CFM October 2026&amp;C&amp;"Arial,Regular"&amp;P of &amp;N&amp;R&amp;"Arial,Regular"&amp;D</oddFooter>
  </headerFooter>
  <rowBreaks count="2" manualBreakCount="2">
    <brk id="88" max="12" man="1"/>
    <brk id="163" max="12" man="1"/>
  </rowBreaks>
  <colBreaks count="1" manualBreakCount="1">
    <brk id="4" max="1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7"/>
  <sheetViews>
    <sheetView showGridLines="0" topLeftCell="A12" zoomScale="85" zoomScaleNormal="85" workbookViewId="0">
      <selection activeCell="E63" sqref="E63"/>
    </sheetView>
  </sheetViews>
  <sheetFormatPr defaultRowHeight="13.8"/>
  <cols>
    <col min="1" max="1" width="2.69921875" customWidth="1"/>
    <col min="2" max="4" width="9.69921875" customWidth="1"/>
    <col min="5" max="5" width="10.796875" customWidth="1"/>
    <col min="6" max="6" width="10.09765625" customWidth="1"/>
    <col min="7" max="7" width="20.796875" customWidth="1"/>
    <col min="8" max="8" width="10.09765625" customWidth="1"/>
    <col min="9" max="9" width="11.5" customWidth="1"/>
    <col min="10" max="19" width="10.09765625" customWidth="1"/>
    <col min="20" max="26" width="9.69921875" customWidth="1"/>
  </cols>
  <sheetData>
    <row r="1" spans="2:11" ht="15.6">
      <c r="B1" s="7" t="s">
        <v>41</v>
      </c>
      <c r="C1" s="1"/>
      <c r="D1" s="4"/>
      <c r="E1" s="4"/>
      <c r="F1" s="4"/>
      <c r="G1" s="4"/>
      <c r="H1" s="4"/>
      <c r="I1" s="4"/>
    </row>
    <row r="2" spans="2:11" s="2" customFormat="1">
      <c r="B2" s="8" t="s">
        <v>27</v>
      </c>
      <c r="C2" s="8"/>
    </row>
    <row r="3" spans="2:11" s="2" customFormat="1"/>
    <row r="4" spans="2:11" s="2" customFormat="1">
      <c r="B4" s="9" t="s">
        <v>0</v>
      </c>
      <c r="C4" s="10"/>
      <c r="D4" s="10"/>
      <c r="E4" s="11"/>
    </row>
    <row r="5" spans="2:11" s="2" customFormat="1"/>
    <row r="6" spans="2:11" s="2" customFormat="1">
      <c r="B6" s="12" t="s">
        <v>3</v>
      </c>
      <c r="C6" s="12"/>
      <c r="D6" s="13"/>
      <c r="E6" s="13"/>
      <c r="F6" s="13"/>
      <c r="G6" s="13"/>
      <c r="H6" s="13"/>
      <c r="I6" s="13"/>
    </row>
    <row r="7" spans="2:11" s="2" customFormat="1">
      <c r="B7" s="14" t="s">
        <v>4</v>
      </c>
      <c r="C7" s="15"/>
      <c r="D7" s="15"/>
      <c r="E7" s="16">
        <v>50000</v>
      </c>
      <c r="F7" s="17"/>
      <c r="G7" s="18" t="s">
        <v>33</v>
      </c>
      <c r="H7" s="18"/>
      <c r="I7" s="19"/>
      <c r="K7" s="2" t="s">
        <v>51</v>
      </c>
    </row>
    <row r="8" spans="2:11" s="2" customFormat="1">
      <c r="B8" s="20" t="s">
        <v>5</v>
      </c>
      <c r="E8" s="21">
        <v>12473</v>
      </c>
      <c r="G8" s="22" t="s">
        <v>87</v>
      </c>
      <c r="H8" s="23"/>
      <c r="I8" s="24"/>
      <c r="K8" s="40">
        <v>0.25</v>
      </c>
    </row>
    <row r="9" spans="2:11" s="2" customFormat="1">
      <c r="B9" s="20"/>
      <c r="G9" s="25" t="s">
        <v>6</v>
      </c>
      <c r="I9" s="26" t="s">
        <v>7</v>
      </c>
    </row>
    <row r="10" spans="2:11" s="2" customFormat="1" ht="15.6">
      <c r="B10" s="20" t="s">
        <v>32</v>
      </c>
      <c r="E10" s="27">
        <v>80</v>
      </c>
      <c r="G10" s="28" t="s">
        <v>9</v>
      </c>
      <c r="I10" s="29" t="s">
        <v>8</v>
      </c>
    </row>
    <row r="11" spans="2:11" s="2" customFormat="1">
      <c r="B11" s="20" t="s">
        <v>16</v>
      </c>
      <c r="G11" s="30">
        <v>0</v>
      </c>
      <c r="I11" s="31">
        <v>100</v>
      </c>
    </row>
    <row r="12" spans="2:11" s="2" customFormat="1">
      <c r="B12" s="20"/>
      <c r="G12" s="30">
        <v>2</v>
      </c>
      <c r="I12" s="31">
        <v>175</v>
      </c>
    </row>
    <row r="13" spans="2:11" s="2" customFormat="1">
      <c r="B13" s="20" t="s">
        <v>77</v>
      </c>
      <c r="E13" s="153">
        <v>2.25</v>
      </c>
      <c r="G13" s="30">
        <v>3</v>
      </c>
      <c r="I13" s="31">
        <v>225</v>
      </c>
    </row>
    <row r="14" spans="2:11" s="2" customFormat="1">
      <c r="B14" s="32"/>
      <c r="C14" s="13"/>
      <c r="D14" s="13"/>
      <c r="E14" s="13"/>
      <c r="F14" s="13"/>
      <c r="G14" s="33">
        <v>3.5</v>
      </c>
      <c r="H14" s="13"/>
      <c r="I14" s="34">
        <v>300</v>
      </c>
    </row>
    <row r="15" spans="2:11" s="2" customFormat="1">
      <c r="G15" s="35"/>
      <c r="I15" s="35"/>
    </row>
    <row r="16" spans="2:11" s="2" customFormat="1">
      <c r="B16" s="12" t="s">
        <v>1</v>
      </c>
      <c r="C16" s="12"/>
      <c r="D16" s="13"/>
      <c r="E16" s="13"/>
      <c r="G16" s="12" t="s">
        <v>15</v>
      </c>
      <c r="H16" s="13"/>
      <c r="I16" s="13"/>
    </row>
    <row r="17" spans="2:26" s="2" customFormat="1">
      <c r="B17" s="14" t="s">
        <v>5</v>
      </c>
      <c r="C17" s="15"/>
      <c r="D17" s="15"/>
      <c r="E17" s="36">
        <v>174375</v>
      </c>
      <c r="G17" s="14" t="s">
        <v>14</v>
      </c>
      <c r="H17" s="15"/>
      <c r="I17" s="36">
        <v>500000</v>
      </c>
      <c r="J17" s="3"/>
      <c r="K17" s="2" t="s">
        <v>97</v>
      </c>
      <c r="N17" s="126" t="s">
        <v>43</v>
      </c>
      <c r="O17" s="15"/>
    </row>
    <row r="18" spans="2:26" s="2" customFormat="1">
      <c r="B18" s="20" t="s">
        <v>10</v>
      </c>
      <c r="E18" s="37">
        <v>225000</v>
      </c>
      <c r="G18" s="20" t="s">
        <v>18</v>
      </c>
      <c r="I18" s="38">
        <v>0</v>
      </c>
      <c r="N18" s="76" cm="1">
        <f t="array" ref="N18:N23">TRANSPOSE( E62:J62)</f>
        <v>43404</v>
      </c>
      <c r="P18" s="77">
        <v>5.0500000000000003E-2</v>
      </c>
    </row>
    <row r="19" spans="2:26" s="2" customFormat="1">
      <c r="B19" s="20"/>
      <c r="E19" s="39"/>
      <c r="F19" s="40"/>
      <c r="G19" s="20" t="s">
        <v>34</v>
      </c>
      <c r="I19" s="41">
        <v>7.1249999999999994E-2</v>
      </c>
      <c r="J19" s="5"/>
      <c r="N19" s="76">
        <v>43434</v>
      </c>
      <c r="P19" s="77">
        <v>5.2499999999999998E-2</v>
      </c>
    </row>
    <row r="20" spans="2:26" s="2" customFormat="1">
      <c r="B20" s="20" t="s">
        <v>2</v>
      </c>
      <c r="E20" s="42">
        <v>1.2500000000000001E-2</v>
      </c>
      <c r="F20" s="40"/>
      <c r="G20" s="20" t="s">
        <v>17</v>
      </c>
      <c r="I20" s="37" t="s">
        <v>19</v>
      </c>
      <c r="N20" s="76">
        <v>43465</v>
      </c>
      <c r="P20" s="77">
        <v>5.7000000000000002E-2</v>
      </c>
    </row>
    <row r="21" spans="2:26" s="2" customFormat="1">
      <c r="B21" s="20"/>
      <c r="E21" s="39"/>
      <c r="G21" s="20"/>
      <c r="I21" s="43" t="s">
        <v>20</v>
      </c>
      <c r="N21" s="76">
        <v>43496</v>
      </c>
      <c r="P21" s="77">
        <v>5.9499999999999997E-2</v>
      </c>
    </row>
    <row r="22" spans="2:26" s="2" customFormat="1">
      <c r="B22" s="20" t="s">
        <v>35</v>
      </c>
      <c r="E22" s="43" t="s">
        <v>11</v>
      </c>
      <c r="G22" s="20" t="s">
        <v>12</v>
      </c>
      <c r="I22" s="43" t="s">
        <v>21</v>
      </c>
      <c r="N22" s="76">
        <v>43524</v>
      </c>
      <c r="P22" s="77">
        <v>6.1499999999999999E-2</v>
      </c>
    </row>
    <row r="23" spans="2:26" s="2" customFormat="1">
      <c r="B23" s="20" t="s">
        <v>16</v>
      </c>
      <c r="E23" s="43" t="s">
        <v>36</v>
      </c>
      <c r="G23" s="20" t="s">
        <v>39</v>
      </c>
      <c r="I23" s="39"/>
      <c r="N23" s="76">
        <v>43555</v>
      </c>
      <c r="P23" s="77">
        <v>6.4000000000000001E-2</v>
      </c>
    </row>
    <row r="24" spans="2:26" s="2" customFormat="1">
      <c r="B24" s="20"/>
      <c r="E24" s="39"/>
      <c r="G24" s="44" t="s">
        <v>153</v>
      </c>
      <c r="H24" s="179">
        <v>43465</v>
      </c>
      <c r="I24" s="45">
        <v>1.03</v>
      </c>
      <c r="N24" s="20"/>
      <c r="P24" s="39"/>
    </row>
    <row r="25" spans="2:26" s="2" customFormat="1">
      <c r="B25" s="32" t="s">
        <v>12</v>
      </c>
      <c r="C25" s="13"/>
      <c r="D25" s="13"/>
      <c r="E25" s="46" t="s">
        <v>13</v>
      </c>
      <c r="G25" s="47" t="s">
        <v>154</v>
      </c>
      <c r="H25" s="180">
        <v>43555</v>
      </c>
      <c r="I25" s="48">
        <v>1.02</v>
      </c>
      <c r="N25" s="20" t="s">
        <v>17</v>
      </c>
      <c r="P25" s="80">
        <f>EOMONTH(Debt!M166,6)</f>
        <v>43646</v>
      </c>
    </row>
    <row r="26" spans="2:26" s="2" customFormat="1">
      <c r="N26" s="32"/>
      <c r="O26" s="13"/>
      <c r="P26" s="84">
        <f>EOMONTH(P25,6)</f>
        <v>43830</v>
      </c>
    </row>
    <row r="27" spans="2:26" s="2" customFormat="1">
      <c r="B27" s="9" t="s">
        <v>26</v>
      </c>
      <c r="C27" s="10"/>
      <c r="D27" s="10"/>
      <c r="E27" s="11"/>
    </row>
    <row r="28" spans="2:26" s="2" customFormat="1"/>
    <row r="29" spans="2:26" s="2" customFormat="1">
      <c r="B29" s="1" t="s">
        <v>3</v>
      </c>
      <c r="C29" s="1"/>
      <c r="E29" s="49">
        <v>42947</v>
      </c>
      <c r="F29" s="50">
        <v>42978</v>
      </c>
      <c r="G29" s="50">
        <v>43008</v>
      </c>
      <c r="H29" s="50">
        <v>43039</v>
      </c>
      <c r="I29" s="50">
        <v>43069</v>
      </c>
      <c r="J29" s="50">
        <v>43100</v>
      </c>
      <c r="K29" s="50">
        <v>43131</v>
      </c>
      <c r="L29" s="50">
        <v>43159</v>
      </c>
      <c r="M29" s="50">
        <v>43190</v>
      </c>
      <c r="N29" s="50">
        <v>43220</v>
      </c>
      <c r="O29" s="50">
        <v>43251</v>
      </c>
      <c r="P29" s="50">
        <v>43281</v>
      </c>
      <c r="Q29" s="50">
        <v>43312</v>
      </c>
      <c r="R29" s="50">
        <v>43343</v>
      </c>
      <c r="S29" s="50">
        <v>43373</v>
      </c>
      <c r="T29" s="49">
        <f>EOMONTH(S29,1)</f>
        <v>43404</v>
      </c>
      <c r="U29" s="49">
        <f t="shared" ref="U29:Y29" si="0">EOMONTH(T29,1)</f>
        <v>43434</v>
      </c>
      <c r="V29" s="49">
        <f t="shared" si="0"/>
        <v>43465</v>
      </c>
      <c r="W29" s="49">
        <f t="shared" si="0"/>
        <v>43496</v>
      </c>
      <c r="X29" s="49">
        <f t="shared" si="0"/>
        <v>43524</v>
      </c>
      <c r="Y29" s="49">
        <f t="shared" si="0"/>
        <v>43555</v>
      </c>
      <c r="Z29" s="49"/>
    </row>
    <row r="30" spans="2:26" s="2" customFormat="1">
      <c r="B30" s="2" t="s">
        <v>22</v>
      </c>
      <c r="D30" s="51">
        <v>10029</v>
      </c>
      <c r="E30" s="51">
        <v>5395</v>
      </c>
      <c r="F30" s="51">
        <v>11094</v>
      </c>
      <c r="G30" s="51">
        <v>12111</v>
      </c>
      <c r="H30" s="51">
        <v>12263</v>
      </c>
      <c r="I30" s="51">
        <v>21116</v>
      </c>
      <c r="J30" s="51">
        <v>26477</v>
      </c>
      <c r="K30" s="51">
        <v>31004</v>
      </c>
      <c r="L30" s="51">
        <v>18530</v>
      </c>
      <c r="M30" s="51">
        <v>8274</v>
      </c>
      <c r="N30" s="51">
        <v>31247</v>
      </c>
      <c r="O30" s="51">
        <v>33481</v>
      </c>
      <c r="P30" s="51">
        <v>15891</v>
      </c>
      <c r="Q30" s="51">
        <v>36380</v>
      </c>
      <c r="R30" s="51">
        <v>13877</v>
      </c>
      <c r="S30" s="51">
        <v>12473</v>
      </c>
      <c r="T30" s="3">
        <f t="shared" ref="T30:Y30" si="1">MAX(S30-E77,0)</f>
        <v>10348.6685</v>
      </c>
      <c r="U30" s="3">
        <f t="shared" si="1"/>
        <v>9287.7534247968742</v>
      </c>
      <c r="V30" s="3">
        <f t="shared" si="1"/>
        <v>9964.1859539066936</v>
      </c>
      <c r="W30" s="3">
        <f t="shared" si="1"/>
        <v>6523.8319766399709</v>
      </c>
      <c r="X30" s="3">
        <f t="shared" si="1"/>
        <v>1475.4314585983602</v>
      </c>
      <c r="Y30" s="3">
        <f t="shared" si="1"/>
        <v>377.27158436706986</v>
      </c>
    </row>
    <row r="31" spans="2:26" s="2" customFormat="1">
      <c r="B31" s="2" t="s">
        <v>23</v>
      </c>
      <c r="D31" s="52"/>
      <c r="E31" s="51">
        <v>44.337000000000003</v>
      </c>
      <c r="F31" s="51">
        <v>24.928999999999998</v>
      </c>
      <c r="G31" s="51">
        <v>49.137</v>
      </c>
      <c r="H31" s="51">
        <v>53.884</v>
      </c>
      <c r="I31" s="51">
        <v>51.709000000000003</v>
      </c>
      <c r="J31" s="51">
        <v>97.239000000000004</v>
      </c>
      <c r="K31" s="51">
        <v>112.81399999999999</v>
      </c>
      <c r="L31" s="51">
        <v>131.53399999999999</v>
      </c>
      <c r="M31" s="51">
        <v>82.721000000000004</v>
      </c>
      <c r="N31" s="51">
        <v>36.771000000000001</v>
      </c>
      <c r="O31" s="51">
        <v>130.274</v>
      </c>
      <c r="P31" s="51">
        <v>141.792</v>
      </c>
      <c r="Q31" s="51">
        <v>68.582999999999998</v>
      </c>
      <c r="R31" s="51">
        <v>165.83199999999999</v>
      </c>
      <c r="S31" s="51">
        <v>60.271999999999998</v>
      </c>
      <c r="T31" s="51">
        <f>S$30*T$57*(30/360)</f>
        <v>54.569374999999994</v>
      </c>
      <c r="U31" s="51">
        <f t="shared" ref="U31:Y31" si="2">T$30*U$57*(30/360)</f>
        <v>28.890032895833333</v>
      </c>
      <c r="V31" s="51">
        <f t="shared" si="2"/>
        <v>26.702291096291013</v>
      </c>
      <c r="W31" s="51">
        <f t="shared" si="2"/>
        <v>29.477383446973963</v>
      </c>
      <c r="X31" s="51">
        <f t="shared" si="2"/>
        <v>19.843322262279909</v>
      </c>
      <c r="Y31" s="51">
        <f t="shared" si="2"/>
        <v>4.5492469973449436</v>
      </c>
    </row>
    <row r="32" spans="2:26" s="2" customFormat="1">
      <c r="B32" s="2" t="s">
        <v>24</v>
      </c>
      <c r="D32" s="52"/>
      <c r="E32" s="51">
        <v>26.646999999999998</v>
      </c>
      <c r="F32" s="51">
        <v>29.736999999999998</v>
      </c>
      <c r="G32" s="51">
        <v>25.937000000000001</v>
      </c>
      <c r="H32" s="51">
        <v>25.259</v>
      </c>
      <c r="I32" s="51">
        <v>25.158000000000001</v>
      </c>
      <c r="J32" s="51">
        <v>19.256</v>
      </c>
      <c r="K32" s="51">
        <v>15.682</v>
      </c>
      <c r="L32" s="51">
        <v>12.664</v>
      </c>
      <c r="M32" s="51">
        <v>20.98</v>
      </c>
      <c r="N32" s="51">
        <v>27.817</v>
      </c>
      <c r="O32" s="51">
        <v>12.502000000000001</v>
      </c>
      <c r="P32" s="51">
        <v>11.013</v>
      </c>
      <c r="Q32" s="51">
        <v>22.739000000000001</v>
      </c>
      <c r="R32" s="51">
        <v>9.08</v>
      </c>
      <c r="S32" s="51">
        <v>24.082000000000001</v>
      </c>
      <c r="T32" s="51">
        <f>($E$7-S$30)*$E$10/10000*(30/360)</f>
        <v>25.018000000000001</v>
      </c>
      <c r="U32" s="51">
        <f t="shared" ref="U32:Y32" si="3">($E$7-T$30)*$E$10/10000*(30/360)</f>
        <v>26.434220999999997</v>
      </c>
      <c r="V32" s="51">
        <f t="shared" si="3"/>
        <v>27.141497716802085</v>
      </c>
      <c r="W32" s="51">
        <f t="shared" si="3"/>
        <v>26.690542697395536</v>
      </c>
      <c r="X32" s="51">
        <f t="shared" si="3"/>
        <v>28.984112015573348</v>
      </c>
      <c r="Y32" s="51">
        <f t="shared" si="3"/>
        <v>32.349712360934426</v>
      </c>
    </row>
    <row r="33" spans="2:25" s="2" customFormat="1"/>
    <row r="34" spans="2:25" s="2" customFormat="1">
      <c r="B34" s="1" t="s">
        <v>1</v>
      </c>
      <c r="C34" s="1"/>
    </row>
    <row r="35" spans="2:25" s="2" customFormat="1">
      <c r="B35" s="2" t="s">
        <v>22</v>
      </c>
      <c r="D35" s="51">
        <v>216562.5</v>
      </c>
      <c r="E35" s="51">
        <v>213750</v>
      </c>
      <c r="F35" s="51">
        <v>210937.5</v>
      </c>
      <c r="G35" s="51">
        <v>208125</v>
      </c>
      <c r="H35" s="51">
        <v>205312.5</v>
      </c>
      <c r="I35" s="51">
        <v>202500</v>
      </c>
      <c r="J35" s="51">
        <v>199687.5</v>
      </c>
      <c r="K35" s="51">
        <v>196875</v>
      </c>
      <c r="L35" s="51">
        <v>194062.5</v>
      </c>
      <c r="M35" s="51">
        <v>191250</v>
      </c>
      <c r="N35" s="51">
        <v>188437.5</v>
      </c>
      <c r="O35" s="51">
        <v>185625</v>
      </c>
      <c r="P35" s="51">
        <v>182812.5</v>
      </c>
      <c r="Q35" s="51">
        <v>180000</v>
      </c>
      <c r="R35" s="51">
        <v>177187.5</v>
      </c>
      <c r="S35" s="51">
        <v>174375</v>
      </c>
      <c r="T35" s="3">
        <f>S35-(R35-S35)</f>
        <v>171562.5</v>
      </c>
      <c r="U35" s="3">
        <f t="shared" ref="U35:Y35" si="4">T35-(S35-T35)</f>
        <v>168750</v>
      </c>
      <c r="V35" s="3">
        <f t="shared" si="4"/>
        <v>165937.5</v>
      </c>
      <c r="W35" s="3">
        <f t="shared" si="4"/>
        <v>163125</v>
      </c>
      <c r="X35" s="3">
        <f t="shared" si="4"/>
        <v>160312.5</v>
      </c>
      <c r="Y35" s="3">
        <f t="shared" si="4"/>
        <v>157500</v>
      </c>
    </row>
    <row r="36" spans="2:25" s="2" customFormat="1">
      <c r="B36" s="2" t="s">
        <v>25</v>
      </c>
      <c r="D36" s="52"/>
      <c r="E36" s="51">
        <v>957.38699999999994</v>
      </c>
      <c r="F36" s="51">
        <v>987.70299999999997</v>
      </c>
      <c r="G36" s="51">
        <v>934.27700000000004</v>
      </c>
      <c r="H36" s="51">
        <v>925.98299999999995</v>
      </c>
      <c r="I36" s="51">
        <v>865.73400000000004</v>
      </c>
      <c r="J36" s="51">
        <v>932.51300000000003</v>
      </c>
      <c r="K36" s="51">
        <v>850.83500000000004</v>
      </c>
      <c r="L36" s="51">
        <v>835.24199999999996</v>
      </c>
      <c r="M36" s="51">
        <v>866.327</v>
      </c>
      <c r="N36" s="51">
        <v>849.947</v>
      </c>
      <c r="O36" s="51">
        <v>785.62699999999995</v>
      </c>
      <c r="P36" s="51">
        <v>786.12199999999996</v>
      </c>
      <c r="Q36" s="51">
        <v>788.98800000000006</v>
      </c>
      <c r="R36" s="51">
        <v>820.5</v>
      </c>
      <c r="S36" s="51">
        <v>769.58399999999995</v>
      </c>
      <c r="T36" s="121">
        <f>(30/360)*T57*S35</f>
        <v>762.89062499999989</v>
      </c>
      <c r="U36" s="121">
        <f t="shared" ref="U36:Y36" si="5">(30/360)*U57*T35</f>
        <v>478.9453125</v>
      </c>
      <c r="V36" s="121">
        <f t="shared" si="5"/>
        <v>485.15625</v>
      </c>
      <c r="W36" s="121">
        <f t="shared" si="5"/>
        <v>490.89843749999989</v>
      </c>
      <c r="X36" s="121">
        <f t="shared" si="5"/>
        <v>496.17187499999994</v>
      </c>
      <c r="Y36" s="121">
        <f t="shared" si="5"/>
        <v>494.29687499999994</v>
      </c>
    </row>
    <row r="37" spans="2:25" s="2" customFormat="1">
      <c r="D37" s="52"/>
      <c r="E37" s="51"/>
      <c r="F37" s="51"/>
      <c r="G37" s="51"/>
      <c r="H37" s="51"/>
      <c r="I37" s="51"/>
      <c r="J37" s="51"/>
      <c r="K37" s="118"/>
      <c r="L37" s="118"/>
      <c r="M37" s="118"/>
      <c r="N37" s="118"/>
      <c r="O37" s="118"/>
      <c r="P37" s="118"/>
      <c r="Q37" s="118"/>
      <c r="R37" s="118"/>
      <c r="S37" s="118"/>
    </row>
    <row r="38" spans="2:25" s="2" customFormat="1">
      <c r="B38" s="2" t="s">
        <v>88</v>
      </c>
      <c r="E38" s="3">
        <f t="shared" ref="E38:Y38" si="6">D35-E35</f>
        <v>2812.5</v>
      </c>
      <c r="F38" s="3">
        <f t="shared" si="6"/>
        <v>2812.5</v>
      </c>
      <c r="G38" s="3">
        <f t="shared" si="6"/>
        <v>2812.5</v>
      </c>
      <c r="H38" s="3">
        <f t="shared" si="6"/>
        <v>2812.5</v>
      </c>
      <c r="I38" s="3">
        <f t="shared" si="6"/>
        <v>2812.5</v>
      </c>
      <c r="J38" s="3">
        <f t="shared" si="6"/>
        <v>2812.5</v>
      </c>
      <c r="K38" s="3">
        <f t="shared" si="6"/>
        <v>2812.5</v>
      </c>
      <c r="L38" s="3">
        <f t="shared" si="6"/>
        <v>2812.5</v>
      </c>
      <c r="M38" s="3">
        <f t="shared" si="6"/>
        <v>2812.5</v>
      </c>
      <c r="N38" s="3">
        <f t="shared" si="6"/>
        <v>2812.5</v>
      </c>
      <c r="O38" s="3">
        <f t="shared" si="6"/>
        <v>2812.5</v>
      </c>
      <c r="P38" s="3">
        <f t="shared" si="6"/>
        <v>2812.5</v>
      </c>
      <c r="Q38" s="3">
        <f t="shared" si="6"/>
        <v>2812.5</v>
      </c>
      <c r="R38" s="3">
        <f t="shared" si="6"/>
        <v>2812.5</v>
      </c>
      <c r="S38" s="3">
        <f t="shared" si="6"/>
        <v>2812.5</v>
      </c>
      <c r="T38" s="3">
        <f t="shared" si="6"/>
        <v>2812.5</v>
      </c>
      <c r="U38" s="3">
        <f t="shared" si="6"/>
        <v>2812.5</v>
      </c>
      <c r="V38" s="3">
        <f t="shared" si="6"/>
        <v>2812.5</v>
      </c>
      <c r="W38" s="3">
        <f t="shared" si="6"/>
        <v>2812.5</v>
      </c>
      <c r="X38" s="3">
        <f t="shared" si="6"/>
        <v>2812.5</v>
      </c>
      <c r="Y38" s="3">
        <f t="shared" si="6"/>
        <v>2812.5</v>
      </c>
    </row>
    <row r="39" spans="2:25" s="2" customFormat="1">
      <c r="D39" s="3"/>
      <c r="E39" s="3"/>
      <c r="F39" s="3"/>
      <c r="G39" s="3"/>
      <c r="H39" s="3"/>
    </row>
    <row r="40" spans="2:25" s="2" customFormat="1">
      <c r="B40" s="1" t="s">
        <v>15</v>
      </c>
      <c r="C40" s="1"/>
    </row>
    <row r="41" spans="2:25" s="2" customFormat="1">
      <c r="B41" s="2" t="s">
        <v>22</v>
      </c>
      <c r="D41" s="51">
        <v>500000</v>
      </c>
      <c r="E41" s="51">
        <v>500000</v>
      </c>
      <c r="F41" s="51">
        <v>500000</v>
      </c>
      <c r="G41" s="51">
        <v>500000</v>
      </c>
      <c r="H41" s="51">
        <v>500000</v>
      </c>
      <c r="I41" s="51">
        <v>500000</v>
      </c>
      <c r="J41" s="51">
        <v>500000</v>
      </c>
      <c r="K41" s="51">
        <v>500000</v>
      </c>
      <c r="L41" s="51">
        <v>500000</v>
      </c>
      <c r="M41" s="51">
        <v>500000</v>
      </c>
      <c r="N41" s="51">
        <v>500000</v>
      </c>
      <c r="O41" s="51">
        <v>500000</v>
      </c>
      <c r="P41" s="51">
        <v>500000</v>
      </c>
      <c r="Q41" s="51">
        <v>500000</v>
      </c>
      <c r="R41" s="51">
        <v>500000</v>
      </c>
      <c r="S41" s="51">
        <v>500000</v>
      </c>
      <c r="T41" s="51">
        <f>IF(Debt!$M$166&lt;T29,0,S41)</f>
        <v>500000</v>
      </c>
      <c r="U41" s="51">
        <f>IF(Debt!$M$166&lt;U29,0,T41)</f>
        <v>500000</v>
      </c>
      <c r="V41" s="51">
        <f>IF(Debt!$M$166&lt;V29,0,U41)</f>
        <v>500000</v>
      </c>
      <c r="W41" s="51">
        <f>IF(Debt!$M$166&lt;W29,0,V41)</f>
        <v>0</v>
      </c>
      <c r="X41" s="51">
        <f>IF(Debt!$M$166&lt;X29,0,W41)</f>
        <v>0</v>
      </c>
      <c r="Y41" s="51">
        <f>IF(Debt!$M$166&lt;Y29,0,X41)</f>
        <v>0</v>
      </c>
    </row>
    <row r="42" spans="2:25" s="2" customFormat="1">
      <c r="B42" s="2" t="s">
        <v>25</v>
      </c>
      <c r="D42" s="52"/>
      <c r="E42" s="51">
        <v>2968.75</v>
      </c>
      <c r="F42" s="51">
        <v>2968.75</v>
      </c>
      <c r="G42" s="51">
        <v>2968.75</v>
      </c>
      <c r="H42" s="51">
        <v>2968.75</v>
      </c>
      <c r="I42" s="51">
        <v>2968.75</v>
      </c>
      <c r="J42" s="51">
        <v>2968.75</v>
      </c>
      <c r="K42" s="51">
        <v>2968.75</v>
      </c>
      <c r="L42" s="51">
        <v>2968.75</v>
      </c>
      <c r="M42" s="51">
        <v>2968.75</v>
      </c>
      <c r="N42" s="51">
        <v>2968.75</v>
      </c>
      <c r="O42" s="51">
        <v>2968.75</v>
      </c>
      <c r="P42" s="51">
        <v>2968.75</v>
      </c>
      <c r="Q42" s="51">
        <v>2968.75</v>
      </c>
      <c r="R42" s="51">
        <v>2968.75</v>
      </c>
      <c r="S42" s="51">
        <v>2968.75</v>
      </c>
      <c r="T42" s="51">
        <f t="shared" ref="T42:Y42" si="7">IF(T41=0,0,S42)</f>
        <v>2968.75</v>
      </c>
      <c r="U42" s="51">
        <f t="shared" si="7"/>
        <v>2968.75</v>
      </c>
      <c r="V42" s="51">
        <f t="shared" si="7"/>
        <v>2968.75</v>
      </c>
      <c r="W42" s="51">
        <f t="shared" si="7"/>
        <v>0</v>
      </c>
      <c r="X42" s="51">
        <f t="shared" si="7"/>
        <v>0</v>
      </c>
      <c r="Y42" s="51">
        <f t="shared" si="7"/>
        <v>0</v>
      </c>
    </row>
    <row r="43" spans="2:25" s="2" customFormat="1">
      <c r="B43" s="2" t="s">
        <v>98</v>
      </c>
      <c r="D43" s="52"/>
      <c r="E43" s="51"/>
      <c r="F43" s="51"/>
      <c r="G43" s="51">
        <f>SUM(B42:G42)</f>
        <v>8906.25</v>
      </c>
      <c r="H43" s="51"/>
      <c r="I43" s="51"/>
      <c r="J43" s="51"/>
      <c r="K43" s="51"/>
      <c r="L43" s="51"/>
      <c r="M43" s="51">
        <f>SUM(H42:M42)</f>
        <v>17812.5</v>
      </c>
      <c r="N43" s="51"/>
      <c r="O43" s="51"/>
      <c r="P43" s="51"/>
      <c r="Q43" s="51"/>
      <c r="R43" s="51"/>
      <c r="S43" s="51">
        <f>SUM(N42:S42)</f>
        <v>17812.5</v>
      </c>
      <c r="T43" s="51"/>
      <c r="U43" s="51"/>
      <c r="V43" s="51"/>
      <c r="W43" s="51"/>
      <c r="X43" s="51"/>
      <c r="Y43" s="51"/>
    </row>
    <row r="44" spans="2:25" s="2" customFormat="1">
      <c r="B44" s="2" t="s">
        <v>96</v>
      </c>
      <c r="T44" s="2">
        <f>IF(T$29=Debt!$M$166,T$41*$I$24,0)</f>
        <v>0</v>
      </c>
      <c r="U44" s="2">
        <f>IF(U$29=Debt!$M$166,U$41*$I$24,0)</f>
        <v>0</v>
      </c>
      <c r="V44" s="2">
        <f>IF(V$29=Debt!$M$166,V$41*$I$24,0)</f>
        <v>515000</v>
      </c>
      <c r="W44" s="2">
        <f>IF(W$29=Debt!$M$166,W$41*$I$25,0)</f>
        <v>0</v>
      </c>
      <c r="X44" s="2">
        <f>IF(X$29=Debt!$M$166,X$41*$I$25,0)</f>
        <v>0</v>
      </c>
      <c r="Y44" s="2">
        <f>IF(Y$29=Debt!$M$166,Y$41,0)</f>
        <v>0</v>
      </c>
    </row>
    <row r="45" spans="2:25" s="2" customFormat="1"/>
    <row r="46" spans="2:25" s="2" customFormat="1">
      <c r="B46" s="2" t="s">
        <v>124</v>
      </c>
      <c r="D46" s="163">
        <v>43404</v>
      </c>
      <c r="E46" s="2" t="s">
        <v>123</v>
      </c>
    </row>
    <row r="47" spans="2:25" s="2" customFormat="1">
      <c r="B47" s="2" t="s">
        <v>125</v>
      </c>
      <c r="D47" s="164">
        <v>6</v>
      </c>
      <c r="E47" s="2" t="s">
        <v>126</v>
      </c>
    </row>
    <row r="48" spans="2:25" s="2" customFormat="1">
      <c r="B48" s="2" t="s">
        <v>127</v>
      </c>
      <c r="D48" s="162" t="s">
        <v>128</v>
      </c>
    </row>
    <row r="49" spans="1:25" s="2" customFormat="1"/>
    <row r="50" spans="1:25" s="2" customFormat="1"/>
    <row r="51" spans="1:25" s="2" customFormat="1"/>
    <row r="52" spans="1:25" s="2" customFormat="1">
      <c r="B52" s="2" t="s">
        <v>28</v>
      </c>
      <c r="D52" s="51">
        <v>726591.5</v>
      </c>
      <c r="E52" s="51">
        <v>719145</v>
      </c>
      <c r="F52" s="51">
        <v>722031.5</v>
      </c>
      <c r="G52" s="51">
        <v>720236</v>
      </c>
      <c r="H52" s="51">
        <v>717575.5</v>
      </c>
      <c r="I52" s="51">
        <v>723616</v>
      </c>
      <c r="J52" s="51">
        <v>726164.5</v>
      </c>
      <c r="K52" s="51">
        <v>727879</v>
      </c>
      <c r="L52" s="51">
        <v>712592.5</v>
      </c>
      <c r="M52" s="51">
        <v>699524</v>
      </c>
      <c r="N52" s="51">
        <v>719684.5</v>
      </c>
      <c r="O52" s="51">
        <v>719106</v>
      </c>
      <c r="P52" s="51">
        <v>698703.5</v>
      </c>
      <c r="Q52" s="51">
        <v>716380</v>
      </c>
      <c r="R52" s="51">
        <v>691064.5</v>
      </c>
      <c r="S52" s="51">
        <v>686848</v>
      </c>
      <c r="T52" s="3">
        <f t="shared" ref="T52:Y52" si="8">SUM(T35,T30,T40)</f>
        <v>181911.1685</v>
      </c>
      <c r="U52" s="3">
        <f t="shared" si="8"/>
        <v>178037.75342479689</v>
      </c>
      <c r="V52" s="3">
        <f t="shared" si="8"/>
        <v>175901.68595390668</v>
      </c>
      <c r="W52" s="3">
        <f t="shared" si="8"/>
        <v>169648.83197663998</v>
      </c>
      <c r="X52" s="3">
        <f t="shared" si="8"/>
        <v>161787.93145859835</v>
      </c>
      <c r="Y52" s="3">
        <f t="shared" si="8"/>
        <v>157877.27158436706</v>
      </c>
    </row>
    <row r="53" spans="1:25" s="2" customFormat="1">
      <c r="B53" s="2" t="s">
        <v>29</v>
      </c>
      <c r="D53" s="51">
        <v>183244</v>
      </c>
      <c r="E53" s="51">
        <v>191930</v>
      </c>
      <c r="F53" s="51">
        <v>199032</v>
      </c>
      <c r="G53" s="51">
        <v>175519</v>
      </c>
      <c r="H53" s="51">
        <v>170868</v>
      </c>
      <c r="I53" s="51">
        <v>156913</v>
      </c>
      <c r="J53" s="51">
        <v>179890</v>
      </c>
      <c r="K53" s="51">
        <v>174023</v>
      </c>
      <c r="L53" s="51">
        <v>198141</v>
      </c>
      <c r="M53" s="51">
        <v>191052</v>
      </c>
      <c r="N53" s="51">
        <v>189901</v>
      </c>
      <c r="O53" s="51">
        <v>165475</v>
      </c>
      <c r="P53" s="51">
        <v>198550</v>
      </c>
      <c r="Q53" s="51">
        <v>187963</v>
      </c>
      <c r="R53" s="51">
        <v>180401</v>
      </c>
      <c r="S53" s="51">
        <v>191177</v>
      </c>
      <c r="T53" s="3">
        <f>E63</f>
        <v>193220</v>
      </c>
      <c r="U53" s="3">
        <f t="shared" ref="U53:Y53" si="9">F63</f>
        <v>189600</v>
      </c>
      <c r="V53" s="3">
        <f t="shared" si="9"/>
        <v>186312</v>
      </c>
      <c r="W53" s="3">
        <f t="shared" si="9"/>
        <v>185545</v>
      </c>
      <c r="X53" s="3">
        <f t="shared" si="9"/>
        <v>185313</v>
      </c>
      <c r="Y53" s="3">
        <f t="shared" si="9"/>
        <v>183795</v>
      </c>
    </row>
    <row r="54" spans="1:25" s="2" customFormat="1">
      <c r="A54" s="53"/>
      <c r="B54" s="2" t="s">
        <v>40</v>
      </c>
      <c r="D54" s="54">
        <v>3.9651584772216282</v>
      </c>
      <c r="E54" s="54">
        <v>3.7469129370082843</v>
      </c>
      <c r="F54" s="54">
        <v>3.6277156437155833</v>
      </c>
      <c r="G54" s="54">
        <v>4.103464582181986</v>
      </c>
      <c r="H54" s="54">
        <v>4.1995897417889836</v>
      </c>
      <c r="I54" s="54">
        <v>4.6115745667981622</v>
      </c>
      <c r="J54" s="54">
        <v>4.036714103062983</v>
      </c>
      <c r="K54" s="54">
        <v>4.1826597633646125</v>
      </c>
      <c r="L54" s="54">
        <v>3.5963909539166554</v>
      </c>
      <c r="M54" s="54">
        <v>3.6614324895839876</v>
      </c>
      <c r="N54" s="54">
        <v>3.789787836820238</v>
      </c>
      <c r="O54" s="54">
        <v>4.3457078108475597</v>
      </c>
      <c r="P54" s="54">
        <v>3.5190304709141276</v>
      </c>
      <c r="Q54" s="54">
        <v>3.8112820076291611</v>
      </c>
      <c r="R54" s="54">
        <v>3.8307132443833458</v>
      </c>
      <c r="S54" s="54">
        <v>3.5927334355074092</v>
      </c>
      <c r="T54" s="54">
        <f>T52/T53</f>
        <v>0.94147173429251629</v>
      </c>
      <c r="U54" s="54">
        <f t="shared" ref="U54:Y54" si="10">U52/U53</f>
        <v>0.93901768683964604</v>
      </c>
      <c r="V54" s="54">
        <f t="shared" si="10"/>
        <v>0.94412429663095598</v>
      </c>
      <c r="W54" s="54">
        <f t="shared" si="10"/>
        <v>0.91432715501166817</v>
      </c>
      <c r="X54" s="54">
        <f t="shared" si="10"/>
        <v>0.87305224921402358</v>
      </c>
      <c r="Y54" s="54">
        <f t="shared" si="10"/>
        <v>0.85898567199525044</v>
      </c>
    </row>
    <row r="55" spans="1:25" s="2" customFormat="1">
      <c r="B55" s="2" t="s">
        <v>8</v>
      </c>
      <c r="D55" s="55">
        <v>2.317E-2</v>
      </c>
      <c r="E55" s="55">
        <v>2.3050000000000001E-2</v>
      </c>
      <c r="F55" s="55">
        <v>2.545E-2</v>
      </c>
      <c r="G55" s="55">
        <v>2.315E-2</v>
      </c>
      <c r="H55" s="55">
        <v>2.3390000000000001E-2</v>
      </c>
      <c r="I55" s="55">
        <v>2.06E-2</v>
      </c>
      <c r="J55" s="55">
        <v>2.5260000000000001E-2</v>
      </c>
      <c r="K55" s="55">
        <v>2.1129999999999999E-2</v>
      </c>
      <c r="L55" s="55">
        <v>2.0910000000000002E-2</v>
      </c>
      <c r="M55" s="55">
        <v>2.3570000000000001E-2</v>
      </c>
      <c r="N55" s="55">
        <v>2.333E-2</v>
      </c>
      <c r="O55" s="55">
        <v>2.0029999999999999E-2</v>
      </c>
      <c r="P55" s="55">
        <v>2.0820000000000002E-2</v>
      </c>
      <c r="Q55" s="55">
        <v>2.179E-2</v>
      </c>
      <c r="R55" s="55">
        <v>2.47E-2</v>
      </c>
      <c r="S55" s="55">
        <v>2.2120000000000001E-2</v>
      </c>
      <c r="T55" s="87">
        <f>E66</f>
        <v>2.2499999999999999E-2</v>
      </c>
      <c r="U55" s="87">
        <f t="shared" ref="U55:Y55" si="11">F66</f>
        <v>2.35E-2</v>
      </c>
      <c r="V55" s="87">
        <f t="shared" si="11"/>
        <v>2.4500000000000001E-2</v>
      </c>
      <c r="W55" s="87">
        <f t="shared" si="11"/>
        <v>2.5499999999999998E-2</v>
      </c>
      <c r="X55" s="87">
        <f t="shared" si="11"/>
        <v>2.6499999999999999E-2</v>
      </c>
      <c r="Y55" s="87">
        <f t="shared" si="11"/>
        <v>2.7E-2</v>
      </c>
    </row>
    <row r="56" spans="1:25" s="2" customFormat="1">
      <c r="B56" s="2" t="s">
        <v>30</v>
      </c>
      <c r="D56" s="52"/>
      <c r="E56" s="55">
        <v>0.03</v>
      </c>
      <c r="F56" s="55">
        <v>0.03</v>
      </c>
      <c r="G56" s="55">
        <v>0.03</v>
      </c>
      <c r="H56" s="55">
        <v>0.03</v>
      </c>
      <c r="I56" s="55">
        <v>0.03</v>
      </c>
      <c r="J56" s="55">
        <v>0.03</v>
      </c>
      <c r="K56" s="55">
        <v>0.03</v>
      </c>
      <c r="L56" s="55">
        <v>0.03</v>
      </c>
      <c r="M56" s="55">
        <v>0.03</v>
      </c>
      <c r="N56" s="55">
        <v>0.03</v>
      </c>
      <c r="O56" s="55">
        <v>0.03</v>
      </c>
      <c r="P56" s="55">
        <v>0.03</v>
      </c>
      <c r="Q56" s="55">
        <v>0.03</v>
      </c>
      <c r="R56" s="55">
        <v>0.03</v>
      </c>
      <c r="S56" s="55">
        <v>0.03</v>
      </c>
      <c r="T56" s="119">
        <f>VLOOKUP(S$54,$G$11:$I$14,3,TRUE)/10000</f>
        <v>0.03</v>
      </c>
      <c r="U56" s="119">
        <f t="shared" ref="U56:Y56" si="12">VLOOKUP(T$54,$G$11:$I$14,3,TRUE)/10000</f>
        <v>0.01</v>
      </c>
      <c r="V56" s="119">
        <f t="shared" si="12"/>
        <v>0.01</v>
      </c>
      <c r="W56" s="119">
        <f t="shared" si="12"/>
        <v>0.01</v>
      </c>
      <c r="X56" s="119">
        <f t="shared" si="12"/>
        <v>0.01</v>
      </c>
      <c r="Y56" s="119">
        <f t="shared" si="12"/>
        <v>0.01</v>
      </c>
    </row>
    <row r="57" spans="1:25" s="2" customFormat="1">
      <c r="B57" s="2" t="s">
        <v>31</v>
      </c>
      <c r="D57" s="52"/>
      <c r="E57" s="55">
        <v>5.305E-2</v>
      </c>
      <c r="F57" s="55">
        <v>5.5449999999999999E-2</v>
      </c>
      <c r="G57" s="55">
        <v>5.3150000000000003E-2</v>
      </c>
      <c r="H57" s="55">
        <v>5.339E-2</v>
      </c>
      <c r="I57" s="55">
        <v>5.0599999999999999E-2</v>
      </c>
      <c r="J57" s="55">
        <v>5.5260000000000004E-2</v>
      </c>
      <c r="K57" s="55">
        <v>5.1129999999999995E-2</v>
      </c>
      <c r="L57" s="55">
        <v>5.0909999999999997E-2</v>
      </c>
      <c r="M57" s="55">
        <v>5.357E-2</v>
      </c>
      <c r="N57" s="55">
        <v>5.3330000000000002E-2</v>
      </c>
      <c r="O57" s="55">
        <v>5.0029999999999998E-2</v>
      </c>
      <c r="P57" s="55">
        <v>5.0820000000000004E-2</v>
      </c>
      <c r="Q57" s="55">
        <v>5.1790000000000003E-2</v>
      </c>
      <c r="R57" s="55">
        <v>5.4699999999999999E-2</v>
      </c>
      <c r="S57" s="55">
        <v>5.212E-2</v>
      </c>
      <c r="T57" s="87">
        <f>SUM(T55:T56)</f>
        <v>5.2499999999999998E-2</v>
      </c>
      <c r="U57" s="87">
        <f t="shared" ref="U57:Y57" si="13">SUM(U55:U56)</f>
        <v>3.3500000000000002E-2</v>
      </c>
      <c r="V57" s="87">
        <f t="shared" si="13"/>
        <v>3.4500000000000003E-2</v>
      </c>
      <c r="W57" s="87">
        <f t="shared" si="13"/>
        <v>3.5499999999999997E-2</v>
      </c>
      <c r="X57" s="87">
        <f t="shared" si="13"/>
        <v>3.6499999999999998E-2</v>
      </c>
      <c r="Y57" s="87">
        <f t="shared" si="13"/>
        <v>3.6999999999999998E-2</v>
      </c>
    </row>
    <row r="58" spans="1:25" s="2" customFormat="1"/>
    <row r="59" spans="1:25" s="2" customFormat="1"/>
    <row r="60" spans="1:25" s="2" customFormat="1">
      <c r="B60" s="9" t="s">
        <v>37</v>
      </c>
      <c r="C60" s="10"/>
      <c r="D60" s="10"/>
      <c r="E60" s="11"/>
    </row>
    <row r="61" spans="1:25" s="2" customFormat="1"/>
    <row r="62" spans="1:25" s="2" customFormat="1">
      <c r="E62" s="49">
        <v>43404</v>
      </c>
      <c r="F62" s="50">
        <v>43434</v>
      </c>
      <c r="G62" s="50">
        <v>43465</v>
      </c>
      <c r="H62" s="50">
        <v>43496</v>
      </c>
      <c r="I62" s="50">
        <v>43524</v>
      </c>
      <c r="J62" s="50">
        <v>43555</v>
      </c>
    </row>
    <row r="63" spans="1:25" s="2" customFormat="1">
      <c r="B63" s="2" t="s">
        <v>29</v>
      </c>
      <c r="E63" s="56">
        <v>193220</v>
      </c>
      <c r="F63" s="56">
        <v>189600</v>
      </c>
      <c r="G63" s="56">
        <v>186312</v>
      </c>
      <c r="H63" s="56">
        <v>185545</v>
      </c>
      <c r="I63" s="56">
        <v>185313</v>
      </c>
      <c r="J63" s="56">
        <v>183795</v>
      </c>
    </row>
    <row r="64" spans="1:25" s="2" customFormat="1">
      <c r="B64" s="2" t="s">
        <v>38</v>
      </c>
      <c r="E64" s="56">
        <v>81423</v>
      </c>
      <c r="F64" s="56">
        <v>63499</v>
      </c>
      <c r="G64" s="56">
        <v>89256</v>
      </c>
      <c r="H64" s="56">
        <v>86777</v>
      </c>
      <c r="I64" s="56">
        <v>77656</v>
      </c>
      <c r="J64" s="56">
        <v>83704</v>
      </c>
      <c r="K64" s="3"/>
      <c r="L64" s="5"/>
    </row>
    <row r="65" spans="2:25" s="2" customFormat="1">
      <c r="B65" s="2" t="s">
        <v>46</v>
      </c>
      <c r="E65" s="56">
        <v>10393.67</v>
      </c>
      <c r="F65" s="56">
        <v>8667.5730000000003</v>
      </c>
      <c r="G65" s="56">
        <v>6355.84</v>
      </c>
      <c r="H65" s="56">
        <v>8884.2049999999999</v>
      </c>
      <c r="I65" s="56">
        <v>11026.2</v>
      </c>
      <c r="J65" s="56">
        <v>5745.4089999999997</v>
      </c>
    </row>
    <row r="66" spans="2:25" s="2" customFormat="1">
      <c r="B66" s="2" t="s">
        <v>8</v>
      </c>
      <c r="E66" s="57">
        <v>2.2499999999999999E-2</v>
      </c>
      <c r="F66" s="57">
        <v>2.35E-2</v>
      </c>
      <c r="G66" s="57">
        <v>2.4500000000000001E-2</v>
      </c>
      <c r="H66" s="57">
        <v>2.5499999999999998E-2</v>
      </c>
      <c r="I66" s="57">
        <v>2.6499999999999999E-2</v>
      </c>
      <c r="J66" s="57">
        <v>2.7E-2</v>
      </c>
    </row>
    <row r="67" spans="2: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2:25">
      <c r="B68" s="9" t="s">
        <v>89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2: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2:25">
      <c r="B70" s="2" t="s">
        <v>46</v>
      </c>
      <c r="C70" s="2"/>
      <c r="D70" s="2"/>
      <c r="E70" s="3">
        <f>E65</f>
        <v>10393.67</v>
      </c>
      <c r="F70" s="3">
        <f t="shared" ref="F70:J70" si="14">F65</f>
        <v>8667.5730000000003</v>
      </c>
      <c r="G70" s="3">
        <f t="shared" si="14"/>
        <v>6355.84</v>
      </c>
      <c r="H70" s="3">
        <f t="shared" si="14"/>
        <v>8884.2049999999999</v>
      </c>
      <c r="I70" s="3">
        <f t="shared" si="14"/>
        <v>11026.2</v>
      </c>
      <c r="J70" s="3">
        <f t="shared" si="14"/>
        <v>5745.4089999999997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2:25">
      <c r="B71" s="4" t="s">
        <v>90</v>
      </c>
      <c r="C71" s="4"/>
      <c r="D71" s="4"/>
      <c r="E71" s="120">
        <f>-$E$38</f>
        <v>-2812.5</v>
      </c>
      <c r="F71" s="120">
        <f t="shared" ref="F71:J71" si="15">-$E$38</f>
        <v>-2812.5</v>
      </c>
      <c r="G71" s="120">
        <f t="shared" si="15"/>
        <v>-2812.5</v>
      </c>
      <c r="H71" s="120">
        <f t="shared" si="15"/>
        <v>-2812.5</v>
      </c>
      <c r="I71" s="120">
        <f t="shared" si="15"/>
        <v>-2812.5</v>
      </c>
      <c r="J71" s="120">
        <f t="shared" si="15"/>
        <v>-2812.5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2:25">
      <c r="B72" s="4" t="s">
        <v>91</v>
      </c>
      <c r="C72" s="4"/>
      <c r="D72" s="4"/>
      <c r="E72" s="120">
        <f>-T36</f>
        <v>-762.89062499999989</v>
      </c>
      <c r="F72" s="120">
        <f t="shared" ref="F72:J72" si="16">-U36</f>
        <v>-478.9453125</v>
      </c>
      <c r="G72" s="120">
        <f t="shared" si="16"/>
        <v>-485.15625</v>
      </c>
      <c r="H72" s="120">
        <f t="shared" si="16"/>
        <v>-490.89843749999989</v>
      </c>
      <c r="I72" s="120">
        <f t="shared" si="16"/>
        <v>-496.17187499999994</v>
      </c>
      <c r="J72" s="120">
        <f t="shared" si="16"/>
        <v>-494.29687499999994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2:25">
      <c r="B73" s="4" t="s">
        <v>92</v>
      </c>
      <c r="C73" s="4"/>
      <c r="D73" s="4"/>
      <c r="E73" s="120">
        <f>-T42</f>
        <v>-2968.75</v>
      </c>
      <c r="F73" s="120">
        <f t="shared" ref="F73:J73" si="17">-U42</f>
        <v>-2968.75</v>
      </c>
      <c r="G73" s="120">
        <f t="shared" si="17"/>
        <v>-2968.75</v>
      </c>
      <c r="H73" s="120">
        <f t="shared" si="17"/>
        <v>0</v>
      </c>
      <c r="I73" s="120">
        <f t="shared" si="17"/>
        <v>0</v>
      </c>
      <c r="J73" s="120">
        <f t="shared" si="17"/>
        <v>0</v>
      </c>
      <c r="K73" s="12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2:25">
      <c r="B74" s="4" t="s">
        <v>99</v>
      </c>
      <c r="C74" s="4"/>
      <c r="D74" s="4"/>
      <c r="E74" s="120">
        <f>-SUM(T31:T32)</f>
        <v>-79.587374999999994</v>
      </c>
      <c r="F74" s="120">
        <f t="shared" ref="F74:J74" si="18">-SUM(U31:U32)</f>
        <v>-55.32425389583333</v>
      </c>
      <c r="G74" s="120">
        <f t="shared" si="18"/>
        <v>-53.843788813093099</v>
      </c>
      <c r="H74" s="120">
        <f t="shared" si="18"/>
        <v>-56.167926144369503</v>
      </c>
      <c r="I74" s="120">
        <f t="shared" si="18"/>
        <v>-48.827434277853257</v>
      </c>
      <c r="J74" s="120">
        <f t="shared" si="18"/>
        <v>-36.89895935827937</v>
      </c>
      <c r="K74" s="120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2:25">
      <c r="B75" s="4" t="s">
        <v>93</v>
      </c>
      <c r="E75" s="122">
        <f t="shared" ref="E75:J75" si="19">SUM(E70:E74)</f>
        <v>3769.942</v>
      </c>
      <c r="F75" s="122">
        <f t="shared" si="19"/>
        <v>2352.0534336041669</v>
      </c>
      <c r="G75" s="122">
        <f t="shared" si="19"/>
        <v>35.589961186907047</v>
      </c>
      <c r="H75" s="122">
        <f t="shared" si="19"/>
        <v>5524.6386363556303</v>
      </c>
      <c r="I75" s="122">
        <f t="shared" si="19"/>
        <v>7668.7006907221476</v>
      </c>
      <c r="J75" s="122">
        <f t="shared" si="19"/>
        <v>2401.7131656417205</v>
      </c>
    </row>
    <row r="76" spans="2:25">
      <c r="B76" s="4" t="s">
        <v>94</v>
      </c>
      <c r="E76" s="122">
        <f>-E84</f>
        <v>-1645.6105</v>
      </c>
      <c r="F76" s="122">
        <f t="shared" ref="F76:J76" si="20">-F84</f>
        <v>-1291.1383584010418</v>
      </c>
      <c r="G76" s="122">
        <f t="shared" si="20"/>
        <v>-712.0224902967268</v>
      </c>
      <c r="H76" s="122">
        <f t="shared" si="20"/>
        <v>-2084.2846590889076</v>
      </c>
      <c r="I76" s="122">
        <f t="shared" si="20"/>
        <v>-2620.3001726805369</v>
      </c>
      <c r="J76" s="122">
        <f t="shared" si="20"/>
        <v>-1303.5532914104301</v>
      </c>
    </row>
    <row r="77" spans="2:25">
      <c r="B77" s="4" t="s">
        <v>95</v>
      </c>
      <c r="E77" s="122">
        <f>SUM(E75:E76)</f>
        <v>2124.3315000000002</v>
      </c>
      <c r="F77" s="122">
        <f t="shared" ref="F77:J77" si="21">SUM(F75:F76)</f>
        <v>1060.9150752031251</v>
      </c>
      <c r="G77" s="122">
        <f t="shared" si="21"/>
        <v>-676.43252910981971</v>
      </c>
      <c r="H77" s="122">
        <f t="shared" si="21"/>
        <v>3440.3539772667227</v>
      </c>
      <c r="I77" s="122">
        <f t="shared" si="21"/>
        <v>5048.4005180416107</v>
      </c>
      <c r="J77" s="122">
        <f t="shared" si="21"/>
        <v>1098.1598742312904</v>
      </c>
    </row>
    <row r="79" spans="2:25">
      <c r="B79" s="4" t="s">
        <v>100</v>
      </c>
    </row>
    <row r="81" spans="2:25">
      <c r="B81" s="2" t="s">
        <v>46</v>
      </c>
      <c r="C81" s="2"/>
      <c r="D81" s="2"/>
      <c r="E81" s="3">
        <f>E70</f>
        <v>10393.67</v>
      </c>
      <c r="F81" s="3">
        <f t="shared" ref="F81:J81" si="22">F70</f>
        <v>8667.5730000000003</v>
      </c>
      <c r="G81" s="3">
        <f t="shared" si="22"/>
        <v>6355.84</v>
      </c>
      <c r="H81" s="3">
        <f t="shared" si="22"/>
        <v>8884.2049999999999</v>
      </c>
      <c r="I81" s="3">
        <f t="shared" si="22"/>
        <v>11026.2</v>
      </c>
      <c r="J81" s="3">
        <f t="shared" si="22"/>
        <v>5745.4089999999997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2:25">
      <c r="B82" t="s">
        <v>61</v>
      </c>
      <c r="E82" s="122">
        <f>SUM(E72:E74)</f>
        <v>-3811.2280000000001</v>
      </c>
      <c r="F82" s="122">
        <f t="shared" ref="F82:J82" si="23">SUM(F72:F74)</f>
        <v>-3503.0195663958334</v>
      </c>
      <c r="G82" s="122">
        <f t="shared" si="23"/>
        <v>-3507.7500388130929</v>
      </c>
      <c r="H82" s="122">
        <f t="shared" si="23"/>
        <v>-547.0663636443694</v>
      </c>
      <c r="I82" s="122">
        <f t="shared" si="23"/>
        <v>-544.99930927785317</v>
      </c>
      <c r="J82" s="122">
        <f t="shared" si="23"/>
        <v>-531.19583435827928</v>
      </c>
    </row>
    <row r="83" spans="2:25">
      <c r="B83" t="s">
        <v>101</v>
      </c>
      <c r="E83" s="122">
        <f>SUM(E81:E82)</f>
        <v>6582.442</v>
      </c>
      <c r="F83" s="122">
        <f t="shared" ref="F83:J83" si="24">SUM(F81:F82)</f>
        <v>5164.5534336041674</v>
      </c>
      <c r="G83" s="122">
        <f t="shared" si="24"/>
        <v>2848.0899611869072</v>
      </c>
      <c r="H83" s="122">
        <f t="shared" si="24"/>
        <v>8337.1386363556303</v>
      </c>
      <c r="I83" s="122">
        <f t="shared" si="24"/>
        <v>10481.200690722148</v>
      </c>
      <c r="J83" s="122">
        <f t="shared" si="24"/>
        <v>5214.2131656417205</v>
      </c>
    </row>
    <row r="84" spans="2:25">
      <c r="B84" t="s">
        <v>94</v>
      </c>
      <c r="E84" s="123">
        <f>E83*$K$8</f>
        <v>1645.6105</v>
      </c>
      <c r="F84" s="123">
        <f t="shared" ref="F84:J84" si="25">F83*$K$8</f>
        <v>1291.1383584010418</v>
      </c>
      <c r="G84" s="123">
        <f t="shared" si="25"/>
        <v>712.0224902967268</v>
      </c>
      <c r="H84" s="123">
        <f t="shared" si="25"/>
        <v>2084.2846590889076</v>
      </c>
      <c r="I84" s="123">
        <f t="shared" si="25"/>
        <v>2620.3001726805369</v>
      </c>
      <c r="J84" s="123">
        <f t="shared" si="25"/>
        <v>1303.5532914104301</v>
      </c>
    </row>
    <row r="87" spans="2:25" ht="14.4">
      <c r="B87" s="124" t="s">
        <v>102</v>
      </c>
    </row>
  </sheetData>
  <pageMargins left="0.7" right="0.7" top="0.75" bottom="0.75" header="0.3" footer="0.3"/>
  <pageSetup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CE01-2A91-4A53-96C0-5214194F49B3}">
  <sheetPr>
    <pageSetUpPr fitToPage="1"/>
  </sheetPr>
  <dimension ref="A1:S205"/>
  <sheetViews>
    <sheetView showGridLines="0" zoomScale="85" zoomScaleNormal="85" workbookViewId="0">
      <pane ySplit="3" topLeftCell="A140" activePane="bottomLeft" state="frozen"/>
      <selection pane="bottomLeft" activeCell="E165" sqref="E165"/>
    </sheetView>
  </sheetViews>
  <sheetFormatPr defaultRowHeight="13.8"/>
  <cols>
    <col min="1" max="1" width="2.69921875" customWidth="1"/>
    <col min="2" max="2" width="9.69921875" customWidth="1"/>
    <col min="3" max="4" width="10.69921875" customWidth="1"/>
    <col min="5" max="5" width="10.796875" customWidth="1"/>
    <col min="6" max="6" width="10.5" customWidth="1"/>
    <col min="7" max="7" width="13.3984375" customWidth="1"/>
    <col min="8" max="8" width="9.8984375" customWidth="1"/>
    <col min="9" max="10" width="10.09765625" customWidth="1"/>
    <col min="11" max="11" width="20.796875" customWidth="1"/>
    <col min="12" max="19" width="10.09765625" customWidth="1"/>
    <col min="20" max="20" width="9.5" customWidth="1"/>
    <col min="21" max="23" width="8.59765625" bestFit="1" customWidth="1"/>
  </cols>
  <sheetData>
    <row r="1" spans="2:13" ht="15.6">
      <c r="B1" s="7" t="s">
        <v>41</v>
      </c>
      <c r="C1" s="1"/>
      <c r="D1" s="4"/>
      <c r="E1" s="128"/>
      <c r="F1" s="2"/>
      <c r="G1" s="2"/>
      <c r="H1" s="2"/>
    </row>
    <row r="2" spans="2:13" s="2" customFormat="1">
      <c r="B2" s="8" t="s">
        <v>27</v>
      </c>
      <c r="C2" s="8"/>
    </row>
    <row r="3" spans="2:13" s="2" customFormat="1"/>
    <row r="4" spans="2:13" s="2" customFormat="1">
      <c r="B4" s="9" t="str">
        <f>CaseData!B4</f>
        <v>Existing Debt as at Sep. 30, 2018</v>
      </c>
      <c r="C4" s="10"/>
      <c r="D4" s="10"/>
      <c r="E4" s="11"/>
    </row>
    <row r="5" spans="2:13" s="2" customFormat="1"/>
    <row r="6" spans="2:13" s="2" customFormat="1">
      <c r="B6" s="12" t="s">
        <v>3</v>
      </c>
      <c r="C6" s="12"/>
      <c r="D6" s="13"/>
      <c r="E6" s="13"/>
      <c r="F6" s="13"/>
      <c r="G6" s="13"/>
      <c r="H6" s="13"/>
      <c r="I6" s="13"/>
    </row>
    <row r="7" spans="2:13" s="2" customFormat="1">
      <c r="B7" s="14" t="s">
        <v>4</v>
      </c>
      <c r="C7" s="15"/>
      <c r="D7" s="15"/>
      <c r="E7" s="58">
        <f>CaseData!E7</f>
        <v>50000</v>
      </c>
      <c r="F7" s="17"/>
      <c r="G7" s="18" t="s">
        <v>33</v>
      </c>
      <c r="H7" s="18"/>
      <c r="I7" s="19"/>
      <c r="K7" s="12" t="s">
        <v>44</v>
      </c>
      <c r="L7" s="13"/>
      <c r="M7" s="13"/>
    </row>
    <row r="8" spans="2:13" s="2" customFormat="1">
      <c r="B8" s="20" t="s">
        <v>5</v>
      </c>
      <c r="E8" s="59">
        <f>CaseData!E8</f>
        <v>12473</v>
      </c>
      <c r="G8" s="22" t="s">
        <v>87</v>
      </c>
      <c r="H8" s="23"/>
      <c r="I8" s="24"/>
      <c r="K8" s="14"/>
      <c r="L8" s="15"/>
      <c r="M8" s="60"/>
    </row>
    <row r="9" spans="2:13" s="2" customFormat="1">
      <c r="B9" s="20"/>
      <c r="E9" s="52"/>
      <c r="G9" s="25" t="s">
        <v>6</v>
      </c>
      <c r="I9" s="26" t="s">
        <v>7</v>
      </c>
      <c r="K9" s="61" t="s">
        <v>45</v>
      </c>
      <c r="M9" s="62">
        <v>0.25</v>
      </c>
    </row>
    <row r="10" spans="2:13" s="2" customFormat="1" ht="15.6">
      <c r="B10" s="20" t="s">
        <v>32</v>
      </c>
      <c r="E10" s="63">
        <f>CaseData!E10</f>
        <v>80</v>
      </c>
      <c r="G10" s="28" t="s">
        <v>9</v>
      </c>
      <c r="I10" s="29" t="s">
        <v>8</v>
      </c>
      <c r="K10" s="64"/>
      <c r="L10" s="13"/>
      <c r="M10" s="65"/>
    </row>
    <row r="11" spans="2:13" s="2" customFormat="1">
      <c r="B11" s="20" t="s">
        <v>16</v>
      </c>
      <c r="E11" s="52"/>
      <c r="G11" s="66">
        <f>CaseData!G11</f>
        <v>0</v>
      </c>
      <c r="I11" s="67">
        <f>CaseData!I11</f>
        <v>100</v>
      </c>
    </row>
    <row r="12" spans="2:13" s="2" customFormat="1">
      <c r="B12" s="20"/>
      <c r="E12" s="52"/>
      <c r="G12" s="66">
        <f>CaseData!G12</f>
        <v>2</v>
      </c>
      <c r="I12" s="67">
        <f>CaseData!I12</f>
        <v>175</v>
      </c>
    </row>
    <row r="13" spans="2:13" s="2" customFormat="1">
      <c r="B13" s="20" t="s">
        <v>77</v>
      </c>
      <c r="E13" s="68">
        <f>CaseData!E13</f>
        <v>2.25</v>
      </c>
      <c r="G13" s="66">
        <f>CaseData!G13</f>
        <v>3</v>
      </c>
      <c r="I13" s="67">
        <f>CaseData!I13</f>
        <v>225</v>
      </c>
    </row>
    <row r="14" spans="2:13" s="2" customFormat="1">
      <c r="B14" s="32"/>
      <c r="C14" s="13"/>
      <c r="D14" s="13"/>
      <c r="E14" s="13"/>
      <c r="F14" s="13"/>
      <c r="G14" s="69">
        <f>CaseData!G14</f>
        <v>3.5</v>
      </c>
      <c r="H14" s="13"/>
      <c r="I14" s="70">
        <f>CaseData!I14</f>
        <v>300</v>
      </c>
    </row>
    <row r="15" spans="2:13" s="2" customFormat="1">
      <c r="G15" s="35"/>
      <c r="I15" s="35"/>
    </row>
    <row r="16" spans="2:13" s="2" customFormat="1">
      <c r="B16" s="12" t="s">
        <v>1</v>
      </c>
      <c r="C16" s="12"/>
      <c r="D16" s="13"/>
      <c r="E16" s="13"/>
      <c r="G16" s="1" t="s">
        <v>15</v>
      </c>
      <c r="K16" s="12" t="s">
        <v>42</v>
      </c>
      <c r="L16" s="13"/>
      <c r="M16" s="13"/>
    </row>
    <row r="17" spans="2:19" s="2" customFormat="1">
      <c r="B17" s="14" t="s">
        <v>5</v>
      </c>
      <c r="C17" s="15"/>
      <c r="D17" s="15"/>
      <c r="E17" s="71">
        <f>CaseData!E17</f>
        <v>174375</v>
      </c>
      <c r="G17" s="14" t="s">
        <v>14</v>
      </c>
      <c r="H17" s="15"/>
      <c r="I17" s="71">
        <f>CaseData!I17</f>
        <v>500000</v>
      </c>
      <c r="J17" s="3"/>
      <c r="K17" s="14" t="s">
        <v>67</v>
      </c>
      <c r="L17" s="15"/>
      <c r="M17" s="151">
        <v>43465</v>
      </c>
    </row>
    <row r="18" spans="2:19" s="2" customFormat="1">
      <c r="B18" s="20" t="s">
        <v>10</v>
      </c>
      <c r="E18" s="72">
        <f>CaseData!E18</f>
        <v>225000</v>
      </c>
      <c r="G18" s="20" t="s">
        <v>18</v>
      </c>
      <c r="I18" s="73">
        <f>CaseData!I18</f>
        <v>0</v>
      </c>
      <c r="K18" s="61" t="s">
        <v>43</v>
      </c>
      <c r="M18" s="74"/>
    </row>
    <row r="19" spans="2:19" s="2" customFormat="1">
      <c r="B19" s="20"/>
      <c r="E19" s="39"/>
      <c r="F19" s="40"/>
      <c r="G19" s="20" t="s">
        <v>34</v>
      </c>
      <c r="I19" s="75">
        <f>CaseData!I19</f>
        <v>7.1249999999999994E-2</v>
      </c>
      <c r="J19" s="5"/>
      <c r="K19" s="76">
        <f t="array" ref="K19:K24">TRANSPOSE(E65:J65)</f>
        <v>43404</v>
      </c>
      <c r="M19" s="77">
        <v>5.0500000000000003E-2</v>
      </c>
    </row>
    <row r="20" spans="2:19" s="2" customFormat="1">
      <c r="B20" s="20" t="s">
        <v>2</v>
      </c>
      <c r="E20" s="78">
        <f>CaseData!E20</f>
        <v>1.2500000000000001E-2</v>
      </c>
      <c r="F20" s="40"/>
      <c r="G20" s="20" t="s">
        <v>17</v>
      </c>
      <c r="I20" s="79">
        <v>43373</v>
      </c>
      <c r="K20" s="76">
        <v>43434</v>
      </c>
      <c r="M20" s="77">
        <v>5.2499999999999998E-2</v>
      </c>
    </row>
    <row r="21" spans="2:19" s="2" customFormat="1">
      <c r="B21" s="20"/>
      <c r="E21" s="39"/>
      <c r="G21" s="20"/>
      <c r="I21" s="80">
        <f>EOMONTH(I20,6)</f>
        <v>43555</v>
      </c>
      <c r="K21" s="76">
        <v>43465</v>
      </c>
      <c r="M21" s="77">
        <v>5.7000000000000002E-2</v>
      </c>
    </row>
    <row r="22" spans="2:19" s="2" customFormat="1">
      <c r="B22" s="20" t="s">
        <v>35</v>
      </c>
      <c r="E22" s="43" t="s">
        <v>11</v>
      </c>
      <c r="G22" s="20" t="s">
        <v>12</v>
      </c>
      <c r="I22" s="81">
        <f>I21</f>
        <v>43555</v>
      </c>
      <c r="K22" s="76">
        <v>43496</v>
      </c>
      <c r="M22" s="77">
        <v>5.9499999999999997E-2</v>
      </c>
    </row>
    <row r="23" spans="2:19" s="2" customFormat="1">
      <c r="B23" s="20" t="s">
        <v>16</v>
      </c>
      <c r="E23" s="43" t="s">
        <v>36</v>
      </c>
      <c r="G23" s="61" t="s">
        <v>110</v>
      </c>
      <c r="H23" s="1" t="s">
        <v>108</v>
      </c>
      <c r="I23" s="148" t="s">
        <v>109</v>
      </c>
      <c r="K23" s="76">
        <v>43524</v>
      </c>
      <c r="M23" s="77">
        <v>6.1499999999999999E-2</v>
      </c>
    </row>
    <row r="24" spans="2:19" s="2" customFormat="1">
      <c r="B24" s="20"/>
      <c r="E24" s="39"/>
      <c r="G24" s="155" t="s">
        <v>107</v>
      </c>
      <c r="H24" s="146">
        <f>S31</f>
        <v>43373</v>
      </c>
      <c r="I24" s="82">
        <v>1.03</v>
      </c>
      <c r="K24" s="76">
        <v>43555</v>
      </c>
      <c r="M24" s="77">
        <v>6.4000000000000001E-2</v>
      </c>
    </row>
    <row r="25" spans="2:19" s="2" customFormat="1">
      <c r="B25" s="32" t="s">
        <v>12</v>
      </c>
      <c r="C25" s="13"/>
      <c r="D25" s="13"/>
      <c r="E25" s="46" t="str">
        <f>CaseData!E25</f>
        <v>Jun. 30, 2022</v>
      </c>
      <c r="G25" s="155" t="s">
        <v>107</v>
      </c>
      <c r="H25" s="147">
        <v>43465</v>
      </c>
      <c r="I25" s="82">
        <v>1.02</v>
      </c>
      <c r="K25" s="20"/>
      <c r="M25" s="39"/>
    </row>
    <row r="26" spans="2:19" s="2" customFormat="1">
      <c r="E26" s="35"/>
      <c r="G26" s="156" t="s">
        <v>107</v>
      </c>
      <c r="H26" s="157">
        <v>43524</v>
      </c>
      <c r="I26" s="83">
        <v>1</v>
      </c>
      <c r="K26" s="20" t="s">
        <v>17</v>
      </c>
      <c r="M26" s="80">
        <f>EOMONTH(M17,6)</f>
        <v>43646</v>
      </c>
    </row>
    <row r="27" spans="2:19" s="2" customFormat="1">
      <c r="K27" s="32"/>
      <c r="L27" s="13"/>
      <c r="M27" s="84">
        <f>EOMONTH(M26,6)</f>
        <v>43830</v>
      </c>
    </row>
    <row r="28" spans="2:19" s="2" customFormat="1"/>
    <row r="29" spans="2:19" s="2" customFormat="1">
      <c r="B29" s="9" t="s">
        <v>26</v>
      </c>
      <c r="C29" s="10"/>
      <c r="D29" s="10"/>
      <c r="E29" s="11"/>
    </row>
    <row r="30" spans="2:19" s="2" customFormat="1"/>
    <row r="31" spans="2:19" s="2" customFormat="1">
      <c r="B31" s="1" t="str">
        <f>B6</f>
        <v>Revolving Credit Facility:</v>
      </c>
      <c r="C31" s="1"/>
      <c r="E31" s="49">
        <f>CaseData!E29</f>
        <v>42947</v>
      </c>
      <c r="F31" s="49">
        <f>CaseData!F29</f>
        <v>42978</v>
      </c>
      <c r="G31" s="49">
        <f>CaseData!G29</f>
        <v>43008</v>
      </c>
      <c r="H31" s="49">
        <f>CaseData!H29</f>
        <v>43039</v>
      </c>
      <c r="I31" s="49">
        <f>CaseData!I29</f>
        <v>43069</v>
      </c>
      <c r="J31" s="49">
        <f>CaseData!J29</f>
        <v>43100</v>
      </c>
      <c r="K31" s="49">
        <f>CaseData!K29</f>
        <v>43131</v>
      </c>
      <c r="L31" s="49">
        <f>CaseData!L29</f>
        <v>43159</v>
      </c>
      <c r="M31" s="49">
        <f>CaseData!M29</f>
        <v>43190</v>
      </c>
      <c r="N31" s="49">
        <f>CaseData!N29</f>
        <v>43220</v>
      </c>
      <c r="O31" s="49">
        <f>CaseData!O29</f>
        <v>43251</v>
      </c>
      <c r="P31" s="49">
        <f>CaseData!P29</f>
        <v>43281</v>
      </c>
      <c r="Q31" s="49">
        <f>CaseData!Q29</f>
        <v>43312</v>
      </c>
      <c r="R31" s="49">
        <f>CaseData!R29</f>
        <v>43343</v>
      </c>
      <c r="S31" s="49">
        <f>CaseData!S29</f>
        <v>43373</v>
      </c>
    </row>
    <row r="32" spans="2:19" s="2" customFormat="1">
      <c r="B32" s="2" t="s">
        <v>22</v>
      </c>
      <c r="D32" s="51">
        <f>CaseData!D30</f>
        <v>10029</v>
      </c>
      <c r="E32" s="51">
        <f>CaseData!E30</f>
        <v>5395</v>
      </c>
      <c r="F32" s="51">
        <f>CaseData!F30</f>
        <v>11094</v>
      </c>
      <c r="G32" s="51">
        <f>CaseData!G30</f>
        <v>12111</v>
      </c>
      <c r="H32" s="51">
        <f>CaseData!H30</f>
        <v>12263</v>
      </c>
      <c r="I32" s="51">
        <f>CaseData!I30</f>
        <v>21116</v>
      </c>
      <c r="J32" s="51">
        <f>CaseData!J30</f>
        <v>26477</v>
      </c>
      <c r="K32" s="51">
        <f>CaseData!K30</f>
        <v>31004</v>
      </c>
      <c r="L32" s="51">
        <f>CaseData!L30</f>
        <v>18530</v>
      </c>
      <c r="M32" s="51">
        <f>CaseData!M30</f>
        <v>8274</v>
      </c>
      <c r="N32" s="51">
        <f>CaseData!N30</f>
        <v>31247</v>
      </c>
      <c r="O32" s="51">
        <f>CaseData!O30</f>
        <v>33481</v>
      </c>
      <c r="P32" s="51">
        <f>CaseData!P30</f>
        <v>15891</v>
      </c>
      <c r="Q32" s="51">
        <f>CaseData!Q30</f>
        <v>36380</v>
      </c>
      <c r="R32" s="51">
        <f>CaseData!R30</f>
        <v>13877</v>
      </c>
      <c r="S32" s="51">
        <f>CaseData!S30</f>
        <v>12473</v>
      </c>
    </row>
    <row r="33" spans="1:19" s="2" customFormat="1">
      <c r="B33" s="2" t="s">
        <v>23</v>
      </c>
      <c r="E33" s="3">
        <f>CaseData!E31</f>
        <v>44.337000000000003</v>
      </c>
      <c r="F33" s="3">
        <f>CaseData!F31</f>
        <v>24.928999999999998</v>
      </c>
      <c r="G33" s="3">
        <f>CaseData!G31</f>
        <v>49.137</v>
      </c>
      <c r="H33" s="3">
        <f>CaseData!H31</f>
        <v>53.884</v>
      </c>
      <c r="I33" s="3">
        <f>CaseData!I31</f>
        <v>51.709000000000003</v>
      </c>
      <c r="J33" s="3">
        <f>CaseData!J31</f>
        <v>97.239000000000004</v>
      </c>
      <c r="K33" s="3">
        <f>CaseData!K31</f>
        <v>112.81399999999999</v>
      </c>
      <c r="L33" s="3">
        <f>CaseData!L31</f>
        <v>131.53399999999999</v>
      </c>
      <c r="M33" s="3">
        <f>CaseData!M31</f>
        <v>82.721000000000004</v>
      </c>
      <c r="N33" s="3">
        <f>CaseData!N31</f>
        <v>36.771000000000001</v>
      </c>
      <c r="O33" s="3">
        <f>CaseData!O31</f>
        <v>130.274</v>
      </c>
      <c r="P33" s="3">
        <f>CaseData!P31</f>
        <v>141.792</v>
      </c>
      <c r="Q33" s="3">
        <f>CaseData!Q31</f>
        <v>68.582999999999998</v>
      </c>
      <c r="R33" s="3">
        <f>CaseData!R31</f>
        <v>165.83199999999999</v>
      </c>
      <c r="S33" s="3">
        <f>CaseData!S31</f>
        <v>60.271999999999998</v>
      </c>
    </row>
    <row r="34" spans="1:19" s="2" customFormat="1">
      <c r="B34" s="2" t="s">
        <v>24</v>
      </c>
      <c r="E34" s="3">
        <f>CaseData!E32</f>
        <v>26.646999999999998</v>
      </c>
      <c r="F34" s="3">
        <f>CaseData!F32</f>
        <v>29.736999999999998</v>
      </c>
      <c r="G34" s="3">
        <f>CaseData!G32</f>
        <v>25.937000000000001</v>
      </c>
      <c r="H34" s="3">
        <f>CaseData!H32</f>
        <v>25.259</v>
      </c>
      <c r="I34" s="3">
        <f>CaseData!I32</f>
        <v>25.158000000000001</v>
      </c>
      <c r="J34" s="3">
        <f>CaseData!J32</f>
        <v>19.256</v>
      </c>
      <c r="K34" s="3">
        <f>CaseData!K32</f>
        <v>15.682</v>
      </c>
      <c r="L34" s="3">
        <f>CaseData!L32</f>
        <v>12.664</v>
      </c>
      <c r="M34" s="3">
        <f>CaseData!M32</f>
        <v>20.98</v>
      </c>
      <c r="N34" s="3">
        <f>CaseData!N32</f>
        <v>27.817</v>
      </c>
      <c r="O34" s="3">
        <f>CaseData!O32</f>
        <v>12.502000000000001</v>
      </c>
      <c r="P34" s="3">
        <f>CaseData!P32</f>
        <v>11.013</v>
      </c>
      <c r="Q34" s="3">
        <f>CaseData!Q32</f>
        <v>22.739000000000001</v>
      </c>
      <c r="R34" s="3">
        <f>CaseData!R32</f>
        <v>9.08</v>
      </c>
      <c r="S34" s="3">
        <f>CaseData!S32</f>
        <v>24.082000000000001</v>
      </c>
    </row>
    <row r="35" spans="1:19" s="2" customFormat="1">
      <c r="B35" s="2" t="s">
        <v>85</v>
      </c>
      <c r="E35" s="3">
        <f>E33+E34</f>
        <v>70.984000000000009</v>
      </c>
      <c r="F35" s="3">
        <f t="shared" ref="F35:S35" si="0">F33+F34</f>
        <v>54.665999999999997</v>
      </c>
      <c r="G35" s="3">
        <f t="shared" si="0"/>
        <v>75.073999999999998</v>
      </c>
      <c r="H35" s="3">
        <f t="shared" si="0"/>
        <v>79.143000000000001</v>
      </c>
      <c r="I35" s="3">
        <f t="shared" si="0"/>
        <v>76.867000000000004</v>
      </c>
      <c r="J35" s="3">
        <f t="shared" si="0"/>
        <v>116.495</v>
      </c>
      <c r="K35" s="3">
        <f t="shared" si="0"/>
        <v>128.49599999999998</v>
      </c>
      <c r="L35" s="3">
        <f t="shared" si="0"/>
        <v>144.19799999999998</v>
      </c>
      <c r="M35" s="3">
        <f t="shared" si="0"/>
        <v>103.70100000000001</v>
      </c>
      <c r="N35" s="3">
        <f t="shared" si="0"/>
        <v>64.587999999999994</v>
      </c>
      <c r="O35" s="3">
        <f t="shared" si="0"/>
        <v>142.77600000000001</v>
      </c>
      <c r="P35" s="3">
        <f t="shared" si="0"/>
        <v>152.80500000000001</v>
      </c>
      <c r="Q35" s="3">
        <f t="shared" si="0"/>
        <v>91.322000000000003</v>
      </c>
      <c r="R35" s="3">
        <f t="shared" si="0"/>
        <v>174.91200000000001</v>
      </c>
      <c r="S35" s="3">
        <f t="shared" si="0"/>
        <v>84.353999999999999</v>
      </c>
    </row>
    <row r="36" spans="1:19" s="2" customFormat="1"/>
    <row r="37" spans="1:19" s="2" customFormat="1">
      <c r="B37" s="1" t="s">
        <v>1</v>
      </c>
      <c r="C37" s="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s="2" customFormat="1">
      <c r="B38" s="2" t="s">
        <v>22</v>
      </c>
      <c r="D38" s="51">
        <f>CaseData!D35</f>
        <v>216562.5</v>
      </c>
      <c r="E38" s="51">
        <f>CaseData!E35</f>
        <v>213750</v>
      </c>
      <c r="F38" s="51">
        <f>CaseData!F35</f>
        <v>210937.5</v>
      </c>
      <c r="G38" s="51">
        <f>CaseData!G35</f>
        <v>208125</v>
      </c>
      <c r="H38" s="51">
        <f>CaseData!H35</f>
        <v>205312.5</v>
      </c>
      <c r="I38" s="51">
        <f>CaseData!I35</f>
        <v>202500</v>
      </c>
      <c r="J38" s="51">
        <f>CaseData!J35</f>
        <v>199687.5</v>
      </c>
      <c r="K38" s="51">
        <f>CaseData!K35</f>
        <v>196875</v>
      </c>
      <c r="L38" s="51">
        <f>CaseData!L35</f>
        <v>194062.5</v>
      </c>
      <c r="M38" s="51">
        <f>CaseData!M35</f>
        <v>191250</v>
      </c>
      <c r="N38" s="51">
        <f>CaseData!N35</f>
        <v>188437.5</v>
      </c>
      <c r="O38" s="51">
        <f>CaseData!O35</f>
        <v>185625</v>
      </c>
      <c r="P38" s="51">
        <f>CaseData!P35</f>
        <v>182812.5</v>
      </c>
      <c r="Q38" s="51">
        <f>CaseData!Q35</f>
        <v>180000</v>
      </c>
      <c r="R38" s="51">
        <f>CaseData!R35</f>
        <v>177187.5</v>
      </c>
      <c r="S38" s="51">
        <f>CaseData!S35</f>
        <v>174375</v>
      </c>
    </row>
    <row r="39" spans="1:19" s="2" customFormat="1">
      <c r="B39" s="2" t="s">
        <v>25</v>
      </c>
      <c r="E39" s="3">
        <f>CaseData!E36</f>
        <v>957.38699999999994</v>
      </c>
      <c r="F39" s="3">
        <f>CaseData!F36</f>
        <v>987.70299999999997</v>
      </c>
      <c r="G39" s="3">
        <f>CaseData!G36</f>
        <v>934.27700000000004</v>
      </c>
      <c r="H39" s="3">
        <f>CaseData!H36</f>
        <v>925.98299999999995</v>
      </c>
      <c r="I39" s="3">
        <f>CaseData!I36</f>
        <v>865.73400000000004</v>
      </c>
      <c r="J39" s="3">
        <f>CaseData!J36</f>
        <v>932.51300000000003</v>
      </c>
      <c r="K39" s="3">
        <f>CaseData!K36</f>
        <v>850.83500000000004</v>
      </c>
      <c r="L39" s="3">
        <f>CaseData!L36</f>
        <v>835.24199999999996</v>
      </c>
      <c r="M39" s="3">
        <f>CaseData!M36</f>
        <v>866.327</v>
      </c>
      <c r="N39" s="3">
        <f>CaseData!N36</f>
        <v>849.947</v>
      </c>
      <c r="O39" s="3">
        <f>CaseData!O36</f>
        <v>785.62699999999995</v>
      </c>
      <c r="P39" s="3">
        <f>CaseData!P36</f>
        <v>786.12199999999996</v>
      </c>
      <c r="Q39" s="3">
        <f>CaseData!Q36</f>
        <v>788.98800000000006</v>
      </c>
      <c r="R39" s="3">
        <f>CaseData!R36</f>
        <v>820.5</v>
      </c>
      <c r="S39" s="3">
        <f>CaseData!S36</f>
        <v>769.58399999999995</v>
      </c>
    </row>
    <row r="40" spans="1:19" s="2" customFormat="1"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</row>
    <row r="41" spans="1:19" s="2" customFormat="1">
      <c r="B41" s="1" t="str">
        <f>G16</f>
        <v>Subordinated Notes:</v>
      </c>
      <c r="C41" s="1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</row>
    <row r="42" spans="1:19" s="2" customFormat="1">
      <c r="B42" s="2" t="s">
        <v>22</v>
      </c>
      <c r="D42" s="51">
        <f>CaseData!D41</f>
        <v>500000</v>
      </c>
      <c r="E42" s="3">
        <f>CaseData!E41</f>
        <v>500000</v>
      </c>
      <c r="F42" s="3">
        <f>CaseData!F41</f>
        <v>500000</v>
      </c>
      <c r="G42" s="3">
        <f>CaseData!G41</f>
        <v>500000</v>
      </c>
      <c r="H42" s="3">
        <f>CaseData!H41</f>
        <v>500000</v>
      </c>
      <c r="I42" s="3">
        <f>CaseData!I41</f>
        <v>500000</v>
      </c>
      <c r="J42" s="3">
        <f>CaseData!J41</f>
        <v>500000</v>
      </c>
      <c r="K42" s="3">
        <f>CaseData!K41</f>
        <v>500000</v>
      </c>
      <c r="L42" s="3">
        <f>CaseData!L41</f>
        <v>500000</v>
      </c>
      <c r="M42" s="3">
        <f>CaseData!M41</f>
        <v>500000</v>
      </c>
      <c r="N42" s="3">
        <f>CaseData!N41</f>
        <v>500000</v>
      </c>
      <c r="O42" s="3">
        <f>CaseData!O41</f>
        <v>500000</v>
      </c>
      <c r="P42" s="3">
        <f>CaseData!P41</f>
        <v>500000</v>
      </c>
      <c r="Q42" s="3">
        <f>CaseData!Q41</f>
        <v>500000</v>
      </c>
      <c r="R42" s="3">
        <f>CaseData!R41</f>
        <v>500000</v>
      </c>
      <c r="S42" s="3">
        <f>CaseData!S41</f>
        <v>500000</v>
      </c>
    </row>
    <row r="43" spans="1:19" s="2" customFormat="1">
      <c r="B43" s="2" t="s">
        <v>25</v>
      </c>
      <c r="E43" s="3">
        <f>CaseData!E42</f>
        <v>2968.75</v>
      </c>
      <c r="F43" s="3">
        <f>CaseData!F42</f>
        <v>2968.75</v>
      </c>
      <c r="G43" s="3">
        <f>CaseData!G42</f>
        <v>2968.75</v>
      </c>
      <c r="H43" s="3">
        <f>CaseData!H42</f>
        <v>2968.75</v>
      </c>
      <c r="I43" s="3">
        <f>CaseData!I42</f>
        <v>2968.75</v>
      </c>
      <c r="J43" s="3">
        <f>CaseData!J42</f>
        <v>2968.75</v>
      </c>
      <c r="K43" s="3">
        <f>CaseData!K42</f>
        <v>2968.75</v>
      </c>
      <c r="L43" s="3">
        <f>CaseData!L42</f>
        <v>2968.75</v>
      </c>
      <c r="M43" s="3">
        <f>CaseData!M42</f>
        <v>2968.75</v>
      </c>
      <c r="N43" s="3">
        <f>CaseData!N42</f>
        <v>2968.75</v>
      </c>
      <c r="O43" s="3">
        <f>CaseData!O42</f>
        <v>2968.75</v>
      </c>
      <c r="P43" s="3">
        <f>CaseData!P42</f>
        <v>2968.75</v>
      </c>
      <c r="Q43" s="3">
        <f>CaseData!Q42</f>
        <v>2968.75</v>
      </c>
      <c r="R43" s="3">
        <f>CaseData!R42</f>
        <v>2968.75</v>
      </c>
      <c r="S43" s="3">
        <f>CaseData!S42</f>
        <v>2968.75</v>
      </c>
    </row>
    <row r="44" spans="1:19" s="2" customFormat="1"/>
    <row r="45" spans="1:19" s="2" customFormat="1"/>
    <row r="46" spans="1:19" s="2" customFormat="1">
      <c r="B46" s="2" t="s">
        <v>28</v>
      </c>
      <c r="D46" s="3">
        <f>D32+D38+D42</f>
        <v>726591.5</v>
      </c>
      <c r="E46" s="3">
        <f>E32+E38+E42</f>
        <v>719145</v>
      </c>
      <c r="F46" s="3">
        <f t="shared" ref="F46:S46" si="1">F32+F38+F42</f>
        <v>722031.5</v>
      </c>
      <c r="G46" s="3">
        <f t="shared" si="1"/>
        <v>720236</v>
      </c>
      <c r="H46" s="3">
        <f t="shared" si="1"/>
        <v>717575.5</v>
      </c>
      <c r="I46" s="3">
        <f t="shared" si="1"/>
        <v>723616</v>
      </c>
      <c r="J46" s="3">
        <f t="shared" si="1"/>
        <v>726164.5</v>
      </c>
      <c r="K46" s="3">
        <f t="shared" si="1"/>
        <v>727879</v>
      </c>
      <c r="L46" s="3">
        <f t="shared" si="1"/>
        <v>712592.5</v>
      </c>
      <c r="M46" s="3">
        <f t="shared" si="1"/>
        <v>699524</v>
      </c>
      <c r="N46" s="3">
        <f t="shared" si="1"/>
        <v>719684.5</v>
      </c>
      <c r="O46" s="3">
        <f t="shared" si="1"/>
        <v>719106</v>
      </c>
      <c r="P46" s="3">
        <f t="shared" si="1"/>
        <v>698703.5</v>
      </c>
      <c r="Q46" s="3">
        <f t="shared" si="1"/>
        <v>716380</v>
      </c>
      <c r="R46" s="3">
        <f t="shared" si="1"/>
        <v>691064.5</v>
      </c>
      <c r="S46" s="3">
        <f t="shared" si="1"/>
        <v>686848</v>
      </c>
    </row>
    <row r="47" spans="1:19" s="2" customFormat="1">
      <c r="B47" s="2" t="s">
        <v>29</v>
      </c>
      <c r="D47" s="51">
        <f>CaseData!D53</f>
        <v>183244</v>
      </c>
      <c r="E47" s="51">
        <f>CaseData!E53</f>
        <v>191930</v>
      </c>
      <c r="F47" s="51">
        <f>CaseData!F53</f>
        <v>199032</v>
      </c>
      <c r="G47" s="51">
        <f>CaseData!G53</f>
        <v>175519</v>
      </c>
      <c r="H47" s="51">
        <f>CaseData!H53</f>
        <v>170868</v>
      </c>
      <c r="I47" s="51">
        <f>CaseData!I53</f>
        <v>156913</v>
      </c>
      <c r="J47" s="51">
        <f>CaseData!J53</f>
        <v>179890</v>
      </c>
      <c r="K47" s="51">
        <f>CaseData!K53</f>
        <v>174023</v>
      </c>
      <c r="L47" s="51">
        <f>CaseData!L53</f>
        <v>198141</v>
      </c>
      <c r="M47" s="51">
        <f>CaseData!M53</f>
        <v>191052</v>
      </c>
      <c r="N47" s="51">
        <f>CaseData!N53</f>
        <v>189901</v>
      </c>
      <c r="O47" s="51">
        <f>CaseData!O53</f>
        <v>165475</v>
      </c>
      <c r="P47" s="51">
        <f>CaseData!P53</f>
        <v>198550</v>
      </c>
      <c r="Q47" s="51">
        <f>CaseData!Q53</f>
        <v>187963</v>
      </c>
      <c r="R47" s="51">
        <f>CaseData!R53</f>
        <v>180401</v>
      </c>
      <c r="S47" s="51">
        <f>CaseData!S53</f>
        <v>191177</v>
      </c>
    </row>
    <row r="48" spans="1:19" s="2" customFormat="1">
      <c r="A48" s="53"/>
      <c r="B48" s="2" t="s">
        <v>40</v>
      </c>
      <c r="D48" s="86">
        <f>D46/D47</f>
        <v>3.9651584772216282</v>
      </c>
      <c r="E48" s="86">
        <f t="shared" ref="E48:S48" si="2">E46/E47</f>
        <v>3.7469129370082843</v>
      </c>
      <c r="F48" s="86">
        <f t="shared" si="2"/>
        <v>3.6277156437155833</v>
      </c>
      <c r="G48" s="86">
        <f t="shared" si="2"/>
        <v>4.103464582181986</v>
      </c>
      <c r="H48" s="86">
        <f t="shared" si="2"/>
        <v>4.1995897417889836</v>
      </c>
      <c r="I48" s="86">
        <f t="shared" si="2"/>
        <v>4.6115745667981622</v>
      </c>
      <c r="J48" s="86">
        <f t="shared" si="2"/>
        <v>4.036714103062983</v>
      </c>
      <c r="K48" s="86">
        <f t="shared" si="2"/>
        <v>4.1826597633646125</v>
      </c>
      <c r="L48" s="86">
        <f t="shared" si="2"/>
        <v>3.5963909539166554</v>
      </c>
      <c r="M48" s="86">
        <f t="shared" si="2"/>
        <v>3.6614324895839876</v>
      </c>
      <c r="N48" s="86">
        <f t="shared" si="2"/>
        <v>3.789787836820238</v>
      </c>
      <c r="O48" s="86">
        <f t="shared" si="2"/>
        <v>4.3457078108475597</v>
      </c>
      <c r="P48" s="86">
        <f t="shared" si="2"/>
        <v>3.5190304709141276</v>
      </c>
      <c r="Q48" s="86">
        <f t="shared" si="2"/>
        <v>3.8112820076291611</v>
      </c>
      <c r="R48" s="86">
        <f t="shared" si="2"/>
        <v>3.8307132443833458</v>
      </c>
      <c r="S48" s="86">
        <f t="shared" si="2"/>
        <v>3.5927334355074092</v>
      </c>
    </row>
    <row r="49" spans="2:19" s="2" customFormat="1">
      <c r="B49" s="2" t="s">
        <v>8</v>
      </c>
      <c r="D49" s="55">
        <f>CaseData!D55</f>
        <v>2.317E-2</v>
      </c>
      <c r="E49" s="55">
        <f>CaseData!E55</f>
        <v>2.3050000000000001E-2</v>
      </c>
      <c r="F49" s="55">
        <f>CaseData!F55</f>
        <v>2.545E-2</v>
      </c>
      <c r="G49" s="55">
        <f>CaseData!G55</f>
        <v>2.315E-2</v>
      </c>
      <c r="H49" s="55">
        <f>CaseData!H55</f>
        <v>2.3390000000000001E-2</v>
      </c>
      <c r="I49" s="55">
        <f>CaseData!I55</f>
        <v>2.06E-2</v>
      </c>
      <c r="J49" s="55">
        <f>CaseData!J55</f>
        <v>2.5260000000000001E-2</v>
      </c>
      <c r="K49" s="55">
        <f>CaseData!K55</f>
        <v>2.1129999999999999E-2</v>
      </c>
      <c r="L49" s="55">
        <f>CaseData!L55</f>
        <v>2.0910000000000002E-2</v>
      </c>
      <c r="M49" s="55">
        <f>CaseData!M55</f>
        <v>2.3570000000000001E-2</v>
      </c>
      <c r="N49" s="55">
        <f>CaseData!N55</f>
        <v>2.333E-2</v>
      </c>
      <c r="O49" s="55">
        <f>CaseData!O55</f>
        <v>2.0029999999999999E-2</v>
      </c>
      <c r="P49" s="55">
        <f>CaseData!P55</f>
        <v>2.0820000000000002E-2</v>
      </c>
      <c r="Q49" s="55">
        <f>CaseData!Q55</f>
        <v>2.179E-2</v>
      </c>
      <c r="R49" s="55">
        <f>CaseData!R55</f>
        <v>2.47E-2</v>
      </c>
      <c r="S49" s="55">
        <f>CaseData!S55</f>
        <v>2.2120000000000001E-2</v>
      </c>
    </row>
    <row r="50" spans="2:19" s="2" customFormat="1">
      <c r="B50" s="2" t="s">
        <v>30</v>
      </c>
      <c r="D50" s="55"/>
      <c r="E50" s="55">
        <f>CaseData!E56</f>
        <v>0.03</v>
      </c>
      <c r="F50" s="55">
        <f>CaseData!F56</f>
        <v>0.03</v>
      </c>
      <c r="G50" s="55">
        <f>CaseData!G56</f>
        <v>0.03</v>
      </c>
      <c r="H50" s="55">
        <f>CaseData!H56</f>
        <v>0.03</v>
      </c>
      <c r="I50" s="55">
        <f>CaseData!I56</f>
        <v>0.03</v>
      </c>
      <c r="J50" s="55">
        <f>CaseData!J56</f>
        <v>0.03</v>
      </c>
      <c r="K50" s="55">
        <f>CaseData!K56</f>
        <v>0.03</v>
      </c>
      <c r="L50" s="55">
        <f>CaseData!L56</f>
        <v>0.03</v>
      </c>
      <c r="M50" s="55">
        <f>CaseData!M56</f>
        <v>0.03</v>
      </c>
      <c r="N50" s="55">
        <f>CaseData!N56</f>
        <v>0.03</v>
      </c>
      <c r="O50" s="55">
        <f>CaseData!O56</f>
        <v>0.03</v>
      </c>
      <c r="P50" s="55">
        <f>CaseData!P56</f>
        <v>0.03</v>
      </c>
      <c r="Q50" s="55">
        <f>CaseData!Q56</f>
        <v>0.03</v>
      </c>
      <c r="R50" s="55">
        <f>CaseData!R56</f>
        <v>0.03</v>
      </c>
      <c r="S50" s="55">
        <f>CaseData!S56</f>
        <v>0.03</v>
      </c>
    </row>
    <row r="51" spans="2:19" s="2" customFormat="1">
      <c r="B51" s="2" t="s">
        <v>31</v>
      </c>
      <c r="E51" s="87">
        <f>E49+E50</f>
        <v>5.305E-2</v>
      </c>
      <c r="F51" s="87">
        <f t="shared" ref="F51:S51" si="3">F49+F50</f>
        <v>5.5449999999999999E-2</v>
      </c>
      <c r="G51" s="87">
        <f t="shared" si="3"/>
        <v>5.3150000000000003E-2</v>
      </c>
      <c r="H51" s="87">
        <f t="shared" si="3"/>
        <v>5.339E-2</v>
      </c>
      <c r="I51" s="87">
        <f t="shared" si="3"/>
        <v>5.0599999999999999E-2</v>
      </c>
      <c r="J51" s="87">
        <f t="shared" si="3"/>
        <v>5.5260000000000004E-2</v>
      </c>
      <c r="K51" s="87">
        <f t="shared" si="3"/>
        <v>5.1129999999999995E-2</v>
      </c>
      <c r="L51" s="87">
        <f t="shared" si="3"/>
        <v>5.0909999999999997E-2</v>
      </c>
      <c r="M51" s="87">
        <f t="shared" si="3"/>
        <v>5.357E-2</v>
      </c>
      <c r="N51" s="87">
        <f t="shared" si="3"/>
        <v>5.3330000000000002E-2</v>
      </c>
      <c r="O51" s="87">
        <f t="shared" si="3"/>
        <v>5.0029999999999998E-2</v>
      </c>
      <c r="P51" s="87">
        <f t="shared" si="3"/>
        <v>5.0820000000000004E-2</v>
      </c>
      <c r="Q51" s="87">
        <f t="shared" si="3"/>
        <v>5.1790000000000003E-2</v>
      </c>
      <c r="R51" s="87">
        <f t="shared" si="3"/>
        <v>5.4699999999999999E-2</v>
      </c>
      <c r="S51" s="87">
        <f t="shared" si="3"/>
        <v>5.212E-2</v>
      </c>
    </row>
    <row r="52" spans="2:19" s="2" customFormat="1">
      <c r="B52" s="2" t="s">
        <v>79</v>
      </c>
      <c r="E52" s="3">
        <f>E33+E34+E39+E43</f>
        <v>3997.1210000000001</v>
      </c>
      <c r="F52" s="3">
        <f t="shared" ref="F52:S52" si="4">F33+F34+F39+F43</f>
        <v>4011.1189999999997</v>
      </c>
      <c r="G52" s="3">
        <f t="shared" si="4"/>
        <v>3978.1010000000001</v>
      </c>
      <c r="H52" s="3">
        <f t="shared" si="4"/>
        <v>3973.8760000000002</v>
      </c>
      <c r="I52" s="3">
        <f t="shared" si="4"/>
        <v>3911.3510000000001</v>
      </c>
      <c r="J52" s="3">
        <f t="shared" si="4"/>
        <v>4017.7579999999998</v>
      </c>
      <c r="K52" s="3">
        <f t="shared" si="4"/>
        <v>3948.0810000000001</v>
      </c>
      <c r="L52" s="3">
        <f t="shared" si="4"/>
        <v>3948.19</v>
      </c>
      <c r="M52" s="3">
        <f t="shared" si="4"/>
        <v>3938.7780000000002</v>
      </c>
      <c r="N52" s="3">
        <f t="shared" si="4"/>
        <v>3883.2849999999999</v>
      </c>
      <c r="O52" s="3">
        <f t="shared" si="4"/>
        <v>3897.1530000000002</v>
      </c>
      <c r="P52" s="3">
        <f t="shared" si="4"/>
        <v>3907.6769999999997</v>
      </c>
      <c r="Q52" s="3">
        <f t="shared" si="4"/>
        <v>3849.06</v>
      </c>
      <c r="R52" s="3">
        <f t="shared" si="4"/>
        <v>3964.1620000000003</v>
      </c>
      <c r="S52" s="3">
        <f t="shared" si="4"/>
        <v>3822.6880000000001</v>
      </c>
    </row>
    <row r="53" spans="2:19" s="2" customFormat="1"/>
    <row r="54" spans="2:19" s="2" customFormat="1"/>
    <row r="55" spans="2:19" s="2" customFormat="1">
      <c r="B55" s="9" t="s">
        <v>37</v>
      </c>
      <c r="C55" s="10"/>
      <c r="D55" s="10"/>
      <c r="E55" s="11"/>
    </row>
    <row r="56" spans="2:19" s="2" customFormat="1"/>
    <row r="57" spans="2:19" s="2" customFormat="1">
      <c r="D57" s="50">
        <f>CaseData!$S$29</f>
        <v>43373</v>
      </c>
      <c r="E57" s="49">
        <f>EOMONTH(S31,1)</f>
        <v>43404</v>
      </c>
      <c r="F57" s="50">
        <f>EOMONTH(E57,1)</f>
        <v>43434</v>
      </c>
      <c r="G57" s="50">
        <f t="shared" ref="G57:J57" si="5">EOMONTH(F57,1)</f>
        <v>43465</v>
      </c>
      <c r="H57" s="50">
        <f t="shared" si="5"/>
        <v>43496</v>
      </c>
      <c r="I57" s="50">
        <f t="shared" si="5"/>
        <v>43524</v>
      </c>
      <c r="J57" s="50">
        <f t="shared" si="5"/>
        <v>43555</v>
      </c>
    </row>
    <row r="58" spans="2:19" s="2" customFormat="1">
      <c r="B58" s="2" t="s">
        <v>29</v>
      </c>
      <c r="D58" s="3">
        <f>CaseData!S53</f>
        <v>191177</v>
      </c>
      <c r="E58" s="51">
        <f>CaseData!E63</f>
        <v>193220</v>
      </c>
      <c r="F58" s="51">
        <f>CaseData!F63</f>
        <v>189600</v>
      </c>
      <c r="G58" s="51">
        <f>CaseData!G63</f>
        <v>186312</v>
      </c>
      <c r="H58" s="51">
        <f>CaseData!H63</f>
        <v>185545</v>
      </c>
      <c r="I58" s="51">
        <f>CaseData!I63</f>
        <v>185313</v>
      </c>
      <c r="J58" s="51">
        <f>CaseData!J63</f>
        <v>183795</v>
      </c>
    </row>
    <row r="59" spans="2:19" s="2" customFormat="1">
      <c r="B59" s="2" t="s">
        <v>38</v>
      </c>
      <c r="E59" s="51">
        <f>CaseData!E64</f>
        <v>81423</v>
      </c>
      <c r="F59" s="51">
        <f>CaseData!F64</f>
        <v>63499</v>
      </c>
      <c r="G59" s="51">
        <f>CaseData!G64</f>
        <v>89256</v>
      </c>
      <c r="H59" s="51">
        <f>CaseData!H64</f>
        <v>86777</v>
      </c>
      <c r="I59" s="51">
        <f>CaseData!I64</f>
        <v>77656</v>
      </c>
      <c r="J59" s="51">
        <f>CaseData!J64</f>
        <v>83704</v>
      </c>
    </row>
    <row r="60" spans="2:19" s="2" customFormat="1">
      <c r="B60" s="2" t="s">
        <v>56</v>
      </c>
      <c r="E60" s="51">
        <f>CaseData!E65</f>
        <v>10393.67</v>
      </c>
      <c r="F60" s="51">
        <f>CaseData!F65</f>
        <v>8667.5730000000003</v>
      </c>
      <c r="G60" s="51">
        <f>CaseData!G65</f>
        <v>6355.84</v>
      </c>
      <c r="H60" s="51">
        <f>CaseData!H65</f>
        <v>8884.2049999999999</v>
      </c>
      <c r="I60" s="51">
        <f>CaseData!I65</f>
        <v>11026.2</v>
      </c>
      <c r="J60" s="51">
        <f>CaseData!J65</f>
        <v>5745.4089999999997</v>
      </c>
    </row>
    <row r="61" spans="2:19" s="2" customFormat="1">
      <c r="B61" s="2" t="s">
        <v>8</v>
      </c>
      <c r="E61" s="55">
        <f>CaseData!E66</f>
        <v>2.2499999999999999E-2</v>
      </c>
      <c r="F61" s="55">
        <f>CaseData!F66</f>
        <v>2.35E-2</v>
      </c>
      <c r="G61" s="55">
        <f>CaseData!G66</f>
        <v>2.4500000000000001E-2</v>
      </c>
      <c r="H61" s="55">
        <f>CaseData!H66</f>
        <v>2.5499999999999998E-2</v>
      </c>
      <c r="I61" s="55">
        <f>CaseData!I66</f>
        <v>2.6499999999999999E-2</v>
      </c>
      <c r="J61" s="55">
        <f>CaseData!J66</f>
        <v>2.7E-2</v>
      </c>
    </row>
    <row r="62" spans="2:19" s="2" customFormat="1"/>
    <row r="63" spans="2:19" s="2" customFormat="1">
      <c r="B63" s="9" t="s">
        <v>47</v>
      </c>
      <c r="C63" s="10"/>
      <c r="D63" s="10"/>
      <c r="E63" s="11"/>
    </row>
    <row r="64" spans="2:19" s="2" customFormat="1"/>
    <row r="65" spans="2:10" s="2" customFormat="1">
      <c r="D65" s="50">
        <f>CaseData!$S$29</f>
        <v>43373</v>
      </c>
      <c r="E65" s="50">
        <f t="shared" ref="E65:J65" si="6">E57</f>
        <v>43404</v>
      </c>
      <c r="F65" s="50">
        <f t="shared" si="6"/>
        <v>43434</v>
      </c>
      <c r="G65" s="50">
        <f t="shared" si="6"/>
        <v>43465</v>
      </c>
      <c r="H65" s="50">
        <f t="shared" si="6"/>
        <v>43496</v>
      </c>
      <c r="I65" s="50">
        <f t="shared" si="6"/>
        <v>43524</v>
      </c>
      <c r="J65" s="50">
        <f t="shared" si="6"/>
        <v>43555</v>
      </c>
    </row>
    <row r="66" spans="2:10" s="2" customFormat="1">
      <c r="D66" s="50"/>
      <c r="E66" s="50"/>
      <c r="F66" s="50"/>
      <c r="G66" s="50"/>
      <c r="H66" s="50"/>
      <c r="I66" s="50"/>
      <c r="J66" s="50"/>
    </row>
    <row r="67" spans="2:10" s="2" customFormat="1">
      <c r="B67" s="88" t="s">
        <v>40</v>
      </c>
      <c r="C67" s="89"/>
      <c r="D67" s="90">
        <f t="shared" ref="D67:J67" si="7">D139/D58</f>
        <v>3.5927334355074092</v>
      </c>
      <c r="E67" s="90">
        <f t="shared" si="7"/>
        <v>3.5138309621157231</v>
      </c>
      <c r="F67" s="90">
        <f t="shared" si="7"/>
        <v>3.5459873417859145</v>
      </c>
      <c r="G67" s="90">
        <f t="shared" si="7"/>
        <v>3.7105852557946726</v>
      </c>
      <c r="H67" s="90">
        <f t="shared" si="7"/>
        <v>3.6901198208151351</v>
      </c>
      <c r="I67" s="90">
        <f t="shared" si="7"/>
        <v>3.6501647731253124</v>
      </c>
      <c r="J67" s="91">
        <f t="shared" si="7"/>
        <v>3.6589678718137053</v>
      </c>
    </row>
    <row r="68" spans="2:10" s="2" customFormat="1">
      <c r="E68" s="50"/>
      <c r="F68" s="50"/>
      <c r="G68" s="50"/>
      <c r="H68" s="50"/>
      <c r="I68" s="50"/>
      <c r="J68" s="50"/>
    </row>
    <row r="69" spans="2:10" s="2" customFormat="1">
      <c r="B69" s="92" t="s">
        <v>44</v>
      </c>
      <c r="C69" s="93"/>
      <c r="D69" s="94">
        <f>D$65</f>
        <v>43373</v>
      </c>
      <c r="E69" s="94">
        <f t="shared" ref="E69:J69" si="8">E$65</f>
        <v>43404</v>
      </c>
      <c r="F69" s="94">
        <f t="shared" si="8"/>
        <v>43434</v>
      </c>
      <c r="G69" s="94">
        <f t="shared" si="8"/>
        <v>43465</v>
      </c>
      <c r="H69" s="94">
        <f t="shared" si="8"/>
        <v>43496</v>
      </c>
      <c r="I69" s="94">
        <f t="shared" si="8"/>
        <v>43524</v>
      </c>
      <c r="J69" s="95">
        <f t="shared" si="8"/>
        <v>43555</v>
      </c>
    </row>
    <row r="70" spans="2:10" s="2" customFormat="1">
      <c r="B70" s="2" t="s">
        <v>56</v>
      </c>
      <c r="E70" s="6">
        <f t="shared" ref="E70:J70" si="9">E60</f>
        <v>10393.67</v>
      </c>
      <c r="F70" s="6">
        <f t="shared" si="9"/>
        <v>8667.5730000000003</v>
      </c>
      <c r="G70" s="6">
        <f t="shared" si="9"/>
        <v>6355.84</v>
      </c>
      <c r="H70" s="6">
        <f t="shared" si="9"/>
        <v>8884.2049999999999</v>
      </c>
      <c r="I70" s="6">
        <f t="shared" si="9"/>
        <v>11026.2</v>
      </c>
      <c r="J70" s="6">
        <f t="shared" si="9"/>
        <v>5745.4089999999997</v>
      </c>
    </row>
    <row r="71" spans="2:10" s="2" customFormat="1">
      <c r="B71" s="2" t="s">
        <v>68</v>
      </c>
      <c r="D71" s="6"/>
      <c r="E71" s="96">
        <f t="shared" ref="E71:J71" si="10">-E153</f>
        <v>-3811.2280000000001</v>
      </c>
      <c r="F71" s="96">
        <f>-F153</f>
        <v>-3794.9483368125002</v>
      </c>
      <c r="G71" s="96">
        <f t="shared" si="10"/>
        <v>-3782.3202333434447</v>
      </c>
      <c r="H71" s="96">
        <f t="shared" si="10"/>
        <v>-3288.1676340364002</v>
      </c>
      <c r="I71" s="96">
        <f t="shared" si="10"/>
        <v>-3274.1365987022914</v>
      </c>
      <c r="J71" s="96">
        <f t="shared" si="10"/>
        <v>-3245.6021871255316</v>
      </c>
    </row>
    <row r="72" spans="2:10" s="2" customFormat="1">
      <c r="B72" s="2" t="s">
        <v>50</v>
      </c>
      <c r="D72" s="6"/>
      <c r="E72" s="6">
        <f>SUM(E70:E71)</f>
        <v>6582.442</v>
      </c>
      <c r="F72" s="6">
        <f t="shared" ref="F72:J72" si="11">SUM(F70:F71)</f>
        <v>4872.6246631875001</v>
      </c>
      <c r="G72" s="6">
        <f t="shared" si="11"/>
        <v>2573.5197666565555</v>
      </c>
      <c r="H72" s="6">
        <f t="shared" si="11"/>
        <v>5596.0373659635998</v>
      </c>
      <c r="I72" s="6">
        <f t="shared" si="11"/>
        <v>7752.0634012977098</v>
      </c>
      <c r="J72" s="6">
        <f t="shared" si="11"/>
        <v>2499.8068128744681</v>
      </c>
    </row>
    <row r="73" spans="2:10" s="2" customFormat="1" ht="4.95" customHeight="1">
      <c r="D73" s="6"/>
      <c r="E73" s="6"/>
      <c r="F73" s="6"/>
      <c r="G73" s="6"/>
      <c r="H73" s="6"/>
      <c r="I73" s="6"/>
      <c r="J73" s="6"/>
    </row>
    <row r="74" spans="2:10" s="2" customFormat="1">
      <c r="B74" s="1" t="s">
        <v>51</v>
      </c>
      <c r="C74" s="1"/>
      <c r="D74" s="97"/>
      <c r="E74" s="97">
        <f t="shared" ref="E74:J74" si="12">E72*$M$9</f>
        <v>1645.6105</v>
      </c>
      <c r="F74" s="97">
        <f t="shared" si="12"/>
        <v>1218.156165796875</v>
      </c>
      <c r="G74" s="97">
        <f t="shared" si="12"/>
        <v>643.37994166413887</v>
      </c>
      <c r="H74" s="97">
        <f t="shared" si="12"/>
        <v>1399.0093414908999</v>
      </c>
      <c r="I74" s="97">
        <f t="shared" si="12"/>
        <v>1938.0158503244274</v>
      </c>
      <c r="J74" s="97">
        <f t="shared" si="12"/>
        <v>624.95170321861701</v>
      </c>
    </row>
    <row r="75" spans="2:10" s="2" customFormat="1">
      <c r="D75" s="6"/>
      <c r="E75" s="6"/>
      <c r="F75" s="6"/>
      <c r="G75" s="6"/>
      <c r="H75" s="6"/>
      <c r="I75" s="6"/>
      <c r="J75" s="6"/>
    </row>
    <row r="76" spans="2:10" s="2" customFormat="1">
      <c r="B76" s="92" t="s">
        <v>57</v>
      </c>
      <c r="C76" s="93"/>
      <c r="D76" s="94">
        <f>D$65</f>
        <v>43373</v>
      </c>
      <c r="E76" s="94">
        <f t="shared" ref="E76:J76" si="13">E$65</f>
        <v>43404</v>
      </c>
      <c r="F76" s="94">
        <f t="shared" si="13"/>
        <v>43434</v>
      </c>
      <c r="G76" s="94">
        <f t="shared" si="13"/>
        <v>43465</v>
      </c>
      <c r="H76" s="94">
        <f t="shared" si="13"/>
        <v>43496</v>
      </c>
      <c r="I76" s="94">
        <f t="shared" si="13"/>
        <v>43524</v>
      </c>
      <c r="J76" s="95">
        <f t="shared" si="13"/>
        <v>43555</v>
      </c>
    </row>
    <row r="77" spans="2:10" s="2" customFormat="1">
      <c r="B77" s="2" t="s">
        <v>48</v>
      </c>
      <c r="D77" s="6"/>
      <c r="E77" s="6">
        <f>D79</f>
        <v>12473</v>
      </c>
      <c r="F77" s="6">
        <f t="shared" ref="F77:J77" si="14">E79</f>
        <v>7379.9184999999998</v>
      </c>
      <c r="G77" s="6">
        <f t="shared" si="14"/>
        <v>3569.2000026093747</v>
      </c>
      <c r="H77" s="6">
        <f t="shared" si="14"/>
        <v>10389.060177616959</v>
      </c>
      <c r="I77" s="6">
        <f t="shared" si="14"/>
        <v>6558.2821531442587</v>
      </c>
      <c r="J77" s="6">
        <f t="shared" si="14"/>
        <v>1110.4846021709764</v>
      </c>
    </row>
    <row r="78" spans="2:10" s="2" customFormat="1">
      <c r="B78" s="2" t="s">
        <v>52</v>
      </c>
      <c r="D78" s="96"/>
      <c r="E78" s="96">
        <f>-MIN(E77,E95)</f>
        <v>-5093.0815000000002</v>
      </c>
      <c r="F78" s="96">
        <f t="shared" ref="F78:J78" si="15">-MIN(F77,F95)</f>
        <v>-3810.7184973906251</v>
      </c>
      <c r="G78" s="96">
        <f t="shared" si="15"/>
        <v>6819.8601750075841</v>
      </c>
      <c r="H78" s="96">
        <f t="shared" si="15"/>
        <v>-3830.7780244727001</v>
      </c>
      <c r="I78" s="96">
        <f t="shared" si="15"/>
        <v>-5447.7975509732823</v>
      </c>
      <c r="J78" s="96">
        <f t="shared" si="15"/>
        <v>-1110.4846021709764</v>
      </c>
    </row>
    <row r="79" spans="2:10" s="2" customFormat="1">
      <c r="B79" s="1" t="s">
        <v>22</v>
      </c>
      <c r="C79" s="1"/>
      <c r="D79" s="97">
        <f>S32</f>
        <v>12473</v>
      </c>
      <c r="E79" s="97">
        <f>SUM(E77:E78)</f>
        <v>7379.9184999999998</v>
      </c>
      <c r="F79" s="97">
        <f t="shared" ref="F79:J79" si="16">SUM(F77:F78)</f>
        <v>3569.2000026093747</v>
      </c>
      <c r="G79" s="97">
        <f t="shared" si="16"/>
        <v>10389.060177616959</v>
      </c>
      <c r="H79" s="97">
        <f t="shared" si="16"/>
        <v>6558.2821531442587</v>
      </c>
      <c r="I79" s="97">
        <f t="shared" si="16"/>
        <v>1110.4846021709764</v>
      </c>
      <c r="J79" s="97">
        <f t="shared" si="16"/>
        <v>0</v>
      </c>
    </row>
    <row r="80" spans="2:10" s="2" customFormat="1" ht="4.95" customHeight="1">
      <c r="D80" s="6"/>
      <c r="E80" s="6"/>
      <c r="F80" s="6"/>
      <c r="G80" s="6"/>
      <c r="H80" s="6"/>
      <c r="I80" s="6"/>
      <c r="J80" s="6"/>
    </row>
    <row r="81" spans="2:10" s="2" customFormat="1">
      <c r="B81" s="2" t="s">
        <v>8</v>
      </c>
      <c r="D81" s="6"/>
      <c r="E81" s="55">
        <f t="shared" ref="E81:J81" si="17">E61</f>
        <v>2.2499999999999999E-2</v>
      </c>
      <c r="F81" s="55">
        <f t="shared" si="17"/>
        <v>2.35E-2</v>
      </c>
      <c r="G81" s="55">
        <f t="shared" si="17"/>
        <v>2.4500000000000001E-2</v>
      </c>
      <c r="H81" s="55">
        <f t="shared" si="17"/>
        <v>2.5499999999999998E-2</v>
      </c>
      <c r="I81" s="55">
        <f t="shared" si="17"/>
        <v>2.6499999999999999E-2</v>
      </c>
      <c r="J81" s="55">
        <f t="shared" si="17"/>
        <v>2.7E-2</v>
      </c>
    </row>
    <row r="82" spans="2:10" s="2" customFormat="1">
      <c r="B82" s="2" t="s">
        <v>30</v>
      </c>
      <c r="D82" s="6"/>
      <c r="E82" s="98">
        <f t="shared" ref="E82:J82" si="18">VLOOKUP(D67,$G$11:$I$14,COLUMNS($G$11:$I$14),TRUE)/10000</f>
        <v>0.03</v>
      </c>
      <c r="F82" s="98">
        <f>VLOOKUP(E67,$G$11:$I$14,COLUMNS($G$11:$I$14),TRUE)/10000</f>
        <v>0.03</v>
      </c>
      <c r="G82" s="98">
        <f t="shared" si="18"/>
        <v>0.03</v>
      </c>
      <c r="H82" s="98">
        <f t="shared" si="18"/>
        <v>0.03</v>
      </c>
      <c r="I82" s="98">
        <f t="shared" si="18"/>
        <v>0.03</v>
      </c>
      <c r="J82" s="98">
        <f t="shared" si="18"/>
        <v>0.03</v>
      </c>
    </row>
    <row r="83" spans="2:10" s="2" customFormat="1">
      <c r="B83" s="1" t="s">
        <v>62</v>
      </c>
      <c r="D83" s="6"/>
      <c r="E83" s="99">
        <f>E81+E82</f>
        <v>5.2499999999999998E-2</v>
      </c>
      <c r="F83" s="99">
        <f t="shared" ref="F83:J83" si="19">F81+F82</f>
        <v>5.3499999999999999E-2</v>
      </c>
      <c r="G83" s="99">
        <f t="shared" si="19"/>
        <v>5.45E-2</v>
      </c>
      <c r="H83" s="99">
        <f t="shared" si="19"/>
        <v>5.5499999999999994E-2</v>
      </c>
      <c r="I83" s="99">
        <f t="shared" si="19"/>
        <v>5.6499999999999995E-2</v>
      </c>
      <c r="J83" s="99">
        <f t="shared" si="19"/>
        <v>5.6999999999999995E-2</v>
      </c>
    </row>
    <row r="84" spans="2:10" s="2" customFormat="1" ht="4.95" customHeight="1">
      <c r="D84" s="6"/>
      <c r="E84" s="6"/>
      <c r="F84" s="6"/>
      <c r="G84" s="6"/>
      <c r="H84" s="6"/>
      <c r="I84" s="6"/>
      <c r="J84" s="6"/>
    </row>
    <row r="85" spans="2:10" s="2" customFormat="1">
      <c r="B85" s="2" t="s">
        <v>84</v>
      </c>
      <c r="D85" s="6"/>
      <c r="E85" s="6">
        <f>D79*E83/12</f>
        <v>54.569375000000001</v>
      </c>
      <c r="F85" s="6">
        <f t="shared" ref="F85:J85" si="20">E79*F83/12</f>
        <v>32.90213664583333</v>
      </c>
      <c r="G85" s="6">
        <f t="shared" si="20"/>
        <v>16.210116678517576</v>
      </c>
      <c r="H85" s="6">
        <f t="shared" si="20"/>
        <v>48.04940332147843</v>
      </c>
      <c r="I85" s="6">
        <f t="shared" si="20"/>
        <v>30.878578471054215</v>
      </c>
      <c r="J85" s="6">
        <f t="shared" si="20"/>
        <v>5.2748018603121372</v>
      </c>
    </row>
    <row r="86" spans="2:10" s="2" customFormat="1">
      <c r="B86" s="2" t="s">
        <v>82</v>
      </c>
      <c r="D86" s="6"/>
      <c r="E86" s="96">
        <f>($E$7-D79)*$E$10/120000</f>
        <v>25.018000000000001</v>
      </c>
      <c r="F86" s="96">
        <f t="shared" ref="F86:J86" si="21">($E$7-E79)*$E$10/120000</f>
        <v>28.413387666666665</v>
      </c>
      <c r="G86" s="96">
        <f t="shared" si="21"/>
        <v>30.953866664927084</v>
      </c>
      <c r="H86" s="96">
        <f t="shared" si="21"/>
        <v>26.407293214922031</v>
      </c>
      <c r="I86" s="96">
        <f t="shared" si="21"/>
        <v>28.961145231237161</v>
      </c>
      <c r="J86" s="96">
        <f t="shared" si="21"/>
        <v>32.593010265219348</v>
      </c>
    </row>
    <row r="87" spans="2:10" s="2" customFormat="1">
      <c r="B87" s="1" t="s">
        <v>83</v>
      </c>
      <c r="D87" s="6"/>
      <c r="E87" s="97">
        <f t="shared" ref="E87:J87" si="22">SUM(E85:E86)</f>
        <v>79.587375000000009</v>
      </c>
      <c r="F87" s="97">
        <f t="shared" si="22"/>
        <v>61.315524312499996</v>
      </c>
      <c r="G87" s="97">
        <f t="shared" si="22"/>
        <v>47.163983343444656</v>
      </c>
      <c r="H87" s="97">
        <f t="shared" si="22"/>
        <v>74.456696536400457</v>
      </c>
      <c r="I87" s="97">
        <f t="shared" si="22"/>
        <v>59.83972370229138</v>
      </c>
      <c r="J87" s="97">
        <f t="shared" si="22"/>
        <v>37.867812125531486</v>
      </c>
    </row>
    <row r="88" spans="2:10" s="2" customFormat="1">
      <c r="B88" s="1"/>
      <c r="D88" s="6"/>
      <c r="E88" s="97"/>
      <c r="F88" s="97"/>
      <c r="G88" s="97"/>
      <c r="H88" s="97"/>
      <c r="I88" s="97"/>
      <c r="J88" s="97"/>
    </row>
    <row r="89" spans="2:10" s="2" customFormat="1">
      <c r="D89" s="6"/>
      <c r="E89" s="6"/>
      <c r="F89" s="6"/>
      <c r="G89" s="6"/>
      <c r="H89" s="6"/>
      <c r="I89" s="6"/>
      <c r="J89" s="6"/>
    </row>
    <row r="90" spans="2:10" s="2" customFormat="1">
      <c r="B90" s="100" t="s">
        <v>54</v>
      </c>
      <c r="D90" s="6"/>
      <c r="E90" s="6"/>
      <c r="F90" s="6"/>
      <c r="G90" s="6"/>
      <c r="H90" s="6"/>
      <c r="I90" s="6"/>
      <c r="J90" s="6"/>
    </row>
    <row r="91" spans="2:10" s="2" customFormat="1">
      <c r="B91" s="2" t="s">
        <v>56</v>
      </c>
      <c r="D91" s="6"/>
      <c r="E91" s="6">
        <f t="shared" ref="E91:J91" si="23">E70</f>
        <v>10393.67</v>
      </c>
      <c r="F91" s="6">
        <f t="shared" si="23"/>
        <v>8667.5730000000003</v>
      </c>
      <c r="G91" s="6">
        <f t="shared" si="23"/>
        <v>6355.84</v>
      </c>
      <c r="H91" s="6">
        <f t="shared" si="23"/>
        <v>8884.2049999999999</v>
      </c>
      <c r="I91" s="6">
        <f t="shared" si="23"/>
        <v>11026.2</v>
      </c>
      <c r="J91" s="6">
        <f t="shared" si="23"/>
        <v>5745.4089999999997</v>
      </c>
    </row>
    <row r="92" spans="2:10" s="2" customFormat="1">
      <c r="B92" s="2" t="s">
        <v>69</v>
      </c>
      <c r="D92" s="6"/>
      <c r="E92" s="6">
        <f t="shared" ref="E92:J92" si="24">E146</f>
        <v>-2812.5</v>
      </c>
      <c r="F92" s="6">
        <f t="shared" si="24"/>
        <v>-2812.5</v>
      </c>
      <c r="G92" s="6">
        <f t="shared" si="24"/>
        <v>-2812.5</v>
      </c>
      <c r="H92" s="6">
        <f t="shared" si="24"/>
        <v>-2812.5</v>
      </c>
      <c r="I92" s="6">
        <f t="shared" si="24"/>
        <v>-2812.5</v>
      </c>
      <c r="J92" s="6">
        <f t="shared" si="24"/>
        <v>-2812.5</v>
      </c>
    </row>
    <row r="93" spans="2:10" s="2" customFormat="1">
      <c r="B93" s="2" t="s">
        <v>49</v>
      </c>
      <c r="D93" s="6"/>
      <c r="E93" s="6">
        <f>-E160</f>
        <v>-842.47800000000007</v>
      </c>
      <c r="F93" s="6">
        <f t="shared" ref="F93:J93" si="25">-F160</f>
        <v>-826.19833681249997</v>
      </c>
      <c r="G93" s="6">
        <f t="shared" si="25"/>
        <v>-9719.8202333434456</v>
      </c>
      <c r="H93" s="6">
        <f t="shared" si="25"/>
        <v>-841.91763403640039</v>
      </c>
      <c r="I93" s="6">
        <f t="shared" si="25"/>
        <v>-827.88659870229139</v>
      </c>
      <c r="J93" s="6">
        <f t="shared" si="25"/>
        <v>-799.35218712553149</v>
      </c>
    </row>
    <row r="94" spans="2:10" s="2" customFormat="1">
      <c r="B94" s="2" t="s">
        <v>55</v>
      </c>
      <c r="D94" s="6"/>
      <c r="E94" s="96">
        <f>-E74</f>
        <v>-1645.6105</v>
      </c>
      <c r="F94" s="96">
        <f t="shared" ref="F94:J94" si="26">-F74</f>
        <v>-1218.156165796875</v>
      </c>
      <c r="G94" s="96">
        <f t="shared" si="26"/>
        <v>-643.37994166413887</v>
      </c>
      <c r="H94" s="96">
        <f t="shared" si="26"/>
        <v>-1399.0093414908999</v>
      </c>
      <c r="I94" s="96">
        <f t="shared" si="26"/>
        <v>-1938.0158503244274</v>
      </c>
      <c r="J94" s="96">
        <f t="shared" si="26"/>
        <v>-624.95170321861701</v>
      </c>
    </row>
    <row r="95" spans="2:10" s="2" customFormat="1">
      <c r="B95" s="1" t="s">
        <v>53</v>
      </c>
      <c r="D95" s="6"/>
      <c r="E95" s="97">
        <f>SUM(E91:E94)</f>
        <v>5093.0815000000002</v>
      </c>
      <c r="F95" s="97">
        <f t="shared" ref="F95:J95" si="27">SUM(F91:F94)</f>
        <v>3810.7184973906251</v>
      </c>
      <c r="G95" s="97">
        <f t="shared" si="27"/>
        <v>-6819.8601750075841</v>
      </c>
      <c r="H95" s="97">
        <f t="shared" si="27"/>
        <v>3830.7780244727001</v>
      </c>
      <c r="I95" s="97">
        <f t="shared" si="27"/>
        <v>5447.7975509732823</v>
      </c>
      <c r="J95" s="97">
        <f t="shared" si="27"/>
        <v>1508.605109655851</v>
      </c>
    </row>
    <row r="96" spans="2:10" s="2" customFormat="1"/>
    <row r="97" spans="2:10" s="2" customFormat="1">
      <c r="B97" s="92" t="s">
        <v>58</v>
      </c>
      <c r="C97" s="93"/>
      <c r="D97" s="94">
        <f>D$65</f>
        <v>43373</v>
      </c>
      <c r="E97" s="94">
        <f t="shared" ref="E97:J97" si="28">E$65</f>
        <v>43404</v>
      </c>
      <c r="F97" s="94">
        <f t="shared" si="28"/>
        <v>43434</v>
      </c>
      <c r="G97" s="94">
        <f t="shared" si="28"/>
        <v>43465</v>
      </c>
      <c r="H97" s="94">
        <f t="shared" si="28"/>
        <v>43496</v>
      </c>
      <c r="I97" s="94">
        <f t="shared" si="28"/>
        <v>43524</v>
      </c>
      <c r="J97" s="95">
        <f t="shared" si="28"/>
        <v>43555</v>
      </c>
    </row>
    <row r="98" spans="2:10" s="2" customFormat="1">
      <c r="B98" s="2" t="s">
        <v>48</v>
      </c>
      <c r="D98" s="6"/>
      <c r="E98" s="6">
        <f>D100</f>
        <v>174375</v>
      </c>
      <c r="F98" s="6">
        <f t="shared" ref="F98:J98" si="29">E100</f>
        <v>171562.5</v>
      </c>
      <c r="G98" s="6">
        <f t="shared" si="29"/>
        <v>168750</v>
      </c>
      <c r="H98" s="6">
        <f t="shared" si="29"/>
        <v>165937.5</v>
      </c>
      <c r="I98" s="6">
        <f t="shared" si="29"/>
        <v>163125</v>
      </c>
      <c r="J98" s="6">
        <f t="shared" si="29"/>
        <v>160312.5</v>
      </c>
    </row>
    <row r="99" spans="2:10" s="2" customFormat="1">
      <c r="B99" s="2" t="s">
        <v>52</v>
      </c>
      <c r="D99" s="96"/>
      <c r="E99" s="96">
        <f>-$E$18*$E$20</f>
        <v>-2812.5</v>
      </c>
      <c r="F99" s="96">
        <f t="shared" ref="F99:J99" si="30">-$E$18*$E$20</f>
        <v>-2812.5</v>
      </c>
      <c r="G99" s="96">
        <f t="shared" si="30"/>
        <v>-2812.5</v>
      </c>
      <c r="H99" s="96">
        <f t="shared" si="30"/>
        <v>-2812.5</v>
      </c>
      <c r="I99" s="96">
        <f t="shared" si="30"/>
        <v>-2812.5</v>
      </c>
      <c r="J99" s="96">
        <f t="shared" si="30"/>
        <v>-2812.5</v>
      </c>
    </row>
    <row r="100" spans="2:10" s="2" customFormat="1">
      <c r="B100" s="1" t="s">
        <v>22</v>
      </c>
      <c r="C100" s="1"/>
      <c r="D100" s="97">
        <f>S38</f>
        <v>174375</v>
      </c>
      <c r="E100" s="97">
        <f>SUM(E98:E99)</f>
        <v>171562.5</v>
      </c>
      <c r="F100" s="97">
        <f t="shared" ref="F100:J100" si="31">SUM(F98:F99)</f>
        <v>168750</v>
      </c>
      <c r="G100" s="97">
        <f t="shared" si="31"/>
        <v>165937.5</v>
      </c>
      <c r="H100" s="97">
        <f t="shared" si="31"/>
        <v>163125</v>
      </c>
      <c r="I100" s="97">
        <f t="shared" si="31"/>
        <v>160312.5</v>
      </c>
      <c r="J100" s="97">
        <f t="shared" si="31"/>
        <v>157500</v>
      </c>
    </row>
    <row r="101" spans="2:10" s="2" customFormat="1" ht="4.95" customHeight="1">
      <c r="D101" s="6"/>
      <c r="E101" s="6"/>
      <c r="F101" s="6"/>
      <c r="G101" s="6"/>
      <c r="H101" s="6"/>
      <c r="I101" s="6"/>
      <c r="J101" s="6"/>
    </row>
    <row r="102" spans="2:10" s="2" customFormat="1">
      <c r="B102" s="2" t="s">
        <v>8</v>
      </c>
      <c r="D102" s="6"/>
      <c r="E102" s="55">
        <f t="shared" ref="E102:J103" si="32">E81</f>
        <v>2.2499999999999999E-2</v>
      </c>
      <c r="F102" s="55">
        <f t="shared" si="32"/>
        <v>2.35E-2</v>
      </c>
      <c r="G102" s="55">
        <f t="shared" si="32"/>
        <v>2.4500000000000001E-2</v>
      </c>
      <c r="H102" s="55">
        <f t="shared" si="32"/>
        <v>2.5499999999999998E-2</v>
      </c>
      <c r="I102" s="55">
        <f t="shared" si="32"/>
        <v>2.6499999999999999E-2</v>
      </c>
      <c r="J102" s="55">
        <f t="shared" si="32"/>
        <v>2.7E-2</v>
      </c>
    </row>
    <row r="103" spans="2:10" s="2" customFormat="1">
      <c r="B103" s="2" t="s">
        <v>30</v>
      </c>
      <c r="D103" s="6"/>
      <c r="E103" s="98">
        <f t="shared" si="32"/>
        <v>0.03</v>
      </c>
      <c r="F103" s="98">
        <f t="shared" si="32"/>
        <v>0.03</v>
      </c>
      <c r="G103" s="98">
        <f t="shared" si="32"/>
        <v>0.03</v>
      </c>
      <c r="H103" s="98">
        <f t="shared" si="32"/>
        <v>0.03</v>
      </c>
      <c r="I103" s="98">
        <f t="shared" si="32"/>
        <v>0.03</v>
      </c>
      <c r="J103" s="98">
        <f t="shared" si="32"/>
        <v>0.03</v>
      </c>
    </row>
    <row r="104" spans="2:10" s="2" customFormat="1">
      <c r="B104" s="1" t="s">
        <v>62</v>
      </c>
      <c r="D104" s="6"/>
      <c r="E104" s="99">
        <f>E102+E103</f>
        <v>5.2499999999999998E-2</v>
      </c>
      <c r="F104" s="99">
        <f t="shared" ref="F104:J104" si="33">F102+F103</f>
        <v>5.3499999999999999E-2</v>
      </c>
      <c r="G104" s="99">
        <f t="shared" si="33"/>
        <v>5.45E-2</v>
      </c>
      <c r="H104" s="99">
        <f t="shared" si="33"/>
        <v>5.5499999999999994E-2</v>
      </c>
      <c r="I104" s="99">
        <f t="shared" si="33"/>
        <v>5.6499999999999995E-2</v>
      </c>
      <c r="J104" s="99">
        <f t="shared" si="33"/>
        <v>5.6999999999999995E-2</v>
      </c>
    </row>
    <row r="105" spans="2:10" s="2" customFormat="1" ht="4.95" customHeight="1">
      <c r="D105" s="6"/>
      <c r="E105" s="6"/>
      <c r="F105" s="6"/>
      <c r="G105" s="6"/>
      <c r="H105" s="6"/>
      <c r="I105" s="6"/>
      <c r="J105" s="6"/>
    </row>
    <row r="106" spans="2:10" s="2" customFormat="1">
      <c r="B106" s="1" t="s">
        <v>61</v>
      </c>
      <c r="D106" s="6"/>
      <c r="E106" s="97">
        <f>D100*E104/12</f>
        <v>762.890625</v>
      </c>
      <c r="F106" s="97">
        <f t="shared" ref="F106:J106" si="34">E100*F104/12</f>
        <v>764.8828125</v>
      </c>
      <c r="G106" s="97">
        <f t="shared" si="34"/>
        <v>766.40625</v>
      </c>
      <c r="H106" s="97">
        <f t="shared" si="34"/>
        <v>767.46093749999989</v>
      </c>
      <c r="I106" s="97">
        <f t="shared" si="34"/>
        <v>768.046875</v>
      </c>
      <c r="J106" s="97">
        <f t="shared" si="34"/>
        <v>761.484375</v>
      </c>
    </row>
    <row r="107" spans="2:10" s="2" customFormat="1"/>
    <row r="108" spans="2:10" s="2" customFormat="1">
      <c r="B108" s="92" t="s">
        <v>59</v>
      </c>
      <c r="C108" s="93"/>
      <c r="D108" s="94">
        <f>D$65</f>
        <v>43373</v>
      </c>
      <c r="E108" s="94">
        <f t="shared" ref="E108:J108" si="35">E$65</f>
        <v>43404</v>
      </c>
      <c r="F108" s="94">
        <f t="shared" si="35"/>
        <v>43434</v>
      </c>
      <c r="G108" s="94">
        <f t="shared" si="35"/>
        <v>43465</v>
      </c>
      <c r="H108" s="94">
        <f t="shared" si="35"/>
        <v>43496</v>
      </c>
      <c r="I108" s="94">
        <f t="shared" si="35"/>
        <v>43524</v>
      </c>
      <c r="J108" s="95">
        <f t="shared" si="35"/>
        <v>43555</v>
      </c>
    </row>
    <row r="109" spans="2:10" s="2" customFormat="1">
      <c r="B109" s="2" t="s">
        <v>48</v>
      </c>
      <c r="D109" s="6"/>
      <c r="E109" s="6">
        <f>D111</f>
        <v>500000</v>
      </c>
      <c r="F109" s="6">
        <f t="shared" ref="F109:J109" si="36">E111</f>
        <v>500000</v>
      </c>
      <c r="G109" s="6">
        <f t="shared" si="36"/>
        <v>500000</v>
      </c>
      <c r="H109" s="6">
        <f t="shared" si="36"/>
        <v>0</v>
      </c>
      <c r="I109" s="6">
        <f t="shared" si="36"/>
        <v>0</v>
      </c>
      <c r="J109" s="6">
        <f t="shared" si="36"/>
        <v>0</v>
      </c>
    </row>
    <row r="110" spans="2:10" s="2" customFormat="1">
      <c r="B110" s="2" t="s">
        <v>52</v>
      </c>
      <c r="D110" s="96"/>
      <c r="E110" s="96">
        <f>IF(E65=$M$17,-E109,0)</f>
        <v>0</v>
      </c>
      <c r="F110" s="96">
        <f t="shared" ref="F110:J110" si="37">IF(F65=$M$17,-F109,0)</f>
        <v>0</v>
      </c>
      <c r="G110" s="96">
        <f t="shared" si="37"/>
        <v>-500000</v>
      </c>
      <c r="H110" s="96">
        <f t="shared" si="37"/>
        <v>0</v>
      </c>
      <c r="I110" s="96">
        <f t="shared" si="37"/>
        <v>0</v>
      </c>
      <c r="J110" s="96">
        <f t="shared" si="37"/>
        <v>0</v>
      </c>
    </row>
    <row r="111" spans="2:10" s="2" customFormat="1">
      <c r="B111" s="1" t="s">
        <v>22</v>
      </c>
      <c r="C111" s="1"/>
      <c r="D111" s="97">
        <f>S42</f>
        <v>500000</v>
      </c>
      <c r="E111" s="97">
        <f>SUM(E109:E110)</f>
        <v>500000</v>
      </c>
      <c r="F111" s="97">
        <f t="shared" ref="F111:J111" si="38">SUM(F109:F110)</f>
        <v>500000</v>
      </c>
      <c r="G111" s="97">
        <f t="shared" si="38"/>
        <v>0</v>
      </c>
      <c r="H111" s="97">
        <f t="shared" si="38"/>
        <v>0</v>
      </c>
      <c r="I111" s="97">
        <f t="shared" si="38"/>
        <v>0</v>
      </c>
      <c r="J111" s="97">
        <f t="shared" si="38"/>
        <v>0</v>
      </c>
    </row>
    <row r="112" spans="2:10" s="2" customFormat="1" ht="4.95" customHeight="1">
      <c r="B112" s="1"/>
      <c r="C112" s="1"/>
      <c r="D112" s="97"/>
      <c r="E112" s="97"/>
      <c r="F112" s="97"/>
      <c r="G112" s="97"/>
      <c r="H112" s="97"/>
      <c r="I112" s="97"/>
      <c r="J112" s="97"/>
    </row>
    <row r="113" spans="2:10" s="2" customFormat="1">
      <c r="B113" s="2" t="s">
        <v>73</v>
      </c>
      <c r="D113" s="6"/>
      <c r="E113" s="154">
        <f t="shared" ref="E113:J113" si="39">IF(E65=$M$17,INDEX($I$24:$I$26,MATCH(EOMONTH(E$108,-1),$H$24:$H$26,1)),0)</f>
        <v>0</v>
      </c>
      <c r="F113" s="154">
        <f t="shared" si="39"/>
        <v>0</v>
      </c>
      <c r="G113" s="154">
        <f t="shared" si="39"/>
        <v>1.03</v>
      </c>
      <c r="H113" s="154">
        <f t="shared" si="39"/>
        <v>0</v>
      </c>
      <c r="I113" s="154">
        <f t="shared" si="39"/>
        <v>0</v>
      </c>
      <c r="J113" s="154">
        <f t="shared" si="39"/>
        <v>0</v>
      </c>
    </row>
    <row r="114" spans="2:10" s="2" customFormat="1">
      <c r="B114" s="2" t="s">
        <v>72</v>
      </c>
      <c r="D114" s="6"/>
      <c r="E114" s="6">
        <f>-E110*E113</f>
        <v>0</v>
      </c>
      <c r="F114" s="6">
        <f t="shared" ref="F114:J114" si="40">-F110*F113</f>
        <v>0</v>
      </c>
      <c r="G114" s="6">
        <f t="shared" si="40"/>
        <v>515000</v>
      </c>
      <c r="H114" s="6">
        <f t="shared" si="40"/>
        <v>0</v>
      </c>
      <c r="I114" s="6">
        <f t="shared" si="40"/>
        <v>0</v>
      </c>
      <c r="J114" s="6">
        <f t="shared" si="40"/>
        <v>0</v>
      </c>
    </row>
    <row r="115" spans="2:10" s="2" customFormat="1" ht="4.95" customHeight="1">
      <c r="D115" s="6"/>
      <c r="E115" s="6"/>
      <c r="F115" s="6"/>
      <c r="G115" s="6"/>
      <c r="H115" s="6"/>
      <c r="I115" s="6"/>
      <c r="J115" s="6"/>
    </row>
    <row r="116" spans="2:10" s="2" customFormat="1">
      <c r="B116" s="2" t="s">
        <v>62</v>
      </c>
      <c r="D116" s="6"/>
      <c r="E116" s="101">
        <f>$I$19</f>
        <v>7.1249999999999994E-2</v>
      </c>
      <c r="F116" s="101">
        <f t="shared" ref="F116:J116" si="41">$I$19</f>
        <v>7.1249999999999994E-2</v>
      </c>
      <c r="G116" s="101">
        <f t="shared" si="41"/>
        <v>7.1249999999999994E-2</v>
      </c>
      <c r="H116" s="101">
        <f t="shared" si="41"/>
        <v>7.1249999999999994E-2</v>
      </c>
      <c r="I116" s="101">
        <f t="shared" si="41"/>
        <v>7.1249999999999994E-2</v>
      </c>
      <c r="J116" s="101">
        <f t="shared" si="41"/>
        <v>7.1249999999999994E-2</v>
      </c>
    </row>
    <row r="117" spans="2:10" s="2" customFormat="1" ht="4.95" customHeight="1">
      <c r="D117" s="6"/>
      <c r="E117" s="6"/>
      <c r="F117" s="6"/>
      <c r="G117" s="6"/>
      <c r="H117" s="6"/>
      <c r="I117" s="6"/>
      <c r="J117" s="6"/>
    </row>
    <row r="118" spans="2:10" s="2" customFormat="1">
      <c r="B118" s="1" t="s">
        <v>61</v>
      </c>
      <c r="D118" s="6"/>
      <c r="E118" s="102">
        <f t="shared" ref="E118:J118" si="42">D111*E116/12</f>
        <v>2968.75</v>
      </c>
      <c r="F118" s="102">
        <f t="shared" si="42"/>
        <v>2968.75</v>
      </c>
      <c r="G118" s="125">
        <f t="shared" si="42"/>
        <v>2968.75</v>
      </c>
      <c r="H118" s="102">
        <f t="shared" si="42"/>
        <v>0</v>
      </c>
      <c r="I118" s="102">
        <f t="shared" si="42"/>
        <v>0</v>
      </c>
      <c r="J118" s="125">
        <f t="shared" si="42"/>
        <v>0</v>
      </c>
    </row>
    <row r="119" spans="2:10" s="2" customFormat="1" ht="4.95" customHeight="1">
      <c r="B119" s="1"/>
      <c r="D119" s="6"/>
      <c r="E119" s="97"/>
      <c r="F119" s="97"/>
      <c r="G119" s="97"/>
      <c r="H119" s="97"/>
      <c r="I119" s="97"/>
      <c r="J119" s="97"/>
    </row>
    <row r="120" spans="2:10" s="2" customFormat="1">
      <c r="B120" s="103" t="s">
        <v>74</v>
      </c>
      <c r="C120" s="103"/>
      <c r="D120" s="104"/>
      <c r="E120" s="105">
        <f>IF(E113&gt;0,1,0)</f>
        <v>0</v>
      </c>
      <c r="F120" s="105">
        <f t="shared" ref="F120:J120" si="43">IF(F113&gt;0,1,0)</f>
        <v>0</v>
      </c>
      <c r="G120" s="105">
        <f t="shared" si="43"/>
        <v>1</v>
      </c>
      <c r="H120" s="105">
        <f t="shared" si="43"/>
        <v>0</v>
      </c>
      <c r="I120" s="105">
        <f t="shared" si="43"/>
        <v>0</v>
      </c>
      <c r="J120" s="105">
        <f t="shared" si="43"/>
        <v>0</v>
      </c>
    </row>
    <row r="121" spans="2:10" s="2" customFormat="1">
      <c r="B121" s="106" t="s">
        <v>75</v>
      </c>
      <c r="C121" s="103"/>
      <c r="D121" s="104"/>
      <c r="E121" s="102">
        <f>$E$118*COUNT($E$120:E120)*E120</f>
        <v>0</v>
      </c>
      <c r="F121" s="125">
        <f>$E$118*COUNT($E$120:F120)*F120</f>
        <v>0</v>
      </c>
      <c r="G121" s="102">
        <f>$E$118*COUNT($E$120:G120)*G120</f>
        <v>8906.25</v>
      </c>
      <c r="H121" s="102">
        <f>$E$118*COUNT($E$120:H120)*H120</f>
        <v>0</v>
      </c>
      <c r="I121" s="102">
        <f>$E$118*COUNT($E$120:I120)*I120</f>
        <v>0</v>
      </c>
      <c r="J121" s="102">
        <f>$E$118*COUNT($E$120:J120)*J120</f>
        <v>0</v>
      </c>
    </row>
    <row r="122" spans="2:10" s="2" customFormat="1">
      <c r="B122" s="1"/>
      <c r="D122" s="6"/>
      <c r="E122" s="97"/>
      <c r="F122" s="97"/>
      <c r="G122" s="97"/>
      <c r="H122" s="97"/>
      <c r="I122" s="97"/>
      <c r="J122" s="97"/>
    </row>
    <row r="123" spans="2:10" s="2" customFormat="1">
      <c r="B123" s="92" t="s">
        <v>60</v>
      </c>
      <c r="C123" s="93"/>
      <c r="D123" s="94">
        <f>D$65</f>
        <v>43373</v>
      </c>
      <c r="E123" s="94">
        <f t="shared" ref="E123:J123" si="44">E$65</f>
        <v>43404</v>
      </c>
      <c r="F123" s="94">
        <f t="shared" si="44"/>
        <v>43434</v>
      </c>
      <c r="G123" s="94">
        <f t="shared" si="44"/>
        <v>43465</v>
      </c>
      <c r="H123" s="94">
        <f t="shared" si="44"/>
        <v>43496</v>
      </c>
      <c r="I123" s="94">
        <f t="shared" si="44"/>
        <v>43524</v>
      </c>
      <c r="J123" s="95">
        <f t="shared" si="44"/>
        <v>43555</v>
      </c>
    </row>
    <row r="124" spans="2:10" s="2" customFormat="1">
      <c r="B124" s="2" t="s">
        <v>71</v>
      </c>
      <c r="E124" s="107">
        <f>IF(E128&gt;0,1,0)</f>
        <v>0</v>
      </c>
      <c r="F124" s="107">
        <f t="shared" ref="F124:J124" si="45">IF(F128&gt;0,1,0)</f>
        <v>0</v>
      </c>
      <c r="G124" s="107">
        <f t="shared" si="45"/>
        <v>1</v>
      </c>
      <c r="H124" s="107">
        <f t="shared" si="45"/>
        <v>1</v>
      </c>
      <c r="I124" s="107">
        <f t="shared" si="45"/>
        <v>1</v>
      </c>
      <c r="J124" s="107">
        <f t="shared" si="45"/>
        <v>1</v>
      </c>
    </row>
    <row r="125" spans="2:10" s="2" customFormat="1"/>
    <row r="126" spans="2:10" s="2" customFormat="1">
      <c r="B126" s="2" t="s">
        <v>48</v>
      </c>
      <c r="D126" s="6"/>
      <c r="E126" s="6">
        <f>D128</f>
        <v>0</v>
      </c>
      <c r="F126" s="6">
        <f t="shared" ref="F126:J126" si="46">E128</f>
        <v>0</v>
      </c>
      <c r="G126" s="6">
        <f t="shared" si="46"/>
        <v>0</v>
      </c>
      <c r="H126" s="6">
        <f t="shared" si="46"/>
        <v>515000</v>
      </c>
      <c r="I126" s="6">
        <f t="shared" si="46"/>
        <v>515000</v>
      </c>
      <c r="J126" s="6">
        <f t="shared" si="46"/>
        <v>515000</v>
      </c>
    </row>
    <row r="127" spans="2:10" s="2" customFormat="1">
      <c r="B127" s="2" t="s">
        <v>52</v>
      </c>
      <c r="D127" s="96"/>
      <c r="E127" s="96">
        <f t="shared" ref="E127:J127" si="47">E114</f>
        <v>0</v>
      </c>
      <c r="F127" s="96">
        <f t="shared" si="47"/>
        <v>0</v>
      </c>
      <c r="G127" s="96">
        <f t="shared" si="47"/>
        <v>515000</v>
      </c>
      <c r="H127" s="96">
        <f t="shared" si="47"/>
        <v>0</v>
      </c>
      <c r="I127" s="96">
        <f t="shared" si="47"/>
        <v>0</v>
      </c>
      <c r="J127" s="96">
        <f t="shared" si="47"/>
        <v>0</v>
      </c>
    </row>
    <row r="128" spans="2:10" s="2" customFormat="1">
      <c r="B128" s="1" t="s">
        <v>22</v>
      </c>
      <c r="C128" s="1"/>
      <c r="D128" s="108">
        <v>0</v>
      </c>
      <c r="E128" s="97">
        <f>SUM(E126:E127)</f>
        <v>0</v>
      </c>
      <c r="F128" s="97">
        <f t="shared" ref="F128:J128" si="48">SUM(F126:F127)</f>
        <v>0</v>
      </c>
      <c r="G128" s="97">
        <f t="shared" si="48"/>
        <v>515000</v>
      </c>
      <c r="H128" s="97">
        <f t="shared" si="48"/>
        <v>515000</v>
      </c>
      <c r="I128" s="97">
        <f t="shared" si="48"/>
        <v>515000</v>
      </c>
      <c r="J128" s="97">
        <f t="shared" si="48"/>
        <v>515000</v>
      </c>
    </row>
    <row r="129" spans="2:10" s="2" customFormat="1" ht="4.95" customHeight="1">
      <c r="B129" s="1"/>
      <c r="C129" s="1"/>
      <c r="D129" s="97"/>
      <c r="E129" s="97"/>
      <c r="F129" s="97"/>
      <c r="G129" s="97"/>
      <c r="H129" s="97"/>
      <c r="I129" s="97"/>
      <c r="J129" s="97"/>
    </row>
    <row r="130" spans="2:10" s="2" customFormat="1">
      <c r="B130" s="2" t="s">
        <v>62</v>
      </c>
      <c r="D130" s="6"/>
      <c r="E130" s="101">
        <f t="shared" ref="E130:J130" si="49">IF(E113=0,D130,VLOOKUP(E65,$K$19:$M$24,COLUMNS($K$19:$M$24),TRUE))</f>
        <v>0</v>
      </c>
      <c r="F130" s="101">
        <f t="shared" si="49"/>
        <v>0</v>
      </c>
      <c r="G130" s="101">
        <f t="shared" si="49"/>
        <v>5.7000000000000002E-2</v>
      </c>
      <c r="H130" s="101">
        <f t="shared" si="49"/>
        <v>5.7000000000000002E-2</v>
      </c>
      <c r="I130" s="101">
        <f t="shared" si="49"/>
        <v>5.7000000000000002E-2</v>
      </c>
      <c r="J130" s="101">
        <f t="shared" si="49"/>
        <v>5.7000000000000002E-2</v>
      </c>
    </row>
    <row r="131" spans="2:10" s="2" customFormat="1" ht="4.95" customHeight="1">
      <c r="D131" s="6"/>
      <c r="E131" s="6"/>
      <c r="F131" s="6"/>
      <c r="G131" s="6"/>
      <c r="H131" s="6"/>
      <c r="I131" s="6"/>
      <c r="J131" s="6"/>
    </row>
    <row r="132" spans="2:10" s="2" customFormat="1">
      <c r="B132" s="1" t="s">
        <v>61</v>
      </c>
      <c r="D132" s="6"/>
      <c r="E132" s="102">
        <f t="shared" ref="E132:J132" si="50">D128*E130/12</f>
        <v>0</v>
      </c>
      <c r="F132" s="102">
        <f t="shared" si="50"/>
        <v>0</v>
      </c>
      <c r="G132" s="125">
        <f t="shared" si="50"/>
        <v>0</v>
      </c>
      <c r="H132" s="102">
        <f>G128*H130/12</f>
        <v>2446.25</v>
      </c>
      <c r="I132" s="102">
        <f t="shared" si="50"/>
        <v>2446.25</v>
      </c>
      <c r="J132" s="102">
        <f t="shared" si="50"/>
        <v>2446.25</v>
      </c>
    </row>
    <row r="133" spans="2:10" s="2" customFormat="1"/>
    <row r="134" spans="2:10" s="2" customFormat="1">
      <c r="B134" s="92" t="s">
        <v>65</v>
      </c>
      <c r="C134" s="93"/>
      <c r="D134" s="94">
        <f>D$65</f>
        <v>43373</v>
      </c>
      <c r="E134" s="94">
        <f t="shared" ref="E134:J134" si="51">E$65</f>
        <v>43404</v>
      </c>
      <c r="F134" s="94">
        <f t="shared" si="51"/>
        <v>43434</v>
      </c>
      <c r="G134" s="94">
        <f t="shared" si="51"/>
        <v>43465</v>
      </c>
      <c r="H134" s="94">
        <f t="shared" si="51"/>
        <v>43496</v>
      </c>
      <c r="I134" s="94">
        <f t="shared" si="51"/>
        <v>43524</v>
      </c>
      <c r="J134" s="95">
        <f t="shared" si="51"/>
        <v>43555</v>
      </c>
    </row>
    <row r="135" spans="2:10" s="2" customFormat="1">
      <c r="B135" s="2" t="s">
        <v>57</v>
      </c>
      <c r="D135" s="6">
        <f t="shared" ref="D135:J135" si="52">D79</f>
        <v>12473</v>
      </c>
      <c r="E135" s="6">
        <f t="shared" si="52"/>
        <v>7379.9184999999998</v>
      </c>
      <c r="F135" s="6">
        <f t="shared" si="52"/>
        <v>3569.2000026093747</v>
      </c>
      <c r="G135" s="6">
        <f t="shared" si="52"/>
        <v>10389.060177616959</v>
      </c>
      <c r="H135" s="6">
        <f t="shared" si="52"/>
        <v>6558.2821531442587</v>
      </c>
      <c r="I135" s="6">
        <f t="shared" si="52"/>
        <v>1110.4846021709764</v>
      </c>
      <c r="J135" s="6">
        <f t="shared" si="52"/>
        <v>0</v>
      </c>
    </row>
    <row r="136" spans="2:10" s="2" customFormat="1">
      <c r="B136" s="2" t="s">
        <v>58</v>
      </c>
      <c r="D136" s="6">
        <f t="shared" ref="D136:J136" si="53">D100</f>
        <v>174375</v>
      </c>
      <c r="E136" s="6">
        <f t="shared" si="53"/>
        <v>171562.5</v>
      </c>
      <c r="F136" s="6">
        <f t="shared" si="53"/>
        <v>168750</v>
      </c>
      <c r="G136" s="6">
        <f t="shared" si="53"/>
        <v>165937.5</v>
      </c>
      <c r="H136" s="6">
        <f t="shared" si="53"/>
        <v>163125</v>
      </c>
      <c r="I136" s="6">
        <f t="shared" si="53"/>
        <v>160312.5</v>
      </c>
      <c r="J136" s="6">
        <f t="shared" si="53"/>
        <v>157500</v>
      </c>
    </row>
    <row r="137" spans="2:10" s="2" customFormat="1">
      <c r="B137" s="2" t="s">
        <v>59</v>
      </c>
      <c r="D137" s="6">
        <f t="shared" ref="D137:J137" si="54">D111</f>
        <v>500000</v>
      </c>
      <c r="E137" s="6">
        <f t="shared" si="54"/>
        <v>500000</v>
      </c>
      <c r="F137" s="6">
        <f t="shared" si="54"/>
        <v>500000</v>
      </c>
      <c r="G137" s="6">
        <f t="shared" si="54"/>
        <v>0</v>
      </c>
      <c r="H137" s="6">
        <f t="shared" si="54"/>
        <v>0</v>
      </c>
      <c r="I137" s="6">
        <f t="shared" si="54"/>
        <v>0</v>
      </c>
      <c r="J137" s="6">
        <f t="shared" si="54"/>
        <v>0</v>
      </c>
    </row>
    <row r="138" spans="2:10" s="2" customFormat="1">
      <c r="B138" s="2" t="s">
        <v>60</v>
      </c>
      <c r="D138" s="96">
        <f>D128</f>
        <v>0</v>
      </c>
      <c r="E138" s="96">
        <f t="shared" ref="E138:J138" si="55">E128</f>
        <v>0</v>
      </c>
      <c r="F138" s="96">
        <f t="shared" si="55"/>
        <v>0</v>
      </c>
      <c r="G138" s="96">
        <f t="shared" si="55"/>
        <v>515000</v>
      </c>
      <c r="H138" s="96">
        <f t="shared" si="55"/>
        <v>515000</v>
      </c>
      <c r="I138" s="96">
        <f t="shared" si="55"/>
        <v>515000</v>
      </c>
      <c r="J138" s="96">
        <f t="shared" si="55"/>
        <v>515000</v>
      </c>
    </row>
    <row r="139" spans="2:10" s="2" customFormat="1">
      <c r="B139" s="1" t="s">
        <v>65</v>
      </c>
      <c r="D139" s="97">
        <f>SUM(D135:D138)</f>
        <v>686848</v>
      </c>
      <c r="E139" s="97">
        <f t="shared" ref="E139:J139" si="56">SUM(E135:E138)</f>
        <v>678942.41850000003</v>
      </c>
      <c r="F139" s="97">
        <f t="shared" si="56"/>
        <v>672319.2000026094</v>
      </c>
      <c r="G139" s="97">
        <f t="shared" si="56"/>
        <v>691326.56017761701</v>
      </c>
      <c r="H139" s="97">
        <f t="shared" si="56"/>
        <v>684683.28215314425</v>
      </c>
      <c r="I139" s="97">
        <f t="shared" si="56"/>
        <v>676422.984602171</v>
      </c>
      <c r="J139" s="97">
        <f t="shared" si="56"/>
        <v>672500</v>
      </c>
    </row>
    <row r="140" spans="2:10" s="2" customFormat="1"/>
    <row r="141" spans="2:10" s="2" customFormat="1">
      <c r="B141" s="92" t="s">
        <v>66</v>
      </c>
      <c r="C141" s="93"/>
      <c r="D141" s="94">
        <f>D$65</f>
        <v>43373</v>
      </c>
      <c r="E141" s="94">
        <f t="shared" ref="E141:J141" si="57">E$65</f>
        <v>43404</v>
      </c>
      <c r="F141" s="94">
        <f t="shared" si="57"/>
        <v>43434</v>
      </c>
      <c r="G141" s="94">
        <f t="shared" si="57"/>
        <v>43465</v>
      </c>
      <c r="H141" s="94">
        <f t="shared" si="57"/>
        <v>43496</v>
      </c>
      <c r="I141" s="94">
        <f t="shared" si="57"/>
        <v>43524</v>
      </c>
      <c r="J141" s="95">
        <f t="shared" si="57"/>
        <v>43555</v>
      </c>
    </row>
    <row r="142" spans="2:10" s="2" customFormat="1">
      <c r="B142" s="2" t="s">
        <v>58</v>
      </c>
      <c r="D142" s="97"/>
      <c r="E142" s="6">
        <f t="shared" ref="E142:J142" si="58">E99</f>
        <v>-2812.5</v>
      </c>
      <c r="F142" s="6">
        <f t="shared" si="58"/>
        <v>-2812.5</v>
      </c>
      <c r="G142" s="6">
        <f t="shared" si="58"/>
        <v>-2812.5</v>
      </c>
      <c r="H142" s="6">
        <f t="shared" si="58"/>
        <v>-2812.5</v>
      </c>
      <c r="I142" s="6">
        <f t="shared" si="58"/>
        <v>-2812.5</v>
      </c>
      <c r="J142" s="6">
        <f t="shared" si="58"/>
        <v>-2812.5</v>
      </c>
    </row>
    <row r="143" spans="2:10" s="2" customFormat="1">
      <c r="B143" s="2" t="s">
        <v>59</v>
      </c>
      <c r="E143" s="6">
        <f>E110</f>
        <v>0</v>
      </c>
      <c r="F143" s="6">
        <f t="shared" ref="F143:J143" si="59">F110</f>
        <v>0</v>
      </c>
      <c r="G143" s="6">
        <f t="shared" si="59"/>
        <v>-500000</v>
      </c>
      <c r="H143" s="6">
        <f t="shared" si="59"/>
        <v>0</v>
      </c>
      <c r="I143" s="6">
        <f t="shared" si="59"/>
        <v>0</v>
      </c>
      <c r="J143" s="6">
        <f t="shared" si="59"/>
        <v>0</v>
      </c>
    </row>
    <row r="144" spans="2:10" s="2" customFormat="1">
      <c r="B144" s="2" t="s">
        <v>70</v>
      </c>
      <c r="E144" s="6">
        <f t="shared" ref="E144:J144" si="60">E113*E110-E110</f>
        <v>0</v>
      </c>
      <c r="F144" s="6">
        <f t="shared" si="60"/>
        <v>0</v>
      </c>
      <c r="G144" s="6">
        <f t="shared" si="60"/>
        <v>-15000</v>
      </c>
      <c r="H144" s="6">
        <f t="shared" si="60"/>
        <v>0</v>
      </c>
      <c r="I144" s="6">
        <f t="shared" si="60"/>
        <v>0</v>
      </c>
      <c r="J144" s="6">
        <f t="shared" si="60"/>
        <v>0</v>
      </c>
    </row>
    <row r="145" spans="2:10" s="2" customFormat="1">
      <c r="B145" s="2" t="s">
        <v>60</v>
      </c>
      <c r="E145" s="96">
        <f>E127</f>
        <v>0</v>
      </c>
      <c r="F145" s="96">
        <f t="shared" ref="F145:J145" si="61">F127</f>
        <v>0</v>
      </c>
      <c r="G145" s="96">
        <f t="shared" si="61"/>
        <v>515000</v>
      </c>
      <c r="H145" s="96">
        <f t="shared" si="61"/>
        <v>0</v>
      </c>
      <c r="I145" s="96">
        <f t="shared" si="61"/>
        <v>0</v>
      </c>
      <c r="J145" s="96">
        <f t="shared" si="61"/>
        <v>0</v>
      </c>
    </row>
    <row r="146" spans="2:10" s="2" customFormat="1">
      <c r="B146" s="1" t="s">
        <v>66</v>
      </c>
      <c r="E146" s="97">
        <f t="shared" ref="E146:J146" si="62">SUM(E142:E145)</f>
        <v>-2812.5</v>
      </c>
      <c r="F146" s="97">
        <f t="shared" si="62"/>
        <v>-2812.5</v>
      </c>
      <c r="G146" s="97">
        <f t="shared" si="62"/>
        <v>-2812.5</v>
      </c>
      <c r="H146" s="97">
        <f t="shared" si="62"/>
        <v>-2812.5</v>
      </c>
      <c r="I146" s="97">
        <f t="shared" si="62"/>
        <v>-2812.5</v>
      </c>
      <c r="J146" s="97">
        <f t="shared" si="62"/>
        <v>-2812.5</v>
      </c>
    </row>
    <row r="147" spans="2:10" s="2" customFormat="1">
      <c r="B147" s="1"/>
      <c r="D147" s="97"/>
      <c r="E147" s="97"/>
      <c r="F147" s="97"/>
      <c r="G147" s="97"/>
      <c r="H147" s="97"/>
      <c r="I147" s="97"/>
      <c r="J147" s="97"/>
    </row>
    <row r="148" spans="2:10" s="2" customFormat="1">
      <c r="B148" s="92" t="s">
        <v>76</v>
      </c>
      <c r="C148" s="93"/>
      <c r="D148" s="94">
        <f>D$65</f>
        <v>43373</v>
      </c>
      <c r="E148" s="94">
        <f t="shared" ref="E148:J148" si="63">E$65</f>
        <v>43404</v>
      </c>
      <c r="F148" s="94">
        <f t="shared" si="63"/>
        <v>43434</v>
      </c>
      <c r="G148" s="94">
        <f t="shared" si="63"/>
        <v>43465</v>
      </c>
      <c r="H148" s="94">
        <f t="shared" si="63"/>
        <v>43496</v>
      </c>
      <c r="I148" s="94">
        <f t="shared" si="63"/>
        <v>43524</v>
      </c>
      <c r="J148" s="95">
        <f t="shared" si="63"/>
        <v>43555</v>
      </c>
    </row>
    <row r="149" spans="2:10" s="2" customFormat="1">
      <c r="B149" s="2" t="s">
        <v>57</v>
      </c>
      <c r="D149" s="97"/>
      <c r="E149" s="6">
        <f t="shared" ref="E149:J149" si="64">E87</f>
        <v>79.587375000000009</v>
      </c>
      <c r="F149" s="6">
        <f t="shared" si="64"/>
        <v>61.315524312499996</v>
      </c>
      <c r="G149" s="6">
        <f t="shared" si="64"/>
        <v>47.163983343444656</v>
      </c>
      <c r="H149" s="6">
        <f t="shared" si="64"/>
        <v>74.456696536400457</v>
      </c>
      <c r="I149" s="6">
        <f t="shared" si="64"/>
        <v>59.83972370229138</v>
      </c>
      <c r="J149" s="6">
        <f t="shared" si="64"/>
        <v>37.867812125531486</v>
      </c>
    </row>
    <row r="150" spans="2:10" s="2" customFormat="1">
      <c r="B150" s="2" t="s">
        <v>58</v>
      </c>
      <c r="E150" s="6">
        <f t="shared" ref="E150:J150" si="65">E106</f>
        <v>762.890625</v>
      </c>
      <c r="F150" s="6">
        <f t="shared" si="65"/>
        <v>764.8828125</v>
      </c>
      <c r="G150" s="6">
        <f t="shared" si="65"/>
        <v>766.40625</v>
      </c>
      <c r="H150" s="6">
        <f t="shared" si="65"/>
        <v>767.46093749999989</v>
      </c>
      <c r="I150" s="6">
        <f t="shared" si="65"/>
        <v>768.046875</v>
      </c>
      <c r="J150" s="6">
        <f t="shared" si="65"/>
        <v>761.484375</v>
      </c>
    </row>
    <row r="151" spans="2:10" s="2" customFormat="1">
      <c r="B151" s="2" t="s">
        <v>59</v>
      </c>
      <c r="E151" s="6">
        <f t="shared" ref="E151:J151" si="66">E118</f>
        <v>2968.75</v>
      </c>
      <c r="F151" s="6">
        <f t="shared" si="66"/>
        <v>2968.75</v>
      </c>
      <c r="G151" s="6">
        <f t="shared" si="66"/>
        <v>2968.75</v>
      </c>
      <c r="H151" s="6">
        <f t="shared" si="66"/>
        <v>0</v>
      </c>
      <c r="I151" s="6">
        <f t="shared" si="66"/>
        <v>0</v>
      </c>
      <c r="J151" s="6">
        <f t="shared" si="66"/>
        <v>0</v>
      </c>
    </row>
    <row r="152" spans="2:10" s="2" customFormat="1">
      <c r="B152" s="2" t="s">
        <v>60</v>
      </c>
      <c r="E152" s="96">
        <f t="shared" ref="E152:J152" si="67">E132</f>
        <v>0</v>
      </c>
      <c r="F152" s="96">
        <f t="shared" si="67"/>
        <v>0</v>
      </c>
      <c r="G152" s="96">
        <f t="shared" si="67"/>
        <v>0</v>
      </c>
      <c r="H152" s="96">
        <f t="shared" si="67"/>
        <v>2446.25</v>
      </c>
      <c r="I152" s="96">
        <f t="shared" si="67"/>
        <v>2446.25</v>
      </c>
      <c r="J152" s="96">
        <f t="shared" si="67"/>
        <v>2446.25</v>
      </c>
    </row>
    <row r="153" spans="2:10" s="2" customFormat="1">
      <c r="B153" s="1" t="s">
        <v>63</v>
      </c>
      <c r="E153" s="97">
        <f>SUM(E149:E152)</f>
        <v>3811.2280000000001</v>
      </c>
      <c r="F153" s="97">
        <f t="shared" ref="F153:J153" si="68">SUM(F149:F152)</f>
        <v>3794.9483368125002</v>
      </c>
      <c r="G153" s="97">
        <f t="shared" si="68"/>
        <v>3782.3202333434447</v>
      </c>
      <c r="H153" s="97">
        <f t="shared" si="68"/>
        <v>3288.1676340364002</v>
      </c>
      <c r="I153" s="97">
        <f t="shared" si="68"/>
        <v>3274.1365987022914</v>
      </c>
      <c r="J153" s="97">
        <f t="shared" si="68"/>
        <v>3245.6021871255316</v>
      </c>
    </row>
    <row r="154" spans="2:10" s="2" customFormat="1"/>
    <row r="155" spans="2:10" s="2" customFormat="1">
      <c r="B155" s="92" t="s">
        <v>64</v>
      </c>
      <c r="C155" s="93"/>
      <c r="D155" s="94">
        <f>D$65</f>
        <v>43373</v>
      </c>
      <c r="E155" s="94">
        <f t="shared" ref="E155:J155" si="69">E$65</f>
        <v>43404</v>
      </c>
      <c r="F155" s="94">
        <f t="shared" si="69"/>
        <v>43434</v>
      </c>
      <c r="G155" s="94">
        <f t="shared" si="69"/>
        <v>43465</v>
      </c>
      <c r="H155" s="94">
        <f t="shared" si="69"/>
        <v>43496</v>
      </c>
      <c r="I155" s="94">
        <f t="shared" si="69"/>
        <v>43524</v>
      </c>
      <c r="J155" s="95">
        <f t="shared" si="69"/>
        <v>43555</v>
      </c>
    </row>
    <row r="156" spans="2:10" s="2" customFormat="1">
      <c r="B156" s="2" t="s">
        <v>57</v>
      </c>
      <c r="D156" s="97"/>
      <c r="E156" s="6">
        <f t="shared" ref="E156:J157" si="70">E149</f>
        <v>79.587375000000009</v>
      </c>
      <c r="F156" s="6">
        <f t="shared" si="70"/>
        <v>61.315524312499996</v>
      </c>
      <c r="G156" s="6">
        <f t="shared" si="70"/>
        <v>47.163983343444656</v>
      </c>
      <c r="H156" s="6">
        <f t="shared" si="70"/>
        <v>74.456696536400457</v>
      </c>
      <c r="I156" s="6">
        <f t="shared" si="70"/>
        <v>59.83972370229138</v>
      </c>
      <c r="J156" s="6">
        <f t="shared" si="70"/>
        <v>37.867812125531486</v>
      </c>
    </row>
    <row r="157" spans="2:10" s="2" customFormat="1">
      <c r="B157" s="2" t="s">
        <v>58</v>
      </c>
      <c r="E157" s="6">
        <f>E150</f>
        <v>762.890625</v>
      </c>
      <c r="F157" s="6">
        <f t="shared" si="70"/>
        <v>764.8828125</v>
      </c>
      <c r="G157" s="6">
        <f t="shared" si="70"/>
        <v>766.40625</v>
      </c>
      <c r="H157" s="6">
        <f t="shared" si="70"/>
        <v>767.46093749999989</v>
      </c>
      <c r="I157" s="6">
        <f t="shared" si="70"/>
        <v>768.046875</v>
      </c>
      <c r="J157" s="6">
        <f t="shared" si="70"/>
        <v>761.484375</v>
      </c>
    </row>
    <row r="158" spans="2:10" s="2" customFormat="1">
      <c r="B158" s="2" t="s">
        <v>59</v>
      </c>
      <c r="E158" s="6">
        <f t="shared" ref="E158:J158" si="71">E121</f>
        <v>0</v>
      </c>
      <c r="F158" s="6">
        <f t="shared" si="71"/>
        <v>0</v>
      </c>
      <c r="G158" s="6">
        <f t="shared" si="71"/>
        <v>8906.25</v>
      </c>
      <c r="H158" s="6">
        <f t="shared" si="71"/>
        <v>0</v>
      </c>
      <c r="I158" s="6">
        <f t="shared" si="71"/>
        <v>0</v>
      </c>
      <c r="J158" s="6">
        <f t="shared" si="71"/>
        <v>0</v>
      </c>
    </row>
    <row r="159" spans="2:10" s="2" customFormat="1">
      <c r="B159" s="2" t="s">
        <v>60</v>
      </c>
      <c r="E159" s="109">
        <v>0</v>
      </c>
      <c r="F159" s="109">
        <v>0</v>
      </c>
      <c r="G159" s="109">
        <v>0</v>
      </c>
      <c r="H159" s="109">
        <v>0</v>
      </c>
      <c r="I159" s="109">
        <v>0</v>
      </c>
      <c r="J159" s="109">
        <v>0</v>
      </c>
    </row>
    <row r="160" spans="2:10" s="2" customFormat="1">
      <c r="B160" s="1" t="s">
        <v>64</v>
      </c>
      <c r="E160" s="97">
        <f t="shared" ref="E160:J160" si="72">SUM(E156:E159)</f>
        <v>842.47800000000007</v>
      </c>
      <c r="F160" s="97">
        <f t="shared" si="72"/>
        <v>826.19833681249997</v>
      </c>
      <c r="G160" s="97">
        <f t="shared" si="72"/>
        <v>9719.8202333434456</v>
      </c>
      <c r="H160" s="97">
        <f t="shared" si="72"/>
        <v>841.91763403640039</v>
      </c>
      <c r="I160" s="97">
        <f t="shared" si="72"/>
        <v>827.88659870229139</v>
      </c>
      <c r="J160" s="97">
        <f t="shared" si="72"/>
        <v>799.35218712553149</v>
      </c>
    </row>
    <row r="161" spans="2:10" s="2" customFormat="1"/>
    <row r="162" spans="2:10" s="2" customFormat="1">
      <c r="B162" s="92" t="s">
        <v>77</v>
      </c>
      <c r="C162" s="93"/>
      <c r="D162" s="94"/>
      <c r="E162" s="94">
        <f t="shared" ref="E162:J162" si="73">E$65</f>
        <v>43404</v>
      </c>
      <c r="F162" s="94">
        <f t="shared" si="73"/>
        <v>43434</v>
      </c>
      <c r="G162" s="94">
        <f t="shared" si="73"/>
        <v>43465</v>
      </c>
      <c r="H162" s="94">
        <f t="shared" si="73"/>
        <v>43496</v>
      </c>
      <c r="I162" s="94">
        <f t="shared" si="73"/>
        <v>43524</v>
      </c>
      <c r="J162" s="95">
        <f t="shared" si="73"/>
        <v>43555</v>
      </c>
    </row>
    <row r="163" spans="2:10" s="2" customFormat="1">
      <c r="B163" s="2" t="str">
        <f>B58</f>
        <v>TTM EBITDA</v>
      </c>
      <c r="D163" s="6"/>
      <c r="E163" s="6">
        <f t="shared" ref="E163:J164" si="74">E58</f>
        <v>193220</v>
      </c>
      <c r="F163" s="6">
        <f t="shared" si="74"/>
        <v>189600</v>
      </c>
      <c r="G163" s="6">
        <f t="shared" si="74"/>
        <v>186312</v>
      </c>
      <c r="H163" s="6">
        <f t="shared" si="74"/>
        <v>185545</v>
      </c>
      <c r="I163" s="6">
        <f t="shared" si="74"/>
        <v>185313</v>
      </c>
      <c r="J163" s="6">
        <f t="shared" si="74"/>
        <v>183795</v>
      </c>
    </row>
    <row r="164" spans="2:10" s="2" customFormat="1">
      <c r="B164" s="2" t="str">
        <f>B59</f>
        <v>TTM Capex</v>
      </c>
      <c r="D164" s="6"/>
      <c r="E164" s="6">
        <f t="shared" si="74"/>
        <v>81423</v>
      </c>
      <c r="F164" s="6">
        <f t="shared" si="74"/>
        <v>63499</v>
      </c>
      <c r="G164" s="6">
        <f t="shared" si="74"/>
        <v>89256</v>
      </c>
      <c r="H164" s="6">
        <f t="shared" si="74"/>
        <v>86777</v>
      </c>
      <c r="I164" s="6">
        <f t="shared" si="74"/>
        <v>77656</v>
      </c>
      <c r="J164" s="6">
        <f t="shared" si="74"/>
        <v>83704</v>
      </c>
    </row>
    <row r="165" spans="2:10" s="2" customFormat="1">
      <c r="B165" s="2" t="s">
        <v>78</v>
      </c>
      <c r="D165" s="6"/>
      <c r="E165" s="6">
        <f t="shared" ref="E165:J165" ca="1" si="75">E175</f>
        <v>46899.411</v>
      </c>
      <c r="F165" s="6">
        <f t="shared" ca="1" si="75"/>
        <v>46783.008336812505</v>
      </c>
      <c r="G165" s="6">
        <f ca="1">G175</f>
        <v>46547.570570155949</v>
      </c>
      <c r="H165" s="6">
        <f t="shared" ca="1" si="75"/>
        <v>40140.157204192343</v>
      </c>
      <c r="I165" s="6">
        <f t="shared" ca="1" si="75"/>
        <v>39988.603802894635</v>
      </c>
      <c r="J165" s="6">
        <f t="shared" ca="1" si="75"/>
        <v>39817.927990020165</v>
      </c>
    </row>
    <row r="166" spans="2:10" s="2" customFormat="1">
      <c r="B166" s="110" t="s">
        <v>77</v>
      </c>
      <c r="C166" s="111"/>
      <c r="D166" s="112"/>
      <c r="E166" s="113">
        <f ca="1">(E163-E164)/E165</f>
        <v>2.383761280072366</v>
      </c>
      <c r="F166" s="113">
        <f t="shared" ref="F166:J166" ca="1" si="76">(F163-F164)/F165</f>
        <v>2.6954444462429734</v>
      </c>
      <c r="G166" s="113">
        <f t="shared" ca="1" si="76"/>
        <v>2.0850927086241451</v>
      </c>
      <c r="H166" s="113">
        <f t="shared" ca="1" si="76"/>
        <v>2.4605783055997703</v>
      </c>
      <c r="I166" s="113">
        <f t="shared" ca="1" si="76"/>
        <v>2.6921920187722854</v>
      </c>
      <c r="J166" s="114">
        <f t="shared" ca="1" si="76"/>
        <v>2.5137169373827408</v>
      </c>
    </row>
    <row r="167" spans="2:10" s="2" customFormat="1" ht="4.95" customHeight="1">
      <c r="D167" s="6"/>
      <c r="E167" s="6"/>
      <c r="F167" s="6"/>
      <c r="G167" s="6"/>
      <c r="H167" s="6"/>
      <c r="I167" s="6"/>
      <c r="J167" s="6"/>
    </row>
    <row r="168" spans="2:10" s="2" customFormat="1">
      <c r="B168" s="110" t="s">
        <v>86</v>
      </c>
      <c r="C168" s="111"/>
      <c r="D168" s="112"/>
      <c r="E168" s="112">
        <f ca="1">E163-($E$13*E165+E164)</f>
        <v>6273.3252499999944</v>
      </c>
      <c r="F168" s="112">
        <f t="shared" ref="F168:J168" ca="1" si="77">F163-($E$13*F165+F164)</f>
        <v>20839.231242171867</v>
      </c>
      <c r="G168" s="112">
        <f t="shared" ca="1" si="77"/>
        <v>-7676.0337828508927</v>
      </c>
      <c r="H168" s="112">
        <f t="shared" ca="1" si="77"/>
        <v>8452.6462905672379</v>
      </c>
      <c r="I168" s="112">
        <f t="shared" ca="1" si="77"/>
        <v>17682.641443487082</v>
      </c>
      <c r="J168" s="115">
        <f t="shared" ca="1" si="77"/>
        <v>10500.662022454635</v>
      </c>
    </row>
    <row r="169" spans="2:10" s="2" customFormat="1">
      <c r="D169" s="6"/>
      <c r="E169" s="6"/>
      <c r="F169" s="6"/>
      <c r="G169" s="6"/>
      <c r="H169" s="6"/>
      <c r="I169" s="6"/>
      <c r="J169" s="6"/>
    </row>
    <row r="170" spans="2:10" s="2" customFormat="1">
      <c r="B170" s="1" t="s">
        <v>80</v>
      </c>
    </row>
    <row r="171" spans="2:10" s="2" customFormat="1">
      <c r="B171" s="116" t="s">
        <v>57</v>
      </c>
      <c r="E171" s="104">
        <f ca="1">SUM($E$149:E149)+SUM(OFFSET($T$35,0,-(12-COUNT($E$162:E162)),1,12-COUNT($E$162:E162)))</f>
        <v>1360.101375</v>
      </c>
      <c r="F171" s="104">
        <f ca="1">SUM($E$149:F149)+SUM(OFFSET($T$35,0,-(12-COUNT($E$162:F162)),1,12-COUNT($E$162:F162)))</f>
        <v>1344.5498993125</v>
      </c>
      <c r="G171" s="127">
        <f ca="1">SUM($E$149:G149)+SUM(OFFSET($T$35,0,-(12-COUNT($E$162:G162)),1,12-COUNT($E$162:G162)))</f>
        <v>1275.2188826559448</v>
      </c>
      <c r="H171" s="104">
        <f ca="1">SUM($E$149:H149)+SUM(OFFSET($T$35,0,-(12-COUNT($E$162:H162)),1,12-COUNT($E$162:H162)))</f>
        <v>1221.179579192345</v>
      </c>
      <c r="I171" s="104">
        <f ca="1">SUM($E$149:I149)+SUM(OFFSET($T$35,0,-(12-COUNT($E$162:I162)),1,12-COUNT($E$162:I162)))</f>
        <v>1136.8213028946366</v>
      </c>
      <c r="J171" s="104">
        <f ca="1">SUM($E$149:J149)+SUM(OFFSET($T$35,0,-(12-COUNT($E$162:J162)),1,12-COUNT($E$162:J162)))</f>
        <v>1070.9881150201682</v>
      </c>
    </row>
    <row r="172" spans="2:10" s="2" customFormat="1">
      <c r="B172" s="116" t="s">
        <v>58</v>
      </c>
      <c r="E172" s="104">
        <f ca="1">SUM($E$150:E150)+SUM(OFFSET($T$39,0,-(12-COUNT($E$162:E162)),1,12-COUNT($E$162:E162)))</f>
        <v>9914.3096250000017</v>
      </c>
      <c r="F172" s="104">
        <f ca="1">SUM($E$150:F150)+SUM(OFFSET($T$39,0,-(12-COUNT($E$162:F162)),1,12-COUNT($E$162:F162)))</f>
        <v>9813.4584375000013</v>
      </c>
      <c r="G172" s="104">
        <f ca="1">SUM($E$150:G150)+SUM(OFFSET($T$39,0,-(12-COUNT($E$162:G162)),1,12-COUNT($E$162:G162)))</f>
        <v>9647.3516875000005</v>
      </c>
      <c r="H172" s="104">
        <f ca="1">SUM($E$150:H150)+SUM(OFFSET($T$39,0,-(12-COUNT($E$162:H162)),1,12-COUNT($E$162:H162)))</f>
        <v>9563.9776249999995</v>
      </c>
      <c r="I172" s="104">
        <f ca="1">SUM($E$150:I150)+SUM(OFFSET($T$39,0,-(12-COUNT($E$162:I162)),1,12-COUNT($E$162:I162)))</f>
        <v>9496.7824999999993</v>
      </c>
      <c r="J172" s="104">
        <f ca="1">SUM($E$150:J150)+SUM(OFFSET($T$39,0,-(12-COUNT($E$162:J162)),1,12-COUNT($E$162:J162)))</f>
        <v>9391.939875</v>
      </c>
    </row>
    <row r="173" spans="2:10" s="2" customFormat="1">
      <c r="B173" s="116" t="s">
        <v>59</v>
      </c>
      <c r="E173" s="104">
        <f t="shared" ref="E173:J173" si="78">E118*12</f>
        <v>35625</v>
      </c>
      <c r="F173" s="104">
        <f t="shared" si="78"/>
        <v>35625</v>
      </c>
      <c r="G173" s="104">
        <f t="shared" si="78"/>
        <v>35625</v>
      </c>
      <c r="H173" s="104">
        <f t="shared" si="78"/>
        <v>0</v>
      </c>
      <c r="I173" s="104">
        <f t="shared" si="78"/>
        <v>0</v>
      </c>
      <c r="J173" s="127">
        <f t="shared" si="78"/>
        <v>0</v>
      </c>
    </row>
    <row r="174" spans="2:10" s="2" customFormat="1">
      <c r="B174" s="116" t="s">
        <v>60</v>
      </c>
      <c r="E174" s="96">
        <f t="shared" ref="E174:J174" si="79">E132*12</f>
        <v>0</v>
      </c>
      <c r="F174" s="96">
        <f t="shared" si="79"/>
        <v>0</v>
      </c>
      <c r="G174" s="96">
        <f>G132*12</f>
        <v>0</v>
      </c>
      <c r="H174" s="96">
        <f t="shared" si="79"/>
        <v>29355</v>
      </c>
      <c r="I174" s="96">
        <f t="shared" si="79"/>
        <v>29355</v>
      </c>
      <c r="J174" s="96">
        <f t="shared" si="79"/>
        <v>29355</v>
      </c>
    </row>
    <row r="175" spans="2:10" s="2" customFormat="1">
      <c r="B175" s="117" t="s">
        <v>81</v>
      </c>
      <c r="E175" s="97">
        <f ca="1">SUM(E171:E174)</f>
        <v>46899.411</v>
      </c>
      <c r="F175" s="97">
        <f t="shared" ref="F175:J175" ca="1" si="80">SUM(F171:F174)</f>
        <v>46783.008336812505</v>
      </c>
      <c r="G175" s="97">
        <f t="shared" ca="1" si="80"/>
        <v>46547.570570155949</v>
      </c>
      <c r="H175" s="97">
        <f t="shared" ca="1" si="80"/>
        <v>40140.157204192343</v>
      </c>
      <c r="I175" s="97">
        <f t="shared" ca="1" si="80"/>
        <v>39988.603802894635</v>
      </c>
      <c r="J175" s="97">
        <f t="shared" ca="1" si="80"/>
        <v>39817.927990020165</v>
      </c>
    </row>
    <row r="176" spans="2:10" s="2" customFormat="1"/>
    <row r="177" spans="2:13" s="2" customFormat="1">
      <c r="B177" s="145" t="s">
        <v>106</v>
      </c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</row>
    <row r="178" spans="2:13" s="2" customFormat="1"/>
    <row r="179" spans="2:13" ht="14.4">
      <c r="B179" t="s">
        <v>103</v>
      </c>
      <c r="C179" s="124" t="s">
        <v>112</v>
      </c>
    </row>
    <row r="180" spans="2:13" ht="14.4">
      <c r="C180" s="124" t="s">
        <v>97</v>
      </c>
      <c r="D180" s="124" t="s">
        <v>111</v>
      </c>
      <c r="G180" s="130" t="s">
        <v>104</v>
      </c>
      <c r="H180" s="51">
        <f ca="1">MIN(E168:J168)</f>
        <v>-7676.0337828508927</v>
      </c>
      <c r="I180" s="131">
        <f ca="1">MIN(E166:J166)</f>
        <v>2.0850927086241451</v>
      </c>
    </row>
    <row r="181" spans="2:13">
      <c r="C181" s="149" cm="1">
        <f t="array" ref="C181:C186">TRANSPOSE($H$189:$M$189)</f>
        <v>43404</v>
      </c>
      <c r="D181" t="str">
        <f t="shared" ref="D181:D186" ca="1" si="81">IF(H181=$H$180,"✓","X")</f>
        <v>X</v>
      </c>
      <c r="G181" s="132">
        <v>43404</v>
      </c>
      <c r="H181" s="133">
        <f t="dataTable" ref="H181:I186" dt2D="0" dtr="0" r1="M17" ca="1"/>
        <v>6273.3252499999944</v>
      </c>
      <c r="I181" s="134">
        <v>2.383761280072366</v>
      </c>
    </row>
    <row r="182" spans="2:13">
      <c r="C182" s="149">
        <v>43434</v>
      </c>
      <c r="D182" t="str">
        <f t="shared" ca="1" si="81"/>
        <v>X</v>
      </c>
      <c r="G182" s="76">
        <v>43434</v>
      </c>
      <c r="H182" s="135">
        <v>6273.3252499999944</v>
      </c>
      <c r="I182" s="136">
        <v>2.383761280072366</v>
      </c>
    </row>
    <row r="183" spans="2:13">
      <c r="C183" s="149">
        <v>43465</v>
      </c>
      <c r="D183" t="str">
        <f t="shared" ca="1" si="81"/>
        <v>✓</v>
      </c>
      <c r="G183" s="76">
        <v>43465</v>
      </c>
      <c r="H183" s="135">
        <v>-7676.0337828508927</v>
      </c>
      <c r="I183" s="136">
        <v>2.0850927086241451</v>
      </c>
    </row>
    <row r="184" spans="2:13">
      <c r="C184" s="149">
        <v>43496</v>
      </c>
      <c r="D184" t="str">
        <f t="shared" ca="1" si="81"/>
        <v>✓</v>
      </c>
      <c r="G184" s="76">
        <v>43496</v>
      </c>
      <c r="H184" s="135">
        <v>-7676.0337828508927</v>
      </c>
      <c r="I184" s="136">
        <v>2.0850927086241451</v>
      </c>
    </row>
    <row r="185" spans="2:13">
      <c r="C185" s="149">
        <v>43524</v>
      </c>
      <c r="D185" t="str">
        <f t="shared" ca="1" si="81"/>
        <v>✓</v>
      </c>
      <c r="G185" s="76">
        <v>43524</v>
      </c>
      <c r="H185" s="135">
        <v>-7676.0337828508927</v>
      </c>
      <c r="I185" s="136">
        <v>2.0850927086241451</v>
      </c>
    </row>
    <row r="186" spans="2:13">
      <c r="C186" s="149">
        <v>43555</v>
      </c>
      <c r="D186" t="str">
        <f t="shared" ca="1" si="81"/>
        <v>✓</v>
      </c>
      <c r="G186" s="64">
        <v>43555</v>
      </c>
      <c r="H186" s="137">
        <v>-7676.0337828508927</v>
      </c>
      <c r="I186" s="138">
        <v>2.0850927086241451</v>
      </c>
    </row>
    <row r="188" spans="2:13" ht="14.4">
      <c r="C188" s="124" t="s">
        <v>113</v>
      </c>
      <c r="H188" s="233" t="s">
        <v>118</v>
      </c>
      <c r="I188" s="233"/>
      <c r="J188" s="233"/>
      <c r="K188" s="233"/>
      <c r="L188" s="233"/>
      <c r="M188" s="233"/>
    </row>
    <row r="189" spans="2:13" ht="14.4">
      <c r="C189" s="150" t="s">
        <v>116</v>
      </c>
      <c r="D189" s="124" t="s">
        <v>115</v>
      </c>
      <c r="H189" s="152">
        <v>43404</v>
      </c>
      <c r="I189" s="152">
        <v>43434</v>
      </c>
      <c r="J189" s="152">
        <v>43465</v>
      </c>
      <c r="K189" s="152">
        <v>43496</v>
      </c>
      <c r="L189" s="152">
        <v>43524</v>
      </c>
      <c r="M189" s="152">
        <v>43555</v>
      </c>
    </row>
    <row r="190" spans="2:13" ht="14.4">
      <c r="C190" s="139">
        <f ca="1">I180</f>
        <v>2.0850927086241451</v>
      </c>
      <c r="D190" s="149">
        <f ca="1">INDEX($H$189:$M$189,MATCH(C190,$H$190:$M$190,0))</f>
        <v>43465</v>
      </c>
      <c r="G190" s="130" t="s">
        <v>119</v>
      </c>
      <c r="H190" s="139">
        <f t="shared" ref="H190:M190" ca="1" si="82">E166</f>
        <v>2.383761280072366</v>
      </c>
      <c r="I190" s="139">
        <f t="shared" ca="1" si="82"/>
        <v>2.6954444462429734</v>
      </c>
      <c r="J190" s="139">
        <f t="shared" ca="1" si="82"/>
        <v>2.0850927086241451</v>
      </c>
      <c r="K190" s="139">
        <f t="shared" ca="1" si="82"/>
        <v>2.4605783055997703</v>
      </c>
      <c r="L190" s="139">
        <f t="shared" ca="1" si="82"/>
        <v>2.6921920187722854</v>
      </c>
      <c r="M190" s="139">
        <f t="shared" ca="1" si="82"/>
        <v>2.5137169373827408</v>
      </c>
    </row>
    <row r="191" spans="2:13">
      <c r="G191" s="132">
        <v>43404</v>
      </c>
      <c r="H191" s="140">
        <f t="dataTable" ref="H191:M196" dt2D="0" dtr="0" r1="M17" ca="1"/>
        <v>2.383761280072366</v>
      </c>
      <c r="I191" s="141">
        <v>3.3919304306920743</v>
      </c>
      <c r="J191" s="141">
        <v>2.6264259678091135</v>
      </c>
      <c r="K191" s="141">
        <v>2.6843229618140891</v>
      </c>
      <c r="L191" s="141">
        <v>2.9397825127361714</v>
      </c>
      <c r="M191" s="134">
        <v>2.7463178921781903</v>
      </c>
    </row>
    <row r="192" spans="2:13">
      <c r="G192" s="76">
        <v>43434</v>
      </c>
      <c r="H192" s="142">
        <v>2.383761280072366</v>
      </c>
      <c r="I192" s="129">
        <v>2.6954444462429734</v>
      </c>
      <c r="J192" s="129">
        <v>2.5552431275375054</v>
      </c>
      <c r="K192" s="129">
        <v>2.6105143059182057</v>
      </c>
      <c r="L192" s="129">
        <v>2.8577387676413584</v>
      </c>
      <c r="M192" s="136">
        <v>2.6693152431277727</v>
      </c>
    </row>
    <row r="193" spans="2:13">
      <c r="G193" s="76">
        <v>43465</v>
      </c>
      <c r="H193" s="142">
        <v>2.383761280072366</v>
      </c>
      <c r="I193" s="129">
        <v>2.6954444462429734</v>
      </c>
      <c r="J193" s="129">
        <v>2.0850927086241451</v>
      </c>
      <c r="K193" s="129">
        <v>2.4605783055997703</v>
      </c>
      <c r="L193" s="129">
        <v>2.6921920187722854</v>
      </c>
      <c r="M193" s="136">
        <v>2.5137169373827408</v>
      </c>
    </row>
    <row r="194" spans="2:13">
      <c r="G194" s="76">
        <v>43496</v>
      </c>
      <c r="H194" s="142">
        <v>2.383761280072366</v>
      </c>
      <c r="I194" s="129">
        <v>2.6954444462429734</v>
      </c>
      <c r="J194" s="129">
        <v>2.0850927086241451</v>
      </c>
      <c r="K194" s="129">
        <v>2.1297726351136639</v>
      </c>
      <c r="L194" s="129">
        <v>2.6286839789944332</v>
      </c>
      <c r="M194" s="136">
        <v>2.4534832169209277</v>
      </c>
    </row>
    <row r="195" spans="2:13">
      <c r="G195" s="76">
        <v>43524</v>
      </c>
      <c r="H195" s="142">
        <v>2.383761280072366</v>
      </c>
      <c r="I195" s="129">
        <v>2.6954444462429734</v>
      </c>
      <c r="J195" s="129">
        <v>2.0850927086241451</v>
      </c>
      <c r="K195" s="129">
        <v>2.1297726351136639</v>
      </c>
      <c r="L195" s="129">
        <v>2.3303973135172145</v>
      </c>
      <c r="M195" s="136">
        <v>2.3945567357128983</v>
      </c>
    </row>
    <row r="196" spans="2:13" ht="14.4">
      <c r="B196" t="s">
        <v>105</v>
      </c>
      <c r="C196" s="124" t="s">
        <v>117</v>
      </c>
      <c r="D196" s="124" t="s">
        <v>120</v>
      </c>
      <c r="G196" s="64">
        <v>43555</v>
      </c>
      <c r="H196" s="143">
        <v>2.383761280072366</v>
      </c>
      <c r="I196" s="144">
        <v>2.6954444462429734</v>
      </c>
      <c r="J196" s="144">
        <v>2.0850927086241451</v>
      </c>
      <c r="K196" s="144">
        <v>2.1297726351136639</v>
      </c>
      <c r="L196" s="144">
        <v>2.3303973135172145</v>
      </c>
      <c r="M196" s="138">
        <v>2.1748684913734726</v>
      </c>
    </row>
    <row r="197" spans="2:13">
      <c r="C197" s="149" cm="1">
        <f t="array" ref="C197:C202">TRANSPOSE($H$189:$M$189)</f>
        <v>43404</v>
      </c>
      <c r="D197" t="str">
        <f t="shared" ref="D197:D202" si="83">IF($H181&gt;=0,"✓","X")</f>
        <v>✓</v>
      </c>
    </row>
    <row r="198" spans="2:13">
      <c r="C198" s="149">
        <v>43434</v>
      </c>
      <c r="D198" t="str">
        <f t="shared" si="83"/>
        <v>✓</v>
      </c>
    </row>
    <row r="199" spans="2:13">
      <c r="C199" s="149">
        <v>43465</v>
      </c>
      <c r="D199" t="str">
        <f t="shared" si="83"/>
        <v>X</v>
      </c>
    </row>
    <row r="200" spans="2:13">
      <c r="C200" s="149">
        <v>43496</v>
      </c>
      <c r="D200" t="str">
        <f t="shared" si="83"/>
        <v>X</v>
      </c>
    </row>
    <row r="201" spans="2:13">
      <c r="C201" s="149">
        <v>43524</v>
      </c>
      <c r="D201" t="str">
        <f t="shared" si="83"/>
        <v>X</v>
      </c>
    </row>
    <row r="202" spans="2:13">
      <c r="C202" s="149">
        <v>43555</v>
      </c>
      <c r="D202" t="str">
        <f t="shared" si="83"/>
        <v>X</v>
      </c>
    </row>
    <row r="204" spans="2:13" ht="14.4">
      <c r="C204" s="150" t="s">
        <v>114</v>
      </c>
      <c r="D204" s="124" t="s">
        <v>115</v>
      </c>
    </row>
    <row r="205" spans="2:13">
      <c r="C205" s="104">
        <f>_xlfn.MINIFS($H$181:$H$186,$H$181:$H$186,"&gt;0")</f>
        <v>6273.3252499999944</v>
      </c>
      <c r="D205" s="149">
        <f ca="1">IFERROR(INDEX($H$189:$M$189,MATCH(INDEX($I$181:$I$186,MATCH($C$205,$H$181:$H$186,0)),$H$190:$M$190,0)),"N/A")</f>
        <v>43404</v>
      </c>
    </row>
  </sheetData>
  <mergeCells count="1">
    <mergeCell ref="H188:M188"/>
  </mergeCells>
  <conditionalFormatting sqref="E166:J166">
    <cfRule type="expression" dxfId="4" priority="6">
      <formula>E166&lt;$E$13</formula>
    </cfRule>
  </conditionalFormatting>
  <conditionalFormatting sqref="E168:J168">
    <cfRule type="expression" dxfId="3" priority="5">
      <formula>E168&lt;0</formula>
    </cfRule>
  </conditionalFormatting>
  <conditionalFormatting sqref="H181:H186">
    <cfRule type="expression" dxfId="2" priority="2">
      <formula>H181&lt;0</formula>
    </cfRule>
  </conditionalFormatting>
  <conditionalFormatting sqref="H191:M196">
    <cfRule type="expression" dxfId="1" priority="3">
      <formula>H191&lt;$E$13</formula>
    </cfRule>
  </conditionalFormatting>
  <conditionalFormatting sqref="I181:I186">
    <cfRule type="expression" dxfId="0" priority="1">
      <formula>I181&lt;$E$13</formula>
    </cfRule>
  </conditionalFormatting>
  <dataValidations count="1">
    <dataValidation type="list" allowBlank="1" showInputMessage="1" showErrorMessage="1" sqref="M17" xr:uid="{5BACD6D1-4A8E-415B-A179-539F24716623}">
      <formula1>$E$65:$J$65</formula1>
    </dataValidation>
  </dataValidations>
  <pageMargins left="0.7" right="0.7" top="0.75" bottom="0.75" header="0.3" footer="0.3"/>
  <pageSetup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Debt</vt:lpstr>
      <vt:lpstr>CaseData</vt:lpstr>
      <vt:lpstr>CaseSolution</vt:lpstr>
      <vt:lpstr>company</vt:lpstr>
      <vt:lpstr>Date</vt:lpstr>
      <vt:lpstr>periods</vt:lpstr>
      <vt:lpstr>Debt!Print_Area</vt:lpstr>
      <vt:lpstr>Debt!Print_Titles</vt:lpstr>
      <vt:lpstr>start_date</vt:lpstr>
    </vt:vector>
  </TitlesOfParts>
  <Company>The Marquee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Luc Nicod</cp:lastModifiedBy>
  <cp:lastPrinted>2026-08-23T21:25:05Z</cp:lastPrinted>
  <dcterms:created xsi:type="dcterms:W3CDTF">2018-05-21T22:41:19Z</dcterms:created>
  <dcterms:modified xsi:type="dcterms:W3CDTF">2026-08-24T06:22:05Z</dcterms:modified>
</cp:coreProperties>
</file>