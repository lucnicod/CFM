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2"/>
  <workbookPr filterPrivacy="1" defaultThemeVersion="124226"/>
  <xr:revisionPtr revIDLastSave="2963" documentId="8_{5266B1E4-B4DD-41C0-B222-BB42B33E4147}" xr6:coauthVersionLast="47" xr6:coauthVersionMax="47" xr10:uidLastSave="{FFFC6CE4-C880-424F-B921-9110072FCF4C}"/>
  <bookViews>
    <workbookView xWindow="28692" yWindow="-108" windowWidth="29016" windowHeight="16416" xr2:uid="{00000000-000D-0000-FFFF-FFFF00000000}"/>
  </bookViews>
  <sheets>
    <sheet name="Output" sheetId="46" r:id="rId1"/>
    <sheet name="Input" sheetId="43" r:id="rId2"/>
    <sheet name="CaseCalcs" sheetId="44" r:id="rId3"/>
    <sheet name="CaseAnalysis" sheetId="45" r:id="rId4"/>
  </sheets>
  <definedNames>
    <definedName name="company">Input!$F$151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scenarios">Input!$F$154:$F$183</definedName>
    <definedName name="selector">Output!$I$6</definedName>
    <definedName name="topic">"CFM Topic: " &amp;Input!$F$152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6" i="46" l="1"/>
  <c r="L17" i="46"/>
  <c r="L18" i="46"/>
  <c r="L19" i="46"/>
  <c r="L44" i="46"/>
  <c r="L43" i="46"/>
  <c r="L42" i="46"/>
  <c r="L41" i="46"/>
  <c r="L40" i="46"/>
  <c r="L39" i="46"/>
  <c r="L38" i="46"/>
  <c r="L37" i="46"/>
  <c r="L36" i="46"/>
  <c r="L35" i="46"/>
  <c r="L34" i="46"/>
  <c r="L33" i="46"/>
  <c r="L32" i="46"/>
  <c r="L31" i="46"/>
  <c r="L30" i="46"/>
  <c r="L29" i="46"/>
  <c r="L28" i="46"/>
  <c r="L27" i="46"/>
  <c r="L26" i="46"/>
  <c r="L25" i="46"/>
  <c r="L24" i="46"/>
  <c r="L23" i="46"/>
  <c r="L22" i="46"/>
  <c r="L21" i="46"/>
  <c r="L20" i="46"/>
  <c r="X20" i="46"/>
  <c r="Y20" i="46"/>
  <c r="X19" i="46"/>
  <c r="Y19" i="46"/>
  <c r="X18" i="46"/>
  <c r="Y18" i="46"/>
  <c r="X17" i="46"/>
  <c r="Y17" i="46"/>
  <c r="X16" i="46"/>
  <c r="Y16" i="46"/>
  <c r="W20" i="46" a="1"/>
  <c r="W19" i="46" a="1"/>
  <c r="W18" i="46" a="1"/>
  <c r="W17" i="46" a="1"/>
  <c r="W16" i="46" a="1"/>
  <c r="S20" i="46"/>
  <c r="T20" i="46"/>
  <c r="S19" i="46"/>
  <c r="T19" i="46"/>
  <c r="S18" i="46"/>
  <c r="T18" i="46"/>
  <c r="S17" i="46"/>
  <c r="T17" i="46"/>
  <c r="S16" i="46"/>
  <c r="T16" i="46"/>
  <c r="E15" i="46" a="1"/>
  <c r="R20" i="46" a="1"/>
  <c r="R19" i="46" a="1"/>
  <c r="R18" i="46" a="1"/>
  <c r="R17" i="46" a="1"/>
  <c r="R16" i="46" a="1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N44" i="46"/>
  <c r="N43" i="46"/>
  <c r="N42" i="46"/>
  <c r="N41" i="46"/>
  <c r="N40" i="46"/>
  <c r="N39" i="46"/>
  <c r="N38" i="46"/>
  <c r="N37" i="46"/>
  <c r="N36" i="46"/>
  <c r="N35" i="46"/>
  <c r="N34" i="46"/>
  <c r="N33" i="46"/>
  <c r="N32" i="46"/>
  <c r="N31" i="46"/>
  <c r="N30" i="46"/>
  <c r="N29" i="46"/>
  <c r="N28" i="46"/>
  <c r="N27" i="46"/>
  <c r="N26" i="46"/>
  <c r="N25" i="46"/>
  <c r="N24" i="46"/>
  <c r="N23" i="46"/>
  <c r="N22" i="46"/>
  <c r="N21" i="46"/>
  <c r="N20" i="46"/>
  <c r="N19" i="46"/>
  <c r="N18" i="46"/>
  <c r="N17" i="46"/>
  <c r="N16" i="46"/>
  <c r="M44" i="46"/>
  <c r="M43" i="46"/>
  <c r="M42" i="46"/>
  <c r="M41" i="46"/>
  <c r="M40" i="46"/>
  <c r="M39" i="46"/>
  <c r="M38" i="46"/>
  <c r="M37" i="46"/>
  <c r="M36" i="46"/>
  <c r="M35" i="46"/>
  <c r="M34" i="46"/>
  <c r="M33" i="46"/>
  <c r="M32" i="46"/>
  <c r="M31" i="46"/>
  <c r="M30" i="46"/>
  <c r="M29" i="46"/>
  <c r="M28" i="46"/>
  <c r="M27" i="46"/>
  <c r="M26" i="46"/>
  <c r="M25" i="46"/>
  <c r="M24" i="46"/>
  <c r="M23" i="46"/>
  <c r="M22" i="46"/>
  <c r="M21" i="46"/>
  <c r="M20" i="46"/>
  <c r="M19" i="46"/>
  <c r="M18" i="46"/>
  <c r="M17" i="46"/>
  <c r="M16" i="46"/>
  <c r="F21" i="43" a="1"/>
  <c r="G17" i="44"/>
  <c r="K17" i="44"/>
  <c r="F27" i="43" a="1"/>
  <c r="G23" i="44"/>
  <c r="K23" i="44"/>
  <c r="F144" i="43" a="1"/>
  <c r="G13" i="44"/>
  <c r="K13" i="44"/>
  <c r="K36" i="44"/>
  <c r="F22" i="43" a="1"/>
  <c r="G18" i="44"/>
  <c r="K18" i="44"/>
  <c r="F28" i="43" a="1"/>
  <c r="G24" i="44"/>
  <c r="K24" i="44"/>
  <c r="K37" i="44"/>
  <c r="F60" i="43" a="1"/>
  <c r="G27" i="44"/>
  <c r="K27" i="44"/>
  <c r="F65" i="43" a="1"/>
  <c r="G32" i="44"/>
  <c r="K32" i="44"/>
  <c r="K38" i="44"/>
  <c r="F61" i="43" a="1"/>
  <c r="G28" i="44"/>
  <c r="K28" i="44"/>
  <c r="F82" i="43" a="1"/>
  <c r="G33" i="44"/>
  <c r="K33" i="44"/>
  <c r="K39" i="44"/>
  <c r="K40" i="44"/>
  <c r="F88" i="43" a="1"/>
  <c r="G47" i="44"/>
  <c r="K47" i="44"/>
  <c r="F92" i="43" a="1"/>
  <c r="G43" i="44"/>
  <c r="K43" i="44"/>
  <c r="K48" i="44"/>
  <c r="F93" i="43" a="1"/>
  <c r="G44" i="44"/>
  <c r="K44" i="44"/>
  <c r="K49" i="44"/>
  <c r="K50" i="44"/>
  <c r="K52" i="44"/>
  <c r="F23" i="43" a="1"/>
  <c r="H17" i="44"/>
  <c r="L17" i="44"/>
  <c r="F35" i="43" a="1"/>
  <c r="L21" i="44"/>
  <c r="L23" i="44"/>
  <c r="L13" i="44"/>
  <c r="L36" i="44"/>
  <c r="F24" i="43" a="1"/>
  <c r="H18" i="44"/>
  <c r="L18" i="44"/>
  <c r="F48" i="43" a="1"/>
  <c r="L22" i="44"/>
  <c r="L24" i="44"/>
  <c r="L37" i="44"/>
  <c r="F62" i="43" a="1"/>
  <c r="H27" i="44"/>
  <c r="L27" i="44"/>
  <c r="F72" i="43" a="1"/>
  <c r="L31" i="44"/>
  <c r="L32" i="44"/>
  <c r="L38" i="44"/>
  <c r="H28" i="44"/>
  <c r="L28" i="44"/>
  <c r="L33" i="44"/>
  <c r="L39" i="44"/>
  <c r="L40" i="44"/>
  <c r="F89" i="43" a="1"/>
  <c r="H47" i="44"/>
  <c r="L47" i="44"/>
  <c r="F94" i="43" a="1"/>
  <c r="H43" i="44"/>
  <c r="L43" i="44"/>
  <c r="L48" i="44"/>
  <c r="H44" i="44"/>
  <c r="L44" i="44"/>
  <c r="L49" i="44"/>
  <c r="L50" i="44"/>
  <c r="L52" i="44"/>
  <c r="M17" i="44"/>
  <c r="F36" i="43" a="1"/>
  <c r="M21" i="44"/>
  <c r="M23" i="44"/>
  <c r="M13" i="44"/>
  <c r="M36" i="44"/>
  <c r="M18" i="44"/>
  <c r="F49" i="43" a="1"/>
  <c r="M22" i="44"/>
  <c r="M24" i="44"/>
  <c r="M37" i="44"/>
  <c r="M27" i="44"/>
  <c r="F73" i="43" a="1"/>
  <c r="M31" i="44"/>
  <c r="M32" i="44"/>
  <c r="M38" i="44"/>
  <c r="M28" i="44"/>
  <c r="M33" i="44"/>
  <c r="M39" i="44"/>
  <c r="M40" i="44"/>
  <c r="M47" i="44"/>
  <c r="M43" i="44"/>
  <c r="M48" i="44"/>
  <c r="M44" i="44"/>
  <c r="M49" i="44"/>
  <c r="M50" i="44"/>
  <c r="M52" i="44"/>
  <c r="N17" i="44"/>
  <c r="F37" i="43" a="1"/>
  <c r="N21" i="44"/>
  <c r="N23" i="44"/>
  <c r="N13" i="44"/>
  <c r="N36" i="44"/>
  <c r="N18" i="44"/>
  <c r="F50" i="43" a="1"/>
  <c r="N22" i="44"/>
  <c r="N24" i="44"/>
  <c r="N37" i="44"/>
  <c r="N27" i="44"/>
  <c r="F74" i="43" a="1"/>
  <c r="N31" i="44"/>
  <c r="N32" i="44"/>
  <c r="N38" i="44"/>
  <c r="N28" i="44"/>
  <c r="N33" i="44"/>
  <c r="N39" i="44"/>
  <c r="N40" i="44"/>
  <c r="N47" i="44"/>
  <c r="N43" i="44"/>
  <c r="N48" i="44"/>
  <c r="N44" i="44"/>
  <c r="N49" i="44"/>
  <c r="N50" i="44"/>
  <c r="N52" i="44"/>
  <c r="O17" i="44"/>
  <c r="P17" i="44"/>
  <c r="Q17" i="44"/>
  <c r="R17" i="44"/>
  <c r="S17" i="44"/>
  <c r="T17" i="44"/>
  <c r="F38" i="43" a="1"/>
  <c r="O21" i="44"/>
  <c r="O23" i="44"/>
  <c r="F39" i="43" a="1"/>
  <c r="P21" i="44"/>
  <c r="P23" i="44"/>
  <c r="F40" i="43" a="1"/>
  <c r="Q21" i="44"/>
  <c r="Q23" i="44"/>
  <c r="F41" i="43" a="1"/>
  <c r="R21" i="44"/>
  <c r="R23" i="44"/>
  <c r="F42" i="43" a="1"/>
  <c r="S21" i="44"/>
  <c r="S23" i="44"/>
  <c r="F43" i="43" a="1"/>
  <c r="T21" i="44"/>
  <c r="T23" i="44"/>
  <c r="T13" i="44"/>
  <c r="T36" i="44"/>
  <c r="O18" i="44"/>
  <c r="P18" i="44"/>
  <c r="Q18" i="44"/>
  <c r="R18" i="44"/>
  <c r="S18" i="44"/>
  <c r="T18" i="44"/>
  <c r="F51" i="43" a="1"/>
  <c r="O22" i="44"/>
  <c r="O24" i="44"/>
  <c r="F52" i="43" a="1"/>
  <c r="P22" i="44"/>
  <c r="P24" i="44"/>
  <c r="F53" i="43" a="1"/>
  <c r="Q22" i="44"/>
  <c r="Q24" i="44"/>
  <c r="F54" i="43" a="1"/>
  <c r="R22" i="44"/>
  <c r="R24" i="44"/>
  <c r="F55" i="43" a="1"/>
  <c r="S22" i="44"/>
  <c r="S24" i="44"/>
  <c r="F56" i="43" a="1"/>
  <c r="T22" i="44"/>
  <c r="T24" i="44"/>
  <c r="T37" i="44"/>
  <c r="O27" i="44"/>
  <c r="P27" i="44"/>
  <c r="Q27" i="44"/>
  <c r="R27" i="44"/>
  <c r="S27" i="44"/>
  <c r="T27" i="44"/>
  <c r="F75" i="43" a="1"/>
  <c r="O31" i="44"/>
  <c r="O32" i="44"/>
  <c r="F76" i="43" a="1"/>
  <c r="P31" i="44"/>
  <c r="P32" i="44"/>
  <c r="F77" i="43" a="1"/>
  <c r="Q31" i="44"/>
  <c r="Q32" i="44"/>
  <c r="F78" i="43" a="1"/>
  <c r="R31" i="44"/>
  <c r="R32" i="44"/>
  <c r="F79" i="43" a="1"/>
  <c r="S31" i="44"/>
  <c r="S32" i="44"/>
  <c r="F80" i="43" a="1"/>
  <c r="T31" i="44"/>
  <c r="T32" i="44"/>
  <c r="T38" i="44"/>
  <c r="O28" i="44"/>
  <c r="P28" i="44"/>
  <c r="Q28" i="44"/>
  <c r="R28" i="44"/>
  <c r="S28" i="44"/>
  <c r="T28" i="44"/>
  <c r="T33" i="44"/>
  <c r="T39" i="44"/>
  <c r="T40" i="44"/>
  <c r="O13" i="44"/>
  <c r="O47" i="44"/>
  <c r="P13" i="44"/>
  <c r="P47" i="44"/>
  <c r="Q13" i="44"/>
  <c r="Q47" i="44"/>
  <c r="R13" i="44"/>
  <c r="R47" i="44"/>
  <c r="S13" i="44"/>
  <c r="S47" i="44"/>
  <c r="T47" i="44"/>
  <c r="O43" i="44"/>
  <c r="P43" i="44"/>
  <c r="Q43" i="44"/>
  <c r="R43" i="44"/>
  <c r="S43" i="44"/>
  <c r="T43" i="44"/>
  <c r="T48" i="44"/>
  <c r="O44" i="44"/>
  <c r="P44" i="44"/>
  <c r="Q44" i="44"/>
  <c r="R44" i="44"/>
  <c r="S44" i="44"/>
  <c r="T44" i="44"/>
  <c r="T49" i="44"/>
  <c r="T50" i="44"/>
  <c r="T52" i="44"/>
  <c r="S36" i="44"/>
  <c r="S37" i="44"/>
  <c r="S38" i="44"/>
  <c r="S33" i="44"/>
  <c r="S39" i="44"/>
  <c r="S40" i="44"/>
  <c r="S48" i="44"/>
  <c r="S49" i="44"/>
  <c r="S50" i="44"/>
  <c r="S52" i="44"/>
  <c r="R36" i="44"/>
  <c r="R37" i="44"/>
  <c r="R38" i="44"/>
  <c r="R33" i="44"/>
  <c r="R39" i="44"/>
  <c r="R40" i="44"/>
  <c r="R48" i="44"/>
  <c r="R49" i="44"/>
  <c r="R50" i="44"/>
  <c r="R52" i="44"/>
  <c r="Q36" i="44"/>
  <c r="Q37" i="44"/>
  <c r="Q38" i="44"/>
  <c r="Q33" i="44"/>
  <c r="Q39" i="44"/>
  <c r="Q40" i="44"/>
  <c r="Q48" i="44"/>
  <c r="Q49" i="44"/>
  <c r="Q50" i="44"/>
  <c r="Q52" i="44"/>
  <c r="P36" i="44"/>
  <c r="P37" i="44"/>
  <c r="P38" i="44"/>
  <c r="P33" i="44"/>
  <c r="P39" i="44"/>
  <c r="P40" i="44"/>
  <c r="P48" i="44"/>
  <c r="P49" i="44"/>
  <c r="P50" i="44"/>
  <c r="P52" i="44"/>
  <c r="O36" i="44"/>
  <c r="O37" i="44"/>
  <c r="O38" i="44"/>
  <c r="O33" i="44"/>
  <c r="O39" i="44"/>
  <c r="O40" i="44"/>
  <c r="O48" i="44"/>
  <c r="O49" i="44"/>
  <c r="O50" i="44"/>
  <c r="O52" i="44"/>
  <c r="E52" i="44"/>
  <c r="I14" i="46"/>
  <c r="E40" i="44"/>
  <c r="J14" i="46"/>
  <c r="K90" i="44"/>
  <c r="L90" i="44"/>
  <c r="M90" i="44"/>
  <c r="N90" i="44"/>
  <c r="T90" i="44"/>
  <c r="S90" i="44"/>
  <c r="R90" i="44"/>
  <c r="Q90" i="44"/>
  <c r="P90" i="44"/>
  <c r="O90" i="44"/>
  <c r="E90" i="44"/>
  <c r="G99" i="44"/>
  <c r="J99" i="44"/>
  <c r="F143" i="43" a="1"/>
  <c r="G100" i="44"/>
  <c r="J100" i="44"/>
  <c r="J13" i="44"/>
  <c r="J59" i="44"/>
  <c r="F108" i="43" a="1"/>
  <c r="F16" i="43" a="1"/>
  <c r="F109" i="43"/>
  <c r="G60" i="44"/>
  <c r="J60" i="44"/>
  <c r="F110" i="43" a="1"/>
  <c r="F111" i="43"/>
  <c r="G61" i="44"/>
  <c r="J61" i="44"/>
  <c r="J62" i="44"/>
  <c r="J67" i="44"/>
  <c r="F99" i="43" a="1"/>
  <c r="F115" i="43" a="1"/>
  <c r="F116" i="43"/>
  <c r="G68" i="44"/>
  <c r="F100" i="43" a="1"/>
  <c r="H68" i="44"/>
  <c r="J68" i="44"/>
  <c r="F117" i="43" a="1"/>
  <c r="F118" i="43"/>
  <c r="G69" i="44"/>
  <c r="J69" i="44"/>
  <c r="J70" i="44"/>
  <c r="J101" i="44"/>
  <c r="J102" i="44"/>
  <c r="K99" i="44"/>
  <c r="K100" i="44"/>
  <c r="K59" i="44"/>
  <c r="K60" i="44"/>
  <c r="K61" i="44"/>
  <c r="K62" i="44"/>
  <c r="K67" i="44"/>
  <c r="K68" i="44"/>
  <c r="K69" i="44"/>
  <c r="K70" i="44"/>
  <c r="K101" i="44"/>
  <c r="K102" i="44"/>
  <c r="L99" i="44"/>
  <c r="L100" i="44"/>
  <c r="L59" i="44"/>
  <c r="L60" i="44"/>
  <c r="L61" i="44"/>
  <c r="L62" i="44"/>
  <c r="L67" i="44"/>
  <c r="L68" i="44"/>
  <c r="L69" i="44"/>
  <c r="L70" i="44"/>
  <c r="L101" i="44"/>
  <c r="L102" i="44"/>
  <c r="M99" i="44"/>
  <c r="M100" i="44"/>
  <c r="M59" i="44"/>
  <c r="M60" i="44"/>
  <c r="M61" i="44"/>
  <c r="M62" i="44"/>
  <c r="M67" i="44"/>
  <c r="M68" i="44"/>
  <c r="M69" i="44"/>
  <c r="M70" i="44"/>
  <c r="M101" i="44"/>
  <c r="M102" i="44"/>
  <c r="T99" i="44"/>
  <c r="T100" i="44"/>
  <c r="N59" i="44"/>
  <c r="N60" i="44"/>
  <c r="N61" i="44"/>
  <c r="N62" i="44"/>
  <c r="O59" i="44"/>
  <c r="O60" i="44"/>
  <c r="O61" i="44"/>
  <c r="O62" i="44"/>
  <c r="P59" i="44"/>
  <c r="P60" i="44"/>
  <c r="P61" i="44"/>
  <c r="P62" i="44"/>
  <c r="Q59" i="44"/>
  <c r="Q60" i="44"/>
  <c r="Q61" i="44"/>
  <c r="Q62" i="44"/>
  <c r="R59" i="44"/>
  <c r="R60" i="44"/>
  <c r="R61" i="44"/>
  <c r="R62" i="44"/>
  <c r="S59" i="44"/>
  <c r="S60" i="44"/>
  <c r="S61" i="44"/>
  <c r="S62" i="44"/>
  <c r="T59" i="44"/>
  <c r="T60" i="44"/>
  <c r="T61" i="44"/>
  <c r="T62" i="44"/>
  <c r="N67" i="44"/>
  <c r="N68" i="44"/>
  <c r="N69" i="44"/>
  <c r="N70" i="44"/>
  <c r="O67" i="44"/>
  <c r="O68" i="44"/>
  <c r="O69" i="44"/>
  <c r="O70" i="44"/>
  <c r="P67" i="44"/>
  <c r="P68" i="44"/>
  <c r="P69" i="44"/>
  <c r="P70" i="44"/>
  <c r="Q67" i="44"/>
  <c r="Q68" i="44"/>
  <c r="Q69" i="44"/>
  <c r="Q70" i="44"/>
  <c r="R67" i="44"/>
  <c r="R68" i="44"/>
  <c r="R69" i="44"/>
  <c r="R70" i="44"/>
  <c r="S67" i="44"/>
  <c r="S68" i="44"/>
  <c r="S69" i="44"/>
  <c r="S70" i="44"/>
  <c r="T67" i="44"/>
  <c r="T68" i="44"/>
  <c r="T69" i="44"/>
  <c r="T70" i="44"/>
  <c r="T101" i="44"/>
  <c r="T102" i="44"/>
  <c r="S99" i="44"/>
  <c r="S100" i="44"/>
  <c r="S101" i="44"/>
  <c r="S102" i="44"/>
  <c r="R99" i="44"/>
  <c r="R100" i="44"/>
  <c r="R101" i="44"/>
  <c r="R102" i="44"/>
  <c r="Q99" i="44"/>
  <c r="Q100" i="44"/>
  <c r="Q101" i="44"/>
  <c r="Q102" i="44"/>
  <c r="P99" i="44"/>
  <c r="P100" i="44"/>
  <c r="P101" i="44"/>
  <c r="P102" i="44"/>
  <c r="O99" i="44"/>
  <c r="O100" i="44"/>
  <c r="O101" i="44"/>
  <c r="O102" i="44"/>
  <c r="N99" i="44"/>
  <c r="N100" i="44"/>
  <c r="N101" i="44"/>
  <c r="N102" i="44"/>
  <c r="E102" i="44"/>
  <c r="H14" i="46"/>
  <c r="F15" i="46" a="1"/>
  <c r="F186" i="43" a="1"/>
  <c r="K6" i="43" a="1"/>
  <c r="F8" i="43"/>
  <c r="I7" i="46"/>
  <c r="F7" i="46"/>
  <c r="A2" i="46" a="1"/>
  <c r="A1" i="46"/>
  <c r="AN5" i="43"/>
  <c r="AM5" i="43"/>
  <c r="AL5" i="43"/>
  <c r="AK5" i="43"/>
  <c r="AJ5" i="43"/>
  <c r="AI5" i="43"/>
  <c r="AH5" i="43"/>
  <c r="AG5" i="43"/>
  <c r="AF5" i="43"/>
  <c r="AE5" i="43"/>
  <c r="AD5" i="43"/>
  <c r="AC5" i="43"/>
  <c r="AB5" i="43"/>
  <c r="AA5" i="43"/>
  <c r="Z5" i="43"/>
  <c r="Y5" i="43"/>
  <c r="X5" i="43"/>
  <c r="W5" i="43"/>
  <c r="V5" i="43"/>
  <c r="U5" i="43"/>
  <c r="T5" i="43"/>
  <c r="S5" i="43"/>
  <c r="R5" i="43"/>
  <c r="Q5" i="43"/>
  <c r="P5" i="43"/>
  <c r="O5" i="43"/>
  <c r="N5" i="43"/>
  <c r="M5" i="43"/>
  <c r="L5" i="43"/>
  <c r="K5" i="43"/>
  <c r="J6" i="44"/>
  <c r="K6" i="44"/>
  <c r="L6" i="44"/>
  <c r="L7" i="44"/>
  <c r="E47" i="43"/>
  <c r="E48" i="43"/>
  <c r="E34" i="43"/>
  <c r="E35" i="43"/>
  <c r="M6" i="44"/>
  <c r="M7" i="44"/>
  <c r="E36" i="43"/>
  <c r="N6" i="44"/>
  <c r="N7" i="44"/>
  <c r="E37" i="43"/>
  <c r="O6" i="44"/>
  <c r="O7" i="44"/>
  <c r="E38" i="43"/>
  <c r="P6" i="44"/>
  <c r="P7" i="44"/>
  <c r="E39" i="43"/>
  <c r="Q6" i="44"/>
  <c r="Q7" i="44"/>
  <c r="E40" i="43"/>
  <c r="R6" i="44"/>
  <c r="R7" i="44"/>
  <c r="E41" i="43"/>
  <c r="S6" i="44"/>
  <c r="S7" i="44"/>
  <c r="E42" i="43"/>
  <c r="T6" i="44"/>
  <c r="T7" i="44"/>
  <c r="E43" i="43"/>
  <c r="P7" i="43"/>
  <c r="E7" i="43" a="1"/>
  <c r="F138" i="43" a="1"/>
  <c r="F119" i="43" a="1"/>
  <c r="F112" i="43" a="1"/>
  <c r="F101" i="43" a="1"/>
  <c r="I16" i="43"/>
  <c r="I21" i="43"/>
  <c r="I22" i="43"/>
  <c r="I23" i="43"/>
  <c r="I144" i="43"/>
  <c r="I143" i="43"/>
  <c r="I138" i="43"/>
  <c r="I119" i="43"/>
  <c r="I117" i="43"/>
  <c r="I115" i="43"/>
  <c r="I112" i="43"/>
  <c r="I110" i="43"/>
  <c r="I108" i="43"/>
  <c r="I101" i="43"/>
  <c r="I100" i="43"/>
  <c r="I99" i="43"/>
  <c r="I94" i="43"/>
  <c r="I93" i="43"/>
  <c r="I92" i="43"/>
  <c r="I89" i="43"/>
  <c r="I88" i="43"/>
  <c r="I82" i="43"/>
  <c r="I80" i="43"/>
  <c r="I79" i="43"/>
  <c r="I78" i="43"/>
  <c r="I77" i="43"/>
  <c r="I76" i="43"/>
  <c r="I75" i="43"/>
  <c r="I74" i="43"/>
  <c r="I73" i="43"/>
  <c r="I72" i="43"/>
  <c r="F71" i="43" a="1"/>
  <c r="I71" i="43"/>
  <c r="I65" i="43"/>
  <c r="I62" i="43"/>
  <c r="I61" i="43"/>
  <c r="I60" i="43"/>
  <c r="I56" i="43"/>
  <c r="I55" i="43"/>
  <c r="I54" i="43"/>
  <c r="I53" i="43"/>
  <c r="I52" i="43"/>
  <c r="I51" i="43"/>
  <c r="I50" i="43"/>
  <c r="I49" i="43"/>
  <c r="I48" i="43"/>
  <c r="F47" i="43" a="1"/>
  <c r="I47" i="43"/>
  <c r="I43" i="43"/>
  <c r="I42" i="43"/>
  <c r="I41" i="43"/>
  <c r="I40" i="43"/>
  <c r="I39" i="43"/>
  <c r="I38" i="43"/>
  <c r="I37" i="43"/>
  <c r="I36" i="43"/>
  <c r="I35" i="43"/>
  <c r="F34" i="43" a="1"/>
  <c r="I34" i="43"/>
  <c r="I28" i="43"/>
  <c r="I27" i="43"/>
  <c r="I24" i="43"/>
  <c r="F9" i="43"/>
  <c r="L7" i="43"/>
  <c r="Q7" i="43" a="1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4" i="45"/>
  <c r="O7" i="43"/>
  <c r="N7" i="43"/>
  <c r="M7" i="43"/>
  <c r="A2" i="43" a="1"/>
  <c r="A1" i="43" a="1"/>
  <c r="H109" i="44"/>
  <c r="H108" i="44"/>
  <c r="G87" i="44"/>
  <c r="H78" i="44"/>
  <c r="G78" i="44"/>
  <c r="G72" i="44"/>
  <c r="G64" i="44"/>
  <c r="H60" i="44"/>
  <c r="J50" i="44"/>
  <c r="J52" i="44"/>
  <c r="J40" i="44"/>
  <c r="K12" i="44"/>
  <c r="L12" i="44"/>
  <c r="M12" i="44"/>
  <c r="N12" i="44"/>
  <c r="O12" i="44"/>
  <c r="P12" i="44"/>
  <c r="Q12" i="44"/>
  <c r="R12" i="44"/>
  <c r="S12" i="44"/>
  <c r="T12" i="44"/>
  <c r="A10" i="44"/>
  <c r="A55" i="44"/>
  <c r="J7" i="44"/>
  <c r="K7" i="44"/>
  <c r="K5" i="44"/>
  <c r="F124" i="43"/>
  <c r="G108" i="44"/>
  <c r="F125" i="43"/>
  <c r="G109" i="44"/>
  <c r="F102" i="43"/>
  <c r="G79" i="44"/>
  <c r="E71" i="43"/>
  <c r="E72" i="43"/>
  <c r="E73" i="43"/>
  <c r="E74" i="43"/>
  <c r="E75" i="43"/>
  <c r="E76" i="43"/>
  <c r="E77" i="43"/>
  <c r="E78" i="43"/>
  <c r="E79" i="43"/>
  <c r="E80" i="43"/>
  <c r="E49" i="43"/>
  <c r="E50" i="43"/>
  <c r="E51" i="43"/>
  <c r="E52" i="43"/>
  <c r="E53" i="43"/>
  <c r="E54" i="43"/>
  <c r="E55" i="43"/>
  <c r="E56" i="43"/>
  <c r="J90" i="44"/>
  <c r="J83" i="44"/>
  <c r="K78" i="44"/>
  <c r="K21" i="44"/>
  <c r="K22" i="44"/>
  <c r="K31" i="44"/>
  <c r="L5" i="44"/>
  <c r="A74" i="44"/>
  <c r="A96" i="44"/>
  <c r="A104" i="44"/>
  <c r="M5" i="44"/>
  <c r="J77" i="44"/>
  <c r="J109" i="44"/>
  <c r="K109" i="44"/>
  <c r="K113" i="44"/>
  <c r="J108" i="44"/>
  <c r="J78" i="44"/>
  <c r="K108" i="44"/>
  <c r="K112" i="44"/>
  <c r="N5" i="44"/>
  <c r="J72" i="44"/>
  <c r="J79" i="44"/>
  <c r="J64" i="44"/>
  <c r="L78" i="44"/>
  <c r="L109" i="44"/>
  <c r="L113" i="44"/>
  <c r="J113" i="44"/>
  <c r="J92" i="44"/>
  <c r="J112" i="44"/>
  <c r="K72" i="44"/>
  <c r="K91" i="44"/>
  <c r="J85" i="44"/>
  <c r="J91" i="44"/>
  <c r="J84" i="44"/>
  <c r="J80" i="44"/>
  <c r="K77" i="44"/>
  <c r="L108" i="44"/>
  <c r="M78" i="44"/>
  <c r="O5" i="44"/>
  <c r="L72" i="44"/>
  <c r="N109" i="44"/>
  <c r="N113" i="44"/>
  <c r="N108" i="44"/>
  <c r="N112" i="44"/>
  <c r="M108" i="44"/>
  <c r="M112" i="44"/>
  <c r="K79" i="44"/>
  <c r="L112" i="44"/>
  <c r="M109" i="44"/>
  <c r="J86" i="44"/>
  <c r="K83" i="44"/>
  <c r="P5" i="44"/>
  <c r="K64" i="44"/>
  <c r="J116" i="44"/>
  <c r="M113" i="44"/>
  <c r="K84" i="44"/>
  <c r="N78" i="44"/>
  <c r="O108" i="44"/>
  <c r="O109" i="44"/>
  <c r="O113" i="44"/>
  <c r="K92" i="44"/>
  <c r="K85" i="44"/>
  <c r="Q5" i="44"/>
  <c r="J87" i="44"/>
  <c r="K80" i="44"/>
  <c r="L77" i="44"/>
  <c r="L91" i="44"/>
  <c r="K86" i="44"/>
  <c r="K87" i="44"/>
  <c r="K93" i="44"/>
  <c r="K116" i="44"/>
  <c r="O112" i="44"/>
  <c r="R5" i="44"/>
  <c r="L83" i="44"/>
  <c r="O78" i="44"/>
  <c r="L64" i="44"/>
  <c r="K94" i="44"/>
  <c r="P78" i="44"/>
  <c r="P109" i="44"/>
  <c r="P113" i="44"/>
  <c r="P108" i="44"/>
  <c r="P112" i="44"/>
  <c r="L79" i="44"/>
  <c r="M72" i="44"/>
  <c r="J93" i="44"/>
  <c r="L85" i="44"/>
  <c r="L80" i="44"/>
  <c r="M77" i="44"/>
  <c r="K115" i="44"/>
  <c r="K114" i="44"/>
  <c r="L92" i="44"/>
  <c r="M91" i="44"/>
  <c r="L84" i="44"/>
  <c r="M83" i="44"/>
  <c r="J94" i="44"/>
  <c r="S5" i="44"/>
  <c r="Q109" i="44"/>
  <c r="Q108" i="44"/>
  <c r="Q113" i="44"/>
  <c r="T5" i="44"/>
  <c r="L86" i="44"/>
  <c r="N72" i="44"/>
  <c r="Q112" i="44"/>
  <c r="O83" i="44"/>
  <c r="J115" i="44"/>
  <c r="J114" i="44"/>
  <c r="N83" i="44"/>
  <c r="M79" i="44"/>
  <c r="Q78" i="44"/>
  <c r="K117" i="44"/>
  <c r="R78" i="44"/>
  <c r="R109" i="44"/>
  <c r="R113" i="44"/>
  <c r="R108" i="44"/>
  <c r="R112" i="44"/>
  <c r="N91" i="44"/>
  <c r="S78" i="44"/>
  <c r="T78" i="44"/>
  <c r="M85" i="44"/>
  <c r="M80" i="44"/>
  <c r="N77" i="44"/>
  <c r="P83" i="44"/>
  <c r="M64" i="44"/>
  <c r="L87" i="44"/>
  <c r="J117" i="44"/>
  <c r="O72" i="44"/>
  <c r="O91" i="44"/>
  <c r="P72" i="44"/>
  <c r="P91" i="44"/>
  <c r="Q83" i="44"/>
  <c r="L116" i="44"/>
  <c r="S108" i="44"/>
  <c r="S112" i="44"/>
  <c r="N79" i="44"/>
  <c r="N80" i="44"/>
  <c r="O77" i="44"/>
  <c r="E68" i="44"/>
  <c r="S109" i="44"/>
  <c r="S113" i="44"/>
  <c r="E60" i="44"/>
  <c r="T108" i="44"/>
  <c r="E78" i="44"/>
  <c r="L93" i="44"/>
  <c r="M92" i="44"/>
  <c r="T109" i="44"/>
  <c r="M84" i="44"/>
  <c r="M86" i="44"/>
  <c r="Q72" i="44"/>
  <c r="Q91" i="44"/>
  <c r="N85" i="44"/>
  <c r="N64" i="44"/>
  <c r="T112" i="44"/>
  <c r="E108" i="44"/>
  <c r="M87" i="44"/>
  <c r="E23" i="44"/>
  <c r="E48" i="44"/>
  <c r="O79" i="44"/>
  <c r="O80" i="44"/>
  <c r="P77" i="44"/>
  <c r="O85" i="44"/>
  <c r="E32" i="44"/>
  <c r="E38" i="44"/>
  <c r="L94" i="44"/>
  <c r="R83" i="44"/>
  <c r="T113" i="44"/>
  <c r="E113" i="44"/>
  <c r="E109" i="44"/>
  <c r="E24" i="44"/>
  <c r="E37" i="44"/>
  <c r="S83" i="44"/>
  <c r="N116" i="44"/>
  <c r="E50" i="44"/>
  <c r="E47" i="44"/>
  <c r="E33" i="44"/>
  <c r="E39" i="44"/>
  <c r="M116" i="44"/>
  <c r="N84" i="44"/>
  <c r="N86" i="44"/>
  <c r="N92" i="44"/>
  <c r="M93" i="44"/>
  <c r="E49" i="44"/>
  <c r="L115" i="44"/>
  <c r="L114" i="44"/>
  <c r="E36" i="44"/>
  <c r="P79" i="44"/>
  <c r="P85" i="44"/>
  <c r="R72" i="44"/>
  <c r="R91" i="44"/>
  <c r="E112" i="44"/>
  <c r="L117" i="44"/>
  <c r="O64" i="44"/>
  <c r="O84" i="44"/>
  <c r="O86" i="44"/>
  <c r="O87" i="44"/>
  <c r="O93" i="44"/>
  <c r="O92" i="44"/>
  <c r="S72" i="44"/>
  <c r="S91" i="44"/>
  <c r="M94" i="44"/>
  <c r="P80" i="44"/>
  <c r="Q77" i="44"/>
  <c r="N87" i="44"/>
  <c r="O94" i="44"/>
  <c r="T72" i="44"/>
  <c r="E69" i="44"/>
  <c r="Q79" i="44"/>
  <c r="Q85" i="44"/>
  <c r="T83" i="44"/>
  <c r="M115" i="44"/>
  <c r="M114" i="44"/>
  <c r="N93" i="44"/>
  <c r="E83" i="44"/>
  <c r="Q80" i="44"/>
  <c r="R77" i="44"/>
  <c r="P64" i="44"/>
  <c r="P84" i="44"/>
  <c r="P86" i="44"/>
  <c r="P87" i="44"/>
  <c r="P92" i="44"/>
  <c r="M117" i="44"/>
  <c r="T91" i="44"/>
  <c r="E91" i="44"/>
  <c r="E72" i="44"/>
  <c r="O116" i="44"/>
  <c r="O115" i="44"/>
  <c r="O114" i="44"/>
  <c r="N94" i="44"/>
  <c r="E100" i="44"/>
  <c r="P93" i="44"/>
  <c r="O117" i="44"/>
  <c r="N115" i="44"/>
  <c r="N114" i="44"/>
  <c r="R79" i="44"/>
  <c r="R85" i="44"/>
  <c r="N117" i="44"/>
  <c r="P94" i="44"/>
  <c r="R80" i="44"/>
  <c r="S77" i="44"/>
  <c r="S79" i="44"/>
  <c r="S85" i="44"/>
  <c r="P115" i="44"/>
  <c r="P114" i="44"/>
  <c r="P116" i="44"/>
  <c r="Q64" i="44"/>
  <c r="Q84" i="44"/>
  <c r="Q86" i="44"/>
  <c r="Q87" i="44"/>
  <c r="Q93" i="44"/>
  <c r="Q92" i="44"/>
  <c r="Q94" i="44"/>
  <c r="P117" i="44"/>
  <c r="S80" i="44"/>
  <c r="T77" i="44"/>
  <c r="T79" i="44"/>
  <c r="Q115" i="44"/>
  <c r="Q114" i="44"/>
  <c r="Q116" i="44"/>
  <c r="Q117" i="44"/>
  <c r="T85" i="44"/>
  <c r="E85" i="44"/>
  <c r="E79" i="44"/>
  <c r="R64" i="44"/>
  <c r="R84" i="44"/>
  <c r="R86" i="44"/>
  <c r="R87" i="44"/>
  <c r="R93" i="44"/>
  <c r="R92" i="44"/>
  <c r="R94" i="44"/>
  <c r="T80" i="44"/>
  <c r="R115" i="44"/>
  <c r="R114" i="44"/>
  <c r="R116" i="44"/>
  <c r="R117" i="44"/>
  <c r="S64" i="44"/>
  <c r="S84" i="44"/>
  <c r="S86" i="44"/>
  <c r="S87" i="44"/>
  <c r="S93" i="44"/>
  <c r="S92" i="44"/>
  <c r="S94" i="44"/>
  <c r="S116" i="44"/>
  <c r="S115" i="44"/>
  <c r="S114" i="44"/>
  <c r="S117" i="44"/>
  <c r="T64" i="44"/>
  <c r="T84" i="44"/>
  <c r="E64" i="44"/>
  <c r="T92" i="44"/>
  <c r="E61" i="44"/>
  <c r="E92" i="44"/>
  <c r="E101" i="44"/>
  <c r="E84" i="44"/>
  <c r="T86" i="44"/>
  <c r="T87" i="44"/>
  <c r="E86" i="44"/>
  <c r="T116" i="44"/>
  <c r="E116" i="44"/>
  <c r="T93" i="44"/>
  <c r="E87" i="44"/>
  <c r="E93" i="44"/>
  <c r="T94" i="44"/>
  <c r="T115" i="44"/>
  <c r="E115" i="44"/>
  <c r="T114" i="44"/>
  <c r="E94" i="44"/>
  <c r="T117" i="44"/>
  <c r="E114" i="44"/>
  <c r="E117" i="44"/>
  <c r="E119" i="44"/>
  <c r="G14" i="4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<sst xmlns="http://schemas.openxmlformats.org/spreadsheetml/2006/main" count="421" uniqueCount="247">
  <si>
    <t>EBITDA</t>
  </si>
  <si>
    <t>Less: Depreciation</t>
  </si>
  <si>
    <t>[date]</t>
  </si>
  <si>
    <t>[%]</t>
  </si>
  <si>
    <t>[$]</t>
  </si>
  <si>
    <t>Initial Purchase</t>
  </si>
  <si>
    <t>Initial Purchase Costs on day 0</t>
  </si>
  <si>
    <t>Revenues</t>
  </si>
  <si>
    <t>Membership Fees</t>
  </si>
  <si>
    <t>Membership fees per Foundation member in 2022</t>
  </si>
  <si>
    <t>[$ / member]</t>
  </si>
  <si>
    <t>Membership fees per Regular member in 2022</t>
  </si>
  <si>
    <t>Escalation rate of Foundation membership fees</t>
  </si>
  <si>
    <t>Escalation rate of Regular membership fees</t>
  </si>
  <si>
    <t>Initial Membership Numbers</t>
  </si>
  <si>
    <t>Number of Foundation members at start of 2022</t>
  </si>
  <si>
    <t>[#]</t>
  </si>
  <si>
    <t>Number of Regular members at start of 2022</t>
  </si>
  <si>
    <t>Year on Year (YoY %) change in membership numbers</t>
  </si>
  <si>
    <t>Assume the change happens on Day 1 of each year</t>
  </si>
  <si>
    <t>Foundation Members</t>
  </si>
  <si>
    <t>Calendar Year</t>
  </si>
  <si>
    <t>Change</t>
  </si>
  <si>
    <t>Regular Members</t>
  </si>
  <si>
    <t>Casual Visit Fees</t>
  </si>
  <si>
    <t>Price per visit in 2022 - Ordinary Casual</t>
  </si>
  <si>
    <t>[$ / visit]</t>
  </si>
  <si>
    <t>Price per visit in 2022 - Friends of Members</t>
  </si>
  <si>
    <t>Increase in price each year</t>
  </si>
  <si>
    <t>Number of Casual visits per year</t>
  </si>
  <si>
    <t>Ordinary Casual visits in 2022</t>
  </si>
  <si>
    <t>Year on Year (YoY %) change in Ordinary Casual visits each year</t>
  </si>
  <si>
    <t>Ordinary Casual Visits</t>
  </si>
  <si>
    <t># of Casual Visits - Friends of Members</t>
  </si>
  <si>
    <t>[# per year per member]</t>
  </si>
  <si>
    <t>Expenses</t>
  </si>
  <si>
    <t>Fixed Expenses</t>
  </si>
  <si>
    <t>Fixed Expenses in 2022</t>
  </si>
  <si>
    <t>Escalation rate of Fixed Expenses</t>
  </si>
  <si>
    <t>Variable Expenses</t>
  </si>
  <si>
    <t>Expenses per member per year in 2022</t>
  </si>
  <si>
    <t>Expenses per casual visit in 2022</t>
  </si>
  <si>
    <t>Escalation rate of Variable Expenses</t>
  </si>
  <si>
    <t>Refurbishment Costs</t>
  </si>
  <si>
    <t>Time of Refurbishment Costs (end of calendar year #)</t>
  </si>
  <si>
    <t>[year #]</t>
  </si>
  <si>
    <t>Depreciation</t>
  </si>
  <si>
    <t>[years]</t>
  </si>
  <si>
    <t>Depreciation per year</t>
  </si>
  <si>
    <t>Debt Financing</t>
  </si>
  <si>
    <t>% of Initial Purchase Cost funded by Debt</t>
  </si>
  <si>
    <t>Amount of Initial Purchase Cost funded by Debt</t>
  </si>
  <si>
    <t>Length of Loan</t>
  </si>
  <si>
    <t>Principal Repayment each year end</t>
  </si>
  <si>
    <t>Interest Rate per annum (paid each year end)</t>
  </si>
  <si>
    <t>Refurbishment</t>
  </si>
  <si>
    <t>% of Refurbishment Cost funded by Debt</t>
  </si>
  <si>
    <t>Amount of Refurbishment Cost funded by Debt</t>
  </si>
  <si>
    <t>Equity Financing</t>
  </si>
  <si>
    <t>Initial Purchase Equity Contribution</t>
  </si>
  <si>
    <t>Refurbishment Equity Contribution</t>
  </si>
  <si>
    <t>Cash</t>
  </si>
  <si>
    <t>Notes about Cash</t>
  </si>
  <si>
    <t>There are no working capital considerations, and no timing delays for any cash flows.</t>
  </si>
  <si>
    <t>All remaining cash (after tax) is distributed to Equity at the end of each year</t>
  </si>
  <si>
    <t>If there is a cash shortfall at the end of any year (after any tax refund), the investors make an equity contribution equal to the cash shortfall</t>
  </si>
  <si>
    <t>Tax</t>
  </si>
  <si>
    <t>Income tax rate (calculated and paid each year end)</t>
  </si>
  <si>
    <t>Notes about tax</t>
  </si>
  <si>
    <t>If taxable income is negative for a year, a refund will be immediately paid to the business</t>
  </si>
  <si>
    <t>Sale of Business</t>
  </si>
  <si>
    <t>Sale Price (multiple of exit year's EBITDA)</t>
  </si>
  <si>
    <t>[x]</t>
  </si>
  <si>
    <t>Time of Sale (end of calendar year #)</t>
  </si>
  <si>
    <t>Notes about Sale of Business</t>
  </si>
  <si>
    <t>Sale Proceeds are distributed to equity (after paying off any remaining debt)</t>
  </si>
  <si>
    <t>End Sheet</t>
  </si>
  <si>
    <t>Calculations</t>
  </si>
  <si>
    <t>Period Start</t>
  </si>
  <si>
    <t>Period End</t>
  </si>
  <si>
    <t>Operations</t>
  </si>
  <si>
    <t>Operating Period Number</t>
  </si>
  <si>
    <t>Operating Period? (i.e. before Sale of Business)</t>
  </si>
  <si>
    <t>[flag]</t>
  </si>
  <si>
    <t>Membership Prices</t>
  </si>
  <si>
    <t>Price per Foundation membership</t>
  </si>
  <si>
    <t>Price per Regular membership</t>
  </si>
  <si>
    <t>Membership Numbers</t>
  </si>
  <si>
    <t>Foundation Members - Year of Year Growth</t>
  </si>
  <si>
    <t>Regular Members - Year on Year Growth</t>
  </si>
  <si>
    <t>Foundation Members during year</t>
  </si>
  <si>
    <t>Regular Members during year</t>
  </si>
  <si>
    <t>Casual Prices</t>
  </si>
  <si>
    <t>Price per casual visit - Ordinary</t>
  </si>
  <si>
    <t>Price per casual visit - Friends of Members</t>
  </si>
  <si>
    <t>Casual Visit Numbers</t>
  </si>
  <si>
    <t>Casual visits - Year on Year Growth</t>
  </si>
  <si>
    <t>Casual visits - Ordinary</t>
  </si>
  <si>
    <t>Casual visits - Friends of Members</t>
  </si>
  <si>
    <t>Membership Fees - Foundation</t>
  </si>
  <si>
    <t>Membership Fees - Regular</t>
  </si>
  <si>
    <t>Casual Visit Fees - Ordinary</t>
  </si>
  <si>
    <t>Casual Visit Fees - Friends of Members</t>
  </si>
  <si>
    <t>Total Revenues</t>
  </si>
  <si>
    <t>Variable Expenses per member per year</t>
  </si>
  <si>
    <t>Variable Expenses per casual visit</t>
  </si>
  <si>
    <t>Variable Expenses - Member visits</t>
  </si>
  <si>
    <t>Variable Expenses - Casual visits</t>
  </si>
  <si>
    <t>Total Expenses</t>
  </si>
  <si>
    <t>Debt</t>
  </si>
  <si>
    <t>Initial Purchase Facility</t>
  </si>
  <si>
    <t>Opening Balance</t>
  </si>
  <si>
    <t>Drawdown</t>
  </si>
  <si>
    <t>Repayment</t>
  </si>
  <si>
    <t>Closing Balance</t>
  </si>
  <si>
    <t>Interest Expense</t>
  </si>
  <si>
    <t>Refurbishment Facility</t>
  </si>
  <si>
    <t>Depreciation, Tax and Cash Result</t>
  </si>
  <si>
    <t>Add: Capex</t>
  </si>
  <si>
    <t>Less: Interest on Debt</t>
  </si>
  <si>
    <t>Taxable Income</t>
  </si>
  <si>
    <t>Tax paid / (refunded)</t>
  </si>
  <si>
    <t>Cash Result</t>
  </si>
  <si>
    <t>Less: Principal on Debt</t>
  </si>
  <si>
    <t>Tax (paid) / refunded</t>
  </si>
  <si>
    <t>Net cash result for period</t>
  </si>
  <si>
    <t>Sale Proceeds</t>
  </si>
  <si>
    <t>Sale Period</t>
  </si>
  <si>
    <t>Initial Sale Proceeds</t>
  </si>
  <si>
    <t>Less: pay off remaining debt</t>
  </si>
  <si>
    <t>Net Sale Proceeds to Equity</t>
  </si>
  <si>
    <t>Equity</t>
  </si>
  <si>
    <t>Planned Investment Activities</t>
  </si>
  <si>
    <t>Equity Contribution for Initial Purchase</t>
  </si>
  <si>
    <t>Equity Contribution for Refurbishment</t>
  </si>
  <si>
    <t>Cash flows to / (from) Equity</t>
  </si>
  <si>
    <t>Equity Contribution for cash shortfall</t>
  </si>
  <si>
    <t>Distribution of Cash</t>
  </si>
  <si>
    <t>Distribution of Net Sale Proceeds</t>
  </si>
  <si>
    <t>Total Cashflow to Equity</t>
  </si>
  <si>
    <t>Rate of Return to Equity (XIRR)</t>
  </si>
  <si>
    <t>Sensitivity Analysis</t>
  </si>
  <si>
    <t>Input</t>
  </si>
  <si>
    <t>Requested change</t>
  </si>
  <si>
    <t>Initial Purchase Cost</t>
  </si>
  <si>
    <t>plus 10% of base value</t>
  </si>
  <si>
    <t>minus 10% of base value</t>
  </si>
  <si>
    <t>2022 Membership fee (Regular member)</t>
  </si>
  <si>
    <t>Escalation rate of membership fees</t>
  </si>
  <si>
    <t>plus 50 basis points (e.g. from 4.00% up to 4.50%)</t>
  </si>
  <si>
    <t>minus 50 basis points</t>
  </si>
  <si>
    <t>plus 50 people from base value</t>
  </si>
  <si>
    <t>minus 50 people from base value</t>
  </si>
  <si>
    <t>Increase in Casual Visit Prices each year</t>
  </si>
  <si>
    <t>plus 50 basis points</t>
  </si>
  <si>
    <t>Year on Year change to Regular Members</t>
  </si>
  <si>
    <t>plus 50 basis points to all years (excluding 2022)</t>
  </si>
  <si>
    <t>Year on Year change to Ordinary Casual Visits</t>
  </si>
  <si>
    <t>Escalation rate of fixed expenses</t>
  </si>
  <si>
    <t>Escalation rate of variable expenses</t>
  </si>
  <si>
    <t>Initial Purchase Debt Facility Interest Rate</t>
  </si>
  <si>
    <t>Refurbishment Debt Facility Interest Rate</t>
  </si>
  <si>
    <t>Initial Purchase % funded by Debt</t>
  </si>
  <si>
    <t>change % funded to 80%</t>
  </si>
  <si>
    <t>change % funded to 40%</t>
  </si>
  <si>
    <t>Refurbishment % funded by Debt</t>
  </si>
  <si>
    <t>change % funded to 90%</t>
  </si>
  <si>
    <t>change % funded to 70%</t>
  </si>
  <si>
    <t>Time of Sale of Business</t>
  </si>
  <si>
    <t>bring forward to end of 2028</t>
  </si>
  <si>
    <t>bring forward to end of 2024</t>
  </si>
  <si>
    <t>Output to examine for each sensitivity</t>
  </si>
  <si>
    <t>Equity IRR</t>
  </si>
  <si>
    <t>Scenarios</t>
  </si>
  <si>
    <t>Description</t>
  </si>
  <si>
    <t>Change the escalation rate of regular membership fees from 4.00% to 3.00%, and add 1.00% to the Regular members YoY growth for each of 2023, 2024, 2025 and 2026.</t>
  </si>
  <si>
    <t>Increase the Casual Visit Ordinary 2022 price to $30.00, and decrease the number of 2022 Ordinary Casual visits from 5,000 to 4,500.</t>
  </si>
  <si>
    <t>Increase Fixed Expenses in 2022 to $420,000, and increase the number of 2022 Ordinary Casual visits from 5,000 to 6,000.  Increase the # of Friends of Members Casuals visits to 13 per member per year.</t>
  </si>
  <si>
    <t>Perform a larger refurbishment that costs 800,000, still with 400,000 debt funded and the remainder equity funded.  Change the 2027 YoY regular member growth to 22%, and the 2027 YoY Casual Visit growth to 12%.</t>
  </si>
  <si>
    <t>At the start of 2023, convert all Foundation Members to Regular Members.  Assume that 20% will quit the gym in protest, and 80% will convert. (This may require some logic changes to the model.)</t>
  </si>
  <si>
    <t>Key Outputs to examine for each scenario</t>
  </si>
  <si>
    <t>Net Sale Proceeds</t>
  </si>
  <si>
    <t>Total EBITDA (sum over all years)</t>
  </si>
  <si>
    <t>Scenario 1</t>
  </si>
  <si>
    <t>Scenario 2</t>
  </si>
  <si>
    <t>Scenario 3</t>
  </si>
  <si>
    <t>Scenario 4</t>
  </si>
  <si>
    <t>Scenario 5</t>
  </si>
  <si>
    <t>Sensitivity 1</t>
  </si>
  <si>
    <t>Sensitivity 2</t>
  </si>
  <si>
    <t>Sensitivity 3</t>
  </si>
  <si>
    <t>Sensitivity 4</t>
  </si>
  <si>
    <t>Sensitivity 5</t>
  </si>
  <si>
    <t>Sensitivity 6</t>
  </si>
  <si>
    <t>Sensitivity 7</t>
  </si>
  <si>
    <t>Sensitivity 8</t>
  </si>
  <si>
    <t>Sensitivity 9</t>
  </si>
  <si>
    <t>Sensitivity 10</t>
  </si>
  <si>
    <t>Sensitivity 11</t>
  </si>
  <si>
    <t>Sensitivity 12</t>
  </si>
  <si>
    <t>Sensitivity 13</t>
  </si>
  <si>
    <t>Sensitivity 14</t>
  </si>
  <si>
    <t>Sensitivity 15</t>
  </si>
  <si>
    <t>Sensitivity 16</t>
  </si>
  <si>
    <t>Sensitivity 17</t>
  </si>
  <si>
    <t>Sensitivity 18</t>
  </si>
  <si>
    <t>Sensitivity 19</t>
  </si>
  <si>
    <t>Sensitivity 20</t>
  </si>
  <si>
    <t>Sensitivity 21</t>
  </si>
  <si>
    <t>Sensitivity 22</t>
  </si>
  <si>
    <t>Sensitivity 23</t>
  </si>
  <si>
    <t>Sensitivity 24</t>
  </si>
  <si>
    <t>Constant</t>
  </si>
  <si>
    <t>Unit</t>
  </si>
  <si>
    <r>
      <t xml:space="preserve">Initial Purchase Date (Day 0) - </t>
    </r>
    <r>
      <rPr>
        <sz val="11"/>
        <color rgb="FFFF0000"/>
        <rFont val="Arial"/>
        <family val="2"/>
      </rPr>
      <t>DO NOT CHANGE</t>
    </r>
  </si>
  <si>
    <t>Years to depreciate Refurb. Costs over (Straight Line)</t>
  </si>
  <si>
    <t>CAPEX and Depreciation</t>
  </si>
  <si>
    <t>ASSUMPTIONS SCHEDULE</t>
  </si>
  <si>
    <t>Model technical inputs</t>
  </si>
  <si>
    <t>Name of the company</t>
  </si>
  <si>
    <t>Rock Climbing Inc</t>
  </si>
  <si>
    <t>abel</t>
  </si>
  <si>
    <t>Topic</t>
  </si>
  <si>
    <t>label</t>
  </si>
  <si>
    <t>Live Case</t>
  </si>
  <si>
    <t>Selector</t>
  </si>
  <si>
    <t>Base</t>
  </si>
  <si>
    <t>Base case scenario</t>
  </si>
  <si>
    <t>Input differences</t>
  </si>
  <si>
    <t>changed in the model</t>
  </si>
  <si>
    <t>CALCULATION SCHEDULE</t>
  </si>
  <si>
    <t>Select Live Case</t>
  </si>
  <si>
    <t>Comparison scenario</t>
  </si>
  <si>
    <t>OUTPUT SCHEDULE</t>
  </si>
  <si>
    <t>IRR</t>
  </si>
  <si>
    <t>Key Outputs</t>
  </si>
  <si>
    <t>Net Sales Proceeds</t>
  </si>
  <si>
    <t>EBIDTA</t>
  </si>
  <si>
    <t>Revenue</t>
  </si>
  <si>
    <t>In comparison to Base Case</t>
  </si>
  <si>
    <t>Key Outputs per scenario and sensitivity</t>
  </si>
  <si>
    <t>Scenario or Sensitivity</t>
  </si>
  <si>
    <t>Delta to base</t>
  </si>
  <si>
    <t>IRR accretion scenarios or sensitivity</t>
  </si>
  <si>
    <t>IRR decrease scenarios or sensitivity</t>
  </si>
  <si>
    <t>Top 
5</t>
  </si>
  <si>
    <t>Bottom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</si>
</sst>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#,##0.;\-#,##0.;\-"/>
    <numFmt numFmtId="178" formatCode="###0_);\(###0\);\-"/>
    <numFmt numFmtId="179" formatCode="#,##0_);\(#,##0\);&quot;-  &quot;;&quot; &quot;@"/>
    <numFmt numFmtId="180" formatCode="0.00%\ ;\-0.00%\ _);&quot;-  &quot;;&quot; &quot;@&quot; &quot;"/>
    <numFmt numFmtId="181" formatCode="#,##0.0000_);\(#,##0.0000\);&quot;-  &quot;;&quot; &quot;@&quot; &quot;"/>
    <numFmt numFmtId="182" formatCode="dd\ mmm\ yyyy_);\(###0\);&quot;-  &quot;;&quot; &quot;@&quot; &quot;"/>
    <numFmt numFmtId="183" formatCode="dd\ mmm\ yy_);\(###0\);&quot;-  &quot;;&quot; &quot;@&quot; &quot;"/>
    <numFmt numFmtId="184" formatCode="###0_);\(###0\);&quot;-  &quot;;&quot; &quot;@&quot; &quot;"/>
  </numFmts>
  <fonts count="52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rgb="FF002060"/>
      <name val="Arial"/>
      <family val="2"/>
    </font>
    <font>
      <i/>
      <u/>
      <sz val="10"/>
      <color theme="1"/>
      <name val="Arial"/>
      <family val="2"/>
    </font>
    <font>
      <sz val="12"/>
      <color rgb="FFFF9999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u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Wingdings 3"/>
      <family val="1"/>
      <charset val="2"/>
    </font>
    <font>
      <sz val="10"/>
      <color theme="1"/>
      <name val="Wingdings 3"/>
      <family val="1"/>
      <charset val="2"/>
    </font>
    <font>
      <sz val="7"/>
      <color theme="1"/>
      <name val="IBM Plex Mono Medium"/>
      <family val="3"/>
    </font>
    <font>
      <sz val="11"/>
      <color theme="1"/>
      <name val="IBM Plex Mono Medium"/>
      <family val="3"/>
    </font>
    <font>
      <sz val="10"/>
      <color theme="0" tint="-0.24994659260841701"/>
      <name val="Wingdings 3"/>
      <family val="1"/>
      <charset val="2"/>
    </font>
    <font>
      <sz val="36"/>
      <color theme="0" tint="-0.24994659260841701"/>
      <name val="Wingdings 3"/>
      <family val="1"/>
      <charset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0" tint="-0.1499679555650502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theme="0" tint="-0.34998626667073579"/>
      </right>
      <top style="thin">
        <color rgb="FF80808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808080"/>
      </top>
      <bottom/>
      <diagonal/>
    </border>
  </borders>
  <cellStyleXfs count="59">
    <xf numFmtId="179" fontId="0" fillId="0" borderId="0" applyFont="0" applyFill="0" applyBorder="0" applyProtection="0">
      <alignment vertical="top"/>
    </xf>
    <xf numFmtId="0" fontId="2" fillId="0" borderId="0"/>
    <xf numFmtId="165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4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8" fontId="1" fillId="0" borderId="0" applyBorder="0"/>
    <xf numFmtId="4" fontId="7" fillId="4" borderId="2">
      <alignment horizontal="left"/>
    </xf>
    <xf numFmtId="167" fontId="11" fillId="0" borderId="0" applyFill="0" applyBorder="0"/>
    <xf numFmtId="168" fontId="9" fillId="0" borderId="0" applyBorder="0"/>
    <xf numFmtId="0" fontId="12" fillId="0" borderId="0" applyNumberFormat="0" applyFill="0" applyBorder="0">
      <alignment horizontal="right"/>
    </xf>
    <xf numFmtId="168" fontId="12" fillId="5" borderId="8">
      <protection locked="0"/>
    </xf>
    <xf numFmtId="169" fontId="12" fillId="5" borderId="8">
      <protection locked="0"/>
    </xf>
    <xf numFmtId="170" fontId="12" fillId="5" borderId="8">
      <protection locked="0"/>
    </xf>
    <xf numFmtId="171" fontId="1" fillId="0" borderId="0" applyBorder="0"/>
    <xf numFmtId="171" fontId="12" fillId="5" borderId="8">
      <protection locked="0"/>
    </xf>
    <xf numFmtId="168" fontId="12" fillId="0" borderId="8"/>
    <xf numFmtId="15" fontId="8" fillId="0" borderId="0" applyFill="0" applyBorder="0" applyAlignment="0"/>
    <xf numFmtId="172" fontId="13" fillId="0" borderId="9">
      <alignment horizontal="center"/>
    </xf>
    <xf numFmtId="168" fontId="14" fillId="7" borderId="0" applyBorder="0" applyAlignment="0"/>
    <xf numFmtId="172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7" fontId="18" fillId="6" borderId="8" applyNumberFormat="0" applyAlignment="0">
      <protection locked="0"/>
    </xf>
    <xf numFmtId="173" fontId="19" fillId="5" borderId="8">
      <alignment horizontal="center"/>
      <protection locked="0"/>
    </xf>
    <xf numFmtId="174" fontId="19" fillId="5" borderId="8">
      <alignment horizontal="center"/>
      <protection locked="0"/>
    </xf>
    <xf numFmtId="169" fontId="1" fillId="0" borderId="0" applyBorder="0"/>
    <xf numFmtId="174" fontId="20" fillId="0" borderId="11" applyFill="0">
      <alignment horizontal="center"/>
    </xf>
    <xf numFmtId="173" fontId="19" fillId="0" borderId="11">
      <alignment horizontal="center"/>
    </xf>
    <xf numFmtId="170" fontId="2" fillId="0" borderId="0" applyFill="0" applyBorder="0" applyAlignment="0"/>
    <xf numFmtId="168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5" fontId="1" fillId="0" borderId="0" applyBorder="0"/>
    <xf numFmtId="176" fontId="1" fillId="0" borderId="0" applyBorder="0"/>
    <xf numFmtId="175" fontId="12" fillId="5" borderId="8">
      <protection locked="0"/>
    </xf>
    <xf numFmtId="165" fontId="22" fillId="0" borderId="0" applyFont="0" applyFill="0" applyBorder="0" applyAlignment="0" applyProtection="0"/>
    <xf numFmtId="0" fontId="25" fillId="2" borderId="7" applyNumberFormat="0" applyAlignment="0" applyProtection="0"/>
    <xf numFmtId="0" fontId="26" fillId="0" borderId="0"/>
    <xf numFmtId="4" fontId="7" fillId="4" borderId="13">
      <alignment horizontal="left"/>
    </xf>
    <xf numFmtId="167" fontId="29" fillId="0" borderId="0" applyFill="0" applyBorder="0"/>
    <xf numFmtId="178" fontId="1" fillId="0" borderId="0" applyBorder="0"/>
    <xf numFmtId="165" fontId="24" fillId="0" borderId="0" applyFont="0" applyFill="0" applyBorder="0" applyAlignment="0" applyProtection="0"/>
    <xf numFmtId="180" fontId="24" fillId="0" borderId="0" applyFont="0" applyFill="0" applyBorder="0" applyProtection="0">
      <alignment vertical="top"/>
    </xf>
    <xf numFmtId="181" fontId="26" fillId="0" borderId="0" applyFont="0" applyFill="0" applyBorder="0" applyProtection="0">
      <alignment vertical="top"/>
    </xf>
    <xf numFmtId="182" fontId="26" fillId="0" borderId="0" applyFont="0" applyFill="0" applyBorder="0" applyProtection="0">
      <alignment vertical="top"/>
    </xf>
    <xf numFmtId="183" fontId="26" fillId="0" borderId="0" applyFont="0" applyFill="0" applyBorder="0" applyProtection="0">
      <alignment vertical="top"/>
    </xf>
    <xf numFmtId="184" fontId="26" fillId="0" borderId="0" applyFont="0" applyFill="0" applyBorder="0" applyProtection="0">
      <alignment vertical="top"/>
    </xf>
  </cellStyleXfs>
  <cellXfs count="191">
    <xf numFmtId="179" fontId="0" fillId="0" borderId="0" xfId="0">
      <alignment vertical="top"/>
    </xf>
    <xf numFmtId="167" fontId="27" fillId="3" borderId="0" xfId="12" applyNumberFormat="1" applyFont="1"/>
    <xf numFmtId="167" fontId="10" fillId="3" borderId="0" xfId="12" applyNumberFormat="1"/>
    <xf numFmtId="168" fontId="1" fillId="0" borderId="0" xfId="13"/>
    <xf numFmtId="177" fontId="10" fillId="3" borderId="0" xfId="12" applyNumberFormat="1"/>
    <xf numFmtId="167" fontId="28" fillId="3" borderId="0" xfId="12" applyNumberFormat="1" applyFont="1"/>
    <xf numFmtId="168" fontId="0" fillId="0" borderId="0" xfId="13" applyFont="1"/>
    <xf numFmtId="168" fontId="12" fillId="0" borderId="0" xfId="17" applyNumberFormat="1">
      <alignment horizontal="right"/>
    </xf>
    <xf numFmtId="167" fontId="29" fillId="0" borderId="0" xfId="51"/>
    <xf numFmtId="168" fontId="16" fillId="0" borderId="0" xfId="28" applyNumberFormat="1"/>
    <xf numFmtId="168" fontId="30" fillId="0" borderId="0" xfId="13" applyFont="1"/>
    <xf numFmtId="170" fontId="2" fillId="0" borderId="0" xfId="36"/>
    <xf numFmtId="175" fontId="28" fillId="3" borderId="0" xfId="12" applyNumberFormat="1" applyFont="1"/>
    <xf numFmtId="175" fontId="31" fillId="3" borderId="0" xfId="12" applyNumberFormat="1" applyFont="1"/>
    <xf numFmtId="178" fontId="28" fillId="3" borderId="0" xfId="12" applyNumberFormat="1" applyFont="1"/>
    <xf numFmtId="4" fontId="7" fillId="4" borderId="2" xfId="14">
      <alignment horizontal="left"/>
    </xf>
    <xf numFmtId="168" fontId="12" fillId="0" borderId="8" xfId="23"/>
    <xf numFmtId="178" fontId="17" fillId="0" borderId="0" xfId="29" applyNumberFormat="1" applyFill="1"/>
    <xf numFmtId="174" fontId="20" fillId="0" borderId="11" xfId="34">
      <alignment horizontal="center"/>
    </xf>
    <xf numFmtId="168" fontId="17" fillId="0" borderId="0" xfId="29" applyNumberFormat="1"/>
    <xf numFmtId="170" fontId="17" fillId="0" borderId="0" xfId="29" applyNumberFormat="1"/>
    <xf numFmtId="169" fontId="8" fillId="0" borderId="0" xfId="33" applyFont="1"/>
    <xf numFmtId="169" fontId="1" fillId="0" borderId="0" xfId="33"/>
    <xf numFmtId="168" fontId="1" fillId="9" borderId="11" xfId="37"/>
    <xf numFmtId="168" fontId="8" fillId="0" borderId="0" xfId="13" applyFont="1"/>
    <xf numFmtId="168" fontId="9" fillId="0" borderId="0" xfId="13" applyFont="1"/>
    <xf numFmtId="169" fontId="17" fillId="0" borderId="0" xfId="29" applyNumberFormat="1"/>
    <xf numFmtId="168" fontId="9" fillId="0" borderId="0" xfId="16"/>
    <xf numFmtId="168" fontId="14" fillId="7" borderId="0" xfId="26"/>
    <xf numFmtId="168" fontId="1" fillId="9" borderId="14" xfId="37" applyBorder="1"/>
    <xf numFmtId="168" fontId="0" fillId="0" borderId="15" xfId="13" applyFont="1" applyBorder="1"/>
    <xf numFmtId="168" fontId="1" fillId="9" borderId="16" xfId="37" applyBorder="1"/>
    <xf numFmtId="168" fontId="1" fillId="0" borderId="12" xfId="13" applyBorder="1"/>
    <xf numFmtId="168" fontId="0" fillId="0" borderId="12" xfId="13" applyFont="1" applyBorder="1"/>
    <xf numFmtId="168" fontId="9" fillId="0" borderId="17" xfId="16" applyBorder="1"/>
    <xf numFmtId="168" fontId="9" fillId="9" borderId="18" xfId="37" applyFont="1" applyBorder="1"/>
    <xf numFmtId="178" fontId="17" fillId="0" borderId="0" xfId="29" applyNumberFormat="1"/>
    <xf numFmtId="168" fontId="9" fillId="9" borderId="16" xfId="37" applyFont="1" applyBorder="1"/>
    <xf numFmtId="168" fontId="9" fillId="0" borderId="12" xfId="16" applyBorder="1"/>
    <xf numFmtId="170" fontId="32" fillId="0" borderId="0" xfId="36" applyFont="1"/>
    <xf numFmtId="168" fontId="1" fillId="0" borderId="19" xfId="13" applyBorder="1" applyAlignment="1">
      <alignment vertical="center"/>
    </xf>
    <xf numFmtId="168" fontId="1" fillId="0" borderId="20" xfId="13" applyBorder="1" applyAlignment="1">
      <alignment wrapText="1"/>
    </xf>
    <xf numFmtId="179" fontId="0" fillId="10" borderId="0" xfId="0" applyFill="1">
      <alignment vertical="top"/>
    </xf>
    <xf numFmtId="168" fontId="35" fillId="0" borderId="0" xfId="13" applyFont="1"/>
    <xf numFmtId="168" fontId="1" fillId="10" borderId="0" xfId="13" applyFill="1"/>
    <xf numFmtId="0" fontId="0" fillId="0" borderId="0" xfId="0" applyNumberFormat="1" applyFont="1">
      <alignment vertical="top"/>
    </xf>
    <xf numFmtId="0" fontId="0" fillId="10" borderId="0" xfId="13" applyNumberFormat="1" applyFont="1" applyFill="1"/>
    <xf numFmtId="0" fontId="0" fillId="0" borderId="0" xfId="13" applyNumberFormat="1" applyFont="1"/>
    <xf numFmtId="0" fontId="0" fillId="0" borderId="0" xfId="13" applyNumberFormat="1" applyFont="1" applyBorder="1"/>
    <xf numFmtId="0" fontId="34" fillId="0" borderId="0" xfId="52" applyNumberFormat="1" applyFont="1" applyBorder="1"/>
    <xf numFmtId="0" fontId="0" fillId="0" borderId="0" xfId="52" applyNumberFormat="1" applyFont="1" applyBorder="1"/>
    <xf numFmtId="0" fontId="0" fillId="0" borderId="0" xfId="13" applyNumberFormat="1" applyFont="1" applyAlignment="1">
      <alignment horizontal="left" indent="1"/>
    </xf>
    <xf numFmtId="0" fontId="36" fillId="0" borderId="0" xfId="58" applyNumberFormat="1" applyFont="1" applyBorder="1">
      <alignment vertical="top"/>
    </xf>
    <xf numFmtId="0" fontId="37" fillId="0" borderId="0" xfId="51" applyNumberFormat="1" applyFont="1"/>
    <xf numFmtId="0" fontId="0" fillId="0" borderId="0" xfId="13" applyNumberFormat="1" applyFont="1" applyBorder="1" applyAlignment="1">
      <alignment horizontal="left"/>
    </xf>
    <xf numFmtId="179" fontId="38" fillId="0" borderId="0" xfId="0" applyFont="1" applyAlignment="1"/>
    <xf numFmtId="168" fontId="39" fillId="0" borderId="0" xfId="13" applyFont="1"/>
    <xf numFmtId="179" fontId="38" fillId="0" borderId="0" xfId="0" applyFont="1">
      <alignment vertical="top"/>
    </xf>
    <xf numFmtId="168" fontId="38" fillId="0" borderId="0" xfId="13" applyFont="1"/>
    <xf numFmtId="168" fontId="40" fillId="10" borderId="0" xfId="13" applyFont="1" applyFill="1"/>
    <xf numFmtId="179" fontId="40" fillId="0" borderId="0" xfId="0" applyFont="1" applyAlignment="1"/>
    <xf numFmtId="167" fontId="40" fillId="0" borderId="0" xfId="51" applyFont="1" applyFill="1"/>
    <xf numFmtId="179" fontId="0" fillId="0" borderId="0" xfId="0" applyFill="1">
      <alignment vertical="top"/>
    </xf>
    <xf numFmtId="168" fontId="12" fillId="0" borderId="0" xfId="17" applyNumberFormat="1" applyFill="1">
      <alignment horizontal="right"/>
    </xf>
    <xf numFmtId="0" fontId="40" fillId="0" borderId="0" xfId="51" applyNumberFormat="1" applyFont="1" applyFill="1"/>
    <xf numFmtId="0" fontId="41" fillId="0" borderId="0" xfId="0" applyNumberFormat="1" applyFont="1">
      <alignment vertical="top"/>
    </xf>
    <xf numFmtId="0" fontId="42" fillId="0" borderId="0" xfId="13" applyNumberFormat="1" applyFont="1"/>
    <xf numFmtId="0" fontId="42" fillId="10" borderId="0" xfId="13" applyNumberFormat="1" applyFont="1" applyFill="1"/>
    <xf numFmtId="179" fontId="38" fillId="12" borderId="0" xfId="0" applyFont="1" applyFill="1">
      <alignment vertical="top"/>
    </xf>
    <xf numFmtId="179" fontId="0" fillId="12" borderId="0" xfId="0" applyFill="1">
      <alignment vertical="top"/>
    </xf>
    <xf numFmtId="0" fontId="0" fillId="12" borderId="0" xfId="0" applyNumberFormat="1" applyFont="1" applyFill="1">
      <alignment vertical="top"/>
    </xf>
    <xf numFmtId="179" fontId="38" fillId="12" borderId="0" xfId="0" applyFont="1" applyFill="1" applyAlignment="1"/>
    <xf numFmtId="0" fontId="41" fillId="12" borderId="0" xfId="0" applyNumberFormat="1" applyFont="1" applyFill="1">
      <alignment vertical="top"/>
    </xf>
    <xf numFmtId="179" fontId="33" fillId="12" borderId="0" xfId="0" applyFont="1" applyFill="1">
      <alignment vertical="top"/>
    </xf>
    <xf numFmtId="0" fontId="0" fillId="0" borderId="0" xfId="13" applyNumberFormat="1" applyFont="1" applyAlignment="1">
      <alignment horizontal="left"/>
    </xf>
    <xf numFmtId="179" fontId="0" fillId="0" borderId="0" xfId="0" applyBorder="1" applyAlignment="1">
      <alignment horizontal="center" vertical="top"/>
    </xf>
    <xf numFmtId="168" fontId="43" fillId="0" borderId="24" xfId="13" applyFont="1" applyBorder="1" applyAlignment="1">
      <alignment horizontal="left" vertical="top" wrapText="1" indent="1"/>
    </xf>
    <xf numFmtId="168" fontId="12" fillId="0" borderId="0" xfId="13" applyFont="1"/>
    <xf numFmtId="168" fontId="12" fillId="10" borderId="0" xfId="13" applyFont="1" applyFill="1"/>
    <xf numFmtId="179" fontId="40" fillId="0" borderId="0" xfId="0" applyFont="1">
      <alignment vertical="top"/>
    </xf>
    <xf numFmtId="175" fontId="38" fillId="10" borderId="21" xfId="46" applyFont="1" applyFill="1" applyBorder="1">
      <protection locked="0"/>
    </xf>
    <xf numFmtId="168" fontId="38" fillId="11" borderId="23" xfId="18" applyFont="1" applyFill="1" applyBorder="1">
      <protection locked="0"/>
    </xf>
    <xf numFmtId="168" fontId="38" fillId="11" borderId="21" xfId="18" applyFont="1" applyFill="1" applyBorder="1">
      <protection locked="0"/>
    </xf>
    <xf numFmtId="170" fontId="38" fillId="11" borderId="21" xfId="20" applyFont="1" applyFill="1" applyBorder="1">
      <protection locked="0"/>
    </xf>
    <xf numFmtId="168" fontId="40" fillId="0" borderId="0" xfId="16" applyFont="1" applyAlignment="1">
      <alignment horizontal="right"/>
    </xf>
    <xf numFmtId="168" fontId="38" fillId="0" borderId="0" xfId="13" applyFont="1" applyBorder="1" applyAlignment="1">
      <alignment horizontal="right"/>
    </xf>
    <xf numFmtId="168" fontId="38" fillId="11" borderId="21" xfId="26" applyFont="1" applyFill="1" applyBorder="1"/>
    <xf numFmtId="170" fontId="38" fillId="11" borderId="23" xfId="20" applyFont="1" applyFill="1" applyBorder="1">
      <protection locked="0"/>
    </xf>
    <xf numFmtId="169" fontId="38" fillId="11" borderId="21" xfId="19" applyFont="1" applyFill="1" applyBorder="1">
      <protection locked="0"/>
    </xf>
    <xf numFmtId="168" fontId="38" fillId="0" borderId="0" xfId="13" applyFont="1" applyAlignment="1">
      <alignment horizontal="left" indent="1"/>
    </xf>
    <xf numFmtId="168" fontId="38" fillId="0" borderId="0" xfId="16" applyFont="1" applyAlignment="1">
      <alignment horizontal="right"/>
    </xf>
    <xf numFmtId="168" fontId="38" fillId="11" borderId="21" xfId="17" applyNumberFormat="1" applyFont="1" applyFill="1" applyBorder="1">
      <alignment horizontal="right"/>
    </xf>
    <xf numFmtId="180" fontId="38" fillId="11" borderId="23" xfId="54" applyFont="1" applyFill="1" applyBorder="1">
      <alignment vertical="top"/>
    </xf>
    <xf numFmtId="168" fontId="38" fillId="11" borderId="22" xfId="18" applyFont="1" applyFill="1" applyBorder="1">
      <protection locked="0"/>
    </xf>
    <xf numFmtId="176" fontId="38" fillId="11" borderId="22" xfId="18" applyNumberFormat="1" applyFont="1" applyFill="1" applyBorder="1">
      <protection locked="0"/>
    </xf>
    <xf numFmtId="169" fontId="38" fillId="11" borderId="22" xfId="19" applyFont="1" applyFill="1" applyBorder="1">
      <protection locked="0"/>
    </xf>
    <xf numFmtId="176" fontId="38" fillId="11" borderId="21" xfId="18" applyNumberFormat="1" applyFont="1" applyFill="1" applyBorder="1">
      <protection locked="0"/>
    </xf>
    <xf numFmtId="168" fontId="38" fillId="10" borderId="0" xfId="13" applyFont="1" applyFill="1"/>
    <xf numFmtId="179" fontId="38" fillId="0" borderId="24" xfId="0" applyFont="1" applyBorder="1" applyAlignment="1"/>
    <xf numFmtId="179" fontId="0" fillId="0" borderId="24" xfId="0" applyBorder="1">
      <alignment vertical="top"/>
    </xf>
    <xf numFmtId="0" fontId="41" fillId="0" borderId="24" xfId="0" applyNumberFormat="1" applyFont="1" applyBorder="1">
      <alignment vertical="top"/>
    </xf>
    <xf numFmtId="180" fontId="38" fillId="11" borderId="23" xfId="54" applyFont="1" applyFill="1" applyBorder="1" applyProtection="1">
      <alignment vertical="top"/>
      <protection locked="0"/>
    </xf>
    <xf numFmtId="168" fontId="43" fillId="0" borderId="26" xfId="13" applyFont="1" applyBorder="1" applyAlignment="1">
      <alignment horizontal="left" vertical="top" wrapText="1" indent="1"/>
    </xf>
    <xf numFmtId="179" fontId="0" fillId="0" borderId="27" xfId="0" applyBorder="1" applyAlignment="1">
      <alignment horizontal="center" vertical="top"/>
    </xf>
    <xf numFmtId="179" fontId="0" fillId="0" borderId="28" xfId="0" applyBorder="1" applyAlignment="1">
      <alignment horizontal="center" vertical="top"/>
    </xf>
    <xf numFmtId="179" fontId="0" fillId="0" borderId="29" xfId="0" applyBorder="1">
      <alignment vertical="top"/>
    </xf>
    <xf numFmtId="179" fontId="0" fillId="0" borderId="30" xfId="0" applyBorder="1">
      <alignment vertical="top"/>
    </xf>
    <xf numFmtId="168" fontId="1" fillId="0" borderId="30" xfId="13" applyBorder="1"/>
    <xf numFmtId="168" fontId="12" fillId="0" borderId="30" xfId="13" applyFont="1" applyBorder="1"/>
    <xf numFmtId="170" fontId="12" fillId="0" borderId="30" xfId="36" applyFont="1" applyBorder="1"/>
    <xf numFmtId="170" fontId="36" fillId="11" borderId="21" xfId="20" applyFont="1" applyFill="1" applyBorder="1">
      <protection locked="0"/>
    </xf>
    <xf numFmtId="179" fontId="36" fillId="11" borderId="21" xfId="0" applyFont="1" applyFill="1" applyBorder="1" applyProtection="1">
      <alignment vertical="top"/>
      <protection locked="0"/>
    </xf>
    <xf numFmtId="169" fontId="36" fillId="11" borderId="21" xfId="19" applyFont="1" applyFill="1" applyBorder="1">
      <protection locked="0"/>
    </xf>
    <xf numFmtId="168" fontId="36" fillId="11" borderId="21" xfId="18" applyFont="1" applyFill="1" applyBorder="1">
      <protection locked="0"/>
    </xf>
    <xf numFmtId="168" fontId="36" fillId="11" borderId="23" xfId="18" applyFont="1" applyFill="1" applyBorder="1">
      <protection locked="0"/>
    </xf>
    <xf numFmtId="180" fontId="36" fillId="11" borderId="23" xfId="54" applyFont="1" applyFill="1" applyBorder="1" applyProtection="1">
      <alignment vertical="top"/>
      <protection locked="0"/>
    </xf>
    <xf numFmtId="179" fontId="36" fillId="11" borderId="31" xfId="0" applyFont="1" applyFill="1" applyBorder="1">
      <alignment vertical="top"/>
    </xf>
    <xf numFmtId="179" fontId="38" fillId="11" borderId="21" xfId="0" applyFont="1" applyFill="1" applyBorder="1" applyProtection="1">
      <alignment vertical="top"/>
      <protection locked="0"/>
    </xf>
    <xf numFmtId="179" fontId="38" fillId="0" borderId="32" xfId="0" applyFont="1" applyBorder="1">
      <alignment vertical="top"/>
    </xf>
    <xf numFmtId="179" fontId="38" fillId="0" borderId="32" xfId="0" applyFont="1" applyBorder="1" applyAlignment="1"/>
    <xf numFmtId="179" fontId="0" fillId="0" borderId="32" xfId="0" applyBorder="1">
      <alignment vertical="top"/>
    </xf>
    <xf numFmtId="0" fontId="41" fillId="0" borderId="32" xfId="0" applyNumberFormat="1" applyFont="1" applyBorder="1">
      <alignment vertical="top"/>
    </xf>
    <xf numFmtId="168" fontId="44" fillId="0" borderId="32" xfId="13" applyFont="1" applyBorder="1" applyAlignment="1">
      <alignment horizontal="left" vertical="top" wrapText="1" indent="1"/>
    </xf>
    <xf numFmtId="0" fontId="0" fillId="0" borderId="24" xfId="0" applyNumberFormat="1" applyFont="1" applyBorder="1">
      <alignment vertical="top"/>
    </xf>
    <xf numFmtId="179" fontId="38" fillId="10" borderId="24" xfId="0" applyFont="1" applyFill="1" applyBorder="1">
      <alignment vertical="top"/>
    </xf>
    <xf numFmtId="168" fontId="38" fillId="0" borderId="0" xfId="17" applyNumberFormat="1" applyFont="1" applyAlignment="1"/>
    <xf numFmtId="0" fontId="0" fillId="0" borderId="0" xfId="0" applyNumberFormat="1" applyFont="1" applyBorder="1">
      <alignment vertical="top"/>
    </xf>
    <xf numFmtId="179" fontId="38" fillId="0" borderId="0" xfId="0" applyFont="1" applyBorder="1" applyAlignment="1"/>
    <xf numFmtId="179" fontId="0" fillId="0" borderId="0" xfId="0" applyBorder="1">
      <alignment vertical="top"/>
    </xf>
    <xf numFmtId="0" fontId="41" fillId="0" borderId="0" xfId="0" applyNumberFormat="1" applyFont="1" applyBorder="1">
      <alignment vertical="top"/>
    </xf>
    <xf numFmtId="179" fontId="38" fillId="0" borderId="0" xfId="0" applyFont="1" applyFill="1" applyBorder="1">
      <alignment vertical="top"/>
    </xf>
    <xf numFmtId="168" fontId="36" fillId="0" borderId="0" xfId="13" applyFont="1"/>
    <xf numFmtId="168" fontId="36" fillId="0" borderId="30" xfId="13" applyFont="1" applyBorder="1"/>
    <xf numFmtId="168" fontId="36" fillId="11" borderId="25" xfId="13" applyFont="1" applyFill="1" applyBorder="1"/>
    <xf numFmtId="168" fontId="36" fillId="11" borderId="21" xfId="13" applyFont="1" applyFill="1" applyBorder="1"/>
    <xf numFmtId="168" fontId="36" fillId="11" borderId="31" xfId="13" applyFont="1" applyFill="1" applyBorder="1"/>
    <xf numFmtId="170" fontId="36" fillId="11" borderId="25" xfId="54" applyNumberFormat="1" applyFont="1" applyFill="1" applyBorder="1">
      <alignment vertical="top"/>
    </xf>
    <xf numFmtId="170" fontId="36" fillId="11" borderId="25" xfId="13" applyNumberFormat="1" applyFont="1" applyFill="1" applyBorder="1"/>
    <xf numFmtId="168" fontId="36" fillId="0" borderId="25" xfId="13" applyFont="1" applyBorder="1"/>
    <xf numFmtId="168" fontId="36" fillId="0" borderId="21" xfId="13" applyFont="1" applyBorder="1"/>
    <xf numFmtId="168" fontId="36" fillId="0" borderId="31" xfId="13" applyFont="1" applyBorder="1"/>
    <xf numFmtId="170" fontId="36" fillId="11" borderId="21" xfId="13" applyNumberFormat="1" applyFont="1" applyFill="1" applyBorder="1"/>
    <xf numFmtId="170" fontId="36" fillId="11" borderId="31" xfId="13" applyNumberFormat="1" applyFont="1" applyFill="1" applyBorder="1"/>
    <xf numFmtId="168" fontId="38" fillId="10" borderId="21" xfId="13" applyFont="1" applyFill="1" applyBorder="1"/>
    <xf numFmtId="184" fontId="45" fillId="0" borderId="0" xfId="58" applyFont="1" applyAlignment="1">
      <alignment horizontal="center" vertical="top"/>
    </xf>
    <xf numFmtId="179" fontId="38" fillId="10" borderId="0" xfId="0" applyFont="1" applyFill="1" applyBorder="1">
      <alignment vertical="top"/>
    </xf>
    <xf numFmtId="168" fontId="36" fillId="11" borderId="22" xfId="13" applyFont="1" applyFill="1" applyBorder="1"/>
    <xf numFmtId="184" fontId="36" fillId="11" borderId="21" xfId="58" applyFont="1" applyFill="1" applyBorder="1">
      <alignment vertical="top"/>
    </xf>
    <xf numFmtId="179" fontId="33" fillId="0" borderId="0" xfId="0" applyFont="1" applyFill="1">
      <alignment vertical="top"/>
    </xf>
    <xf numFmtId="179" fontId="38" fillId="0" borderId="0" xfId="0" applyFont="1" applyFill="1">
      <alignment vertical="top"/>
    </xf>
    <xf numFmtId="0" fontId="0" fillId="0" borderId="0" xfId="0" applyNumberFormat="1" applyFont="1" applyFill="1">
      <alignment vertical="top"/>
    </xf>
    <xf numFmtId="179" fontId="38" fillId="0" borderId="0" xfId="0" applyFont="1" applyFill="1" applyAlignment="1"/>
    <xf numFmtId="0" fontId="41" fillId="0" borderId="0" xfId="0" applyNumberFormat="1" applyFont="1" applyFill="1">
      <alignment vertical="top"/>
    </xf>
    <xf numFmtId="179" fontId="40" fillId="0" borderId="0" xfId="0" applyFont="1" applyFill="1">
      <alignment vertical="top"/>
    </xf>
    <xf numFmtId="179" fontId="0" fillId="0" borderId="0" xfId="0" applyAlignment="1">
      <alignment horizontal="center" vertical="top"/>
    </xf>
    <xf numFmtId="0" fontId="46" fillId="0" borderId="0" xfId="0" applyNumberFormat="1" applyFont="1" applyFill="1" applyAlignment="1">
      <alignment horizontal="center" vertical="center"/>
    </xf>
    <xf numFmtId="168" fontId="1" fillId="13" borderId="0" xfId="13" applyFill="1"/>
    <xf numFmtId="179" fontId="0" fillId="12" borderId="0" xfId="0" applyFill="1" applyAlignment="1">
      <alignment horizontal="left" vertical="center"/>
    </xf>
    <xf numFmtId="0" fontId="0" fillId="0" borderId="0" xfId="13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179" fontId="0" fillId="10" borderId="0" xfId="0" applyFill="1" applyAlignment="1">
      <alignment horizontal="left" vertical="center"/>
    </xf>
    <xf numFmtId="179" fontId="0" fillId="0" borderId="0" xfId="0" applyAlignment="1">
      <alignment horizontal="left" vertical="center"/>
    </xf>
    <xf numFmtId="179" fontId="47" fillId="0" borderId="0" xfId="0" applyFont="1" applyAlignment="1">
      <alignment horizontal="left" vertical="center"/>
    </xf>
    <xf numFmtId="179" fontId="0" fillId="0" borderId="0" xfId="0" applyBorder="1" applyAlignment="1">
      <alignment horizontal="left" vertical="center"/>
    </xf>
    <xf numFmtId="179" fontId="49" fillId="0" borderId="0" xfId="0" applyFont="1" applyBorder="1">
      <alignment vertical="top"/>
    </xf>
    <xf numFmtId="180" fontId="0" fillId="0" borderId="0" xfId="54" applyFont="1" applyBorder="1">
      <alignment vertical="top"/>
    </xf>
    <xf numFmtId="179" fontId="0" fillId="0" borderId="32" xfId="0" applyBorder="1" applyAlignment="1">
      <alignment horizontal="left" vertical="center"/>
    </xf>
    <xf numFmtId="179" fontId="49" fillId="0" borderId="32" xfId="0" applyFont="1" applyBorder="1">
      <alignment vertical="top"/>
    </xf>
    <xf numFmtId="180" fontId="0" fillId="0" borderId="32" xfId="54" applyFont="1" applyBorder="1">
      <alignment vertical="top"/>
    </xf>
    <xf numFmtId="179" fontId="0" fillId="0" borderId="27" xfId="0" applyBorder="1" applyAlignment="1">
      <alignment horizontal="left" vertical="center"/>
    </xf>
    <xf numFmtId="179" fontId="49" fillId="0" borderId="27" xfId="0" applyFont="1" applyBorder="1">
      <alignment vertical="top"/>
    </xf>
    <xf numFmtId="180" fontId="0" fillId="0" borderId="27" xfId="54" applyFont="1" applyBorder="1">
      <alignment vertical="top"/>
    </xf>
    <xf numFmtId="179" fontId="47" fillId="10" borderId="0" xfId="0" applyFont="1" applyFill="1">
      <alignment vertical="top"/>
    </xf>
    <xf numFmtId="179" fontId="0" fillId="0" borderId="27" xfId="0" applyBorder="1">
      <alignment vertical="top"/>
    </xf>
    <xf numFmtId="180" fontId="48" fillId="0" borderId="0" xfId="54" applyFont="1" applyAlignment="1">
      <alignment horizontal="center" vertical="top"/>
    </xf>
    <xf numFmtId="179" fontId="48" fillId="0" borderId="0" xfId="0" applyFont="1">
      <alignment vertical="top"/>
    </xf>
    <xf numFmtId="170" fontId="50" fillId="0" borderId="0" xfId="36" applyFont="1" applyAlignment="1">
      <alignment horizontal="center" vertical="top" wrapText="1"/>
    </xf>
    <xf numFmtId="179" fontId="47" fillId="0" borderId="0" xfId="0" applyFont="1" applyAlignment="1">
      <alignment horizontal="center" vertical="top" wrapText="1"/>
    </xf>
    <xf numFmtId="179" fontId="47" fillId="0" borderId="0" xfId="0" applyFont="1" applyFill="1">
      <alignment vertical="top"/>
    </xf>
    <xf numFmtId="179" fontId="0" fillId="0" borderId="0" xfId="0" applyFill="1" applyAlignment="1">
      <alignment horizontal="left" vertical="center"/>
    </xf>
    <xf numFmtId="179" fontId="0" fillId="0" borderId="1" xfId="0" applyBorder="1" applyAlignment="1">
      <alignment horizontal="centerContinuous" vertical="top"/>
    </xf>
    <xf numFmtId="170" fontId="50" fillId="0" borderId="12" xfId="36" applyFont="1" applyBorder="1" applyAlignment="1">
      <alignment horizontal="center" vertical="top" wrapText="1"/>
    </xf>
    <xf numFmtId="179" fontId="47" fillId="0" borderId="12" xfId="0" applyFont="1" applyBorder="1" applyAlignment="1">
      <alignment horizontal="center" vertical="top" wrapText="1"/>
    </xf>
    <xf numFmtId="179" fontId="0" fillId="0" borderId="0" xfId="0" applyAlignment="1">
      <alignment horizontal="centerContinuous" vertical="top"/>
    </xf>
    <xf numFmtId="170" fontId="51" fillId="0" borderId="0" xfId="36" applyFont="1" applyAlignment="1">
      <alignment horizontal="centerContinuous"/>
    </xf>
    <xf numFmtId="179" fontId="51" fillId="0" borderId="1" xfId="0" applyFont="1" applyBorder="1" applyAlignment="1">
      <alignment horizontal="centerContinuous" vertical="top"/>
    </xf>
    <xf numFmtId="170" fontId="0" fillId="0" borderId="0" xfId="54" applyNumberFormat="1" applyFont="1" applyBorder="1">
      <alignment vertical="top"/>
    </xf>
    <xf numFmtId="170" fontId="0" fillId="0" borderId="27" xfId="54" applyNumberFormat="1" applyFont="1" applyBorder="1">
      <alignment vertical="top"/>
    </xf>
    <xf numFmtId="179" fontId="0" fillId="0" borderId="0" xfId="0" applyFont="1">
      <alignment vertical="top"/>
    </xf>
    <xf numFmtId="180" fontId="0" fillId="0" borderId="0" xfId="54" applyFont="1">
      <alignment vertical="top"/>
    </xf>
    <xf numFmtId="179" fontId="0" fillId="0" borderId="1" xfId="0" applyBorder="1">
      <alignment vertical="top"/>
    </xf>
  </cellXfs>
  <cellStyles count="59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7" xr:uid="{3570D88B-62A3-40C8-909A-C17A3140EBF0}"/>
    <cellStyle name="Comma 4" xfId="53" xr:uid="{0F42035D-3C5A-4A74-8847-D9F081E2FAD3}"/>
    <cellStyle name="Currency [2]" xfId="6" xr:uid="{00000000-0005-0000-0000-000004000000}"/>
    <cellStyle name="DateLong" xfId="56" xr:uid="{66D3EDA8-A3A5-4468-B810-230E562C929F}"/>
    <cellStyle name="DateShort" xfId="57" xr:uid="{4CAE5F81-F181-4E52-AD42-394DD861C504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Header 2" xfId="51" xr:uid="{4C9A93A4-0E9A-4B8E-A82C-E15174209238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50" xr:uid="{F5F5B29F-F64B-4A06-9F62-C8D15BDF8F83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5" xr:uid="{623B22FD-A2D4-49E4-B1E6-6A7F3325C089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-C Year 2" xfId="52" xr:uid="{42EA6F2C-2B3D-455C-9CB2-8881A6F2B7DE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49" xr:uid="{FE7DFB65-E3AE-45C6-9A20-4A72803111BD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4" builtinId="5" customBuiltin="1"/>
    <cellStyle name="Percent 2" xfId="11" xr:uid="{00000000-0005-0000-0000-00002E000000}"/>
    <cellStyle name="Year" xfId="58" xr:uid="{980DC1C2-CD5E-412A-A21C-28F4CCA4F06A}"/>
  </cellStyles>
  <dxfs count="2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CC00"/>
      </font>
    </dxf>
  </dxfs>
  <tableStyles count="0" defaultTableStyle="TableStyleMedium2" defaultPivotStyle="PivotStyleLight16"/>
  <colors>
    <mruColors>
      <color rgb="FFFFFFCC"/>
      <color rgb="FF0000FF"/>
      <color rgb="FFFFD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15" dropStyle="combo" dx="26" fmlaLink="selector" fmlaRange="scenarios" noThreeD="1" sel="18" val="15"/>
</file>

<file path=xl/ctrlProps/ctrlProp2.xml><?xml version="1.0" encoding="utf-8"?>
<formControlPr xmlns="http://schemas.microsoft.com/office/spreadsheetml/2009/9/main" objectType="Drop" dropLines="15" dropStyle="combo" dx="26" fmlaLink="selector" fmlaRange="scenarios" noThreeD="1" sel="18" val="15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3505200</xdr:colOff>
          <xdr:row>4</xdr:row>
          <xdr:rowOff>327660</xdr:rowOff>
        </xdr:from>
        <xdr:to>
          <xdr:col>6</xdr:col>
          <xdr:colOff>388620</xdr:colOff>
          <xdr:row>5</xdr:row>
          <xdr:rowOff>129540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2644140</xdr:colOff>
          <xdr:row>5</xdr:row>
          <xdr:rowOff>68580</xdr:rowOff>
        </xdr:from>
        <xdr:to>
          <xdr:col>5</xdr:col>
          <xdr:colOff>594360</xdr:colOff>
          <xdr:row>6</xdr:row>
          <xdr:rowOff>60960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7E4043-0CE5-4171-9F5C-BE30B234EA9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f5b40b9-a15e-4934-8967-81ff729b08c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B977-7A36-4F62-BC40-360D8F776995}">
  <sheetPr>
    <tabColor theme="3"/>
    <pageSetUpPr autoPageBreaks="0"/>
  </sheetPr>
  <dimension ref="A1:Y57"/>
  <sheetViews>
    <sheetView showGridLines="0" tabSelected="1" zoomScale="85" zoomScaleNormal="85" workbookViewId="0">
      <pane ySplit="10" topLeftCell="A11" activePane="bottomLeft" state="frozen"/>
      <selection pane="bottomLeft" activeCell="S20" sqref="S20"/>
    </sheetView>
  </sheetViews>
  <sheetFormatPr defaultRowHeight="13.8"/>
  <cols>
    <col min="1" max="4" width="1.69921875" customWidth="1"/>
    <col min="5" max="5" width="25.69921875" style="161" customWidth="1"/>
    <col min="6" max="6" width="0.8984375" customWidth="1"/>
    <col min="7" max="10" width="12.69921875" customWidth="1"/>
    <col min="11" max="11" width="0.8984375" customWidth="1"/>
    <col min="12" max="15" width="12.69921875" customWidth="1"/>
    <col min="16" max="16" width="0.8984375" customWidth="1"/>
    <col min="18" max="18" width="11.69921875" customWidth="1"/>
    <col min="21" max="21" width="0.8984375" customWidth="1"/>
    <col min="23" max="23" width="11.69921875" customWidth="1"/>
  </cols>
  <sheetData>
    <row r="1" spans="1:25" s="69" customFormat="1">
      <c r="A1" s="73" t="str">
        <f>company</f>
        <v>Rock Climbing Inc</v>
      </c>
      <c r="E1" s="157"/>
    </row>
    <row r="2" spans="1:25" s="69" customFormat="1">
      <c r="A2" s="73" t="str" cm="1">
        <f t="array" ref="A2">topic</f>
        <v>CFM Topic: Sensitivity Analysis</v>
      </c>
      <c r="E2" s="157"/>
    </row>
    <row r="3" spans="1:25" s="69" customFormat="1">
      <c r="A3" s="73" t="s">
        <v>233</v>
      </c>
      <c r="E3" s="157"/>
    </row>
    <row r="6" spans="1:25">
      <c r="F6" s="158" t="s">
        <v>225</v>
      </c>
      <c r="G6" s="158"/>
      <c r="I6" s="143">
        <v>18</v>
      </c>
    </row>
    <row r="7" spans="1:25">
      <c r="F7" s="159" t="str">
        <f>Input!E$8</f>
        <v>Comparison scenario</v>
      </c>
      <c r="G7" s="159"/>
      <c r="I7" s="42" t="str">
        <f>Input!F$8</f>
        <v>Base</v>
      </c>
    </row>
    <row r="10" spans="1:25" s="42" customFormat="1">
      <c r="A10" s="172" t="s">
        <v>235</v>
      </c>
      <c r="E10" s="160"/>
    </row>
    <row r="11" spans="1:25" s="62" customFormat="1">
      <c r="A11" s="178"/>
      <c r="E11" s="179"/>
    </row>
    <row r="12" spans="1:25">
      <c r="G12" s="184" t="s">
        <v>240</v>
      </c>
      <c r="H12" s="183"/>
      <c r="I12" s="183"/>
      <c r="J12" s="183"/>
      <c r="L12" s="185" t="s">
        <v>239</v>
      </c>
      <c r="M12" s="180"/>
      <c r="N12" s="180"/>
      <c r="O12" s="180"/>
      <c r="Q12" s="180" t="s">
        <v>243</v>
      </c>
      <c r="R12" s="180"/>
      <c r="S12" s="180"/>
      <c r="T12" s="180"/>
      <c r="V12" s="180" t="s">
        <v>244</v>
      </c>
      <c r="W12" s="180"/>
      <c r="X12" s="180"/>
      <c r="Y12" s="180"/>
    </row>
    <row r="13" spans="1:25" ht="34.950000000000003" customHeight="1">
      <c r="G13" s="181" t="s">
        <v>234</v>
      </c>
      <c r="H13" s="182" t="s">
        <v>236</v>
      </c>
      <c r="I13" s="182" t="s">
        <v>237</v>
      </c>
      <c r="J13" s="182" t="s">
        <v>238</v>
      </c>
      <c r="K13" s="177"/>
      <c r="L13" s="176" t="s">
        <v>234</v>
      </c>
      <c r="M13" s="177" t="s">
        <v>236</v>
      </c>
      <c r="N13" s="177" t="s">
        <v>237</v>
      </c>
      <c r="O13" s="177" t="s">
        <v>238</v>
      </c>
      <c r="Q13" s="177" t="s">
        <v>245</v>
      </c>
      <c r="R13" s="177" t="s">
        <v>241</v>
      </c>
      <c r="S13" s="177" t="s">
        <v>242</v>
      </c>
      <c r="T13" s="177" t="s">
        <v>234</v>
      </c>
      <c r="V13" s="177" t="s">
        <v>246</v>
      </c>
      <c r="W13" s="177" t="s">
        <v>241</v>
      </c>
      <c r="X13" s="177" t="s">
        <v>242</v>
      </c>
      <c r="Y13" s="177" t="s">
        <v>234</v>
      </c>
    </row>
    <row r="14" spans="1:25" ht="4.8" customHeight="1">
      <c r="E14" s="162"/>
      <c r="G14" s="174">
        <f>CaseCalcs!$E$119</f>
        <v>0.27882520556449886</v>
      </c>
      <c r="H14" s="175">
        <f xml:space="preserve"> CaseCalcs!$E$102</f>
        <v>5467208.6745125074</v>
      </c>
      <c r="I14" s="175">
        <f xml:space="preserve"> CaseCalcs!$E$52</f>
        <v>3612751.3068032847</v>
      </c>
      <c r="J14" s="175">
        <f>CaseCalcs!$E$40</f>
        <v>12801810.854371877</v>
      </c>
      <c r="K14" s="175"/>
      <c r="Q14" s="190"/>
      <c r="R14" s="190"/>
      <c r="S14" s="190"/>
      <c r="T14" s="190"/>
      <c r="V14" s="190"/>
      <c r="W14" s="190"/>
      <c r="X14" s="190"/>
      <c r="Y14" s="190"/>
    </row>
    <row r="15" spans="1:25" ht="13.8" customHeight="1">
      <c r="E15" s="166" t="str" cm="1">
        <f t="array" ref="E15:E44">scenarios</f>
        <v>Base</v>
      </c>
      <c r="F15" s="167" cm="1">
        <f t="array" ref="F15:F44" xml:space="preserve"> _xlfn.SEQUENCE( ROWS( scenarios ) )</f>
        <v>1</v>
      </c>
      <c r="G15" s="168">
        <f t="dataTable" ref="G15:J44" dt2D="0" dtr="0" r1="I6"/>
        <v>0.27663034796714792</v>
      </c>
      <c r="H15" s="120">
        <v>5399940.7892178316</v>
      </c>
      <c r="I15" s="120">
        <v>3585322.2207610896</v>
      </c>
      <c r="J15" s="120">
        <v>12761011.4120725</v>
      </c>
      <c r="K15" s="128"/>
      <c r="L15" s="120"/>
      <c r="M15" s="120"/>
      <c r="N15" s="120"/>
      <c r="O15" s="120"/>
    </row>
    <row r="16" spans="1:25" ht="13.8" customHeight="1">
      <c r="E16" s="163" t="str">
        <v>Scenario 1</v>
      </c>
      <c r="F16" s="164">
        <v>2</v>
      </c>
      <c r="G16" s="165">
        <v>0.26156511902809143</v>
      </c>
      <c r="H16" s="128">
        <v>4916167.5476779994</v>
      </c>
      <c r="I16" s="128">
        <v>3421517.657470888</v>
      </c>
      <c r="J16" s="128">
        <v>12717533.512691684</v>
      </c>
      <c r="K16" s="128"/>
      <c r="L16" s="186">
        <f xml:space="preserve"> ( G16 - $G$15 ) / $G$15</f>
        <v>-5.4459783786432583E-2</v>
      </c>
      <c r="M16" s="186">
        <f xml:space="preserve"> ( H16 - $H$15 ) / $H$15</f>
        <v>-8.958861965779176E-2</v>
      </c>
      <c r="N16" s="186">
        <f xml:space="preserve"> ( I16 - $I$15 ) / $I$15</f>
        <v>-4.5687543044716714E-2</v>
      </c>
      <c r="O16" s="186">
        <f xml:space="preserve"> ( J16 - $J$15 ) / $J$15</f>
        <v>-3.4070888252387319E-3</v>
      </c>
      <c r="Q16" s="188">
        <v>1</v>
      </c>
      <c r="R16" t="str" cm="1">
        <f t="array" ref="R16">_xlfn.XLOOKUP($S16,$L$15:$L$44,_xlfn.ANCHORARRAY($E$15))</f>
        <v>Sensitivity 24</v>
      </c>
      <c r="S16" s="189">
        <f t="shared" ref="S16:S25" si="0" xml:space="preserve"> LARGE($L$15:$L$44, $Q16 )</f>
        <v>0.2856780257366851</v>
      </c>
      <c r="T16" s="189">
        <f t="shared" ref="T16:T25" si="1">_xlfn.XLOOKUP($S16,$L$15:$L$44,$G$15:$G$44)</f>
        <v>0.35565755963325496</v>
      </c>
      <c r="V16">
        <v>5</v>
      </c>
      <c r="W16" t="str" cm="1">
        <f t="array" ref="W16">_xlfn.XLOOKUP($X16,$L$15:$L$44,_xlfn.ANCHORARRAY($E$15))</f>
        <v>Scenario 4</v>
      </c>
      <c r="X16" s="186">
        <f>SMALL( $L$15:$L$44, $V16 )</f>
        <v>-6.7147242291574538E-2</v>
      </c>
      <c r="Y16" s="189">
        <f>_xlfn.XLOOKUP($X16,$L$15:$L$44,$G$15:$G$44)</f>
        <v>0.25805538296699526</v>
      </c>
    </row>
    <row r="17" spans="5:25" ht="13.8" customHeight="1">
      <c r="E17" s="163" t="str">
        <v>Scenario 2</v>
      </c>
      <c r="F17" s="164">
        <v>3</v>
      </c>
      <c r="G17" s="165">
        <v>0.27630394101142886</v>
      </c>
      <c r="H17" s="128">
        <v>5390160.8357600309</v>
      </c>
      <c r="I17" s="128">
        <v>3581202.0625354825</v>
      </c>
      <c r="J17" s="128">
        <v>12695910.727565074</v>
      </c>
      <c r="K17" s="128"/>
      <c r="L17" s="186">
        <f t="shared" ref="L17:L44" si="2" xml:space="preserve"> ( G17 - $G$15 ) / $G$15</f>
        <v>-1.1799390707408002E-3</v>
      </c>
      <c r="M17" s="186">
        <f t="shared" ref="M17:M44" si="3" xml:space="preserve"> ( H17 - $H$15 ) / $H$15</f>
        <v>-1.8111223510688299E-3</v>
      </c>
      <c r="N17" s="186">
        <f t="shared" ref="N17:N44" si="4" xml:space="preserve"> ( I17 - $I$15 ) / $I$15</f>
        <v>-1.1491737623327207E-3</v>
      </c>
      <c r="O17" s="186">
        <f t="shared" ref="O17:O44" si="5" xml:space="preserve"> ( J17 - $J$15 ) / $J$15</f>
        <v>-5.1015301534671183E-3</v>
      </c>
      <c r="Q17">
        <v>2</v>
      </c>
      <c r="R17" t="str" cm="1">
        <f t="array" ref="R17">_xlfn.XLOOKUP($S17,$L$15:$L$44,_xlfn.ANCHORARRAY($E$15))</f>
        <v>Sensitivity 19</v>
      </c>
      <c r="S17" s="189">
        <f t="shared" si="0"/>
        <v>0.25404190324288445</v>
      </c>
      <c r="T17" s="189">
        <f t="shared" si="1"/>
        <v>0.34690604805946357</v>
      </c>
      <c r="V17">
        <v>4</v>
      </c>
      <c r="W17" t="str" cm="1">
        <f t="array" ref="W17">_xlfn.XLOOKUP($X17,$L$15:$L$44,_xlfn.ANCHORARRAY($E$15))</f>
        <v>Sensitivity 1</v>
      </c>
      <c r="X17" s="186">
        <f>SMALL( $L$15:$L$44, $V17 )</f>
        <v>-8.0924747135213748E-2</v>
      </c>
      <c r="Y17" s="189">
        <f>_xlfn.XLOOKUP($X17,$L$15:$L$44,$G$15:$G$44)</f>
        <v>0.25424410700798028</v>
      </c>
    </row>
    <row r="18" spans="5:25" ht="13.8" customHeight="1">
      <c r="E18" s="163" t="str">
        <v>Scenario 3</v>
      </c>
      <c r="F18" s="164">
        <v>4</v>
      </c>
      <c r="G18" s="165">
        <v>0.27319232821464545</v>
      </c>
      <c r="H18" s="128">
        <v>5428419.821965606</v>
      </c>
      <c r="I18" s="128">
        <v>3529612.3444440737</v>
      </c>
      <c r="J18" s="128">
        <v>13316612.993543644</v>
      </c>
      <c r="K18" s="128"/>
      <c r="L18" s="186">
        <f t="shared" si="2"/>
        <v>-1.2428208899591725E-2</v>
      </c>
      <c r="M18" s="186">
        <f t="shared" si="3"/>
        <v>5.2739527819710601E-3</v>
      </c>
      <c r="N18" s="186">
        <f t="shared" si="4"/>
        <v>-1.553831786566447E-2</v>
      </c>
      <c r="O18" s="186">
        <f t="shared" si="5"/>
        <v>4.3538992602539232E-2</v>
      </c>
      <c r="Q18">
        <v>3</v>
      </c>
      <c r="R18" t="str" cm="1">
        <f t="array" ref="R18">_xlfn.XLOOKUP($S18,$L$15:$L$44,_xlfn.ANCHORARRAY($E$15))</f>
        <v>Sensitivity 3</v>
      </c>
      <c r="S18" s="189">
        <f t="shared" si="0"/>
        <v>0.19106540792996554</v>
      </c>
      <c r="T18" s="189">
        <f t="shared" si="1"/>
        <v>0.32948483824729935</v>
      </c>
      <c r="V18">
        <v>3</v>
      </c>
      <c r="W18" t="str" cm="1">
        <f t="array" ref="W18">_xlfn.XLOOKUP($X18,$L$15:$L$44,_xlfn.ANCHORARRAY($E$15))</f>
        <v>Sensitivity 20</v>
      </c>
      <c r="X18" s="186">
        <f>SMALL( $L$15:$L$44, $V18 )</f>
        <v>-0.14546053229640976</v>
      </c>
      <c r="Y18" s="189">
        <f>_xlfn.XLOOKUP($X18,$L$15:$L$44,$G$15:$G$44)</f>
        <v>0.23639155030250553</v>
      </c>
    </row>
    <row r="19" spans="5:25" ht="13.8" customHeight="1">
      <c r="E19" s="163" t="str">
        <v>Scenario 4</v>
      </c>
      <c r="F19" s="164">
        <v>5</v>
      </c>
      <c r="G19" s="165">
        <v>0.25805538296699526</v>
      </c>
      <c r="H19" s="128">
        <v>5431155.7207436608</v>
      </c>
      <c r="I19" s="128">
        <v>3597586.0194272371</v>
      </c>
      <c r="J19" s="128">
        <v>12779175.682965545</v>
      </c>
      <c r="K19" s="128"/>
      <c r="L19" s="186">
        <f t="shared" si="2"/>
        <v>-6.7147242291574538E-2</v>
      </c>
      <c r="M19" s="186">
        <f t="shared" si="3"/>
        <v>5.7806062592680122E-3</v>
      </c>
      <c r="N19" s="186">
        <f t="shared" si="4"/>
        <v>3.4205569014503149E-3</v>
      </c>
      <c r="O19" s="186">
        <f t="shared" si="5"/>
        <v>1.4234193753530021E-3</v>
      </c>
      <c r="Q19">
        <v>4</v>
      </c>
      <c r="R19" t="str" cm="1">
        <f t="array" ref="R19">_xlfn.XLOOKUP($S19,$L$15:$L$44,_xlfn.ANCHORARRAY($E$15))</f>
        <v>Sensitivity 7</v>
      </c>
      <c r="S19" s="189">
        <f t="shared" si="0"/>
        <v>0.14397411330634155</v>
      </c>
      <c r="T19" s="189">
        <f t="shared" si="1"/>
        <v>0.31645795702934276</v>
      </c>
      <c r="V19">
        <v>2</v>
      </c>
      <c r="W19" t="str" cm="1">
        <f t="array" ref="W19">_xlfn.XLOOKUP($X19,$L$15:$L$44,_xlfn.ANCHORARRAY($E$15))</f>
        <v>Sensitivity 8</v>
      </c>
      <c r="X19" s="186">
        <f>SMALL( $L$15:$L$44, $V19 )</f>
        <v>-0.15585960453101627</v>
      </c>
      <c r="Y19" s="189">
        <f>_xlfn.XLOOKUP($X19,$L$15:$L$44,$G$15:$G$44)</f>
        <v>0.23351485133171082</v>
      </c>
    </row>
    <row r="20" spans="5:25" ht="13.8" customHeight="1">
      <c r="E20" s="163" t="str">
        <v>Scenario 5</v>
      </c>
      <c r="F20" s="164">
        <v>6</v>
      </c>
      <c r="G20" s="165">
        <v>0.31021639704704296</v>
      </c>
      <c r="H20" s="128">
        <v>6342386.8606248433</v>
      </c>
      <c r="I20" s="128">
        <v>4082520.8324467624</v>
      </c>
      <c r="J20" s="128">
        <v>13276682.863294905</v>
      </c>
      <c r="K20" s="128"/>
      <c r="L20" s="186">
        <f t="shared" si="2"/>
        <v>0.12141129607328426</v>
      </c>
      <c r="M20" s="186">
        <f t="shared" si="3"/>
        <v>0.17452896396360723</v>
      </c>
      <c r="N20" s="186">
        <f t="shared" si="4"/>
        <v>0.13867613036468668</v>
      </c>
      <c r="O20" s="186">
        <f t="shared" si="5"/>
        <v>4.0409920073776917E-2</v>
      </c>
      <c r="Q20">
        <v>5</v>
      </c>
      <c r="R20" t="str" cm="1">
        <f t="array" ref="R20">_xlfn.XLOOKUP($S20,$L$15:$L$44,_xlfn.ANCHORARRAY($E$15))</f>
        <v>Scenario 5</v>
      </c>
      <c r="S20" s="189">
        <f t="shared" si="0"/>
        <v>0.12141129607328426</v>
      </c>
      <c r="T20" s="189">
        <f t="shared" si="1"/>
        <v>0.31021639704704296</v>
      </c>
      <c r="V20">
        <v>1</v>
      </c>
      <c r="W20" t="str" cm="1">
        <f t="array" ref="W20">_xlfn.XLOOKUP($X20,$L$15:$L$44,_xlfn.ANCHORARRAY($E$15))</f>
        <v>Sensitivity 4</v>
      </c>
      <c r="X20" s="186">
        <f>SMALL( $L$15:$L$44, $V20 )</f>
        <v>-0.21144653803200578</v>
      </c>
      <c r="Y20" s="189">
        <f>_xlfn.XLOOKUP($X20,$L$15:$L$44,$G$15:$G$44)</f>
        <v>0.21813781857490538</v>
      </c>
    </row>
    <row r="21" spans="5:25" ht="13.8" customHeight="1">
      <c r="E21" s="163" t="str">
        <v>Sensitivity 1</v>
      </c>
      <c r="F21" s="164">
        <v>7</v>
      </c>
      <c r="G21" s="165">
        <v>0.25424410700798028</v>
      </c>
      <c r="H21" s="128">
        <v>5399940.7892178316</v>
      </c>
      <c r="I21" s="128">
        <v>3585322.2207610896</v>
      </c>
      <c r="J21" s="128">
        <v>12761011.4120725</v>
      </c>
      <c r="K21" s="128"/>
      <c r="L21" s="186">
        <f t="shared" si="2"/>
        <v>-8.0924747135213748E-2</v>
      </c>
      <c r="M21" s="186">
        <f t="shared" si="3"/>
        <v>0</v>
      </c>
      <c r="N21" s="186">
        <f t="shared" si="4"/>
        <v>0</v>
      </c>
      <c r="O21" s="186">
        <f t="shared" si="5"/>
        <v>0</v>
      </c>
      <c r="S21" s="189"/>
      <c r="T21" s="189"/>
    </row>
    <row r="22" spans="5:25" ht="13.8" customHeight="1">
      <c r="E22" s="163" t="str">
        <v>Sensitivity 2</v>
      </c>
      <c r="F22" s="164">
        <v>8</v>
      </c>
      <c r="G22" s="165">
        <v>0.30231774449348459</v>
      </c>
      <c r="H22" s="128">
        <v>5399940.7892178316</v>
      </c>
      <c r="I22" s="128">
        <v>3585322.2207610896</v>
      </c>
      <c r="J22" s="128">
        <v>12761011.4120725</v>
      </c>
      <c r="K22" s="128"/>
      <c r="L22" s="186">
        <f t="shared" si="2"/>
        <v>9.2858201260648573E-2</v>
      </c>
      <c r="M22" s="186">
        <f t="shared" si="3"/>
        <v>0</v>
      </c>
      <c r="N22" s="186">
        <f t="shared" si="4"/>
        <v>0</v>
      </c>
      <c r="O22" s="186">
        <f t="shared" si="5"/>
        <v>0</v>
      </c>
      <c r="S22" s="189"/>
      <c r="T22" s="189"/>
    </row>
    <row r="23" spans="5:25" ht="13.8" customHeight="1">
      <c r="E23" s="163" t="str">
        <v>Sensitivity 3</v>
      </c>
      <c r="F23" s="164">
        <v>9</v>
      </c>
      <c r="G23" s="165">
        <v>0.32948483824729935</v>
      </c>
      <c r="H23" s="128">
        <v>6421703.3972604359</v>
      </c>
      <c r="I23" s="128">
        <v>4360119.9390223492</v>
      </c>
      <c r="J23" s="128">
        <v>13535809.130333759</v>
      </c>
      <c r="K23" s="128"/>
      <c r="L23" s="186">
        <f t="shared" si="2"/>
        <v>0.19106540792996554</v>
      </c>
      <c r="M23" s="186">
        <f t="shared" si="3"/>
        <v>0.18921737254652457</v>
      </c>
      <c r="N23" s="186">
        <f t="shared" si="4"/>
        <v>0.21610267377775214</v>
      </c>
      <c r="O23" s="186">
        <f t="shared" si="5"/>
        <v>6.0716011704860996E-2</v>
      </c>
      <c r="S23" s="189"/>
      <c r="T23" s="189"/>
    </row>
    <row r="24" spans="5:25" ht="13.8" customHeight="1">
      <c r="E24" s="163" t="str">
        <v>Sensitivity 4</v>
      </c>
      <c r="F24" s="164">
        <v>10</v>
      </c>
      <c r="G24" s="165">
        <v>0.21813781857490538</v>
      </c>
      <c r="H24" s="128">
        <v>4378178.1811752329</v>
      </c>
      <c r="I24" s="128">
        <v>2810524.5024998318</v>
      </c>
      <c r="J24" s="128">
        <v>11986213.693811242</v>
      </c>
      <c r="K24" s="128"/>
      <c r="L24" s="186">
        <f t="shared" si="2"/>
        <v>-0.21144653803200578</v>
      </c>
      <c r="M24" s="186">
        <f t="shared" si="3"/>
        <v>-0.18921737254652352</v>
      </c>
      <c r="N24" s="186">
        <f t="shared" si="4"/>
        <v>-0.21610267377775164</v>
      </c>
      <c r="O24" s="186">
        <f t="shared" si="5"/>
        <v>-6.0716011704860996E-2</v>
      </c>
      <c r="S24" s="189"/>
      <c r="T24" s="189"/>
    </row>
    <row r="25" spans="5:25" ht="13.8" customHeight="1">
      <c r="E25" s="163" t="str">
        <v>Sensitivity 5</v>
      </c>
      <c r="F25" s="164">
        <v>11</v>
      </c>
      <c r="G25" s="165">
        <v>0.29081978201866154</v>
      </c>
      <c r="H25" s="128">
        <v>5833265.4644775493</v>
      </c>
      <c r="I25" s="128">
        <v>3774280.8694069139</v>
      </c>
      <c r="J25" s="128">
        <v>12949970.060718324</v>
      </c>
      <c r="K25" s="128"/>
      <c r="L25" s="186">
        <f t="shared" si="2"/>
        <v>5.1293844496044724E-2</v>
      </c>
      <c r="M25" s="186">
        <f t="shared" si="3"/>
        <v>8.0246190129518766E-2</v>
      </c>
      <c r="N25" s="186">
        <f t="shared" si="4"/>
        <v>5.2703393728921882E-2</v>
      </c>
      <c r="O25" s="186">
        <f t="shared" si="5"/>
        <v>1.4807497818477013E-2</v>
      </c>
      <c r="S25" s="189"/>
      <c r="T25" s="189"/>
    </row>
    <row r="26" spans="5:25" ht="13.8" customHeight="1">
      <c r="E26" s="163" t="str">
        <v>Sensitivity 6</v>
      </c>
      <c r="F26" s="164">
        <v>12</v>
      </c>
      <c r="G26" s="165">
        <v>0.26316245198249821</v>
      </c>
      <c r="H26" s="128">
        <v>5013504.7061351063</v>
      </c>
      <c r="I26" s="128">
        <v>3417955.2559872973</v>
      </c>
      <c r="J26" s="128">
        <v>12593644.447298709</v>
      </c>
      <c r="K26" s="128"/>
      <c r="L26" s="186">
        <f t="shared" si="2"/>
        <v>-4.8685533180362131E-2</v>
      </c>
      <c r="M26" s="186">
        <f t="shared" si="3"/>
        <v>-7.1563022293564746E-2</v>
      </c>
      <c r="N26" s="186">
        <f t="shared" si="4"/>
        <v>-4.66811501082499E-2</v>
      </c>
      <c r="O26" s="186">
        <f t="shared" si="5"/>
        <v>-1.3115493699461323E-2</v>
      </c>
    </row>
    <row r="27" spans="5:25" ht="13.8" customHeight="1">
      <c r="E27" s="163" t="str">
        <v>Sensitivity 7</v>
      </c>
      <c r="F27" s="164">
        <v>13</v>
      </c>
      <c r="G27" s="165">
        <v>0.31645795702934276</v>
      </c>
      <c r="H27" s="128">
        <v>6178492.0952699929</v>
      </c>
      <c r="I27" s="128">
        <v>4162733.2316236775</v>
      </c>
      <c r="J27" s="128">
        <v>13730087.284190092</v>
      </c>
      <c r="K27" s="128"/>
      <c r="L27" s="186">
        <f t="shared" si="2"/>
        <v>0.14397411330634155</v>
      </c>
      <c r="M27" s="186">
        <f t="shared" si="3"/>
        <v>0.14417774869063568</v>
      </c>
      <c r="N27" s="186">
        <f t="shared" si="4"/>
        <v>0.16104856838781301</v>
      </c>
      <c r="O27" s="186">
        <f t="shared" si="5"/>
        <v>7.5940365604626137E-2</v>
      </c>
    </row>
    <row r="28" spans="5:25" ht="13.8" customHeight="1">
      <c r="E28" s="163" t="str">
        <v>Sensitivity 8</v>
      </c>
      <c r="F28" s="164">
        <v>14</v>
      </c>
      <c r="G28" s="165">
        <v>0.23351485133171082</v>
      </c>
      <c r="H28" s="128">
        <v>4621389.4831656702</v>
      </c>
      <c r="I28" s="128">
        <v>3007911.2098984998</v>
      </c>
      <c r="J28" s="128">
        <v>11791935.539954906</v>
      </c>
      <c r="K28" s="128"/>
      <c r="L28" s="186">
        <f t="shared" si="2"/>
        <v>-0.15585960453101627</v>
      </c>
      <c r="M28" s="186">
        <f t="shared" si="3"/>
        <v>-0.14417774869063568</v>
      </c>
      <c r="N28" s="186">
        <f t="shared" si="4"/>
        <v>-0.16104856838781353</v>
      </c>
      <c r="O28" s="186">
        <f t="shared" si="5"/>
        <v>-7.5940365604626275E-2</v>
      </c>
    </row>
    <row r="29" spans="5:25" ht="13.8" customHeight="1">
      <c r="E29" s="163" t="str">
        <v>Sensitivity 9</v>
      </c>
      <c r="F29" s="164">
        <v>15</v>
      </c>
      <c r="G29" s="165">
        <v>0.28367100358009345</v>
      </c>
      <c r="H29" s="128">
        <v>5615189.5458376845</v>
      </c>
      <c r="I29" s="128">
        <v>3675846.7720087813</v>
      </c>
      <c r="J29" s="128">
        <v>12851535.96332019</v>
      </c>
      <c r="K29" s="128"/>
      <c r="L29" s="186">
        <f t="shared" si="2"/>
        <v>2.5451493896763884E-2</v>
      </c>
      <c r="M29" s="186">
        <f t="shared" si="3"/>
        <v>3.9861317933271495E-2</v>
      </c>
      <c r="N29" s="186">
        <f t="shared" si="4"/>
        <v>2.5248651494558069E-2</v>
      </c>
      <c r="O29" s="186">
        <f t="shared" si="5"/>
        <v>7.0938382800950642E-3</v>
      </c>
    </row>
    <row r="30" spans="5:25" ht="13.8" customHeight="1">
      <c r="E30" s="163" t="str">
        <v>Sensitivity 10</v>
      </c>
      <c r="F30" s="164">
        <v>16</v>
      </c>
      <c r="G30" s="165">
        <v>0.26954570412635814</v>
      </c>
      <c r="H30" s="128">
        <v>5191748.6606395645</v>
      </c>
      <c r="I30" s="128">
        <v>3496918.7929811785</v>
      </c>
      <c r="J30" s="128">
        <v>12672607.984292587</v>
      </c>
      <c r="K30" s="128"/>
      <c r="L30" s="186">
        <f t="shared" si="2"/>
        <v>-2.5610508365593827E-2</v>
      </c>
      <c r="M30" s="186">
        <f t="shared" si="3"/>
        <v>-3.8554520633627763E-2</v>
      </c>
      <c r="N30" s="186">
        <f t="shared" si="4"/>
        <v>-2.4657038429629588E-2</v>
      </c>
      <c r="O30" s="186">
        <f t="shared" si="5"/>
        <v>-6.9276192086372762E-3</v>
      </c>
    </row>
    <row r="31" spans="5:25" ht="13.8" customHeight="1">
      <c r="E31" s="163" t="str">
        <v>Sensitivity 11</v>
      </c>
      <c r="F31" s="164">
        <v>17</v>
      </c>
      <c r="G31" s="165">
        <v>0.28886271119117735</v>
      </c>
      <c r="H31" s="128">
        <v>5783915.3225409249</v>
      </c>
      <c r="I31" s="128">
        <v>3743955.0295722028</v>
      </c>
      <c r="J31" s="128">
        <v>13025463.965911252</v>
      </c>
      <c r="K31" s="128"/>
      <c r="L31" s="186">
        <f t="shared" si="2"/>
        <v>4.4219165807079568E-2</v>
      </c>
      <c r="M31" s="186">
        <f t="shared" si="3"/>
        <v>7.1107174747134794E-2</v>
      </c>
      <c r="N31" s="186">
        <f t="shared" si="4"/>
        <v>4.4245063356519954E-2</v>
      </c>
      <c r="O31" s="186">
        <f t="shared" si="5"/>
        <v>2.0723479142771395E-2</v>
      </c>
    </row>
    <row r="32" spans="5:25" ht="13.8" customHeight="1">
      <c r="E32" s="163" t="str">
        <v>Sensitivity 12</v>
      </c>
      <c r="F32" s="164">
        <v>18</v>
      </c>
      <c r="G32" s="165">
        <v>0.27882520556449886</v>
      </c>
      <c r="H32" s="128">
        <v>5467208.6745125074</v>
      </c>
      <c r="I32" s="128">
        <v>3612751.3068032847</v>
      </c>
      <c r="J32" s="128">
        <v>12801810.854371877</v>
      </c>
      <c r="K32" s="128"/>
      <c r="L32" s="186">
        <f t="shared" si="2"/>
        <v>7.9342617810378418E-3</v>
      </c>
      <c r="M32" s="186">
        <f t="shared" si="3"/>
        <v>1.2457152387483756E-2</v>
      </c>
      <c r="N32" s="186">
        <f t="shared" si="4"/>
        <v>7.6503824072951705E-3</v>
      </c>
      <c r="O32" s="186">
        <f t="shared" si="5"/>
        <v>3.1971950327369064E-3</v>
      </c>
    </row>
    <row r="33" spans="5:15" ht="13.8" customHeight="1">
      <c r="E33" s="163" t="str">
        <v>Sensitivity 13</v>
      </c>
      <c r="F33" s="164">
        <v>19</v>
      </c>
      <c r="G33" s="165">
        <v>0.27033558487892162</v>
      </c>
      <c r="H33" s="128">
        <v>5222921.5432466334</v>
      </c>
      <c r="I33" s="128">
        <v>3503888.4095486049</v>
      </c>
      <c r="J33" s="128">
        <v>12761011.4120725</v>
      </c>
      <c r="K33" s="128"/>
      <c r="L33" s="186">
        <f t="shared" si="2"/>
        <v>-2.2755142862972685E-2</v>
      </c>
      <c r="M33" s="186">
        <f t="shared" si="3"/>
        <v>-3.2781701296550517E-2</v>
      </c>
      <c r="N33" s="186">
        <f t="shared" si="4"/>
        <v>-2.2713108110879367E-2</v>
      </c>
      <c r="O33" s="186">
        <f t="shared" si="5"/>
        <v>0</v>
      </c>
    </row>
    <row r="34" spans="5:15" ht="13.8" customHeight="1">
      <c r="E34" s="163" t="str">
        <v>Sensitivity 14</v>
      </c>
      <c r="F34" s="164">
        <v>20</v>
      </c>
      <c r="G34" s="165">
        <v>0.2825825273990632</v>
      </c>
      <c r="H34" s="128">
        <v>5571074.0172870215</v>
      </c>
      <c r="I34" s="128">
        <v>3664890.2990489425</v>
      </c>
      <c r="J34" s="128">
        <v>12761011.4120725</v>
      </c>
      <c r="K34" s="128"/>
      <c r="L34" s="186">
        <f t="shared" si="2"/>
        <v>2.1516726113586612E-2</v>
      </c>
      <c r="M34" s="186">
        <f t="shared" si="3"/>
        <v>3.1691686029390362E-2</v>
      </c>
      <c r="N34" s="186">
        <f t="shared" si="4"/>
        <v>2.2192727288807609E-2</v>
      </c>
      <c r="O34" s="186">
        <f t="shared" si="5"/>
        <v>0</v>
      </c>
    </row>
    <row r="35" spans="5:15" ht="13.8" customHeight="1">
      <c r="E35" s="163" t="str">
        <v>Sensitivity 15</v>
      </c>
      <c r="F35" s="164">
        <v>21</v>
      </c>
      <c r="G35" s="165">
        <v>0.26758419871330263</v>
      </c>
      <c r="H35" s="128">
        <v>5139285.1193551477</v>
      </c>
      <c r="I35" s="128">
        <v>3471251.9389630891</v>
      </c>
      <c r="J35" s="128">
        <v>12761011.4120725</v>
      </c>
      <c r="K35" s="128"/>
      <c r="L35" s="186">
        <f t="shared" si="2"/>
        <v>-3.2701217781498017E-2</v>
      </c>
      <c r="M35" s="186">
        <f t="shared" si="3"/>
        <v>-4.8270097772764503E-2</v>
      </c>
      <c r="N35" s="186">
        <f t="shared" si="4"/>
        <v>-3.1815907964273762E-2</v>
      </c>
      <c r="O35" s="186">
        <f t="shared" si="5"/>
        <v>0</v>
      </c>
    </row>
    <row r="36" spans="5:15" ht="13.8" customHeight="1">
      <c r="E36" s="163" t="str">
        <v>Sensitivity 16</v>
      </c>
      <c r="F36" s="164">
        <v>22</v>
      </c>
      <c r="G36" s="165">
        <v>0.28506290316581739</v>
      </c>
      <c r="H36" s="128">
        <v>5651929.4696203917</v>
      </c>
      <c r="I36" s="128">
        <v>3696714.605616088</v>
      </c>
      <c r="J36" s="128">
        <v>12761011.4120725</v>
      </c>
      <c r="K36" s="128"/>
      <c r="L36" s="186">
        <f t="shared" si="2"/>
        <v>3.0483116768052189E-2</v>
      </c>
      <c r="M36" s="186">
        <f t="shared" si="3"/>
        <v>4.6665082125661624E-2</v>
      </c>
      <c r="N36" s="186">
        <f t="shared" si="4"/>
        <v>3.1069002448363525E-2</v>
      </c>
      <c r="O36" s="186">
        <f t="shared" si="5"/>
        <v>0</v>
      </c>
    </row>
    <row r="37" spans="5:15" ht="13.8" customHeight="1">
      <c r="E37" s="163" t="str">
        <v>Sensitivity 17</v>
      </c>
      <c r="F37" s="164">
        <v>23</v>
      </c>
      <c r="G37" s="165">
        <v>0.27740791440010071</v>
      </c>
      <c r="H37" s="128">
        <v>5399940.7892178316</v>
      </c>
      <c r="I37" s="128">
        <v>3585322.2207610896</v>
      </c>
      <c r="J37" s="128">
        <v>12761011.4120725</v>
      </c>
      <c r="K37" s="128"/>
      <c r="L37" s="186">
        <f t="shared" si="2"/>
        <v>2.8108500700188338E-3</v>
      </c>
      <c r="M37" s="186">
        <f t="shared" si="3"/>
        <v>0</v>
      </c>
      <c r="N37" s="186">
        <f t="shared" si="4"/>
        <v>0</v>
      </c>
      <c r="O37" s="186">
        <f t="shared" si="5"/>
        <v>0</v>
      </c>
    </row>
    <row r="38" spans="5:15" ht="13.8" customHeight="1">
      <c r="E38" s="163" t="str">
        <v>Sensitivity 18</v>
      </c>
      <c r="F38" s="164">
        <v>24</v>
      </c>
      <c r="G38" s="165">
        <v>0.27643504738807678</v>
      </c>
      <c r="H38" s="128">
        <v>5399940.7892178316</v>
      </c>
      <c r="I38" s="128">
        <v>3585322.2207610896</v>
      </c>
      <c r="J38" s="128">
        <v>12761011.4120725</v>
      </c>
      <c r="K38" s="128"/>
      <c r="L38" s="186">
        <f t="shared" si="2"/>
        <v>-7.0599838559407533E-4</v>
      </c>
      <c r="M38" s="186">
        <f t="shared" si="3"/>
        <v>0</v>
      </c>
      <c r="N38" s="186">
        <f t="shared" si="4"/>
        <v>0</v>
      </c>
      <c r="O38" s="186">
        <f t="shared" si="5"/>
        <v>0</v>
      </c>
    </row>
    <row r="39" spans="5:15" ht="13.8" customHeight="1">
      <c r="E39" s="163" t="str">
        <v>Sensitivity 19</v>
      </c>
      <c r="F39" s="164">
        <v>25</v>
      </c>
      <c r="G39" s="165">
        <v>0.34690604805946357</v>
      </c>
      <c r="H39" s="128">
        <v>5399940.7892178316</v>
      </c>
      <c r="I39" s="128">
        <v>3585322.2207610896</v>
      </c>
      <c r="J39" s="128">
        <v>12761011.4120725</v>
      </c>
      <c r="K39" s="128"/>
      <c r="L39" s="186">
        <f t="shared" si="2"/>
        <v>0.25404190324288445</v>
      </c>
      <c r="M39" s="186">
        <f t="shared" si="3"/>
        <v>0</v>
      </c>
      <c r="N39" s="186">
        <f t="shared" si="4"/>
        <v>0</v>
      </c>
      <c r="O39" s="186">
        <f t="shared" si="5"/>
        <v>0</v>
      </c>
    </row>
    <row r="40" spans="5:15" ht="13.8" customHeight="1">
      <c r="E40" s="163" t="str">
        <v>Sensitivity 20</v>
      </c>
      <c r="F40" s="164">
        <v>26</v>
      </c>
      <c r="G40" s="165">
        <v>0.23639155030250553</v>
      </c>
      <c r="H40" s="128">
        <v>5399940.7892178316</v>
      </c>
      <c r="I40" s="128">
        <v>3585322.2207610896</v>
      </c>
      <c r="J40" s="128">
        <v>12761011.4120725</v>
      </c>
      <c r="K40" s="128"/>
      <c r="L40" s="186">
        <f t="shared" si="2"/>
        <v>-0.14546053229640976</v>
      </c>
      <c r="M40" s="186">
        <f t="shared" si="3"/>
        <v>0</v>
      </c>
      <c r="N40" s="186">
        <f t="shared" si="4"/>
        <v>0</v>
      </c>
      <c r="O40" s="186">
        <f t="shared" si="5"/>
        <v>0</v>
      </c>
    </row>
    <row r="41" spans="5:15" ht="13.8" customHeight="1">
      <c r="E41" s="163" t="str">
        <v>Sensitivity 21</v>
      </c>
      <c r="F41" s="164">
        <v>27</v>
      </c>
      <c r="G41" s="165">
        <v>0.27827628254890435</v>
      </c>
      <c r="H41" s="128">
        <v>5391607.4558844985</v>
      </c>
      <c r="I41" s="128">
        <v>3585322.2207610896</v>
      </c>
      <c r="J41" s="128">
        <v>12761011.4120725</v>
      </c>
      <c r="K41" s="128"/>
      <c r="L41" s="186">
        <f t="shared" si="2"/>
        <v>5.9499422021184181E-3</v>
      </c>
      <c r="M41" s="186">
        <f t="shared" si="3"/>
        <v>-1.5432267979627395E-3</v>
      </c>
      <c r="N41" s="186">
        <f t="shared" si="4"/>
        <v>0</v>
      </c>
      <c r="O41" s="186">
        <f t="shared" si="5"/>
        <v>0</v>
      </c>
    </row>
    <row r="42" spans="5:15" ht="13.8" customHeight="1">
      <c r="E42" s="163" t="str">
        <v>Sensitivity 22</v>
      </c>
      <c r="F42" s="164">
        <v>28</v>
      </c>
      <c r="G42" s="165">
        <v>0.27500186562538154</v>
      </c>
      <c r="H42" s="128">
        <v>5408274.1225511655</v>
      </c>
      <c r="I42" s="128">
        <v>3585322.2207610896</v>
      </c>
      <c r="J42" s="128">
        <v>12761011.4120725</v>
      </c>
      <c r="K42" s="128"/>
      <c r="L42" s="186">
        <f t="shared" si="2"/>
        <v>-5.8868535348109204E-3</v>
      </c>
      <c r="M42" s="186">
        <f t="shared" si="3"/>
        <v>1.5432267979629121E-3</v>
      </c>
      <c r="N42" s="186">
        <f t="shared" si="4"/>
        <v>0</v>
      </c>
      <c r="O42" s="186">
        <f t="shared" si="5"/>
        <v>0</v>
      </c>
    </row>
    <row r="43" spans="5:15" ht="13.8" customHeight="1">
      <c r="E43" s="163" t="str">
        <v>Sensitivity 23</v>
      </c>
      <c r="F43" s="164">
        <v>29</v>
      </c>
      <c r="G43" s="165">
        <v>0.30423315167427056</v>
      </c>
      <c r="H43" s="128">
        <v>4361127.4126587026</v>
      </c>
      <c r="I43" s="128">
        <v>2414111.6882118299</v>
      </c>
      <c r="J43" s="128">
        <v>9163513.8220505379</v>
      </c>
      <c r="K43" s="128"/>
      <c r="L43" s="186">
        <f t="shared" si="2"/>
        <v>9.9782268684420347E-2</v>
      </c>
      <c r="M43" s="186">
        <f t="shared" si="3"/>
        <v>-0.19237495689459191</v>
      </c>
      <c r="N43" s="186">
        <f t="shared" si="4"/>
        <v>-0.32666813759925767</v>
      </c>
      <c r="O43" s="186">
        <f t="shared" si="5"/>
        <v>-0.28191320216347154</v>
      </c>
    </row>
    <row r="44" spans="5:15" ht="13.8" customHeight="1">
      <c r="E44" s="169" t="str">
        <v>Sensitivity 24</v>
      </c>
      <c r="F44" s="170">
        <v>30</v>
      </c>
      <c r="G44" s="171">
        <v>0.35565755963325496</v>
      </c>
      <c r="H44" s="173">
        <v>1841827.086411003</v>
      </c>
      <c r="I44" s="173">
        <v>752497.60737900028</v>
      </c>
      <c r="J44" s="173">
        <v>3335581.4279600005</v>
      </c>
      <c r="K44" s="128"/>
      <c r="L44" s="187">
        <f t="shared" si="2"/>
        <v>0.2856780257366851</v>
      </c>
      <c r="M44" s="187">
        <f t="shared" si="3"/>
        <v>-0.65891716996441596</v>
      </c>
      <c r="N44" s="187">
        <f t="shared" si="4"/>
        <v>-0.79011716073339133</v>
      </c>
      <c r="O44" s="187">
        <f t="shared" si="5"/>
        <v>-0.73861151594893271</v>
      </c>
    </row>
    <row r="46" spans="5:15">
      <c r="E46"/>
    </row>
    <row r="47" spans="5:15">
      <c r="E47"/>
      <c r="G47" s="189"/>
    </row>
    <row r="48" spans="5:15">
      <c r="E48"/>
    </row>
    <row r="49" spans="5:9">
      <c r="E49"/>
      <c r="G49" s="189"/>
      <c r="H49" s="189"/>
      <c r="I49" s="189"/>
    </row>
    <row r="50" spans="5:9">
      <c r="E50"/>
    </row>
    <row r="51" spans="5:9">
      <c r="E51"/>
    </row>
    <row r="52" spans="5:9">
      <c r="E52"/>
    </row>
    <row r="53" spans="5:9">
      <c r="E53"/>
    </row>
    <row r="54" spans="5:9">
      <c r="E54"/>
    </row>
    <row r="55" spans="5:9">
      <c r="E55"/>
    </row>
    <row r="56" spans="5:9">
      <c r="E56"/>
    </row>
    <row r="57" spans="5:9">
      <c r="E5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938A-F76B-46B5-9E7A-6A151D79C2D2}">
  <sheetPr>
    <tabColor rgb="FFFFFF00"/>
    <outlinePr summaryBelow="0"/>
    <pageSetUpPr autoPageBreaks="0" fitToPage="1"/>
  </sheetPr>
  <dimension ref="A1:AN186"/>
  <sheetViews>
    <sheetView showGridLines="0" zoomScale="70" zoomScaleNormal="70" workbookViewId="0">
      <pane xSplit="10" ySplit="11" topLeftCell="K26" activePane="bottomRight" state="frozen"/>
      <selection pane="topRight" activeCell="K1" sqref="K1"/>
      <selection pane="bottomLeft" activeCell="A13" sqref="A13"/>
      <selection pane="bottomRight" activeCell="G185" sqref="G185"/>
    </sheetView>
  </sheetViews>
  <sheetFormatPr defaultColWidth="0" defaultRowHeight="13.8"/>
  <cols>
    <col min="1" max="1" width="1.69921875" customWidth="1"/>
    <col min="2" max="2" width="1.69921875" style="58" customWidth="1"/>
    <col min="3" max="4" width="1.69921875" customWidth="1"/>
    <col min="5" max="5" width="50.69921875" style="47" customWidth="1"/>
    <col min="6" max="7" width="12.69921875" style="58" customWidth="1"/>
    <col min="8" max="8" width="12.69921875" style="3" customWidth="1"/>
    <col min="9" max="9" width="3.69921875" style="66" customWidth="1"/>
    <col min="10" max="10" width="0.8984375" style="44" customWidth="1"/>
    <col min="11" max="15" width="12.69921875" style="77" customWidth="1"/>
    <col min="16" max="40" width="12.69921875" style="3" customWidth="1"/>
    <col min="41" max="16384" width="12.69921875" style="3" hidden="1"/>
  </cols>
  <sheetData>
    <row r="1" spans="1:40" s="69" customFormat="1">
      <c r="A1" s="73" t="str" cm="1">
        <f t="array" ref="A1" xml:space="preserve"> company</f>
        <v>Rock Climbing Inc</v>
      </c>
      <c r="B1" s="68"/>
      <c r="E1" s="70"/>
      <c r="F1" s="68"/>
      <c r="G1" s="71"/>
      <c r="I1" s="72"/>
    </row>
    <row r="2" spans="1:40" s="69" customFormat="1">
      <c r="A2" s="73" t="str" cm="1">
        <f t="array" ref="A2">topic</f>
        <v>CFM Topic: Sensitivity Analysis</v>
      </c>
      <c r="B2" s="68"/>
      <c r="E2" s="70"/>
      <c r="F2" s="68"/>
      <c r="G2" s="71"/>
      <c r="I2" s="72"/>
    </row>
    <row r="3" spans="1:40" s="69" customFormat="1">
      <c r="A3" s="73" t="s">
        <v>217</v>
      </c>
      <c r="B3" s="68"/>
      <c r="E3" s="70"/>
      <c r="F3" s="68"/>
      <c r="G3" s="71"/>
      <c r="I3" s="72"/>
    </row>
    <row r="4" spans="1:40" s="62" customFormat="1">
      <c r="A4" s="148"/>
      <c r="B4" s="149"/>
      <c r="E4" s="150"/>
      <c r="F4" s="149"/>
      <c r="G4" s="151"/>
      <c r="I4" s="152"/>
      <c r="J4" s="42"/>
    </row>
    <row r="5" spans="1:40" s="62" customFormat="1" ht="30" customHeight="1">
      <c r="A5" s="148"/>
      <c r="B5" s="149"/>
      <c r="E5" s="150"/>
      <c r="F5" s="149"/>
      <c r="G5" s="151"/>
      <c r="I5" s="152"/>
      <c r="J5" s="42"/>
      <c r="K5" s="155" t="str">
        <f xml:space="preserve"> IF( K$6 = $F$186, "q","" )</f>
        <v/>
      </c>
      <c r="L5" s="155" t="str">
        <f t="shared" ref="L5:AN5" si="0" xml:space="preserve"> IF( L$6 = $F$186, "q","" )</f>
        <v/>
      </c>
      <c r="M5" s="155" t="str">
        <f t="shared" si="0"/>
        <v/>
      </c>
      <c r="N5" s="155" t="str">
        <f t="shared" si="0"/>
        <v/>
      </c>
      <c r="O5" s="155" t="str">
        <f t="shared" si="0"/>
        <v/>
      </c>
      <c r="P5" s="155" t="str">
        <f t="shared" si="0"/>
        <v/>
      </c>
      <c r="Q5" s="155" t="str">
        <f t="shared" si="0"/>
        <v/>
      </c>
      <c r="R5" s="155" t="str">
        <f t="shared" si="0"/>
        <v/>
      </c>
      <c r="S5" s="155" t="str">
        <f t="shared" si="0"/>
        <v/>
      </c>
      <c r="T5" s="155" t="str">
        <f t="shared" si="0"/>
        <v/>
      </c>
      <c r="U5" s="155" t="str">
        <f t="shared" si="0"/>
        <v/>
      </c>
      <c r="V5" s="155" t="str">
        <f t="shared" si="0"/>
        <v/>
      </c>
      <c r="W5" s="155" t="str">
        <f t="shared" si="0"/>
        <v/>
      </c>
      <c r="X5" s="155" t="str">
        <f t="shared" si="0"/>
        <v/>
      </c>
      <c r="Y5" s="155" t="str">
        <f t="shared" si="0"/>
        <v/>
      </c>
      <c r="Z5" s="155" t="str">
        <f t="shared" si="0"/>
        <v/>
      </c>
      <c r="AA5" s="155" t="str">
        <f t="shared" si="0"/>
        <v/>
      </c>
      <c r="AB5" s="155" t="str">
        <f t="shared" si="0"/>
        <v>q</v>
      </c>
      <c r="AC5" s="155" t="str">
        <f t="shared" si="0"/>
        <v/>
      </c>
      <c r="AD5" s="155" t="str">
        <f t="shared" si="0"/>
        <v/>
      </c>
      <c r="AE5" s="155" t="str">
        <f t="shared" si="0"/>
        <v/>
      </c>
      <c r="AF5" s="155" t="str">
        <f t="shared" si="0"/>
        <v/>
      </c>
      <c r="AG5" s="155" t="str">
        <f t="shared" si="0"/>
        <v/>
      </c>
      <c r="AH5" s="155" t="str">
        <f t="shared" si="0"/>
        <v/>
      </c>
      <c r="AI5" s="155" t="str">
        <f t="shared" si="0"/>
        <v/>
      </c>
      <c r="AJ5" s="155" t="str">
        <f t="shared" si="0"/>
        <v/>
      </c>
      <c r="AK5" s="155" t="str">
        <f t="shared" si="0"/>
        <v/>
      </c>
      <c r="AL5" s="155" t="str">
        <f t="shared" si="0"/>
        <v/>
      </c>
      <c r="AM5" s="155" t="str">
        <f t="shared" si="0"/>
        <v/>
      </c>
      <c r="AN5" s="155" t="str">
        <f t="shared" si="0"/>
        <v/>
      </c>
    </row>
    <row r="6" spans="1:40" customFormat="1">
      <c r="B6" s="57"/>
      <c r="E6" s="45" t="s">
        <v>224</v>
      </c>
      <c r="F6" s="153"/>
      <c r="G6" s="55"/>
      <c r="I6" s="65"/>
      <c r="J6" s="42"/>
      <c r="K6" s="104" t="str" cm="1">
        <f t="array" ref="K6:AN6" xml:space="preserve"> TRANSPOSE( scenarios )</f>
        <v>Base</v>
      </c>
      <c r="L6" s="75" t="str">
        <v>Scenario 1</v>
      </c>
      <c r="M6" s="75" t="str">
        <v>Scenario 2</v>
      </c>
      <c r="N6" s="75" t="str">
        <v>Scenario 3</v>
      </c>
      <c r="O6" s="103" t="str">
        <v>Scenario 4</v>
      </c>
      <c r="P6" s="104" t="str">
        <v>Scenario 5</v>
      </c>
      <c r="Q6" s="75" t="str">
        <v>Sensitivity 1</v>
      </c>
      <c r="R6" s="75" t="str">
        <v>Sensitivity 2</v>
      </c>
      <c r="S6" s="75" t="str">
        <v>Sensitivity 3</v>
      </c>
      <c r="T6" s="75" t="str">
        <v>Sensitivity 4</v>
      </c>
      <c r="U6" s="75" t="str">
        <v>Sensitivity 5</v>
      </c>
      <c r="V6" s="75" t="str">
        <v>Sensitivity 6</v>
      </c>
      <c r="W6" s="75" t="str">
        <v>Sensitivity 7</v>
      </c>
      <c r="X6" s="75" t="str">
        <v>Sensitivity 8</v>
      </c>
      <c r="Y6" s="75" t="str">
        <v>Sensitivity 9</v>
      </c>
      <c r="Z6" s="75" t="str">
        <v>Sensitivity 10</v>
      </c>
      <c r="AA6" s="75" t="str">
        <v>Sensitivity 11</v>
      </c>
      <c r="AB6" s="75" t="str">
        <v>Sensitivity 12</v>
      </c>
      <c r="AC6" s="75" t="str">
        <v>Sensitivity 13</v>
      </c>
      <c r="AD6" s="75" t="str">
        <v>Sensitivity 14</v>
      </c>
      <c r="AE6" s="75" t="str">
        <v>Sensitivity 15</v>
      </c>
      <c r="AF6" s="75" t="str">
        <v>Sensitivity 16</v>
      </c>
      <c r="AG6" s="75" t="str">
        <v>Sensitivity 17</v>
      </c>
      <c r="AH6" s="75" t="str">
        <v>Sensitivity 18</v>
      </c>
      <c r="AI6" s="75" t="str">
        <v>Sensitivity 19</v>
      </c>
      <c r="AJ6" s="75" t="str">
        <v>Sensitivity 20</v>
      </c>
      <c r="AK6" s="75" t="str">
        <v>Sensitivity 21</v>
      </c>
      <c r="AL6" s="75" t="str">
        <v>Sensitivity 22</v>
      </c>
      <c r="AM6" s="75" t="str">
        <v>Sensitivity 23</v>
      </c>
      <c r="AN6" s="154" t="str">
        <v>Sensitivity 24</v>
      </c>
    </row>
    <row r="7" spans="1:40" customFormat="1" ht="159.6" customHeight="1">
      <c r="B7" s="57"/>
      <c r="E7" s="122" t="str" cm="1">
        <f t="array" ref="E7">REPT( CHAR( 10 ), 2 ) &amp; "Case description" &amp; REPT( CHAR( 10 ), 2 ) &amp; INDEX( $K$7:$AN$7, selector )</f>
        <v xml:space="preserve">
Case description
Input: 
Year on Year change to Ordinary Casual Visits
Requested change: 
plus 50 basis points to all years (excluding 2022)</v>
      </c>
      <c r="F7" s="118"/>
      <c r="G7" s="119"/>
      <c r="H7" s="120"/>
      <c r="I7" s="121"/>
      <c r="J7" s="42"/>
      <c r="K7" s="102" t="s">
        <v>227</v>
      </c>
      <c r="L7" s="76" t="str">
        <f xml:space="preserve"> CaseAnalysis!$B35</f>
        <v>Change the escalation rate of regular membership fees from 4.00% to 3.00%, and add 1.00% to the Regular members YoY growth for each of 2023, 2024, 2025 and 2026.</v>
      </c>
      <c r="M7" s="76" t="str">
        <f xml:space="preserve"> CaseAnalysis!$B36</f>
        <v>Increase the Casual Visit Ordinary 2022 price to $30.00, and decrease the number of 2022 Ordinary Casual visits from 5,000 to 4,500.</v>
      </c>
      <c r="N7" s="76" t="str">
        <f xml:space="preserve"> CaseAnalysis!$B37</f>
        <v>Increase Fixed Expenses in 2022 to $420,000, and increase the number of 2022 Ordinary Casual visits from 5,000 to 6,000.  Increase the # of Friends of Members Casuals visits to 13 per member per year.</v>
      </c>
      <c r="O7" s="76" t="str">
        <f xml:space="preserve"> CaseAnalysis!$B38</f>
        <v>Perform a larger refurbishment that costs 800,000, still with 400,000 debt funded and the remainder equity funded.  Change the 2027 YoY regular member growth to 22%, and the 2027 YoY Casual Visit growth to 12%.</v>
      </c>
      <c r="P7" s="102" t="str">
        <f xml:space="preserve"> CaseAnalysis!$B39</f>
        <v>At the start of 2023, convert all Foundation Members to Regular Members.  Assume that 20% will quit the gym in protest, and 80% will convert. (This may require some logic changes to the model.)</v>
      </c>
      <c r="Q7" s="76" t="str" cm="1">
        <f t="array" ref="Q7:AN7" xml:space="preserve"> TRANSPOSE( CaseAnalysis!$E$4:$E$27 )</f>
        <v>Input: 
Initial Purchase Cost
Requested change: 
plus 10% of base value</v>
      </c>
      <c r="R7" s="76" t="str">
        <v>Input: 
Initial Purchase Cost
Requested change: 
minus 10% of base value</v>
      </c>
      <c r="S7" s="76" t="str">
        <v>Input: 
2022 Membership fee (Regular member)
Requested change: 
plus 10% of base value</v>
      </c>
      <c r="T7" s="76" t="str">
        <v>Input: 
2022 Membership fee (Regular member)
Requested change: 
minus 10% of base value</v>
      </c>
      <c r="U7" s="76" t="str">
        <v>Input: 
Escalation rate of membership fees
Requested change: 
plus 50 basis points (e.g. from 4.00% up to 4.50%)</v>
      </c>
      <c r="V7" s="76" t="str">
        <v>Input: 
Escalation rate of membership fees
Requested change: 
minus 50 basis points</v>
      </c>
      <c r="W7" s="76" t="str">
        <v>Input: 
Number of Regular members at start of 2022
Requested change: 
plus 50 people from base value</v>
      </c>
      <c r="X7" s="76" t="str">
        <v>Input: 
Number of Regular members at start of 2022
Requested change: 
minus 50 people from base value</v>
      </c>
      <c r="Y7" s="76" t="str">
        <v>Input: 
Increase in Casual Visit Prices each year
Requested change: 
plus 50 basis points</v>
      </c>
      <c r="Z7" s="76" t="str">
        <v>Input: 
Increase in Casual Visit Prices each year
Requested change: 
minus 50 basis points</v>
      </c>
      <c r="AA7" s="76" t="str">
        <v>Input: 
Year on Year change to Regular Members
Requested change: 
plus 50 basis points to all years (excluding 2022)</v>
      </c>
      <c r="AB7" s="76" t="str">
        <v>Input: 
Year on Year change to Ordinary Casual Visits
Requested change: 
plus 50 basis points to all years (excluding 2022)</v>
      </c>
      <c r="AC7" s="76" t="str">
        <v>Input: 
Escalation rate of fixed expenses
Requested change: 
plus 50 basis points</v>
      </c>
      <c r="AD7" s="76" t="str">
        <v>Input: 
Escalation rate of fixed expenses
Requested change: 
minus 50 basis points</v>
      </c>
      <c r="AE7" s="76" t="str">
        <v>Input: 
Escalation rate of variable expenses
Requested change: 
plus 50 basis points</v>
      </c>
      <c r="AF7" s="76" t="str">
        <v>Input: 
Escalation rate of variable expenses
Requested change: 
minus 50 basis points</v>
      </c>
      <c r="AG7" s="76" t="str">
        <v>Input: 
Initial Purchase Debt Facility Interest Rate
Requested change: 
plus 50 basis points</v>
      </c>
      <c r="AH7" s="76" t="str">
        <v>Input: 
Refurbishment Debt Facility Interest Rate
Requested change: 
plus 50 basis points</v>
      </c>
      <c r="AI7" s="76" t="str">
        <v>Input: 
Initial Purchase % funded by Debt
Requested change: 
change % funded to 80%</v>
      </c>
      <c r="AJ7" s="76" t="str">
        <v>Input: 
Initial Purchase % funded by Debt
Requested change: 
change % funded to 40%</v>
      </c>
      <c r="AK7" s="76" t="str">
        <v>Input: 
Refurbishment % funded by Debt
Requested change: 
change % funded to 90%</v>
      </c>
      <c r="AL7" s="76" t="str">
        <v>Input: 
Refurbishment % funded by Debt
Requested change: 
change % funded to 70%</v>
      </c>
      <c r="AM7" s="76" t="str">
        <v>Input: 
Time of Sale of Business
Requested change: 
bring forward to end of 2028</v>
      </c>
      <c r="AN7" s="76" t="str">
        <v>Input: 
Time of Sale of Business
Requested change: 
bring forward to end of 2024</v>
      </c>
    </row>
    <row r="8" spans="1:40" customFormat="1">
      <c r="B8" s="57"/>
      <c r="E8" s="123" t="s">
        <v>232</v>
      </c>
      <c r="F8" s="124" t="str">
        <f>INDEX( scenarios, 1, 1 )</f>
        <v>Base</v>
      </c>
      <c r="G8" s="98"/>
      <c r="H8" s="99"/>
      <c r="I8" s="100"/>
      <c r="J8" s="42"/>
      <c r="K8" s="105"/>
      <c r="P8" s="105"/>
    </row>
    <row r="9" spans="1:40" customFormat="1">
      <c r="B9" s="57"/>
      <c r="E9" s="126" t="s">
        <v>228</v>
      </c>
      <c r="F9" s="145">
        <f xml:space="preserve"> COUNTIF( $I$12:$I$144, "tu" )</f>
        <v>9</v>
      </c>
      <c r="G9" s="127"/>
      <c r="H9" s="128"/>
      <c r="I9" s="129"/>
      <c r="J9" s="42"/>
      <c r="K9" s="106"/>
      <c r="P9" s="106"/>
    </row>
    <row r="10" spans="1:40" customFormat="1">
      <c r="B10" s="57"/>
      <c r="E10" s="126"/>
      <c r="F10" s="130"/>
      <c r="G10" s="127"/>
      <c r="H10" s="128"/>
      <c r="I10" s="129"/>
      <c r="J10" s="42"/>
      <c r="K10" s="106"/>
      <c r="P10" s="106"/>
    </row>
    <row r="11" spans="1:40" customFormat="1">
      <c r="B11" s="57"/>
      <c r="E11" s="45"/>
      <c r="F11" s="79" t="s">
        <v>212</v>
      </c>
      <c r="G11" s="60" t="s">
        <v>213</v>
      </c>
      <c r="I11" s="65"/>
      <c r="J11" s="42"/>
      <c r="K11" s="106"/>
      <c r="P11" s="106"/>
    </row>
    <row r="12" spans="1:40">
      <c r="G12" s="56"/>
      <c r="K12" s="107"/>
      <c r="L12" s="3"/>
      <c r="M12" s="3"/>
      <c r="N12" s="3"/>
      <c r="O12" s="3"/>
      <c r="P12" s="107"/>
    </row>
    <row r="13" spans="1:40">
      <c r="A13" s="3"/>
      <c r="B13" s="61" t="s">
        <v>5</v>
      </c>
      <c r="C13" s="3"/>
      <c r="D13" s="62"/>
      <c r="G13" s="56"/>
      <c r="H13" s="63"/>
      <c r="K13" s="107"/>
      <c r="L13" s="3"/>
      <c r="M13" s="3"/>
      <c r="N13" s="3"/>
      <c r="O13" s="3"/>
      <c r="P13" s="107"/>
    </row>
    <row r="14" spans="1:40" ht="15.6">
      <c r="C14" s="8"/>
      <c r="G14" s="56"/>
      <c r="H14" s="7"/>
      <c r="K14" s="107"/>
      <c r="L14" s="3"/>
      <c r="M14" s="3"/>
      <c r="N14" s="3"/>
      <c r="O14" s="3"/>
      <c r="P14" s="107"/>
    </row>
    <row r="15" spans="1:40">
      <c r="E15" s="47" t="s">
        <v>214</v>
      </c>
      <c r="F15" s="80">
        <v>44561</v>
      </c>
      <c r="G15" s="125" t="s">
        <v>2</v>
      </c>
      <c r="H15" s="9"/>
      <c r="K15" s="106"/>
      <c r="L15"/>
      <c r="M15"/>
      <c r="N15"/>
      <c r="O15" s="3"/>
      <c r="P15" s="107"/>
    </row>
    <row r="16" spans="1:40">
      <c r="E16" s="47" t="s">
        <v>6</v>
      </c>
      <c r="F16" s="81" cm="1">
        <f t="array" ref="F16" xml:space="preserve"> IF( INDEX( $K16:$AN16, selector ) = "", INDEX( $K16:$AN16, , 1 ), INDEX( $K16:$AN16, 1, selector ))</f>
        <v>2000000</v>
      </c>
      <c r="G16" s="125" t="s">
        <v>4</v>
      </c>
      <c r="I16" s="144" t="str">
        <f xml:space="preserve"> IF( $F16 = $K16, "vw", "tu" )</f>
        <v>vw</v>
      </c>
      <c r="K16" s="113">
        <v>2000000</v>
      </c>
      <c r="L16" s="133"/>
      <c r="M16" s="134"/>
      <c r="N16" s="134"/>
      <c r="O16" s="134"/>
      <c r="P16" s="135"/>
      <c r="Q16" s="133">
        <v>2200000</v>
      </c>
      <c r="R16" s="134">
        <v>1800000</v>
      </c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1"/>
    </row>
    <row r="17" spans="1:40">
      <c r="H17" s="7"/>
      <c r="I17" s="144"/>
      <c r="K17" s="108"/>
      <c r="L17" s="131"/>
      <c r="M17" s="131"/>
      <c r="N17" s="131"/>
      <c r="O17" s="131"/>
      <c r="P17" s="132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</row>
    <row r="18" spans="1:40">
      <c r="A18" s="3"/>
      <c r="B18" s="61" t="s">
        <v>7</v>
      </c>
      <c r="C18" s="3"/>
      <c r="D18" s="62"/>
      <c r="H18" s="63"/>
      <c r="I18" s="144"/>
      <c r="K18" s="108"/>
      <c r="L18" s="131"/>
      <c r="M18" s="131"/>
      <c r="N18" s="131"/>
      <c r="O18" s="131"/>
      <c r="P18" s="132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</row>
    <row r="19" spans="1:40" ht="15.6">
      <c r="C19" s="8"/>
      <c r="H19" s="7"/>
      <c r="I19" s="144"/>
      <c r="K19" s="108"/>
      <c r="L19" s="131"/>
      <c r="M19" s="131"/>
      <c r="N19" s="131"/>
      <c r="O19" s="131"/>
      <c r="P19" s="132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</row>
    <row r="20" spans="1:40" ht="14.4">
      <c r="D20" s="43" t="s">
        <v>8</v>
      </c>
      <c r="G20" s="125"/>
      <c r="I20" s="144"/>
      <c r="K20" s="108"/>
      <c r="L20" s="131"/>
      <c r="M20" s="131"/>
      <c r="N20" s="131"/>
      <c r="O20" s="131"/>
      <c r="P20" s="132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</row>
    <row r="21" spans="1:40">
      <c r="E21" s="47" t="s">
        <v>9</v>
      </c>
      <c r="F21" s="82" cm="1">
        <f t="array" ref="F21" xml:space="preserve"> IF( INDEX( $K21:$AN21, selector ) = "", INDEX( $K21:$AN21, , 1 ), INDEX( $K21:$AN21, 1, selector ))</f>
        <v>900</v>
      </c>
      <c r="G21" s="125" t="s">
        <v>10</v>
      </c>
      <c r="I21" s="144" t="str">
        <f t="shared" ref="I21:I24" si="1" xml:space="preserve"> IF( $F21 = $K21, "vw", "tu" )</f>
        <v>vw</v>
      </c>
      <c r="K21" s="113">
        <v>900</v>
      </c>
      <c r="L21" s="133"/>
      <c r="M21" s="134"/>
      <c r="N21" s="134"/>
      <c r="O21" s="134"/>
      <c r="P21" s="135"/>
      <c r="Q21" s="133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</row>
    <row r="22" spans="1:40">
      <c r="E22" s="47" t="s">
        <v>11</v>
      </c>
      <c r="F22" s="81" cm="1">
        <f t="array" ref="F22" xml:space="preserve"> IF( INDEX( $K22:$AN22, selector ) = "", INDEX( $K22:$AN22, , 1 ), INDEX( $K22:$AN22, 1, selector ))</f>
        <v>1200</v>
      </c>
      <c r="G22" s="125" t="s">
        <v>10</v>
      </c>
      <c r="I22" s="144" t="str">
        <f t="shared" si="1"/>
        <v>vw</v>
      </c>
      <c r="K22" s="114">
        <v>1200</v>
      </c>
      <c r="L22" s="133"/>
      <c r="M22" s="134"/>
      <c r="N22" s="134"/>
      <c r="O22" s="134"/>
      <c r="P22" s="135"/>
      <c r="Q22" s="133"/>
      <c r="R22" s="134"/>
      <c r="S22" s="134">
        <v>1320</v>
      </c>
      <c r="T22" s="134">
        <v>1080</v>
      </c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</row>
    <row r="23" spans="1:40">
      <c r="E23" s="47" t="s">
        <v>12</v>
      </c>
      <c r="F23" s="101" cm="1">
        <f t="array" ref="F23" xml:space="preserve"> IF( INDEX( $K23:$AN23, selector ) = "", INDEX( $K23:$AN23, , 1 ), INDEX( $K23:$AN23, 1, selector ))</f>
        <v>0</v>
      </c>
      <c r="G23" s="125" t="s">
        <v>3</v>
      </c>
      <c r="I23" s="144" t="str">
        <f t="shared" si="1"/>
        <v>vw</v>
      </c>
      <c r="K23" s="115">
        <v>0</v>
      </c>
      <c r="L23" s="137"/>
      <c r="M23" s="141"/>
      <c r="N23" s="141"/>
      <c r="O23" s="141"/>
      <c r="P23" s="142"/>
      <c r="Q23" s="137"/>
      <c r="R23" s="141"/>
      <c r="S23" s="141"/>
      <c r="T23" s="141"/>
      <c r="U23" s="141">
        <v>5.0000000000000001E-3</v>
      </c>
      <c r="V23" s="141">
        <v>0</v>
      </c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</row>
    <row r="24" spans="1:40">
      <c r="E24" s="47" t="s">
        <v>13</v>
      </c>
      <c r="F24" s="101" cm="1">
        <f t="array" ref="F24" xml:space="preserve"> IF( INDEX( $K24:$AN24, selector ) = "", INDEX( $K24:$AN24, , 1 ), INDEX( $K24:$AN24, 1, selector ))</f>
        <v>0.04</v>
      </c>
      <c r="G24" s="125" t="s">
        <v>3</v>
      </c>
      <c r="I24" s="144" t="str">
        <f t="shared" si="1"/>
        <v>vw</v>
      </c>
      <c r="K24" s="115">
        <v>0.04</v>
      </c>
      <c r="L24" s="137">
        <v>0.03</v>
      </c>
      <c r="M24" s="141"/>
      <c r="N24" s="141"/>
      <c r="O24" s="141"/>
      <c r="P24" s="142"/>
      <c r="Q24" s="137"/>
      <c r="R24" s="141"/>
      <c r="S24" s="141"/>
      <c r="T24" s="141"/>
      <c r="U24" s="141">
        <v>4.4999999999999998E-2</v>
      </c>
      <c r="V24" s="141">
        <v>3.5000000000000003E-2</v>
      </c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</row>
    <row r="25" spans="1:40">
      <c r="G25" s="125"/>
      <c r="I25" s="144"/>
      <c r="K25" s="108"/>
      <c r="L25" s="131"/>
      <c r="M25" s="131"/>
      <c r="N25" s="131"/>
      <c r="O25" s="131"/>
      <c r="P25" s="132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</row>
    <row r="26" spans="1:40" ht="14.4">
      <c r="D26" s="43" t="s">
        <v>14</v>
      </c>
      <c r="G26" s="125"/>
      <c r="I26" s="144"/>
      <c r="K26" s="108"/>
      <c r="L26" s="131"/>
      <c r="M26" s="131"/>
      <c r="N26" s="131"/>
      <c r="O26" s="131"/>
      <c r="P26" s="132" t="s">
        <v>229</v>
      </c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</row>
    <row r="27" spans="1:40">
      <c r="E27" s="47" t="s">
        <v>15</v>
      </c>
      <c r="F27" s="82" cm="1">
        <f t="array" ref="F27" xml:space="preserve"> IF( INDEX( $K27:$AN27, selector ) = "", INDEX( $K27:$AN27, , 1 ), INDEX( $K27:$AN27, 1, selector ))</f>
        <v>120</v>
      </c>
      <c r="G27" s="125" t="s">
        <v>16</v>
      </c>
      <c r="I27" s="144" t="str">
        <f t="shared" ref="I27:I28" si="2" xml:space="preserve"> IF( $F27 = $K27, "vw", "tu" )</f>
        <v>vw</v>
      </c>
      <c r="K27" s="116">
        <v>120</v>
      </c>
      <c r="L27" s="133"/>
      <c r="M27" s="134"/>
      <c r="N27" s="134"/>
      <c r="O27" s="134"/>
      <c r="P27" s="135"/>
      <c r="Q27" s="133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</row>
    <row r="28" spans="1:40">
      <c r="E28" s="47" t="s">
        <v>17</v>
      </c>
      <c r="F28" s="82" cm="1">
        <f t="array" ref="F28" xml:space="preserve"> IF( INDEX( $K28:$AN28, selector ) = "", INDEX( $K28:$AN28, , 1 ), INDEX( $K28:$AN28, 1, selector ))</f>
        <v>500</v>
      </c>
      <c r="G28" s="125" t="s">
        <v>16</v>
      </c>
      <c r="I28" s="144" t="str">
        <f t="shared" si="2"/>
        <v>vw</v>
      </c>
      <c r="K28" s="116">
        <v>500</v>
      </c>
      <c r="L28" s="133"/>
      <c r="M28" s="134"/>
      <c r="N28" s="134"/>
      <c r="O28" s="134"/>
      <c r="P28" s="135"/>
      <c r="Q28" s="133"/>
      <c r="R28" s="134"/>
      <c r="S28" s="134"/>
      <c r="T28" s="134"/>
      <c r="U28" s="134"/>
      <c r="V28" s="134"/>
      <c r="W28" s="134">
        <v>550</v>
      </c>
      <c r="X28" s="134">
        <v>450</v>
      </c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</row>
    <row r="29" spans="1:40">
      <c r="H29" s="7"/>
      <c r="I29" s="144"/>
      <c r="K29" s="108"/>
      <c r="L29" s="131"/>
      <c r="M29" s="131"/>
      <c r="N29" s="131"/>
      <c r="O29" s="131"/>
      <c r="P29" s="132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</row>
    <row r="30" spans="1:40" ht="14.4">
      <c r="D30" s="43" t="s">
        <v>18</v>
      </c>
      <c r="H30" s="7"/>
      <c r="I30" s="144"/>
      <c r="K30" s="108"/>
      <c r="L30" s="131"/>
      <c r="M30" s="131"/>
      <c r="N30" s="131"/>
      <c r="O30" s="131"/>
      <c r="P30" s="13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</row>
    <row r="31" spans="1:40">
      <c r="E31" s="47" t="s">
        <v>19</v>
      </c>
      <c r="H31" s="7"/>
      <c r="I31" s="144"/>
      <c r="K31" s="108"/>
      <c r="L31" s="131"/>
      <c r="M31" s="131"/>
      <c r="N31" s="131"/>
      <c r="O31" s="131"/>
      <c r="P31" s="13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</row>
    <row r="32" spans="1:40">
      <c r="F32" s="84" t="s">
        <v>20</v>
      </c>
      <c r="H32" s="7"/>
      <c r="I32" s="144"/>
      <c r="K32" s="108"/>
      <c r="L32" s="131"/>
      <c r="M32" s="131"/>
      <c r="N32" s="131"/>
      <c r="O32" s="131"/>
      <c r="P32" s="13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</row>
    <row r="33" spans="5:40">
      <c r="E33" s="48" t="s">
        <v>21</v>
      </c>
      <c r="F33" s="85" t="s">
        <v>22</v>
      </c>
      <c r="H33" s="7"/>
      <c r="I33" s="144"/>
      <c r="K33" s="109"/>
      <c r="L33" s="131"/>
      <c r="M33" s="131"/>
      <c r="N33" s="131"/>
      <c r="O33" s="131"/>
      <c r="P33" s="13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</row>
    <row r="34" spans="5:40">
      <c r="E34" s="49">
        <f>YEAR($F$15)+1</f>
        <v>2022</v>
      </c>
      <c r="F34" s="86" cm="1">
        <f t="array" ref="F34" xml:space="preserve"> IF( INDEX( $K34:$AN34, selector ) = "", INDEX( $K34:$AN34, , 1 ), INDEX( $K34:$AN34, 1, selector ))</f>
        <v>0</v>
      </c>
      <c r="G34" s="125" t="s">
        <v>3</v>
      </c>
      <c r="H34" s="7"/>
      <c r="I34" s="144" t="str">
        <f t="shared" ref="I34:I43" si="3" xml:space="preserve"> IF( $F34 = $K34, "vw", "tu" )</f>
        <v>vw</v>
      </c>
      <c r="K34" s="110">
        <v>0</v>
      </c>
      <c r="L34" s="136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</row>
    <row r="35" spans="5:40">
      <c r="E35" s="50">
        <f t="shared" ref="E35:E43" si="4">E34+1</f>
        <v>2023</v>
      </c>
      <c r="F35" s="87" cm="1">
        <f t="array" ref="F35" xml:space="preserve"> IF( INDEX( $K35:$AN35, selector ) = "", INDEX( $K35:$AN35, , 1 ), INDEX( $K35:$AN35, 1, selector ))</f>
        <v>-0.02</v>
      </c>
      <c r="G35" s="125" t="s">
        <v>3</v>
      </c>
      <c r="H35" s="7"/>
      <c r="I35" s="144" t="str">
        <f t="shared" si="3"/>
        <v>vw</v>
      </c>
      <c r="K35" s="110">
        <v>-0.02</v>
      </c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</row>
    <row r="36" spans="5:40">
      <c r="E36" s="50">
        <f t="shared" si="4"/>
        <v>2024</v>
      </c>
      <c r="F36" s="83" cm="1">
        <f t="array" ref="F36" xml:space="preserve"> IF( INDEX( $K36:$AN36, selector ) = "", INDEX( $K36:$AN36, , 1 ), INDEX( $K36:$AN36, 1, selector ))</f>
        <v>-0.02</v>
      </c>
      <c r="G36" s="125" t="s">
        <v>3</v>
      </c>
      <c r="H36" s="7"/>
      <c r="I36" s="144" t="str">
        <f t="shared" si="3"/>
        <v>vw</v>
      </c>
      <c r="K36" s="110">
        <v>-0.02</v>
      </c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</row>
    <row r="37" spans="5:40">
      <c r="E37" s="50">
        <f t="shared" si="4"/>
        <v>2025</v>
      </c>
      <c r="F37" s="83" cm="1">
        <f t="array" ref="F37" xml:space="preserve"> IF( INDEX( $K37:$AN37, selector ) = "", INDEX( $K37:$AN37, , 1 ), INDEX( $K37:$AN37, 1, selector ))</f>
        <v>-0.02</v>
      </c>
      <c r="G37" s="125" t="s">
        <v>3</v>
      </c>
      <c r="H37" s="7"/>
      <c r="I37" s="144" t="str">
        <f t="shared" si="3"/>
        <v>vw</v>
      </c>
      <c r="K37" s="110">
        <v>-0.02</v>
      </c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</row>
    <row r="38" spans="5:40">
      <c r="E38" s="50">
        <f t="shared" si="4"/>
        <v>2026</v>
      </c>
      <c r="F38" s="83" cm="1">
        <f t="array" ref="F38" xml:space="preserve"> IF( INDEX( $K38:$AN38, selector ) = "", INDEX( $K38:$AN38, , 1 ), INDEX( $K38:$AN38, 1, selector ))</f>
        <v>-0.02</v>
      </c>
      <c r="G38" s="125" t="s">
        <v>3</v>
      </c>
      <c r="H38" s="7"/>
      <c r="I38" s="144" t="str">
        <f t="shared" si="3"/>
        <v>vw</v>
      </c>
      <c r="K38" s="110">
        <v>-0.02</v>
      </c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</row>
    <row r="39" spans="5:40">
      <c r="E39" s="50">
        <f t="shared" si="4"/>
        <v>2027</v>
      </c>
      <c r="F39" s="83" cm="1">
        <f t="array" ref="F39" xml:space="preserve"> IF( INDEX( $K39:$AN39, selector ) = "", INDEX( $K39:$AN39, , 1 ), INDEX( $K39:$AN39, 1, selector ))</f>
        <v>-0.02</v>
      </c>
      <c r="G39" s="125" t="s">
        <v>3</v>
      </c>
      <c r="H39" s="7"/>
      <c r="I39" s="144" t="str">
        <f t="shared" si="3"/>
        <v>vw</v>
      </c>
      <c r="K39" s="110">
        <v>-0.02</v>
      </c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</row>
    <row r="40" spans="5:40">
      <c r="E40" s="50">
        <f t="shared" si="4"/>
        <v>2028</v>
      </c>
      <c r="F40" s="83" cm="1">
        <f t="array" ref="F40" xml:space="preserve"> IF( INDEX( $K40:$AN40, selector ) = "", INDEX( $K40:$AN40, , 1 ), INDEX( $K40:$AN40, 1, selector ))</f>
        <v>-0.02</v>
      </c>
      <c r="G40" s="125" t="s">
        <v>3</v>
      </c>
      <c r="H40" s="7"/>
      <c r="I40" s="144" t="str">
        <f t="shared" si="3"/>
        <v>vw</v>
      </c>
      <c r="K40" s="110">
        <v>-0.02</v>
      </c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</row>
    <row r="41" spans="5:40">
      <c r="E41" s="50">
        <f t="shared" si="4"/>
        <v>2029</v>
      </c>
      <c r="F41" s="83" cm="1">
        <f t="array" ref="F41" xml:space="preserve"> IF( INDEX( $K41:$AN41, selector ) = "", INDEX( $K41:$AN41, , 1 ), INDEX( $K41:$AN41, 1, selector ))</f>
        <v>-0.02</v>
      </c>
      <c r="G41" s="125" t="s">
        <v>3</v>
      </c>
      <c r="H41" s="7"/>
      <c r="I41" s="144" t="str">
        <f t="shared" si="3"/>
        <v>vw</v>
      </c>
      <c r="K41" s="110">
        <v>-0.02</v>
      </c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</row>
    <row r="42" spans="5:40">
      <c r="E42" s="50">
        <f t="shared" si="4"/>
        <v>2030</v>
      </c>
      <c r="F42" s="83" cm="1">
        <f t="array" ref="F42" xml:space="preserve"> IF( INDEX( $K42:$AN42, selector ) = "", INDEX( $K42:$AN42, , 1 ), INDEX( $K42:$AN42, 1, selector ))</f>
        <v>-0.02</v>
      </c>
      <c r="G42" s="125" t="s">
        <v>3</v>
      </c>
      <c r="H42" s="7"/>
      <c r="I42" s="144" t="str">
        <f t="shared" si="3"/>
        <v>vw</v>
      </c>
      <c r="K42" s="110">
        <v>-0.02</v>
      </c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</row>
    <row r="43" spans="5:40">
      <c r="E43" s="50">
        <f t="shared" si="4"/>
        <v>2031</v>
      </c>
      <c r="F43" s="83" cm="1">
        <f t="array" ref="F43" xml:space="preserve"> IF( INDEX( $K43:$AN43, selector ) = "", INDEX( $K43:$AN43, , 1 ), INDEX( $K43:$AN43, 1, selector ))</f>
        <v>-0.02</v>
      </c>
      <c r="G43" s="125" t="s">
        <v>3</v>
      </c>
      <c r="H43" s="7"/>
      <c r="I43" s="144" t="str">
        <f t="shared" si="3"/>
        <v>vw</v>
      </c>
      <c r="K43" s="110">
        <v>-0.02</v>
      </c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</row>
    <row r="44" spans="5:40">
      <c r="H44" s="7"/>
      <c r="I44" s="144"/>
      <c r="K44" s="108"/>
      <c r="L44" s="131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</row>
    <row r="45" spans="5:40">
      <c r="F45" s="84" t="s">
        <v>23</v>
      </c>
      <c r="H45" s="7"/>
      <c r="I45" s="144"/>
      <c r="K45" s="108"/>
      <c r="L45" s="131"/>
      <c r="M45" s="131"/>
      <c r="N45" s="131"/>
      <c r="O45" s="131"/>
      <c r="P45" s="13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</row>
    <row r="46" spans="5:40">
      <c r="E46" s="54" t="s">
        <v>21</v>
      </c>
      <c r="F46" s="85" t="s">
        <v>22</v>
      </c>
      <c r="H46" s="7"/>
      <c r="I46" s="144"/>
      <c r="K46" s="108"/>
      <c r="L46" s="131"/>
      <c r="M46" s="131"/>
      <c r="N46" s="131"/>
      <c r="O46" s="131"/>
      <c r="P46" s="13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</row>
    <row r="47" spans="5:40">
      <c r="E47" s="49">
        <f>YEAR($F$15)+1</f>
        <v>2022</v>
      </c>
      <c r="F47" s="86" cm="1">
        <f t="array" ref="F47" xml:space="preserve"> IF( INDEX( $K47:$AN47, selector ) = "", INDEX( $K47:$AN47, , 1 ), INDEX( $K47:$AN47, 1, selector ))</f>
        <v>0</v>
      </c>
      <c r="G47" s="125" t="s">
        <v>3</v>
      </c>
      <c r="H47" s="7"/>
      <c r="I47" s="144" t="str">
        <f t="shared" ref="I47:I56" si="5" xml:space="preserve"> IF( $F47 = $K47, "vw", "tu" )</f>
        <v>vw</v>
      </c>
      <c r="K47" s="110">
        <v>0</v>
      </c>
      <c r="L47" s="136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>
        <v>5.0000000000000001E-3</v>
      </c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</row>
    <row r="48" spans="5:40">
      <c r="E48" s="50">
        <f t="shared" ref="E48:E56" si="6">E47+1</f>
        <v>2023</v>
      </c>
      <c r="F48" s="87" cm="1">
        <f t="array" ref="F48" xml:space="preserve"> IF( INDEX( $K48:$AN48, selector ) = "", INDEX( $K48:$AN48, , 1 ), INDEX( $K48:$AN48, 1, selector ))</f>
        <v>0.06</v>
      </c>
      <c r="G48" s="125" t="s">
        <v>3</v>
      </c>
      <c r="H48" s="7"/>
      <c r="I48" s="144" t="str">
        <f t="shared" si="5"/>
        <v>vw</v>
      </c>
      <c r="K48" s="110">
        <v>0.06</v>
      </c>
      <c r="L48" s="137">
        <v>7.0000000000000007E-2</v>
      </c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>
        <v>6.5000000000000002E-2</v>
      </c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</row>
    <row r="49" spans="4:40">
      <c r="E49" s="50">
        <f t="shared" si="6"/>
        <v>2024</v>
      </c>
      <c r="F49" s="83" cm="1">
        <f t="array" ref="F49" xml:space="preserve"> IF( INDEX( $K49:$AN49, selector ) = "", INDEX( $K49:$AN49, , 1 ), INDEX( $K49:$AN49, 1, selector ))</f>
        <v>0.04</v>
      </c>
      <c r="G49" s="125" t="s">
        <v>3</v>
      </c>
      <c r="H49" s="7"/>
      <c r="I49" s="144" t="str">
        <f t="shared" si="5"/>
        <v>vw</v>
      </c>
      <c r="K49" s="110">
        <v>0.04</v>
      </c>
      <c r="L49" s="137">
        <v>0.05</v>
      </c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>
        <v>4.4999999999999998E-2</v>
      </c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</row>
    <row r="50" spans="4:40">
      <c r="E50" s="50">
        <f t="shared" si="6"/>
        <v>2025</v>
      </c>
      <c r="F50" s="83" cm="1">
        <f t="array" ref="F50" xml:space="preserve"> IF( INDEX( $K50:$AN50, selector ) = "", INDEX( $K50:$AN50, , 1 ), INDEX( $K50:$AN50, 1, selector ))</f>
        <v>0.02</v>
      </c>
      <c r="G50" s="125" t="s">
        <v>3</v>
      </c>
      <c r="H50" s="7"/>
      <c r="I50" s="144" t="str">
        <f t="shared" si="5"/>
        <v>vw</v>
      </c>
      <c r="K50" s="110">
        <v>0.02</v>
      </c>
      <c r="L50" s="137">
        <v>0.03</v>
      </c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>
        <v>0.03</v>
      </c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</row>
    <row r="51" spans="4:40">
      <c r="E51" s="50">
        <f t="shared" si="6"/>
        <v>2026</v>
      </c>
      <c r="F51" s="83" cm="1">
        <f t="array" ref="F51" xml:space="preserve"> IF( INDEX( $K51:$AN51, selector ) = "", INDEX( $K51:$AN51, , 1 ), INDEX( $K51:$AN51, 1, selector ))</f>
        <v>0.01</v>
      </c>
      <c r="G51" s="125" t="s">
        <v>3</v>
      </c>
      <c r="H51" s="7"/>
      <c r="I51" s="144" t="str">
        <f t="shared" si="5"/>
        <v>vw</v>
      </c>
      <c r="K51" s="110">
        <v>0.01</v>
      </c>
      <c r="L51" s="137">
        <v>0.02</v>
      </c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>
        <v>1.4999999999999999E-2</v>
      </c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</row>
    <row r="52" spans="4:40">
      <c r="E52" s="50">
        <f t="shared" si="6"/>
        <v>2027</v>
      </c>
      <c r="F52" s="83" cm="1">
        <f t="array" ref="F52" xml:space="preserve"> IF( INDEX( $K52:$AN52, selector ) = "", INDEX( $K52:$AN52, , 1 ), INDEX( $K52:$AN52, 1, selector ))</f>
        <v>0.17</v>
      </c>
      <c r="G52" s="125" t="s">
        <v>3</v>
      </c>
      <c r="H52" s="7"/>
      <c r="I52" s="144" t="str">
        <f t="shared" si="5"/>
        <v>vw</v>
      </c>
      <c r="K52" s="110">
        <v>0.17</v>
      </c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>
        <v>0.17499999999999999</v>
      </c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</row>
    <row r="53" spans="4:40">
      <c r="E53" s="50">
        <f t="shared" si="6"/>
        <v>2028</v>
      </c>
      <c r="F53" s="83" cm="1">
        <f t="array" ref="F53" xml:space="preserve"> IF( INDEX( $K53:$AN53, selector ) = "", INDEX( $K53:$AN53, , 1 ), INDEX( $K53:$AN53, 1, selector ))</f>
        <v>0.02</v>
      </c>
      <c r="G53" s="125" t="s">
        <v>3</v>
      </c>
      <c r="H53" s="7"/>
      <c r="I53" s="144" t="str">
        <f t="shared" si="5"/>
        <v>vw</v>
      </c>
      <c r="K53" s="110">
        <v>0.02</v>
      </c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>
        <v>2.5000000000000001E-2</v>
      </c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</row>
    <row r="54" spans="4:40">
      <c r="E54" s="50">
        <f t="shared" si="6"/>
        <v>2029</v>
      </c>
      <c r="F54" s="83" cm="1">
        <f t="array" ref="F54" xml:space="preserve"> IF( INDEX( $K54:$AN54, selector ) = "", INDEX( $K54:$AN54, , 1 ), INDEX( $K54:$AN54, 1, selector ))</f>
        <v>0.01</v>
      </c>
      <c r="G54" s="125" t="s">
        <v>3</v>
      </c>
      <c r="H54" s="7"/>
      <c r="I54" s="144" t="str">
        <f t="shared" si="5"/>
        <v>vw</v>
      </c>
      <c r="K54" s="110">
        <v>0.01</v>
      </c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>
        <v>0.02</v>
      </c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</row>
    <row r="55" spans="4:40">
      <c r="E55" s="50">
        <f t="shared" si="6"/>
        <v>2030</v>
      </c>
      <c r="F55" s="83" cm="1">
        <f t="array" ref="F55" xml:space="preserve"> IF( INDEX( $K55:$AN55, selector ) = "", INDEX( $K55:$AN55, , 1 ), INDEX( $K55:$AN55, 1, selector ))</f>
        <v>0.01</v>
      </c>
      <c r="G55" s="125" t="s">
        <v>3</v>
      </c>
      <c r="H55" s="7"/>
      <c r="I55" s="144" t="str">
        <f t="shared" si="5"/>
        <v>vw</v>
      </c>
      <c r="K55" s="110">
        <v>0.01</v>
      </c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>
        <v>1.4999999999999999E-2</v>
      </c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</row>
    <row r="56" spans="4:40">
      <c r="E56" s="50">
        <f t="shared" si="6"/>
        <v>2031</v>
      </c>
      <c r="F56" s="83" cm="1">
        <f t="array" ref="F56" xml:space="preserve"> IF( INDEX( $K56:$AN56, selector ) = "", INDEX( $K56:$AN56, , 1 ), INDEX( $K56:$AN56, 1, selector ))</f>
        <v>0.01</v>
      </c>
      <c r="G56" s="125" t="s">
        <v>3</v>
      </c>
      <c r="H56" s="7"/>
      <c r="I56" s="144" t="str">
        <f t="shared" si="5"/>
        <v>vw</v>
      </c>
      <c r="J56" s="42"/>
      <c r="K56" s="110">
        <v>0.01</v>
      </c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>
        <v>0.01</v>
      </c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</row>
    <row r="57" spans="4:40">
      <c r="H57" s="7"/>
      <c r="I57" s="144"/>
      <c r="J57" s="42"/>
      <c r="K57" s="108"/>
      <c r="L57" s="131"/>
      <c r="M57" s="131"/>
      <c r="N57" s="131"/>
      <c r="O57" s="131"/>
      <c r="P57" s="132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</row>
    <row r="58" spans="4:40">
      <c r="H58" s="7"/>
      <c r="I58" s="144"/>
      <c r="K58" s="108"/>
      <c r="L58" s="131"/>
      <c r="M58" s="131"/>
      <c r="N58" s="131"/>
      <c r="O58" s="131"/>
      <c r="P58" s="132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</row>
    <row r="59" spans="4:40" ht="14.4">
      <c r="D59" s="43" t="s">
        <v>24</v>
      </c>
      <c r="G59" s="125"/>
      <c r="I59" s="144"/>
      <c r="K59" s="108"/>
      <c r="L59" s="131"/>
      <c r="M59" s="131"/>
      <c r="N59" s="131"/>
      <c r="O59" s="131"/>
      <c r="P59" s="132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</row>
    <row r="60" spans="4:40">
      <c r="E60" s="47" t="s">
        <v>25</v>
      </c>
      <c r="F60" s="88" cm="1">
        <f t="array" ref="F60" xml:space="preserve"> IF( INDEX( $K60:$AN60, selector ) = "", INDEX( $K60:$AN60, , 1 ), INDEX( $K60:$AN60, 1, selector ))</f>
        <v>28</v>
      </c>
      <c r="G60" s="125" t="s">
        <v>26</v>
      </c>
      <c r="I60" s="144" t="str">
        <f t="shared" ref="I60:I62" si="7" xml:space="preserve"> IF( $F60 = $K60, "vw", "tu" )</f>
        <v>vw</v>
      </c>
      <c r="K60" s="112">
        <v>28</v>
      </c>
      <c r="L60" s="133"/>
      <c r="M60" s="134">
        <v>30</v>
      </c>
      <c r="N60" s="134"/>
      <c r="O60" s="134"/>
      <c r="P60" s="135"/>
      <c r="Q60" s="133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</row>
    <row r="61" spans="4:40">
      <c r="E61" s="47" t="s">
        <v>27</v>
      </c>
      <c r="F61" s="88" cm="1">
        <f t="array" ref="F61" xml:space="preserve"> IF( INDEX( $K61:$AN61, selector ) = "", INDEX( $K61:$AN61, , 1 ), INDEX( $K61:$AN61, 1, selector ))</f>
        <v>24</v>
      </c>
      <c r="G61" s="125" t="s">
        <v>26</v>
      </c>
      <c r="I61" s="144" t="str">
        <f t="shared" si="7"/>
        <v>vw</v>
      </c>
      <c r="K61" s="112">
        <v>24</v>
      </c>
      <c r="L61" s="133"/>
      <c r="M61" s="134"/>
      <c r="N61" s="134"/>
      <c r="O61" s="134"/>
      <c r="P61" s="135"/>
      <c r="Q61" s="133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</row>
    <row r="62" spans="4:40">
      <c r="E62" s="47" t="s">
        <v>28</v>
      </c>
      <c r="F62" s="83" cm="1">
        <f t="array" ref="F62" xml:space="preserve"> IF( INDEX( $K62:$AN62, selector ) = "", INDEX( $K62:$AN62, , 1 ), INDEX( $K62:$AN62, 1, selector ))</f>
        <v>0.05</v>
      </c>
      <c r="G62" s="125" t="s">
        <v>3</v>
      </c>
      <c r="I62" s="144" t="str">
        <f t="shared" si="7"/>
        <v>vw</v>
      </c>
      <c r="K62" s="110">
        <v>0.05</v>
      </c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>
        <v>5.5E-2</v>
      </c>
      <c r="Z62" s="137">
        <v>4.4999999999999998E-2</v>
      </c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</row>
    <row r="63" spans="4:40">
      <c r="H63" s="7"/>
      <c r="I63" s="144"/>
      <c r="K63" s="108"/>
      <c r="L63" s="131"/>
      <c r="M63" s="131"/>
      <c r="N63" s="131"/>
      <c r="O63" s="131"/>
      <c r="P63" s="132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</row>
    <row r="64" spans="4:40" ht="14.4">
      <c r="D64" s="43" t="s">
        <v>29</v>
      </c>
      <c r="H64" s="7"/>
      <c r="I64" s="144"/>
      <c r="K64" s="108"/>
      <c r="L64" s="131"/>
      <c r="M64" s="131"/>
      <c r="N64" s="131"/>
      <c r="O64" s="131"/>
      <c r="P64" s="132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</row>
    <row r="65" spans="5:40">
      <c r="E65" s="47" t="s">
        <v>30</v>
      </c>
      <c r="F65" s="82" cm="1">
        <f t="array" ref="F65" xml:space="preserve"> IF( INDEX( $K65:$AN65, selector ) = "", INDEX( $K65:$AN65, , 1 ), INDEX( $K65:$AN65, 1, selector ))</f>
        <v>5000</v>
      </c>
      <c r="G65" s="125" t="s">
        <v>16</v>
      </c>
      <c r="I65" s="144" t="str">
        <f t="shared" ref="I65" si="8" xml:space="preserve"> IF( $F65 = $K65, "vw", "tu" )</f>
        <v>vw</v>
      </c>
      <c r="K65" s="111">
        <v>5000</v>
      </c>
      <c r="L65" s="133"/>
      <c r="M65" s="134">
        <v>4500</v>
      </c>
      <c r="N65" s="134">
        <v>6000</v>
      </c>
      <c r="O65" s="134"/>
      <c r="P65" s="135"/>
      <c r="Q65" s="133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</row>
    <row r="66" spans="5:40">
      <c r="F66" s="89"/>
      <c r="H66" s="7"/>
      <c r="I66" s="144"/>
      <c r="K66" s="108"/>
      <c r="L66" s="131"/>
      <c r="M66" s="131"/>
      <c r="N66" s="131"/>
      <c r="O66" s="131"/>
      <c r="P66" s="132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</row>
    <row r="67" spans="5:40">
      <c r="E67" s="47" t="s">
        <v>31</v>
      </c>
      <c r="H67" s="7"/>
      <c r="I67" s="144"/>
      <c r="K67" s="108"/>
      <c r="L67" s="131"/>
      <c r="M67" s="131"/>
      <c r="N67" s="131"/>
      <c r="O67" s="131"/>
      <c r="P67" s="132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</row>
    <row r="68" spans="5:40">
      <c r="F68" s="89"/>
      <c r="H68" s="7"/>
      <c r="I68" s="144"/>
      <c r="K68" s="108"/>
      <c r="L68" s="131"/>
      <c r="M68" s="131"/>
      <c r="N68" s="131"/>
      <c r="O68" s="131"/>
      <c r="P68" s="132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</row>
    <row r="69" spans="5:40">
      <c r="F69" s="84" t="s">
        <v>32</v>
      </c>
      <c r="H69" s="7"/>
      <c r="I69" s="144"/>
      <c r="K69" s="108"/>
      <c r="L69" s="131"/>
      <c r="M69" s="131"/>
      <c r="N69" s="131"/>
      <c r="O69" s="131"/>
      <c r="P69" s="132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</row>
    <row r="70" spans="5:40">
      <c r="E70" s="47" t="s">
        <v>21</v>
      </c>
      <c r="F70" s="90" t="s">
        <v>22</v>
      </c>
      <c r="H70" s="7"/>
      <c r="I70" s="144"/>
      <c r="K70" s="108"/>
      <c r="L70" s="131"/>
      <c r="M70" s="131"/>
      <c r="N70" s="131"/>
      <c r="O70" s="131"/>
      <c r="P70" s="132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</row>
    <row r="71" spans="5:40">
      <c r="E71" s="52">
        <f>YEAR($F$15)+1</f>
        <v>2022</v>
      </c>
      <c r="F71" s="91" cm="1">
        <f t="array" ref="F71" xml:space="preserve"> IF( INDEX( $K71:$AN71, selector ) = "", INDEX( $K71:$AN71, , 1 ), INDEX( $K71:$AN71, 1, selector ))</f>
        <v>0</v>
      </c>
      <c r="H71" s="7"/>
      <c r="I71" s="144" t="str">
        <f t="shared" ref="I71:I82" si="9" xml:space="preserve"> IF( $F71 = $K71, "vw", "tu" )</f>
        <v>vw</v>
      </c>
      <c r="K71" s="110">
        <v>0</v>
      </c>
      <c r="L71" s="136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>
        <v>0</v>
      </c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</row>
    <row r="72" spans="5:40">
      <c r="E72" s="49">
        <f t="shared" ref="E72:E80" si="10">E71+1</f>
        <v>2023</v>
      </c>
      <c r="F72" s="92" cm="1">
        <f t="array" ref="F72" xml:space="preserve"> IF( INDEX( $K72:$AN72, selector ) = "", INDEX( $K72:$AN72, , 1 ), INDEX( $K72:$AN72, 1, selector ))</f>
        <v>3.5000000000000003E-2</v>
      </c>
      <c r="G72" s="125" t="s">
        <v>3</v>
      </c>
      <c r="H72" s="7"/>
      <c r="I72" s="144" t="str">
        <f t="shared" si="9"/>
        <v>tu</v>
      </c>
      <c r="K72" s="110">
        <v>0.03</v>
      </c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>
        <v>3.5000000000000003E-2</v>
      </c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</row>
    <row r="73" spans="5:40">
      <c r="E73" s="50">
        <f t="shared" si="10"/>
        <v>2024</v>
      </c>
      <c r="F73" s="83" cm="1">
        <f t="array" ref="F73" xml:space="preserve"> IF( INDEX( $K73:$AN73, selector ) = "", INDEX( $K73:$AN73, , 1 ), INDEX( $K73:$AN73, 1, selector ))</f>
        <v>3.5000000000000003E-2</v>
      </c>
      <c r="G73" s="125" t="s">
        <v>3</v>
      </c>
      <c r="H73" s="7"/>
      <c r="I73" s="144" t="str">
        <f t="shared" si="9"/>
        <v>tu</v>
      </c>
      <c r="K73" s="110">
        <v>0.03</v>
      </c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>
        <v>3.5000000000000003E-2</v>
      </c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</row>
    <row r="74" spans="5:40">
      <c r="E74" s="50">
        <f t="shared" si="10"/>
        <v>2025</v>
      </c>
      <c r="F74" s="83" cm="1">
        <f t="array" ref="F74" xml:space="preserve"> IF( INDEX( $K74:$AN74, selector ) = "", INDEX( $K74:$AN74, , 1 ), INDEX( $K74:$AN74, 1, selector ))</f>
        <v>3.5000000000000003E-2</v>
      </c>
      <c r="G74" s="125" t="s">
        <v>3</v>
      </c>
      <c r="H74" s="7"/>
      <c r="I74" s="144" t="str">
        <f t="shared" si="9"/>
        <v>tu</v>
      </c>
      <c r="K74" s="110">
        <v>0.03</v>
      </c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>
        <v>3.5000000000000003E-2</v>
      </c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</row>
    <row r="75" spans="5:40">
      <c r="E75" s="50">
        <f t="shared" si="10"/>
        <v>2026</v>
      </c>
      <c r="F75" s="83" cm="1">
        <f t="array" ref="F75" xml:space="preserve"> IF( INDEX( $K75:$AN75, selector ) = "", INDEX( $K75:$AN75, , 1 ), INDEX( $K75:$AN75, 1, selector ))</f>
        <v>3.5000000000000003E-2</v>
      </c>
      <c r="G75" s="125" t="s">
        <v>3</v>
      </c>
      <c r="H75" s="7"/>
      <c r="I75" s="144" t="str">
        <f t="shared" si="9"/>
        <v>tu</v>
      </c>
      <c r="K75" s="110">
        <v>0.03</v>
      </c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>
        <v>3.5000000000000003E-2</v>
      </c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</row>
    <row r="76" spans="5:40">
      <c r="E76" s="50">
        <f t="shared" si="10"/>
        <v>2027</v>
      </c>
      <c r="F76" s="83" cm="1">
        <f t="array" ref="F76" xml:space="preserve"> IF( INDEX( $K76:$AN76, selector ) = "", INDEX( $K76:$AN76, , 1 ), INDEX( $K76:$AN76, 1, selector ))</f>
        <v>0.105</v>
      </c>
      <c r="G76" s="125" t="s">
        <v>3</v>
      </c>
      <c r="H76" s="7"/>
      <c r="I76" s="144" t="str">
        <f t="shared" si="9"/>
        <v>tu</v>
      </c>
      <c r="K76" s="110">
        <v>0.1</v>
      </c>
      <c r="L76" s="137"/>
      <c r="M76" s="137"/>
      <c r="N76" s="137"/>
      <c r="O76" s="137">
        <v>0.12</v>
      </c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>
        <v>0.105</v>
      </c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</row>
    <row r="77" spans="5:40">
      <c r="E77" s="50">
        <f t="shared" si="10"/>
        <v>2028</v>
      </c>
      <c r="F77" s="83" cm="1">
        <f t="array" ref="F77" xml:space="preserve"> IF( INDEX( $K77:$AN77, selector ) = "", INDEX( $K77:$AN77, , 1 ), INDEX( $K77:$AN77, 1, selector ))</f>
        <v>3.5000000000000003E-2</v>
      </c>
      <c r="G77" s="125" t="s">
        <v>3</v>
      </c>
      <c r="H77" s="7"/>
      <c r="I77" s="144" t="str">
        <f t="shared" si="9"/>
        <v>tu</v>
      </c>
      <c r="K77" s="110">
        <v>0.03</v>
      </c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>
        <v>3.5000000000000003E-2</v>
      </c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</row>
    <row r="78" spans="5:40">
      <c r="E78" s="50">
        <f t="shared" si="10"/>
        <v>2029</v>
      </c>
      <c r="F78" s="83" cm="1">
        <f t="array" ref="F78" xml:space="preserve"> IF( INDEX( $K78:$AN78, selector ) = "", INDEX( $K78:$AN78, , 1 ), INDEX( $K78:$AN78, 1, selector ))</f>
        <v>3.5000000000000003E-2</v>
      </c>
      <c r="G78" s="125" t="s">
        <v>3</v>
      </c>
      <c r="H78" s="7"/>
      <c r="I78" s="144" t="str">
        <f t="shared" si="9"/>
        <v>tu</v>
      </c>
      <c r="K78" s="110">
        <v>0.03</v>
      </c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>
        <v>3.5000000000000003E-2</v>
      </c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</row>
    <row r="79" spans="5:40">
      <c r="E79" s="50">
        <f t="shared" si="10"/>
        <v>2030</v>
      </c>
      <c r="F79" s="83" cm="1">
        <f t="array" ref="F79" xml:space="preserve"> IF( INDEX( $K79:$AN79, selector ) = "", INDEX( $K79:$AN79, , 1 ), INDEX( $K79:$AN79, 1, selector ))</f>
        <v>3.5000000000000003E-2</v>
      </c>
      <c r="G79" s="125" t="s">
        <v>3</v>
      </c>
      <c r="H79" s="7"/>
      <c r="I79" s="144" t="str">
        <f t="shared" si="9"/>
        <v>tu</v>
      </c>
      <c r="K79" s="110">
        <v>0.03</v>
      </c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>
        <v>3.5000000000000003E-2</v>
      </c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</row>
    <row r="80" spans="5:40">
      <c r="E80" s="50">
        <f t="shared" si="10"/>
        <v>2031</v>
      </c>
      <c r="F80" s="83" cm="1">
        <f t="array" ref="F80" xml:space="preserve"> IF( INDEX( $K80:$AN80, selector ) = "", INDEX( $K80:$AN80, , 1 ), INDEX( $K80:$AN80, 1, selector ))</f>
        <v>3.5000000000000003E-2</v>
      </c>
      <c r="G80" s="125" t="s">
        <v>3</v>
      </c>
      <c r="H80" s="7"/>
      <c r="I80" s="144" t="str">
        <f t="shared" si="9"/>
        <v>tu</v>
      </c>
      <c r="K80" s="110">
        <v>0.03</v>
      </c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>
        <v>3.5000000000000003E-2</v>
      </c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</row>
    <row r="81" spans="1:40">
      <c r="F81" s="89"/>
      <c r="H81" s="7"/>
      <c r="I81" s="144"/>
      <c r="K81" s="108"/>
      <c r="L81" s="131"/>
      <c r="M81" s="131"/>
      <c r="N81" s="131"/>
      <c r="O81" s="131"/>
      <c r="P81" s="132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</row>
    <row r="82" spans="1:40">
      <c r="E82" s="51" t="s">
        <v>33</v>
      </c>
      <c r="F82" s="117" cm="1">
        <f t="array" ref="F82" xml:space="preserve"> IF( INDEX( $K82:$AN82, selector ) = "", INDEX( $K82:$AN82, , 1 ), INDEX( $K82:$AN82, 1, selector ))</f>
        <v>12</v>
      </c>
      <c r="G82" s="125" t="s">
        <v>34</v>
      </c>
      <c r="I82" s="144" t="str">
        <f t="shared" si="9"/>
        <v>vw</v>
      </c>
      <c r="K82" s="111">
        <v>12</v>
      </c>
      <c r="L82" s="133"/>
      <c r="M82" s="134"/>
      <c r="N82" s="134">
        <v>13</v>
      </c>
      <c r="O82" s="134"/>
      <c r="P82" s="135"/>
      <c r="Q82" s="133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</row>
    <row r="83" spans="1:40">
      <c r="H83" s="7"/>
      <c r="I83" s="144"/>
      <c r="K83" s="108"/>
      <c r="L83" s="131"/>
      <c r="M83" s="131"/>
      <c r="N83" s="131"/>
      <c r="O83" s="131"/>
      <c r="P83" s="132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</row>
    <row r="84" spans="1:40">
      <c r="H84" s="7"/>
      <c r="I84" s="144"/>
      <c r="K84" s="108"/>
      <c r="L84" s="131"/>
      <c r="M84" s="131"/>
      <c r="N84" s="131"/>
      <c r="O84" s="131"/>
      <c r="P84" s="132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</row>
    <row r="85" spans="1:40">
      <c r="A85" s="3"/>
      <c r="B85" s="61" t="s">
        <v>35</v>
      </c>
      <c r="C85" s="62"/>
      <c r="D85" s="62"/>
      <c r="H85" s="63"/>
      <c r="I85" s="144"/>
      <c r="K85" s="108"/>
      <c r="L85" s="131"/>
      <c r="M85" s="131"/>
      <c r="N85" s="131"/>
      <c r="O85" s="131"/>
      <c r="P85" s="132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</row>
    <row r="86" spans="1:40">
      <c r="E86" s="53"/>
      <c r="H86" s="7"/>
      <c r="I86" s="144"/>
      <c r="K86" s="108"/>
      <c r="L86" s="131"/>
      <c r="M86" s="131"/>
      <c r="N86" s="131"/>
      <c r="O86" s="131"/>
      <c r="P86" s="132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</row>
    <row r="87" spans="1:40" ht="14.4">
      <c r="D87" s="43" t="s">
        <v>36</v>
      </c>
      <c r="H87" s="7"/>
      <c r="I87" s="144"/>
      <c r="K87" s="108"/>
      <c r="L87" s="131"/>
      <c r="M87" s="131"/>
      <c r="N87" s="131"/>
      <c r="O87" s="131"/>
      <c r="P87" s="132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</row>
    <row r="88" spans="1:40">
      <c r="E88" s="47" t="s">
        <v>37</v>
      </c>
      <c r="F88" s="82" cm="1">
        <f t="array" ref="F88" xml:space="preserve"> IF( INDEX( $K88:$AN88, selector ) = "", INDEX( $K88:$AN88, , 1 ), INDEX( $K88:$AN88, 1, selector ))</f>
        <v>380000</v>
      </c>
      <c r="G88" s="125" t="s">
        <v>4</v>
      </c>
      <c r="I88" s="144" t="str">
        <f t="shared" ref="I88:I89" si="11" xml:space="preserve"> IF( $F88 = $K88, "vw", "tu" )</f>
        <v>vw</v>
      </c>
      <c r="K88" s="111">
        <v>380000</v>
      </c>
      <c r="L88" s="133"/>
      <c r="M88" s="134"/>
      <c r="N88" s="134">
        <v>420000</v>
      </c>
      <c r="O88" s="134"/>
      <c r="P88" s="135"/>
      <c r="Q88" s="133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</row>
    <row r="89" spans="1:40">
      <c r="E89" s="47" t="s">
        <v>38</v>
      </c>
      <c r="F89" s="83" cm="1">
        <f t="array" ref="F89" xml:space="preserve"> IF( INDEX( $K89:$AN89, selector ) = "", INDEX( $K89:$AN89, , 1 ), INDEX( $K89:$AN89, 1, selector ))</f>
        <v>3.5000000000000003E-2</v>
      </c>
      <c r="G89" s="125" t="s">
        <v>3</v>
      </c>
      <c r="I89" s="144" t="str">
        <f t="shared" si="11"/>
        <v>vw</v>
      </c>
      <c r="K89" s="110">
        <v>3.5000000000000003E-2</v>
      </c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>
        <v>0.04</v>
      </c>
      <c r="AD89" s="137">
        <v>0.03</v>
      </c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</row>
    <row r="90" spans="1:40">
      <c r="G90" s="125"/>
      <c r="I90" s="144"/>
      <c r="K90" s="108"/>
      <c r="L90" s="131"/>
      <c r="M90" s="131"/>
      <c r="N90" s="131"/>
      <c r="O90" s="131"/>
      <c r="P90" s="132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</row>
    <row r="91" spans="1:40" ht="14.4">
      <c r="D91" s="43" t="s">
        <v>39</v>
      </c>
      <c r="G91" s="125"/>
      <c r="I91" s="144"/>
      <c r="K91" s="108"/>
      <c r="L91" s="131"/>
      <c r="M91" s="131"/>
      <c r="N91" s="131"/>
      <c r="O91" s="131"/>
      <c r="P91" s="132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</row>
    <row r="92" spans="1:40">
      <c r="E92" s="47" t="s">
        <v>40</v>
      </c>
      <c r="F92" s="82" cm="1">
        <f t="array" ref="F92" xml:space="preserve"> IF( INDEX( $K92:$AN92, selector ) = "", INDEX( $K92:$AN92, , 1 ), INDEX( $K92:$AN92, 1, selector ))</f>
        <v>500</v>
      </c>
      <c r="G92" s="125" t="s">
        <v>4</v>
      </c>
      <c r="I92" s="144" t="str">
        <f t="shared" ref="I92:I94" si="12" xml:space="preserve"> IF( $F92 = $K92, "vw", "tu" )</f>
        <v>vw</v>
      </c>
      <c r="K92" s="111">
        <v>500</v>
      </c>
      <c r="L92" s="138"/>
      <c r="M92" s="139"/>
      <c r="N92" s="139"/>
      <c r="O92" s="139"/>
      <c r="P92" s="140"/>
      <c r="Q92" s="138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  <c r="AK92" s="139"/>
      <c r="AL92" s="139"/>
      <c r="AM92" s="139"/>
      <c r="AN92" s="139"/>
    </row>
    <row r="93" spans="1:40">
      <c r="E93" s="47" t="s">
        <v>41</v>
      </c>
      <c r="F93" s="82" cm="1">
        <f t="array" ref="F93" xml:space="preserve"> IF( INDEX( $K93:$AN93, selector ) = "", INDEX( $K93:$AN93, , 1 ), INDEX( $K93:$AN93, 1, selector ))</f>
        <v>10</v>
      </c>
      <c r="G93" s="125" t="s">
        <v>4</v>
      </c>
      <c r="I93" s="144" t="str">
        <f t="shared" si="12"/>
        <v>vw</v>
      </c>
      <c r="K93" s="111">
        <v>10</v>
      </c>
      <c r="L93" s="138"/>
      <c r="M93" s="139"/>
      <c r="N93" s="139"/>
      <c r="O93" s="139"/>
      <c r="P93" s="140"/>
      <c r="Q93" s="138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</row>
    <row r="94" spans="1:40">
      <c r="E94" s="47" t="s">
        <v>42</v>
      </c>
      <c r="F94" s="83" cm="1">
        <f t="array" ref="F94" xml:space="preserve"> IF( INDEX( $K94:$AN94, selector ) = "", INDEX( $K94:$AN94, , 1 ), INDEX( $K94:$AN94, 1, selector ))</f>
        <v>3.5000000000000003E-2</v>
      </c>
      <c r="G94" s="125" t="s">
        <v>3</v>
      </c>
      <c r="I94" s="144" t="str">
        <f t="shared" si="12"/>
        <v>vw</v>
      </c>
      <c r="K94" s="110">
        <v>3.5000000000000003E-2</v>
      </c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>
        <v>0.04</v>
      </c>
      <c r="AF94" s="137">
        <v>0.03</v>
      </c>
      <c r="AG94" s="137"/>
      <c r="AH94" s="137"/>
      <c r="AI94" s="137"/>
      <c r="AJ94" s="137"/>
      <c r="AK94" s="137"/>
      <c r="AL94" s="137"/>
      <c r="AM94" s="137"/>
      <c r="AN94" s="137"/>
    </row>
    <row r="95" spans="1:40">
      <c r="H95" s="7"/>
      <c r="I95" s="144"/>
      <c r="K95" s="108"/>
      <c r="L95" s="131"/>
      <c r="M95" s="131"/>
      <c r="N95" s="131"/>
      <c r="O95" s="131"/>
      <c r="P95" s="132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</row>
    <row r="96" spans="1:40">
      <c r="H96" s="7"/>
      <c r="I96" s="144"/>
      <c r="K96" s="108"/>
      <c r="L96" s="131"/>
      <c r="M96" s="131"/>
      <c r="N96" s="131"/>
      <c r="O96" s="131"/>
      <c r="P96" s="132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</row>
    <row r="97" spans="1:40">
      <c r="A97" s="3"/>
      <c r="B97" s="64" t="s">
        <v>216</v>
      </c>
      <c r="C97" s="62"/>
      <c r="D97" s="62"/>
      <c r="E97" s="6"/>
      <c r="H97" s="63"/>
      <c r="I97" s="144"/>
      <c r="K97" s="108"/>
      <c r="L97" s="131"/>
      <c r="M97" s="131"/>
      <c r="N97" s="131"/>
      <c r="O97" s="131"/>
      <c r="P97" s="132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</row>
    <row r="98" spans="1:40">
      <c r="E98" s="53"/>
      <c r="H98" s="7"/>
      <c r="I98" s="144"/>
      <c r="K98" s="108"/>
      <c r="L98" s="131"/>
      <c r="M98" s="131"/>
      <c r="N98" s="131"/>
      <c r="O98" s="131"/>
      <c r="P98" s="132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</row>
    <row r="99" spans="1:40">
      <c r="E99" s="6" t="s">
        <v>43</v>
      </c>
      <c r="F99" s="93" cm="1">
        <f t="array" ref="F99" xml:space="preserve"> IF( INDEX( $K99:$AN99, selector ) = "", INDEX( $K99:$AN99, , 1 ), INDEX( $K99:$AN99, 1, selector ))</f>
        <v>500000</v>
      </c>
      <c r="G99" s="125" t="s">
        <v>4</v>
      </c>
      <c r="I99" s="144" t="str">
        <f t="shared" ref="I99:I101" si="13" xml:space="preserve"> IF( $F99 = $K99, "vw", "tu" )</f>
        <v>vw</v>
      </c>
      <c r="K99" s="111">
        <v>500000</v>
      </c>
      <c r="L99" s="133"/>
      <c r="M99" s="134"/>
      <c r="N99" s="134"/>
      <c r="O99" s="134">
        <v>800000</v>
      </c>
      <c r="P99" s="135"/>
      <c r="Q99" s="133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</row>
    <row r="100" spans="1:40">
      <c r="E100" s="6" t="s">
        <v>44</v>
      </c>
      <c r="F100" s="94" cm="1">
        <f t="array" ref="F100" xml:space="preserve"> IF( INDEX( $K100:$AN100, selector ) = "", INDEX( $K100:$AN100, , 1 ), INDEX( $K100:$AN100, 1, selector ))</f>
        <v>2025</v>
      </c>
      <c r="G100" s="125" t="s">
        <v>45</v>
      </c>
      <c r="I100" s="144" t="str">
        <f t="shared" si="13"/>
        <v>vw</v>
      </c>
      <c r="K100" s="111">
        <v>2025</v>
      </c>
      <c r="L100" s="133"/>
      <c r="M100" s="134"/>
      <c r="N100" s="134"/>
      <c r="O100" s="134"/>
      <c r="P100" s="135"/>
      <c r="Q100" s="133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</row>
    <row r="101" spans="1:40">
      <c r="E101" s="6" t="s">
        <v>215</v>
      </c>
      <c r="F101" s="82" cm="1">
        <f t="array" ref="F101" xml:space="preserve"> IF( INDEX( $K101:$AN101, selector ) = "", INDEX( $K101:$AN101, , 1 ), INDEX( $K101:$AN101, 1, selector ))</f>
        <v>8</v>
      </c>
      <c r="G101" s="125" t="s">
        <v>47</v>
      </c>
      <c r="I101" s="144" t="str">
        <f t="shared" si="13"/>
        <v>vw</v>
      </c>
      <c r="K101" s="111">
        <v>8</v>
      </c>
      <c r="L101" s="133"/>
      <c r="M101" s="134"/>
      <c r="N101" s="134"/>
      <c r="O101" s="134"/>
      <c r="P101" s="135"/>
      <c r="Q101" s="133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</row>
    <row r="102" spans="1:40">
      <c r="E102" s="6" t="s">
        <v>48</v>
      </c>
      <c r="F102" s="58">
        <f>F99/F101</f>
        <v>62500</v>
      </c>
      <c r="G102" s="125" t="s">
        <v>4</v>
      </c>
      <c r="I102" s="144"/>
      <c r="K102" s="108"/>
      <c r="L102" s="131"/>
      <c r="M102" s="131"/>
      <c r="N102" s="131"/>
      <c r="O102" s="131"/>
      <c r="P102" s="132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</row>
    <row r="103" spans="1:40">
      <c r="E103" s="6"/>
      <c r="G103" s="125"/>
      <c r="I103" s="144"/>
      <c r="K103" s="108"/>
      <c r="L103" s="131"/>
      <c r="M103" s="131"/>
      <c r="N103" s="131"/>
      <c r="O103" s="131"/>
      <c r="P103" s="132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</row>
    <row r="104" spans="1:40">
      <c r="H104" s="7"/>
      <c r="I104" s="144"/>
      <c r="K104" s="108"/>
      <c r="L104" s="131"/>
      <c r="M104" s="131"/>
      <c r="N104" s="131"/>
      <c r="O104" s="131"/>
      <c r="P104" s="132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</row>
    <row r="105" spans="1:40">
      <c r="A105" s="3"/>
      <c r="B105" s="64" t="s">
        <v>49</v>
      </c>
      <c r="C105" s="62"/>
      <c r="D105" s="62"/>
      <c r="E105" s="6"/>
      <c r="H105" s="63"/>
      <c r="I105" s="144"/>
      <c r="K105" s="108"/>
      <c r="L105" s="131"/>
      <c r="M105" s="131"/>
      <c r="N105" s="131"/>
      <c r="O105" s="131"/>
      <c r="P105" s="132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</row>
    <row r="106" spans="1:40">
      <c r="E106" s="53"/>
      <c r="H106" s="7"/>
      <c r="I106" s="144"/>
      <c r="K106" s="108"/>
      <c r="L106" s="131"/>
      <c r="M106" s="131"/>
      <c r="N106" s="131"/>
      <c r="O106" s="131"/>
      <c r="P106" s="132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</row>
    <row r="107" spans="1:40" ht="14.4">
      <c r="D107" s="43" t="s">
        <v>5</v>
      </c>
      <c r="E107" s="6"/>
      <c r="H107" s="7"/>
      <c r="I107" s="144"/>
      <c r="K107" s="108"/>
      <c r="L107" s="131"/>
      <c r="M107" s="131"/>
      <c r="N107" s="131"/>
      <c r="O107" s="131"/>
      <c r="P107" s="132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</row>
    <row r="108" spans="1:40">
      <c r="E108" s="6" t="s">
        <v>50</v>
      </c>
      <c r="F108" s="83" cm="1">
        <f t="array" ref="F108" xml:space="preserve"> IF( INDEX( $K108:$AN108, selector ) = "", INDEX( $K108:$AN108, , 1 ), INDEX( $K108:$AN108, 1, selector ))</f>
        <v>0.6</v>
      </c>
      <c r="G108" s="125" t="s">
        <v>3</v>
      </c>
      <c r="I108" s="144" t="str">
        <f t="shared" ref="I108:I112" si="14" xml:space="preserve"> IF( $F108 = $K108, "vw", "tu" )</f>
        <v>vw</v>
      </c>
      <c r="K108" s="110">
        <v>0.6</v>
      </c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>
        <v>0.8</v>
      </c>
      <c r="AJ108" s="137">
        <v>0.4</v>
      </c>
      <c r="AK108" s="137"/>
      <c r="AL108" s="137"/>
      <c r="AM108" s="137"/>
      <c r="AN108" s="137"/>
    </row>
    <row r="109" spans="1:40">
      <c r="E109" s="6" t="s">
        <v>51</v>
      </c>
      <c r="F109" s="58">
        <f>F108*F16</f>
        <v>1200000</v>
      </c>
      <c r="G109" s="125" t="s">
        <v>4</v>
      </c>
      <c r="I109" s="144"/>
      <c r="K109" s="108"/>
      <c r="L109" s="131"/>
      <c r="M109" s="131"/>
      <c r="N109" s="131"/>
      <c r="O109" s="131"/>
      <c r="P109" s="132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</row>
    <row r="110" spans="1:40">
      <c r="E110" s="6" t="s">
        <v>52</v>
      </c>
      <c r="F110" s="117" cm="1">
        <f t="array" ref="F110" xml:space="preserve"> IF( INDEX( $K110:$AN110, selector ) = "", INDEX( $K110:$AN110, , 1 ), INDEX( $K110:$AN110, 1, selector ))</f>
        <v>8</v>
      </c>
      <c r="G110" s="125" t="s">
        <v>47</v>
      </c>
      <c r="I110" s="144" t="str">
        <f t="shared" si="14"/>
        <v>vw</v>
      </c>
      <c r="K110" s="111">
        <v>8</v>
      </c>
      <c r="L110" s="138"/>
      <c r="M110" s="139"/>
      <c r="N110" s="139"/>
      <c r="O110" s="139"/>
      <c r="P110" s="140"/>
      <c r="Q110" s="138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9"/>
      <c r="AM110" s="139"/>
      <c r="AN110" s="139"/>
    </row>
    <row r="111" spans="1:40">
      <c r="E111" s="6" t="s">
        <v>53</v>
      </c>
      <c r="F111" s="58">
        <f>F109/F110</f>
        <v>150000</v>
      </c>
      <c r="G111" s="125" t="s">
        <v>4</v>
      </c>
      <c r="I111" s="144"/>
      <c r="K111" s="108"/>
      <c r="L111" s="131"/>
      <c r="M111" s="131"/>
      <c r="N111" s="131"/>
      <c r="O111" s="131"/>
      <c r="P111" s="132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</row>
    <row r="112" spans="1:40">
      <c r="E112" s="6" t="s">
        <v>54</v>
      </c>
      <c r="F112" s="83" cm="1">
        <f t="array" ref="F112" xml:space="preserve"> IF( INDEX( $K112:$AN112, selector ) = "", INDEX( $K112:$AN112, , 1 ), INDEX( $K112:$AN112, 1, selector ))</f>
        <v>0.05</v>
      </c>
      <c r="G112" s="125" t="s">
        <v>3</v>
      </c>
      <c r="I112" s="144" t="str">
        <f t="shared" si="14"/>
        <v>vw</v>
      </c>
      <c r="K112" s="110">
        <v>0.05</v>
      </c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>
        <v>5.5E-2</v>
      </c>
      <c r="AH112" s="137"/>
      <c r="AI112" s="137"/>
      <c r="AJ112" s="137"/>
      <c r="AK112" s="137"/>
      <c r="AL112" s="137"/>
      <c r="AM112" s="137"/>
      <c r="AN112" s="137"/>
    </row>
    <row r="113" spans="1:40">
      <c r="E113" s="6"/>
      <c r="G113" s="125"/>
      <c r="I113" s="144"/>
      <c r="K113" s="108"/>
      <c r="L113" s="131"/>
      <c r="M113" s="131"/>
      <c r="N113" s="131"/>
      <c r="O113" s="131"/>
      <c r="P113" s="132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</row>
    <row r="114" spans="1:40" ht="14.4">
      <c r="D114" s="43" t="s">
        <v>55</v>
      </c>
      <c r="E114" s="6"/>
      <c r="G114" s="125"/>
      <c r="I114" s="144"/>
      <c r="K114" s="108"/>
      <c r="L114" s="131"/>
      <c r="M114" s="131"/>
      <c r="N114" s="131"/>
      <c r="O114" s="131"/>
      <c r="P114" s="132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</row>
    <row r="115" spans="1:40">
      <c r="E115" s="6" t="s">
        <v>56</v>
      </c>
      <c r="F115" s="83" cm="1">
        <f t="array" ref="F115" xml:space="preserve"> IF( INDEX( $K115:$AN115, selector ) = "", INDEX( $K115:$AN115, , 1 ), INDEX( $K115:$AN115, 1, selector ))</f>
        <v>0.8</v>
      </c>
      <c r="G115" s="125" t="s">
        <v>3</v>
      </c>
      <c r="I115" s="144" t="str">
        <f t="shared" ref="I115:I119" si="15" xml:space="preserve"> IF( $F115 = $K115, "vw", "tu" )</f>
        <v>vw</v>
      </c>
      <c r="K115" s="110">
        <v>0.8</v>
      </c>
      <c r="L115" s="137"/>
      <c r="M115" s="137"/>
      <c r="N115" s="137"/>
      <c r="O115" s="137">
        <v>0.5</v>
      </c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>
        <v>0.9</v>
      </c>
      <c r="AL115" s="137">
        <v>0.7</v>
      </c>
      <c r="AM115" s="137"/>
      <c r="AN115" s="137"/>
    </row>
    <row r="116" spans="1:40">
      <c r="E116" s="6" t="s">
        <v>57</v>
      </c>
      <c r="F116" s="58">
        <f>F99*F115</f>
        <v>400000</v>
      </c>
      <c r="G116" s="125" t="s">
        <v>4</v>
      </c>
      <c r="I116" s="144"/>
      <c r="K116" s="108"/>
      <c r="L116" s="131"/>
      <c r="M116" s="131"/>
      <c r="N116" s="131"/>
      <c r="O116" s="131"/>
      <c r="P116" s="132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</row>
    <row r="117" spans="1:40">
      <c r="E117" s="6" t="s">
        <v>52</v>
      </c>
      <c r="F117" s="82" cm="1">
        <f t="array" ref="F117" xml:space="preserve"> IF( INDEX( $K117:$AN117, selector ) = "", INDEX( $K117:$AN117, , 1 ), INDEX( $K117:$AN117, 1, selector ))</f>
        <v>6</v>
      </c>
      <c r="G117" s="125" t="s">
        <v>47</v>
      </c>
      <c r="I117" s="144" t="str">
        <f t="shared" si="15"/>
        <v>vw</v>
      </c>
      <c r="K117" s="111">
        <v>6</v>
      </c>
      <c r="L117" s="138"/>
      <c r="M117" s="139"/>
      <c r="N117" s="139"/>
      <c r="O117" s="139"/>
      <c r="P117" s="140"/>
      <c r="Q117" s="138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</row>
    <row r="118" spans="1:40">
      <c r="E118" s="6" t="s">
        <v>53</v>
      </c>
      <c r="F118" s="58">
        <f>F116/F117</f>
        <v>66666.666666666672</v>
      </c>
      <c r="G118" s="125" t="s">
        <v>4</v>
      </c>
      <c r="I118" s="144"/>
      <c r="K118" s="108"/>
      <c r="L118" s="131"/>
      <c r="M118" s="131"/>
      <c r="N118" s="131"/>
      <c r="O118" s="131"/>
      <c r="P118" s="132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</row>
    <row r="119" spans="1:40">
      <c r="E119" s="6" t="s">
        <v>54</v>
      </c>
      <c r="F119" s="83" cm="1">
        <f t="array" ref="F119" xml:space="preserve"> IF( INDEX( $K119:$AN119, selector ) = "", INDEX( $K119:$AN119, , 1 ), INDEX( $K119:$AN119, 1, selector ))</f>
        <v>0.06</v>
      </c>
      <c r="G119" s="125" t="s">
        <v>3</v>
      </c>
      <c r="I119" s="144" t="str">
        <f t="shared" si="15"/>
        <v>vw</v>
      </c>
      <c r="K119" s="110">
        <v>0.06</v>
      </c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>
        <v>6.5000000000000002E-2</v>
      </c>
      <c r="AI119" s="137"/>
      <c r="AJ119" s="137"/>
      <c r="AK119" s="137"/>
      <c r="AL119" s="137"/>
      <c r="AM119" s="137"/>
      <c r="AN119" s="137"/>
    </row>
    <row r="120" spans="1:40">
      <c r="E120" s="6"/>
      <c r="F120" s="57"/>
      <c r="G120" s="125"/>
      <c r="I120" s="144"/>
      <c r="K120" s="108"/>
      <c r="L120" s="131"/>
      <c r="M120" s="131"/>
      <c r="N120" s="131"/>
      <c r="O120" s="131"/>
      <c r="P120" s="132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</row>
    <row r="121" spans="1:40">
      <c r="H121" s="7"/>
      <c r="I121" s="144"/>
      <c r="K121" s="108"/>
      <c r="L121" s="131"/>
      <c r="M121" s="131"/>
      <c r="N121" s="131"/>
      <c r="O121" s="131"/>
      <c r="P121" s="132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</row>
    <row r="122" spans="1:40">
      <c r="A122" s="3"/>
      <c r="B122" s="64" t="s">
        <v>58</v>
      </c>
      <c r="C122" s="62"/>
      <c r="D122" s="62"/>
      <c r="E122" s="6"/>
      <c r="H122" s="63"/>
      <c r="I122" s="144"/>
      <c r="K122" s="108"/>
      <c r="L122" s="131"/>
      <c r="M122" s="131"/>
      <c r="N122" s="131"/>
      <c r="O122" s="131"/>
      <c r="P122" s="132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</row>
    <row r="123" spans="1:40">
      <c r="E123" s="53"/>
      <c r="H123" s="7"/>
      <c r="I123" s="144"/>
      <c r="K123" s="108"/>
      <c r="L123" s="131"/>
      <c r="M123" s="131"/>
      <c r="N123" s="131"/>
      <c r="O123" s="131"/>
      <c r="P123" s="132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</row>
    <row r="124" spans="1:40">
      <c r="E124" s="6" t="s">
        <v>59</v>
      </c>
      <c r="F124" s="58">
        <f>F16-F109</f>
        <v>800000</v>
      </c>
      <c r="G124" s="125" t="s">
        <v>4</v>
      </c>
      <c r="I124" s="144"/>
      <c r="K124" s="108"/>
      <c r="L124" s="131"/>
      <c r="M124" s="131"/>
      <c r="N124" s="131"/>
      <c r="O124" s="131"/>
      <c r="P124" s="132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</row>
    <row r="125" spans="1:40">
      <c r="E125" s="6" t="s">
        <v>60</v>
      </c>
      <c r="F125" s="58">
        <f>F99-F116</f>
        <v>100000</v>
      </c>
      <c r="G125" s="125" t="s">
        <v>4</v>
      </c>
      <c r="I125" s="144"/>
      <c r="K125" s="108"/>
      <c r="L125" s="131"/>
      <c r="M125" s="131"/>
      <c r="N125" s="131"/>
      <c r="O125" s="131"/>
      <c r="P125" s="132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</row>
    <row r="126" spans="1:40">
      <c r="E126" s="6"/>
      <c r="G126" s="125"/>
      <c r="I126" s="144"/>
      <c r="K126" s="108"/>
      <c r="L126" s="131"/>
      <c r="M126" s="131"/>
      <c r="N126" s="131"/>
      <c r="O126" s="131"/>
      <c r="P126" s="132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</row>
    <row r="127" spans="1:40">
      <c r="H127" s="7"/>
      <c r="I127" s="144"/>
      <c r="K127" s="108"/>
      <c r="L127" s="131"/>
      <c r="M127" s="131"/>
      <c r="N127" s="131"/>
      <c r="O127" s="131"/>
      <c r="P127" s="132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</row>
    <row r="128" spans="1:40">
      <c r="A128" s="3"/>
      <c r="B128" s="64" t="s">
        <v>61</v>
      </c>
      <c r="C128" s="62"/>
      <c r="D128" s="62"/>
      <c r="E128" s="6"/>
      <c r="H128" s="63"/>
      <c r="I128" s="144"/>
      <c r="K128" s="108"/>
      <c r="L128" s="131"/>
      <c r="M128" s="131"/>
      <c r="N128" s="131"/>
      <c r="O128" s="131"/>
      <c r="P128" s="132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</row>
    <row r="129" spans="1:40">
      <c r="E129" s="53"/>
      <c r="H129" s="7"/>
      <c r="I129" s="144"/>
      <c r="K129" s="108"/>
      <c r="L129" s="131"/>
      <c r="M129" s="131"/>
      <c r="N129" s="131"/>
      <c r="O129" s="131"/>
      <c r="P129" s="132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</row>
    <row r="130" spans="1:40" ht="14.4">
      <c r="D130" s="43" t="s">
        <v>62</v>
      </c>
      <c r="E130" s="6"/>
      <c r="H130" s="7"/>
      <c r="I130" s="144"/>
      <c r="K130" s="108"/>
      <c r="L130" s="131"/>
      <c r="M130" s="131"/>
      <c r="N130" s="131"/>
      <c r="O130" s="131"/>
      <c r="P130" s="132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</row>
    <row r="131" spans="1:40">
      <c r="E131" s="6" t="s">
        <v>63</v>
      </c>
      <c r="H131" s="7"/>
      <c r="I131" s="144"/>
      <c r="K131" s="108"/>
      <c r="L131" s="131"/>
      <c r="M131" s="131"/>
      <c r="N131" s="131"/>
      <c r="O131" s="131"/>
      <c r="P131" s="132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</row>
    <row r="132" spans="1:40">
      <c r="E132" s="6" t="s">
        <v>64</v>
      </c>
      <c r="H132" s="7"/>
      <c r="I132" s="144"/>
      <c r="K132" s="108"/>
      <c r="L132" s="131"/>
      <c r="M132" s="131"/>
      <c r="N132" s="131"/>
      <c r="O132" s="131"/>
      <c r="P132" s="132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</row>
    <row r="133" spans="1:40">
      <c r="E133" s="6" t="s">
        <v>65</v>
      </c>
      <c r="H133" s="7"/>
      <c r="I133" s="144"/>
      <c r="K133" s="108"/>
      <c r="L133" s="131"/>
      <c r="M133" s="131"/>
      <c r="N133" s="131"/>
      <c r="O133" s="131"/>
      <c r="P133" s="132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</row>
    <row r="134" spans="1:40">
      <c r="E134" s="6"/>
      <c r="H134" s="7"/>
      <c r="I134" s="144"/>
      <c r="K134" s="108"/>
      <c r="L134" s="131"/>
      <c r="M134" s="131"/>
      <c r="N134" s="131"/>
      <c r="O134" s="131"/>
      <c r="P134" s="132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</row>
    <row r="135" spans="1:40">
      <c r="H135" s="7"/>
      <c r="I135" s="144"/>
      <c r="K135" s="108"/>
      <c r="L135" s="131"/>
      <c r="M135" s="131"/>
      <c r="N135" s="131"/>
      <c r="O135" s="131"/>
      <c r="P135" s="132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</row>
    <row r="136" spans="1:40">
      <c r="A136" s="3"/>
      <c r="B136" s="64" t="s">
        <v>66</v>
      </c>
      <c r="C136" s="62"/>
      <c r="D136" s="62"/>
      <c r="E136" s="6"/>
      <c r="H136" s="63"/>
      <c r="I136" s="144"/>
      <c r="K136" s="108"/>
      <c r="L136" s="131"/>
      <c r="M136" s="131"/>
      <c r="N136" s="131"/>
      <c r="O136" s="131"/>
      <c r="P136" s="132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</row>
    <row r="137" spans="1:40">
      <c r="E137" s="53"/>
      <c r="H137" s="7"/>
      <c r="I137" s="144"/>
      <c r="K137" s="108"/>
      <c r="L137" s="131"/>
      <c r="M137" s="131"/>
      <c r="N137" s="131"/>
      <c r="O137" s="131"/>
      <c r="P137" s="132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</row>
    <row r="138" spans="1:40">
      <c r="E138" s="6" t="s">
        <v>67</v>
      </c>
      <c r="F138" s="83" cm="1">
        <f t="array" ref="F138" xml:space="preserve"> IF( INDEX( $K138:$AN138, selector ) = "", INDEX( $K138:$AN138, , 1 ), INDEX( $K138:$AN138, 1, selector ))</f>
        <v>0.3</v>
      </c>
      <c r="G138" s="125" t="s">
        <v>3</v>
      </c>
      <c r="H138" s="7"/>
      <c r="I138" s="144" t="str">
        <f t="shared" ref="I138" si="16" xml:space="preserve"> IF( $F138 = $K138, "vw", "tu" )</f>
        <v>vw</v>
      </c>
      <c r="K138" s="110">
        <v>0.3</v>
      </c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</row>
    <row r="139" spans="1:40" ht="14.4">
      <c r="D139" s="43" t="s">
        <v>68</v>
      </c>
      <c r="E139" s="6"/>
      <c r="H139" s="7"/>
      <c r="I139" s="144"/>
      <c r="K139" s="108"/>
      <c r="L139" s="131"/>
      <c r="M139" s="131"/>
      <c r="N139" s="131"/>
      <c r="O139" s="131"/>
      <c r="P139" s="132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</row>
    <row r="140" spans="1:40">
      <c r="E140" s="6" t="s">
        <v>69</v>
      </c>
      <c r="H140" s="7"/>
      <c r="I140" s="144"/>
      <c r="K140" s="108"/>
      <c r="L140" s="131"/>
      <c r="M140" s="131"/>
      <c r="N140" s="131"/>
      <c r="O140" s="131"/>
      <c r="P140" s="132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</row>
    <row r="141" spans="1:40">
      <c r="H141" s="7"/>
      <c r="I141" s="144"/>
      <c r="K141" s="108"/>
      <c r="L141" s="131"/>
      <c r="M141" s="131"/>
      <c r="N141" s="131"/>
      <c r="O141" s="131"/>
      <c r="P141" s="132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</row>
    <row r="142" spans="1:40">
      <c r="A142" s="3"/>
      <c r="B142" s="64" t="s">
        <v>70</v>
      </c>
      <c r="C142" s="62"/>
      <c r="D142" s="62"/>
      <c r="E142" s="3"/>
      <c r="H142" s="63"/>
      <c r="I142" s="144"/>
      <c r="K142" s="108"/>
      <c r="L142" s="131"/>
      <c r="M142" s="131"/>
      <c r="N142" s="131"/>
      <c r="O142" s="131"/>
      <c r="P142" s="132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</row>
    <row r="143" spans="1:40">
      <c r="F143" s="95" cm="1">
        <f t="array" ref="F143" xml:space="preserve"> IF( INDEX( $K143:$AN143, selector ) = "", INDEX( $K143:$AN143, , 1 ), INDEX( $K143:$AN143, 1, selector ))</f>
        <v>9</v>
      </c>
      <c r="G143" s="125" t="s">
        <v>72</v>
      </c>
      <c r="I143" s="144" t="str">
        <f t="shared" ref="I143:I144" si="17" xml:space="preserve"> IF( $F143 = $K143, "vw", "tu" )</f>
        <v>vw</v>
      </c>
      <c r="K143" s="111">
        <v>9</v>
      </c>
      <c r="L143" s="133"/>
      <c r="M143" s="134"/>
      <c r="N143" s="134"/>
      <c r="O143" s="134"/>
      <c r="P143" s="135"/>
      <c r="Q143" s="133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</row>
    <row r="144" spans="1:40">
      <c r="E144" s="6" t="s">
        <v>71</v>
      </c>
      <c r="F144" s="96" cm="1">
        <f t="array" ref="F144" xml:space="preserve"> IF( INDEX( $K144:$AN144, selector ) = "", INDEX( $K144:$AN144, , 1 ), INDEX( $K144:$AN144, 1, selector ))</f>
        <v>2030</v>
      </c>
      <c r="G144" s="125" t="s">
        <v>45</v>
      </c>
      <c r="I144" s="144" t="str">
        <f t="shared" si="17"/>
        <v>vw</v>
      </c>
      <c r="K144" s="111">
        <v>2030</v>
      </c>
      <c r="L144" s="133"/>
      <c r="M144" s="134"/>
      <c r="N144" s="134"/>
      <c r="O144" s="134"/>
      <c r="P144" s="135"/>
      <c r="Q144" s="133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47">
        <v>2028</v>
      </c>
      <c r="AN144" s="147">
        <v>2024</v>
      </c>
    </row>
    <row r="145" spans="2:16">
      <c r="E145" s="6" t="s">
        <v>73</v>
      </c>
      <c r="F145" s="56"/>
      <c r="H145" s="7"/>
      <c r="K145" s="108"/>
      <c r="P145" s="108"/>
    </row>
    <row r="146" spans="2:16" ht="14.4">
      <c r="D146" s="43" t="s">
        <v>74</v>
      </c>
      <c r="E146" s="3"/>
      <c r="F146" s="56"/>
      <c r="H146" s="7"/>
      <c r="K146" s="108"/>
      <c r="P146" s="108"/>
    </row>
    <row r="147" spans="2:16">
      <c r="E147" s="6" t="s">
        <v>75</v>
      </c>
      <c r="K147" s="108"/>
      <c r="P147" s="108"/>
    </row>
    <row r="148" spans="2:16">
      <c r="K148" s="108"/>
      <c r="P148" s="108"/>
    </row>
    <row r="149" spans="2:16" s="44" customFormat="1">
      <c r="B149" s="59" t="s">
        <v>218</v>
      </c>
      <c r="C149" s="42"/>
      <c r="D149" s="42"/>
      <c r="E149" s="46"/>
      <c r="F149" s="97"/>
      <c r="G149" s="97"/>
      <c r="I149" s="67"/>
      <c r="K149" s="78"/>
      <c r="L149" s="78"/>
      <c r="M149" s="78"/>
      <c r="N149" s="78"/>
      <c r="O149" s="78"/>
    </row>
    <row r="151" spans="2:16">
      <c r="E151" s="47" t="s">
        <v>219</v>
      </c>
      <c r="F151" s="146" t="s">
        <v>220</v>
      </c>
      <c r="G151" s="58" t="s">
        <v>221</v>
      </c>
    </row>
    <row r="152" spans="2:16">
      <c r="E152" s="47" t="s">
        <v>222</v>
      </c>
      <c r="F152" s="134" t="s">
        <v>141</v>
      </c>
      <c r="G152" s="58" t="s">
        <v>223</v>
      </c>
    </row>
    <row r="154" spans="2:16">
      <c r="E154" s="74" t="s">
        <v>173</v>
      </c>
      <c r="F154" s="134" t="s">
        <v>226</v>
      </c>
    </row>
    <row r="155" spans="2:16">
      <c r="F155" s="134" t="s">
        <v>183</v>
      </c>
    </row>
    <row r="156" spans="2:16">
      <c r="F156" s="134" t="s">
        <v>184</v>
      </c>
    </row>
    <row r="157" spans="2:16">
      <c r="F157" s="134" t="s">
        <v>185</v>
      </c>
    </row>
    <row r="158" spans="2:16">
      <c r="F158" s="134" t="s">
        <v>186</v>
      </c>
    </row>
    <row r="159" spans="2:16">
      <c r="F159" s="134" t="s">
        <v>187</v>
      </c>
    </row>
    <row r="160" spans="2:16">
      <c r="F160" s="134" t="s">
        <v>188</v>
      </c>
    </row>
    <row r="161" spans="6:6">
      <c r="F161" s="134" t="s">
        <v>189</v>
      </c>
    </row>
    <row r="162" spans="6:6">
      <c r="F162" s="134" t="s">
        <v>190</v>
      </c>
    </row>
    <row r="163" spans="6:6">
      <c r="F163" s="134" t="s">
        <v>191</v>
      </c>
    </row>
    <row r="164" spans="6:6">
      <c r="F164" s="134" t="s">
        <v>192</v>
      </c>
    </row>
    <row r="165" spans="6:6">
      <c r="F165" s="134" t="s">
        <v>193</v>
      </c>
    </row>
    <row r="166" spans="6:6">
      <c r="F166" s="134" t="s">
        <v>194</v>
      </c>
    </row>
    <row r="167" spans="6:6">
      <c r="F167" s="134" t="s">
        <v>195</v>
      </c>
    </row>
    <row r="168" spans="6:6">
      <c r="F168" s="134" t="s">
        <v>196</v>
      </c>
    </row>
    <row r="169" spans="6:6">
      <c r="F169" s="134" t="s">
        <v>197</v>
      </c>
    </row>
    <row r="170" spans="6:6">
      <c r="F170" s="134" t="s">
        <v>198</v>
      </c>
    </row>
    <row r="171" spans="6:6">
      <c r="F171" s="134" t="s">
        <v>199</v>
      </c>
    </row>
    <row r="172" spans="6:6">
      <c r="F172" s="134" t="s">
        <v>200</v>
      </c>
    </row>
    <row r="173" spans="6:6">
      <c r="F173" s="134" t="s">
        <v>201</v>
      </c>
    </row>
    <row r="174" spans="6:6">
      <c r="F174" s="134" t="s">
        <v>202</v>
      </c>
    </row>
    <row r="175" spans="6:6">
      <c r="F175" s="134" t="s">
        <v>203</v>
      </c>
    </row>
    <row r="176" spans="6:6">
      <c r="F176" s="134" t="s">
        <v>204</v>
      </c>
    </row>
    <row r="177" spans="5:6">
      <c r="F177" s="134" t="s">
        <v>205</v>
      </c>
    </row>
    <row r="178" spans="5:6">
      <c r="F178" s="134" t="s">
        <v>206</v>
      </c>
    </row>
    <row r="179" spans="5:6">
      <c r="F179" s="134" t="s">
        <v>207</v>
      </c>
    </row>
    <row r="180" spans="5:6">
      <c r="F180" s="134" t="s">
        <v>208</v>
      </c>
    </row>
    <row r="181" spans="5:6">
      <c r="F181" s="134" t="s">
        <v>209</v>
      </c>
    </row>
    <row r="182" spans="5:6">
      <c r="F182" s="134" t="s">
        <v>210</v>
      </c>
    </row>
    <row r="183" spans="5:6">
      <c r="F183" s="134" t="s">
        <v>211</v>
      </c>
    </row>
    <row r="186" spans="5:6">
      <c r="E186" s="47" t="s">
        <v>224</v>
      </c>
      <c r="F186" s="97" t="str" cm="1">
        <f t="array" ref="F186">INDEX( scenarios, selector )</f>
        <v>Sensitivity 12</v>
      </c>
    </row>
  </sheetData>
  <phoneticPr fontId="6" type="noConversion"/>
  <conditionalFormatting sqref="I16:I144">
    <cfRule type="cellIs" dxfId="20" priority="4" operator="equal">
      <formula>"tu"</formula>
    </cfRule>
  </conditionalFormatting>
  <conditionalFormatting sqref="L16:AM16">
    <cfRule type="cellIs" dxfId="19" priority="85" operator="equal">
      <formula>""</formula>
    </cfRule>
  </conditionalFormatting>
  <conditionalFormatting sqref="L21:AN24">
    <cfRule type="cellIs" dxfId="18" priority="81" operator="equal">
      <formula>""</formula>
    </cfRule>
  </conditionalFormatting>
  <conditionalFormatting sqref="L27:AN28">
    <cfRule type="cellIs" dxfId="17" priority="77" operator="equal">
      <formula>""</formula>
    </cfRule>
  </conditionalFormatting>
  <conditionalFormatting sqref="L34:AN43">
    <cfRule type="cellIs" dxfId="16" priority="72" operator="equal">
      <formula>""</formula>
    </cfRule>
  </conditionalFormatting>
  <conditionalFormatting sqref="L47:AN56">
    <cfRule type="cellIs" dxfId="15" priority="71" operator="equal">
      <formula>""</formula>
    </cfRule>
  </conditionalFormatting>
  <conditionalFormatting sqref="L60:AN62">
    <cfRule type="cellIs" dxfId="14" priority="66" operator="equal">
      <formula>""</formula>
    </cfRule>
  </conditionalFormatting>
  <conditionalFormatting sqref="L65:AN65">
    <cfRule type="cellIs" dxfId="13" priority="62" operator="equal">
      <formula>""</formula>
    </cfRule>
  </conditionalFormatting>
  <conditionalFormatting sqref="L71:AN80">
    <cfRule type="cellIs" dxfId="12" priority="61" operator="equal">
      <formula>""</formula>
    </cfRule>
  </conditionalFormatting>
  <conditionalFormatting sqref="L82:AN82">
    <cfRule type="cellIs" dxfId="11" priority="57" operator="equal">
      <formula>""</formula>
    </cfRule>
  </conditionalFormatting>
  <conditionalFormatting sqref="L88:AN89">
    <cfRule type="cellIs" dxfId="10" priority="52" operator="equal">
      <formula>""</formula>
    </cfRule>
  </conditionalFormatting>
  <conditionalFormatting sqref="L92:AN94">
    <cfRule type="cellIs" dxfId="9" priority="47" operator="equal">
      <formula>""</formula>
    </cfRule>
  </conditionalFormatting>
  <conditionalFormatting sqref="L99:AN101">
    <cfRule type="cellIs" dxfId="8" priority="2" operator="equal">
      <formula>""</formula>
    </cfRule>
  </conditionalFormatting>
  <conditionalFormatting sqref="L108:AN108">
    <cfRule type="cellIs" dxfId="7" priority="40" operator="equal">
      <formula>""</formula>
    </cfRule>
  </conditionalFormatting>
  <conditionalFormatting sqref="L110:AN110">
    <cfRule type="cellIs" dxfId="6" priority="36" operator="equal">
      <formula>""</formula>
    </cfRule>
  </conditionalFormatting>
  <conditionalFormatting sqref="L112:AN112">
    <cfRule type="cellIs" dxfId="5" priority="35" operator="equal">
      <formula>""</formula>
    </cfRule>
  </conditionalFormatting>
  <conditionalFormatting sqref="L115:AN115">
    <cfRule type="cellIs" dxfId="4" priority="34" operator="equal">
      <formula>""</formula>
    </cfRule>
  </conditionalFormatting>
  <conditionalFormatting sqref="L117:AN117">
    <cfRule type="cellIs" dxfId="3" priority="30" operator="equal">
      <formula>""</formula>
    </cfRule>
  </conditionalFormatting>
  <conditionalFormatting sqref="L119:AN119">
    <cfRule type="cellIs" dxfId="2" priority="29" operator="equal">
      <formula>""</formula>
    </cfRule>
  </conditionalFormatting>
  <conditionalFormatting sqref="L138:AN138">
    <cfRule type="cellIs" dxfId="1" priority="28" operator="equal">
      <formula>""</formula>
    </cfRule>
  </conditionalFormatting>
  <conditionalFormatting sqref="L143:AN144">
    <cfRule type="cellIs" dxfId="0" priority="1" operator="equal">
      <formula>""</formula>
    </cfRule>
  </conditionalFormatting>
  <printOptions horizontalCentered="1"/>
  <pageMargins left="7.874015748031496E-2" right="7.874015748031496E-2" top="7.874015748031496E-2" bottom="7.874015748031496E-2" header="7.874015748031496E-2" footer="7.874015748031496E-2"/>
  <pageSetup paperSize="9" scale="28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Drop Down 2">
              <controlPr defaultSize="0" autoLine="0" autoPict="0">
                <anchor moveWithCells="1">
                  <from>
                    <xdr:col>4</xdr:col>
                    <xdr:colOff>3505200</xdr:colOff>
                    <xdr:row>4</xdr:row>
                    <xdr:rowOff>327660</xdr:rowOff>
                  </from>
                  <to>
                    <xdr:col>6</xdr:col>
                    <xdr:colOff>388620</xdr:colOff>
                    <xdr:row>5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C588-35D5-4F15-8EB6-8372B612D923}">
  <sheetPr>
    <outlinePr summaryBelow="0"/>
  </sheetPr>
  <dimension ref="A1:U124"/>
  <sheetViews>
    <sheetView showGridLines="0" zoomScale="85" zoomScaleNormal="85" workbookViewId="0">
      <pane xSplit="9" ySplit="7" topLeftCell="J78" activePane="bottomRight" state="frozen"/>
      <selection activeCell="A8" sqref="A8"/>
      <selection pane="topRight" activeCell="A8" sqref="A8"/>
      <selection pane="bottomLeft" activeCell="A8" sqref="A8"/>
      <selection pane="bottomRight" activeCell="E102" sqref="E102"/>
    </sheetView>
  </sheetViews>
  <sheetFormatPr defaultColWidth="0" defaultRowHeight="13.2"/>
  <cols>
    <col min="1" max="1" width="5.69921875" style="3" customWidth="1"/>
    <col min="2" max="3" width="3.69921875" style="3" customWidth="1"/>
    <col min="4" max="4" width="36.69921875" style="3" customWidth="1"/>
    <col min="5" max="8" width="12.69921875" style="3" customWidth="1"/>
    <col min="9" max="9" width="3.69921875" style="3" customWidth="1"/>
    <col min="10" max="21" width="12.69921875" style="3" customWidth="1"/>
    <col min="22" max="16384" width="11.5" style="3" hidden="1"/>
  </cols>
  <sheetData>
    <row r="1" spans="1:20" ht="17.399999999999999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.6">
      <c r="A3" s="4">
        <v>2</v>
      </c>
      <c r="B3" s="2"/>
      <c r="C3" s="2" t="s">
        <v>77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5">
      <c r="A5" s="5"/>
      <c r="B5" s="5"/>
      <c r="C5" s="5"/>
      <c r="D5" s="5" t="s">
        <v>78</v>
      </c>
      <c r="E5" s="5" t="s">
        <v>231</v>
      </c>
      <c r="F5" s="5"/>
      <c r="G5" s="5"/>
      <c r="H5" s="5"/>
      <c r="I5" s="5"/>
      <c r="J5" s="12"/>
      <c r="K5" s="12">
        <f t="shared" ref="K5:T5" si="0">J6+1</f>
        <v>44562</v>
      </c>
      <c r="L5" s="12">
        <f t="shared" si="0"/>
        <v>44927</v>
      </c>
      <c r="M5" s="12">
        <f t="shared" si="0"/>
        <v>45292</v>
      </c>
      <c r="N5" s="12">
        <f t="shared" si="0"/>
        <v>45658</v>
      </c>
      <c r="O5" s="12">
        <f t="shared" si="0"/>
        <v>46023</v>
      </c>
      <c r="P5" s="12">
        <f t="shared" si="0"/>
        <v>46388</v>
      </c>
      <c r="Q5" s="12">
        <f t="shared" si="0"/>
        <v>46753</v>
      </c>
      <c r="R5" s="12">
        <f t="shared" si="0"/>
        <v>47119</v>
      </c>
      <c r="S5" s="12">
        <f t="shared" si="0"/>
        <v>47484</v>
      </c>
      <c r="T5" s="12">
        <f t="shared" si="0"/>
        <v>47849</v>
      </c>
    </row>
    <row r="6" spans="1:20" ht="15">
      <c r="A6" s="5"/>
      <c r="B6" s="5"/>
      <c r="C6" s="5"/>
      <c r="D6" s="5" t="s">
        <v>79</v>
      </c>
      <c r="E6" s="5"/>
      <c r="F6" s="5"/>
      <c r="G6" s="5"/>
      <c r="H6" s="5"/>
      <c r="I6" s="5"/>
      <c r="J6" s="13">
        <f>Input!$F$15</f>
        <v>44561</v>
      </c>
      <c r="K6" s="12">
        <f t="shared" ref="K6:T6" si="1">EOMONTH(J6,12)</f>
        <v>44926</v>
      </c>
      <c r="L6" s="12">
        <f t="shared" si="1"/>
        <v>45291</v>
      </c>
      <c r="M6" s="12">
        <f t="shared" si="1"/>
        <v>45657</v>
      </c>
      <c r="N6" s="12">
        <f t="shared" si="1"/>
        <v>46022</v>
      </c>
      <c r="O6" s="12">
        <f t="shared" si="1"/>
        <v>46387</v>
      </c>
      <c r="P6" s="12">
        <f t="shared" si="1"/>
        <v>46752</v>
      </c>
      <c r="Q6" s="12">
        <f t="shared" si="1"/>
        <v>47118</v>
      </c>
      <c r="R6" s="12">
        <f t="shared" si="1"/>
        <v>47483</v>
      </c>
      <c r="S6" s="12">
        <f t="shared" si="1"/>
        <v>47848</v>
      </c>
      <c r="T6" s="12">
        <f t="shared" si="1"/>
        <v>48213</v>
      </c>
    </row>
    <row r="7" spans="1:20" ht="15">
      <c r="A7" s="5"/>
      <c r="B7" s="5"/>
      <c r="C7" s="5"/>
      <c r="D7" s="5" t="s">
        <v>21</v>
      </c>
      <c r="E7" s="5"/>
      <c r="F7" s="5"/>
      <c r="G7" s="5"/>
      <c r="H7" s="5"/>
      <c r="I7" s="5"/>
      <c r="J7" s="14">
        <f t="shared" ref="J7:T7" si="2">YEAR(J6)</f>
        <v>2021</v>
      </c>
      <c r="K7" s="14">
        <f t="shared" si="2"/>
        <v>2022</v>
      </c>
      <c r="L7" s="14">
        <f t="shared" si="2"/>
        <v>2023</v>
      </c>
      <c r="M7" s="14">
        <f t="shared" si="2"/>
        <v>2024</v>
      </c>
      <c r="N7" s="14">
        <f t="shared" si="2"/>
        <v>2025</v>
      </c>
      <c r="O7" s="14">
        <f t="shared" si="2"/>
        <v>2026</v>
      </c>
      <c r="P7" s="14">
        <f t="shared" si="2"/>
        <v>2027</v>
      </c>
      <c r="Q7" s="14">
        <f t="shared" si="2"/>
        <v>2028</v>
      </c>
      <c r="R7" s="14">
        <f t="shared" si="2"/>
        <v>2029</v>
      </c>
      <c r="S7" s="14">
        <f t="shared" si="2"/>
        <v>2030</v>
      </c>
      <c r="T7" s="14">
        <f t="shared" si="2"/>
        <v>2031</v>
      </c>
    </row>
    <row r="9" spans="1:20" ht="13.8">
      <c r="H9" s="6"/>
      <c r="I9" s="6"/>
    </row>
    <row r="10" spans="1:20">
      <c r="A10" s="15">
        <f>MAX(A$3:A9)+0.01</f>
        <v>2.0099999999999998</v>
      </c>
      <c r="B10" s="15"/>
      <c r="C10" s="15" t="s">
        <v>80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>
      <c r="F11" s="7"/>
    </row>
    <row r="12" spans="1:20" ht="13.8">
      <c r="D12" s="6" t="s">
        <v>81</v>
      </c>
      <c r="F12" s="7" t="s">
        <v>16</v>
      </c>
      <c r="J12" s="16">
        <v>0</v>
      </c>
      <c r="K12" s="3">
        <f t="shared" ref="K12:T12" si="3">J12+1</f>
        <v>1</v>
      </c>
      <c r="L12" s="3">
        <f t="shared" si="3"/>
        <v>2</v>
      </c>
      <c r="M12" s="3">
        <f t="shared" si="3"/>
        <v>3</v>
      </c>
      <c r="N12" s="3">
        <f t="shared" si="3"/>
        <v>4</v>
      </c>
      <c r="O12" s="3">
        <f t="shared" si="3"/>
        <v>5</v>
      </c>
      <c r="P12" s="3">
        <f t="shared" si="3"/>
        <v>6</v>
      </c>
      <c r="Q12" s="3">
        <f t="shared" si="3"/>
        <v>7</v>
      </c>
      <c r="R12" s="3">
        <f t="shared" si="3"/>
        <v>8</v>
      </c>
      <c r="S12" s="3">
        <f t="shared" si="3"/>
        <v>9</v>
      </c>
      <c r="T12" s="3">
        <f t="shared" si="3"/>
        <v>10</v>
      </c>
    </row>
    <row r="13" spans="1:20" ht="13.8">
      <c r="D13" s="6" t="s">
        <v>82</v>
      </c>
      <c r="F13" s="7" t="s">
        <v>83</v>
      </c>
      <c r="G13" s="17">
        <f>Input!$F$144</f>
        <v>2030</v>
      </c>
      <c r="J13" s="18">
        <f t="shared" ref="J13:T13" si="4">1*(J$7&lt;=$G13)</f>
        <v>1</v>
      </c>
      <c r="K13" s="18">
        <f t="shared" si="4"/>
        <v>1</v>
      </c>
      <c r="L13" s="18">
        <f t="shared" si="4"/>
        <v>1</v>
      </c>
      <c r="M13" s="18">
        <f t="shared" si="4"/>
        <v>1</v>
      </c>
      <c r="N13" s="18">
        <f t="shared" si="4"/>
        <v>1</v>
      </c>
      <c r="O13" s="18">
        <f t="shared" si="4"/>
        <v>1</v>
      </c>
      <c r="P13" s="18">
        <f t="shared" si="4"/>
        <v>1</v>
      </c>
      <c r="Q13" s="18">
        <f t="shared" si="4"/>
        <v>1</v>
      </c>
      <c r="R13" s="18">
        <f t="shared" si="4"/>
        <v>1</v>
      </c>
      <c r="S13" s="18">
        <f t="shared" si="4"/>
        <v>1</v>
      </c>
      <c r="T13" s="18">
        <f t="shared" si="4"/>
        <v>0</v>
      </c>
    </row>
    <row r="14" spans="1:20" ht="13.8">
      <c r="C14" s="6"/>
      <c r="D14" s="6"/>
      <c r="F14" s="7"/>
    </row>
    <row r="15" spans="1:20" ht="15.6">
      <c r="B15" s="8" t="s">
        <v>80</v>
      </c>
      <c r="C15" s="6"/>
      <c r="D15" s="6"/>
      <c r="F15" s="7"/>
    </row>
    <row r="16" spans="1:20" ht="13.8">
      <c r="C16" s="6"/>
      <c r="D16" s="10" t="s">
        <v>84</v>
      </c>
      <c r="F16" s="7"/>
    </row>
    <row r="17" spans="3:20" ht="13.8">
      <c r="D17" s="6" t="s">
        <v>85</v>
      </c>
      <c r="F17" s="7" t="s">
        <v>4</v>
      </c>
      <c r="G17" s="19">
        <f>Input!F21</f>
        <v>900</v>
      </c>
      <c r="H17" s="20">
        <f>Input!F23</f>
        <v>0</v>
      </c>
      <c r="K17" s="21">
        <f>$G17</f>
        <v>900</v>
      </c>
      <c r="L17" s="22">
        <f t="shared" ref="L17:T18" si="5">K17*(1+$H17)</f>
        <v>900</v>
      </c>
      <c r="M17" s="22">
        <f t="shared" si="5"/>
        <v>900</v>
      </c>
      <c r="N17" s="22">
        <f t="shared" si="5"/>
        <v>900</v>
      </c>
      <c r="O17" s="22">
        <f t="shared" si="5"/>
        <v>900</v>
      </c>
      <c r="P17" s="22">
        <f t="shared" si="5"/>
        <v>900</v>
      </c>
      <c r="Q17" s="22">
        <f t="shared" si="5"/>
        <v>900</v>
      </c>
      <c r="R17" s="22">
        <f t="shared" si="5"/>
        <v>900</v>
      </c>
      <c r="S17" s="22">
        <f t="shared" si="5"/>
        <v>900</v>
      </c>
      <c r="T17" s="22">
        <f t="shared" si="5"/>
        <v>900</v>
      </c>
    </row>
    <row r="18" spans="3:20" ht="13.8">
      <c r="D18" s="6" t="s">
        <v>86</v>
      </c>
      <c r="F18" s="7"/>
      <c r="G18" s="19">
        <f>Input!F22</f>
        <v>1200</v>
      </c>
      <c r="H18" s="20">
        <f>Input!F24</f>
        <v>0.04</v>
      </c>
      <c r="K18" s="21">
        <f>$G18</f>
        <v>1200</v>
      </c>
      <c r="L18" s="22">
        <f t="shared" si="5"/>
        <v>1248</v>
      </c>
      <c r="M18" s="22">
        <f t="shared" si="5"/>
        <v>1297.92</v>
      </c>
      <c r="N18" s="22">
        <f t="shared" si="5"/>
        <v>1349.8368</v>
      </c>
      <c r="O18" s="22">
        <f t="shared" si="5"/>
        <v>1403.8302720000002</v>
      </c>
      <c r="P18" s="22">
        <f t="shared" si="5"/>
        <v>1459.9834828800001</v>
      </c>
      <c r="Q18" s="22">
        <f t="shared" si="5"/>
        <v>1518.3828221952001</v>
      </c>
      <c r="R18" s="22">
        <f t="shared" si="5"/>
        <v>1579.1181350830082</v>
      </c>
      <c r="S18" s="22">
        <f t="shared" si="5"/>
        <v>1642.2828604863284</v>
      </c>
      <c r="T18" s="22">
        <f t="shared" si="5"/>
        <v>1707.9741749057816</v>
      </c>
    </row>
    <row r="19" spans="3:20" ht="13.8">
      <c r="D19" s="6"/>
      <c r="F19" s="7"/>
      <c r="G19" s="19"/>
      <c r="H19" s="20"/>
      <c r="K19" s="21"/>
      <c r="L19" s="22"/>
      <c r="M19" s="22"/>
      <c r="N19" s="22"/>
      <c r="O19" s="22"/>
      <c r="P19" s="22"/>
      <c r="Q19" s="22"/>
      <c r="R19" s="22"/>
      <c r="S19" s="22"/>
      <c r="T19" s="22"/>
    </row>
    <row r="20" spans="3:20">
      <c r="D20" s="10" t="s">
        <v>87</v>
      </c>
      <c r="F20" s="7"/>
      <c r="G20" s="19"/>
      <c r="H20" s="20"/>
      <c r="K20" s="21"/>
      <c r="L20" s="22"/>
      <c r="M20" s="22"/>
      <c r="N20" s="22"/>
      <c r="O20" s="22"/>
      <c r="P20" s="22"/>
      <c r="Q20" s="22"/>
      <c r="R20" s="22"/>
      <c r="S20" s="22"/>
      <c r="T20" s="22"/>
    </row>
    <row r="21" spans="3:20" ht="13.8">
      <c r="D21" s="6" t="s">
        <v>88</v>
      </c>
      <c r="F21" s="7" t="s">
        <v>3</v>
      </c>
      <c r="G21" s="19"/>
      <c r="H21" s="20"/>
      <c r="K21" s="11">
        <f>INDEX(Input!$F$34:$F$43,MATCH(K$7,Input!$E$34:$E$43,0))</f>
        <v>0</v>
      </c>
      <c r="L21" s="11">
        <f>INDEX(Input!$F$34:$F$43,MATCH(L$7,Input!$E$34:$E$43,0))</f>
        <v>-0.02</v>
      </c>
      <c r="M21" s="11">
        <f>INDEX(Input!$F$34:$F$43,MATCH(M$7,Input!$E$34:$E$43,0))</f>
        <v>-0.02</v>
      </c>
      <c r="N21" s="11">
        <f>INDEX(Input!$F$34:$F$43,MATCH(N$7,Input!$E$34:$E$43,0))</f>
        <v>-0.02</v>
      </c>
      <c r="O21" s="11">
        <f>INDEX(Input!$F$34:$F$43,MATCH(O$7,Input!$E$34:$E$43,0))</f>
        <v>-0.02</v>
      </c>
      <c r="P21" s="11">
        <f>INDEX(Input!$F$34:$F$43,MATCH(P$7,Input!$E$34:$E$43,0))</f>
        <v>-0.02</v>
      </c>
      <c r="Q21" s="11">
        <f>INDEX(Input!$F$34:$F$43,MATCH(Q$7,Input!$E$34:$E$43,0))</f>
        <v>-0.02</v>
      </c>
      <c r="R21" s="11">
        <f>INDEX(Input!$F$34:$F$43,MATCH(R$7,Input!$E$34:$E$43,0))</f>
        <v>-0.02</v>
      </c>
      <c r="S21" s="11">
        <f>INDEX(Input!$F$34:$F$43,MATCH(S$7,Input!$E$34:$E$43,0))</f>
        <v>-0.02</v>
      </c>
      <c r="T21" s="11">
        <f>INDEX(Input!$F$34:$F$43,MATCH(T$7,Input!$E$34:$E$43,0))</f>
        <v>-0.02</v>
      </c>
    </row>
    <row r="22" spans="3:20" ht="13.8">
      <c r="D22" s="6" t="s">
        <v>89</v>
      </c>
      <c r="F22" s="7" t="s">
        <v>3</v>
      </c>
      <c r="G22" s="19"/>
      <c r="H22" s="20"/>
      <c r="K22" s="11">
        <f>INDEX(Input!$F$47:$F$56,MATCH(K$7,Input!$E$47:$E$56,0))</f>
        <v>0</v>
      </c>
      <c r="L22" s="11">
        <f>INDEX(Input!$F$47:$F$56,MATCH(L$7,Input!$E$47:$E$56,0))</f>
        <v>0.06</v>
      </c>
      <c r="M22" s="11">
        <f>INDEX(Input!$F$47:$F$56,MATCH(M$7,Input!$E$47:$E$56,0))</f>
        <v>0.04</v>
      </c>
      <c r="N22" s="11">
        <f>INDEX(Input!$F$47:$F$56,MATCH(N$7,Input!$E$47:$E$56,0))</f>
        <v>0.02</v>
      </c>
      <c r="O22" s="11">
        <f>INDEX(Input!$F$47:$F$56,MATCH(O$7,Input!$E$47:$E$56,0))</f>
        <v>0.01</v>
      </c>
      <c r="P22" s="11">
        <f>INDEX(Input!$F$47:$F$56,MATCH(P$7,Input!$E$47:$E$56,0))</f>
        <v>0.17</v>
      </c>
      <c r="Q22" s="11">
        <f>INDEX(Input!$F$47:$F$56,MATCH(Q$7,Input!$E$47:$E$56,0))</f>
        <v>0.02</v>
      </c>
      <c r="R22" s="11">
        <f>INDEX(Input!$F$47:$F$56,MATCH(R$7,Input!$E$47:$E$56,0))</f>
        <v>0.01</v>
      </c>
      <c r="S22" s="11">
        <f>INDEX(Input!$F$47:$F$56,MATCH(S$7,Input!$E$47:$E$56,0))</f>
        <v>0.01</v>
      </c>
      <c r="T22" s="11">
        <f>INDEX(Input!$F$47:$F$56,MATCH(T$7,Input!$E$47:$E$56,0))</f>
        <v>0.01</v>
      </c>
    </row>
    <row r="23" spans="3:20" ht="13.8">
      <c r="D23" s="6" t="s">
        <v>90</v>
      </c>
      <c r="E23" s="23">
        <f>SUM(J23:T23)</f>
        <v>1097.5631586747186</v>
      </c>
      <c r="F23" s="7" t="s">
        <v>16</v>
      </c>
      <c r="G23" s="19">
        <f>Input!F27</f>
        <v>120</v>
      </c>
      <c r="K23" s="24">
        <f>G23</f>
        <v>120</v>
      </c>
      <c r="L23" s="3">
        <f t="shared" ref="L23:T23" si="6">IF( selector = 6, 0, K23*(1+L21) )</f>
        <v>117.6</v>
      </c>
      <c r="M23" s="3">
        <f t="shared" si="6"/>
        <v>115.24799999999999</v>
      </c>
      <c r="N23" s="3">
        <f t="shared" si="6"/>
        <v>112.94303999999998</v>
      </c>
      <c r="O23" s="3">
        <f t="shared" si="6"/>
        <v>110.68417919999997</v>
      </c>
      <c r="P23" s="3">
        <f t="shared" si="6"/>
        <v>108.47049561599998</v>
      </c>
      <c r="Q23" s="3">
        <f t="shared" si="6"/>
        <v>106.30108570367997</v>
      </c>
      <c r="R23" s="3">
        <f t="shared" si="6"/>
        <v>104.17506398960637</v>
      </c>
      <c r="S23" s="3">
        <f t="shared" si="6"/>
        <v>102.09156270981424</v>
      </c>
      <c r="T23" s="3">
        <f t="shared" si="6"/>
        <v>100.04973145561796</v>
      </c>
    </row>
    <row r="24" spans="3:20">
      <c r="D24" s="3" t="s">
        <v>91</v>
      </c>
      <c r="E24" s="23">
        <f>SUM(J24:T24)</f>
        <v>6127.2529589817896</v>
      </c>
      <c r="F24" s="7" t="s">
        <v>16</v>
      </c>
      <c r="G24" s="19">
        <f>Input!F28</f>
        <v>500</v>
      </c>
      <c r="K24" s="24">
        <f>G24</f>
        <v>500</v>
      </c>
      <c r="L24" s="156">
        <f>IF( selector = 6, ( K23 * 0.8 ) + K24*(1+L22), K24*(1+L22) )</f>
        <v>530</v>
      </c>
      <c r="M24" s="3">
        <f t="shared" ref="M24:T24" si="7">L24*(1+M22)</f>
        <v>551.20000000000005</v>
      </c>
      <c r="N24" s="3">
        <f t="shared" si="7"/>
        <v>562.22400000000005</v>
      </c>
      <c r="O24" s="3">
        <f t="shared" si="7"/>
        <v>567.84624000000008</v>
      </c>
      <c r="P24" s="3">
        <f t="shared" si="7"/>
        <v>664.38010080000004</v>
      </c>
      <c r="Q24" s="3">
        <f t="shared" si="7"/>
        <v>677.66770281600009</v>
      </c>
      <c r="R24" s="3">
        <f t="shared" si="7"/>
        <v>684.44437984416004</v>
      </c>
      <c r="S24" s="3">
        <f t="shared" si="7"/>
        <v>691.28882364260164</v>
      </c>
      <c r="T24" s="3">
        <f t="shared" si="7"/>
        <v>698.2017118790277</v>
      </c>
    </row>
    <row r="25" spans="3:20">
      <c r="F25" s="7"/>
      <c r="L25" s="22"/>
      <c r="M25" s="22"/>
      <c r="N25" s="22"/>
      <c r="O25" s="22"/>
      <c r="P25" s="22"/>
      <c r="Q25" s="22"/>
      <c r="R25" s="22"/>
      <c r="S25" s="22"/>
      <c r="T25" s="22"/>
    </row>
    <row r="26" spans="3:20">
      <c r="C26" s="25"/>
      <c r="D26" s="10" t="s">
        <v>92</v>
      </c>
      <c r="F26" s="7"/>
      <c r="L26" s="22"/>
      <c r="M26" s="22"/>
      <c r="N26" s="22"/>
      <c r="O26" s="22"/>
      <c r="P26" s="22"/>
      <c r="Q26" s="22"/>
      <c r="R26" s="22"/>
      <c r="S26" s="22"/>
      <c r="T26" s="22"/>
    </row>
    <row r="27" spans="3:20" ht="13.8">
      <c r="D27" s="6" t="s">
        <v>93</v>
      </c>
      <c r="F27" s="7" t="s">
        <v>4</v>
      </c>
      <c r="G27" s="26">
        <f>Input!F60</f>
        <v>28</v>
      </c>
      <c r="H27" s="20">
        <f>Input!$F$62</f>
        <v>0.05</v>
      </c>
      <c r="K27" s="21">
        <f>G27</f>
        <v>28</v>
      </c>
      <c r="L27" s="22">
        <f t="shared" ref="L27:T28" si="8">K27*(1+$H27)</f>
        <v>29.400000000000002</v>
      </c>
      <c r="M27" s="22">
        <f t="shared" si="8"/>
        <v>30.870000000000005</v>
      </c>
      <c r="N27" s="22">
        <f t="shared" si="8"/>
        <v>32.413500000000006</v>
      </c>
      <c r="O27" s="22">
        <f t="shared" si="8"/>
        <v>34.034175000000005</v>
      </c>
      <c r="P27" s="22">
        <f t="shared" si="8"/>
        <v>35.735883750000006</v>
      </c>
      <c r="Q27" s="22">
        <f t="shared" si="8"/>
        <v>37.522677937500006</v>
      </c>
      <c r="R27" s="22">
        <f t="shared" si="8"/>
        <v>39.39881183437501</v>
      </c>
      <c r="S27" s="22">
        <f t="shared" si="8"/>
        <v>41.368752426093764</v>
      </c>
      <c r="T27" s="22">
        <f t="shared" si="8"/>
        <v>43.437190047398452</v>
      </c>
    </row>
    <row r="28" spans="3:20" ht="13.8">
      <c r="D28" s="6" t="s">
        <v>94</v>
      </c>
      <c r="F28" s="7" t="s">
        <v>4</v>
      </c>
      <c r="G28" s="26">
        <f>Input!F61</f>
        <v>24</v>
      </c>
      <c r="H28" s="20">
        <f>Input!$F$62</f>
        <v>0.05</v>
      </c>
      <c r="K28" s="21">
        <f>G28</f>
        <v>24</v>
      </c>
      <c r="L28" s="22">
        <f t="shared" si="8"/>
        <v>25.200000000000003</v>
      </c>
      <c r="M28" s="22">
        <f t="shared" si="8"/>
        <v>26.460000000000004</v>
      </c>
      <c r="N28" s="22">
        <f t="shared" si="8"/>
        <v>27.783000000000005</v>
      </c>
      <c r="O28" s="22">
        <f t="shared" si="8"/>
        <v>29.172150000000006</v>
      </c>
      <c r="P28" s="22">
        <f t="shared" si="8"/>
        <v>30.630757500000009</v>
      </c>
      <c r="Q28" s="22">
        <f t="shared" si="8"/>
        <v>32.162295375000014</v>
      </c>
      <c r="R28" s="22">
        <f t="shared" si="8"/>
        <v>33.770410143750013</v>
      </c>
      <c r="S28" s="22">
        <f t="shared" si="8"/>
        <v>35.458930650937518</v>
      </c>
      <c r="T28" s="22">
        <f t="shared" si="8"/>
        <v>37.231877183484393</v>
      </c>
    </row>
    <row r="29" spans="3:20" ht="13.8">
      <c r="D29" s="6"/>
      <c r="F29" s="7"/>
      <c r="G29" s="22"/>
      <c r="K29" s="21"/>
      <c r="L29" s="22"/>
      <c r="M29" s="22"/>
      <c r="N29" s="22"/>
      <c r="O29" s="22"/>
      <c r="P29" s="22"/>
      <c r="Q29" s="22"/>
      <c r="R29" s="22"/>
      <c r="S29" s="22"/>
      <c r="T29" s="22"/>
    </row>
    <row r="30" spans="3:20">
      <c r="D30" s="10" t="s">
        <v>95</v>
      </c>
      <c r="F30" s="7"/>
      <c r="G30" s="22"/>
      <c r="K30" s="21"/>
      <c r="L30" s="22"/>
      <c r="M30" s="22"/>
      <c r="N30" s="22"/>
      <c r="O30" s="22"/>
      <c r="P30" s="22"/>
      <c r="Q30" s="22"/>
      <c r="R30" s="22"/>
      <c r="S30" s="22"/>
      <c r="T30" s="22"/>
    </row>
    <row r="31" spans="3:20" ht="13.8">
      <c r="D31" s="6" t="s">
        <v>96</v>
      </c>
      <c r="F31" s="7" t="s">
        <v>3</v>
      </c>
      <c r="G31" s="19"/>
      <c r="H31" s="20"/>
      <c r="K31" s="11">
        <f>INDEX(Input!$F$71:$F$80,MATCH(K$7,Input!$E$71:$E$80,0))</f>
        <v>0</v>
      </c>
      <c r="L31" s="11">
        <f>INDEX(Input!$F$71:$F$80,MATCH(L$7,Input!$E$71:$E$80,0))</f>
        <v>3.5000000000000003E-2</v>
      </c>
      <c r="M31" s="11">
        <f>INDEX(Input!$F$71:$F$80,MATCH(M$7,Input!$E$71:$E$80,0))</f>
        <v>3.5000000000000003E-2</v>
      </c>
      <c r="N31" s="11">
        <f>INDEX(Input!$F$71:$F$80,MATCH(N$7,Input!$E$71:$E$80,0))</f>
        <v>3.5000000000000003E-2</v>
      </c>
      <c r="O31" s="11">
        <f>INDEX(Input!$F$71:$F$80,MATCH(O$7,Input!$E$71:$E$80,0))</f>
        <v>3.5000000000000003E-2</v>
      </c>
      <c r="P31" s="11">
        <f>INDEX(Input!$F$71:$F$80,MATCH(P$7,Input!$E$71:$E$80,0))</f>
        <v>0.105</v>
      </c>
      <c r="Q31" s="11">
        <f>INDEX(Input!$F$71:$F$80,MATCH(Q$7,Input!$E$71:$E$80,0))</f>
        <v>3.5000000000000003E-2</v>
      </c>
      <c r="R31" s="11">
        <f>INDEX(Input!$F$71:$F$80,MATCH(R$7,Input!$E$71:$E$80,0))</f>
        <v>3.5000000000000003E-2</v>
      </c>
      <c r="S31" s="11">
        <f>INDEX(Input!$F$71:$F$80,MATCH(S$7,Input!$E$71:$E$80,0))</f>
        <v>3.5000000000000003E-2</v>
      </c>
      <c r="T31" s="11">
        <f>INDEX(Input!$F$71:$F$80,MATCH(T$7,Input!$E$71:$E$80,0))</f>
        <v>3.5000000000000003E-2</v>
      </c>
    </row>
    <row r="32" spans="3:20" ht="13.8">
      <c r="D32" s="6" t="s">
        <v>97</v>
      </c>
      <c r="E32" s="23">
        <f>SUM(J32:T32)</f>
        <v>60810.709329338672</v>
      </c>
      <c r="F32" s="7" t="s">
        <v>16</v>
      </c>
      <c r="G32" s="19">
        <f>Input!F65</f>
        <v>5000</v>
      </c>
      <c r="K32" s="24">
        <f>G32</f>
        <v>5000</v>
      </c>
      <c r="L32" s="3">
        <f t="shared" ref="L32:T32" si="9">K32*(1+L31)</f>
        <v>5175</v>
      </c>
      <c r="M32" s="3">
        <f t="shared" si="9"/>
        <v>5356.125</v>
      </c>
      <c r="N32" s="3">
        <f t="shared" si="9"/>
        <v>5543.5893749999996</v>
      </c>
      <c r="O32" s="3">
        <f t="shared" si="9"/>
        <v>5737.615003124999</v>
      </c>
      <c r="P32" s="3">
        <f t="shared" si="9"/>
        <v>6340.0645784531234</v>
      </c>
      <c r="Q32" s="3">
        <f t="shared" si="9"/>
        <v>6561.9668386989824</v>
      </c>
      <c r="R32" s="3">
        <f t="shared" si="9"/>
        <v>6791.6356780534461</v>
      </c>
      <c r="S32" s="3">
        <f t="shared" si="9"/>
        <v>7029.3429267853162</v>
      </c>
      <c r="T32" s="3">
        <f t="shared" si="9"/>
        <v>7275.3699292228021</v>
      </c>
    </row>
    <row r="33" spans="3:20" ht="13.8">
      <c r="D33" s="6" t="s">
        <v>98</v>
      </c>
      <c r="E33" s="23">
        <f>SUM(J33:T33)</f>
        <v>86697.793411878083</v>
      </c>
      <c r="F33" s="7" t="s">
        <v>16</v>
      </c>
      <c r="G33" s="19">
        <f>Input!F82</f>
        <v>12</v>
      </c>
      <c r="K33" s="3">
        <f t="shared" ref="K33:T33" si="10">$G33*SUM(K23:K24)</f>
        <v>7440</v>
      </c>
      <c r="L33" s="3">
        <f t="shared" si="10"/>
        <v>7771.2000000000007</v>
      </c>
      <c r="M33" s="3">
        <f t="shared" si="10"/>
        <v>7997.3760000000011</v>
      </c>
      <c r="N33" s="3">
        <f t="shared" si="10"/>
        <v>8102.0044800000005</v>
      </c>
      <c r="O33" s="3">
        <f t="shared" si="10"/>
        <v>8142.3650304000012</v>
      </c>
      <c r="P33" s="3">
        <f t="shared" si="10"/>
        <v>9274.2071569920008</v>
      </c>
      <c r="Q33" s="3">
        <f t="shared" si="10"/>
        <v>9407.6254622361612</v>
      </c>
      <c r="R33" s="3">
        <f t="shared" si="10"/>
        <v>9463.4333260051972</v>
      </c>
      <c r="S33" s="3">
        <f t="shared" si="10"/>
        <v>9520.5646362289899</v>
      </c>
      <c r="T33" s="3">
        <f t="shared" si="10"/>
        <v>9579.0173200157478</v>
      </c>
    </row>
    <row r="34" spans="3:20" ht="13.8">
      <c r="D34" s="6"/>
      <c r="F34" s="7"/>
      <c r="G34" s="22"/>
      <c r="K34" s="21"/>
      <c r="L34" s="22"/>
      <c r="M34" s="22"/>
      <c r="N34" s="22"/>
      <c r="O34" s="22"/>
      <c r="P34" s="22"/>
      <c r="Q34" s="22"/>
      <c r="R34" s="22"/>
      <c r="S34" s="22"/>
      <c r="T34" s="22"/>
    </row>
    <row r="35" spans="3:20">
      <c r="C35" s="27" t="s">
        <v>7</v>
      </c>
      <c r="F35" s="7"/>
    </row>
    <row r="36" spans="3:20" ht="13.8">
      <c r="D36" s="6" t="s">
        <v>99</v>
      </c>
      <c r="E36" s="23">
        <f>SUM(J36:T36)</f>
        <v>897762.08449719055</v>
      </c>
      <c r="F36" s="7" t="s">
        <v>4</v>
      </c>
      <c r="J36" s="28">
        <v>0</v>
      </c>
      <c r="K36" s="3">
        <f t="shared" ref="K36:T37" si="11">K17*K23*K$13</f>
        <v>108000</v>
      </c>
      <c r="L36" s="3">
        <f t="shared" si="11"/>
        <v>105840</v>
      </c>
      <c r="M36" s="3">
        <f t="shared" si="11"/>
        <v>103723.2</v>
      </c>
      <c r="N36" s="3">
        <f t="shared" si="11"/>
        <v>101648.73599999999</v>
      </c>
      <c r="O36" s="3">
        <f t="shared" si="11"/>
        <v>99615.761279999977</v>
      </c>
      <c r="P36" s="3">
        <f t="shared" si="11"/>
        <v>97623.446054399988</v>
      </c>
      <c r="Q36" s="3">
        <f t="shared" si="11"/>
        <v>95670.977133311972</v>
      </c>
      <c r="R36" s="3">
        <f t="shared" si="11"/>
        <v>93757.557590645738</v>
      </c>
      <c r="S36" s="3">
        <f t="shared" si="11"/>
        <v>91882.406438832812</v>
      </c>
      <c r="T36" s="3">
        <f t="shared" si="11"/>
        <v>0</v>
      </c>
    </row>
    <row r="37" spans="3:20" ht="13.8">
      <c r="D37" s="6" t="s">
        <v>100</v>
      </c>
      <c r="E37" s="23">
        <f>SUM(J37:T37)</f>
        <v>7747977.1826125802</v>
      </c>
      <c r="F37" s="7" t="s">
        <v>4</v>
      </c>
      <c r="J37" s="28">
        <v>0</v>
      </c>
      <c r="K37" s="3">
        <f t="shared" si="11"/>
        <v>600000</v>
      </c>
      <c r="L37" s="3">
        <f t="shared" si="11"/>
        <v>661440</v>
      </c>
      <c r="M37" s="3">
        <f t="shared" si="11"/>
        <v>715413.50400000007</v>
      </c>
      <c r="N37" s="3">
        <f t="shared" si="11"/>
        <v>758910.64504320011</v>
      </c>
      <c r="O37" s="3">
        <f t="shared" si="11"/>
        <v>797159.74155337748</v>
      </c>
      <c r="P37" s="3">
        <f t="shared" si="11"/>
        <v>969983.97352214961</v>
      </c>
      <c r="Q37" s="3">
        <f t="shared" si="11"/>
        <v>1028958.9991122964</v>
      </c>
      <c r="R37" s="3">
        <f t="shared" si="11"/>
        <v>1080818.5326675561</v>
      </c>
      <c r="S37" s="3">
        <f t="shared" si="11"/>
        <v>1135291.7867140009</v>
      </c>
      <c r="T37" s="3">
        <f t="shared" si="11"/>
        <v>0</v>
      </c>
    </row>
    <row r="38" spans="3:20" ht="13.8">
      <c r="D38" s="6" t="s">
        <v>101</v>
      </c>
      <c r="E38" s="29">
        <f>SUM(J38:T38)</f>
        <v>1863618.6085072453</v>
      </c>
      <c r="F38" s="7" t="s">
        <v>4</v>
      </c>
      <c r="J38" s="28">
        <v>0</v>
      </c>
      <c r="K38" s="3">
        <f t="shared" ref="K38:T39" si="12">K27*K32*K$13</f>
        <v>140000</v>
      </c>
      <c r="L38" s="3">
        <f t="shared" si="12"/>
        <v>152145</v>
      </c>
      <c r="M38" s="3">
        <f t="shared" si="12"/>
        <v>165343.57875000002</v>
      </c>
      <c r="N38" s="3">
        <f t="shared" si="12"/>
        <v>179687.13420656251</v>
      </c>
      <c r="O38" s="3">
        <f t="shared" si="12"/>
        <v>195274.99309898179</v>
      </c>
      <c r="P38" s="3">
        <f t="shared" si="12"/>
        <v>226567.81074309361</v>
      </c>
      <c r="Q38" s="3">
        <f t="shared" si="12"/>
        <v>246222.56832505696</v>
      </c>
      <c r="R38" s="3">
        <f t="shared" si="12"/>
        <v>267582.37612725567</v>
      </c>
      <c r="S38" s="3">
        <f t="shared" si="12"/>
        <v>290795.14725629508</v>
      </c>
      <c r="T38" s="3">
        <f t="shared" si="12"/>
        <v>0</v>
      </c>
    </row>
    <row r="39" spans="3:20" ht="13.8">
      <c r="D39" s="6" t="s">
        <v>102</v>
      </c>
      <c r="E39" s="29">
        <f>SUM(J39:T39)</f>
        <v>2292452.9787548603</v>
      </c>
      <c r="F39" s="7"/>
      <c r="J39" s="28">
        <v>0</v>
      </c>
      <c r="K39" s="3">
        <f t="shared" si="12"/>
        <v>178560</v>
      </c>
      <c r="L39" s="3">
        <f t="shared" si="12"/>
        <v>195834.24000000005</v>
      </c>
      <c r="M39" s="3">
        <f t="shared" si="12"/>
        <v>211610.56896000006</v>
      </c>
      <c r="N39" s="3">
        <f t="shared" si="12"/>
        <v>225097.99046784005</v>
      </c>
      <c r="O39" s="3">
        <f t="shared" si="12"/>
        <v>237530.29402158345</v>
      </c>
      <c r="P39" s="3">
        <f t="shared" si="12"/>
        <v>284075.99043058651</v>
      </c>
      <c r="Q39" s="3">
        <f t="shared" si="12"/>
        <v>302570.82889381045</v>
      </c>
      <c r="R39" s="3">
        <f t="shared" si="12"/>
        <v>319584.02478722786</v>
      </c>
      <c r="S39" s="3">
        <f t="shared" si="12"/>
        <v>337589.04119381192</v>
      </c>
      <c r="T39" s="3">
        <f t="shared" si="12"/>
        <v>0</v>
      </c>
    </row>
    <row r="40" spans="3:20" ht="13.8">
      <c r="D40" s="30" t="s">
        <v>103</v>
      </c>
      <c r="E40" s="31">
        <f>SUM(J40:T40)</f>
        <v>12801810.854371877</v>
      </c>
      <c r="F40" s="7" t="s">
        <v>4</v>
      </c>
      <c r="J40" s="32">
        <f>SUM(J36:J39)</f>
        <v>0</v>
      </c>
      <c r="K40" s="32">
        <f>SUM(K36:K39)</f>
        <v>1026560</v>
      </c>
      <c r="L40" s="32">
        <f t="shared" ref="L40:T40" si="13">SUM(L36:L39)</f>
        <v>1115259.24</v>
      </c>
      <c r="M40" s="32">
        <f t="shared" si="13"/>
        <v>1196090.8517100001</v>
      </c>
      <c r="N40" s="32">
        <f t="shared" si="13"/>
        <v>1265344.5057176028</v>
      </c>
      <c r="O40" s="32">
        <f t="shared" si="13"/>
        <v>1329580.7899539426</v>
      </c>
      <c r="P40" s="32">
        <f t="shared" si="13"/>
        <v>1578251.2207502299</v>
      </c>
      <c r="Q40" s="32">
        <f t="shared" si="13"/>
        <v>1673423.3734644759</v>
      </c>
      <c r="R40" s="32">
        <f t="shared" si="13"/>
        <v>1761742.4911726853</v>
      </c>
      <c r="S40" s="32">
        <f t="shared" si="13"/>
        <v>1855558.3816029408</v>
      </c>
      <c r="T40" s="32">
        <f t="shared" si="13"/>
        <v>0</v>
      </c>
    </row>
    <row r="41" spans="3:20">
      <c r="F41" s="7"/>
    </row>
    <row r="42" spans="3:20">
      <c r="C42" s="27" t="s">
        <v>35</v>
      </c>
      <c r="F42" s="7"/>
    </row>
    <row r="43" spans="3:20">
      <c r="C43" s="27"/>
      <c r="D43" s="3" t="s">
        <v>104</v>
      </c>
      <c r="F43" s="7" t="s">
        <v>4</v>
      </c>
      <c r="G43" s="19">
        <f>Input!F92</f>
        <v>500</v>
      </c>
      <c r="H43" s="20">
        <f>Input!$F$94</f>
        <v>3.5000000000000003E-2</v>
      </c>
      <c r="K43" s="24">
        <f>G43</f>
        <v>500</v>
      </c>
      <c r="L43" s="3">
        <f t="shared" ref="L43:T44" si="14">K43*(1+$H43)</f>
        <v>517.5</v>
      </c>
      <c r="M43" s="3">
        <f t="shared" si="14"/>
        <v>535.61249999999995</v>
      </c>
      <c r="N43" s="3">
        <f t="shared" si="14"/>
        <v>554.35893749999991</v>
      </c>
      <c r="O43" s="3">
        <f t="shared" si="14"/>
        <v>573.76150031249983</v>
      </c>
      <c r="P43" s="3">
        <f t="shared" si="14"/>
        <v>593.84315282343732</v>
      </c>
      <c r="Q43" s="3">
        <f t="shared" si="14"/>
        <v>614.6276631722576</v>
      </c>
      <c r="R43" s="3">
        <f t="shared" si="14"/>
        <v>636.13963138328654</v>
      </c>
      <c r="S43" s="3">
        <f t="shared" si="14"/>
        <v>658.40451848170153</v>
      </c>
      <c r="T43" s="3">
        <f t="shared" si="14"/>
        <v>681.44867662856097</v>
      </c>
    </row>
    <row r="44" spans="3:20">
      <c r="C44" s="27"/>
      <c r="D44" s="3" t="s">
        <v>105</v>
      </c>
      <c r="F44" s="7" t="s">
        <v>4</v>
      </c>
      <c r="G44" s="19">
        <f>Input!F93</f>
        <v>10</v>
      </c>
      <c r="H44" s="20">
        <f>Input!$F$94</f>
        <v>3.5000000000000003E-2</v>
      </c>
      <c r="K44" s="24">
        <f>G44</f>
        <v>10</v>
      </c>
      <c r="L44" s="3">
        <f t="shared" si="14"/>
        <v>10.35</v>
      </c>
      <c r="M44" s="3">
        <f t="shared" si="14"/>
        <v>10.712249999999999</v>
      </c>
      <c r="N44" s="3">
        <f t="shared" si="14"/>
        <v>11.087178749999998</v>
      </c>
      <c r="O44" s="3">
        <f t="shared" si="14"/>
        <v>11.475230006249998</v>
      </c>
      <c r="P44" s="3">
        <f t="shared" si="14"/>
        <v>11.876863056468746</v>
      </c>
      <c r="Q44" s="3">
        <f t="shared" si="14"/>
        <v>12.292553263445152</v>
      </c>
      <c r="R44" s="3">
        <f t="shared" si="14"/>
        <v>12.722792627665731</v>
      </c>
      <c r="S44" s="3">
        <f t="shared" si="14"/>
        <v>13.168090369634031</v>
      </c>
      <c r="T44" s="3">
        <f t="shared" si="14"/>
        <v>13.628973532571221</v>
      </c>
    </row>
    <row r="45" spans="3:20">
      <c r="C45" s="27"/>
      <c r="F45" s="7"/>
    </row>
    <row r="46" spans="3:20">
      <c r="C46" s="27"/>
      <c r="F46" s="7"/>
    </row>
    <row r="47" spans="3:20" ht="13.8">
      <c r="D47" s="6" t="s">
        <v>36</v>
      </c>
      <c r="E47" s="23">
        <f>SUM(J47:T47)</f>
        <v>3940028.4067916186</v>
      </c>
      <c r="F47" s="7" t="s">
        <v>4</v>
      </c>
      <c r="G47" s="19">
        <f>Input!F88</f>
        <v>380000</v>
      </c>
      <c r="H47" s="20">
        <f>Input!F89</f>
        <v>3.5000000000000003E-2</v>
      </c>
      <c r="J47" s="28">
        <v>0</v>
      </c>
      <c r="K47" s="24">
        <f>$G47*K$13</f>
        <v>380000</v>
      </c>
      <c r="L47" s="3">
        <f t="shared" ref="L47:T47" si="15">K47*(1+$H47)*L$13</f>
        <v>393299.99999999994</v>
      </c>
      <c r="M47" s="3">
        <f t="shared" si="15"/>
        <v>407065.49999999988</v>
      </c>
      <c r="N47" s="3">
        <f t="shared" si="15"/>
        <v>421312.79249999986</v>
      </c>
      <c r="O47" s="3">
        <f t="shared" si="15"/>
        <v>436058.74023749982</v>
      </c>
      <c r="P47" s="3">
        <f t="shared" si="15"/>
        <v>451320.79614581226</v>
      </c>
      <c r="Q47" s="3">
        <f t="shared" si="15"/>
        <v>467117.02401091566</v>
      </c>
      <c r="R47" s="3">
        <f t="shared" si="15"/>
        <v>483466.11985129764</v>
      </c>
      <c r="S47" s="3">
        <f t="shared" si="15"/>
        <v>500387.43404609303</v>
      </c>
      <c r="T47" s="3">
        <f t="shared" si="15"/>
        <v>0</v>
      </c>
    </row>
    <row r="48" spans="3:20" ht="13.8">
      <c r="D48" s="6" t="s">
        <v>106</v>
      </c>
      <c r="E48" s="29">
        <f>SUM(J48:T48)</f>
        <v>3730528.6465335628</v>
      </c>
      <c r="F48" s="7" t="s">
        <v>4</v>
      </c>
      <c r="J48" s="28">
        <v>0</v>
      </c>
      <c r="K48" s="3">
        <f t="shared" ref="K48:T48" si="16">K43*SUM(K23:K24)*K$13</f>
        <v>310000</v>
      </c>
      <c r="L48" s="3">
        <f t="shared" si="16"/>
        <v>335133</v>
      </c>
      <c r="M48" s="3">
        <f t="shared" si="16"/>
        <v>356957.87940000003</v>
      </c>
      <c r="N48" s="3">
        <f t="shared" si="16"/>
        <v>374284.88292941998</v>
      </c>
      <c r="O48" s="3">
        <f t="shared" si="16"/>
        <v>389314.63132786151</v>
      </c>
      <c r="P48" s="3">
        <f t="shared" si="16"/>
        <v>458952.03483715141</v>
      </c>
      <c r="Q48" s="3">
        <f t="shared" si="16"/>
        <v>481848.90448783676</v>
      </c>
      <c r="R48" s="3">
        <f t="shared" si="16"/>
        <v>501672.08230210457</v>
      </c>
      <c r="S48" s="3">
        <f t="shared" si="16"/>
        <v>522365.23124918866</v>
      </c>
      <c r="T48" s="3">
        <f t="shared" si="16"/>
        <v>0</v>
      </c>
    </row>
    <row r="49" spans="1:20" ht="13.8">
      <c r="D49" s="6" t="s">
        <v>107</v>
      </c>
      <c r="E49" s="29">
        <f>SUM(J49:T49)</f>
        <v>1518502.4942434118</v>
      </c>
      <c r="F49" s="7" t="s">
        <v>4</v>
      </c>
      <c r="J49" s="28">
        <v>0</v>
      </c>
      <c r="K49" s="3">
        <f t="shared" ref="K49:T49" si="17">K44*SUM(K32:K33)*K$13</f>
        <v>124400</v>
      </c>
      <c r="L49" s="3">
        <f t="shared" si="17"/>
        <v>133993.17000000001</v>
      </c>
      <c r="M49" s="3">
        <f t="shared" si="17"/>
        <v>143046.04108724999</v>
      </c>
      <c r="N49" s="3">
        <f t="shared" si="17"/>
        <v>151291.13822028655</v>
      </c>
      <c r="O49" s="3">
        <f t="shared" si="17"/>
        <v>159275.96336685694</v>
      </c>
      <c r="P49" s="3">
        <f t="shared" si="17"/>
        <v>185448.56712837232</v>
      </c>
      <c r="Q49" s="3">
        <f t="shared" si="17"/>
        <v>196307.06395474885</v>
      </c>
      <c r="R49" s="3">
        <f t="shared" si="17"/>
        <v>206809.87208703504</v>
      </c>
      <c r="S49" s="3">
        <f t="shared" si="17"/>
        <v>217930.6783988621</v>
      </c>
      <c r="T49" s="3">
        <f t="shared" si="17"/>
        <v>0</v>
      </c>
    </row>
    <row r="50" spans="1:20" ht="13.8">
      <c r="D50" s="33" t="s">
        <v>108</v>
      </c>
      <c r="E50" s="31">
        <f>SUM(J50:T50)</f>
        <v>9189059.5475685932</v>
      </c>
      <c r="F50" s="7" t="s">
        <v>4</v>
      </c>
      <c r="J50" s="32">
        <f t="shared" ref="J50:T50" si="18">SUM(J47:J49)</f>
        <v>0</v>
      </c>
      <c r="K50" s="32">
        <f t="shared" si="18"/>
        <v>814400</v>
      </c>
      <c r="L50" s="32">
        <f t="shared" si="18"/>
        <v>862426.17</v>
      </c>
      <c r="M50" s="32">
        <f t="shared" si="18"/>
        <v>907069.42048724997</v>
      </c>
      <c r="N50" s="32">
        <f t="shared" si="18"/>
        <v>946888.81364970643</v>
      </c>
      <c r="O50" s="32">
        <f t="shared" si="18"/>
        <v>984649.33493221819</v>
      </c>
      <c r="P50" s="32">
        <f t="shared" si="18"/>
        <v>1095721.3981113359</v>
      </c>
      <c r="Q50" s="32">
        <f t="shared" si="18"/>
        <v>1145272.9924535013</v>
      </c>
      <c r="R50" s="32">
        <f t="shared" si="18"/>
        <v>1191948.0742404372</v>
      </c>
      <c r="S50" s="32">
        <f t="shared" si="18"/>
        <v>1240683.3436941437</v>
      </c>
      <c r="T50" s="32">
        <f t="shared" si="18"/>
        <v>0</v>
      </c>
    </row>
    <row r="51" spans="1:20">
      <c r="F51" s="7"/>
    </row>
    <row r="52" spans="1:20" ht="13.8" thickBot="1">
      <c r="C52" s="27"/>
      <c r="D52" s="34" t="s">
        <v>0</v>
      </c>
      <c r="E52" s="35">
        <f>SUM(J52:T52)</f>
        <v>3612751.3068032847</v>
      </c>
      <c r="F52" s="7" t="s">
        <v>4</v>
      </c>
      <c r="J52" s="34">
        <f t="shared" ref="J52:T52" si="19">J40-J50</f>
        <v>0</v>
      </c>
      <c r="K52" s="34">
        <f t="shared" si="19"/>
        <v>212160</v>
      </c>
      <c r="L52" s="34">
        <f t="shared" si="19"/>
        <v>252833.06999999995</v>
      </c>
      <c r="M52" s="34">
        <f t="shared" si="19"/>
        <v>289021.43122275011</v>
      </c>
      <c r="N52" s="34">
        <f t="shared" si="19"/>
        <v>318455.69206789637</v>
      </c>
      <c r="O52" s="34">
        <f t="shared" si="19"/>
        <v>344931.45502172445</v>
      </c>
      <c r="P52" s="34">
        <f t="shared" si="19"/>
        <v>482529.82263889397</v>
      </c>
      <c r="Q52" s="34">
        <f t="shared" si="19"/>
        <v>528150.38101097452</v>
      </c>
      <c r="R52" s="34">
        <f t="shared" si="19"/>
        <v>569794.41693224804</v>
      </c>
      <c r="S52" s="34">
        <f t="shared" si="19"/>
        <v>614875.03790879715</v>
      </c>
      <c r="T52" s="34">
        <f t="shared" si="19"/>
        <v>0</v>
      </c>
    </row>
    <row r="53" spans="1:20" ht="13.8" thickTop="1">
      <c r="F53" s="7"/>
    </row>
    <row r="54" spans="1:20">
      <c r="F54" s="7"/>
    </row>
    <row r="55" spans="1:20">
      <c r="A55" s="15">
        <f>MAX(A$3:A54)+0.01</f>
        <v>2.0199999999999996</v>
      </c>
      <c r="B55" s="15"/>
      <c r="C55" s="15" t="s">
        <v>109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>
      <c r="F56" s="7"/>
    </row>
    <row r="57" spans="1:20" ht="15.6">
      <c r="B57" s="8" t="s">
        <v>109</v>
      </c>
      <c r="F57" s="7"/>
    </row>
    <row r="58" spans="1:20">
      <c r="C58" s="27" t="s">
        <v>110</v>
      </c>
      <c r="F58" s="7"/>
    </row>
    <row r="59" spans="1:20">
      <c r="D59" s="3" t="s">
        <v>111</v>
      </c>
      <c r="F59" s="7" t="s">
        <v>4</v>
      </c>
      <c r="J59" s="3">
        <f t="shared" ref="J59:T59" si="20">I62*J$13</f>
        <v>0</v>
      </c>
      <c r="K59" s="3">
        <f t="shared" si="20"/>
        <v>1200000</v>
      </c>
      <c r="L59" s="3">
        <f t="shared" si="20"/>
        <v>1050000</v>
      </c>
      <c r="M59" s="3">
        <f t="shared" si="20"/>
        <v>900000</v>
      </c>
      <c r="N59" s="3">
        <f t="shared" si="20"/>
        <v>750000</v>
      </c>
      <c r="O59" s="3">
        <f t="shared" si="20"/>
        <v>600000</v>
      </c>
      <c r="P59" s="3">
        <f t="shared" si="20"/>
        <v>450000</v>
      </c>
      <c r="Q59" s="3">
        <f t="shared" si="20"/>
        <v>300000</v>
      </c>
      <c r="R59" s="3">
        <f t="shared" si="20"/>
        <v>150000</v>
      </c>
      <c r="S59" s="3">
        <f t="shared" si="20"/>
        <v>0</v>
      </c>
      <c r="T59" s="3">
        <f t="shared" si="20"/>
        <v>0</v>
      </c>
    </row>
    <row r="60" spans="1:20">
      <c r="D60" s="3" t="s">
        <v>112</v>
      </c>
      <c r="E60" s="23">
        <f>SUM(J60:T60)</f>
        <v>1200000</v>
      </c>
      <c r="F60" s="7" t="s">
        <v>4</v>
      </c>
      <c r="G60" s="19">
        <f>Input!F109</f>
        <v>1200000</v>
      </c>
      <c r="H60" s="36">
        <f>YEAR(Input!F15)</f>
        <v>2021</v>
      </c>
      <c r="J60" s="3">
        <f t="shared" ref="J60:T60" si="21">$G60*($H60=J$7)*J$13</f>
        <v>1200000</v>
      </c>
      <c r="K60" s="3">
        <f t="shared" si="21"/>
        <v>0</v>
      </c>
      <c r="L60" s="3">
        <f t="shared" si="21"/>
        <v>0</v>
      </c>
      <c r="M60" s="3">
        <f t="shared" si="21"/>
        <v>0</v>
      </c>
      <c r="N60" s="3">
        <f t="shared" si="21"/>
        <v>0</v>
      </c>
      <c r="O60" s="3">
        <f t="shared" si="21"/>
        <v>0</v>
      </c>
      <c r="P60" s="3">
        <f t="shared" si="21"/>
        <v>0</v>
      </c>
      <c r="Q60" s="3">
        <f t="shared" si="21"/>
        <v>0</v>
      </c>
      <c r="R60" s="3">
        <f t="shared" si="21"/>
        <v>0</v>
      </c>
      <c r="S60" s="3">
        <f t="shared" si="21"/>
        <v>0</v>
      </c>
      <c r="T60" s="3">
        <f t="shared" si="21"/>
        <v>0</v>
      </c>
    </row>
    <row r="61" spans="1:20">
      <c r="D61" s="3" t="s">
        <v>113</v>
      </c>
      <c r="E61" s="23">
        <f>SUM(J61:T61)</f>
        <v>-1200000</v>
      </c>
      <c r="F61" s="7" t="s">
        <v>4</v>
      </c>
      <c r="G61" s="19">
        <f>Input!F111</f>
        <v>150000</v>
      </c>
      <c r="H61" s="19"/>
      <c r="J61" s="3">
        <f t="shared" ref="J61:T61" si="22">-MIN(J59,$G61)*J$13</f>
        <v>0</v>
      </c>
      <c r="K61" s="3">
        <f t="shared" si="22"/>
        <v>-150000</v>
      </c>
      <c r="L61" s="3">
        <f t="shared" si="22"/>
        <v>-150000</v>
      </c>
      <c r="M61" s="3">
        <f t="shared" si="22"/>
        <v>-150000</v>
      </c>
      <c r="N61" s="3">
        <f t="shared" si="22"/>
        <v>-150000</v>
      </c>
      <c r="O61" s="3">
        <f t="shared" si="22"/>
        <v>-150000</v>
      </c>
      <c r="P61" s="3">
        <f t="shared" si="22"/>
        <v>-150000</v>
      </c>
      <c r="Q61" s="3">
        <f t="shared" si="22"/>
        <v>-150000</v>
      </c>
      <c r="R61" s="3">
        <f t="shared" si="22"/>
        <v>-150000</v>
      </c>
      <c r="S61" s="3">
        <f t="shared" si="22"/>
        <v>0</v>
      </c>
      <c r="T61" s="3">
        <f t="shared" si="22"/>
        <v>0</v>
      </c>
    </row>
    <row r="62" spans="1:20">
      <c r="D62" s="32" t="s">
        <v>114</v>
      </c>
      <c r="F62" s="7" t="s">
        <v>4</v>
      </c>
      <c r="G62" s="19"/>
      <c r="H62" s="19"/>
      <c r="J62" s="32">
        <f t="shared" ref="J62:T62" si="23">SUM(J59:J61)</f>
        <v>1200000</v>
      </c>
      <c r="K62" s="32">
        <f t="shared" si="23"/>
        <v>1050000</v>
      </c>
      <c r="L62" s="32">
        <f t="shared" si="23"/>
        <v>900000</v>
      </c>
      <c r="M62" s="32">
        <f t="shared" si="23"/>
        <v>750000</v>
      </c>
      <c r="N62" s="32">
        <f t="shared" si="23"/>
        <v>600000</v>
      </c>
      <c r="O62" s="32">
        <f t="shared" si="23"/>
        <v>450000</v>
      </c>
      <c r="P62" s="32">
        <f t="shared" si="23"/>
        <v>300000</v>
      </c>
      <c r="Q62" s="32">
        <f t="shared" si="23"/>
        <v>150000</v>
      </c>
      <c r="R62" s="32">
        <f t="shared" si="23"/>
        <v>0</v>
      </c>
      <c r="S62" s="32">
        <f t="shared" si="23"/>
        <v>0</v>
      </c>
      <c r="T62" s="32">
        <f t="shared" si="23"/>
        <v>0</v>
      </c>
    </row>
    <row r="63" spans="1:20">
      <c r="F63" s="7"/>
      <c r="G63" s="19"/>
      <c r="H63" s="19"/>
    </row>
    <row r="64" spans="1:20">
      <c r="D64" s="3" t="s">
        <v>115</v>
      </c>
      <c r="E64" s="23">
        <f>SUM(J64:T64)</f>
        <v>270000</v>
      </c>
      <c r="F64" s="7" t="s">
        <v>4</v>
      </c>
      <c r="G64" s="20">
        <f>Input!$F$112</f>
        <v>0.05</v>
      </c>
      <c r="H64" s="19"/>
      <c r="J64" s="3">
        <f t="shared" ref="J64:T64" si="24">$G64*J59*J$13</f>
        <v>0</v>
      </c>
      <c r="K64" s="3">
        <f t="shared" si="24"/>
        <v>60000</v>
      </c>
      <c r="L64" s="3">
        <f t="shared" si="24"/>
        <v>52500</v>
      </c>
      <c r="M64" s="3">
        <f t="shared" si="24"/>
        <v>45000</v>
      </c>
      <c r="N64" s="3">
        <f t="shared" si="24"/>
        <v>37500</v>
      </c>
      <c r="O64" s="3">
        <f t="shared" si="24"/>
        <v>30000</v>
      </c>
      <c r="P64" s="3">
        <f t="shared" si="24"/>
        <v>22500</v>
      </c>
      <c r="Q64" s="3">
        <f t="shared" si="24"/>
        <v>15000</v>
      </c>
      <c r="R64" s="3">
        <f t="shared" si="24"/>
        <v>7500</v>
      </c>
      <c r="S64" s="3">
        <f t="shared" si="24"/>
        <v>0</v>
      </c>
      <c r="T64" s="3">
        <f t="shared" si="24"/>
        <v>0</v>
      </c>
    </row>
    <row r="65" spans="1:20">
      <c r="F65" s="7"/>
      <c r="G65" s="19"/>
      <c r="H65" s="19"/>
    </row>
    <row r="66" spans="1:20">
      <c r="C66" s="27" t="s">
        <v>116</v>
      </c>
      <c r="F66" s="7"/>
      <c r="G66" s="19"/>
      <c r="H66" s="19"/>
    </row>
    <row r="67" spans="1:20">
      <c r="D67" s="3" t="s">
        <v>111</v>
      </c>
      <c r="F67" s="7" t="s">
        <v>4</v>
      </c>
      <c r="G67" s="19"/>
      <c r="H67" s="19"/>
      <c r="J67" s="3">
        <f t="shared" ref="J67:T67" si="25">I70*J$13</f>
        <v>0</v>
      </c>
      <c r="K67" s="3">
        <f t="shared" si="25"/>
        <v>0</v>
      </c>
      <c r="L67" s="3">
        <f t="shared" si="25"/>
        <v>0</v>
      </c>
      <c r="M67" s="3">
        <f t="shared" si="25"/>
        <v>0</v>
      </c>
      <c r="N67" s="3">
        <f t="shared" si="25"/>
        <v>0</v>
      </c>
      <c r="O67" s="3">
        <f t="shared" si="25"/>
        <v>400000</v>
      </c>
      <c r="P67" s="3">
        <f t="shared" si="25"/>
        <v>333333.33333333331</v>
      </c>
      <c r="Q67" s="3">
        <f t="shared" si="25"/>
        <v>266666.66666666663</v>
      </c>
      <c r="R67" s="3">
        <f t="shared" si="25"/>
        <v>199999.99999999994</v>
      </c>
      <c r="S67" s="3">
        <f t="shared" si="25"/>
        <v>133333.33333333326</v>
      </c>
      <c r="T67" s="3">
        <f t="shared" si="25"/>
        <v>0</v>
      </c>
    </row>
    <row r="68" spans="1:20">
      <c r="D68" s="3" t="s">
        <v>112</v>
      </c>
      <c r="E68" s="23">
        <f>SUM(J68:T68)</f>
        <v>400000</v>
      </c>
      <c r="F68" s="7" t="s">
        <v>4</v>
      </c>
      <c r="G68" s="19">
        <f>Input!F116</f>
        <v>400000</v>
      </c>
      <c r="H68" s="36">
        <f>Input!F100</f>
        <v>2025</v>
      </c>
      <c r="J68" s="3">
        <f t="shared" ref="J68:T68" si="26">$G68*($H68=J$7)*J$13</f>
        <v>0</v>
      </c>
      <c r="K68" s="3">
        <f t="shared" si="26"/>
        <v>0</v>
      </c>
      <c r="L68" s="3">
        <f t="shared" si="26"/>
        <v>0</v>
      </c>
      <c r="M68" s="3">
        <f t="shared" si="26"/>
        <v>0</v>
      </c>
      <c r="N68" s="3">
        <f t="shared" si="26"/>
        <v>400000</v>
      </c>
      <c r="O68" s="3">
        <f t="shared" si="26"/>
        <v>0</v>
      </c>
      <c r="P68" s="3">
        <f t="shared" si="26"/>
        <v>0</v>
      </c>
      <c r="Q68" s="3">
        <f t="shared" si="26"/>
        <v>0</v>
      </c>
      <c r="R68" s="3">
        <f t="shared" si="26"/>
        <v>0</v>
      </c>
      <c r="S68" s="3">
        <f t="shared" si="26"/>
        <v>0</v>
      </c>
      <c r="T68" s="3">
        <f t="shared" si="26"/>
        <v>0</v>
      </c>
    </row>
    <row r="69" spans="1:20">
      <c r="D69" s="3" t="s">
        <v>113</v>
      </c>
      <c r="E69" s="23">
        <f>SUM(J69:T69)</f>
        <v>-333333.33333333337</v>
      </c>
      <c r="F69" s="7" t="s">
        <v>4</v>
      </c>
      <c r="G69" s="19">
        <f>Input!F118</f>
        <v>66666.666666666672</v>
      </c>
      <c r="H69" s="19"/>
      <c r="J69" s="3">
        <f t="shared" ref="J69:T69" si="27">-MIN(J67,$G69)*J$13</f>
        <v>0</v>
      </c>
      <c r="K69" s="3">
        <f t="shared" si="27"/>
        <v>0</v>
      </c>
      <c r="L69" s="3">
        <f t="shared" si="27"/>
        <v>0</v>
      </c>
      <c r="M69" s="3">
        <f t="shared" si="27"/>
        <v>0</v>
      </c>
      <c r="N69" s="3">
        <f t="shared" si="27"/>
        <v>0</v>
      </c>
      <c r="O69" s="3">
        <f t="shared" si="27"/>
        <v>-66666.666666666672</v>
      </c>
      <c r="P69" s="3">
        <f t="shared" si="27"/>
        <v>-66666.666666666672</v>
      </c>
      <c r="Q69" s="3">
        <f t="shared" si="27"/>
        <v>-66666.666666666672</v>
      </c>
      <c r="R69" s="3">
        <f t="shared" si="27"/>
        <v>-66666.666666666672</v>
      </c>
      <c r="S69" s="3">
        <f t="shared" si="27"/>
        <v>-66666.666666666672</v>
      </c>
      <c r="T69" s="3">
        <f t="shared" si="27"/>
        <v>0</v>
      </c>
    </row>
    <row r="70" spans="1:20">
      <c r="D70" s="32" t="s">
        <v>114</v>
      </c>
      <c r="F70" s="7" t="s">
        <v>4</v>
      </c>
      <c r="G70" s="19"/>
      <c r="H70" s="19"/>
      <c r="J70" s="32">
        <f t="shared" ref="J70:T70" si="28">SUM(J67:J69)</f>
        <v>0</v>
      </c>
      <c r="K70" s="32">
        <f t="shared" si="28"/>
        <v>0</v>
      </c>
      <c r="L70" s="32">
        <f t="shared" si="28"/>
        <v>0</v>
      </c>
      <c r="M70" s="32">
        <f t="shared" si="28"/>
        <v>0</v>
      </c>
      <c r="N70" s="32">
        <f t="shared" si="28"/>
        <v>400000</v>
      </c>
      <c r="O70" s="32">
        <f t="shared" si="28"/>
        <v>333333.33333333331</v>
      </c>
      <c r="P70" s="32">
        <f t="shared" si="28"/>
        <v>266666.66666666663</v>
      </c>
      <c r="Q70" s="32">
        <f t="shared" si="28"/>
        <v>199999.99999999994</v>
      </c>
      <c r="R70" s="32">
        <f t="shared" si="28"/>
        <v>133333.33333333326</v>
      </c>
      <c r="S70" s="32">
        <f t="shared" si="28"/>
        <v>66666.666666666584</v>
      </c>
      <c r="T70" s="32">
        <f t="shared" si="28"/>
        <v>0</v>
      </c>
    </row>
    <row r="71" spans="1:20">
      <c r="F71" s="7"/>
      <c r="G71" s="19"/>
      <c r="H71" s="19"/>
    </row>
    <row r="72" spans="1:20">
      <c r="D72" s="3" t="s">
        <v>115</v>
      </c>
      <c r="E72" s="23">
        <f>SUM(J72:T72)</f>
        <v>80000</v>
      </c>
      <c r="F72" s="7" t="s">
        <v>4</v>
      </c>
      <c r="G72" s="20">
        <f>Input!$F$119</f>
        <v>0.06</v>
      </c>
      <c r="H72" s="19"/>
      <c r="J72" s="3">
        <f t="shared" ref="J72:T72" si="29">$G72*J67*J$13</f>
        <v>0</v>
      </c>
      <c r="K72" s="3">
        <f t="shared" si="29"/>
        <v>0</v>
      </c>
      <c r="L72" s="3">
        <f t="shared" si="29"/>
        <v>0</v>
      </c>
      <c r="M72" s="3">
        <f t="shared" si="29"/>
        <v>0</v>
      </c>
      <c r="N72" s="3">
        <f t="shared" si="29"/>
        <v>0</v>
      </c>
      <c r="O72" s="3">
        <f t="shared" si="29"/>
        <v>24000</v>
      </c>
      <c r="P72" s="3">
        <f t="shared" si="29"/>
        <v>19999.999999999996</v>
      </c>
      <c r="Q72" s="3">
        <f t="shared" si="29"/>
        <v>15999.999999999996</v>
      </c>
      <c r="R72" s="3">
        <f t="shared" si="29"/>
        <v>11999.999999999996</v>
      </c>
      <c r="S72" s="3">
        <f t="shared" si="29"/>
        <v>7999.9999999999955</v>
      </c>
      <c r="T72" s="3">
        <f t="shared" si="29"/>
        <v>0</v>
      </c>
    </row>
    <row r="73" spans="1:20">
      <c r="F73" s="7"/>
    </row>
    <row r="74" spans="1:20">
      <c r="A74" s="15">
        <f>MAX(A$3:A73)+0.01</f>
        <v>2.0299999999999994</v>
      </c>
      <c r="B74" s="15"/>
      <c r="C74" s="15" t="s">
        <v>117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>
      <c r="F75" s="7"/>
    </row>
    <row r="76" spans="1:20" ht="15.6">
      <c r="B76" s="8" t="s">
        <v>46</v>
      </c>
      <c r="F76" s="7"/>
    </row>
    <row r="77" spans="1:20">
      <c r="D77" s="3" t="s">
        <v>111</v>
      </c>
      <c r="F77" s="7" t="s">
        <v>4</v>
      </c>
      <c r="J77" s="3">
        <f t="shared" ref="J77:T77" si="30">I80*J$13</f>
        <v>0</v>
      </c>
      <c r="K77" s="3">
        <f t="shared" si="30"/>
        <v>0</v>
      </c>
      <c r="L77" s="3">
        <f t="shared" si="30"/>
        <v>0</v>
      </c>
      <c r="M77" s="3">
        <f t="shared" si="30"/>
        <v>0</v>
      </c>
      <c r="N77" s="3">
        <f t="shared" si="30"/>
        <v>0</v>
      </c>
      <c r="O77" s="3">
        <f t="shared" si="30"/>
        <v>500000</v>
      </c>
      <c r="P77" s="3">
        <f t="shared" si="30"/>
        <v>437500</v>
      </c>
      <c r="Q77" s="3">
        <f t="shared" si="30"/>
        <v>375000</v>
      </c>
      <c r="R77" s="3">
        <f t="shared" si="30"/>
        <v>312500</v>
      </c>
      <c r="S77" s="3">
        <f t="shared" si="30"/>
        <v>250000</v>
      </c>
      <c r="T77" s="3">
        <f t="shared" si="30"/>
        <v>0</v>
      </c>
    </row>
    <row r="78" spans="1:20">
      <c r="D78" s="3" t="s">
        <v>118</v>
      </c>
      <c r="E78" s="23">
        <f>SUM(J78:T78)</f>
        <v>500000</v>
      </c>
      <c r="F78" s="7" t="s">
        <v>4</v>
      </c>
      <c r="G78" s="19">
        <f>Input!F99</f>
        <v>500000</v>
      </c>
      <c r="H78" s="36">
        <f>Input!F100</f>
        <v>2025</v>
      </c>
      <c r="J78" s="3">
        <f t="shared" ref="J78:T78" si="31">$G78*($H78=J$7)*J$13</f>
        <v>0</v>
      </c>
      <c r="K78" s="3">
        <f t="shared" si="31"/>
        <v>0</v>
      </c>
      <c r="L78" s="3">
        <f t="shared" si="31"/>
        <v>0</v>
      </c>
      <c r="M78" s="3">
        <f t="shared" si="31"/>
        <v>0</v>
      </c>
      <c r="N78" s="3">
        <f t="shared" si="31"/>
        <v>500000</v>
      </c>
      <c r="O78" s="3">
        <f t="shared" si="31"/>
        <v>0</v>
      </c>
      <c r="P78" s="3">
        <f t="shared" si="31"/>
        <v>0</v>
      </c>
      <c r="Q78" s="3">
        <f t="shared" si="31"/>
        <v>0</v>
      </c>
      <c r="R78" s="3">
        <f t="shared" si="31"/>
        <v>0</v>
      </c>
      <c r="S78" s="3">
        <f t="shared" si="31"/>
        <v>0</v>
      </c>
      <c r="T78" s="3">
        <f t="shared" si="31"/>
        <v>0</v>
      </c>
    </row>
    <row r="79" spans="1:20">
      <c r="D79" s="3" t="s">
        <v>1</v>
      </c>
      <c r="E79" s="23">
        <f>SUM(J79:T79)</f>
        <v>-312500</v>
      </c>
      <c r="F79" s="7" t="s">
        <v>4</v>
      </c>
      <c r="G79" s="19">
        <f>Input!F102</f>
        <v>62500</v>
      </c>
      <c r="J79" s="3">
        <f t="shared" ref="J79:T79" si="32">-MIN(J77,$G79)*J$13</f>
        <v>0</v>
      </c>
      <c r="K79" s="3">
        <f t="shared" si="32"/>
        <v>0</v>
      </c>
      <c r="L79" s="3">
        <f t="shared" si="32"/>
        <v>0</v>
      </c>
      <c r="M79" s="3">
        <f t="shared" si="32"/>
        <v>0</v>
      </c>
      <c r="N79" s="3">
        <f t="shared" si="32"/>
        <v>0</v>
      </c>
      <c r="O79" s="3">
        <f t="shared" si="32"/>
        <v>-62500</v>
      </c>
      <c r="P79" s="3">
        <f t="shared" si="32"/>
        <v>-62500</v>
      </c>
      <c r="Q79" s="3">
        <f t="shared" si="32"/>
        <v>-62500</v>
      </c>
      <c r="R79" s="3">
        <f t="shared" si="32"/>
        <v>-62500</v>
      </c>
      <c r="S79" s="3">
        <f t="shared" si="32"/>
        <v>-62500</v>
      </c>
      <c r="T79" s="3">
        <f t="shared" si="32"/>
        <v>0</v>
      </c>
    </row>
    <row r="80" spans="1:20">
      <c r="D80" s="32" t="s">
        <v>114</v>
      </c>
      <c r="F80" s="7" t="s">
        <v>4</v>
      </c>
      <c r="J80" s="32">
        <f t="shared" ref="J80:T80" si="33">SUM(J77:J79)</f>
        <v>0</v>
      </c>
      <c r="K80" s="32">
        <f t="shared" si="33"/>
        <v>0</v>
      </c>
      <c r="L80" s="32">
        <f t="shared" si="33"/>
        <v>0</v>
      </c>
      <c r="M80" s="32">
        <f t="shared" si="33"/>
        <v>0</v>
      </c>
      <c r="N80" s="32">
        <f t="shared" si="33"/>
        <v>500000</v>
      </c>
      <c r="O80" s="32">
        <f t="shared" si="33"/>
        <v>437500</v>
      </c>
      <c r="P80" s="32">
        <f t="shared" si="33"/>
        <v>375000</v>
      </c>
      <c r="Q80" s="32">
        <f t="shared" si="33"/>
        <v>312500</v>
      </c>
      <c r="R80" s="32">
        <f t="shared" si="33"/>
        <v>250000</v>
      </c>
      <c r="S80" s="32">
        <f t="shared" si="33"/>
        <v>187500</v>
      </c>
      <c r="T80" s="32">
        <f t="shared" si="33"/>
        <v>0</v>
      </c>
    </row>
    <row r="81" spans="1:20">
      <c r="F81" s="7"/>
    </row>
    <row r="82" spans="1:20" ht="15.6">
      <c r="B82" s="8" t="s">
        <v>66</v>
      </c>
      <c r="F82" s="7"/>
    </row>
    <row r="83" spans="1:20">
      <c r="D83" s="3" t="s">
        <v>0</v>
      </c>
      <c r="E83" s="23">
        <f>SUM(J83:T83)</f>
        <v>3612751.3068032847</v>
      </c>
      <c r="F83" s="7" t="s">
        <v>4</v>
      </c>
      <c r="J83" s="3">
        <f t="shared" ref="J83:T83" si="34">J52</f>
        <v>0</v>
      </c>
      <c r="K83" s="3">
        <f t="shared" si="34"/>
        <v>212160</v>
      </c>
      <c r="L83" s="3">
        <f t="shared" si="34"/>
        <v>252833.06999999995</v>
      </c>
      <c r="M83" s="3">
        <f t="shared" si="34"/>
        <v>289021.43122275011</v>
      </c>
      <c r="N83" s="3">
        <f t="shared" si="34"/>
        <v>318455.69206789637</v>
      </c>
      <c r="O83" s="3">
        <f t="shared" si="34"/>
        <v>344931.45502172445</v>
      </c>
      <c r="P83" s="3">
        <f t="shared" si="34"/>
        <v>482529.82263889397</v>
      </c>
      <c r="Q83" s="3">
        <f t="shared" si="34"/>
        <v>528150.38101097452</v>
      </c>
      <c r="R83" s="3">
        <f t="shared" si="34"/>
        <v>569794.41693224804</v>
      </c>
      <c r="S83" s="3">
        <f t="shared" si="34"/>
        <v>614875.03790879715</v>
      </c>
      <c r="T83" s="3">
        <f t="shared" si="34"/>
        <v>0</v>
      </c>
    </row>
    <row r="84" spans="1:20">
      <c r="D84" s="3" t="s">
        <v>119</v>
      </c>
      <c r="E84" s="23">
        <f>SUM(J84:T84)</f>
        <v>-350000</v>
      </c>
      <c r="F84" s="7" t="s">
        <v>4</v>
      </c>
      <c r="J84" s="3">
        <f t="shared" ref="J84:T84" si="35">-SUM(J64,J72)</f>
        <v>0</v>
      </c>
      <c r="K84" s="3">
        <f t="shared" si="35"/>
        <v>-60000</v>
      </c>
      <c r="L84" s="3">
        <f t="shared" si="35"/>
        <v>-52500</v>
      </c>
      <c r="M84" s="3">
        <f t="shared" si="35"/>
        <v>-45000</v>
      </c>
      <c r="N84" s="3">
        <f t="shared" si="35"/>
        <v>-37500</v>
      </c>
      <c r="O84" s="3">
        <f t="shared" si="35"/>
        <v>-54000</v>
      </c>
      <c r="P84" s="3">
        <f t="shared" si="35"/>
        <v>-42500</v>
      </c>
      <c r="Q84" s="3">
        <f t="shared" si="35"/>
        <v>-30999.999999999996</v>
      </c>
      <c r="R84" s="3">
        <f t="shared" si="35"/>
        <v>-19499.999999999996</v>
      </c>
      <c r="S84" s="3">
        <f t="shared" si="35"/>
        <v>-7999.9999999999955</v>
      </c>
      <c r="T84" s="3">
        <f t="shared" si="35"/>
        <v>0</v>
      </c>
    </row>
    <row r="85" spans="1:20">
      <c r="D85" s="3" t="s">
        <v>1</v>
      </c>
      <c r="E85" s="29">
        <f>SUM(J85:T85)</f>
        <v>-312500</v>
      </c>
      <c r="F85" s="7" t="s">
        <v>4</v>
      </c>
      <c r="J85" s="3">
        <f t="shared" ref="J85:T85" si="36">J79</f>
        <v>0</v>
      </c>
      <c r="K85" s="3">
        <f t="shared" si="36"/>
        <v>0</v>
      </c>
      <c r="L85" s="3">
        <f t="shared" si="36"/>
        <v>0</v>
      </c>
      <c r="M85" s="3">
        <f t="shared" si="36"/>
        <v>0</v>
      </c>
      <c r="N85" s="3">
        <f t="shared" si="36"/>
        <v>0</v>
      </c>
      <c r="O85" s="3">
        <f t="shared" si="36"/>
        <v>-62500</v>
      </c>
      <c r="P85" s="3">
        <f t="shared" si="36"/>
        <v>-62500</v>
      </c>
      <c r="Q85" s="3">
        <f t="shared" si="36"/>
        <v>-62500</v>
      </c>
      <c r="R85" s="3">
        <f t="shared" si="36"/>
        <v>-62500</v>
      </c>
      <c r="S85" s="3">
        <f t="shared" si="36"/>
        <v>-62500</v>
      </c>
      <c r="T85" s="3">
        <f t="shared" si="36"/>
        <v>0</v>
      </c>
    </row>
    <row r="86" spans="1:20">
      <c r="D86" s="32" t="s">
        <v>120</v>
      </c>
      <c r="E86" s="31">
        <f>SUM(J86:T86)</f>
        <v>2950251.3068032842</v>
      </c>
      <c r="F86" s="7" t="s">
        <v>4</v>
      </c>
      <c r="J86" s="32">
        <f t="shared" ref="J86:T86" si="37">SUM(J83:J85)</f>
        <v>0</v>
      </c>
      <c r="K86" s="32">
        <f t="shared" si="37"/>
        <v>152160</v>
      </c>
      <c r="L86" s="32">
        <f t="shared" si="37"/>
        <v>200333.06999999995</v>
      </c>
      <c r="M86" s="32">
        <f t="shared" si="37"/>
        <v>244021.43122275011</v>
      </c>
      <c r="N86" s="32">
        <f t="shared" si="37"/>
        <v>280955.69206789637</v>
      </c>
      <c r="O86" s="32">
        <f t="shared" si="37"/>
        <v>228431.45502172445</v>
      </c>
      <c r="P86" s="32">
        <f t="shared" si="37"/>
        <v>377529.82263889397</v>
      </c>
      <c r="Q86" s="32">
        <f t="shared" si="37"/>
        <v>434650.38101097452</v>
      </c>
      <c r="R86" s="32">
        <f t="shared" si="37"/>
        <v>487794.41693224804</v>
      </c>
      <c r="S86" s="32">
        <f t="shared" si="37"/>
        <v>544375.03790879715</v>
      </c>
      <c r="T86" s="32">
        <f t="shared" si="37"/>
        <v>0</v>
      </c>
    </row>
    <row r="87" spans="1:20">
      <c r="D87" s="3" t="s">
        <v>121</v>
      </c>
      <c r="E87" s="23">
        <f>SUM(J87:T87)</f>
        <v>885075.39204098529</v>
      </c>
      <c r="F87" s="7" t="s">
        <v>4</v>
      </c>
      <c r="G87" s="20">
        <f>Input!F138</f>
        <v>0.3</v>
      </c>
      <c r="J87" s="3">
        <f t="shared" ref="J87:T87" si="38">$G87*J86</f>
        <v>0</v>
      </c>
      <c r="K87" s="3">
        <f t="shared" si="38"/>
        <v>45648</v>
      </c>
      <c r="L87" s="3">
        <f t="shared" si="38"/>
        <v>60099.92099999998</v>
      </c>
      <c r="M87" s="3">
        <f t="shared" si="38"/>
        <v>73206.429366825032</v>
      </c>
      <c r="N87" s="3">
        <f t="shared" si="38"/>
        <v>84286.707620368907</v>
      </c>
      <c r="O87" s="3">
        <f t="shared" si="38"/>
        <v>68529.436506517333</v>
      </c>
      <c r="P87" s="3">
        <f t="shared" si="38"/>
        <v>113258.94679166819</v>
      </c>
      <c r="Q87" s="3">
        <f t="shared" si="38"/>
        <v>130395.11430329236</v>
      </c>
      <c r="R87" s="3">
        <f t="shared" si="38"/>
        <v>146338.3250796744</v>
      </c>
      <c r="S87" s="3">
        <f t="shared" si="38"/>
        <v>163312.51137263913</v>
      </c>
      <c r="T87" s="3">
        <f t="shared" si="38"/>
        <v>0</v>
      </c>
    </row>
    <row r="88" spans="1:20">
      <c r="F88" s="7"/>
    </row>
    <row r="89" spans="1:20" ht="15.6">
      <c r="B89" s="8" t="s">
        <v>122</v>
      </c>
      <c r="F89" s="7"/>
    </row>
    <row r="90" spans="1:20">
      <c r="D90" s="3" t="s">
        <v>0</v>
      </c>
      <c r="E90" s="23">
        <f>SUM(J90:T90)</f>
        <v>3612751.3068032847</v>
      </c>
      <c r="F90" s="7"/>
      <c r="J90" s="3">
        <f t="shared" ref="J90:T90" si="39">J52</f>
        <v>0</v>
      </c>
      <c r="K90" s="3">
        <f t="shared" si="39"/>
        <v>212160</v>
      </c>
      <c r="L90" s="3">
        <f t="shared" si="39"/>
        <v>252833.06999999995</v>
      </c>
      <c r="M90" s="3">
        <f t="shared" si="39"/>
        <v>289021.43122275011</v>
      </c>
      <c r="N90" s="3">
        <f t="shared" si="39"/>
        <v>318455.69206789637</v>
      </c>
      <c r="O90" s="3">
        <f t="shared" si="39"/>
        <v>344931.45502172445</v>
      </c>
      <c r="P90" s="3">
        <f t="shared" si="39"/>
        <v>482529.82263889397</v>
      </c>
      <c r="Q90" s="3">
        <f t="shared" si="39"/>
        <v>528150.38101097452</v>
      </c>
      <c r="R90" s="3">
        <f t="shared" si="39"/>
        <v>569794.41693224804</v>
      </c>
      <c r="S90" s="3">
        <f t="shared" si="39"/>
        <v>614875.03790879715</v>
      </c>
      <c r="T90" s="3">
        <f t="shared" si="39"/>
        <v>0</v>
      </c>
    </row>
    <row r="91" spans="1:20">
      <c r="D91" s="3" t="s">
        <v>119</v>
      </c>
      <c r="E91" s="23">
        <f>SUM(J91:T91)</f>
        <v>-80000</v>
      </c>
      <c r="F91" s="7"/>
      <c r="J91" s="3">
        <f t="shared" ref="J91:T91" si="40">-SUM(J63,J72)</f>
        <v>0</v>
      </c>
      <c r="K91" s="3">
        <f t="shared" si="40"/>
        <v>0</v>
      </c>
      <c r="L91" s="3">
        <f t="shared" si="40"/>
        <v>0</v>
      </c>
      <c r="M91" s="3">
        <f t="shared" si="40"/>
        <v>0</v>
      </c>
      <c r="N91" s="3">
        <f t="shared" si="40"/>
        <v>0</v>
      </c>
      <c r="O91" s="3">
        <f t="shared" si="40"/>
        <v>-24000</v>
      </c>
      <c r="P91" s="3">
        <f t="shared" si="40"/>
        <v>-19999.999999999996</v>
      </c>
      <c r="Q91" s="3">
        <f t="shared" si="40"/>
        <v>-15999.999999999996</v>
      </c>
      <c r="R91" s="3">
        <f t="shared" si="40"/>
        <v>-11999.999999999996</v>
      </c>
      <c r="S91" s="3">
        <f t="shared" si="40"/>
        <v>-7999.9999999999955</v>
      </c>
      <c r="T91" s="3">
        <f t="shared" si="40"/>
        <v>0</v>
      </c>
    </row>
    <row r="92" spans="1:20">
      <c r="D92" s="3" t="s">
        <v>123</v>
      </c>
      <c r="E92" s="23">
        <f>SUM(J92:T92)</f>
        <v>-1533333.3333333337</v>
      </c>
      <c r="F92" s="7"/>
      <c r="J92" s="3">
        <f t="shared" ref="J92:T92" si="41">SUM(J61,J69)</f>
        <v>0</v>
      </c>
      <c r="K92" s="3">
        <f t="shared" si="41"/>
        <v>-150000</v>
      </c>
      <c r="L92" s="3">
        <f t="shared" si="41"/>
        <v>-150000</v>
      </c>
      <c r="M92" s="3">
        <f t="shared" si="41"/>
        <v>-150000</v>
      </c>
      <c r="N92" s="3">
        <f t="shared" si="41"/>
        <v>-150000</v>
      </c>
      <c r="O92" s="3">
        <f t="shared" si="41"/>
        <v>-216666.66666666669</v>
      </c>
      <c r="P92" s="3">
        <f t="shared" si="41"/>
        <v>-216666.66666666669</v>
      </c>
      <c r="Q92" s="3">
        <f t="shared" si="41"/>
        <v>-216666.66666666669</v>
      </c>
      <c r="R92" s="3">
        <f t="shared" si="41"/>
        <v>-216666.66666666669</v>
      </c>
      <c r="S92" s="3">
        <f t="shared" si="41"/>
        <v>-66666.666666666672</v>
      </c>
      <c r="T92" s="3">
        <f t="shared" si="41"/>
        <v>0</v>
      </c>
    </row>
    <row r="93" spans="1:20">
      <c r="D93" s="3" t="s">
        <v>124</v>
      </c>
      <c r="E93" s="29">
        <f>SUM(J93:T93)</f>
        <v>-885075.39204098529</v>
      </c>
      <c r="F93" s="7"/>
      <c r="J93" s="3">
        <f t="shared" ref="J93:T93" si="42">0-J87</f>
        <v>0</v>
      </c>
      <c r="K93" s="3">
        <f t="shared" si="42"/>
        <v>-45648</v>
      </c>
      <c r="L93" s="3">
        <f t="shared" si="42"/>
        <v>-60099.92099999998</v>
      </c>
      <c r="M93" s="3">
        <f t="shared" si="42"/>
        <v>-73206.429366825032</v>
      </c>
      <c r="N93" s="3">
        <f t="shared" si="42"/>
        <v>-84286.707620368907</v>
      </c>
      <c r="O93" s="3">
        <f t="shared" si="42"/>
        <v>-68529.436506517333</v>
      </c>
      <c r="P93" s="3">
        <f t="shared" si="42"/>
        <v>-113258.94679166819</v>
      </c>
      <c r="Q93" s="3">
        <f t="shared" si="42"/>
        <v>-130395.11430329236</v>
      </c>
      <c r="R93" s="3">
        <f t="shared" si="42"/>
        <v>-146338.3250796744</v>
      </c>
      <c r="S93" s="3">
        <f t="shared" si="42"/>
        <v>-163312.51137263913</v>
      </c>
      <c r="T93" s="3">
        <f t="shared" si="42"/>
        <v>0</v>
      </c>
    </row>
    <row r="94" spans="1:20">
      <c r="D94" s="32" t="s">
        <v>125</v>
      </c>
      <c r="E94" s="31">
        <f>SUM(J94:T94)</f>
        <v>1114342.581428966</v>
      </c>
      <c r="F94" s="7"/>
      <c r="J94" s="32">
        <f t="shared" ref="J94:T94" si="43">SUM(J90:J93)</f>
        <v>0</v>
      </c>
      <c r="K94" s="32">
        <f t="shared" si="43"/>
        <v>16512</v>
      </c>
      <c r="L94" s="32">
        <f t="shared" si="43"/>
        <v>42733.148999999969</v>
      </c>
      <c r="M94" s="32">
        <f t="shared" si="43"/>
        <v>65815.001855925075</v>
      </c>
      <c r="N94" s="32">
        <f t="shared" si="43"/>
        <v>84168.984447527459</v>
      </c>
      <c r="O94" s="32">
        <f t="shared" si="43"/>
        <v>35735.351848540435</v>
      </c>
      <c r="P94" s="32">
        <f t="shared" si="43"/>
        <v>132604.20918055909</v>
      </c>
      <c r="Q94" s="32">
        <f t="shared" si="43"/>
        <v>165088.60004101548</v>
      </c>
      <c r="R94" s="32">
        <f t="shared" si="43"/>
        <v>194789.42518590696</v>
      </c>
      <c r="S94" s="32">
        <f t="shared" si="43"/>
        <v>376895.85986949143</v>
      </c>
      <c r="T94" s="32">
        <f t="shared" si="43"/>
        <v>0</v>
      </c>
    </row>
    <row r="95" spans="1:20">
      <c r="F95" s="7"/>
    </row>
    <row r="96" spans="1:20">
      <c r="A96" s="15">
        <f>MAX(A$3:A95)+0.01</f>
        <v>2.0399999999999991</v>
      </c>
      <c r="B96" s="15"/>
      <c r="C96" s="15" t="s">
        <v>126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1:20">
      <c r="F97" s="7"/>
    </row>
    <row r="98" spans="1:20" ht="15.6">
      <c r="B98" s="8" t="s">
        <v>126</v>
      </c>
      <c r="F98" s="7"/>
    </row>
    <row r="99" spans="1:20">
      <c r="D99" s="3" t="s">
        <v>127</v>
      </c>
      <c r="F99" s="7" t="s">
        <v>83</v>
      </c>
      <c r="G99" s="36">
        <f>Input!F144</f>
        <v>2030</v>
      </c>
      <c r="J99" s="18">
        <f t="shared" ref="J99:T99" si="44">1*($G99=J$7)</f>
        <v>0</v>
      </c>
      <c r="K99" s="18">
        <f t="shared" si="44"/>
        <v>0</v>
      </c>
      <c r="L99" s="18">
        <f t="shared" si="44"/>
        <v>0</v>
      </c>
      <c r="M99" s="18">
        <f t="shared" si="44"/>
        <v>0</v>
      </c>
      <c r="N99" s="18">
        <f t="shared" si="44"/>
        <v>0</v>
      </c>
      <c r="O99" s="18">
        <f t="shared" si="44"/>
        <v>0</v>
      </c>
      <c r="P99" s="18">
        <f t="shared" si="44"/>
        <v>0</v>
      </c>
      <c r="Q99" s="18">
        <f t="shared" si="44"/>
        <v>0</v>
      </c>
      <c r="R99" s="18">
        <f t="shared" si="44"/>
        <v>0</v>
      </c>
      <c r="S99" s="18">
        <f t="shared" si="44"/>
        <v>1</v>
      </c>
      <c r="T99" s="18">
        <f t="shared" si="44"/>
        <v>0</v>
      </c>
    </row>
    <row r="100" spans="1:20">
      <c r="D100" s="3" t="s">
        <v>128</v>
      </c>
      <c r="E100" s="23">
        <f>SUM(J100:T100)</f>
        <v>5533875.3411791744</v>
      </c>
      <c r="F100" s="7" t="s">
        <v>4</v>
      </c>
      <c r="G100" s="19">
        <f>Input!F143</f>
        <v>9</v>
      </c>
      <c r="J100" s="3">
        <f t="shared" ref="J100:T100" si="45">J99*$G100*J52</f>
        <v>0</v>
      </c>
      <c r="K100" s="3">
        <f t="shared" si="45"/>
        <v>0</v>
      </c>
      <c r="L100" s="3">
        <f t="shared" si="45"/>
        <v>0</v>
      </c>
      <c r="M100" s="3">
        <f t="shared" si="45"/>
        <v>0</v>
      </c>
      <c r="N100" s="3">
        <f t="shared" si="45"/>
        <v>0</v>
      </c>
      <c r="O100" s="3">
        <f t="shared" si="45"/>
        <v>0</v>
      </c>
      <c r="P100" s="3">
        <f t="shared" si="45"/>
        <v>0</v>
      </c>
      <c r="Q100" s="3">
        <f t="shared" si="45"/>
        <v>0</v>
      </c>
      <c r="R100" s="3">
        <f t="shared" si="45"/>
        <v>0</v>
      </c>
      <c r="S100" s="3">
        <f t="shared" si="45"/>
        <v>5533875.3411791744</v>
      </c>
      <c r="T100" s="3">
        <f t="shared" si="45"/>
        <v>0</v>
      </c>
    </row>
    <row r="101" spans="1:20">
      <c r="D101" s="3" t="s">
        <v>129</v>
      </c>
      <c r="E101" s="29">
        <f>SUM(J101:T101)</f>
        <v>-66666.666666666584</v>
      </c>
      <c r="F101" s="7" t="s">
        <v>4</v>
      </c>
      <c r="J101" s="3">
        <f t="shared" ref="J101:T101" si="46">-SUM(J62,J70)*J99</f>
        <v>0</v>
      </c>
      <c r="K101" s="3">
        <f t="shared" si="46"/>
        <v>0</v>
      </c>
      <c r="L101" s="3">
        <f t="shared" si="46"/>
        <v>0</v>
      </c>
      <c r="M101" s="3">
        <f t="shared" si="46"/>
        <v>0</v>
      </c>
      <c r="N101" s="3">
        <f t="shared" si="46"/>
        <v>0</v>
      </c>
      <c r="O101" s="3">
        <f t="shared" si="46"/>
        <v>0</v>
      </c>
      <c r="P101" s="3">
        <f t="shared" si="46"/>
        <v>0</v>
      </c>
      <c r="Q101" s="3">
        <f t="shared" si="46"/>
        <v>0</v>
      </c>
      <c r="R101" s="3">
        <f t="shared" si="46"/>
        <v>0</v>
      </c>
      <c r="S101" s="3">
        <f t="shared" si="46"/>
        <v>-66666.666666666584</v>
      </c>
      <c r="T101" s="3">
        <f t="shared" si="46"/>
        <v>0</v>
      </c>
    </row>
    <row r="102" spans="1:20">
      <c r="D102" s="32" t="s">
        <v>130</v>
      </c>
      <c r="E102" s="31">
        <f>SUM(J102:T102)</f>
        <v>5467208.6745125074</v>
      </c>
      <c r="F102" s="7" t="s">
        <v>4</v>
      </c>
      <c r="J102" s="32">
        <f t="shared" ref="J102:T102" si="47">SUM(J100:J101)</f>
        <v>0</v>
      </c>
      <c r="K102" s="32">
        <f t="shared" si="47"/>
        <v>0</v>
      </c>
      <c r="L102" s="32">
        <f t="shared" si="47"/>
        <v>0</v>
      </c>
      <c r="M102" s="32">
        <f t="shared" si="47"/>
        <v>0</v>
      </c>
      <c r="N102" s="32">
        <f t="shared" si="47"/>
        <v>0</v>
      </c>
      <c r="O102" s="32">
        <f t="shared" si="47"/>
        <v>0</v>
      </c>
      <c r="P102" s="32">
        <f t="shared" si="47"/>
        <v>0</v>
      </c>
      <c r="Q102" s="32">
        <f t="shared" si="47"/>
        <v>0</v>
      </c>
      <c r="R102" s="32">
        <f t="shared" si="47"/>
        <v>0</v>
      </c>
      <c r="S102" s="32">
        <f t="shared" si="47"/>
        <v>5467208.6745125074</v>
      </c>
      <c r="T102" s="32">
        <f t="shared" si="47"/>
        <v>0</v>
      </c>
    </row>
    <row r="104" spans="1:20">
      <c r="A104" s="15">
        <f>MAX(A$3:A103)+0.01</f>
        <v>2.0499999999999989</v>
      </c>
      <c r="B104" s="15"/>
      <c r="C104" s="15" t="s">
        <v>131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1:20">
      <c r="F105" s="7"/>
    </row>
    <row r="106" spans="1:20" ht="15.6">
      <c r="B106" s="8" t="s">
        <v>131</v>
      </c>
      <c r="F106" s="7"/>
    </row>
    <row r="107" spans="1:20">
      <c r="C107" s="27" t="s">
        <v>132</v>
      </c>
      <c r="F107" s="7"/>
    </row>
    <row r="108" spans="1:20" ht="13.8">
      <c r="D108" s="6" t="s">
        <v>133</v>
      </c>
      <c r="E108" s="23">
        <f>SUM(J108:T108)</f>
        <v>800000</v>
      </c>
      <c r="F108" s="7" t="s">
        <v>4</v>
      </c>
      <c r="G108" s="19">
        <f>Input!F124</f>
        <v>800000</v>
      </c>
      <c r="H108" s="36">
        <f>YEAR(Input!F15)</f>
        <v>2021</v>
      </c>
      <c r="J108" s="3">
        <f t="shared" ref="J108:T109" si="48">$G108*(J$7=$H108)*J$13</f>
        <v>800000</v>
      </c>
      <c r="K108" s="3">
        <f t="shared" si="48"/>
        <v>0</v>
      </c>
      <c r="L108" s="3">
        <f t="shared" si="48"/>
        <v>0</v>
      </c>
      <c r="M108" s="3">
        <f t="shared" si="48"/>
        <v>0</v>
      </c>
      <c r="N108" s="3">
        <f t="shared" si="48"/>
        <v>0</v>
      </c>
      <c r="O108" s="3">
        <f t="shared" si="48"/>
        <v>0</v>
      </c>
      <c r="P108" s="3">
        <f t="shared" si="48"/>
        <v>0</v>
      </c>
      <c r="Q108" s="3">
        <f t="shared" si="48"/>
        <v>0</v>
      </c>
      <c r="R108" s="3">
        <f t="shared" si="48"/>
        <v>0</v>
      </c>
      <c r="S108" s="3">
        <f t="shared" si="48"/>
        <v>0</v>
      </c>
      <c r="T108" s="3">
        <f t="shared" si="48"/>
        <v>0</v>
      </c>
    </row>
    <row r="109" spans="1:20" ht="13.8">
      <c r="D109" s="6" t="s">
        <v>134</v>
      </c>
      <c r="E109" s="23">
        <f>SUM(J109:T109)</f>
        <v>100000</v>
      </c>
      <c r="F109" s="7" t="s">
        <v>4</v>
      </c>
      <c r="G109" s="19">
        <f>Input!F125</f>
        <v>100000</v>
      </c>
      <c r="H109" s="36">
        <f>Input!F100</f>
        <v>2025</v>
      </c>
      <c r="J109" s="3">
        <f t="shared" si="48"/>
        <v>0</v>
      </c>
      <c r="K109" s="3">
        <f t="shared" si="48"/>
        <v>0</v>
      </c>
      <c r="L109" s="3">
        <f t="shared" si="48"/>
        <v>0</v>
      </c>
      <c r="M109" s="3">
        <f t="shared" si="48"/>
        <v>0</v>
      </c>
      <c r="N109" s="3">
        <f t="shared" si="48"/>
        <v>100000</v>
      </c>
      <c r="O109" s="3">
        <f t="shared" si="48"/>
        <v>0</v>
      </c>
      <c r="P109" s="3">
        <f t="shared" si="48"/>
        <v>0</v>
      </c>
      <c r="Q109" s="3">
        <f t="shared" si="48"/>
        <v>0</v>
      </c>
      <c r="R109" s="3">
        <f t="shared" si="48"/>
        <v>0</v>
      </c>
      <c r="S109" s="3">
        <f t="shared" si="48"/>
        <v>0</v>
      </c>
      <c r="T109" s="3">
        <f t="shared" si="48"/>
        <v>0</v>
      </c>
    </row>
    <row r="110" spans="1:20">
      <c r="F110" s="7"/>
    </row>
    <row r="111" spans="1:20">
      <c r="C111" s="27" t="s">
        <v>135</v>
      </c>
      <c r="F111" s="7"/>
    </row>
    <row r="112" spans="1:20" ht="13.8">
      <c r="D112" s="6" t="s">
        <v>133</v>
      </c>
      <c r="E112" s="23">
        <f t="shared" ref="E112:E117" si="49">SUM(J112:T112)</f>
        <v>-800000</v>
      </c>
      <c r="F112" s="7" t="s">
        <v>4</v>
      </c>
      <c r="J112" s="3">
        <f t="shared" ref="J112:T113" si="50">-J108</f>
        <v>-800000</v>
      </c>
      <c r="K112" s="3">
        <f t="shared" si="50"/>
        <v>0</v>
      </c>
      <c r="L112" s="3">
        <f t="shared" si="50"/>
        <v>0</v>
      </c>
      <c r="M112" s="3">
        <f t="shared" si="50"/>
        <v>0</v>
      </c>
      <c r="N112" s="3">
        <f t="shared" si="50"/>
        <v>0</v>
      </c>
      <c r="O112" s="3">
        <f t="shared" si="50"/>
        <v>0</v>
      </c>
      <c r="P112" s="3">
        <f t="shared" si="50"/>
        <v>0</v>
      </c>
      <c r="Q112" s="3">
        <f t="shared" si="50"/>
        <v>0</v>
      </c>
      <c r="R112" s="3">
        <f t="shared" si="50"/>
        <v>0</v>
      </c>
      <c r="S112" s="3">
        <f t="shared" si="50"/>
        <v>0</v>
      </c>
      <c r="T112" s="3">
        <f t="shared" si="50"/>
        <v>0</v>
      </c>
    </row>
    <row r="113" spans="1:20" ht="13.8">
      <c r="D113" s="6" t="s">
        <v>134</v>
      </c>
      <c r="E113" s="23">
        <f t="shared" si="49"/>
        <v>-100000</v>
      </c>
      <c r="F113" s="7" t="s">
        <v>4</v>
      </c>
      <c r="J113" s="3">
        <f t="shared" si="50"/>
        <v>0</v>
      </c>
      <c r="K113" s="3">
        <f t="shared" si="50"/>
        <v>0</v>
      </c>
      <c r="L113" s="3">
        <f t="shared" si="50"/>
        <v>0</v>
      </c>
      <c r="M113" s="3">
        <f t="shared" si="50"/>
        <v>0</v>
      </c>
      <c r="N113" s="3">
        <f t="shared" si="50"/>
        <v>-100000</v>
      </c>
      <c r="O113" s="3">
        <f t="shared" si="50"/>
        <v>0</v>
      </c>
      <c r="P113" s="3">
        <f t="shared" si="50"/>
        <v>0</v>
      </c>
      <c r="Q113" s="3">
        <f t="shared" si="50"/>
        <v>0</v>
      </c>
      <c r="R113" s="3">
        <f t="shared" si="50"/>
        <v>0</v>
      </c>
      <c r="S113" s="3">
        <f t="shared" si="50"/>
        <v>0</v>
      </c>
      <c r="T113" s="3">
        <f t="shared" si="50"/>
        <v>0</v>
      </c>
    </row>
    <row r="114" spans="1:20" ht="13.8">
      <c r="D114" s="6" t="s">
        <v>136</v>
      </c>
      <c r="E114" s="23">
        <f t="shared" si="49"/>
        <v>0</v>
      </c>
      <c r="F114" s="7" t="s">
        <v>4</v>
      </c>
      <c r="J114" s="3">
        <f t="shared" ref="J114:T114" si="51">MIN(0,J94)</f>
        <v>0</v>
      </c>
      <c r="K114" s="3">
        <f t="shared" si="51"/>
        <v>0</v>
      </c>
      <c r="L114" s="3">
        <f t="shared" si="51"/>
        <v>0</v>
      </c>
      <c r="M114" s="3">
        <f t="shared" si="51"/>
        <v>0</v>
      </c>
      <c r="N114" s="3">
        <f t="shared" si="51"/>
        <v>0</v>
      </c>
      <c r="O114" s="3">
        <f t="shared" si="51"/>
        <v>0</v>
      </c>
      <c r="P114" s="3">
        <f t="shared" si="51"/>
        <v>0</v>
      </c>
      <c r="Q114" s="3">
        <f t="shared" si="51"/>
        <v>0</v>
      </c>
      <c r="R114" s="3">
        <f t="shared" si="51"/>
        <v>0</v>
      </c>
      <c r="S114" s="3">
        <f t="shared" si="51"/>
        <v>0</v>
      </c>
      <c r="T114" s="3">
        <f t="shared" si="51"/>
        <v>0</v>
      </c>
    </row>
    <row r="115" spans="1:20" ht="13.8">
      <c r="D115" s="6" t="s">
        <v>137</v>
      </c>
      <c r="E115" s="23">
        <f t="shared" si="49"/>
        <v>1114342.581428966</v>
      </c>
      <c r="F115" s="7" t="s">
        <v>4</v>
      </c>
      <c r="J115" s="3">
        <f t="shared" ref="J115:T115" si="52">MAX(0,J94)</f>
        <v>0</v>
      </c>
      <c r="K115" s="3">
        <f t="shared" si="52"/>
        <v>16512</v>
      </c>
      <c r="L115" s="3">
        <f t="shared" si="52"/>
        <v>42733.148999999969</v>
      </c>
      <c r="M115" s="3">
        <f t="shared" si="52"/>
        <v>65815.001855925075</v>
      </c>
      <c r="N115" s="3">
        <f t="shared" si="52"/>
        <v>84168.984447527459</v>
      </c>
      <c r="O115" s="3">
        <f t="shared" si="52"/>
        <v>35735.351848540435</v>
      </c>
      <c r="P115" s="3">
        <f t="shared" si="52"/>
        <v>132604.20918055909</v>
      </c>
      <c r="Q115" s="3">
        <f t="shared" si="52"/>
        <v>165088.60004101548</v>
      </c>
      <c r="R115" s="3">
        <f t="shared" si="52"/>
        <v>194789.42518590696</v>
      </c>
      <c r="S115" s="3">
        <f t="shared" si="52"/>
        <v>376895.85986949143</v>
      </c>
      <c r="T115" s="3">
        <f t="shared" si="52"/>
        <v>0</v>
      </c>
    </row>
    <row r="116" spans="1:20" ht="13.8">
      <c r="D116" s="6" t="s">
        <v>138</v>
      </c>
      <c r="E116" s="29">
        <f t="shared" si="49"/>
        <v>5467208.6745125074</v>
      </c>
      <c r="F116" s="7" t="s">
        <v>4</v>
      </c>
      <c r="J116" s="3">
        <f t="shared" ref="J116:T116" si="53">J102</f>
        <v>0</v>
      </c>
      <c r="K116" s="3">
        <f t="shared" si="53"/>
        <v>0</v>
      </c>
      <c r="L116" s="3">
        <f t="shared" si="53"/>
        <v>0</v>
      </c>
      <c r="M116" s="3">
        <f t="shared" si="53"/>
        <v>0</v>
      </c>
      <c r="N116" s="3">
        <f t="shared" si="53"/>
        <v>0</v>
      </c>
      <c r="O116" s="3">
        <f t="shared" si="53"/>
        <v>0</v>
      </c>
      <c r="P116" s="3">
        <f t="shared" si="53"/>
        <v>0</v>
      </c>
      <c r="Q116" s="3">
        <f t="shared" si="53"/>
        <v>0</v>
      </c>
      <c r="R116" s="3">
        <f t="shared" si="53"/>
        <v>0</v>
      </c>
      <c r="S116" s="3">
        <f t="shared" si="53"/>
        <v>5467208.6745125074</v>
      </c>
      <c r="T116" s="3">
        <f t="shared" si="53"/>
        <v>0</v>
      </c>
    </row>
    <row r="117" spans="1:20" ht="13.8">
      <c r="D117" s="33" t="s">
        <v>139</v>
      </c>
      <c r="E117" s="37">
        <f t="shared" si="49"/>
        <v>5681551.2559414729</v>
      </c>
      <c r="F117" s="7" t="s">
        <v>4</v>
      </c>
      <c r="J117" s="38">
        <f t="shared" ref="J117:T117" si="54">SUM(J112:J116)</f>
        <v>-800000</v>
      </c>
      <c r="K117" s="38">
        <f t="shared" si="54"/>
        <v>16512</v>
      </c>
      <c r="L117" s="38">
        <f t="shared" si="54"/>
        <v>42733.148999999969</v>
      </c>
      <c r="M117" s="38">
        <f t="shared" si="54"/>
        <v>65815.001855925075</v>
      </c>
      <c r="N117" s="38">
        <f t="shared" si="54"/>
        <v>-15831.015552472541</v>
      </c>
      <c r="O117" s="38">
        <f t="shared" si="54"/>
        <v>35735.351848540435</v>
      </c>
      <c r="P117" s="38">
        <f t="shared" si="54"/>
        <v>132604.20918055909</v>
      </c>
      <c r="Q117" s="38">
        <f t="shared" si="54"/>
        <v>165088.60004101548</v>
      </c>
      <c r="R117" s="38">
        <f t="shared" si="54"/>
        <v>194789.42518590696</v>
      </c>
      <c r="S117" s="38">
        <f t="shared" si="54"/>
        <v>5844104.5343819987</v>
      </c>
      <c r="T117" s="38">
        <f t="shared" si="54"/>
        <v>0</v>
      </c>
    </row>
    <row r="118" spans="1:20">
      <c r="F118" s="7"/>
    </row>
    <row r="119" spans="1:20">
      <c r="D119" s="27" t="s">
        <v>140</v>
      </c>
      <c r="E119" s="39">
        <f>XIRR(J117:T117,J6:T6)</f>
        <v>0.27882520556449886</v>
      </c>
      <c r="F119" s="7" t="s">
        <v>3</v>
      </c>
    </row>
    <row r="120" spans="1:20">
      <c r="F120" s="7"/>
    </row>
    <row r="121" spans="1:20">
      <c r="F121" s="7"/>
    </row>
    <row r="122" spans="1:20">
      <c r="F122" s="7"/>
    </row>
    <row r="123" spans="1:20">
      <c r="A123" s="15"/>
      <c r="B123" s="15"/>
      <c r="C123" s="15" t="s">
        <v>76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1:20">
      <c r="F124" s="7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3</xdr:col>
                    <xdr:colOff>2644140</xdr:colOff>
                    <xdr:row>5</xdr:row>
                    <xdr:rowOff>68580</xdr:rowOff>
                  </from>
                  <to>
                    <xdr:col>5</xdr:col>
                    <xdr:colOff>594360</xdr:colOff>
                    <xdr:row>6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1661-C497-4B04-91DC-0158E971F426}">
  <sheetPr>
    <tabColor rgb="FFFFFFCC"/>
  </sheetPr>
  <dimension ref="A2:E45"/>
  <sheetViews>
    <sheetView showGridLines="0" topLeftCell="A9" zoomScaleNormal="100" workbookViewId="0">
      <selection activeCell="B44" sqref="B44"/>
    </sheetView>
  </sheetViews>
  <sheetFormatPr defaultColWidth="12.69921875" defaultRowHeight="13.2"/>
  <cols>
    <col min="1" max="1" width="12.69921875" style="3"/>
    <col min="2" max="2" width="62.69921875" style="3" customWidth="1"/>
    <col min="3" max="3" width="40.69921875" style="3" customWidth="1"/>
    <col min="4" max="16384" width="12.69921875" style="3"/>
  </cols>
  <sheetData>
    <row r="2" spans="1:5" ht="15.6">
      <c r="A2" s="8" t="s">
        <v>141</v>
      </c>
    </row>
    <row r="3" spans="1:5">
      <c r="B3" s="27" t="s">
        <v>142</v>
      </c>
      <c r="C3" s="27" t="s">
        <v>143</v>
      </c>
    </row>
    <row r="4" spans="1:5">
      <c r="A4" s="3">
        <v>1</v>
      </c>
      <c r="B4" s="3" t="s">
        <v>144</v>
      </c>
      <c r="C4" s="3" t="s">
        <v>145</v>
      </c>
      <c r="E4" s="3" t="str">
        <f xml:space="preserve"> "Input: " &amp; CHAR(10) &amp; $B4 &amp; REPT(CHAR(10), 2 ) &amp; "Requested change: " &amp; CHAR(10) &amp; $C4</f>
        <v>Input: 
Initial Purchase Cost
Requested change: 
plus 10% of base value</v>
      </c>
    </row>
    <row r="5" spans="1:5">
      <c r="A5" s="3">
        <v>2</v>
      </c>
      <c r="B5" s="3" t="s">
        <v>144</v>
      </c>
      <c r="C5" s="3" t="s">
        <v>146</v>
      </c>
      <c r="E5" s="3" t="str">
        <f t="shared" ref="E5:E27" si="0" xml:space="preserve"> "Input: " &amp; CHAR(10) &amp; $B5 &amp; REPT(CHAR(10), 2 ) &amp; "Requested change: " &amp; CHAR(10) &amp; $C5</f>
        <v>Input: 
Initial Purchase Cost
Requested change: 
minus 10% of base value</v>
      </c>
    </row>
    <row r="6" spans="1:5">
      <c r="A6" s="3">
        <v>3</v>
      </c>
      <c r="B6" s="3" t="s">
        <v>147</v>
      </c>
      <c r="C6" s="3" t="s">
        <v>145</v>
      </c>
      <c r="E6" s="3" t="str">
        <f t="shared" si="0"/>
        <v>Input: 
2022 Membership fee (Regular member)
Requested change: 
plus 10% of base value</v>
      </c>
    </row>
    <row r="7" spans="1:5">
      <c r="A7" s="3">
        <v>4</v>
      </c>
      <c r="B7" s="3" t="s">
        <v>147</v>
      </c>
      <c r="C7" s="3" t="s">
        <v>146</v>
      </c>
      <c r="E7" s="3" t="str">
        <f t="shared" si="0"/>
        <v>Input: 
2022 Membership fee (Regular member)
Requested change: 
minus 10% of base value</v>
      </c>
    </row>
    <row r="8" spans="1:5">
      <c r="A8" s="3">
        <v>5</v>
      </c>
      <c r="B8" s="3" t="s">
        <v>148</v>
      </c>
      <c r="C8" s="3" t="s">
        <v>149</v>
      </c>
      <c r="E8" s="3" t="str">
        <f t="shared" si="0"/>
        <v>Input: 
Escalation rate of membership fees
Requested change: 
plus 50 basis points (e.g. from 4.00% up to 4.50%)</v>
      </c>
    </row>
    <row r="9" spans="1:5">
      <c r="A9" s="3">
        <v>6</v>
      </c>
      <c r="B9" s="3" t="s">
        <v>148</v>
      </c>
      <c r="C9" s="3" t="s">
        <v>150</v>
      </c>
      <c r="E9" s="3" t="str">
        <f t="shared" si="0"/>
        <v>Input: 
Escalation rate of membership fees
Requested change: 
minus 50 basis points</v>
      </c>
    </row>
    <row r="10" spans="1:5">
      <c r="A10" s="3">
        <v>7</v>
      </c>
      <c r="B10" s="3" t="s">
        <v>17</v>
      </c>
      <c r="C10" s="3" t="s">
        <v>151</v>
      </c>
      <c r="E10" s="3" t="str">
        <f t="shared" si="0"/>
        <v>Input: 
Number of Regular members at start of 2022
Requested change: 
plus 50 people from base value</v>
      </c>
    </row>
    <row r="11" spans="1:5">
      <c r="A11" s="3">
        <v>8</v>
      </c>
      <c r="B11" s="3" t="s">
        <v>17</v>
      </c>
      <c r="C11" s="3" t="s">
        <v>152</v>
      </c>
      <c r="E11" s="3" t="str">
        <f t="shared" si="0"/>
        <v>Input: 
Number of Regular members at start of 2022
Requested change: 
minus 50 people from base value</v>
      </c>
    </row>
    <row r="12" spans="1:5">
      <c r="A12" s="3">
        <v>9</v>
      </c>
      <c r="B12" s="3" t="s">
        <v>153</v>
      </c>
      <c r="C12" s="3" t="s">
        <v>154</v>
      </c>
      <c r="E12" s="3" t="str">
        <f t="shared" si="0"/>
        <v>Input: 
Increase in Casual Visit Prices each year
Requested change: 
plus 50 basis points</v>
      </c>
    </row>
    <row r="13" spans="1:5">
      <c r="A13" s="3">
        <v>10</v>
      </c>
      <c r="B13" s="3" t="s">
        <v>153</v>
      </c>
      <c r="C13" s="3" t="s">
        <v>150</v>
      </c>
      <c r="E13" s="3" t="str">
        <f t="shared" si="0"/>
        <v>Input: 
Increase in Casual Visit Prices each year
Requested change: 
minus 50 basis points</v>
      </c>
    </row>
    <row r="14" spans="1:5">
      <c r="A14" s="3">
        <v>11</v>
      </c>
      <c r="B14" s="3" t="s">
        <v>155</v>
      </c>
      <c r="C14" s="3" t="s">
        <v>156</v>
      </c>
      <c r="E14" s="3" t="str">
        <f t="shared" si="0"/>
        <v>Input: 
Year on Year change to Regular Members
Requested change: 
plus 50 basis points to all years (excluding 2022)</v>
      </c>
    </row>
    <row r="15" spans="1:5">
      <c r="A15" s="3">
        <v>12</v>
      </c>
      <c r="B15" s="3" t="s">
        <v>157</v>
      </c>
      <c r="C15" s="3" t="s">
        <v>156</v>
      </c>
      <c r="E15" s="3" t="str">
        <f t="shared" si="0"/>
        <v>Input: 
Year on Year change to Ordinary Casual Visits
Requested change: 
plus 50 basis points to all years (excluding 2022)</v>
      </c>
    </row>
    <row r="16" spans="1:5">
      <c r="A16" s="3">
        <v>13</v>
      </c>
      <c r="B16" s="3" t="s">
        <v>158</v>
      </c>
      <c r="C16" s="3" t="s">
        <v>154</v>
      </c>
      <c r="E16" s="3" t="str">
        <f t="shared" si="0"/>
        <v>Input: 
Escalation rate of fixed expenses
Requested change: 
plus 50 basis points</v>
      </c>
    </row>
    <row r="17" spans="1:5">
      <c r="A17" s="3">
        <v>14</v>
      </c>
      <c r="B17" s="3" t="s">
        <v>158</v>
      </c>
      <c r="C17" s="3" t="s">
        <v>150</v>
      </c>
      <c r="E17" s="3" t="str">
        <f t="shared" si="0"/>
        <v>Input: 
Escalation rate of fixed expenses
Requested change: 
minus 50 basis points</v>
      </c>
    </row>
    <row r="18" spans="1:5">
      <c r="A18" s="3">
        <v>15</v>
      </c>
      <c r="B18" s="3" t="s">
        <v>159</v>
      </c>
      <c r="C18" s="3" t="s">
        <v>154</v>
      </c>
      <c r="E18" s="3" t="str">
        <f t="shared" si="0"/>
        <v>Input: 
Escalation rate of variable expenses
Requested change: 
plus 50 basis points</v>
      </c>
    </row>
    <row r="19" spans="1:5">
      <c r="A19" s="3">
        <v>16</v>
      </c>
      <c r="B19" s="3" t="s">
        <v>159</v>
      </c>
      <c r="C19" s="3" t="s">
        <v>150</v>
      </c>
      <c r="E19" s="3" t="str">
        <f t="shared" si="0"/>
        <v>Input: 
Escalation rate of variable expenses
Requested change: 
minus 50 basis points</v>
      </c>
    </row>
    <row r="20" spans="1:5">
      <c r="A20" s="3">
        <v>17</v>
      </c>
      <c r="B20" s="3" t="s">
        <v>160</v>
      </c>
      <c r="C20" s="3" t="s">
        <v>154</v>
      </c>
      <c r="E20" s="3" t="str">
        <f t="shared" si="0"/>
        <v>Input: 
Initial Purchase Debt Facility Interest Rate
Requested change: 
plus 50 basis points</v>
      </c>
    </row>
    <row r="21" spans="1:5">
      <c r="A21" s="3">
        <v>18</v>
      </c>
      <c r="B21" s="3" t="s">
        <v>161</v>
      </c>
      <c r="C21" s="3" t="s">
        <v>154</v>
      </c>
      <c r="E21" s="3" t="str">
        <f t="shared" si="0"/>
        <v>Input: 
Refurbishment Debt Facility Interest Rate
Requested change: 
plus 50 basis points</v>
      </c>
    </row>
    <row r="22" spans="1:5">
      <c r="A22" s="3">
        <v>19</v>
      </c>
      <c r="B22" s="3" t="s">
        <v>162</v>
      </c>
      <c r="C22" s="3" t="s">
        <v>163</v>
      </c>
      <c r="E22" s="3" t="str">
        <f t="shared" si="0"/>
        <v>Input: 
Initial Purchase % funded by Debt
Requested change: 
change % funded to 80%</v>
      </c>
    </row>
    <row r="23" spans="1:5">
      <c r="A23" s="3">
        <v>20</v>
      </c>
      <c r="B23" s="3" t="s">
        <v>162</v>
      </c>
      <c r="C23" s="3" t="s">
        <v>164</v>
      </c>
      <c r="E23" s="3" t="str">
        <f t="shared" si="0"/>
        <v>Input: 
Initial Purchase % funded by Debt
Requested change: 
change % funded to 40%</v>
      </c>
    </row>
    <row r="24" spans="1:5">
      <c r="A24" s="3">
        <v>21</v>
      </c>
      <c r="B24" s="3" t="s">
        <v>165</v>
      </c>
      <c r="C24" s="3" t="s">
        <v>166</v>
      </c>
      <c r="E24" s="3" t="str">
        <f t="shared" si="0"/>
        <v>Input: 
Refurbishment % funded by Debt
Requested change: 
change % funded to 90%</v>
      </c>
    </row>
    <row r="25" spans="1:5">
      <c r="A25" s="3">
        <v>22</v>
      </c>
      <c r="B25" s="3" t="s">
        <v>165</v>
      </c>
      <c r="C25" s="3" t="s">
        <v>167</v>
      </c>
      <c r="E25" s="3" t="str">
        <f t="shared" si="0"/>
        <v>Input: 
Refurbishment % funded by Debt
Requested change: 
change % funded to 70%</v>
      </c>
    </row>
    <row r="26" spans="1:5">
      <c r="A26" s="3">
        <v>23</v>
      </c>
      <c r="B26" s="3" t="s">
        <v>168</v>
      </c>
      <c r="C26" s="3" t="s">
        <v>169</v>
      </c>
      <c r="E26" s="3" t="str">
        <f t="shared" si="0"/>
        <v>Input: 
Time of Sale of Business
Requested change: 
bring forward to end of 2028</v>
      </c>
    </row>
    <row r="27" spans="1:5">
      <c r="A27" s="3">
        <v>24</v>
      </c>
      <c r="B27" s="3" t="s">
        <v>168</v>
      </c>
      <c r="C27" s="3" t="s">
        <v>170</v>
      </c>
      <c r="E27" s="3" t="str">
        <f t="shared" si="0"/>
        <v>Input: 
Time of Sale of Business
Requested change: 
bring forward to end of 2024</v>
      </c>
    </row>
    <row r="29" spans="1:5">
      <c r="B29" s="27" t="s">
        <v>171</v>
      </c>
    </row>
    <row r="30" spans="1:5">
      <c r="A30" s="3">
        <v>1</v>
      </c>
      <c r="B30" s="3" t="s">
        <v>172</v>
      </c>
    </row>
    <row r="33" spans="1:2" ht="15.6">
      <c r="A33" s="8" t="s">
        <v>173</v>
      </c>
    </row>
    <row r="34" spans="1:2">
      <c r="B34" s="27" t="s">
        <v>174</v>
      </c>
    </row>
    <row r="35" spans="1:2" ht="39.6">
      <c r="A35" s="40">
        <v>1</v>
      </c>
      <c r="B35" s="41" t="s">
        <v>175</v>
      </c>
    </row>
    <row r="36" spans="1:2" ht="26.4">
      <c r="A36" s="40">
        <v>2</v>
      </c>
      <c r="B36" s="41" t="s">
        <v>176</v>
      </c>
    </row>
    <row r="37" spans="1:2" ht="39.6">
      <c r="A37" s="40">
        <v>3</v>
      </c>
      <c r="B37" s="41" t="s">
        <v>177</v>
      </c>
    </row>
    <row r="38" spans="1:2" ht="39.6">
      <c r="A38" s="40">
        <v>4</v>
      </c>
      <c r="B38" s="41" t="s">
        <v>178</v>
      </c>
    </row>
    <row r="39" spans="1:2" ht="39.6">
      <c r="A39" s="40">
        <v>5</v>
      </c>
      <c r="B39" s="41" t="s">
        <v>179</v>
      </c>
    </row>
    <row r="41" spans="1:2">
      <c r="B41" s="27" t="s">
        <v>180</v>
      </c>
    </row>
    <row r="42" spans="1:2">
      <c r="A42" s="3">
        <v>1</v>
      </c>
      <c r="B42" s="3" t="s">
        <v>172</v>
      </c>
    </row>
    <row r="43" spans="1:2">
      <c r="A43" s="3">
        <v>2</v>
      </c>
      <c r="B43" s="3" t="s">
        <v>181</v>
      </c>
    </row>
    <row r="44" spans="1:2">
      <c r="A44" s="3">
        <v>3</v>
      </c>
      <c r="B44" s="3" t="s">
        <v>182</v>
      </c>
    </row>
    <row r="45" spans="1:2">
      <c r="A45" s="3">
        <v>4</v>
      </c>
      <c r="B45" s="3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Output</vt:lpstr>
      <vt:lpstr>Input</vt:lpstr>
      <vt:lpstr>CaseCalcs</vt:lpstr>
      <vt:lpstr>CaseAnalysis</vt:lpstr>
      <vt:lpstr>company</vt:lpstr>
      <vt:lpstr>scenarios</vt:lpstr>
      <vt:lpstr>selector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2026-09-27T20:51:14Z</dcterms:modified>
</cp:coreProperties>
</file>