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1"/>
  <workbookPr filterPrivacy="1" codeName="ThisWorkbook" defaultThemeVersion="124226"/>
  <xr:revisionPtr revIDLastSave="363" documentId="13_ncr:1_{F381591B-032D-46F3-8CD3-37CB8CDF2512}" xr6:coauthVersionLast="47" xr6:coauthVersionMax="47" xr10:uidLastSave="{DED83EAC-F6E8-4804-A777-57436EBEB900}"/>
  <bookViews>
    <workbookView xWindow="28680" yWindow="-120" windowWidth="29040" windowHeight="16440" activeTab="4" xr2:uid="{00000000-000D-0000-FFFF-FFFF00000000}"/>
  </bookViews>
  <sheets>
    <sheet name="Summary" sheetId="12" r:id="rId1"/>
    <sheet name="Overlay" sheetId="15" r:id="rId2"/>
    <sheet name="Expansion" sheetId="14" r:id="rId3"/>
    <sheet name="Existing" sheetId="13" r:id="rId4"/>
    <sheet name="CaseData" sheetId="10" r:id="rId5"/>
  </sheets>
  <definedNames>
    <definedName name="company">CaseData!$C$34</definedName>
    <definedName name="expansion_selector">Expansion!$F$7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overlay_selector">Overlay!$F$7</definedName>
    <definedName name="periods">CaseData!$C$36</definedName>
    <definedName name="_xlnm.Print_Area" localSheetId="3">Existing!$A$1:$S$72</definedName>
    <definedName name="_xlnm.Print_Area" localSheetId="2">Expansion!$A$1:$S$28</definedName>
    <definedName name="_xlnm.Print_Area" localSheetId="1">Overlay!$A$1:$S$28</definedName>
    <definedName name="_xlnm.Print_Area" localSheetId="0">Summary!$A$1:$S$22</definedName>
    <definedName name="_xlnm.Print_Titles" localSheetId="3">Existing!$1:$4</definedName>
    <definedName name="_xlnm.Print_Titles" localSheetId="2">Expansion!$1:$4</definedName>
    <definedName name="_xlnm.Print_Titles" localSheetId="1">Overlay!$1:$4</definedName>
    <definedName name="_xlnm.Print_Titles" localSheetId="0">Summary!$1:$4</definedName>
    <definedName name="start_date">CaseData!$C$9</definedName>
    <definedName name="switch">CaseData!$C$37:$C$38</definedName>
    <definedName name="topic">"CFM Topic: " &amp; CaseData!$C$35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3" l="1" a="1"/>
  <c r="J11" i="13" a="1"/>
  <c r="J12" i="13" a="1"/>
  <c r="J17" i="12" a="1"/>
  <c r="J3" i="13" a="1"/>
  <c r="J22" i="13" a="1"/>
  <c r="J38" i="13" a="1"/>
  <c r="J19" i="13" a="1"/>
  <c r="J39" i="13" a="1"/>
  <c r="F25" i="13" a="1"/>
  <c r="G25" i="13" a="1"/>
  <c r="J24" i="13" a="1"/>
  <c r="J25" i="13" a="1"/>
  <c r="J35" i="13" a="1"/>
  <c r="J40" i="13" a="1"/>
  <c r="J41" i="13" a="1"/>
  <c r="J18" i="12" a="1"/>
  <c r="J50" i="13" a="1"/>
  <c r="J66" i="13" a="1"/>
  <c r="J47" i="13" a="1"/>
  <c r="J67" i="13" a="1"/>
  <c r="G53" i="13" a="1"/>
  <c r="F53" i="13" a="1"/>
  <c r="J53" i="13" a="1"/>
  <c r="J63" i="13" a="1"/>
  <c r="J68" i="13" a="1"/>
  <c r="J69" i="13" a="1"/>
  <c r="J19" i="12" a="1"/>
  <c r="J22" i="12" a="1"/>
  <c r="J21" i="12" a="1"/>
  <c r="J20" i="12" a="1"/>
  <c r="J24" i="15" a="1"/>
  <c r="J25" i="15" a="1"/>
  <c r="J26" i="15" a="1"/>
  <c r="J23" i="15" a="1"/>
  <c r="J23" i="14" a="1"/>
  <c r="J26" i="14" a="1"/>
  <c r="J25" i="14" a="1"/>
  <c r="J24" i="14" a="1"/>
  <c r="J3" i="14" a="1"/>
  <c r="G10" i="14" a="1"/>
  <c r="F10" i="14" a="1"/>
  <c r="J10" i="14" a="1"/>
  <c r="J20" i="14" a="1"/>
  <c r="J10" i="12" a="1"/>
  <c r="G10" i="15" a="1"/>
  <c r="J10" i="15" a="1"/>
  <c r="J20" i="15" a="1"/>
  <c r="J11" i="12" a="1"/>
  <c r="J14" i="13" a="1"/>
  <c r="J7" i="12" a="1"/>
  <c r="J8" i="12" a="1"/>
  <c r="J9" i="12" a="1"/>
  <c r="J12" i="12" a="1"/>
  <c r="H10" i="15" a="1"/>
  <c r="J9" i="15" a="1"/>
  <c r="F10" i="15" a="1"/>
  <c r="J3" i="15" a="1"/>
  <c r="A2" i="15" a="1"/>
  <c r="A1" i="15" a="1"/>
  <c r="H10" i="14" a="1"/>
  <c r="J9" i="14" a="1"/>
  <c r="A2" i="14" a="1"/>
  <c r="A1" i="14" a="1"/>
  <c r="H47" i="13" a="1"/>
  <c r="A2" i="13" a="1"/>
  <c r="A1" i="13" a="1"/>
  <c r="J3" i="12" a="1"/>
  <c r="A2" i="12" a="1"/>
  <c r="A1" i="12" a="1"/>
  <c r="I28" i="10"/>
  <c r="E17" i="10"/>
  <c r="J52" i="13" a="1"/>
  <c r="J9" i="13" a="1"/>
  <c r="H19" i="13" a="1"/>
  <c r="H53" i="13" a="1"/>
  <c r="H25" i="13" a="1"/>
  <c r="J37" i="13" a="1"/>
  <c r="J65" i="13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8" authorId="0" shapeId="0" xr:uid="{BE686F59-EDA3-4E1F-8481-512B3B61EFE8}">
      <text>
        <r>
          <rPr>
            <sz val="9"/>
            <color indexed="81"/>
            <rFont val="Tahoma"/>
            <family val="2"/>
          </rPr>
          <t xml:space="preserve">Using the Declining Balance Method, the depreciation rate is a user input, but the model needs to fully depreciate the assets at the end of the useful life of the assets.
</t>
        </r>
      </text>
    </comment>
    <comment ref="I28" authorId="0" shapeId="0" xr:uid="{ADEC31AF-51DC-4C72-AB81-7876CA1FAD4C}">
      <text>
        <r>
          <rPr>
            <sz val="9"/>
            <color indexed="81"/>
            <rFont val="Tahoma"/>
            <family val="2"/>
          </rPr>
          <t xml:space="preserve">Using the Double Declining Balance Method, the depreciation rate is double the implied rate of the useful life.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<sst xmlns="http://schemas.openxmlformats.org/spreadsheetml/2006/main" count="159" uniqueCount="100">
  <si>
    <t>Growth</t>
  </si>
  <si>
    <t>Capex</t>
  </si>
  <si>
    <t>Useful Life</t>
  </si>
  <si>
    <t>Total</t>
  </si>
  <si>
    <t>Depreciation</t>
  </si>
  <si>
    <t>Remaining</t>
  </si>
  <si>
    <t>Annual</t>
  </si>
  <si>
    <t>Useful</t>
  </si>
  <si>
    <t>Life</t>
  </si>
  <si>
    <t>Method</t>
  </si>
  <si>
    <t>Land</t>
  </si>
  <si>
    <t>N/A</t>
  </si>
  <si>
    <t>Buildings</t>
  </si>
  <si>
    <t>Straight-Line</t>
  </si>
  <si>
    <t>Machinery</t>
  </si>
  <si>
    <t>Asset</t>
  </si>
  <si>
    <t>Type</t>
  </si>
  <si>
    <t>Total Cost</t>
  </si>
  <si>
    <t>(in $ mm, unless otherwise noted)</t>
  </si>
  <si>
    <t>On (=1) / Off (=0)</t>
  </si>
  <si>
    <t>Current Date</t>
  </si>
  <si>
    <t>Double Declining</t>
  </si>
  <si>
    <t>MANUFACTURING EXPANSION</t>
  </si>
  <si>
    <t>Start Year</t>
  </si>
  <si>
    <t>Years to Complete</t>
  </si>
  <si>
    <t>TECHNOLOGY OVERLAY</t>
  </si>
  <si>
    <t>% of Existing Machiney</t>
  </si>
  <si>
    <t>% of Expansion Capex</t>
  </si>
  <si>
    <t>Depreciation Rate</t>
  </si>
  <si>
    <t>EXISTING PROPERTY, PLANT &amp; EQUIPMENT</t>
  </si>
  <si>
    <t>Declining Balance</t>
  </si>
  <si>
    <t>CFM Sample Exam Question</t>
  </si>
  <si>
    <t>($mm)</t>
  </si>
  <si>
    <t>Net Balance</t>
  </si>
  <si>
    <t>Rate</t>
  </si>
  <si>
    <t>EXISTING ASSETS</t>
  </si>
  <si>
    <t>NEW ASSETS</t>
  </si>
  <si>
    <t>Capex &amp; Depreciation - Case Data</t>
  </si>
  <si>
    <t>Model technical inputs</t>
  </si>
  <si>
    <t>Company name</t>
  </si>
  <si>
    <t>Stanbridge Inc.</t>
  </si>
  <si>
    <t>Topic</t>
  </si>
  <si>
    <t>CAPEX and Depreciation</t>
  </si>
  <si>
    <t>Periods</t>
  </si>
  <si>
    <t>years</t>
  </si>
  <si>
    <t xml:space="preserve">Buildings </t>
  </si>
  <si>
    <t>Depreciation on existing buildings</t>
  </si>
  <si>
    <t>USD m</t>
  </si>
  <si>
    <t>Capex on new buildings</t>
  </si>
  <si>
    <t>Depreciation on new buildings</t>
  </si>
  <si>
    <t>CAPEX in new buildings</t>
  </si>
  <si>
    <t>Depreciation costs on existing buildings</t>
  </si>
  <si>
    <t>Depreciation costs on new buildings</t>
  </si>
  <si>
    <t>Buildings closing balance</t>
  </si>
  <si>
    <t>Buildings opening balance</t>
  </si>
  <si>
    <t>Land opening balance</t>
  </si>
  <si>
    <t>Land closing balance</t>
  </si>
  <si>
    <t>Land sales</t>
  </si>
  <si>
    <t>Land purchases</t>
  </si>
  <si>
    <t>Depreciation on existing machinery</t>
  </si>
  <si>
    <t>Capex on new machinery</t>
  </si>
  <si>
    <t>Depreciation on new machinery</t>
  </si>
  <si>
    <t>Machinery opening balance</t>
  </si>
  <si>
    <t>Machinery closing balance</t>
  </si>
  <si>
    <t>CAPEX in new machinery</t>
  </si>
  <si>
    <t>Depreciation costs on existing machinery</t>
  </si>
  <si>
    <t>Depreciation costs on new machinery</t>
  </si>
  <si>
    <t>Existing buildings</t>
  </si>
  <si>
    <t>New buildings</t>
  </si>
  <si>
    <t>Existing machinery</t>
  </si>
  <si>
    <t>New machinery</t>
  </si>
  <si>
    <t>Existing Property, Plant &amp; Equipment (“PP&amp;E”)</t>
  </si>
  <si>
    <t>EXISTING ASSETS SCHEDULE</t>
  </si>
  <si>
    <t>MANUFACTORING EXPANSION SCHEDULE</t>
  </si>
  <si>
    <t>Manufactoring expansion</t>
  </si>
  <si>
    <t>Switch</t>
  </si>
  <si>
    <t>On</t>
  </si>
  <si>
    <t>Off</t>
  </si>
  <si>
    <t>Manufactoring switch</t>
  </si>
  <si>
    <t>Depreciation on new expansion</t>
  </si>
  <si>
    <t>Technology overlay switch</t>
  </si>
  <si>
    <t>Depreciation on overlay</t>
  </si>
  <si>
    <t>SUMMARY SCHEDULE</t>
  </si>
  <si>
    <t>Depreciation on land</t>
  </si>
  <si>
    <t>Depreciation summary</t>
  </si>
  <si>
    <t>Depreciation on manufactoring explansion</t>
  </si>
  <si>
    <t>Depreciation on tachnology overlay</t>
  </si>
  <si>
    <t>Total depreciation</t>
  </si>
  <si>
    <t>Net PP&amp;E</t>
  </si>
  <si>
    <t>Manufactoring expansion opening balance</t>
  </si>
  <si>
    <t>Manufactoring expansion closing balance</t>
  </si>
  <si>
    <t>Depreciation costs on new manufactoring expansion</t>
  </si>
  <si>
    <t>CAPEX in manufactoring expansion</t>
  </si>
  <si>
    <t>Technology overlay opening balance</t>
  </si>
  <si>
    <t>Technology overlay closing balance</t>
  </si>
  <si>
    <t>CAPEX in technology overlay</t>
  </si>
  <si>
    <t>Depreciation costs on new technology overlay</t>
  </si>
  <si>
    <t>Technology overlay</t>
  </si>
  <si>
    <t>TECHNOLOGY OVERLAY SCHEDULE</t>
  </si>
  <si>
    <t>End of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</si>
</sst>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$&quot;#,##0.00_);\(&quot;$&quot;#,##0.00\)"/>
    <numFmt numFmtId="165" formatCode="&quot;$&quot;#,##0.0_);\(&quot;$&quot;#,##0.0\)"/>
    <numFmt numFmtId="166" formatCode="0\ &quot;years&quot;"/>
    <numFmt numFmtId="167" formatCode="0\ \ "/>
    <numFmt numFmtId="168" formatCode="0.0%"/>
    <numFmt numFmtId="169" formatCode="[=1]&quot;Yes &quot;;[=0]&quot;No &quot;"/>
    <numFmt numFmtId="170" formatCode="#,##0_);\(#,##0\);&quot;-  &quot;;&quot; &quot;@"/>
    <numFmt numFmtId="171" formatCode="0.00%\ ;\-0.00%\ _);&quot;-  &quot;;&quot; &quot;@&quot; &quot;"/>
    <numFmt numFmtId="172" formatCode="#,##0.0000_);\(#,##0.000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###0_);\(###0\);&quot;-  &quot;;&quot; &quot;@&quot; &quot;"/>
    <numFmt numFmtId="176" formatCode="#,##0.0_);\(#,##0.0\);&quot;-  &quot;;&quot; &quot;@"/>
    <numFmt numFmtId="177" formatCode="#,##0.0_);\(#,##0.0\);&quot;-  &quot;;&quot; &quot;@&quot; 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6">
    <xf numFmtId="170" fontId="0" fillId="0" borderId="0" applyFont="0" applyFill="0" applyBorder="0" applyProtection="0">
      <alignment vertical="top"/>
    </xf>
    <xf numFmtId="171" fontId="12" fillId="0" borderId="0" applyFont="0" applyFill="0" applyBorder="0" applyProtection="0">
      <alignment vertical="top"/>
    </xf>
    <xf numFmtId="172" fontId="12" fillId="0" borderId="0" applyFont="0" applyFill="0" applyBorder="0" applyProtection="0">
      <alignment vertical="top"/>
    </xf>
    <xf numFmtId="173" fontId="12" fillId="0" borderId="0" applyFont="0" applyFill="0" applyBorder="0" applyProtection="0">
      <alignment vertical="top"/>
    </xf>
    <xf numFmtId="174" fontId="12" fillId="0" borderId="0" applyFont="0" applyFill="0" applyBorder="0" applyProtection="0">
      <alignment vertical="top"/>
    </xf>
    <xf numFmtId="175" fontId="12" fillId="0" borderId="0" applyFont="0" applyFill="0" applyBorder="0" applyProtection="0">
      <alignment vertical="top"/>
    </xf>
  </cellStyleXfs>
  <cellXfs count="75">
    <xf numFmtId="170" fontId="0" fillId="0" borderId="0" xfId="0">
      <alignment vertical="top"/>
    </xf>
    <xf numFmtId="170" fontId="1" fillId="0" borderId="0" xfId="0" applyFont="1">
      <alignment vertical="top"/>
    </xf>
    <xf numFmtId="170" fontId="2" fillId="0" borderId="0" xfId="0" applyFont="1">
      <alignment vertical="top"/>
    </xf>
    <xf numFmtId="170" fontId="0" fillId="0" borderId="2" xfId="0" applyBorder="1">
      <alignment vertical="top"/>
    </xf>
    <xf numFmtId="165" fontId="4" fillId="0" borderId="0" xfId="0" applyNumberFormat="1" applyFont="1">
      <alignment vertical="top"/>
    </xf>
    <xf numFmtId="170" fontId="5" fillId="0" borderId="0" xfId="0" applyFont="1" applyAlignment="1">
      <alignment horizontal="center" vertical="center"/>
    </xf>
    <xf numFmtId="170" fontId="0" fillId="0" borderId="0" xfId="0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6" fontId="4" fillId="0" borderId="2" xfId="0" applyNumberFormat="1" applyFont="1" applyBorder="1" applyAlignment="1">
      <alignment horizontal="center" vertical="center"/>
    </xf>
    <xf numFmtId="170" fontId="2" fillId="0" borderId="0" xfId="0" applyFont="1" applyAlignment="1">
      <alignment vertical="center"/>
    </xf>
    <xf numFmtId="14" fontId="4" fillId="0" borderId="1" xfId="0" applyNumberFormat="1" applyFont="1" applyBorder="1" applyAlignment="1">
      <alignment horizontal="center"/>
    </xf>
    <xf numFmtId="170" fontId="2" fillId="0" borderId="2" xfId="0" applyFont="1" applyBorder="1">
      <alignment vertical="top"/>
    </xf>
    <xf numFmtId="167" fontId="4" fillId="0" borderId="0" xfId="0" applyNumberFormat="1" applyFont="1">
      <alignment vertical="top"/>
    </xf>
    <xf numFmtId="164" fontId="0" fillId="0" borderId="0" xfId="0" applyNumberFormat="1">
      <alignment vertical="top"/>
    </xf>
    <xf numFmtId="166" fontId="4" fillId="0" borderId="0" xfId="0" applyNumberFormat="1" applyFont="1" applyAlignment="1">
      <alignment horizontal="right"/>
    </xf>
    <xf numFmtId="165" fontId="4" fillId="0" borderId="2" xfId="0" applyNumberFormat="1" applyFont="1" applyBorder="1">
      <alignment vertical="top"/>
    </xf>
    <xf numFmtId="165" fontId="4" fillId="0" borderId="2" xfId="0" applyNumberFormat="1" applyFont="1" applyBorder="1" applyAlignment="1">
      <alignment horizontal="center"/>
    </xf>
    <xf numFmtId="168" fontId="4" fillId="0" borderId="0" xfId="0" applyNumberFormat="1" applyFont="1" applyAlignment="1">
      <alignment horizontal="center"/>
    </xf>
    <xf numFmtId="168" fontId="4" fillId="0" borderId="2" xfId="0" applyNumberFormat="1" applyFont="1" applyBorder="1" applyAlignment="1">
      <alignment horizontal="center"/>
    </xf>
    <xf numFmtId="170" fontId="6" fillId="0" borderId="0" xfId="0" applyFont="1">
      <alignment vertical="top"/>
    </xf>
    <xf numFmtId="170" fontId="7" fillId="0" borderId="0" xfId="0" applyFont="1">
      <alignment vertical="top"/>
    </xf>
    <xf numFmtId="170" fontId="8" fillId="0" borderId="0" xfId="0" applyFont="1">
      <alignment vertical="top"/>
    </xf>
    <xf numFmtId="14" fontId="3" fillId="0" borderId="0" xfId="0" applyNumberFormat="1" applyFont="1" applyAlignment="1">
      <alignment horizontal="center"/>
    </xf>
    <xf numFmtId="170" fontId="10" fillId="0" borderId="0" xfId="0" applyFont="1" applyAlignment="1">
      <alignment horizontal="center" vertical="center"/>
    </xf>
    <xf numFmtId="170" fontId="10" fillId="0" borderId="2" xfId="0" applyFont="1" applyBorder="1" applyAlignment="1">
      <alignment horizontal="center" vertical="center"/>
    </xf>
    <xf numFmtId="170" fontId="5" fillId="0" borderId="0" xfId="0" applyFont="1">
      <alignment vertical="top"/>
    </xf>
    <xf numFmtId="169" fontId="4" fillId="0" borderId="0" xfId="0" applyNumberFormat="1" applyFont="1" applyAlignment="1">
      <alignment horizontal="right"/>
    </xf>
    <xf numFmtId="168" fontId="4" fillId="0" borderId="0" xfId="0" applyNumberFormat="1" applyFont="1">
      <alignment vertical="top"/>
    </xf>
    <xf numFmtId="168" fontId="5" fillId="0" borderId="2" xfId="0" applyNumberFormat="1" applyFont="1" applyBorder="1">
      <alignment vertical="top"/>
    </xf>
    <xf numFmtId="170" fontId="11" fillId="0" borderId="2" xfId="0" applyFont="1" applyBorder="1" applyAlignment="1">
      <alignment horizontal="centerContinuous"/>
    </xf>
    <xf numFmtId="170" fontId="5" fillId="0" borderId="2" xfId="0" applyFont="1" applyBorder="1" applyAlignment="1">
      <alignment horizontal="centerContinuous"/>
    </xf>
    <xf numFmtId="170" fontId="10" fillId="0" borderId="0" xfId="0" applyFont="1" applyAlignment="1">
      <alignment vertical="center"/>
    </xf>
    <xf numFmtId="170" fontId="10" fillId="0" borderId="2" xfId="0" applyFont="1" applyBorder="1" applyAlignment="1">
      <alignment vertical="center"/>
    </xf>
    <xf numFmtId="170" fontId="5" fillId="0" borderId="0" xfId="0" applyFont="1" applyAlignment="1">
      <alignment vertical="center"/>
    </xf>
    <xf numFmtId="170" fontId="5" fillId="0" borderId="2" xfId="0" applyFont="1" applyBorder="1" applyAlignment="1">
      <alignment vertical="center"/>
    </xf>
    <xf numFmtId="170" fontId="5" fillId="0" borderId="2" xfId="0" applyFont="1" applyBorder="1" applyAlignment="1">
      <alignment horizontal="center" vertical="center"/>
    </xf>
    <xf numFmtId="170" fontId="11" fillId="0" borderId="0" xfId="0" applyFont="1" applyAlignment="1">
      <alignment vertical="center"/>
    </xf>
    <xf numFmtId="165" fontId="11" fillId="0" borderId="0" xfId="0" applyNumberFormat="1" applyFont="1">
      <alignment vertical="top"/>
    </xf>
    <xf numFmtId="168" fontId="4" fillId="0" borderId="2" xfId="0" applyNumberFormat="1" applyFont="1" applyBorder="1" applyAlignment="1">
      <alignment horizontal="right"/>
    </xf>
    <xf numFmtId="17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right"/>
    </xf>
    <xf numFmtId="170" fontId="0" fillId="3" borderId="0" xfId="0" applyFill="1">
      <alignment vertical="top"/>
    </xf>
    <xf numFmtId="170" fontId="2" fillId="3" borderId="0" xfId="0" applyFont="1" applyFill="1">
      <alignment vertical="top"/>
    </xf>
    <xf numFmtId="170" fontId="4" fillId="3" borderId="0" xfId="0" applyFont="1" applyFill="1">
      <alignment vertical="top"/>
    </xf>
    <xf numFmtId="170" fontId="4" fillId="0" borderId="0" xfId="0" applyFont="1">
      <alignment vertical="top"/>
    </xf>
    <xf numFmtId="170" fontId="4" fillId="0" borderId="0" xfId="0" applyFont="1" applyFill="1">
      <alignment vertical="top"/>
    </xf>
    <xf numFmtId="170" fontId="13" fillId="2" borderId="0" xfId="0" applyFont="1" applyFill="1">
      <alignment vertical="top"/>
    </xf>
    <xf numFmtId="174" fontId="13" fillId="2" borderId="0" xfId="4" applyFont="1" applyFill="1">
      <alignment vertical="top"/>
    </xf>
    <xf numFmtId="170" fontId="1" fillId="3" borderId="0" xfId="0" applyFont="1" applyFill="1">
      <alignment vertical="top"/>
    </xf>
    <xf numFmtId="170" fontId="14" fillId="3" borderId="0" xfId="0" applyFont="1" applyFill="1">
      <alignment vertical="top"/>
    </xf>
    <xf numFmtId="170" fontId="14" fillId="0" borderId="0" xfId="0" applyFont="1">
      <alignment vertical="top"/>
    </xf>
    <xf numFmtId="170" fontId="1" fillId="0" borderId="3" xfId="0" applyFont="1" applyBorder="1">
      <alignment vertical="top"/>
    </xf>
    <xf numFmtId="170" fontId="1" fillId="0" borderId="0" xfId="0" applyFont="1" applyBorder="1" applyAlignment="1">
      <alignment horizontal="left" vertical="top" indent="1"/>
    </xf>
    <xf numFmtId="170" fontId="1" fillId="0" borderId="0" xfId="0" applyFont="1" applyBorder="1">
      <alignment vertical="top"/>
    </xf>
    <xf numFmtId="170" fontId="1" fillId="0" borderId="4" xfId="0" applyFont="1" applyBorder="1">
      <alignment vertical="top"/>
    </xf>
    <xf numFmtId="170" fontId="15" fillId="0" borderId="0" xfId="0" applyFont="1">
      <alignment vertical="top"/>
    </xf>
    <xf numFmtId="177" fontId="1" fillId="0" borderId="0" xfId="2" applyNumberFormat="1" applyFont="1">
      <alignment vertical="top"/>
    </xf>
    <xf numFmtId="174" fontId="1" fillId="0" borderId="0" xfId="4" applyFont="1">
      <alignment vertical="top"/>
    </xf>
    <xf numFmtId="176" fontId="1" fillId="0" borderId="0" xfId="0" applyNumberFormat="1" applyFont="1">
      <alignment vertical="top"/>
    </xf>
    <xf numFmtId="177" fontId="1" fillId="0" borderId="3" xfId="2" applyNumberFormat="1" applyFont="1" applyBorder="1">
      <alignment vertical="top"/>
    </xf>
    <xf numFmtId="177" fontId="1" fillId="0" borderId="0" xfId="2" applyNumberFormat="1" applyFont="1" applyBorder="1">
      <alignment vertical="top"/>
    </xf>
    <xf numFmtId="177" fontId="1" fillId="0" borderId="4" xfId="2" applyNumberFormat="1" applyFont="1" applyBorder="1">
      <alignment vertical="top"/>
    </xf>
    <xf numFmtId="170" fontId="14" fillId="0" borderId="0" xfId="0" applyFont="1" applyFill="1">
      <alignment vertical="top"/>
    </xf>
    <xf numFmtId="170" fontId="1" fillId="0" borderId="0" xfId="0" applyFont="1" applyFill="1">
      <alignment vertical="top"/>
    </xf>
    <xf numFmtId="177" fontId="1" fillId="4" borderId="0" xfId="2" applyNumberFormat="1" applyFont="1" applyFill="1">
      <alignment vertical="top"/>
    </xf>
    <xf numFmtId="170" fontId="1" fillId="0" borderId="5" xfId="0" applyFont="1" applyBorder="1">
      <alignment vertical="top"/>
    </xf>
    <xf numFmtId="0" fontId="14" fillId="3" borderId="0" xfId="0" applyNumberFormat="1" applyFont="1" applyFill="1">
      <alignment vertical="top"/>
    </xf>
    <xf numFmtId="177" fontId="1" fillId="0" borderId="5" xfId="2" applyNumberFormat="1" applyFont="1" applyBorder="1">
      <alignment vertical="top"/>
    </xf>
    <xf numFmtId="170" fontId="1" fillId="4" borderId="0" xfId="0" applyFont="1" applyFill="1">
      <alignment vertical="top"/>
    </xf>
    <xf numFmtId="170" fontId="1" fillId="0" borderId="3" xfId="0" applyFont="1" applyFill="1" applyBorder="1">
      <alignment vertical="top"/>
    </xf>
    <xf numFmtId="170" fontId="1" fillId="0" borderId="0" xfId="0" applyFont="1" applyFill="1" applyBorder="1" applyAlignment="1">
      <alignment horizontal="left" vertical="top" indent="1"/>
    </xf>
    <xf numFmtId="170" fontId="1" fillId="0" borderId="0" xfId="0" applyFont="1" applyFill="1" applyBorder="1">
      <alignment vertical="top"/>
    </xf>
    <xf numFmtId="170" fontId="1" fillId="0" borderId="4" xfId="0" applyFont="1" applyFill="1" applyBorder="1">
      <alignment vertical="top"/>
    </xf>
    <xf numFmtId="176" fontId="1" fillId="0" borderId="5" xfId="0" applyNumberFormat="1" applyFont="1" applyBorder="1">
      <alignment vertical="top"/>
    </xf>
  </cellXfs>
  <cellStyles count="6">
    <cellStyle name="DateLong" xfId="3" xr:uid="{66E9DBAA-91BD-41AD-839D-FD2F34322ADC}"/>
    <cellStyle name="DateShort" xfId="4" xr:uid="{0F18EE45-F5E6-418E-A794-9F18264BD15A}"/>
    <cellStyle name="Factor" xfId="2" xr:uid="{ACDAC8C7-7B38-48DB-B32F-A647A75A4AEB}"/>
    <cellStyle name="Normal" xfId="0" builtinId="0" customBuiltin="1"/>
    <cellStyle name="Percent" xfId="1" builtinId="5" customBuiltin="1"/>
    <cellStyle name="Year" xfId="5" xr:uid="{351F2CA0-AF5C-41DE-B6F9-88E5EC27C456}"/>
  </cellStyles>
  <dxfs count="0"/>
  <tableStyles count="0" defaultTableStyle="TableStyleMedium2" defaultPivotStyle="PivotStyleLight16"/>
  <colors>
    <mruColors>
      <color rgb="FFE0A53F"/>
      <color rgb="FFE0A410"/>
      <color rgb="FFD9D9D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Drop" dropStyle="combo" dx="22" fmlaLink="overlay_selector" fmlaRange="switch" noThreeD="1" sel="1" val="0"/>
</file>

<file path=xl/ctrlProps/ctrlProp2.xml><?xml version="1.0" encoding="utf-8"?>
<formControlPr xmlns="http://schemas.microsoft.com/office/spreadsheetml/2009/9/main" objectType="Drop" dropStyle="combo" dx="22" fmlaLink="expansion_selector" fmlaRange="switch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6</xdr:col>
          <xdr:colOff>7620</xdr:colOff>
          <xdr:row>7</xdr:row>
          <xdr:rowOff>22860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6</xdr:col>
          <xdr:colOff>7620</xdr:colOff>
          <xdr:row>7</xdr:row>
          <xdr:rowOff>7620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961BA7-00F2-4BF2-B400-2ED7D764804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b11e41f-d66c-4c76-bb4a-4b7f08c6d83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1593-714F-4802-82D4-EFAC73EBCA3C}">
  <sheetPr codeName="Sheet2">
    <pageSetUpPr fitToPage="1"/>
  </sheetPr>
  <dimension ref="A1:AH22"/>
  <sheetViews>
    <sheetView showGridLines="0"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H29" sqref="H29"/>
    </sheetView>
  </sheetViews>
  <sheetFormatPr defaultColWidth="9.109375" defaultRowHeight="13.8" x14ac:dyDescent="0.3"/>
  <cols>
    <col min="1" max="4" width="1.5546875" style="1" customWidth="1"/>
    <col min="5" max="5" width="35.5546875" style="1" customWidth="1"/>
    <col min="6" max="8" width="9.109375" style="1"/>
    <col min="9" max="9" width="1.5546875" style="1" customWidth="1"/>
    <col min="10" max="34" width="11.109375" style="1" bestFit="1" customWidth="1"/>
    <col min="35" max="16384" width="9.109375" style="1"/>
  </cols>
  <sheetData>
    <row r="1" spans="1:34" s="47" customFormat="1" x14ac:dyDescent="0.3">
      <c r="A1" s="47" t="str" cm="1">
        <f t="array" ref="A1">company</f>
        <v>Stanbridge Inc.</v>
      </c>
    </row>
    <row r="2" spans="1:34" s="47" customFormat="1" x14ac:dyDescent="0.3">
      <c r="A2" s="47" t="str" cm="1">
        <f t="array" ref="A2">topic</f>
        <v>CFM Topic: CAPEX and Depreciation</v>
      </c>
    </row>
    <row r="3" spans="1:34" s="47" customFormat="1" x14ac:dyDescent="0.3">
      <c r="A3" s="47" t="s">
        <v>82</v>
      </c>
      <c r="J3" s="48" cm="1">
        <f t="array" ref="J3:S3" xml:space="preserve"> EOMONTH( start_date, _xlfn.SEQUENCE( 1, periods, 0, 12 ) )</f>
        <v>46053</v>
      </c>
      <c r="K3" s="48">
        <v>46418</v>
      </c>
      <c r="L3" s="48">
        <v>46783</v>
      </c>
      <c r="M3" s="48">
        <v>47149</v>
      </c>
      <c r="N3" s="48">
        <v>47514</v>
      </c>
      <c r="O3" s="48">
        <v>47879</v>
      </c>
      <c r="P3" s="48">
        <v>48244</v>
      </c>
      <c r="Q3" s="48">
        <v>48610</v>
      </c>
      <c r="R3" s="48">
        <v>48975</v>
      </c>
      <c r="S3" s="48">
        <v>49340</v>
      </c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</row>
    <row r="5" spans="1:34" s="49" customFormat="1" x14ac:dyDescent="0.3">
      <c r="B5" s="50" t="s">
        <v>84</v>
      </c>
    </row>
    <row r="7" spans="1:34" x14ac:dyDescent="0.3">
      <c r="E7" s="1" t="s">
        <v>83</v>
      </c>
      <c r="G7" s="1" t="s">
        <v>47</v>
      </c>
      <c r="J7" s="57" cm="1">
        <f t="array" ref="J7:S7">_xlfn.ANCHORARRAY( Existing!J14)</f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7">
        <v>0</v>
      </c>
      <c r="Q7" s="57">
        <v>0</v>
      </c>
      <c r="R7" s="57">
        <v>0</v>
      </c>
      <c r="S7" s="57">
        <v>0</v>
      </c>
    </row>
    <row r="8" spans="1:34" x14ac:dyDescent="0.3">
      <c r="E8" s="1" t="s">
        <v>46</v>
      </c>
      <c r="G8" s="1" t="s">
        <v>47</v>
      </c>
      <c r="J8" s="57" cm="1">
        <f t="array" ref="J8:S8">_xlfn.ANCHORARRAY( Existing!J19) +_xlfn.ANCHORARRAY( Existing!J35)</f>
        <v>49.281555555555556</v>
      </c>
      <c r="K8" s="57">
        <v>51.960075555555555</v>
      </c>
      <c r="L8" s="57">
        <v>54.692165955555552</v>
      </c>
      <c r="M8" s="57">
        <v>57.478898163555556</v>
      </c>
      <c r="N8" s="57">
        <v>60.321365015715557</v>
      </c>
      <c r="O8" s="57">
        <v>63.220681204918755</v>
      </c>
      <c r="P8" s="57">
        <v>66.177983717906017</v>
      </c>
      <c r="Q8" s="57">
        <v>69.194432281153027</v>
      </c>
      <c r="R8" s="57">
        <v>72.271209815664974</v>
      </c>
      <c r="S8" s="57">
        <v>75.409522900867159</v>
      </c>
    </row>
    <row r="9" spans="1:34" x14ac:dyDescent="0.3">
      <c r="E9" s="1" t="s">
        <v>59</v>
      </c>
      <c r="G9" s="1" t="s">
        <v>47</v>
      </c>
      <c r="J9" s="57" cm="1">
        <f t="array" ref="J9:S9">_xlfn.ANCHORARRAY( Existing!J47) +_xlfn.ANCHORARRAY( Existing!J63)</f>
        <v>622.7600000000001</v>
      </c>
      <c r="K9" s="57">
        <v>435.46800000000007</v>
      </c>
      <c r="L9" s="57">
        <v>324.32903999999996</v>
      </c>
      <c r="M9" s="57">
        <v>258.90662880000002</v>
      </c>
      <c r="N9" s="57">
        <v>220.93936617600002</v>
      </c>
      <c r="O9" s="57">
        <v>268.54045877952001</v>
      </c>
      <c r="P9" s="57">
        <v>160.30017547511042</v>
      </c>
      <c r="Q9" s="57">
        <v>165.79045674461261</v>
      </c>
      <c r="R9" s="57">
        <v>172.53268251950485</v>
      </c>
      <c r="S9" s="57">
        <v>175.98333616989495</v>
      </c>
    </row>
    <row r="10" spans="1:34" x14ac:dyDescent="0.3">
      <c r="E10" s="1" t="s">
        <v>85</v>
      </c>
      <c r="G10" s="1" t="s">
        <v>47</v>
      </c>
      <c r="J10" s="57" cm="1">
        <f t="array" ref="J10:S10">_xlfn.ANCHORARRAY( Expansion!J20)</f>
        <v>0</v>
      </c>
      <c r="K10" s="57">
        <v>21.333333333333336</v>
      </c>
      <c r="L10" s="57">
        <v>55.466666666666676</v>
      </c>
      <c r="M10" s="57">
        <v>75.946666666666687</v>
      </c>
      <c r="N10" s="57">
        <v>66.901333333333355</v>
      </c>
      <c r="O10" s="57">
        <v>40.140800000000006</v>
      </c>
      <c r="P10" s="57">
        <v>24.084480000000006</v>
      </c>
      <c r="Q10" s="57">
        <v>18.432000000000002</v>
      </c>
      <c r="R10" s="57">
        <v>11.059200000000001</v>
      </c>
      <c r="S10" s="57">
        <v>6.6355200000000005</v>
      </c>
    </row>
    <row r="11" spans="1:34" x14ac:dyDescent="0.3">
      <c r="E11" s="1" t="s">
        <v>86</v>
      </c>
      <c r="G11" s="1" t="s">
        <v>47</v>
      </c>
      <c r="J11" s="57" cm="1">
        <f t="array" ref="J11:S11">_xlfn.ANCHORARRAY( Overlay!J20)</f>
        <v>18.505000000000003</v>
      </c>
      <c r="K11" s="57">
        <v>30.424166666666672</v>
      </c>
      <c r="L11" s="57">
        <v>20.545416666666672</v>
      </c>
      <c r="M11" s="57">
        <v>15.60604166666667</v>
      </c>
      <c r="N11" s="57">
        <v>13.939375000000002</v>
      </c>
      <c r="O11" s="57">
        <v>4</v>
      </c>
      <c r="P11" s="57">
        <v>2</v>
      </c>
      <c r="Q11" s="57">
        <v>1</v>
      </c>
      <c r="R11" s="57">
        <v>0</v>
      </c>
      <c r="S11" s="57">
        <v>0</v>
      </c>
    </row>
    <row r="12" spans="1:34" x14ac:dyDescent="0.3">
      <c r="E12" s="66" t="s">
        <v>87</v>
      </c>
      <c r="F12" s="66"/>
      <c r="G12" s="66" t="s">
        <v>47</v>
      </c>
      <c r="H12" s="66"/>
      <c r="I12" s="66"/>
      <c r="J12" s="68" cm="1">
        <f t="array" ref="J12:S12">_xlfn.BYCOL( J7:S11, _xleta.SUM )</f>
        <v>690.54655555555564</v>
      </c>
      <c r="K12" s="68">
        <v>539.1855755555556</v>
      </c>
      <c r="L12" s="68">
        <v>455.03328928888885</v>
      </c>
      <c r="M12" s="68">
        <v>407.93823529688893</v>
      </c>
      <c r="N12" s="68">
        <v>362.10143952504893</v>
      </c>
      <c r="O12" s="68">
        <v>375.9019399844388</v>
      </c>
      <c r="P12" s="68">
        <v>252.56263919301645</v>
      </c>
      <c r="Q12" s="68">
        <v>254.41688902576567</v>
      </c>
      <c r="R12" s="68">
        <v>255.86309233516982</v>
      </c>
      <c r="S12" s="68">
        <v>258.02837907076213</v>
      </c>
    </row>
    <row r="15" spans="1:34" s="49" customFormat="1" x14ac:dyDescent="0.3">
      <c r="B15" s="50" t="s">
        <v>88</v>
      </c>
    </row>
    <row r="17" spans="5:19" x14ac:dyDescent="0.3">
      <c r="E17" s="1" t="s">
        <v>10</v>
      </c>
      <c r="G17" s="1" t="s">
        <v>47</v>
      </c>
      <c r="J17" s="59" cm="1">
        <f t="array" ref="J17:S17">_xlfn.ANCHORARRAY(Existing!J12)</f>
        <v>12.4</v>
      </c>
      <c r="K17" s="59">
        <v>12.4</v>
      </c>
      <c r="L17" s="59">
        <v>12.4</v>
      </c>
      <c r="M17" s="59">
        <v>12.4</v>
      </c>
      <c r="N17" s="59">
        <v>12.4</v>
      </c>
      <c r="O17" s="59">
        <v>12.4</v>
      </c>
      <c r="P17" s="59">
        <v>12.4</v>
      </c>
      <c r="Q17" s="59">
        <v>12.4</v>
      </c>
      <c r="R17" s="59">
        <v>12.4</v>
      </c>
      <c r="S17" s="59">
        <v>12.4</v>
      </c>
    </row>
    <row r="18" spans="5:19" x14ac:dyDescent="0.3">
      <c r="E18" s="1" t="s">
        <v>12</v>
      </c>
      <c r="G18" s="1" t="s">
        <v>47</v>
      </c>
      <c r="J18" s="59" cm="1">
        <f t="array" ref="J18:S18">_xlfn.ANCHORARRAY( Existing!J41)</f>
        <v>880.21844444444446</v>
      </c>
      <c r="K18" s="59">
        <v>895.88436888888896</v>
      </c>
      <c r="L18" s="59">
        <v>910.17072293333342</v>
      </c>
      <c r="M18" s="59">
        <v>923.04991516977782</v>
      </c>
      <c r="N18" s="59">
        <v>934.4938023620623</v>
      </c>
      <c r="O18" s="59">
        <v>944.4736784093036</v>
      </c>
      <c r="P18" s="59">
        <v>952.96026308860075</v>
      </c>
      <c r="Q18" s="59">
        <v>959.92369057259498</v>
      </c>
      <c r="R18" s="59">
        <v>965.33349771738017</v>
      </c>
      <c r="S18" s="59">
        <v>969.15861211617221</v>
      </c>
    </row>
    <row r="19" spans="5:19" x14ac:dyDescent="0.3">
      <c r="E19" s="1" t="s">
        <v>14</v>
      </c>
      <c r="G19" s="1" t="s">
        <v>47</v>
      </c>
      <c r="J19" s="59" cm="1">
        <f t="array" ref="J19:S19">_xlfn.ANCHORARRAY( Existing!J69)</f>
        <v>1010.64</v>
      </c>
      <c r="K19" s="59">
        <v>731.23199999999997</v>
      </c>
      <c r="L19" s="59">
        <v>566.08416</v>
      </c>
      <c r="M19" s="59">
        <v>469.54235519999997</v>
      </c>
      <c r="N19" s="59">
        <v>414.215109504</v>
      </c>
      <c r="O19" s="59">
        <v>314.59901361408004</v>
      </c>
      <c r="P19" s="59">
        <v>326.60168828636159</v>
      </c>
      <c r="Q19" s="59">
        <v>336.5601386920888</v>
      </c>
      <c r="R19" s="59">
        <v>343.2913414659306</v>
      </c>
      <c r="S19" s="59">
        <v>350.15716829524922</v>
      </c>
    </row>
    <row r="20" spans="5:19" x14ac:dyDescent="0.3">
      <c r="E20" s="1" t="s">
        <v>74</v>
      </c>
      <c r="G20" s="1" t="s">
        <v>47</v>
      </c>
      <c r="J20" s="59" cm="1">
        <f t="array" ref="J20:S20">_xlfn.ANCHORARRAY( Expansion!J26)</f>
        <v>0</v>
      </c>
      <c r="K20" s="59">
        <v>85.333333333333343</v>
      </c>
      <c r="L20" s="59">
        <v>136.53333333333333</v>
      </c>
      <c r="M20" s="59">
        <v>167.25333333333333</v>
      </c>
      <c r="N20" s="59">
        <v>100.35199999999998</v>
      </c>
      <c r="O20" s="59">
        <v>60.21119999999997</v>
      </c>
      <c r="P20" s="59">
        <v>36.126719999999963</v>
      </c>
      <c r="Q20" s="59">
        <v>17.694719999999961</v>
      </c>
      <c r="R20" s="59">
        <v>6.6355199999999606</v>
      </c>
      <c r="S20" s="59">
        <v>-3.9968028886505635E-14</v>
      </c>
    </row>
    <row r="21" spans="5:19" x14ac:dyDescent="0.3">
      <c r="E21" s="1" t="s">
        <v>97</v>
      </c>
      <c r="G21" s="1" t="s">
        <v>47</v>
      </c>
      <c r="J21" s="59" cm="1">
        <f t="array" ref="J21:S21">_xlfn.ANCHORARRAY( Overlay!J26)</f>
        <v>55.515000000000008</v>
      </c>
      <c r="K21" s="59">
        <v>35.757500000000007</v>
      </c>
      <c r="L21" s="59">
        <v>25.878750000000004</v>
      </c>
      <c r="M21" s="59">
        <v>20.939375000000002</v>
      </c>
      <c r="N21" s="59">
        <v>7</v>
      </c>
      <c r="O21" s="59">
        <v>3</v>
      </c>
      <c r="P21" s="59">
        <v>1</v>
      </c>
      <c r="Q21" s="59">
        <v>0</v>
      </c>
      <c r="R21" s="59">
        <v>0</v>
      </c>
      <c r="S21" s="59">
        <v>0</v>
      </c>
    </row>
    <row r="22" spans="5:19" x14ac:dyDescent="0.3">
      <c r="E22" s="66" t="s">
        <v>88</v>
      </c>
      <c r="F22" s="66"/>
      <c r="G22" s="66" t="s">
        <v>47</v>
      </c>
      <c r="H22" s="66"/>
      <c r="I22" s="66"/>
      <c r="J22" s="74" cm="1">
        <f t="array" ref="J22:S22">_xlfn.BYCOL( J17:S21, _xleta.SUM)</f>
        <v>1958.7734444444445</v>
      </c>
      <c r="K22" s="74">
        <v>1760.607202222222</v>
      </c>
      <c r="L22" s="74">
        <v>1651.0669662666667</v>
      </c>
      <c r="M22" s="74">
        <v>1593.184978703111</v>
      </c>
      <c r="N22" s="74">
        <v>1468.4609118660624</v>
      </c>
      <c r="O22" s="74">
        <v>1334.6838920233836</v>
      </c>
      <c r="P22" s="74">
        <v>1329.0886713749624</v>
      </c>
      <c r="Q22" s="74">
        <v>1326.5785492646837</v>
      </c>
      <c r="R22" s="74">
        <v>1327.6603591833107</v>
      </c>
      <c r="S22" s="74">
        <v>1331.7157804114213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81" fitToHeight="0" orientation="landscape" horizontalDpi="300" verticalDpi="300" r:id="rId1"/>
  <headerFooter>
    <oddFooter>&amp;LFinancial Modeling Institute
CFM October 2026&amp;CPage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25A07-94AA-4B42-82EC-323927694F29}">
  <sheetPr>
    <pageSetUpPr fitToPage="1"/>
  </sheetPr>
  <dimension ref="A1:AH28"/>
  <sheetViews>
    <sheetView showGridLines="0" zoomScale="85" zoomScaleNormal="85" workbookViewId="0">
      <pane xSplit="9" ySplit="3" topLeftCell="L4" activePane="bottomRight" state="frozen"/>
      <selection pane="topRight" activeCell="J1" sqref="J1"/>
      <selection pane="bottomLeft" activeCell="A4" sqref="A4"/>
      <selection pane="bottomRight" activeCell="F36" sqref="F36"/>
    </sheetView>
  </sheetViews>
  <sheetFormatPr defaultColWidth="9.109375" defaultRowHeight="13.8" x14ac:dyDescent="0.3"/>
  <cols>
    <col min="1" max="4" width="1.5546875" style="1" customWidth="1"/>
    <col min="5" max="5" width="35.5546875" style="1" customWidth="1"/>
    <col min="6" max="6" width="11.88671875" style="1" customWidth="1"/>
    <col min="7" max="8" width="9.109375" style="1"/>
    <col min="9" max="9" width="1.5546875" style="1" customWidth="1"/>
    <col min="10" max="19" width="13.44140625" style="1" bestFit="1" customWidth="1"/>
    <col min="20" max="34" width="11.109375" style="1" bestFit="1" customWidth="1"/>
    <col min="35" max="16384" width="9.109375" style="1"/>
  </cols>
  <sheetData>
    <row r="1" spans="1:34" s="47" customFormat="1" x14ac:dyDescent="0.3">
      <c r="A1" s="47" t="str" cm="1">
        <f t="array" ref="A1">company</f>
        <v>Stanbridge Inc.</v>
      </c>
    </row>
    <row r="2" spans="1:34" s="47" customFormat="1" x14ac:dyDescent="0.3">
      <c r="A2" s="47" t="str" cm="1">
        <f t="array" ref="A2">topic</f>
        <v>CFM Topic: CAPEX and Depreciation</v>
      </c>
    </row>
    <row r="3" spans="1:34" s="47" customFormat="1" x14ac:dyDescent="0.3">
      <c r="A3" s="47" t="s">
        <v>98</v>
      </c>
      <c r="J3" s="48" cm="1">
        <f t="array" ref="J3:S3" xml:space="preserve"> EOMONTH( start_date, _xlfn.SEQUENCE( 1, periods, 0, 12 ) )</f>
        <v>46053</v>
      </c>
      <c r="K3" s="48">
        <v>46418</v>
      </c>
      <c r="L3" s="48">
        <v>46783</v>
      </c>
      <c r="M3" s="48">
        <v>47149</v>
      </c>
      <c r="N3" s="48">
        <v>47514</v>
      </c>
      <c r="O3" s="48">
        <v>47879</v>
      </c>
      <c r="P3" s="48">
        <v>48244</v>
      </c>
      <c r="Q3" s="48">
        <v>48610</v>
      </c>
      <c r="R3" s="48">
        <v>48975</v>
      </c>
      <c r="S3" s="48">
        <v>49340</v>
      </c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</row>
    <row r="5" spans="1:34" s="49" customFormat="1" x14ac:dyDescent="0.3">
      <c r="B5" s="50" t="s">
        <v>25</v>
      </c>
    </row>
    <row r="7" spans="1:34" x14ac:dyDescent="0.3">
      <c r="E7" s="1" t="s">
        <v>80</v>
      </c>
      <c r="F7" s="49">
        <v>1</v>
      </c>
    </row>
    <row r="9" spans="1:34" x14ac:dyDescent="0.3">
      <c r="E9" s="1" t="s">
        <v>81</v>
      </c>
      <c r="J9" s="58" cm="1">
        <f t="array" ref="J9:S9">_xlfn.ANCHORARRAY(J3)</f>
        <v>46053</v>
      </c>
      <c r="K9" s="58">
        <v>46418</v>
      </c>
      <c r="L9" s="58">
        <v>46783</v>
      </c>
      <c r="M9" s="58">
        <v>47149</v>
      </c>
      <c r="N9" s="58">
        <v>47514</v>
      </c>
      <c r="O9" s="58">
        <v>47879</v>
      </c>
      <c r="P9" s="58">
        <v>48244</v>
      </c>
      <c r="Q9" s="58">
        <v>48610</v>
      </c>
      <c r="R9" s="58">
        <v>48975</v>
      </c>
      <c r="S9" s="58">
        <v>49340</v>
      </c>
    </row>
    <row r="10" spans="1:34" x14ac:dyDescent="0.3">
      <c r="F10" s="58" cm="1">
        <f t="array" ref="F10:F19">TRANSPOSE(_xlfn.ANCHORARRAY( J3) )</f>
        <v>46053</v>
      </c>
      <c r="G10" s="65" cm="1">
        <f t="array" ref="G10:G19" xml:space="preserve"> _xlfn.LET(
      _xlpm.switch,             $F$7,
      _xlpm.expansion_cost,     _xlfn.DROP( INDEX(_xlfn.ANCHORARRAY( Expansion!$G$10),, 1 ) * 0.1, 1 ),
      _xlpm.overlay_cost,       CaseData!$E$16 * 0.05,
      _xlpm.overlay_date,       CaseData!$I$24,
      _xlpm.useful_life,        CaseData!$I$27,
      _xlpm.current_year,_xlfn.ANCHORARRAY(       J3),
      IF( _xlpm.switch = 1, _xlfn.VSTACK( _xlpm.overlay_cost, _xlpm.expansion_cost ), 0 ) )</f>
        <v>74.02000000000001</v>
      </c>
      <c r="H10" s="57" cm="1">
        <f t="array" ref="H10:H19">_xlfn.BYROW(_xlfn.ANCHORARRAY( J10), _xleta.SUM )</f>
        <v>74.02000000000001</v>
      </c>
      <c r="J10" s="65" cm="1">
        <f t="array" ref="J10:S19" xml:space="preserve"> _xlfn.LET(
      _xlpm.acquisition_cost,  INDEX(_xlfn.ANCHORARRAY( G10),, 1 ),
      _xlpm.acquisition_date,  INDEX(_xlfn.ANCHORARRAY( F10),, 1 ),
      _xlpm.current_date,_xlfn.ANCHORARRAY(      J3),
      _xlpm.useful_life,       CaseData!$I$27,
      _xlpm.depreciation_rate, 1 / _xlpm.useful_life * 2,
      _xlpm.period,            YEAR( _xlpm.current_date ) - YEAR( _xlpm.acquisition_date ),
      _xlpm.book_value,        _xlpm.acquisition_cost * ( 1 - _xlpm.depreciation_rate / 2 ) * ( 1 - _xlpm.depreciation_rate ) ^ ( _xlpm.period - 1),
      _xlpm.depreciation,      _xlpm.book_value * _xlpm.depreciation_rate,
      IF( _xlpm.period &lt; 0, 0,
          IF( _xlpm.period = 0, _xlpm.acquisition_cost * _xlpm.depreciation_rate / 2,
              IF( _xlpm.period &lt; _xlpm.useful_life, _xlpm.depreciation,
                  IF( _xlpm.period = _xlpm.useful_life, _xlpm.book_value, 0 ) ) ) ) )</f>
        <v>18.505000000000003</v>
      </c>
      <c r="K10" s="57">
        <v>27.757500000000004</v>
      </c>
      <c r="L10" s="57">
        <v>13.878750000000002</v>
      </c>
      <c r="M10" s="57">
        <v>6.939375000000001</v>
      </c>
      <c r="N10" s="57">
        <v>6.939375000000001</v>
      </c>
      <c r="O10" s="57">
        <v>0</v>
      </c>
      <c r="P10" s="57">
        <v>0</v>
      </c>
      <c r="Q10" s="57">
        <v>0</v>
      </c>
      <c r="R10" s="57">
        <v>0</v>
      </c>
      <c r="S10" s="57">
        <v>0</v>
      </c>
    </row>
    <row r="11" spans="1:34" x14ac:dyDescent="0.3">
      <c r="F11" s="58">
        <v>46418</v>
      </c>
      <c r="G11" s="57">
        <v>10.666666666666668</v>
      </c>
      <c r="H11" s="57">
        <v>10.666666666666668</v>
      </c>
      <c r="J11" s="57">
        <v>0</v>
      </c>
      <c r="K11" s="57">
        <v>2.666666666666667</v>
      </c>
      <c r="L11" s="57">
        <v>4</v>
      </c>
      <c r="M11" s="57">
        <v>2</v>
      </c>
      <c r="N11" s="57">
        <v>1</v>
      </c>
      <c r="O11" s="57">
        <v>1</v>
      </c>
      <c r="P11" s="57">
        <v>0</v>
      </c>
      <c r="Q11" s="57">
        <v>0</v>
      </c>
      <c r="R11" s="57">
        <v>0</v>
      </c>
      <c r="S11" s="57">
        <v>0</v>
      </c>
    </row>
    <row r="12" spans="1:34" x14ac:dyDescent="0.3">
      <c r="F12" s="58">
        <v>46783</v>
      </c>
      <c r="G12" s="57">
        <v>10.666666666666668</v>
      </c>
      <c r="H12" s="57">
        <v>10.666666666666668</v>
      </c>
      <c r="J12" s="57">
        <v>0</v>
      </c>
      <c r="K12" s="57">
        <v>0</v>
      </c>
      <c r="L12" s="57">
        <v>2.666666666666667</v>
      </c>
      <c r="M12" s="57">
        <v>4</v>
      </c>
      <c r="N12" s="57">
        <v>2</v>
      </c>
      <c r="O12" s="57">
        <v>1</v>
      </c>
      <c r="P12" s="57">
        <v>1</v>
      </c>
      <c r="Q12" s="57">
        <v>0</v>
      </c>
      <c r="R12" s="57">
        <v>0</v>
      </c>
      <c r="S12" s="57">
        <v>0</v>
      </c>
    </row>
    <row r="13" spans="1:34" x14ac:dyDescent="0.3">
      <c r="F13" s="58">
        <v>47149</v>
      </c>
      <c r="G13" s="57">
        <v>10.666666666666668</v>
      </c>
      <c r="H13" s="57">
        <v>10.666666666666668</v>
      </c>
      <c r="J13" s="57">
        <v>0</v>
      </c>
      <c r="K13" s="57">
        <v>0</v>
      </c>
      <c r="L13" s="57">
        <v>0</v>
      </c>
      <c r="M13" s="57">
        <v>2.666666666666667</v>
      </c>
      <c r="N13" s="57">
        <v>4</v>
      </c>
      <c r="O13" s="57">
        <v>2</v>
      </c>
      <c r="P13" s="57">
        <v>1</v>
      </c>
      <c r="Q13" s="57">
        <v>1</v>
      </c>
      <c r="R13" s="57">
        <v>0</v>
      </c>
      <c r="S13" s="57">
        <v>0</v>
      </c>
    </row>
    <row r="14" spans="1:34" x14ac:dyDescent="0.3">
      <c r="F14" s="58">
        <v>47514</v>
      </c>
      <c r="G14" s="57">
        <v>0</v>
      </c>
      <c r="H14" s="57">
        <v>0</v>
      </c>
      <c r="J14" s="57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57">
        <v>0</v>
      </c>
      <c r="Q14" s="57">
        <v>0</v>
      </c>
      <c r="R14" s="57">
        <v>0</v>
      </c>
      <c r="S14" s="57">
        <v>0</v>
      </c>
    </row>
    <row r="15" spans="1:34" x14ac:dyDescent="0.3">
      <c r="F15" s="58">
        <v>47879</v>
      </c>
      <c r="G15" s="57">
        <v>0</v>
      </c>
      <c r="H15" s="57">
        <v>0</v>
      </c>
      <c r="J15" s="57">
        <v>0</v>
      </c>
      <c r="K15" s="57">
        <v>0</v>
      </c>
      <c r="L15" s="57">
        <v>0</v>
      </c>
      <c r="M15" s="57">
        <v>0</v>
      </c>
      <c r="N15" s="57">
        <v>0</v>
      </c>
      <c r="O15" s="57">
        <v>0</v>
      </c>
      <c r="P15" s="57">
        <v>0</v>
      </c>
      <c r="Q15" s="57">
        <v>0</v>
      </c>
      <c r="R15" s="57">
        <v>0</v>
      </c>
      <c r="S15" s="57">
        <v>0</v>
      </c>
    </row>
    <row r="16" spans="1:34" x14ac:dyDescent="0.3">
      <c r="F16" s="58">
        <v>48244</v>
      </c>
      <c r="G16" s="57">
        <v>0</v>
      </c>
      <c r="H16" s="57">
        <v>0</v>
      </c>
      <c r="J16" s="57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57">
        <v>0</v>
      </c>
      <c r="Q16" s="57">
        <v>0</v>
      </c>
      <c r="R16" s="57">
        <v>0</v>
      </c>
      <c r="S16" s="57">
        <v>0</v>
      </c>
    </row>
    <row r="17" spans="2:19" x14ac:dyDescent="0.3">
      <c r="F17" s="58">
        <v>48610</v>
      </c>
      <c r="G17" s="57">
        <v>0</v>
      </c>
      <c r="H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7">
        <v>0</v>
      </c>
      <c r="P17" s="57">
        <v>0</v>
      </c>
      <c r="Q17" s="57">
        <v>0</v>
      </c>
      <c r="R17" s="57">
        <v>0</v>
      </c>
      <c r="S17" s="57">
        <v>0</v>
      </c>
    </row>
    <row r="18" spans="2:19" x14ac:dyDescent="0.3">
      <c r="F18" s="58">
        <v>48975</v>
      </c>
      <c r="G18" s="57">
        <v>0</v>
      </c>
      <c r="H18" s="57">
        <v>0</v>
      </c>
      <c r="J18" s="57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57">
        <v>0</v>
      </c>
      <c r="Q18" s="57">
        <v>0</v>
      </c>
      <c r="R18" s="57">
        <v>0</v>
      </c>
      <c r="S18" s="57">
        <v>0</v>
      </c>
    </row>
    <row r="19" spans="2:19" x14ac:dyDescent="0.3">
      <c r="F19" s="58">
        <v>49340</v>
      </c>
      <c r="G19" s="57">
        <v>0</v>
      </c>
      <c r="H19" s="57">
        <v>0</v>
      </c>
      <c r="J19" s="57">
        <v>0</v>
      </c>
      <c r="K19" s="57">
        <v>0</v>
      </c>
      <c r="L19" s="57">
        <v>0</v>
      </c>
      <c r="M19" s="57">
        <v>0</v>
      </c>
      <c r="N19" s="57">
        <v>0</v>
      </c>
      <c r="O19" s="57">
        <v>0</v>
      </c>
      <c r="P19" s="57">
        <v>0</v>
      </c>
      <c r="Q19" s="57">
        <v>0</v>
      </c>
      <c r="R19" s="57">
        <v>0</v>
      </c>
      <c r="S19" s="57">
        <v>0</v>
      </c>
    </row>
    <row r="20" spans="2:19" x14ac:dyDescent="0.3">
      <c r="J20" s="68" cm="1">
        <f t="array" ref="J20:S20">_xlfn.BYCOL(_xlfn.ANCHORARRAY( J10), _xleta.SUM )</f>
        <v>18.505000000000003</v>
      </c>
      <c r="K20" s="68">
        <v>30.424166666666672</v>
      </c>
      <c r="L20" s="68">
        <v>20.545416666666672</v>
      </c>
      <c r="M20" s="68">
        <v>15.60604166666667</v>
      </c>
      <c r="N20" s="68">
        <v>13.939375000000002</v>
      </c>
      <c r="O20" s="68">
        <v>4</v>
      </c>
      <c r="P20" s="68">
        <v>2</v>
      </c>
      <c r="Q20" s="68">
        <v>1</v>
      </c>
      <c r="R20" s="68">
        <v>0</v>
      </c>
      <c r="S20" s="68">
        <v>0</v>
      </c>
    </row>
    <row r="23" spans="2:19" x14ac:dyDescent="0.3">
      <c r="E23" s="70" t="s">
        <v>93</v>
      </c>
      <c r="F23" s="70"/>
      <c r="G23" s="70"/>
      <c r="H23" s="70"/>
      <c r="I23" s="70"/>
      <c r="J23" s="70" cm="1">
        <f t="array" ref="J23:S23" xml:space="preserve"> _xlfn.DROP( _xlfn.HSTACK( 0,_xlfn.ANCHORARRAY( J26) ),, -1 )</f>
        <v>0</v>
      </c>
      <c r="K23" s="70">
        <v>55.515000000000008</v>
      </c>
      <c r="L23" s="70">
        <v>35.757500000000007</v>
      </c>
      <c r="M23" s="70">
        <v>25.878750000000004</v>
      </c>
      <c r="N23" s="70">
        <v>20.939375000000002</v>
      </c>
      <c r="O23" s="70">
        <v>7</v>
      </c>
      <c r="P23" s="70">
        <v>3</v>
      </c>
      <c r="Q23" s="70">
        <v>1</v>
      </c>
      <c r="R23" s="70">
        <v>0</v>
      </c>
      <c r="S23" s="70">
        <v>0</v>
      </c>
    </row>
    <row r="24" spans="2:19" x14ac:dyDescent="0.3">
      <c r="E24" s="71" t="s">
        <v>95</v>
      </c>
      <c r="F24" s="72"/>
      <c r="G24" s="72"/>
      <c r="H24" s="72"/>
      <c r="I24" s="72"/>
      <c r="J24" s="72" cm="1">
        <f t="array" ref="J24:S24">TRANSPOSE(_xlfn.ANCHORARRAY( G10))</f>
        <v>74.02000000000001</v>
      </c>
      <c r="K24" s="72">
        <v>10.666666666666668</v>
      </c>
      <c r="L24" s="72">
        <v>10.666666666666668</v>
      </c>
      <c r="M24" s="72">
        <v>10.666666666666668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</row>
    <row r="25" spans="2:19" x14ac:dyDescent="0.3">
      <c r="E25" s="71" t="s">
        <v>96</v>
      </c>
      <c r="F25" s="72"/>
      <c r="G25" s="72"/>
      <c r="H25" s="72"/>
      <c r="I25" s="72"/>
      <c r="J25" s="72" cm="1">
        <f t="array" ref="J25:S25">_xlfn.ANCHORARRAY( J20) * -1</f>
        <v>-18.505000000000003</v>
      </c>
      <c r="K25" s="72">
        <v>-30.424166666666672</v>
      </c>
      <c r="L25" s="72">
        <v>-20.545416666666672</v>
      </c>
      <c r="M25" s="72">
        <v>-15.60604166666667</v>
      </c>
      <c r="N25" s="72">
        <v>-13.939375000000002</v>
      </c>
      <c r="O25" s="72">
        <v>-4</v>
      </c>
      <c r="P25" s="72">
        <v>-2</v>
      </c>
      <c r="Q25" s="72">
        <v>-1</v>
      </c>
      <c r="R25" s="72">
        <v>0</v>
      </c>
      <c r="S25" s="72">
        <v>0</v>
      </c>
    </row>
    <row r="26" spans="2:19" x14ac:dyDescent="0.3">
      <c r="E26" s="73" t="s">
        <v>94</v>
      </c>
      <c r="F26" s="73"/>
      <c r="G26" s="73"/>
      <c r="H26" s="73"/>
      <c r="I26" s="73"/>
      <c r="J26" s="73" cm="1">
        <f t="array" ref="J26:S26" xml:space="preserve"> _xlfn.LET(
      _xlpm.opening_balance,    0,
      _xlpm.movements,_xlfn.ANCHORARRAY(          J24) +_xlfn.ANCHORARRAY( J25),
      _xlfn.SCAN( _xlpm.opening_balance, _xlpm.movements, _xleta.SUM ) )</f>
        <v>55.515000000000008</v>
      </c>
      <c r="K26" s="73">
        <v>35.757500000000007</v>
      </c>
      <c r="L26" s="73">
        <v>25.878750000000004</v>
      </c>
      <c r="M26" s="73">
        <v>20.939375000000002</v>
      </c>
      <c r="N26" s="73">
        <v>7</v>
      </c>
      <c r="O26" s="73">
        <v>3</v>
      </c>
      <c r="P26" s="73">
        <v>1</v>
      </c>
      <c r="Q26" s="73">
        <v>0</v>
      </c>
      <c r="R26" s="73">
        <v>0</v>
      </c>
      <c r="S26" s="73">
        <v>0</v>
      </c>
    </row>
    <row r="28" spans="2:19" s="49" customFormat="1" x14ac:dyDescent="0.3">
      <c r="B28" s="50" t="s">
        <v>99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71" fitToHeight="0" orientation="landscape" horizontalDpi="300" verticalDpi="300" r:id="rId1"/>
  <headerFooter>
    <oddFooter>&amp;LFinancial Modeling Institute
CFM October 2026&amp;CPage &amp;P of &amp;N&amp;R&amp;D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>
                <anchor moveWithCells="1">
                  <from>
                    <xdr:col>5</xdr:col>
                    <xdr:colOff>0</xdr:colOff>
                    <xdr:row>6</xdr:row>
                    <xdr:rowOff>0</xdr:rowOff>
                  </from>
                  <to>
                    <xdr:col>6</xdr:col>
                    <xdr:colOff>7620</xdr:colOff>
                    <xdr:row>7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14BC-B7B5-4AF3-9898-CCFEAB907266}">
  <sheetPr>
    <pageSetUpPr fitToPage="1"/>
  </sheetPr>
  <dimension ref="A1:AH28"/>
  <sheetViews>
    <sheetView showGridLines="0" zoomScale="88" zoomScaleNormal="85" workbookViewId="0">
      <pane xSplit="9" ySplit="3" topLeftCell="J9" activePane="bottomRight" state="frozen"/>
      <selection pane="topRight" activeCell="J1" sqref="J1"/>
      <selection pane="bottomLeft" activeCell="A4" sqref="A4"/>
      <selection pane="bottomRight" activeCell="E28" sqref="A28:XFD28"/>
    </sheetView>
  </sheetViews>
  <sheetFormatPr defaultColWidth="9.109375" defaultRowHeight="13.8" x14ac:dyDescent="0.3"/>
  <cols>
    <col min="1" max="4" width="1.5546875" style="1" customWidth="1"/>
    <col min="5" max="5" width="35.5546875" style="1" customWidth="1"/>
    <col min="6" max="6" width="11.88671875" style="1" bestFit="1" customWidth="1"/>
    <col min="7" max="8" width="9.109375" style="1"/>
    <col min="9" max="9" width="1.44140625" style="1" customWidth="1"/>
    <col min="10" max="19" width="11.88671875" style="1" bestFit="1" customWidth="1"/>
    <col min="20" max="34" width="11.109375" style="1" bestFit="1" customWidth="1"/>
    <col min="35" max="16384" width="9.109375" style="1"/>
  </cols>
  <sheetData>
    <row r="1" spans="1:34" s="47" customFormat="1" x14ac:dyDescent="0.3">
      <c r="A1" s="47" t="str" cm="1">
        <f t="array" ref="A1">company</f>
        <v>Stanbridge Inc.</v>
      </c>
    </row>
    <row r="2" spans="1:34" s="47" customFormat="1" x14ac:dyDescent="0.3">
      <c r="A2" s="47" t="str" cm="1">
        <f t="array" ref="A2">topic</f>
        <v>CFM Topic: CAPEX and Depreciation</v>
      </c>
    </row>
    <row r="3" spans="1:34" s="47" customFormat="1" x14ac:dyDescent="0.3">
      <c r="A3" s="47" t="s">
        <v>73</v>
      </c>
      <c r="J3" s="48" cm="1">
        <f t="array" ref="J3:S3" xml:space="preserve"> EOMONTH( start_date, _xlfn.SEQUENCE( 1, periods, 0, 12 ) )</f>
        <v>46053</v>
      </c>
      <c r="K3" s="48">
        <v>46418</v>
      </c>
      <c r="L3" s="48">
        <v>46783</v>
      </c>
      <c r="M3" s="48">
        <v>47149</v>
      </c>
      <c r="N3" s="48">
        <v>47514</v>
      </c>
      <c r="O3" s="48">
        <v>47879</v>
      </c>
      <c r="P3" s="48">
        <v>48244</v>
      </c>
      <c r="Q3" s="48">
        <v>48610</v>
      </c>
      <c r="R3" s="48">
        <v>48975</v>
      </c>
      <c r="S3" s="48">
        <v>49340</v>
      </c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</row>
    <row r="5" spans="1:34" s="49" customFormat="1" x14ac:dyDescent="0.3">
      <c r="B5" s="67" t="s">
        <v>74</v>
      </c>
    </row>
    <row r="7" spans="1:34" x14ac:dyDescent="0.3">
      <c r="E7" s="1" t="s">
        <v>78</v>
      </c>
      <c r="F7" s="49">
        <v>1</v>
      </c>
    </row>
    <row r="9" spans="1:34" x14ac:dyDescent="0.3">
      <c r="E9" s="1" t="s">
        <v>79</v>
      </c>
      <c r="J9" s="58" cm="1">
        <f t="array" ref="J9:S9">_xlfn.ANCHORARRAY(J3)</f>
        <v>46053</v>
      </c>
      <c r="K9" s="58">
        <v>46418</v>
      </c>
      <c r="L9" s="58">
        <v>46783</v>
      </c>
      <c r="M9" s="58">
        <v>47149</v>
      </c>
      <c r="N9" s="58">
        <v>47514</v>
      </c>
      <c r="O9" s="58">
        <v>47879</v>
      </c>
      <c r="P9" s="58">
        <v>48244</v>
      </c>
      <c r="Q9" s="58">
        <v>48610</v>
      </c>
      <c r="R9" s="58">
        <v>48975</v>
      </c>
      <c r="S9" s="58">
        <v>49340</v>
      </c>
    </row>
    <row r="10" spans="1:34" x14ac:dyDescent="0.3">
      <c r="F10" s="58" cm="1">
        <f t="array" ref="F10:F19">TRANSPOSE(_xlfn.ANCHORARRAY( J3) )</f>
        <v>46053</v>
      </c>
      <c r="G10" s="65" cm="1">
        <f t="array" ref="G10:G19" xml:space="preserve"> _xlfn.LET(
      _xlpm.expansion_cost,     CaseData!$C$23,
      _xlpm.expansion_date,     CaseData!$C$24,
      _xlpm.years_to_complete,  CaseData!$C$25,
      _xlpm.current_year,_xlfn.ANCHORARRAY(       J3),
      _xlpm.period,             YEAR( _xlpm.current_year ) - _xlpm.expansion_date,
      _xlpm.expansion_per_year, _xlpm.expansion_cost / _xlpm.years_to_complete,
      _xlpm.switch, $F$7,
      IF( _xlpm.switch = 1,
          TRANSPOSE(
             IF( _xlpm.period &lt; 0, 0,
                IF( _xlpm.period &lt; _xlpm.years_to_complete, _xlpm.expansion_per_year, 0 ) ) ), 0 ) )</f>
        <v>0</v>
      </c>
      <c r="H10" s="59" cm="1">
        <f t="array" ref="H10:H19">_xlfn.BYROW(_xlfn.ANCHORARRAY( J10), _xleta.SUM )</f>
        <v>0</v>
      </c>
      <c r="J10" s="69" cm="1">
        <f t="array" ref="J10:S19" xml:space="preserve"> _xlfn.LET(
      _xlpm.acquisition_cost,  INDEX(_xlfn.ANCHORARRAY( G10),, 1 ),
      _xlpm.acquisition_date,  INDEX(_xlfn.ANCHORARRAY( F10),, 1 ),
      _xlpm.current_date,_xlfn.ANCHORARRAY(      J3),
      _xlpm.useful_life,       CaseData!$C$27,
      _xlpm.depreciation_rate, CaseData!$C$28,
      _xlpm.period,            YEAR( _xlpm.current_date ) - YEAR( _xlpm.acquisition_date ),
      _xlpm.book_value,        _xlpm.acquisition_cost * ( 1 - _xlpm.depreciation_rate / 2 ) * ( 1 - _xlpm.depreciation_rate ) ^ ( _xlpm.period - 1),
      _xlpm.depreciation,      _xlpm.book_value * _xlpm.depreciation_rate,
      IF( _xlpm.period &lt; 0, 0,
          IF( _xlpm.period = 0, _xlpm.acquisition_cost * _xlpm.depreciation_rate / 2,
              IF( _xlpm.period &lt; _xlpm.useful_life, _xlpm.depreciation,
                  IF( _xlpm.period = _xlpm.useful_life, _xlpm.book_value, 0 ) ) ) ) )</f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34" x14ac:dyDescent="0.3">
      <c r="F11" s="58">
        <v>46418</v>
      </c>
      <c r="G11" s="57">
        <v>106.66666666666667</v>
      </c>
      <c r="H11" s="59">
        <v>106.66666666666669</v>
      </c>
      <c r="J11" s="1">
        <v>0</v>
      </c>
      <c r="K11" s="1">
        <v>21.333333333333336</v>
      </c>
      <c r="L11" s="1">
        <v>34.13333333333334</v>
      </c>
      <c r="M11" s="1">
        <v>20.480000000000004</v>
      </c>
      <c r="N11" s="1">
        <v>12.288000000000002</v>
      </c>
      <c r="O11" s="1">
        <v>7.3728000000000016</v>
      </c>
      <c r="P11" s="1">
        <v>4.4236800000000001</v>
      </c>
      <c r="Q11" s="1">
        <v>6.6355200000000005</v>
      </c>
      <c r="R11" s="1">
        <v>0</v>
      </c>
      <c r="S11" s="1">
        <v>0</v>
      </c>
    </row>
    <row r="12" spans="1:34" x14ac:dyDescent="0.3">
      <c r="F12" s="58">
        <v>46783</v>
      </c>
      <c r="G12" s="57">
        <v>106.66666666666667</v>
      </c>
      <c r="H12" s="59">
        <v>106.66666666666669</v>
      </c>
      <c r="J12" s="1">
        <v>0</v>
      </c>
      <c r="K12" s="1">
        <v>0</v>
      </c>
      <c r="L12" s="1">
        <v>21.333333333333336</v>
      </c>
      <c r="M12" s="1">
        <v>34.13333333333334</v>
      </c>
      <c r="N12" s="1">
        <v>20.480000000000004</v>
      </c>
      <c r="O12" s="1">
        <v>12.288000000000002</v>
      </c>
      <c r="P12" s="1">
        <v>7.3728000000000016</v>
      </c>
      <c r="Q12" s="1">
        <v>4.4236800000000001</v>
      </c>
      <c r="R12" s="1">
        <v>6.6355200000000005</v>
      </c>
      <c r="S12" s="1">
        <v>0</v>
      </c>
    </row>
    <row r="13" spans="1:34" x14ac:dyDescent="0.3">
      <c r="F13" s="58">
        <v>47149</v>
      </c>
      <c r="G13" s="57">
        <v>106.66666666666667</v>
      </c>
      <c r="H13" s="59">
        <v>106.66666666666669</v>
      </c>
      <c r="J13" s="1">
        <v>0</v>
      </c>
      <c r="K13" s="1">
        <v>0</v>
      </c>
      <c r="L13" s="1">
        <v>0</v>
      </c>
      <c r="M13" s="1">
        <v>21.333333333333336</v>
      </c>
      <c r="N13" s="1">
        <v>34.13333333333334</v>
      </c>
      <c r="O13" s="1">
        <v>20.480000000000004</v>
      </c>
      <c r="P13" s="1">
        <v>12.288000000000002</v>
      </c>
      <c r="Q13" s="1">
        <v>7.3728000000000016</v>
      </c>
      <c r="R13" s="1">
        <v>4.4236800000000001</v>
      </c>
      <c r="S13" s="1">
        <v>6.6355200000000005</v>
      </c>
    </row>
    <row r="14" spans="1:34" x14ac:dyDescent="0.3">
      <c r="F14" s="58">
        <v>47514</v>
      </c>
      <c r="G14" s="57">
        <v>0</v>
      </c>
      <c r="H14" s="59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34" x14ac:dyDescent="0.3">
      <c r="F15" s="58">
        <v>47879</v>
      </c>
      <c r="G15" s="57">
        <v>0</v>
      </c>
      <c r="H15" s="59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34" x14ac:dyDescent="0.3">
      <c r="F16" s="58">
        <v>48244</v>
      </c>
      <c r="G16" s="57">
        <v>0</v>
      </c>
      <c r="H16" s="59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2:19" x14ac:dyDescent="0.3">
      <c r="F17" s="58">
        <v>48610</v>
      </c>
      <c r="G17" s="57">
        <v>0</v>
      </c>
      <c r="H17" s="59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2:19" x14ac:dyDescent="0.3">
      <c r="F18" s="58">
        <v>48975</v>
      </c>
      <c r="G18" s="57">
        <v>0</v>
      </c>
      <c r="H18" s="59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2:19" x14ac:dyDescent="0.3">
      <c r="F19" s="58">
        <v>49340</v>
      </c>
      <c r="G19" s="57">
        <v>0</v>
      </c>
      <c r="H19" s="59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2:19" x14ac:dyDescent="0.3">
      <c r="J20" s="66" cm="1">
        <f t="array" ref="J20:S20">_xlfn.BYCOL(_xlfn.ANCHORARRAY( J10), _xleta.SUM )</f>
        <v>0</v>
      </c>
      <c r="K20" s="66">
        <v>21.333333333333336</v>
      </c>
      <c r="L20" s="66">
        <v>55.466666666666676</v>
      </c>
      <c r="M20" s="66">
        <v>75.946666666666687</v>
      </c>
      <c r="N20" s="66">
        <v>66.901333333333355</v>
      </c>
      <c r="O20" s="66">
        <v>40.140800000000006</v>
      </c>
      <c r="P20" s="66">
        <v>24.084480000000006</v>
      </c>
      <c r="Q20" s="66">
        <v>18.432000000000002</v>
      </c>
      <c r="R20" s="66">
        <v>11.059200000000001</v>
      </c>
      <c r="S20" s="66">
        <v>6.6355200000000005</v>
      </c>
    </row>
    <row r="23" spans="2:19" x14ac:dyDescent="0.3">
      <c r="E23" s="70" t="s">
        <v>89</v>
      </c>
      <c r="F23" s="70"/>
      <c r="G23" s="70"/>
      <c r="H23" s="70"/>
      <c r="I23" s="70"/>
      <c r="J23" s="70" cm="1">
        <f t="array" ref="J23:S23" xml:space="preserve"> _xlfn.DROP( _xlfn.HSTACK( 0,_xlfn.ANCHORARRAY( J26) ),, -1 )</f>
        <v>0</v>
      </c>
      <c r="K23" s="70">
        <v>0</v>
      </c>
      <c r="L23" s="70">
        <v>85.333333333333343</v>
      </c>
      <c r="M23" s="70">
        <v>136.53333333333333</v>
      </c>
      <c r="N23" s="70">
        <v>167.25333333333333</v>
      </c>
      <c r="O23" s="70">
        <v>100.35199999999998</v>
      </c>
      <c r="P23" s="70">
        <v>60.21119999999997</v>
      </c>
      <c r="Q23" s="70">
        <v>36.126719999999963</v>
      </c>
      <c r="R23" s="70">
        <v>17.694719999999961</v>
      </c>
      <c r="S23" s="70">
        <v>6.6355199999999606</v>
      </c>
    </row>
    <row r="24" spans="2:19" x14ac:dyDescent="0.3">
      <c r="E24" s="71" t="s">
        <v>92</v>
      </c>
      <c r="F24" s="72"/>
      <c r="G24" s="72"/>
      <c r="H24" s="72"/>
      <c r="I24" s="72"/>
      <c r="J24" s="72" cm="1">
        <f t="array" ref="J24:S24">TRANSPOSE(_xlfn.ANCHORARRAY( G10))</f>
        <v>0</v>
      </c>
      <c r="K24" s="72">
        <v>106.66666666666667</v>
      </c>
      <c r="L24" s="72">
        <v>106.66666666666667</v>
      </c>
      <c r="M24" s="72">
        <v>106.66666666666667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</row>
    <row r="25" spans="2:19" x14ac:dyDescent="0.3">
      <c r="E25" s="71" t="s">
        <v>91</v>
      </c>
      <c r="F25" s="72"/>
      <c r="G25" s="72"/>
      <c r="H25" s="72"/>
      <c r="I25" s="72"/>
      <c r="J25" s="72" cm="1">
        <f t="array" ref="J25:S25">_xlfn.ANCHORARRAY( J20) * -1</f>
        <v>0</v>
      </c>
      <c r="K25" s="72">
        <v>-21.333333333333336</v>
      </c>
      <c r="L25" s="72">
        <v>-55.466666666666676</v>
      </c>
      <c r="M25" s="72">
        <v>-75.946666666666687</v>
      </c>
      <c r="N25" s="72">
        <v>-66.901333333333355</v>
      </c>
      <c r="O25" s="72">
        <v>-40.140800000000006</v>
      </c>
      <c r="P25" s="72">
        <v>-24.084480000000006</v>
      </c>
      <c r="Q25" s="72">
        <v>-18.432000000000002</v>
      </c>
      <c r="R25" s="72">
        <v>-11.059200000000001</v>
      </c>
      <c r="S25" s="72">
        <v>-6.6355200000000005</v>
      </c>
    </row>
    <row r="26" spans="2:19" x14ac:dyDescent="0.3">
      <c r="E26" s="73" t="s">
        <v>90</v>
      </c>
      <c r="F26" s="73"/>
      <c r="G26" s="73"/>
      <c r="H26" s="73"/>
      <c r="I26" s="73"/>
      <c r="J26" s="73" cm="1">
        <f t="array" ref="J26:S26" xml:space="preserve"> _xlfn.LET(
      _xlpm.opening_balance,    0,
      _xlpm.movements,_xlfn.ANCHORARRAY(          J24) +_xlfn.ANCHORARRAY( J25),
      _xlfn.SCAN( _xlpm.opening_balance, _xlpm.movements, _xleta.SUM ) )</f>
        <v>0</v>
      </c>
      <c r="K26" s="73">
        <v>85.333333333333343</v>
      </c>
      <c r="L26" s="73">
        <v>136.53333333333333</v>
      </c>
      <c r="M26" s="73">
        <v>167.25333333333333</v>
      </c>
      <c r="N26" s="73">
        <v>100.35199999999998</v>
      </c>
      <c r="O26" s="73">
        <v>60.21119999999997</v>
      </c>
      <c r="P26" s="73">
        <v>36.126719999999963</v>
      </c>
      <c r="Q26" s="73">
        <v>17.694719999999961</v>
      </c>
      <c r="R26" s="73">
        <v>6.6355199999999606</v>
      </c>
      <c r="S26" s="73">
        <v>-3.9968028886505635E-14</v>
      </c>
    </row>
    <row r="28" spans="2:19" s="49" customFormat="1" x14ac:dyDescent="0.3">
      <c r="B28" s="50" t="s">
        <v>99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77" fitToHeight="0" orientation="landscape" horizontalDpi="300" verticalDpi="300" r:id="rId1"/>
  <headerFooter>
    <oddFooter>&amp;LFinancial Modeling Institute
CFM October 2026&amp;CPage &amp;P of &amp;N&amp;R&amp;D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Drop Down 1">
              <controlPr defaultSize="0" autoLine="0" autoPict="0">
                <anchor moveWithCells="1">
                  <from>
                    <xdr:col>5</xdr:col>
                    <xdr:colOff>0</xdr:colOff>
                    <xdr:row>6</xdr:row>
                    <xdr:rowOff>0</xdr:rowOff>
                  </from>
                  <to>
                    <xdr:col>6</xdr:col>
                    <xdr:colOff>7620</xdr:colOff>
                    <xdr:row>7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0751-97BE-46E7-886C-1428F25EC928}">
  <sheetPr codeName="Sheet4">
    <pageSetUpPr fitToPage="1"/>
  </sheetPr>
  <dimension ref="A1:AH72"/>
  <sheetViews>
    <sheetView showGridLines="0" zoomScale="85" zoomScaleNormal="85" workbookViewId="0">
      <pane xSplit="9" ySplit="3" topLeftCell="J44" activePane="bottomRight" state="frozen"/>
      <selection pane="topRight" activeCell="J1" sqref="J1"/>
      <selection pane="bottomLeft" activeCell="A4" sqref="A4"/>
      <selection pane="bottomRight" activeCell="G72" sqref="A72:XFD72"/>
    </sheetView>
  </sheetViews>
  <sheetFormatPr defaultColWidth="9.109375" defaultRowHeight="13.8" x14ac:dyDescent="0.3"/>
  <cols>
    <col min="1" max="4" width="1.5546875" style="1" customWidth="1"/>
    <col min="5" max="5" width="35.5546875" style="1" customWidth="1"/>
    <col min="6" max="6" width="10.88671875" style="1" bestFit="1" customWidth="1"/>
    <col min="7" max="7" width="7.77734375" style="1" bestFit="1" customWidth="1"/>
    <col min="8" max="8" width="7" style="1" bestFit="1" customWidth="1"/>
    <col min="9" max="9" width="1.5546875" style="1" customWidth="1"/>
    <col min="10" max="19" width="11.21875" style="1" bestFit="1" customWidth="1"/>
    <col min="20" max="34" width="11.109375" style="1" bestFit="1" customWidth="1"/>
    <col min="35" max="16384" width="9.109375" style="1"/>
  </cols>
  <sheetData>
    <row r="1" spans="1:34" s="47" customFormat="1" x14ac:dyDescent="0.3">
      <c r="A1" s="47" t="str" cm="1">
        <f t="array" ref="A1">company</f>
        <v>Stanbridge Inc.</v>
      </c>
    </row>
    <row r="2" spans="1:34" s="47" customFormat="1" x14ac:dyDescent="0.3">
      <c r="A2" s="47" t="str" cm="1">
        <f t="array" ref="A2">topic</f>
        <v>CFM Topic: CAPEX and Depreciation</v>
      </c>
    </row>
    <row r="3" spans="1:34" s="47" customFormat="1" x14ac:dyDescent="0.3">
      <c r="A3" s="47" t="s">
        <v>72</v>
      </c>
      <c r="J3" s="48" cm="1">
        <f t="array" ref="J3:S3" xml:space="preserve"> EOMONTH( start_date, _xlfn.SEQUENCE( 1, periods, 0, 12 ) )</f>
        <v>46053</v>
      </c>
      <c r="K3" s="48">
        <v>46418</v>
      </c>
      <c r="L3" s="48">
        <v>46783</v>
      </c>
      <c r="M3" s="48">
        <v>47149</v>
      </c>
      <c r="N3" s="48">
        <v>47514</v>
      </c>
      <c r="O3" s="48">
        <v>47879</v>
      </c>
      <c r="P3" s="48">
        <v>48244</v>
      </c>
      <c r="Q3" s="48">
        <v>48610</v>
      </c>
      <c r="R3" s="48">
        <v>48975</v>
      </c>
      <c r="S3" s="48">
        <v>49340</v>
      </c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</row>
    <row r="5" spans="1:34" s="49" customFormat="1" x14ac:dyDescent="0.3">
      <c r="B5" s="50" t="s">
        <v>71</v>
      </c>
    </row>
    <row r="7" spans="1:34" x14ac:dyDescent="0.3">
      <c r="C7" s="51" t="s">
        <v>10</v>
      </c>
    </row>
    <row r="9" spans="1:34" x14ac:dyDescent="0.3">
      <c r="E9" s="52" t="s">
        <v>55</v>
      </c>
      <c r="F9" s="52"/>
      <c r="G9" s="52"/>
      <c r="H9" s="52"/>
      <c r="I9" s="52"/>
      <c r="J9" s="52" cm="1">
        <f t="array" ref="J9:S9">_xlfn.DROP( _xlfn.HSTACK( CaseData!$E$14,_xlfn.ANCHORARRAY( J12) ),, -1 )</f>
        <v>12.4</v>
      </c>
      <c r="K9" s="52">
        <v>12.4</v>
      </c>
      <c r="L9" s="52">
        <v>12.4</v>
      </c>
      <c r="M9" s="52">
        <v>12.4</v>
      </c>
      <c r="N9" s="52">
        <v>12.4</v>
      </c>
      <c r="O9" s="52">
        <v>12.4</v>
      </c>
      <c r="P9" s="52">
        <v>12.4</v>
      </c>
      <c r="Q9" s="52">
        <v>12.4</v>
      </c>
      <c r="R9" s="52">
        <v>12.4</v>
      </c>
      <c r="S9" s="52">
        <v>12.4</v>
      </c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</row>
    <row r="10" spans="1:34" x14ac:dyDescent="0.3">
      <c r="E10" s="53" t="s">
        <v>58</v>
      </c>
      <c r="F10" s="54"/>
      <c r="G10" s="54"/>
      <c r="H10" s="54"/>
      <c r="I10" s="54"/>
      <c r="J10" s="54" cm="1">
        <f t="array" ref="J10:S10">_xlfn.SEQUENCE( 1, periods, 0, 0 )</f>
        <v>0</v>
      </c>
      <c r="K10" s="54">
        <v>0</v>
      </c>
      <c r="L10" s="54">
        <v>0</v>
      </c>
      <c r="M10" s="54">
        <v>0</v>
      </c>
      <c r="N10" s="54">
        <v>0</v>
      </c>
      <c r="O10" s="54">
        <v>0</v>
      </c>
      <c r="P10" s="54">
        <v>0</v>
      </c>
      <c r="Q10" s="54">
        <v>0</v>
      </c>
      <c r="R10" s="54">
        <v>0</v>
      </c>
      <c r="S10" s="54">
        <v>0</v>
      </c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</row>
    <row r="11" spans="1:34" x14ac:dyDescent="0.3">
      <c r="E11" s="53" t="s">
        <v>57</v>
      </c>
      <c r="F11" s="54"/>
      <c r="G11" s="54"/>
      <c r="H11" s="54"/>
      <c r="I11" s="54"/>
      <c r="J11" s="54" cm="1">
        <f t="array" ref="J11:S11">_xlfn.SEQUENCE( 1, periods, 0, 0 )</f>
        <v>0</v>
      </c>
      <c r="K11" s="54">
        <v>0</v>
      </c>
      <c r="L11" s="54">
        <v>0</v>
      </c>
      <c r="M11" s="54">
        <v>0</v>
      </c>
      <c r="N11" s="54">
        <v>0</v>
      </c>
      <c r="O11" s="54">
        <v>0</v>
      </c>
      <c r="P11" s="54">
        <v>0</v>
      </c>
      <c r="Q11" s="54">
        <v>0</v>
      </c>
      <c r="R11" s="54">
        <v>0</v>
      </c>
      <c r="S11" s="54">
        <v>0</v>
      </c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</row>
    <row r="12" spans="1:34" x14ac:dyDescent="0.3">
      <c r="E12" s="55" t="s">
        <v>56</v>
      </c>
      <c r="F12" s="55"/>
      <c r="G12" s="55"/>
      <c r="H12" s="55"/>
      <c r="I12" s="55"/>
      <c r="J12" s="55" cm="1">
        <f t="array" ref="J12:S12" xml:space="preserve"> _xlfn.LET(
      _xlpm.opening_balance,  CaseData!$E$14,
      _xlpm.movements,_xlfn.ANCHORARRAY(        Existing!J10) +_xlfn.ANCHORARRAY( Existing!J11),
      _xlfn.SCAN( _xlpm.opening_balance, _xlpm.movements, _xleta.SUM ) )</f>
        <v>12.4</v>
      </c>
      <c r="K12" s="55">
        <v>12.4</v>
      </c>
      <c r="L12" s="55">
        <v>12.4</v>
      </c>
      <c r="M12" s="55">
        <v>12.4</v>
      </c>
      <c r="N12" s="55">
        <v>12.4</v>
      </c>
      <c r="O12" s="55">
        <v>12.4</v>
      </c>
      <c r="P12" s="55">
        <v>12.4</v>
      </c>
      <c r="Q12" s="55">
        <v>12.4</v>
      </c>
      <c r="R12" s="55">
        <v>12.4</v>
      </c>
      <c r="S12" s="55">
        <v>12.4</v>
      </c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</row>
    <row r="14" spans="1:34" x14ac:dyDescent="0.3">
      <c r="E14" s="1" t="s">
        <v>83</v>
      </c>
      <c r="G14" s="1" t="s">
        <v>47</v>
      </c>
      <c r="J14" s="1" cm="1">
        <f t="array" ref="J14:S14" xml:space="preserve"> _xlfn.SEQUENCE( 1, periods, 0, 0 )</f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6" spans="1:34" x14ac:dyDescent="0.3">
      <c r="C16" s="51" t="s">
        <v>45</v>
      </c>
    </row>
    <row r="17" spans="3:34" x14ac:dyDescent="0.3">
      <c r="C17" s="51"/>
    </row>
    <row r="18" spans="3:34" x14ac:dyDescent="0.3">
      <c r="D18" s="56" t="s">
        <v>67</v>
      </c>
    </row>
    <row r="19" spans="3:34" x14ac:dyDescent="0.3">
      <c r="E19" s="1" t="s">
        <v>46</v>
      </c>
      <c r="G19" s="1" t="s">
        <v>47</v>
      </c>
      <c r="H19" s="1" cm="1">
        <f t="array" ref="H19">_xlfn.BYROW(_xlfn.ANCHORARRAY( J19), _xleta.SUM )</f>
        <v>479.55555555555566</v>
      </c>
      <c r="J19" s="1" cm="1">
        <f t="array" ref="J19:S19" xml:space="preserve"> _xlfn.LET(
      _xlpm.Net_PPE,         CaseData!$E$15,
      _xlpm.remaining_life,  CaseData!$F$15,
      _xlpm.period,          YEAR(_xlfn.ANCHORARRAY( Existing!J3) ) - YEAR( start_date ),
      _xlpm.depreciation,    _xlpm.Net_PPE / _xlpm.remaining_life,
      IF( _xlpm.period &lt; _xlpm.remaining_life, _xlpm.depreciation, 0 ) )</f>
        <v>47.955555555555556</v>
      </c>
      <c r="K19" s="1">
        <v>47.955555555555556</v>
      </c>
      <c r="L19" s="1">
        <v>47.955555555555556</v>
      </c>
      <c r="M19" s="1">
        <v>47.955555555555556</v>
      </c>
      <c r="N19" s="1">
        <v>47.955555555555556</v>
      </c>
      <c r="O19" s="1">
        <v>47.955555555555556</v>
      </c>
      <c r="P19" s="1">
        <v>47.955555555555556</v>
      </c>
      <c r="Q19" s="1">
        <v>47.955555555555556</v>
      </c>
      <c r="R19" s="1">
        <v>47.955555555555556</v>
      </c>
      <c r="S19" s="1">
        <v>47.955555555555556</v>
      </c>
    </row>
    <row r="21" spans="3:34" x14ac:dyDescent="0.3">
      <c r="D21" s="56" t="s">
        <v>68</v>
      </c>
    </row>
    <row r="22" spans="3:34" x14ac:dyDescent="0.3">
      <c r="E22" s="1" t="s">
        <v>48</v>
      </c>
      <c r="G22" s="1" t="s">
        <v>47</v>
      </c>
      <c r="J22" s="57" cm="1">
        <f t="array" ref="J22:S22" xml:space="preserve"> _xlfn.LET(
      _xlpm.first_year_CAPEX,    CaseData!$I$15,
      _xlpm.CAPEX_growth,        1 + CaseData!$L$15,
      _xlpm.useful_life,         CaseData!$J$15,
      _xlpm.period,              YEAR(_xlfn.ANCHORARRAY( Existing!J3) ) - YEAR( start_date ) + 1,
      _xlpm.book_value,          _xlpm.first_year_CAPEX * _xlpm.CAPEX_growth ^ _xlpm.period,
      IF( _xlpm.period = 0, _xlpm.first_year_CAPEX, _xlpm.book_value ) )</f>
        <v>66.3</v>
      </c>
      <c r="K22" s="57">
        <v>67.626000000000005</v>
      </c>
      <c r="L22" s="57">
        <v>68.978519999999989</v>
      </c>
      <c r="M22" s="57">
        <v>70.358090399999995</v>
      </c>
      <c r="N22" s="57">
        <v>71.765252208000007</v>
      </c>
      <c r="O22" s="57">
        <v>73.20055725216001</v>
      </c>
      <c r="P22" s="57">
        <v>74.664568397203183</v>
      </c>
      <c r="Q22" s="57">
        <v>76.157859765147265</v>
      </c>
      <c r="R22" s="57">
        <v>77.681016960450208</v>
      </c>
      <c r="S22" s="57">
        <v>79.234637299659212</v>
      </c>
    </row>
    <row r="24" spans="3:34" x14ac:dyDescent="0.3">
      <c r="J24" s="58" cm="1">
        <f t="array" ref="J24:S24">_xlfn.ANCHORARRAY(J3)</f>
        <v>46053</v>
      </c>
      <c r="K24" s="58">
        <v>46418</v>
      </c>
      <c r="L24" s="58">
        <v>46783</v>
      </c>
      <c r="M24" s="58">
        <v>47149</v>
      </c>
      <c r="N24" s="58">
        <v>47514</v>
      </c>
      <c r="O24" s="58">
        <v>47879</v>
      </c>
      <c r="P24" s="58">
        <v>48244</v>
      </c>
      <c r="Q24" s="58">
        <v>48610</v>
      </c>
      <c r="R24" s="58">
        <v>48975</v>
      </c>
      <c r="S24" s="58">
        <v>49340</v>
      </c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</row>
    <row r="25" spans="3:34" x14ac:dyDescent="0.3">
      <c r="E25" s="1" t="s">
        <v>49</v>
      </c>
      <c r="F25" s="58" cm="1">
        <f t="array" ref="F25:F34">TRANSPOSE(_xlfn.ANCHORARRAY( J3))</f>
        <v>46053</v>
      </c>
      <c r="G25" s="57" cm="1">
        <f t="array" ref="G25:G34">TRANSPOSE(_xlfn.ANCHORARRAY( J22) )</f>
        <v>66.3</v>
      </c>
      <c r="H25" s="1" cm="1">
        <f t="array" ref="H25:H34">_xlfn.BYROW(_xlfn.ANCHORARRAY(J25), _xleta.SUM )</f>
        <v>25.193999999999999</v>
      </c>
      <c r="J25" s="59" cm="1">
        <f t="array" ref="J25:S34" xml:space="preserve"> _xlfn.LET(
      _xlpm.CAPEX_date,                 INDEX(_xlfn.ANCHORARRAY(F25),,1),
      _xlpm.CAPEX_cost,                 INDEX(_xlfn.ANCHORARRAY(G25),,1),
      _xlpm.period,                     YEAR(_xlfn.ANCHORARRAY(J24))-YEAR(_xlpm.CAPEX_date),
      _xlpm.useful_life,                CaseData!$J$15,
      _xlpm.depreciation_cost,          _xlpm.CAPEX_cost/_xlpm.useful_life,
      _xlpm.accumulated_depreciation,   _xlpm.depreciation_cost * ( _xlpm.period - 0.5 ),
      _xlpm.book_value,                 _xlpm.CAPEX_cost - _xlpm.accumulated_depreciation,
      IF( _xlpm.period &lt; 0, 0,
          IF( _xlpm.period = 0, _xlpm.depreciation_cost / 2,
              IF( _xlpm.period &lt; _xlpm.useful_life, _xlpm.depreciation_cost, IF( _xlpm.book_value &gt; 0, _xlpm.book_value, 0 ) ) ) ) )</f>
        <v>1.3259999999999998</v>
      </c>
      <c r="K25" s="59">
        <v>2.6519999999999997</v>
      </c>
      <c r="L25" s="59">
        <v>2.6519999999999997</v>
      </c>
      <c r="M25" s="59">
        <v>2.6519999999999997</v>
      </c>
      <c r="N25" s="59">
        <v>2.6519999999999997</v>
      </c>
      <c r="O25" s="59">
        <v>2.6519999999999997</v>
      </c>
      <c r="P25" s="59">
        <v>2.6519999999999997</v>
      </c>
      <c r="Q25" s="59">
        <v>2.6519999999999997</v>
      </c>
      <c r="R25" s="59">
        <v>2.6519999999999997</v>
      </c>
      <c r="S25" s="59">
        <v>2.6519999999999997</v>
      </c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</row>
    <row r="26" spans="3:34" x14ac:dyDescent="0.3">
      <c r="F26" s="58">
        <v>46418</v>
      </c>
      <c r="G26" s="57">
        <v>67.626000000000005</v>
      </c>
      <c r="H26" s="1">
        <v>22.992840000000001</v>
      </c>
      <c r="J26" s="59">
        <v>0</v>
      </c>
      <c r="K26" s="59">
        <v>1.3525200000000002</v>
      </c>
      <c r="L26" s="59">
        <v>2.7050400000000003</v>
      </c>
      <c r="M26" s="59">
        <v>2.7050400000000003</v>
      </c>
      <c r="N26" s="59">
        <v>2.7050400000000003</v>
      </c>
      <c r="O26" s="59">
        <v>2.7050400000000003</v>
      </c>
      <c r="P26" s="59">
        <v>2.7050400000000003</v>
      </c>
      <c r="Q26" s="59">
        <v>2.7050400000000003</v>
      </c>
      <c r="R26" s="59">
        <v>2.7050400000000003</v>
      </c>
      <c r="S26" s="59">
        <v>2.7050400000000003</v>
      </c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</row>
    <row r="27" spans="3:34" x14ac:dyDescent="0.3">
      <c r="F27" s="58">
        <v>46783</v>
      </c>
      <c r="G27" s="57">
        <v>68.978519999999989</v>
      </c>
      <c r="H27" s="1">
        <v>20.693555999999997</v>
      </c>
      <c r="J27" s="59">
        <v>0</v>
      </c>
      <c r="K27" s="59">
        <v>0</v>
      </c>
      <c r="L27" s="59">
        <v>1.3795703999999998</v>
      </c>
      <c r="M27" s="59">
        <v>2.7591407999999995</v>
      </c>
      <c r="N27" s="59">
        <v>2.7591407999999995</v>
      </c>
      <c r="O27" s="59">
        <v>2.7591407999999995</v>
      </c>
      <c r="P27" s="59">
        <v>2.7591407999999995</v>
      </c>
      <c r="Q27" s="59">
        <v>2.7591407999999995</v>
      </c>
      <c r="R27" s="59">
        <v>2.7591407999999995</v>
      </c>
      <c r="S27" s="59">
        <v>2.7591407999999995</v>
      </c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</row>
    <row r="28" spans="3:34" x14ac:dyDescent="0.3">
      <c r="F28" s="58">
        <v>47149</v>
      </c>
      <c r="G28" s="57">
        <v>70.358090399999995</v>
      </c>
      <c r="H28" s="1">
        <v>18.293103503999998</v>
      </c>
      <c r="J28" s="59">
        <v>0</v>
      </c>
      <c r="K28" s="59">
        <v>0</v>
      </c>
      <c r="L28" s="59">
        <v>0</v>
      </c>
      <c r="M28" s="59">
        <v>1.4071618079999999</v>
      </c>
      <c r="N28" s="59">
        <v>2.8143236159999998</v>
      </c>
      <c r="O28" s="59">
        <v>2.8143236159999998</v>
      </c>
      <c r="P28" s="59">
        <v>2.8143236159999998</v>
      </c>
      <c r="Q28" s="59">
        <v>2.8143236159999998</v>
      </c>
      <c r="R28" s="59">
        <v>2.8143236159999998</v>
      </c>
      <c r="S28" s="59">
        <v>2.8143236159999998</v>
      </c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</row>
    <row r="29" spans="3:34" x14ac:dyDescent="0.3">
      <c r="F29" s="58">
        <v>47514</v>
      </c>
      <c r="G29" s="57">
        <v>71.765252208000007</v>
      </c>
      <c r="H29" s="1">
        <v>15.78835548576</v>
      </c>
      <c r="J29" s="59">
        <v>0</v>
      </c>
      <c r="K29" s="59">
        <v>0</v>
      </c>
      <c r="L29" s="59">
        <v>0</v>
      </c>
      <c r="M29" s="59">
        <v>0</v>
      </c>
      <c r="N29" s="59">
        <v>1.4353050441600002</v>
      </c>
      <c r="O29" s="59">
        <v>2.8706100883200003</v>
      </c>
      <c r="P29" s="59">
        <v>2.8706100883200003</v>
      </c>
      <c r="Q29" s="59">
        <v>2.8706100883200003</v>
      </c>
      <c r="R29" s="59">
        <v>2.8706100883200003</v>
      </c>
      <c r="S29" s="59">
        <v>2.8706100883200003</v>
      </c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</row>
    <row r="30" spans="3:34" x14ac:dyDescent="0.3">
      <c r="F30" s="58">
        <v>47879</v>
      </c>
      <c r="G30" s="57">
        <v>73.20055725216001</v>
      </c>
      <c r="H30" s="1">
        <v>13.176100305388804</v>
      </c>
      <c r="J30" s="59">
        <v>0</v>
      </c>
      <c r="K30" s="59">
        <v>0</v>
      </c>
      <c r="L30" s="59">
        <v>0</v>
      </c>
      <c r="M30" s="59">
        <v>0</v>
      </c>
      <c r="N30" s="59">
        <v>0</v>
      </c>
      <c r="O30" s="59">
        <v>1.4640111450432003</v>
      </c>
      <c r="P30" s="59">
        <v>2.9280222900864006</v>
      </c>
      <c r="Q30" s="59">
        <v>2.9280222900864006</v>
      </c>
      <c r="R30" s="59">
        <v>2.9280222900864006</v>
      </c>
      <c r="S30" s="59">
        <v>2.9280222900864006</v>
      </c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</row>
    <row r="31" spans="3:34" x14ac:dyDescent="0.3">
      <c r="F31" s="58">
        <v>48244</v>
      </c>
      <c r="G31" s="57">
        <v>74.664568397203183</v>
      </c>
      <c r="H31" s="1">
        <v>10.453039575608445</v>
      </c>
      <c r="J31" s="59">
        <v>0</v>
      </c>
      <c r="K31" s="59">
        <v>0</v>
      </c>
      <c r="L31" s="59">
        <v>0</v>
      </c>
      <c r="M31" s="59">
        <v>0</v>
      </c>
      <c r="N31" s="59">
        <v>0</v>
      </c>
      <c r="O31" s="59">
        <v>0</v>
      </c>
      <c r="P31" s="59">
        <v>1.4932913679440636</v>
      </c>
      <c r="Q31" s="59">
        <v>2.9865827358881272</v>
      </c>
      <c r="R31" s="59">
        <v>2.9865827358881272</v>
      </c>
      <c r="S31" s="59">
        <v>2.9865827358881272</v>
      </c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</row>
    <row r="32" spans="3:34" x14ac:dyDescent="0.3">
      <c r="F32" s="58">
        <v>48610</v>
      </c>
      <c r="G32" s="57">
        <v>76.157859765147265</v>
      </c>
      <c r="H32" s="1">
        <v>7.6157859765147267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1.5231571953029452</v>
      </c>
      <c r="R32" s="59">
        <v>3.0463143906058905</v>
      </c>
      <c r="S32" s="59">
        <v>3.0463143906058905</v>
      </c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</row>
    <row r="33" spans="3:34" x14ac:dyDescent="0.3">
      <c r="F33" s="58">
        <v>48975</v>
      </c>
      <c r="G33" s="57">
        <v>77.681016960450208</v>
      </c>
      <c r="H33" s="1">
        <v>4.6608610176270124</v>
      </c>
      <c r="J33" s="59">
        <v>0</v>
      </c>
      <c r="K33" s="59">
        <v>0</v>
      </c>
      <c r="L33" s="59">
        <v>0</v>
      </c>
      <c r="M33" s="59">
        <v>0</v>
      </c>
      <c r="N33" s="59">
        <v>0</v>
      </c>
      <c r="O33" s="59">
        <v>0</v>
      </c>
      <c r="P33" s="59">
        <v>0</v>
      </c>
      <c r="Q33" s="59">
        <v>0</v>
      </c>
      <c r="R33" s="59">
        <v>1.5536203392090042</v>
      </c>
      <c r="S33" s="59">
        <v>3.1072406784180084</v>
      </c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</row>
    <row r="34" spans="3:34" x14ac:dyDescent="0.3">
      <c r="F34" s="58">
        <v>49340</v>
      </c>
      <c r="G34" s="57">
        <v>79.234637299659212</v>
      </c>
      <c r="H34" s="1">
        <v>1.5846927459931843</v>
      </c>
      <c r="J34" s="59">
        <v>0</v>
      </c>
      <c r="K34" s="59">
        <v>0</v>
      </c>
      <c r="L34" s="59">
        <v>0</v>
      </c>
      <c r="M34" s="59">
        <v>0</v>
      </c>
      <c r="N34" s="59">
        <v>0</v>
      </c>
      <c r="O34" s="59">
        <v>0</v>
      </c>
      <c r="P34" s="59">
        <v>0</v>
      </c>
      <c r="Q34" s="59">
        <v>0</v>
      </c>
      <c r="R34" s="59">
        <v>0</v>
      </c>
      <c r="S34" s="59">
        <v>1.5846927459931843</v>
      </c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</row>
    <row r="35" spans="3:34" x14ac:dyDescent="0.3">
      <c r="J35" s="57" cm="1">
        <f t="array" ref="J35:S35">_xlfn.BYCOL(_xlfn.ANCHORARRAY( J25), _xleta.SUM )</f>
        <v>1.3259999999999998</v>
      </c>
      <c r="K35" s="57">
        <v>4.0045199999999994</v>
      </c>
      <c r="L35" s="57">
        <v>6.7366103999999991</v>
      </c>
      <c r="M35" s="57">
        <v>9.5233426079999983</v>
      </c>
      <c r="N35" s="57">
        <v>12.365809460159998</v>
      </c>
      <c r="O35" s="57">
        <v>15.265125649363197</v>
      </c>
      <c r="P35" s="57">
        <v>18.222428162350461</v>
      </c>
      <c r="Q35" s="57">
        <v>21.238876725597471</v>
      </c>
      <c r="R35" s="57">
        <v>24.315654260109419</v>
      </c>
      <c r="S35" s="57">
        <v>27.453967345311607</v>
      </c>
    </row>
    <row r="37" spans="3:34" x14ac:dyDescent="0.3">
      <c r="E37" s="52" t="s">
        <v>54</v>
      </c>
      <c r="F37" s="52"/>
      <c r="G37" s="52" t="s">
        <v>47</v>
      </c>
      <c r="H37" s="52"/>
      <c r="I37" s="52"/>
      <c r="J37" s="60" cm="1">
        <f t="array" ref="J37:S37">_xlfn.DROP( _xlfn.HSTACK( CaseData!$E$15,_xlfn.ANCHORARRAY( Existing!J41) ),, -1 )</f>
        <v>863.2</v>
      </c>
      <c r="K37" s="60">
        <v>880.21844444444446</v>
      </c>
      <c r="L37" s="60">
        <v>895.88436888888896</v>
      </c>
      <c r="M37" s="60">
        <v>910.17072293333342</v>
      </c>
      <c r="N37" s="60">
        <v>923.04991516977782</v>
      </c>
      <c r="O37" s="60">
        <v>934.4938023620623</v>
      </c>
      <c r="P37" s="60">
        <v>944.4736784093036</v>
      </c>
      <c r="Q37" s="60">
        <v>952.96026308860075</v>
      </c>
      <c r="R37" s="60">
        <v>959.92369057259498</v>
      </c>
      <c r="S37" s="60">
        <v>965.33349771738017</v>
      </c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</row>
    <row r="38" spans="3:34" x14ac:dyDescent="0.3">
      <c r="E38" s="53" t="s">
        <v>50</v>
      </c>
      <c r="F38" s="54"/>
      <c r="G38" s="54" t="s">
        <v>47</v>
      </c>
      <c r="H38" s="54"/>
      <c r="I38" s="54"/>
      <c r="J38" s="61" cm="1">
        <f t="array" ref="J38:S38">_xlfn.ANCHORARRAY( J22)</f>
        <v>66.3</v>
      </c>
      <c r="K38" s="61">
        <v>67.626000000000005</v>
      </c>
      <c r="L38" s="61">
        <v>68.978519999999989</v>
      </c>
      <c r="M38" s="61">
        <v>70.358090399999995</v>
      </c>
      <c r="N38" s="61">
        <v>71.765252208000007</v>
      </c>
      <c r="O38" s="61">
        <v>73.20055725216001</v>
      </c>
      <c r="P38" s="61">
        <v>74.664568397203183</v>
      </c>
      <c r="Q38" s="61">
        <v>76.157859765147265</v>
      </c>
      <c r="R38" s="61">
        <v>77.681016960450208</v>
      </c>
      <c r="S38" s="61">
        <v>79.234637299659212</v>
      </c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</row>
    <row r="39" spans="3:34" x14ac:dyDescent="0.3">
      <c r="E39" s="53" t="s">
        <v>51</v>
      </c>
      <c r="F39" s="54"/>
      <c r="G39" s="54" t="s">
        <v>47</v>
      </c>
      <c r="H39" s="54"/>
      <c r="I39" s="54"/>
      <c r="J39" s="61" cm="1">
        <f t="array" ref="J39:S39">_xlfn.ANCHORARRAY( J19) * -1</f>
        <v>-47.955555555555556</v>
      </c>
      <c r="K39" s="61">
        <v>-47.955555555555556</v>
      </c>
      <c r="L39" s="61">
        <v>-47.955555555555556</v>
      </c>
      <c r="M39" s="61">
        <v>-47.955555555555556</v>
      </c>
      <c r="N39" s="61">
        <v>-47.955555555555556</v>
      </c>
      <c r="O39" s="61">
        <v>-47.955555555555556</v>
      </c>
      <c r="P39" s="61">
        <v>-47.955555555555556</v>
      </c>
      <c r="Q39" s="61">
        <v>-47.955555555555556</v>
      </c>
      <c r="R39" s="61">
        <v>-47.955555555555556</v>
      </c>
      <c r="S39" s="61">
        <v>-47.955555555555556</v>
      </c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</row>
    <row r="40" spans="3:34" x14ac:dyDescent="0.3">
      <c r="E40" s="53" t="s">
        <v>52</v>
      </c>
      <c r="F40" s="54"/>
      <c r="G40" s="54" t="s">
        <v>47</v>
      </c>
      <c r="H40" s="54"/>
      <c r="I40" s="54"/>
      <c r="J40" s="61" cm="1">
        <f t="array" ref="J40:S40">_xlfn.ANCHORARRAY( J35) * -1</f>
        <v>-1.3259999999999998</v>
      </c>
      <c r="K40" s="61">
        <v>-4.0045199999999994</v>
      </c>
      <c r="L40" s="61">
        <v>-6.7366103999999991</v>
      </c>
      <c r="M40" s="61">
        <v>-9.5233426079999983</v>
      </c>
      <c r="N40" s="61">
        <v>-12.365809460159998</v>
      </c>
      <c r="O40" s="61">
        <v>-15.265125649363197</v>
      </c>
      <c r="P40" s="61">
        <v>-18.222428162350461</v>
      </c>
      <c r="Q40" s="61">
        <v>-21.238876725597471</v>
      </c>
      <c r="R40" s="61">
        <v>-24.315654260109419</v>
      </c>
      <c r="S40" s="61">
        <v>-27.453967345311607</v>
      </c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</row>
    <row r="41" spans="3:34" x14ac:dyDescent="0.3">
      <c r="E41" s="55" t="s">
        <v>53</v>
      </c>
      <c r="F41" s="55"/>
      <c r="G41" s="55" t="s">
        <v>47</v>
      </c>
      <c r="H41" s="55"/>
      <c r="I41" s="55"/>
      <c r="J41" s="62" cm="1">
        <f t="array" ref="J41:S41" xml:space="preserve"> _xlfn.LET(
      _xlpm.opening_balance, CaseData!E15,
      _xlpm.movements,_xlfn.ANCHORARRAY(       Existing!J38) +_xlfn.ANCHORARRAY( Existing!J39) +_xlfn.ANCHORARRAY( Existing!J40),
      _xlfn.SCAN( _xlpm.opening_balance, _xlpm.movements, _xleta.SUM ) )</f>
        <v>880.21844444444446</v>
      </c>
      <c r="K41" s="62">
        <v>895.88436888888896</v>
      </c>
      <c r="L41" s="62">
        <v>910.17072293333342</v>
      </c>
      <c r="M41" s="62">
        <v>923.04991516977782</v>
      </c>
      <c r="N41" s="62">
        <v>934.4938023620623</v>
      </c>
      <c r="O41" s="62">
        <v>944.4736784093036</v>
      </c>
      <c r="P41" s="62">
        <v>952.96026308860075</v>
      </c>
      <c r="Q41" s="62">
        <v>959.92369057259498</v>
      </c>
      <c r="R41" s="62">
        <v>965.33349771738017</v>
      </c>
      <c r="S41" s="62">
        <v>969.15861211617221</v>
      </c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</row>
    <row r="44" spans="3:34" s="64" customFormat="1" x14ac:dyDescent="0.3">
      <c r="C44" s="63" t="s">
        <v>14</v>
      </c>
    </row>
    <row r="45" spans="3:34" s="64" customFormat="1" x14ac:dyDescent="0.3">
      <c r="C45" s="63"/>
    </row>
    <row r="46" spans="3:34" x14ac:dyDescent="0.3">
      <c r="D46" s="56" t="s">
        <v>69</v>
      </c>
    </row>
    <row r="47" spans="3:34" x14ac:dyDescent="0.3">
      <c r="E47" s="1" t="s">
        <v>59</v>
      </c>
      <c r="G47" s="1" t="s">
        <v>47</v>
      </c>
      <c r="H47" s="1" cm="1">
        <f t="array" ref="H47">_xlfn.BYROW(_xlfn.ANCHORARRAY( J47), _xleta.SUM)</f>
        <v>1480.4</v>
      </c>
      <c r="J47" s="65" cm="1">
        <f t="array" ref="J47:S47" xml:space="preserve"> _xlfn.LET(
      _xlpm.net_PPE,           CaseData!$E$16,
      _xlpm.remaining_life,    CaseData!$F$16,
      _xlpm.depreciation_rate, CaseData!$G$16,
      _xlpm.current_date,_xlfn.ANCHORARRAY(      J3),
      _xlpm.period,            YEAR( _xlpm.current_date ) - YEAR( start_date ) + 1,
      _xlpm.book_value,        _xlpm.net_PPE * ( 1 - _xlpm.depreciation_rate ) ^ ( _xlpm.period - 1 ),
      _xlpm.depreciation,      _xlpm.book_value * _xlpm.depreciation_rate,
      IF( _xlpm.period &lt; 0, 0,
          IF( _xlpm.period &lt; _xlpm.remaining_life, _xlpm.depreciation,
              IF( _xlpm.period = _xlpm.remaining_life, _xlpm.book_value, 0 ) ) ) )</f>
        <v>592.16000000000008</v>
      </c>
      <c r="K47" s="57">
        <v>355.29600000000005</v>
      </c>
      <c r="L47" s="57">
        <v>213.17759999999998</v>
      </c>
      <c r="M47" s="57">
        <v>127.90656000000001</v>
      </c>
      <c r="N47" s="57">
        <v>76.743936000000005</v>
      </c>
      <c r="O47" s="57">
        <v>115.115904</v>
      </c>
      <c r="P47" s="57">
        <v>0</v>
      </c>
      <c r="Q47" s="57">
        <v>0</v>
      </c>
      <c r="R47" s="57">
        <v>0</v>
      </c>
      <c r="S47" s="57">
        <v>0</v>
      </c>
    </row>
    <row r="49" spans="4:34" x14ac:dyDescent="0.3">
      <c r="D49" s="56" t="s">
        <v>70</v>
      </c>
    </row>
    <row r="50" spans="4:34" x14ac:dyDescent="0.3">
      <c r="E50" s="1" t="s">
        <v>60</v>
      </c>
      <c r="G50" s="1" t="s">
        <v>47</v>
      </c>
      <c r="J50" s="1" cm="1">
        <f t="array" ref="J50:S50" xml:space="preserve"> _xlfn.LET(
      _xlpm.first_year_CAPEX,    CaseData!$I$16,
      _xlpm.CAPEX_growth,        1 + CaseData!$L$16,
      _xlpm.useful_life,         CaseData!$J$16,
      _xlpm.period,              YEAR(_xlfn.ANCHORARRAY( Existing!J3) ) - YEAR( start_date ) + 1,
      _xlpm.book_value,          _xlpm.first_year_CAPEX * _xlpm.CAPEX_growth ^ _xlpm.period,
      IF( _xlpm.period = 0, _xlpm.first_year_CAPEX, _xlpm.book_value ) )</f>
        <v>153</v>
      </c>
      <c r="K50" s="1">
        <v>156.06</v>
      </c>
      <c r="L50" s="1">
        <v>159.18119999999999</v>
      </c>
      <c r="M50" s="1">
        <v>162.364824</v>
      </c>
      <c r="N50" s="1">
        <v>165.61212048000002</v>
      </c>
      <c r="O50" s="1">
        <v>168.92436288960002</v>
      </c>
      <c r="P50" s="1">
        <v>172.30285014739198</v>
      </c>
      <c r="Q50" s="1">
        <v>175.74890715033982</v>
      </c>
      <c r="R50" s="1">
        <v>179.26388529334662</v>
      </c>
      <c r="S50" s="1">
        <v>182.84916299921358</v>
      </c>
    </row>
    <row r="52" spans="4:34" x14ac:dyDescent="0.3">
      <c r="E52" s="1" t="s">
        <v>61</v>
      </c>
      <c r="J52" s="58" cm="1">
        <f t="array" ref="J52:S52">_xlfn.ANCHORARRAY(J3)</f>
        <v>46053</v>
      </c>
      <c r="K52" s="58">
        <v>46418</v>
      </c>
      <c r="L52" s="58">
        <v>46783</v>
      </c>
      <c r="M52" s="58">
        <v>47149</v>
      </c>
      <c r="N52" s="58">
        <v>47514</v>
      </c>
      <c r="O52" s="58">
        <v>47879</v>
      </c>
      <c r="P52" s="58">
        <v>48244</v>
      </c>
      <c r="Q52" s="58">
        <v>48610</v>
      </c>
      <c r="R52" s="58">
        <v>48975</v>
      </c>
      <c r="S52" s="58">
        <v>49340</v>
      </c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</row>
    <row r="53" spans="4:34" x14ac:dyDescent="0.3">
      <c r="F53" s="58" cm="1">
        <f t="array" ref="F53:F62">TRANSPOSE(_xlfn.ANCHORARRAY( J3) )</f>
        <v>46053</v>
      </c>
      <c r="G53" s="1" cm="1">
        <f t="array" ref="G53:G62">TRANSPOSE(_xlfn.ANCHORARRAY( J50) )</f>
        <v>153</v>
      </c>
      <c r="H53" s="1" cm="1">
        <f t="array" ref="H53:H62">_xlfn.BYROW(_xlfn.ANCHORARRAY(J53), _xleta.SUM )</f>
        <v>153.00000000000003</v>
      </c>
      <c r="J53" s="65" cm="1">
        <f t="array" ref="J53:S62" xml:space="preserve"> _xlfn.LET(
      _xlpm.acquisition_cost,  INDEX(_xlfn.ANCHORARRAY( G53),, 1 ),
      _xlpm.acquisition_date,  INDEX(_xlfn.ANCHORARRAY( F53),, 1 ),
      _xlpm.current_date,_xlfn.ANCHORARRAY(      J3),
      _xlpm.remaining_life,    CaseData!$J$16,
      _xlpm.depreciation_rate, CaseData!$K$16,
      _xlpm.period,            YEAR( _xlpm.current_date ) - YEAR( _xlpm.acquisition_date ),
      _xlpm.book_value,        _xlpm.acquisition_cost * ( 1 - _xlpm.depreciation_rate / 2 ) * ( 1 - _xlpm.depreciation_rate ) ^ ( _xlpm.period - 1),
      _xlpm.depreciation,      _xlpm.book_value * _xlpm.depreciation_rate,
      IF( _xlpm.period &lt; 0, 0,
          IF( _xlpm.period = 0, _xlpm.acquisition_cost * _xlpm.depreciation_rate / 2,
              IF( _xlpm.period &lt; _xlpm.remaining_life, _xlpm.book_value * _xlpm.depreciation_rate,
                  IF( _xlpm.period = _xlpm.remaining_life, _xlpm.book_value, 0 ) ) ) ) )</f>
        <v>30.6</v>
      </c>
      <c r="K53" s="57">
        <v>48.960000000000008</v>
      </c>
      <c r="L53" s="57">
        <v>29.376000000000001</v>
      </c>
      <c r="M53" s="57">
        <v>17.625600000000002</v>
      </c>
      <c r="N53" s="57">
        <v>10.575360000000002</v>
      </c>
      <c r="O53" s="57">
        <v>6.3452160000000006</v>
      </c>
      <c r="P53" s="57">
        <v>3.8071295999999997</v>
      </c>
      <c r="Q53" s="57">
        <v>2.2842777599999997</v>
      </c>
      <c r="R53" s="57">
        <v>3.4264166399999998</v>
      </c>
      <c r="S53" s="57">
        <v>0</v>
      </c>
    </row>
    <row r="54" spans="4:34" x14ac:dyDescent="0.3">
      <c r="F54" s="58">
        <v>46418</v>
      </c>
      <c r="G54" s="1">
        <v>156.06</v>
      </c>
      <c r="H54" s="1">
        <v>156.05999999999997</v>
      </c>
      <c r="J54" s="57">
        <v>0</v>
      </c>
      <c r="K54" s="57">
        <v>31.212000000000003</v>
      </c>
      <c r="L54" s="57">
        <v>49.939200000000007</v>
      </c>
      <c r="M54" s="57">
        <v>29.963520000000003</v>
      </c>
      <c r="N54" s="57">
        <v>17.978112000000003</v>
      </c>
      <c r="O54" s="57">
        <v>10.786867200000001</v>
      </c>
      <c r="P54" s="57">
        <v>6.472120320000001</v>
      </c>
      <c r="Q54" s="57">
        <v>3.8832721920000006</v>
      </c>
      <c r="R54" s="57">
        <v>2.3299633152000001</v>
      </c>
      <c r="S54" s="57">
        <v>3.4949449727999999</v>
      </c>
    </row>
    <row r="55" spans="4:34" x14ac:dyDescent="0.3">
      <c r="F55" s="58">
        <v>46783</v>
      </c>
      <c r="G55" s="1">
        <v>159.18119999999999</v>
      </c>
      <c r="H55" s="1">
        <v>155.61635612774401</v>
      </c>
      <c r="J55" s="57">
        <v>0</v>
      </c>
      <c r="K55" s="57">
        <v>0</v>
      </c>
      <c r="L55" s="57">
        <v>31.83624</v>
      </c>
      <c r="M55" s="57">
        <v>50.937984</v>
      </c>
      <c r="N55" s="57">
        <v>30.562790400000001</v>
      </c>
      <c r="O55" s="57">
        <v>18.337674239999998</v>
      </c>
      <c r="P55" s="57">
        <v>11.002604544</v>
      </c>
      <c r="Q55" s="57">
        <v>6.601562726400001</v>
      </c>
      <c r="R55" s="57">
        <v>3.9609376358400001</v>
      </c>
      <c r="S55" s="57">
        <v>2.3765625815039999</v>
      </c>
    </row>
    <row r="56" spans="4:34" x14ac:dyDescent="0.3">
      <c r="F56" s="58">
        <v>47149</v>
      </c>
      <c r="G56" s="1">
        <v>162.364824</v>
      </c>
      <c r="H56" s="1">
        <v>156.30458941716481</v>
      </c>
      <c r="J56" s="57">
        <v>0</v>
      </c>
      <c r="K56" s="57">
        <v>0</v>
      </c>
      <c r="L56" s="57">
        <v>0</v>
      </c>
      <c r="M56" s="57">
        <v>32.4729648</v>
      </c>
      <c r="N56" s="57">
        <v>51.956743680000002</v>
      </c>
      <c r="O56" s="57">
        <v>31.174046208</v>
      </c>
      <c r="P56" s="57">
        <v>18.704427724799999</v>
      </c>
      <c r="Q56" s="57">
        <v>11.22265663488</v>
      </c>
      <c r="R56" s="57">
        <v>6.7335939809279992</v>
      </c>
      <c r="S56" s="57">
        <v>4.0401563885567997</v>
      </c>
    </row>
    <row r="57" spans="4:34" x14ac:dyDescent="0.3">
      <c r="F57" s="58">
        <v>47514</v>
      </c>
      <c r="G57" s="1">
        <v>165.61212048000002</v>
      </c>
      <c r="H57" s="1">
        <v>155.30972168918015</v>
      </c>
      <c r="J57" s="57">
        <v>0</v>
      </c>
      <c r="K57" s="57">
        <v>0</v>
      </c>
      <c r="L57" s="57">
        <v>0</v>
      </c>
      <c r="M57" s="57">
        <v>0</v>
      </c>
      <c r="N57" s="57">
        <v>33.122424096000003</v>
      </c>
      <c r="O57" s="57">
        <v>52.995878553600008</v>
      </c>
      <c r="P57" s="57">
        <v>31.797527132160003</v>
      </c>
      <c r="Q57" s="57">
        <v>19.078516279296004</v>
      </c>
      <c r="R57" s="57">
        <v>11.447109767577601</v>
      </c>
      <c r="S57" s="57">
        <v>6.8682658605465612</v>
      </c>
    </row>
    <row r="58" spans="4:34" x14ac:dyDescent="0.3">
      <c r="F58" s="58">
        <v>47879</v>
      </c>
      <c r="G58" s="1">
        <v>168.92436288960002</v>
      </c>
      <c r="H58" s="1">
        <v>151.41028494520631</v>
      </c>
      <c r="J58" s="57">
        <v>0</v>
      </c>
      <c r="K58" s="57">
        <v>0</v>
      </c>
      <c r="L58" s="57">
        <v>0</v>
      </c>
      <c r="M58" s="57">
        <v>0</v>
      </c>
      <c r="N58" s="57">
        <v>0</v>
      </c>
      <c r="O58" s="57">
        <v>33.784872577920005</v>
      </c>
      <c r="P58" s="57">
        <v>54.055796124672014</v>
      </c>
      <c r="Q58" s="57">
        <v>32.433477674803207</v>
      </c>
      <c r="R58" s="57">
        <v>19.460086604881923</v>
      </c>
      <c r="S58" s="57">
        <v>11.676051962929154</v>
      </c>
    </row>
    <row r="59" spans="4:34" x14ac:dyDescent="0.3">
      <c r="F59" s="58">
        <v>48244</v>
      </c>
      <c r="G59" s="1">
        <v>172.30285014739198</v>
      </c>
      <c r="H59" s="1">
        <v>142.52891764192265</v>
      </c>
      <c r="J59" s="57">
        <v>0</v>
      </c>
      <c r="K59" s="57">
        <v>0</v>
      </c>
      <c r="L59" s="57">
        <v>0</v>
      </c>
      <c r="M59" s="57">
        <v>0</v>
      </c>
      <c r="N59" s="57">
        <v>0</v>
      </c>
      <c r="O59" s="57">
        <v>0</v>
      </c>
      <c r="P59" s="57">
        <v>34.460570029478397</v>
      </c>
      <c r="Q59" s="57">
        <v>55.136912047165438</v>
      </c>
      <c r="R59" s="57">
        <v>33.082147228299263</v>
      </c>
      <c r="S59" s="57">
        <v>19.849288336979555</v>
      </c>
    </row>
    <row r="60" spans="4:34" x14ac:dyDescent="0.3">
      <c r="F60" s="58">
        <v>48610</v>
      </c>
      <c r="G60" s="1">
        <v>175.74890715033982</v>
      </c>
      <c r="H60" s="1">
        <v>125.13322189104198</v>
      </c>
      <c r="J60" s="57">
        <v>0</v>
      </c>
      <c r="K60" s="57">
        <v>0</v>
      </c>
      <c r="L60" s="57">
        <v>0</v>
      </c>
      <c r="M60" s="57">
        <v>0</v>
      </c>
      <c r="N60" s="57">
        <v>0</v>
      </c>
      <c r="O60" s="57">
        <v>0</v>
      </c>
      <c r="P60" s="57">
        <v>0</v>
      </c>
      <c r="Q60" s="57">
        <v>35.149781430067968</v>
      </c>
      <c r="R60" s="57">
        <v>56.239650288108749</v>
      </c>
      <c r="S60" s="57">
        <v>33.743790172865253</v>
      </c>
    </row>
    <row r="61" spans="4:34" x14ac:dyDescent="0.3">
      <c r="F61" s="58">
        <v>48975</v>
      </c>
      <c r="G61" s="1">
        <v>179.26388529334662</v>
      </c>
      <c r="H61" s="1">
        <v>93.217220352540238</v>
      </c>
      <c r="J61" s="57">
        <v>0</v>
      </c>
      <c r="K61" s="57">
        <v>0</v>
      </c>
      <c r="L61" s="57">
        <v>0</v>
      </c>
      <c r="M61" s="57">
        <v>0</v>
      </c>
      <c r="N61" s="57">
        <v>0</v>
      </c>
      <c r="O61" s="57">
        <v>0</v>
      </c>
      <c r="P61" s="57">
        <v>0</v>
      </c>
      <c r="Q61" s="57">
        <v>0</v>
      </c>
      <c r="R61" s="57">
        <v>35.852777058669325</v>
      </c>
      <c r="S61" s="57">
        <v>57.36444329387092</v>
      </c>
    </row>
    <row r="62" spans="4:34" x14ac:dyDescent="0.3">
      <c r="F62" s="58">
        <v>49340</v>
      </c>
      <c r="G62" s="1">
        <v>182.84916299921358</v>
      </c>
      <c r="H62" s="1">
        <v>36.569832599842719</v>
      </c>
      <c r="J62" s="57">
        <v>0</v>
      </c>
      <c r="K62" s="57">
        <v>0</v>
      </c>
      <c r="L62" s="57">
        <v>0</v>
      </c>
      <c r="M62" s="57">
        <v>0</v>
      </c>
      <c r="N62" s="57">
        <v>0</v>
      </c>
      <c r="O62" s="57">
        <v>0</v>
      </c>
      <c r="P62" s="57">
        <v>0</v>
      </c>
      <c r="Q62" s="57">
        <v>0</v>
      </c>
      <c r="R62" s="57">
        <v>0</v>
      </c>
      <c r="S62" s="57">
        <v>36.569832599842719</v>
      </c>
    </row>
    <row r="63" spans="4:34" x14ac:dyDescent="0.3">
      <c r="J63" s="1" cm="1">
        <f t="array" ref="J63:S63">_xlfn.BYCOL(_xlfn.ANCHORARRAY( J53), _xleta.SUM )</f>
        <v>30.6</v>
      </c>
      <c r="K63" s="1">
        <v>80.172000000000011</v>
      </c>
      <c r="L63" s="1">
        <v>111.15144000000001</v>
      </c>
      <c r="M63" s="1">
        <v>131.00006880000001</v>
      </c>
      <c r="N63" s="1">
        <v>144.195430176</v>
      </c>
      <c r="O63" s="1">
        <v>153.42455477952001</v>
      </c>
      <c r="P63" s="1">
        <v>160.30017547511042</v>
      </c>
      <c r="Q63" s="1">
        <v>165.79045674461261</v>
      </c>
      <c r="R63" s="1">
        <v>172.53268251950485</v>
      </c>
      <c r="S63" s="1">
        <v>175.98333616989495</v>
      </c>
    </row>
    <row r="65" spans="2:34" x14ac:dyDescent="0.3">
      <c r="E65" s="52" t="s">
        <v>62</v>
      </c>
      <c r="F65" s="52"/>
      <c r="G65" s="52" t="s">
        <v>47</v>
      </c>
      <c r="H65" s="52"/>
      <c r="I65" s="52"/>
      <c r="J65" s="60" cm="1">
        <f t="array" ref="J65:S65" xml:space="preserve"> _xlfn.DROP( _xlfn.HSTACK( CaseData!$E$16,_xlfn.ANCHORARRAY( Existing!J69) ),,-1 )</f>
        <v>1480.4</v>
      </c>
      <c r="K65" s="60">
        <v>1010.64</v>
      </c>
      <c r="L65" s="60">
        <v>731.23199999999997</v>
      </c>
      <c r="M65" s="60">
        <v>566.08416</v>
      </c>
      <c r="N65" s="60">
        <v>469.54235519999997</v>
      </c>
      <c r="O65" s="60">
        <v>414.215109504</v>
      </c>
      <c r="P65" s="60">
        <v>314.59901361408004</v>
      </c>
      <c r="Q65" s="60">
        <v>326.60168828636159</v>
      </c>
      <c r="R65" s="60">
        <v>336.5601386920888</v>
      </c>
      <c r="S65" s="60">
        <v>343.2913414659306</v>
      </c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</row>
    <row r="66" spans="2:34" x14ac:dyDescent="0.3">
      <c r="E66" s="53" t="s">
        <v>64</v>
      </c>
      <c r="F66" s="54"/>
      <c r="G66" s="54" t="s">
        <v>47</v>
      </c>
      <c r="H66" s="54"/>
      <c r="I66" s="54"/>
      <c r="J66" s="61" cm="1">
        <f t="array" ref="J66:S66">_xlfn.ANCHORARRAY( J50)</f>
        <v>153</v>
      </c>
      <c r="K66" s="61">
        <v>156.06</v>
      </c>
      <c r="L66" s="61">
        <v>159.18119999999999</v>
      </c>
      <c r="M66" s="61">
        <v>162.364824</v>
      </c>
      <c r="N66" s="61">
        <v>165.61212048000002</v>
      </c>
      <c r="O66" s="61">
        <v>168.92436288960002</v>
      </c>
      <c r="P66" s="61">
        <v>172.30285014739198</v>
      </c>
      <c r="Q66" s="61">
        <v>175.74890715033982</v>
      </c>
      <c r="R66" s="61">
        <v>179.26388529334662</v>
      </c>
      <c r="S66" s="61">
        <v>182.84916299921358</v>
      </c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</row>
    <row r="67" spans="2:34" x14ac:dyDescent="0.3">
      <c r="E67" s="53" t="s">
        <v>65</v>
      </c>
      <c r="F67" s="54"/>
      <c r="G67" s="54" t="s">
        <v>47</v>
      </c>
      <c r="H67" s="54"/>
      <c r="I67" s="54"/>
      <c r="J67" s="61" cm="1">
        <f t="array" ref="J67:S67">_xlfn.ANCHORARRAY( J47) * -1</f>
        <v>-592.16000000000008</v>
      </c>
      <c r="K67" s="61">
        <v>-355.29600000000005</v>
      </c>
      <c r="L67" s="61">
        <v>-213.17759999999998</v>
      </c>
      <c r="M67" s="61">
        <v>-127.90656000000001</v>
      </c>
      <c r="N67" s="61">
        <v>-76.743936000000005</v>
      </c>
      <c r="O67" s="61">
        <v>-115.115904</v>
      </c>
      <c r="P67" s="61">
        <v>0</v>
      </c>
      <c r="Q67" s="61">
        <v>0</v>
      </c>
      <c r="R67" s="61">
        <v>0</v>
      </c>
      <c r="S67" s="61">
        <v>0</v>
      </c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</row>
    <row r="68" spans="2:34" x14ac:dyDescent="0.3">
      <c r="E68" s="53" t="s">
        <v>66</v>
      </c>
      <c r="F68" s="54"/>
      <c r="G68" s="54" t="s">
        <v>47</v>
      </c>
      <c r="H68" s="54"/>
      <c r="I68" s="54"/>
      <c r="J68" s="61" cm="1">
        <f t="array" ref="J68:S68">_xlfn.ANCHORARRAY(J63) * -1</f>
        <v>-30.6</v>
      </c>
      <c r="K68" s="61">
        <v>-80.172000000000011</v>
      </c>
      <c r="L68" s="61">
        <v>-111.15144000000001</v>
      </c>
      <c r="M68" s="61">
        <v>-131.00006880000001</v>
      </c>
      <c r="N68" s="61">
        <v>-144.195430176</v>
      </c>
      <c r="O68" s="61">
        <v>-153.42455477952001</v>
      </c>
      <c r="P68" s="61">
        <v>-160.30017547511042</v>
      </c>
      <c r="Q68" s="61">
        <v>-165.79045674461261</v>
      </c>
      <c r="R68" s="61">
        <v>-172.53268251950485</v>
      </c>
      <c r="S68" s="61">
        <v>-175.98333616989495</v>
      </c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</row>
    <row r="69" spans="2:34" x14ac:dyDescent="0.3">
      <c r="E69" s="55" t="s">
        <v>63</v>
      </c>
      <c r="F69" s="55"/>
      <c r="G69" s="55" t="s">
        <v>47</v>
      </c>
      <c r="H69" s="55"/>
      <c r="I69" s="55"/>
      <c r="J69" s="62" cm="1">
        <f t="array" ref="J69:S69" xml:space="preserve"> _xlfn.LET(
      _xlpm.opening_balance,    CaseData!$E$16,
      _xlpm.movements,_xlfn.ANCHORARRAY(         Existing!J66) +_xlfn.ANCHORARRAY( Existing!J67) +_xlfn.ANCHORARRAY( Existing!J68),
      _xlfn.SCAN( _xlpm.opening_balance, _xlpm.movements, _xleta.SUM ) )</f>
        <v>1010.64</v>
      </c>
      <c r="K69" s="62">
        <v>731.23199999999997</v>
      </c>
      <c r="L69" s="62">
        <v>566.08416</v>
      </c>
      <c r="M69" s="62">
        <v>469.54235519999997</v>
      </c>
      <c r="N69" s="62">
        <v>414.215109504</v>
      </c>
      <c r="O69" s="62">
        <v>314.59901361408004</v>
      </c>
      <c r="P69" s="62">
        <v>326.60168828636159</v>
      </c>
      <c r="Q69" s="62">
        <v>336.5601386920888</v>
      </c>
      <c r="R69" s="62">
        <v>343.2913414659306</v>
      </c>
      <c r="S69" s="62">
        <v>350.15716829524922</v>
      </c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</row>
    <row r="72" spans="2:34" s="49" customFormat="1" x14ac:dyDescent="0.3">
      <c r="B72" s="50" t="s">
        <v>99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81" fitToHeight="0" orientation="landscape" horizontalDpi="300" verticalDpi="300" r:id="rId1"/>
  <headerFooter>
    <oddFooter>&amp;LFinancial Modeling Institute
CFM October 2026&amp;CPage &amp;P of &amp;N&amp;R&amp;D</oddFooter>
  </headerFooter>
  <rowBreaks count="1" manualBreakCount="1">
    <brk id="43" max="1638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07BF-9CCD-44C6-BB8B-C3B19D84B51C}">
  <sheetPr codeName="Sheet3">
    <pageSetUpPr fitToPage="1"/>
  </sheetPr>
  <dimension ref="B2:Q38"/>
  <sheetViews>
    <sheetView showGridLines="0" tabSelected="1" topLeftCell="A3" workbookViewId="0">
      <selection activeCell="I28" sqref="I28"/>
    </sheetView>
  </sheetViews>
  <sheetFormatPr defaultRowHeight="14.4" x14ac:dyDescent="0.3"/>
  <cols>
    <col min="2" max="2" width="16.5546875" customWidth="1"/>
    <col min="3" max="3" width="15.44140625" bestFit="1" customWidth="1"/>
    <col min="4" max="4" width="2.88671875" customWidth="1"/>
    <col min="5" max="7" width="11.44140625" customWidth="1"/>
    <col min="8" max="8" width="2.88671875" customWidth="1"/>
    <col min="9" max="12" width="11.44140625" customWidth="1"/>
  </cols>
  <sheetData>
    <row r="2" spans="2:17" s="1" customFormat="1" ht="23.4" x14ac:dyDescent="0.3">
      <c r="B2" s="20" t="s">
        <v>31</v>
      </c>
      <c r="C2"/>
      <c r="D2"/>
      <c r="E2"/>
      <c r="F2"/>
      <c r="G2"/>
      <c r="I2"/>
      <c r="J2"/>
      <c r="K2"/>
      <c r="L2"/>
      <c r="M2"/>
      <c r="N2"/>
    </row>
    <row r="3" spans="2:17" s="1" customFormat="1" ht="18" x14ac:dyDescent="0.3">
      <c r="B3" s="21" t="s">
        <v>37</v>
      </c>
      <c r="C3"/>
      <c r="D3"/>
      <c r="E3"/>
      <c r="F3"/>
      <c r="G3"/>
      <c r="I3"/>
      <c r="J3"/>
      <c r="K3"/>
      <c r="L3"/>
      <c r="M3"/>
      <c r="N3"/>
      <c r="O3"/>
      <c r="P3"/>
      <c r="Q3"/>
    </row>
    <row r="4" spans="2:17" s="1" customFormat="1" ht="3" customHeight="1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3">
      <c r="B5" s="22" t="s">
        <v>18</v>
      </c>
    </row>
    <row r="6" spans="2:17" x14ac:dyDescent="0.3">
      <c r="B6" s="22"/>
    </row>
    <row r="7" spans="2:17" x14ac:dyDescent="0.3">
      <c r="B7" s="2" t="s">
        <v>29</v>
      </c>
    </row>
    <row r="8" spans="2:17" x14ac:dyDescent="0.3">
      <c r="B8" s="2"/>
    </row>
    <row r="9" spans="2:17" x14ac:dyDescent="0.3">
      <c r="B9" s="10" t="s">
        <v>20</v>
      </c>
      <c r="C9" s="11">
        <v>46023</v>
      </c>
      <c r="D9" s="23"/>
    </row>
    <row r="11" spans="2:17" x14ac:dyDescent="0.3">
      <c r="B11" s="26"/>
      <c r="C11" s="26"/>
      <c r="D11" s="26"/>
      <c r="E11" s="30" t="s">
        <v>35</v>
      </c>
      <c r="F11" s="31"/>
      <c r="G11" s="31"/>
      <c r="H11" s="26"/>
      <c r="I11" s="30" t="s">
        <v>36</v>
      </c>
      <c r="J11" s="31"/>
      <c r="K11" s="31"/>
      <c r="L11" s="31"/>
    </row>
    <row r="12" spans="2:17" ht="15.9" customHeight="1" x14ac:dyDescent="0.3">
      <c r="B12" s="32" t="s">
        <v>15</v>
      </c>
      <c r="C12" s="24" t="s">
        <v>4</v>
      </c>
      <c r="D12" s="24"/>
      <c r="E12" s="24" t="s">
        <v>33</v>
      </c>
      <c r="F12" s="24" t="s">
        <v>5</v>
      </c>
      <c r="G12" s="24" t="s">
        <v>4</v>
      </c>
      <c r="H12" s="26"/>
      <c r="I12" s="24" t="s">
        <v>6</v>
      </c>
      <c r="J12" s="24" t="s">
        <v>7</v>
      </c>
      <c r="K12" s="24" t="s">
        <v>4</v>
      </c>
      <c r="L12" s="24" t="s">
        <v>1</v>
      </c>
    </row>
    <row r="13" spans="2:17" ht="15.9" customHeight="1" x14ac:dyDescent="0.3">
      <c r="B13" s="33" t="s">
        <v>16</v>
      </c>
      <c r="C13" s="25" t="s">
        <v>9</v>
      </c>
      <c r="D13" s="24"/>
      <c r="E13" s="25" t="s">
        <v>32</v>
      </c>
      <c r="F13" s="25" t="s">
        <v>8</v>
      </c>
      <c r="G13" s="25" t="s">
        <v>34</v>
      </c>
      <c r="H13" s="26"/>
      <c r="I13" s="25" t="s">
        <v>1</v>
      </c>
      <c r="J13" s="25" t="s">
        <v>8</v>
      </c>
      <c r="K13" s="25" t="s">
        <v>34</v>
      </c>
      <c r="L13" s="25" t="s">
        <v>0</v>
      </c>
    </row>
    <row r="14" spans="2:17" ht="15.9" customHeight="1" x14ac:dyDescent="0.3">
      <c r="B14" s="34" t="s">
        <v>10</v>
      </c>
      <c r="C14" s="5" t="s">
        <v>11</v>
      </c>
      <c r="D14" s="5"/>
      <c r="E14" s="4">
        <v>12.4</v>
      </c>
      <c r="F14" s="5" t="s">
        <v>11</v>
      </c>
      <c r="G14" s="5" t="s">
        <v>11</v>
      </c>
      <c r="H14" s="26"/>
      <c r="I14" s="5" t="s">
        <v>11</v>
      </c>
      <c r="J14" s="5" t="s">
        <v>11</v>
      </c>
      <c r="K14" s="5" t="s">
        <v>11</v>
      </c>
      <c r="L14" s="5" t="s">
        <v>11</v>
      </c>
    </row>
    <row r="15" spans="2:17" ht="15.9" customHeight="1" x14ac:dyDescent="0.3">
      <c r="B15" s="34" t="s">
        <v>12</v>
      </c>
      <c r="C15" s="5" t="s">
        <v>13</v>
      </c>
      <c r="D15" s="5"/>
      <c r="E15" s="4">
        <v>863.2</v>
      </c>
      <c r="F15" s="7">
        <v>18</v>
      </c>
      <c r="G15" s="5" t="s">
        <v>11</v>
      </c>
      <c r="H15" s="26"/>
      <c r="I15" s="8">
        <v>65</v>
      </c>
      <c r="J15" s="7">
        <v>25</v>
      </c>
      <c r="K15" s="5" t="s">
        <v>11</v>
      </c>
      <c r="L15" s="18">
        <v>0.02</v>
      </c>
      <c r="N15" s="14"/>
    </row>
    <row r="16" spans="2:17" ht="15.9" customHeight="1" x14ac:dyDescent="0.3">
      <c r="B16" s="35" t="s">
        <v>14</v>
      </c>
      <c r="C16" s="36" t="s">
        <v>30</v>
      </c>
      <c r="D16" s="5"/>
      <c r="E16" s="16">
        <v>1480.4</v>
      </c>
      <c r="F16" s="9">
        <v>6</v>
      </c>
      <c r="G16" s="19">
        <v>0.4</v>
      </c>
      <c r="H16" s="26"/>
      <c r="I16" s="17">
        <v>150</v>
      </c>
      <c r="J16" s="9">
        <v>8</v>
      </c>
      <c r="K16" s="19">
        <v>0.4</v>
      </c>
      <c r="L16" s="19">
        <v>0.02</v>
      </c>
    </row>
    <row r="17" spans="2:12" ht="15.9" customHeight="1" x14ac:dyDescent="0.3">
      <c r="B17" s="37" t="s">
        <v>3</v>
      </c>
      <c r="C17" s="5"/>
      <c r="D17" s="5"/>
      <c r="E17" s="38">
        <f>SUM(E14:E16)</f>
        <v>2356</v>
      </c>
      <c r="F17" s="5"/>
      <c r="G17" s="5"/>
      <c r="H17" s="26"/>
      <c r="I17" s="5"/>
      <c r="J17" s="5"/>
      <c r="K17" s="5"/>
      <c r="L17" s="26"/>
    </row>
    <row r="18" spans="2:12" x14ac:dyDescent="0.3">
      <c r="C18" s="6"/>
      <c r="D18" s="6"/>
    </row>
    <row r="20" spans="2:12" x14ac:dyDescent="0.3">
      <c r="B20" s="2"/>
      <c r="F20" s="2"/>
    </row>
    <row r="21" spans="2:12" x14ac:dyDescent="0.3">
      <c r="B21" s="12" t="s">
        <v>22</v>
      </c>
      <c r="C21" s="3"/>
      <c r="F21" s="12" t="s">
        <v>25</v>
      </c>
      <c r="G21" s="3"/>
      <c r="H21" s="3"/>
      <c r="I21" s="3"/>
    </row>
    <row r="22" spans="2:12" x14ac:dyDescent="0.3">
      <c r="B22" t="s">
        <v>19</v>
      </c>
      <c r="C22" s="27">
        <v>1</v>
      </c>
      <c r="F22" t="s">
        <v>19</v>
      </c>
      <c r="I22" s="27">
        <v>1</v>
      </c>
    </row>
    <row r="23" spans="2:12" x14ac:dyDescent="0.3">
      <c r="B23" t="s">
        <v>17</v>
      </c>
      <c r="C23" s="4">
        <v>320</v>
      </c>
      <c r="F23" t="s">
        <v>26</v>
      </c>
      <c r="I23" s="28">
        <v>0.05</v>
      </c>
    </row>
    <row r="24" spans="2:12" x14ac:dyDescent="0.3">
      <c r="B24" t="s">
        <v>23</v>
      </c>
      <c r="C24" s="13">
        <v>2027</v>
      </c>
      <c r="F24" t="s">
        <v>23</v>
      </c>
      <c r="I24" s="13">
        <v>2026</v>
      </c>
    </row>
    <row r="25" spans="2:12" x14ac:dyDescent="0.3">
      <c r="B25" t="s">
        <v>24</v>
      </c>
      <c r="C25" s="13">
        <v>3</v>
      </c>
      <c r="F25" t="s">
        <v>27</v>
      </c>
      <c r="I25" s="28">
        <v>0.1</v>
      </c>
    </row>
    <row r="26" spans="2:12" x14ac:dyDescent="0.3">
      <c r="B26" t="s">
        <v>9</v>
      </c>
      <c r="C26" s="40" t="s">
        <v>30</v>
      </c>
      <c r="F26" t="s">
        <v>9</v>
      </c>
      <c r="I26" s="41" t="s">
        <v>21</v>
      </c>
    </row>
    <row r="27" spans="2:12" x14ac:dyDescent="0.3">
      <c r="B27" t="s">
        <v>2</v>
      </c>
      <c r="C27" s="15">
        <v>6</v>
      </c>
      <c r="F27" t="s">
        <v>2</v>
      </c>
      <c r="I27" s="15">
        <v>4</v>
      </c>
    </row>
    <row r="28" spans="2:12" x14ac:dyDescent="0.3">
      <c r="B28" s="3" t="s">
        <v>28</v>
      </c>
      <c r="C28" s="39">
        <v>0.4</v>
      </c>
      <c r="F28" s="3" t="s">
        <v>28</v>
      </c>
      <c r="G28" s="3"/>
      <c r="H28" s="3"/>
      <c r="I28" s="29">
        <f>1/I27*2</f>
        <v>0.5</v>
      </c>
    </row>
    <row r="30" spans="2:12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2" spans="2:12" s="42" customFormat="1" x14ac:dyDescent="0.3">
      <c r="B32" s="43" t="s">
        <v>38</v>
      </c>
    </row>
    <row r="34" spans="2:4" x14ac:dyDescent="0.3">
      <c r="B34" t="s">
        <v>39</v>
      </c>
      <c r="C34" s="44" t="s">
        <v>40</v>
      </c>
    </row>
    <row r="35" spans="2:4" x14ac:dyDescent="0.3">
      <c r="B35" t="s">
        <v>41</v>
      </c>
      <c r="C35" s="44" t="s">
        <v>42</v>
      </c>
    </row>
    <row r="36" spans="2:4" x14ac:dyDescent="0.3">
      <c r="B36" t="s">
        <v>43</v>
      </c>
      <c r="C36" s="44">
        <v>10</v>
      </c>
      <c r="D36" t="s">
        <v>44</v>
      </c>
    </row>
    <row r="37" spans="2:4" x14ac:dyDescent="0.3">
      <c r="B37" t="s">
        <v>75</v>
      </c>
      <c r="C37" s="45" t="s">
        <v>76</v>
      </c>
    </row>
    <row r="38" spans="2:4" x14ac:dyDescent="0.3">
      <c r="C38" s="46" t="s">
        <v>77</v>
      </c>
    </row>
  </sheetData>
  <pageMargins left="0.7" right="0.7" top="0.75" bottom="0.75" header="0.3" footer="0.3"/>
  <pageSetup scale="7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14</vt:i4>
      </vt:variant>
    </vt:vector>
  </HeadingPairs>
  <TitlesOfParts>
    <vt:vector size="19" baseType="lpstr">
      <vt:lpstr>Summary</vt:lpstr>
      <vt:lpstr>Overlay</vt:lpstr>
      <vt:lpstr>Expansion</vt:lpstr>
      <vt:lpstr>Existing</vt:lpstr>
      <vt:lpstr>CaseData</vt:lpstr>
      <vt:lpstr>company</vt:lpstr>
      <vt:lpstr>expansion_selector</vt:lpstr>
      <vt:lpstr>overlay_selector</vt:lpstr>
      <vt:lpstr>periods</vt:lpstr>
      <vt:lpstr>Existing!Print_Area</vt:lpstr>
      <vt:lpstr>Expansion!Print_Area</vt:lpstr>
      <vt:lpstr>Overlay!Print_Area</vt:lpstr>
      <vt:lpstr>Summary!Print_Area</vt:lpstr>
      <vt:lpstr>Existing!Print_Titles</vt:lpstr>
      <vt:lpstr>Expansion!Print_Titles</vt:lpstr>
      <vt:lpstr>Overlay!Print_Titles</vt:lpstr>
      <vt:lpstr>Summary!Print_Titles</vt:lpstr>
      <vt:lpstr>start_date</vt:lpstr>
      <vt:lpstr>switch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2018-10-03T21:23:44Z</dcterms:created>
  <dcterms:modified xsi:type="dcterms:W3CDTF">2026-07-26T21:07:33Z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2026-07-15T16:42:01Z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730440d3-3eca-4104-a770-db2395298a11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