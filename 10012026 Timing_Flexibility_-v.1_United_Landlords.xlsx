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124226"/>
  <xr:revisionPtr revIDLastSave="718" documentId="13_ncr:1_{8880B1EC-C7E0-427D-9C33-7F1D5D44B031}" xr6:coauthVersionLast="47" xr6:coauthVersionMax="47" xr10:uidLastSave="{98304A32-06F9-45A1-A8D9-8F308C492A0E}"/>
  <bookViews>
    <workbookView xWindow="28692" yWindow="-108" windowWidth="29016" windowHeight="16416" xr2:uid="{00000000-000D-0000-FFFF-FFFF00000000}"/>
  </bookViews>
  <sheets>
    <sheet name="Calculations" sheetId="45" r:id="rId1"/>
    <sheet name="CaseData" sheetId="43" r:id="rId2"/>
    <sheet name="CaseSolution" sheetId="44" r:id="rId3"/>
  </sheets>
  <definedNames>
    <definedName name="company">CaseData!$L$9</definedName>
    <definedName name="end_date">CaseData!$N$7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months">Calculations!$F$10</definedName>
    <definedName name="_xlnm.Print_Area" localSheetId="0">Calculations!$A$1:$AJ$126</definedName>
    <definedName name="start_date">CaseData!$L$6</definedName>
    <definedName name="topic">"CFM Topic: " &amp; CaseData!$L$10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" i="45" l="1" a="1"/>
  <c r="J100" i="45" a="1"/>
  <c r="J69" i="45" a="1"/>
  <c r="H222" i="44"/>
  <c r="F8" i="45"/>
  <c r="F7" i="45"/>
  <c r="F10" i="45"/>
  <c r="J11" i="45" a="1"/>
  <c r="J3" i="45" a="1"/>
  <c r="J15" i="43"/>
  <c r="J16" i="43"/>
  <c r="J17" i="43"/>
  <c r="G119" i="45"/>
  <c r="E119" i="45"/>
  <c r="E84" i="45" a="1"/>
  <c r="E17" i="45" a="1"/>
  <c r="G116" i="45"/>
  <c r="E116" i="45"/>
  <c r="G120" i="45"/>
  <c r="E120" i="45"/>
  <c r="G118" i="45"/>
  <c r="E118" i="45"/>
  <c r="G117" i="45"/>
  <c r="E117" i="45"/>
  <c r="G112" i="45"/>
  <c r="E112" i="45"/>
  <c r="E111" i="45"/>
  <c r="E39" i="45" a="1"/>
  <c r="E54" i="45" a="1"/>
  <c r="E27" i="45" a="1"/>
  <c r="E69" i="45" a="1"/>
  <c r="A2" i="45" a="1"/>
  <c r="A1" i="45" a="1"/>
  <c r="D222" i="44"/>
  <c r="G2" i="44"/>
  <c r="G3" i="44"/>
  <c r="H2" i="44"/>
  <c r="H3" i="44"/>
  <c r="I2" i="44"/>
  <c r="I3" i="44"/>
  <c r="C25" i="44"/>
  <c r="D25" i="44"/>
  <c r="G205" i="44"/>
  <c r="G206" i="44"/>
  <c r="G209" i="44"/>
  <c r="G210" i="44"/>
  <c r="H205" i="44"/>
  <c r="H206" i="44"/>
  <c r="H209" i="44"/>
  <c r="H210" i="44"/>
  <c r="H25" i="44"/>
  <c r="C26" i="44"/>
  <c r="D26" i="44"/>
  <c r="H26" i="44"/>
  <c r="C27" i="44"/>
  <c r="D27" i="44"/>
  <c r="H27" i="44"/>
  <c r="C28" i="44"/>
  <c r="D28" i="44"/>
  <c r="H28" i="44"/>
  <c r="C136" i="44"/>
  <c r="I205" i="44"/>
  <c r="I206" i="44"/>
  <c r="I209" i="44"/>
  <c r="I210" i="44"/>
  <c r="I25" i="44"/>
  <c r="I26" i="44"/>
  <c r="I27" i="44"/>
  <c r="I28" i="44"/>
  <c r="G25" i="44"/>
  <c r="G26" i="44"/>
  <c r="G27" i="44"/>
  <c r="G28" i="44"/>
  <c r="D227" i="44"/>
  <c r="D228" i="44"/>
  <c r="D229" i="44"/>
  <c r="D230" i="44"/>
  <c r="D231" i="44"/>
  <c r="D232" i="44"/>
  <c r="D233" i="44"/>
  <c r="D234" i="44"/>
  <c r="D235" i="44"/>
  <c r="D226" i="44"/>
  <c r="C222" i="44"/>
  <c r="AD213" i="44"/>
  <c r="AE213" i="44"/>
  <c r="AF213" i="44"/>
  <c r="AG213" i="44"/>
  <c r="AH213" i="44"/>
  <c r="AI213" i="44"/>
  <c r="AJ213" i="44"/>
  <c r="AK213" i="44"/>
  <c r="AL213" i="44"/>
  <c r="AM213" i="44"/>
  <c r="AN213" i="44"/>
  <c r="AO213" i="44"/>
  <c r="AP213" i="44"/>
  <c r="AQ213" i="44"/>
  <c r="AR213" i="44"/>
  <c r="AS213" i="44"/>
  <c r="AT213" i="44"/>
  <c r="AU213" i="44"/>
  <c r="AV213" i="44"/>
  <c r="AW213" i="44"/>
  <c r="AX213" i="44"/>
  <c r="AY213" i="44"/>
  <c r="AZ213" i="44"/>
  <c r="BA213" i="44"/>
  <c r="BB213" i="44"/>
  <c r="BC213" i="44"/>
  <c r="BD213" i="44"/>
  <c r="BE213" i="44"/>
  <c r="BF213" i="44"/>
  <c r="BG213" i="44"/>
  <c r="BH213" i="44"/>
  <c r="BI213" i="44"/>
  <c r="BJ213" i="44"/>
  <c r="BK213" i="44"/>
  <c r="BL213" i="44"/>
  <c r="BM213" i="44"/>
  <c r="BN213" i="44"/>
  <c r="BO213" i="44"/>
  <c r="BP213" i="44"/>
  <c r="BQ213" i="44"/>
  <c r="BR213" i="44"/>
  <c r="BS213" i="44"/>
  <c r="BT213" i="44"/>
  <c r="BU213" i="44"/>
  <c r="BV213" i="44"/>
  <c r="BW213" i="44"/>
  <c r="BX213" i="44"/>
  <c r="BY213" i="44"/>
  <c r="BZ213" i="44"/>
  <c r="CA213" i="44"/>
  <c r="CB213" i="44"/>
  <c r="CC213" i="44"/>
  <c r="CD213" i="44"/>
  <c r="CE213" i="44"/>
  <c r="CF213" i="44"/>
  <c r="CG213" i="44"/>
  <c r="CH213" i="44"/>
  <c r="CI213" i="44"/>
  <c r="CJ213" i="44"/>
  <c r="CK213" i="44"/>
  <c r="CL213" i="44"/>
  <c r="CM213" i="44"/>
  <c r="CN213" i="44"/>
  <c r="CO213" i="44"/>
  <c r="CP213" i="44"/>
  <c r="CQ213" i="44"/>
  <c r="CR213" i="44"/>
  <c r="CS213" i="44"/>
  <c r="CT213" i="44"/>
  <c r="CU213" i="44"/>
  <c r="CV213" i="44"/>
  <c r="CW213" i="44"/>
  <c r="CX213" i="44"/>
  <c r="CY213" i="44"/>
  <c r="CZ213" i="44"/>
  <c r="DA213" i="44"/>
  <c r="DB213" i="44"/>
  <c r="DC213" i="44"/>
  <c r="DD213" i="44"/>
  <c r="DE213" i="44"/>
  <c r="DF213" i="44"/>
  <c r="DG213" i="44"/>
  <c r="DH213" i="44"/>
  <c r="DI213" i="44"/>
  <c r="DJ213" i="44"/>
  <c r="DK213" i="44"/>
  <c r="DL213" i="44"/>
  <c r="DM213" i="44"/>
  <c r="DN213" i="44"/>
  <c r="DO213" i="44"/>
  <c r="DP213" i="44"/>
  <c r="DQ213" i="44"/>
  <c r="DR213" i="44"/>
  <c r="DS213" i="44"/>
  <c r="DT213" i="44"/>
  <c r="DU213" i="44"/>
  <c r="DV213" i="44"/>
  <c r="R213" i="44"/>
  <c r="L213" i="44"/>
  <c r="G213" i="44"/>
  <c r="N136" i="44"/>
  <c r="D162" i="44"/>
  <c r="D175" i="44"/>
  <c r="K136" i="44"/>
  <c r="I136" i="44"/>
  <c r="F136" i="44"/>
  <c r="N135" i="44"/>
  <c r="D161" i="44"/>
  <c r="D174" i="44"/>
  <c r="K135" i="44"/>
  <c r="I135" i="44"/>
  <c r="F135" i="44"/>
  <c r="C135" i="44"/>
  <c r="N134" i="44"/>
  <c r="D160" i="44"/>
  <c r="D173" i="44"/>
  <c r="K134" i="44"/>
  <c r="I134" i="44"/>
  <c r="F134" i="44"/>
  <c r="C134" i="44"/>
  <c r="N133" i="44"/>
  <c r="D159" i="44"/>
  <c r="D172" i="44"/>
  <c r="K133" i="44"/>
  <c r="I133" i="44"/>
  <c r="F133" i="44"/>
  <c r="C133" i="44"/>
  <c r="N132" i="44"/>
  <c r="D158" i="44"/>
  <c r="D171" i="44"/>
  <c r="K132" i="44"/>
  <c r="I132" i="44"/>
  <c r="F132" i="44"/>
  <c r="C132" i="44"/>
  <c r="N131" i="44"/>
  <c r="D157" i="44"/>
  <c r="D170" i="44"/>
  <c r="K131" i="44"/>
  <c r="I131" i="44"/>
  <c r="F131" i="44"/>
  <c r="C131" i="44"/>
  <c r="N130" i="44"/>
  <c r="D156" i="44"/>
  <c r="D169" i="44"/>
  <c r="K130" i="44"/>
  <c r="I130" i="44"/>
  <c r="F130" i="44"/>
  <c r="C130" i="44"/>
  <c r="N129" i="44"/>
  <c r="D155" i="44"/>
  <c r="D168" i="44"/>
  <c r="K129" i="44"/>
  <c r="I129" i="44"/>
  <c r="F129" i="44"/>
  <c r="C129" i="44"/>
  <c r="N128" i="44"/>
  <c r="D154" i="44"/>
  <c r="D167" i="44"/>
  <c r="K128" i="44"/>
  <c r="I128" i="44"/>
  <c r="F128" i="44"/>
  <c r="C128" i="44"/>
  <c r="N127" i="44"/>
  <c r="D153" i="44"/>
  <c r="D166" i="44"/>
  <c r="K127" i="44"/>
  <c r="I127" i="44"/>
  <c r="F127" i="44"/>
  <c r="C127" i="44"/>
  <c r="C105" i="44"/>
  <c r="C104" i="44"/>
  <c r="C103" i="44"/>
  <c r="C102" i="44"/>
  <c r="C101" i="44"/>
  <c r="C100" i="44"/>
  <c r="C99" i="44"/>
  <c r="C98" i="44"/>
  <c r="C97" i="44"/>
  <c r="C96" i="44"/>
  <c r="C70" i="44"/>
  <c r="C65" i="44"/>
  <c r="C64" i="44"/>
  <c r="C63" i="44"/>
  <c r="C62" i="44"/>
  <c r="C61" i="44"/>
  <c r="C60" i="44"/>
  <c r="C59" i="44"/>
  <c r="C58" i="44"/>
  <c r="C57" i="44"/>
  <c r="C56" i="44"/>
  <c r="C53" i="44"/>
  <c r="C52" i="44"/>
  <c r="C51" i="44"/>
  <c r="C50" i="44"/>
  <c r="C49" i="44"/>
  <c r="C41" i="44"/>
  <c r="B41" i="44"/>
  <c r="C40" i="44"/>
  <c r="B40" i="44"/>
  <c r="C39" i="44"/>
  <c r="B39" i="44"/>
  <c r="C38" i="44"/>
  <c r="B38" i="44"/>
  <c r="C37" i="44"/>
  <c r="B37" i="44"/>
  <c r="C36" i="44"/>
  <c r="B36" i="44"/>
  <c r="C35" i="44"/>
  <c r="B35" i="44"/>
  <c r="C34" i="44"/>
  <c r="B34" i="44"/>
  <c r="C33" i="44"/>
  <c r="B33" i="44"/>
  <c r="C32" i="44"/>
  <c r="B32" i="44"/>
  <c r="D29" i="44"/>
  <c r="C29" i="44"/>
  <c r="B29" i="44"/>
  <c r="B53" i="44"/>
  <c r="B79" i="44"/>
  <c r="B28" i="44"/>
  <c r="B52" i="44"/>
  <c r="B78" i="44"/>
  <c r="B27" i="44"/>
  <c r="B51" i="44"/>
  <c r="B77" i="44"/>
  <c r="B26" i="44"/>
  <c r="B50" i="44"/>
  <c r="B76" i="44"/>
  <c r="B25" i="44"/>
  <c r="B49" i="44"/>
  <c r="B75" i="44"/>
  <c r="G4" i="44"/>
  <c r="N54" i="43"/>
  <c r="M54" i="43"/>
  <c r="L54" i="43"/>
  <c r="K54" i="43"/>
  <c r="J54" i="43"/>
  <c r="I54" i="43"/>
  <c r="H54" i="43"/>
  <c r="G54" i="43"/>
  <c r="F54" i="43"/>
  <c r="E54" i="43"/>
  <c r="D54" i="43"/>
  <c r="C54" i="43"/>
  <c r="B54" i="43"/>
  <c r="F3" i="44"/>
  <c r="H4" i="44"/>
  <c r="B129" i="44"/>
  <c r="B142" i="44"/>
  <c r="B155" i="44"/>
  <c r="B58" i="44"/>
  <c r="B84" i="44"/>
  <c r="B98" i="44"/>
  <c r="B113" i="44"/>
  <c r="B133" i="44"/>
  <c r="B146" i="44"/>
  <c r="B159" i="44"/>
  <c r="B62" i="44"/>
  <c r="B88" i="44"/>
  <c r="B102" i="44"/>
  <c r="B117" i="44"/>
  <c r="B130" i="44"/>
  <c r="B143" i="44"/>
  <c r="B156" i="44"/>
  <c r="B59" i="44"/>
  <c r="B85" i="44"/>
  <c r="B99" i="44"/>
  <c r="B114" i="44"/>
  <c r="B134" i="44"/>
  <c r="B147" i="44"/>
  <c r="B160" i="44"/>
  <c r="B63" i="44"/>
  <c r="B89" i="44"/>
  <c r="B103" i="44"/>
  <c r="B118" i="44"/>
  <c r="B127" i="44"/>
  <c r="B140" i="44"/>
  <c r="B153" i="44"/>
  <c r="B56" i="44"/>
  <c r="B82" i="44"/>
  <c r="B96" i="44"/>
  <c r="B111" i="44"/>
  <c r="B131" i="44"/>
  <c r="B144" i="44"/>
  <c r="B157" i="44"/>
  <c r="B60" i="44"/>
  <c r="B86" i="44"/>
  <c r="B100" i="44"/>
  <c r="B115" i="44"/>
  <c r="B135" i="44"/>
  <c r="B148" i="44"/>
  <c r="B161" i="44"/>
  <c r="B64" i="44"/>
  <c r="B90" i="44"/>
  <c r="B104" i="44"/>
  <c r="B119" i="44"/>
  <c r="B128" i="44"/>
  <c r="B141" i="44"/>
  <c r="B154" i="44"/>
  <c r="B57" i="44"/>
  <c r="B83" i="44"/>
  <c r="B97" i="44"/>
  <c r="B112" i="44"/>
  <c r="B132" i="44"/>
  <c r="B145" i="44"/>
  <c r="B158" i="44"/>
  <c r="B61" i="44"/>
  <c r="B87" i="44"/>
  <c r="B101" i="44"/>
  <c r="B116" i="44"/>
  <c r="B136" i="44"/>
  <c r="B149" i="44"/>
  <c r="B162" i="44"/>
  <c r="B65" i="44"/>
  <c r="B91" i="44"/>
  <c r="B105" i="44"/>
  <c r="B120" i="44"/>
  <c r="B188" i="44"/>
  <c r="B201" i="44"/>
  <c r="B175" i="44"/>
  <c r="B183" i="44"/>
  <c r="B196" i="44"/>
  <c r="B170" i="44"/>
  <c r="B184" i="44"/>
  <c r="B197" i="44"/>
  <c r="B171" i="44"/>
  <c r="B180" i="44"/>
  <c r="B193" i="44"/>
  <c r="B167" i="44"/>
  <c r="B185" i="44"/>
  <c r="B198" i="44"/>
  <c r="B172" i="44"/>
  <c r="B187" i="44"/>
  <c r="B200" i="44"/>
  <c r="B174" i="44"/>
  <c r="I4" i="44"/>
  <c r="B181" i="44"/>
  <c r="B194" i="44"/>
  <c r="B168" i="44"/>
  <c r="B166" i="44"/>
  <c r="B179" i="44"/>
  <c r="B192" i="44"/>
  <c r="B186" i="44"/>
  <c r="B199" i="44"/>
  <c r="B173" i="44"/>
  <c r="B182" i="44"/>
  <c r="B195" i="44"/>
  <c r="B169" i="44"/>
  <c r="J4" i="44"/>
  <c r="G208" i="44"/>
  <c r="G212" i="44"/>
  <c r="G207" i="44"/>
  <c r="G211" i="44"/>
  <c r="G79" i="44"/>
  <c r="G78" i="44"/>
  <c r="G77" i="44"/>
  <c r="G75" i="44"/>
  <c r="G76" i="44"/>
  <c r="G50" i="44"/>
  <c r="G49" i="44"/>
  <c r="G52" i="44"/>
  <c r="G53" i="44"/>
  <c r="G51" i="44"/>
  <c r="K4" i="44"/>
  <c r="L4" i="44"/>
  <c r="G48" i="44"/>
  <c r="H208" i="44"/>
  <c r="H212" i="44"/>
  <c r="H207" i="44"/>
  <c r="H211" i="44"/>
  <c r="G74" i="44"/>
  <c r="J2" i="44"/>
  <c r="H213" i="44"/>
  <c r="I213" i="44"/>
  <c r="J213" i="44"/>
  <c r="K213" i="44"/>
  <c r="M4" i="44"/>
  <c r="H78" i="44"/>
  <c r="H76" i="44"/>
  <c r="H79" i="44"/>
  <c r="H75" i="44"/>
  <c r="H77" i="44"/>
  <c r="H53" i="44"/>
  <c r="H49" i="44"/>
  <c r="H50" i="44"/>
  <c r="H52" i="44"/>
  <c r="H51" i="44"/>
  <c r="H48" i="44"/>
  <c r="H74" i="44"/>
  <c r="N4" i="44"/>
  <c r="J209" i="44"/>
  <c r="I208" i="44"/>
  <c r="I212" i="44"/>
  <c r="I207" i="44"/>
  <c r="I211" i="44"/>
  <c r="O4" i="44"/>
  <c r="I79" i="44"/>
  <c r="I78" i="44"/>
  <c r="I77" i="44"/>
  <c r="I76" i="44"/>
  <c r="I75" i="44"/>
  <c r="I53" i="44"/>
  <c r="I49" i="44"/>
  <c r="I50" i="44"/>
  <c r="I51" i="44"/>
  <c r="I52" i="44"/>
  <c r="P4" i="44"/>
  <c r="I48" i="44"/>
  <c r="I74" i="44"/>
  <c r="Q4" i="44"/>
  <c r="R4" i="44"/>
  <c r="M213" i="44"/>
  <c r="N213" i="44"/>
  <c r="O213" i="44"/>
  <c r="P213" i="44"/>
  <c r="Q213" i="44"/>
  <c r="S4" i="44"/>
  <c r="T4" i="44"/>
  <c r="U4" i="44"/>
  <c r="V4" i="44"/>
  <c r="W4" i="44"/>
  <c r="X4" i="44"/>
  <c r="Y4" i="44"/>
  <c r="Z4" i="44"/>
  <c r="AA4" i="44"/>
  <c r="AB4" i="44"/>
  <c r="AC4" i="44"/>
  <c r="AD4" i="44"/>
  <c r="S213" i="44"/>
  <c r="T213" i="44"/>
  <c r="U213" i="44"/>
  <c r="V213" i="44"/>
  <c r="W213" i="44"/>
  <c r="X213" i="44"/>
  <c r="Y213" i="44"/>
  <c r="Z213" i="44"/>
  <c r="AA213" i="44"/>
  <c r="AB213" i="44"/>
  <c r="AC213" i="44"/>
  <c r="AE4" i="44"/>
  <c r="AF4" i="44"/>
  <c r="AG4" i="44"/>
  <c r="AH4" i="44"/>
  <c r="AI4" i="44"/>
  <c r="AJ4" i="44"/>
  <c r="AK4" i="44"/>
  <c r="AL4" i="44"/>
  <c r="AM4" i="44"/>
  <c r="AN4" i="44"/>
  <c r="AO4" i="44"/>
  <c r="AP4" i="44"/>
  <c r="AQ4" i="44"/>
  <c r="AR4" i="44"/>
  <c r="AS4" i="44"/>
  <c r="AT4" i="44"/>
  <c r="AU4" i="44"/>
  <c r="AV4" i="44"/>
  <c r="AW4" i="44"/>
  <c r="AX4" i="44"/>
  <c r="AY4" i="44"/>
  <c r="AZ4" i="44"/>
  <c r="BA4" i="44"/>
  <c r="BB4" i="44"/>
  <c r="BC4" i="44"/>
  <c r="BD4" i="44"/>
  <c r="BE4" i="44"/>
  <c r="BF4" i="44"/>
  <c r="BG4" i="44"/>
  <c r="BH4" i="44"/>
  <c r="BI4" i="44"/>
  <c r="BJ4" i="44"/>
  <c r="BK4" i="44"/>
  <c r="BL4" i="44"/>
  <c r="BM4" i="44"/>
  <c r="BN4" i="44"/>
  <c r="BO4" i="44"/>
  <c r="BP4" i="44"/>
  <c r="BQ4" i="44"/>
  <c r="BR4" i="44"/>
  <c r="BS4" i="44"/>
  <c r="BT4" i="44"/>
  <c r="BU4" i="44"/>
  <c r="BV4" i="44"/>
  <c r="BW4" i="44"/>
  <c r="BX4" i="44"/>
  <c r="BY4" i="44"/>
  <c r="BZ4" i="44"/>
  <c r="CA4" i="44"/>
  <c r="CB4" i="44"/>
  <c r="CC4" i="44"/>
  <c r="CD4" i="44"/>
  <c r="CE4" i="44"/>
  <c r="CF4" i="44"/>
  <c r="CG4" i="44"/>
  <c r="CH4" i="44"/>
  <c r="CI4" i="44"/>
  <c r="CJ4" i="44"/>
  <c r="CK4" i="44"/>
  <c r="CL4" i="44"/>
  <c r="CM4" i="44"/>
  <c r="CN4" i="44"/>
  <c r="CO4" i="44"/>
  <c r="CP4" i="44"/>
  <c r="CQ4" i="44"/>
  <c r="CR4" i="44"/>
  <c r="CS4" i="44"/>
  <c r="CT4" i="44"/>
  <c r="CU4" i="44"/>
  <c r="CV4" i="44"/>
  <c r="CW4" i="44"/>
  <c r="CX4" i="44"/>
  <c r="CY4" i="44"/>
  <c r="CZ4" i="44"/>
  <c r="DA4" i="44"/>
  <c r="DB4" i="44"/>
  <c r="DC4" i="44"/>
  <c r="DD4" i="44"/>
  <c r="DE4" i="44"/>
  <c r="DF4" i="44"/>
  <c r="DG4" i="44"/>
  <c r="DH4" i="44"/>
  <c r="DI4" i="44"/>
  <c r="DJ4" i="44"/>
  <c r="DK4" i="44"/>
  <c r="DL4" i="44"/>
  <c r="DM4" i="44"/>
  <c r="DN4" i="44"/>
  <c r="DO4" i="44"/>
  <c r="DP4" i="44"/>
  <c r="DQ4" i="44"/>
  <c r="DR4" i="44"/>
  <c r="DS4" i="44"/>
  <c r="DT4" i="44"/>
  <c r="DU4" i="44"/>
  <c r="DV4" i="44"/>
  <c r="J3" i="44"/>
  <c r="K2" i="44"/>
  <c r="K3" i="44"/>
  <c r="L2" i="44"/>
  <c r="L3" i="44"/>
  <c r="M2" i="44"/>
  <c r="M3" i="44"/>
  <c r="N2" i="44"/>
  <c r="N3" i="44"/>
  <c r="O2" i="44"/>
  <c r="O3" i="44"/>
  <c r="P2" i="44"/>
  <c r="P3" i="44"/>
  <c r="Q2" i="44"/>
  <c r="Q3" i="44"/>
  <c r="R2" i="44"/>
  <c r="R3" i="44"/>
  <c r="S2" i="44"/>
  <c r="S3" i="44"/>
  <c r="T2" i="44"/>
  <c r="T3" i="44"/>
  <c r="U2" i="44"/>
  <c r="U3" i="44"/>
  <c r="V2" i="44"/>
  <c r="V3" i="44"/>
  <c r="W2" i="44"/>
  <c r="W3" i="44"/>
  <c r="X2" i="44"/>
  <c r="X3" i="44"/>
  <c r="Y2" i="44"/>
  <c r="Y3" i="44"/>
  <c r="Z2" i="44"/>
  <c r="Z3" i="44"/>
  <c r="AA2" i="44"/>
  <c r="AA3" i="44"/>
  <c r="AB2" i="44"/>
  <c r="AB3" i="44"/>
  <c r="AC2" i="44"/>
  <c r="AC3" i="44"/>
  <c r="AD2" i="44"/>
  <c r="AD3" i="44"/>
  <c r="AE2" i="44"/>
  <c r="AE3" i="44"/>
  <c r="AF2" i="44"/>
  <c r="AF3" i="44"/>
  <c r="AG2" i="44"/>
  <c r="AG3" i="44"/>
  <c r="AH2" i="44"/>
  <c r="AH3" i="44"/>
  <c r="AI2" i="44"/>
  <c r="AI3" i="44"/>
  <c r="AJ2" i="44"/>
  <c r="AJ3" i="44"/>
  <c r="AK2" i="44"/>
  <c r="AK3" i="44"/>
  <c r="AL2" i="44"/>
  <c r="AL3" i="44"/>
  <c r="AM2" i="44"/>
  <c r="AM3" i="44"/>
  <c r="AN2" i="44"/>
  <c r="AN3" i="44"/>
  <c r="AO2" i="44"/>
  <c r="AO3" i="44"/>
  <c r="AP2" i="44"/>
  <c r="AP3" i="44"/>
  <c r="AQ2" i="44"/>
  <c r="AQ3" i="44"/>
  <c r="AR2" i="44"/>
  <c r="AR3" i="44"/>
  <c r="AS2" i="44"/>
  <c r="AS3" i="44"/>
  <c r="AT2" i="44"/>
  <c r="AT3" i="44"/>
  <c r="AU2" i="44"/>
  <c r="AU3" i="44"/>
  <c r="AV2" i="44"/>
  <c r="AV3" i="44"/>
  <c r="AW2" i="44"/>
  <c r="AW3" i="44"/>
  <c r="AX2" i="44"/>
  <c r="AX3" i="44"/>
  <c r="AY2" i="44"/>
  <c r="AY3" i="44"/>
  <c r="AZ2" i="44"/>
  <c r="AZ3" i="44"/>
  <c r="BA2" i="44"/>
  <c r="BA3" i="44"/>
  <c r="BB2" i="44"/>
  <c r="BB3" i="44"/>
  <c r="BC2" i="44"/>
  <c r="BC3" i="44"/>
  <c r="BD2" i="44"/>
  <c r="BD3" i="44"/>
  <c r="BE2" i="44"/>
  <c r="BE3" i="44"/>
  <c r="BF2" i="44"/>
  <c r="BF3" i="44"/>
  <c r="BG2" i="44"/>
  <c r="BG3" i="44"/>
  <c r="BH2" i="44"/>
  <c r="BH3" i="44"/>
  <c r="BI2" i="44"/>
  <c r="BI3" i="44"/>
  <c r="BJ2" i="44"/>
  <c r="BJ3" i="44"/>
  <c r="BK2" i="44"/>
  <c r="BK3" i="44"/>
  <c r="BL2" i="44"/>
  <c r="BL3" i="44"/>
  <c r="BM2" i="44"/>
  <c r="BM3" i="44"/>
  <c r="BN2" i="44"/>
  <c r="BN3" i="44"/>
  <c r="BO2" i="44"/>
  <c r="BO3" i="44"/>
  <c r="BP2" i="44"/>
  <c r="BP3" i="44"/>
  <c r="BQ2" i="44"/>
  <c r="BQ3" i="44"/>
  <c r="BR2" i="44"/>
  <c r="BR3" i="44"/>
  <c r="BS2" i="44"/>
  <c r="BS3" i="44"/>
  <c r="BT2" i="44"/>
  <c r="BT3" i="44"/>
  <c r="BU2" i="44"/>
  <c r="BU3" i="44"/>
  <c r="BV2" i="44"/>
  <c r="BV3" i="44"/>
  <c r="BW2" i="44"/>
  <c r="BW3" i="44"/>
  <c r="BX2" i="44"/>
  <c r="BX3" i="44"/>
  <c r="BY2" i="44"/>
  <c r="BY3" i="44"/>
  <c r="BZ2" i="44"/>
  <c r="BZ3" i="44"/>
  <c r="CA2" i="44"/>
  <c r="CA3" i="44"/>
  <c r="CB2" i="44"/>
  <c r="CB3" i="44"/>
  <c r="CC2" i="44"/>
  <c r="CC3" i="44"/>
  <c r="CD2" i="44"/>
  <c r="CD3" i="44"/>
  <c r="CE2" i="44"/>
  <c r="CE3" i="44"/>
  <c r="CF2" i="44"/>
  <c r="CF3" i="44"/>
  <c r="CG2" i="44"/>
  <c r="CG3" i="44"/>
  <c r="CH2" i="44"/>
  <c r="CH3" i="44"/>
  <c r="CI2" i="44"/>
  <c r="CI3" i="44"/>
  <c r="CJ2" i="44"/>
  <c r="CJ3" i="44"/>
  <c r="CK2" i="44"/>
  <c r="CK3" i="44"/>
  <c r="CL2" i="44"/>
  <c r="CL3" i="44"/>
  <c r="CM2" i="44"/>
  <c r="CM3" i="44"/>
  <c r="CN2" i="44"/>
  <c r="CN3" i="44"/>
  <c r="CO2" i="44"/>
  <c r="CO3" i="44"/>
  <c r="CP2" i="44"/>
  <c r="CP3" i="44"/>
  <c r="CQ2" i="44"/>
  <c r="CQ3" i="44"/>
  <c r="CR2" i="44"/>
  <c r="CR3" i="44"/>
  <c r="CS2" i="44"/>
  <c r="CS3" i="44"/>
  <c r="CT2" i="44"/>
  <c r="CT3" i="44"/>
  <c r="CU2" i="44"/>
  <c r="CU3" i="44"/>
  <c r="CV2" i="44"/>
  <c r="CV3" i="44"/>
  <c r="CW2" i="44"/>
  <c r="CW3" i="44"/>
  <c r="CX2" i="44"/>
  <c r="CX3" i="44"/>
  <c r="CY2" i="44"/>
  <c r="CY3" i="44"/>
  <c r="CZ2" i="44"/>
  <c r="CZ3" i="44"/>
  <c r="DA2" i="44"/>
  <c r="DA3" i="44"/>
  <c r="DB2" i="44"/>
  <c r="DB3" i="44"/>
  <c r="DC2" i="44"/>
  <c r="DC3" i="44"/>
  <c r="DD2" i="44"/>
  <c r="DD3" i="44"/>
  <c r="DE2" i="44"/>
  <c r="DE3" i="44"/>
  <c r="DF2" i="44"/>
  <c r="DF3" i="44"/>
  <c r="DG2" i="44"/>
  <c r="DG3" i="44"/>
  <c r="DH2" i="44"/>
  <c r="DH3" i="44"/>
  <c r="DI2" i="44"/>
  <c r="DI3" i="44"/>
  <c r="DJ2" i="44"/>
  <c r="DJ3" i="44"/>
  <c r="DK2" i="44"/>
  <c r="DK3" i="44"/>
  <c r="DL2" i="44"/>
  <c r="DL3" i="44"/>
  <c r="DM2" i="44"/>
  <c r="DM3" i="44"/>
  <c r="DN2" i="44"/>
  <c r="DN3" i="44"/>
  <c r="DO2" i="44"/>
  <c r="DO3" i="44"/>
  <c r="DP2" i="44"/>
  <c r="DP3" i="44"/>
  <c r="DQ2" i="44"/>
  <c r="DQ3" i="44"/>
  <c r="DR2" i="44"/>
  <c r="DR3" i="44"/>
  <c r="DS2" i="44"/>
  <c r="DS3" i="44"/>
  <c r="DT2" i="44"/>
  <c r="DT3" i="44"/>
  <c r="DU2" i="44"/>
  <c r="DU3" i="44"/>
  <c r="DV2" i="44"/>
  <c r="DV3" i="44"/>
  <c r="J205" i="44"/>
  <c r="J206" i="44"/>
  <c r="J210" i="44"/>
  <c r="K205" i="44"/>
  <c r="K206" i="44"/>
  <c r="K209" i="44"/>
  <c r="K210" i="44"/>
  <c r="L205" i="44"/>
  <c r="L206" i="44"/>
  <c r="L209" i="44"/>
  <c r="L210" i="44"/>
  <c r="M205" i="44"/>
  <c r="M206" i="44"/>
  <c r="M209" i="44"/>
  <c r="M210" i="44"/>
  <c r="N205" i="44"/>
  <c r="N206" i="44"/>
  <c r="N209" i="44"/>
  <c r="N210" i="44"/>
  <c r="O205" i="44"/>
  <c r="O206" i="44"/>
  <c r="O209" i="44"/>
  <c r="O210" i="44"/>
  <c r="P205" i="44"/>
  <c r="P206" i="44"/>
  <c r="P209" i="44"/>
  <c r="P210" i="44"/>
  <c r="Q205" i="44"/>
  <c r="Q206" i="44"/>
  <c r="Q209" i="44"/>
  <c r="Q210" i="44"/>
  <c r="R205" i="44"/>
  <c r="R206" i="44"/>
  <c r="R209" i="44"/>
  <c r="R210" i="44"/>
  <c r="S205" i="44"/>
  <c r="S206" i="44"/>
  <c r="S209" i="44"/>
  <c r="S210" i="44"/>
  <c r="T205" i="44"/>
  <c r="T206" i="44"/>
  <c r="T209" i="44"/>
  <c r="T210" i="44"/>
  <c r="U205" i="44"/>
  <c r="U206" i="44"/>
  <c r="U209" i="44"/>
  <c r="U210" i="44"/>
  <c r="V205" i="44"/>
  <c r="V206" i="44"/>
  <c r="V209" i="44"/>
  <c r="V210" i="44"/>
  <c r="W205" i="44"/>
  <c r="W206" i="44"/>
  <c r="W209" i="44"/>
  <c r="W210" i="44"/>
  <c r="X205" i="44"/>
  <c r="X206" i="44"/>
  <c r="X209" i="44"/>
  <c r="X210" i="44"/>
  <c r="Y205" i="44"/>
  <c r="Y206" i="44"/>
  <c r="Y209" i="44"/>
  <c r="Y210" i="44"/>
  <c r="Z205" i="44"/>
  <c r="Z206" i="44"/>
  <c r="Z209" i="44"/>
  <c r="Z210" i="44"/>
  <c r="AA205" i="44"/>
  <c r="AA206" i="44"/>
  <c r="AA209" i="44"/>
  <c r="AA210" i="44"/>
  <c r="AB205" i="44"/>
  <c r="AB206" i="44"/>
  <c r="AB209" i="44"/>
  <c r="AB210" i="44"/>
  <c r="AC205" i="44"/>
  <c r="AC206" i="44"/>
  <c r="AC209" i="44"/>
  <c r="AC210" i="44"/>
  <c r="AD205" i="44"/>
  <c r="AD206" i="44"/>
  <c r="AD209" i="44"/>
  <c r="AD210" i="44"/>
  <c r="AE205" i="44"/>
  <c r="AE206" i="44"/>
  <c r="AE209" i="44"/>
  <c r="AE210" i="44"/>
  <c r="AF205" i="44"/>
  <c r="AF206" i="44"/>
  <c r="AF209" i="44"/>
  <c r="AF210" i="44"/>
  <c r="AG205" i="44"/>
  <c r="AG206" i="44"/>
  <c r="AG209" i="44"/>
  <c r="AG210" i="44"/>
  <c r="AH205" i="44"/>
  <c r="AH206" i="44"/>
  <c r="AH209" i="44"/>
  <c r="AH210" i="44"/>
  <c r="AI205" i="44"/>
  <c r="AI206" i="44"/>
  <c r="AI209" i="44"/>
  <c r="AI210" i="44"/>
  <c r="AJ205" i="44"/>
  <c r="AJ206" i="44"/>
  <c r="AJ209" i="44"/>
  <c r="AJ210" i="44"/>
  <c r="AK205" i="44"/>
  <c r="AK206" i="44"/>
  <c r="AK209" i="44"/>
  <c r="AK210" i="44"/>
  <c r="AL205" i="44"/>
  <c r="AL206" i="44"/>
  <c r="AL209" i="44"/>
  <c r="AL210" i="44"/>
  <c r="AM205" i="44"/>
  <c r="AM206" i="44"/>
  <c r="AM209" i="44"/>
  <c r="AM210" i="44"/>
  <c r="AN205" i="44"/>
  <c r="AN206" i="44"/>
  <c r="AN209" i="44"/>
  <c r="AN210" i="44"/>
  <c r="AO205" i="44"/>
  <c r="AO206" i="44"/>
  <c r="AO209" i="44"/>
  <c r="AO210" i="44"/>
  <c r="AP205" i="44"/>
  <c r="AP206" i="44"/>
  <c r="AP209" i="44"/>
  <c r="AP210" i="44"/>
  <c r="AQ205" i="44"/>
  <c r="AQ209" i="44"/>
  <c r="AR205" i="44"/>
  <c r="AR209" i="44"/>
  <c r="AS205" i="44"/>
  <c r="AS209" i="44"/>
  <c r="AT205" i="44"/>
  <c r="AT209" i="44"/>
  <c r="AU205" i="44"/>
  <c r="AU209" i="44"/>
  <c r="AV205" i="44"/>
  <c r="AV209" i="44"/>
  <c r="AW205" i="44"/>
  <c r="AW209" i="44"/>
  <c r="AX205" i="44"/>
  <c r="AX209" i="44"/>
  <c r="AY205" i="44"/>
  <c r="AY209" i="44"/>
  <c r="AZ205" i="44"/>
  <c r="AZ209" i="44"/>
  <c r="BA205" i="44"/>
  <c r="BA209" i="44"/>
  <c r="BB205" i="44"/>
  <c r="BB209" i="44"/>
  <c r="BC205" i="44"/>
  <c r="BC209" i="44"/>
  <c r="BD205" i="44"/>
  <c r="BD209" i="44"/>
  <c r="BE205" i="44"/>
  <c r="BE209" i="44"/>
  <c r="BF205" i="44"/>
  <c r="BF209" i="44"/>
  <c r="BG205" i="44"/>
  <c r="BG209" i="44"/>
  <c r="BH205" i="44"/>
  <c r="BH209" i="44"/>
  <c r="BI205" i="44"/>
  <c r="BI209" i="44"/>
  <c r="BJ205" i="44"/>
  <c r="BJ209" i="44"/>
  <c r="BK205" i="44"/>
  <c r="BK209" i="44"/>
  <c r="BL205" i="44"/>
  <c r="BL209" i="44"/>
  <c r="BM205" i="44"/>
  <c r="BM209" i="44"/>
  <c r="BN205" i="44"/>
  <c r="BN209" i="44"/>
  <c r="BO205" i="44"/>
  <c r="BO209" i="44"/>
  <c r="BP205" i="44"/>
  <c r="BP209" i="44"/>
  <c r="BQ205" i="44"/>
  <c r="BQ209" i="44"/>
  <c r="BR205" i="44"/>
  <c r="BR209" i="44"/>
  <c r="BS205" i="44"/>
  <c r="BS209" i="44"/>
  <c r="BT205" i="44"/>
  <c r="BT209" i="44"/>
  <c r="BU205" i="44"/>
  <c r="BU209" i="44"/>
  <c r="BV205" i="44"/>
  <c r="BV209" i="44"/>
  <c r="BW205" i="44"/>
  <c r="BW209" i="44"/>
  <c r="BX205" i="44"/>
  <c r="BX209" i="44"/>
  <c r="BY205" i="44"/>
  <c r="BY209" i="44"/>
  <c r="BZ205" i="44"/>
  <c r="BZ209" i="44"/>
  <c r="CA205" i="44"/>
  <c r="CA209" i="44"/>
  <c r="CB205" i="44"/>
  <c r="CB209" i="44"/>
  <c r="CC205" i="44"/>
  <c r="CC209" i="44"/>
  <c r="CD205" i="44"/>
  <c r="CD209" i="44"/>
  <c r="CE205" i="44"/>
  <c r="CE209" i="44"/>
  <c r="CF205" i="44"/>
  <c r="CF209" i="44"/>
  <c r="CG205" i="44"/>
  <c r="CG209" i="44"/>
  <c r="CH205" i="44"/>
  <c r="CH209" i="44"/>
  <c r="CI205" i="44"/>
  <c r="CI209" i="44"/>
  <c r="CJ205" i="44"/>
  <c r="CJ209" i="44"/>
  <c r="CK205" i="44"/>
  <c r="CK209" i="44"/>
  <c r="CL205" i="44"/>
  <c r="CL209" i="44"/>
  <c r="CM205" i="44"/>
  <c r="CM209" i="44"/>
  <c r="CN205" i="44"/>
  <c r="CN209" i="44"/>
  <c r="CO205" i="44"/>
  <c r="CO209" i="44"/>
  <c r="CP205" i="44"/>
  <c r="CP209" i="44"/>
  <c r="CQ205" i="44"/>
  <c r="CQ209" i="44"/>
  <c r="CR205" i="44"/>
  <c r="CR209" i="44"/>
  <c r="CS205" i="44"/>
  <c r="CS209" i="44"/>
  <c r="CT205" i="44"/>
  <c r="CT209" i="44"/>
  <c r="CU205" i="44"/>
  <c r="CU209" i="44"/>
  <c r="CV205" i="44"/>
  <c r="CV209" i="44"/>
  <c r="CW205" i="44"/>
  <c r="CW209" i="44"/>
  <c r="CX205" i="44"/>
  <c r="CX209" i="44"/>
  <c r="CY205" i="44"/>
  <c r="CY209" i="44"/>
  <c r="CZ205" i="44"/>
  <c r="CZ209" i="44"/>
  <c r="DA205" i="44"/>
  <c r="DA209" i="44"/>
  <c r="DB205" i="44"/>
  <c r="DB209" i="44"/>
  <c r="DC205" i="44"/>
  <c r="DC209" i="44"/>
  <c r="DD205" i="44"/>
  <c r="DD209" i="44"/>
  <c r="DE205" i="44"/>
  <c r="DE209" i="44"/>
  <c r="DF205" i="44"/>
  <c r="DF209" i="44"/>
  <c r="DG205" i="44"/>
  <c r="DG209" i="44"/>
  <c r="DH205" i="44"/>
  <c r="DH209" i="44"/>
  <c r="DI205" i="44"/>
  <c r="DI209" i="44"/>
  <c r="DJ205" i="44"/>
  <c r="DJ209" i="44"/>
  <c r="DK205" i="44"/>
  <c r="DK209" i="44"/>
  <c r="D136" i="44"/>
  <c r="J136" i="44"/>
  <c r="O136" i="44"/>
  <c r="D188" i="44"/>
  <c r="G188" i="44"/>
  <c r="H188" i="44"/>
  <c r="I188" i="44"/>
  <c r="J188" i="44"/>
  <c r="K188" i="44"/>
  <c r="L188" i="44"/>
  <c r="M188" i="44"/>
  <c r="N188" i="44"/>
  <c r="O188" i="44"/>
  <c r="P188" i="44"/>
  <c r="Q188" i="44"/>
  <c r="R188" i="44"/>
  <c r="S188" i="44"/>
  <c r="T188" i="44"/>
  <c r="U188" i="44"/>
  <c r="V188" i="44"/>
  <c r="W188" i="44"/>
  <c r="X188" i="44"/>
  <c r="Y188" i="44"/>
  <c r="Z188" i="44"/>
  <c r="AA188" i="44"/>
  <c r="AB188" i="44"/>
  <c r="AC188" i="44"/>
  <c r="AD188" i="44"/>
  <c r="AE188" i="44"/>
  <c r="AF188" i="44"/>
  <c r="AG188" i="44"/>
  <c r="AH188" i="44"/>
  <c r="AI188" i="44"/>
  <c r="AJ188" i="44"/>
  <c r="AK188" i="44"/>
  <c r="AL188" i="44"/>
  <c r="AM188" i="44"/>
  <c r="AN188" i="44"/>
  <c r="AO188" i="44"/>
  <c r="AP188" i="44"/>
  <c r="AQ188" i="44"/>
  <c r="AR188" i="44"/>
  <c r="AS188" i="44"/>
  <c r="AT188" i="44"/>
  <c r="AU188" i="44"/>
  <c r="AV188" i="44"/>
  <c r="AW188" i="44"/>
  <c r="AX188" i="44"/>
  <c r="AY188" i="44"/>
  <c r="AZ188" i="44"/>
  <c r="BA188" i="44"/>
  <c r="BB188" i="44"/>
  <c r="BC188" i="44"/>
  <c r="BD188" i="44"/>
  <c r="BE188" i="44"/>
  <c r="BF188" i="44"/>
  <c r="BG188" i="44"/>
  <c r="BH188" i="44"/>
  <c r="BI188" i="44"/>
  <c r="BJ188" i="44"/>
  <c r="BK188" i="44"/>
  <c r="BL188" i="44"/>
  <c r="BM188" i="44"/>
  <c r="BN188" i="44"/>
  <c r="BO188" i="44"/>
  <c r="BP188" i="44"/>
  <c r="BQ188" i="44"/>
  <c r="BR188" i="44"/>
  <c r="BS188" i="44"/>
  <c r="BT188" i="44"/>
  <c r="BU188" i="44"/>
  <c r="BV188" i="44"/>
  <c r="BW188" i="44"/>
  <c r="BX188" i="44"/>
  <c r="BY188" i="44"/>
  <c r="BZ188" i="44"/>
  <c r="CA188" i="44"/>
  <c r="CB188" i="44"/>
  <c r="CC188" i="44"/>
  <c r="CD188" i="44"/>
  <c r="CE188" i="44"/>
  <c r="CF188" i="44"/>
  <c r="CG188" i="44"/>
  <c r="CH188" i="44"/>
  <c r="CI188" i="44"/>
  <c r="CJ188" i="44"/>
  <c r="CK188" i="44"/>
  <c r="CL188" i="44"/>
  <c r="CM188" i="44"/>
  <c r="CN188" i="44"/>
  <c r="CO188" i="44"/>
  <c r="CP188" i="44"/>
  <c r="CQ188" i="44"/>
  <c r="CR188" i="44"/>
  <c r="CS188" i="44"/>
  <c r="CT188" i="44"/>
  <c r="CU188" i="44"/>
  <c r="CV188" i="44"/>
  <c r="CW188" i="44"/>
  <c r="CX188" i="44"/>
  <c r="CY188" i="44"/>
  <c r="CZ188" i="44"/>
  <c r="DA188" i="44"/>
  <c r="DB188" i="44"/>
  <c r="DC188" i="44"/>
  <c r="DD188" i="44"/>
  <c r="DE188" i="44"/>
  <c r="DF188" i="44"/>
  <c r="DG188" i="44"/>
  <c r="DH188" i="44"/>
  <c r="DI188" i="44"/>
  <c r="DJ188" i="44"/>
  <c r="DK188" i="44"/>
  <c r="DK201" i="44" a="1"/>
  <c r="D135" i="44"/>
  <c r="J135" i="44"/>
  <c r="O135" i="44"/>
  <c r="D187" i="44"/>
  <c r="G187" i="44"/>
  <c r="H187" i="44"/>
  <c r="I187" i="44"/>
  <c r="J187" i="44"/>
  <c r="K187" i="44"/>
  <c r="L187" i="44"/>
  <c r="M187" i="44"/>
  <c r="N187" i="44"/>
  <c r="O187" i="44"/>
  <c r="P187" i="44"/>
  <c r="Q187" i="44"/>
  <c r="R187" i="44"/>
  <c r="S187" i="44"/>
  <c r="T187" i="44"/>
  <c r="U187" i="44"/>
  <c r="V187" i="44"/>
  <c r="W187" i="44"/>
  <c r="X187" i="44"/>
  <c r="Y187" i="44"/>
  <c r="Z187" i="44"/>
  <c r="AA187" i="44"/>
  <c r="AB187" i="44"/>
  <c r="AC187" i="44"/>
  <c r="AD187" i="44"/>
  <c r="AE187" i="44"/>
  <c r="AF187" i="44"/>
  <c r="AG187" i="44"/>
  <c r="AH187" i="44"/>
  <c r="AI187" i="44"/>
  <c r="AJ187" i="44"/>
  <c r="AK187" i="44"/>
  <c r="AL187" i="44"/>
  <c r="AM187" i="44"/>
  <c r="AN187" i="44"/>
  <c r="AO187" i="44"/>
  <c r="AP187" i="44"/>
  <c r="AQ187" i="44"/>
  <c r="AR187" i="44"/>
  <c r="AS187" i="44"/>
  <c r="AT187" i="44"/>
  <c r="AU187" i="44"/>
  <c r="AV187" i="44"/>
  <c r="AW187" i="44"/>
  <c r="AX187" i="44"/>
  <c r="AY187" i="44"/>
  <c r="AZ187" i="44"/>
  <c r="BA187" i="44"/>
  <c r="BB187" i="44"/>
  <c r="BC187" i="44"/>
  <c r="BD187" i="44"/>
  <c r="BE187" i="44"/>
  <c r="BF187" i="44"/>
  <c r="BG187" i="44"/>
  <c r="BH187" i="44"/>
  <c r="BI187" i="44"/>
  <c r="BJ187" i="44"/>
  <c r="BK187" i="44"/>
  <c r="BL187" i="44"/>
  <c r="BM187" i="44"/>
  <c r="BN187" i="44"/>
  <c r="BO187" i="44"/>
  <c r="BP187" i="44"/>
  <c r="BQ187" i="44"/>
  <c r="BR187" i="44"/>
  <c r="BS187" i="44"/>
  <c r="BT187" i="44"/>
  <c r="BU187" i="44"/>
  <c r="BV187" i="44"/>
  <c r="BW187" i="44"/>
  <c r="BX187" i="44"/>
  <c r="BY187" i="44"/>
  <c r="BZ187" i="44"/>
  <c r="CA187" i="44"/>
  <c r="CB187" i="44"/>
  <c r="CC187" i="44"/>
  <c r="CD187" i="44"/>
  <c r="CE187" i="44"/>
  <c r="CF187" i="44"/>
  <c r="CG187" i="44"/>
  <c r="CH187" i="44"/>
  <c r="CI187" i="44"/>
  <c r="CJ187" i="44"/>
  <c r="CK187" i="44"/>
  <c r="CL187" i="44"/>
  <c r="CM187" i="44"/>
  <c r="CN187" i="44"/>
  <c r="CO187" i="44"/>
  <c r="CP187" i="44"/>
  <c r="CQ187" i="44"/>
  <c r="CR187" i="44"/>
  <c r="CS187" i="44"/>
  <c r="CT187" i="44"/>
  <c r="CU187" i="44"/>
  <c r="CV187" i="44"/>
  <c r="CW187" i="44"/>
  <c r="CX187" i="44"/>
  <c r="CY187" i="44"/>
  <c r="CZ187" i="44"/>
  <c r="DA187" i="44"/>
  <c r="DB187" i="44"/>
  <c r="DC187" i="44"/>
  <c r="DD187" i="44"/>
  <c r="DE187" i="44"/>
  <c r="DF187" i="44"/>
  <c r="DG187" i="44"/>
  <c r="DH187" i="44"/>
  <c r="DI187" i="44"/>
  <c r="DJ187" i="44"/>
  <c r="DK187" i="44"/>
  <c r="DK200" i="44" a="1"/>
  <c r="D134" i="44"/>
  <c r="J134" i="44"/>
  <c r="O134" i="44"/>
  <c r="D186" i="44"/>
  <c r="G186" i="44"/>
  <c r="H186" i="44"/>
  <c r="I186" i="44"/>
  <c r="J186" i="44"/>
  <c r="K186" i="44"/>
  <c r="L186" i="44"/>
  <c r="M186" i="44"/>
  <c r="N186" i="44"/>
  <c r="O186" i="44"/>
  <c r="P186" i="44"/>
  <c r="Q186" i="44"/>
  <c r="R186" i="44"/>
  <c r="S186" i="44"/>
  <c r="T186" i="44"/>
  <c r="U186" i="44"/>
  <c r="V186" i="44"/>
  <c r="W186" i="44"/>
  <c r="X186" i="44"/>
  <c r="Y186" i="44"/>
  <c r="Z186" i="44"/>
  <c r="AA186" i="44"/>
  <c r="AB186" i="44"/>
  <c r="AC186" i="44"/>
  <c r="AD186" i="44"/>
  <c r="AE186" i="44"/>
  <c r="AF186" i="44"/>
  <c r="AG186" i="44"/>
  <c r="AH186" i="44"/>
  <c r="AI186" i="44"/>
  <c r="AJ186" i="44"/>
  <c r="AK186" i="44"/>
  <c r="AL186" i="44"/>
  <c r="AM186" i="44"/>
  <c r="AN186" i="44"/>
  <c r="AO186" i="44"/>
  <c r="AP186" i="44"/>
  <c r="AQ186" i="44"/>
  <c r="AR186" i="44"/>
  <c r="AS186" i="44"/>
  <c r="AT186" i="44"/>
  <c r="AU186" i="44"/>
  <c r="AV186" i="44"/>
  <c r="AW186" i="44"/>
  <c r="AX186" i="44"/>
  <c r="AY186" i="44"/>
  <c r="AZ186" i="44"/>
  <c r="BA186" i="44"/>
  <c r="BB186" i="44"/>
  <c r="BC186" i="44"/>
  <c r="BD186" i="44"/>
  <c r="BE186" i="44"/>
  <c r="BF186" i="44"/>
  <c r="BG186" i="44"/>
  <c r="BH186" i="44"/>
  <c r="BI186" i="44"/>
  <c r="BJ186" i="44"/>
  <c r="BK186" i="44"/>
  <c r="BL186" i="44"/>
  <c r="BM186" i="44"/>
  <c r="BN186" i="44"/>
  <c r="BO186" i="44"/>
  <c r="BP186" i="44"/>
  <c r="BQ186" i="44"/>
  <c r="BR186" i="44"/>
  <c r="BS186" i="44"/>
  <c r="BT186" i="44"/>
  <c r="BU186" i="44"/>
  <c r="BV186" i="44"/>
  <c r="BW186" i="44"/>
  <c r="BX186" i="44"/>
  <c r="BY186" i="44"/>
  <c r="BZ186" i="44"/>
  <c r="CA186" i="44"/>
  <c r="CB186" i="44"/>
  <c r="CC186" i="44"/>
  <c r="CD186" i="44"/>
  <c r="CE186" i="44"/>
  <c r="CF186" i="44"/>
  <c r="CG186" i="44"/>
  <c r="CH186" i="44"/>
  <c r="CI186" i="44"/>
  <c r="CJ186" i="44"/>
  <c r="CK186" i="44"/>
  <c r="CL186" i="44"/>
  <c r="CM186" i="44"/>
  <c r="CN186" i="44"/>
  <c r="CO186" i="44"/>
  <c r="CP186" i="44"/>
  <c r="CQ186" i="44"/>
  <c r="CR186" i="44"/>
  <c r="CS186" i="44"/>
  <c r="CT186" i="44"/>
  <c r="CU186" i="44"/>
  <c r="CV186" i="44"/>
  <c r="CW186" i="44"/>
  <c r="CX186" i="44"/>
  <c r="CY186" i="44"/>
  <c r="CZ186" i="44"/>
  <c r="DA186" i="44"/>
  <c r="DB186" i="44"/>
  <c r="DC186" i="44"/>
  <c r="DD186" i="44"/>
  <c r="DE186" i="44"/>
  <c r="DF186" i="44"/>
  <c r="DG186" i="44"/>
  <c r="DH186" i="44"/>
  <c r="DI186" i="44"/>
  <c r="DJ186" i="44"/>
  <c r="DK186" i="44"/>
  <c r="DK199" i="44" a="1"/>
  <c r="D133" i="44"/>
  <c r="J133" i="44"/>
  <c r="O133" i="44"/>
  <c r="D185" i="44"/>
  <c r="G185" i="44"/>
  <c r="H185" i="44"/>
  <c r="I185" i="44"/>
  <c r="J185" i="44"/>
  <c r="K185" i="44"/>
  <c r="L185" i="44"/>
  <c r="M185" i="44"/>
  <c r="N185" i="44"/>
  <c r="O185" i="44"/>
  <c r="P185" i="44"/>
  <c r="Q185" i="44"/>
  <c r="R185" i="44"/>
  <c r="S185" i="44"/>
  <c r="T185" i="44"/>
  <c r="U185" i="44"/>
  <c r="V185" i="44"/>
  <c r="W185" i="44"/>
  <c r="X185" i="44"/>
  <c r="Y185" i="44"/>
  <c r="Z185" i="44"/>
  <c r="AA185" i="44"/>
  <c r="AB185" i="44"/>
  <c r="AC185" i="44"/>
  <c r="AD185" i="44"/>
  <c r="AE185" i="44"/>
  <c r="AF185" i="44"/>
  <c r="AG185" i="44"/>
  <c r="AH185" i="44"/>
  <c r="AI185" i="44"/>
  <c r="AJ185" i="44"/>
  <c r="AK185" i="44"/>
  <c r="AL185" i="44"/>
  <c r="AM185" i="44"/>
  <c r="AN185" i="44"/>
  <c r="AO185" i="44"/>
  <c r="AP185" i="44"/>
  <c r="AQ185" i="44"/>
  <c r="AR185" i="44"/>
  <c r="AS185" i="44"/>
  <c r="AT185" i="44"/>
  <c r="AU185" i="44"/>
  <c r="AV185" i="44"/>
  <c r="AW185" i="44"/>
  <c r="AX185" i="44"/>
  <c r="AY185" i="44"/>
  <c r="AZ185" i="44"/>
  <c r="BA185" i="44"/>
  <c r="BB185" i="44"/>
  <c r="BC185" i="44"/>
  <c r="BD185" i="44"/>
  <c r="BE185" i="44"/>
  <c r="BF185" i="44"/>
  <c r="BG185" i="44"/>
  <c r="BH185" i="44"/>
  <c r="BI185" i="44"/>
  <c r="BJ185" i="44"/>
  <c r="BK185" i="44"/>
  <c r="BL185" i="44"/>
  <c r="BM185" i="44"/>
  <c r="BN185" i="44"/>
  <c r="BO185" i="44"/>
  <c r="BP185" i="44"/>
  <c r="BQ185" i="44"/>
  <c r="BR185" i="44"/>
  <c r="BS185" i="44"/>
  <c r="BT185" i="44"/>
  <c r="BU185" i="44"/>
  <c r="BV185" i="44"/>
  <c r="BW185" i="44"/>
  <c r="BX185" i="44"/>
  <c r="BY185" i="44"/>
  <c r="BZ185" i="44"/>
  <c r="CA185" i="44"/>
  <c r="CB185" i="44"/>
  <c r="CC185" i="44"/>
  <c r="CD185" i="44"/>
  <c r="CE185" i="44"/>
  <c r="CF185" i="44"/>
  <c r="CG185" i="44"/>
  <c r="CH185" i="44"/>
  <c r="CI185" i="44"/>
  <c r="CJ185" i="44"/>
  <c r="CK185" i="44"/>
  <c r="CL185" i="44"/>
  <c r="CM185" i="44"/>
  <c r="CN185" i="44"/>
  <c r="CO185" i="44"/>
  <c r="CP185" i="44"/>
  <c r="CQ185" i="44"/>
  <c r="CR185" i="44"/>
  <c r="CS185" i="44"/>
  <c r="CT185" i="44"/>
  <c r="CU185" i="44"/>
  <c r="CV185" i="44"/>
  <c r="CW185" i="44"/>
  <c r="CX185" i="44"/>
  <c r="CY185" i="44"/>
  <c r="CZ185" i="44"/>
  <c r="DA185" i="44"/>
  <c r="DB185" i="44"/>
  <c r="DC185" i="44"/>
  <c r="DD185" i="44"/>
  <c r="DE185" i="44"/>
  <c r="DF185" i="44"/>
  <c r="DG185" i="44"/>
  <c r="DH185" i="44"/>
  <c r="DI185" i="44"/>
  <c r="DJ185" i="44"/>
  <c r="DK185" i="44"/>
  <c r="DK198" i="44" a="1"/>
  <c r="D132" i="44"/>
  <c r="J132" i="44"/>
  <c r="O132" i="44"/>
  <c r="D184" i="44"/>
  <c r="G184" i="44"/>
  <c r="H184" i="44"/>
  <c r="I184" i="44"/>
  <c r="J184" i="44"/>
  <c r="K184" i="44"/>
  <c r="L184" i="44"/>
  <c r="M184" i="44"/>
  <c r="N184" i="44"/>
  <c r="O184" i="44"/>
  <c r="P184" i="44"/>
  <c r="Q184" i="44"/>
  <c r="R184" i="44"/>
  <c r="S184" i="44"/>
  <c r="T184" i="44"/>
  <c r="U184" i="44"/>
  <c r="V184" i="44"/>
  <c r="W184" i="44"/>
  <c r="X184" i="44"/>
  <c r="Y184" i="44"/>
  <c r="Z184" i="44"/>
  <c r="AA184" i="44"/>
  <c r="AB184" i="44"/>
  <c r="AC184" i="44"/>
  <c r="AD184" i="44"/>
  <c r="AE184" i="44"/>
  <c r="AF184" i="44"/>
  <c r="AG184" i="44"/>
  <c r="AH184" i="44"/>
  <c r="AI184" i="44"/>
  <c r="AJ184" i="44"/>
  <c r="AK184" i="44"/>
  <c r="AL184" i="44"/>
  <c r="AM184" i="44"/>
  <c r="AN184" i="44"/>
  <c r="AO184" i="44"/>
  <c r="AP184" i="44"/>
  <c r="AQ184" i="44"/>
  <c r="AR184" i="44"/>
  <c r="AS184" i="44"/>
  <c r="AT184" i="44"/>
  <c r="AU184" i="44"/>
  <c r="AV184" i="44"/>
  <c r="AW184" i="44"/>
  <c r="AX184" i="44"/>
  <c r="AY184" i="44"/>
  <c r="AZ184" i="44"/>
  <c r="BA184" i="44"/>
  <c r="BB184" i="44"/>
  <c r="BC184" i="44"/>
  <c r="BD184" i="44"/>
  <c r="BE184" i="44"/>
  <c r="BF184" i="44"/>
  <c r="BG184" i="44"/>
  <c r="BH184" i="44"/>
  <c r="BI184" i="44"/>
  <c r="BJ184" i="44"/>
  <c r="BK184" i="44"/>
  <c r="BL184" i="44"/>
  <c r="BM184" i="44"/>
  <c r="BN184" i="44"/>
  <c r="BO184" i="44"/>
  <c r="BP184" i="44"/>
  <c r="BQ184" i="44"/>
  <c r="BR184" i="44"/>
  <c r="BS184" i="44"/>
  <c r="BT184" i="44"/>
  <c r="BU184" i="44"/>
  <c r="BV184" i="44"/>
  <c r="BW184" i="44"/>
  <c r="BX184" i="44"/>
  <c r="BY184" i="44"/>
  <c r="BZ184" i="44"/>
  <c r="CA184" i="44"/>
  <c r="CB184" i="44"/>
  <c r="CC184" i="44"/>
  <c r="CD184" i="44"/>
  <c r="CE184" i="44"/>
  <c r="CF184" i="44"/>
  <c r="CG184" i="44"/>
  <c r="CH184" i="44"/>
  <c r="CI184" i="44"/>
  <c r="CJ184" i="44"/>
  <c r="CK184" i="44"/>
  <c r="CL184" i="44"/>
  <c r="CM184" i="44"/>
  <c r="CN184" i="44"/>
  <c r="CO184" i="44"/>
  <c r="CP184" i="44"/>
  <c r="CQ184" i="44"/>
  <c r="CR184" i="44"/>
  <c r="CS184" i="44"/>
  <c r="CT184" i="44"/>
  <c r="CU184" i="44"/>
  <c r="CV184" i="44"/>
  <c r="CW184" i="44"/>
  <c r="CX184" i="44"/>
  <c r="CY184" i="44"/>
  <c r="CZ184" i="44"/>
  <c r="DA184" i="44"/>
  <c r="DB184" i="44"/>
  <c r="DC184" i="44"/>
  <c r="DD184" i="44"/>
  <c r="DE184" i="44"/>
  <c r="DF184" i="44"/>
  <c r="DG184" i="44"/>
  <c r="DH184" i="44"/>
  <c r="DI184" i="44"/>
  <c r="DJ184" i="44"/>
  <c r="DK184" i="44"/>
  <c r="DK197" i="44" a="1"/>
  <c r="D131" i="44"/>
  <c r="J131" i="44"/>
  <c r="O131" i="44"/>
  <c r="D183" i="44"/>
  <c r="G183" i="44"/>
  <c r="H183" i="44"/>
  <c r="I183" i="44"/>
  <c r="J183" i="44"/>
  <c r="K183" i="44"/>
  <c r="L183" i="44"/>
  <c r="M183" i="44"/>
  <c r="N183" i="44"/>
  <c r="O183" i="44"/>
  <c r="P183" i="44"/>
  <c r="Q183" i="44"/>
  <c r="R183" i="44"/>
  <c r="S183" i="44"/>
  <c r="T183" i="44"/>
  <c r="U183" i="44"/>
  <c r="V183" i="44"/>
  <c r="W183" i="44"/>
  <c r="X183" i="44"/>
  <c r="Y183" i="44"/>
  <c r="Z183" i="44"/>
  <c r="AA183" i="44"/>
  <c r="AB183" i="44"/>
  <c r="AC183" i="44"/>
  <c r="AD183" i="44"/>
  <c r="AE183" i="44"/>
  <c r="AF183" i="44"/>
  <c r="AG183" i="44"/>
  <c r="AH183" i="44"/>
  <c r="AI183" i="44"/>
  <c r="AJ183" i="44"/>
  <c r="AK183" i="44"/>
  <c r="AL183" i="44"/>
  <c r="AM183" i="44"/>
  <c r="AN183" i="44"/>
  <c r="AO183" i="44"/>
  <c r="AP183" i="44"/>
  <c r="AQ183" i="44"/>
  <c r="AR183" i="44"/>
  <c r="AS183" i="44"/>
  <c r="AT183" i="44"/>
  <c r="AU183" i="44"/>
  <c r="AV183" i="44"/>
  <c r="AW183" i="44"/>
  <c r="AX183" i="44"/>
  <c r="AY183" i="44"/>
  <c r="AZ183" i="44"/>
  <c r="BA183" i="44"/>
  <c r="BB183" i="44"/>
  <c r="BC183" i="44"/>
  <c r="BD183" i="44"/>
  <c r="BE183" i="44"/>
  <c r="BF183" i="44"/>
  <c r="BG183" i="44"/>
  <c r="BH183" i="44"/>
  <c r="BI183" i="44"/>
  <c r="BJ183" i="44"/>
  <c r="BK183" i="44"/>
  <c r="BL183" i="44"/>
  <c r="BM183" i="44"/>
  <c r="BN183" i="44"/>
  <c r="BO183" i="44"/>
  <c r="BP183" i="44"/>
  <c r="BQ183" i="44"/>
  <c r="BR183" i="44"/>
  <c r="BS183" i="44"/>
  <c r="BT183" i="44"/>
  <c r="BU183" i="44"/>
  <c r="BV183" i="44"/>
  <c r="BW183" i="44"/>
  <c r="BX183" i="44"/>
  <c r="BY183" i="44"/>
  <c r="BZ183" i="44"/>
  <c r="CA183" i="44"/>
  <c r="CB183" i="44"/>
  <c r="CC183" i="44"/>
  <c r="CD183" i="44"/>
  <c r="CE183" i="44"/>
  <c r="CF183" i="44"/>
  <c r="CG183" i="44"/>
  <c r="CH183" i="44"/>
  <c r="CI183" i="44"/>
  <c r="CJ183" i="44"/>
  <c r="CK183" i="44"/>
  <c r="CL183" i="44"/>
  <c r="CM183" i="44"/>
  <c r="CN183" i="44"/>
  <c r="CO183" i="44"/>
  <c r="CP183" i="44"/>
  <c r="CQ183" i="44"/>
  <c r="CR183" i="44"/>
  <c r="CS183" i="44"/>
  <c r="CT183" i="44"/>
  <c r="CU183" i="44"/>
  <c r="CV183" i="44"/>
  <c r="CW183" i="44"/>
  <c r="CX183" i="44"/>
  <c r="CY183" i="44"/>
  <c r="CZ183" i="44"/>
  <c r="DA183" i="44"/>
  <c r="DB183" i="44"/>
  <c r="DC183" i="44"/>
  <c r="DD183" i="44"/>
  <c r="DE183" i="44"/>
  <c r="DF183" i="44"/>
  <c r="DG183" i="44"/>
  <c r="DH183" i="44"/>
  <c r="DI183" i="44"/>
  <c r="DJ183" i="44"/>
  <c r="DK183" i="44"/>
  <c r="DK196" i="44" a="1"/>
  <c r="D130" i="44"/>
  <c r="J130" i="44"/>
  <c r="O130" i="44"/>
  <c r="D182" i="44"/>
  <c r="G182" i="44"/>
  <c r="H182" i="44"/>
  <c r="I182" i="44"/>
  <c r="J182" i="44"/>
  <c r="K182" i="44"/>
  <c r="L182" i="44"/>
  <c r="M182" i="44"/>
  <c r="N182" i="44"/>
  <c r="O182" i="44"/>
  <c r="P182" i="44"/>
  <c r="Q182" i="44"/>
  <c r="R182" i="44"/>
  <c r="S182" i="44"/>
  <c r="T182" i="44"/>
  <c r="U182" i="44"/>
  <c r="V182" i="44"/>
  <c r="W182" i="44"/>
  <c r="X182" i="44"/>
  <c r="Y182" i="44"/>
  <c r="Z182" i="44"/>
  <c r="AA182" i="44"/>
  <c r="AB182" i="44"/>
  <c r="AC182" i="44"/>
  <c r="AD182" i="44"/>
  <c r="AE182" i="44"/>
  <c r="AF182" i="44"/>
  <c r="AG182" i="44"/>
  <c r="AH182" i="44"/>
  <c r="AI182" i="44"/>
  <c r="AJ182" i="44"/>
  <c r="AK182" i="44"/>
  <c r="AL182" i="44"/>
  <c r="AM182" i="44"/>
  <c r="AN182" i="44"/>
  <c r="AO182" i="44"/>
  <c r="AP182" i="44"/>
  <c r="AQ182" i="44"/>
  <c r="AR182" i="44"/>
  <c r="AS182" i="44"/>
  <c r="AT182" i="44"/>
  <c r="AU182" i="44"/>
  <c r="AV182" i="44"/>
  <c r="AW182" i="44"/>
  <c r="AX182" i="44"/>
  <c r="AY182" i="44"/>
  <c r="AZ182" i="44"/>
  <c r="BA182" i="44"/>
  <c r="BB182" i="44"/>
  <c r="BC182" i="44"/>
  <c r="BD182" i="44"/>
  <c r="BE182" i="44"/>
  <c r="BF182" i="44"/>
  <c r="BG182" i="44"/>
  <c r="BH182" i="44"/>
  <c r="BI182" i="44"/>
  <c r="BJ182" i="44"/>
  <c r="BK182" i="44"/>
  <c r="BL182" i="44"/>
  <c r="BM182" i="44"/>
  <c r="BN182" i="44"/>
  <c r="BO182" i="44"/>
  <c r="BP182" i="44"/>
  <c r="BQ182" i="44"/>
  <c r="BR182" i="44"/>
  <c r="BS182" i="44"/>
  <c r="BT182" i="44"/>
  <c r="BU182" i="44"/>
  <c r="BV182" i="44"/>
  <c r="BW182" i="44"/>
  <c r="BX182" i="44"/>
  <c r="BY182" i="44"/>
  <c r="BZ182" i="44"/>
  <c r="CA182" i="44"/>
  <c r="CB182" i="44"/>
  <c r="CC182" i="44"/>
  <c r="CD182" i="44"/>
  <c r="CE182" i="44"/>
  <c r="CF182" i="44"/>
  <c r="CG182" i="44"/>
  <c r="CH182" i="44"/>
  <c r="CI182" i="44"/>
  <c r="CJ182" i="44"/>
  <c r="CK182" i="44"/>
  <c r="CL182" i="44"/>
  <c r="CM182" i="44"/>
  <c r="CN182" i="44"/>
  <c r="CO182" i="44"/>
  <c r="CP182" i="44"/>
  <c r="CQ182" i="44"/>
  <c r="CR182" i="44"/>
  <c r="CS182" i="44"/>
  <c r="CT182" i="44"/>
  <c r="CU182" i="44"/>
  <c r="CV182" i="44"/>
  <c r="CW182" i="44"/>
  <c r="CX182" i="44"/>
  <c r="CY182" i="44"/>
  <c r="CZ182" i="44"/>
  <c r="DA182" i="44"/>
  <c r="DB182" i="44"/>
  <c r="DC182" i="44"/>
  <c r="DD182" i="44"/>
  <c r="DE182" i="44"/>
  <c r="DF182" i="44"/>
  <c r="DG182" i="44"/>
  <c r="DH182" i="44"/>
  <c r="DI182" i="44"/>
  <c r="DJ182" i="44"/>
  <c r="DK182" i="44"/>
  <c r="DK195" i="44" a="1"/>
  <c r="D129" i="44"/>
  <c r="J129" i="44"/>
  <c r="O129" i="44"/>
  <c r="D181" i="44"/>
  <c r="G181" i="44"/>
  <c r="H181" i="44"/>
  <c r="I181" i="44"/>
  <c r="J181" i="44"/>
  <c r="K181" i="44"/>
  <c r="L181" i="44"/>
  <c r="M181" i="44"/>
  <c r="N181" i="44"/>
  <c r="O181" i="44"/>
  <c r="P181" i="44"/>
  <c r="Q181" i="44"/>
  <c r="R181" i="44"/>
  <c r="S181" i="44"/>
  <c r="T181" i="44"/>
  <c r="U181" i="44"/>
  <c r="V181" i="44"/>
  <c r="W181" i="44"/>
  <c r="X181" i="44"/>
  <c r="Y181" i="44"/>
  <c r="Z181" i="44"/>
  <c r="AA181" i="44"/>
  <c r="AB181" i="44"/>
  <c r="AC181" i="44"/>
  <c r="AD181" i="44"/>
  <c r="AE181" i="44"/>
  <c r="AF181" i="44"/>
  <c r="AG181" i="44"/>
  <c r="AH181" i="44"/>
  <c r="AI181" i="44"/>
  <c r="AJ181" i="44"/>
  <c r="AK181" i="44"/>
  <c r="AL181" i="44"/>
  <c r="AM181" i="44"/>
  <c r="AN181" i="44"/>
  <c r="AO181" i="44"/>
  <c r="AP181" i="44"/>
  <c r="AQ181" i="44"/>
  <c r="AR181" i="44"/>
  <c r="AS181" i="44"/>
  <c r="AT181" i="44"/>
  <c r="AU181" i="44"/>
  <c r="AV181" i="44"/>
  <c r="AW181" i="44"/>
  <c r="AX181" i="44"/>
  <c r="AY181" i="44"/>
  <c r="AZ181" i="44"/>
  <c r="BA181" i="44"/>
  <c r="BB181" i="44"/>
  <c r="BC181" i="44"/>
  <c r="BD181" i="44"/>
  <c r="BE181" i="44"/>
  <c r="BF181" i="44"/>
  <c r="BG181" i="44"/>
  <c r="BH181" i="44"/>
  <c r="BI181" i="44"/>
  <c r="BJ181" i="44"/>
  <c r="BK181" i="44"/>
  <c r="BL181" i="44"/>
  <c r="BM181" i="44"/>
  <c r="BN181" i="44"/>
  <c r="BO181" i="44"/>
  <c r="BP181" i="44"/>
  <c r="BQ181" i="44"/>
  <c r="BR181" i="44"/>
  <c r="BS181" i="44"/>
  <c r="BT181" i="44"/>
  <c r="BU181" i="44"/>
  <c r="BV181" i="44"/>
  <c r="BW181" i="44"/>
  <c r="BX181" i="44"/>
  <c r="BY181" i="44"/>
  <c r="BZ181" i="44"/>
  <c r="CA181" i="44"/>
  <c r="CB181" i="44"/>
  <c r="CC181" i="44"/>
  <c r="CD181" i="44"/>
  <c r="CE181" i="44"/>
  <c r="CF181" i="44"/>
  <c r="CG181" i="44"/>
  <c r="CH181" i="44"/>
  <c r="CI181" i="44"/>
  <c r="CJ181" i="44"/>
  <c r="CK181" i="44"/>
  <c r="CL181" i="44"/>
  <c r="CM181" i="44"/>
  <c r="CN181" i="44"/>
  <c r="CO181" i="44"/>
  <c r="CP181" i="44"/>
  <c r="CQ181" i="44"/>
  <c r="CR181" i="44"/>
  <c r="CS181" i="44"/>
  <c r="CT181" i="44"/>
  <c r="CU181" i="44"/>
  <c r="CV181" i="44"/>
  <c r="CW181" i="44"/>
  <c r="CX181" i="44"/>
  <c r="CY181" i="44"/>
  <c r="CZ181" i="44"/>
  <c r="DA181" i="44"/>
  <c r="DB181" i="44"/>
  <c r="DC181" i="44"/>
  <c r="DD181" i="44"/>
  <c r="DE181" i="44"/>
  <c r="DF181" i="44"/>
  <c r="DG181" i="44"/>
  <c r="DH181" i="44"/>
  <c r="DI181" i="44"/>
  <c r="DJ181" i="44"/>
  <c r="DK181" i="44"/>
  <c r="DK194" i="44" a="1"/>
  <c r="D128" i="44"/>
  <c r="J128" i="44"/>
  <c r="O128" i="44"/>
  <c r="D180" i="44"/>
  <c r="G180" i="44"/>
  <c r="H180" i="44"/>
  <c r="I180" i="44"/>
  <c r="J180" i="44"/>
  <c r="K180" i="44"/>
  <c r="L180" i="44"/>
  <c r="M180" i="44"/>
  <c r="N180" i="44"/>
  <c r="O180" i="44"/>
  <c r="P180" i="44"/>
  <c r="Q180" i="44"/>
  <c r="R180" i="44"/>
  <c r="S180" i="44"/>
  <c r="T180" i="44"/>
  <c r="U180" i="44"/>
  <c r="V180" i="44"/>
  <c r="W180" i="44"/>
  <c r="X180" i="44"/>
  <c r="Y180" i="44"/>
  <c r="Z180" i="44"/>
  <c r="AA180" i="44"/>
  <c r="AB180" i="44"/>
  <c r="AC180" i="44"/>
  <c r="AD180" i="44"/>
  <c r="AE180" i="44"/>
  <c r="AF180" i="44"/>
  <c r="AG180" i="44"/>
  <c r="AH180" i="44"/>
  <c r="AI180" i="44"/>
  <c r="AJ180" i="44"/>
  <c r="AK180" i="44"/>
  <c r="AL180" i="44"/>
  <c r="AM180" i="44"/>
  <c r="AN180" i="44"/>
  <c r="AO180" i="44"/>
  <c r="AP180" i="44"/>
  <c r="AQ180" i="44"/>
  <c r="AR180" i="44"/>
  <c r="AS180" i="44"/>
  <c r="AT180" i="44"/>
  <c r="AU180" i="44"/>
  <c r="AV180" i="44"/>
  <c r="AW180" i="44"/>
  <c r="AX180" i="44"/>
  <c r="AY180" i="44"/>
  <c r="AZ180" i="44"/>
  <c r="BA180" i="44"/>
  <c r="BB180" i="44"/>
  <c r="BC180" i="44"/>
  <c r="BD180" i="44"/>
  <c r="BE180" i="44"/>
  <c r="BF180" i="44"/>
  <c r="BG180" i="44"/>
  <c r="BH180" i="44"/>
  <c r="BI180" i="44"/>
  <c r="BJ180" i="44"/>
  <c r="BK180" i="44"/>
  <c r="BL180" i="44"/>
  <c r="BM180" i="44"/>
  <c r="BN180" i="44"/>
  <c r="BO180" i="44"/>
  <c r="BP180" i="44"/>
  <c r="BQ180" i="44"/>
  <c r="BR180" i="44"/>
  <c r="BS180" i="44"/>
  <c r="BT180" i="44"/>
  <c r="BU180" i="44"/>
  <c r="BV180" i="44"/>
  <c r="BW180" i="44"/>
  <c r="BX180" i="44"/>
  <c r="BY180" i="44"/>
  <c r="BZ180" i="44"/>
  <c r="CA180" i="44"/>
  <c r="CB180" i="44"/>
  <c r="CC180" i="44"/>
  <c r="CD180" i="44"/>
  <c r="CE180" i="44"/>
  <c r="CF180" i="44"/>
  <c r="CG180" i="44"/>
  <c r="CH180" i="44"/>
  <c r="CI180" i="44"/>
  <c r="CJ180" i="44"/>
  <c r="CK180" i="44"/>
  <c r="CL180" i="44"/>
  <c r="CM180" i="44"/>
  <c r="CN180" i="44"/>
  <c r="CO180" i="44"/>
  <c r="CP180" i="44"/>
  <c r="CQ180" i="44"/>
  <c r="CR180" i="44"/>
  <c r="CS180" i="44"/>
  <c r="CT180" i="44"/>
  <c r="CU180" i="44"/>
  <c r="CV180" i="44"/>
  <c r="CW180" i="44"/>
  <c r="CX180" i="44"/>
  <c r="CY180" i="44"/>
  <c r="CZ180" i="44"/>
  <c r="DA180" i="44"/>
  <c r="DB180" i="44"/>
  <c r="DC180" i="44"/>
  <c r="DD180" i="44"/>
  <c r="DE180" i="44"/>
  <c r="DF180" i="44"/>
  <c r="DG180" i="44"/>
  <c r="DH180" i="44"/>
  <c r="DI180" i="44"/>
  <c r="DJ180" i="44"/>
  <c r="DK180" i="44"/>
  <c r="DK193" i="44" a="1"/>
  <c r="D127" i="44"/>
  <c r="J127" i="44"/>
  <c r="O127" i="44"/>
  <c r="D179" i="44"/>
  <c r="G179" i="44"/>
  <c r="H179" i="44"/>
  <c r="I179" i="44"/>
  <c r="J179" i="44"/>
  <c r="K179" i="44"/>
  <c r="L179" i="44"/>
  <c r="M179" i="44"/>
  <c r="N179" i="44"/>
  <c r="O179" i="44"/>
  <c r="P179" i="44"/>
  <c r="Q179" i="44"/>
  <c r="R179" i="44"/>
  <c r="S179" i="44"/>
  <c r="T179" i="44"/>
  <c r="U179" i="44"/>
  <c r="V179" i="44"/>
  <c r="W179" i="44"/>
  <c r="X179" i="44"/>
  <c r="Y179" i="44"/>
  <c r="Z179" i="44"/>
  <c r="AA179" i="44"/>
  <c r="AB179" i="44"/>
  <c r="AC179" i="44"/>
  <c r="AD179" i="44"/>
  <c r="AE179" i="44"/>
  <c r="AF179" i="44"/>
  <c r="AG179" i="44"/>
  <c r="AH179" i="44"/>
  <c r="AI179" i="44"/>
  <c r="AJ179" i="44"/>
  <c r="AK179" i="44"/>
  <c r="AL179" i="44"/>
  <c r="AM179" i="44"/>
  <c r="AN179" i="44"/>
  <c r="AO179" i="44"/>
  <c r="AP179" i="44"/>
  <c r="AQ179" i="44"/>
  <c r="AR179" i="44"/>
  <c r="AS179" i="44"/>
  <c r="AT179" i="44"/>
  <c r="AU179" i="44"/>
  <c r="AV179" i="44"/>
  <c r="AW179" i="44"/>
  <c r="AX179" i="44"/>
  <c r="AY179" i="44"/>
  <c r="AZ179" i="44"/>
  <c r="BA179" i="44"/>
  <c r="BB179" i="44"/>
  <c r="BC179" i="44"/>
  <c r="BD179" i="44"/>
  <c r="BE179" i="44"/>
  <c r="BF179" i="44"/>
  <c r="BG179" i="44"/>
  <c r="BH179" i="44"/>
  <c r="BI179" i="44"/>
  <c r="BJ179" i="44"/>
  <c r="BK179" i="44"/>
  <c r="BL179" i="44"/>
  <c r="BM179" i="44"/>
  <c r="BN179" i="44"/>
  <c r="BO179" i="44"/>
  <c r="BP179" i="44"/>
  <c r="BQ179" i="44"/>
  <c r="BR179" i="44"/>
  <c r="BS179" i="44"/>
  <c r="BT179" i="44"/>
  <c r="BU179" i="44"/>
  <c r="BV179" i="44"/>
  <c r="BW179" i="44"/>
  <c r="BX179" i="44"/>
  <c r="BY179" i="44"/>
  <c r="BZ179" i="44"/>
  <c r="CA179" i="44"/>
  <c r="CB179" i="44"/>
  <c r="CC179" i="44"/>
  <c r="CD179" i="44"/>
  <c r="CE179" i="44"/>
  <c r="CF179" i="44"/>
  <c r="CG179" i="44"/>
  <c r="CH179" i="44"/>
  <c r="CI179" i="44"/>
  <c r="CJ179" i="44"/>
  <c r="CK179" i="44"/>
  <c r="CL179" i="44"/>
  <c r="CM179" i="44"/>
  <c r="CN179" i="44"/>
  <c r="CO179" i="44"/>
  <c r="CP179" i="44"/>
  <c r="CQ179" i="44"/>
  <c r="CR179" i="44"/>
  <c r="CS179" i="44"/>
  <c r="CT179" i="44"/>
  <c r="CU179" i="44"/>
  <c r="CV179" i="44"/>
  <c r="CW179" i="44"/>
  <c r="CX179" i="44"/>
  <c r="CY179" i="44"/>
  <c r="CZ179" i="44"/>
  <c r="DA179" i="44"/>
  <c r="DB179" i="44"/>
  <c r="DC179" i="44"/>
  <c r="DD179" i="44"/>
  <c r="DE179" i="44"/>
  <c r="DF179" i="44"/>
  <c r="DG179" i="44"/>
  <c r="DH179" i="44"/>
  <c r="DI179" i="44"/>
  <c r="DJ179" i="44"/>
  <c r="DK179" i="44"/>
  <c r="DK192" i="44" a="1"/>
  <c r="J207" i="44"/>
  <c r="J211" i="44"/>
  <c r="K207" i="44"/>
  <c r="K211" i="44"/>
  <c r="L207" i="44"/>
  <c r="L211" i="44"/>
  <c r="M207" i="44"/>
  <c r="M211" i="44"/>
  <c r="N207" i="44"/>
  <c r="N211" i="44"/>
  <c r="O207" i="44"/>
  <c r="O211" i="44"/>
  <c r="P207" i="44"/>
  <c r="P211" i="44"/>
  <c r="Q207" i="44"/>
  <c r="Q211" i="44"/>
  <c r="R207" i="44"/>
  <c r="R211" i="44"/>
  <c r="S207" i="44"/>
  <c r="S211" i="44"/>
  <c r="T207" i="44"/>
  <c r="T211" i="44"/>
  <c r="U207" i="44"/>
  <c r="U211" i="44"/>
  <c r="V207" i="44"/>
  <c r="V211" i="44"/>
  <c r="W207" i="44"/>
  <c r="W211" i="44"/>
  <c r="X207" i="44"/>
  <c r="X211" i="44"/>
  <c r="Y207" i="44"/>
  <c r="Y211" i="44"/>
  <c r="Z207" i="44"/>
  <c r="Z211" i="44"/>
  <c r="AA207" i="44"/>
  <c r="AA211" i="44"/>
  <c r="AB207" i="44"/>
  <c r="AB211" i="44"/>
  <c r="AC207" i="44"/>
  <c r="AC211" i="44"/>
  <c r="AD207" i="44"/>
  <c r="AD211" i="44"/>
  <c r="AE207" i="44"/>
  <c r="AE211" i="44"/>
  <c r="AF207" i="44"/>
  <c r="AF211" i="44"/>
  <c r="AG207" i="44"/>
  <c r="AG211" i="44"/>
  <c r="AH207" i="44"/>
  <c r="AH211" i="44"/>
  <c r="AI207" i="44"/>
  <c r="AI211" i="44"/>
  <c r="AJ207" i="44"/>
  <c r="AJ211" i="44"/>
  <c r="AK207" i="44"/>
  <c r="AK211" i="44"/>
  <c r="AL207" i="44"/>
  <c r="AL211" i="44"/>
  <c r="AM207" i="44"/>
  <c r="AM211" i="44"/>
  <c r="AN207" i="44"/>
  <c r="AN211" i="44"/>
  <c r="AO207" i="44"/>
  <c r="AO211" i="44"/>
  <c r="AP207" i="44"/>
  <c r="AP211" i="44"/>
  <c r="DL205" i="44"/>
  <c r="DL209" i="44"/>
  <c r="DL188" i="44"/>
  <c r="DL201" i="44" a="1"/>
  <c r="DL187" i="44"/>
  <c r="DL200" i="44" a="1"/>
  <c r="DL186" i="44"/>
  <c r="DL199" i="44" a="1"/>
  <c r="DL185" i="44"/>
  <c r="DL198" i="44" a="1"/>
  <c r="DL184" i="44"/>
  <c r="DL197" i="44" a="1"/>
  <c r="DL183" i="44"/>
  <c r="DL196" i="44" a="1"/>
  <c r="DL182" i="44"/>
  <c r="DL195" i="44" a="1"/>
  <c r="DL181" i="44"/>
  <c r="DL194" i="44" a="1"/>
  <c r="DL180" i="44"/>
  <c r="DL193" i="44" a="1"/>
  <c r="DL179" i="44"/>
  <c r="DL192" i="44" a="1"/>
  <c r="DM205" i="44"/>
  <c r="DM209" i="44"/>
  <c r="DM188" i="44"/>
  <c r="DM201" i="44" a="1"/>
  <c r="DM187" i="44"/>
  <c r="DM200" i="44" a="1"/>
  <c r="DM186" i="44"/>
  <c r="DM199" i="44" a="1"/>
  <c r="DM185" i="44"/>
  <c r="DM198" i="44" a="1"/>
  <c r="DM184" i="44"/>
  <c r="DM197" i="44" a="1"/>
  <c r="DM183" i="44"/>
  <c r="DM196" i="44" a="1"/>
  <c r="DM182" i="44"/>
  <c r="DM195" i="44" a="1"/>
  <c r="DM181" i="44"/>
  <c r="DM194" i="44" a="1"/>
  <c r="DM180" i="44"/>
  <c r="DM193" i="44" a="1"/>
  <c r="DM179" i="44"/>
  <c r="DM192" i="44" a="1"/>
  <c r="DN205" i="44"/>
  <c r="DN209" i="44"/>
  <c r="DN188" i="44"/>
  <c r="DN201" i="44" a="1"/>
  <c r="DN187" i="44"/>
  <c r="DN200" i="44" a="1"/>
  <c r="DN186" i="44"/>
  <c r="DN199" i="44" a="1"/>
  <c r="DN185" i="44"/>
  <c r="DN198" i="44" a="1"/>
  <c r="DN184" i="44"/>
  <c r="DN197" i="44" a="1"/>
  <c r="DN183" i="44"/>
  <c r="DN196" i="44" a="1"/>
  <c r="DN182" i="44"/>
  <c r="DN195" i="44" a="1"/>
  <c r="DN181" i="44"/>
  <c r="DN194" i="44" a="1"/>
  <c r="DN180" i="44"/>
  <c r="DN193" i="44" a="1"/>
  <c r="DN179" i="44"/>
  <c r="DN192" i="44" a="1"/>
  <c r="DO205" i="44"/>
  <c r="DO209" i="44"/>
  <c r="DP205" i="44"/>
  <c r="DP209" i="44"/>
  <c r="DQ205" i="44"/>
  <c r="DQ209" i="44"/>
  <c r="DR205" i="44"/>
  <c r="DR209" i="44"/>
  <c r="DS205" i="44"/>
  <c r="DS209" i="44"/>
  <c r="DT205" i="44"/>
  <c r="DT209" i="44"/>
  <c r="DU205" i="44"/>
  <c r="DU209" i="44"/>
  <c r="DV205" i="44"/>
  <c r="DV209" i="44"/>
  <c r="DO188" i="44"/>
  <c r="DP188" i="44"/>
  <c r="DQ188" i="44"/>
  <c r="DR188" i="44"/>
  <c r="DS188" i="44"/>
  <c r="DT188" i="44"/>
  <c r="DU188" i="44"/>
  <c r="DV188" i="44"/>
  <c r="DV201" i="44" a="1"/>
  <c r="DO187" i="44"/>
  <c r="DP187" i="44"/>
  <c r="DQ187" i="44"/>
  <c r="DR187" i="44"/>
  <c r="DS187" i="44"/>
  <c r="DT187" i="44"/>
  <c r="DU187" i="44"/>
  <c r="DV187" i="44"/>
  <c r="DV200" i="44" a="1"/>
  <c r="DO186" i="44"/>
  <c r="DP186" i="44"/>
  <c r="DQ186" i="44"/>
  <c r="DR186" i="44"/>
  <c r="DS186" i="44"/>
  <c r="DT186" i="44"/>
  <c r="DU186" i="44"/>
  <c r="DV186" i="44"/>
  <c r="DV199" i="44" a="1"/>
  <c r="DO185" i="44"/>
  <c r="DP185" i="44"/>
  <c r="DQ185" i="44"/>
  <c r="DR185" i="44"/>
  <c r="DS185" i="44"/>
  <c r="DT185" i="44"/>
  <c r="DU185" i="44"/>
  <c r="DV185" i="44"/>
  <c r="DV198" i="44" a="1"/>
  <c r="DO184" i="44"/>
  <c r="DP184" i="44"/>
  <c r="DQ184" i="44"/>
  <c r="DR184" i="44"/>
  <c r="DS184" i="44"/>
  <c r="DT184" i="44"/>
  <c r="DU184" i="44"/>
  <c r="DV184" i="44"/>
  <c r="DV197" i="44" a="1"/>
  <c r="DO183" i="44"/>
  <c r="DP183" i="44"/>
  <c r="DQ183" i="44"/>
  <c r="DR183" i="44"/>
  <c r="DS183" i="44"/>
  <c r="DT183" i="44"/>
  <c r="DU183" i="44"/>
  <c r="DV183" i="44"/>
  <c r="DV196" i="44" a="1"/>
  <c r="DO182" i="44"/>
  <c r="DP182" i="44"/>
  <c r="DQ182" i="44"/>
  <c r="DR182" i="44"/>
  <c r="DS182" i="44"/>
  <c r="DT182" i="44"/>
  <c r="DU182" i="44"/>
  <c r="DV182" i="44"/>
  <c r="DV195" i="44" a="1"/>
  <c r="DO181" i="44"/>
  <c r="DP181" i="44"/>
  <c r="DQ181" i="44"/>
  <c r="DR181" i="44"/>
  <c r="DS181" i="44"/>
  <c r="DT181" i="44"/>
  <c r="DU181" i="44"/>
  <c r="DV181" i="44"/>
  <c r="DV194" i="44" a="1"/>
  <c r="DO180" i="44"/>
  <c r="DP180" i="44"/>
  <c r="DQ180" i="44"/>
  <c r="DR180" i="44"/>
  <c r="DS180" i="44"/>
  <c r="DT180" i="44"/>
  <c r="DU180" i="44"/>
  <c r="DV180" i="44"/>
  <c r="DV193" i="44" a="1"/>
  <c r="DO179" i="44"/>
  <c r="DP179" i="44"/>
  <c r="DQ179" i="44"/>
  <c r="DR179" i="44"/>
  <c r="DS179" i="44"/>
  <c r="DT179" i="44"/>
  <c r="DU179" i="44"/>
  <c r="DV179" i="44"/>
  <c r="DV192" i="44" a="1"/>
  <c r="DU201" i="44" a="1"/>
  <c r="DU200" i="44" a="1"/>
  <c r="DU199" i="44" a="1"/>
  <c r="DU198" i="44" a="1"/>
  <c r="DU197" i="44" a="1"/>
  <c r="DU196" i="44" a="1"/>
  <c r="DU195" i="44" a="1"/>
  <c r="DU194" i="44" a="1"/>
  <c r="DU193" i="44" a="1"/>
  <c r="DU192" i="44" a="1"/>
  <c r="DT201" i="44" a="1"/>
  <c r="DT200" i="44" a="1"/>
  <c r="DT199" i="44" a="1"/>
  <c r="DT198" i="44" a="1"/>
  <c r="DT197" i="44" a="1"/>
  <c r="DT196" i="44" a="1"/>
  <c r="DT195" i="44" a="1"/>
  <c r="DT194" i="44" a="1"/>
  <c r="DT193" i="44" a="1"/>
  <c r="DT192" i="44" a="1"/>
  <c r="DS201" i="44" a="1"/>
  <c r="DS200" i="44" a="1"/>
  <c r="DS199" i="44" a="1"/>
  <c r="DS198" i="44" a="1"/>
  <c r="DS197" i="44" a="1"/>
  <c r="DS196" i="44" a="1"/>
  <c r="DS195" i="44" a="1"/>
  <c r="DS194" i="44" a="1"/>
  <c r="DS193" i="44" a="1"/>
  <c r="DS192" i="44" a="1"/>
  <c r="DR201" i="44" a="1"/>
  <c r="DR200" i="44" a="1"/>
  <c r="DR199" i="44" a="1"/>
  <c r="DR198" i="44" a="1"/>
  <c r="DR197" i="44" a="1"/>
  <c r="DR196" i="44" a="1"/>
  <c r="DR195" i="44" a="1"/>
  <c r="DR194" i="44" a="1"/>
  <c r="DR193" i="44" a="1"/>
  <c r="DR192" i="44" a="1"/>
  <c r="DQ201" i="44" a="1"/>
  <c r="DQ200" i="44" a="1"/>
  <c r="DQ199" i="44" a="1"/>
  <c r="DQ198" i="44" a="1"/>
  <c r="DQ197" i="44" a="1"/>
  <c r="DQ196" i="44" a="1"/>
  <c r="DQ195" i="44" a="1"/>
  <c r="DQ194" i="44" a="1"/>
  <c r="DQ193" i="44" a="1"/>
  <c r="DQ192" i="44" a="1"/>
  <c r="DP201" i="44" a="1"/>
  <c r="DP200" i="44" a="1"/>
  <c r="DP199" i="44" a="1"/>
  <c r="DP198" i="44" a="1"/>
  <c r="DP197" i="44" a="1"/>
  <c r="DP196" i="44" a="1"/>
  <c r="DP195" i="44" a="1"/>
  <c r="DP194" i="44" a="1"/>
  <c r="DP193" i="44" a="1"/>
  <c r="DP192" i="44" a="1"/>
  <c r="DO201" i="44" a="1"/>
  <c r="DO200" i="44" a="1"/>
  <c r="DO199" i="44" a="1"/>
  <c r="DO198" i="44" a="1"/>
  <c r="DO197" i="44" a="1"/>
  <c r="DO196" i="44" a="1"/>
  <c r="DO195" i="44" a="1"/>
  <c r="DO194" i="44" a="1"/>
  <c r="DO193" i="44" a="1"/>
  <c r="DO192" i="44" a="1"/>
  <c r="DJ201" i="44" a="1"/>
  <c r="DJ200" i="44" a="1"/>
  <c r="DJ199" i="44" a="1"/>
  <c r="DJ198" i="44" a="1"/>
  <c r="DJ197" i="44" a="1"/>
  <c r="DJ196" i="44" a="1"/>
  <c r="DJ195" i="44" a="1"/>
  <c r="DJ194" i="44" a="1"/>
  <c r="DJ193" i="44" a="1"/>
  <c r="DJ192" i="44" a="1"/>
  <c r="DI201" i="44" a="1"/>
  <c r="DI200" i="44" a="1"/>
  <c r="DI199" i="44" a="1"/>
  <c r="DI198" i="44" a="1"/>
  <c r="DI197" i="44" a="1"/>
  <c r="DI196" i="44" a="1"/>
  <c r="DI195" i="44" a="1"/>
  <c r="DI194" i="44" a="1"/>
  <c r="DI193" i="44" a="1"/>
  <c r="DI192" i="44" a="1"/>
  <c r="DH201" i="44" a="1"/>
  <c r="DH200" i="44" a="1"/>
  <c r="DH199" i="44" a="1"/>
  <c r="DH198" i="44" a="1"/>
  <c r="DH197" i="44" a="1"/>
  <c r="DH196" i="44" a="1"/>
  <c r="DH195" i="44" a="1"/>
  <c r="DH194" i="44" a="1"/>
  <c r="DH193" i="44" a="1"/>
  <c r="DH192" i="44" a="1"/>
  <c r="DG201" i="44" a="1"/>
  <c r="DG200" i="44" a="1"/>
  <c r="DG199" i="44" a="1"/>
  <c r="DG198" i="44" a="1"/>
  <c r="DG197" i="44" a="1"/>
  <c r="DG196" i="44" a="1"/>
  <c r="DG195" i="44" a="1"/>
  <c r="DG194" i="44" a="1"/>
  <c r="DG193" i="44" a="1"/>
  <c r="DG192" i="44" a="1"/>
  <c r="DF201" i="44" a="1"/>
  <c r="DF200" i="44" a="1"/>
  <c r="DF199" i="44" a="1"/>
  <c r="DF198" i="44" a="1"/>
  <c r="DF197" i="44" a="1"/>
  <c r="DF196" i="44" a="1"/>
  <c r="DF195" i="44" a="1"/>
  <c r="DF194" i="44" a="1"/>
  <c r="DF193" i="44" a="1"/>
  <c r="DF192" i="44" a="1"/>
  <c r="DE201" i="44" a="1"/>
  <c r="DE200" i="44" a="1"/>
  <c r="DE199" i="44" a="1"/>
  <c r="DE198" i="44" a="1"/>
  <c r="DE197" i="44" a="1"/>
  <c r="DE196" i="44" a="1"/>
  <c r="DE195" i="44" a="1"/>
  <c r="DE194" i="44" a="1"/>
  <c r="DE193" i="44" a="1"/>
  <c r="DE192" i="44" a="1"/>
  <c r="DD201" i="44" a="1"/>
  <c r="DD200" i="44" a="1"/>
  <c r="DD199" i="44" a="1"/>
  <c r="DD198" i="44" a="1"/>
  <c r="DD197" i="44" a="1"/>
  <c r="DD196" i="44" a="1"/>
  <c r="DD195" i="44" a="1"/>
  <c r="DD194" i="44" a="1"/>
  <c r="DD193" i="44" a="1"/>
  <c r="DD192" i="44" a="1"/>
  <c r="DC201" i="44" a="1"/>
  <c r="DC200" i="44" a="1"/>
  <c r="DC199" i="44" a="1"/>
  <c r="DC198" i="44" a="1"/>
  <c r="DC197" i="44" a="1"/>
  <c r="DC196" i="44" a="1"/>
  <c r="DC195" i="44" a="1"/>
  <c r="DC194" i="44" a="1"/>
  <c r="DC193" i="44" a="1"/>
  <c r="DC192" i="44" a="1"/>
  <c r="DB201" i="44" a="1"/>
  <c r="DB200" i="44" a="1"/>
  <c r="DB199" i="44" a="1"/>
  <c r="DB198" i="44" a="1"/>
  <c r="DB197" i="44" a="1"/>
  <c r="DB196" i="44" a="1"/>
  <c r="DB195" i="44" a="1"/>
  <c r="DB194" i="44" a="1"/>
  <c r="DB193" i="44" a="1"/>
  <c r="DB192" i="44" a="1"/>
  <c r="DA201" i="44" a="1"/>
  <c r="DA200" i="44" a="1"/>
  <c r="DA199" i="44" a="1"/>
  <c r="DA198" i="44" a="1"/>
  <c r="DA197" i="44" a="1"/>
  <c r="DA196" i="44" a="1"/>
  <c r="DA195" i="44" a="1"/>
  <c r="DA194" i="44" a="1"/>
  <c r="DA193" i="44" a="1"/>
  <c r="DA192" i="44" a="1"/>
  <c r="CZ201" i="44" a="1"/>
  <c r="CZ200" i="44" a="1"/>
  <c r="CZ199" i="44" a="1"/>
  <c r="CZ198" i="44" a="1"/>
  <c r="CZ197" i="44" a="1"/>
  <c r="CZ196" i="44" a="1"/>
  <c r="CZ195" i="44" a="1"/>
  <c r="CZ194" i="44" a="1"/>
  <c r="CZ193" i="44" a="1"/>
  <c r="CZ192" i="44" a="1"/>
  <c r="CY201" i="44" a="1"/>
  <c r="CY200" i="44" a="1"/>
  <c r="CY199" i="44" a="1"/>
  <c r="CY198" i="44" a="1"/>
  <c r="CY197" i="44" a="1"/>
  <c r="CY196" i="44" a="1"/>
  <c r="CY195" i="44" a="1"/>
  <c r="CY194" i="44" a="1"/>
  <c r="CY193" i="44" a="1"/>
  <c r="CY192" i="44" a="1"/>
  <c r="CX201" i="44" a="1"/>
  <c r="CX200" i="44" a="1"/>
  <c r="CX199" i="44" a="1"/>
  <c r="CX198" i="44" a="1"/>
  <c r="CX197" i="44" a="1"/>
  <c r="CX196" i="44" a="1"/>
  <c r="CX195" i="44" a="1"/>
  <c r="CX194" i="44" a="1"/>
  <c r="CX193" i="44" a="1"/>
  <c r="CX192" i="44" a="1"/>
  <c r="CW201" i="44" a="1"/>
  <c r="CW200" i="44" a="1"/>
  <c r="CW199" i="44" a="1"/>
  <c r="CW198" i="44" a="1"/>
  <c r="CW197" i="44" a="1"/>
  <c r="CW196" i="44" a="1"/>
  <c r="CW195" i="44" a="1"/>
  <c r="CW194" i="44" a="1"/>
  <c r="CW193" i="44" a="1"/>
  <c r="CW192" i="44" a="1"/>
  <c r="CV201" i="44" a="1"/>
  <c r="CV200" i="44" a="1"/>
  <c r="CV199" i="44" a="1"/>
  <c r="CV198" i="44" a="1"/>
  <c r="CV197" i="44" a="1"/>
  <c r="CV196" i="44" a="1"/>
  <c r="CV195" i="44" a="1"/>
  <c r="CV194" i="44" a="1"/>
  <c r="CV193" i="44" a="1"/>
  <c r="CV192" i="44" a="1"/>
  <c r="CU201" i="44" a="1"/>
  <c r="CU200" i="44" a="1"/>
  <c r="CU199" i="44" a="1"/>
  <c r="CU198" i="44" a="1"/>
  <c r="CU197" i="44" a="1"/>
  <c r="CU196" i="44" a="1"/>
  <c r="CU195" i="44" a="1"/>
  <c r="CU194" i="44" a="1"/>
  <c r="CU193" i="44" a="1"/>
  <c r="CU192" i="44" a="1"/>
  <c r="CT201" i="44" a="1"/>
  <c r="CT200" i="44" a="1"/>
  <c r="CT199" i="44" a="1"/>
  <c r="CT198" i="44" a="1"/>
  <c r="CT197" i="44" a="1"/>
  <c r="CT196" i="44" a="1"/>
  <c r="CT195" i="44" a="1"/>
  <c r="CT194" i="44" a="1"/>
  <c r="CT193" i="44" a="1"/>
  <c r="CT192" i="44" a="1"/>
  <c r="CS201" i="44" a="1"/>
  <c r="CS200" i="44" a="1"/>
  <c r="CS199" i="44" a="1"/>
  <c r="CS198" i="44" a="1"/>
  <c r="CS197" i="44" a="1"/>
  <c r="CS196" i="44" a="1"/>
  <c r="CS195" i="44" a="1"/>
  <c r="CS194" i="44" a="1"/>
  <c r="CS193" i="44" a="1"/>
  <c r="CS192" i="44" a="1"/>
  <c r="CR201" i="44" a="1"/>
  <c r="CR200" i="44" a="1"/>
  <c r="CR199" i="44" a="1"/>
  <c r="CR198" i="44" a="1"/>
  <c r="CR197" i="44" a="1"/>
  <c r="CR196" i="44" a="1"/>
  <c r="CR195" i="44" a="1"/>
  <c r="CR194" i="44" a="1"/>
  <c r="CR193" i="44" a="1"/>
  <c r="CR192" i="44" a="1"/>
  <c r="CQ201" i="44" a="1"/>
  <c r="CQ200" i="44" a="1"/>
  <c r="CQ199" i="44" a="1"/>
  <c r="CQ198" i="44" a="1"/>
  <c r="CQ197" i="44" a="1"/>
  <c r="CQ196" i="44" a="1"/>
  <c r="CQ195" i="44" a="1"/>
  <c r="CQ194" i="44" a="1"/>
  <c r="CQ193" i="44" a="1"/>
  <c r="CQ192" i="44" a="1"/>
  <c r="CP201" i="44" a="1"/>
  <c r="CP200" i="44" a="1"/>
  <c r="CP199" i="44" a="1"/>
  <c r="CP198" i="44" a="1"/>
  <c r="CP197" i="44" a="1"/>
  <c r="CP196" i="44" a="1"/>
  <c r="CP195" i="44" a="1"/>
  <c r="CP194" i="44" a="1"/>
  <c r="CP193" i="44" a="1"/>
  <c r="CP192" i="44" a="1"/>
  <c r="CO201" i="44" a="1"/>
  <c r="CO200" i="44" a="1"/>
  <c r="CO199" i="44" a="1"/>
  <c r="CO198" i="44" a="1"/>
  <c r="CO197" i="44" a="1"/>
  <c r="CO196" i="44" a="1"/>
  <c r="CO195" i="44" a="1"/>
  <c r="CO194" i="44" a="1"/>
  <c r="CO193" i="44" a="1"/>
  <c r="CO192" i="44" a="1"/>
  <c r="CN201" i="44" a="1"/>
  <c r="CN200" i="44" a="1"/>
  <c r="CN199" i="44" a="1"/>
  <c r="CN198" i="44" a="1"/>
  <c r="CN197" i="44" a="1"/>
  <c r="CN196" i="44" a="1"/>
  <c r="CN195" i="44" a="1"/>
  <c r="CN194" i="44" a="1"/>
  <c r="CN193" i="44" a="1"/>
  <c r="CN192" i="44" a="1"/>
  <c r="CM201" i="44" a="1"/>
  <c r="CM200" i="44" a="1"/>
  <c r="CM199" i="44" a="1"/>
  <c r="CM198" i="44" a="1"/>
  <c r="CM197" i="44" a="1"/>
  <c r="CM196" i="44" a="1"/>
  <c r="CM195" i="44" a="1"/>
  <c r="CM194" i="44" a="1"/>
  <c r="CM193" i="44" a="1"/>
  <c r="CM192" i="44" a="1"/>
  <c r="CL201" i="44" a="1"/>
  <c r="CL200" i="44" a="1"/>
  <c r="CL199" i="44" a="1"/>
  <c r="CL198" i="44" a="1"/>
  <c r="CL197" i="44" a="1"/>
  <c r="CL196" i="44" a="1"/>
  <c r="CL195" i="44" a="1"/>
  <c r="CL194" i="44" a="1"/>
  <c r="CL193" i="44" a="1"/>
  <c r="CL192" i="44" a="1"/>
  <c r="CK201" i="44" a="1"/>
  <c r="CK200" i="44" a="1"/>
  <c r="CK199" i="44" a="1"/>
  <c r="CK198" i="44" a="1"/>
  <c r="CK197" i="44" a="1"/>
  <c r="CK196" i="44" a="1"/>
  <c r="CK195" i="44" a="1"/>
  <c r="CK194" i="44" a="1"/>
  <c r="CK193" i="44" a="1"/>
  <c r="CK192" i="44" a="1"/>
  <c r="CJ201" i="44" a="1"/>
  <c r="CJ200" i="44" a="1"/>
  <c r="CJ199" i="44" a="1"/>
  <c r="CJ198" i="44" a="1"/>
  <c r="CJ197" i="44" a="1"/>
  <c r="CJ196" i="44" a="1"/>
  <c r="CJ195" i="44" a="1"/>
  <c r="CJ194" i="44" a="1"/>
  <c r="CJ193" i="44" a="1"/>
  <c r="CJ192" i="44" a="1"/>
  <c r="CI201" i="44" a="1"/>
  <c r="CI200" i="44" a="1"/>
  <c r="CI199" i="44" a="1"/>
  <c r="CI198" i="44" a="1"/>
  <c r="CI197" i="44" a="1"/>
  <c r="CI196" i="44" a="1"/>
  <c r="CI195" i="44" a="1"/>
  <c r="CI194" i="44" a="1"/>
  <c r="CI193" i="44" a="1"/>
  <c r="CI192" i="44" a="1"/>
  <c r="CH201" i="44" a="1"/>
  <c r="CH200" i="44" a="1"/>
  <c r="CH199" i="44" a="1"/>
  <c r="CH198" i="44" a="1"/>
  <c r="CH197" i="44" a="1"/>
  <c r="CH196" i="44" a="1"/>
  <c r="CH195" i="44" a="1"/>
  <c r="CH194" i="44" a="1"/>
  <c r="CH193" i="44" a="1"/>
  <c r="CH192" i="44" a="1"/>
  <c r="CG201" i="44" a="1"/>
  <c r="CG200" i="44" a="1"/>
  <c r="CG199" i="44" a="1"/>
  <c r="CG198" i="44" a="1"/>
  <c r="CG197" i="44" a="1"/>
  <c r="CG196" i="44" a="1"/>
  <c r="CG195" i="44" a="1"/>
  <c r="CG194" i="44" a="1"/>
  <c r="CG193" i="44" a="1"/>
  <c r="CG192" i="44" a="1"/>
  <c r="CF201" i="44" a="1"/>
  <c r="CF200" i="44" a="1"/>
  <c r="CF199" i="44" a="1"/>
  <c r="CF198" i="44" a="1"/>
  <c r="CF197" i="44" a="1"/>
  <c r="CF196" i="44" a="1"/>
  <c r="CF195" i="44" a="1"/>
  <c r="CF194" i="44" a="1"/>
  <c r="CF193" i="44" a="1"/>
  <c r="CF192" i="44" a="1"/>
  <c r="CE201" i="44" a="1"/>
  <c r="CE200" i="44" a="1"/>
  <c r="CE199" i="44" a="1"/>
  <c r="CE198" i="44" a="1"/>
  <c r="CE197" i="44" a="1"/>
  <c r="CE196" i="44" a="1"/>
  <c r="CE195" i="44" a="1"/>
  <c r="CE194" i="44" a="1"/>
  <c r="CE193" i="44" a="1"/>
  <c r="CE192" i="44" a="1"/>
  <c r="CD201" i="44" a="1"/>
  <c r="CD200" i="44" a="1"/>
  <c r="CD199" i="44" a="1"/>
  <c r="CD198" i="44" a="1"/>
  <c r="CD197" i="44" a="1"/>
  <c r="CD196" i="44" a="1"/>
  <c r="CD195" i="44" a="1"/>
  <c r="CD194" i="44" a="1"/>
  <c r="CD193" i="44" a="1"/>
  <c r="CD192" i="44" a="1"/>
  <c r="CC201" i="44" a="1"/>
  <c r="CC200" i="44" a="1"/>
  <c r="CC199" i="44" a="1"/>
  <c r="CC198" i="44" a="1"/>
  <c r="CC197" i="44" a="1"/>
  <c r="CC196" i="44" a="1"/>
  <c r="CC195" i="44" a="1"/>
  <c r="CC194" i="44" a="1"/>
  <c r="CC193" i="44" a="1"/>
  <c r="CC192" i="44" a="1"/>
  <c r="CB201" i="44" a="1"/>
  <c r="CB200" i="44" a="1"/>
  <c r="CB199" i="44" a="1"/>
  <c r="CB198" i="44" a="1"/>
  <c r="CB197" i="44" a="1"/>
  <c r="CB196" i="44" a="1"/>
  <c r="CB195" i="44" a="1"/>
  <c r="CB194" i="44" a="1"/>
  <c r="CB193" i="44" a="1"/>
  <c r="CB192" i="44" a="1"/>
  <c r="CA201" i="44" a="1"/>
  <c r="CA200" i="44" a="1"/>
  <c r="CA199" i="44" a="1"/>
  <c r="CA198" i="44" a="1"/>
  <c r="CA197" i="44" a="1"/>
  <c r="CA196" i="44" a="1"/>
  <c r="CA195" i="44" a="1"/>
  <c r="CA194" i="44" a="1"/>
  <c r="CA193" i="44" a="1"/>
  <c r="CA192" i="44" a="1"/>
  <c r="BZ201" i="44" a="1"/>
  <c r="BZ200" i="44" a="1"/>
  <c r="BZ199" i="44" a="1"/>
  <c r="BZ198" i="44" a="1"/>
  <c r="BZ197" i="44" a="1"/>
  <c r="BZ196" i="44" a="1"/>
  <c r="BZ195" i="44" a="1"/>
  <c r="BZ194" i="44" a="1"/>
  <c r="BZ193" i="44" a="1"/>
  <c r="BZ192" i="44" a="1"/>
  <c r="BY41" i="44"/>
  <c r="BY200" i="44" a="1"/>
  <c r="BY199" i="44" a="1"/>
  <c r="BY198" i="44" a="1"/>
  <c r="BY197" i="44" a="1"/>
  <c r="BY196" i="44" a="1"/>
  <c r="BY195" i="44" a="1"/>
  <c r="BY194" i="44" a="1"/>
  <c r="BY193" i="44" a="1"/>
  <c r="BY192" i="44" a="1"/>
  <c r="BX41" i="44"/>
  <c r="BX200" i="44" a="1"/>
  <c r="BX199" i="44" a="1"/>
  <c r="BX198" i="44" a="1"/>
  <c r="BX197" i="44" a="1"/>
  <c r="BX196" i="44" a="1"/>
  <c r="BX195" i="44" a="1"/>
  <c r="BX194" i="44" a="1"/>
  <c r="BX193" i="44" a="1"/>
  <c r="BX192" i="44" a="1"/>
  <c r="BW41" i="44"/>
  <c r="BW200" i="44" a="1"/>
  <c r="BW199" i="44" a="1"/>
  <c r="BW198" i="44" a="1"/>
  <c r="BW197" i="44" a="1"/>
  <c r="BW196" i="44" a="1"/>
  <c r="BW195" i="44" a="1"/>
  <c r="BW194" i="44" a="1"/>
  <c r="BW193" i="44" a="1"/>
  <c r="BW192" i="44" a="1"/>
  <c r="BV41" i="44"/>
  <c r="BV200" i="44" a="1"/>
  <c r="BV199" i="44" a="1"/>
  <c r="BV198" i="44" a="1"/>
  <c r="BV197" i="44" a="1"/>
  <c r="BV196" i="44" a="1"/>
  <c r="BV195" i="44" a="1"/>
  <c r="BV194" i="44" a="1"/>
  <c r="BV193" i="44" a="1"/>
  <c r="BV192" i="44" a="1"/>
  <c r="BU41" i="44"/>
  <c r="BU200" i="44" a="1"/>
  <c r="BU199" i="44" a="1"/>
  <c r="BU198" i="44" a="1"/>
  <c r="BU197" i="44" a="1"/>
  <c r="BU196" i="44" a="1"/>
  <c r="BU195" i="44" a="1"/>
  <c r="BU194" i="44" a="1"/>
  <c r="BU193" i="44" a="1"/>
  <c r="BU192" i="44" a="1"/>
  <c r="BT41" i="44"/>
  <c r="BT200" i="44" a="1"/>
  <c r="BT199" i="44" a="1"/>
  <c r="BT198" i="44" a="1"/>
  <c r="BT197" i="44" a="1"/>
  <c r="BT196" i="44" a="1"/>
  <c r="BT195" i="44" a="1"/>
  <c r="BT194" i="44" a="1"/>
  <c r="BT193" i="44" a="1"/>
  <c r="BT192" i="44" a="1"/>
  <c r="BS41" i="44"/>
  <c r="BS200" i="44" a="1"/>
  <c r="BS199" i="44" a="1"/>
  <c r="BS198" i="44" a="1"/>
  <c r="BS197" i="44" a="1"/>
  <c r="BS196" i="44" a="1"/>
  <c r="BS195" i="44" a="1"/>
  <c r="BS194" i="44" a="1"/>
  <c r="BS193" i="44" a="1"/>
  <c r="BS192" i="44" a="1"/>
  <c r="BR41" i="44"/>
  <c r="BR200" i="44" a="1"/>
  <c r="BR199" i="44" a="1"/>
  <c r="BR198" i="44" a="1"/>
  <c r="BR197" i="44" a="1"/>
  <c r="BR196" i="44" a="1"/>
  <c r="BR195" i="44" a="1"/>
  <c r="BR194" i="44" a="1"/>
  <c r="BR193" i="44" a="1"/>
  <c r="BR192" i="44" a="1"/>
  <c r="BQ41" i="44"/>
  <c r="BQ40" i="44"/>
  <c r="BQ199" i="44" a="1"/>
  <c r="BQ198" i="44" a="1"/>
  <c r="BQ197" i="44" a="1"/>
  <c r="BQ196" i="44" a="1"/>
  <c r="BQ195" i="44" a="1"/>
  <c r="BQ194" i="44" a="1"/>
  <c r="BQ193" i="44" a="1"/>
  <c r="BQ192" i="44" a="1"/>
  <c r="BP41" i="44"/>
  <c r="BP40" i="44"/>
  <c r="BP199" i="44" a="1"/>
  <c r="BP198" i="44" a="1"/>
  <c r="BP197" i="44" a="1"/>
  <c r="BP196" i="44" a="1"/>
  <c r="BP195" i="44" a="1"/>
  <c r="BP194" i="44" a="1"/>
  <c r="BP193" i="44" a="1"/>
  <c r="BP192" i="44" a="1"/>
  <c r="BO41" i="44"/>
  <c r="BO40" i="44"/>
  <c r="BO199" i="44" a="1"/>
  <c r="BO198" i="44" a="1"/>
  <c r="BO197" i="44" a="1"/>
  <c r="BO196" i="44" a="1"/>
  <c r="BO195" i="44" a="1"/>
  <c r="BO194" i="44" a="1"/>
  <c r="BO193" i="44" a="1"/>
  <c r="BO192" i="44" a="1"/>
  <c r="BN41" i="44"/>
  <c r="BN40" i="44"/>
  <c r="BN199" i="44" a="1"/>
  <c r="BN198" i="44" a="1"/>
  <c r="BN197" i="44" a="1"/>
  <c r="BN196" i="44" a="1"/>
  <c r="BN195" i="44" a="1"/>
  <c r="BN194" i="44" a="1"/>
  <c r="BN193" i="44" a="1"/>
  <c r="BN192" i="44" a="1"/>
  <c r="BM41" i="44"/>
  <c r="BM40" i="44"/>
  <c r="BM199" i="44" a="1"/>
  <c r="BM198" i="44" a="1"/>
  <c r="BM197" i="44" a="1"/>
  <c r="BM196" i="44" a="1"/>
  <c r="BM195" i="44" a="1"/>
  <c r="BM194" i="44" a="1"/>
  <c r="BM193" i="44" a="1"/>
  <c r="BM192" i="44" a="1"/>
  <c r="BL41" i="44"/>
  <c r="BL40" i="44"/>
  <c r="BL199" i="44" a="1"/>
  <c r="BL198" i="44" a="1"/>
  <c r="BL197" i="44" a="1"/>
  <c r="BL196" i="44" a="1"/>
  <c r="BL195" i="44" a="1"/>
  <c r="BL194" i="44" a="1"/>
  <c r="BL193" i="44" a="1"/>
  <c r="BL192" i="44" a="1"/>
  <c r="BK41" i="44"/>
  <c r="BK40" i="44"/>
  <c r="BK199" i="44" a="1"/>
  <c r="BK198" i="44" a="1"/>
  <c r="BK197" i="44" a="1"/>
  <c r="BK196" i="44" a="1"/>
  <c r="BK195" i="44" a="1"/>
  <c r="BK194" i="44" a="1"/>
  <c r="BK193" i="44" a="1"/>
  <c r="BK192" i="44" a="1"/>
  <c r="BJ41" i="44"/>
  <c r="BJ40" i="44"/>
  <c r="BJ199" i="44" a="1"/>
  <c r="BJ198" i="44" a="1"/>
  <c r="BJ197" i="44" a="1"/>
  <c r="BJ196" i="44" a="1"/>
  <c r="BJ195" i="44" a="1"/>
  <c r="BJ194" i="44" a="1"/>
  <c r="BJ193" i="44" a="1"/>
  <c r="BJ192" i="44" a="1"/>
  <c r="BI41" i="44"/>
  <c r="BI40" i="44"/>
  <c r="BI199" i="44" a="1"/>
  <c r="BI198" i="44" a="1"/>
  <c r="BI197" i="44" a="1"/>
  <c r="BI196" i="44" a="1"/>
  <c r="BI195" i="44" a="1"/>
  <c r="BI194" i="44" a="1"/>
  <c r="BI193" i="44" a="1"/>
  <c r="BI192" i="44" a="1"/>
  <c r="BH41" i="44"/>
  <c r="BH40" i="44"/>
  <c r="BH199" i="44" a="1"/>
  <c r="BH198" i="44" a="1"/>
  <c r="BH197" i="44" a="1"/>
  <c r="BH196" i="44" a="1"/>
  <c r="BH195" i="44" a="1"/>
  <c r="BH194" i="44" a="1"/>
  <c r="BH193" i="44" a="1"/>
  <c r="BH192" i="44" a="1"/>
  <c r="BG41" i="44"/>
  <c r="BG40" i="44"/>
  <c r="BG199" i="44" a="1"/>
  <c r="BG198" i="44" a="1"/>
  <c r="BG197" i="44" a="1"/>
  <c r="BG196" i="44" a="1"/>
  <c r="BG195" i="44" a="1"/>
  <c r="BG194" i="44" a="1"/>
  <c r="BG193" i="44" a="1"/>
  <c r="BG192" i="44" a="1"/>
  <c r="BF41" i="44"/>
  <c r="BF40" i="44"/>
  <c r="BF199" i="44" a="1"/>
  <c r="BF198" i="44" a="1"/>
  <c r="BF197" i="44" a="1"/>
  <c r="BF196" i="44" a="1"/>
  <c r="BF195" i="44" a="1"/>
  <c r="BF194" i="44" a="1"/>
  <c r="BF193" i="44" a="1"/>
  <c r="BF192" i="44" a="1"/>
  <c r="BE41" i="44"/>
  <c r="BE40" i="44"/>
  <c r="BE199" i="44" a="1"/>
  <c r="BE198" i="44" a="1"/>
  <c r="BE197" i="44" a="1"/>
  <c r="BE196" i="44" a="1"/>
  <c r="BE195" i="44" a="1"/>
  <c r="BE194" i="44" a="1"/>
  <c r="BE193" i="44" a="1"/>
  <c r="BE192" i="44" a="1"/>
  <c r="BD41" i="44"/>
  <c r="BD40" i="44"/>
  <c r="BD39" i="44"/>
  <c r="BD38" i="44"/>
  <c r="BD197" i="44" a="1"/>
  <c r="BD196" i="44" a="1"/>
  <c r="BD195" i="44" a="1"/>
  <c r="BD194" i="44" a="1"/>
  <c r="BD193" i="44" a="1"/>
  <c r="BD192" i="44" a="1"/>
  <c r="BC41" i="44"/>
  <c r="BC40" i="44"/>
  <c r="BC39" i="44"/>
  <c r="BC38" i="44"/>
  <c r="BC197" i="44" a="1"/>
  <c r="BC196" i="44" a="1"/>
  <c r="BC195" i="44" a="1"/>
  <c r="BC194" i="44" a="1"/>
  <c r="BC193" i="44" a="1"/>
  <c r="BC192" i="44" a="1"/>
  <c r="BB41" i="44"/>
  <c r="BB40" i="44"/>
  <c r="BB39" i="44"/>
  <c r="BB38" i="44"/>
  <c r="BB197" i="44" a="1"/>
  <c r="BB196" i="44" a="1"/>
  <c r="BB195" i="44" a="1"/>
  <c r="BB194" i="44" a="1"/>
  <c r="BB193" i="44" a="1"/>
  <c r="BB192" i="44" a="1"/>
  <c r="BA41" i="44"/>
  <c r="BA40" i="44"/>
  <c r="BA39" i="44"/>
  <c r="BA38" i="44"/>
  <c r="BA197" i="44" a="1"/>
  <c r="BA196" i="44" a="1"/>
  <c r="BA195" i="44" a="1"/>
  <c r="BA194" i="44" a="1"/>
  <c r="BA193" i="44" a="1"/>
  <c r="BA192" i="44" a="1"/>
  <c r="AZ41" i="44"/>
  <c r="AZ40" i="44"/>
  <c r="AZ39" i="44"/>
  <c r="AZ38" i="44"/>
  <c r="AZ197" i="44" a="1"/>
  <c r="AZ196" i="44" a="1"/>
  <c r="AZ195" i="44" a="1"/>
  <c r="AZ194" i="44" a="1"/>
  <c r="AZ193" i="44" a="1"/>
  <c r="AZ192" i="44" a="1"/>
  <c r="AY41" i="44"/>
  <c r="AY40" i="44"/>
  <c r="AY39" i="44"/>
  <c r="AY38" i="44"/>
  <c r="AY197" i="44" a="1"/>
  <c r="AY196" i="44" a="1"/>
  <c r="AY195" i="44" a="1"/>
  <c r="AY194" i="44" a="1"/>
  <c r="AY193" i="44" a="1"/>
  <c r="AY192" i="44" a="1"/>
  <c r="AX41" i="44"/>
  <c r="AX40" i="44"/>
  <c r="AX39" i="44"/>
  <c r="AX38" i="44"/>
  <c r="AX197" i="44" a="1"/>
  <c r="AX196" i="44" a="1"/>
  <c r="AX195" i="44" a="1"/>
  <c r="AX194" i="44" a="1"/>
  <c r="AX193" i="44" a="1"/>
  <c r="AX192" i="44" a="1"/>
  <c r="AW41" i="44"/>
  <c r="AW40" i="44"/>
  <c r="AW39" i="44"/>
  <c r="AW38" i="44"/>
  <c r="AW197" i="44" a="1"/>
  <c r="AW196" i="44" a="1"/>
  <c r="AW195" i="44" a="1"/>
  <c r="AW194" i="44" a="1"/>
  <c r="AW193" i="44" a="1"/>
  <c r="AW192" i="44" a="1"/>
  <c r="AV41" i="44"/>
  <c r="AV40" i="44"/>
  <c r="AV39" i="44"/>
  <c r="AV38" i="44"/>
  <c r="AV197" i="44" a="1"/>
  <c r="AV196" i="44" a="1"/>
  <c r="AV195" i="44" a="1"/>
  <c r="AV194" i="44" a="1"/>
  <c r="AV193" i="44" a="1"/>
  <c r="AV192" i="44" a="1"/>
  <c r="AU41" i="44"/>
  <c r="AU40" i="44"/>
  <c r="AU39" i="44"/>
  <c r="AU38" i="44"/>
  <c r="AU197" i="44" a="1"/>
  <c r="AU196" i="44" a="1"/>
  <c r="AU195" i="44" a="1"/>
  <c r="AU194" i="44" a="1"/>
  <c r="AU193" i="44" a="1"/>
  <c r="AU192" i="44" a="1"/>
  <c r="AT41" i="44"/>
  <c r="AT40" i="44"/>
  <c r="AT39" i="44"/>
  <c r="AT38" i="44"/>
  <c r="AT197" i="44" a="1"/>
  <c r="AT196" i="44" a="1"/>
  <c r="AT195" i="44" a="1"/>
  <c r="AT194" i="44" a="1"/>
  <c r="AT193" i="44" a="1"/>
  <c r="AT192" i="44" a="1"/>
  <c r="AS41" i="44"/>
  <c r="AS40" i="44"/>
  <c r="AS39" i="44"/>
  <c r="AS38" i="44"/>
  <c r="AS197" i="44" a="1"/>
  <c r="AS196" i="44" a="1"/>
  <c r="AS195" i="44" a="1"/>
  <c r="AS194" i="44" a="1"/>
  <c r="AS193" i="44" a="1"/>
  <c r="AS192" i="44" a="1"/>
  <c r="AR41" i="44"/>
  <c r="AR40" i="44"/>
  <c r="AR39" i="44"/>
  <c r="AR38" i="44"/>
  <c r="AR197" i="44" a="1"/>
  <c r="AR196" i="44" a="1"/>
  <c r="AR195" i="44" a="1"/>
  <c r="AR194" i="44" a="1"/>
  <c r="AR193" i="44" a="1"/>
  <c r="AR192" i="44" a="1"/>
  <c r="AQ41" i="44"/>
  <c r="AQ40" i="44"/>
  <c r="AQ39" i="44"/>
  <c r="AQ38" i="44"/>
  <c r="AQ197" i="44" a="1"/>
  <c r="AQ196" i="44" a="1"/>
  <c r="AQ195" i="44" a="1"/>
  <c r="AQ194" i="44" a="1"/>
  <c r="AQ193" i="44" a="1"/>
  <c r="AQ192" i="44" a="1"/>
  <c r="AP25" i="44"/>
  <c r="AP26" i="44"/>
  <c r="AP27" i="44"/>
  <c r="AP28" i="44"/>
  <c r="AP41" i="44"/>
  <c r="AP40" i="44"/>
  <c r="AP39" i="44"/>
  <c r="AP38" i="44"/>
  <c r="AP197" i="44" a="1"/>
  <c r="AP37" i="44"/>
  <c r="AP196" i="44" a="1"/>
  <c r="AP36" i="44"/>
  <c r="AP195" i="44" a="1"/>
  <c r="AP35" i="44"/>
  <c r="AP194" i="44" a="1"/>
  <c r="AP34" i="44"/>
  <c r="AP193" i="44" a="1"/>
  <c r="AP33" i="44"/>
  <c r="AP192" i="44" a="1"/>
  <c r="AP32" i="44"/>
  <c r="AP31" i="44"/>
  <c r="AP29" i="44"/>
  <c r="AP24" i="44"/>
  <c r="AP22" i="44"/>
  <c r="AP9" i="44"/>
  <c r="AP49" i="44"/>
  <c r="AP50" i="44"/>
  <c r="AP51" i="44"/>
  <c r="AP52" i="44"/>
  <c r="AP65" i="44"/>
  <c r="AP64" i="44"/>
  <c r="AP63" i="44"/>
  <c r="AP62" i="44"/>
  <c r="AP61" i="44"/>
  <c r="AP60" i="44"/>
  <c r="AP59" i="44"/>
  <c r="AP58" i="44"/>
  <c r="AP57" i="44"/>
  <c r="AP56" i="44"/>
  <c r="AP55" i="44"/>
  <c r="AP53" i="44"/>
  <c r="AP48" i="44"/>
  <c r="AP46" i="44"/>
  <c r="AP10" i="44"/>
  <c r="AP75" i="44"/>
  <c r="AP76" i="44"/>
  <c r="AP77" i="44"/>
  <c r="AP78" i="44"/>
  <c r="AP91" i="44"/>
  <c r="AP90" i="44"/>
  <c r="AP89" i="44"/>
  <c r="AP88" i="44"/>
  <c r="AP87" i="44"/>
  <c r="AP86" i="44"/>
  <c r="AP85" i="44"/>
  <c r="AP84" i="44"/>
  <c r="AP83" i="44"/>
  <c r="AP82" i="44"/>
  <c r="AP81" i="44"/>
  <c r="AP79" i="44"/>
  <c r="AP74" i="44"/>
  <c r="AP72" i="44"/>
  <c r="AP70" i="44"/>
  <c r="AP11" i="44"/>
  <c r="AP17" i="44"/>
  <c r="AO25" i="44"/>
  <c r="AO26" i="44"/>
  <c r="AO27" i="44"/>
  <c r="AO28" i="44"/>
  <c r="AO41" i="44"/>
  <c r="AO40" i="44"/>
  <c r="AO39" i="44"/>
  <c r="AO38" i="44"/>
  <c r="AO197" i="44" a="1"/>
  <c r="AO37" i="44"/>
  <c r="AO36" i="44"/>
  <c r="AO195" i="44" a="1"/>
  <c r="AO35" i="44"/>
  <c r="AO194" i="44" a="1"/>
  <c r="AO34" i="44"/>
  <c r="AO193" i="44" a="1"/>
  <c r="AO33" i="44"/>
  <c r="AO192" i="44" a="1"/>
  <c r="AO32" i="44"/>
  <c r="AO31" i="44"/>
  <c r="AO29" i="44"/>
  <c r="AO24" i="44"/>
  <c r="AO22" i="44"/>
  <c r="AO9" i="44"/>
  <c r="AO49" i="44"/>
  <c r="AO50" i="44"/>
  <c r="AO51" i="44"/>
  <c r="AO52" i="44"/>
  <c r="AO65" i="44"/>
  <c r="AO64" i="44"/>
  <c r="AO63" i="44"/>
  <c r="AO62" i="44"/>
  <c r="AO61" i="44"/>
  <c r="AO60" i="44"/>
  <c r="AO59" i="44"/>
  <c r="AO58" i="44"/>
  <c r="AO57" i="44"/>
  <c r="AO56" i="44"/>
  <c r="AO55" i="44"/>
  <c r="AO53" i="44"/>
  <c r="AO48" i="44"/>
  <c r="AO46" i="44"/>
  <c r="AO10" i="44"/>
  <c r="AO75" i="44"/>
  <c r="AO76" i="44"/>
  <c r="AO77" i="44"/>
  <c r="AO78" i="44"/>
  <c r="AO91" i="44"/>
  <c r="AO90" i="44"/>
  <c r="AO89" i="44"/>
  <c r="AO88" i="44"/>
  <c r="AO87" i="44"/>
  <c r="AO86" i="44"/>
  <c r="AO85" i="44"/>
  <c r="AO84" i="44"/>
  <c r="AO83" i="44"/>
  <c r="AO82" i="44"/>
  <c r="AO81" i="44"/>
  <c r="AO79" i="44"/>
  <c r="AO74" i="44"/>
  <c r="AO72" i="44"/>
  <c r="AO70" i="44"/>
  <c r="AO11" i="44"/>
  <c r="AO17" i="44"/>
  <c r="AN25" i="44"/>
  <c r="AN26" i="44"/>
  <c r="AN27" i="44"/>
  <c r="AN28" i="44"/>
  <c r="AN41" i="44"/>
  <c r="AN40" i="44"/>
  <c r="AN39" i="44"/>
  <c r="AN38" i="44"/>
  <c r="AN197" i="44" a="1"/>
  <c r="AN37" i="44"/>
  <c r="AN36" i="44"/>
  <c r="AN195" i="44" a="1"/>
  <c r="AN35" i="44"/>
  <c r="AN194" i="44" a="1"/>
  <c r="AN34" i="44"/>
  <c r="AN193" i="44" a="1"/>
  <c r="AN33" i="44"/>
  <c r="AN192" i="44" a="1"/>
  <c r="AN32" i="44"/>
  <c r="AN31" i="44"/>
  <c r="AN29" i="44"/>
  <c r="AN24" i="44"/>
  <c r="AN22" i="44"/>
  <c r="AN9" i="44"/>
  <c r="AN49" i="44"/>
  <c r="AN50" i="44"/>
  <c r="AN51" i="44"/>
  <c r="AN52" i="44"/>
  <c r="AN65" i="44"/>
  <c r="AN64" i="44"/>
  <c r="AN63" i="44"/>
  <c r="AN62" i="44"/>
  <c r="AN61" i="44"/>
  <c r="AN60" i="44"/>
  <c r="AN59" i="44"/>
  <c r="AN58" i="44"/>
  <c r="AN57" i="44"/>
  <c r="AN56" i="44"/>
  <c r="AN55" i="44"/>
  <c r="AN53" i="44"/>
  <c r="AN48" i="44"/>
  <c r="AN46" i="44"/>
  <c r="AN10" i="44"/>
  <c r="AN75" i="44"/>
  <c r="AN76" i="44"/>
  <c r="AN77" i="44"/>
  <c r="AN78" i="44"/>
  <c r="AN91" i="44"/>
  <c r="AN90" i="44"/>
  <c r="AN89" i="44"/>
  <c r="AN88" i="44"/>
  <c r="AN87" i="44"/>
  <c r="AN86" i="44"/>
  <c r="AN85" i="44"/>
  <c r="AN84" i="44"/>
  <c r="AN83" i="44"/>
  <c r="AN82" i="44"/>
  <c r="AN81" i="44"/>
  <c r="AN79" i="44"/>
  <c r="AN74" i="44"/>
  <c r="AN72" i="44"/>
  <c r="AN70" i="44"/>
  <c r="AN11" i="44"/>
  <c r="AN17" i="44"/>
  <c r="AM25" i="44"/>
  <c r="AM26" i="44"/>
  <c r="AM27" i="44"/>
  <c r="AM28" i="44"/>
  <c r="AM41" i="44"/>
  <c r="AM40" i="44"/>
  <c r="AM39" i="44"/>
  <c r="AM38" i="44"/>
  <c r="AM37" i="44"/>
  <c r="AM36" i="44"/>
  <c r="AM35" i="44"/>
  <c r="AM194" i="44" a="1"/>
  <c r="AM34" i="44"/>
  <c r="AM193" i="44" a="1"/>
  <c r="AM33" i="44"/>
  <c r="AM192" i="44" a="1"/>
  <c r="AM32" i="44"/>
  <c r="AM31" i="44"/>
  <c r="AM29" i="44"/>
  <c r="AM24" i="44"/>
  <c r="AM22" i="44"/>
  <c r="AM9" i="44"/>
  <c r="AM49" i="44"/>
  <c r="AM50" i="44"/>
  <c r="AM51" i="44"/>
  <c r="AM52" i="44"/>
  <c r="AM65" i="44"/>
  <c r="AM64" i="44"/>
  <c r="AM63" i="44"/>
  <c r="AM62" i="44"/>
  <c r="AM61" i="44"/>
  <c r="AM60" i="44"/>
  <c r="AM59" i="44"/>
  <c r="AM58" i="44"/>
  <c r="AM57" i="44"/>
  <c r="AM56" i="44"/>
  <c r="AM55" i="44"/>
  <c r="AM53" i="44"/>
  <c r="AM48" i="44"/>
  <c r="AM46" i="44"/>
  <c r="AM10" i="44"/>
  <c r="AM75" i="44"/>
  <c r="AM76" i="44"/>
  <c r="AM77" i="44"/>
  <c r="AM78" i="44"/>
  <c r="AM91" i="44"/>
  <c r="AM90" i="44"/>
  <c r="AM89" i="44"/>
  <c r="AM88" i="44"/>
  <c r="AM87" i="44"/>
  <c r="AM86" i="44"/>
  <c r="AM85" i="44"/>
  <c r="AM84" i="44"/>
  <c r="AM83" i="44"/>
  <c r="AM82" i="44"/>
  <c r="AM81" i="44"/>
  <c r="AM79" i="44"/>
  <c r="AM74" i="44"/>
  <c r="AM72" i="44"/>
  <c r="AM70" i="44"/>
  <c r="AM11" i="44"/>
  <c r="AM17" i="44"/>
  <c r="AL25" i="44"/>
  <c r="AL26" i="44"/>
  <c r="AL27" i="44"/>
  <c r="AL28" i="44"/>
  <c r="AL41" i="44"/>
  <c r="AL40" i="44"/>
  <c r="AL39" i="44"/>
  <c r="AL38" i="44"/>
  <c r="AL37" i="44"/>
  <c r="AL36" i="44"/>
  <c r="AL35" i="44"/>
  <c r="AL194" i="44" a="1"/>
  <c r="AL34" i="44"/>
  <c r="AL193" i="44" a="1"/>
  <c r="AL33" i="44"/>
  <c r="AL192" i="44" a="1"/>
  <c r="AL32" i="44"/>
  <c r="AL31" i="44"/>
  <c r="AL29" i="44"/>
  <c r="AL24" i="44"/>
  <c r="AL22" i="44"/>
  <c r="AL9" i="44"/>
  <c r="AL49" i="44"/>
  <c r="AL50" i="44"/>
  <c r="AL51" i="44"/>
  <c r="AL52" i="44"/>
  <c r="AL65" i="44"/>
  <c r="AL64" i="44"/>
  <c r="AL63" i="44"/>
  <c r="AL62" i="44"/>
  <c r="AL61" i="44"/>
  <c r="AL60" i="44"/>
  <c r="AL59" i="44"/>
  <c r="AL58" i="44"/>
  <c r="AL57" i="44"/>
  <c r="AL56" i="44"/>
  <c r="AL55" i="44"/>
  <c r="AL53" i="44"/>
  <c r="AL48" i="44"/>
  <c r="AL46" i="44"/>
  <c r="AL10" i="44"/>
  <c r="AL75" i="44"/>
  <c r="AL76" i="44"/>
  <c r="AL77" i="44"/>
  <c r="AL78" i="44"/>
  <c r="AL91" i="44"/>
  <c r="AL90" i="44"/>
  <c r="AL89" i="44"/>
  <c r="AL88" i="44"/>
  <c r="AL87" i="44"/>
  <c r="AL86" i="44"/>
  <c r="AL85" i="44"/>
  <c r="AL84" i="44"/>
  <c r="AL83" i="44"/>
  <c r="AL82" i="44"/>
  <c r="AL81" i="44"/>
  <c r="AL79" i="44"/>
  <c r="AL74" i="44"/>
  <c r="AL72" i="44"/>
  <c r="AL70" i="44"/>
  <c r="AL11" i="44"/>
  <c r="AL17" i="44"/>
  <c r="AK25" i="44"/>
  <c r="AK26" i="44"/>
  <c r="AK27" i="44"/>
  <c r="AK28" i="44"/>
  <c r="AK41" i="44"/>
  <c r="AK40" i="44"/>
  <c r="AK39" i="44"/>
  <c r="AK38" i="44"/>
  <c r="AK37" i="44"/>
  <c r="AK36" i="44"/>
  <c r="AK35" i="44"/>
  <c r="AK194" i="44" a="1"/>
  <c r="AK34" i="44"/>
  <c r="AK193" i="44" a="1"/>
  <c r="AK33" i="44"/>
  <c r="AK192" i="44" a="1"/>
  <c r="AK32" i="44"/>
  <c r="AK31" i="44"/>
  <c r="AK29" i="44"/>
  <c r="AK24" i="44"/>
  <c r="AK22" i="44"/>
  <c r="AK9" i="44"/>
  <c r="AK49" i="44"/>
  <c r="AK50" i="44"/>
  <c r="AK51" i="44"/>
  <c r="AK52" i="44"/>
  <c r="AK65" i="44"/>
  <c r="AK64" i="44"/>
  <c r="AK63" i="44"/>
  <c r="AK62" i="44"/>
  <c r="AK61" i="44"/>
  <c r="AK60" i="44"/>
  <c r="AK59" i="44"/>
  <c r="AK58" i="44"/>
  <c r="AK57" i="44"/>
  <c r="AK56" i="44"/>
  <c r="AK55" i="44"/>
  <c r="AK53" i="44"/>
  <c r="AK48" i="44"/>
  <c r="AK46" i="44"/>
  <c r="AK10" i="44"/>
  <c r="AK75" i="44"/>
  <c r="AK76" i="44"/>
  <c r="AK77" i="44"/>
  <c r="AK78" i="44"/>
  <c r="AK91" i="44"/>
  <c r="AK90" i="44"/>
  <c r="AK89" i="44"/>
  <c r="AK88" i="44"/>
  <c r="AK87" i="44"/>
  <c r="AK86" i="44"/>
  <c r="AK85" i="44"/>
  <c r="AK84" i="44"/>
  <c r="AK83" i="44"/>
  <c r="AK82" i="44"/>
  <c r="AK81" i="44"/>
  <c r="AK79" i="44"/>
  <c r="AK74" i="44"/>
  <c r="AK72" i="44"/>
  <c r="AK70" i="44"/>
  <c r="AK11" i="44"/>
  <c r="AK17" i="44"/>
  <c r="AJ25" i="44"/>
  <c r="AJ26" i="44"/>
  <c r="AJ27" i="44"/>
  <c r="AJ28" i="44"/>
  <c r="AJ41" i="44"/>
  <c r="AJ40" i="44"/>
  <c r="AJ39" i="44"/>
  <c r="AJ38" i="44"/>
  <c r="AJ37" i="44"/>
  <c r="AJ36" i="44"/>
  <c r="AJ35" i="44"/>
  <c r="AJ194" i="44" a="1"/>
  <c r="AJ34" i="44"/>
  <c r="AJ193" i="44" a="1"/>
  <c r="AJ33" i="44"/>
  <c r="AJ192" i="44" a="1"/>
  <c r="AJ32" i="44"/>
  <c r="AJ31" i="44"/>
  <c r="AJ29" i="44"/>
  <c r="AJ24" i="44"/>
  <c r="AJ22" i="44"/>
  <c r="AJ9" i="44"/>
  <c r="AJ49" i="44"/>
  <c r="AJ50" i="44"/>
  <c r="AJ51" i="44"/>
  <c r="AJ52" i="44"/>
  <c r="AJ65" i="44"/>
  <c r="AJ64" i="44"/>
  <c r="AJ63" i="44"/>
  <c r="AJ62" i="44"/>
  <c r="AJ61" i="44"/>
  <c r="AJ60" i="44"/>
  <c r="AJ59" i="44"/>
  <c r="AJ58" i="44"/>
  <c r="AJ57" i="44"/>
  <c r="AJ56" i="44"/>
  <c r="AJ55" i="44"/>
  <c r="AJ53" i="44"/>
  <c r="AJ48" i="44"/>
  <c r="AJ46" i="44"/>
  <c r="AJ10" i="44"/>
  <c r="AJ75" i="44"/>
  <c r="AJ76" i="44"/>
  <c r="AJ77" i="44"/>
  <c r="AJ78" i="44"/>
  <c r="AJ91" i="44"/>
  <c r="AJ90" i="44"/>
  <c r="AJ89" i="44"/>
  <c r="AJ88" i="44"/>
  <c r="AJ87" i="44"/>
  <c r="AJ86" i="44"/>
  <c r="AJ85" i="44"/>
  <c r="AJ84" i="44"/>
  <c r="AJ83" i="44"/>
  <c r="AJ82" i="44"/>
  <c r="AJ81" i="44"/>
  <c r="AJ79" i="44"/>
  <c r="AJ74" i="44"/>
  <c r="AJ72" i="44"/>
  <c r="AJ70" i="44"/>
  <c r="AJ11" i="44"/>
  <c r="AJ17" i="44"/>
  <c r="AI25" i="44"/>
  <c r="AI26" i="44"/>
  <c r="AI27" i="44"/>
  <c r="AI28" i="44"/>
  <c r="AI41" i="44"/>
  <c r="AI40" i="44"/>
  <c r="AI39" i="44"/>
  <c r="AI38" i="44"/>
  <c r="AI37" i="44"/>
  <c r="AI36" i="44"/>
  <c r="AI35" i="44"/>
  <c r="AI194" i="44" a="1"/>
  <c r="AI34" i="44"/>
  <c r="AI193" i="44" a="1"/>
  <c r="AI33" i="44"/>
  <c r="AI192" i="44" a="1"/>
  <c r="AI32" i="44"/>
  <c r="AI31" i="44"/>
  <c r="AI29" i="44"/>
  <c r="AI24" i="44"/>
  <c r="AI22" i="44"/>
  <c r="AI9" i="44"/>
  <c r="AI49" i="44"/>
  <c r="AI50" i="44"/>
  <c r="AI51" i="44"/>
  <c r="AI52" i="44"/>
  <c r="AI65" i="44"/>
  <c r="AI64" i="44"/>
  <c r="AI63" i="44"/>
  <c r="AI62" i="44"/>
  <c r="AI61" i="44"/>
  <c r="AI60" i="44"/>
  <c r="AI59" i="44"/>
  <c r="AI58" i="44"/>
  <c r="AI57" i="44"/>
  <c r="AI56" i="44"/>
  <c r="AI55" i="44"/>
  <c r="AI53" i="44"/>
  <c r="AI48" i="44"/>
  <c r="AI46" i="44"/>
  <c r="AI10" i="44"/>
  <c r="AI75" i="44"/>
  <c r="AI76" i="44"/>
  <c r="AI77" i="44"/>
  <c r="AI78" i="44"/>
  <c r="AI91" i="44"/>
  <c r="AI90" i="44"/>
  <c r="AI89" i="44"/>
  <c r="AI88" i="44"/>
  <c r="AI87" i="44"/>
  <c r="AI86" i="44"/>
  <c r="AI85" i="44"/>
  <c r="AI84" i="44"/>
  <c r="AI83" i="44"/>
  <c r="AI82" i="44"/>
  <c r="AI81" i="44"/>
  <c r="AI79" i="44"/>
  <c r="AI74" i="44"/>
  <c r="AI72" i="44"/>
  <c r="AI70" i="44"/>
  <c r="AI11" i="44"/>
  <c r="AI17" i="44"/>
  <c r="AH25" i="44"/>
  <c r="AH26" i="44"/>
  <c r="AH27" i="44"/>
  <c r="AH28" i="44"/>
  <c r="AH41" i="44"/>
  <c r="AH40" i="44"/>
  <c r="AH39" i="44"/>
  <c r="AH38" i="44"/>
  <c r="AH37" i="44"/>
  <c r="AH36" i="44"/>
  <c r="AH35" i="44"/>
  <c r="AH194" i="44" a="1"/>
  <c r="AH34" i="44"/>
  <c r="AH193" i="44" a="1"/>
  <c r="AH33" i="44"/>
  <c r="AH192" i="44" a="1"/>
  <c r="AH32" i="44"/>
  <c r="AH31" i="44"/>
  <c r="AH29" i="44"/>
  <c r="AH24" i="44"/>
  <c r="AH22" i="44"/>
  <c r="AH9" i="44"/>
  <c r="AH49" i="44"/>
  <c r="AH50" i="44"/>
  <c r="AH51" i="44"/>
  <c r="AH52" i="44"/>
  <c r="AH65" i="44"/>
  <c r="AH64" i="44"/>
  <c r="AH63" i="44"/>
  <c r="AH62" i="44"/>
  <c r="AH61" i="44"/>
  <c r="AH60" i="44"/>
  <c r="AH59" i="44"/>
  <c r="AH58" i="44"/>
  <c r="AH57" i="44"/>
  <c r="AH56" i="44"/>
  <c r="AH55" i="44"/>
  <c r="AH53" i="44"/>
  <c r="AH48" i="44"/>
  <c r="AH46" i="44"/>
  <c r="AH10" i="44"/>
  <c r="AH75" i="44"/>
  <c r="AH76" i="44"/>
  <c r="AH77" i="44"/>
  <c r="AH78" i="44"/>
  <c r="AH91" i="44"/>
  <c r="AH90" i="44"/>
  <c r="AH89" i="44"/>
  <c r="AH88" i="44"/>
  <c r="AH87" i="44"/>
  <c r="AH86" i="44"/>
  <c r="AH85" i="44"/>
  <c r="AH84" i="44"/>
  <c r="AH83" i="44"/>
  <c r="AH82" i="44"/>
  <c r="AH81" i="44"/>
  <c r="AH79" i="44"/>
  <c r="AH74" i="44"/>
  <c r="AH72" i="44"/>
  <c r="AH70" i="44"/>
  <c r="AH11" i="44"/>
  <c r="AH17" i="44"/>
  <c r="AG25" i="44"/>
  <c r="AG26" i="44"/>
  <c r="AG27" i="44"/>
  <c r="AG28" i="44"/>
  <c r="AG41" i="44"/>
  <c r="AG40" i="44"/>
  <c r="AG39" i="44"/>
  <c r="AG38" i="44"/>
  <c r="AG37" i="44"/>
  <c r="AG36" i="44"/>
  <c r="AG35" i="44"/>
  <c r="AG194" i="44" a="1"/>
  <c r="AG34" i="44"/>
  <c r="AG193" i="44" a="1"/>
  <c r="AG33" i="44"/>
  <c r="AG192" i="44" a="1"/>
  <c r="AG32" i="44"/>
  <c r="AG31" i="44"/>
  <c r="AG29" i="44"/>
  <c r="AG24" i="44"/>
  <c r="AG22" i="44"/>
  <c r="AG9" i="44"/>
  <c r="AG49" i="44"/>
  <c r="AG50" i="44"/>
  <c r="AG51" i="44"/>
  <c r="AG52" i="44"/>
  <c r="AG65" i="44"/>
  <c r="AG64" i="44"/>
  <c r="AG63" i="44"/>
  <c r="AG62" i="44"/>
  <c r="AG61" i="44"/>
  <c r="AG60" i="44"/>
  <c r="AG59" i="44"/>
  <c r="AG58" i="44"/>
  <c r="AG57" i="44"/>
  <c r="AG56" i="44"/>
  <c r="AG55" i="44"/>
  <c r="AG53" i="44"/>
  <c r="AG48" i="44"/>
  <c r="AG46" i="44"/>
  <c r="AG10" i="44"/>
  <c r="AG75" i="44"/>
  <c r="AG76" i="44"/>
  <c r="AG77" i="44"/>
  <c r="AG78" i="44"/>
  <c r="AG91" i="44"/>
  <c r="AG90" i="44"/>
  <c r="AG89" i="44"/>
  <c r="AG88" i="44"/>
  <c r="AG87" i="44"/>
  <c r="AG86" i="44"/>
  <c r="AG85" i="44"/>
  <c r="AG84" i="44"/>
  <c r="AG83" i="44"/>
  <c r="AG82" i="44"/>
  <c r="AG81" i="44"/>
  <c r="AG79" i="44"/>
  <c r="AG74" i="44"/>
  <c r="AG72" i="44"/>
  <c r="AG70" i="44"/>
  <c r="AG11" i="44"/>
  <c r="AG17" i="44"/>
  <c r="AF25" i="44"/>
  <c r="AF26" i="44"/>
  <c r="AF27" i="44"/>
  <c r="AF28" i="44"/>
  <c r="AF41" i="44"/>
  <c r="AF40" i="44"/>
  <c r="AF39" i="44"/>
  <c r="AF38" i="44"/>
  <c r="AF37" i="44"/>
  <c r="AF36" i="44"/>
  <c r="AF35" i="44"/>
  <c r="AF194" i="44" a="1"/>
  <c r="AF34" i="44"/>
  <c r="AF193" i="44" a="1"/>
  <c r="AF33" i="44"/>
  <c r="AF192" i="44" a="1"/>
  <c r="AF32" i="44"/>
  <c r="AF31" i="44"/>
  <c r="AF29" i="44"/>
  <c r="AF24" i="44"/>
  <c r="AF22" i="44"/>
  <c r="AF9" i="44"/>
  <c r="AF49" i="44"/>
  <c r="AF50" i="44"/>
  <c r="AF51" i="44"/>
  <c r="AF52" i="44"/>
  <c r="AF65" i="44"/>
  <c r="AF64" i="44"/>
  <c r="AF63" i="44"/>
  <c r="AF62" i="44"/>
  <c r="AF61" i="44"/>
  <c r="AF60" i="44"/>
  <c r="AF59" i="44"/>
  <c r="AF58" i="44"/>
  <c r="AF57" i="44"/>
  <c r="AF56" i="44"/>
  <c r="AF55" i="44"/>
  <c r="AF53" i="44"/>
  <c r="AF48" i="44"/>
  <c r="AF46" i="44"/>
  <c r="AF10" i="44"/>
  <c r="AF75" i="44"/>
  <c r="AF76" i="44"/>
  <c r="AF77" i="44"/>
  <c r="AF78" i="44"/>
  <c r="AF91" i="44"/>
  <c r="AF90" i="44"/>
  <c r="AF89" i="44"/>
  <c r="AF88" i="44"/>
  <c r="AF87" i="44"/>
  <c r="AF86" i="44"/>
  <c r="AF85" i="44"/>
  <c r="AF84" i="44"/>
  <c r="AF83" i="44"/>
  <c r="AF82" i="44"/>
  <c r="AF81" i="44"/>
  <c r="AF79" i="44"/>
  <c r="AF74" i="44"/>
  <c r="AF72" i="44"/>
  <c r="AF70" i="44"/>
  <c r="AF11" i="44"/>
  <c r="AF17" i="44"/>
  <c r="AE25" i="44"/>
  <c r="AE26" i="44"/>
  <c r="AE27" i="44"/>
  <c r="AE28" i="44"/>
  <c r="AE41" i="44"/>
  <c r="AE40" i="44"/>
  <c r="AE39" i="44"/>
  <c r="AE38" i="44"/>
  <c r="AE37" i="44"/>
  <c r="AE36" i="44"/>
  <c r="AE35" i="44"/>
  <c r="AE34" i="44"/>
  <c r="AE193" i="44" a="1"/>
  <c r="AE33" i="44"/>
  <c r="AE192" i="44" a="1"/>
  <c r="AE32" i="44"/>
  <c r="AE31" i="44"/>
  <c r="AE29" i="44"/>
  <c r="AE24" i="44"/>
  <c r="AE22" i="44"/>
  <c r="AE9" i="44"/>
  <c r="AE49" i="44"/>
  <c r="AE50" i="44"/>
  <c r="AE51" i="44"/>
  <c r="AE52" i="44"/>
  <c r="AE65" i="44"/>
  <c r="AE64" i="44"/>
  <c r="AE63" i="44"/>
  <c r="AE62" i="44"/>
  <c r="AE61" i="44"/>
  <c r="AE60" i="44"/>
  <c r="AE59" i="44"/>
  <c r="AE58" i="44"/>
  <c r="AE57" i="44"/>
  <c r="AE56" i="44"/>
  <c r="AE55" i="44"/>
  <c r="AE53" i="44"/>
  <c r="AE48" i="44"/>
  <c r="AE46" i="44"/>
  <c r="AE10" i="44"/>
  <c r="AE75" i="44"/>
  <c r="AE76" i="44"/>
  <c r="AE77" i="44"/>
  <c r="AE78" i="44"/>
  <c r="AE91" i="44"/>
  <c r="AE90" i="44"/>
  <c r="AE89" i="44"/>
  <c r="AE88" i="44"/>
  <c r="AE87" i="44"/>
  <c r="AE86" i="44"/>
  <c r="AE85" i="44"/>
  <c r="AE84" i="44"/>
  <c r="AE83" i="44"/>
  <c r="AE82" i="44"/>
  <c r="AE81" i="44"/>
  <c r="AE79" i="44"/>
  <c r="AE74" i="44"/>
  <c r="AE72" i="44"/>
  <c r="AE70" i="44"/>
  <c r="AE11" i="44"/>
  <c r="AE17" i="44"/>
  <c r="AD25" i="44"/>
  <c r="AD26" i="44"/>
  <c r="AD27" i="44"/>
  <c r="AD28" i="44"/>
  <c r="AD41" i="44"/>
  <c r="AD40" i="44"/>
  <c r="AD39" i="44"/>
  <c r="AD38" i="44"/>
  <c r="AD37" i="44"/>
  <c r="AD36" i="44"/>
  <c r="AD35" i="44"/>
  <c r="AD34" i="44"/>
  <c r="AD193" i="44" a="1"/>
  <c r="AD33" i="44"/>
  <c r="AD192" i="44" a="1"/>
  <c r="AD32" i="44"/>
  <c r="AD31" i="44"/>
  <c r="AD29" i="44"/>
  <c r="AD24" i="44"/>
  <c r="AD22" i="44"/>
  <c r="AD9" i="44"/>
  <c r="AD49" i="44"/>
  <c r="AD50" i="44"/>
  <c r="AD51" i="44"/>
  <c r="AD52" i="44"/>
  <c r="AD65" i="44"/>
  <c r="AD64" i="44"/>
  <c r="AD63" i="44"/>
  <c r="AD62" i="44"/>
  <c r="AD61" i="44"/>
  <c r="AD60" i="44"/>
  <c r="AD59" i="44"/>
  <c r="AD58" i="44"/>
  <c r="AD57" i="44"/>
  <c r="AD56" i="44"/>
  <c r="AD55" i="44"/>
  <c r="AD53" i="44"/>
  <c r="AD48" i="44"/>
  <c r="AD46" i="44"/>
  <c r="AD10" i="44"/>
  <c r="AD75" i="44"/>
  <c r="AD76" i="44"/>
  <c r="AD77" i="44"/>
  <c r="AD78" i="44"/>
  <c r="AD91" i="44"/>
  <c r="AD90" i="44"/>
  <c r="AD89" i="44"/>
  <c r="AD88" i="44"/>
  <c r="AD87" i="44"/>
  <c r="AD86" i="44"/>
  <c r="AD85" i="44"/>
  <c r="AD84" i="44"/>
  <c r="AD83" i="44"/>
  <c r="AD82" i="44"/>
  <c r="AD81" i="44"/>
  <c r="AD79" i="44"/>
  <c r="AD74" i="44"/>
  <c r="AD72" i="44"/>
  <c r="AD70" i="44"/>
  <c r="AD11" i="44"/>
  <c r="AD17" i="44"/>
  <c r="AC25" i="44"/>
  <c r="AC26" i="44"/>
  <c r="AC27" i="44"/>
  <c r="AC28" i="44"/>
  <c r="AC41" i="44"/>
  <c r="AC40" i="44"/>
  <c r="AC39" i="44"/>
  <c r="AC38" i="44"/>
  <c r="AC37" i="44"/>
  <c r="AC36" i="44"/>
  <c r="AC35" i="44"/>
  <c r="AC34" i="44"/>
  <c r="AC193" i="44" a="1"/>
  <c r="AC33" i="44"/>
  <c r="AC192" i="44" a="1"/>
  <c r="AC32" i="44"/>
  <c r="AC31" i="44"/>
  <c r="AC29" i="44"/>
  <c r="AC24" i="44"/>
  <c r="AC22" i="44"/>
  <c r="AC9" i="44"/>
  <c r="AC49" i="44"/>
  <c r="AC50" i="44"/>
  <c r="AC51" i="44"/>
  <c r="AC52" i="44"/>
  <c r="AC65" i="44"/>
  <c r="AC64" i="44"/>
  <c r="AC63" i="44"/>
  <c r="AC62" i="44"/>
  <c r="AC61" i="44"/>
  <c r="AC60" i="44"/>
  <c r="AC59" i="44"/>
  <c r="AC58" i="44"/>
  <c r="AC57" i="44"/>
  <c r="AC56" i="44"/>
  <c r="AC55" i="44"/>
  <c r="AC53" i="44"/>
  <c r="AC48" i="44"/>
  <c r="AC46" i="44"/>
  <c r="AC10" i="44"/>
  <c r="AC75" i="44"/>
  <c r="AC76" i="44"/>
  <c r="AC77" i="44"/>
  <c r="AC78" i="44"/>
  <c r="AC91" i="44"/>
  <c r="AC90" i="44"/>
  <c r="AC89" i="44"/>
  <c r="AC88" i="44"/>
  <c r="AC87" i="44"/>
  <c r="AC86" i="44"/>
  <c r="AC85" i="44"/>
  <c r="AC84" i="44"/>
  <c r="AC83" i="44"/>
  <c r="AC82" i="44"/>
  <c r="AC81" i="44"/>
  <c r="AC79" i="44"/>
  <c r="AC74" i="44"/>
  <c r="AC72" i="44"/>
  <c r="AC70" i="44"/>
  <c r="AC11" i="44"/>
  <c r="AC17" i="44"/>
  <c r="AB25" i="44"/>
  <c r="AB26" i="44"/>
  <c r="AB27" i="44"/>
  <c r="AB28" i="44"/>
  <c r="AB41" i="44"/>
  <c r="AB40" i="44"/>
  <c r="AB39" i="44"/>
  <c r="AB38" i="44"/>
  <c r="AB37" i="44"/>
  <c r="AB36" i="44"/>
  <c r="AB35" i="44"/>
  <c r="AB34" i="44"/>
  <c r="AB193" i="44" a="1"/>
  <c r="AB33" i="44"/>
  <c r="AB192" i="44" a="1"/>
  <c r="AB32" i="44"/>
  <c r="AB31" i="44"/>
  <c r="AB29" i="44"/>
  <c r="AB24" i="44"/>
  <c r="AB22" i="44"/>
  <c r="AB9" i="44"/>
  <c r="AB49" i="44"/>
  <c r="AB50" i="44"/>
  <c r="AB51" i="44"/>
  <c r="AB52" i="44"/>
  <c r="AB65" i="44"/>
  <c r="AB64" i="44"/>
  <c r="AB63" i="44"/>
  <c r="AB62" i="44"/>
  <c r="AB61" i="44"/>
  <c r="AB60" i="44"/>
  <c r="AB59" i="44"/>
  <c r="AB58" i="44"/>
  <c r="AB57" i="44"/>
  <c r="AB56" i="44"/>
  <c r="AB55" i="44"/>
  <c r="AB53" i="44"/>
  <c r="AB48" i="44"/>
  <c r="AB46" i="44"/>
  <c r="AB10" i="44"/>
  <c r="AB75" i="44"/>
  <c r="AB76" i="44"/>
  <c r="AB77" i="44"/>
  <c r="AB78" i="44"/>
  <c r="AB91" i="44"/>
  <c r="AB90" i="44"/>
  <c r="AB89" i="44"/>
  <c r="AB88" i="44"/>
  <c r="AB87" i="44"/>
  <c r="AB86" i="44"/>
  <c r="AB85" i="44"/>
  <c r="AB84" i="44"/>
  <c r="AB83" i="44"/>
  <c r="AB82" i="44"/>
  <c r="AB81" i="44"/>
  <c r="AB79" i="44"/>
  <c r="AB74" i="44"/>
  <c r="AB72" i="44"/>
  <c r="AB70" i="44"/>
  <c r="AB11" i="44"/>
  <c r="AB17" i="44"/>
  <c r="AA25" i="44"/>
  <c r="AA26" i="44"/>
  <c r="AA27" i="44"/>
  <c r="AA28" i="44"/>
  <c r="AA41" i="44"/>
  <c r="AA40" i="44"/>
  <c r="AA39" i="44"/>
  <c r="AA38" i="44"/>
  <c r="AA37" i="44"/>
  <c r="AA36" i="44"/>
  <c r="AA35" i="44"/>
  <c r="AA34" i="44"/>
  <c r="AA193" i="44" a="1"/>
  <c r="AA33" i="44"/>
  <c r="AA192" i="44" a="1"/>
  <c r="AA32" i="44"/>
  <c r="AA31" i="44"/>
  <c r="AA29" i="44"/>
  <c r="AA24" i="44"/>
  <c r="AA22" i="44"/>
  <c r="AA9" i="44"/>
  <c r="AA49" i="44"/>
  <c r="AA50" i="44"/>
  <c r="AA51" i="44"/>
  <c r="AA52" i="44"/>
  <c r="AA65" i="44"/>
  <c r="AA64" i="44"/>
  <c r="AA63" i="44"/>
  <c r="AA62" i="44"/>
  <c r="AA61" i="44"/>
  <c r="AA60" i="44"/>
  <c r="AA59" i="44"/>
  <c r="AA58" i="44"/>
  <c r="AA57" i="44"/>
  <c r="AA56" i="44"/>
  <c r="AA55" i="44"/>
  <c r="AA53" i="44"/>
  <c r="AA48" i="44"/>
  <c r="AA46" i="44"/>
  <c r="AA10" i="44"/>
  <c r="AA75" i="44"/>
  <c r="AA76" i="44"/>
  <c r="AA77" i="44"/>
  <c r="AA78" i="44"/>
  <c r="AA91" i="44"/>
  <c r="AA90" i="44"/>
  <c r="AA89" i="44"/>
  <c r="AA88" i="44"/>
  <c r="AA87" i="44"/>
  <c r="AA86" i="44"/>
  <c r="AA85" i="44"/>
  <c r="AA84" i="44"/>
  <c r="AA83" i="44"/>
  <c r="AA82" i="44"/>
  <c r="AA81" i="44"/>
  <c r="AA79" i="44"/>
  <c r="AA74" i="44"/>
  <c r="AA72" i="44"/>
  <c r="AA70" i="44"/>
  <c r="AA11" i="44"/>
  <c r="AA17" i="44"/>
  <c r="Z25" i="44"/>
  <c r="Z26" i="44"/>
  <c r="Z27" i="44"/>
  <c r="Z28" i="44"/>
  <c r="Z41" i="44"/>
  <c r="Z40" i="44"/>
  <c r="Z39" i="44"/>
  <c r="Z38" i="44"/>
  <c r="Z37" i="44"/>
  <c r="Z36" i="44"/>
  <c r="Z35" i="44"/>
  <c r="Z34" i="44"/>
  <c r="Z33" i="44"/>
  <c r="Z192" i="44" a="1"/>
  <c r="Z32" i="44"/>
  <c r="Z31" i="44"/>
  <c r="Z29" i="44"/>
  <c r="Z24" i="44"/>
  <c r="Z22" i="44"/>
  <c r="Z9" i="44"/>
  <c r="Z49" i="44"/>
  <c r="Z50" i="44"/>
  <c r="Z51" i="44"/>
  <c r="Z52" i="44"/>
  <c r="Z65" i="44"/>
  <c r="Z64" i="44"/>
  <c r="Z63" i="44"/>
  <c r="Z62" i="44"/>
  <c r="Z61" i="44"/>
  <c r="Z60" i="44"/>
  <c r="Z59" i="44"/>
  <c r="Z58" i="44"/>
  <c r="Z57" i="44"/>
  <c r="Z56" i="44"/>
  <c r="Z55" i="44"/>
  <c r="Z53" i="44"/>
  <c r="Z48" i="44"/>
  <c r="Z46" i="44"/>
  <c r="Z10" i="44"/>
  <c r="Z75" i="44"/>
  <c r="Z76" i="44"/>
  <c r="Z77" i="44"/>
  <c r="Z78" i="44"/>
  <c r="Z91" i="44"/>
  <c r="Z90" i="44"/>
  <c r="Z89" i="44"/>
  <c r="Z88" i="44"/>
  <c r="Z87" i="44"/>
  <c r="Z86" i="44"/>
  <c r="Z85" i="44"/>
  <c r="Z84" i="44"/>
  <c r="Z83" i="44"/>
  <c r="Z82" i="44"/>
  <c r="Z81" i="44"/>
  <c r="Z79" i="44"/>
  <c r="Z74" i="44"/>
  <c r="Z72" i="44"/>
  <c r="Z70" i="44"/>
  <c r="Z11" i="44"/>
  <c r="Z17" i="44"/>
  <c r="Y25" i="44"/>
  <c r="Y26" i="44"/>
  <c r="Y27" i="44"/>
  <c r="Y28" i="44"/>
  <c r="Y41" i="44"/>
  <c r="Y40" i="44"/>
  <c r="Y39" i="44"/>
  <c r="Y38" i="44"/>
  <c r="Y37" i="44"/>
  <c r="Y36" i="44"/>
  <c r="Y35" i="44"/>
  <c r="Y34" i="44"/>
  <c r="Y33" i="44"/>
  <c r="Y32" i="44"/>
  <c r="Y31" i="44"/>
  <c r="Y29" i="44"/>
  <c r="Y24" i="44"/>
  <c r="Y22" i="44"/>
  <c r="Y9" i="44"/>
  <c r="Y49" i="44"/>
  <c r="Y50" i="44"/>
  <c r="Y51" i="44"/>
  <c r="Y52" i="44"/>
  <c r="Y65" i="44"/>
  <c r="Y64" i="44"/>
  <c r="Y63" i="44"/>
  <c r="Y62" i="44"/>
  <c r="Y61" i="44"/>
  <c r="Y60" i="44"/>
  <c r="Y59" i="44"/>
  <c r="Y58" i="44"/>
  <c r="Y57" i="44"/>
  <c r="Y56" i="44"/>
  <c r="Y55" i="44"/>
  <c r="Y53" i="44"/>
  <c r="Y48" i="44"/>
  <c r="Y46" i="44"/>
  <c r="Y10" i="44"/>
  <c r="Y75" i="44"/>
  <c r="Y76" i="44"/>
  <c r="Y77" i="44"/>
  <c r="Y78" i="44"/>
  <c r="Y91" i="44"/>
  <c r="Y90" i="44"/>
  <c r="Y89" i="44"/>
  <c r="Y88" i="44"/>
  <c r="Y87" i="44"/>
  <c r="Y86" i="44"/>
  <c r="Y85" i="44"/>
  <c r="Y84" i="44"/>
  <c r="Y83" i="44"/>
  <c r="Y82" i="44"/>
  <c r="Y81" i="44"/>
  <c r="Y79" i="44"/>
  <c r="Y74" i="44"/>
  <c r="Y72" i="44"/>
  <c r="Y70" i="44"/>
  <c r="Y11" i="44"/>
  <c r="Y17" i="44"/>
  <c r="X25" i="44"/>
  <c r="X26" i="44"/>
  <c r="X27" i="44"/>
  <c r="X28" i="44"/>
  <c r="X41" i="44"/>
  <c r="X40" i="44"/>
  <c r="X39" i="44"/>
  <c r="X38" i="44"/>
  <c r="X37" i="44"/>
  <c r="X36" i="44"/>
  <c r="X35" i="44"/>
  <c r="X34" i="44"/>
  <c r="X33" i="44"/>
  <c r="X32" i="44"/>
  <c r="X31" i="44"/>
  <c r="X29" i="44"/>
  <c r="X24" i="44"/>
  <c r="X22" i="44"/>
  <c r="X9" i="44"/>
  <c r="X49" i="44"/>
  <c r="X50" i="44"/>
  <c r="X51" i="44"/>
  <c r="X52" i="44"/>
  <c r="X65" i="44"/>
  <c r="X64" i="44"/>
  <c r="X63" i="44"/>
  <c r="X62" i="44"/>
  <c r="X61" i="44"/>
  <c r="X60" i="44"/>
  <c r="X59" i="44"/>
  <c r="X58" i="44"/>
  <c r="X57" i="44"/>
  <c r="X56" i="44"/>
  <c r="X55" i="44"/>
  <c r="X53" i="44"/>
  <c r="X48" i="44"/>
  <c r="X46" i="44"/>
  <c r="X10" i="44"/>
  <c r="X75" i="44"/>
  <c r="X76" i="44"/>
  <c r="X77" i="44"/>
  <c r="X78" i="44"/>
  <c r="X91" i="44"/>
  <c r="X90" i="44"/>
  <c r="X89" i="44"/>
  <c r="X88" i="44"/>
  <c r="X87" i="44"/>
  <c r="X86" i="44"/>
  <c r="X85" i="44"/>
  <c r="X84" i="44"/>
  <c r="X83" i="44"/>
  <c r="X82" i="44"/>
  <c r="X81" i="44"/>
  <c r="X79" i="44"/>
  <c r="X74" i="44"/>
  <c r="X72" i="44"/>
  <c r="X70" i="44"/>
  <c r="X11" i="44"/>
  <c r="X17" i="44"/>
  <c r="W25" i="44"/>
  <c r="W26" i="44"/>
  <c r="W27" i="44"/>
  <c r="W28" i="44"/>
  <c r="W41" i="44"/>
  <c r="W40" i="44"/>
  <c r="W39" i="44"/>
  <c r="W38" i="44"/>
  <c r="W37" i="44"/>
  <c r="W36" i="44"/>
  <c r="W35" i="44"/>
  <c r="W34" i="44"/>
  <c r="W33" i="44"/>
  <c r="W32" i="44"/>
  <c r="W31" i="44"/>
  <c r="W29" i="44"/>
  <c r="W24" i="44"/>
  <c r="W22" i="44"/>
  <c r="W9" i="44"/>
  <c r="W49" i="44"/>
  <c r="W50" i="44"/>
  <c r="W51" i="44"/>
  <c r="W52" i="44"/>
  <c r="W65" i="44"/>
  <c r="W64" i="44"/>
  <c r="W63" i="44"/>
  <c r="W62" i="44"/>
  <c r="W61" i="44"/>
  <c r="W60" i="44"/>
  <c r="W59" i="44"/>
  <c r="W58" i="44"/>
  <c r="W57" i="44"/>
  <c r="W56" i="44"/>
  <c r="W55" i="44"/>
  <c r="W53" i="44"/>
  <c r="W48" i="44"/>
  <c r="W46" i="44"/>
  <c r="W10" i="44"/>
  <c r="W75" i="44"/>
  <c r="W76" i="44"/>
  <c r="W77" i="44"/>
  <c r="W78" i="44"/>
  <c r="W91" i="44"/>
  <c r="W90" i="44"/>
  <c r="W89" i="44"/>
  <c r="W88" i="44"/>
  <c r="W87" i="44"/>
  <c r="W86" i="44"/>
  <c r="W85" i="44"/>
  <c r="W84" i="44"/>
  <c r="W83" i="44"/>
  <c r="W82" i="44"/>
  <c r="W81" i="44"/>
  <c r="W79" i="44"/>
  <c r="W74" i="44"/>
  <c r="W72" i="44"/>
  <c r="W70" i="44"/>
  <c r="W11" i="44"/>
  <c r="W17" i="44"/>
  <c r="V25" i="44"/>
  <c r="V26" i="44"/>
  <c r="V27" i="44"/>
  <c r="V28" i="44"/>
  <c r="V41" i="44"/>
  <c r="V40" i="44"/>
  <c r="V39" i="44"/>
  <c r="V38" i="44"/>
  <c r="V37" i="44"/>
  <c r="V36" i="44"/>
  <c r="V35" i="44"/>
  <c r="V34" i="44"/>
  <c r="V33" i="44"/>
  <c r="V32" i="44"/>
  <c r="V31" i="44"/>
  <c r="V29" i="44"/>
  <c r="V24" i="44"/>
  <c r="V22" i="44"/>
  <c r="V9" i="44"/>
  <c r="V49" i="44"/>
  <c r="V50" i="44"/>
  <c r="V51" i="44"/>
  <c r="V52" i="44"/>
  <c r="V65" i="44"/>
  <c r="V64" i="44"/>
  <c r="V63" i="44"/>
  <c r="V62" i="44"/>
  <c r="V61" i="44"/>
  <c r="V60" i="44"/>
  <c r="V59" i="44"/>
  <c r="V58" i="44"/>
  <c r="V57" i="44"/>
  <c r="V56" i="44"/>
  <c r="V55" i="44"/>
  <c r="V53" i="44"/>
  <c r="V48" i="44"/>
  <c r="V46" i="44"/>
  <c r="V10" i="44"/>
  <c r="V75" i="44"/>
  <c r="V76" i="44"/>
  <c r="V77" i="44"/>
  <c r="V78" i="44"/>
  <c r="V91" i="44"/>
  <c r="V90" i="44"/>
  <c r="V89" i="44"/>
  <c r="V88" i="44"/>
  <c r="V87" i="44"/>
  <c r="V86" i="44"/>
  <c r="V85" i="44"/>
  <c r="V84" i="44"/>
  <c r="V83" i="44"/>
  <c r="V82" i="44"/>
  <c r="V81" i="44"/>
  <c r="V79" i="44"/>
  <c r="V74" i="44"/>
  <c r="V72" i="44"/>
  <c r="V70" i="44"/>
  <c r="V11" i="44"/>
  <c r="V17" i="44"/>
  <c r="U25" i="44"/>
  <c r="U26" i="44"/>
  <c r="U27" i="44"/>
  <c r="U28" i="44"/>
  <c r="U41" i="44"/>
  <c r="U40" i="44"/>
  <c r="U39" i="44"/>
  <c r="U38" i="44"/>
  <c r="U37" i="44"/>
  <c r="U36" i="44"/>
  <c r="U35" i="44"/>
  <c r="U34" i="44"/>
  <c r="U33" i="44"/>
  <c r="U32" i="44"/>
  <c r="U31" i="44"/>
  <c r="U29" i="44"/>
  <c r="U24" i="44"/>
  <c r="U22" i="44"/>
  <c r="U9" i="44"/>
  <c r="U49" i="44"/>
  <c r="U50" i="44"/>
  <c r="U51" i="44"/>
  <c r="U52" i="44"/>
  <c r="U65" i="44"/>
  <c r="U64" i="44"/>
  <c r="U63" i="44"/>
  <c r="U62" i="44"/>
  <c r="U61" i="44"/>
  <c r="U60" i="44"/>
  <c r="U59" i="44"/>
  <c r="U58" i="44"/>
  <c r="U57" i="44"/>
  <c r="U56" i="44"/>
  <c r="U55" i="44"/>
  <c r="U53" i="44"/>
  <c r="U48" i="44"/>
  <c r="U46" i="44"/>
  <c r="U10" i="44"/>
  <c r="U75" i="44"/>
  <c r="U76" i="44"/>
  <c r="U77" i="44"/>
  <c r="U78" i="44"/>
  <c r="U91" i="44"/>
  <c r="U90" i="44"/>
  <c r="U89" i="44"/>
  <c r="U88" i="44"/>
  <c r="U87" i="44"/>
  <c r="U86" i="44"/>
  <c r="U85" i="44"/>
  <c r="U84" i="44"/>
  <c r="U83" i="44"/>
  <c r="U82" i="44"/>
  <c r="U81" i="44"/>
  <c r="U79" i="44"/>
  <c r="U74" i="44"/>
  <c r="U72" i="44"/>
  <c r="U70" i="44"/>
  <c r="U11" i="44"/>
  <c r="U17" i="44"/>
  <c r="T25" i="44"/>
  <c r="T26" i="44"/>
  <c r="T27" i="44"/>
  <c r="T28" i="44"/>
  <c r="T41" i="44"/>
  <c r="T40" i="44"/>
  <c r="T39" i="44"/>
  <c r="T38" i="44"/>
  <c r="T37" i="44"/>
  <c r="T36" i="44"/>
  <c r="T35" i="44"/>
  <c r="T34" i="44"/>
  <c r="T33" i="44"/>
  <c r="T32" i="44"/>
  <c r="T31" i="44"/>
  <c r="T29" i="44"/>
  <c r="T24" i="44"/>
  <c r="T22" i="44"/>
  <c r="T9" i="44"/>
  <c r="T49" i="44"/>
  <c r="T50" i="44"/>
  <c r="T51" i="44"/>
  <c r="T52" i="44"/>
  <c r="T65" i="44"/>
  <c r="T64" i="44"/>
  <c r="T63" i="44"/>
  <c r="T62" i="44"/>
  <c r="T61" i="44"/>
  <c r="T60" i="44"/>
  <c r="T59" i="44"/>
  <c r="T58" i="44"/>
  <c r="T57" i="44"/>
  <c r="T56" i="44"/>
  <c r="T55" i="44"/>
  <c r="T53" i="44"/>
  <c r="T48" i="44"/>
  <c r="T46" i="44"/>
  <c r="T10" i="44"/>
  <c r="T75" i="44"/>
  <c r="T76" i="44"/>
  <c r="T77" i="44"/>
  <c r="T78" i="44"/>
  <c r="T91" i="44"/>
  <c r="T90" i="44"/>
  <c r="T89" i="44"/>
  <c r="T88" i="44"/>
  <c r="T87" i="44"/>
  <c r="T86" i="44"/>
  <c r="T85" i="44"/>
  <c r="T84" i="44"/>
  <c r="T83" i="44"/>
  <c r="T82" i="44"/>
  <c r="T81" i="44"/>
  <c r="T79" i="44"/>
  <c r="T74" i="44"/>
  <c r="T72" i="44"/>
  <c r="T70" i="44"/>
  <c r="T11" i="44"/>
  <c r="T17" i="44"/>
  <c r="S25" i="44"/>
  <c r="S26" i="44"/>
  <c r="S27" i="44"/>
  <c r="S28" i="44"/>
  <c r="S41" i="44"/>
  <c r="S40" i="44"/>
  <c r="S39" i="44"/>
  <c r="S38" i="44"/>
  <c r="S37" i="44"/>
  <c r="S36" i="44"/>
  <c r="S35" i="44"/>
  <c r="S34" i="44"/>
  <c r="S33" i="44"/>
  <c r="S32" i="44"/>
  <c r="S31" i="44"/>
  <c r="S29" i="44"/>
  <c r="S24" i="44"/>
  <c r="S22" i="44"/>
  <c r="S9" i="44"/>
  <c r="S49" i="44"/>
  <c r="S50" i="44"/>
  <c r="S51" i="44"/>
  <c r="S52" i="44"/>
  <c r="S65" i="44"/>
  <c r="S64" i="44"/>
  <c r="S63" i="44"/>
  <c r="S62" i="44"/>
  <c r="S61" i="44"/>
  <c r="S60" i="44"/>
  <c r="S59" i="44"/>
  <c r="S58" i="44"/>
  <c r="S57" i="44"/>
  <c r="S56" i="44"/>
  <c r="S55" i="44"/>
  <c r="S53" i="44"/>
  <c r="S48" i="44"/>
  <c r="S46" i="44"/>
  <c r="S10" i="44"/>
  <c r="S75" i="44"/>
  <c r="S76" i="44"/>
  <c r="S77" i="44"/>
  <c r="S78" i="44"/>
  <c r="S91" i="44"/>
  <c r="S90" i="44"/>
  <c r="S89" i="44"/>
  <c r="S88" i="44"/>
  <c r="S87" i="44"/>
  <c r="S86" i="44"/>
  <c r="S85" i="44"/>
  <c r="S84" i="44"/>
  <c r="S83" i="44"/>
  <c r="S82" i="44"/>
  <c r="S81" i="44"/>
  <c r="S79" i="44"/>
  <c r="S74" i="44"/>
  <c r="S72" i="44"/>
  <c r="S70" i="44"/>
  <c r="S11" i="44"/>
  <c r="S17" i="44"/>
  <c r="R25" i="44"/>
  <c r="R26" i="44"/>
  <c r="R27" i="44"/>
  <c r="R28" i="44"/>
  <c r="R41" i="44"/>
  <c r="R40" i="44"/>
  <c r="R39" i="44"/>
  <c r="R38" i="44"/>
  <c r="R37" i="44"/>
  <c r="R36" i="44"/>
  <c r="R35" i="44"/>
  <c r="R34" i="44"/>
  <c r="R33" i="44"/>
  <c r="R32" i="44"/>
  <c r="R31" i="44"/>
  <c r="R29" i="44"/>
  <c r="R24" i="44"/>
  <c r="R22" i="44"/>
  <c r="R9" i="44"/>
  <c r="R49" i="44"/>
  <c r="R50" i="44"/>
  <c r="R51" i="44"/>
  <c r="R52" i="44"/>
  <c r="R65" i="44"/>
  <c r="R64" i="44"/>
  <c r="R63" i="44"/>
  <c r="R62" i="44"/>
  <c r="R61" i="44"/>
  <c r="R60" i="44"/>
  <c r="R59" i="44"/>
  <c r="R58" i="44"/>
  <c r="R57" i="44"/>
  <c r="R56" i="44"/>
  <c r="R55" i="44"/>
  <c r="R53" i="44"/>
  <c r="R48" i="44"/>
  <c r="R46" i="44"/>
  <c r="R10" i="44"/>
  <c r="R75" i="44"/>
  <c r="R76" i="44"/>
  <c r="R77" i="44"/>
  <c r="R78" i="44"/>
  <c r="R91" i="44"/>
  <c r="R90" i="44"/>
  <c r="R89" i="44"/>
  <c r="R88" i="44"/>
  <c r="R87" i="44"/>
  <c r="R86" i="44"/>
  <c r="R85" i="44"/>
  <c r="R84" i="44"/>
  <c r="R83" i="44"/>
  <c r="R82" i="44"/>
  <c r="R81" i="44"/>
  <c r="R79" i="44"/>
  <c r="R74" i="44"/>
  <c r="R72" i="44"/>
  <c r="R70" i="44"/>
  <c r="R11" i="44"/>
  <c r="R17" i="44"/>
  <c r="Q25" i="44"/>
  <c r="Q26" i="44"/>
  <c r="Q27" i="44"/>
  <c r="Q28" i="44"/>
  <c r="Q41" i="44"/>
  <c r="Q40" i="44"/>
  <c r="Q39" i="44"/>
  <c r="Q38" i="44"/>
  <c r="Q37" i="44"/>
  <c r="Q36" i="44"/>
  <c r="Q35" i="44"/>
  <c r="Q34" i="44"/>
  <c r="Q33" i="44"/>
  <c r="Q32" i="44"/>
  <c r="Q31" i="44"/>
  <c r="Q29" i="44"/>
  <c r="Q24" i="44"/>
  <c r="Q22" i="44"/>
  <c r="Q9" i="44"/>
  <c r="Q49" i="44"/>
  <c r="Q50" i="44"/>
  <c r="Q51" i="44"/>
  <c r="Q52" i="44"/>
  <c r="Q65" i="44"/>
  <c r="Q64" i="44"/>
  <c r="Q63" i="44"/>
  <c r="Q62" i="44"/>
  <c r="Q61" i="44"/>
  <c r="Q60" i="44"/>
  <c r="Q59" i="44"/>
  <c r="Q58" i="44"/>
  <c r="Q57" i="44"/>
  <c r="Q56" i="44"/>
  <c r="Q55" i="44"/>
  <c r="Q53" i="44"/>
  <c r="Q48" i="44"/>
  <c r="Q46" i="44"/>
  <c r="Q10" i="44"/>
  <c r="Q75" i="44"/>
  <c r="Q76" i="44"/>
  <c r="Q77" i="44"/>
  <c r="Q78" i="44"/>
  <c r="Q91" i="44"/>
  <c r="Q90" i="44"/>
  <c r="Q89" i="44"/>
  <c r="Q88" i="44"/>
  <c r="Q87" i="44"/>
  <c r="Q86" i="44"/>
  <c r="Q85" i="44"/>
  <c r="Q84" i="44"/>
  <c r="Q83" i="44"/>
  <c r="Q82" i="44"/>
  <c r="Q81" i="44"/>
  <c r="Q79" i="44"/>
  <c r="Q74" i="44"/>
  <c r="Q72" i="44"/>
  <c r="Q70" i="44"/>
  <c r="Q11" i="44"/>
  <c r="Q17" i="44"/>
  <c r="P25" i="44"/>
  <c r="P26" i="44"/>
  <c r="P27" i="44"/>
  <c r="P28" i="44"/>
  <c r="P41" i="44"/>
  <c r="P40" i="44"/>
  <c r="P39" i="44"/>
  <c r="P38" i="44"/>
  <c r="P37" i="44"/>
  <c r="P36" i="44"/>
  <c r="P35" i="44"/>
  <c r="P34" i="44"/>
  <c r="P33" i="44"/>
  <c r="P32" i="44"/>
  <c r="P31" i="44"/>
  <c r="P29" i="44"/>
  <c r="P24" i="44"/>
  <c r="P22" i="44"/>
  <c r="P9" i="44"/>
  <c r="P49" i="44"/>
  <c r="P50" i="44"/>
  <c r="P51" i="44"/>
  <c r="P52" i="44"/>
  <c r="P65" i="44"/>
  <c r="P64" i="44"/>
  <c r="P63" i="44"/>
  <c r="P62" i="44"/>
  <c r="P61" i="44"/>
  <c r="P60" i="44"/>
  <c r="P59" i="44"/>
  <c r="P58" i="44"/>
  <c r="P57" i="44"/>
  <c r="P56" i="44"/>
  <c r="P55" i="44"/>
  <c r="P53" i="44"/>
  <c r="P48" i="44"/>
  <c r="P46" i="44"/>
  <c r="P10" i="44"/>
  <c r="P75" i="44"/>
  <c r="P76" i="44"/>
  <c r="P77" i="44"/>
  <c r="P78" i="44"/>
  <c r="P91" i="44"/>
  <c r="P90" i="44"/>
  <c r="P89" i="44"/>
  <c r="P88" i="44"/>
  <c r="P87" i="44"/>
  <c r="P86" i="44"/>
  <c r="P85" i="44"/>
  <c r="P84" i="44"/>
  <c r="P83" i="44"/>
  <c r="P82" i="44"/>
  <c r="P81" i="44"/>
  <c r="P79" i="44"/>
  <c r="P74" i="44"/>
  <c r="P72" i="44"/>
  <c r="P70" i="44"/>
  <c r="P11" i="44"/>
  <c r="P17" i="44"/>
  <c r="O25" i="44"/>
  <c r="O26" i="44"/>
  <c r="O27" i="44"/>
  <c r="O28" i="44"/>
  <c r="O41" i="44"/>
  <c r="O40" i="44"/>
  <c r="O39" i="44"/>
  <c r="O38" i="44"/>
  <c r="O37" i="44"/>
  <c r="O36" i="44"/>
  <c r="O35" i="44"/>
  <c r="O34" i="44"/>
  <c r="O33" i="44"/>
  <c r="O32" i="44"/>
  <c r="O31" i="44"/>
  <c r="O29" i="44"/>
  <c r="O24" i="44"/>
  <c r="O22" i="44"/>
  <c r="O9" i="44"/>
  <c r="O49" i="44"/>
  <c r="O50" i="44"/>
  <c r="O51" i="44"/>
  <c r="O52" i="44"/>
  <c r="O65" i="44"/>
  <c r="O64" i="44"/>
  <c r="O63" i="44"/>
  <c r="O62" i="44"/>
  <c r="O61" i="44"/>
  <c r="O60" i="44"/>
  <c r="O59" i="44"/>
  <c r="O58" i="44"/>
  <c r="O57" i="44"/>
  <c r="O56" i="44"/>
  <c r="O55" i="44"/>
  <c r="O53" i="44"/>
  <c r="O48" i="44"/>
  <c r="O46" i="44"/>
  <c r="O10" i="44"/>
  <c r="O75" i="44"/>
  <c r="O76" i="44"/>
  <c r="O77" i="44"/>
  <c r="O78" i="44"/>
  <c r="O91" i="44"/>
  <c r="O90" i="44"/>
  <c r="O89" i="44"/>
  <c r="O88" i="44"/>
  <c r="O87" i="44"/>
  <c r="O86" i="44"/>
  <c r="O85" i="44"/>
  <c r="O84" i="44"/>
  <c r="O83" i="44"/>
  <c r="O82" i="44"/>
  <c r="O81" i="44"/>
  <c r="O79" i="44"/>
  <c r="O74" i="44"/>
  <c r="O72" i="44"/>
  <c r="O70" i="44"/>
  <c r="O11" i="44"/>
  <c r="O17" i="44"/>
  <c r="N25" i="44"/>
  <c r="N26" i="44"/>
  <c r="N27" i="44"/>
  <c r="N28" i="44"/>
  <c r="N41" i="44"/>
  <c r="N40" i="44"/>
  <c r="N39" i="44"/>
  <c r="N38" i="44"/>
  <c r="N37" i="44"/>
  <c r="N36" i="44"/>
  <c r="N35" i="44"/>
  <c r="N34" i="44"/>
  <c r="N33" i="44"/>
  <c r="N32" i="44"/>
  <c r="N31" i="44"/>
  <c r="N29" i="44"/>
  <c r="N24" i="44"/>
  <c r="N22" i="44"/>
  <c r="N9" i="44"/>
  <c r="N49" i="44"/>
  <c r="N50" i="44"/>
  <c r="N51" i="44"/>
  <c r="N52" i="44"/>
  <c r="N65" i="44"/>
  <c r="N64" i="44"/>
  <c r="N63" i="44"/>
  <c r="N62" i="44"/>
  <c r="N61" i="44"/>
  <c r="N60" i="44"/>
  <c r="N59" i="44"/>
  <c r="N58" i="44"/>
  <c r="N57" i="44"/>
  <c r="N56" i="44"/>
  <c r="N55" i="44"/>
  <c r="N53" i="44"/>
  <c r="N48" i="44"/>
  <c r="N46" i="44"/>
  <c r="N10" i="44"/>
  <c r="N75" i="44"/>
  <c r="N76" i="44"/>
  <c r="N77" i="44"/>
  <c r="N78" i="44"/>
  <c r="N91" i="44"/>
  <c r="N90" i="44"/>
  <c r="N89" i="44"/>
  <c r="N88" i="44"/>
  <c r="N87" i="44"/>
  <c r="N86" i="44"/>
  <c r="N85" i="44"/>
  <c r="N84" i="44"/>
  <c r="N83" i="44"/>
  <c r="N82" i="44"/>
  <c r="N81" i="44"/>
  <c r="N79" i="44"/>
  <c r="N74" i="44"/>
  <c r="N72" i="44"/>
  <c r="N70" i="44"/>
  <c r="N11" i="44"/>
  <c r="N17" i="44"/>
  <c r="M25" i="44"/>
  <c r="M26" i="44"/>
  <c r="M27" i="44"/>
  <c r="M28" i="44"/>
  <c r="M41" i="44"/>
  <c r="M40" i="44"/>
  <c r="M39" i="44"/>
  <c r="M38" i="44"/>
  <c r="M37" i="44"/>
  <c r="M36" i="44"/>
  <c r="M35" i="44"/>
  <c r="M34" i="44"/>
  <c r="M33" i="44"/>
  <c r="M32" i="44"/>
  <c r="M31" i="44"/>
  <c r="M29" i="44"/>
  <c r="M24" i="44"/>
  <c r="M22" i="44"/>
  <c r="M9" i="44"/>
  <c r="M49" i="44"/>
  <c r="M50" i="44"/>
  <c r="M51" i="44"/>
  <c r="M52" i="44"/>
  <c r="M65" i="44"/>
  <c r="M64" i="44"/>
  <c r="M63" i="44"/>
  <c r="M62" i="44"/>
  <c r="M61" i="44"/>
  <c r="M60" i="44"/>
  <c r="M59" i="44"/>
  <c r="M58" i="44"/>
  <c r="M57" i="44"/>
  <c r="M56" i="44"/>
  <c r="M55" i="44"/>
  <c r="M53" i="44"/>
  <c r="M48" i="44"/>
  <c r="M46" i="44"/>
  <c r="M10" i="44"/>
  <c r="M75" i="44"/>
  <c r="M76" i="44"/>
  <c r="M77" i="44"/>
  <c r="M78" i="44"/>
  <c r="M91" i="44"/>
  <c r="M90" i="44"/>
  <c r="M89" i="44"/>
  <c r="M88" i="44"/>
  <c r="M87" i="44"/>
  <c r="M86" i="44"/>
  <c r="M85" i="44"/>
  <c r="M84" i="44"/>
  <c r="M83" i="44"/>
  <c r="M82" i="44"/>
  <c r="M81" i="44"/>
  <c r="M79" i="44"/>
  <c r="M74" i="44"/>
  <c r="M72" i="44"/>
  <c r="M70" i="44"/>
  <c r="M11" i="44"/>
  <c r="M17" i="44"/>
  <c r="L25" i="44"/>
  <c r="L26" i="44"/>
  <c r="L27" i="44"/>
  <c r="L28" i="44"/>
  <c r="L41" i="44"/>
  <c r="L40" i="44"/>
  <c r="L39" i="44"/>
  <c r="L38" i="44"/>
  <c r="L37" i="44"/>
  <c r="L36" i="44"/>
  <c r="L35" i="44"/>
  <c r="L34" i="44"/>
  <c r="L33" i="44"/>
  <c r="L32" i="44"/>
  <c r="L31" i="44"/>
  <c r="L29" i="44"/>
  <c r="L24" i="44"/>
  <c r="L22" i="44"/>
  <c r="L9" i="44"/>
  <c r="L49" i="44"/>
  <c r="L50" i="44"/>
  <c r="L51" i="44"/>
  <c r="L52" i="44"/>
  <c r="L65" i="44"/>
  <c r="L64" i="44"/>
  <c r="L63" i="44"/>
  <c r="L62" i="44"/>
  <c r="L61" i="44"/>
  <c r="L60" i="44"/>
  <c r="L59" i="44"/>
  <c r="L58" i="44"/>
  <c r="L57" i="44"/>
  <c r="L56" i="44"/>
  <c r="L55" i="44"/>
  <c r="L53" i="44"/>
  <c r="L48" i="44"/>
  <c r="L46" i="44"/>
  <c r="L10" i="44"/>
  <c r="L75" i="44"/>
  <c r="L76" i="44"/>
  <c r="L77" i="44"/>
  <c r="L78" i="44"/>
  <c r="L91" i="44"/>
  <c r="L90" i="44"/>
  <c r="L89" i="44"/>
  <c r="L88" i="44"/>
  <c r="L87" i="44"/>
  <c r="L86" i="44"/>
  <c r="L85" i="44"/>
  <c r="L84" i="44"/>
  <c r="L83" i="44"/>
  <c r="L82" i="44"/>
  <c r="L81" i="44"/>
  <c r="L79" i="44"/>
  <c r="L74" i="44"/>
  <c r="L72" i="44"/>
  <c r="L70" i="44"/>
  <c r="L11" i="44"/>
  <c r="L17" i="44"/>
  <c r="K25" i="44"/>
  <c r="K26" i="44"/>
  <c r="K27" i="44"/>
  <c r="K28" i="44"/>
  <c r="K41" i="44"/>
  <c r="K40" i="44"/>
  <c r="K39" i="44"/>
  <c r="K38" i="44"/>
  <c r="K37" i="44"/>
  <c r="K36" i="44"/>
  <c r="K35" i="44"/>
  <c r="K34" i="44"/>
  <c r="K33" i="44"/>
  <c r="K32" i="44"/>
  <c r="K31" i="44"/>
  <c r="K29" i="44"/>
  <c r="K24" i="44"/>
  <c r="K22" i="44"/>
  <c r="K9" i="44"/>
  <c r="K49" i="44"/>
  <c r="K50" i="44"/>
  <c r="K51" i="44"/>
  <c r="K52" i="44"/>
  <c r="K65" i="44"/>
  <c r="K64" i="44"/>
  <c r="K63" i="44"/>
  <c r="K62" i="44"/>
  <c r="K61" i="44"/>
  <c r="K60" i="44"/>
  <c r="K59" i="44"/>
  <c r="K58" i="44"/>
  <c r="K57" i="44"/>
  <c r="K56" i="44"/>
  <c r="K55" i="44"/>
  <c r="K53" i="44"/>
  <c r="K48" i="44"/>
  <c r="K46" i="44"/>
  <c r="K10" i="44"/>
  <c r="K75" i="44"/>
  <c r="K76" i="44"/>
  <c r="K77" i="44"/>
  <c r="K78" i="44"/>
  <c r="K91" i="44"/>
  <c r="K90" i="44"/>
  <c r="K89" i="44"/>
  <c r="K88" i="44"/>
  <c r="K87" i="44"/>
  <c r="K86" i="44"/>
  <c r="K85" i="44"/>
  <c r="K84" i="44"/>
  <c r="K83" i="44"/>
  <c r="K82" i="44"/>
  <c r="K81" i="44"/>
  <c r="K79" i="44"/>
  <c r="K74" i="44"/>
  <c r="K72" i="44"/>
  <c r="K70" i="44"/>
  <c r="K11" i="44"/>
  <c r="K17" i="44"/>
  <c r="J25" i="44"/>
  <c r="J26" i="44"/>
  <c r="J27" i="44"/>
  <c r="J28" i="44"/>
  <c r="J41" i="44"/>
  <c r="J40" i="44"/>
  <c r="J39" i="44"/>
  <c r="J38" i="44"/>
  <c r="J37" i="44"/>
  <c r="J36" i="44"/>
  <c r="J35" i="44"/>
  <c r="J34" i="44"/>
  <c r="J33" i="44"/>
  <c r="J32" i="44"/>
  <c r="J31" i="44"/>
  <c r="J29" i="44"/>
  <c r="J24" i="44"/>
  <c r="J22" i="44"/>
  <c r="J9" i="44"/>
  <c r="J49" i="44"/>
  <c r="J50" i="44"/>
  <c r="J51" i="44"/>
  <c r="J52" i="44"/>
  <c r="J65" i="44"/>
  <c r="J64" i="44"/>
  <c r="J63" i="44"/>
  <c r="J62" i="44"/>
  <c r="J61" i="44"/>
  <c r="J60" i="44"/>
  <c r="J59" i="44"/>
  <c r="J58" i="44"/>
  <c r="J57" i="44"/>
  <c r="J56" i="44"/>
  <c r="J55" i="44"/>
  <c r="J53" i="44"/>
  <c r="J48" i="44"/>
  <c r="J46" i="44"/>
  <c r="J10" i="44"/>
  <c r="J75" i="44"/>
  <c r="J76" i="44"/>
  <c r="J77" i="44"/>
  <c r="J78" i="44"/>
  <c r="J91" i="44"/>
  <c r="J90" i="44"/>
  <c r="J89" i="44"/>
  <c r="J88" i="44"/>
  <c r="J87" i="44"/>
  <c r="J86" i="44"/>
  <c r="J85" i="44"/>
  <c r="J84" i="44"/>
  <c r="J83" i="44"/>
  <c r="J82" i="44"/>
  <c r="J81" i="44"/>
  <c r="J79" i="44"/>
  <c r="J74" i="44"/>
  <c r="J72" i="44"/>
  <c r="J70" i="44"/>
  <c r="J11" i="44"/>
  <c r="J17" i="44"/>
  <c r="I29" i="44"/>
  <c r="I32" i="44"/>
  <c r="I33" i="44"/>
  <c r="I34" i="44"/>
  <c r="I41" i="44"/>
  <c r="I40" i="44"/>
  <c r="I39" i="44"/>
  <c r="I38" i="44"/>
  <c r="I37" i="44"/>
  <c r="I36" i="44"/>
  <c r="I35" i="44"/>
  <c r="I31" i="44"/>
  <c r="I24" i="44"/>
  <c r="I22" i="44"/>
  <c r="I9" i="44"/>
  <c r="I56" i="44"/>
  <c r="I57" i="44"/>
  <c r="I58" i="44"/>
  <c r="I59" i="44"/>
  <c r="I65" i="44"/>
  <c r="I64" i="44"/>
  <c r="I63" i="44"/>
  <c r="I62" i="44"/>
  <c r="I61" i="44"/>
  <c r="I60" i="44"/>
  <c r="I55" i="44"/>
  <c r="I46" i="44"/>
  <c r="I10" i="44"/>
  <c r="I82" i="44"/>
  <c r="I83" i="44"/>
  <c r="I84" i="44"/>
  <c r="I85" i="44"/>
  <c r="I91" i="44"/>
  <c r="I90" i="44"/>
  <c r="I89" i="44"/>
  <c r="I88" i="44"/>
  <c r="I87" i="44"/>
  <c r="I86" i="44"/>
  <c r="I81" i="44"/>
  <c r="I72" i="44"/>
  <c r="I70" i="44"/>
  <c r="I11" i="44"/>
  <c r="I17" i="44"/>
  <c r="H29" i="44"/>
  <c r="H32" i="44"/>
  <c r="H33" i="44"/>
  <c r="H34" i="44"/>
  <c r="H41" i="44"/>
  <c r="H40" i="44"/>
  <c r="H39" i="44"/>
  <c r="H38" i="44"/>
  <c r="H37" i="44"/>
  <c r="H36" i="44"/>
  <c r="H35" i="44"/>
  <c r="H31" i="44"/>
  <c r="H24" i="44"/>
  <c r="H22" i="44"/>
  <c r="H9" i="44"/>
  <c r="H56" i="44"/>
  <c r="H57" i="44"/>
  <c r="H58" i="44"/>
  <c r="H59" i="44"/>
  <c r="H65" i="44"/>
  <c r="H64" i="44"/>
  <c r="H63" i="44"/>
  <c r="H62" i="44"/>
  <c r="H61" i="44"/>
  <c r="H60" i="44"/>
  <c r="H55" i="44"/>
  <c r="H46" i="44"/>
  <c r="H10" i="44"/>
  <c r="H82" i="44"/>
  <c r="H83" i="44"/>
  <c r="H84" i="44"/>
  <c r="H85" i="44"/>
  <c r="H91" i="44"/>
  <c r="H90" i="44"/>
  <c r="H89" i="44"/>
  <c r="H88" i="44"/>
  <c r="H87" i="44"/>
  <c r="H86" i="44"/>
  <c r="H81" i="44"/>
  <c r="H72" i="44"/>
  <c r="H70" i="44"/>
  <c r="H11" i="44"/>
  <c r="H17" i="44"/>
  <c r="G29" i="44"/>
  <c r="G32" i="44"/>
  <c r="G33" i="44"/>
  <c r="G34" i="44"/>
  <c r="G41" i="44"/>
  <c r="G40" i="44"/>
  <c r="G39" i="44"/>
  <c r="G38" i="44"/>
  <c r="G37" i="44"/>
  <c r="G36" i="44"/>
  <c r="G35" i="44"/>
  <c r="G31" i="44"/>
  <c r="G24" i="44"/>
  <c r="G22" i="44"/>
  <c r="G9" i="44"/>
  <c r="G56" i="44"/>
  <c r="G57" i="44"/>
  <c r="G58" i="44"/>
  <c r="G59" i="44"/>
  <c r="G65" i="44"/>
  <c r="G64" i="44"/>
  <c r="G63" i="44"/>
  <c r="G62" i="44"/>
  <c r="G61" i="44"/>
  <c r="G60" i="44"/>
  <c r="G55" i="44"/>
  <c r="G46" i="44"/>
  <c r="G10" i="44"/>
  <c r="G82" i="44"/>
  <c r="G83" i="44"/>
  <c r="G84" i="44"/>
  <c r="G85" i="44"/>
  <c r="G91" i="44"/>
  <c r="G90" i="44"/>
  <c r="G89" i="44"/>
  <c r="G88" i="44"/>
  <c r="G87" i="44"/>
  <c r="G86" i="44"/>
  <c r="G81" i="44"/>
  <c r="G72" i="44"/>
  <c r="G70" i="44"/>
  <c r="G11" i="44"/>
  <c r="G17" i="44"/>
  <c r="J208" i="44"/>
  <c r="J212" i="44"/>
  <c r="K208" i="44"/>
  <c r="K212" i="44"/>
  <c r="L208" i="44"/>
  <c r="L212" i="44"/>
  <c r="M208" i="44"/>
  <c r="M212" i="44"/>
  <c r="N208" i="44"/>
  <c r="N212" i="44"/>
  <c r="O208" i="44"/>
  <c r="O212" i="44"/>
  <c r="P208" i="44"/>
  <c r="P212" i="44"/>
  <c r="Q208" i="44"/>
  <c r="Q212" i="44"/>
  <c r="R208" i="44"/>
  <c r="R212" i="44"/>
  <c r="S208" i="44"/>
  <c r="S212" i="44"/>
  <c r="T208" i="44"/>
  <c r="T212" i="44"/>
  <c r="U208" i="44"/>
  <c r="U212" i="44"/>
  <c r="V208" i="44"/>
  <c r="V212" i="44"/>
  <c r="W208" i="44"/>
  <c r="W212" i="44"/>
  <c r="X208" i="44"/>
  <c r="X212" i="44"/>
  <c r="Y208" i="44"/>
  <c r="Y212" i="44"/>
  <c r="Z208" i="44"/>
  <c r="Z212" i="44"/>
  <c r="AA208" i="44"/>
  <c r="AA212" i="44"/>
  <c r="AB208" i="44"/>
  <c r="AB212" i="44"/>
  <c r="AC208" i="44"/>
  <c r="AC212" i="44"/>
  <c r="AD208" i="44"/>
  <c r="AD212" i="44"/>
  <c r="AE208" i="44"/>
  <c r="AE212" i="44"/>
  <c r="AF208" i="44"/>
  <c r="AF212" i="44"/>
  <c r="AG208" i="44"/>
  <c r="AG212" i="44"/>
  <c r="AH208" i="44"/>
  <c r="AH212" i="44"/>
  <c r="AI208" i="44"/>
  <c r="AI212" i="44"/>
  <c r="AJ208" i="44"/>
  <c r="AJ212" i="44"/>
  <c r="AK208" i="44"/>
  <c r="AK212" i="44"/>
  <c r="AL208" i="44"/>
  <c r="AL212" i="44"/>
  <c r="AM208" i="44"/>
  <c r="AM212" i="44"/>
  <c r="AN208" i="44"/>
  <c r="AN212" i="44"/>
  <c r="AO208" i="44"/>
  <c r="AO212" i="44"/>
  <c r="AP208" i="44"/>
  <c r="AP212" i="44"/>
  <c r="G133" i="44" a="1"/>
  <c r="G128" i="44" a="1"/>
  <c r="G130" i="44" a="1"/>
  <c r="G131" i="44" a="1"/>
  <c r="G127" i="44" a="1"/>
  <c r="G132" i="44" a="1"/>
  <c r="G134" i="44" a="1"/>
  <c r="G129" i="44" a="1"/>
  <c r="D145" i="44"/>
  <c r="L132" i="44" a="1"/>
  <c r="H132" i="44"/>
  <c r="D101" i="44"/>
  <c r="H133" i="44"/>
  <c r="D146" i="44"/>
  <c r="L133" i="44" a="1"/>
  <c r="D102" i="44"/>
  <c r="D148" i="44"/>
  <c r="D104" i="44"/>
  <c r="H127" i="44"/>
  <c r="L127" i="44" a="1"/>
  <c r="D140" i="44"/>
  <c r="D96" i="44"/>
  <c r="D149" i="44"/>
  <c r="D105" i="44"/>
  <c r="L131" i="44" a="1"/>
  <c r="H131" i="44"/>
  <c r="D144" i="44"/>
  <c r="D100" i="44"/>
  <c r="D143" i="44"/>
  <c r="L130" i="44" a="1"/>
  <c r="H130" i="44"/>
  <c r="D99" i="44"/>
  <c r="D147" i="44"/>
  <c r="H134" i="44"/>
  <c r="L134" i="44" a="1"/>
  <c r="D103" i="44"/>
  <c r="L129" i="44" a="1"/>
  <c r="D142" i="44"/>
  <c r="H129" i="44"/>
  <c r="D98" i="44"/>
  <c r="H128" i="44"/>
  <c r="D141" i="44"/>
  <c r="L128" i="44" a="1"/>
  <c r="D97" i="44"/>
  <c r="DQ144" i="44"/>
  <c r="DI144" i="44"/>
  <c r="DA144" i="44"/>
  <c r="CS144" i="44"/>
  <c r="DP144" i="44"/>
  <c r="DH144" i="44"/>
  <c r="CZ144" i="44"/>
  <c r="CR144" i="44"/>
  <c r="CJ144" i="44"/>
  <c r="DV144" i="44"/>
  <c r="DN144" i="44"/>
  <c r="DL144" i="44"/>
  <c r="DB144" i="44"/>
  <c r="CP144" i="44"/>
  <c r="CG144" i="44"/>
  <c r="BY144" i="44"/>
  <c r="BQ144" i="44"/>
  <c r="BI144" i="44"/>
  <c r="BA144" i="44"/>
  <c r="AS144" i="44"/>
  <c r="AK144" i="44"/>
  <c r="AC144" i="44"/>
  <c r="U144" i="44"/>
  <c r="M144" i="44"/>
  <c r="DK144" i="44"/>
  <c r="CY144" i="44"/>
  <c r="CO144" i="44"/>
  <c r="CF144" i="44"/>
  <c r="BX144" i="44"/>
  <c r="BP144" i="44"/>
  <c r="BH144" i="44"/>
  <c r="AZ144" i="44"/>
  <c r="AR144" i="44"/>
  <c r="AJ144" i="44"/>
  <c r="AB144" i="44"/>
  <c r="T144" i="44"/>
  <c r="L144" i="44"/>
  <c r="DU144" i="44"/>
  <c r="DJ144" i="44"/>
  <c r="CX144" i="44"/>
  <c r="CN144" i="44"/>
  <c r="CE144" i="44"/>
  <c r="BW144" i="44"/>
  <c r="BO144" i="44"/>
  <c r="BG144" i="44"/>
  <c r="AY144" i="44"/>
  <c r="AQ144" i="44"/>
  <c r="AI144" i="44"/>
  <c r="AA144" i="44"/>
  <c r="S144" i="44"/>
  <c r="K144" i="44"/>
  <c r="DT144" i="44"/>
  <c r="DG144" i="44"/>
  <c r="CW144" i="44"/>
  <c r="CM144" i="44"/>
  <c r="CD144" i="44"/>
  <c r="BV144" i="44"/>
  <c r="BN144" i="44"/>
  <c r="BF144" i="44"/>
  <c r="AX144" i="44"/>
  <c r="AP144" i="44"/>
  <c r="AH144" i="44"/>
  <c r="Z144" i="44"/>
  <c r="R144" i="44"/>
  <c r="J144" i="44"/>
  <c r="DS144" i="44"/>
  <c r="DF144" i="44"/>
  <c r="CV144" i="44"/>
  <c r="CL144" i="44"/>
  <c r="CC144" i="44"/>
  <c r="BU144" i="44"/>
  <c r="BM144" i="44"/>
  <c r="BE144" i="44"/>
  <c r="AW144" i="44"/>
  <c r="AO144" i="44"/>
  <c r="AG144" i="44"/>
  <c r="Y144" i="44"/>
  <c r="Q144" i="44"/>
  <c r="I144" i="44"/>
  <c r="DR144" i="44"/>
  <c r="DE144" i="44"/>
  <c r="CU144" i="44"/>
  <c r="CK144" i="44"/>
  <c r="CB144" i="44"/>
  <c r="BT144" i="44"/>
  <c r="BL144" i="44"/>
  <c r="BD144" i="44"/>
  <c r="AV144" i="44"/>
  <c r="AN144" i="44"/>
  <c r="AF144" i="44"/>
  <c r="X144" i="44"/>
  <c r="P144" i="44"/>
  <c r="H144" i="44"/>
  <c r="DO144" i="44"/>
  <c r="DD144" i="44"/>
  <c r="CT144" i="44"/>
  <c r="CI144" i="44"/>
  <c r="CA144" i="44"/>
  <c r="BS144" i="44"/>
  <c r="BK144" i="44"/>
  <c r="BC144" i="44"/>
  <c r="AU144" i="44"/>
  <c r="AM144" i="44"/>
  <c r="AE144" i="44"/>
  <c r="W144" i="44"/>
  <c r="O144" i="44"/>
  <c r="G144" i="44"/>
  <c r="DM144" i="44"/>
  <c r="DC144" i="44"/>
  <c r="CQ144" i="44"/>
  <c r="CH144" i="44"/>
  <c r="BZ144" i="44"/>
  <c r="BR144" i="44"/>
  <c r="BJ144" i="44"/>
  <c r="BB144" i="44"/>
  <c r="AT144" i="44"/>
  <c r="AL144" i="44"/>
  <c r="AD144" i="44"/>
  <c r="V144" i="44"/>
  <c r="N144" i="44"/>
  <c r="AN99" i="44"/>
  <c r="AF99" i="44"/>
  <c r="X99" i="44"/>
  <c r="P99" i="44"/>
  <c r="H99" i="44"/>
  <c r="AM99" i="44"/>
  <c r="AE99" i="44"/>
  <c r="W99" i="44"/>
  <c r="O99" i="44"/>
  <c r="G99" i="44"/>
  <c r="AL99" i="44"/>
  <c r="AD99" i="44"/>
  <c r="V99" i="44"/>
  <c r="N99" i="44"/>
  <c r="AK99" i="44"/>
  <c r="AC99" i="44"/>
  <c r="U99" i="44"/>
  <c r="M99" i="44"/>
  <c r="AJ99" i="44"/>
  <c r="AB99" i="44"/>
  <c r="T99" i="44"/>
  <c r="L99" i="44"/>
  <c r="AI99" i="44"/>
  <c r="AA99" i="44"/>
  <c r="S99" i="44"/>
  <c r="K99" i="44"/>
  <c r="AP99" i="44"/>
  <c r="AH99" i="44"/>
  <c r="Z99" i="44"/>
  <c r="R99" i="44"/>
  <c r="J99" i="44"/>
  <c r="AO99" i="44"/>
  <c r="AG99" i="44"/>
  <c r="Y99" i="44"/>
  <c r="Q99" i="44"/>
  <c r="I99" i="44"/>
  <c r="C157" i="44"/>
  <c r="M131" i="44"/>
  <c r="C115" i="44"/>
  <c r="DU140" i="44"/>
  <c r="DM140" i="44"/>
  <c r="DE140" i="44"/>
  <c r="CW140" i="44"/>
  <c r="CO140" i="44"/>
  <c r="CG140" i="44"/>
  <c r="BY140" i="44"/>
  <c r="BQ140" i="44"/>
  <c r="BI140" i="44"/>
  <c r="BA140" i="44"/>
  <c r="AS140" i="44"/>
  <c r="AK140" i="44"/>
  <c r="AC140" i="44"/>
  <c r="U140" i="44"/>
  <c r="M140" i="44"/>
  <c r="DT140" i="44"/>
  <c r="DL140" i="44"/>
  <c r="DD140" i="44"/>
  <c r="CV140" i="44"/>
  <c r="CN140" i="44"/>
  <c r="CF140" i="44"/>
  <c r="BX140" i="44"/>
  <c r="BP140" i="44"/>
  <c r="BH140" i="44"/>
  <c r="AZ140" i="44"/>
  <c r="AR140" i="44"/>
  <c r="AJ140" i="44"/>
  <c r="AB140" i="44"/>
  <c r="T140" i="44"/>
  <c r="L140" i="44"/>
  <c r="DS140" i="44"/>
  <c r="DK140" i="44"/>
  <c r="DC140" i="44"/>
  <c r="CU140" i="44"/>
  <c r="CM140" i="44"/>
  <c r="CE140" i="44"/>
  <c r="BW140" i="44"/>
  <c r="BO140" i="44"/>
  <c r="BG140" i="44"/>
  <c r="AY140" i="44"/>
  <c r="AQ140" i="44"/>
  <c r="AI140" i="44"/>
  <c r="AA140" i="44"/>
  <c r="S140" i="44"/>
  <c r="K140" i="44"/>
  <c r="DR140" i="44"/>
  <c r="DJ140" i="44"/>
  <c r="DB140" i="44"/>
  <c r="CT140" i="44"/>
  <c r="CL140" i="44"/>
  <c r="CD140" i="44"/>
  <c r="BV140" i="44"/>
  <c r="BN140" i="44"/>
  <c r="BF140" i="44"/>
  <c r="AX140" i="44"/>
  <c r="AP140" i="44"/>
  <c r="AH140" i="44"/>
  <c r="Z140" i="44"/>
  <c r="R140" i="44"/>
  <c r="J140" i="44"/>
  <c r="DQ140" i="44"/>
  <c r="DI140" i="44"/>
  <c r="DA140" i="44"/>
  <c r="CS140" i="44"/>
  <c r="CK140" i="44"/>
  <c r="CC140" i="44"/>
  <c r="BU140" i="44"/>
  <c r="BM140" i="44"/>
  <c r="BE140" i="44"/>
  <c r="AW140" i="44"/>
  <c r="AO140" i="44"/>
  <c r="AG140" i="44"/>
  <c r="Y140" i="44"/>
  <c r="Q140" i="44"/>
  <c r="I140" i="44"/>
  <c r="DP140" i="44"/>
  <c r="DH140" i="44"/>
  <c r="CZ140" i="44"/>
  <c r="CR140" i="44"/>
  <c r="CJ140" i="44"/>
  <c r="CB140" i="44"/>
  <c r="BT140" i="44"/>
  <c r="BL140" i="44"/>
  <c r="BD140" i="44"/>
  <c r="AV140" i="44"/>
  <c r="AN140" i="44"/>
  <c r="AF140" i="44"/>
  <c r="X140" i="44"/>
  <c r="P140" i="44"/>
  <c r="H140" i="44"/>
  <c r="DO140" i="44"/>
  <c r="DG140" i="44"/>
  <c r="CY140" i="44"/>
  <c r="CQ140" i="44"/>
  <c r="CI140" i="44"/>
  <c r="CA140" i="44"/>
  <c r="BS140" i="44"/>
  <c r="BK140" i="44"/>
  <c r="BC140" i="44"/>
  <c r="AU140" i="44"/>
  <c r="AM140" i="44"/>
  <c r="AE140" i="44"/>
  <c r="W140" i="44"/>
  <c r="O140" i="44"/>
  <c r="G140" i="44"/>
  <c r="DV140" i="44"/>
  <c r="DN140" i="44"/>
  <c r="DF140" i="44"/>
  <c r="CX140" i="44"/>
  <c r="CP140" i="44"/>
  <c r="CH140" i="44"/>
  <c r="BZ140" i="44"/>
  <c r="BR140" i="44"/>
  <c r="BJ140" i="44"/>
  <c r="BB140" i="44"/>
  <c r="AT140" i="44"/>
  <c r="AL140" i="44"/>
  <c r="AD140" i="44"/>
  <c r="V140" i="44"/>
  <c r="N140" i="44"/>
  <c r="AM102" i="44"/>
  <c r="AE102" i="44"/>
  <c r="W102" i="44"/>
  <c r="O102" i="44"/>
  <c r="G102" i="44"/>
  <c r="AL102" i="44"/>
  <c r="AD102" i="44"/>
  <c r="V102" i="44"/>
  <c r="N102" i="44"/>
  <c r="AK102" i="44"/>
  <c r="AC102" i="44"/>
  <c r="U102" i="44"/>
  <c r="M102" i="44"/>
  <c r="AJ102" i="44"/>
  <c r="AB102" i="44"/>
  <c r="T102" i="44"/>
  <c r="L102" i="44"/>
  <c r="AI102" i="44"/>
  <c r="AA102" i="44"/>
  <c r="S102" i="44"/>
  <c r="K102" i="44"/>
  <c r="AP102" i="44"/>
  <c r="AH102" i="44"/>
  <c r="Z102" i="44"/>
  <c r="R102" i="44"/>
  <c r="J102" i="44"/>
  <c r="AO102" i="44"/>
  <c r="AG102" i="44"/>
  <c r="Y102" i="44"/>
  <c r="Q102" i="44"/>
  <c r="I102" i="44"/>
  <c r="AN102" i="44"/>
  <c r="AF102" i="44"/>
  <c r="X102" i="44"/>
  <c r="P102" i="44"/>
  <c r="H102" i="44"/>
  <c r="AN105" i="44"/>
  <c r="AF105" i="44"/>
  <c r="X105" i="44"/>
  <c r="P105" i="44"/>
  <c r="H105" i="44"/>
  <c r="AM105" i="44"/>
  <c r="AE105" i="44"/>
  <c r="W105" i="44"/>
  <c r="O105" i="44"/>
  <c r="G105" i="44"/>
  <c r="AL105" i="44"/>
  <c r="AD105" i="44"/>
  <c r="V105" i="44"/>
  <c r="N105" i="44"/>
  <c r="AK105" i="44"/>
  <c r="AC105" i="44"/>
  <c r="U105" i="44"/>
  <c r="M105" i="44"/>
  <c r="AJ105" i="44"/>
  <c r="AB105" i="44"/>
  <c r="T105" i="44"/>
  <c r="L105" i="44"/>
  <c r="AI105" i="44"/>
  <c r="AA105" i="44"/>
  <c r="S105" i="44"/>
  <c r="K105" i="44"/>
  <c r="AP105" i="44"/>
  <c r="AH105" i="44"/>
  <c r="Z105" i="44"/>
  <c r="R105" i="44"/>
  <c r="J105" i="44"/>
  <c r="AO105" i="44"/>
  <c r="AG105" i="44"/>
  <c r="Y105" i="44"/>
  <c r="Q105" i="44"/>
  <c r="I105" i="44"/>
  <c r="C153" i="44"/>
  <c r="M127" i="44"/>
  <c r="C111" i="44"/>
  <c r="C159" i="44"/>
  <c r="M133" i="44"/>
  <c r="C117" i="44"/>
  <c r="C156" i="44"/>
  <c r="M130" i="44"/>
  <c r="C114" i="44"/>
  <c r="DU146" i="44"/>
  <c r="DM146" i="44"/>
  <c r="DE146" i="44"/>
  <c r="CW146" i="44"/>
  <c r="CO146" i="44"/>
  <c r="CG146" i="44"/>
  <c r="BY146" i="44"/>
  <c r="BQ146" i="44"/>
  <c r="BI146" i="44"/>
  <c r="BA146" i="44"/>
  <c r="AS146" i="44"/>
  <c r="AK146" i="44"/>
  <c r="AC146" i="44"/>
  <c r="U146" i="44"/>
  <c r="M146" i="44"/>
  <c r="DT146" i="44"/>
  <c r="DL146" i="44"/>
  <c r="DD146" i="44"/>
  <c r="CV146" i="44"/>
  <c r="CN146" i="44"/>
  <c r="CF146" i="44"/>
  <c r="BX146" i="44"/>
  <c r="BP146" i="44"/>
  <c r="BH146" i="44"/>
  <c r="AZ146" i="44"/>
  <c r="AR146" i="44"/>
  <c r="AJ146" i="44"/>
  <c r="AB146" i="44"/>
  <c r="T146" i="44"/>
  <c r="L146" i="44"/>
  <c r="DS146" i="44"/>
  <c r="DK146" i="44"/>
  <c r="DC146" i="44"/>
  <c r="CU146" i="44"/>
  <c r="CM146" i="44"/>
  <c r="CE146" i="44"/>
  <c r="BW146" i="44"/>
  <c r="BO146" i="44"/>
  <c r="BG146" i="44"/>
  <c r="AY146" i="44"/>
  <c r="AQ146" i="44"/>
  <c r="AI146" i="44"/>
  <c r="AA146" i="44"/>
  <c r="S146" i="44"/>
  <c r="K146" i="44"/>
  <c r="DR146" i="44"/>
  <c r="DJ146" i="44"/>
  <c r="DB146" i="44"/>
  <c r="CT146" i="44"/>
  <c r="CL146" i="44"/>
  <c r="CD146" i="44"/>
  <c r="BV146" i="44"/>
  <c r="BN146" i="44"/>
  <c r="BF146" i="44"/>
  <c r="AX146" i="44"/>
  <c r="AP146" i="44"/>
  <c r="AH146" i="44"/>
  <c r="Z146" i="44"/>
  <c r="R146" i="44"/>
  <c r="J146" i="44"/>
  <c r="DQ146" i="44"/>
  <c r="DI146" i="44"/>
  <c r="DA146" i="44"/>
  <c r="CS146" i="44"/>
  <c r="CK146" i="44"/>
  <c r="CC146" i="44"/>
  <c r="BU146" i="44"/>
  <c r="BM146" i="44"/>
  <c r="BE146" i="44"/>
  <c r="AW146" i="44"/>
  <c r="AO146" i="44"/>
  <c r="AG146" i="44"/>
  <c r="Y146" i="44"/>
  <c r="Q146" i="44"/>
  <c r="I146" i="44"/>
  <c r="DP146" i="44"/>
  <c r="DH146" i="44"/>
  <c r="CZ146" i="44"/>
  <c r="CR146" i="44"/>
  <c r="CJ146" i="44"/>
  <c r="CB146" i="44"/>
  <c r="BT146" i="44"/>
  <c r="BL146" i="44"/>
  <c r="BD146" i="44"/>
  <c r="AV146" i="44"/>
  <c r="AN146" i="44"/>
  <c r="DO146" i="44"/>
  <c r="DG146" i="44"/>
  <c r="CY146" i="44"/>
  <c r="CQ146" i="44"/>
  <c r="CI146" i="44"/>
  <c r="CA146" i="44"/>
  <c r="BS146" i="44"/>
  <c r="BK146" i="44"/>
  <c r="BC146" i="44"/>
  <c r="AU146" i="44"/>
  <c r="AM146" i="44"/>
  <c r="AE146" i="44"/>
  <c r="W146" i="44"/>
  <c r="O146" i="44"/>
  <c r="G146" i="44"/>
  <c r="DV146" i="44"/>
  <c r="BJ146" i="44"/>
  <c r="P146" i="44"/>
  <c r="DN146" i="44"/>
  <c r="BB146" i="44"/>
  <c r="N146" i="44"/>
  <c r="DF146" i="44"/>
  <c r="AT146" i="44"/>
  <c r="H146" i="44"/>
  <c r="CX146" i="44"/>
  <c r="AL146" i="44"/>
  <c r="CP146" i="44"/>
  <c r="AF146" i="44"/>
  <c r="CH146" i="44"/>
  <c r="AD146" i="44"/>
  <c r="BZ146" i="44"/>
  <c r="X146" i="44"/>
  <c r="BR146" i="44"/>
  <c r="V146" i="44"/>
  <c r="C155" i="44"/>
  <c r="M129" i="44"/>
  <c r="C113" i="44"/>
  <c r="AL97" i="44"/>
  <c r="AD97" i="44"/>
  <c r="V97" i="44"/>
  <c r="N97" i="44"/>
  <c r="AK97" i="44"/>
  <c r="AC97" i="44"/>
  <c r="U97" i="44"/>
  <c r="M97" i="44"/>
  <c r="AJ97" i="44"/>
  <c r="AB97" i="44"/>
  <c r="T97" i="44"/>
  <c r="L97" i="44"/>
  <c r="AI97" i="44"/>
  <c r="AA97" i="44"/>
  <c r="S97" i="44"/>
  <c r="K97" i="44"/>
  <c r="AP97" i="44"/>
  <c r="AH97" i="44"/>
  <c r="Z97" i="44"/>
  <c r="R97" i="44"/>
  <c r="J97" i="44"/>
  <c r="AO97" i="44"/>
  <c r="AG97" i="44"/>
  <c r="Y97" i="44"/>
  <c r="Q97" i="44"/>
  <c r="I97" i="44"/>
  <c r="AN97" i="44"/>
  <c r="AF97" i="44"/>
  <c r="X97" i="44"/>
  <c r="P97" i="44"/>
  <c r="H97" i="44"/>
  <c r="AM97" i="44"/>
  <c r="AE97" i="44"/>
  <c r="W97" i="44"/>
  <c r="O97" i="44"/>
  <c r="G97" i="44"/>
  <c r="DO143" i="44"/>
  <c r="DG143" i="44"/>
  <c r="CY143" i="44"/>
  <c r="CQ143" i="44"/>
  <c r="CI143" i="44"/>
  <c r="CA143" i="44"/>
  <c r="BS143" i="44"/>
  <c r="BK143" i="44"/>
  <c r="BC143" i="44"/>
  <c r="AU143" i="44"/>
  <c r="AM143" i="44"/>
  <c r="AE143" i="44"/>
  <c r="W143" i="44"/>
  <c r="O143" i="44"/>
  <c r="G143" i="44"/>
  <c r="DV143" i="44"/>
  <c r="DN143" i="44"/>
  <c r="DF143" i="44"/>
  <c r="CX143" i="44"/>
  <c r="CP143" i="44"/>
  <c r="CH143" i="44"/>
  <c r="BZ143" i="44"/>
  <c r="BR143" i="44"/>
  <c r="BJ143" i="44"/>
  <c r="BB143" i="44"/>
  <c r="AT143" i="44"/>
  <c r="AL143" i="44"/>
  <c r="AD143" i="44"/>
  <c r="V143" i="44"/>
  <c r="N143" i="44"/>
  <c r="DU143" i="44"/>
  <c r="DM143" i="44"/>
  <c r="DE143" i="44"/>
  <c r="CW143" i="44"/>
  <c r="CO143" i="44"/>
  <c r="CG143" i="44"/>
  <c r="BY143" i="44"/>
  <c r="BQ143" i="44"/>
  <c r="BI143" i="44"/>
  <c r="BA143" i="44"/>
  <c r="AS143" i="44"/>
  <c r="AK143" i="44"/>
  <c r="AC143" i="44"/>
  <c r="U143" i="44"/>
  <c r="M143" i="44"/>
  <c r="DT143" i="44"/>
  <c r="DL143" i="44"/>
  <c r="DD143" i="44"/>
  <c r="CV143" i="44"/>
  <c r="CN143" i="44"/>
  <c r="CF143" i="44"/>
  <c r="BX143" i="44"/>
  <c r="BP143" i="44"/>
  <c r="BH143" i="44"/>
  <c r="AZ143" i="44"/>
  <c r="AR143" i="44"/>
  <c r="AJ143" i="44"/>
  <c r="AB143" i="44"/>
  <c r="T143" i="44"/>
  <c r="L143" i="44"/>
  <c r="DS143" i="44"/>
  <c r="DK143" i="44"/>
  <c r="DC143" i="44"/>
  <c r="CU143" i="44"/>
  <c r="CM143" i="44"/>
  <c r="CE143" i="44"/>
  <c r="BW143" i="44"/>
  <c r="BO143" i="44"/>
  <c r="BG143" i="44"/>
  <c r="AY143" i="44"/>
  <c r="AQ143" i="44"/>
  <c r="AI143" i="44"/>
  <c r="AA143" i="44"/>
  <c r="S143" i="44"/>
  <c r="K143" i="44"/>
  <c r="DR143" i="44"/>
  <c r="DJ143" i="44"/>
  <c r="DB143" i="44"/>
  <c r="CT143" i="44"/>
  <c r="CL143" i="44"/>
  <c r="CD143" i="44"/>
  <c r="BV143" i="44"/>
  <c r="BN143" i="44"/>
  <c r="BF143" i="44"/>
  <c r="AX143" i="44"/>
  <c r="AP143" i="44"/>
  <c r="AH143" i="44"/>
  <c r="Z143" i="44"/>
  <c r="R143" i="44"/>
  <c r="J143" i="44"/>
  <c r="DQ143" i="44"/>
  <c r="DI143" i="44"/>
  <c r="DA143" i="44"/>
  <c r="CS143" i="44"/>
  <c r="CK143" i="44"/>
  <c r="CC143" i="44"/>
  <c r="BU143" i="44"/>
  <c r="BM143" i="44"/>
  <c r="BE143" i="44"/>
  <c r="AW143" i="44"/>
  <c r="AO143" i="44"/>
  <c r="AG143" i="44"/>
  <c r="Y143" i="44"/>
  <c r="Q143" i="44"/>
  <c r="I143" i="44"/>
  <c r="DP143" i="44"/>
  <c r="DH143" i="44"/>
  <c r="CZ143" i="44"/>
  <c r="CR143" i="44"/>
  <c r="CJ143" i="44"/>
  <c r="CB143" i="44"/>
  <c r="BT143" i="44"/>
  <c r="BL143" i="44"/>
  <c r="BD143" i="44"/>
  <c r="AV143" i="44"/>
  <c r="AN143" i="44"/>
  <c r="AF143" i="44"/>
  <c r="X143" i="44"/>
  <c r="P143" i="44"/>
  <c r="H143" i="44"/>
  <c r="DQ142" i="44"/>
  <c r="DI142" i="44"/>
  <c r="DA142" i="44"/>
  <c r="CS142" i="44"/>
  <c r="CK142" i="44"/>
  <c r="CC142" i="44"/>
  <c r="BU142" i="44"/>
  <c r="BM142" i="44"/>
  <c r="BE142" i="44"/>
  <c r="AW142" i="44"/>
  <c r="AO142" i="44"/>
  <c r="AG142" i="44"/>
  <c r="Y142" i="44"/>
  <c r="Q142" i="44"/>
  <c r="I142" i="44"/>
  <c r="DP142" i="44"/>
  <c r="DH142" i="44"/>
  <c r="CZ142" i="44"/>
  <c r="CR142" i="44"/>
  <c r="CJ142" i="44"/>
  <c r="CB142" i="44"/>
  <c r="BT142" i="44"/>
  <c r="BL142" i="44"/>
  <c r="BD142" i="44"/>
  <c r="AV142" i="44"/>
  <c r="AN142" i="44"/>
  <c r="AF142" i="44"/>
  <c r="X142" i="44"/>
  <c r="P142" i="44"/>
  <c r="H142" i="44"/>
  <c r="DO142" i="44"/>
  <c r="DG142" i="44"/>
  <c r="CY142" i="44"/>
  <c r="CQ142" i="44"/>
  <c r="CI142" i="44"/>
  <c r="CA142" i="44"/>
  <c r="BS142" i="44"/>
  <c r="BK142" i="44"/>
  <c r="BC142" i="44"/>
  <c r="AU142" i="44"/>
  <c r="AM142" i="44"/>
  <c r="AE142" i="44"/>
  <c r="W142" i="44"/>
  <c r="O142" i="44"/>
  <c r="G142" i="44"/>
  <c r="DV142" i="44"/>
  <c r="DN142" i="44"/>
  <c r="DF142" i="44"/>
  <c r="CX142" i="44"/>
  <c r="CP142" i="44"/>
  <c r="CH142" i="44"/>
  <c r="BZ142" i="44"/>
  <c r="BR142" i="44"/>
  <c r="BJ142" i="44"/>
  <c r="BB142" i="44"/>
  <c r="AT142" i="44"/>
  <c r="AL142" i="44"/>
  <c r="AD142" i="44"/>
  <c r="V142" i="44"/>
  <c r="N142" i="44"/>
  <c r="DU142" i="44"/>
  <c r="DM142" i="44"/>
  <c r="DE142" i="44"/>
  <c r="CW142" i="44"/>
  <c r="CO142" i="44"/>
  <c r="CG142" i="44"/>
  <c r="BY142" i="44"/>
  <c r="BQ142" i="44"/>
  <c r="BI142" i="44"/>
  <c r="BA142" i="44"/>
  <c r="AS142" i="44"/>
  <c r="AK142" i="44"/>
  <c r="AC142" i="44"/>
  <c r="U142" i="44"/>
  <c r="M142" i="44"/>
  <c r="DT142" i="44"/>
  <c r="DL142" i="44"/>
  <c r="DD142" i="44"/>
  <c r="CV142" i="44"/>
  <c r="CN142" i="44"/>
  <c r="CF142" i="44"/>
  <c r="BX142" i="44"/>
  <c r="BP142" i="44"/>
  <c r="BH142" i="44"/>
  <c r="AZ142" i="44"/>
  <c r="AR142" i="44"/>
  <c r="AJ142" i="44"/>
  <c r="AB142" i="44"/>
  <c r="T142" i="44"/>
  <c r="L142" i="44"/>
  <c r="DS142" i="44"/>
  <c r="DK142" i="44"/>
  <c r="DC142" i="44"/>
  <c r="CU142" i="44"/>
  <c r="CM142" i="44"/>
  <c r="CE142" i="44"/>
  <c r="BW142" i="44"/>
  <c r="BO142" i="44"/>
  <c r="BG142" i="44"/>
  <c r="AY142" i="44"/>
  <c r="AQ142" i="44"/>
  <c r="AI142" i="44"/>
  <c r="AA142" i="44"/>
  <c r="S142" i="44"/>
  <c r="K142" i="44"/>
  <c r="DR142" i="44"/>
  <c r="DJ142" i="44"/>
  <c r="DB142" i="44"/>
  <c r="CT142" i="44"/>
  <c r="CL142" i="44"/>
  <c r="CD142" i="44"/>
  <c r="BV142" i="44"/>
  <c r="BN142" i="44"/>
  <c r="BF142" i="44"/>
  <c r="AX142" i="44"/>
  <c r="AP142" i="44"/>
  <c r="AH142" i="44"/>
  <c r="Z142" i="44"/>
  <c r="R142" i="44"/>
  <c r="J142" i="44"/>
  <c r="C162" i="44"/>
  <c r="C154" i="44"/>
  <c r="M128" i="44"/>
  <c r="C112" i="44"/>
  <c r="AL103" i="44"/>
  <c r="AD103" i="44"/>
  <c r="V103" i="44"/>
  <c r="N103" i="44"/>
  <c r="AI103" i="44"/>
  <c r="AA103" i="44"/>
  <c r="S103" i="44"/>
  <c r="K103" i="44"/>
  <c r="AO103" i="44"/>
  <c r="AG103" i="44"/>
  <c r="Y103" i="44"/>
  <c r="Q103" i="44"/>
  <c r="I103" i="44"/>
  <c r="AN103" i="44"/>
  <c r="AF103" i="44"/>
  <c r="X103" i="44"/>
  <c r="P103" i="44"/>
  <c r="H103" i="44"/>
  <c r="AM103" i="44"/>
  <c r="AE103" i="44"/>
  <c r="W103" i="44"/>
  <c r="O103" i="44"/>
  <c r="G103" i="44"/>
  <c r="AP103" i="44"/>
  <c r="T103" i="44"/>
  <c r="AK103" i="44"/>
  <c r="R103" i="44"/>
  <c r="AJ103" i="44"/>
  <c r="M103" i="44"/>
  <c r="AH103" i="44"/>
  <c r="L103" i="44"/>
  <c r="AC103" i="44"/>
  <c r="J103" i="44"/>
  <c r="AB103" i="44"/>
  <c r="Z103" i="44"/>
  <c r="U103" i="44"/>
  <c r="DO149" i="44"/>
  <c r="DG149" i="44"/>
  <c r="CY149" i="44"/>
  <c r="CQ149" i="44"/>
  <c r="CI149" i="44"/>
  <c r="CA149" i="44"/>
  <c r="BS149" i="44"/>
  <c r="BK149" i="44"/>
  <c r="BC149" i="44"/>
  <c r="AU149" i="44"/>
  <c r="AM149" i="44"/>
  <c r="AE149" i="44"/>
  <c r="W149" i="44"/>
  <c r="O149" i="44"/>
  <c r="G149" i="44"/>
  <c r="DV149" i="44"/>
  <c r="DN149" i="44"/>
  <c r="DF149" i="44"/>
  <c r="CX149" i="44"/>
  <c r="CP149" i="44"/>
  <c r="CH149" i="44"/>
  <c r="BZ149" i="44"/>
  <c r="BR149" i="44"/>
  <c r="BJ149" i="44"/>
  <c r="BB149" i="44"/>
  <c r="AT149" i="44"/>
  <c r="AL149" i="44"/>
  <c r="AD149" i="44"/>
  <c r="V149" i="44"/>
  <c r="N149" i="44"/>
  <c r="DU149" i="44"/>
  <c r="DM149" i="44"/>
  <c r="DE149" i="44"/>
  <c r="CW149" i="44"/>
  <c r="CO149" i="44"/>
  <c r="CG149" i="44"/>
  <c r="BY149" i="44"/>
  <c r="BQ149" i="44"/>
  <c r="BI149" i="44"/>
  <c r="BA149" i="44"/>
  <c r="AS149" i="44"/>
  <c r="AK149" i="44"/>
  <c r="AC149" i="44"/>
  <c r="U149" i="44"/>
  <c r="M149" i="44"/>
  <c r="DT149" i="44"/>
  <c r="DL149" i="44"/>
  <c r="DD149" i="44"/>
  <c r="CV149" i="44"/>
  <c r="CN149" i="44"/>
  <c r="CF149" i="44"/>
  <c r="BX149" i="44"/>
  <c r="BP149" i="44"/>
  <c r="BH149" i="44"/>
  <c r="AZ149" i="44"/>
  <c r="AR149" i="44"/>
  <c r="AJ149" i="44"/>
  <c r="AB149" i="44"/>
  <c r="T149" i="44"/>
  <c r="L149" i="44"/>
  <c r="DS149" i="44"/>
  <c r="DK149" i="44"/>
  <c r="DC149" i="44"/>
  <c r="CU149" i="44"/>
  <c r="CM149" i="44"/>
  <c r="CE149" i="44"/>
  <c r="BW149" i="44"/>
  <c r="BO149" i="44"/>
  <c r="BG149" i="44"/>
  <c r="AY149" i="44"/>
  <c r="AQ149" i="44"/>
  <c r="AI149" i="44"/>
  <c r="AA149" i="44"/>
  <c r="S149" i="44"/>
  <c r="K149" i="44"/>
  <c r="DR149" i="44"/>
  <c r="DJ149" i="44"/>
  <c r="DB149" i="44"/>
  <c r="CT149" i="44"/>
  <c r="CL149" i="44"/>
  <c r="CD149" i="44"/>
  <c r="BV149" i="44"/>
  <c r="BN149" i="44"/>
  <c r="BF149" i="44"/>
  <c r="AX149" i="44"/>
  <c r="AP149" i="44"/>
  <c r="AH149" i="44"/>
  <c r="Z149" i="44"/>
  <c r="R149" i="44"/>
  <c r="J149" i="44"/>
  <c r="DQ149" i="44"/>
  <c r="DI149" i="44"/>
  <c r="DA149" i="44"/>
  <c r="CS149" i="44"/>
  <c r="CK149" i="44"/>
  <c r="CC149" i="44"/>
  <c r="BU149" i="44"/>
  <c r="BM149" i="44"/>
  <c r="BE149" i="44"/>
  <c r="AW149" i="44"/>
  <c r="AO149" i="44"/>
  <c r="AG149" i="44"/>
  <c r="Y149" i="44"/>
  <c r="Q149" i="44"/>
  <c r="I149" i="44"/>
  <c r="CB149" i="44"/>
  <c r="P149" i="44"/>
  <c r="BT149" i="44"/>
  <c r="H149" i="44"/>
  <c r="BL149" i="44"/>
  <c r="DP149" i="44"/>
  <c r="BD149" i="44"/>
  <c r="DH149" i="44"/>
  <c r="AV149" i="44"/>
  <c r="CZ149" i="44"/>
  <c r="AN149" i="44"/>
  <c r="CR149" i="44"/>
  <c r="AF149" i="44"/>
  <c r="CJ149" i="44"/>
  <c r="X149" i="44"/>
  <c r="AI104" i="44"/>
  <c r="AA104" i="44"/>
  <c r="S104" i="44"/>
  <c r="K104" i="44"/>
  <c r="AP104" i="44"/>
  <c r="AH104" i="44"/>
  <c r="Z104" i="44"/>
  <c r="R104" i="44"/>
  <c r="J104" i="44"/>
  <c r="AO104" i="44"/>
  <c r="AG104" i="44"/>
  <c r="Y104" i="44"/>
  <c r="Q104" i="44"/>
  <c r="I104" i="44"/>
  <c r="AN104" i="44"/>
  <c r="AF104" i="44"/>
  <c r="X104" i="44"/>
  <c r="P104" i="44"/>
  <c r="H104" i="44"/>
  <c r="AM104" i="44"/>
  <c r="AE104" i="44"/>
  <c r="W104" i="44"/>
  <c r="O104" i="44"/>
  <c r="G104" i="44"/>
  <c r="AL104" i="44"/>
  <c r="AD104" i="44"/>
  <c r="V104" i="44"/>
  <c r="N104" i="44"/>
  <c r="AK104" i="44"/>
  <c r="AC104" i="44"/>
  <c r="U104" i="44"/>
  <c r="M104" i="44"/>
  <c r="AJ104" i="44"/>
  <c r="AB104" i="44"/>
  <c r="T104" i="44"/>
  <c r="L104" i="44"/>
  <c r="AP101" i="44"/>
  <c r="AH101" i="44"/>
  <c r="Z101" i="44"/>
  <c r="R101" i="44"/>
  <c r="J101" i="44"/>
  <c r="AO101" i="44"/>
  <c r="AG101" i="44"/>
  <c r="Y101" i="44"/>
  <c r="Q101" i="44"/>
  <c r="I101" i="44"/>
  <c r="AN101" i="44"/>
  <c r="AF101" i="44"/>
  <c r="X101" i="44"/>
  <c r="P101" i="44"/>
  <c r="H101" i="44"/>
  <c r="AM101" i="44"/>
  <c r="AE101" i="44"/>
  <c r="W101" i="44"/>
  <c r="O101" i="44"/>
  <c r="G101" i="44"/>
  <c r="AL101" i="44"/>
  <c r="AD101" i="44"/>
  <c r="V101" i="44"/>
  <c r="N101" i="44"/>
  <c r="AK101" i="44"/>
  <c r="AC101" i="44"/>
  <c r="U101" i="44"/>
  <c r="M101" i="44"/>
  <c r="AJ101" i="44"/>
  <c r="AB101" i="44"/>
  <c r="T101" i="44"/>
  <c r="L101" i="44"/>
  <c r="AI101" i="44"/>
  <c r="AA101" i="44"/>
  <c r="S101" i="44"/>
  <c r="K101" i="44"/>
  <c r="DS141" i="44"/>
  <c r="DK141" i="44"/>
  <c r="DC141" i="44"/>
  <c r="CU141" i="44"/>
  <c r="CM141" i="44"/>
  <c r="CE141" i="44"/>
  <c r="BW141" i="44"/>
  <c r="BO141" i="44"/>
  <c r="BG141" i="44"/>
  <c r="AY141" i="44"/>
  <c r="AQ141" i="44"/>
  <c r="AI141" i="44"/>
  <c r="AA141" i="44"/>
  <c r="S141" i="44"/>
  <c r="K141" i="44"/>
  <c r="DR141" i="44"/>
  <c r="DJ141" i="44"/>
  <c r="DB141" i="44"/>
  <c r="CT141" i="44"/>
  <c r="CL141" i="44"/>
  <c r="CD141" i="44"/>
  <c r="BV141" i="44"/>
  <c r="BN141" i="44"/>
  <c r="BF141" i="44"/>
  <c r="AX141" i="44"/>
  <c r="AP141" i="44"/>
  <c r="AH141" i="44"/>
  <c r="Z141" i="44"/>
  <c r="R141" i="44"/>
  <c r="J141" i="44"/>
  <c r="DQ141" i="44"/>
  <c r="DI141" i="44"/>
  <c r="DA141" i="44"/>
  <c r="CS141" i="44"/>
  <c r="CK141" i="44"/>
  <c r="CC141" i="44"/>
  <c r="BU141" i="44"/>
  <c r="BM141" i="44"/>
  <c r="BE141" i="44"/>
  <c r="AW141" i="44"/>
  <c r="AO141" i="44"/>
  <c r="AG141" i="44"/>
  <c r="Y141" i="44"/>
  <c r="Q141" i="44"/>
  <c r="I141" i="44"/>
  <c r="DP141" i="44"/>
  <c r="DH141" i="44"/>
  <c r="CZ141" i="44"/>
  <c r="CR141" i="44"/>
  <c r="CJ141" i="44"/>
  <c r="CB141" i="44"/>
  <c r="BT141" i="44"/>
  <c r="BL141" i="44"/>
  <c r="BD141" i="44"/>
  <c r="AV141" i="44"/>
  <c r="AN141" i="44"/>
  <c r="AF141" i="44"/>
  <c r="X141" i="44"/>
  <c r="P141" i="44"/>
  <c r="H141" i="44"/>
  <c r="DO141" i="44"/>
  <c r="DG141" i="44"/>
  <c r="CY141" i="44"/>
  <c r="CQ141" i="44"/>
  <c r="CI141" i="44"/>
  <c r="CA141" i="44"/>
  <c r="BS141" i="44"/>
  <c r="BK141" i="44"/>
  <c r="BC141" i="44"/>
  <c r="AU141" i="44"/>
  <c r="AM141" i="44"/>
  <c r="AE141" i="44"/>
  <c r="W141" i="44"/>
  <c r="O141" i="44"/>
  <c r="G141" i="44"/>
  <c r="DV141" i="44"/>
  <c r="DN141" i="44"/>
  <c r="DF141" i="44"/>
  <c r="CX141" i="44"/>
  <c r="CP141" i="44"/>
  <c r="CH141" i="44"/>
  <c r="BZ141" i="44"/>
  <c r="BR141" i="44"/>
  <c r="BJ141" i="44"/>
  <c r="BB141" i="44"/>
  <c r="AT141" i="44"/>
  <c r="AL141" i="44"/>
  <c r="AD141" i="44"/>
  <c r="V141" i="44"/>
  <c r="N141" i="44"/>
  <c r="DU141" i="44"/>
  <c r="DM141" i="44"/>
  <c r="DE141" i="44"/>
  <c r="CW141" i="44"/>
  <c r="CO141" i="44"/>
  <c r="CG141" i="44"/>
  <c r="BY141" i="44"/>
  <c r="BQ141" i="44"/>
  <c r="BI141" i="44"/>
  <c r="BA141" i="44"/>
  <c r="AS141" i="44"/>
  <c r="AK141" i="44"/>
  <c r="AC141" i="44"/>
  <c r="U141" i="44"/>
  <c r="M141" i="44"/>
  <c r="DT141" i="44"/>
  <c r="DL141" i="44"/>
  <c r="DD141" i="44"/>
  <c r="CV141" i="44"/>
  <c r="CN141" i="44"/>
  <c r="CF141" i="44"/>
  <c r="BX141" i="44"/>
  <c r="BP141" i="44"/>
  <c r="BH141" i="44"/>
  <c r="AZ141" i="44"/>
  <c r="AR141" i="44"/>
  <c r="AJ141" i="44"/>
  <c r="AB141" i="44"/>
  <c r="T141" i="44"/>
  <c r="L141" i="44"/>
  <c r="C160" i="44"/>
  <c r="M134" i="44"/>
  <c r="C118" i="44"/>
  <c r="AK100" i="44"/>
  <c r="AC100" i="44"/>
  <c r="U100" i="44"/>
  <c r="M100" i="44"/>
  <c r="AJ100" i="44"/>
  <c r="AB100" i="44"/>
  <c r="T100" i="44"/>
  <c r="L100" i="44"/>
  <c r="AI100" i="44"/>
  <c r="AA100" i="44"/>
  <c r="S100" i="44"/>
  <c r="K100" i="44"/>
  <c r="AP100" i="44"/>
  <c r="AH100" i="44"/>
  <c r="Z100" i="44"/>
  <c r="R100" i="44"/>
  <c r="J100" i="44"/>
  <c r="AO100" i="44"/>
  <c r="AG100" i="44"/>
  <c r="Y100" i="44"/>
  <c r="Q100" i="44"/>
  <c r="I100" i="44"/>
  <c r="AN100" i="44"/>
  <c r="AF100" i="44"/>
  <c r="X100" i="44"/>
  <c r="P100" i="44"/>
  <c r="H100" i="44"/>
  <c r="AM100" i="44"/>
  <c r="AE100" i="44"/>
  <c r="W100" i="44"/>
  <c r="O100" i="44"/>
  <c r="G100" i="44"/>
  <c r="AL100" i="44"/>
  <c r="AD100" i="44"/>
  <c r="V100" i="44"/>
  <c r="N100" i="44"/>
  <c r="C161" i="44"/>
  <c r="C158" i="44"/>
  <c r="M132" i="44"/>
  <c r="C116" i="44"/>
  <c r="AI98" i="44"/>
  <c r="AA98" i="44"/>
  <c r="S98" i="44"/>
  <c r="K98" i="44"/>
  <c r="AP98" i="44"/>
  <c r="AH98" i="44"/>
  <c r="Z98" i="44"/>
  <c r="R98" i="44"/>
  <c r="J98" i="44"/>
  <c r="AO98" i="44"/>
  <c r="AG98" i="44"/>
  <c r="Y98" i="44"/>
  <c r="Q98" i="44"/>
  <c r="I98" i="44"/>
  <c r="AN98" i="44"/>
  <c r="AF98" i="44"/>
  <c r="X98" i="44"/>
  <c r="P98" i="44"/>
  <c r="H98" i="44"/>
  <c r="AM98" i="44"/>
  <c r="AE98" i="44"/>
  <c r="W98" i="44"/>
  <c r="O98" i="44"/>
  <c r="G98" i="44"/>
  <c r="AL98" i="44"/>
  <c r="AD98" i="44"/>
  <c r="V98" i="44"/>
  <c r="N98" i="44"/>
  <c r="AK98" i="44"/>
  <c r="AC98" i="44"/>
  <c r="U98" i="44"/>
  <c r="M98" i="44"/>
  <c r="AJ98" i="44"/>
  <c r="AB98" i="44"/>
  <c r="T98" i="44"/>
  <c r="L98" i="44"/>
  <c r="DS147" i="44"/>
  <c r="DK147" i="44"/>
  <c r="DC147" i="44"/>
  <c r="CU147" i="44"/>
  <c r="CM147" i="44"/>
  <c r="CE147" i="44"/>
  <c r="BW147" i="44"/>
  <c r="BO147" i="44"/>
  <c r="BG147" i="44"/>
  <c r="AY147" i="44"/>
  <c r="AQ147" i="44"/>
  <c r="AI147" i="44"/>
  <c r="AA147" i="44"/>
  <c r="S147" i="44"/>
  <c r="K147" i="44"/>
  <c r="DR147" i="44"/>
  <c r="DJ147" i="44"/>
  <c r="DB147" i="44"/>
  <c r="CT147" i="44"/>
  <c r="CL147" i="44"/>
  <c r="CD147" i="44"/>
  <c r="BV147" i="44"/>
  <c r="BN147" i="44"/>
  <c r="BF147" i="44"/>
  <c r="AX147" i="44"/>
  <c r="AP147" i="44"/>
  <c r="AH147" i="44"/>
  <c r="Z147" i="44"/>
  <c r="R147" i="44"/>
  <c r="J147" i="44"/>
  <c r="DQ147" i="44"/>
  <c r="DI147" i="44"/>
  <c r="DA147" i="44"/>
  <c r="CS147" i="44"/>
  <c r="CK147" i="44"/>
  <c r="CC147" i="44"/>
  <c r="BU147" i="44"/>
  <c r="BM147" i="44"/>
  <c r="BE147" i="44"/>
  <c r="AW147" i="44"/>
  <c r="AO147" i="44"/>
  <c r="AG147" i="44"/>
  <c r="Y147" i="44"/>
  <c r="Q147" i="44"/>
  <c r="I147" i="44"/>
  <c r="DP147" i="44"/>
  <c r="DH147" i="44"/>
  <c r="CZ147" i="44"/>
  <c r="CR147" i="44"/>
  <c r="CJ147" i="44"/>
  <c r="CB147" i="44"/>
  <c r="BT147" i="44"/>
  <c r="BL147" i="44"/>
  <c r="BD147" i="44"/>
  <c r="AV147" i="44"/>
  <c r="AN147" i="44"/>
  <c r="AF147" i="44"/>
  <c r="X147" i="44"/>
  <c r="P147" i="44"/>
  <c r="H147" i="44"/>
  <c r="DO147" i="44"/>
  <c r="DG147" i="44"/>
  <c r="CY147" i="44"/>
  <c r="CQ147" i="44"/>
  <c r="CI147" i="44"/>
  <c r="CA147" i="44"/>
  <c r="BS147" i="44"/>
  <c r="BK147" i="44"/>
  <c r="BC147" i="44"/>
  <c r="AU147" i="44"/>
  <c r="AM147" i="44"/>
  <c r="AE147" i="44"/>
  <c r="W147" i="44"/>
  <c r="O147" i="44"/>
  <c r="G147" i="44"/>
  <c r="DV147" i="44"/>
  <c r="DN147" i="44"/>
  <c r="DF147" i="44"/>
  <c r="CX147" i="44"/>
  <c r="CP147" i="44"/>
  <c r="CH147" i="44"/>
  <c r="BZ147" i="44"/>
  <c r="BR147" i="44"/>
  <c r="BJ147" i="44"/>
  <c r="BB147" i="44"/>
  <c r="AT147" i="44"/>
  <c r="AL147" i="44"/>
  <c r="AD147" i="44"/>
  <c r="V147" i="44"/>
  <c r="N147" i="44"/>
  <c r="DU147" i="44"/>
  <c r="DM147" i="44"/>
  <c r="DE147" i="44"/>
  <c r="CW147" i="44"/>
  <c r="CO147" i="44"/>
  <c r="CG147" i="44"/>
  <c r="BY147" i="44"/>
  <c r="BQ147" i="44"/>
  <c r="BI147" i="44"/>
  <c r="BA147" i="44"/>
  <c r="AS147" i="44"/>
  <c r="AK147" i="44"/>
  <c r="AC147" i="44"/>
  <c r="U147" i="44"/>
  <c r="M147" i="44"/>
  <c r="BP147" i="44"/>
  <c r="DT147" i="44"/>
  <c r="BH147" i="44"/>
  <c r="DL147" i="44"/>
  <c r="AZ147" i="44"/>
  <c r="DD147" i="44"/>
  <c r="AR147" i="44"/>
  <c r="CV147" i="44"/>
  <c r="AJ147" i="44"/>
  <c r="CN147" i="44"/>
  <c r="AB147" i="44"/>
  <c r="CF147" i="44"/>
  <c r="T147" i="44"/>
  <c r="BX147" i="44"/>
  <c r="L147" i="44"/>
  <c r="AO96" i="44"/>
  <c r="AG96" i="44"/>
  <c r="Y96" i="44"/>
  <c r="Q96" i="44"/>
  <c r="I96" i="44"/>
  <c r="AN96" i="44"/>
  <c r="AF96" i="44"/>
  <c r="AF95" i="44"/>
  <c r="AF12" i="44"/>
  <c r="X96" i="44"/>
  <c r="P96" i="44"/>
  <c r="P95" i="44"/>
  <c r="P12" i="44"/>
  <c r="H96" i="44"/>
  <c r="AM96" i="44"/>
  <c r="AE96" i="44"/>
  <c r="W96" i="44"/>
  <c r="O96" i="44"/>
  <c r="G96" i="44"/>
  <c r="AL96" i="44"/>
  <c r="AD96" i="44"/>
  <c r="V96" i="44"/>
  <c r="N96" i="44"/>
  <c r="AK96" i="44"/>
  <c r="AC96" i="44"/>
  <c r="U96" i="44"/>
  <c r="M96" i="44"/>
  <c r="AJ96" i="44"/>
  <c r="AB96" i="44"/>
  <c r="T96" i="44"/>
  <c r="L96" i="44"/>
  <c r="AI96" i="44"/>
  <c r="AA96" i="44"/>
  <c r="S96" i="44"/>
  <c r="K96" i="44"/>
  <c r="K95" i="44"/>
  <c r="K12" i="44"/>
  <c r="AP96" i="44"/>
  <c r="AP95" i="44"/>
  <c r="AP12" i="44"/>
  <c r="AH96" i="44"/>
  <c r="Z96" i="44"/>
  <c r="R96" i="44"/>
  <c r="J96" i="44"/>
  <c r="J95" i="44"/>
  <c r="J12" i="44"/>
  <c r="DQ148" i="44"/>
  <c r="DI148" i="44"/>
  <c r="DA148" i="44"/>
  <c r="CS148" i="44"/>
  <c r="CK148" i="44"/>
  <c r="CC148" i="44"/>
  <c r="BU148" i="44"/>
  <c r="BM148" i="44"/>
  <c r="BE148" i="44"/>
  <c r="AW148" i="44"/>
  <c r="AO148" i="44"/>
  <c r="AG148" i="44"/>
  <c r="Y148" i="44"/>
  <c r="Q148" i="44"/>
  <c r="I148" i="44"/>
  <c r="DP148" i="44"/>
  <c r="DH148" i="44"/>
  <c r="CZ148" i="44"/>
  <c r="CR148" i="44"/>
  <c r="CJ148" i="44"/>
  <c r="CB148" i="44"/>
  <c r="BT148" i="44"/>
  <c r="BL148" i="44"/>
  <c r="BD148" i="44"/>
  <c r="AV148" i="44"/>
  <c r="AN148" i="44"/>
  <c r="AF148" i="44"/>
  <c r="X148" i="44"/>
  <c r="P148" i="44"/>
  <c r="H148" i="44"/>
  <c r="DO148" i="44"/>
  <c r="DG148" i="44"/>
  <c r="CY148" i="44"/>
  <c r="CQ148" i="44"/>
  <c r="CI148" i="44"/>
  <c r="CA148" i="44"/>
  <c r="BS148" i="44"/>
  <c r="BK148" i="44"/>
  <c r="BC148" i="44"/>
  <c r="AU148" i="44"/>
  <c r="AM148" i="44"/>
  <c r="AE148" i="44"/>
  <c r="W148" i="44"/>
  <c r="O148" i="44"/>
  <c r="G148" i="44"/>
  <c r="DV148" i="44"/>
  <c r="DN148" i="44"/>
  <c r="DF148" i="44"/>
  <c r="CX148" i="44"/>
  <c r="CP148" i="44"/>
  <c r="CH148" i="44"/>
  <c r="BZ148" i="44"/>
  <c r="BR148" i="44"/>
  <c r="BJ148" i="44"/>
  <c r="BB148" i="44"/>
  <c r="AT148" i="44"/>
  <c r="AL148" i="44"/>
  <c r="AD148" i="44"/>
  <c r="V148" i="44"/>
  <c r="N148" i="44"/>
  <c r="DU148" i="44"/>
  <c r="DM148" i="44"/>
  <c r="DE148" i="44"/>
  <c r="CW148" i="44"/>
  <c r="CO148" i="44"/>
  <c r="CG148" i="44"/>
  <c r="BY148" i="44"/>
  <c r="BQ148" i="44"/>
  <c r="BI148" i="44"/>
  <c r="BA148" i="44"/>
  <c r="AS148" i="44"/>
  <c r="AK148" i="44"/>
  <c r="AC148" i="44"/>
  <c r="U148" i="44"/>
  <c r="M148" i="44"/>
  <c r="DT148" i="44"/>
  <c r="DL148" i="44"/>
  <c r="DD148" i="44"/>
  <c r="CV148" i="44"/>
  <c r="CN148" i="44"/>
  <c r="CF148" i="44"/>
  <c r="BX148" i="44"/>
  <c r="BP148" i="44"/>
  <c r="BH148" i="44"/>
  <c r="AZ148" i="44"/>
  <c r="AR148" i="44"/>
  <c r="AJ148" i="44"/>
  <c r="AB148" i="44"/>
  <c r="T148" i="44"/>
  <c r="L148" i="44"/>
  <c r="DS148" i="44"/>
  <c r="DK148" i="44"/>
  <c r="DC148" i="44"/>
  <c r="CU148" i="44"/>
  <c r="CM148" i="44"/>
  <c r="CE148" i="44"/>
  <c r="BW148" i="44"/>
  <c r="BO148" i="44"/>
  <c r="BG148" i="44"/>
  <c r="AY148" i="44"/>
  <c r="AQ148" i="44"/>
  <c r="AI148" i="44"/>
  <c r="AA148" i="44"/>
  <c r="S148" i="44"/>
  <c r="K148" i="44"/>
  <c r="BV148" i="44"/>
  <c r="J148" i="44"/>
  <c r="BN148" i="44"/>
  <c r="DR148" i="44"/>
  <c r="BF148" i="44"/>
  <c r="DJ148" i="44"/>
  <c r="AX148" i="44"/>
  <c r="DB148" i="44"/>
  <c r="AP148" i="44"/>
  <c r="CT148" i="44"/>
  <c r="AH148" i="44"/>
  <c r="CL148" i="44"/>
  <c r="Z148" i="44"/>
  <c r="CD148" i="44"/>
  <c r="R148" i="44"/>
  <c r="DO145" i="44"/>
  <c r="DG145" i="44"/>
  <c r="CY145" i="44"/>
  <c r="CQ145" i="44"/>
  <c r="CI145" i="44"/>
  <c r="CA145" i="44"/>
  <c r="BS145" i="44"/>
  <c r="BK145" i="44"/>
  <c r="BC145" i="44"/>
  <c r="AU145" i="44"/>
  <c r="AM145" i="44"/>
  <c r="AE145" i="44"/>
  <c r="W145" i="44"/>
  <c r="O145" i="44"/>
  <c r="G145" i="44"/>
  <c r="DV145" i="44"/>
  <c r="DN145" i="44"/>
  <c r="DF145" i="44"/>
  <c r="CX145" i="44"/>
  <c r="CP145" i="44"/>
  <c r="CH145" i="44"/>
  <c r="BZ145" i="44"/>
  <c r="BR145" i="44"/>
  <c r="BJ145" i="44"/>
  <c r="BB145" i="44"/>
  <c r="AT145" i="44"/>
  <c r="AL145" i="44"/>
  <c r="AD145" i="44"/>
  <c r="V145" i="44"/>
  <c r="N145" i="44"/>
  <c r="DU145" i="44"/>
  <c r="DM145" i="44"/>
  <c r="DE145" i="44"/>
  <c r="CW145" i="44"/>
  <c r="CO145" i="44"/>
  <c r="CG145" i="44"/>
  <c r="BY145" i="44"/>
  <c r="BQ145" i="44"/>
  <c r="BI145" i="44"/>
  <c r="BA145" i="44"/>
  <c r="AS145" i="44"/>
  <c r="DT145" i="44"/>
  <c r="DL145" i="44"/>
  <c r="DD145" i="44"/>
  <c r="CV145" i="44"/>
  <c r="CN145" i="44"/>
  <c r="CF145" i="44"/>
  <c r="BX145" i="44"/>
  <c r="BP145" i="44"/>
  <c r="BH145" i="44"/>
  <c r="AZ145" i="44"/>
  <c r="AR145" i="44"/>
  <c r="AJ145" i="44"/>
  <c r="AB145" i="44"/>
  <c r="T145" i="44"/>
  <c r="L145" i="44"/>
  <c r="DS145" i="44"/>
  <c r="DQ145" i="44"/>
  <c r="DI145" i="44"/>
  <c r="DA145" i="44"/>
  <c r="CS145" i="44"/>
  <c r="CK145" i="44"/>
  <c r="CC145" i="44"/>
  <c r="BU145" i="44"/>
  <c r="BM145" i="44"/>
  <c r="BE145" i="44"/>
  <c r="AW145" i="44"/>
  <c r="DH145" i="44"/>
  <c r="CL145" i="44"/>
  <c r="BO145" i="44"/>
  <c r="AV145" i="44"/>
  <c r="AG145" i="44"/>
  <c r="S145" i="44"/>
  <c r="H145" i="44"/>
  <c r="DC145" i="44"/>
  <c r="CJ145" i="44"/>
  <c r="BN145" i="44"/>
  <c r="AQ145" i="44"/>
  <c r="AF145" i="44"/>
  <c r="R145" i="44"/>
  <c r="DB145" i="44"/>
  <c r="CE145" i="44"/>
  <c r="BL145" i="44"/>
  <c r="AP145" i="44"/>
  <c r="AC145" i="44"/>
  <c r="Q145" i="44"/>
  <c r="CZ145" i="44"/>
  <c r="CD145" i="44"/>
  <c r="BG145" i="44"/>
  <c r="AO145" i="44"/>
  <c r="AA145" i="44"/>
  <c r="P145" i="44"/>
  <c r="DR145" i="44"/>
  <c r="CU145" i="44"/>
  <c r="CB145" i="44"/>
  <c r="BF145" i="44"/>
  <c r="AN145" i="44"/>
  <c r="Z145" i="44"/>
  <c r="M145" i="44"/>
  <c r="DP145" i="44"/>
  <c r="CT145" i="44"/>
  <c r="BW145" i="44"/>
  <c r="BD145" i="44"/>
  <c r="AK145" i="44"/>
  <c r="Y145" i="44"/>
  <c r="K145" i="44"/>
  <c r="DK145" i="44"/>
  <c r="CR145" i="44"/>
  <c r="BV145" i="44"/>
  <c r="AY145" i="44"/>
  <c r="AI145" i="44"/>
  <c r="X145" i="44"/>
  <c r="J145" i="44"/>
  <c r="DJ145" i="44"/>
  <c r="CM145" i="44"/>
  <c r="BT145" i="44"/>
  <c r="AX145" i="44"/>
  <c r="AH145" i="44"/>
  <c r="U145" i="44"/>
  <c r="I145" i="44"/>
  <c r="M95" i="44"/>
  <c r="M12" i="44"/>
  <c r="V95" i="44"/>
  <c r="V12" i="44"/>
  <c r="W95" i="44"/>
  <c r="W12" i="44"/>
  <c r="Y95" i="44"/>
  <c r="Y12" i="44"/>
  <c r="L95" i="44"/>
  <c r="L12" i="44"/>
  <c r="U95" i="44"/>
  <c r="U12" i="44"/>
  <c r="AD95" i="44"/>
  <c r="AD12" i="44"/>
  <c r="AE95" i="44"/>
  <c r="AE12" i="44"/>
  <c r="S95" i="44"/>
  <c r="S12" i="44"/>
  <c r="AB95" i="44"/>
  <c r="AB12" i="44"/>
  <c r="AH95" i="44"/>
  <c r="AH12" i="44"/>
  <c r="AK95" i="44"/>
  <c r="AK12" i="44"/>
  <c r="T95" i="44"/>
  <c r="T12" i="44"/>
  <c r="AC95" i="44"/>
  <c r="AC12" i="44"/>
  <c r="AL95" i="44"/>
  <c r="AL12" i="44"/>
  <c r="AM95" i="44"/>
  <c r="AM12" i="44"/>
  <c r="AN95" i="44"/>
  <c r="AN12" i="44"/>
  <c r="AO95" i="44"/>
  <c r="AO12" i="44"/>
  <c r="G95" i="44"/>
  <c r="G12" i="44"/>
  <c r="G161" i="44"/>
  <c r="G174" i="44"/>
  <c r="CD161" i="44"/>
  <c r="CD174" i="44"/>
  <c r="CE161" i="44"/>
  <c r="CE174" i="44"/>
  <c r="CF161" i="44"/>
  <c r="CF174" i="44"/>
  <c r="CG161" i="44"/>
  <c r="CG174" i="44"/>
  <c r="CH161" i="44"/>
  <c r="CH174" i="44"/>
  <c r="CI161" i="44"/>
  <c r="CI174" i="44"/>
  <c r="CJ161" i="44"/>
  <c r="CJ174" i="44"/>
  <c r="CK161" i="44"/>
  <c r="CK174" i="44"/>
  <c r="CL161" i="44"/>
  <c r="CL174" i="44"/>
  <c r="CM161" i="44"/>
  <c r="CM174" i="44"/>
  <c r="CN161" i="44"/>
  <c r="CN174" i="44"/>
  <c r="CO161" i="44"/>
  <c r="CO174" i="44"/>
  <c r="CP161" i="44"/>
  <c r="CP174" i="44"/>
  <c r="CQ161" i="44"/>
  <c r="CQ174" i="44"/>
  <c r="CR161" i="44"/>
  <c r="CR174" i="44"/>
  <c r="CS161" i="44"/>
  <c r="CS174" i="44"/>
  <c r="CT161" i="44"/>
  <c r="CT174" i="44"/>
  <c r="CU161" i="44"/>
  <c r="CU174" i="44"/>
  <c r="CV161" i="44"/>
  <c r="CV174" i="44"/>
  <c r="CW161" i="44"/>
  <c r="CW174" i="44"/>
  <c r="CX161" i="44"/>
  <c r="CX174" i="44"/>
  <c r="CY161" i="44"/>
  <c r="CY174" i="44"/>
  <c r="CZ161" i="44"/>
  <c r="CZ174" i="44"/>
  <c r="DA161" i="44"/>
  <c r="DA174" i="44"/>
  <c r="DB161" i="44"/>
  <c r="DB174" i="44"/>
  <c r="DC161" i="44"/>
  <c r="DC174" i="44"/>
  <c r="DD161" i="44"/>
  <c r="DD174" i="44"/>
  <c r="DE161" i="44"/>
  <c r="DE174" i="44"/>
  <c r="DF161" i="44"/>
  <c r="DF174" i="44"/>
  <c r="DG161" i="44"/>
  <c r="DG174" i="44"/>
  <c r="DH161" i="44"/>
  <c r="DH174" i="44"/>
  <c r="DI161" i="44"/>
  <c r="DI174" i="44"/>
  <c r="DJ161" i="44"/>
  <c r="DJ174" i="44"/>
  <c r="DK161" i="44"/>
  <c r="DK174" i="44"/>
  <c r="DL161" i="44"/>
  <c r="DL174" i="44"/>
  <c r="DM161" i="44"/>
  <c r="DM174" i="44"/>
  <c r="DN161" i="44"/>
  <c r="DN174" i="44"/>
  <c r="DO161" i="44"/>
  <c r="DO174" i="44"/>
  <c r="DP161" i="44"/>
  <c r="DP174" i="44"/>
  <c r="DQ161" i="44"/>
  <c r="DQ174" i="44"/>
  <c r="DR161" i="44"/>
  <c r="DR174" i="44"/>
  <c r="DS161" i="44"/>
  <c r="DS174" i="44"/>
  <c r="DT161" i="44"/>
  <c r="DT174" i="44"/>
  <c r="DU161" i="44"/>
  <c r="DU174" i="44"/>
  <c r="DV161" i="44"/>
  <c r="DV174" i="44"/>
  <c r="G154" i="44"/>
  <c r="G167" i="44"/>
  <c r="AM154" i="44"/>
  <c r="AM167" i="44"/>
  <c r="AN154" i="44"/>
  <c r="AN167" i="44"/>
  <c r="AO154" i="44"/>
  <c r="AO167" i="44"/>
  <c r="AP154" i="44"/>
  <c r="AP167" i="44"/>
  <c r="AQ154" i="44"/>
  <c r="AQ167" i="44"/>
  <c r="AR154" i="44"/>
  <c r="AR167" i="44"/>
  <c r="AS154" i="44"/>
  <c r="AS167" i="44"/>
  <c r="AT154" i="44"/>
  <c r="AT167" i="44"/>
  <c r="AU154" i="44"/>
  <c r="AU167" i="44"/>
  <c r="AU112" i="44"/>
  <c r="AV154" i="44"/>
  <c r="AV167" i="44"/>
  <c r="AW154" i="44"/>
  <c r="AW167" i="44"/>
  <c r="AX154" i="44"/>
  <c r="AX167" i="44"/>
  <c r="AY154" i="44"/>
  <c r="AY167" i="44"/>
  <c r="AZ154" i="44"/>
  <c r="AZ167" i="44"/>
  <c r="BA154" i="44"/>
  <c r="BA167" i="44"/>
  <c r="BB154" i="44"/>
  <c r="BB167" i="44"/>
  <c r="BC154" i="44"/>
  <c r="BC167" i="44"/>
  <c r="BC112" i="44"/>
  <c r="BD154" i="44"/>
  <c r="BD167" i="44"/>
  <c r="BE154" i="44"/>
  <c r="BE167" i="44"/>
  <c r="BF154" i="44"/>
  <c r="BF167" i="44"/>
  <c r="BG154" i="44"/>
  <c r="BG167" i="44"/>
  <c r="BH154" i="44"/>
  <c r="BH167" i="44"/>
  <c r="BI154" i="44"/>
  <c r="BI167" i="44"/>
  <c r="BJ154" i="44"/>
  <c r="BJ167" i="44"/>
  <c r="BK154" i="44"/>
  <c r="BK167" i="44"/>
  <c r="BK112" i="44"/>
  <c r="BL154" i="44"/>
  <c r="BL167" i="44"/>
  <c r="BM154" i="44"/>
  <c r="BM167" i="44"/>
  <c r="BN154" i="44"/>
  <c r="BN167" i="44"/>
  <c r="BO154" i="44"/>
  <c r="BO167" i="44"/>
  <c r="BP154" i="44"/>
  <c r="BP167" i="44"/>
  <c r="BQ154" i="44"/>
  <c r="BQ167" i="44"/>
  <c r="BR154" i="44"/>
  <c r="BR167" i="44"/>
  <c r="BS154" i="44"/>
  <c r="BS167" i="44"/>
  <c r="BS112" i="44"/>
  <c r="BT154" i="44"/>
  <c r="BT167" i="44"/>
  <c r="BU154" i="44"/>
  <c r="BU167" i="44"/>
  <c r="BV154" i="44"/>
  <c r="BV167" i="44"/>
  <c r="BW154" i="44"/>
  <c r="BW167" i="44"/>
  <c r="BX154" i="44"/>
  <c r="BX167" i="44"/>
  <c r="BY154" i="44"/>
  <c r="BY167" i="44"/>
  <c r="BZ154" i="44"/>
  <c r="BZ167" i="44"/>
  <c r="CA154" i="44"/>
  <c r="CA167" i="44"/>
  <c r="CA112" i="44"/>
  <c r="CB154" i="44"/>
  <c r="CB167" i="44"/>
  <c r="CC154" i="44"/>
  <c r="CC167" i="44"/>
  <c r="CD154" i="44"/>
  <c r="CD167" i="44"/>
  <c r="CE154" i="44"/>
  <c r="CE167" i="44"/>
  <c r="CF154" i="44"/>
  <c r="CF167" i="44"/>
  <c r="CG154" i="44"/>
  <c r="CG167" i="44"/>
  <c r="CH154" i="44"/>
  <c r="CH167" i="44"/>
  <c r="CI154" i="44"/>
  <c r="CI167" i="44"/>
  <c r="CI112" i="44"/>
  <c r="CJ154" i="44"/>
  <c r="CJ167" i="44"/>
  <c r="CK154" i="44"/>
  <c r="CK167" i="44"/>
  <c r="CL154" i="44"/>
  <c r="CL167" i="44"/>
  <c r="CM154" i="44"/>
  <c r="CM167" i="44"/>
  <c r="CN154" i="44"/>
  <c r="CN167" i="44"/>
  <c r="CO154" i="44"/>
  <c r="CO167" i="44"/>
  <c r="CP154" i="44"/>
  <c r="CP167" i="44"/>
  <c r="CQ154" i="44"/>
  <c r="CQ167" i="44"/>
  <c r="CQ112" i="44"/>
  <c r="CR154" i="44"/>
  <c r="CR167" i="44"/>
  <c r="CS154" i="44"/>
  <c r="CS167" i="44"/>
  <c r="CT154" i="44"/>
  <c r="CT167" i="44"/>
  <c r="CU154" i="44"/>
  <c r="CU167" i="44"/>
  <c r="CV154" i="44"/>
  <c r="CV167" i="44"/>
  <c r="CW154" i="44"/>
  <c r="CW167" i="44"/>
  <c r="CX154" i="44"/>
  <c r="CX167" i="44"/>
  <c r="CY154" i="44"/>
  <c r="CY167" i="44"/>
  <c r="CZ154" i="44"/>
  <c r="CZ167" i="44"/>
  <c r="DA154" i="44"/>
  <c r="DA167" i="44"/>
  <c r="DB154" i="44"/>
  <c r="DB167" i="44"/>
  <c r="DC154" i="44"/>
  <c r="DC167" i="44"/>
  <c r="DD154" i="44"/>
  <c r="DD167" i="44"/>
  <c r="DE154" i="44"/>
  <c r="DE167" i="44"/>
  <c r="DF154" i="44"/>
  <c r="DF167" i="44"/>
  <c r="DF112" i="44"/>
  <c r="DG154" i="44"/>
  <c r="DG167" i="44"/>
  <c r="DG112" i="44"/>
  <c r="DH154" i="44"/>
  <c r="DH167" i="44"/>
  <c r="DI154" i="44"/>
  <c r="DI167" i="44"/>
  <c r="DJ154" i="44"/>
  <c r="DJ167" i="44"/>
  <c r="DK154" i="44"/>
  <c r="DK167" i="44"/>
  <c r="DL154" i="44"/>
  <c r="DL167" i="44"/>
  <c r="DM154" i="44"/>
  <c r="DM167" i="44"/>
  <c r="DN154" i="44"/>
  <c r="DN167" i="44"/>
  <c r="DN112" i="44"/>
  <c r="DO154" i="44"/>
  <c r="DO167" i="44"/>
  <c r="DO112" i="44"/>
  <c r="DP154" i="44"/>
  <c r="DP167" i="44"/>
  <c r="DQ154" i="44"/>
  <c r="DQ167" i="44"/>
  <c r="DR154" i="44"/>
  <c r="DR167" i="44"/>
  <c r="DS154" i="44"/>
  <c r="DS167" i="44"/>
  <c r="DT154" i="44"/>
  <c r="DT167" i="44"/>
  <c r="DU154" i="44"/>
  <c r="DU167" i="44"/>
  <c r="DV154" i="44"/>
  <c r="DV167" i="44"/>
  <c r="G156" i="44"/>
  <c r="G169" i="44"/>
  <c r="G114" i="44"/>
  <c r="AZ156" i="44"/>
  <c r="AZ169" i="44"/>
  <c r="AZ114" i="44"/>
  <c r="BA156" i="44"/>
  <c r="BA169" i="44"/>
  <c r="BA114" i="44"/>
  <c r="BB156" i="44"/>
  <c r="BB169" i="44"/>
  <c r="BB114" i="44"/>
  <c r="BC156" i="44"/>
  <c r="BC169" i="44"/>
  <c r="BC114" i="44"/>
  <c r="BD156" i="44"/>
  <c r="BD169" i="44"/>
  <c r="BD114" i="44"/>
  <c r="BE156" i="44"/>
  <c r="BE169" i="44"/>
  <c r="BE114" i="44"/>
  <c r="BF156" i="44"/>
  <c r="BF169" i="44"/>
  <c r="BF114" i="44"/>
  <c r="BG156" i="44"/>
  <c r="BG169" i="44"/>
  <c r="BG114" i="44"/>
  <c r="BH156" i="44"/>
  <c r="BH169" i="44"/>
  <c r="BH114" i="44"/>
  <c r="BI156" i="44"/>
  <c r="BI169" i="44"/>
  <c r="BI114" i="44"/>
  <c r="BJ156" i="44"/>
  <c r="BJ169" i="44"/>
  <c r="BJ114" i="44"/>
  <c r="BK156" i="44"/>
  <c r="BK169" i="44"/>
  <c r="BK114" i="44"/>
  <c r="BL156" i="44"/>
  <c r="BL169" i="44"/>
  <c r="BL114" i="44"/>
  <c r="BM156" i="44"/>
  <c r="BM169" i="44"/>
  <c r="BM114" i="44"/>
  <c r="BN156" i="44"/>
  <c r="BN169" i="44"/>
  <c r="BN114" i="44"/>
  <c r="BO156" i="44"/>
  <c r="BO169" i="44"/>
  <c r="BO114" i="44"/>
  <c r="BP156" i="44"/>
  <c r="BP169" i="44"/>
  <c r="BP114" i="44"/>
  <c r="BQ156" i="44"/>
  <c r="BQ169" i="44"/>
  <c r="BQ114" i="44"/>
  <c r="BR156" i="44"/>
  <c r="BR169" i="44"/>
  <c r="BR114" i="44"/>
  <c r="BS156" i="44"/>
  <c r="BS169" i="44"/>
  <c r="BS114" i="44"/>
  <c r="BT156" i="44"/>
  <c r="BT169" i="44"/>
  <c r="BT114" i="44"/>
  <c r="BU156" i="44"/>
  <c r="BU169" i="44"/>
  <c r="BU114" i="44"/>
  <c r="BV156" i="44"/>
  <c r="BV169" i="44"/>
  <c r="BV114" i="44"/>
  <c r="BW156" i="44"/>
  <c r="BW169" i="44"/>
  <c r="BW114" i="44"/>
  <c r="BX156" i="44"/>
  <c r="BX169" i="44"/>
  <c r="BX114" i="44"/>
  <c r="BY156" i="44"/>
  <c r="BY169" i="44"/>
  <c r="BY114" i="44"/>
  <c r="BZ156" i="44"/>
  <c r="BZ169" i="44"/>
  <c r="BZ114" i="44"/>
  <c r="CA156" i="44"/>
  <c r="CA169" i="44"/>
  <c r="CA114" i="44"/>
  <c r="CB156" i="44"/>
  <c r="CB169" i="44"/>
  <c r="CB114" i="44"/>
  <c r="CC156" i="44"/>
  <c r="CC169" i="44"/>
  <c r="CC114" i="44"/>
  <c r="CD156" i="44"/>
  <c r="CD169" i="44"/>
  <c r="CD114" i="44"/>
  <c r="CE156" i="44"/>
  <c r="CE169" i="44"/>
  <c r="CE114" i="44"/>
  <c r="CF156" i="44"/>
  <c r="CF169" i="44"/>
  <c r="CF114" i="44"/>
  <c r="CG156" i="44"/>
  <c r="CG169" i="44"/>
  <c r="CG114" i="44"/>
  <c r="CH156" i="44"/>
  <c r="CH169" i="44"/>
  <c r="CH114" i="44"/>
  <c r="CI156" i="44"/>
  <c r="CI169" i="44"/>
  <c r="CI114" i="44"/>
  <c r="CJ156" i="44"/>
  <c r="CJ169" i="44"/>
  <c r="CJ114" i="44"/>
  <c r="CK156" i="44"/>
  <c r="CK169" i="44"/>
  <c r="CK114" i="44"/>
  <c r="CL156" i="44"/>
  <c r="CL169" i="44"/>
  <c r="CL114" i="44"/>
  <c r="CM156" i="44"/>
  <c r="CM169" i="44"/>
  <c r="CM114" i="44"/>
  <c r="CN156" i="44"/>
  <c r="CN169" i="44"/>
  <c r="CN114" i="44"/>
  <c r="CO156" i="44"/>
  <c r="CO169" i="44"/>
  <c r="CO114" i="44"/>
  <c r="CP156" i="44"/>
  <c r="CP169" i="44"/>
  <c r="CP114" i="44"/>
  <c r="CQ156" i="44"/>
  <c r="CQ169" i="44"/>
  <c r="CQ114" i="44"/>
  <c r="CR156" i="44"/>
  <c r="CR169" i="44"/>
  <c r="CR114" i="44"/>
  <c r="CS156" i="44"/>
  <c r="CS169" i="44"/>
  <c r="CS114" i="44"/>
  <c r="CT156" i="44"/>
  <c r="CT169" i="44"/>
  <c r="CT114" i="44"/>
  <c r="CU156" i="44"/>
  <c r="CU169" i="44"/>
  <c r="CU114" i="44"/>
  <c r="CV156" i="44"/>
  <c r="CV169" i="44"/>
  <c r="CV114" i="44"/>
  <c r="CW156" i="44"/>
  <c r="CW169" i="44"/>
  <c r="CW114" i="44"/>
  <c r="CX156" i="44"/>
  <c r="CX169" i="44"/>
  <c r="CX114" i="44"/>
  <c r="CY156" i="44"/>
  <c r="CY169" i="44"/>
  <c r="CY114" i="44"/>
  <c r="CZ156" i="44"/>
  <c r="CZ169" i="44"/>
  <c r="CZ114" i="44"/>
  <c r="DA156" i="44"/>
  <c r="DA169" i="44"/>
  <c r="DA114" i="44"/>
  <c r="DB156" i="44"/>
  <c r="DB169" i="44"/>
  <c r="DB114" i="44"/>
  <c r="DC156" i="44"/>
  <c r="DC169" i="44"/>
  <c r="DC114" i="44"/>
  <c r="DD156" i="44"/>
  <c r="DD169" i="44"/>
  <c r="DD114" i="44"/>
  <c r="DE156" i="44"/>
  <c r="DE169" i="44"/>
  <c r="DE114" i="44"/>
  <c r="DF156" i="44"/>
  <c r="DF169" i="44"/>
  <c r="DF114" i="44"/>
  <c r="DG156" i="44"/>
  <c r="DG169" i="44"/>
  <c r="DG114" i="44"/>
  <c r="DH156" i="44"/>
  <c r="DH169" i="44"/>
  <c r="DH114" i="44"/>
  <c r="DI156" i="44"/>
  <c r="DI169" i="44"/>
  <c r="DI114" i="44"/>
  <c r="DJ156" i="44"/>
  <c r="DJ169" i="44"/>
  <c r="DJ114" i="44"/>
  <c r="DK156" i="44"/>
  <c r="DK169" i="44"/>
  <c r="DK114" i="44"/>
  <c r="DL156" i="44"/>
  <c r="DL169" i="44"/>
  <c r="DL114" i="44"/>
  <c r="DM156" i="44"/>
  <c r="DM169" i="44"/>
  <c r="DM114" i="44"/>
  <c r="DN156" i="44"/>
  <c r="DN169" i="44"/>
  <c r="DN114" i="44"/>
  <c r="DO156" i="44"/>
  <c r="DO169" i="44"/>
  <c r="DO114" i="44"/>
  <c r="DP156" i="44"/>
  <c r="DP169" i="44"/>
  <c r="DP114" i="44"/>
  <c r="DQ156" i="44"/>
  <c r="DQ169" i="44"/>
  <c r="DQ114" i="44"/>
  <c r="DR156" i="44"/>
  <c r="DR169" i="44"/>
  <c r="DR114" i="44"/>
  <c r="DS156" i="44"/>
  <c r="DS169" i="44"/>
  <c r="DS114" i="44"/>
  <c r="DT156" i="44"/>
  <c r="DT169" i="44"/>
  <c r="DT114" i="44"/>
  <c r="DU156" i="44"/>
  <c r="DU169" i="44"/>
  <c r="DU114" i="44"/>
  <c r="DV156" i="44"/>
  <c r="DV169" i="44"/>
  <c r="DV114" i="44"/>
  <c r="R95" i="44"/>
  <c r="R12" i="44"/>
  <c r="AA95" i="44"/>
  <c r="AA12" i="44"/>
  <c r="AJ95" i="44"/>
  <c r="AJ12" i="44"/>
  <c r="I95" i="44"/>
  <c r="I12" i="44"/>
  <c r="Z95" i="44"/>
  <c r="Z12" i="44"/>
  <c r="AI95" i="44"/>
  <c r="AI12" i="44"/>
  <c r="H95" i="44"/>
  <c r="H12" i="44"/>
  <c r="Q95" i="44"/>
  <c r="Q12" i="44"/>
  <c r="G160" i="44"/>
  <c r="G173" i="44"/>
  <c r="G118" i="44"/>
  <c r="BQ160" i="44"/>
  <c r="BQ173" i="44"/>
  <c r="BQ118" i="44"/>
  <c r="BR160" i="44"/>
  <c r="BR173" i="44"/>
  <c r="BR118" i="44"/>
  <c r="BS160" i="44"/>
  <c r="BS173" i="44"/>
  <c r="BS118" i="44"/>
  <c r="BT160" i="44"/>
  <c r="BT173" i="44"/>
  <c r="BT118" i="44"/>
  <c r="BU160" i="44"/>
  <c r="BU173" i="44"/>
  <c r="BU118" i="44"/>
  <c r="BV160" i="44"/>
  <c r="BV173" i="44"/>
  <c r="BV118" i="44"/>
  <c r="BW160" i="44"/>
  <c r="BW173" i="44"/>
  <c r="BW118" i="44"/>
  <c r="BX160" i="44"/>
  <c r="BX173" i="44"/>
  <c r="BX118" i="44"/>
  <c r="BY160" i="44"/>
  <c r="BY173" i="44"/>
  <c r="BY118" i="44"/>
  <c r="BZ160" i="44"/>
  <c r="BZ173" i="44"/>
  <c r="BZ118" i="44"/>
  <c r="CA160" i="44"/>
  <c r="CA173" i="44"/>
  <c r="CA118" i="44"/>
  <c r="CB160" i="44"/>
  <c r="CB173" i="44"/>
  <c r="CB118" i="44"/>
  <c r="CC160" i="44"/>
  <c r="CC173" i="44"/>
  <c r="CC118" i="44"/>
  <c r="CD160" i="44"/>
  <c r="CD173" i="44"/>
  <c r="CD118" i="44"/>
  <c r="CE160" i="44"/>
  <c r="CE173" i="44"/>
  <c r="CE118" i="44"/>
  <c r="CF160" i="44"/>
  <c r="CF173" i="44"/>
  <c r="CF118" i="44"/>
  <c r="CG160" i="44"/>
  <c r="CG173" i="44"/>
  <c r="CG118" i="44"/>
  <c r="CH160" i="44"/>
  <c r="CH173" i="44"/>
  <c r="CH118" i="44"/>
  <c r="CI160" i="44"/>
  <c r="CI173" i="44"/>
  <c r="CI118" i="44"/>
  <c r="CJ160" i="44"/>
  <c r="CJ173" i="44"/>
  <c r="CJ118" i="44"/>
  <c r="CK160" i="44"/>
  <c r="CK173" i="44"/>
  <c r="CK118" i="44"/>
  <c r="CL160" i="44"/>
  <c r="CL173" i="44"/>
  <c r="CL118" i="44"/>
  <c r="CM160" i="44"/>
  <c r="CM173" i="44"/>
  <c r="CM118" i="44"/>
  <c r="CN160" i="44"/>
  <c r="CN173" i="44"/>
  <c r="CN118" i="44"/>
  <c r="CO160" i="44"/>
  <c r="CO173" i="44"/>
  <c r="CO118" i="44"/>
  <c r="CP160" i="44"/>
  <c r="CP173" i="44"/>
  <c r="CP118" i="44"/>
  <c r="CQ160" i="44"/>
  <c r="CQ173" i="44"/>
  <c r="CQ118" i="44"/>
  <c r="CR160" i="44"/>
  <c r="CR173" i="44"/>
  <c r="CR118" i="44"/>
  <c r="CS160" i="44"/>
  <c r="CS173" i="44"/>
  <c r="CS118" i="44"/>
  <c r="CT160" i="44"/>
  <c r="CT173" i="44"/>
  <c r="CT118" i="44"/>
  <c r="CU160" i="44"/>
  <c r="CU173" i="44"/>
  <c r="CU118" i="44"/>
  <c r="CV160" i="44"/>
  <c r="CV173" i="44"/>
  <c r="CV118" i="44"/>
  <c r="CW160" i="44"/>
  <c r="CW173" i="44"/>
  <c r="CW118" i="44"/>
  <c r="CX160" i="44"/>
  <c r="CX173" i="44"/>
  <c r="CX118" i="44"/>
  <c r="CY160" i="44"/>
  <c r="CY173" i="44"/>
  <c r="CY118" i="44"/>
  <c r="CZ160" i="44"/>
  <c r="CZ173" i="44"/>
  <c r="CZ118" i="44"/>
  <c r="DA160" i="44"/>
  <c r="DA173" i="44"/>
  <c r="DA118" i="44"/>
  <c r="DB160" i="44"/>
  <c r="DB173" i="44"/>
  <c r="DB118" i="44"/>
  <c r="DC160" i="44"/>
  <c r="DC173" i="44"/>
  <c r="DC118" i="44"/>
  <c r="DD160" i="44"/>
  <c r="DD173" i="44"/>
  <c r="DD118" i="44"/>
  <c r="DE160" i="44"/>
  <c r="DE173" i="44"/>
  <c r="DE118" i="44"/>
  <c r="DF160" i="44"/>
  <c r="DF173" i="44"/>
  <c r="DF118" i="44"/>
  <c r="DG160" i="44"/>
  <c r="DG173" i="44"/>
  <c r="DG118" i="44"/>
  <c r="DH160" i="44"/>
  <c r="DH173" i="44"/>
  <c r="DH118" i="44"/>
  <c r="DI160" i="44"/>
  <c r="DI173" i="44"/>
  <c r="DI118" i="44"/>
  <c r="DJ160" i="44"/>
  <c r="DJ173" i="44"/>
  <c r="DJ118" i="44"/>
  <c r="DK160" i="44"/>
  <c r="DK173" i="44"/>
  <c r="DK118" i="44"/>
  <c r="DL160" i="44"/>
  <c r="DL173" i="44"/>
  <c r="DL118" i="44"/>
  <c r="DM160" i="44"/>
  <c r="DM173" i="44"/>
  <c r="DM118" i="44"/>
  <c r="DN160" i="44"/>
  <c r="DN173" i="44"/>
  <c r="DN118" i="44"/>
  <c r="DO160" i="44"/>
  <c r="DO173" i="44"/>
  <c r="DO118" i="44"/>
  <c r="DP160" i="44"/>
  <c r="DP173" i="44"/>
  <c r="DP118" i="44"/>
  <c r="DQ160" i="44"/>
  <c r="DQ173" i="44"/>
  <c r="DQ118" i="44"/>
  <c r="DR160" i="44"/>
  <c r="DR173" i="44"/>
  <c r="DR118" i="44"/>
  <c r="DS160" i="44"/>
  <c r="DS173" i="44"/>
  <c r="DS118" i="44"/>
  <c r="DT160" i="44"/>
  <c r="DT173" i="44"/>
  <c r="DT118" i="44"/>
  <c r="DU160" i="44"/>
  <c r="DU173" i="44"/>
  <c r="DU118" i="44"/>
  <c r="DV160" i="44"/>
  <c r="DV173" i="44"/>
  <c r="DV118" i="44"/>
  <c r="G162" i="44"/>
  <c r="G175" i="44"/>
  <c r="CL162" i="44"/>
  <c r="CL175" i="44"/>
  <c r="CM162" i="44"/>
  <c r="CM175" i="44"/>
  <c r="CN162" i="44"/>
  <c r="CN175" i="44"/>
  <c r="CO162" i="44"/>
  <c r="CO175" i="44"/>
  <c r="CP162" i="44"/>
  <c r="CP175" i="44"/>
  <c r="CQ162" i="44"/>
  <c r="CQ175" i="44"/>
  <c r="CR162" i="44"/>
  <c r="CR175" i="44"/>
  <c r="CS162" i="44"/>
  <c r="CS175" i="44"/>
  <c r="CT162" i="44"/>
  <c r="CT175" i="44"/>
  <c r="CU162" i="44"/>
  <c r="CU175" i="44"/>
  <c r="CV162" i="44"/>
  <c r="CV175" i="44"/>
  <c r="CW162" i="44"/>
  <c r="CW175" i="44"/>
  <c r="CX162" i="44"/>
  <c r="CX175" i="44"/>
  <c r="CY162" i="44"/>
  <c r="CY175" i="44"/>
  <c r="CZ162" i="44"/>
  <c r="CZ175" i="44"/>
  <c r="DA162" i="44"/>
  <c r="DA175" i="44"/>
  <c r="DB162" i="44"/>
  <c r="DB175" i="44"/>
  <c r="DC162" i="44"/>
  <c r="DC175" i="44"/>
  <c r="DD162" i="44"/>
  <c r="DD175" i="44"/>
  <c r="DE162" i="44"/>
  <c r="DE175" i="44"/>
  <c r="DF162" i="44"/>
  <c r="DF175" i="44"/>
  <c r="DG162" i="44"/>
  <c r="DG175" i="44"/>
  <c r="DH162" i="44"/>
  <c r="DH175" i="44"/>
  <c r="DI162" i="44"/>
  <c r="DI175" i="44"/>
  <c r="DJ162" i="44"/>
  <c r="DJ175" i="44"/>
  <c r="DK162" i="44"/>
  <c r="DK175" i="44"/>
  <c r="DL162" i="44"/>
  <c r="DL175" i="44"/>
  <c r="DM162" i="44"/>
  <c r="DM175" i="44"/>
  <c r="DN162" i="44"/>
  <c r="DN175" i="44"/>
  <c r="DO162" i="44"/>
  <c r="DO175" i="44"/>
  <c r="DP162" i="44"/>
  <c r="DP175" i="44"/>
  <c r="DQ162" i="44"/>
  <c r="DQ175" i="44"/>
  <c r="DR162" i="44"/>
  <c r="DR175" i="44"/>
  <c r="DS162" i="44"/>
  <c r="DS175" i="44"/>
  <c r="DT162" i="44"/>
  <c r="DT175" i="44"/>
  <c r="DU162" i="44"/>
  <c r="DU175" i="44"/>
  <c r="DV162" i="44"/>
  <c r="DV175" i="44"/>
  <c r="DQ159" i="44"/>
  <c r="DQ172" i="44"/>
  <c r="DQ117" i="44"/>
  <c r="G159" i="44"/>
  <c r="G172" i="44"/>
  <c r="G117" i="44"/>
  <c r="BQ159" i="44"/>
  <c r="BQ172" i="44"/>
  <c r="BQ117" i="44"/>
  <c r="BR159" i="44"/>
  <c r="BR172" i="44"/>
  <c r="BR117" i="44"/>
  <c r="BS159" i="44"/>
  <c r="BS172" i="44"/>
  <c r="BS117" i="44"/>
  <c r="BT159" i="44"/>
  <c r="BT172" i="44"/>
  <c r="BT117" i="44"/>
  <c r="BU159" i="44"/>
  <c r="BU172" i="44"/>
  <c r="BU117" i="44"/>
  <c r="BV159" i="44"/>
  <c r="BV172" i="44"/>
  <c r="BV117" i="44"/>
  <c r="BW159" i="44"/>
  <c r="BW172" i="44"/>
  <c r="BW117" i="44"/>
  <c r="BX159" i="44"/>
  <c r="BX172" i="44"/>
  <c r="BX117" i="44"/>
  <c r="BY159" i="44"/>
  <c r="BY172" i="44"/>
  <c r="BY117" i="44"/>
  <c r="BZ159" i="44"/>
  <c r="BZ172" i="44"/>
  <c r="BZ117" i="44"/>
  <c r="CA159" i="44"/>
  <c r="CA172" i="44"/>
  <c r="CA117" i="44"/>
  <c r="CB159" i="44"/>
  <c r="CB172" i="44"/>
  <c r="CB117" i="44"/>
  <c r="CC159" i="44"/>
  <c r="CC172" i="44"/>
  <c r="CC117" i="44"/>
  <c r="CD159" i="44"/>
  <c r="CD172" i="44"/>
  <c r="CD117" i="44"/>
  <c r="CE159" i="44"/>
  <c r="CE172" i="44"/>
  <c r="CE117" i="44"/>
  <c r="CF159" i="44"/>
  <c r="CF172" i="44"/>
  <c r="CF117" i="44"/>
  <c r="CG159" i="44"/>
  <c r="CG172" i="44"/>
  <c r="CG117" i="44"/>
  <c r="CH159" i="44"/>
  <c r="CH172" i="44"/>
  <c r="CH117" i="44"/>
  <c r="CI159" i="44"/>
  <c r="CI172" i="44"/>
  <c r="CI117" i="44"/>
  <c r="CJ159" i="44"/>
  <c r="CJ172" i="44"/>
  <c r="CJ117" i="44"/>
  <c r="CK159" i="44"/>
  <c r="CK172" i="44"/>
  <c r="CK117" i="44"/>
  <c r="CL159" i="44"/>
  <c r="CL172" i="44"/>
  <c r="CL117" i="44"/>
  <c r="CM159" i="44"/>
  <c r="CM172" i="44"/>
  <c r="CM117" i="44"/>
  <c r="CN159" i="44"/>
  <c r="CN172" i="44"/>
  <c r="CN117" i="44"/>
  <c r="CO159" i="44"/>
  <c r="CO172" i="44"/>
  <c r="CO117" i="44"/>
  <c r="CP159" i="44"/>
  <c r="CP172" i="44"/>
  <c r="CP117" i="44"/>
  <c r="CQ159" i="44"/>
  <c r="CQ172" i="44"/>
  <c r="CQ117" i="44"/>
  <c r="CR159" i="44"/>
  <c r="CR172" i="44"/>
  <c r="CR117" i="44"/>
  <c r="CS159" i="44"/>
  <c r="CS172" i="44"/>
  <c r="CS117" i="44"/>
  <c r="CT159" i="44"/>
  <c r="CT172" i="44"/>
  <c r="CT117" i="44"/>
  <c r="CU159" i="44"/>
  <c r="CU172" i="44"/>
  <c r="CU117" i="44"/>
  <c r="CV159" i="44"/>
  <c r="CV172" i="44"/>
  <c r="CV117" i="44"/>
  <c r="CW159" i="44"/>
  <c r="CW172" i="44"/>
  <c r="CW117" i="44"/>
  <c r="CX159" i="44"/>
  <c r="CX172" i="44"/>
  <c r="CX117" i="44"/>
  <c r="CY159" i="44"/>
  <c r="CY172" i="44"/>
  <c r="CY117" i="44"/>
  <c r="CZ159" i="44"/>
  <c r="CZ172" i="44"/>
  <c r="CZ117" i="44"/>
  <c r="DA159" i="44"/>
  <c r="DA172" i="44"/>
  <c r="DA117" i="44"/>
  <c r="DB159" i="44"/>
  <c r="DB172" i="44"/>
  <c r="DB117" i="44"/>
  <c r="DC159" i="44"/>
  <c r="DC172" i="44"/>
  <c r="DC117" i="44"/>
  <c r="DD159" i="44"/>
  <c r="DD172" i="44"/>
  <c r="DD117" i="44"/>
  <c r="DE159" i="44"/>
  <c r="DE172" i="44"/>
  <c r="DE117" i="44"/>
  <c r="DF159" i="44"/>
  <c r="DF172" i="44"/>
  <c r="DF117" i="44"/>
  <c r="DG159" i="44"/>
  <c r="DG172" i="44"/>
  <c r="DG117" i="44"/>
  <c r="DH159" i="44"/>
  <c r="DH172" i="44"/>
  <c r="DH117" i="44"/>
  <c r="DI159" i="44"/>
  <c r="DI172" i="44"/>
  <c r="DI117" i="44"/>
  <c r="DJ159" i="44"/>
  <c r="DJ172" i="44"/>
  <c r="DJ117" i="44"/>
  <c r="DK159" i="44"/>
  <c r="DK172" i="44"/>
  <c r="DK117" i="44"/>
  <c r="DL159" i="44"/>
  <c r="DL172" i="44"/>
  <c r="DL117" i="44"/>
  <c r="DM159" i="44"/>
  <c r="DM172" i="44"/>
  <c r="DM117" i="44"/>
  <c r="DN159" i="44"/>
  <c r="DN172" i="44"/>
  <c r="DN117" i="44"/>
  <c r="DO159" i="44"/>
  <c r="DO172" i="44"/>
  <c r="DO117" i="44"/>
  <c r="DP159" i="44"/>
  <c r="DP172" i="44"/>
  <c r="DP117" i="44"/>
  <c r="DR159" i="44"/>
  <c r="DR172" i="44"/>
  <c r="DR117" i="44"/>
  <c r="DS159" i="44"/>
  <c r="DS172" i="44"/>
  <c r="DS117" i="44"/>
  <c r="DT159" i="44"/>
  <c r="DT172" i="44"/>
  <c r="DT117" i="44"/>
  <c r="DU159" i="44"/>
  <c r="DU172" i="44"/>
  <c r="DU117" i="44"/>
  <c r="DV159" i="44"/>
  <c r="DV172" i="44"/>
  <c r="DV117" i="44"/>
  <c r="N95" i="44"/>
  <c r="N12" i="44"/>
  <c r="O95" i="44"/>
  <c r="O12" i="44"/>
  <c r="X95" i="44"/>
  <c r="X12" i="44"/>
  <c r="AG95" i="44"/>
  <c r="AG12" i="44"/>
  <c r="G158" i="44"/>
  <c r="G171" i="44"/>
  <c r="G116" i="44"/>
  <c r="H158" i="44"/>
  <c r="H171" i="44"/>
  <c r="H116" i="44"/>
  <c r="AZ158" i="44"/>
  <c r="AZ171" i="44"/>
  <c r="AZ116" i="44"/>
  <c r="BA158" i="44"/>
  <c r="BA171" i="44"/>
  <c r="BA116" i="44"/>
  <c r="BB158" i="44"/>
  <c r="BB171" i="44"/>
  <c r="BB116" i="44"/>
  <c r="BC158" i="44"/>
  <c r="BC171" i="44"/>
  <c r="BC116" i="44"/>
  <c r="BD158" i="44"/>
  <c r="BD171" i="44"/>
  <c r="BD116" i="44"/>
  <c r="BE158" i="44"/>
  <c r="BE171" i="44"/>
  <c r="BE116" i="44"/>
  <c r="BF158" i="44"/>
  <c r="BF171" i="44"/>
  <c r="BF116" i="44"/>
  <c r="BG158" i="44"/>
  <c r="BG171" i="44"/>
  <c r="BG116" i="44"/>
  <c r="BH158" i="44"/>
  <c r="BH171" i="44"/>
  <c r="BH116" i="44"/>
  <c r="BI158" i="44"/>
  <c r="BI171" i="44"/>
  <c r="BI116" i="44"/>
  <c r="BJ158" i="44"/>
  <c r="BJ171" i="44"/>
  <c r="BJ116" i="44"/>
  <c r="BK158" i="44"/>
  <c r="BK171" i="44"/>
  <c r="BK116" i="44"/>
  <c r="BL158" i="44"/>
  <c r="BL171" i="44"/>
  <c r="BL116" i="44"/>
  <c r="BM158" i="44"/>
  <c r="BM171" i="44"/>
  <c r="BM116" i="44"/>
  <c r="BN158" i="44"/>
  <c r="BN171" i="44"/>
  <c r="BN116" i="44"/>
  <c r="BO158" i="44"/>
  <c r="BO171" i="44"/>
  <c r="BO116" i="44"/>
  <c r="BP158" i="44"/>
  <c r="BP171" i="44"/>
  <c r="BP116" i="44"/>
  <c r="BQ158" i="44"/>
  <c r="BQ171" i="44"/>
  <c r="BQ116" i="44"/>
  <c r="BR158" i="44"/>
  <c r="BR171" i="44"/>
  <c r="BR116" i="44"/>
  <c r="BS158" i="44"/>
  <c r="BS171" i="44"/>
  <c r="BS116" i="44"/>
  <c r="BT158" i="44"/>
  <c r="BT171" i="44"/>
  <c r="BT116" i="44"/>
  <c r="BU158" i="44"/>
  <c r="BU171" i="44"/>
  <c r="BU116" i="44"/>
  <c r="BV158" i="44"/>
  <c r="BV171" i="44"/>
  <c r="BV116" i="44"/>
  <c r="BW158" i="44"/>
  <c r="BW171" i="44"/>
  <c r="BW116" i="44"/>
  <c r="BX158" i="44"/>
  <c r="BX171" i="44"/>
  <c r="BX116" i="44"/>
  <c r="BY158" i="44"/>
  <c r="BY171" i="44"/>
  <c r="BY116" i="44"/>
  <c r="BZ158" i="44"/>
  <c r="BZ171" i="44"/>
  <c r="BZ116" i="44"/>
  <c r="CA158" i="44"/>
  <c r="CA171" i="44"/>
  <c r="CA116" i="44"/>
  <c r="CB158" i="44"/>
  <c r="CB171" i="44"/>
  <c r="CB116" i="44"/>
  <c r="CC158" i="44"/>
  <c r="CC171" i="44"/>
  <c r="CC116" i="44"/>
  <c r="CD158" i="44"/>
  <c r="CD171" i="44"/>
  <c r="CD116" i="44"/>
  <c r="CE158" i="44"/>
  <c r="CE171" i="44"/>
  <c r="CE116" i="44"/>
  <c r="CF158" i="44"/>
  <c r="CF171" i="44"/>
  <c r="CF116" i="44"/>
  <c r="CG158" i="44"/>
  <c r="CG171" i="44"/>
  <c r="CG116" i="44"/>
  <c r="CH158" i="44"/>
  <c r="CH171" i="44"/>
  <c r="CH116" i="44"/>
  <c r="CI158" i="44"/>
  <c r="CI171" i="44"/>
  <c r="CI116" i="44"/>
  <c r="CJ158" i="44"/>
  <c r="CJ171" i="44"/>
  <c r="CJ116" i="44"/>
  <c r="CK158" i="44"/>
  <c r="CK171" i="44"/>
  <c r="CK116" i="44"/>
  <c r="CL158" i="44"/>
  <c r="CL171" i="44"/>
  <c r="CL116" i="44"/>
  <c r="CM158" i="44"/>
  <c r="CM171" i="44"/>
  <c r="CM116" i="44"/>
  <c r="CN158" i="44"/>
  <c r="CN171" i="44"/>
  <c r="CN116" i="44"/>
  <c r="CO158" i="44"/>
  <c r="CO171" i="44"/>
  <c r="CO116" i="44"/>
  <c r="CP158" i="44"/>
  <c r="CP171" i="44"/>
  <c r="CP116" i="44"/>
  <c r="CQ158" i="44"/>
  <c r="CQ171" i="44"/>
  <c r="CQ116" i="44"/>
  <c r="CR158" i="44"/>
  <c r="CR171" i="44"/>
  <c r="CR116" i="44"/>
  <c r="CS158" i="44"/>
  <c r="CS171" i="44"/>
  <c r="CS116" i="44"/>
  <c r="CT158" i="44"/>
  <c r="CT171" i="44"/>
  <c r="CT116" i="44"/>
  <c r="CU158" i="44"/>
  <c r="CU171" i="44"/>
  <c r="CU116" i="44"/>
  <c r="CV158" i="44"/>
  <c r="CV171" i="44"/>
  <c r="CV116" i="44"/>
  <c r="CW158" i="44"/>
  <c r="CW171" i="44"/>
  <c r="CW116" i="44"/>
  <c r="CX158" i="44"/>
  <c r="CX171" i="44"/>
  <c r="CX116" i="44"/>
  <c r="CY158" i="44"/>
  <c r="CY171" i="44"/>
  <c r="CY116" i="44"/>
  <c r="CZ158" i="44"/>
  <c r="CZ171" i="44"/>
  <c r="CZ116" i="44"/>
  <c r="DA158" i="44"/>
  <c r="DA171" i="44"/>
  <c r="DA116" i="44"/>
  <c r="DB158" i="44"/>
  <c r="DB171" i="44"/>
  <c r="DB116" i="44"/>
  <c r="DC158" i="44"/>
  <c r="DC171" i="44"/>
  <c r="DC116" i="44"/>
  <c r="DD158" i="44"/>
  <c r="DD171" i="44"/>
  <c r="DD116" i="44"/>
  <c r="DE158" i="44"/>
  <c r="DE171" i="44"/>
  <c r="DE116" i="44"/>
  <c r="DF158" i="44"/>
  <c r="DF171" i="44"/>
  <c r="DF116" i="44"/>
  <c r="DG158" i="44"/>
  <c r="DG171" i="44"/>
  <c r="DG116" i="44"/>
  <c r="DH158" i="44"/>
  <c r="DH171" i="44"/>
  <c r="DH116" i="44"/>
  <c r="DI158" i="44"/>
  <c r="DI171" i="44"/>
  <c r="DI116" i="44"/>
  <c r="DJ158" i="44"/>
  <c r="DJ171" i="44"/>
  <c r="DJ116" i="44"/>
  <c r="DK158" i="44"/>
  <c r="DK171" i="44"/>
  <c r="DK116" i="44"/>
  <c r="DL158" i="44"/>
  <c r="DL171" i="44"/>
  <c r="DL116" i="44"/>
  <c r="DM158" i="44"/>
  <c r="DM171" i="44"/>
  <c r="DM116" i="44"/>
  <c r="DN158" i="44"/>
  <c r="DN171" i="44"/>
  <c r="DN116" i="44"/>
  <c r="DO158" i="44"/>
  <c r="DO171" i="44"/>
  <c r="DO116" i="44"/>
  <c r="DP158" i="44"/>
  <c r="DP171" i="44"/>
  <c r="DP116" i="44"/>
  <c r="DQ158" i="44"/>
  <c r="DQ171" i="44"/>
  <c r="DQ116" i="44"/>
  <c r="DR158" i="44"/>
  <c r="DR171" i="44"/>
  <c r="DR116" i="44"/>
  <c r="DS158" i="44"/>
  <c r="DS171" i="44"/>
  <c r="DS116" i="44"/>
  <c r="DT158" i="44"/>
  <c r="DT171" i="44"/>
  <c r="DT116" i="44"/>
  <c r="DU158" i="44"/>
  <c r="DU171" i="44"/>
  <c r="DU116" i="44"/>
  <c r="DV158" i="44"/>
  <c r="DV171" i="44"/>
  <c r="DV116" i="44"/>
  <c r="DT112" i="44"/>
  <c r="DL112" i="44"/>
  <c r="DD112" i="44"/>
  <c r="CV112" i="44"/>
  <c r="CN112" i="44"/>
  <c r="CF112" i="44"/>
  <c r="BX112" i="44"/>
  <c r="BP112" i="44"/>
  <c r="BH112" i="44"/>
  <c r="AZ112" i="44"/>
  <c r="AR112" i="44"/>
  <c r="DS112" i="44"/>
  <c r="DK112" i="44"/>
  <c r="DC112" i="44"/>
  <c r="CU112" i="44"/>
  <c r="CM112" i="44"/>
  <c r="CE112" i="44"/>
  <c r="BW112" i="44"/>
  <c r="BO112" i="44"/>
  <c r="BG112" i="44"/>
  <c r="AY112" i="44"/>
  <c r="AQ112" i="44"/>
  <c r="DR112" i="44"/>
  <c r="DJ112" i="44"/>
  <c r="DB112" i="44"/>
  <c r="CT112" i="44"/>
  <c r="CL112" i="44"/>
  <c r="CD112" i="44"/>
  <c r="BV112" i="44"/>
  <c r="BN112" i="44"/>
  <c r="BF112" i="44"/>
  <c r="AX112" i="44"/>
  <c r="AP112" i="44"/>
  <c r="DQ112" i="44"/>
  <c r="DI112" i="44"/>
  <c r="DA112" i="44"/>
  <c r="CS112" i="44"/>
  <c r="CK112" i="44"/>
  <c r="CC112" i="44"/>
  <c r="BU112" i="44"/>
  <c r="BM112" i="44"/>
  <c r="BE112" i="44"/>
  <c r="AW112" i="44"/>
  <c r="AO112" i="44"/>
  <c r="DP112" i="44"/>
  <c r="DH112" i="44"/>
  <c r="CZ112" i="44"/>
  <c r="CR112" i="44"/>
  <c r="CJ112" i="44"/>
  <c r="CB112" i="44"/>
  <c r="BT112" i="44"/>
  <c r="BL112" i="44"/>
  <c r="BD112" i="44"/>
  <c r="AV112" i="44"/>
  <c r="AN112" i="44"/>
  <c r="CY112" i="44"/>
  <c r="AM112" i="44"/>
  <c r="G112" i="44"/>
  <c r="DV112" i="44"/>
  <c r="CX112" i="44"/>
  <c r="CP112" i="44"/>
  <c r="CH112" i="44"/>
  <c r="BZ112" i="44"/>
  <c r="BR112" i="44"/>
  <c r="BJ112" i="44"/>
  <c r="BB112" i="44"/>
  <c r="AT112" i="44"/>
  <c r="DU112" i="44"/>
  <c r="DM112" i="44"/>
  <c r="DE112" i="44"/>
  <c r="CW112" i="44"/>
  <c r="CO112" i="44"/>
  <c r="CG112" i="44"/>
  <c r="BY112" i="44"/>
  <c r="BQ112" i="44"/>
  <c r="BI112" i="44"/>
  <c r="BA112" i="44"/>
  <c r="AS112" i="44"/>
  <c r="G155" i="44"/>
  <c r="G168" i="44"/>
  <c r="G113" i="44"/>
  <c r="AR155" i="44"/>
  <c r="AR168" i="44"/>
  <c r="AR113" i="44"/>
  <c r="AS155" i="44"/>
  <c r="AS168" i="44"/>
  <c r="AS113" i="44"/>
  <c r="AT155" i="44"/>
  <c r="AT168" i="44"/>
  <c r="AT113" i="44"/>
  <c r="AU155" i="44"/>
  <c r="AU168" i="44"/>
  <c r="AU113" i="44"/>
  <c r="AV155" i="44"/>
  <c r="AV168" i="44"/>
  <c r="AV113" i="44"/>
  <c r="AW155" i="44"/>
  <c r="AW168" i="44"/>
  <c r="AW113" i="44"/>
  <c r="AX155" i="44"/>
  <c r="AX168" i="44"/>
  <c r="AX113" i="44"/>
  <c r="AY155" i="44"/>
  <c r="AY168" i="44"/>
  <c r="AY113" i="44"/>
  <c r="AZ155" i="44"/>
  <c r="AZ168" i="44"/>
  <c r="AZ113" i="44"/>
  <c r="BA155" i="44"/>
  <c r="BA168" i="44"/>
  <c r="BA113" i="44"/>
  <c r="BB155" i="44"/>
  <c r="BB168" i="44"/>
  <c r="BB113" i="44"/>
  <c r="BC155" i="44"/>
  <c r="BC168" i="44"/>
  <c r="BC113" i="44"/>
  <c r="BD155" i="44"/>
  <c r="BD168" i="44"/>
  <c r="BD113" i="44"/>
  <c r="BE155" i="44"/>
  <c r="BE168" i="44"/>
  <c r="BE113" i="44"/>
  <c r="BF155" i="44"/>
  <c r="BF168" i="44"/>
  <c r="BF113" i="44"/>
  <c r="BG155" i="44"/>
  <c r="BG168" i="44"/>
  <c r="BG113" i="44"/>
  <c r="BH155" i="44"/>
  <c r="BH168" i="44"/>
  <c r="BH113" i="44"/>
  <c r="BI155" i="44"/>
  <c r="BI168" i="44"/>
  <c r="BI113" i="44"/>
  <c r="BJ155" i="44"/>
  <c r="BJ168" i="44"/>
  <c r="BJ113" i="44"/>
  <c r="BK155" i="44"/>
  <c r="BK168" i="44"/>
  <c r="BK113" i="44"/>
  <c r="BL155" i="44"/>
  <c r="BL168" i="44"/>
  <c r="BL113" i="44"/>
  <c r="BM155" i="44"/>
  <c r="BM168" i="44"/>
  <c r="BM113" i="44"/>
  <c r="BN155" i="44"/>
  <c r="BN168" i="44"/>
  <c r="BN113" i="44"/>
  <c r="BO155" i="44"/>
  <c r="BO168" i="44"/>
  <c r="BO113" i="44"/>
  <c r="BP155" i="44"/>
  <c r="BP168" i="44"/>
  <c r="BP113" i="44"/>
  <c r="BQ155" i="44"/>
  <c r="BQ168" i="44"/>
  <c r="BQ113" i="44"/>
  <c r="BR155" i="44"/>
  <c r="BR168" i="44"/>
  <c r="BR113" i="44"/>
  <c r="BS155" i="44"/>
  <c r="BS168" i="44"/>
  <c r="BS113" i="44"/>
  <c r="BT155" i="44"/>
  <c r="BT168" i="44"/>
  <c r="BT113" i="44"/>
  <c r="BU155" i="44"/>
  <c r="BU168" i="44"/>
  <c r="BU113" i="44"/>
  <c r="BV155" i="44"/>
  <c r="BV168" i="44"/>
  <c r="BV113" i="44"/>
  <c r="BW155" i="44"/>
  <c r="BW168" i="44"/>
  <c r="BW113" i="44"/>
  <c r="BX155" i="44"/>
  <c r="BX168" i="44"/>
  <c r="BX113" i="44"/>
  <c r="BY155" i="44"/>
  <c r="BY168" i="44"/>
  <c r="BY113" i="44"/>
  <c r="BZ155" i="44"/>
  <c r="BZ168" i="44"/>
  <c r="BZ113" i="44"/>
  <c r="CA155" i="44"/>
  <c r="CA168" i="44"/>
  <c r="CA113" i="44"/>
  <c r="CB155" i="44"/>
  <c r="CB168" i="44"/>
  <c r="CB113" i="44"/>
  <c r="CC155" i="44"/>
  <c r="CC168" i="44"/>
  <c r="CC113" i="44"/>
  <c r="CD155" i="44"/>
  <c r="CD168" i="44"/>
  <c r="CD113" i="44"/>
  <c r="CE155" i="44"/>
  <c r="CE168" i="44"/>
  <c r="CE113" i="44"/>
  <c r="CF155" i="44"/>
  <c r="CF168" i="44"/>
  <c r="CF113" i="44"/>
  <c r="CG155" i="44"/>
  <c r="CG168" i="44"/>
  <c r="CG113" i="44"/>
  <c r="CH155" i="44"/>
  <c r="CH168" i="44"/>
  <c r="CH113" i="44"/>
  <c r="CI155" i="44"/>
  <c r="CI168" i="44"/>
  <c r="CI113" i="44"/>
  <c r="CJ155" i="44"/>
  <c r="CJ168" i="44"/>
  <c r="CJ113" i="44"/>
  <c r="CK155" i="44"/>
  <c r="CK168" i="44"/>
  <c r="CK113" i="44"/>
  <c r="CL155" i="44"/>
  <c r="CL168" i="44"/>
  <c r="CL113" i="44"/>
  <c r="CM155" i="44"/>
  <c r="CM168" i="44"/>
  <c r="CM113" i="44"/>
  <c r="CN155" i="44"/>
  <c r="CN168" i="44"/>
  <c r="CN113" i="44"/>
  <c r="CO155" i="44"/>
  <c r="CO168" i="44"/>
  <c r="CO113" i="44"/>
  <c r="CP155" i="44"/>
  <c r="CP168" i="44"/>
  <c r="CP113" i="44"/>
  <c r="CQ155" i="44"/>
  <c r="CQ168" i="44"/>
  <c r="CQ113" i="44"/>
  <c r="CR155" i="44"/>
  <c r="CR168" i="44"/>
  <c r="CR113" i="44"/>
  <c r="CS155" i="44"/>
  <c r="CS168" i="44"/>
  <c r="CS113" i="44"/>
  <c r="CT155" i="44"/>
  <c r="CT168" i="44"/>
  <c r="CT113" i="44"/>
  <c r="CU155" i="44"/>
  <c r="CU168" i="44"/>
  <c r="CU113" i="44"/>
  <c r="CV155" i="44"/>
  <c r="CV168" i="44"/>
  <c r="CV113" i="44"/>
  <c r="CW155" i="44"/>
  <c r="CW168" i="44"/>
  <c r="CW113" i="44"/>
  <c r="CX155" i="44"/>
  <c r="CX168" i="44"/>
  <c r="CX113" i="44"/>
  <c r="CY155" i="44"/>
  <c r="CY168" i="44"/>
  <c r="CY113" i="44"/>
  <c r="CZ155" i="44"/>
  <c r="CZ168" i="44"/>
  <c r="CZ113" i="44"/>
  <c r="DA155" i="44"/>
  <c r="DA168" i="44"/>
  <c r="DA113" i="44"/>
  <c r="DB155" i="44"/>
  <c r="DB168" i="44"/>
  <c r="DB113" i="44"/>
  <c r="DC155" i="44"/>
  <c r="DC168" i="44"/>
  <c r="DC113" i="44"/>
  <c r="DD155" i="44"/>
  <c r="DD168" i="44"/>
  <c r="DD113" i="44"/>
  <c r="DE155" i="44"/>
  <c r="DE168" i="44"/>
  <c r="DE113" i="44"/>
  <c r="DF155" i="44"/>
  <c r="DF168" i="44"/>
  <c r="DF113" i="44"/>
  <c r="DG155" i="44"/>
  <c r="DG168" i="44"/>
  <c r="DG113" i="44"/>
  <c r="DH155" i="44"/>
  <c r="DH168" i="44"/>
  <c r="DH113" i="44"/>
  <c r="DI155" i="44"/>
  <c r="DI168" i="44"/>
  <c r="DI113" i="44"/>
  <c r="DJ155" i="44"/>
  <c r="DJ168" i="44"/>
  <c r="DJ113" i="44"/>
  <c r="DK155" i="44"/>
  <c r="DK168" i="44"/>
  <c r="DK113" i="44"/>
  <c r="DL155" i="44"/>
  <c r="DL168" i="44"/>
  <c r="DL113" i="44"/>
  <c r="DM155" i="44"/>
  <c r="DM168" i="44"/>
  <c r="DM113" i="44"/>
  <c r="DN155" i="44"/>
  <c r="DN168" i="44"/>
  <c r="DN113" i="44"/>
  <c r="DO155" i="44"/>
  <c r="DO168" i="44"/>
  <c r="DO113" i="44"/>
  <c r="DP155" i="44"/>
  <c r="DP168" i="44"/>
  <c r="DP113" i="44"/>
  <c r="DQ155" i="44"/>
  <c r="DQ168" i="44"/>
  <c r="DQ113" i="44"/>
  <c r="DR155" i="44"/>
  <c r="DR168" i="44"/>
  <c r="DR113" i="44"/>
  <c r="DS155" i="44"/>
  <c r="DS168" i="44"/>
  <c r="DS113" i="44"/>
  <c r="DT155" i="44"/>
  <c r="DT168" i="44"/>
  <c r="DT113" i="44"/>
  <c r="DU155" i="44"/>
  <c r="DU168" i="44"/>
  <c r="DU113" i="44"/>
  <c r="DV155" i="44"/>
  <c r="DV168" i="44"/>
  <c r="DV113" i="44"/>
  <c r="G153" i="44"/>
  <c r="G166" i="44"/>
  <c r="G111" i="44"/>
  <c r="AL153" i="44"/>
  <c r="AL166" i="44"/>
  <c r="AL111" i="44"/>
  <c r="AM153" i="44"/>
  <c r="AM166" i="44"/>
  <c r="AM111" i="44"/>
  <c r="AN153" i="44"/>
  <c r="AN166" i="44"/>
  <c r="AN111" i="44"/>
  <c r="AO153" i="44"/>
  <c r="AO166" i="44"/>
  <c r="AO111" i="44"/>
  <c r="AP153" i="44"/>
  <c r="AP166" i="44"/>
  <c r="AP111" i="44"/>
  <c r="AQ153" i="44"/>
  <c r="AQ166" i="44"/>
  <c r="AQ111" i="44"/>
  <c r="AR153" i="44"/>
  <c r="AR166" i="44"/>
  <c r="AR111" i="44"/>
  <c r="AS153" i="44"/>
  <c r="AS166" i="44"/>
  <c r="AS111" i="44"/>
  <c r="AT153" i="44"/>
  <c r="AT166" i="44"/>
  <c r="AT111" i="44"/>
  <c r="AU153" i="44"/>
  <c r="AU166" i="44"/>
  <c r="AU111" i="44"/>
  <c r="AV153" i="44"/>
  <c r="AV166" i="44"/>
  <c r="AV111" i="44"/>
  <c r="AW153" i="44"/>
  <c r="AW166" i="44"/>
  <c r="AW111" i="44"/>
  <c r="AX153" i="44"/>
  <c r="AX166" i="44"/>
  <c r="AX111" i="44"/>
  <c r="AY153" i="44"/>
  <c r="AY166" i="44"/>
  <c r="AY111" i="44"/>
  <c r="AZ153" i="44"/>
  <c r="AZ166" i="44"/>
  <c r="AZ111" i="44"/>
  <c r="BA153" i="44"/>
  <c r="BA166" i="44"/>
  <c r="BA111" i="44"/>
  <c r="BB153" i="44"/>
  <c r="BB166" i="44"/>
  <c r="BB111" i="44"/>
  <c r="BC153" i="44"/>
  <c r="BC166" i="44"/>
  <c r="BC111" i="44"/>
  <c r="BD153" i="44"/>
  <c r="BD166" i="44"/>
  <c r="BD111" i="44"/>
  <c r="BE153" i="44"/>
  <c r="BE166" i="44"/>
  <c r="BE111" i="44"/>
  <c r="BF153" i="44"/>
  <c r="BF166" i="44"/>
  <c r="BF111" i="44"/>
  <c r="BG153" i="44"/>
  <c r="BG166" i="44"/>
  <c r="BG111" i="44"/>
  <c r="BH153" i="44"/>
  <c r="BH166" i="44"/>
  <c r="BH111" i="44"/>
  <c r="BI153" i="44"/>
  <c r="BI166" i="44"/>
  <c r="BI111" i="44"/>
  <c r="BJ153" i="44"/>
  <c r="BJ166" i="44"/>
  <c r="BJ111" i="44"/>
  <c r="BK153" i="44"/>
  <c r="BK166" i="44"/>
  <c r="BK111" i="44"/>
  <c r="BL153" i="44"/>
  <c r="BL166" i="44"/>
  <c r="BL111" i="44"/>
  <c r="BM153" i="44"/>
  <c r="BM166" i="44"/>
  <c r="BM111" i="44"/>
  <c r="BN153" i="44"/>
  <c r="BN166" i="44"/>
  <c r="BN111" i="44"/>
  <c r="BO153" i="44"/>
  <c r="BO166" i="44"/>
  <c r="BO111" i="44"/>
  <c r="BP153" i="44"/>
  <c r="BP166" i="44"/>
  <c r="BP111" i="44"/>
  <c r="BQ153" i="44"/>
  <c r="BQ166" i="44"/>
  <c r="BQ111" i="44"/>
  <c r="BR153" i="44"/>
  <c r="BR166" i="44"/>
  <c r="BR111" i="44"/>
  <c r="BS153" i="44"/>
  <c r="BS166" i="44"/>
  <c r="BS111" i="44"/>
  <c r="BT153" i="44"/>
  <c r="BT166" i="44"/>
  <c r="BT111" i="44"/>
  <c r="BU153" i="44"/>
  <c r="BU166" i="44"/>
  <c r="BU111" i="44"/>
  <c r="BV153" i="44"/>
  <c r="BV166" i="44"/>
  <c r="BV111" i="44"/>
  <c r="BW153" i="44"/>
  <c r="BW166" i="44"/>
  <c r="BW111" i="44"/>
  <c r="BX153" i="44"/>
  <c r="BX166" i="44"/>
  <c r="BX111" i="44"/>
  <c r="BY153" i="44"/>
  <c r="BY166" i="44"/>
  <c r="BY111" i="44"/>
  <c r="BZ153" i="44"/>
  <c r="BZ166" i="44"/>
  <c r="BZ111" i="44"/>
  <c r="CA153" i="44"/>
  <c r="CA166" i="44"/>
  <c r="CA111" i="44"/>
  <c r="CB153" i="44"/>
  <c r="CB166" i="44"/>
  <c r="CB111" i="44"/>
  <c r="CC153" i="44"/>
  <c r="CC166" i="44"/>
  <c r="CC111" i="44"/>
  <c r="CD153" i="44"/>
  <c r="CD166" i="44"/>
  <c r="CD111" i="44"/>
  <c r="CE153" i="44"/>
  <c r="CE166" i="44"/>
  <c r="CE111" i="44"/>
  <c r="CF153" i="44"/>
  <c r="CF166" i="44"/>
  <c r="CF111" i="44"/>
  <c r="CG153" i="44"/>
  <c r="CG166" i="44"/>
  <c r="CG111" i="44"/>
  <c r="CH153" i="44"/>
  <c r="CH166" i="44"/>
  <c r="CH111" i="44"/>
  <c r="CI153" i="44"/>
  <c r="CI166" i="44"/>
  <c r="CI111" i="44"/>
  <c r="CJ153" i="44"/>
  <c r="CJ166" i="44"/>
  <c r="CJ111" i="44"/>
  <c r="CK153" i="44"/>
  <c r="CK166" i="44"/>
  <c r="CK111" i="44"/>
  <c r="CL153" i="44"/>
  <c r="CL166" i="44"/>
  <c r="CL111" i="44"/>
  <c r="CM153" i="44"/>
  <c r="CM166" i="44"/>
  <c r="CM111" i="44"/>
  <c r="CN153" i="44"/>
  <c r="CN166" i="44"/>
  <c r="CN111" i="44"/>
  <c r="CO153" i="44"/>
  <c r="CO166" i="44"/>
  <c r="CO111" i="44"/>
  <c r="CP153" i="44"/>
  <c r="CP166" i="44"/>
  <c r="CP111" i="44"/>
  <c r="CQ153" i="44"/>
  <c r="CQ166" i="44"/>
  <c r="CQ111" i="44"/>
  <c r="CR153" i="44"/>
  <c r="CR166" i="44"/>
  <c r="CR111" i="44"/>
  <c r="CS153" i="44"/>
  <c r="CS166" i="44"/>
  <c r="CS111" i="44"/>
  <c r="CT153" i="44"/>
  <c r="CT166" i="44"/>
  <c r="CT111" i="44"/>
  <c r="CU153" i="44"/>
  <c r="CU166" i="44"/>
  <c r="CU111" i="44"/>
  <c r="CV153" i="44"/>
  <c r="CV166" i="44"/>
  <c r="CV111" i="44"/>
  <c r="CW153" i="44"/>
  <c r="CW166" i="44"/>
  <c r="CW111" i="44"/>
  <c r="CX153" i="44"/>
  <c r="CX166" i="44"/>
  <c r="CX111" i="44"/>
  <c r="CY153" i="44"/>
  <c r="CY166" i="44"/>
  <c r="CY111" i="44"/>
  <c r="CZ153" i="44"/>
  <c r="CZ166" i="44"/>
  <c r="CZ111" i="44"/>
  <c r="DA153" i="44"/>
  <c r="DA166" i="44"/>
  <c r="DA111" i="44"/>
  <c r="DB153" i="44"/>
  <c r="DB166" i="44"/>
  <c r="DB111" i="44"/>
  <c r="DC153" i="44"/>
  <c r="DC166" i="44"/>
  <c r="DC111" i="44"/>
  <c r="DD153" i="44"/>
  <c r="DD166" i="44"/>
  <c r="DD111" i="44"/>
  <c r="DE153" i="44"/>
  <c r="DE166" i="44"/>
  <c r="DE111" i="44"/>
  <c r="DF153" i="44"/>
  <c r="DF166" i="44"/>
  <c r="DF111" i="44"/>
  <c r="DG153" i="44"/>
  <c r="DG166" i="44"/>
  <c r="DG111" i="44"/>
  <c r="DH153" i="44"/>
  <c r="DH166" i="44"/>
  <c r="DH111" i="44"/>
  <c r="DI153" i="44"/>
  <c r="DI166" i="44"/>
  <c r="DI111" i="44"/>
  <c r="DJ153" i="44"/>
  <c r="DJ166" i="44"/>
  <c r="DJ111" i="44"/>
  <c r="DK153" i="44"/>
  <c r="DK166" i="44"/>
  <c r="DK111" i="44"/>
  <c r="DL153" i="44"/>
  <c r="DL166" i="44"/>
  <c r="DL111" i="44"/>
  <c r="DM153" i="44"/>
  <c r="DM166" i="44"/>
  <c r="DM111" i="44"/>
  <c r="DN153" i="44"/>
  <c r="DN166" i="44"/>
  <c r="DN111" i="44"/>
  <c r="DO153" i="44"/>
  <c r="DO166" i="44"/>
  <c r="DO111" i="44"/>
  <c r="DP153" i="44"/>
  <c r="DP166" i="44"/>
  <c r="DP111" i="44"/>
  <c r="DQ153" i="44"/>
  <c r="DQ166" i="44"/>
  <c r="DQ111" i="44"/>
  <c r="DR153" i="44"/>
  <c r="DR166" i="44"/>
  <c r="DR111" i="44"/>
  <c r="DS153" i="44"/>
  <c r="DS166" i="44"/>
  <c r="DS111" i="44"/>
  <c r="DT153" i="44"/>
  <c r="DT166" i="44"/>
  <c r="DT111" i="44"/>
  <c r="DU153" i="44"/>
  <c r="DU166" i="44"/>
  <c r="DU111" i="44"/>
  <c r="DV153" i="44"/>
  <c r="DV166" i="44"/>
  <c r="DV111" i="44"/>
  <c r="G157" i="44"/>
  <c r="G170" i="44"/>
  <c r="G115" i="44"/>
  <c r="BB157" i="44"/>
  <c r="BB170" i="44"/>
  <c r="BB115" i="44"/>
  <c r="BC157" i="44"/>
  <c r="BC170" i="44"/>
  <c r="BC115" i="44"/>
  <c r="BD157" i="44"/>
  <c r="BD170" i="44"/>
  <c r="BD115" i="44"/>
  <c r="BE157" i="44"/>
  <c r="BE170" i="44"/>
  <c r="BE115" i="44"/>
  <c r="BF157" i="44"/>
  <c r="BF170" i="44"/>
  <c r="BF115" i="44"/>
  <c r="BG157" i="44"/>
  <c r="BG170" i="44"/>
  <c r="BG115" i="44"/>
  <c r="BH157" i="44"/>
  <c r="BH170" i="44"/>
  <c r="BH115" i="44"/>
  <c r="BI157" i="44"/>
  <c r="BI170" i="44"/>
  <c r="BI115" i="44"/>
  <c r="BJ157" i="44"/>
  <c r="BJ170" i="44"/>
  <c r="BJ115" i="44"/>
  <c r="BK157" i="44"/>
  <c r="BK170" i="44"/>
  <c r="BK115" i="44"/>
  <c r="BL157" i="44"/>
  <c r="BL170" i="44"/>
  <c r="BL115" i="44"/>
  <c r="BM157" i="44"/>
  <c r="BM170" i="44"/>
  <c r="BM115" i="44"/>
  <c r="BN157" i="44"/>
  <c r="BN170" i="44"/>
  <c r="BN115" i="44"/>
  <c r="BO157" i="44"/>
  <c r="BO170" i="44"/>
  <c r="BO115" i="44"/>
  <c r="BP157" i="44"/>
  <c r="BP170" i="44"/>
  <c r="BP115" i="44"/>
  <c r="BQ157" i="44"/>
  <c r="BQ170" i="44"/>
  <c r="BQ115" i="44"/>
  <c r="BR157" i="44"/>
  <c r="BR170" i="44"/>
  <c r="BR115" i="44"/>
  <c r="BS157" i="44"/>
  <c r="BS170" i="44"/>
  <c r="BS115" i="44"/>
  <c r="BT157" i="44"/>
  <c r="BT170" i="44"/>
  <c r="BT115" i="44"/>
  <c r="BU157" i="44"/>
  <c r="BU170" i="44"/>
  <c r="BU115" i="44"/>
  <c r="BV157" i="44"/>
  <c r="BV170" i="44"/>
  <c r="BV115" i="44"/>
  <c r="BW157" i="44"/>
  <c r="BW170" i="44"/>
  <c r="BW115" i="44"/>
  <c r="BX157" i="44"/>
  <c r="BX170" i="44"/>
  <c r="BX115" i="44"/>
  <c r="BY157" i="44"/>
  <c r="BY170" i="44"/>
  <c r="BY115" i="44"/>
  <c r="BZ157" i="44"/>
  <c r="BZ170" i="44"/>
  <c r="BZ115" i="44"/>
  <c r="CA157" i="44"/>
  <c r="CA170" i="44"/>
  <c r="CA115" i="44"/>
  <c r="CB157" i="44"/>
  <c r="CB170" i="44"/>
  <c r="CB115" i="44"/>
  <c r="CC157" i="44"/>
  <c r="CC170" i="44"/>
  <c r="CC115" i="44"/>
  <c r="CD157" i="44"/>
  <c r="CD170" i="44"/>
  <c r="CD115" i="44"/>
  <c r="CE157" i="44"/>
  <c r="CE170" i="44"/>
  <c r="CE115" i="44"/>
  <c r="CF157" i="44"/>
  <c r="CF170" i="44"/>
  <c r="CF115" i="44"/>
  <c r="CG157" i="44"/>
  <c r="CG170" i="44"/>
  <c r="CG115" i="44"/>
  <c r="CH157" i="44"/>
  <c r="CH170" i="44"/>
  <c r="CH115" i="44"/>
  <c r="CI157" i="44"/>
  <c r="CI170" i="44"/>
  <c r="CI115" i="44"/>
  <c r="CJ157" i="44"/>
  <c r="CJ170" i="44"/>
  <c r="CJ115" i="44"/>
  <c r="CK157" i="44"/>
  <c r="CK170" i="44"/>
  <c r="CK115" i="44"/>
  <c r="CL157" i="44"/>
  <c r="CL170" i="44"/>
  <c r="CL115" i="44"/>
  <c r="CM157" i="44"/>
  <c r="CM170" i="44"/>
  <c r="CM115" i="44"/>
  <c r="CN157" i="44"/>
  <c r="CN170" i="44"/>
  <c r="CN115" i="44"/>
  <c r="CO157" i="44"/>
  <c r="CO170" i="44"/>
  <c r="CO115" i="44"/>
  <c r="CP157" i="44"/>
  <c r="CP170" i="44"/>
  <c r="CP115" i="44"/>
  <c r="CQ157" i="44"/>
  <c r="CQ170" i="44"/>
  <c r="CQ115" i="44"/>
  <c r="CR157" i="44"/>
  <c r="CR170" i="44"/>
  <c r="CR115" i="44"/>
  <c r="CS157" i="44"/>
  <c r="CS170" i="44"/>
  <c r="CS115" i="44"/>
  <c r="CT157" i="44"/>
  <c r="CT170" i="44"/>
  <c r="CT115" i="44"/>
  <c r="CU157" i="44"/>
  <c r="CU170" i="44"/>
  <c r="CU115" i="44"/>
  <c r="CV157" i="44"/>
  <c r="CV170" i="44"/>
  <c r="CV115" i="44"/>
  <c r="CW157" i="44"/>
  <c r="CW170" i="44"/>
  <c r="CW115" i="44"/>
  <c r="CX157" i="44"/>
  <c r="CX170" i="44"/>
  <c r="CX115" i="44"/>
  <c r="CY157" i="44"/>
  <c r="CY170" i="44"/>
  <c r="CY115" i="44"/>
  <c r="CZ157" i="44"/>
  <c r="CZ170" i="44"/>
  <c r="CZ115" i="44"/>
  <c r="DA157" i="44"/>
  <c r="DA170" i="44"/>
  <c r="DA115" i="44"/>
  <c r="DB157" i="44"/>
  <c r="DB170" i="44"/>
  <c r="DB115" i="44"/>
  <c r="DC157" i="44"/>
  <c r="DC170" i="44"/>
  <c r="DC115" i="44"/>
  <c r="DD157" i="44"/>
  <c r="DD170" i="44"/>
  <c r="DD115" i="44"/>
  <c r="DE157" i="44"/>
  <c r="DE170" i="44"/>
  <c r="DE115" i="44"/>
  <c r="DF157" i="44"/>
  <c r="DF170" i="44"/>
  <c r="DF115" i="44"/>
  <c r="DG157" i="44"/>
  <c r="DG170" i="44"/>
  <c r="DG115" i="44"/>
  <c r="DH157" i="44"/>
  <c r="DH170" i="44"/>
  <c r="DH115" i="44"/>
  <c r="DI157" i="44"/>
  <c r="DI170" i="44"/>
  <c r="DI115" i="44"/>
  <c r="DJ157" i="44"/>
  <c r="DJ170" i="44"/>
  <c r="DJ115" i="44"/>
  <c r="DK157" i="44"/>
  <c r="DK170" i="44"/>
  <c r="DK115" i="44"/>
  <c r="DL157" i="44"/>
  <c r="DL170" i="44"/>
  <c r="DL115" i="44"/>
  <c r="DM157" i="44"/>
  <c r="DM170" i="44"/>
  <c r="DM115" i="44"/>
  <c r="DN157" i="44"/>
  <c r="DN170" i="44"/>
  <c r="DN115" i="44"/>
  <c r="DO157" i="44"/>
  <c r="DO170" i="44"/>
  <c r="DO115" i="44"/>
  <c r="DP157" i="44"/>
  <c r="DP170" i="44"/>
  <c r="DP115" i="44"/>
  <c r="DQ157" i="44"/>
  <c r="DQ170" i="44"/>
  <c r="DQ115" i="44"/>
  <c r="DR157" i="44"/>
  <c r="DR170" i="44"/>
  <c r="DR115" i="44"/>
  <c r="DS157" i="44"/>
  <c r="DS170" i="44"/>
  <c r="DS115" i="44"/>
  <c r="DT157" i="44"/>
  <c r="DT170" i="44"/>
  <c r="DT115" i="44"/>
  <c r="DU157" i="44"/>
  <c r="DU170" i="44"/>
  <c r="DU115" i="44"/>
  <c r="DV157" i="44"/>
  <c r="DV170" i="44"/>
  <c r="DV115" i="44"/>
  <c r="H201" i="44" a="1"/>
  <c r="H194" i="44" a="1"/>
  <c r="H192" i="44" a="1"/>
  <c r="H197" i="44" a="1"/>
  <c r="G199" i="44" a="1"/>
  <c r="G195" i="44" a="1"/>
  <c r="G196" i="44" a="1"/>
  <c r="G197" i="44" a="1"/>
  <c r="G193" i="44" a="1"/>
  <c r="H156" i="44"/>
  <c r="H157" i="44"/>
  <c r="H153" i="44"/>
  <c r="H155" i="44"/>
  <c r="H159" i="44"/>
  <c r="G198" i="44" a="1"/>
  <c r="H200" i="44" a="1"/>
  <c r="G192" i="44" a="1"/>
  <c r="G194" i="44" a="1"/>
  <c r="I158" i="44"/>
  <c r="H162" i="44"/>
  <c r="H160" i="44"/>
  <c r="H154" i="44"/>
  <c r="H161" i="44"/>
  <c r="G201" i="44" a="1"/>
  <c r="G200" i="44" a="1"/>
  <c r="I197" i="44" a="1"/>
  <c r="H198" i="44" a="1"/>
  <c r="H195" i="44" a="1"/>
  <c r="I192" i="44" a="1"/>
  <c r="H196" i="44" a="1"/>
  <c r="I200" i="44" a="1"/>
  <c r="H174" i="44"/>
  <c r="I161" i="44"/>
  <c r="H173" i="44"/>
  <c r="H118" i="44"/>
  <c r="I160" i="44"/>
  <c r="H172" i="44"/>
  <c r="H117" i="44"/>
  <c r="I159" i="44"/>
  <c r="H199" i="44" a="1"/>
  <c r="H167" i="44"/>
  <c r="H112" i="44"/>
  <c r="I154" i="44"/>
  <c r="H175" i="44"/>
  <c r="I162" i="44"/>
  <c r="H168" i="44"/>
  <c r="H113" i="44"/>
  <c r="I155" i="44"/>
  <c r="I171" i="44"/>
  <c r="I116" i="44"/>
  <c r="J158" i="44"/>
  <c r="H166" i="44"/>
  <c r="H111" i="44"/>
  <c r="I153" i="44"/>
  <c r="I201" i="44" a="1"/>
  <c r="H170" i="44"/>
  <c r="H115" i="44"/>
  <c r="I157" i="44"/>
  <c r="I194" i="44" a="1"/>
  <c r="H193" i="44" a="1"/>
  <c r="H169" i="44"/>
  <c r="H114" i="44"/>
  <c r="I156" i="44"/>
  <c r="I167" i="44"/>
  <c r="I112" i="44"/>
  <c r="J154" i="44"/>
  <c r="I172" i="44"/>
  <c r="I117" i="44"/>
  <c r="J159" i="44"/>
  <c r="J200" i="44" a="1"/>
  <c r="I193" i="44" a="1"/>
  <c r="I199" i="44" a="1"/>
  <c r="I173" i="44"/>
  <c r="I118" i="44"/>
  <c r="J160" i="44"/>
  <c r="J192" i="44" a="1"/>
  <c r="J197" i="44" a="1"/>
  <c r="I166" i="44"/>
  <c r="I111" i="44"/>
  <c r="J153" i="44"/>
  <c r="I170" i="44"/>
  <c r="I115" i="44"/>
  <c r="J157" i="44"/>
  <c r="I168" i="44"/>
  <c r="I113" i="44"/>
  <c r="J155" i="44"/>
  <c r="I174" i="44"/>
  <c r="J161" i="44"/>
  <c r="J194" i="44" a="1"/>
  <c r="I195" i="44" a="1"/>
  <c r="I196" i="44" a="1"/>
  <c r="I198" i="44" a="1"/>
  <c r="I169" i="44"/>
  <c r="I114" i="44"/>
  <c r="J156" i="44"/>
  <c r="J201" i="44" a="1"/>
  <c r="J171" i="44"/>
  <c r="J116" i="44"/>
  <c r="K158" i="44"/>
  <c r="I175" i="44"/>
  <c r="J162" i="44"/>
  <c r="J175" i="44"/>
  <c r="K162" i="44"/>
  <c r="J199" i="44" a="1"/>
  <c r="J173" i="44"/>
  <c r="J118" i="44"/>
  <c r="K160" i="44"/>
  <c r="J169" i="44"/>
  <c r="J114" i="44"/>
  <c r="K156" i="44"/>
  <c r="J196" i="44" a="1"/>
  <c r="J174" i="44"/>
  <c r="K161" i="44"/>
  <c r="K192" i="44" a="1"/>
  <c r="J167" i="44"/>
  <c r="J112" i="44"/>
  <c r="K154" i="44"/>
  <c r="K171" i="44"/>
  <c r="K116" i="44"/>
  <c r="L158" i="44"/>
  <c r="J166" i="44"/>
  <c r="J111" i="44"/>
  <c r="K153" i="44"/>
  <c r="J170" i="44"/>
  <c r="J115" i="44"/>
  <c r="K157" i="44"/>
  <c r="J168" i="44"/>
  <c r="J113" i="44"/>
  <c r="K155" i="44"/>
  <c r="J195" i="44" a="1"/>
  <c r="K200" i="44" a="1"/>
  <c r="J198" i="44" a="1"/>
  <c r="K201" i="44" a="1"/>
  <c r="K197" i="44" a="1"/>
  <c r="J172" i="44"/>
  <c r="J117" i="44"/>
  <c r="K159" i="44"/>
  <c r="K194" i="44" a="1"/>
  <c r="J193" i="44" a="1"/>
  <c r="K172" i="44"/>
  <c r="K117" i="44"/>
  <c r="L159" i="44"/>
  <c r="K195" i="44" a="1"/>
  <c r="K169" i="44"/>
  <c r="K114" i="44"/>
  <c r="L156" i="44"/>
  <c r="L201" i="44" a="1"/>
  <c r="L153" i="44"/>
  <c r="K174" i="44"/>
  <c r="L161" i="44"/>
  <c r="K175" i="44"/>
  <c r="L162" i="44"/>
  <c r="L194" i="44" a="1"/>
  <c r="K168" i="44"/>
  <c r="K113" i="44"/>
  <c r="L155" i="44"/>
  <c r="K173" i="44"/>
  <c r="K118" i="44"/>
  <c r="L160" i="44"/>
  <c r="L200" i="44" a="1"/>
  <c r="L171" i="44"/>
  <c r="L116" i="44"/>
  <c r="M158" i="44"/>
  <c r="K196" i="44" a="1"/>
  <c r="L197" i="44" a="1"/>
  <c r="K170" i="44"/>
  <c r="K115" i="44"/>
  <c r="L157" i="44"/>
  <c r="L192" i="44" a="1"/>
  <c r="K199" i="44" a="1"/>
  <c r="K198" i="44" a="1"/>
  <c r="K193" i="44" a="1"/>
  <c r="K167" i="44"/>
  <c r="K112" i="44"/>
  <c r="L154" i="44"/>
  <c r="M153" i="44"/>
  <c r="L169" i="44"/>
  <c r="L114" i="44"/>
  <c r="M156" i="44"/>
  <c r="L199" i="44" a="1"/>
  <c r="L173" i="44"/>
  <c r="L118" i="44"/>
  <c r="M160" i="44"/>
  <c r="L198" i="44" a="1"/>
  <c r="M171" i="44"/>
  <c r="M116" i="44"/>
  <c r="N158" i="44"/>
  <c r="M201" i="44" a="1"/>
  <c r="L195" i="44" a="1"/>
  <c r="M197" i="44" a="1"/>
  <c r="M192" i="44" a="1"/>
  <c r="L196" i="44" a="1"/>
  <c r="M200" i="44" a="1"/>
  <c r="L168" i="44"/>
  <c r="L113" i="44"/>
  <c r="M155" i="44"/>
  <c r="L175" i="44"/>
  <c r="M162" i="44"/>
  <c r="L172" i="44"/>
  <c r="L117" i="44"/>
  <c r="M159" i="44"/>
  <c r="L167" i="44"/>
  <c r="L112" i="44"/>
  <c r="M154" i="44"/>
  <c r="L193" i="44" a="1"/>
  <c r="L170" i="44"/>
  <c r="L115" i="44"/>
  <c r="M157" i="44"/>
  <c r="M194" i="44" a="1"/>
  <c r="L174" i="44"/>
  <c r="M161" i="44"/>
  <c r="M168" i="44"/>
  <c r="M113" i="44"/>
  <c r="N155" i="44"/>
  <c r="M195" i="44" a="1"/>
  <c r="M174" i="44"/>
  <c r="N161" i="44"/>
  <c r="M170" i="44"/>
  <c r="M115" i="44"/>
  <c r="N157" i="44"/>
  <c r="N197" i="44" a="1"/>
  <c r="N194" i="44" a="1"/>
  <c r="M172" i="44"/>
  <c r="M117" i="44"/>
  <c r="N159" i="44"/>
  <c r="N192" i="44" a="1"/>
  <c r="M169" i="44"/>
  <c r="M114" i="44"/>
  <c r="N156" i="44"/>
  <c r="M193" i="44" a="1"/>
  <c r="N201" i="44" a="1"/>
  <c r="M173" i="44"/>
  <c r="M118" i="44"/>
  <c r="N160" i="44"/>
  <c r="N200" i="44" a="1"/>
  <c r="M175" i="44"/>
  <c r="N162" i="44"/>
  <c r="N153" i="44"/>
  <c r="M167" i="44"/>
  <c r="M112" i="44"/>
  <c r="N154" i="44"/>
  <c r="N171" i="44"/>
  <c r="N116" i="44"/>
  <c r="O158" i="44"/>
  <c r="M196" i="44" a="1"/>
  <c r="M198" i="44" a="1"/>
  <c r="M199" i="44" a="1"/>
  <c r="N198" i="44" a="1"/>
  <c r="N170" i="44"/>
  <c r="N115" i="44"/>
  <c r="O157" i="44"/>
  <c r="O200" i="44" a="1"/>
  <c r="O153" i="44"/>
  <c r="N172" i="44"/>
  <c r="N117" i="44"/>
  <c r="O159" i="44"/>
  <c r="N174" i="44"/>
  <c r="O161" i="44"/>
  <c r="N199" i="44" a="1"/>
  <c r="N169" i="44"/>
  <c r="N114" i="44"/>
  <c r="O156" i="44"/>
  <c r="O197" i="44" a="1"/>
  <c r="N168" i="44"/>
  <c r="N113" i="44"/>
  <c r="O155" i="44"/>
  <c r="N196" i="44" a="1"/>
  <c r="O192" i="44" a="1"/>
  <c r="O194" i="44" a="1"/>
  <c r="N167" i="44"/>
  <c r="N112" i="44"/>
  <c r="O154" i="44"/>
  <c r="O201" i="44" a="1"/>
  <c r="O171" i="44"/>
  <c r="O116" i="44"/>
  <c r="P158" i="44"/>
  <c r="N173" i="44"/>
  <c r="N118" i="44"/>
  <c r="O160" i="44"/>
  <c r="N193" i="44" a="1"/>
  <c r="N195" i="44" a="1"/>
  <c r="N175" i="44"/>
  <c r="O162" i="44"/>
  <c r="O196" i="44" a="1"/>
  <c r="P153" i="44"/>
  <c r="O172" i="44"/>
  <c r="O117" i="44"/>
  <c r="P159" i="44"/>
  <c r="O198" i="44" a="1"/>
  <c r="O199" i="44" a="1"/>
  <c r="O175" i="44"/>
  <c r="P162" i="44"/>
  <c r="O173" i="44"/>
  <c r="O118" i="44"/>
  <c r="P160" i="44"/>
  <c r="P192" i="44" a="1"/>
  <c r="P200" i="44" a="1"/>
  <c r="P154" i="44"/>
  <c r="O169" i="44"/>
  <c r="O114" i="44"/>
  <c r="P156" i="44"/>
  <c r="P197" i="44" a="1"/>
  <c r="O195" i="44" a="1"/>
  <c r="P171" i="44"/>
  <c r="P116" i="44"/>
  <c r="Q158" i="44"/>
  <c r="O168" i="44"/>
  <c r="O113" i="44"/>
  <c r="P155" i="44"/>
  <c r="O174" i="44"/>
  <c r="P161" i="44"/>
  <c r="P201" i="44" a="1"/>
  <c r="O170" i="44"/>
  <c r="O115" i="44"/>
  <c r="P157" i="44"/>
  <c r="O193" i="44" a="1"/>
  <c r="P194" i="44" a="1"/>
  <c r="P199" i="44" a="1"/>
  <c r="Q153" i="44"/>
  <c r="Q192" i="44" a="1"/>
  <c r="Q200" i="44" a="1"/>
  <c r="P196" i="44" a="1"/>
  <c r="P174" i="44"/>
  <c r="Q161" i="44"/>
  <c r="P169" i="44"/>
  <c r="P114" i="44"/>
  <c r="Q156" i="44"/>
  <c r="Q201" i="44" a="1"/>
  <c r="P193" i="44" a="1"/>
  <c r="Q197" i="44" a="1"/>
  <c r="P170" i="44"/>
  <c r="P115" i="44"/>
  <c r="Q157" i="44"/>
  <c r="Q171" i="44"/>
  <c r="Q116" i="44"/>
  <c r="R158" i="44"/>
  <c r="Q154" i="44"/>
  <c r="P173" i="44"/>
  <c r="P118" i="44"/>
  <c r="Q160" i="44"/>
  <c r="P172" i="44"/>
  <c r="P117" i="44"/>
  <c r="Q159" i="44"/>
  <c r="P198" i="44" a="1"/>
  <c r="Q155" i="44"/>
  <c r="Q194" i="44" a="1"/>
  <c r="P195" i="44" a="1"/>
  <c r="P175" i="44"/>
  <c r="Q162" i="44"/>
  <c r="Q172" i="44"/>
  <c r="Q117" i="44"/>
  <c r="R159" i="44"/>
  <c r="Q170" i="44"/>
  <c r="Q115" i="44"/>
  <c r="R157" i="44"/>
  <c r="Q199" i="44" a="1"/>
  <c r="R194" i="44" a="1"/>
  <c r="Q196" i="44" a="1"/>
  <c r="Q173" i="44"/>
  <c r="Q118" i="44"/>
  <c r="R160" i="44"/>
  <c r="R197" i="44" a="1"/>
  <c r="Q175" i="44"/>
  <c r="R162" i="44"/>
  <c r="Q193" i="44" a="1"/>
  <c r="Q198" i="44" a="1"/>
  <c r="Q169" i="44"/>
  <c r="Q114" i="44"/>
  <c r="R156" i="44"/>
  <c r="R192" i="44" a="1"/>
  <c r="Q195" i="44" a="1"/>
  <c r="R155" i="44"/>
  <c r="R154" i="44"/>
  <c r="Q174" i="44"/>
  <c r="R161" i="44"/>
  <c r="R200" i="44" a="1"/>
  <c r="R153" i="44"/>
  <c r="R171" i="44"/>
  <c r="R116" i="44"/>
  <c r="S158" i="44"/>
  <c r="R201" i="44" a="1"/>
  <c r="R195" i="44" a="1"/>
  <c r="S197" i="44" a="1"/>
  <c r="R193" i="44" a="1"/>
  <c r="R170" i="44"/>
  <c r="R115" i="44"/>
  <c r="S157" i="44"/>
  <c r="S171" i="44"/>
  <c r="S116" i="44"/>
  <c r="T158" i="44"/>
  <c r="R169" i="44"/>
  <c r="R114" i="44"/>
  <c r="S156" i="44"/>
  <c r="R172" i="44"/>
  <c r="R117" i="44"/>
  <c r="S159" i="44"/>
  <c r="R196" i="44" a="1"/>
  <c r="S153" i="44"/>
  <c r="R174" i="44"/>
  <c r="S161" i="44"/>
  <c r="S154" i="44"/>
  <c r="R198" i="44" a="1"/>
  <c r="R199" i="44" a="1"/>
  <c r="S200" i="44" a="1"/>
  <c r="S201" i="44" a="1"/>
  <c r="S192" i="44" a="1"/>
  <c r="R173" i="44"/>
  <c r="R118" i="44"/>
  <c r="S160" i="44"/>
  <c r="S155" i="44"/>
  <c r="R175" i="44"/>
  <c r="S162" i="44"/>
  <c r="S194" i="44" a="1"/>
  <c r="T153" i="44"/>
  <c r="S174" i="44"/>
  <c r="T161" i="44"/>
  <c r="T171" i="44"/>
  <c r="T116" i="44"/>
  <c r="U158" i="44"/>
  <c r="S198" i="44" a="1"/>
  <c r="S172" i="44"/>
  <c r="S117" i="44"/>
  <c r="T159" i="44"/>
  <c r="T197" i="44" a="1"/>
  <c r="S173" i="44"/>
  <c r="S118" i="44"/>
  <c r="T160" i="44"/>
  <c r="T194" i="44" a="1"/>
  <c r="S170" i="44"/>
  <c r="S115" i="44"/>
  <c r="T157" i="44"/>
  <c r="T192" i="44" a="1"/>
  <c r="S199" i="44" a="1"/>
  <c r="S196" i="44" a="1"/>
  <c r="S169" i="44"/>
  <c r="S114" i="44"/>
  <c r="T156" i="44"/>
  <c r="S193" i="44" a="1"/>
  <c r="T155" i="44"/>
  <c r="T154" i="44"/>
  <c r="T201" i="44" a="1"/>
  <c r="S175" i="44"/>
  <c r="T162" i="44"/>
  <c r="T200" i="44" a="1"/>
  <c r="S195" i="44" a="1"/>
  <c r="U155" i="44"/>
  <c r="T172" i="44"/>
  <c r="T117" i="44"/>
  <c r="U159" i="44"/>
  <c r="T196" i="44" a="1"/>
  <c r="T170" i="44"/>
  <c r="T115" i="44"/>
  <c r="U157" i="44"/>
  <c r="T173" i="44"/>
  <c r="T118" i="44"/>
  <c r="U160" i="44"/>
  <c r="T174" i="44"/>
  <c r="U161" i="44"/>
  <c r="T169" i="44"/>
  <c r="T114" i="44"/>
  <c r="U156" i="44"/>
  <c r="U171" i="44"/>
  <c r="U116" i="44"/>
  <c r="V158" i="44"/>
  <c r="T175" i="44"/>
  <c r="U162" i="44"/>
  <c r="T193" i="44" a="1"/>
  <c r="T198" i="44" a="1"/>
  <c r="T195" i="44" a="1"/>
  <c r="U200" i="44" a="1"/>
  <c r="U154" i="44"/>
  <c r="U192" i="44" a="1"/>
  <c r="U194" i="44" a="1"/>
  <c r="U197" i="44" a="1"/>
  <c r="U153" i="44"/>
  <c r="T199" i="44" a="1"/>
  <c r="U201" i="44" a="1"/>
  <c r="V201" i="44" a="1"/>
  <c r="V194" i="44" a="1"/>
  <c r="V156" i="44"/>
  <c r="U196" i="44" a="1"/>
  <c r="V153" i="44"/>
  <c r="U195" i="44" a="1"/>
  <c r="U175" i="44"/>
  <c r="V162" i="44"/>
  <c r="U172" i="44"/>
  <c r="U117" i="44"/>
  <c r="V159" i="44"/>
  <c r="U198" i="44" a="1"/>
  <c r="V154" i="44"/>
  <c r="U174" i="44"/>
  <c r="V161" i="44"/>
  <c r="V197" i="44" a="1"/>
  <c r="U199" i="44" a="1"/>
  <c r="V200" i="44" a="1"/>
  <c r="U193" i="44" a="1"/>
  <c r="U173" i="44"/>
  <c r="U118" i="44"/>
  <c r="V160" i="44"/>
  <c r="V155" i="44"/>
  <c r="V192" i="44" a="1"/>
  <c r="V171" i="44"/>
  <c r="V116" i="44"/>
  <c r="W158" i="44"/>
  <c r="U170" i="44"/>
  <c r="U115" i="44"/>
  <c r="V157" i="44"/>
  <c r="W192" i="44" a="1"/>
  <c r="V193" i="44" a="1"/>
  <c r="V175" i="44"/>
  <c r="W162" i="44"/>
  <c r="W153" i="44"/>
  <c r="W201" i="44" a="1"/>
  <c r="V170" i="44"/>
  <c r="V115" i="44"/>
  <c r="W157" i="44"/>
  <c r="W197" i="44" a="1"/>
  <c r="V199" i="44" a="1"/>
  <c r="V196" i="44" a="1"/>
  <c r="W194" i="44" a="1"/>
  <c r="V198" i="44" a="1"/>
  <c r="V195" i="44" a="1"/>
  <c r="W156" i="44"/>
  <c r="W171" i="44"/>
  <c r="W116" i="44"/>
  <c r="X158" i="44"/>
  <c r="W155" i="44"/>
  <c r="V174" i="44"/>
  <c r="W161" i="44"/>
  <c r="W200" i="44" a="1"/>
  <c r="V173" i="44"/>
  <c r="V118" i="44"/>
  <c r="W160" i="44"/>
  <c r="W154" i="44"/>
  <c r="V172" i="44"/>
  <c r="V117" i="44"/>
  <c r="W159" i="44"/>
  <c r="X154" i="44"/>
  <c r="X155" i="44"/>
  <c r="X171" i="44"/>
  <c r="X116" i="44"/>
  <c r="Y158" i="44"/>
  <c r="X194" i="44" a="1"/>
  <c r="W170" i="44"/>
  <c r="W115" i="44"/>
  <c r="X157" i="44"/>
  <c r="X192" i="44" a="1"/>
  <c r="W172" i="44"/>
  <c r="W117" i="44"/>
  <c r="X159" i="44"/>
  <c r="X200" i="44" a="1"/>
  <c r="W198" i="44" a="1"/>
  <c r="W175" i="44"/>
  <c r="X162" i="44"/>
  <c r="W174" i="44"/>
  <c r="X161" i="44"/>
  <c r="W173" i="44"/>
  <c r="W118" i="44"/>
  <c r="X160" i="44"/>
  <c r="X156" i="44"/>
  <c r="X197" i="44" a="1"/>
  <c r="X201" i="44" a="1"/>
  <c r="X153" i="44"/>
  <c r="W199" i="44" a="1"/>
  <c r="W193" i="44" a="1"/>
  <c r="W195" i="44" a="1"/>
  <c r="W196" i="44" a="1"/>
  <c r="Y153" i="44"/>
  <c r="X174" i="44"/>
  <c r="Y161" i="44"/>
  <c r="Y155" i="44"/>
  <c r="Y201" i="44" a="1"/>
  <c r="Y192" i="44" a="1"/>
  <c r="Y194" i="44" a="1"/>
  <c r="X173" i="44"/>
  <c r="X118" i="44"/>
  <c r="Y160" i="44"/>
  <c r="Y171" i="44"/>
  <c r="Y116" i="44"/>
  <c r="Z158" i="44"/>
  <c r="X199" i="44" a="1"/>
  <c r="X196" i="44" a="1"/>
  <c r="Y200" i="44" a="1"/>
  <c r="Y154" i="44"/>
  <c r="X172" i="44"/>
  <c r="X117" i="44"/>
  <c r="Y159" i="44"/>
  <c r="Y156" i="44"/>
  <c r="X175" i="44"/>
  <c r="Y162" i="44"/>
  <c r="Y197" i="44" a="1"/>
  <c r="X195" i="44" a="1"/>
  <c r="X193" i="44" a="1"/>
  <c r="Y157" i="44"/>
  <c r="X198" i="44" a="1"/>
  <c r="Z153" i="44"/>
  <c r="Z157" i="44"/>
  <c r="Y195" i="44" a="1"/>
  <c r="Y173" i="44"/>
  <c r="Y118" i="44"/>
  <c r="Z160" i="44"/>
  <c r="Z154" i="44"/>
  <c r="Y196" i="44" a="1"/>
  <c r="Z155" i="44"/>
  <c r="Z194" i="44" a="1"/>
  <c r="Y172" i="44"/>
  <c r="Y117" i="44"/>
  <c r="Z159" i="44"/>
  <c r="Y198" i="44" a="1"/>
  <c r="Y193" i="44" a="1"/>
  <c r="Y175" i="44"/>
  <c r="Z162" i="44"/>
  <c r="Y174" i="44"/>
  <c r="Z161" i="44"/>
  <c r="Z200" i="44" a="1"/>
  <c r="Z201" i="44" a="1"/>
  <c r="Z197" i="44" a="1"/>
  <c r="Z156" i="44"/>
  <c r="Y199" i="44" a="1"/>
  <c r="Z171" i="44"/>
  <c r="Z116" i="44"/>
  <c r="AA158" i="44"/>
  <c r="AA154" i="44"/>
  <c r="Z166" i="44"/>
  <c r="Z111" i="44"/>
  <c r="AA153" i="44"/>
  <c r="AA200" i="44" a="1"/>
  <c r="Z196" i="44" a="1"/>
  <c r="AA157" i="44"/>
  <c r="Z193" i="44" a="1"/>
  <c r="Z173" i="44"/>
  <c r="Z118" i="44"/>
  <c r="AA160" i="44"/>
  <c r="Z199" i="44" a="1"/>
  <c r="AA156" i="44"/>
  <c r="AA201" i="44" a="1"/>
  <c r="Z172" i="44"/>
  <c r="Z117" i="44"/>
  <c r="AA159" i="44"/>
  <c r="Z195" i="44" a="1"/>
  <c r="Z175" i="44"/>
  <c r="AA162" i="44"/>
  <c r="AA194" i="44" a="1"/>
  <c r="AA171" i="44"/>
  <c r="AA116" i="44"/>
  <c r="AB158" i="44"/>
  <c r="AA197" i="44" a="1"/>
  <c r="Z174" i="44"/>
  <c r="AA161" i="44"/>
  <c r="AA155" i="44"/>
  <c r="Z198" i="44" a="1"/>
  <c r="AA166" i="44"/>
  <c r="AA111" i="44"/>
  <c r="AB153" i="44"/>
  <c r="AA167" i="44"/>
  <c r="AA112" i="44"/>
  <c r="AB154" i="44"/>
  <c r="AC158" i="44"/>
  <c r="AA199" i="44" a="1"/>
  <c r="AA198" i="44" a="1"/>
  <c r="AB201" i="44" a="1"/>
  <c r="AA196" i="44" a="1"/>
  <c r="AA174" i="44"/>
  <c r="AB161" i="44"/>
  <c r="AB197" i="44" a="1"/>
  <c r="AB194" i="44" a="1"/>
  <c r="AA195" i="44" a="1"/>
  <c r="AB155" i="44"/>
  <c r="AA175" i="44"/>
  <c r="AB162" i="44"/>
  <c r="AA173" i="44"/>
  <c r="AA118" i="44"/>
  <c r="AB160" i="44"/>
  <c r="AA172" i="44"/>
  <c r="AA117" i="44"/>
  <c r="AB159" i="44"/>
  <c r="AB156" i="44"/>
  <c r="AB200" i="44" a="1"/>
  <c r="AB157" i="44"/>
  <c r="AB167" i="44"/>
  <c r="AB112" i="44"/>
  <c r="AC154" i="44"/>
  <c r="AB166" i="44"/>
  <c r="AB111" i="44"/>
  <c r="AC153" i="44"/>
  <c r="AC197" i="44" a="1"/>
  <c r="AB199" i="44" a="1"/>
  <c r="AC156" i="44"/>
  <c r="AB175" i="44"/>
  <c r="AC162" i="44"/>
  <c r="AD158" i="44"/>
  <c r="AB173" i="44"/>
  <c r="AB118" i="44"/>
  <c r="AC160" i="44"/>
  <c r="AC200" i="44" a="1"/>
  <c r="AC194" i="44" a="1"/>
  <c r="AB198" i="44" a="1"/>
  <c r="AB172" i="44"/>
  <c r="AB117" i="44"/>
  <c r="AC159" i="44"/>
  <c r="AC155" i="44"/>
  <c r="AC201" i="44" a="1"/>
  <c r="AB195" i="44" a="1"/>
  <c r="AC157" i="44"/>
  <c r="AB196" i="44" a="1"/>
  <c r="AB174" i="44"/>
  <c r="AC161" i="44"/>
  <c r="AC166" i="44"/>
  <c r="AC111" i="44"/>
  <c r="AD153" i="44"/>
  <c r="AC167" i="44"/>
  <c r="AC112" i="44"/>
  <c r="AD154" i="44"/>
  <c r="AD157" i="44"/>
  <c r="AC199" i="44" a="1"/>
  <c r="AC172" i="44"/>
  <c r="AC117" i="44"/>
  <c r="AD159" i="44"/>
  <c r="AC195" i="44" a="1"/>
  <c r="AC198" i="44" a="1"/>
  <c r="AC173" i="44"/>
  <c r="AC118" i="44"/>
  <c r="AD160" i="44"/>
  <c r="AC196" i="44" a="1"/>
  <c r="AD201" i="44" a="1"/>
  <c r="AE158" i="44"/>
  <c r="AC175" i="44"/>
  <c r="AD162" i="44"/>
  <c r="AD200" i="44" a="1"/>
  <c r="AD194" i="44" a="1"/>
  <c r="AC174" i="44"/>
  <c r="AD161" i="44"/>
  <c r="AD155" i="44"/>
  <c r="AD156" i="44"/>
  <c r="AD197" i="44" a="1"/>
  <c r="AD167" i="44"/>
  <c r="AD112" i="44"/>
  <c r="AE154" i="44"/>
  <c r="AD166" i="44"/>
  <c r="AD111" i="44"/>
  <c r="AE153" i="44"/>
  <c r="AE194" i="44" a="1"/>
  <c r="AE197" i="44" a="1"/>
  <c r="AD175" i="44"/>
  <c r="AE162" i="44"/>
  <c r="AD195" i="44" a="1"/>
  <c r="AD173" i="44"/>
  <c r="AD118" i="44"/>
  <c r="AE160" i="44"/>
  <c r="AE155" i="44"/>
  <c r="AF158" i="44"/>
  <c r="AD172" i="44"/>
  <c r="AD117" i="44"/>
  <c r="AE159" i="44"/>
  <c r="AE157" i="44"/>
  <c r="AD198" i="44" a="1"/>
  <c r="AE200" i="44" a="1"/>
  <c r="AD174" i="44"/>
  <c r="AE161" i="44"/>
  <c r="AE201" i="44" a="1"/>
  <c r="AD199" i="44" a="1"/>
  <c r="AE156" i="44"/>
  <c r="AD196" i="44" a="1"/>
  <c r="AE166" i="44"/>
  <c r="AE111" i="44"/>
  <c r="AF153" i="44"/>
  <c r="AE167" i="44"/>
  <c r="AE112" i="44"/>
  <c r="AF154" i="44"/>
  <c r="AF155" i="44"/>
  <c r="AE199" i="44" a="1"/>
  <c r="AE196" i="44" a="1"/>
  <c r="AE175" i="44"/>
  <c r="AF162" i="44"/>
  <c r="AE198" i="44" a="1"/>
  <c r="AE173" i="44"/>
  <c r="AE118" i="44"/>
  <c r="AF160" i="44"/>
  <c r="AE174" i="44"/>
  <c r="AF161" i="44"/>
  <c r="AF157" i="44"/>
  <c r="AF197" i="44" a="1"/>
  <c r="AG158" i="44"/>
  <c r="AE195" i="44" a="1"/>
  <c r="AF200" i="44" a="1"/>
  <c r="AE172" i="44"/>
  <c r="AE117" i="44"/>
  <c r="AF159" i="44"/>
  <c r="AF156" i="44"/>
  <c r="AF201" i="44" a="1"/>
  <c r="AF167" i="44"/>
  <c r="AF112" i="44"/>
  <c r="AG154" i="44"/>
  <c r="AF166" i="44"/>
  <c r="AF111" i="44"/>
  <c r="AG153" i="44"/>
  <c r="AF168" i="44"/>
  <c r="AF113" i="44"/>
  <c r="AG155" i="44"/>
  <c r="AH158" i="44"/>
  <c r="AF199" i="44" a="1"/>
  <c r="AG156" i="44"/>
  <c r="AF174" i="44"/>
  <c r="AG161" i="44"/>
  <c r="AF175" i="44"/>
  <c r="AG162" i="44"/>
  <c r="AG197" i="44" a="1"/>
  <c r="AF195" i="44" a="1"/>
  <c r="AF173" i="44"/>
  <c r="AF118" i="44"/>
  <c r="AG160" i="44"/>
  <c r="AF196" i="44" a="1"/>
  <c r="AG201" i="44" a="1"/>
  <c r="AF172" i="44"/>
  <c r="AF117" i="44"/>
  <c r="AG159" i="44"/>
  <c r="AF198" i="44" a="1"/>
  <c r="AG200" i="44" a="1"/>
  <c r="AG157" i="44"/>
  <c r="AG168" i="44"/>
  <c r="AG113" i="44"/>
  <c r="AH155" i="44"/>
  <c r="AG166" i="44"/>
  <c r="AG111" i="44"/>
  <c r="AH153" i="44"/>
  <c r="AG167" i="44"/>
  <c r="AG112" i="44"/>
  <c r="AH154" i="44"/>
  <c r="AH157" i="44"/>
  <c r="AH201" i="44" a="1"/>
  <c r="AG173" i="44"/>
  <c r="AG118" i="44"/>
  <c r="AH160" i="44"/>
  <c r="AG195" i="44" a="1"/>
  <c r="AH200" i="44" a="1"/>
  <c r="AH156" i="44"/>
  <c r="AG198" i="44" a="1"/>
  <c r="AG174" i="44"/>
  <c r="AH161" i="44"/>
  <c r="AI158" i="44"/>
  <c r="AG196" i="44" a="1"/>
  <c r="AH197" i="44" a="1"/>
  <c r="AG175" i="44"/>
  <c r="AH162" i="44"/>
  <c r="AG199" i="44" a="1"/>
  <c r="AG172" i="44"/>
  <c r="AG117" i="44"/>
  <c r="AH159" i="44"/>
  <c r="AH167" i="44"/>
  <c r="AH112" i="44"/>
  <c r="AI154" i="44"/>
  <c r="AH166" i="44"/>
  <c r="AH111" i="44"/>
  <c r="AI153" i="44"/>
  <c r="AH168" i="44"/>
  <c r="AH113" i="44"/>
  <c r="AI155" i="44"/>
  <c r="AH196" i="44" a="1"/>
  <c r="AH174" i="44"/>
  <c r="AI161" i="44"/>
  <c r="AH175" i="44"/>
  <c r="AI162" i="44"/>
  <c r="AH195" i="44" a="1"/>
  <c r="AH198" i="44" a="1"/>
  <c r="AI157" i="44"/>
  <c r="AI197" i="44" a="1"/>
  <c r="AH173" i="44"/>
  <c r="AH118" i="44"/>
  <c r="AI160" i="44"/>
  <c r="AI159" i="44"/>
  <c r="AH199" i="44" a="1"/>
  <c r="AI200" i="44" a="1"/>
  <c r="AI201" i="44" a="1"/>
  <c r="AJ158" i="44"/>
  <c r="AI156" i="44"/>
  <c r="AI166" i="44"/>
  <c r="AI111" i="44"/>
  <c r="AJ153" i="44"/>
  <c r="AI168" i="44"/>
  <c r="AI113" i="44"/>
  <c r="AJ155" i="44"/>
  <c r="AI167" i="44"/>
  <c r="AI112" i="44"/>
  <c r="AJ154" i="44"/>
  <c r="AI196" i="44" a="1"/>
  <c r="AJ156" i="44"/>
  <c r="AJ159" i="44"/>
  <c r="AJ157" i="44"/>
  <c r="AK158" i="44"/>
  <c r="AI173" i="44"/>
  <c r="AI118" i="44"/>
  <c r="AJ160" i="44"/>
  <c r="AI175" i="44"/>
  <c r="AJ162" i="44"/>
  <c r="AI199" i="44" a="1"/>
  <c r="AI198" i="44" a="1"/>
  <c r="AJ200" i="44" a="1"/>
  <c r="AJ197" i="44" a="1"/>
  <c r="AJ201" i="44" a="1"/>
  <c r="AI195" i="44" a="1"/>
  <c r="AI174" i="44"/>
  <c r="AJ161" i="44"/>
  <c r="AJ168" i="44"/>
  <c r="AJ113" i="44"/>
  <c r="AK155" i="44"/>
  <c r="AJ167" i="44"/>
  <c r="AJ112" i="44"/>
  <c r="AK154" i="44"/>
  <c r="AJ166" i="44"/>
  <c r="AJ111" i="44"/>
  <c r="AK153" i="44"/>
  <c r="AK166" i="44"/>
  <c r="AK111" i="44"/>
  <c r="AK200" i="44" a="1"/>
  <c r="AK157" i="44"/>
  <c r="AK156" i="44"/>
  <c r="AJ198" i="44" a="1"/>
  <c r="AK201" i="44" a="1"/>
  <c r="AJ173" i="44"/>
  <c r="AJ118" i="44"/>
  <c r="AK160" i="44"/>
  <c r="AJ174" i="44"/>
  <c r="AK161" i="44"/>
  <c r="AJ175" i="44"/>
  <c r="AK162" i="44"/>
  <c r="AK197" i="44" a="1"/>
  <c r="AJ196" i="44" a="1"/>
  <c r="AJ199" i="44" a="1"/>
  <c r="AJ195" i="44" a="1"/>
  <c r="AL158" i="44"/>
  <c r="AK159" i="44"/>
  <c r="AK167" i="44"/>
  <c r="AK112" i="44"/>
  <c r="AL154" i="44"/>
  <c r="AL167" i="44"/>
  <c r="AL112" i="44"/>
  <c r="AK168" i="44"/>
  <c r="AK113" i="44"/>
  <c r="AL155" i="44"/>
  <c r="AM158" i="44"/>
  <c r="AK195" i="44" a="1"/>
  <c r="AK174" i="44"/>
  <c r="AL161" i="44"/>
  <c r="AK173" i="44"/>
  <c r="AK118" i="44"/>
  <c r="AL160" i="44"/>
  <c r="AL200" i="44" a="1"/>
  <c r="AL201" i="44" a="1"/>
  <c r="AK198" i="44" a="1"/>
  <c r="AK196" i="44" a="1"/>
  <c r="AL156" i="44"/>
  <c r="AL159" i="44"/>
  <c r="AK199" i="44" a="1"/>
  <c r="AL197" i="44" a="1"/>
  <c r="AK175" i="44"/>
  <c r="AL162" i="44"/>
  <c r="AL157" i="44"/>
  <c r="AN158" i="44"/>
  <c r="AL168" i="44"/>
  <c r="AL113" i="44"/>
  <c r="AM155" i="44"/>
  <c r="AL199" i="44" a="1"/>
  <c r="AL198" i="44" a="1"/>
  <c r="AL175" i="44"/>
  <c r="AM162" i="44"/>
  <c r="AL173" i="44"/>
  <c r="AL118" i="44"/>
  <c r="AM160" i="44"/>
  <c r="AL196" i="44" a="1"/>
  <c r="AM159" i="44"/>
  <c r="AL195" i="44" a="1"/>
  <c r="AL174" i="44"/>
  <c r="AM161" i="44"/>
  <c r="AM157" i="44"/>
  <c r="AM197" i="44" a="1"/>
  <c r="AM156" i="44"/>
  <c r="AM201" i="44" a="1"/>
  <c r="AM200" i="44" a="1"/>
  <c r="AN156" i="44"/>
  <c r="AM168" i="44"/>
  <c r="AM113" i="44"/>
  <c r="AN155" i="44"/>
  <c r="AN171" i="44"/>
  <c r="AN116" i="44"/>
  <c r="AO158" i="44"/>
  <c r="AN159" i="44"/>
  <c r="AM173" i="44"/>
  <c r="AM118" i="44"/>
  <c r="AN160" i="44"/>
  <c r="AN200" i="44" a="1"/>
  <c r="AN157" i="44"/>
  <c r="AM195" i="44" a="1"/>
  <c r="AM196" i="44" a="1"/>
  <c r="AM199" i="44" a="1"/>
  <c r="AM174" i="44"/>
  <c r="AN161" i="44"/>
  <c r="AM175" i="44"/>
  <c r="AN162" i="44"/>
  <c r="AM198" i="44" a="1"/>
  <c r="AN201" i="44" a="1"/>
  <c r="AO171" i="44"/>
  <c r="AO116" i="44"/>
  <c r="AP158" i="44"/>
  <c r="AN168" i="44"/>
  <c r="AN113" i="44"/>
  <c r="AO155" i="44"/>
  <c r="AN169" i="44"/>
  <c r="AN114" i="44"/>
  <c r="AO156" i="44"/>
  <c r="AN198" i="44" a="1"/>
  <c r="AN175" i="44"/>
  <c r="AO162" i="44"/>
  <c r="AO160" i="44"/>
  <c r="AN174" i="44"/>
  <c r="AO161" i="44"/>
  <c r="AO201" i="44" a="1"/>
  <c r="AN199" i="44" a="1"/>
  <c r="AO159" i="44"/>
  <c r="AN196" i="44" a="1"/>
  <c r="AO200" i="44" a="1"/>
  <c r="AO157" i="44"/>
  <c r="AO169" i="44"/>
  <c r="AO114" i="44"/>
  <c r="AP156" i="44"/>
  <c r="AP157" i="44"/>
  <c r="AO168" i="44"/>
  <c r="AO113" i="44"/>
  <c r="AP155" i="44"/>
  <c r="AP171" i="44"/>
  <c r="AP116" i="44"/>
  <c r="AQ158" i="44"/>
  <c r="AP159" i="44"/>
  <c r="AO198" i="44" a="1"/>
  <c r="AO196" i="44" a="1"/>
  <c r="AP160" i="44"/>
  <c r="AO199" i="44" a="1"/>
  <c r="AP201" i="44" a="1"/>
  <c r="AP200" i="44" a="1"/>
  <c r="AO174" i="44"/>
  <c r="AP161" i="44"/>
  <c r="AO175" i="44"/>
  <c r="AP162" i="44"/>
  <c r="AP168" i="44"/>
  <c r="AP113" i="44"/>
  <c r="AQ155" i="44"/>
  <c r="AQ168" i="44"/>
  <c r="AQ113" i="44"/>
  <c r="AP170" i="44"/>
  <c r="AP115" i="44"/>
  <c r="AQ157" i="44"/>
  <c r="AQ171" i="44"/>
  <c r="AQ116" i="44"/>
  <c r="AR158" i="44"/>
  <c r="AP169" i="44"/>
  <c r="AP114" i="44"/>
  <c r="AQ156" i="44"/>
  <c r="AQ160" i="44"/>
  <c r="AP174" i="44"/>
  <c r="AQ161" i="44"/>
  <c r="AQ159" i="44"/>
  <c r="AQ200" i="44" a="1"/>
  <c r="AP175" i="44"/>
  <c r="AQ162" i="44"/>
  <c r="AQ201" i="44" a="1"/>
  <c r="AP199" i="44" a="1"/>
  <c r="AP198" i="44" a="1"/>
  <c r="AR171" i="44"/>
  <c r="AR116" i="44"/>
  <c r="AS158" i="44"/>
  <c r="AQ170" i="44"/>
  <c r="AQ115" i="44"/>
  <c r="AR157" i="44"/>
  <c r="AQ169" i="44"/>
  <c r="AQ114" i="44"/>
  <c r="AR156" i="44"/>
  <c r="AR159" i="44"/>
  <c r="AR200" i="44" a="1"/>
  <c r="AQ199" i="44" a="1"/>
  <c r="AR160" i="44"/>
  <c r="AQ175" i="44"/>
  <c r="AR162" i="44"/>
  <c r="AQ174" i="44"/>
  <c r="AR161" i="44"/>
  <c r="AR201" i="44" a="1"/>
  <c r="AQ198" i="44" a="1"/>
  <c r="AR170" i="44"/>
  <c r="AR115" i="44"/>
  <c r="AS157" i="44"/>
  <c r="AR169" i="44"/>
  <c r="AR114" i="44"/>
  <c r="AS156" i="44"/>
  <c r="AS171" i="44"/>
  <c r="AS116" i="44"/>
  <c r="AT158" i="44"/>
  <c r="AS160" i="44"/>
  <c r="AR198" i="44" a="1"/>
  <c r="AS200" i="44" a="1"/>
  <c r="AR174" i="44"/>
  <c r="AS161" i="44"/>
  <c r="AS159" i="44"/>
  <c r="AR199" i="44" a="1"/>
  <c r="AR175" i="44"/>
  <c r="AS162" i="44"/>
  <c r="AS201" i="44" a="1"/>
  <c r="AT171" i="44"/>
  <c r="AT116" i="44"/>
  <c r="AU158" i="44"/>
  <c r="AS169" i="44"/>
  <c r="AS114" i="44"/>
  <c r="AT156" i="44"/>
  <c r="AS170" i="44"/>
  <c r="AS115" i="44"/>
  <c r="AT157" i="44"/>
  <c r="AS199" i="44" a="1"/>
  <c r="AS198" i="44" a="1"/>
  <c r="AT159" i="44"/>
  <c r="AS175" i="44"/>
  <c r="AT162" i="44"/>
  <c r="AS174" i="44"/>
  <c r="AT161" i="44"/>
  <c r="AT200" i="44" a="1"/>
  <c r="AT160" i="44"/>
  <c r="AT201" i="44" a="1"/>
  <c r="AT169" i="44"/>
  <c r="AT114" i="44"/>
  <c r="AU156" i="44"/>
  <c r="AT170" i="44"/>
  <c r="AT115" i="44"/>
  <c r="AU157" i="44"/>
  <c r="AU171" i="44"/>
  <c r="AU116" i="44"/>
  <c r="AV158" i="44"/>
  <c r="AT199" i="44" a="1"/>
  <c r="AT198" i="44" a="1"/>
  <c r="AU160" i="44"/>
  <c r="AT174" i="44"/>
  <c r="AU161" i="44"/>
  <c r="AU200" i="44" a="1"/>
  <c r="AU201" i="44" a="1"/>
  <c r="AT175" i="44"/>
  <c r="AU162" i="44"/>
  <c r="AU159" i="44"/>
  <c r="AU170" i="44"/>
  <c r="AU115" i="44"/>
  <c r="AV157" i="44"/>
  <c r="AV171" i="44"/>
  <c r="AV116" i="44"/>
  <c r="AW158" i="44"/>
  <c r="AU169" i="44"/>
  <c r="AU114" i="44"/>
  <c r="AV156" i="44"/>
  <c r="AU198" i="44" a="1"/>
  <c r="AU199" i="44" a="1"/>
  <c r="AU174" i="44"/>
  <c r="AV161" i="44"/>
  <c r="AV159" i="44"/>
  <c r="AV160" i="44"/>
  <c r="AV201" i="44" a="1"/>
  <c r="AU175" i="44"/>
  <c r="AV162" i="44"/>
  <c r="AV200" i="44" a="1"/>
  <c r="AV169" i="44"/>
  <c r="AV114" i="44"/>
  <c r="AW156" i="44"/>
  <c r="AW171" i="44"/>
  <c r="AW116" i="44"/>
  <c r="AX158" i="44"/>
  <c r="AV170" i="44"/>
  <c r="AV115" i="44"/>
  <c r="AW157" i="44"/>
  <c r="AV175" i="44"/>
  <c r="AW162" i="44"/>
  <c r="AV198" i="44" a="1"/>
  <c r="AW201" i="44" a="1"/>
  <c r="AW161" i="44"/>
  <c r="AW160" i="44"/>
  <c r="AV199" i="44" a="1"/>
  <c r="AW159" i="44"/>
  <c r="AW200" i="44" a="1"/>
  <c r="AX171" i="44"/>
  <c r="AX116" i="44"/>
  <c r="AY158" i="44"/>
  <c r="AY171" i="44"/>
  <c r="AY116" i="44"/>
  <c r="AW169" i="44"/>
  <c r="AW114" i="44"/>
  <c r="AX156" i="44"/>
  <c r="AW170" i="44"/>
  <c r="AW115" i="44"/>
  <c r="AX157" i="44"/>
  <c r="AX201" i="44" a="1"/>
  <c r="AW198" i="44" a="1"/>
  <c r="AX159" i="44"/>
  <c r="AW175" i="44"/>
  <c r="AX162" i="44"/>
  <c r="AX160" i="44"/>
  <c r="AX200" i="44" a="1"/>
  <c r="AW199" i="44" a="1"/>
  <c r="AX161" i="44"/>
  <c r="AX170" i="44"/>
  <c r="AX115" i="44"/>
  <c r="AY157" i="44"/>
  <c r="AX169" i="44"/>
  <c r="AX114" i="44"/>
  <c r="AY156" i="44"/>
  <c r="AY169" i="44"/>
  <c r="AY114" i="44"/>
  <c r="AY159" i="44"/>
  <c r="AY201" i="44" a="1"/>
  <c r="AX199" i="44" a="1"/>
  <c r="AY160" i="44"/>
  <c r="AX198" i="44" a="1"/>
  <c r="AX175" i="44"/>
  <c r="AY162" i="44"/>
  <c r="AY161" i="44"/>
  <c r="AY200" i="44" a="1"/>
  <c r="AY170" i="44"/>
  <c r="AY115" i="44"/>
  <c r="AZ157" i="44"/>
  <c r="AZ161" i="44"/>
  <c r="AY199" i="44" a="1"/>
  <c r="AZ159" i="44"/>
  <c r="AY198" i="44" a="1"/>
  <c r="AZ160" i="44"/>
  <c r="AY175" i="44"/>
  <c r="AZ162" i="44"/>
  <c r="AZ201" i="44" a="1"/>
  <c r="AZ200" i="44" a="1"/>
  <c r="AZ170" i="44"/>
  <c r="AZ115" i="44"/>
  <c r="BA157" i="44"/>
  <c r="BA170" i="44"/>
  <c r="BA115" i="44"/>
  <c r="BA160" i="44"/>
  <c r="AZ199" i="44" a="1"/>
  <c r="BA200" i="44" a="1"/>
  <c r="AZ175" i="44"/>
  <c r="BA162" i="44"/>
  <c r="BA201" i="44" a="1"/>
  <c r="AZ198" i="44" a="1"/>
  <c r="BA159" i="44"/>
  <c r="BA161" i="44"/>
  <c r="BB201" i="44" a="1"/>
  <c r="BB160" i="44"/>
  <c r="BB161" i="44"/>
  <c r="BB200" i="44" a="1"/>
  <c r="BA199" i="44" a="1"/>
  <c r="BA198" i="44" a="1"/>
  <c r="BA175" i="44"/>
  <c r="BB162" i="44"/>
  <c r="BB159" i="44"/>
  <c r="BC201" i="44" a="1"/>
  <c r="BB175" i="44"/>
  <c r="BC162" i="44"/>
  <c r="BB198" i="44" a="1"/>
  <c r="BC161" i="44"/>
  <c r="BB199" i="44" a="1"/>
  <c r="BC200" i="44" a="1"/>
  <c r="BC159" i="44"/>
  <c r="BC160" i="44"/>
  <c r="BD201" i="44" a="1"/>
  <c r="BD159" i="44"/>
  <c r="BD200" i="44" a="1"/>
  <c r="BD161" i="44"/>
  <c r="BC198" i="44" a="1"/>
  <c r="BC199" i="44" a="1"/>
  <c r="BD162" i="44"/>
  <c r="BD160" i="44"/>
  <c r="BE160" i="44"/>
  <c r="BE159" i="44"/>
  <c r="BE161" i="44"/>
  <c r="BE162" i="44"/>
  <c r="BE200" i="44" a="1"/>
  <c r="BD199" i="44" a="1"/>
  <c r="BE201" i="44" a="1"/>
  <c r="BD198" i="44" a="1"/>
  <c r="BE172" i="44"/>
  <c r="BE117" i="44"/>
  <c r="BF159" i="44"/>
  <c r="BE173" i="44"/>
  <c r="BE118" i="44"/>
  <c r="BF160" i="44"/>
  <c r="BF201" i="44" a="1"/>
  <c r="BF161" i="44"/>
  <c r="BF162" i="44"/>
  <c r="BF200" i="44" a="1"/>
  <c r="BF173" i="44"/>
  <c r="BF118" i="44"/>
  <c r="BG160" i="44"/>
  <c r="BF172" i="44"/>
  <c r="BF117" i="44"/>
  <c r="BG159" i="44"/>
  <c r="BG201" i="44" a="1"/>
  <c r="BG200" i="44" a="1"/>
  <c r="BG162" i="44"/>
  <c r="BG161" i="44"/>
  <c r="BG172" i="44"/>
  <c r="BG117" i="44"/>
  <c r="BH159" i="44"/>
  <c r="BG173" i="44"/>
  <c r="BG118" i="44"/>
  <c r="BH160" i="44"/>
  <c r="BH200" i="44" a="1"/>
  <c r="BH161" i="44"/>
  <c r="BH162" i="44"/>
  <c r="BH201" i="44" a="1"/>
  <c r="BH173" i="44"/>
  <c r="BH118" i="44"/>
  <c r="BI160" i="44"/>
  <c r="BH172" i="44"/>
  <c r="BH117" i="44"/>
  <c r="BI159" i="44"/>
  <c r="BI162" i="44"/>
  <c r="BI200" i="44" a="1"/>
  <c r="BI161" i="44"/>
  <c r="BI201" i="44" a="1"/>
  <c r="BI172" i="44"/>
  <c r="BI117" i="44"/>
  <c r="BJ159" i="44"/>
  <c r="BI173" i="44"/>
  <c r="BI118" i="44"/>
  <c r="BJ160" i="44"/>
  <c r="BJ201" i="44" a="1"/>
  <c r="BJ200" i="44" a="1"/>
  <c r="BJ161" i="44"/>
  <c r="BJ162" i="44"/>
  <c r="BJ172" i="44"/>
  <c r="BJ117" i="44"/>
  <c r="BK159" i="44"/>
  <c r="BJ173" i="44"/>
  <c r="BJ118" i="44"/>
  <c r="BK160" i="44"/>
  <c r="BK201" i="44" a="1"/>
  <c r="BK161" i="44"/>
  <c r="BK162" i="44"/>
  <c r="BK200" i="44" a="1"/>
  <c r="BK173" i="44"/>
  <c r="BK118" i="44"/>
  <c r="BL160" i="44"/>
  <c r="BK172" i="44"/>
  <c r="BK117" i="44"/>
  <c r="BL159" i="44"/>
  <c r="BL201" i="44" a="1"/>
  <c r="BL200" i="44" a="1"/>
  <c r="BL161" i="44"/>
  <c r="BL162" i="44"/>
  <c r="BL172" i="44"/>
  <c r="BL117" i="44"/>
  <c r="BM159" i="44"/>
  <c r="BL173" i="44"/>
  <c r="BL118" i="44"/>
  <c r="BM160" i="44"/>
  <c r="BM162" i="44"/>
  <c r="BM161" i="44"/>
  <c r="BM200" i="44" a="1"/>
  <c r="BM201" i="44" a="1"/>
  <c r="BM173" i="44"/>
  <c r="BM118" i="44"/>
  <c r="BN160" i="44"/>
  <c r="BM172" i="44"/>
  <c r="BM117" i="44"/>
  <c r="BN159" i="44"/>
  <c r="BN161" i="44"/>
  <c r="BN162" i="44"/>
  <c r="BN201" i="44" a="1"/>
  <c r="BN200" i="44" a="1"/>
  <c r="BN172" i="44"/>
  <c r="BN117" i="44"/>
  <c r="BO159" i="44"/>
  <c r="BN173" i="44"/>
  <c r="BN118" i="44"/>
  <c r="BO160" i="44"/>
  <c r="BO200" i="44" a="1"/>
  <c r="BO162" i="44"/>
  <c r="BO201" i="44" a="1"/>
  <c r="BO161" i="44"/>
  <c r="BO173" i="44"/>
  <c r="BO118" i="44"/>
  <c r="BP160" i="44"/>
  <c r="BP173" i="44"/>
  <c r="BP118" i="44"/>
  <c r="BO172" i="44"/>
  <c r="BO117" i="44"/>
  <c r="BP159" i="44"/>
  <c r="BP172" i="44"/>
  <c r="BP117" i="44"/>
  <c r="BP161" i="44"/>
  <c r="BP162" i="44"/>
  <c r="BP201" i="44" a="1"/>
  <c r="BP200" i="44" a="1"/>
  <c r="BQ200" i="44" a="1"/>
  <c r="BQ201" i="44" a="1"/>
  <c r="BQ162" i="44"/>
  <c r="BQ161" i="44"/>
  <c r="BR161" i="44"/>
  <c r="BR162" i="44"/>
  <c r="BR201" i="44" a="1"/>
  <c r="BR174" i="44"/>
  <c r="BS161" i="44"/>
  <c r="BS162" i="44"/>
  <c r="BS201" i="44" a="1"/>
  <c r="BS174" i="44"/>
  <c r="BT161" i="44"/>
  <c r="BT201" i="44" a="1"/>
  <c r="BT162" i="44"/>
  <c r="BT174" i="44"/>
  <c r="BU161" i="44"/>
  <c r="BU201" i="44" a="1"/>
  <c r="BU162" i="44"/>
  <c r="BU174" i="44"/>
  <c r="BV161" i="44"/>
  <c r="BV201" i="44" a="1"/>
  <c r="BV162" i="44"/>
  <c r="BV174" i="44"/>
  <c r="BW161" i="44"/>
  <c r="BW201" i="44" a="1"/>
  <c r="BW162" i="44"/>
  <c r="BW174" i="44"/>
  <c r="BX161" i="44"/>
  <c r="BX162" i="44"/>
  <c r="BX201" i="44" a="1"/>
  <c r="BX174" i="44"/>
  <c r="BY161" i="44"/>
  <c r="BY201" i="44" a="1"/>
  <c r="BY162" i="44"/>
  <c r="BY174" i="44"/>
  <c r="BZ161" i="44"/>
  <c r="BZ162" i="44"/>
  <c r="BZ175" i="44"/>
  <c r="CA162" i="44"/>
  <c r="BZ174" i="44"/>
  <c r="CA161" i="44"/>
  <c r="CA174" i="44"/>
  <c r="CB161" i="44"/>
  <c r="CA175" i="44"/>
  <c r="CB162" i="44"/>
  <c r="CB175" i="44"/>
  <c r="CC162" i="44"/>
  <c r="CB174" i="44"/>
  <c r="CC161" i="44"/>
  <c r="CC174" i="44"/>
  <c r="CC175" i="44"/>
  <c r="CD162" i="44"/>
  <c r="CD175" i="44"/>
  <c r="CE162" i="44"/>
  <c r="CE175" i="44"/>
  <c r="CF162" i="44"/>
  <c r="CF175" i="44"/>
  <c r="CG162" i="44"/>
  <c r="CG175" i="44"/>
  <c r="CH162" i="44"/>
  <c r="CH175" i="44"/>
  <c r="CI162" i="44"/>
  <c r="CI175" i="44"/>
  <c r="CJ162" i="44"/>
  <c r="CJ175" i="44"/>
  <c r="CK162" i="44"/>
  <c r="CK175" i="44"/>
  <c r="J18" i="43"/>
  <c r="J19" i="43"/>
  <c r="J20" i="43"/>
  <c r="J21" i="43"/>
  <c r="J22" i="43"/>
  <c r="J23" i="43"/>
  <c r="J24" i="43"/>
  <c r="C29" i="43"/>
  <c r="D29" i="43"/>
  <c r="E29" i="43"/>
  <c r="F29" i="43"/>
  <c r="G29" i="43"/>
  <c r="H29" i="43"/>
  <c r="I29" i="43"/>
  <c r="J29" i="43"/>
  <c r="K29" i="43"/>
  <c r="L29" i="43"/>
  <c r="M29" i="43"/>
  <c r="N29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J84" i="45" a="1"/>
  <c r="J94" i="45" a="1"/>
  <c r="J119" i="45" a="1"/>
  <c r="J39" i="45" a="1"/>
  <c r="J17" i="45" a="1"/>
  <c r="J22" i="45" a="1"/>
  <c r="J111" i="45" a="1"/>
  <c r="J79" i="45" a="1"/>
  <c r="J112" i="45" a="1"/>
  <c r="J27" i="45" a="1"/>
  <c r="J32" i="45" a="1"/>
  <c r="J116" i="45" a="1"/>
  <c r="J49" i="45" a="1"/>
  <c r="J117" i="45" a="1"/>
  <c r="J99" i="45" a="1"/>
  <c r="J101" i="45" a="1"/>
  <c r="J103" i="45" a="1"/>
  <c r="J120" i="45" a="1"/>
  <c r="J64" i="45" a="1"/>
  <c r="J118" i="45" a="1"/>
  <c r="J122" i="45" a="1"/>
  <c r="J125" i="45" a="1"/>
  <c r="J126" i="45" a="1"/>
  <c r="J124" i="45" a="1"/>
  <c r="AQ206" i="44"/>
  <c r="AQ210" i="44"/>
  <c r="AR206" i="44"/>
  <c r="AR210" i="44"/>
  <c r="AS206" i="44"/>
  <c r="AS210" i="44"/>
  <c r="AT206" i="44"/>
  <c r="AT210" i="44"/>
  <c r="AU206" i="44"/>
  <c r="AU210" i="44"/>
  <c r="AV206" i="44"/>
  <c r="AV210" i="44"/>
  <c r="AW206" i="44"/>
  <c r="AW210" i="44"/>
  <c r="AX206" i="44"/>
  <c r="AX210" i="44"/>
  <c r="AY206" i="44"/>
  <c r="AY210" i="44"/>
  <c r="AZ206" i="44"/>
  <c r="AZ210" i="44"/>
  <c r="BA206" i="44"/>
  <c r="BA210" i="44"/>
  <c r="BB206" i="44"/>
  <c r="BB210" i="44"/>
  <c r="AQ207" i="44"/>
  <c r="AQ211" i="44"/>
  <c r="AR207" i="44"/>
  <c r="AR211" i="44"/>
  <c r="AS207" i="44"/>
  <c r="AS211" i="44"/>
  <c r="AT207" i="44"/>
  <c r="AT211" i="44"/>
  <c r="AU207" i="44"/>
  <c r="AU211" i="44"/>
  <c r="AV207" i="44"/>
  <c r="AV211" i="44"/>
  <c r="AW207" i="44"/>
  <c r="AW211" i="44"/>
  <c r="AX207" i="44"/>
  <c r="AX211" i="44"/>
  <c r="AY207" i="44"/>
  <c r="AY211" i="44"/>
  <c r="AZ207" i="44"/>
  <c r="AZ211" i="44"/>
  <c r="BA207" i="44"/>
  <c r="BA211" i="44"/>
  <c r="BB207" i="44"/>
  <c r="BB211" i="44"/>
  <c r="BB25" i="44"/>
  <c r="BB26" i="44"/>
  <c r="BB27" i="44"/>
  <c r="BB28" i="44"/>
  <c r="BB37" i="44"/>
  <c r="BB36" i="44"/>
  <c r="BB35" i="44"/>
  <c r="BB34" i="44"/>
  <c r="BB33" i="44"/>
  <c r="BB32" i="44"/>
  <c r="BB31" i="44"/>
  <c r="BB29" i="44"/>
  <c r="BB24" i="44"/>
  <c r="BB22" i="44"/>
  <c r="BB9" i="44"/>
  <c r="BB49" i="44"/>
  <c r="BB50" i="44"/>
  <c r="BB51" i="44"/>
  <c r="BB52" i="44"/>
  <c r="BB65" i="44"/>
  <c r="BB64" i="44"/>
  <c r="BB63" i="44"/>
  <c r="BB62" i="44"/>
  <c r="BB61" i="44"/>
  <c r="BB60" i="44"/>
  <c r="BB59" i="44"/>
  <c r="BB58" i="44"/>
  <c r="BB57" i="44"/>
  <c r="BB56" i="44"/>
  <c r="BB55" i="44"/>
  <c r="BB53" i="44"/>
  <c r="BB48" i="44"/>
  <c r="BB46" i="44"/>
  <c r="BB10" i="44"/>
  <c r="BB75" i="44"/>
  <c r="BB76" i="44"/>
  <c r="BB77" i="44"/>
  <c r="BB78" i="44"/>
  <c r="BB91" i="44"/>
  <c r="BB90" i="44"/>
  <c r="BB89" i="44"/>
  <c r="BB88" i="44"/>
  <c r="BB87" i="44"/>
  <c r="BB86" i="44"/>
  <c r="BB85" i="44"/>
  <c r="BB84" i="44"/>
  <c r="BB83" i="44"/>
  <c r="BB82" i="44"/>
  <c r="BB81" i="44"/>
  <c r="BB79" i="44"/>
  <c r="BB74" i="44"/>
  <c r="BB72" i="44"/>
  <c r="BB70" i="44"/>
  <c r="BB11" i="44"/>
  <c r="BB17" i="44"/>
  <c r="BA25" i="44"/>
  <c r="BA26" i="44"/>
  <c r="BA27" i="44"/>
  <c r="BA28" i="44"/>
  <c r="BA37" i="44"/>
  <c r="BA36" i="44"/>
  <c r="BA35" i="44"/>
  <c r="BA34" i="44"/>
  <c r="BA33" i="44"/>
  <c r="BA32" i="44"/>
  <c r="BA31" i="44"/>
  <c r="BA29" i="44"/>
  <c r="BA24" i="44"/>
  <c r="BA22" i="44"/>
  <c r="BA9" i="44"/>
  <c r="BA49" i="44"/>
  <c r="BA50" i="44"/>
  <c r="BA51" i="44"/>
  <c r="BA52" i="44"/>
  <c r="BA65" i="44"/>
  <c r="BA64" i="44"/>
  <c r="BA63" i="44"/>
  <c r="BA62" i="44"/>
  <c r="BA61" i="44"/>
  <c r="BA60" i="44"/>
  <c r="BA59" i="44"/>
  <c r="BA58" i="44"/>
  <c r="BA57" i="44"/>
  <c r="BA56" i="44"/>
  <c r="BA55" i="44"/>
  <c r="BA53" i="44"/>
  <c r="BA48" i="44"/>
  <c r="BA46" i="44"/>
  <c r="BA10" i="44"/>
  <c r="BA75" i="44"/>
  <c r="BA76" i="44"/>
  <c r="BA77" i="44"/>
  <c r="BA78" i="44"/>
  <c r="BA91" i="44"/>
  <c r="BA90" i="44"/>
  <c r="BA89" i="44"/>
  <c r="BA88" i="44"/>
  <c r="BA87" i="44"/>
  <c r="BA86" i="44"/>
  <c r="BA85" i="44"/>
  <c r="BA84" i="44"/>
  <c r="BA83" i="44"/>
  <c r="BA82" i="44"/>
  <c r="BA81" i="44"/>
  <c r="BA79" i="44"/>
  <c r="BA74" i="44"/>
  <c r="BA72" i="44"/>
  <c r="BA70" i="44"/>
  <c r="BA11" i="44"/>
  <c r="BA17" i="44"/>
  <c r="AZ25" i="44"/>
  <c r="AZ26" i="44"/>
  <c r="AZ27" i="44"/>
  <c r="AZ28" i="44"/>
  <c r="AZ37" i="44"/>
  <c r="AZ36" i="44"/>
  <c r="AZ35" i="44"/>
  <c r="AZ34" i="44"/>
  <c r="AZ33" i="44"/>
  <c r="AZ32" i="44"/>
  <c r="AZ31" i="44"/>
  <c r="AZ29" i="44"/>
  <c r="AZ24" i="44"/>
  <c r="AZ22" i="44"/>
  <c r="AZ9" i="44"/>
  <c r="AZ49" i="44"/>
  <c r="AZ50" i="44"/>
  <c r="AZ51" i="44"/>
  <c r="AZ52" i="44"/>
  <c r="AZ65" i="44"/>
  <c r="AZ64" i="44"/>
  <c r="AZ63" i="44"/>
  <c r="AZ62" i="44"/>
  <c r="AZ61" i="44"/>
  <c r="AZ60" i="44"/>
  <c r="AZ59" i="44"/>
  <c r="AZ58" i="44"/>
  <c r="AZ57" i="44"/>
  <c r="AZ56" i="44"/>
  <c r="AZ55" i="44"/>
  <c r="AZ53" i="44"/>
  <c r="AZ48" i="44"/>
  <c r="AZ46" i="44"/>
  <c r="AZ10" i="44"/>
  <c r="AZ75" i="44"/>
  <c r="AZ76" i="44"/>
  <c r="AZ77" i="44"/>
  <c r="AZ78" i="44"/>
  <c r="AZ91" i="44"/>
  <c r="AZ90" i="44"/>
  <c r="AZ89" i="44"/>
  <c r="AZ88" i="44"/>
  <c r="AZ87" i="44"/>
  <c r="AZ86" i="44"/>
  <c r="AZ85" i="44"/>
  <c r="AZ84" i="44"/>
  <c r="AZ83" i="44"/>
  <c r="AZ82" i="44"/>
  <c r="AZ81" i="44"/>
  <c r="AZ79" i="44"/>
  <c r="AZ74" i="44"/>
  <c r="AZ72" i="44"/>
  <c r="AZ70" i="44"/>
  <c r="AZ11" i="44"/>
  <c r="AZ17" i="44"/>
  <c r="AY25" i="44"/>
  <c r="AY26" i="44"/>
  <c r="AY27" i="44"/>
  <c r="AY28" i="44"/>
  <c r="AY37" i="44"/>
  <c r="AY36" i="44"/>
  <c r="AY35" i="44"/>
  <c r="AY34" i="44"/>
  <c r="AY33" i="44"/>
  <c r="AY32" i="44"/>
  <c r="AY31" i="44"/>
  <c r="AY29" i="44"/>
  <c r="AY24" i="44"/>
  <c r="AY22" i="44"/>
  <c r="AY9" i="44"/>
  <c r="AY49" i="44"/>
  <c r="AY50" i="44"/>
  <c r="AY51" i="44"/>
  <c r="AY52" i="44"/>
  <c r="AY65" i="44"/>
  <c r="AY64" i="44"/>
  <c r="AY63" i="44"/>
  <c r="AY62" i="44"/>
  <c r="AY61" i="44"/>
  <c r="AY60" i="44"/>
  <c r="AY59" i="44"/>
  <c r="AY58" i="44"/>
  <c r="AY57" i="44"/>
  <c r="AY56" i="44"/>
  <c r="AY55" i="44"/>
  <c r="AY53" i="44"/>
  <c r="AY48" i="44"/>
  <c r="AY46" i="44"/>
  <c r="AY10" i="44"/>
  <c r="AY75" i="44"/>
  <c r="AY76" i="44"/>
  <c r="AY77" i="44"/>
  <c r="AY78" i="44"/>
  <c r="AY91" i="44"/>
  <c r="AY90" i="44"/>
  <c r="AY89" i="44"/>
  <c r="AY88" i="44"/>
  <c r="AY87" i="44"/>
  <c r="AY86" i="44"/>
  <c r="AY85" i="44"/>
  <c r="AY84" i="44"/>
  <c r="AY83" i="44"/>
  <c r="AY82" i="44"/>
  <c r="AY81" i="44"/>
  <c r="AY79" i="44"/>
  <c r="AY74" i="44"/>
  <c r="AY72" i="44"/>
  <c r="AY70" i="44"/>
  <c r="AY11" i="44"/>
  <c r="AY17" i="44"/>
  <c r="AX25" i="44"/>
  <c r="AX26" i="44"/>
  <c r="AX27" i="44"/>
  <c r="AX28" i="44"/>
  <c r="AX37" i="44"/>
  <c r="AX36" i="44"/>
  <c r="AX35" i="44"/>
  <c r="AX34" i="44"/>
  <c r="AX33" i="44"/>
  <c r="AX32" i="44"/>
  <c r="AX31" i="44"/>
  <c r="AX29" i="44"/>
  <c r="AX24" i="44"/>
  <c r="AX22" i="44"/>
  <c r="AX9" i="44"/>
  <c r="AX49" i="44"/>
  <c r="AX50" i="44"/>
  <c r="AX51" i="44"/>
  <c r="AX52" i="44"/>
  <c r="AX65" i="44"/>
  <c r="AX64" i="44"/>
  <c r="AX63" i="44"/>
  <c r="AX62" i="44"/>
  <c r="AX61" i="44"/>
  <c r="AX60" i="44"/>
  <c r="AX59" i="44"/>
  <c r="AX58" i="44"/>
  <c r="AX57" i="44"/>
  <c r="AX56" i="44"/>
  <c r="AX55" i="44"/>
  <c r="AX53" i="44"/>
  <c r="AX48" i="44"/>
  <c r="AX46" i="44"/>
  <c r="AX10" i="44"/>
  <c r="AX75" i="44"/>
  <c r="AX76" i="44"/>
  <c r="AX77" i="44"/>
  <c r="AX78" i="44"/>
  <c r="AX91" i="44"/>
  <c r="AX90" i="44"/>
  <c r="AX89" i="44"/>
  <c r="AX88" i="44"/>
  <c r="AX87" i="44"/>
  <c r="AX86" i="44"/>
  <c r="AX85" i="44"/>
  <c r="AX84" i="44"/>
  <c r="AX83" i="44"/>
  <c r="AX82" i="44"/>
  <c r="AX81" i="44"/>
  <c r="AX79" i="44"/>
  <c r="AX74" i="44"/>
  <c r="AX72" i="44"/>
  <c r="AX70" i="44"/>
  <c r="AX11" i="44"/>
  <c r="AX17" i="44"/>
  <c r="AW25" i="44"/>
  <c r="AW26" i="44"/>
  <c r="AW27" i="44"/>
  <c r="AW28" i="44"/>
  <c r="AW37" i="44"/>
  <c r="AW36" i="44"/>
  <c r="AW35" i="44"/>
  <c r="AW34" i="44"/>
  <c r="AW33" i="44"/>
  <c r="AW32" i="44"/>
  <c r="AW31" i="44"/>
  <c r="AW29" i="44"/>
  <c r="AW24" i="44"/>
  <c r="AW22" i="44"/>
  <c r="AW9" i="44"/>
  <c r="AW49" i="44"/>
  <c r="AW50" i="44"/>
  <c r="AW51" i="44"/>
  <c r="AW52" i="44"/>
  <c r="AW65" i="44"/>
  <c r="AW64" i="44"/>
  <c r="AW63" i="44"/>
  <c r="AW62" i="44"/>
  <c r="AW61" i="44"/>
  <c r="AW60" i="44"/>
  <c r="AW59" i="44"/>
  <c r="AW58" i="44"/>
  <c r="AW57" i="44"/>
  <c r="AW56" i="44"/>
  <c r="AW55" i="44"/>
  <c r="AW53" i="44"/>
  <c r="AW48" i="44"/>
  <c r="AW46" i="44"/>
  <c r="AW10" i="44"/>
  <c r="AW75" i="44"/>
  <c r="AW76" i="44"/>
  <c r="AW77" i="44"/>
  <c r="AW78" i="44"/>
  <c r="AW91" i="44"/>
  <c r="AW90" i="44"/>
  <c r="AW89" i="44"/>
  <c r="AW88" i="44"/>
  <c r="AW87" i="44"/>
  <c r="AW86" i="44"/>
  <c r="AW85" i="44"/>
  <c r="AW84" i="44"/>
  <c r="AW83" i="44"/>
  <c r="AW82" i="44"/>
  <c r="AW81" i="44"/>
  <c r="AW79" i="44"/>
  <c r="AW74" i="44"/>
  <c r="AW72" i="44"/>
  <c r="AW70" i="44"/>
  <c r="AW11" i="44"/>
  <c r="AW17" i="44"/>
  <c r="AV25" i="44"/>
  <c r="AV26" i="44"/>
  <c r="AV27" i="44"/>
  <c r="AV28" i="44"/>
  <c r="AV37" i="44"/>
  <c r="AV36" i="44"/>
  <c r="AV35" i="44"/>
  <c r="AV34" i="44"/>
  <c r="AV33" i="44"/>
  <c r="AV32" i="44"/>
  <c r="AV31" i="44"/>
  <c r="AV29" i="44"/>
  <c r="AV24" i="44"/>
  <c r="AV22" i="44"/>
  <c r="AV9" i="44"/>
  <c r="AV49" i="44"/>
  <c r="AV50" i="44"/>
  <c r="AV51" i="44"/>
  <c r="AV52" i="44"/>
  <c r="AV65" i="44"/>
  <c r="AV64" i="44"/>
  <c r="AV63" i="44"/>
  <c r="AV62" i="44"/>
  <c r="AV61" i="44"/>
  <c r="AV60" i="44"/>
  <c r="AV59" i="44"/>
  <c r="AV58" i="44"/>
  <c r="AV57" i="44"/>
  <c r="AV56" i="44"/>
  <c r="AV55" i="44"/>
  <c r="AV53" i="44"/>
  <c r="AV48" i="44"/>
  <c r="AV46" i="44"/>
  <c r="AV10" i="44"/>
  <c r="AV75" i="44"/>
  <c r="AV76" i="44"/>
  <c r="AV77" i="44"/>
  <c r="AV78" i="44"/>
  <c r="AV91" i="44"/>
  <c r="AV90" i="44"/>
  <c r="AV89" i="44"/>
  <c r="AV88" i="44"/>
  <c r="AV87" i="44"/>
  <c r="AV86" i="44"/>
  <c r="AV85" i="44"/>
  <c r="AV84" i="44"/>
  <c r="AV83" i="44"/>
  <c r="AV82" i="44"/>
  <c r="AV81" i="44"/>
  <c r="AV79" i="44"/>
  <c r="AV74" i="44"/>
  <c r="AV72" i="44"/>
  <c r="AV70" i="44"/>
  <c r="AV11" i="44"/>
  <c r="AV17" i="44"/>
  <c r="AU25" i="44"/>
  <c r="AU26" i="44"/>
  <c r="AU27" i="44"/>
  <c r="AU28" i="44"/>
  <c r="AU37" i="44"/>
  <c r="AU36" i="44"/>
  <c r="AU35" i="44"/>
  <c r="AU34" i="44"/>
  <c r="AU33" i="44"/>
  <c r="AU32" i="44"/>
  <c r="AU31" i="44"/>
  <c r="AU29" i="44"/>
  <c r="AU24" i="44"/>
  <c r="AU22" i="44"/>
  <c r="AU9" i="44"/>
  <c r="AU49" i="44"/>
  <c r="AU50" i="44"/>
  <c r="AU51" i="44"/>
  <c r="AU52" i="44"/>
  <c r="AU65" i="44"/>
  <c r="AU64" i="44"/>
  <c r="AU63" i="44"/>
  <c r="AU62" i="44"/>
  <c r="AU61" i="44"/>
  <c r="AU60" i="44"/>
  <c r="AU59" i="44"/>
  <c r="AU58" i="44"/>
  <c r="AU57" i="44"/>
  <c r="AU56" i="44"/>
  <c r="AU55" i="44"/>
  <c r="AU53" i="44"/>
  <c r="AU48" i="44"/>
  <c r="AU46" i="44"/>
  <c r="AU10" i="44"/>
  <c r="AU75" i="44"/>
  <c r="AU76" i="44"/>
  <c r="AU77" i="44"/>
  <c r="AU78" i="44"/>
  <c r="AU91" i="44"/>
  <c r="AU90" i="44"/>
  <c r="AU89" i="44"/>
  <c r="AU88" i="44"/>
  <c r="AU87" i="44"/>
  <c r="AU86" i="44"/>
  <c r="AU85" i="44"/>
  <c r="AU84" i="44"/>
  <c r="AU83" i="44"/>
  <c r="AU82" i="44"/>
  <c r="AU81" i="44"/>
  <c r="AU79" i="44"/>
  <c r="AU74" i="44"/>
  <c r="AU72" i="44"/>
  <c r="AU70" i="44"/>
  <c r="AU11" i="44"/>
  <c r="AU17" i="44"/>
  <c r="AT25" i="44"/>
  <c r="AT26" i="44"/>
  <c r="AT27" i="44"/>
  <c r="AT28" i="44"/>
  <c r="AT37" i="44"/>
  <c r="AT36" i="44"/>
  <c r="AT35" i="44"/>
  <c r="AT34" i="44"/>
  <c r="AT33" i="44"/>
  <c r="AT32" i="44"/>
  <c r="AT31" i="44"/>
  <c r="AT29" i="44"/>
  <c r="AT24" i="44"/>
  <c r="AT22" i="44"/>
  <c r="AT9" i="44"/>
  <c r="AT49" i="44"/>
  <c r="AT50" i="44"/>
  <c r="AT51" i="44"/>
  <c r="AT52" i="44"/>
  <c r="AT65" i="44"/>
  <c r="AT64" i="44"/>
  <c r="AT63" i="44"/>
  <c r="AT62" i="44"/>
  <c r="AT61" i="44"/>
  <c r="AT60" i="44"/>
  <c r="AT59" i="44"/>
  <c r="AT58" i="44"/>
  <c r="AT57" i="44"/>
  <c r="AT56" i="44"/>
  <c r="AT55" i="44"/>
  <c r="AT53" i="44"/>
  <c r="AT48" i="44"/>
  <c r="AT46" i="44"/>
  <c r="AT10" i="44"/>
  <c r="AT75" i="44"/>
  <c r="AT76" i="44"/>
  <c r="AT77" i="44"/>
  <c r="AT78" i="44"/>
  <c r="AT91" i="44"/>
  <c r="AT90" i="44"/>
  <c r="AT89" i="44"/>
  <c r="AT88" i="44"/>
  <c r="AT87" i="44"/>
  <c r="AT86" i="44"/>
  <c r="AT85" i="44"/>
  <c r="AT84" i="44"/>
  <c r="AT83" i="44"/>
  <c r="AT82" i="44"/>
  <c r="AT81" i="44"/>
  <c r="AT79" i="44"/>
  <c r="AT74" i="44"/>
  <c r="AT72" i="44"/>
  <c r="AT70" i="44"/>
  <c r="AT11" i="44"/>
  <c r="AT17" i="44"/>
  <c r="AS25" i="44"/>
  <c r="AS26" i="44"/>
  <c r="AS27" i="44"/>
  <c r="AS28" i="44"/>
  <c r="AS37" i="44"/>
  <c r="AS36" i="44"/>
  <c r="AS35" i="44"/>
  <c r="AS34" i="44"/>
  <c r="AS33" i="44"/>
  <c r="AS32" i="44"/>
  <c r="AS31" i="44"/>
  <c r="AS29" i="44"/>
  <c r="AS24" i="44"/>
  <c r="AS22" i="44"/>
  <c r="AS9" i="44"/>
  <c r="AS49" i="44"/>
  <c r="AS50" i="44"/>
  <c r="AS51" i="44"/>
  <c r="AS52" i="44"/>
  <c r="AS65" i="44"/>
  <c r="AS64" i="44"/>
  <c r="AS63" i="44"/>
  <c r="AS62" i="44"/>
  <c r="AS61" i="44"/>
  <c r="AS60" i="44"/>
  <c r="AS59" i="44"/>
  <c r="AS58" i="44"/>
  <c r="AS57" i="44"/>
  <c r="AS56" i="44"/>
  <c r="AS55" i="44"/>
  <c r="AS53" i="44"/>
  <c r="AS48" i="44"/>
  <c r="AS46" i="44"/>
  <c r="AS10" i="44"/>
  <c r="AS75" i="44"/>
  <c r="AS76" i="44"/>
  <c r="AS77" i="44"/>
  <c r="AS78" i="44"/>
  <c r="AS91" i="44"/>
  <c r="AS90" i="44"/>
  <c r="AS89" i="44"/>
  <c r="AS88" i="44"/>
  <c r="AS87" i="44"/>
  <c r="AS86" i="44"/>
  <c r="AS85" i="44"/>
  <c r="AS84" i="44"/>
  <c r="AS83" i="44"/>
  <c r="AS82" i="44"/>
  <c r="AS81" i="44"/>
  <c r="AS79" i="44"/>
  <c r="AS74" i="44"/>
  <c r="AS72" i="44"/>
  <c r="AS70" i="44"/>
  <c r="AS11" i="44"/>
  <c r="AS17" i="44"/>
  <c r="AR25" i="44"/>
  <c r="AR26" i="44"/>
  <c r="AR27" i="44"/>
  <c r="AR28" i="44"/>
  <c r="AR37" i="44"/>
  <c r="AR36" i="44"/>
  <c r="AR35" i="44"/>
  <c r="AR34" i="44"/>
  <c r="AR33" i="44"/>
  <c r="AR32" i="44"/>
  <c r="AR31" i="44"/>
  <c r="AR29" i="44"/>
  <c r="AR24" i="44"/>
  <c r="AR22" i="44"/>
  <c r="AR9" i="44"/>
  <c r="AR49" i="44"/>
  <c r="AR50" i="44"/>
  <c r="AR51" i="44"/>
  <c r="AR52" i="44"/>
  <c r="AR65" i="44"/>
  <c r="AR64" i="44"/>
  <c r="AR63" i="44"/>
  <c r="AR62" i="44"/>
  <c r="AR61" i="44"/>
  <c r="AR60" i="44"/>
  <c r="AR59" i="44"/>
  <c r="AR58" i="44"/>
  <c r="AR57" i="44"/>
  <c r="AR56" i="44"/>
  <c r="AR55" i="44"/>
  <c r="AR53" i="44"/>
  <c r="AR48" i="44"/>
  <c r="AR46" i="44"/>
  <c r="AR10" i="44"/>
  <c r="AR75" i="44"/>
  <c r="AR76" i="44"/>
  <c r="AR77" i="44"/>
  <c r="AR78" i="44"/>
  <c r="AR91" i="44"/>
  <c r="AR90" i="44"/>
  <c r="AR89" i="44"/>
  <c r="AR88" i="44"/>
  <c r="AR87" i="44"/>
  <c r="AR86" i="44"/>
  <c r="AR85" i="44"/>
  <c r="AR84" i="44"/>
  <c r="AR83" i="44"/>
  <c r="AR82" i="44"/>
  <c r="AR81" i="44"/>
  <c r="AR79" i="44"/>
  <c r="AR74" i="44"/>
  <c r="AR72" i="44"/>
  <c r="AR70" i="44"/>
  <c r="AR11" i="44"/>
  <c r="AR17" i="44"/>
  <c r="AQ25" i="44"/>
  <c r="AQ26" i="44"/>
  <c r="AQ27" i="44"/>
  <c r="AQ28" i="44"/>
  <c r="AQ37" i="44"/>
  <c r="AQ36" i="44"/>
  <c r="AQ35" i="44"/>
  <c r="AQ34" i="44"/>
  <c r="AQ33" i="44"/>
  <c r="AQ32" i="44"/>
  <c r="AQ31" i="44"/>
  <c r="AQ29" i="44"/>
  <c r="AQ24" i="44"/>
  <c r="AQ22" i="44"/>
  <c r="AQ9" i="44"/>
  <c r="AQ49" i="44"/>
  <c r="AQ50" i="44"/>
  <c r="AQ51" i="44"/>
  <c r="AQ52" i="44"/>
  <c r="AQ65" i="44"/>
  <c r="AQ64" i="44"/>
  <c r="AQ63" i="44"/>
  <c r="AQ62" i="44"/>
  <c r="AQ61" i="44"/>
  <c r="AQ60" i="44"/>
  <c r="AQ59" i="44"/>
  <c r="AQ58" i="44"/>
  <c r="AQ57" i="44"/>
  <c r="AQ56" i="44"/>
  <c r="AQ55" i="44"/>
  <c r="AQ53" i="44"/>
  <c r="AQ48" i="44"/>
  <c r="AQ46" i="44"/>
  <c r="AQ10" i="44"/>
  <c r="AQ75" i="44"/>
  <c r="AQ76" i="44"/>
  <c r="AQ77" i="44"/>
  <c r="AQ78" i="44"/>
  <c r="AQ91" i="44"/>
  <c r="AQ90" i="44"/>
  <c r="AQ89" i="44"/>
  <c r="AQ88" i="44"/>
  <c r="AQ87" i="44"/>
  <c r="AQ86" i="44"/>
  <c r="AQ85" i="44"/>
  <c r="AQ84" i="44"/>
  <c r="AQ83" i="44"/>
  <c r="AQ82" i="44"/>
  <c r="AQ81" i="44"/>
  <c r="AQ79" i="44"/>
  <c r="AQ74" i="44"/>
  <c r="AQ72" i="44"/>
  <c r="AQ70" i="44"/>
  <c r="AQ11" i="44"/>
  <c r="AQ17" i="44"/>
  <c r="AQ208" i="44"/>
  <c r="AQ212" i="44"/>
  <c r="AR208" i="44"/>
  <c r="AR212" i="44"/>
  <c r="AS208" i="44"/>
  <c r="AS212" i="44"/>
  <c r="AT208" i="44"/>
  <c r="AT212" i="44"/>
  <c r="AU208" i="44"/>
  <c r="AU212" i="44"/>
  <c r="AV208" i="44"/>
  <c r="AV212" i="44"/>
  <c r="AW208" i="44"/>
  <c r="AW212" i="44"/>
  <c r="AX208" i="44"/>
  <c r="AX212" i="44"/>
  <c r="AY208" i="44"/>
  <c r="AY212" i="44"/>
  <c r="AZ208" i="44"/>
  <c r="AZ212" i="44"/>
  <c r="BA208" i="44"/>
  <c r="BA212" i="44"/>
  <c r="BB208" i="44"/>
  <c r="BB212" i="44"/>
  <c r="G136" i="44" a="1"/>
  <c r="G135" i="44" a="1"/>
  <c r="H135" i="44"/>
  <c r="L135" i="44" a="1"/>
  <c r="H136" i="44"/>
  <c r="L136" i="44" a="1"/>
  <c r="AV99" i="44"/>
  <c r="AU99" i="44"/>
  <c r="BB99" i="44"/>
  <c r="AT99" i="44"/>
  <c r="BA99" i="44"/>
  <c r="AS99" i="44"/>
  <c r="AZ99" i="44"/>
  <c r="AR99" i="44"/>
  <c r="AY99" i="44"/>
  <c r="AQ99" i="44"/>
  <c r="AX99" i="44"/>
  <c r="AW99" i="44"/>
  <c r="BB102" i="44"/>
  <c r="AU102" i="44"/>
  <c r="AT102" i="44"/>
  <c r="BA102" i="44"/>
  <c r="AS102" i="44"/>
  <c r="AZ102" i="44"/>
  <c r="AR102" i="44"/>
  <c r="AY102" i="44"/>
  <c r="AQ102" i="44"/>
  <c r="AX102" i="44"/>
  <c r="AW102" i="44"/>
  <c r="AV102" i="44"/>
  <c r="AV105" i="44"/>
  <c r="AU105" i="44"/>
  <c r="BB105" i="44"/>
  <c r="AT105" i="44"/>
  <c r="BA105" i="44"/>
  <c r="AS105" i="44"/>
  <c r="AZ105" i="44"/>
  <c r="AR105" i="44"/>
  <c r="AY105" i="44"/>
  <c r="AQ105" i="44"/>
  <c r="AX105" i="44"/>
  <c r="AW105" i="44"/>
  <c r="BB97" i="44"/>
  <c r="AT97" i="44"/>
  <c r="BA97" i="44"/>
  <c r="AS97" i="44"/>
  <c r="AZ97" i="44"/>
  <c r="AR97" i="44"/>
  <c r="AY97" i="44"/>
  <c r="AQ97" i="44"/>
  <c r="AX97" i="44"/>
  <c r="AW97" i="44"/>
  <c r="AV97" i="44"/>
  <c r="AU97" i="44"/>
  <c r="M136" i="44"/>
  <c r="C120" i="44"/>
  <c r="BB103" i="44"/>
  <c r="AT103" i="44"/>
  <c r="BA103" i="44"/>
  <c r="AS103" i="44"/>
  <c r="AZ103" i="44"/>
  <c r="AR103" i="44"/>
  <c r="AY103" i="44"/>
  <c r="AQ103" i="44"/>
  <c r="AW103" i="44"/>
  <c r="AV103" i="44"/>
  <c r="AU103" i="44"/>
  <c r="AX103" i="44"/>
  <c r="AY104" i="44"/>
  <c r="AQ104" i="44"/>
  <c r="AX104" i="44"/>
  <c r="AW104" i="44"/>
  <c r="AV104" i="44"/>
  <c r="AU104" i="44"/>
  <c r="BB104" i="44"/>
  <c r="AT104" i="44"/>
  <c r="BA104" i="44"/>
  <c r="AS104" i="44"/>
  <c r="AZ104" i="44"/>
  <c r="AR104" i="44"/>
  <c r="AX101" i="44"/>
  <c r="AW101" i="44"/>
  <c r="AV101" i="44"/>
  <c r="AU101" i="44"/>
  <c r="BB101" i="44"/>
  <c r="AT101" i="44"/>
  <c r="BA101" i="44"/>
  <c r="AS101" i="44"/>
  <c r="AZ101" i="44"/>
  <c r="AR101" i="44"/>
  <c r="AY101" i="44"/>
  <c r="AQ101" i="44"/>
  <c r="BA100" i="44"/>
  <c r="AS100" i="44"/>
  <c r="AZ100" i="44"/>
  <c r="AR100" i="44"/>
  <c r="AY100" i="44"/>
  <c r="AQ100" i="44"/>
  <c r="AX100" i="44"/>
  <c r="AW100" i="44"/>
  <c r="AV100" i="44"/>
  <c r="AU100" i="44"/>
  <c r="BB100" i="44"/>
  <c r="AT100" i="44"/>
  <c r="M135" i="44"/>
  <c r="C119" i="44"/>
  <c r="AY98" i="44"/>
  <c r="AQ98" i="44"/>
  <c r="AX98" i="44"/>
  <c r="AW98" i="44"/>
  <c r="AV98" i="44"/>
  <c r="AU98" i="44"/>
  <c r="BB98" i="44"/>
  <c r="AT98" i="44"/>
  <c r="BA98" i="44"/>
  <c r="AS98" i="44"/>
  <c r="AZ98" i="44"/>
  <c r="AR98" i="44"/>
  <c r="AW96" i="44"/>
  <c r="AV96" i="44"/>
  <c r="AU96" i="44"/>
  <c r="BB96" i="44"/>
  <c r="AT96" i="44"/>
  <c r="BA96" i="44"/>
  <c r="AS96" i="44"/>
  <c r="AZ96" i="44"/>
  <c r="AR96" i="44"/>
  <c r="AY96" i="44"/>
  <c r="AQ96" i="44"/>
  <c r="AX96" i="44"/>
  <c r="AU95" i="44"/>
  <c r="AU12" i="44"/>
  <c r="AV95" i="44"/>
  <c r="AV12" i="44"/>
  <c r="AW95" i="44"/>
  <c r="AW12" i="44"/>
  <c r="AT95" i="44"/>
  <c r="AT12" i="44"/>
  <c r="AQ95" i="44"/>
  <c r="AQ12" i="44"/>
  <c r="AZ95" i="44"/>
  <c r="AZ12" i="44"/>
  <c r="CJ119" i="44"/>
  <c r="CR119" i="44"/>
  <c r="CZ119" i="44"/>
  <c r="DP119" i="44"/>
  <c r="AS95" i="44"/>
  <c r="AS12" i="44"/>
  <c r="BB95" i="44"/>
  <c r="BB12" i="44"/>
  <c r="AR95" i="44"/>
  <c r="AR12" i="44"/>
  <c r="BA95" i="44"/>
  <c r="BA12" i="44"/>
  <c r="G120" i="44"/>
  <c r="CL120" i="44"/>
  <c r="CM120" i="44"/>
  <c r="CN120" i="44"/>
  <c r="CO120" i="44"/>
  <c r="CP120" i="44"/>
  <c r="CQ120" i="44"/>
  <c r="CR120" i="44"/>
  <c r="CS120" i="44"/>
  <c r="CT120" i="44"/>
  <c r="CU120" i="44"/>
  <c r="CV120" i="44"/>
  <c r="CW120" i="44"/>
  <c r="CX120" i="44"/>
  <c r="CY120" i="44"/>
  <c r="CZ120" i="44"/>
  <c r="DA120" i="44"/>
  <c r="DB120" i="44"/>
  <c r="DC120" i="44"/>
  <c r="DD120" i="44"/>
  <c r="DE120" i="44"/>
  <c r="DF120" i="44"/>
  <c r="DG120" i="44"/>
  <c r="DH120" i="44"/>
  <c r="DI120" i="44"/>
  <c r="DJ120" i="44"/>
  <c r="DK120" i="44"/>
  <c r="DL120" i="44"/>
  <c r="DM120" i="44"/>
  <c r="DN120" i="44"/>
  <c r="DO120" i="44"/>
  <c r="DP120" i="44"/>
  <c r="DQ120" i="44"/>
  <c r="DR120" i="44"/>
  <c r="DS120" i="44"/>
  <c r="DT120" i="44"/>
  <c r="DU120" i="44"/>
  <c r="DV120" i="44"/>
  <c r="AY95" i="44"/>
  <c r="AY12" i="44"/>
  <c r="AX95" i="44"/>
  <c r="AX12" i="44"/>
  <c r="DO119" i="44"/>
  <c r="DG119" i="44"/>
  <c r="CY119" i="44"/>
  <c r="CQ119" i="44"/>
  <c r="CI119" i="44"/>
  <c r="G119" i="44"/>
  <c r="DV119" i="44"/>
  <c r="DN119" i="44"/>
  <c r="DF119" i="44"/>
  <c r="CX119" i="44"/>
  <c r="CP119" i="44"/>
  <c r="CH119" i="44"/>
  <c r="DU119" i="44"/>
  <c r="DM119" i="44"/>
  <c r="DE119" i="44"/>
  <c r="CW119" i="44"/>
  <c r="CO119" i="44"/>
  <c r="CG119" i="44"/>
  <c r="DT119" i="44"/>
  <c r="DL119" i="44"/>
  <c r="DD119" i="44"/>
  <c r="CV119" i="44"/>
  <c r="CN119" i="44"/>
  <c r="CF119" i="44"/>
  <c r="DS119" i="44"/>
  <c r="DK119" i="44"/>
  <c r="DC119" i="44"/>
  <c r="CU119" i="44"/>
  <c r="CM119" i="44"/>
  <c r="CE119" i="44"/>
  <c r="DR119" i="44"/>
  <c r="DJ119" i="44"/>
  <c r="DB119" i="44"/>
  <c r="DQ119" i="44"/>
  <c r="DI119" i="44"/>
  <c r="DA119" i="44"/>
  <c r="CS119" i="44"/>
  <c r="CK119" i="44"/>
  <c r="DH119" i="44"/>
  <c r="CT119" i="44"/>
  <c r="CL119" i="44"/>
  <c r="CD119" i="44"/>
  <c r="DO110" i="44"/>
  <c r="DO13" i="44"/>
  <c r="DG110" i="44"/>
  <c r="DG13" i="44"/>
  <c r="CY110" i="44"/>
  <c r="CY13" i="44"/>
  <c r="CQ110" i="44"/>
  <c r="CQ13" i="44"/>
  <c r="DV110" i="44"/>
  <c r="DV13" i="44"/>
  <c r="DN110" i="44"/>
  <c r="DN13" i="44"/>
  <c r="DF110" i="44"/>
  <c r="DF13" i="44"/>
  <c r="CX110" i="44"/>
  <c r="CX13" i="44"/>
  <c r="CP110" i="44"/>
  <c r="CP13" i="44"/>
  <c r="DU110" i="44"/>
  <c r="DU13" i="44"/>
  <c r="DM110" i="44"/>
  <c r="DM13" i="44"/>
  <c r="DE110" i="44"/>
  <c r="DE13" i="44"/>
  <c r="CW110" i="44"/>
  <c r="CW13" i="44"/>
  <c r="CO110" i="44"/>
  <c r="CO13" i="44"/>
  <c r="DT110" i="44"/>
  <c r="DT13" i="44"/>
  <c r="DL110" i="44"/>
  <c r="DL13" i="44"/>
  <c r="DD110" i="44"/>
  <c r="DD13" i="44"/>
  <c r="CV110" i="44"/>
  <c r="CV13" i="44"/>
  <c r="CN110" i="44"/>
  <c r="CN13" i="44"/>
  <c r="DS110" i="44"/>
  <c r="DS13" i="44"/>
  <c r="DK110" i="44"/>
  <c r="DK13" i="44"/>
  <c r="DC110" i="44"/>
  <c r="DC13" i="44"/>
  <c r="CU110" i="44"/>
  <c r="CU13" i="44"/>
  <c r="CM110" i="44"/>
  <c r="CM13" i="44"/>
  <c r="DR110" i="44"/>
  <c r="DR13" i="44"/>
  <c r="DJ110" i="44"/>
  <c r="DJ13" i="44"/>
  <c r="DB110" i="44"/>
  <c r="DB13" i="44"/>
  <c r="CT110" i="44"/>
  <c r="CT13" i="44"/>
  <c r="CL110" i="44"/>
  <c r="CL13" i="44"/>
  <c r="DQ110" i="44"/>
  <c r="DQ13" i="44"/>
  <c r="DI110" i="44"/>
  <c r="DI13" i="44"/>
  <c r="DA110" i="44"/>
  <c r="DA13" i="44"/>
  <c r="CS110" i="44"/>
  <c r="CS13" i="44"/>
  <c r="G110" i="44"/>
  <c r="G13" i="44"/>
  <c r="DP110" i="44"/>
  <c r="DP13" i="44"/>
  <c r="DH110" i="44"/>
  <c r="DH13" i="44"/>
  <c r="CZ110" i="44"/>
  <c r="CZ13" i="44"/>
  <c r="CR110" i="44"/>
  <c r="CR13" i="44"/>
  <c r="H119" i="44"/>
  <c r="H120" i="44"/>
  <c r="G8" i="44"/>
  <c r="G16" i="44"/>
  <c r="H15" i="44"/>
  <c r="H110" i="44"/>
  <c r="H13" i="44"/>
  <c r="I119" i="44"/>
  <c r="I120" i="44"/>
  <c r="H8" i="44"/>
  <c r="H16" i="44"/>
  <c r="I15" i="44"/>
  <c r="J120" i="44"/>
  <c r="J119" i="44"/>
  <c r="I110" i="44"/>
  <c r="I13" i="44"/>
  <c r="I8" i="44"/>
  <c r="I16" i="44"/>
  <c r="J15" i="44"/>
  <c r="K166" i="44"/>
  <c r="K111" i="44"/>
  <c r="K119" i="44"/>
  <c r="K120" i="44"/>
  <c r="J110" i="44"/>
  <c r="J13" i="44"/>
  <c r="J8" i="44"/>
  <c r="J16" i="44"/>
  <c r="K15" i="44"/>
  <c r="L166" i="44"/>
  <c r="L111" i="44"/>
  <c r="K110" i="44"/>
  <c r="K13" i="44"/>
  <c r="K8" i="44"/>
  <c r="K16" i="44"/>
  <c r="L120" i="44"/>
  <c r="L119" i="44"/>
  <c r="L15" i="44"/>
  <c r="M119" i="44"/>
  <c r="M120" i="44"/>
  <c r="M166" i="44"/>
  <c r="M111" i="44"/>
  <c r="L110" i="44"/>
  <c r="L13" i="44"/>
  <c r="L8" i="44"/>
  <c r="L16" i="44"/>
  <c r="M15" i="44"/>
  <c r="N166" i="44"/>
  <c r="N111" i="44"/>
  <c r="N119" i="44"/>
  <c r="M110" i="44"/>
  <c r="M13" i="44"/>
  <c r="M8" i="44"/>
  <c r="M16" i="44"/>
  <c r="N15" i="44"/>
  <c r="N120" i="44"/>
  <c r="O166" i="44"/>
  <c r="O111" i="44"/>
  <c r="N110" i="44"/>
  <c r="N13" i="44"/>
  <c r="N8" i="44"/>
  <c r="N16" i="44"/>
  <c r="O15" i="44"/>
  <c r="O120" i="44"/>
  <c r="O167" i="44"/>
  <c r="O112" i="44"/>
  <c r="O119" i="44"/>
  <c r="O110" i="44"/>
  <c r="O13" i="44"/>
  <c r="P166" i="44"/>
  <c r="P111" i="44"/>
  <c r="P119" i="44"/>
  <c r="P167" i="44"/>
  <c r="P112" i="44"/>
  <c r="P168" i="44"/>
  <c r="P113" i="44"/>
  <c r="P120" i="44"/>
  <c r="O8" i="44"/>
  <c r="O16" i="44"/>
  <c r="P15" i="44"/>
  <c r="Q120" i="44"/>
  <c r="Q168" i="44"/>
  <c r="Q113" i="44"/>
  <c r="Q167" i="44"/>
  <c r="Q112" i="44"/>
  <c r="Q119" i="44"/>
  <c r="Q166" i="44"/>
  <c r="Q111" i="44"/>
  <c r="P110" i="44"/>
  <c r="P13" i="44"/>
  <c r="P8" i="44"/>
  <c r="P16" i="44"/>
  <c r="Q15" i="44"/>
  <c r="R166" i="44"/>
  <c r="R111" i="44"/>
  <c r="R119" i="44"/>
  <c r="R167" i="44"/>
  <c r="R112" i="44"/>
  <c r="Q110" i="44"/>
  <c r="Q13" i="44"/>
  <c r="Q8" i="44"/>
  <c r="Q16" i="44"/>
  <c r="R15" i="44"/>
  <c r="R168" i="44"/>
  <c r="R113" i="44"/>
  <c r="R120" i="44"/>
  <c r="S166" i="44"/>
  <c r="S111" i="44"/>
  <c r="S119" i="44"/>
  <c r="R110" i="44"/>
  <c r="R13" i="44"/>
  <c r="R8" i="44"/>
  <c r="R16" i="44"/>
  <c r="S15" i="44"/>
  <c r="S168" i="44"/>
  <c r="S113" i="44"/>
  <c r="S167" i="44"/>
  <c r="S112" i="44"/>
  <c r="S120" i="44"/>
  <c r="T168" i="44"/>
  <c r="T113" i="44"/>
  <c r="T119" i="44"/>
  <c r="T120" i="44"/>
  <c r="T167" i="44"/>
  <c r="T112" i="44"/>
  <c r="T166" i="44"/>
  <c r="T111" i="44"/>
  <c r="S110" i="44"/>
  <c r="S13" i="44"/>
  <c r="S8" i="44"/>
  <c r="S16" i="44"/>
  <c r="T15" i="44"/>
  <c r="U169" i="44"/>
  <c r="U114" i="44"/>
  <c r="U166" i="44"/>
  <c r="U111" i="44"/>
  <c r="U120" i="44"/>
  <c r="T110" i="44"/>
  <c r="T13" i="44"/>
  <c r="U167" i="44"/>
  <c r="U112" i="44"/>
  <c r="U119" i="44"/>
  <c r="U168" i="44"/>
  <c r="U113" i="44"/>
  <c r="T8" i="44"/>
  <c r="T16" i="44"/>
  <c r="U15" i="44"/>
  <c r="V120" i="44"/>
  <c r="V166" i="44"/>
  <c r="V111" i="44"/>
  <c r="U110" i="44"/>
  <c r="U13" i="44"/>
  <c r="U8" i="44"/>
  <c r="U16" i="44"/>
  <c r="V15" i="44"/>
  <c r="V169" i="44"/>
  <c r="V114" i="44"/>
  <c r="V168" i="44"/>
  <c r="V113" i="44"/>
  <c r="V119" i="44"/>
  <c r="V167" i="44"/>
  <c r="V112" i="44"/>
  <c r="W167" i="44"/>
  <c r="W112" i="44"/>
  <c r="W168" i="44"/>
  <c r="W113" i="44"/>
  <c r="V110" i="44"/>
  <c r="V13" i="44"/>
  <c r="W120" i="44"/>
  <c r="W119" i="44"/>
  <c r="W169" i="44"/>
  <c r="W114" i="44"/>
  <c r="W166" i="44"/>
  <c r="W111" i="44"/>
  <c r="V8" i="44"/>
  <c r="V16" i="44"/>
  <c r="W15" i="44"/>
  <c r="W110" i="44"/>
  <c r="W13" i="44"/>
  <c r="X166" i="44"/>
  <c r="X111" i="44"/>
  <c r="X119" i="44"/>
  <c r="X168" i="44"/>
  <c r="X113" i="44"/>
  <c r="X167" i="44"/>
  <c r="X112" i="44"/>
  <c r="X169" i="44"/>
  <c r="X114" i="44"/>
  <c r="X120" i="44"/>
  <c r="X170" i="44"/>
  <c r="X115" i="44"/>
  <c r="Y166" i="44"/>
  <c r="Y111" i="44"/>
  <c r="W8" i="44"/>
  <c r="W16" i="44"/>
  <c r="X15" i="44"/>
  <c r="Y170" i="44"/>
  <c r="Y115" i="44"/>
  <c r="Y167" i="44"/>
  <c r="Y112" i="44"/>
  <c r="Y168" i="44"/>
  <c r="Y113" i="44"/>
  <c r="Y120" i="44"/>
  <c r="Y119" i="44"/>
  <c r="Y169" i="44"/>
  <c r="Y114" i="44"/>
  <c r="X110" i="44"/>
  <c r="X13" i="44"/>
  <c r="X8" i="44"/>
  <c r="X16" i="44"/>
  <c r="Z167" i="44"/>
  <c r="Z112" i="44"/>
  <c r="Y110" i="44"/>
  <c r="Y13" i="44"/>
  <c r="F218" i="44"/>
  <c r="Y15" i="44"/>
  <c r="Z170" i="44"/>
  <c r="Z115" i="44"/>
  <c r="Z169" i="44"/>
  <c r="Z114" i="44"/>
  <c r="Z120" i="44"/>
  <c r="Z119" i="44"/>
  <c r="Z168" i="44"/>
  <c r="Z113" i="44"/>
  <c r="Z110" i="44"/>
  <c r="Z13" i="44"/>
  <c r="Z8" i="44"/>
  <c r="Y8" i="44"/>
  <c r="Y16" i="44"/>
  <c r="Z15" i="44"/>
  <c r="Z16" i="44"/>
  <c r="AA15" i="44"/>
  <c r="AB171" i="44"/>
  <c r="AB116" i="44"/>
  <c r="AA119" i="44"/>
  <c r="AA168" i="44"/>
  <c r="AA113" i="44"/>
  <c r="AA120" i="44"/>
  <c r="AA169" i="44"/>
  <c r="AA114" i="44"/>
  <c r="AA170" i="44"/>
  <c r="AA115" i="44"/>
  <c r="AB169" i="44"/>
  <c r="AB114" i="44"/>
  <c r="AB120" i="44"/>
  <c r="AC171" i="44"/>
  <c r="AC116" i="44"/>
  <c r="AB168" i="44"/>
  <c r="AB113" i="44"/>
  <c r="AB170" i="44"/>
  <c r="AB115" i="44"/>
  <c r="AA110" i="44"/>
  <c r="AA13" i="44"/>
  <c r="AB119" i="44"/>
  <c r="AA8" i="44"/>
  <c r="AA16" i="44"/>
  <c r="AB15" i="44"/>
  <c r="AB110" i="44"/>
  <c r="AB13" i="44"/>
  <c r="AC170" i="44"/>
  <c r="AC115" i="44"/>
  <c r="AD171" i="44"/>
  <c r="AD116" i="44"/>
  <c r="AC120" i="44"/>
  <c r="AC119" i="44"/>
  <c r="AC168" i="44"/>
  <c r="AC113" i="44"/>
  <c r="AC169" i="44"/>
  <c r="AC114" i="44"/>
  <c r="AB8" i="44"/>
  <c r="AB16" i="44"/>
  <c r="AC15" i="44"/>
  <c r="AD120" i="44"/>
  <c r="AD168" i="44"/>
  <c r="AD113" i="44"/>
  <c r="AE171" i="44"/>
  <c r="AE116" i="44"/>
  <c r="AD170" i="44"/>
  <c r="AD115" i="44"/>
  <c r="AC110" i="44"/>
  <c r="AC13" i="44"/>
  <c r="AD119" i="44"/>
  <c r="AD169" i="44"/>
  <c r="AD114" i="44"/>
  <c r="AC8" i="44"/>
  <c r="AC16" i="44"/>
  <c r="AD15" i="44"/>
  <c r="AD110" i="44"/>
  <c r="AD13" i="44"/>
  <c r="AD8" i="44"/>
  <c r="AD16" i="44"/>
  <c r="AE15" i="44"/>
  <c r="AE168" i="44"/>
  <c r="AE113" i="44"/>
  <c r="AE120" i="44"/>
  <c r="AE119" i="44"/>
  <c r="AE170" i="44"/>
  <c r="AE115" i="44"/>
  <c r="AF171" i="44"/>
  <c r="AF116" i="44"/>
  <c r="AE169" i="44"/>
  <c r="AE114" i="44"/>
  <c r="AE110" i="44"/>
  <c r="AE13" i="44"/>
  <c r="AE8" i="44"/>
  <c r="AE16" i="44"/>
  <c r="AF15" i="44"/>
  <c r="AG171" i="44"/>
  <c r="AG116" i="44"/>
  <c r="AF169" i="44"/>
  <c r="AF114" i="44"/>
  <c r="AF119" i="44"/>
  <c r="AF120" i="44"/>
  <c r="AF170" i="44"/>
  <c r="AF115" i="44"/>
  <c r="AG170" i="44"/>
  <c r="AG115" i="44"/>
  <c r="AG169" i="44"/>
  <c r="AG114" i="44"/>
  <c r="AF110" i="44"/>
  <c r="AF13" i="44"/>
  <c r="AG119" i="44"/>
  <c r="AH171" i="44"/>
  <c r="AH116" i="44"/>
  <c r="AG120" i="44"/>
  <c r="AF8" i="44"/>
  <c r="AF16" i="44"/>
  <c r="AG15" i="44"/>
  <c r="AG110" i="44"/>
  <c r="AG13" i="44"/>
  <c r="AH119" i="44"/>
  <c r="AH120" i="44"/>
  <c r="AH170" i="44"/>
  <c r="AH115" i="44"/>
  <c r="AH172" i="44"/>
  <c r="AH117" i="44"/>
  <c r="AI171" i="44"/>
  <c r="AI116" i="44"/>
  <c r="AH169" i="44"/>
  <c r="AH114" i="44"/>
  <c r="AG8" i="44"/>
  <c r="AG16" i="44"/>
  <c r="AH15" i="44"/>
  <c r="AI169" i="44"/>
  <c r="AI114" i="44"/>
  <c r="AI172" i="44"/>
  <c r="AI117" i="44"/>
  <c r="AH110" i="44"/>
  <c r="AH13" i="44"/>
  <c r="AI170" i="44"/>
  <c r="AI115" i="44"/>
  <c r="AJ171" i="44"/>
  <c r="AJ116" i="44"/>
  <c r="AI120" i="44"/>
  <c r="AI119" i="44"/>
  <c r="AH8" i="44"/>
  <c r="AH16" i="44"/>
  <c r="AI15" i="44"/>
  <c r="AJ170" i="44"/>
  <c r="AJ115" i="44"/>
  <c r="AJ169" i="44"/>
  <c r="AJ114" i="44"/>
  <c r="AI110" i="44"/>
  <c r="AI13" i="44"/>
  <c r="AI8" i="44"/>
  <c r="AI16" i="44"/>
  <c r="AJ15" i="44"/>
  <c r="AJ119" i="44"/>
  <c r="AJ120" i="44"/>
  <c r="AK171" i="44"/>
  <c r="AK116" i="44"/>
  <c r="AJ172" i="44"/>
  <c r="AJ117" i="44"/>
  <c r="AL171" i="44"/>
  <c r="AL116" i="44"/>
  <c r="AK119" i="44"/>
  <c r="AK169" i="44"/>
  <c r="AK114" i="44"/>
  <c r="AJ110" i="44"/>
  <c r="AJ13" i="44"/>
  <c r="AJ8" i="44"/>
  <c r="AJ16" i="44"/>
  <c r="AK15" i="44"/>
  <c r="AK172" i="44"/>
  <c r="AK117" i="44"/>
  <c r="AK120" i="44"/>
  <c r="AK170" i="44"/>
  <c r="AK115" i="44"/>
  <c r="AM171" i="44"/>
  <c r="AM116" i="44"/>
  <c r="AK110" i="44"/>
  <c r="AK13" i="44"/>
  <c r="AL120" i="44"/>
  <c r="AL172" i="44"/>
  <c r="AL117" i="44"/>
  <c r="AL119" i="44"/>
  <c r="AL170" i="44"/>
  <c r="AL115" i="44"/>
  <c r="AL169" i="44"/>
  <c r="AL114" i="44"/>
  <c r="AL110" i="44"/>
  <c r="AL13" i="44"/>
  <c r="AM169" i="44"/>
  <c r="AM114" i="44"/>
  <c r="AK8" i="44"/>
  <c r="AK16" i="44"/>
  <c r="AL15" i="44"/>
  <c r="AL8" i="44"/>
  <c r="AL16" i="44"/>
  <c r="AM15" i="44"/>
  <c r="AM172" i="44"/>
  <c r="AM117" i="44"/>
  <c r="AM170" i="44"/>
  <c r="AM115" i="44"/>
  <c r="AM119" i="44"/>
  <c r="AM120" i="44"/>
  <c r="AM110" i="44"/>
  <c r="AM13" i="44"/>
  <c r="AM8" i="44"/>
  <c r="AM16" i="44"/>
  <c r="AN15" i="44"/>
  <c r="AN120" i="44"/>
  <c r="AN173" i="44"/>
  <c r="AN118" i="44"/>
  <c r="AN119" i="44"/>
  <c r="AN172" i="44"/>
  <c r="AN117" i="44"/>
  <c r="AN170" i="44"/>
  <c r="AN115" i="44"/>
  <c r="AO170" i="44"/>
  <c r="AO115" i="44"/>
  <c r="AO172" i="44"/>
  <c r="AO117" i="44"/>
  <c r="AO173" i="44"/>
  <c r="AO118" i="44"/>
  <c r="AN110" i="44"/>
  <c r="AN13" i="44"/>
  <c r="AO119" i="44"/>
  <c r="AO120" i="44"/>
  <c r="AN8" i="44"/>
  <c r="AN16" i="44"/>
  <c r="AO15" i="44"/>
  <c r="AO110" i="44"/>
  <c r="AO13" i="44"/>
  <c r="AP173" i="44"/>
  <c r="AP118" i="44"/>
  <c r="AP119" i="44"/>
  <c r="AP172" i="44"/>
  <c r="AP117" i="44"/>
  <c r="AP120" i="44"/>
  <c r="AO8" i="44"/>
  <c r="AO16" i="44"/>
  <c r="AP15" i="44"/>
  <c r="AQ172" i="44"/>
  <c r="AQ117" i="44"/>
  <c r="AP110" i="44"/>
  <c r="AP13" i="44"/>
  <c r="AQ173" i="44"/>
  <c r="AQ118" i="44"/>
  <c r="AQ120" i="44"/>
  <c r="AQ119" i="44"/>
  <c r="AP8" i="44"/>
  <c r="AP16" i="44"/>
  <c r="AQ15" i="44"/>
  <c r="AR173" i="44"/>
  <c r="AR118" i="44"/>
  <c r="AR119" i="44"/>
  <c r="AR172" i="44"/>
  <c r="AR117" i="44"/>
  <c r="AQ110" i="44"/>
  <c r="AQ13" i="44"/>
  <c r="AR120" i="44"/>
  <c r="AQ8" i="44"/>
  <c r="AQ16" i="44"/>
  <c r="AR15" i="44"/>
  <c r="AR110" i="44"/>
  <c r="AR13" i="44"/>
  <c r="AS172" i="44"/>
  <c r="AS117" i="44"/>
  <c r="AS120" i="44"/>
  <c r="AS119" i="44"/>
  <c r="AS173" i="44"/>
  <c r="AS118" i="44"/>
  <c r="AR8" i="44"/>
  <c r="AR16" i="44"/>
  <c r="AS15" i="44"/>
  <c r="AS110" i="44"/>
  <c r="AS13" i="44"/>
  <c r="AT173" i="44"/>
  <c r="AT118" i="44"/>
  <c r="AT119" i="44"/>
  <c r="AT120" i="44"/>
  <c r="AT172" i="44"/>
  <c r="AT117" i="44"/>
  <c r="AS8" i="44"/>
  <c r="AS16" i="44"/>
  <c r="AT15" i="44"/>
  <c r="AT110" i="44"/>
  <c r="AT13" i="44"/>
  <c r="AU119" i="44"/>
  <c r="AU172" i="44"/>
  <c r="AU117" i="44"/>
  <c r="AU173" i="44"/>
  <c r="AU118" i="44"/>
  <c r="AU120" i="44"/>
  <c r="AT8" i="44"/>
  <c r="AT16" i="44"/>
  <c r="AU15" i="44"/>
  <c r="AV120" i="44"/>
  <c r="AV174" i="44"/>
  <c r="AV119" i="44"/>
  <c r="AV173" i="44"/>
  <c r="AV118" i="44"/>
  <c r="AV172" i="44"/>
  <c r="AV117" i="44"/>
  <c r="AU110" i="44"/>
  <c r="AU13" i="44"/>
  <c r="AU8" i="44"/>
  <c r="AU16" i="44"/>
  <c r="AV15" i="44"/>
  <c r="AW172" i="44"/>
  <c r="AW117" i="44"/>
  <c r="AW120" i="44"/>
  <c r="AV110" i="44"/>
  <c r="AV13" i="44"/>
  <c r="AW173" i="44"/>
  <c r="AW118" i="44"/>
  <c r="AW174" i="44"/>
  <c r="AW119" i="44"/>
  <c r="AW110" i="44"/>
  <c r="AW13" i="44"/>
  <c r="AW8" i="44"/>
  <c r="AV8" i="44"/>
  <c r="AV16" i="44"/>
  <c r="AW15" i="44"/>
  <c r="AW16" i="44"/>
  <c r="AX15" i="44"/>
  <c r="AX172" i="44"/>
  <c r="AX117" i="44"/>
  <c r="AX173" i="44"/>
  <c r="AX118" i="44"/>
  <c r="AX120" i="44"/>
  <c r="AX174" i="44"/>
  <c r="AX119" i="44"/>
  <c r="AX110" i="44"/>
  <c r="AX13" i="44"/>
  <c r="AY174" i="44"/>
  <c r="AY119" i="44"/>
  <c r="AY172" i="44"/>
  <c r="AY117" i="44"/>
  <c r="AY173" i="44"/>
  <c r="AY118" i="44"/>
  <c r="AY120" i="44"/>
  <c r="AX8" i="44"/>
  <c r="AX16" i="44"/>
  <c r="AY15" i="44"/>
  <c r="AZ173" i="44"/>
  <c r="AZ118" i="44"/>
  <c r="AZ120" i="44"/>
  <c r="AZ172" i="44"/>
  <c r="AZ117" i="44"/>
  <c r="AZ174" i="44"/>
  <c r="AZ119" i="44"/>
  <c r="AY110" i="44"/>
  <c r="AY13" i="44"/>
  <c r="AZ110" i="44"/>
  <c r="AZ13" i="44"/>
  <c r="BA173" i="44"/>
  <c r="BA118" i="44"/>
  <c r="BA174" i="44"/>
  <c r="BA119" i="44"/>
  <c r="BA120" i="44"/>
  <c r="BA172" i="44"/>
  <c r="BA117" i="44"/>
  <c r="AY8" i="44"/>
  <c r="AY16" i="44"/>
  <c r="AZ15" i="44"/>
  <c r="BA110" i="44"/>
  <c r="BA13" i="44"/>
  <c r="AZ8" i="44"/>
  <c r="BA8" i="44"/>
  <c r="BB120" i="44"/>
  <c r="BB174" i="44"/>
  <c r="BB119" i="44"/>
  <c r="BB172" i="44"/>
  <c r="BB117" i="44"/>
  <c r="BB173" i="44"/>
  <c r="BB118" i="44"/>
  <c r="AZ16" i="44"/>
  <c r="BA15" i="44"/>
  <c r="BB110" i="44"/>
  <c r="BB13" i="44"/>
  <c r="BA16" i="44"/>
  <c r="BB15" i="44"/>
  <c r="BB8" i="44"/>
  <c r="BB16" i="44"/>
  <c r="BC15" i="44"/>
  <c r="BC172" i="44"/>
  <c r="BC117" i="44"/>
  <c r="BC174" i="44"/>
  <c r="BC119" i="44"/>
  <c r="BC175" i="44"/>
  <c r="BC120" i="44"/>
  <c r="BC173" i="44"/>
  <c r="BC118" i="44"/>
  <c r="BC110" i="44"/>
  <c r="BC13" i="44"/>
  <c r="BD173" i="44"/>
  <c r="BD118" i="44"/>
  <c r="BD172" i="44"/>
  <c r="BD117" i="44"/>
  <c r="BD174" i="44"/>
  <c r="BD119" i="44"/>
  <c r="BD175" i="44"/>
  <c r="BD120" i="44"/>
  <c r="BD110" i="44"/>
  <c r="BD13" i="44"/>
  <c r="BE174" i="44"/>
  <c r="BE119" i="44"/>
  <c r="BE175" i="44"/>
  <c r="BE120" i="44"/>
  <c r="BF175" i="44"/>
  <c r="BF120" i="44"/>
  <c r="BF174" i="44"/>
  <c r="BF119" i="44"/>
  <c r="BE110" i="44"/>
  <c r="BE13" i="44"/>
  <c r="BF110" i="44"/>
  <c r="BF13" i="44"/>
  <c r="BG174" i="44"/>
  <c r="BG119" i="44"/>
  <c r="BG175" i="44"/>
  <c r="BG120" i="44"/>
  <c r="BH175" i="44"/>
  <c r="BH120" i="44"/>
  <c r="BH174" i="44"/>
  <c r="BH119" i="44"/>
  <c r="BG110" i="44"/>
  <c r="BG13" i="44"/>
  <c r="BH110" i="44"/>
  <c r="BH13" i="44"/>
  <c r="BI174" i="44"/>
  <c r="BI119" i="44"/>
  <c r="BI175" i="44"/>
  <c r="BI120" i="44"/>
  <c r="BJ174" i="44"/>
  <c r="BJ119" i="44"/>
  <c r="BI110" i="44"/>
  <c r="BI13" i="44"/>
  <c r="BJ175" i="44"/>
  <c r="BJ120" i="44"/>
  <c r="BJ110" i="44"/>
  <c r="BJ13" i="44"/>
  <c r="BK174" i="44"/>
  <c r="BK119" i="44"/>
  <c r="BK175" i="44"/>
  <c r="BK120" i="44"/>
  <c r="BL175" i="44"/>
  <c r="BL120" i="44"/>
  <c r="BL174" i="44"/>
  <c r="BL119" i="44"/>
  <c r="BL110" i="44"/>
  <c r="BL13" i="44"/>
  <c r="BK110" i="44"/>
  <c r="BK13" i="44"/>
  <c r="BM174" i="44"/>
  <c r="BM119" i="44"/>
  <c r="BM175" i="44"/>
  <c r="BM120" i="44"/>
  <c r="BM110" i="44"/>
  <c r="BM13" i="44"/>
  <c r="BN175" i="44"/>
  <c r="BN120" i="44"/>
  <c r="BN174" i="44"/>
  <c r="BN119" i="44"/>
  <c r="BN110" i="44"/>
  <c r="BN13" i="44"/>
  <c r="BO174" i="44"/>
  <c r="BO119" i="44"/>
  <c r="BO175" i="44"/>
  <c r="BO120" i="44"/>
  <c r="BP175" i="44"/>
  <c r="BP120" i="44"/>
  <c r="BP174" i="44"/>
  <c r="BP119" i="44"/>
  <c r="BO110" i="44"/>
  <c r="BO13" i="44"/>
  <c r="BQ174" i="44"/>
  <c r="BQ119" i="44"/>
  <c r="BP110" i="44"/>
  <c r="BP13" i="44"/>
  <c r="BQ175" i="44"/>
  <c r="BQ120" i="44"/>
  <c r="BQ110" i="44"/>
  <c r="BQ13" i="44"/>
  <c r="BR119" i="44"/>
  <c r="BR175" i="44"/>
  <c r="BR120" i="44"/>
  <c r="BR110" i="44"/>
  <c r="BR13" i="44"/>
  <c r="BS119" i="44"/>
  <c r="BS175" i="44"/>
  <c r="BS120" i="44"/>
  <c r="BS110" i="44"/>
  <c r="BS13" i="44"/>
  <c r="BT119" i="44"/>
  <c r="BT175" i="44"/>
  <c r="BT120" i="44"/>
  <c r="BT110" i="44"/>
  <c r="BT13" i="44"/>
  <c r="BU119" i="44"/>
  <c r="BU175" i="44"/>
  <c r="BU120" i="44"/>
  <c r="BU110" i="44"/>
  <c r="BU13" i="44"/>
  <c r="BV119" i="44"/>
  <c r="BV175" i="44"/>
  <c r="BV120" i="44"/>
  <c r="BV110" i="44"/>
  <c r="BV13" i="44"/>
  <c r="BW119" i="44"/>
  <c r="BW175" i="44"/>
  <c r="BW120" i="44"/>
  <c r="BW110" i="44"/>
  <c r="BW13" i="44"/>
  <c r="BX119" i="44"/>
  <c r="BX175" i="44"/>
  <c r="BX120" i="44"/>
  <c r="BY119" i="44"/>
  <c r="BX110" i="44"/>
  <c r="BX13" i="44"/>
  <c r="BY175" i="44"/>
  <c r="BY120" i="44"/>
  <c r="BY110" i="44"/>
  <c r="BY13" i="44"/>
  <c r="BZ120" i="44"/>
  <c r="BZ119" i="44"/>
  <c r="BZ110" i="44"/>
  <c r="BZ13" i="44"/>
  <c r="CA119" i="44"/>
  <c r="CA120" i="44"/>
  <c r="CA110" i="44"/>
  <c r="CA13" i="44"/>
  <c r="CB120" i="44"/>
  <c r="CB119" i="44"/>
  <c r="CB110" i="44"/>
  <c r="CB13" i="44"/>
  <c r="CC119" i="44"/>
  <c r="CC120" i="44"/>
  <c r="CC110" i="44"/>
  <c r="CC13" i="44"/>
  <c r="CD120" i="44"/>
  <c r="CD110" i="44"/>
  <c r="CD13" i="44"/>
  <c r="CE120" i="44"/>
  <c r="CE110" i="44"/>
  <c r="CE13" i="44"/>
  <c r="CF120" i="44"/>
  <c r="CF110" i="44"/>
  <c r="CF13" i="44"/>
  <c r="CG120" i="44"/>
  <c r="CG110" i="44"/>
  <c r="CG13" i="44"/>
  <c r="CH120" i="44"/>
  <c r="CH110" i="44"/>
  <c r="CH13" i="44"/>
  <c r="CI120" i="44"/>
  <c r="CI110" i="44"/>
  <c r="CI13" i="44"/>
  <c r="CJ120" i="44"/>
  <c r="CJ110" i="44"/>
  <c r="CJ13" i="44"/>
  <c r="CK120" i="44"/>
  <c r="CK110" i="44"/>
  <c r="CK13" i="44"/>
  <c r="H32" i="45" a="1"/>
  <c r="H27" i="45" a="1"/>
  <c r="H22" i="45" a="1"/>
  <c r="H17" i="45" a="1"/>
  <c r="BC206" i="44"/>
  <c r="BC210" i="44"/>
  <c r="BD206" i="44"/>
  <c r="BD210" i="44"/>
  <c r="BE206" i="44"/>
  <c r="BE210" i="44"/>
  <c r="BF206" i="44"/>
  <c r="BF210" i="44"/>
  <c r="BG206" i="44"/>
  <c r="BG210" i="44"/>
  <c r="BH206" i="44"/>
  <c r="BH210" i="44"/>
  <c r="BI206" i="44"/>
  <c r="BI210" i="44"/>
  <c r="BJ206" i="44"/>
  <c r="BJ210" i="44"/>
  <c r="BK206" i="44"/>
  <c r="BK210" i="44"/>
  <c r="BL206" i="44"/>
  <c r="BL210" i="44"/>
  <c r="BM206" i="44"/>
  <c r="BM210" i="44"/>
  <c r="BN206" i="44"/>
  <c r="BN210" i="44"/>
  <c r="BO206" i="44"/>
  <c r="BO210" i="44"/>
  <c r="BP206" i="44"/>
  <c r="BP210" i="44"/>
  <c r="BQ206" i="44"/>
  <c r="BQ210" i="44"/>
  <c r="BR206" i="44"/>
  <c r="BR210" i="44"/>
  <c r="BS206" i="44"/>
  <c r="BS210" i="44"/>
  <c r="BT206" i="44"/>
  <c r="BT210" i="44"/>
  <c r="BU206" i="44"/>
  <c r="BU210" i="44"/>
  <c r="BV206" i="44"/>
  <c r="BV210" i="44"/>
  <c r="BW206" i="44"/>
  <c r="BW210" i="44"/>
  <c r="BX206" i="44"/>
  <c r="BX210" i="44"/>
  <c r="BY206" i="44"/>
  <c r="BY210" i="44"/>
  <c r="BZ206" i="44"/>
  <c r="BZ210" i="44"/>
  <c r="CA206" i="44"/>
  <c r="CA210" i="44"/>
  <c r="CB206" i="44"/>
  <c r="CB210" i="44"/>
  <c r="CC206" i="44"/>
  <c r="CC210" i="44"/>
  <c r="CD206" i="44"/>
  <c r="CD210" i="44"/>
  <c r="CE206" i="44"/>
  <c r="CE210" i="44"/>
  <c r="CF206" i="44"/>
  <c r="CF210" i="44"/>
  <c r="CG206" i="44"/>
  <c r="CG210" i="44"/>
  <c r="CH206" i="44"/>
  <c r="CH210" i="44"/>
  <c r="CI206" i="44"/>
  <c r="CI210" i="44"/>
  <c r="CJ206" i="44"/>
  <c r="CJ210" i="44"/>
  <c r="CK206" i="44"/>
  <c r="CK210" i="44"/>
  <c r="CL206" i="44"/>
  <c r="CL210" i="44"/>
  <c r="CM206" i="44"/>
  <c r="CM210" i="44"/>
  <c r="CN206" i="44"/>
  <c r="CN210" i="44"/>
  <c r="CO206" i="44"/>
  <c r="CO210" i="44"/>
  <c r="CP206" i="44"/>
  <c r="CP210" i="44"/>
  <c r="CQ206" i="44"/>
  <c r="CQ210" i="44"/>
  <c r="CR206" i="44"/>
  <c r="CR210" i="44"/>
  <c r="CS206" i="44"/>
  <c r="CS210" i="44"/>
  <c r="CT206" i="44"/>
  <c r="CT210" i="44"/>
  <c r="CU206" i="44"/>
  <c r="CU210" i="44"/>
  <c r="CV206" i="44"/>
  <c r="CV210" i="44"/>
  <c r="CW206" i="44"/>
  <c r="CW210" i="44"/>
  <c r="CX206" i="44"/>
  <c r="CX210" i="44"/>
  <c r="CY206" i="44"/>
  <c r="CY210" i="44"/>
  <c r="CZ206" i="44"/>
  <c r="CZ210" i="44"/>
  <c r="DA206" i="44"/>
  <c r="DA210" i="44"/>
  <c r="DB206" i="44"/>
  <c r="DB210" i="44"/>
  <c r="DC206" i="44"/>
  <c r="DC210" i="44"/>
  <c r="DD206" i="44"/>
  <c r="DD210" i="44"/>
  <c r="DE206" i="44"/>
  <c r="DE210" i="44"/>
  <c r="DF206" i="44"/>
  <c r="DF210" i="44"/>
  <c r="DG206" i="44"/>
  <c r="DG210" i="44"/>
  <c r="DH206" i="44"/>
  <c r="DH210" i="44"/>
  <c r="DI206" i="44"/>
  <c r="DI210" i="44"/>
  <c r="DJ206" i="44"/>
  <c r="DJ210" i="44"/>
  <c r="DK206" i="44"/>
  <c r="DK210" i="44"/>
  <c r="DK25" i="44"/>
  <c r="DK26" i="44"/>
  <c r="DK27" i="44"/>
  <c r="DK28" i="44"/>
  <c r="DK41" i="44"/>
  <c r="DK40" i="44"/>
  <c r="DK39" i="44"/>
  <c r="DK38" i="44"/>
  <c r="DK37" i="44"/>
  <c r="DK36" i="44"/>
  <c r="DK35" i="44"/>
  <c r="DK34" i="44"/>
  <c r="DK33" i="44"/>
  <c r="DK32" i="44"/>
  <c r="DK31" i="44"/>
  <c r="DK29" i="44"/>
  <c r="DK24" i="44"/>
  <c r="DK22" i="44"/>
  <c r="DK9" i="44"/>
  <c r="BC207" i="44"/>
  <c r="BC211" i="44"/>
  <c r="BD207" i="44"/>
  <c r="BD211" i="44"/>
  <c r="BE207" i="44"/>
  <c r="BE211" i="44"/>
  <c r="BF207" i="44"/>
  <c r="BF211" i="44"/>
  <c r="BG207" i="44"/>
  <c r="BG211" i="44"/>
  <c r="BH207" i="44"/>
  <c r="BH211" i="44"/>
  <c r="BI207" i="44"/>
  <c r="BI211" i="44"/>
  <c r="BJ207" i="44"/>
  <c r="BJ211" i="44"/>
  <c r="BK207" i="44"/>
  <c r="BK211" i="44"/>
  <c r="BL207" i="44"/>
  <c r="BL211" i="44"/>
  <c r="BM207" i="44"/>
  <c r="BM211" i="44"/>
  <c r="BN207" i="44"/>
  <c r="BN211" i="44"/>
  <c r="BO207" i="44"/>
  <c r="BO211" i="44"/>
  <c r="BP207" i="44"/>
  <c r="BP211" i="44"/>
  <c r="BQ207" i="44"/>
  <c r="BQ211" i="44"/>
  <c r="BR207" i="44"/>
  <c r="BR211" i="44"/>
  <c r="BS207" i="44"/>
  <c r="BS211" i="44"/>
  <c r="BT207" i="44"/>
  <c r="BT211" i="44"/>
  <c r="BU207" i="44"/>
  <c r="BU211" i="44"/>
  <c r="BV207" i="44"/>
  <c r="BV211" i="44"/>
  <c r="BW207" i="44"/>
  <c r="BW211" i="44"/>
  <c r="BX207" i="44"/>
  <c r="BX211" i="44"/>
  <c r="BY207" i="44"/>
  <c r="BY211" i="44"/>
  <c r="BZ207" i="44"/>
  <c r="BZ211" i="44"/>
  <c r="CA207" i="44"/>
  <c r="CA211" i="44"/>
  <c r="CB207" i="44"/>
  <c r="CB211" i="44"/>
  <c r="CC207" i="44"/>
  <c r="CC211" i="44"/>
  <c r="CD207" i="44"/>
  <c r="CD211" i="44"/>
  <c r="CE207" i="44"/>
  <c r="CE211" i="44"/>
  <c r="CF207" i="44"/>
  <c r="CF211" i="44"/>
  <c r="CG207" i="44"/>
  <c r="CG211" i="44"/>
  <c r="CH207" i="44"/>
  <c r="CH211" i="44"/>
  <c r="CI207" i="44"/>
  <c r="CI211" i="44"/>
  <c r="CJ207" i="44"/>
  <c r="CJ211" i="44"/>
  <c r="CK207" i="44"/>
  <c r="CK211" i="44"/>
  <c r="CL207" i="44"/>
  <c r="CL211" i="44"/>
  <c r="CM207" i="44"/>
  <c r="CM211" i="44"/>
  <c r="CN207" i="44"/>
  <c r="CN211" i="44"/>
  <c r="CO207" i="44"/>
  <c r="CO211" i="44"/>
  <c r="CP207" i="44"/>
  <c r="CP211" i="44"/>
  <c r="CQ207" i="44"/>
  <c r="CQ211" i="44"/>
  <c r="CR207" i="44"/>
  <c r="CR211" i="44"/>
  <c r="CS207" i="44"/>
  <c r="CS211" i="44"/>
  <c r="CT207" i="44"/>
  <c r="CT211" i="44"/>
  <c r="CU207" i="44"/>
  <c r="CU211" i="44"/>
  <c r="CV207" i="44"/>
  <c r="CV211" i="44"/>
  <c r="CW207" i="44"/>
  <c r="CW211" i="44"/>
  <c r="CX207" i="44"/>
  <c r="CX211" i="44"/>
  <c r="CY207" i="44"/>
  <c r="CY211" i="44"/>
  <c r="CZ207" i="44"/>
  <c r="CZ211" i="44"/>
  <c r="DA207" i="44"/>
  <c r="DA211" i="44"/>
  <c r="DB207" i="44"/>
  <c r="DB211" i="44"/>
  <c r="DC207" i="44"/>
  <c r="DC211" i="44"/>
  <c r="DD207" i="44"/>
  <c r="DD211" i="44"/>
  <c r="DE207" i="44"/>
  <c r="DE211" i="44"/>
  <c r="DF207" i="44"/>
  <c r="DF211" i="44"/>
  <c r="DG207" i="44"/>
  <c r="DG211" i="44"/>
  <c r="DH207" i="44"/>
  <c r="DH211" i="44"/>
  <c r="DI207" i="44"/>
  <c r="DI211" i="44"/>
  <c r="DJ207" i="44"/>
  <c r="DJ211" i="44"/>
  <c r="DK207" i="44"/>
  <c r="DK211" i="44"/>
  <c r="DK49" i="44"/>
  <c r="DK50" i="44"/>
  <c r="DK51" i="44"/>
  <c r="DK52" i="44"/>
  <c r="DK65" i="44"/>
  <c r="DK64" i="44"/>
  <c r="DK63" i="44"/>
  <c r="DK62" i="44"/>
  <c r="DK61" i="44"/>
  <c r="DK60" i="44"/>
  <c r="DK59" i="44"/>
  <c r="DK58" i="44"/>
  <c r="DK57" i="44"/>
  <c r="DK56" i="44"/>
  <c r="DK55" i="44"/>
  <c r="DK53" i="44"/>
  <c r="DK48" i="44"/>
  <c r="DK46" i="44"/>
  <c r="DK10" i="44"/>
  <c r="DK75" i="44"/>
  <c r="DK76" i="44"/>
  <c r="DK77" i="44"/>
  <c r="DK78" i="44"/>
  <c r="DK91" i="44"/>
  <c r="DK90" i="44"/>
  <c r="DK89" i="44"/>
  <c r="DK88" i="44"/>
  <c r="DK87" i="44"/>
  <c r="DK86" i="44"/>
  <c r="DK85" i="44"/>
  <c r="DK84" i="44"/>
  <c r="DK83" i="44"/>
  <c r="DK82" i="44"/>
  <c r="DK81" i="44"/>
  <c r="DK79" i="44"/>
  <c r="DK74" i="44"/>
  <c r="DK72" i="44"/>
  <c r="DK70" i="44"/>
  <c r="DK11" i="44"/>
  <c r="DK17" i="44"/>
  <c r="DL206" i="44"/>
  <c r="DL210" i="44"/>
  <c r="DL25" i="44"/>
  <c r="DL26" i="44"/>
  <c r="DL27" i="44"/>
  <c r="DL28" i="44"/>
  <c r="DL41" i="44"/>
  <c r="DL40" i="44"/>
  <c r="DL39" i="44"/>
  <c r="DL38" i="44"/>
  <c r="DL37" i="44"/>
  <c r="DL36" i="44"/>
  <c r="DL35" i="44"/>
  <c r="DL34" i="44"/>
  <c r="DL33" i="44"/>
  <c r="DL32" i="44"/>
  <c r="DL31" i="44"/>
  <c r="DL29" i="44"/>
  <c r="DL24" i="44"/>
  <c r="DL22" i="44"/>
  <c r="DL9" i="44"/>
  <c r="DL207" i="44"/>
  <c r="DL211" i="44"/>
  <c r="DL49" i="44"/>
  <c r="DL50" i="44"/>
  <c r="DL51" i="44"/>
  <c r="DL52" i="44"/>
  <c r="DL65" i="44"/>
  <c r="DL64" i="44"/>
  <c r="DL63" i="44"/>
  <c r="DL62" i="44"/>
  <c r="DL61" i="44"/>
  <c r="DL60" i="44"/>
  <c r="DL59" i="44"/>
  <c r="DL58" i="44"/>
  <c r="DL57" i="44"/>
  <c r="DL56" i="44"/>
  <c r="DL55" i="44"/>
  <c r="DL53" i="44"/>
  <c r="DL48" i="44"/>
  <c r="DL46" i="44"/>
  <c r="DL10" i="44"/>
  <c r="DL75" i="44"/>
  <c r="DL76" i="44"/>
  <c r="DL77" i="44"/>
  <c r="DL78" i="44"/>
  <c r="DL91" i="44"/>
  <c r="DL90" i="44"/>
  <c r="DL89" i="44"/>
  <c r="DL88" i="44"/>
  <c r="DL87" i="44"/>
  <c r="DL86" i="44"/>
  <c r="DL85" i="44"/>
  <c r="DL84" i="44"/>
  <c r="DL83" i="44"/>
  <c r="DL82" i="44"/>
  <c r="DL81" i="44"/>
  <c r="DL79" i="44"/>
  <c r="DL74" i="44"/>
  <c r="DL72" i="44"/>
  <c r="DL70" i="44"/>
  <c r="DL11" i="44"/>
  <c r="DL17" i="44"/>
  <c r="DM206" i="44"/>
  <c r="DM210" i="44"/>
  <c r="DM25" i="44"/>
  <c r="DM26" i="44"/>
  <c r="DM27" i="44"/>
  <c r="DM28" i="44"/>
  <c r="DM41" i="44"/>
  <c r="DM40" i="44"/>
  <c r="DM39" i="44"/>
  <c r="DM38" i="44"/>
  <c r="DM37" i="44"/>
  <c r="DM36" i="44"/>
  <c r="DM35" i="44"/>
  <c r="DM34" i="44"/>
  <c r="DM33" i="44"/>
  <c r="DM32" i="44"/>
  <c r="DM31" i="44"/>
  <c r="DM29" i="44"/>
  <c r="DM24" i="44"/>
  <c r="DM22" i="44"/>
  <c r="DM9" i="44"/>
  <c r="DM207" i="44"/>
  <c r="DM211" i="44"/>
  <c r="DM49" i="44"/>
  <c r="DM50" i="44"/>
  <c r="DM51" i="44"/>
  <c r="DM52" i="44"/>
  <c r="DM65" i="44"/>
  <c r="DM64" i="44"/>
  <c r="DM63" i="44"/>
  <c r="DM62" i="44"/>
  <c r="DM61" i="44"/>
  <c r="DM60" i="44"/>
  <c r="DM59" i="44"/>
  <c r="DM58" i="44"/>
  <c r="DM57" i="44"/>
  <c r="DM56" i="44"/>
  <c r="DM55" i="44"/>
  <c r="DM53" i="44"/>
  <c r="DM48" i="44"/>
  <c r="DM46" i="44"/>
  <c r="DM10" i="44"/>
  <c r="DM75" i="44"/>
  <c r="DM76" i="44"/>
  <c r="DM77" i="44"/>
  <c r="DM78" i="44"/>
  <c r="DM91" i="44"/>
  <c r="DM90" i="44"/>
  <c r="DM89" i="44"/>
  <c r="DM88" i="44"/>
  <c r="DM87" i="44"/>
  <c r="DM86" i="44"/>
  <c r="DM85" i="44"/>
  <c r="DM84" i="44"/>
  <c r="DM83" i="44"/>
  <c r="DM82" i="44"/>
  <c r="DM81" i="44"/>
  <c r="DM79" i="44"/>
  <c r="DM74" i="44"/>
  <c r="DM72" i="44"/>
  <c r="DM70" i="44"/>
  <c r="DM11" i="44"/>
  <c r="DM17" i="44"/>
  <c r="DN206" i="44"/>
  <c r="DN210" i="44"/>
  <c r="DN25" i="44"/>
  <c r="DN26" i="44"/>
  <c r="DN27" i="44"/>
  <c r="DN28" i="44"/>
  <c r="DN41" i="44"/>
  <c r="DN40" i="44"/>
  <c r="DN39" i="44"/>
  <c r="DN38" i="44"/>
  <c r="DN37" i="44"/>
  <c r="DN36" i="44"/>
  <c r="DN35" i="44"/>
  <c r="DN34" i="44"/>
  <c r="DN33" i="44"/>
  <c r="DN32" i="44"/>
  <c r="DN31" i="44"/>
  <c r="DN29" i="44"/>
  <c r="DN24" i="44"/>
  <c r="DN22" i="44"/>
  <c r="DN9" i="44"/>
  <c r="DN207" i="44"/>
  <c r="DN211" i="44"/>
  <c r="DN49" i="44"/>
  <c r="DN50" i="44"/>
  <c r="DN51" i="44"/>
  <c r="DN52" i="44"/>
  <c r="DN65" i="44"/>
  <c r="DN64" i="44"/>
  <c r="DN63" i="44"/>
  <c r="DN62" i="44"/>
  <c r="DN61" i="44"/>
  <c r="DN60" i="44"/>
  <c r="DN59" i="44"/>
  <c r="DN58" i="44"/>
  <c r="DN57" i="44"/>
  <c r="DN56" i="44"/>
  <c r="DN55" i="44"/>
  <c r="DN53" i="44"/>
  <c r="DN48" i="44"/>
  <c r="DN46" i="44"/>
  <c r="DN10" i="44"/>
  <c r="DN75" i="44"/>
  <c r="DN76" i="44"/>
  <c r="DN77" i="44"/>
  <c r="DN78" i="44"/>
  <c r="DN91" i="44"/>
  <c r="DN90" i="44"/>
  <c r="DN89" i="44"/>
  <c r="DN88" i="44"/>
  <c r="DN87" i="44"/>
  <c r="DN86" i="44"/>
  <c r="DN85" i="44"/>
  <c r="DN84" i="44"/>
  <c r="DN83" i="44"/>
  <c r="DN82" i="44"/>
  <c r="DN81" i="44"/>
  <c r="DN79" i="44"/>
  <c r="DN74" i="44"/>
  <c r="DN72" i="44"/>
  <c r="DN70" i="44"/>
  <c r="DN11" i="44"/>
  <c r="DN17" i="44"/>
  <c r="DO206" i="44"/>
  <c r="DO210" i="44"/>
  <c r="DP206" i="44"/>
  <c r="DP210" i="44"/>
  <c r="DQ206" i="44"/>
  <c r="DQ210" i="44"/>
  <c r="DR206" i="44"/>
  <c r="DR210" i="44"/>
  <c r="DS206" i="44"/>
  <c r="DS210" i="44"/>
  <c r="DT206" i="44"/>
  <c r="DT210" i="44"/>
  <c r="DU206" i="44"/>
  <c r="DU210" i="44"/>
  <c r="DV206" i="44"/>
  <c r="DV210" i="44"/>
  <c r="DV25" i="44"/>
  <c r="DV26" i="44"/>
  <c r="DV27" i="44"/>
  <c r="DV28" i="44"/>
  <c r="DV41" i="44"/>
  <c r="DV40" i="44"/>
  <c r="DV39" i="44"/>
  <c r="DV38" i="44"/>
  <c r="DV37" i="44"/>
  <c r="DV36" i="44"/>
  <c r="DV35" i="44"/>
  <c r="DV34" i="44"/>
  <c r="DV33" i="44"/>
  <c r="DV32" i="44"/>
  <c r="DV31" i="44"/>
  <c r="DV29" i="44"/>
  <c r="DV24" i="44"/>
  <c r="DV22" i="44"/>
  <c r="DV9" i="44"/>
  <c r="DO207" i="44"/>
  <c r="DO211" i="44"/>
  <c r="DP207" i="44"/>
  <c r="DP211" i="44"/>
  <c r="DQ207" i="44"/>
  <c r="DQ211" i="44"/>
  <c r="DR207" i="44"/>
  <c r="DR211" i="44"/>
  <c r="DS207" i="44"/>
  <c r="DS211" i="44"/>
  <c r="DT207" i="44"/>
  <c r="DT211" i="44"/>
  <c r="DU207" i="44"/>
  <c r="DU211" i="44"/>
  <c r="DV207" i="44"/>
  <c r="DV211" i="44"/>
  <c r="DV49" i="44"/>
  <c r="DV50" i="44"/>
  <c r="DV51" i="44"/>
  <c r="DV52" i="44"/>
  <c r="DV65" i="44"/>
  <c r="DV64" i="44"/>
  <c r="DV63" i="44"/>
  <c r="DV62" i="44"/>
  <c r="DV61" i="44"/>
  <c r="DV60" i="44"/>
  <c r="DV59" i="44"/>
  <c r="DV58" i="44"/>
  <c r="DV57" i="44"/>
  <c r="DV56" i="44"/>
  <c r="DV55" i="44"/>
  <c r="DV53" i="44"/>
  <c r="DV48" i="44"/>
  <c r="DV46" i="44"/>
  <c r="DV10" i="44"/>
  <c r="DV75" i="44"/>
  <c r="DV76" i="44"/>
  <c r="DV77" i="44"/>
  <c r="DV78" i="44"/>
  <c r="DV91" i="44"/>
  <c r="DV90" i="44"/>
  <c r="DV89" i="44"/>
  <c r="DV88" i="44"/>
  <c r="DV87" i="44"/>
  <c r="DV86" i="44"/>
  <c r="DV85" i="44"/>
  <c r="DV84" i="44"/>
  <c r="DV83" i="44"/>
  <c r="DV82" i="44"/>
  <c r="DV81" i="44"/>
  <c r="DV79" i="44"/>
  <c r="DV74" i="44"/>
  <c r="DV72" i="44"/>
  <c r="DV70" i="44"/>
  <c r="DV11" i="44"/>
  <c r="DV17" i="44"/>
  <c r="DU25" i="44"/>
  <c r="DU26" i="44"/>
  <c r="DU27" i="44"/>
  <c r="DU28" i="44"/>
  <c r="DU41" i="44"/>
  <c r="DU40" i="44"/>
  <c r="DU39" i="44"/>
  <c r="DU38" i="44"/>
  <c r="DU37" i="44"/>
  <c r="DU36" i="44"/>
  <c r="DU35" i="44"/>
  <c r="DU34" i="44"/>
  <c r="DU33" i="44"/>
  <c r="DU32" i="44"/>
  <c r="DU31" i="44"/>
  <c r="DU29" i="44"/>
  <c r="DU24" i="44"/>
  <c r="DU22" i="44"/>
  <c r="DU9" i="44"/>
  <c r="DU49" i="44"/>
  <c r="DU50" i="44"/>
  <c r="DU51" i="44"/>
  <c r="DU52" i="44"/>
  <c r="DU65" i="44"/>
  <c r="DU64" i="44"/>
  <c r="DU63" i="44"/>
  <c r="DU62" i="44"/>
  <c r="DU61" i="44"/>
  <c r="DU60" i="44"/>
  <c r="DU59" i="44"/>
  <c r="DU58" i="44"/>
  <c r="DU57" i="44"/>
  <c r="DU56" i="44"/>
  <c r="DU55" i="44"/>
  <c r="DU53" i="44"/>
  <c r="DU48" i="44"/>
  <c r="DU46" i="44"/>
  <c r="DU10" i="44"/>
  <c r="DU75" i="44"/>
  <c r="DU76" i="44"/>
  <c r="DU77" i="44"/>
  <c r="DU78" i="44"/>
  <c r="DU91" i="44"/>
  <c r="DU90" i="44"/>
  <c r="DU89" i="44"/>
  <c r="DU88" i="44"/>
  <c r="DU87" i="44"/>
  <c r="DU86" i="44"/>
  <c r="DU85" i="44"/>
  <c r="DU84" i="44"/>
  <c r="DU83" i="44"/>
  <c r="DU82" i="44"/>
  <c r="DU81" i="44"/>
  <c r="DU79" i="44"/>
  <c r="DU74" i="44"/>
  <c r="DU72" i="44"/>
  <c r="DU70" i="44"/>
  <c r="DU11" i="44"/>
  <c r="DU17" i="44"/>
  <c r="DT25" i="44"/>
  <c r="DT26" i="44"/>
  <c r="DT27" i="44"/>
  <c r="DT28" i="44"/>
  <c r="DT41" i="44"/>
  <c r="DT40" i="44"/>
  <c r="DT39" i="44"/>
  <c r="DT38" i="44"/>
  <c r="DT37" i="44"/>
  <c r="DT36" i="44"/>
  <c r="DT35" i="44"/>
  <c r="DT34" i="44"/>
  <c r="DT33" i="44"/>
  <c r="DT32" i="44"/>
  <c r="DT31" i="44"/>
  <c r="DT29" i="44"/>
  <c r="DT24" i="44"/>
  <c r="DT22" i="44"/>
  <c r="DT9" i="44"/>
  <c r="DT49" i="44"/>
  <c r="DT50" i="44"/>
  <c r="DT51" i="44"/>
  <c r="DT52" i="44"/>
  <c r="DT65" i="44"/>
  <c r="DT64" i="44"/>
  <c r="DT63" i="44"/>
  <c r="DT62" i="44"/>
  <c r="DT61" i="44"/>
  <c r="DT60" i="44"/>
  <c r="DT59" i="44"/>
  <c r="DT58" i="44"/>
  <c r="DT57" i="44"/>
  <c r="DT56" i="44"/>
  <c r="DT55" i="44"/>
  <c r="DT53" i="44"/>
  <c r="DT48" i="44"/>
  <c r="DT46" i="44"/>
  <c r="DT10" i="44"/>
  <c r="DT75" i="44"/>
  <c r="DT76" i="44"/>
  <c r="DT77" i="44"/>
  <c r="DT78" i="44"/>
  <c r="DT91" i="44"/>
  <c r="DT90" i="44"/>
  <c r="DT89" i="44"/>
  <c r="DT88" i="44"/>
  <c r="DT87" i="44"/>
  <c r="DT86" i="44"/>
  <c r="DT85" i="44"/>
  <c r="DT84" i="44"/>
  <c r="DT83" i="44"/>
  <c r="DT82" i="44"/>
  <c r="DT81" i="44"/>
  <c r="DT79" i="44"/>
  <c r="DT74" i="44"/>
  <c r="DT72" i="44"/>
  <c r="DT70" i="44"/>
  <c r="DT11" i="44"/>
  <c r="DT17" i="44"/>
  <c r="DS25" i="44"/>
  <c r="DS26" i="44"/>
  <c r="DS27" i="44"/>
  <c r="DS28" i="44"/>
  <c r="DS41" i="44"/>
  <c r="DS40" i="44"/>
  <c r="DS39" i="44"/>
  <c r="DS38" i="44"/>
  <c r="DS37" i="44"/>
  <c r="DS36" i="44"/>
  <c r="DS35" i="44"/>
  <c r="DS34" i="44"/>
  <c r="DS33" i="44"/>
  <c r="DS32" i="44"/>
  <c r="DS31" i="44"/>
  <c r="DS29" i="44"/>
  <c r="DS24" i="44"/>
  <c r="DS22" i="44"/>
  <c r="DS9" i="44"/>
  <c r="DS49" i="44"/>
  <c r="DS50" i="44"/>
  <c r="DS51" i="44"/>
  <c r="DS52" i="44"/>
  <c r="DS65" i="44"/>
  <c r="DS64" i="44"/>
  <c r="DS63" i="44"/>
  <c r="DS62" i="44"/>
  <c r="DS61" i="44"/>
  <c r="DS60" i="44"/>
  <c r="DS59" i="44"/>
  <c r="DS58" i="44"/>
  <c r="DS57" i="44"/>
  <c r="DS56" i="44"/>
  <c r="DS55" i="44"/>
  <c r="DS53" i="44"/>
  <c r="DS48" i="44"/>
  <c r="DS46" i="44"/>
  <c r="DS10" i="44"/>
  <c r="DS75" i="44"/>
  <c r="DS76" i="44"/>
  <c r="DS77" i="44"/>
  <c r="DS78" i="44"/>
  <c r="DS91" i="44"/>
  <c r="DS90" i="44"/>
  <c r="DS89" i="44"/>
  <c r="DS88" i="44"/>
  <c r="DS87" i="44"/>
  <c r="DS86" i="44"/>
  <c r="DS85" i="44"/>
  <c r="DS84" i="44"/>
  <c r="DS83" i="44"/>
  <c r="DS82" i="44"/>
  <c r="DS81" i="44"/>
  <c r="DS79" i="44"/>
  <c r="DS74" i="44"/>
  <c r="DS72" i="44"/>
  <c r="DS70" i="44"/>
  <c r="DS11" i="44"/>
  <c r="DS17" i="44"/>
  <c r="DR25" i="44"/>
  <c r="DR26" i="44"/>
  <c r="DR27" i="44"/>
  <c r="DR28" i="44"/>
  <c r="DR41" i="44"/>
  <c r="DR40" i="44"/>
  <c r="DR39" i="44"/>
  <c r="DR38" i="44"/>
  <c r="DR37" i="44"/>
  <c r="DR36" i="44"/>
  <c r="DR35" i="44"/>
  <c r="DR34" i="44"/>
  <c r="DR33" i="44"/>
  <c r="DR32" i="44"/>
  <c r="DR31" i="44"/>
  <c r="DR29" i="44"/>
  <c r="DR24" i="44"/>
  <c r="DR22" i="44"/>
  <c r="DR9" i="44"/>
  <c r="DR49" i="44"/>
  <c r="DR50" i="44"/>
  <c r="DR51" i="44"/>
  <c r="DR52" i="44"/>
  <c r="DR65" i="44"/>
  <c r="DR64" i="44"/>
  <c r="DR63" i="44"/>
  <c r="DR62" i="44"/>
  <c r="DR61" i="44"/>
  <c r="DR60" i="44"/>
  <c r="DR59" i="44"/>
  <c r="DR58" i="44"/>
  <c r="DR57" i="44"/>
  <c r="DR56" i="44"/>
  <c r="DR55" i="44"/>
  <c r="DR53" i="44"/>
  <c r="DR48" i="44"/>
  <c r="DR46" i="44"/>
  <c r="DR10" i="44"/>
  <c r="DR75" i="44"/>
  <c r="DR76" i="44"/>
  <c r="DR77" i="44"/>
  <c r="DR78" i="44"/>
  <c r="DR91" i="44"/>
  <c r="DR90" i="44"/>
  <c r="DR89" i="44"/>
  <c r="DR88" i="44"/>
  <c r="DR87" i="44"/>
  <c r="DR86" i="44"/>
  <c r="DR85" i="44"/>
  <c r="DR84" i="44"/>
  <c r="DR83" i="44"/>
  <c r="DR82" i="44"/>
  <c r="DR81" i="44"/>
  <c r="DR79" i="44"/>
  <c r="DR74" i="44"/>
  <c r="DR72" i="44"/>
  <c r="DR70" i="44"/>
  <c r="DR11" i="44"/>
  <c r="DR17" i="44"/>
  <c r="DQ25" i="44"/>
  <c r="DQ26" i="44"/>
  <c r="DQ27" i="44"/>
  <c r="DQ28" i="44"/>
  <c r="DQ41" i="44"/>
  <c r="DQ40" i="44"/>
  <c r="DQ39" i="44"/>
  <c r="DQ38" i="44"/>
  <c r="DQ37" i="44"/>
  <c r="DQ36" i="44"/>
  <c r="DQ35" i="44"/>
  <c r="DQ34" i="44"/>
  <c r="DQ33" i="44"/>
  <c r="DQ32" i="44"/>
  <c r="DQ31" i="44"/>
  <c r="DQ29" i="44"/>
  <c r="DQ24" i="44"/>
  <c r="DQ22" i="44"/>
  <c r="DQ9" i="44"/>
  <c r="DQ49" i="44"/>
  <c r="DQ50" i="44"/>
  <c r="DQ51" i="44"/>
  <c r="DQ52" i="44"/>
  <c r="DQ65" i="44"/>
  <c r="DQ64" i="44"/>
  <c r="DQ63" i="44"/>
  <c r="DQ62" i="44"/>
  <c r="DQ61" i="44"/>
  <c r="DQ60" i="44"/>
  <c r="DQ59" i="44"/>
  <c r="DQ58" i="44"/>
  <c r="DQ57" i="44"/>
  <c r="DQ56" i="44"/>
  <c r="DQ55" i="44"/>
  <c r="DQ53" i="44"/>
  <c r="DQ48" i="44"/>
  <c r="DQ46" i="44"/>
  <c r="DQ10" i="44"/>
  <c r="DQ75" i="44"/>
  <c r="DQ76" i="44"/>
  <c r="DQ77" i="44"/>
  <c r="DQ78" i="44"/>
  <c r="DQ91" i="44"/>
  <c r="DQ90" i="44"/>
  <c r="DQ89" i="44"/>
  <c r="DQ88" i="44"/>
  <c r="DQ87" i="44"/>
  <c r="DQ86" i="44"/>
  <c r="DQ85" i="44"/>
  <c r="DQ84" i="44"/>
  <c r="DQ83" i="44"/>
  <c r="DQ82" i="44"/>
  <c r="DQ81" i="44"/>
  <c r="DQ79" i="44"/>
  <c r="DQ74" i="44"/>
  <c r="DQ72" i="44"/>
  <c r="DQ70" i="44"/>
  <c r="DQ11" i="44"/>
  <c r="DQ17" i="44"/>
  <c r="DP25" i="44"/>
  <c r="DP26" i="44"/>
  <c r="DP27" i="44"/>
  <c r="DP28" i="44"/>
  <c r="DP41" i="44"/>
  <c r="DP40" i="44"/>
  <c r="DP39" i="44"/>
  <c r="DP38" i="44"/>
  <c r="DP37" i="44"/>
  <c r="DP36" i="44"/>
  <c r="DP35" i="44"/>
  <c r="DP34" i="44"/>
  <c r="DP33" i="44"/>
  <c r="DP32" i="44"/>
  <c r="DP31" i="44"/>
  <c r="DP29" i="44"/>
  <c r="DP24" i="44"/>
  <c r="DP22" i="44"/>
  <c r="DP9" i="44"/>
  <c r="DP49" i="44"/>
  <c r="DP50" i="44"/>
  <c r="DP51" i="44"/>
  <c r="DP52" i="44"/>
  <c r="DP65" i="44"/>
  <c r="DP64" i="44"/>
  <c r="DP63" i="44"/>
  <c r="DP62" i="44"/>
  <c r="DP61" i="44"/>
  <c r="DP60" i="44"/>
  <c r="DP59" i="44"/>
  <c r="DP58" i="44"/>
  <c r="DP57" i="44"/>
  <c r="DP56" i="44"/>
  <c r="DP55" i="44"/>
  <c r="DP53" i="44"/>
  <c r="DP48" i="44"/>
  <c r="DP46" i="44"/>
  <c r="DP10" i="44"/>
  <c r="DP75" i="44"/>
  <c r="DP76" i="44"/>
  <c r="DP77" i="44"/>
  <c r="DP78" i="44"/>
  <c r="DP91" i="44"/>
  <c r="DP90" i="44"/>
  <c r="DP89" i="44"/>
  <c r="DP88" i="44"/>
  <c r="DP87" i="44"/>
  <c r="DP86" i="44"/>
  <c r="DP85" i="44"/>
  <c r="DP84" i="44"/>
  <c r="DP83" i="44"/>
  <c r="DP82" i="44"/>
  <c r="DP81" i="44"/>
  <c r="DP79" i="44"/>
  <c r="DP74" i="44"/>
  <c r="DP72" i="44"/>
  <c r="DP70" i="44"/>
  <c r="DP11" i="44"/>
  <c r="DP17" i="44"/>
  <c r="DO25" i="44"/>
  <c r="DO26" i="44"/>
  <c r="DO27" i="44"/>
  <c r="DO28" i="44"/>
  <c r="DO41" i="44"/>
  <c r="DO40" i="44"/>
  <c r="DO39" i="44"/>
  <c r="DO38" i="44"/>
  <c r="DO37" i="44"/>
  <c r="DO36" i="44"/>
  <c r="DO35" i="44"/>
  <c r="DO34" i="44"/>
  <c r="DO33" i="44"/>
  <c r="DO32" i="44"/>
  <c r="DO31" i="44"/>
  <c r="DO29" i="44"/>
  <c r="DO24" i="44"/>
  <c r="DO22" i="44"/>
  <c r="DO9" i="44"/>
  <c r="DO49" i="44"/>
  <c r="DO50" i="44"/>
  <c r="DO51" i="44"/>
  <c r="DO52" i="44"/>
  <c r="DO65" i="44"/>
  <c r="DO64" i="44"/>
  <c r="DO63" i="44"/>
  <c r="DO62" i="44"/>
  <c r="DO61" i="44"/>
  <c r="DO60" i="44"/>
  <c r="DO59" i="44"/>
  <c r="DO58" i="44"/>
  <c r="DO57" i="44"/>
  <c r="DO56" i="44"/>
  <c r="DO55" i="44"/>
  <c r="DO53" i="44"/>
  <c r="DO48" i="44"/>
  <c r="DO46" i="44"/>
  <c r="DO10" i="44"/>
  <c r="DO75" i="44"/>
  <c r="DO76" i="44"/>
  <c r="DO77" i="44"/>
  <c r="DO78" i="44"/>
  <c r="DO91" i="44"/>
  <c r="DO90" i="44"/>
  <c r="DO89" i="44"/>
  <c r="DO88" i="44"/>
  <c r="DO87" i="44"/>
  <c r="DO86" i="44"/>
  <c r="DO85" i="44"/>
  <c r="DO84" i="44"/>
  <c r="DO83" i="44"/>
  <c r="DO82" i="44"/>
  <c r="DO81" i="44"/>
  <c r="DO79" i="44"/>
  <c r="DO74" i="44"/>
  <c r="DO72" i="44"/>
  <c r="DO70" i="44"/>
  <c r="DO11" i="44"/>
  <c r="DO17" i="44"/>
  <c r="DJ25" i="44"/>
  <c r="DJ26" i="44"/>
  <c r="DJ27" i="44"/>
  <c r="DJ28" i="44"/>
  <c r="DJ41" i="44"/>
  <c r="DJ40" i="44"/>
  <c r="DJ39" i="44"/>
  <c r="DJ38" i="44"/>
  <c r="DJ37" i="44"/>
  <c r="DJ36" i="44"/>
  <c r="DJ35" i="44"/>
  <c r="DJ34" i="44"/>
  <c r="DJ33" i="44"/>
  <c r="DJ32" i="44"/>
  <c r="DJ31" i="44"/>
  <c r="DJ29" i="44"/>
  <c r="DJ24" i="44"/>
  <c r="DJ22" i="44"/>
  <c r="DJ9" i="44"/>
  <c r="DJ49" i="44"/>
  <c r="DJ50" i="44"/>
  <c r="DJ51" i="44"/>
  <c r="DJ52" i="44"/>
  <c r="DJ65" i="44"/>
  <c r="DJ64" i="44"/>
  <c r="DJ63" i="44"/>
  <c r="DJ62" i="44"/>
  <c r="DJ61" i="44"/>
  <c r="DJ60" i="44"/>
  <c r="DJ59" i="44"/>
  <c r="DJ58" i="44"/>
  <c r="DJ57" i="44"/>
  <c r="DJ56" i="44"/>
  <c r="DJ55" i="44"/>
  <c r="DJ53" i="44"/>
  <c r="DJ48" i="44"/>
  <c r="DJ46" i="44"/>
  <c r="DJ10" i="44"/>
  <c r="DJ75" i="44"/>
  <c r="DJ76" i="44"/>
  <c r="DJ77" i="44"/>
  <c r="DJ78" i="44"/>
  <c r="DJ91" i="44"/>
  <c r="DJ90" i="44"/>
  <c r="DJ89" i="44"/>
  <c r="DJ88" i="44"/>
  <c r="DJ87" i="44"/>
  <c r="DJ86" i="44"/>
  <c r="DJ85" i="44"/>
  <c r="DJ84" i="44"/>
  <c r="DJ83" i="44"/>
  <c r="DJ82" i="44"/>
  <c r="DJ81" i="44"/>
  <c r="DJ79" i="44"/>
  <c r="DJ74" i="44"/>
  <c r="DJ72" i="44"/>
  <c r="DJ70" i="44"/>
  <c r="DJ11" i="44"/>
  <c r="DJ17" i="44"/>
  <c r="DI25" i="44"/>
  <c r="DI26" i="44"/>
  <c r="DI27" i="44"/>
  <c r="DI28" i="44"/>
  <c r="DI41" i="44"/>
  <c r="DI40" i="44"/>
  <c r="DI39" i="44"/>
  <c r="DI38" i="44"/>
  <c r="DI37" i="44"/>
  <c r="DI36" i="44"/>
  <c r="DI35" i="44"/>
  <c r="DI34" i="44"/>
  <c r="DI33" i="44"/>
  <c r="DI32" i="44"/>
  <c r="DI31" i="44"/>
  <c r="DI29" i="44"/>
  <c r="DI24" i="44"/>
  <c r="DI22" i="44"/>
  <c r="DI9" i="44"/>
  <c r="DI49" i="44"/>
  <c r="DI50" i="44"/>
  <c r="DI51" i="44"/>
  <c r="DI52" i="44"/>
  <c r="DI65" i="44"/>
  <c r="DI64" i="44"/>
  <c r="DI63" i="44"/>
  <c r="DI62" i="44"/>
  <c r="DI61" i="44"/>
  <c r="DI60" i="44"/>
  <c r="DI59" i="44"/>
  <c r="DI58" i="44"/>
  <c r="DI57" i="44"/>
  <c r="DI56" i="44"/>
  <c r="DI55" i="44"/>
  <c r="DI53" i="44"/>
  <c r="DI48" i="44"/>
  <c r="DI46" i="44"/>
  <c r="DI10" i="44"/>
  <c r="DI75" i="44"/>
  <c r="DI76" i="44"/>
  <c r="DI77" i="44"/>
  <c r="DI78" i="44"/>
  <c r="DI91" i="44"/>
  <c r="DI90" i="44"/>
  <c r="DI89" i="44"/>
  <c r="DI88" i="44"/>
  <c r="DI87" i="44"/>
  <c r="DI86" i="44"/>
  <c r="DI85" i="44"/>
  <c r="DI84" i="44"/>
  <c r="DI83" i="44"/>
  <c r="DI82" i="44"/>
  <c r="DI81" i="44"/>
  <c r="DI79" i="44"/>
  <c r="DI74" i="44"/>
  <c r="DI72" i="44"/>
  <c r="DI70" i="44"/>
  <c r="DI11" i="44"/>
  <c r="DI17" i="44"/>
  <c r="DH25" i="44"/>
  <c r="DH26" i="44"/>
  <c r="DH27" i="44"/>
  <c r="DH28" i="44"/>
  <c r="DH41" i="44"/>
  <c r="DH40" i="44"/>
  <c r="DH39" i="44"/>
  <c r="DH38" i="44"/>
  <c r="DH37" i="44"/>
  <c r="DH36" i="44"/>
  <c r="DH35" i="44"/>
  <c r="DH34" i="44"/>
  <c r="DH33" i="44"/>
  <c r="DH32" i="44"/>
  <c r="DH31" i="44"/>
  <c r="DH29" i="44"/>
  <c r="DH24" i="44"/>
  <c r="DH22" i="44"/>
  <c r="DH9" i="44"/>
  <c r="DH49" i="44"/>
  <c r="DH50" i="44"/>
  <c r="DH51" i="44"/>
  <c r="DH52" i="44"/>
  <c r="DH65" i="44"/>
  <c r="DH64" i="44"/>
  <c r="DH63" i="44"/>
  <c r="DH62" i="44"/>
  <c r="DH61" i="44"/>
  <c r="DH60" i="44"/>
  <c r="DH59" i="44"/>
  <c r="DH58" i="44"/>
  <c r="DH57" i="44"/>
  <c r="DH56" i="44"/>
  <c r="DH55" i="44"/>
  <c r="DH53" i="44"/>
  <c r="DH48" i="44"/>
  <c r="DH46" i="44"/>
  <c r="DH10" i="44"/>
  <c r="DH75" i="44"/>
  <c r="DH76" i="44"/>
  <c r="DH77" i="44"/>
  <c r="DH78" i="44"/>
  <c r="DH91" i="44"/>
  <c r="DH90" i="44"/>
  <c r="DH89" i="44"/>
  <c r="DH88" i="44"/>
  <c r="DH87" i="44"/>
  <c r="DH86" i="44"/>
  <c r="DH85" i="44"/>
  <c r="DH84" i="44"/>
  <c r="DH83" i="44"/>
  <c r="DH82" i="44"/>
  <c r="DH81" i="44"/>
  <c r="DH79" i="44"/>
  <c r="DH74" i="44"/>
  <c r="DH72" i="44"/>
  <c r="DH70" i="44"/>
  <c r="DH11" i="44"/>
  <c r="DH17" i="44"/>
  <c r="DG25" i="44"/>
  <c r="DG26" i="44"/>
  <c r="DG27" i="44"/>
  <c r="DG28" i="44"/>
  <c r="DG41" i="44"/>
  <c r="DG40" i="44"/>
  <c r="DG39" i="44"/>
  <c r="DG38" i="44"/>
  <c r="DG37" i="44"/>
  <c r="DG36" i="44"/>
  <c r="DG35" i="44"/>
  <c r="DG34" i="44"/>
  <c r="DG33" i="44"/>
  <c r="DG32" i="44"/>
  <c r="DG31" i="44"/>
  <c r="DG29" i="44"/>
  <c r="DG24" i="44"/>
  <c r="DG22" i="44"/>
  <c r="DG9" i="44"/>
  <c r="DG49" i="44"/>
  <c r="DG50" i="44"/>
  <c r="DG51" i="44"/>
  <c r="DG52" i="44"/>
  <c r="DG65" i="44"/>
  <c r="DG64" i="44"/>
  <c r="DG63" i="44"/>
  <c r="DG62" i="44"/>
  <c r="DG61" i="44"/>
  <c r="DG60" i="44"/>
  <c r="DG59" i="44"/>
  <c r="DG58" i="44"/>
  <c r="DG57" i="44"/>
  <c r="DG56" i="44"/>
  <c r="DG55" i="44"/>
  <c r="DG53" i="44"/>
  <c r="DG48" i="44"/>
  <c r="DG46" i="44"/>
  <c r="DG10" i="44"/>
  <c r="DG75" i="44"/>
  <c r="DG76" i="44"/>
  <c r="DG77" i="44"/>
  <c r="DG78" i="44"/>
  <c r="DG91" i="44"/>
  <c r="DG90" i="44"/>
  <c r="DG89" i="44"/>
  <c r="DG88" i="44"/>
  <c r="DG87" i="44"/>
  <c r="DG86" i="44"/>
  <c r="DG85" i="44"/>
  <c r="DG84" i="44"/>
  <c r="DG83" i="44"/>
  <c r="DG82" i="44"/>
  <c r="DG81" i="44"/>
  <c r="DG79" i="44"/>
  <c r="DG74" i="44"/>
  <c r="DG72" i="44"/>
  <c r="DG70" i="44"/>
  <c r="DG11" i="44"/>
  <c r="DG17" i="44"/>
  <c r="DF25" i="44"/>
  <c r="DF26" i="44"/>
  <c r="DF27" i="44"/>
  <c r="DF28" i="44"/>
  <c r="DF41" i="44"/>
  <c r="DF40" i="44"/>
  <c r="DF39" i="44"/>
  <c r="DF38" i="44"/>
  <c r="DF37" i="44"/>
  <c r="DF36" i="44"/>
  <c r="DF35" i="44"/>
  <c r="DF34" i="44"/>
  <c r="DF33" i="44"/>
  <c r="DF32" i="44"/>
  <c r="DF31" i="44"/>
  <c r="DF29" i="44"/>
  <c r="DF24" i="44"/>
  <c r="DF22" i="44"/>
  <c r="DF9" i="44"/>
  <c r="DF49" i="44"/>
  <c r="DF50" i="44"/>
  <c r="DF51" i="44"/>
  <c r="DF52" i="44"/>
  <c r="DF65" i="44"/>
  <c r="DF64" i="44"/>
  <c r="DF63" i="44"/>
  <c r="DF62" i="44"/>
  <c r="DF61" i="44"/>
  <c r="DF60" i="44"/>
  <c r="DF59" i="44"/>
  <c r="DF58" i="44"/>
  <c r="DF57" i="44"/>
  <c r="DF56" i="44"/>
  <c r="DF55" i="44"/>
  <c r="DF53" i="44"/>
  <c r="DF48" i="44"/>
  <c r="DF46" i="44"/>
  <c r="DF10" i="44"/>
  <c r="DF75" i="44"/>
  <c r="DF76" i="44"/>
  <c r="DF77" i="44"/>
  <c r="DF78" i="44"/>
  <c r="DF91" i="44"/>
  <c r="DF90" i="44"/>
  <c r="DF89" i="44"/>
  <c r="DF88" i="44"/>
  <c r="DF87" i="44"/>
  <c r="DF86" i="44"/>
  <c r="DF85" i="44"/>
  <c r="DF84" i="44"/>
  <c r="DF83" i="44"/>
  <c r="DF82" i="44"/>
  <c r="DF81" i="44"/>
  <c r="DF79" i="44"/>
  <c r="DF74" i="44"/>
  <c r="DF72" i="44"/>
  <c r="DF70" i="44"/>
  <c r="DF11" i="44"/>
  <c r="DF17" i="44"/>
  <c r="DE25" i="44"/>
  <c r="DE26" i="44"/>
  <c r="DE27" i="44"/>
  <c r="DE28" i="44"/>
  <c r="DE41" i="44"/>
  <c r="DE40" i="44"/>
  <c r="DE39" i="44"/>
  <c r="DE38" i="44"/>
  <c r="DE37" i="44"/>
  <c r="DE36" i="44"/>
  <c r="DE35" i="44"/>
  <c r="DE34" i="44"/>
  <c r="DE33" i="44"/>
  <c r="DE32" i="44"/>
  <c r="DE31" i="44"/>
  <c r="DE29" i="44"/>
  <c r="DE24" i="44"/>
  <c r="DE22" i="44"/>
  <c r="DE9" i="44"/>
  <c r="DE49" i="44"/>
  <c r="DE50" i="44"/>
  <c r="DE51" i="44"/>
  <c r="DE52" i="44"/>
  <c r="DE65" i="44"/>
  <c r="DE64" i="44"/>
  <c r="DE63" i="44"/>
  <c r="DE62" i="44"/>
  <c r="DE61" i="44"/>
  <c r="DE60" i="44"/>
  <c r="DE59" i="44"/>
  <c r="DE58" i="44"/>
  <c r="DE57" i="44"/>
  <c r="DE56" i="44"/>
  <c r="DE55" i="44"/>
  <c r="DE53" i="44"/>
  <c r="DE48" i="44"/>
  <c r="DE46" i="44"/>
  <c r="DE10" i="44"/>
  <c r="DE75" i="44"/>
  <c r="DE76" i="44"/>
  <c r="DE77" i="44"/>
  <c r="DE78" i="44"/>
  <c r="DE91" i="44"/>
  <c r="DE90" i="44"/>
  <c r="DE89" i="44"/>
  <c r="DE88" i="44"/>
  <c r="DE87" i="44"/>
  <c r="DE86" i="44"/>
  <c r="DE85" i="44"/>
  <c r="DE84" i="44"/>
  <c r="DE83" i="44"/>
  <c r="DE82" i="44"/>
  <c r="DE81" i="44"/>
  <c r="DE79" i="44"/>
  <c r="DE74" i="44"/>
  <c r="DE72" i="44"/>
  <c r="DE70" i="44"/>
  <c r="DE11" i="44"/>
  <c r="DE17" i="44"/>
  <c r="DD25" i="44"/>
  <c r="DD26" i="44"/>
  <c r="DD27" i="44"/>
  <c r="DD28" i="44"/>
  <c r="DD41" i="44"/>
  <c r="DD40" i="44"/>
  <c r="DD39" i="44"/>
  <c r="DD38" i="44"/>
  <c r="DD37" i="44"/>
  <c r="DD36" i="44"/>
  <c r="DD35" i="44"/>
  <c r="DD34" i="44"/>
  <c r="DD33" i="44"/>
  <c r="DD32" i="44"/>
  <c r="DD31" i="44"/>
  <c r="DD29" i="44"/>
  <c r="DD24" i="44"/>
  <c r="DD22" i="44"/>
  <c r="DD9" i="44"/>
  <c r="DD49" i="44"/>
  <c r="DD50" i="44"/>
  <c r="DD51" i="44"/>
  <c r="DD52" i="44"/>
  <c r="DD65" i="44"/>
  <c r="DD64" i="44"/>
  <c r="DD63" i="44"/>
  <c r="DD62" i="44"/>
  <c r="DD61" i="44"/>
  <c r="DD60" i="44"/>
  <c r="DD59" i="44"/>
  <c r="DD58" i="44"/>
  <c r="DD57" i="44"/>
  <c r="DD56" i="44"/>
  <c r="DD55" i="44"/>
  <c r="DD53" i="44"/>
  <c r="DD48" i="44"/>
  <c r="DD46" i="44"/>
  <c r="DD10" i="44"/>
  <c r="DD75" i="44"/>
  <c r="DD76" i="44"/>
  <c r="DD77" i="44"/>
  <c r="DD78" i="44"/>
  <c r="DD91" i="44"/>
  <c r="DD90" i="44"/>
  <c r="DD89" i="44"/>
  <c r="DD88" i="44"/>
  <c r="DD87" i="44"/>
  <c r="DD86" i="44"/>
  <c r="DD85" i="44"/>
  <c r="DD84" i="44"/>
  <c r="DD83" i="44"/>
  <c r="DD82" i="44"/>
  <c r="DD81" i="44"/>
  <c r="DD79" i="44"/>
  <c r="DD74" i="44"/>
  <c r="DD72" i="44"/>
  <c r="DD70" i="44"/>
  <c r="DD11" i="44"/>
  <c r="DD17" i="44"/>
  <c r="DC25" i="44"/>
  <c r="DC26" i="44"/>
  <c r="DC27" i="44"/>
  <c r="DC28" i="44"/>
  <c r="DC41" i="44"/>
  <c r="DC40" i="44"/>
  <c r="DC39" i="44"/>
  <c r="DC38" i="44"/>
  <c r="DC37" i="44"/>
  <c r="DC36" i="44"/>
  <c r="DC35" i="44"/>
  <c r="DC34" i="44"/>
  <c r="DC33" i="44"/>
  <c r="DC32" i="44"/>
  <c r="DC31" i="44"/>
  <c r="DC29" i="44"/>
  <c r="DC24" i="44"/>
  <c r="DC22" i="44"/>
  <c r="DC9" i="44"/>
  <c r="DC49" i="44"/>
  <c r="DC50" i="44"/>
  <c r="DC51" i="44"/>
  <c r="DC52" i="44"/>
  <c r="DC65" i="44"/>
  <c r="DC64" i="44"/>
  <c r="DC63" i="44"/>
  <c r="DC62" i="44"/>
  <c r="DC61" i="44"/>
  <c r="DC60" i="44"/>
  <c r="DC59" i="44"/>
  <c r="DC58" i="44"/>
  <c r="DC57" i="44"/>
  <c r="DC56" i="44"/>
  <c r="DC55" i="44"/>
  <c r="DC53" i="44"/>
  <c r="DC48" i="44"/>
  <c r="DC46" i="44"/>
  <c r="DC10" i="44"/>
  <c r="DC75" i="44"/>
  <c r="DC76" i="44"/>
  <c r="DC77" i="44"/>
  <c r="DC78" i="44"/>
  <c r="DC91" i="44"/>
  <c r="DC90" i="44"/>
  <c r="DC89" i="44"/>
  <c r="DC88" i="44"/>
  <c r="DC87" i="44"/>
  <c r="DC86" i="44"/>
  <c r="DC85" i="44"/>
  <c r="DC84" i="44"/>
  <c r="DC83" i="44"/>
  <c r="DC82" i="44"/>
  <c r="DC81" i="44"/>
  <c r="DC79" i="44"/>
  <c r="DC74" i="44"/>
  <c r="DC72" i="44"/>
  <c r="DC70" i="44"/>
  <c r="DC11" i="44"/>
  <c r="DC17" i="44"/>
  <c r="DB25" i="44"/>
  <c r="DB26" i="44"/>
  <c r="DB27" i="44"/>
  <c r="DB28" i="44"/>
  <c r="DB41" i="44"/>
  <c r="DB40" i="44"/>
  <c r="DB39" i="44"/>
  <c r="DB38" i="44"/>
  <c r="DB37" i="44"/>
  <c r="DB36" i="44"/>
  <c r="DB35" i="44"/>
  <c r="DB34" i="44"/>
  <c r="DB33" i="44"/>
  <c r="DB32" i="44"/>
  <c r="DB31" i="44"/>
  <c r="DB29" i="44"/>
  <c r="DB24" i="44"/>
  <c r="DB22" i="44"/>
  <c r="DB9" i="44"/>
  <c r="DB49" i="44"/>
  <c r="DB50" i="44"/>
  <c r="DB51" i="44"/>
  <c r="DB52" i="44"/>
  <c r="DB65" i="44"/>
  <c r="DB64" i="44"/>
  <c r="DB63" i="44"/>
  <c r="DB62" i="44"/>
  <c r="DB61" i="44"/>
  <c r="DB60" i="44"/>
  <c r="DB59" i="44"/>
  <c r="DB58" i="44"/>
  <c r="DB57" i="44"/>
  <c r="DB56" i="44"/>
  <c r="DB55" i="44"/>
  <c r="DB53" i="44"/>
  <c r="DB48" i="44"/>
  <c r="DB46" i="44"/>
  <c r="DB10" i="44"/>
  <c r="DB75" i="44"/>
  <c r="DB76" i="44"/>
  <c r="DB77" i="44"/>
  <c r="DB78" i="44"/>
  <c r="DB91" i="44"/>
  <c r="DB90" i="44"/>
  <c r="DB89" i="44"/>
  <c r="DB88" i="44"/>
  <c r="DB87" i="44"/>
  <c r="DB86" i="44"/>
  <c r="DB85" i="44"/>
  <c r="DB84" i="44"/>
  <c r="DB83" i="44"/>
  <c r="DB82" i="44"/>
  <c r="DB81" i="44"/>
  <c r="DB79" i="44"/>
  <c r="DB74" i="44"/>
  <c r="DB72" i="44"/>
  <c r="DB70" i="44"/>
  <c r="DB11" i="44"/>
  <c r="DB17" i="44"/>
  <c r="DA25" i="44"/>
  <c r="DA26" i="44"/>
  <c r="DA27" i="44"/>
  <c r="DA28" i="44"/>
  <c r="DA41" i="44"/>
  <c r="DA40" i="44"/>
  <c r="DA39" i="44"/>
  <c r="DA38" i="44"/>
  <c r="DA37" i="44"/>
  <c r="DA36" i="44"/>
  <c r="DA35" i="44"/>
  <c r="DA34" i="44"/>
  <c r="DA33" i="44"/>
  <c r="DA32" i="44"/>
  <c r="DA31" i="44"/>
  <c r="DA29" i="44"/>
  <c r="DA24" i="44"/>
  <c r="DA22" i="44"/>
  <c r="DA9" i="44"/>
  <c r="DA49" i="44"/>
  <c r="DA50" i="44"/>
  <c r="DA51" i="44"/>
  <c r="DA52" i="44"/>
  <c r="DA65" i="44"/>
  <c r="DA64" i="44"/>
  <c r="DA63" i="44"/>
  <c r="DA62" i="44"/>
  <c r="DA61" i="44"/>
  <c r="DA60" i="44"/>
  <c r="DA59" i="44"/>
  <c r="DA58" i="44"/>
  <c r="DA57" i="44"/>
  <c r="DA56" i="44"/>
  <c r="DA55" i="44"/>
  <c r="DA53" i="44"/>
  <c r="DA48" i="44"/>
  <c r="DA46" i="44"/>
  <c r="DA10" i="44"/>
  <c r="DA75" i="44"/>
  <c r="DA76" i="44"/>
  <c r="DA77" i="44"/>
  <c r="DA78" i="44"/>
  <c r="DA91" i="44"/>
  <c r="DA90" i="44"/>
  <c r="DA89" i="44"/>
  <c r="DA88" i="44"/>
  <c r="DA87" i="44"/>
  <c r="DA86" i="44"/>
  <c r="DA85" i="44"/>
  <c r="DA84" i="44"/>
  <c r="DA83" i="44"/>
  <c r="DA82" i="44"/>
  <c r="DA81" i="44"/>
  <c r="DA79" i="44"/>
  <c r="DA74" i="44"/>
  <c r="DA72" i="44"/>
  <c r="DA70" i="44"/>
  <c r="DA11" i="44"/>
  <c r="DA17" i="44"/>
  <c r="CZ25" i="44"/>
  <c r="CZ26" i="44"/>
  <c r="CZ27" i="44"/>
  <c r="CZ28" i="44"/>
  <c r="CZ41" i="44"/>
  <c r="CZ40" i="44"/>
  <c r="CZ39" i="44"/>
  <c r="CZ38" i="44"/>
  <c r="CZ37" i="44"/>
  <c r="CZ36" i="44"/>
  <c r="CZ35" i="44"/>
  <c r="CZ34" i="44"/>
  <c r="CZ33" i="44"/>
  <c r="CZ32" i="44"/>
  <c r="CZ31" i="44"/>
  <c r="CZ29" i="44"/>
  <c r="CZ24" i="44"/>
  <c r="CZ22" i="44"/>
  <c r="CZ9" i="44"/>
  <c r="CZ49" i="44"/>
  <c r="CZ50" i="44"/>
  <c r="CZ51" i="44"/>
  <c r="CZ52" i="44"/>
  <c r="CZ65" i="44"/>
  <c r="CZ64" i="44"/>
  <c r="CZ63" i="44"/>
  <c r="CZ62" i="44"/>
  <c r="CZ61" i="44"/>
  <c r="CZ60" i="44"/>
  <c r="CZ59" i="44"/>
  <c r="CZ58" i="44"/>
  <c r="CZ57" i="44"/>
  <c r="CZ56" i="44"/>
  <c r="CZ55" i="44"/>
  <c r="CZ53" i="44"/>
  <c r="CZ48" i="44"/>
  <c r="CZ46" i="44"/>
  <c r="CZ10" i="44"/>
  <c r="CZ75" i="44"/>
  <c r="CZ76" i="44"/>
  <c r="CZ77" i="44"/>
  <c r="CZ78" i="44"/>
  <c r="CZ91" i="44"/>
  <c r="CZ90" i="44"/>
  <c r="CZ89" i="44"/>
  <c r="CZ88" i="44"/>
  <c r="CZ87" i="44"/>
  <c r="CZ86" i="44"/>
  <c r="CZ85" i="44"/>
  <c r="CZ84" i="44"/>
  <c r="CZ83" i="44"/>
  <c r="CZ82" i="44"/>
  <c r="CZ81" i="44"/>
  <c r="CZ79" i="44"/>
  <c r="CZ74" i="44"/>
  <c r="CZ72" i="44"/>
  <c r="CZ70" i="44"/>
  <c r="CZ11" i="44"/>
  <c r="CZ17" i="44"/>
  <c r="CY25" i="44"/>
  <c r="CY26" i="44"/>
  <c r="CY27" i="44"/>
  <c r="CY28" i="44"/>
  <c r="CY41" i="44"/>
  <c r="CY40" i="44"/>
  <c r="CY39" i="44"/>
  <c r="CY38" i="44"/>
  <c r="CY37" i="44"/>
  <c r="CY36" i="44"/>
  <c r="CY35" i="44"/>
  <c r="CY34" i="44"/>
  <c r="CY33" i="44"/>
  <c r="CY32" i="44"/>
  <c r="CY31" i="44"/>
  <c r="CY29" i="44"/>
  <c r="CY24" i="44"/>
  <c r="CY22" i="44"/>
  <c r="CY9" i="44"/>
  <c r="CY49" i="44"/>
  <c r="CY50" i="44"/>
  <c r="CY51" i="44"/>
  <c r="CY52" i="44"/>
  <c r="CY65" i="44"/>
  <c r="CY64" i="44"/>
  <c r="CY63" i="44"/>
  <c r="CY62" i="44"/>
  <c r="CY61" i="44"/>
  <c r="CY60" i="44"/>
  <c r="CY59" i="44"/>
  <c r="CY58" i="44"/>
  <c r="CY57" i="44"/>
  <c r="CY56" i="44"/>
  <c r="CY55" i="44"/>
  <c r="CY53" i="44"/>
  <c r="CY48" i="44"/>
  <c r="CY46" i="44"/>
  <c r="CY10" i="44"/>
  <c r="CY75" i="44"/>
  <c r="CY76" i="44"/>
  <c r="CY77" i="44"/>
  <c r="CY78" i="44"/>
  <c r="CY91" i="44"/>
  <c r="CY90" i="44"/>
  <c r="CY89" i="44"/>
  <c r="CY88" i="44"/>
  <c r="CY87" i="44"/>
  <c r="CY86" i="44"/>
  <c r="CY85" i="44"/>
  <c r="CY84" i="44"/>
  <c r="CY83" i="44"/>
  <c r="CY82" i="44"/>
  <c r="CY81" i="44"/>
  <c r="CY79" i="44"/>
  <c r="CY74" i="44"/>
  <c r="CY72" i="44"/>
  <c r="CY70" i="44"/>
  <c r="CY11" i="44"/>
  <c r="CY17" i="44"/>
  <c r="CX25" i="44"/>
  <c r="CX26" i="44"/>
  <c r="CX27" i="44"/>
  <c r="CX28" i="44"/>
  <c r="CX41" i="44"/>
  <c r="CX40" i="44"/>
  <c r="CX39" i="44"/>
  <c r="CX38" i="44"/>
  <c r="CX37" i="44"/>
  <c r="CX36" i="44"/>
  <c r="CX35" i="44"/>
  <c r="CX34" i="44"/>
  <c r="CX33" i="44"/>
  <c r="CX32" i="44"/>
  <c r="CX31" i="44"/>
  <c r="CX29" i="44"/>
  <c r="CX24" i="44"/>
  <c r="CX22" i="44"/>
  <c r="CX9" i="44"/>
  <c r="CX49" i="44"/>
  <c r="CX50" i="44"/>
  <c r="CX51" i="44"/>
  <c r="CX52" i="44"/>
  <c r="CX65" i="44"/>
  <c r="CX64" i="44"/>
  <c r="CX63" i="44"/>
  <c r="CX62" i="44"/>
  <c r="CX61" i="44"/>
  <c r="CX60" i="44"/>
  <c r="CX59" i="44"/>
  <c r="CX58" i="44"/>
  <c r="CX57" i="44"/>
  <c r="CX56" i="44"/>
  <c r="CX55" i="44"/>
  <c r="CX53" i="44"/>
  <c r="CX48" i="44"/>
  <c r="CX46" i="44"/>
  <c r="CX10" i="44"/>
  <c r="CX75" i="44"/>
  <c r="CX76" i="44"/>
  <c r="CX77" i="44"/>
  <c r="CX78" i="44"/>
  <c r="CX91" i="44"/>
  <c r="CX90" i="44"/>
  <c r="CX89" i="44"/>
  <c r="CX88" i="44"/>
  <c r="CX87" i="44"/>
  <c r="CX86" i="44"/>
  <c r="CX85" i="44"/>
  <c r="CX84" i="44"/>
  <c r="CX83" i="44"/>
  <c r="CX82" i="44"/>
  <c r="CX81" i="44"/>
  <c r="CX79" i="44"/>
  <c r="CX74" i="44"/>
  <c r="CX72" i="44"/>
  <c r="CX70" i="44"/>
  <c r="CX11" i="44"/>
  <c r="CX17" i="44"/>
  <c r="CW25" i="44"/>
  <c r="CW26" i="44"/>
  <c r="CW27" i="44"/>
  <c r="CW28" i="44"/>
  <c r="CW41" i="44"/>
  <c r="CW40" i="44"/>
  <c r="CW39" i="44"/>
  <c r="CW38" i="44"/>
  <c r="CW37" i="44"/>
  <c r="CW36" i="44"/>
  <c r="CW35" i="44"/>
  <c r="CW34" i="44"/>
  <c r="CW33" i="44"/>
  <c r="CW32" i="44"/>
  <c r="CW31" i="44"/>
  <c r="CW29" i="44"/>
  <c r="CW24" i="44"/>
  <c r="CW22" i="44"/>
  <c r="CW9" i="44"/>
  <c r="CW49" i="44"/>
  <c r="CW50" i="44"/>
  <c r="CW51" i="44"/>
  <c r="CW52" i="44"/>
  <c r="CW65" i="44"/>
  <c r="CW64" i="44"/>
  <c r="CW63" i="44"/>
  <c r="CW62" i="44"/>
  <c r="CW61" i="44"/>
  <c r="CW60" i="44"/>
  <c r="CW59" i="44"/>
  <c r="CW58" i="44"/>
  <c r="CW57" i="44"/>
  <c r="CW56" i="44"/>
  <c r="CW55" i="44"/>
  <c r="CW53" i="44"/>
  <c r="CW48" i="44"/>
  <c r="CW46" i="44"/>
  <c r="CW10" i="44"/>
  <c r="CW75" i="44"/>
  <c r="CW76" i="44"/>
  <c r="CW77" i="44"/>
  <c r="CW78" i="44"/>
  <c r="CW91" i="44"/>
  <c r="CW90" i="44"/>
  <c r="CW89" i="44"/>
  <c r="CW88" i="44"/>
  <c r="CW87" i="44"/>
  <c r="CW86" i="44"/>
  <c r="CW85" i="44"/>
  <c r="CW84" i="44"/>
  <c r="CW83" i="44"/>
  <c r="CW82" i="44"/>
  <c r="CW81" i="44"/>
  <c r="CW79" i="44"/>
  <c r="CW74" i="44"/>
  <c r="CW72" i="44"/>
  <c r="CW70" i="44"/>
  <c r="CW11" i="44"/>
  <c r="CW17" i="44"/>
  <c r="CV25" i="44"/>
  <c r="CV26" i="44"/>
  <c r="CV27" i="44"/>
  <c r="CV28" i="44"/>
  <c r="CV41" i="44"/>
  <c r="CV40" i="44"/>
  <c r="CV39" i="44"/>
  <c r="CV38" i="44"/>
  <c r="CV37" i="44"/>
  <c r="CV36" i="44"/>
  <c r="CV35" i="44"/>
  <c r="CV34" i="44"/>
  <c r="CV33" i="44"/>
  <c r="CV32" i="44"/>
  <c r="CV31" i="44"/>
  <c r="CV29" i="44"/>
  <c r="CV24" i="44"/>
  <c r="CV22" i="44"/>
  <c r="CV9" i="44"/>
  <c r="CV49" i="44"/>
  <c r="CV50" i="44"/>
  <c r="CV51" i="44"/>
  <c r="CV52" i="44"/>
  <c r="CV65" i="44"/>
  <c r="CV64" i="44"/>
  <c r="CV63" i="44"/>
  <c r="CV62" i="44"/>
  <c r="CV61" i="44"/>
  <c r="CV60" i="44"/>
  <c r="CV59" i="44"/>
  <c r="CV58" i="44"/>
  <c r="CV57" i="44"/>
  <c r="CV56" i="44"/>
  <c r="CV55" i="44"/>
  <c r="CV53" i="44"/>
  <c r="CV48" i="44"/>
  <c r="CV46" i="44"/>
  <c r="CV10" i="44"/>
  <c r="CV75" i="44"/>
  <c r="CV76" i="44"/>
  <c r="CV77" i="44"/>
  <c r="CV78" i="44"/>
  <c r="CV91" i="44"/>
  <c r="CV90" i="44"/>
  <c r="CV89" i="44"/>
  <c r="CV88" i="44"/>
  <c r="CV87" i="44"/>
  <c r="CV86" i="44"/>
  <c r="CV85" i="44"/>
  <c r="CV84" i="44"/>
  <c r="CV83" i="44"/>
  <c r="CV82" i="44"/>
  <c r="CV81" i="44"/>
  <c r="CV79" i="44"/>
  <c r="CV74" i="44"/>
  <c r="CV72" i="44"/>
  <c r="CV70" i="44"/>
  <c r="CV11" i="44"/>
  <c r="CV17" i="44"/>
  <c r="CU25" i="44"/>
  <c r="CU26" i="44"/>
  <c r="CU27" i="44"/>
  <c r="CU28" i="44"/>
  <c r="CU41" i="44"/>
  <c r="CU40" i="44"/>
  <c r="CU39" i="44"/>
  <c r="CU38" i="44"/>
  <c r="CU37" i="44"/>
  <c r="CU36" i="44"/>
  <c r="CU35" i="44"/>
  <c r="CU34" i="44"/>
  <c r="CU33" i="44"/>
  <c r="CU32" i="44"/>
  <c r="CU31" i="44"/>
  <c r="CU29" i="44"/>
  <c r="CU24" i="44"/>
  <c r="CU22" i="44"/>
  <c r="CU9" i="44"/>
  <c r="CU49" i="44"/>
  <c r="CU50" i="44"/>
  <c r="CU51" i="44"/>
  <c r="CU52" i="44"/>
  <c r="CU65" i="44"/>
  <c r="CU64" i="44"/>
  <c r="CU63" i="44"/>
  <c r="CU62" i="44"/>
  <c r="CU61" i="44"/>
  <c r="CU60" i="44"/>
  <c r="CU59" i="44"/>
  <c r="CU58" i="44"/>
  <c r="CU57" i="44"/>
  <c r="CU56" i="44"/>
  <c r="CU55" i="44"/>
  <c r="CU53" i="44"/>
  <c r="CU48" i="44"/>
  <c r="CU46" i="44"/>
  <c r="CU10" i="44"/>
  <c r="CU75" i="44"/>
  <c r="CU76" i="44"/>
  <c r="CU77" i="44"/>
  <c r="CU78" i="44"/>
  <c r="CU91" i="44"/>
  <c r="CU90" i="44"/>
  <c r="CU89" i="44"/>
  <c r="CU88" i="44"/>
  <c r="CU87" i="44"/>
  <c r="CU86" i="44"/>
  <c r="CU85" i="44"/>
  <c r="CU84" i="44"/>
  <c r="CU83" i="44"/>
  <c r="CU82" i="44"/>
  <c r="CU81" i="44"/>
  <c r="CU79" i="44"/>
  <c r="CU74" i="44"/>
  <c r="CU72" i="44"/>
  <c r="CU70" i="44"/>
  <c r="CU11" i="44"/>
  <c r="CU17" i="44"/>
  <c r="CT25" i="44"/>
  <c r="CT26" i="44"/>
  <c r="CT27" i="44"/>
  <c r="CT28" i="44"/>
  <c r="CT41" i="44"/>
  <c r="CT40" i="44"/>
  <c r="CT39" i="44"/>
  <c r="CT38" i="44"/>
  <c r="CT37" i="44"/>
  <c r="CT36" i="44"/>
  <c r="CT35" i="44"/>
  <c r="CT34" i="44"/>
  <c r="CT33" i="44"/>
  <c r="CT32" i="44"/>
  <c r="CT31" i="44"/>
  <c r="CT29" i="44"/>
  <c r="CT24" i="44"/>
  <c r="CT22" i="44"/>
  <c r="CT9" i="44"/>
  <c r="CT49" i="44"/>
  <c r="CT50" i="44"/>
  <c r="CT51" i="44"/>
  <c r="CT52" i="44"/>
  <c r="CT65" i="44"/>
  <c r="CT64" i="44"/>
  <c r="CT63" i="44"/>
  <c r="CT62" i="44"/>
  <c r="CT61" i="44"/>
  <c r="CT60" i="44"/>
  <c r="CT59" i="44"/>
  <c r="CT58" i="44"/>
  <c r="CT57" i="44"/>
  <c r="CT56" i="44"/>
  <c r="CT55" i="44"/>
  <c r="CT53" i="44"/>
  <c r="CT48" i="44"/>
  <c r="CT46" i="44"/>
  <c r="CT10" i="44"/>
  <c r="CT75" i="44"/>
  <c r="CT76" i="44"/>
  <c r="CT77" i="44"/>
  <c r="CT78" i="44"/>
  <c r="CT91" i="44"/>
  <c r="CT90" i="44"/>
  <c r="CT89" i="44"/>
  <c r="CT88" i="44"/>
  <c r="CT87" i="44"/>
  <c r="CT86" i="44"/>
  <c r="CT85" i="44"/>
  <c r="CT84" i="44"/>
  <c r="CT83" i="44"/>
  <c r="CT82" i="44"/>
  <c r="CT81" i="44"/>
  <c r="CT79" i="44"/>
  <c r="CT74" i="44"/>
  <c r="CT72" i="44"/>
  <c r="CT70" i="44"/>
  <c r="CT11" i="44"/>
  <c r="CT17" i="44"/>
  <c r="CS25" i="44"/>
  <c r="CS26" i="44"/>
  <c r="CS27" i="44"/>
  <c r="CS28" i="44"/>
  <c r="CS41" i="44"/>
  <c r="CS40" i="44"/>
  <c r="CS39" i="44"/>
  <c r="CS38" i="44"/>
  <c r="CS37" i="44"/>
  <c r="CS36" i="44"/>
  <c r="CS35" i="44"/>
  <c r="CS34" i="44"/>
  <c r="CS33" i="44"/>
  <c r="CS32" i="44"/>
  <c r="CS31" i="44"/>
  <c r="CS29" i="44"/>
  <c r="CS24" i="44"/>
  <c r="CS22" i="44"/>
  <c r="CS9" i="44"/>
  <c r="CS49" i="44"/>
  <c r="CS50" i="44"/>
  <c r="CS51" i="44"/>
  <c r="CS52" i="44"/>
  <c r="CS65" i="44"/>
  <c r="CS64" i="44"/>
  <c r="CS63" i="44"/>
  <c r="CS62" i="44"/>
  <c r="CS61" i="44"/>
  <c r="CS60" i="44"/>
  <c r="CS59" i="44"/>
  <c r="CS58" i="44"/>
  <c r="CS57" i="44"/>
  <c r="CS56" i="44"/>
  <c r="CS55" i="44"/>
  <c r="CS53" i="44"/>
  <c r="CS48" i="44"/>
  <c r="CS46" i="44"/>
  <c r="CS10" i="44"/>
  <c r="CS75" i="44"/>
  <c r="CS76" i="44"/>
  <c r="CS77" i="44"/>
  <c r="CS78" i="44"/>
  <c r="CS91" i="44"/>
  <c r="CS90" i="44"/>
  <c r="CS89" i="44"/>
  <c r="CS88" i="44"/>
  <c r="CS87" i="44"/>
  <c r="CS86" i="44"/>
  <c r="CS85" i="44"/>
  <c r="CS84" i="44"/>
  <c r="CS83" i="44"/>
  <c r="CS82" i="44"/>
  <c r="CS81" i="44"/>
  <c r="CS79" i="44"/>
  <c r="CS74" i="44"/>
  <c r="CS72" i="44"/>
  <c r="CS70" i="44"/>
  <c r="CS11" i="44"/>
  <c r="CS17" i="44"/>
  <c r="CR25" i="44"/>
  <c r="CR26" i="44"/>
  <c r="CR27" i="44"/>
  <c r="CR28" i="44"/>
  <c r="CR41" i="44"/>
  <c r="CR40" i="44"/>
  <c r="CR39" i="44"/>
  <c r="CR38" i="44"/>
  <c r="CR37" i="44"/>
  <c r="CR36" i="44"/>
  <c r="CR35" i="44"/>
  <c r="CR34" i="44"/>
  <c r="CR33" i="44"/>
  <c r="CR32" i="44"/>
  <c r="CR31" i="44"/>
  <c r="CR29" i="44"/>
  <c r="CR24" i="44"/>
  <c r="CR22" i="44"/>
  <c r="CR9" i="44"/>
  <c r="CR49" i="44"/>
  <c r="CR50" i="44"/>
  <c r="CR51" i="44"/>
  <c r="CR52" i="44"/>
  <c r="CR65" i="44"/>
  <c r="CR64" i="44"/>
  <c r="CR63" i="44"/>
  <c r="CR62" i="44"/>
  <c r="CR61" i="44"/>
  <c r="CR60" i="44"/>
  <c r="CR59" i="44"/>
  <c r="CR58" i="44"/>
  <c r="CR57" i="44"/>
  <c r="CR56" i="44"/>
  <c r="CR55" i="44"/>
  <c r="CR53" i="44"/>
  <c r="CR48" i="44"/>
  <c r="CR46" i="44"/>
  <c r="CR10" i="44"/>
  <c r="CR75" i="44"/>
  <c r="CR76" i="44"/>
  <c r="CR77" i="44"/>
  <c r="CR78" i="44"/>
  <c r="CR91" i="44"/>
  <c r="CR90" i="44"/>
  <c r="CR89" i="44"/>
  <c r="CR88" i="44"/>
  <c r="CR87" i="44"/>
  <c r="CR86" i="44"/>
  <c r="CR85" i="44"/>
  <c r="CR84" i="44"/>
  <c r="CR83" i="44"/>
  <c r="CR82" i="44"/>
  <c r="CR81" i="44"/>
  <c r="CR79" i="44"/>
  <c r="CR74" i="44"/>
  <c r="CR72" i="44"/>
  <c r="CR70" i="44"/>
  <c r="CR11" i="44"/>
  <c r="CR17" i="44"/>
  <c r="CQ25" i="44"/>
  <c r="CQ26" i="44"/>
  <c r="CQ27" i="44"/>
  <c r="CQ28" i="44"/>
  <c r="CQ41" i="44"/>
  <c r="CQ40" i="44"/>
  <c r="CQ39" i="44"/>
  <c r="CQ38" i="44"/>
  <c r="CQ37" i="44"/>
  <c r="CQ36" i="44"/>
  <c r="CQ35" i="44"/>
  <c r="CQ34" i="44"/>
  <c r="CQ33" i="44"/>
  <c r="CQ32" i="44"/>
  <c r="CQ31" i="44"/>
  <c r="CQ29" i="44"/>
  <c r="CQ24" i="44"/>
  <c r="CQ22" i="44"/>
  <c r="CQ9" i="44"/>
  <c r="CQ49" i="44"/>
  <c r="CQ50" i="44"/>
  <c r="CQ51" i="44"/>
  <c r="CQ52" i="44"/>
  <c r="CQ65" i="44"/>
  <c r="CQ64" i="44"/>
  <c r="CQ63" i="44"/>
  <c r="CQ62" i="44"/>
  <c r="CQ61" i="44"/>
  <c r="CQ60" i="44"/>
  <c r="CQ59" i="44"/>
  <c r="CQ58" i="44"/>
  <c r="CQ57" i="44"/>
  <c r="CQ56" i="44"/>
  <c r="CQ55" i="44"/>
  <c r="CQ53" i="44"/>
  <c r="CQ48" i="44"/>
  <c r="CQ46" i="44"/>
  <c r="CQ10" i="44"/>
  <c r="CQ75" i="44"/>
  <c r="CQ76" i="44"/>
  <c r="CQ77" i="44"/>
  <c r="CQ78" i="44"/>
  <c r="CQ91" i="44"/>
  <c r="CQ90" i="44"/>
  <c r="CQ89" i="44"/>
  <c r="CQ88" i="44"/>
  <c r="CQ87" i="44"/>
  <c r="CQ86" i="44"/>
  <c r="CQ85" i="44"/>
  <c r="CQ84" i="44"/>
  <c r="CQ83" i="44"/>
  <c r="CQ82" i="44"/>
  <c r="CQ81" i="44"/>
  <c r="CQ79" i="44"/>
  <c r="CQ74" i="44"/>
  <c r="CQ72" i="44"/>
  <c r="CQ70" i="44"/>
  <c r="CQ11" i="44"/>
  <c r="CQ17" i="44"/>
  <c r="CP25" i="44"/>
  <c r="CP26" i="44"/>
  <c r="CP27" i="44"/>
  <c r="CP28" i="44"/>
  <c r="CP41" i="44"/>
  <c r="CP40" i="44"/>
  <c r="CP39" i="44"/>
  <c r="CP38" i="44"/>
  <c r="CP37" i="44"/>
  <c r="CP36" i="44"/>
  <c r="CP35" i="44"/>
  <c r="CP34" i="44"/>
  <c r="CP33" i="44"/>
  <c r="CP32" i="44"/>
  <c r="CP31" i="44"/>
  <c r="CP29" i="44"/>
  <c r="CP24" i="44"/>
  <c r="CP22" i="44"/>
  <c r="CP9" i="44"/>
  <c r="CP49" i="44"/>
  <c r="CP50" i="44"/>
  <c r="CP51" i="44"/>
  <c r="CP52" i="44"/>
  <c r="CP65" i="44"/>
  <c r="CP64" i="44"/>
  <c r="CP63" i="44"/>
  <c r="CP62" i="44"/>
  <c r="CP61" i="44"/>
  <c r="CP60" i="44"/>
  <c r="CP59" i="44"/>
  <c r="CP58" i="44"/>
  <c r="CP57" i="44"/>
  <c r="CP56" i="44"/>
  <c r="CP55" i="44"/>
  <c r="CP53" i="44"/>
  <c r="CP48" i="44"/>
  <c r="CP46" i="44"/>
  <c r="CP10" i="44"/>
  <c r="CP75" i="44"/>
  <c r="CP76" i="44"/>
  <c r="CP77" i="44"/>
  <c r="CP78" i="44"/>
  <c r="CP91" i="44"/>
  <c r="CP90" i="44"/>
  <c r="CP89" i="44"/>
  <c r="CP88" i="44"/>
  <c r="CP87" i="44"/>
  <c r="CP86" i="44"/>
  <c r="CP85" i="44"/>
  <c r="CP84" i="44"/>
  <c r="CP83" i="44"/>
  <c r="CP82" i="44"/>
  <c r="CP81" i="44"/>
  <c r="CP79" i="44"/>
  <c r="CP74" i="44"/>
  <c r="CP72" i="44"/>
  <c r="CP70" i="44"/>
  <c r="CP11" i="44"/>
  <c r="CP17" i="44"/>
  <c r="CO25" i="44"/>
  <c r="CO26" i="44"/>
  <c r="CO27" i="44"/>
  <c r="CO28" i="44"/>
  <c r="CO41" i="44"/>
  <c r="CO40" i="44"/>
  <c r="CO39" i="44"/>
  <c r="CO38" i="44"/>
  <c r="CO37" i="44"/>
  <c r="CO36" i="44"/>
  <c r="CO35" i="44"/>
  <c r="CO34" i="44"/>
  <c r="CO33" i="44"/>
  <c r="CO32" i="44"/>
  <c r="CO31" i="44"/>
  <c r="CO29" i="44"/>
  <c r="CO24" i="44"/>
  <c r="CO22" i="44"/>
  <c r="CO9" i="44"/>
  <c r="CO49" i="44"/>
  <c r="CO50" i="44"/>
  <c r="CO51" i="44"/>
  <c r="CO52" i="44"/>
  <c r="CO65" i="44"/>
  <c r="CO64" i="44"/>
  <c r="CO63" i="44"/>
  <c r="CO62" i="44"/>
  <c r="CO61" i="44"/>
  <c r="CO60" i="44"/>
  <c r="CO59" i="44"/>
  <c r="CO58" i="44"/>
  <c r="CO57" i="44"/>
  <c r="CO56" i="44"/>
  <c r="CO55" i="44"/>
  <c r="CO53" i="44"/>
  <c r="CO48" i="44"/>
  <c r="CO46" i="44"/>
  <c r="CO10" i="44"/>
  <c r="CO75" i="44"/>
  <c r="CO76" i="44"/>
  <c r="CO77" i="44"/>
  <c r="CO78" i="44"/>
  <c r="CO91" i="44"/>
  <c r="CO90" i="44"/>
  <c r="CO89" i="44"/>
  <c r="CO88" i="44"/>
  <c r="CO87" i="44"/>
  <c r="CO86" i="44"/>
  <c r="CO85" i="44"/>
  <c r="CO84" i="44"/>
  <c r="CO83" i="44"/>
  <c r="CO82" i="44"/>
  <c r="CO81" i="44"/>
  <c r="CO79" i="44"/>
  <c r="CO74" i="44"/>
  <c r="CO72" i="44"/>
  <c r="CO70" i="44"/>
  <c r="CO11" i="44"/>
  <c r="CO17" i="44"/>
  <c r="CN25" i="44"/>
  <c r="CN26" i="44"/>
  <c r="CN27" i="44"/>
  <c r="CN28" i="44"/>
  <c r="CN41" i="44"/>
  <c r="CN40" i="44"/>
  <c r="CN39" i="44"/>
  <c r="CN38" i="44"/>
  <c r="CN37" i="44"/>
  <c r="CN36" i="44"/>
  <c r="CN35" i="44"/>
  <c r="CN34" i="44"/>
  <c r="CN33" i="44"/>
  <c r="CN32" i="44"/>
  <c r="CN31" i="44"/>
  <c r="CN29" i="44"/>
  <c r="CN24" i="44"/>
  <c r="CN22" i="44"/>
  <c r="CN9" i="44"/>
  <c r="CN49" i="44"/>
  <c r="CN50" i="44"/>
  <c r="CN51" i="44"/>
  <c r="CN52" i="44"/>
  <c r="CN65" i="44"/>
  <c r="CN64" i="44"/>
  <c r="CN63" i="44"/>
  <c r="CN62" i="44"/>
  <c r="CN61" i="44"/>
  <c r="CN60" i="44"/>
  <c r="CN59" i="44"/>
  <c r="CN58" i="44"/>
  <c r="CN57" i="44"/>
  <c r="CN56" i="44"/>
  <c r="CN55" i="44"/>
  <c r="CN53" i="44"/>
  <c r="CN48" i="44"/>
  <c r="CN46" i="44"/>
  <c r="CN10" i="44"/>
  <c r="CN75" i="44"/>
  <c r="CN76" i="44"/>
  <c r="CN77" i="44"/>
  <c r="CN78" i="44"/>
  <c r="CN91" i="44"/>
  <c r="CN90" i="44"/>
  <c r="CN89" i="44"/>
  <c r="CN88" i="44"/>
  <c r="CN87" i="44"/>
  <c r="CN86" i="44"/>
  <c r="CN85" i="44"/>
  <c r="CN84" i="44"/>
  <c r="CN83" i="44"/>
  <c r="CN82" i="44"/>
  <c r="CN81" i="44"/>
  <c r="CN79" i="44"/>
  <c r="CN74" i="44"/>
  <c r="CN72" i="44"/>
  <c r="CN70" i="44"/>
  <c r="CN11" i="44"/>
  <c r="CN17" i="44"/>
  <c r="CM25" i="44"/>
  <c r="CM26" i="44"/>
  <c r="CM27" i="44"/>
  <c r="CM28" i="44"/>
  <c r="CM41" i="44"/>
  <c r="CM40" i="44"/>
  <c r="CM39" i="44"/>
  <c r="CM38" i="44"/>
  <c r="CM37" i="44"/>
  <c r="CM36" i="44"/>
  <c r="CM35" i="44"/>
  <c r="CM34" i="44"/>
  <c r="CM33" i="44"/>
  <c r="CM32" i="44"/>
  <c r="CM31" i="44"/>
  <c r="CM29" i="44"/>
  <c r="CM24" i="44"/>
  <c r="CM22" i="44"/>
  <c r="CM9" i="44"/>
  <c r="CM49" i="44"/>
  <c r="CM50" i="44"/>
  <c r="CM51" i="44"/>
  <c r="CM52" i="44"/>
  <c r="CM65" i="44"/>
  <c r="CM64" i="44"/>
  <c r="CM63" i="44"/>
  <c r="CM62" i="44"/>
  <c r="CM61" i="44"/>
  <c r="CM60" i="44"/>
  <c r="CM59" i="44"/>
  <c r="CM58" i="44"/>
  <c r="CM57" i="44"/>
  <c r="CM56" i="44"/>
  <c r="CM55" i="44"/>
  <c r="CM53" i="44"/>
  <c r="CM48" i="44"/>
  <c r="CM46" i="44"/>
  <c r="CM10" i="44"/>
  <c r="CM75" i="44"/>
  <c r="CM76" i="44"/>
  <c r="CM77" i="44"/>
  <c r="CM78" i="44"/>
  <c r="CM91" i="44"/>
  <c r="CM90" i="44"/>
  <c r="CM89" i="44"/>
  <c r="CM88" i="44"/>
  <c r="CM87" i="44"/>
  <c r="CM86" i="44"/>
  <c r="CM85" i="44"/>
  <c r="CM84" i="44"/>
  <c r="CM83" i="44"/>
  <c r="CM82" i="44"/>
  <c r="CM81" i="44"/>
  <c r="CM79" i="44"/>
  <c r="CM74" i="44"/>
  <c r="CM72" i="44"/>
  <c r="CM70" i="44"/>
  <c r="CM11" i="44"/>
  <c r="CM17" i="44"/>
  <c r="CL25" i="44"/>
  <c r="CL26" i="44"/>
  <c r="CL27" i="44"/>
  <c r="CL28" i="44"/>
  <c r="CL41" i="44"/>
  <c r="CL40" i="44"/>
  <c r="CL39" i="44"/>
  <c r="CL38" i="44"/>
  <c r="CL37" i="44"/>
  <c r="CL36" i="44"/>
  <c r="CL35" i="44"/>
  <c r="CL34" i="44"/>
  <c r="CL33" i="44"/>
  <c r="CL32" i="44"/>
  <c r="CL31" i="44"/>
  <c r="CL29" i="44"/>
  <c r="CL24" i="44"/>
  <c r="CL22" i="44"/>
  <c r="CL9" i="44"/>
  <c r="CL49" i="44"/>
  <c r="CL50" i="44"/>
  <c r="CL51" i="44"/>
  <c r="CL52" i="44"/>
  <c r="CL65" i="44"/>
  <c r="CL64" i="44"/>
  <c r="CL63" i="44"/>
  <c r="CL62" i="44"/>
  <c r="CL61" i="44"/>
  <c r="CL60" i="44"/>
  <c r="CL59" i="44"/>
  <c r="CL58" i="44"/>
  <c r="CL57" i="44"/>
  <c r="CL56" i="44"/>
  <c r="CL55" i="44"/>
  <c r="CL53" i="44"/>
  <c r="CL48" i="44"/>
  <c r="CL46" i="44"/>
  <c r="CL10" i="44"/>
  <c r="CL75" i="44"/>
  <c r="CL76" i="44"/>
  <c r="CL77" i="44"/>
  <c r="CL78" i="44"/>
  <c r="CL91" i="44"/>
  <c r="CL90" i="44"/>
  <c r="CL89" i="44"/>
  <c r="CL88" i="44"/>
  <c r="CL87" i="44"/>
  <c r="CL86" i="44"/>
  <c r="CL85" i="44"/>
  <c r="CL84" i="44"/>
  <c r="CL83" i="44"/>
  <c r="CL82" i="44"/>
  <c r="CL81" i="44"/>
  <c r="CL79" i="44"/>
  <c r="CL74" i="44"/>
  <c r="CL72" i="44"/>
  <c r="CL70" i="44"/>
  <c r="CL11" i="44"/>
  <c r="CL17" i="44"/>
  <c r="CK25" i="44"/>
  <c r="CK26" i="44"/>
  <c r="CK27" i="44"/>
  <c r="CK28" i="44"/>
  <c r="CK41" i="44"/>
  <c r="CK40" i="44"/>
  <c r="CK39" i="44"/>
  <c r="CK38" i="44"/>
  <c r="CK37" i="44"/>
  <c r="CK36" i="44"/>
  <c r="CK35" i="44"/>
  <c r="CK34" i="44"/>
  <c r="CK33" i="44"/>
  <c r="CK32" i="44"/>
  <c r="CK31" i="44"/>
  <c r="CK29" i="44"/>
  <c r="CK24" i="44"/>
  <c r="CK22" i="44"/>
  <c r="CK9" i="44"/>
  <c r="CK49" i="44"/>
  <c r="CK50" i="44"/>
  <c r="CK51" i="44"/>
  <c r="CK52" i="44"/>
  <c r="CK65" i="44"/>
  <c r="CK64" i="44"/>
  <c r="CK63" i="44"/>
  <c r="CK62" i="44"/>
  <c r="CK61" i="44"/>
  <c r="CK60" i="44"/>
  <c r="CK59" i="44"/>
  <c r="CK58" i="44"/>
  <c r="CK57" i="44"/>
  <c r="CK56" i="44"/>
  <c r="CK55" i="44"/>
  <c r="CK53" i="44"/>
  <c r="CK48" i="44"/>
  <c r="CK46" i="44"/>
  <c r="CK10" i="44"/>
  <c r="CK75" i="44"/>
  <c r="CK76" i="44"/>
  <c r="CK77" i="44"/>
  <c r="CK78" i="44"/>
  <c r="CK91" i="44"/>
  <c r="CK90" i="44"/>
  <c r="CK89" i="44"/>
  <c r="CK88" i="44"/>
  <c r="CK87" i="44"/>
  <c r="CK86" i="44"/>
  <c r="CK85" i="44"/>
  <c r="CK84" i="44"/>
  <c r="CK83" i="44"/>
  <c r="CK82" i="44"/>
  <c r="CK81" i="44"/>
  <c r="CK79" i="44"/>
  <c r="CK74" i="44"/>
  <c r="CK72" i="44"/>
  <c r="CK70" i="44"/>
  <c r="CK11" i="44"/>
  <c r="CK17" i="44"/>
  <c r="CJ25" i="44"/>
  <c r="CJ26" i="44"/>
  <c r="CJ27" i="44"/>
  <c r="CJ28" i="44"/>
  <c r="CJ41" i="44"/>
  <c r="CJ40" i="44"/>
  <c r="CJ39" i="44"/>
  <c r="CJ38" i="44"/>
  <c r="CJ37" i="44"/>
  <c r="CJ36" i="44"/>
  <c r="CJ35" i="44"/>
  <c r="CJ34" i="44"/>
  <c r="CJ33" i="44"/>
  <c r="CJ32" i="44"/>
  <c r="CJ31" i="44"/>
  <c r="CJ29" i="44"/>
  <c r="CJ24" i="44"/>
  <c r="CJ22" i="44"/>
  <c r="CJ9" i="44"/>
  <c r="CJ49" i="44"/>
  <c r="CJ50" i="44"/>
  <c r="CJ51" i="44"/>
  <c r="CJ52" i="44"/>
  <c r="CJ65" i="44"/>
  <c r="CJ64" i="44"/>
  <c r="CJ63" i="44"/>
  <c r="CJ62" i="44"/>
  <c r="CJ61" i="44"/>
  <c r="CJ60" i="44"/>
  <c r="CJ59" i="44"/>
  <c r="CJ58" i="44"/>
  <c r="CJ57" i="44"/>
  <c r="CJ56" i="44"/>
  <c r="CJ55" i="44"/>
  <c r="CJ53" i="44"/>
  <c r="CJ48" i="44"/>
  <c r="CJ46" i="44"/>
  <c r="CJ10" i="44"/>
  <c r="CJ75" i="44"/>
  <c r="CJ76" i="44"/>
  <c r="CJ77" i="44"/>
  <c r="CJ78" i="44"/>
  <c r="CJ91" i="44"/>
  <c r="CJ90" i="44"/>
  <c r="CJ89" i="44"/>
  <c r="CJ88" i="44"/>
  <c r="CJ87" i="44"/>
  <c r="CJ86" i="44"/>
  <c r="CJ85" i="44"/>
  <c r="CJ84" i="44"/>
  <c r="CJ83" i="44"/>
  <c r="CJ82" i="44"/>
  <c r="CJ81" i="44"/>
  <c r="CJ79" i="44"/>
  <c r="CJ74" i="44"/>
  <c r="CJ72" i="44"/>
  <c r="CJ70" i="44"/>
  <c r="CJ11" i="44"/>
  <c r="CJ17" i="44"/>
  <c r="CI25" i="44"/>
  <c r="CI26" i="44"/>
  <c r="CI27" i="44"/>
  <c r="CI28" i="44"/>
  <c r="CI41" i="44"/>
  <c r="CI40" i="44"/>
  <c r="CI39" i="44"/>
  <c r="CI38" i="44"/>
  <c r="CI37" i="44"/>
  <c r="CI36" i="44"/>
  <c r="CI35" i="44"/>
  <c r="CI34" i="44"/>
  <c r="CI33" i="44"/>
  <c r="CI32" i="44"/>
  <c r="CI31" i="44"/>
  <c r="CI29" i="44"/>
  <c r="CI24" i="44"/>
  <c r="CI22" i="44"/>
  <c r="CI9" i="44"/>
  <c r="CI49" i="44"/>
  <c r="CI50" i="44"/>
  <c r="CI51" i="44"/>
  <c r="CI52" i="44"/>
  <c r="CI65" i="44"/>
  <c r="CI64" i="44"/>
  <c r="CI63" i="44"/>
  <c r="CI62" i="44"/>
  <c r="CI61" i="44"/>
  <c r="CI60" i="44"/>
  <c r="CI59" i="44"/>
  <c r="CI58" i="44"/>
  <c r="CI57" i="44"/>
  <c r="CI56" i="44"/>
  <c r="CI55" i="44"/>
  <c r="CI53" i="44"/>
  <c r="CI48" i="44"/>
  <c r="CI46" i="44"/>
  <c r="CI10" i="44"/>
  <c r="CI75" i="44"/>
  <c r="CI76" i="44"/>
  <c r="CI77" i="44"/>
  <c r="CI78" i="44"/>
  <c r="CI91" i="44"/>
  <c r="CI90" i="44"/>
  <c r="CI89" i="44"/>
  <c r="CI88" i="44"/>
  <c r="CI87" i="44"/>
  <c r="CI86" i="44"/>
  <c r="CI85" i="44"/>
  <c r="CI84" i="44"/>
  <c r="CI83" i="44"/>
  <c r="CI82" i="44"/>
  <c r="CI81" i="44"/>
  <c r="CI79" i="44"/>
  <c r="CI74" i="44"/>
  <c r="CI72" i="44"/>
  <c r="CI70" i="44"/>
  <c r="CI11" i="44"/>
  <c r="CI17" i="44"/>
  <c r="CH25" i="44"/>
  <c r="CH26" i="44"/>
  <c r="CH27" i="44"/>
  <c r="CH28" i="44"/>
  <c r="CH41" i="44"/>
  <c r="CH40" i="44"/>
  <c r="CH39" i="44"/>
  <c r="CH38" i="44"/>
  <c r="CH37" i="44"/>
  <c r="CH36" i="44"/>
  <c r="CH35" i="44"/>
  <c r="CH34" i="44"/>
  <c r="CH33" i="44"/>
  <c r="CH32" i="44"/>
  <c r="CH31" i="44"/>
  <c r="CH29" i="44"/>
  <c r="CH24" i="44"/>
  <c r="CH22" i="44"/>
  <c r="CH9" i="44"/>
  <c r="CH49" i="44"/>
  <c r="CH50" i="44"/>
  <c r="CH51" i="44"/>
  <c r="CH52" i="44"/>
  <c r="CH65" i="44"/>
  <c r="CH64" i="44"/>
  <c r="CH63" i="44"/>
  <c r="CH62" i="44"/>
  <c r="CH61" i="44"/>
  <c r="CH60" i="44"/>
  <c r="CH59" i="44"/>
  <c r="CH58" i="44"/>
  <c r="CH57" i="44"/>
  <c r="CH56" i="44"/>
  <c r="CH55" i="44"/>
  <c r="CH53" i="44"/>
  <c r="CH48" i="44"/>
  <c r="CH46" i="44"/>
  <c r="CH10" i="44"/>
  <c r="CH75" i="44"/>
  <c r="CH76" i="44"/>
  <c r="CH77" i="44"/>
  <c r="CH78" i="44"/>
  <c r="CH91" i="44"/>
  <c r="CH90" i="44"/>
  <c r="CH89" i="44"/>
  <c r="CH88" i="44"/>
  <c r="CH87" i="44"/>
  <c r="CH86" i="44"/>
  <c r="CH85" i="44"/>
  <c r="CH84" i="44"/>
  <c r="CH83" i="44"/>
  <c r="CH82" i="44"/>
  <c r="CH81" i="44"/>
  <c r="CH79" i="44"/>
  <c r="CH74" i="44"/>
  <c r="CH72" i="44"/>
  <c r="CH70" i="44"/>
  <c r="CH11" i="44"/>
  <c r="CH17" i="44"/>
  <c r="CG25" i="44"/>
  <c r="CG26" i="44"/>
  <c r="CG27" i="44"/>
  <c r="CG28" i="44"/>
  <c r="CG41" i="44"/>
  <c r="CG40" i="44"/>
  <c r="CG39" i="44"/>
  <c r="CG38" i="44"/>
  <c r="CG37" i="44"/>
  <c r="CG36" i="44"/>
  <c r="CG35" i="44"/>
  <c r="CG34" i="44"/>
  <c r="CG33" i="44"/>
  <c r="CG32" i="44"/>
  <c r="CG31" i="44"/>
  <c r="CG29" i="44"/>
  <c r="CG24" i="44"/>
  <c r="CG22" i="44"/>
  <c r="CG9" i="44"/>
  <c r="CG49" i="44"/>
  <c r="CG50" i="44"/>
  <c r="CG51" i="44"/>
  <c r="CG52" i="44"/>
  <c r="CG65" i="44"/>
  <c r="CG64" i="44"/>
  <c r="CG63" i="44"/>
  <c r="CG62" i="44"/>
  <c r="CG61" i="44"/>
  <c r="CG60" i="44"/>
  <c r="CG59" i="44"/>
  <c r="CG58" i="44"/>
  <c r="CG57" i="44"/>
  <c r="CG56" i="44"/>
  <c r="CG55" i="44"/>
  <c r="CG53" i="44"/>
  <c r="CG48" i="44"/>
  <c r="CG46" i="44"/>
  <c r="CG10" i="44"/>
  <c r="CG75" i="44"/>
  <c r="CG76" i="44"/>
  <c r="CG77" i="44"/>
  <c r="CG78" i="44"/>
  <c r="CG91" i="44"/>
  <c r="CG90" i="44"/>
  <c r="CG89" i="44"/>
  <c r="CG88" i="44"/>
  <c r="CG87" i="44"/>
  <c r="CG86" i="44"/>
  <c r="CG85" i="44"/>
  <c r="CG84" i="44"/>
  <c r="CG83" i="44"/>
  <c r="CG82" i="44"/>
  <c r="CG81" i="44"/>
  <c r="CG79" i="44"/>
  <c r="CG74" i="44"/>
  <c r="CG72" i="44"/>
  <c r="CG70" i="44"/>
  <c r="CG11" i="44"/>
  <c r="CG17" i="44"/>
  <c r="CF25" i="44"/>
  <c r="CF26" i="44"/>
  <c r="CF27" i="44"/>
  <c r="CF28" i="44"/>
  <c r="CF41" i="44"/>
  <c r="CF40" i="44"/>
  <c r="CF39" i="44"/>
  <c r="CF38" i="44"/>
  <c r="CF37" i="44"/>
  <c r="CF36" i="44"/>
  <c r="CF35" i="44"/>
  <c r="CF34" i="44"/>
  <c r="CF33" i="44"/>
  <c r="CF32" i="44"/>
  <c r="CF31" i="44"/>
  <c r="CF29" i="44"/>
  <c r="CF24" i="44"/>
  <c r="CF22" i="44"/>
  <c r="CF9" i="44"/>
  <c r="CF49" i="44"/>
  <c r="CF50" i="44"/>
  <c r="CF51" i="44"/>
  <c r="CF52" i="44"/>
  <c r="CF65" i="44"/>
  <c r="CF64" i="44"/>
  <c r="CF63" i="44"/>
  <c r="CF62" i="44"/>
  <c r="CF61" i="44"/>
  <c r="CF60" i="44"/>
  <c r="CF59" i="44"/>
  <c r="CF58" i="44"/>
  <c r="CF57" i="44"/>
  <c r="CF56" i="44"/>
  <c r="CF55" i="44"/>
  <c r="CF53" i="44"/>
  <c r="CF48" i="44"/>
  <c r="CF46" i="44"/>
  <c r="CF10" i="44"/>
  <c r="CF75" i="44"/>
  <c r="CF76" i="44"/>
  <c r="CF77" i="44"/>
  <c r="CF78" i="44"/>
  <c r="CF91" i="44"/>
  <c r="CF90" i="44"/>
  <c r="CF89" i="44"/>
  <c r="CF88" i="44"/>
  <c r="CF87" i="44"/>
  <c r="CF86" i="44"/>
  <c r="CF85" i="44"/>
  <c r="CF84" i="44"/>
  <c r="CF83" i="44"/>
  <c r="CF82" i="44"/>
  <c r="CF81" i="44"/>
  <c r="CF79" i="44"/>
  <c r="CF74" i="44"/>
  <c r="CF72" i="44"/>
  <c r="CF70" i="44"/>
  <c r="CF11" i="44"/>
  <c r="CF17" i="44"/>
  <c r="CE25" i="44"/>
  <c r="CE26" i="44"/>
  <c r="CE27" i="44"/>
  <c r="CE28" i="44"/>
  <c r="CE41" i="44"/>
  <c r="CE40" i="44"/>
  <c r="CE39" i="44"/>
  <c r="CE38" i="44"/>
  <c r="CE37" i="44"/>
  <c r="CE36" i="44"/>
  <c r="CE35" i="44"/>
  <c r="CE34" i="44"/>
  <c r="CE33" i="44"/>
  <c r="CE32" i="44"/>
  <c r="CE31" i="44"/>
  <c r="CE29" i="44"/>
  <c r="CE24" i="44"/>
  <c r="CE22" i="44"/>
  <c r="CE9" i="44"/>
  <c r="CE49" i="44"/>
  <c r="CE50" i="44"/>
  <c r="CE51" i="44"/>
  <c r="CE52" i="44"/>
  <c r="CE65" i="44"/>
  <c r="CE64" i="44"/>
  <c r="CE63" i="44"/>
  <c r="CE62" i="44"/>
  <c r="CE61" i="44"/>
  <c r="CE60" i="44"/>
  <c r="CE59" i="44"/>
  <c r="CE58" i="44"/>
  <c r="CE57" i="44"/>
  <c r="CE56" i="44"/>
  <c r="CE55" i="44"/>
  <c r="CE53" i="44"/>
  <c r="CE48" i="44"/>
  <c r="CE46" i="44"/>
  <c r="CE10" i="44"/>
  <c r="CE75" i="44"/>
  <c r="CE76" i="44"/>
  <c r="CE77" i="44"/>
  <c r="CE78" i="44"/>
  <c r="CE91" i="44"/>
  <c r="CE90" i="44"/>
  <c r="CE89" i="44"/>
  <c r="CE88" i="44"/>
  <c r="CE87" i="44"/>
  <c r="CE86" i="44"/>
  <c r="CE85" i="44"/>
  <c r="CE84" i="44"/>
  <c r="CE83" i="44"/>
  <c r="CE82" i="44"/>
  <c r="CE81" i="44"/>
  <c r="CE79" i="44"/>
  <c r="CE74" i="44"/>
  <c r="CE72" i="44"/>
  <c r="CE70" i="44"/>
  <c r="CE11" i="44"/>
  <c r="CE17" i="44"/>
  <c r="CD25" i="44"/>
  <c r="CD26" i="44"/>
  <c r="CD27" i="44"/>
  <c r="CD28" i="44"/>
  <c r="CD41" i="44"/>
  <c r="CD40" i="44"/>
  <c r="CD39" i="44"/>
  <c r="CD38" i="44"/>
  <c r="CD37" i="44"/>
  <c r="CD36" i="44"/>
  <c r="CD35" i="44"/>
  <c r="CD34" i="44"/>
  <c r="CD33" i="44"/>
  <c r="CD32" i="44"/>
  <c r="CD31" i="44"/>
  <c r="CD29" i="44"/>
  <c r="CD24" i="44"/>
  <c r="CD22" i="44"/>
  <c r="CD9" i="44"/>
  <c r="CD49" i="44"/>
  <c r="CD50" i="44"/>
  <c r="CD51" i="44"/>
  <c r="CD52" i="44"/>
  <c r="CD65" i="44"/>
  <c r="CD64" i="44"/>
  <c r="CD63" i="44"/>
  <c r="CD62" i="44"/>
  <c r="CD61" i="44"/>
  <c r="CD60" i="44"/>
  <c r="CD59" i="44"/>
  <c r="CD58" i="44"/>
  <c r="CD57" i="44"/>
  <c r="CD56" i="44"/>
  <c r="CD55" i="44"/>
  <c r="CD53" i="44"/>
  <c r="CD48" i="44"/>
  <c r="CD46" i="44"/>
  <c r="CD10" i="44"/>
  <c r="CD75" i="44"/>
  <c r="CD76" i="44"/>
  <c r="CD77" i="44"/>
  <c r="CD78" i="44"/>
  <c r="CD91" i="44"/>
  <c r="CD90" i="44"/>
  <c r="CD89" i="44"/>
  <c r="CD88" i="44"/>
  <c r="CD87" i="44"/>
  <c r="CD86" i="44"/>
  <c r="CD85" i="44"/>
  <c r="CD84" i="44"/>
  <c r="CD83" i="44"/>
  <c r="CD82" i="44"/>
  <c r="CD81" i="44"/>
  <c r="CD79" i="44"/>
  <c r="CD74" i="44"/>
  <c r="CD72" i="44"/>
  <c r="CD70" i="44"/>
  <c r="CD11" i="44"/>
  <c r="CD17" i="44"/>
  <c r="CC25" i="44"/>
  <c r="CC26" i="44"/>
  <c r="CC27" i="44"/>
  <c r="CC28" i="44"/>
  <c r="CC41" i="44"/>
  <c r="CC40" i="44"/>
  <c r="CC39" i="44"/>
  <c r="CC38" i="44"/>
  <c r="CC37" i="44"/>
  <c r="CC36" i="44"/>
  <c r="CC35" i="44"/>
  <c r="CC34" i="44"/>
  <c r="CC33" i="44"/>
  <c r="CC32" i="44"/>
  <c r="CC31" i="44"/>
  <c r="CC29" i="44"/>
  <c r="CC24" i="44"/>
  <c r="CC22" i="44"/>
  <c r="CC9" i="44"/>
  <c r="CC49" i="44"/>
  <c r="CC50" i="44"/>
  <c r="CC51" i="44"/>
  <c r="CC52" i="44"/>
  <c r="CC65" i="44"/>
  <c r="CC64" i="44"/>
  <c r="CC63" i="44"/>
  <c r="CC62" i="44"/>
  <c r="CC61" i="44"/>
  <c r="CC60" i="44"/>
  <c r="CC59" i="44"/>
  <c r="CC58" i="44"/>
  <c r="CC57" i="44"/>
  <c r="CC56" i="44"/>
  <c r="CC55" i="44"/>
  <c r="CC53" i="44"/>
  <c r="CC48" i="44"/>
  <c r="CC46" i="44"/>
  <c r="CC10" i="44"/>
  <c r="CC75" i="44"/>
  <c r="CC76" i="44"/>
  <c r="CC77" i="44"/>
  <c r="CC78" i="44"/>
  <c r="CC91" i="44"/>
  <c r="CC90" i="44"/>
  <c r="CC89" i="44"/>
  <c r="CC88" i="44"/>
  <c r="CC87" i="44"/>
  <c r="CC86" i="44"/>
  <c r="CC85" i="44"/>
  <c r="CC84" i="44"/>
  <c r="CC83" i="44"/>
  <c r="CC82" i="44"/>
  <c r="CC81" i="44"/>
  <c r="CC79" i="44"/>
  <c r="CC74" i="44"/>
  <c r="CC72" i="44"/>
  <c r="CC70" i="44"/>
  <c r="CC11" i="44"/>
  <c r="CC17" i="44"/>
  <c r="CB25" i="44"/>
  <c r="CB26" i="44"/>
  <c r="CB27" i="44"/>
  <c r="CB28" i="44"/>
  <c r="CB41" i="44"/>
  <c r="CB40" i="44"/>
  <c r="CB39" i="44"/>
  <c r="CB38" i="44"/>
  <c r="CB37" i="44"/>
  <c r="CB36" i="44"/>
  <c r="CB35" i="44"/>
  <c r="CB34" i="44"/>
  <c r="CB33" i="44"/>
  <c r="CB32" i="44"/>
  <c r="CB31" i="44"/>
  <c r="CB29" i="44"/>
  <c r="CB24" i="44"/>
  <c r="CB22" i="44"/>
  <c r="CB9" i="44"/>
  <c r="CB49" i="44"/>
  <c r="CB50" i="44"/>
  <c r="CB51" i="44"/>
  <c r="CB52" i="44"/>
  <c r="CB65" i="44"/>
  <c r="CB64" i="44"/>
  <c r="CB63" i="44"/>
  <c r="CB62" i="44"/>
  <c r="CB61" i="44"/>
  <c r="CB60" i="44"/>
  <c r="CB59" i="44"/>
  <c r="CB58" i="44"/>
  <c r="CB57" i="44"/>
  <c r="CB56" i="44"/>
  <c r="CB55" i="44"/>
  <c r="CB53" i="44"/>
  <c r="CB48" i="44"/>
  <c r="CB46" i="44"/>
  <c r="CB10" i="44"/>
  <c r="CB75" i="44"/>
  <c r="CB76" i="44"/>
  <c r="CB77" i="44"/>
  <c r="CB78" i="44"/>
  <c r="CB91" i="44"/>
  <c r="CB90" i="44"/>
  <c r="CB89" i="44"/>
  <c r="CB88" i="44"/>
  <c r="CB87" i="44"/>
  <c r="CB86" i="44"/>
  <c r="CB85" i="44"/>
  <c r="CB84" i="44"/>
  <c r="CB83" i="44"/>
  <c r="CB82" i="44"/>
  <c r="CB81" i="44"/>
  <c r="CB79" i="44"/>
  <c r="CB74" i="44"/>
  <c r="CB72" i="44"/>
  <c r="CB70" i="44"/>
  <c r="CB11" i="44"/>
  <c r="CB17" i="44"/>
  <c r="CA25" i="44"/>
  <c r="CA26" i="44"/>
  <c r="CA27" i="44"/>
  <c r="CA28" i="44"/>
  <c r="CA41" i="44"/>
  <c r="CA40" i="44"/>
  <c r="CA39" i="44"/>
  <c r="CA38" i="44"/>
  <c r="CA37" i="44"/>
  <c r="CA36" i="44"/>
  <c r="CA35" i="44"/>
  <c r="CA34" i="44"/>
  <c r="CA33" i="44"/>
  <c r="CA32" i="44"/>
  <c r="CA31" i="44"/>
  <c r="CA29" i="44"/>
  <c r="CA24" i="44"/>
  <c r="CA22" i="44"/>
  <c r="CA9" i="44"/>
  <c r="CA49" i="44"/>
  <c r="CA50" i="44"/>
  <c r="CA51" i="44"/>
  <c r="CA52" i="44"/>
  <c r="CA65" i="44"/>
  <c r="CA64" i="44"/>
  <c r="CA63" i="44"/>
  <c r="CA62" i="44"/>
  <c r="CA61" i="44"/>
  <c r="CA60" i="44"/>
  <c r="CA59" i="44"/>
  <c r="CA58" i="44"/>
  <c r="CA57" i="44"/>
  <c r="CA56" i="44"/>
  <c r="CA55" i="44"/>
  <c r="CA53" i="44"/>
  <c r="CA48" i="44"/>
  <c r="CA46" i="44"/>
  <c r="CA10" i="44"/>
  <c r="CA75" i="44"/>
  <c r="CA76" i="44"/>
  <c r="CA77" i="44"/>
  <c r="CA78" i="44"/>
  <c r="CA91" i="44"/>
  <c r="CA90" i="44"/>
  <c r="CA89" i="44"/>
  <c r="CA88" i="44"/>
  <c r="CA87" i="44"/>
  <c r="CA86" i="44"/>
  <c r="CA85" i="44"/>
  <c r="CA84" i="44"/>
  <c r="CA83" i="44"/>
  <c r="CA82" i="44"/>
  <c r="CA81" i="44"/>
  <c r="CA79" i="44"/>
  <c r="CA74" i="44"/>
  <c r="CA72" i="44"/>
  <c r="CA70" i="44"/>
  <c r="CA11" i="44"/>
  <c r="CA17" i="44"/>
  <c r="BZ25" i="44"/>
  <c r="BZ26" i="44"/>
  <c r="BZ27" i="44"/>
  <c r="BZ28" i="44"/>
  <c r="BZ41" i="44"/>
  <c r="BZ40" i="44"/>
  <c r="BZ39" i="44"/>
  <c r="BZ38" i="44"/>
  <c r="BZ37" i="44"/>
  <c r="BZ36" i="44"/>
  <c r="BZ35" i="44"/>
  <c r="BZ34" i="44"/>
  <c r="BZ33" i="44"/>
  <c r="BZ32" i="44"/>
  <c r="BZ31" i="44"/>
  <c r="BZ29" i="44"/>
  <c r="BZ24" i="44"/>
  <c r="BZ22" i="44"/>
  <c r="BZ9" i="44"/>
  <c r="BZ49" i="44"/>
  <c r="BZ50" i="44"/>
  <c r="BZ51" i="44"/>
  <c r="BZ52" i="44"/>
  <c r="BZ65" i="44"/>
  <c r="BZ64" i="44"/>
  <c r="BZ63" i="44"/>
  <c r="BZ62" i="44"/>
  <c r="BZ61" i="44"/>
  <c r="BZ60" i="44"/>
  <c r="BZ59" i="44"/>
  <c r="BZ58" i="44"/>
  <c r="BZ57" i="44"/>
  <c r="BZ56" i="44"/>
  <c r="BZ55" i="44"/>
  <c r="BZ53" i="44"/>
  <c r="BZ48" i="44"/>
  <c r="BZ46" i="44"/>
  <c r="BZ10" i="44"/>
  <c r="BZ75" i="44"/>
  <c r="BZ76" i="44"/>
  <c r="BZ77" i="44"/>
  <c r="BZ78" i="44"/>
  <c r="BZ91" i="44"/>
  <c r="BZ90" i="44"/>
  <c r="BZ89" i="44"/>
  <c r="BZ88" i="44"/>
  <c r="BZ87" i="44"/>
  <c r="BZ86" i="44"/>
  <c r="BZ85" i="44"/>
  <c r="BZ84" i="44"/>
  <c r="BZ83" i="44"/>
  <c r="BZ82" i="44"/>
  <c r="BZ81" i="44"/>
  <c r="BZ79" i="44"/>
  <c r="BZ74" i="44"/>
  <c r="BZ72" i="44"/>
  <c r="BZ70" i="44"/>
  <c r="BZ11" i="44"/>
  <c r="BZ17" i="44"/>
  <c r="BY25" i="44"/>
  <c r="BY26" i="44"/>
  <c r="BY27" i="44"/>
  <c r="BY28" i="44"/>
  <c r="BY40" i="44"/>
  <c r="BY39" i="44"/>
  <c r="BY38" i="44"/>
  <c r="BY37" i="44"/>
  <c r="BY36" i="44"/>
  <c r="BY35" i="44"/>
  <c r="BY34" i="44"/>
  <c r="BY33" i="44"/>
  <c r="BY32" i="44"/>
  <c r="BY31" i="44"/>
  <c r="BY29" i="44"/>
  <c r="BY24" i="44"/>
  <c r="BY22" i="44"/>
  <c r="BY9" i="44"/>
  <c r="BY49" i="44"/>
  <c r="BY50" i="44"/>
  <c r="BY51" i="44"/>
  <c r="BY52" i="44"/>
  <c r="BY65" i="44"/>
  <c r="BY64" i="44"/>
  <c r="BY63" i="44"/>
  <c r="BY62" i="44"/>
  <c r="BY61" i="44"/>
  <c r="BY60" i="44"/>
  <c r="BY59" i="44"/>
  <c r="BY58" i="44"/>
  <c r="BY57" i="44"/>
  <c r="BY56" i="44"/>
  <c r="BY55" i="44"/>
  <c r="BY53" i="44"/>
  <c r="BY48" i="44"/>
  <c r="BY46" i="44"/>
  <c r="BY10" i="44"/>
  <c r="BY75" i="44"/>
  <c r="BY76" i="44"/>
  <c r="BY77" i="44"/>
  <c r="BY78" i="44"/>
  <c r="BY91" i="44"/>
  <c r="BY90" i="44"/>
  <c r="BY89" i="44"/>
  <c r="BY88" i="44"/>
  <c r="BY87" i="44"/>
  <c r="BY86" i="44"/>
  <c r="BY85" i="44"/>
  <c r="BY84" i="44"/>
  <c r="BY83" i="44"/>
  <c r="BY82" i="44"/>
  <c r="BY81" i="44"/>
  <c r="BY79" i="44"/>
  <c r="BY74" i="44"/>
  <c r="BY72" i="44"/>
  <c r="BY70" i="44"/>
  <c r="BY11" i="44"/>
  <c r="BY17" i="44"/>
  <c r="BX25" i="44"/>
  <c r="BX26" i="44"/>
  <c r="BX27" i="44"/>
  <c r="BX28" i="44"/>
  <c r="BX40" i="44"/>
  <c r="BX39" i="44"/>
  <c r="BX38" i="44"/>
  <c r="BX37" i="44"/>
  <c r="BX36" i="44"/>
  <c r="BX35" i="44"/>
  <c r="BX34" i="44"/>
  <c r="BX33" i="44"/>
  <c r="BX32" i="44"/>
  <c r="BX31" i="44"/>
  <c r="BX29" i="44"/>
  <c r="BX24" i="44"/>
  <c r="BX22" i="44"/>
  <c r="BX9" i="44"/>
  <c r="BX49" i="44"/>
  <c r="BX50" i="44"/>
  <c r="BX51" i="44"/>
  <c r="BX52" i="44"/>
  <c r="BX65" i="44"/>
  <c r="BX64" i="44"/>
  <c r="BX63" i="44"/>
  <c r="BX62" i="44"/>
  <c r="BX61" i="44"/>
  <c r="BX60" i="44"/>
  <c r="BX59" i="44"/>
  <c r="BX58" i="44"/>
  <c r="BX57" i="44"/>
  <c r="BX56" i="44"/>
  <c r="BX55" i="44"/>
  <c r="BX53" i="44"/>
  <c r="BX48" i="44"/>
  <c r="BX46" i="44"/>
  <c r="BX10" i="44"/>
  <c r="BX75" i="44"/>
  <c r="BX76" i="44"/>
  <c r="BX77" i="44"/>
  <c r="BX78" i="44"/>
  <c r="BX91" i="44"/>
  <c r="BX90" i="44"/>
  <c r="BX89" i="44"/>
  <c r="BX88" i="44"/>
  <c r="BX87" i="44"/>
  <c r="BX86" i="44"/>
  <c r="BX85" i="44"/>
  <c r="BX84" i="44"/>
  <c r="BX83" i="44"/>
  <c r="BX82" i="44"/>
  <c r="BX81" i="44"/>
  <c r="BX79" i="44"/>
  <c r="BX74" i="44"/>
  <c r="BX72" i="44"/>
  <c r="BX70" i="44"/>
  <c r="BX11" i="44"/>
  <c r="BX17" i="44"/>
  <c r="BW25" i="44"/>
  <c r="BW26" i="44"/>
  <c r="BW27" i="44"/>
  <c r="BW28" i="44"/>
  <c r="BW40" i="44"/>
  <c r="BW39" i="44"/>
  <c r="BW38" i="44"/>
  <c r="BW37" i="44"/>
  <c r="BW36" i="44"/>
  <c r="BW35" i="44"/>
  <c r="BW34" i="44"/>
  <c r="BW33" i="44"/>
  <c r="BW32" i="44"/>
  <c r="BW31" i="44"/>
  <c r="BW29" i="44"/>
  <c r="BW24" i="44"/>
  <c r="BW22" i="44"/>
  <c r="BW9" i="44"/>
  <c r="BW49" i="44"/>
  <c r="BW50" i="44"/>
  <c r="BW51" i="44"/>
  <c r="BW52" i="44"/>
  <c r="BW65" i="44"/>
  <c r="BW64" i="44"/>
  <c r="BW63" i="44"/>
  <c r="BW62" i="44"/>
  <c r="BW61" i="44"/>
  <c r="BW60" i="44"/>
  <c r="BW59" i="44"/>
  <c r="BW58" i="44"/>
  <c r="BW57" i="44"/>
  <c r="BW56" i="44"/>
  <c r="BW55" i="44"/>
  <c r="BW53" i="44"/>
  <c r="BW48" i="44"/>
  <c r="BW46" i="44"/>
  <c r="BW10" i="44"/>
  <c r="BW75" i="44"/>
  <c r="BW76" i="44"/>
  <c r="BW77" i="44"/>
  <c r="BW78" i="44"/>
  <c r="BW91" i="44"/>
  <c r="BW90" i="44"/>
  <c r="BW89" i="44"/>
  <c r="BW88" i="44"/>
  <c r="BW87" i="44"/>
  <c r="BW86" i="44"/>
  <c r="BW85" i="44"/>
  <c r="BW84" i="44"/>
  <c r="BW83" i="44"/>
  <c r="BW82" i="44"/>
  <c r="BW81" i="44"/>
  <c r="BW79" i="44"/>
  <c r="BW74" i="44"/>
  <c r="BW72" i="44"/>
  <c r="BW70" i="44"/>
  <c r="BW11" i="44"/>
  <c r="BW17" i="44"/>
  <c r="BV25" i="44"/>
  <c r="BV26" i="44"/>
  <c r="BV27" i="44"/>
  <c r="BV28" i="44"/>
  <c r="BV40" i="44"/>
  <c r="BV39" i="44"/>
  <c r="BV38" i="44"/>
  <c r="BV37" i="44"/>
  <c r="BV36" i="44"/>
  <c r="BV35" i="44"/>
  <c r="BV34" i="44"/>
  <c r="BV33" i="44"/>
  <c r="BV32" i="44"/>
  <c r="BV31" i="44"/>
  <c r="BV29" i="44"/>
  <c r="BV24" i="44"/>
  <c r="BV22" i="44"/>
  <c r="BV9" i="44"/>
  <c r="BV49" i="44"/>
  <c r="BV50" i="44"/>
  <c r="BV51" i="44"/>
  <c r="BV52" i="44"/>
  <c r="BV65" i="44"/>
  <c r="BV64" i="44"/>
  <c r="BV63" i="44"/>
  <c r="BV62" i="44"/>
  <c r="BV61" i="44"/>
  <c r="BV60" i="44"/>
  <c r="BV59" i="44"/>
  <c r="BV58" i="44"/>
  <c r="BV57" i="44"/>
  <c r="BV56" i="44"/>
  <c r="BV55" i="44"/>
  <c r="BV53" i="44"/>
  <c r="BV48" i="44"/>
  <c r="BV46" i="44"/>
  <c r="BV10" i="44"/>
  <c r="BV75" i="44"/>
  <c r="BV76" i="44"/>
  <c r="BV77" i="44"/>
  <c r="BV78" i="44"/>
  <c r="BV91" i="44"/>
  <c r="BV90" i="44"/>
  <c r="BV89" i="44"/>
  <c r="BV88" i="44"/>
  <c r="BV87" i="44"/>
  <c r="BV86" i="44"/>
  <c r="BV85" i="44"/>
  <c r="BV84" i="44"/>
  <c r="BV83" i="44"/>
  <c r="BV82" i="44"/>
  <c r="BV81" i="44"/>
  <c r="BV79" i="44"/>
  <c r="BV74" i="44"/>
  <c r="BV72" i="44"/>
  <c r="BV70" i="44"/>
  <c r="BV11" i="44"/>
  <c r="BV17" i="44"/>
  <c r="BU25" i="44"/>
  <c r="BU26" i="44"/>
  <c r="BU27" i="44"/>
  <c r="BU28" i="44"/>
  <c r="BU40" i="44"/>
  <c r="BU39" i="44"/>
  <c r="BU38" i="44"/>
  <c r="BU37" i="44"/>
  <c r="BU36" i="44"/>
  <c r="BU35" i="44"/>
  <c r="BU34" i="44"/>
  <c r="BU33" i="44"/>
  <c r="BU32" i="44"/>
  <c r="BU31" i="44"/>
  <c r="BU29" i="44"/>
  <c r="BU24" i="44"/>
  <c r="BU22" i="44"/>
  <c r="BU9" i="44"/>
  <c r="BU49" i="44"/>
  <c r="BU50" i="44"/>
  <c r="BU51" i="44"/>
  <c r="BU52" i="44"/>
  <c r="BU65" i="44"/>
  <c r="BU64" i="44"/>
  <c r="BU63" i="44"/>
  <c r="BU62" i="44"/>
  <c r="BU61" i="44"/>
  <c r="BU60" i="44"/>
  <c r="BU59" i="44"/>
  <c r="BU58" i="44"/>
  <c r="BU57" i="44"/>
  <c r="BU56" i="44"/>
  <c r="BU55" i="44"/>
  <c r="BU53" i="44"/>
  <c r="BU48" i="44"/>
  <c r="BU46" i="44"/>
  <c r="BU10" i="44"/>
  <c r="BU75" i="44"/>
  <c r="BU76" i="44"/>
  <c r="BU77" i="44"/>
  <c r="BU78" i="44"/>
  <c r="BU91" i="44"/>
  <c r="BU90" i="44"/>
  <c r="BU89" i="44"/>
  <c r="BU88" i="44"/>
  <c r="BU87" i="44"/>
  <c r="BU86" i="44"/>
  <c r="BU85" i="44"/>
  <c r="BU84" i="44"/>
  <c r="BU83" i="44"/>
  <c r="BU82" i="44"/>
  <c r="BU81" i="44"/>
  <c r="BU79" i="44"/>
  <c r="BU74" i="44"/>
  <c r="BU72" i="44"/>
  <c r="BU70" i="44"/>
  <c r="BU11" i="44"/>
  <c r="BU17" i="44"/>
  <c r="BT25" i="44"/>
  <c r="BT26" i="44"/>
  <c r="BT27" i="44"/>
  <c r="BT28" i="44"/>
  <c r="BT40" i="44"/>
  <c r="BT39" i="44"/>
  <c r="BT38" i="44"/>
  <c r="BT37" i="44"/>
  <c r="BT36" i="44"/>
  <c r="BT35" i="44"/>
  <c r="BT34" i="44"/>
  <c r="BT33" i="44"/>
  <c r="BT32" i="44"/>
  <c r="BT31" i="44"/>
  <c r="BT29" i="44"/>
  <c r="BT24" i="44"/>
  <c r="BT22" i="44"/>
  <c r="BT9" i="44"/>
  <c r="BT49" i="44"/>
  <c r="BT50" i="44"/>
  <c r="BT51" i="44"/>
  <c r="BT52" i="44"/>
  <c r="BT65" i="44"/>
  <c r="BT64" i="44"/>
  <c r="BT63" i="44"/>
  <c r="BT62" i="44"/>
  <c r="BT61" i="44"/>
  <c r="BT60" i="44"/>
  <c r="BT59" i="44"/>
  <c r="BT58" i="44"/>
  <c r="BT57" i="44"/>
  <c r="BT56" i="44"/>
  <c r="BT55" i="44"/>
  <c r="BT53" i="44"/>
  <c r="BT48" i="44"/>
  <c r="BT46" i="44"/>
  <c r="BT10" i="44"/>
  <c r="BT75" i="44"/>
  <c r="BT76" i="44"/>
  <c r="BT77" i="44"/>
  <c r="BT78" i="44"/>
  <c r="BT91" i="44"/>
  <c r="BT90" i="44"/>
  <c r="BT89" i="44"/>
  <c r="BT88" i="44"/>
  <c r="BT87" i="44"/>
  <c r="BT86" i="44"/>
  <c r="BT85" i="44"/>
  <c r="BT84" i="44"/>
  <c r="BT83" i="44"/>
  <c r="BT82" i="44"/>
  <c r="BT81" i="44"/>
  <c r="BT79" i="44"/>
  <c r="BT74" i="44"/>
  <c r="BT72" i="44"/>
  <c r="BT70" i="44"/>
  <c r="BT11" i="44"/>
  <c r="BT17" i="44"/>
  <c r="BS25" i="44"/>
  <c r="BS26" i="44"/>
  <c r="BS27" i="44"/>
  <c r="BS28" i="44"/>
  <c r="BS40" i="44"/>
  <c r="BS39" i="44"/>
  <c r="BS38" i="44"/>
  <c r="BS37" i="44"/>
  <c r="BS36" i="44"/>
  <c r="BS35" i="44"/>
  <c r="BS34" i="44"/>
  <c r="BS33" i="44"/>
  <c r="BS32" i="44"/>
  <c r="BS31" i="44"/>
  <c r="BS29" i="44"/>
  <c r="BS24" i="44"/>
  <c r="BS22" i="44"/>
  <c r="BS9" i="44"/>
  <c r="BS49" i="44"/>
  <c r="BS50" i="44"/>
  <c r="BS51" i="44"/>
  <c r="BS52" i="44"/>
  <c r="BS65" i="44"/>
  <c r="BS64" i="44"/>
  <c r="BS63" i="44"/>
  <c r="BS62" i="44"/>
  <c r="BS61" i="44"/>
  <c r="BS60" i="44"/>
  <c r="BS59" i="44"/>
  <c r="BS58" i="44"/>
  <c r="BS57" i="44"/>
  <c r="BS56" i="44"/>
  <c r="BS55" i="44"/>
  <c r="BS53" i="44"/>
  <c r="BS48" i="44"/>
  <c r="BS46" i="44"/>
  <c r="BS10" i="44"/>
  <c r="BS75" i="44"/>
  <c r="BS76" i="44"/>
  <c r="BS77" i="44"/>
  <c r="BS78" i="44"/>
  <c r="BS91" i="44"/>
  <c r="BS90" i="44"/>
  <c r="BS89" i="44"/>
  <c r="BS88" i="44"/>
  <c r="BS87" i="44"/>
  <c r="BS86" i="44"/>
  <c r="BS85" i="44"/>
  <c r="BS84" i="44"/>
  <c r="BS83" i="44"/>
  <c r="BS82" i="44"/>
  <c r="BS81" i="44"/>
  <c r="BS79" i="44"/>
  <c r="BS74" i="44"/>
  <c r="BS72" i="44"/>
  <c r="BS70" i="44"/>
  <c r="BS11" i="44"/>
  <c r="BS17" i="44"/>
  <c r="BR25" i="44"/>
  <c r="BR26" i="44"/>
  <c r="BR27" i="44"/>
  <c r="BR28" i="44"/>
  <c r="BR40" i="44"/>
  <c r="BR39" i="44"/>
  <c r="BR38" i="44"/>
  <c r="BR37" i="44"/>
  <c r="BR36" i="44"/>
  <c r="BR35" i="44"/>
  <c r="BR34" i="44"/>
  <c r="BR33" i="44"/>
  <c r="BR32" i="44"/>
  <c r="BR31" i="44"/>
  <c r="BR29" i="44"/>
  <c r="BR24" i="44"/>
  <c r="BR22" i="44"/>
  <c r="BR9" i="44"/>
  <c r="BR49" i="44"/>
  <c r="BR50" i="44"/>
  <c r="BR51" i="44"/>
  <c r="BR52" i="44"/>
  <c r="BR65" i="44"/>
  <c r="BR64" i="44"/>
  <c r="BR63" i="44"/>
  <c r="BR62" i="44"/>
  <c r="BR61" i="44"/>
  <c r="BR60" i="44"/>
  <c r="BR59" i="44"/>
  <c r="BR58" i="44"/>
  <c r="BR57" i="44"/>
  <c r="BR56" i="44"/>
  <c r="BR55" i="44"/>
  <c r="BR53" i="44"/>
  <c r="BR48" i="44"/>
  <c r="BR46" i="44"/>
  <c r="BR10" i="44"/>
  <c r="BR75" i="44"/>
  <c r="BR76" i="44"/>
  <c r="BR77" i="44"/>
  <c r="BR78" i="44"/>
  <c r="BR91" i="44"/>
  <c r="BR90" i="44"/>
  <c r="BR89" i="44"/>
  <c r="BR88" i="44"/>
  <c r="BR87" i="44"/>
  <c r="BR86" i="44"/>
  <c r="BR85" i="44"/>
  <c r="BR84" i="44"/>
  <c r="BR83" i="44"/>
  <c r="BR82" i="44"/>
  <c r="BR81" i="44"/>
  <c r="BR79" i="44"/>
  <c r="BR74" i="44"/>
  <c r="BR72" i="44"/>
  <c r="BR70" i="44"/>
  <c r="BR11" i="44"/>
  <c r="BR17" i="44"/>
  <c r="BQ25" i="44"/>
  <c r="BQ26" i="44"/>
  <c r="BQ27" i="44"/>
  <c r="BQ28" i="44"/>
  <c r="BQ39" i="44"/>
  <c r="BQ38" i="44"/>
  <c r="BQ37" i="44"/>
  <c r="BQ36" i="44"/>
  <c r="BQ35" i="44"/>
  <c r="BQ34" i="44"/>
  <c r="BQ33" i="44"/>
  <c r="BQ32" i="44"/>
  <c r="BQ31" i="44"/>
  <c r="BQ29" i="44"/>
  <c r="BQ24" i="44"/>
  <c r="BQ22" i="44"/>
  <c r="BQ9" i="44"/>
  <c r="BQ49" i="44"/>
  <c r="BQ50" i="44"/>
  <c r="BQ51" i="44"/>
  <c r="BQ52" i="44"/>
  <c r="BQ65" i="44"/>
  <c r="BQ64" i="44"/>
  <c r="BQ63" i="44"/>
  <c r="BQ62" i="44"/>
  <c r="BQ61" i="44"/>
  <c r="BQ60" i="44"/>
  <c r="BQ59" i="44"/>
  <c r="BQ58" i="44"/>
  <c r="BQ57" i="44"/>
  <c r="BQ56" i="44"/>
  <c r="BQ55" i="44"/>
  <c r="BQ53" i="44"/>
  <c r="BQ48" i="44"/>
  <c r="BQ46" i="44"/>
  <c r="BQ10" i="44"/>
  <c r="BQ75" i="44"/>
  <c r="BQ76" i="44"/>
  <c r="BQ77" i="44"/>
  <c r="BQ78" i="44"/>
  <c r="BQ91" i="44"/>
  <c r="BQ90" i="44"/>
  <c r="BQ89" i="44"/>
  <c r="BQ88" i="44"/>
  <c r="BQ87" i="44"/>
  <c r="BQ86" i="44"/>
  <c r="BQ85" i="44"/>
  <c r="BQ84" i="44"/>
  <c r="BQ83" i="44"/>
  <c r="BQ82" i="44"/>
  <c r="BQ81" i="44"/>
  <c r="BQ79" i="44"/>
  <c r="BQ74" i="44"/>
  <c r="BQ72" i="44"/>
  <c r="BQ70" i="44"/>
  <c r="BQ11" i="44"/>
  <c r="BQ17" i="44"/>
  <c r="BP25" i="44"/>
  <c r="BP26" i="44"/>
  <c r="BP27" i="44"/>
  <c r="BP28" i="44"/>
  <c r="BP39" i="44"/>
  <c r="BP38" i="44"/>
  <c r="BP37" i="44"/>
  <c r="BP36" i="44"/>
  <c r="BP35" i="44"/>
  <c r="BP34" i="44"/>
  <c r="BP33" i="44"/>
  <c r="BP32" i="44"/>
  <c r="BP31" i="44"/>
  <c r="BP29" i="44"/>
  <c r="BP24" i="44"/>
  <c r="BP22" i="44"/>
  <c r="BP9" i="44"/>
  <c r="BP49" i="44"/>
  <c r="BP50" i="44"/>
  <c r="BP51" i="44"/>
  <c r="BP52" i="44"/>
  <c r="BP65" i="44"/>
  <c r="BP64" i="44"/>
  <c r="BP63" i="44"/>
  <c r="BP62" i="44"/>
  <c r="BP61" i="44"/>
  <c r="BP60" i="44"/>
  <c r="BP59" i="44"/>
  <c r="BP58" i="44"/>
  <c r="BP57" i="44"/>
  <c r="BP56" i="44"/>
  <c r="BP55" i="44"/>
  <c r="BP53" i="44"/>
  <c r="BP48" i="44"/>
  <c r="BP46" i="44"/>
  <c r="BP10" i="44"/>
  <c r="BP75" i="44"/>
  <c r="BP76" i="44"/>
  <c r="BP77" i="44"/>
  <c r="BP78" i="44"/>
  <c r="BP91" i="44"/>
  <c r="BP90" i="44"/>
  <c r="BP89" i="44"/>
  <c r="BP88" i="44"/>
  <c r="BP87" i="44"/>
  <c r="BP86" i="44"/>
  <c r="BP85" i="44"/>
  <c r="BP84" i="44"/>
  <c r="BP83" i="44"/>
  <c r="BP82" i="44"/>
  <c r="BP81" i="44"/>
  <c r="BP79" i="44"/>
  <c r="BP74" i="44"/>
  <c r="BP72" i="44"/>
  <c r="BP70" i="44"/>
  <c r="BP11" i="44"/>
  <c r="BP17" i="44"/>
  <c r="BO25" i="44"/>
  <c r="BO26" i="44"/>
  <c r="BO27" i="44"/>
  <c r="BO28" i="44"/>
  <c r="BO39" i="44"/>
  <c r="BO38" i="44"/>
  <c r="BO37" i="44"/>
  <c r="BO36" i="44"/>
  <c r="BO35" i="44"/>
  <c r="BO34" i="44"/>
  <c r="BO33" i="44"/>
  <c r="BO32" i="44"/>
  <c r="BO31" i="44"/>
  <c r="BO29" i="44"/>
  <c r="BO24" i="44"/>
  <c r="BO22" i="44"/>
  <c r="BO9" i="44"/>
  <c r="BO49" i="44"/>
  <c r="BO50" i="44"/>
  <c r="BO51" i="44"/>
  <c r="BO52" i="44"/>
  <c r="BO65" i="44"/>
  <c r="BO64" i="44"/>
  <c r="BO63" i="44"/>
  <c r="BO62" i="44"/>
  <c r="BO61" i="44"/>
  <c r="BO60" i="44"/>
  <c r="BO59" i="44"/>
  <c r="BO58" i="44"/>
  <c r="BO57" i="44"/>
  <c r="BO56" i="44"/>
  <c r="BO55" i="44"/>
  <c r="BO53" i="44"/>
  <c r="BO48" i="44"/>
  <c r="BO46" i="44"/>
  <c r="BO10" i="44"/>
  <c r="BO75" i="44"/>
  <c r="BO76" i="44"/>
  <c r="BO77" i="44"/>
  <c r="BO78" i="44"/>
  <c r="BO91" i="44"/>
  <c r="BO90" i="44"/>
  <c r="BO89" i="44"/>
  <c r="BO88" i="44"/>
  <c r="BO87" i="44"/>
  <c r="BO86" i="44"/>
  <c r="BO85" i="44"/>
  <c r="BO84" i="44"/>
  <c r="BO83" i="44"/>
  <c r="BO82" i="44"/>
  <c r="BO81" i="44"/>
  <c r="BO79" i="44"/>
  <c r="BO74" i="44"/>
  <c r="BO72" i="44"/>
  <c r="BO70" i="44"/>
  <c r="BO11" i="44"/>
  <c r="BO17" i="44"/>
  <c r="BN25" i="44"/>
  <c r="BN26" i="44"/>
  <c r="BN27" i="44"/>
  <c r="BN28" i="44"/>
  <c r="BN39" i="44"/>
  <c r="BN38" i="44"/>
  <c r="BN37" i="44"/>
  <c r="BN36" i="44"/>
  <c r="BN35" i="44"/>
  <c r="BN34" i="44"/>
  <c r="BN33" i="44"/>
  <c r="BN32" i="44"/>
  <c r="BN31" i="44"/>
  <c r="BN29" i="44"/>
  <c r="BN24" i="44"/>
  <c r="BN22" i="44"/>
  <c r="BN9" i="44"/>
  <c r="BN49" i="44"/>
  <c r="BN50" i="44"/>
  <c r="BN51" i="44"/>
  <c r="BN52" i="44"/>
  <c r="BN65" i="44"/>
  <c r="BN64" i="44"/>
  <c r="BN63" i="44"/>
  <c r="BN62" i="44"/>
  <c r="BN61" i="44"/>
  <c r="BN60" i="44"/>
  <c r="BN59" i="44"/>
  <c r="BN58" i="44"/>
  <c r="BN57" i="44"/>
  <c r="BN56" i="44"/>
  <c r="BN55" i="44"/>
  <c r="BN53" i="44"/>
  <c r="BN48" i="44"/>
  <c r="BN46" i="44"/>
  <c r="BN10" i="44"/>
  <c r="BN75" i="44"/>
  <c r="BN76" i="44"/>
  <c r="BN77" i="44"/>
  <c r="BN78" i="44"/>
  <c r="BN91" i="44"/>
  <c r="BN90" i="44"/>
  <c r="BN89" i="44"/>
  <c r="BN88" i="44"/>
  <c r="BN87" i="44"/>
  <c r="BN86" i="44"/>
  <c r="BN85" i="44"/>
  <c r="BN84" i="44"/>
  <c r="BN83" i="44"/>
  <c r="BN82" i="44"/>
  <c r="BN81" i="44"/>
  <c r="BN79" i="44"/>
  <c r="BN74" i="44"/>
  <c r="BN72" i="44"/>
  <c r="BN70" i="44"/>
  <c r="BN11" i="44"/>
  <c r="BN17" i="44"/>
  <c r="BM25" i="44"/>
  <c r="BM26" i="44"/>
  <c r="BM27" i="44"/>
  <c r="BM28" i="44"/>
  <c r="BM39" i="44"/>
  <c r="BM38" i="44"/>
  <c r="BM37" i="44"/>
  <c r="BM36" i="44"/>
  <c r="BM35" i="44"/>
  <c r="BM34" i="44"/>
  <c r="BM33" i="44"/>
  <c r="BM32" i="44"/>
  <c r="BM31" i="44"/>
  <c r="BM29" i="44"/>
  <c r="BM24" i="44"/>
  <c r="BM22" i="44"/>
  <c r="BM9" i="44"/>
  <c r="BM49" i="44"/>
  <c r="BM50" i="44"/>
  <c r="BM51" i="44"/>
  <c r="BM52" i="44"/>
  <c r="BM65" i="44"/>
  <c r="BM64" i="44"/>
  <c r="BM63" i="44"/>
  <c r="BM62" i="44"/>
  <c r="BM61" i="44"/>
  <c r="BM60" i="44"/>
  <c r="BM59" i="44"/>
  <c r="BM58" i="44"/>
  <c r="BM57" i="44"/>
  <c r="BM56" i="44"/>
  <c r="BM55" i="44"/>
  <c r="BM53" i="44"/>
  <c r="BM48" i="44"/>
  <c r="BM46" i="44"/>
  <c r="BM10" i="44"/>
  <c r="BM75" i="44"/>
  <c r="BM76" i="44"/>
  <c r="BM77" i="44"/>
  <c r="BM78" i="44"/>
  <c r="BM91" i="44"/>
  <c r="BM90" i="44"/>
  <c r="BM89" i="44"/>
  <c r="BM88" i="44"/>
  <c r="BM87" i="44"/>
  <c r="BM86" i="44"/>
  <c r="BM85" i="44"/>
  <c r="BM84" i="44"/>
  <c r="BM83" i="44"/>
  <c r="BM82" i="44"/>
  <c r="BM81" i="44"/>
  <c r="BM79" i="44"/>
  <c r="BM74" i="44"/>
  <c r="BM72" i="44"/>
  <c r="BM70" i="44"/>
  <c r="BM11" i="44"/>
  <c r="BM17" i="44"/>
  <c r="BL25" i="44"/>
  <c r="BL26" i="44"/>
  <c r="BL27" i="44"/>
  <c r="BL28" i="44"/>
  <c r="BL39" i="44"/>
  <c r="BL38" i="44"/>
  <c r="BL37" i="44"/>
  <c r="BL36" i="44"/>
  <c r="BL35" i="44"/>
  <c r="BL34" i="44"/>
  <c r="BL33" i="44"/>
  <c r="BL32" i="44"/>
  <c r="BL31" i="44"/>
  <c r="BL29" i="44"/>
  <c r="BL24" i="44"/>
  <c r="BL22" i="44"/>
  <c r="BL9" i="44"/>
  <c r="BL49" i="44"/>
  <c r="BL50" i="44"/>
  <c r="BL51" i="44"/>
  <c r="BL52" i="44"/>
  <c r="BL65" i="44"/>
  <c r="BL64" i="44"/>
  <c r="BL63" i="44"/>
  <c r="BL62" i="44"/>
  <c r="BL61" i="44"/>
  <c r="BL60" i="44"/>
  <c r="BL59" i="44"/>
  <c r="BL58" i="44"/>
  <c r="BL57" i="44"/>
  <c r="BL56" i="44"/>
  <c r="BL55" i="44"/>
  <c r="BL53" i="44"/>
  <c r="BL48" i="44"/>
  <c r="BL46" i="44"/>
  <c r="BL10" i="44"/>
  <c r="BL75" i="44"/>
  <c r="BL76" i="44"/>
  <c r="BL77" i="44"/>
  <c r="BL78" i="44"/>
  <c r="BL91" i="44"/>
  <c r="BL90" i="44"/>
  <c r="BL89" i="44"/>
  <c r="BL88" i="44"/>
  <c r="BL87" i="44"/>
  <c r="BL86" i="44"/>
  <c r="BL85" i="44"/>
  <c r="BL84" i="44"/>
  <c r="BL83" i="44"/>
  <c r="BL82" i="44"/>
  <c r="BL81" i="44"/>
  <c r="BL79" i="44"/>
  <c r="BL74" i="44"/>
  <c r="BL72" i="44"/>
  <c r="BL70" i="44"/>
  <c r="BL11" i="44"/>
  <c r="BL17" i="44"/>
  <c r="BK25" i="44"/>
  <c r="BK26" i="44"/>
  <c r="BK27" i="44"/>
  <c r="BK28" i="44"/>
  <c r="BK39" i="44"/>
  <c r="BK38" i="44"/>
  <c r="BK37" i="44"/>
  <c r="BK36" i="44"/>
  <c r="BK35" i="44"/>
  <c r="BK34" i="44"/>
  <c r="BK33" i="44"/>
  <c r="BK32" i="44"/>
  <c r="BK31" i="44"/>
  <c r="BK29" i="44"/>
  <c r="BK24" i="44"/>
  <c r="BK22" i="44"/>
  <c r="BK9" i="44"/>
  <c r="BK49" i="44"/>
  <c r="BK50" i="44"/>
  <c r="BK51" i="44"/>
  <c r="BK52" i="44"/>
  <c r="BK65" i="44"/>
  <c r="BK64" i="44"/>
  <c r="BK63" i="44"/>
  <c r="BK62" i="44"/>
  <c r="BK61" i="44"/>
  <c r="BK60" i="44"/>
  <c r="BK59" i="44"/>
  <c r="BK58" i="44"/>
  <c r="BK57" i="44"/>
  <c r="BK56" i="44"/>
  <c r="BK55" i="44"/>
  <c r="BK53" i="44"/>
  <c r="BK48" i="44"/>
  <c r="BK46" i="44"/>
  <c r="BK10" i="44"/>
  <c r="BK75" i="44"/>
  <c r="BK76" i="44"/>
  <c r="BK77" i="44"/>
  <c r="BK78" i="44"/>
  <c r="BK91" i="44"/>
  <c r="BK90" i="44"/>
  <c r="BK89" i="44"/>
  <c r="BK88" i="44"/>
  <c r="BK87" i="44"/>
  <c r="BK86" i="44"/>
  <c r="BK85" i="44"/>
  <c r="BK84" i="44"/>
  <c r="BK83" i="44"/>
  <c r="BK82" i="44"/>
  <c r="BK81" i="44"/>
  <c r="BK79" i="44"/>
  <c r="BK74" i="44"/>
  <c r="BK72" i="44"/>
  <c r="BK70" i="44"/>
  <c r="BK11" i="44"/>
  <c r="BK17" i="44"/>
  <c r="BJ25" i="44"/>
  <c r="BJ26" i="44"/>
  <c r="BJ27" i="44"/>
  <c r="BJ28" i="44"/>
  <c r="BJ39" i="44"/>
  <c r="BJ38" i="44"/>
  <c r="BJ37" i="44"/>
  <c r="BJ36" i="44"/>
  <c r="BJ35" i="44"/>
  <c r="BJ34" i="44"/>
  <c r="BJ33" i="44"/>
  <c r="BJ32" i="44"/>
  <c r="BJ31" i="44"/>
  <c r="BJ29" i="44"/>
  <c r="BJ24" i="44"/>
  <c r="BJ22" i="44"/>
  <c r="BJ9" i="44"/>
  <c r="BJ49" i="44"/>
  <c r="BJ50" i="44"/>
  <c r="BJ51" i="44"/>
  <c r="BJ52" i="44"/>
  <c r="BJ65" i="44"/>
  <c r="BJ64" i="44"/>
  <c r="BJ63" i="44"/>
  <c r="BJ62" i="44"/>
  <c r="BJ61" i="44"/>
  <c r="BJ60" i="44"/>
  <c r="BJ59" i="44"/>
  <c r="BJ58" i="44"/>
  <c r="BJ57" i="44"/>
  <c r="BJ56" i="44"/>
  <c r="BJ55" i="44"/>
  <c r="BJ53" i="44"/>
  <c r="BJ48" i="44"/>
  <c r="BJ46" i="44"/>
  <c r="BJ10" i="44"/>
  <c r="BJ75" i="44"/>
  <c r="BJ76" i="44"/>
  <c r="BJ77" i="44"/>
  <c r="BJ78" i="44"/>
  <c r="BJ91" i="44"/>
  <c r="BJ90" i="44"/>
  <c r="BJ89" i="44"/>
  <c r="BJ88" i="44"/>
  <c r="BJ87" i="44"/>
  <c r="BJ86" i="44"/>
  <c r="BJ85" i="44"/>
  <c r="BJ84" i="44"/>
  <c r="BJ83" i="44"/>
  <c r="BJ82" i="44"/>
  <c r="BJ81" i="44"/>
  <c r="BJ79" i="44"/>
  <c r="BJ74" i="44"/>
  <c r="BJ72" i="44"/>
  <c r="BJ70" i="44"/>
  <c r="BJ11" i="44"/>
  <c r="BJ17" i="44"/>
  <c r="BI25" i="44"/>
  <c r="BI26" i="44"/>
  <c r="BI27" i="44"/>
  <c r="BI28" i="44"/>
  <c r="BI39" i="44"/>
  <c r="BI38" i="44"/>
  <c r="BI37" i="44"/>
  <c r="BI36" i="44"/>
  <c r="BI35" i="44"/>
  <c r="BI34" i="44"/>
  <c r="BI33" i="44"/>
  <c r="BI32" i="44"/>
  <c r="BI31" i="44"/>
  <c r="BI29" i="44"/>
  <c r="BI24" i="44"/>
  <c r="BI22" i="44"/>
  <c r="BI9" i="44"/>
  <c r="BI49" i="44"/>
  <c r="BI50" i="44"/>
  <c r="BI51" i="44"/>
  <c r="BI52" i="44"/>
  <c r="BI65" i="44"/>
  <c r="BI64" i="44"/>
  <c r="BI63" i="44"/>
  <c r="BI62" i="44"/>
  <c r="BI61" i="44"/>
  <c r="BI60" i="44"/>
  <c r="BI59" i="44"/>
  <c r="BI58" i="44"/>
  <c r="BI57" i="44"/>
  <c r="BI56" i="44"/>
  <c r="BI55" i="44"/>
  <c r="BI53" i="44"/>
  <c r="BI48" i="44"/>
  <c r="BI46" i="44"/>
  <c r="BI10" i="44"/>
  <c r="BI75" i="44"/>
  <c r="BI76" i="44"/>
  <c r="BI77" i="44"/>
  <c r="BI78" i="44"/>
  <c r="BI91" i="44"/>
  <c r="BI90" i="44"/>
  <c r="BI89" i="44"/>
  <c r="BI88" i="44"/>
  <c r="BI87" i="44"/>
  <c r="BI86" i="44"/>
  <c r="BI85" i="44"/>
  <c r="BI84" i="44"/>
  <c r="BI83" i="44"/>
  <c r="BI82" i="44"/>
  <c r="BI81" i="44"/>
  <c r="BI79" i="44"/>
  <c r="BI74" i="44"/>
  <c r="BI72" i="44"/>
  <c r="BI70" i="44"/>
  <c r="BI11" i="44"/>
  <c r="BI17" i="44"/>
  <c r="BH25" i="44"/>
  <c r="BH26" i="44"/>
  <c r="BH27" i="44"/>
  <c r="BH28" i="44"/>
  <c r="BH39" i="44"/>
  <c r="BH38" i="44"/>
  <c r="BH37" i="44"/>
  <c r="BH36" i="44"/>
  <c r="BH35" i="44"/>
  <c r="BH34" i="44"/>
  <c r="BH33" i="44"/>
  <c r="BH32" i="44"/>
  <c r="BH31" i="44"/>
  <c r="BH29" i="44"/>
  <c r="BH24" i="44"/>
  <c r="BH22" i="44"/>
  <c r="BH9" i="44"/>
  <c r="BH49" i="44"/>
  <c r="BH50" i="44"/>
  <c r="BH51" i="44"/>
  <c r="BH52" i="44"/>
  <c r="BH65" i="44"/>
  <c r="BH64" i="44"/>
  <c r="BH63" i="44"/>
  <c r="BH62" i="44"/>
  <c r="BH61" i="44"/>
  <c r="BH60" i="44"/>
  <c r="BH59" i="44"/>
  <c r="BH58" i="44"/>
  <c r="BH57" i="44"/>
  <c r="BH56" i="44"/>
  <c r="BH55" i="44"/>
  <c r="BH53" i="44"/>
  <c r="BH48" i="44"/>
  <c r="BH46" i="44"/>
  <c r="BH10" i="44"/>
  <c r="BH75" i="44"/>
  <c r="BH76" i="44"/>
  <c r="BH77" i="44"/>
  <c r="BH78" i="44"/>
  <c r="BH91" i="44"/>
  <c r="BH90" i="44"/>
  <c r="BH89" i="44"/>
  <c r="BH88" i="44"/>
  <c r="BH87" i="44"/>
  <c r="BH86" i="44"/>
  <c r="BH85" i="44"/>
  <c r="BH84" i="44"/>
  <c r="BH83" i="44"/>
  <c r="BH82" i="44"/>
  <c r="BH81" i="44"/>
  <c r="BH79" i="44"/>
  <c r="BH74" i="44"/>
  <c r="BH72" i="44"/>
  <c r="BH70" i="44"/>
  <c r="BH11" i="44"/>
  <c r="BH17" i="44"/>
  <c r="BG25" i="44"/>
  <c r="BG26" i="44"/>
  <c r="BG27" i="44"/>
  <c r="BG28" i="44"/>
  <c r="BG39" i="44"/>
  <c r="BG38" i="44"/>
  <c r="BG37" i="44"/>
  <c r="BG36" i="44"/>
  <c r="BG35" i="44"/>
  <c r="BG34" i="44"/>
  <c r="BG33" i="44"/>
  <c r="BG32" i="44"/>
  <c r="BG31" i="44"/>
  <c r="BG29" i="44"/>
  <c r="BG24" i="44"/>
  <c r="BG22" i="44"/>
  <c r="BG9" i="44"/>
  <c r="BG49" i="44"/>
  <c r="BG50" i="44"/>
  <c r="BG51" i="44"/>
  <c r="BG52" i="44"/>
  <c r="BG65" i="44"/>
  <c r="BG64" i="44"/>
  <c r="BG63" i="44"/>
  <c r="BG62" i="44"/>
  <c r="BG61" i="44"/>
  <c r="BG60" i="44"/>
  <c r="BG59" i="44"/>
  <c r="BG58" i="44"/>
  <c r="BG57" i="44"/>
  <c r="BG56" i="44"/>
  <c r="BG55" i="44"/>
  <c r="BG53" i="44"/>
  <c r="BG48" i="44"/>
  <c r="BG46" i="44"/>
  <c r="BG10" i="44"/>
  <c r="BG75" i="44"/>
  <c r="BG76" i="44"/>
  <c r="BG77" i="44"/>
  <c r="BG78" i="44"/>
  <c r="BG91" i="44"/>
  <c r="BG90" i="44"/>
  <c r="BG89" i="44"/>
  <c r="BG88" i="44"/>
  <c r="BG87" i="44"/>
  <c r="BG86" i="44"/>
  <c r="BG85" i="44"/>
  <c r="BG84" i="44"/>
  <c r="BG83" i="44"/>
  <c r="BG82" i="44"/>
  <c r="BG81" i="44"/>
  <c r="BG79" i="44"/>
  <c r="BG74" i="44"/>
  <c r="BG72" i="44"/>
  <c r="BG70" i="44"/>
  <c r="BG11" i="44"/>
  <c r="BG17" i="44"/>
  <c r="BF25" i="44"/>
  <c r="BF26" i="44"/>
  <c r="BF27" i="44"/>
  <c r="BF28" i="44"/>
  <c r="BF39" i="44"/>
  <c r="BF38" i="44"/>
  <c r="BF37" i="44"/>
  <c r="BF36" i="44"/>
  <c r="BF35" i="44"/>
  <c r="BF34" i="44"/>
  <c r="BF33" i="44"/>
  <c r="BF32" i="44"/>
  <c r="BF31" i="44"/>
  <c r="BF29" i="44"/>
  <c r="BF24" i="44"/>
  <c r="BF22" i="44"/>
  <c r="BF9" i="44"/>
  <c r="BF49" i="44"/>
  <c r="BF50" i="44"/>
  <c r="BF51" i="44"/>
  <c r="BF52" i="44"/>
  <c r="BF65" i="44"/>
  <c r="BF64" i="44"/>
  <c r="BF63" i="44"/>
  <c r="BF62" i="44"/>
  <c r="BF61" i="44"/>
  <c r="BF60" i="44"/>
  <c r="BF59" i="44"/>
  <c r="BF58" i="44"/>
  <c r="BF57" i="44"/>
  <c r="BF56" i="44"/>
  <c r="BF55" i="44"/>
  <c r="BF53" i="44"/>
  <c r="BF48" i="44"/>
  <c r="BF46" i="44"/>
  <c r="BF10" i="44"/>
  <c r="BF75" i="44"/>
  <c r="BF76" i="44"/>
  <c r="BF77" i="44"/>
  <c r="BF78" i="44"/>
  <c r="BF91" i="44"/>
  <c r="BF90" i="44"/>
  <c r="BF89" i="44"/>
  <c r="BF88" i="44"/>
  <c r="BF87" i="44"/>
  <c r="BF86" i="44"/>
  <c r="BF85" i="44"/>
  <c r="BF84" i="44"/>
  <c r="BF83" i="44"/>
  <c r="BF82" i="44"/>
  <c r="BF81" i="44"/>
  <c r="BF79" i="44"/>
  <c r="BF74" i="44"/>
  <c r="BF72" i="44"/>
  <c r="BF70" i="44"/>
  <c r="BF11" i="44"/>
  <c r="BF17" i="44"/>
  <c r="BE25" i="44"/>
  <c r="BE26" i="44"/>
  <c r="BE27" i="44"/>
  <c r="BE28" i="44"/>
  <c r="BE39" i="44"/>
  <c r="BE38" i="44"/>
  <c r="BE37" i="44"/>
  <c r="BE36" i="44"/>
  <c r="BE35" i="44"/>
  <c r="BE34" i="44"/>
  <c r="BE33" i="44"/>
  <c r="BE32" i="44"/>
  <c r="BE31" i="44"/>
  <c r="BE29" i="44"/>
  <c r="BE24" i="44"/>
  <c r="BE22" i="44"/>
  <c r="BE9" i="44"/>
  <c r="BE49" i="44"/>
  <c r="BE50" i="44"/>
  <c r="BE51" i="44"/>
  <c r="BE52" i="44"/>
  <c r="BE65" i="44"/>
  <c r="BE64" i="44"/>
  <c r="BE63" i="44"/>
  <c r="BE62" i="44"/>
  <c r="BE61" i="44"/>
  <c r="BE60" i="44"/>
  <c r="BE59" i="44"/>
  <c r="BE58" i="44"/>
  <c r="BE57" i="44"/>
  <c r="BE56" i="44"/>
  <c r="BE55" i="44"/>
  <c r="BE53" i="44"/>
  <c r="BE48" i="44"/>
  <c r="BE46" i="44"/>
  <c r="BE10" i="44"/>
  <c r="BE75" i="44"/>
  <c r="BE76" i="44"/>
  <c r="BE77" i="44"/>
  <c r="BE78" i="44"/>
  <c r="BE91" i="44"/>
  <c r="BE90" i="44"/>
  <c r="BE89" i="44"/>
  <c r="BE88" i="44"/>
  <c r="BE87" i="44"/>
  <c r="BE86" i="44"/>
  <c r="BE85" i="44"/>
  <c r="BE84" i="44"/>
  <c r="BE83" i="44"/>
  <c r="BE82" i="44"/>
  <c r="BE81" i="44"/>
  <c r="BE79" i="44"/>
  <c r="BE74" i="44"/>
  <c r="BE72" i="44"/>
  <c r="BE70" i="44"/>
  <c r="BE11" i="44"/>
  <c r="BE17" i="44"/>
  <c r="BD25" i="44"/>
  <c r="BD26" i="44"/>
  <c r="BD27" i="44"/>
  <c r="BD28" i="44"/>
  <c r="BD37" i="44"/>
  <c r="BD36" i="44"/>
  <c r="BD35" i="44"/>
  <c r="BD34" i="44"/>
  <c r="BD33" i="44"/>
  <c r="BD32" i="44"/>
  <c r="BD31" i="44"/>
  <c r="BD29" i="44"/>
  <c r="BD24" i="44"/>
  <c r="BD22" i="44"/>
  <c r="BD9" i="44"/>
  <c r="BD49" i="44"/>
  <c r="BD50" i="44"/>
  <c r="BD51" i="44"/>
  <c r="BD52" i="44"/>
  <c r="BD65" i="44"/>
  <c r="BD64" i="44"/>
  <c r="BD63" i="44"/>
  <c r="BD62" i="44"/>
  <c r="BD61" i="44"/>
  <c r="BD60" i="44"/>
  <c r="BD59" i="44"/>
  <c r="BD58" i="44"/>
  <c r="BD57" i="44"/>
  <c r="BD56" i="44"/>
  <c r="BD55" i="44"/>
  <c r="BD53" i="44"/>
  <c r="BD48" i="44"/>
  <c r="BD46" i="44"/>
  <c r="BD10" i="44"/>
  <c r="BD75" i="44"/>
  <c r="BD76" i="44"/>
  <c r="BD77" i="44"/>
  <c r="BD78" i="44"/>
  <c r="BD91" i="44"/>
  <c r="BD90" i="44"/>
  <c r="BD89" i="44"/>
  <c r="BD88" i="44"/>
  <c r="BD87" i="44"/>
  <c r="BD86" i="44"/>
  <c r="BD85" i="44"/>
  <c r="BD84" i="44"/>
  <c r="BD83" i="44"/>
  <c r="BD82" i="44"/>
  <c r="BD81" i="44"/>
  <c r="BD79" i="44"/>
  <c r="BD74" i="44"/>
  <c r="BD72" i="44"/>
  <c r="BD70" i="44"/>
  <c r="BD11" i="44"/>
  <c r="BD17" i="44"/>
  <c r="BC25" i="44"/>
  <c r="BC26" i="44"/>
  <c r="BC27" i="44"/>
  <c r="BC28" i="44"/>
  <c r="BC37" i="44"/>
  <c r="BC36" i="44"/>
  <c r="BC35" i="44"/>
  <c r="BC34" i="44"/>
  <c r="BC33" i="44"/>
  <c r="BC32" i="44"/>
  <c r="BC31" i="44"/>
  <c r="BC29" i="44"/>
  <c r="BC24" i="44"/>
  <c r="BC22" i="44"/>
  <c r="BC9" i="44"/>
  <c r="BC49" i="44"/>
  <c r="BC50" i="44"/>
  <c r="BC51" i="44"/>
  <c r="BC52" i="44"/>
  <c r="BC65" i="44"/>
  <c r="BC64" i="44"/>
  <c r="BC63" i="44"/>
  <c r="BC62" i="44"/>
  <c r="BC61" i="44"/>
  <c r="BC60" i="44"/>
  <c r="BC59" i="44"/>
  <c r="BC58" i="44"/>
  <c r="BC57" i="44"/>
  <c r="BC56" i="44"/>
  <c r="BC55" i="44"/>
  <c r="BC53" i="44"/>
  <c r="BC48" i="44"/>
  <c r="BC46" i="44"/>
  <c r="BC10" i="44"/>
  <c r="BC75" i="44"/>
  <c r="BC76" i="44"/>
  <c r="BC77" i="44"/>
  <c r="BC78" i="44"/>
  <c r="BC91" i="44"/>
  <c r="BC90" i="44"/>
  <c r="BC89" i="44"/>
  <c r="BC88" i="44"/>
  <c r="BC87" i="44"/>
  <c r="BC86" i="44"/>
  <c r="BC85" i="44"/>
  <c r="BC84" i="44"/>
  <c r="BC83" i="44"/>
  <c r="BC82" i="44"/>
  <c r="BC81" i="44"/>
  <c r="BC79" i="44"/>
  <c r="BC74" i="44"/>
  <c r="BC72" i="44"/>
  <c r="BC70" i="44"/>
  <c r="BC11" i="44"/>
  <c r="BC17" i="44"/>
  <c r="F222" i="44"/>
  <c r="BC208" i="44"/>
  <c r="BC212" i="44"/>
  <c r="BD208" i="44"/>
  <c r="BD212" i="44"/>
  <c r="BE208" i="44"/>
  <c r="BE212" i="44"/>
  <c r="BF208" i="44"/>
  <c r="BF212" i="44"/>
  <c r="BG208" i="44"/>
  <c r="BG212" i="44"/>
  <c r="BH208" i="44"/>
  <c r="BH212" i="44"/>
  <c r="BI208" i="44"/>
  <c r="BI212" i="44"/>
  <c r="BJ208" i="44"/>
  <c r="BJ212" i="44"/>
  <c r="BK208" i="44"/>
  <c r="BK212" i="44"/>
  <c r="BL208" i="44"/>
  <c r="BL212" i="44"/>
  <c r="BM208" i="44"/>
  <c r="BM212" i="44"/>
  <c r="BL99" i="44"/>
  <c r="BD99" i="44"/>
  <c r="BK99" i="44"/>
  <c r="BC99" i="44"/>
  <c r="BJ99" i="44"/>
  <c r="BI99" i="44"/>
  <c r="BH99" i="44"/>
  <c r="BG99" i="44"/>
  <c r="BF99" i="44"/>
  <c r="BM99" i="44"/>
  <c r="BE99" i="44"/>
  <c r="BN208" i="44"/>
  <c r="BN212" i="44"/>
  <c r="BJ102" i="44"/>
  <c r="BM102" i="44"/>
  <c r="BD102" i="44"/>
  <c r="BL102" i="44"/>
  <c r="BC102" i="44"/>
  <c r="BK102" i="44"/>
  <c r="BI102" i="44"/>
  <c r="BH102" i="44"/>
  <c r="BG102" i="44"/>
  <c r="BF102" i="44"/>
  <c r="BN102" i="44"/>
  <c r="BE102" i="44"/>
  <c r="BL105" i="44"/>
  <c r="BD105" i="44"/>
  <c r="BK105" i="44"/>
  <c r="BC105" i="44"/>
  <c r="BJ105" i="44"/>
  <c r="BI105" i="44"/>
  <c r="BH105" i="44"/>
  <c r="BG105" i="44"/>
  <c r="BN105" i="44"/>
  <c r="BF105" i="44"/>
  <c r="BM105" i="44"/>
  <c r="BE105" i="44"/>
  <c r="BJ97" i="44"/>
  <c r="BI97" i="44"/>
  <c r="BH97" i="44"/>
  <c r="BG97" i="44"/>
  <c r="BN97" i="44"/>
  <c r="BF97" i="44"/>
  <c r="BM97" i="44"/>
  <c r="BE97" i="44"/>
  <c r="BL97" i="44"/>
  <c r="BD97" i="44"/>
  <c r="BK97" i="44"/>
  <c r="BC97" i="44"/>
  <c r="BJ103" i="44"/>
  <c r="BI103" i="44"/>
  <c r="BH103" i="44"/>
  <c r="BG103" i="44"/>
  <c r="BM103" i="44"/>
  <c r="BE103" i="44"/>
  <c r="BL103" i="44"/>
  <c r="BD103" i="44"/>
  <c r="BK103" i="44"/>
  <c r="BC103" i="44"/>
  <c r="BN103" i="44"/>
  <c r="BF103" i="44"/>
  <c r="BG104" i="44"/>
  <c r="BN104" i="44"/>
  <c r="BF104" i="44"/>
  <c r="BM104" i="44"/>
  <c r="BE104" i="44"/>
  <c r="BL104" i="44"/>
  <c r="BD104" i="44"/>
  <c r="BK104" i="44"/>
  <c r="BC104" i="44"/>
  <c r="BJ104" i="44"/>
  <c r="BI104" i="44"/>
  <c r="BH104" i="44"/>
  <c r="BN101" i="44"/>
  <c r="BF101" i="44"/>
  <c r="BM101" i="44"/>
  <c r="BE101" i="44"/>
  <c r="BL101" i="44"/>
  <c r="BD101" i="44"/>
  <c r="BK101" i="44"/>
  <c r="BC101" i="44"/>
  <c r="BJ101" i="44"/>
  <c r="BI101" i="44"/>
  <c r="BH101" i="44"/>
  <c r="BG101" i="44"/>
  <c r="BI100" i="44"/>
  <c r="BH100" i="44"/>
  <c r="BG100" i="44"/>
  <c r="BN100" i="44"/>
  <c r="BF100" i="44"/>
  <c r="BM100" i="44"/>
  <c r="BE100" i="44"/>
  <c r="BL100" i="44"/>
  <c r="BD100" i="44"/>
  <c r="BK100" i="44"/>
  <c r="BC100" i="44"/>
  <c r="BJ100" i="44"/>
  <c r="BG98" i="44"/>
  <c r="BN98" i="44"/>
  <c r="BF98" i="44"/>
  <c r="BM98" i="44"/>
  <c r="BE98" i="44"/>
  <c r="BL98" i="44"/>
  <c r="BD98" i="44"/>
  <c r="BK98" i="44"/>
  <c r="BC98" i="44"/>
  <c r="BJ98" i="44"/>
  <c r="BI98" i="44"/>
  <c r="BH98" i="44"/>
  <c r="BM96" i="44"/>
  <c r="BM95" i="44"/>
  <c r="BM12" i="44"/>
  <c r="BE96" i="44"/>
  <c r="BL96" i="44"/>
  <c r="BD96" i="44"/>
  <c r="BK96" i="44"/>
  <c r="BC96" i="44"/>
  <c r="BJ96" i="44"/>
  <c r="BI96" i="44"/>
  <c r="BH96" i="44"/>
  <c r="BH95" i="44"/>
  <c r="BH12" i="44"/>
  <c r="BG96" i="44"/>
  <c r="BN96" i="44"/>
  <c r="BF96" i="44"/>
  <c r="BF95" i="44"/>
  <c r="BF12" i="44"/>
  <c r="BG95" i="44"/>
  <c r="BG12" i="44"/>
  <c r="BD95" i="44"/>
  <c r="BD12" i="44"/>
  <c r="BE95" i="44"/>
  <c r="BE12" i="44"/>
  <c r="BI95" i="44"/>
  <c r="BI12" i="44"/>
  <c r="BC95" i="44"/>
  <c r="BC12" i="44"/>
  <c r="BL95" i="44"/>
  <c r="BL12" i="44"/>
  <c r="BJ95" i="44"/>
  <c r="BJ12" i="44"/>
  <c r="BK95" i="44"/>
  <c r="BK12" i="44"/>
  <c r="BN99" i="44"/>
  <c r="BN95" i="44"/>
  <c r="BN12" i="44"/>
  <c r="BO208" i="44"/>
  <c r="BO212" i="44"/>
  <c r="BO105" i="44"/>
  <c r="BO102" i="44"/>
  <c r="BO99" i="44"/>
  <c r="BO104" i="44"/>
  <c r="BO101" i="44"/>
  <c r="BO100" i="44"/>
  <c r="BO98" i="44"/>
  <c r="BO103" i="44"/>
  <c r="BO97" i="44"/>
  <c r="BO96" i="44"/>
  <c r="BP208" i="44"/>
  <c r="BP212" i="44"/>
  <c r="BO95" i="44"/>
  <c r="BO12" i="44"/>
  <c r="BP97" i="44"/>
  <c r="BP96" i="44"/>
  <c r="BP105" i="44"/>
  <c r="BP103" i="44"/>
  <c r="BP99" i="44"/>
  <c r="BP104" i="44"/>
  <c r="BP101" i="44"/>
  <c r="BP100" i="44"/>
  <c r="BP98" i="44"/>
  <c r="BP102" i="44"/>
  <c r="BQ208" i="44"/>
  <c r="BQ212" i="44"/>
  <c r="BP95" i="44"/>
  <c r="BP12" i="44"/>
  <c r="BQ102" i="44"/>
  <c r="BQ97" i="44"/>
  <c r="BQ96" i="44"/>
  <c r="BQ105" i="44"/>
  <c r="BQ99" i="44"/>
  <c r="BQ104" i="44"/>
  <c r="BQ101" i="44"/>
  <c r="BQ100" i="44"/>
  <c r="BQ98" i="44"/>
  <c r="BQ103" i="44"/>
  <c r="BQ95" i="44"/>
  <c r="BQ12" i="44"/>
  <c r="BR208" i="44"/>
  <c r="BR212" i="44"/>
  <c r="BR102" i="44"/>
  <c r="BR103" i="44"/>
  <c r="BR97" i="44"/>
  <c r="BR96" i="44"/>
  <c r="BR105" i="44"/>
  <c r="BR99" i="44"/>
  <c r="BR104" i="44"/>
  <c r="BR101" i="44"/>
  <c r="BR100" i="44"/>
  <c r="BR98" i="44"/>
  <c r="BR95" i="44"/>
  <c r="BR12" i="44"/>
  <c r="BS208" i="44"/>
  <c r="BS212" i="44"/>
  <c r="BS103" i="44"/>
  <c r="BS97" i="44"/>
  <c r="BS96" i="44"/>
  <c r="BS105" i="44"/>
  <c r="BS99" i="44"/>
  <c r="BS102" i="44"/>
  <c r="BS104" i="44"/>
  <c r="BS101" i="44"/>
  <c r="BS100" i="44"/>
  <c r="BS98" i="44"/>
  <c r="BS95" i="44"/>
  <c r="BS12" i="44"/>
  <c r="BT208" i="44"/>
  <c r="BT212" i="44"/>
  <c r="BT102" i="44"/>
  <c r="BT103" i="44"/>
  <c r="BT97" i="44"/>
  <c r="BT96" i="44"/>
  <c r="BT105" i="44"/>
  <c r="BT99" i="44"/>
  <c r="BT104" i="44"/>
  <c r="BT100" i="44"/>
  <c r="BT98" i="44"/>
  <c r="BT101" i="44"/>
  <c r="BT95" i="44"/>
  <c r="BT12" i="44"/>
  <c r="BU208" i="44"/>
  <c r="BU212" i="44"/>
  <c r="BU101" i="44"/>
  <c r="BU100" i="44"/>
  <c r="BU98" i="44"/>
  <c r="BU103" i="44"/>
  <c r="BU97" i="44"/>
  <c r="BU96" i="44"/>
  <c r="BU102" i="44"/>
  <c r="BU105" i="44"/>
  <c r="BU99" i="44"/>
  <c r="BU104" i="44"/>
  <c r="BU95" i="44"/>
  <c r="BU12" i="44"/>
  <c r="BV208" i="44"/>
  <c r="BV212" i="44"/>
  <c r="BV99" i="44"/>
  <c r="BV102" i="44"/>
  <c r="BV104" i="44"/>
  <c r="BV101" i="44"/>
  <c r="BV100" i="44"/>
  <c r="BV98" i="44"/>
  <c r="BV103" i="44"/>
  <c r="BV97" i="44"/>
  <c r="BV96" i="44"/>
  <c r="BV105" i="44"/>
  <c r="BV95" i="44"/>
  <c r="BV12" i="44"/>
  <c r="BW208" i="44"/>
  <c r="BW212" i="44"/>
  <c r="BW99" i="44"/>
  <c r="BW104" i="44"/>
  <c r="BW101" i="44"/>
  <c r="BW100" i="44"/>
  <c r="BW98" i="44"/>
  <c r="BW103" i="44"/>
  <c r="BW102" i="44"/>
  <c r="BW97" i="44"/>
  <c r="BW96" i="44"/>
  <c r="BW105" i="44"/>
  <c r="BW95" i="44"/>
  <c r="BW12" i="44"/>
  <c r="BX208" i="44"/>
  <c r="BX212" i="44"/>
  <c r="BX105" i="44"/>
  <c r="BX102" i="44"/>
  <c r="BX103" i="44"/>
  <c r="BX99" i="44"/>
  <c r="BX104" i="44"/>
  <c r="BX101" i="44"/>
  <c r="BX100" i="44"/>
  <c r="BX98" i="44"/>
  <c r="BX96" i="44"/>
  <c r="BX97" i="44"/>
  <c r="BY208" i="44"/>
  <c r="BY212" i="44"/>
  <c r="BX95" i="44"/>
  <c r="BX12" i="44"/>
  <c r="BY102" i="44"/>
  <c r="BY97" i="44"/>
  <c r="BY96" i="44"/>
  <c r="BY105" i="44"/>
  <c r="BY99" i="44"/>
  <c r="BY104" i="44"/>
  <c r="BY101" i="44"/>
  <c r="BY100" i="44"/>
  <c r="BY98" i="44"/>
  <c r="BY103" i="44"/>
  <c r="BY95" i="44"/>
  <c r="BY12" i="44"/>
  <c r="BZ208" i="44"/>
  <c r="BZ212" i="44"/>
  <c r="BZ97" i="44"/>
  <c r="BZ96" i="44"/>
  <c r="BZ105" i="44"/>
  <c r="BZ99" i="44"/>
  <c r="BZ104" i="44"/>
  <c r="BZ101" i="44"/>
  <c r="BZ100" i="44"/>
  <c r="BZ98" i="44"/>
  <c r="BZ102" i="44"/>
  <c r="BZ103" i="44"/>
  <c r="BZ95" i="44"/>
  <c r="BZ12" i="44"/>
  <c r="CA208" i="44"/>
  <c r="CA212" i="44"/>
  <c r="CA97" i="44"/>
  <c r="CA96" i="44"/>
  <c r="CA105" i="44"/>
  <c r="CA99" i="44"/>
  <c r="CA102" i="44"/>
  <c r="CA104" i="44"/>
  <c r="CA101" i="44"/>
  <c r="CA100" i="44"/>
  <c r="CA98" i="44"/>
  <c r="CA103" i="44"/>
  <c r="CA95" i="44"/>
  <c r="CA12" i="44"/>
  <c r="CB208" i="44"/>
  <c r="CB212" i="44"/>
  <c r="CB102" i="44"/>
  <c r="CB103" i="44"/>
  <c r="CB97" i="44"/>
  <c r="CB96" i="44"/>
  <c r="CB105" i="44"/>
  <c r="CB99" i="44"/>
  <c r="CB104" i="44"/>
  <c r="CB101" i="44"/>
  <c r="CB100" i="44"/>
  <c r="CB98" i="44"/>
  <c r="CC208" i="44"/>
  <c r="CC212" i="44"/>
  <c r="CB95" i="44"/>
  <c r="CB12" i="44"/>
  <c r="CC98" i="44"/>
  <c r="CC103" i="44"/>
  <c r="CC100" i="44"/>
  <c r="CC97" i="44"/>
  <c r="CC96" i="44"/>
  <c r="CC102" i="44"/>
  <c r="CC105" i="44"/>
  <c r="CC99" i="44"/>
  <c r="CC104" i="44"/>
  <c r="CC101" i="44"/>
  <c r="CC95" i="44"/>
  <c r="CC12" i="44"/>
  <c r="CD208" i="44"/>
  <c r="CD212" i="44"/>
  <c r="CD102" i="44"/>
  <c r="CD101" i="44"/>
  <c r="CD100" i="44"/>
  <c r="CD98" i="44"/>
  <c r="CD103" i="44"/>
  <c r="CD97" i="44"/>
  <c r="CD96" i="44"/>
  <c r="CD105" i="44"/>
  <c r="CD99" i="44"/>
  <c r="CD104" i="44"/>
  <c r="CD95" i="44"/>
  <c r="CD12" i="44"/>
  <c r="CE208" i="44"/>
  <c r="CE212" i="44"/>
  <c r="CE99" i="44"/>
  <c r="CE104" i="44"/>
  <c r="CE101" i="44"/>
  <c r="CE100" i="44"/>
  <c r="CE98" i="44"/>
  <c r="CE103" i="44"/>
  <c r="CE102" i="44"/>
  <c r="CE97" i="44"/>
  <c r="CE96" i="44"/>
  <c r="CE105" i="44"/>
  <c r="CF208" i="44"/>
  <c r="CF212" i="44"/>
  <c r="CE95" i="44"/>
  <c r="CE12" i="44"/>
  <c r="CF102" i="44"/>
  <c r="CF103" i="44"/>
  <c r="CF99" i="44"/>
  <c r="CF104" i="44"/>
  <c r="CF101" i="44"/>
  <c r="CF100" i="44"/>
  <c r="CF98" i="44"/>
  <c r="CF97" i="44"/>
  <c r="CF96" i="44"/>
  <c r="CF105" i="44"/>
  <c r="CF95" i="44"/>
  <c r="CF12" i="44"/>
  <c r="CG208" i="44"/>
  <c r="CG212" i="44"/>
  <c r="CG105" i="44"/>
  <c r="CG99" i="44"/>
  <c r="CG104" i="44"/>
  <c r="CG101" i="44"/>
  <c r="CG100" i="44"/>
  <c r="CG98" i="44"/>
  <c r="CG103" i="44"/>
  <c r="CG102" i="44"/>
  <c r="CG97" i="44"/>
  <c r="CG96" i="44"/>
  <c r="CH208" i="44"/>
  <c r="CH212" i="44"/>
  <c r="CG95" i="44"/>
  <c r="CG12" i="44"/>
  <c r="CH97" i="44"/>
  <c r="CH96" i="44"/>
  <c r="CH105" i="44"/>
  <c r="CH99" i="44"/>
  <c r="CH104" i="44"/>
  <c r="CH101" i="44"/>
  <c r="CH100" i="44"/>
  <c r="CH98" i="44"/>
  <c r="CH102" i="44"/>
  <c r="CH103" i="44"/>
  <c r="CH95" i="44"/>
  <c r="CH12" i="44"/>
  <c r="CI208" i="44"/>
  <c r="CI212" i="44"/>
  <c r="CI97" i="44"/>
  <c r="CI96" i="44"/>
  <c r="CI105" i="44"/>
  <c r="CI99" i="44"/>
  <c r="CI104" i="44"/>
  <c r="CI102" i="44"/>
  <c r="CI101" i="44"/>
  <c r="CI100" i="44"/>
  <c r="CI98" i="44"/>
  <c r="CI103" i="44"/>
  <c r="CJ208" i="44"/>
  <c r="CJ212" i="44"/>
  <c r="CI95" i="44"/>
  <c r="CI12" i="44"/>
  <c r="CJ97" i="44"/>
  <c r="CJ96" i="44"/>
  <c r="CJ105" i="44"/>
  <c r="CJ99" i="44"/>
  <c r="CJ104" i="44"/>
  <c r="CJ101" i="44"/>
  <c r="CJ100" i="44"/>
  <c r="CJ98" i="44"/>
  <c r="CJ102" i="44"/>
  <c r="CJ103" i="44"/>
  <c r="CK208" i="44"/>
  <c r="CK212" i="44"/>
  <c r="CJ95" i="44"/>
  <c r="CJ12" i="44"/>
  <c r="CK103" i="44"/>
  <c r="CK97" i="44"/>
  <c r="CK96" i="44"/>
  <c r="CK102" i="44"/>
  <c r="CK105" i="44"/>
  <c r="CK99" i="44"/>
  <c r="CK104" i="44"/>
  <c r="CK101" i="44"/>
  <c r="CK100" i="44"/>
  <c r="CK98" i="44"/>
  <c r="CK95" i="44"/>
  <c r="CK12" i="44"/>
  <c r="CL208" i="44"/>
  <c r="CL212" i="44"/>
  <c r="CL103" i="44"/>
  <c r="CL98" i="44"/>
  <c r="CL97" i="44"/>
  <c r="CL96" i="44"/>
  <c r="CL105" i="44"/>
  <c r="CL99" i="44"/>
  <c r="CL104" i="44"/>
  <c r="CL102" i="44"/>
  <c r="CL101" i="44"/>
  <c r="CL100" i="44"/>
  <c r="CM208" i="44"/>
  <c r="CM212" i="44"/>
  <c r="CL95" i="44"/>
  <c r="CL12" i="44"/>
  <c r="CM101" i="44"/>
  <c r="CM100" i="44"/>
  <c r="CM98" i="44"/>
  <c r="CM103" i="44"/>
  <c r="CM102" i="44"/>
  <c r="CM97" i="44"/>
  <c r="CM96" i="44"/>
  <c r="CM105" i="44"/>
  <c r="CM99" i="44"/>
  <c r="CM104" i="44"/>
  <c r="BC8" i="44"/>
  <c r="BC16" i="44"/>
  <c r="BD15" i="44"/>
  <c r="BD8" i="44"/>
  <c r="BD16" i="44"/>
  <c r="BE15" i="44"/>
  <c r="CN208" i="44"/>
  <c r="CN212" i="44"/>
  <c r="CM95" i="44"/>
  <c r="CM12" i="44"/>
  <c r="CN99" i="44"/>
  <c r="CN104" i="44"/>
  <c r="CN101" i="44"/>
  <c r="CN100" i="44"/>
  <c r="CN98" i="44"/>
  <c r="CN97" i="44"/>
  <c r="CN96" i="44"/>
  <c r="CN105" i="44"/>
  <c r="CN102" i="44"/>
  <c r="CN103" i="44"/>
  <c r="CN95" i="44"/>
  <c r="CN12" i="44"/>
  <c r="BF8" i="44"/>
  <c r="CO208" i="44"/>
  <c r="CO212" i="44"/>
  <c r="BE8" i="44"/>
  <c r="BE16" i="44"/>
  <c r="BF15" i="44"/>
  <c r="CO99" i="44"/>
  <c r="CO104" i="44"/>
  <c r="CO101" i="44"/>
  <c r="CO100" i="44"/>
  <c r="CO98" i="44"/>
  <c r="CO103" i="44"/>
  <c r="CO97" i="44"/>
  <c r="CO96" i="44"/>
  <c r="CO102" i="44"/>
  <c r="CO105" i="44"/>
  <c r="BF16" i="44"/>
  <c r="BG15" i="44"/>
  <c r="CO95" i="44"/>
  <c r="CO12" i="44"/>
  <c r="CP208" i="44"/>
  <c r="CP212" i="44"/>
  <c r="BG8" i="44"/>
  <c r="BG16" i="44"/>
  <c r="BH15" i="44"/>
  <c r="BH8" i="44"/>
  <c r="CP105" i="44"/>
  <c r="CP99" i="44"/>
  <c r="CP104" i="44"/>
  <c r="CP101" i="44"/>
  <c r="CP100" i="44"/>
  <c r="CP98" i="44"/>
  <c r="CP96" i="44"/>
  <c r="CP102" i="44"/>
  <c r="CP103" i="44"/>
  <c r="CP97" i="44"/>
  <c r="BH16" i="44"/>
  <c r="BI15" i="44"/>
  <c r="BJ8" i="44"/>
  <c r="CQ208" i="44"/>
  <c r="CQ212" i="44"/>
  <c r="CP95" i="44"/>
  <c r="CP12" i="44"/>
  <c r="BI8" i="44"/>
  <c r="BI16" i="44"/>
  <c r="BJ15" i="44"/>
  <c r="CQ105" i="44"/>
  <c r="CQ99" i="44"/>
  <c r="CQ104" i="44"/>
  <c r="CQ102" i="44"/>
  <c r="CQ101" i="44"/>
  <c r="CQ100" i="44"/>
  <c r="CQ98" i="44"/>
  <c r="CQ103" i="44"/>
  <c r="CQ96" i="44"/>
  <c r="CQ97" i="44"/>
  <c r="BJ16" i="44"/>
  <c r="BK15" i="44"/>
  <c r="CR208" i="44"/>
  <c r="CR212" i="44"/>
  <c r="CQ95" i="44"/>
  <c r="CQ12" i="44"/>
  <c r="BK8" i="44"/>
  <c r="BK16" i="44"/>
  <c r="BL15" i="44"/>
  <c r="BL8" i="44"/>
  <c r="BL16" i="44"/>
  <c r="BM15" i="44"/>
  <c r="CR97" i="44"/>
  <c r="CR96" i="44"/>
  <c r="CR105" i="44"/>
  <c r="CR99" i="44"/>
  <c r="CR104" i="44"/>
  <c r="CR101" i="44"/>
  <c r="CR100" i="44"/>
  <c r="CR98" i="44"/>
  <c r="CR102" i="44"/>
  <c r="CR103" i="44"/>
  <c r="BM8" i="44"/>
  <c r="BM16" i="44"/>
  <c r="BN15" i="44"/>
  <c r="BN8" i="44"/>
  <c r="BN16" i="44"/>
  <c r="BO15" i="44"/>
  <c r="CR95" i="44"/>
  <c r="CR12" i="44"/>
  <c r="CS208" i="44"/>
  <c r="CS212" i="44"/>
  <c r="CS97" i="44"/>
  <c r="CS96" i="44"/>
  <c r="CS105" i="44"/>
  <c r="CS102" i="44"/>
  <c r="CS99" i="44"/>
  <c r="CS104" i="44"/>
  <c r="CS101" i="44"/>
  <c r="CS100" i="44"/>
  <c r="CS98" i="44"/>
  <c r="CS103" i="44"/>
  <c r="BO8" i="44"/>
  <c r="BO16" i="44"/>
  <c r="BP15" i="44"/>
  <c r="CT208" i="44"/>
  <c r="CT212" i="44"/>
  <c r="BP8" i="44"/>
  <c r="BP16" i="44"/>
  <c r="BQ15" i="44"/>
  <c r="CS95" i="44"/>
  <c r="CS12" i="44"/>
  <c r="BQ8" i="44"/>
  <c r="BQ16" i="44"/>
  <c r="BR15" i="44"/>
  <c r="CT103" i="44"/>
  <c r="CT97" i="44"/>
  <c r="CT96" i="44"/>
  <c r="CT105" i="44"/>
  <c r="CT99" i="44"/>
  <c r="CT104" i="44"/>
  <c r="CT102" i="44"/>
  <c r="CT101" i="44"/>
  <c r="CT100" i="44"/>
  <c r="CT98" i="44"/>
  <c r="BR8" i="44"/>
  <c r="BR16" i="44"/>
  <c r="BS15" i="44"/>
  <c r="CT95" i="44"/>
  <c r="CT12" i="44"/>
  <c r="CU208" i="44"/>
  <c r="CU212" i="44"/>
  <c r="BS8" i="44"/>
  <c r="BS16" i="44"/>
  <c r="BT15" i="44"/>
  <c r="CU101" i="44"/>
  <c r="CU103" i="44"/>
  <c r="CU100" i="44"/>
  <c r="CU102" i="44"/>
  <c r="CU98" i="44"/>
  <c r="CU97" i="44"/>
  <c r="CU96" i="44"/>
  <c r="CU105" i="44"/>
  <c r="CU99" i="44"/>
  <c r="CU104" i="44"/>
  <c r="BT8" i="44"/>
  <c r="BT16" i="44"/>
  <c r="BU15" i="44"/>
  <c r="CU95" i="44"/>
  <c r="CU12" i="44"/>
  <c r="CV208" i="44"/>
  <c r="CV212" i="44"/>
  <c r="CV101" i="44"/>
  <c r="CV100" i="44"/>
  <c r="CV98" i="44"/>
  <c r="CV97" i="44"/>
  <c r="CV96" i="44"/>
  <c r="CV105" i="44"/>
  <c r="CV102" i="44"/>
  <c r="CV103" i="44"/>
  <c r="CV99" i="44"/>
  <c r="CV104" i="44"/>
  <c r="BU8" i="44"/>
  <c r="BU16" i="44"/>
  <c r="BV15" i="44"/>
  <c r="CW208" i="44"/>
  <c r="CW212" i="44"/>
  <c r="CV95" i="44"/>
  <c r="CV12" i="44"/>
  <c r="BV8" i="44"/>
  <c r="BV16" i="44"/>
  <c r="BW15" i="44"/>
  <c r="BW8" i="44"/>
  <c r="BW16" i="44"/>
  <c r="BX15" i="44"/>
  <c r="CW99" i="44"/>
  <c r="CW104" i="44"/>
  <c r="CW101" i="44"/>
  <c r="CW100" i="44"/>
  <c r="CW98" i="44"/>
  <c r="CW103" i="44"/>
  <c r="CW97" i="44"/>
  <c r="CW96" i="44"/>
  <c r="CW102" i="44"/>
  <c r="CW105" i="44"/>
  <c r="BX8" i="44"/>
  <c r="BX16" i="44"/>
  <c r="BY15" i="44"/>
  <c r="CX208" i="44"/>
  <c r="CX212" i="44"/>
  <c r="CW95" i="44"/>
  <c r="CW12" i="44"/>
  <c r="BY8" i="44"/>
  <c r="BY16" i="44"/>
  <c r="BZ15" i="44"/>
  <c r="CX99" i="44"/>
  <c r="CX104" i="44"/>
  <c r="CX101" i="44"/>
  <c r="CX100" i="44"/>
  <c r="CX98" i="44"/>
  <c r="CX102" i="44"/>
  <c r="CX103" i="44"/>
  <c r="CX97" i="44"/>
  <c r="CX96" i="44"/>
  <c r="CX105" i="44"/>
  <c r="BZ8" i="44"/>
  <c r="BZ16" i="44"/>
  <c r="CA15" i="44"/>
  <c r="CY208" i="44"/>
  <c r="CY212" i="44"/>
  <c r="CX95" i="44"/>
  <c r="CX12" i="44"/>
  <c r="CA8" i="44"/>
  <c r="CA16" i="44"/>
  <c r="CB15" i="44"/>
  <c r="CY99" i="44"/>
  <c r="CY104" i="44"/>
  <c r="CY102" i="44"/>
  <c r="CY101" i="44"/>
  <c r="CY100" i="44"/>
  <c r="CY98" i="44"/>
  <c r="CY103" i="44"/>
  <c r="CY97" i="44"/>
  <c r="CY96" i="44"/>
  <c r="CY105" i="44"/>
  <c r="CB8" i="44"/>
  <c r="CB16" i="44"/>
  <c r="CC15" i="44"/>
  <c r="CZ208" i="44"/>
  <c r="CZ212" i="44"/>
  <c r="CY95" i="44"/>
  <c r="CY12" i="44"/>
  <c r="CC8" i="44"/>
  <c r="CC16" i="44"/>
  <c r="CD15" i="44"/>
  <c r="CZ105" i="44"/>
  <c r="CZ99" i="44"/>
  <c r="CZ104" i="44"/>
  <c r="CZ101" i="44"/>
  <c r="CZ100" i="44"/>
  <c r="CZ98" i="44"/>
  <c r="CZ103" i="44"/>
  <c r="CZ102" i="44"/>
  <c r="CZ97" i="44"/>
  <c r="CZ96" i="44"/>
  <c r="CD8" i="44"/>
  <c r="CD16" i="44"/>
  <c r="CE15" i="44"/>
  <c r="CZ95" i="44"/>
  <c r="CZ12" i="44"/>
  <c r="DA208" i="44"/>
  <c r="DA212" i="44"/>
  <c r="CE8" i="44"/>
  <c r="CE16" i="44"/>
  <c r="CF15" i="44"/>
  <c r="DA102" i="44"/>
  <c r="DA97" i="44"/>
  <c r="DA96" i="44"/>
  <c r="DA105" i="44"/>
  <c r="DA99" i="44"/>
  <c r="DA104" i="44"/>
  <c r="DA101" i="44"/>
  <c r="DA100" i="44"/>
  <c r="DA98" i="44"/>
  <c r="DA103" i="44"/>
  <c r="CF8" i="44"/>
  <c r="CF16" i="44"/>
  <c r="CG15" i="44"/>
  <c r="DB208" i="44"/>
  <c r="DB212" i="44"/>
  <c r="DA95" i="44"/>
  <c r="DA12" i="44"/>
  <c r="DB97" i="44"/>
  <c r="DB96" i="44"/>
  <c r="DB102" i="44"/>
  <c r="DB105" i="44"/>
  <c r="DB99" i="44"/>
  <c r="DB104" i="44"/>
  <c r="DB101" i="44"/>
  <c r="DB100" i="44"/>
  <c r="DB98" i="44"/>
  <c r="DB103" i="44"/>
  <c r="CG8" i="44"/>
  <c r="CG16" i="44"/>
  <c r="CH15" i="44"/>
  <c r="DC208" i="44"/>
  <c r="DC212" i="44"/>
  <c r="DB95" i="44"/>
  <c r="DB12" i="44"/>
  <c r="CH8" i="44"/>
  <c r="CH16" i="44"/>
  <c r="CI15" i="44"/>
  <c r="DC103" i="44"/>
  <c r="DC97" i="44"/>
  <c r="DC96" i="44"/>
  <c r="DC105" i="44"/>
  <c r="DC99" i="44"/>
  <c r="DC102" i="44"/>
  <c r="DC104" i="44"/>
  <c r="DC101" i="44"/>
  <c r="DC100" i="44"/>
  <c r="DC98" i="44"/>
  <c r="DC95" i="44"/>
  <c r="DC12" i="44"/>
  <c r="CI8" i="44"/>
  <c r="CI16" i="44"/>
  <c r="CJ15" i="44"/>
  <c r="DD208" i="44"/>
  <c r="DD212" i="44"/>
  <c r="CJ8" i="44"/>
  <c r="CJ16" i="44"/>
  <c r="CK15" i="44"/>
  <c r="DD98" i="44"/>
  <c r="DD97" i="44"/>
  <c r="DD96" i="44"/>
  <c r="DD100" i="44"/>
  <c r="DD105" i="44"/>
  <c r="DD102" i="44"/>
  <c r="DD103" i="44"/>
  <c r="DD99" i="44"/>
  <c r="DD104" i="44"/>
  <c r="DD101" i="44"/>
  <c r="CK8" i="44"/>
  <c r="CK16" i="44"/>
  <c r="CL15" i="44"/>
  <c r="CL8" i="44"/>
  <c r="CL16" i="44"/>
  <c r="CM15" i="44"/>
  <c r="DE208" i="44"/>
  <c r="DE212" i="44"/>
  <c r="DD95" i="44"/>
  <c r="DD12" i="44"/>
  <c r="DE101" i="44"/>
  <c r="DE100" i="44"/>
  <c r="DE98" i="44"/>
  <c r="DE102" i="44"/>
  <c r="DE103" i="44"/>
  <c r="DE97" i="44"/>
  <c r="DE96" i="44"/>
  <c r="DE105" i="44"/>
  <c r="DE99" i="44"/>
  <c r="DE104" i="44"/>
  <c r="DE95" i="44"/>
  <c r="DE12" i="44"/>
  <c r="CM8" i="44"/>
  <c r="CM16" i="44"/>
  <c r="CN15" i="44"/>
  <c r="DF208" i="44"/>
  <c r="DF212" i="44"/>
  <c r="CN8" i="44"/>
  <c r="CN16" i="44"/>
  <c r="CO15" i="44"/>
  <c r="DF99" i="44"/>
  <c r="DF104" i="44"/>
  <c r="DF101" i="44"/>
  <c r="DF100" i="44"/>
  <c r="DF98" i="44"/>
  <c r="DF102" i="44"/>
  <c r="DF103" i="44"/>
  <c r="DF97" i="44"/>
  <c r="DF96" i="44"/>
  <c r="DF105" i="44"/>
  <c r="CO8" i="44"/>
  <c r="CO16" i="44"/>
  <c r="CP15" i="44"/>
  <c r="CP8" i="44"/>
  <c r="CP16" i="44"/>
  <c r="CQ15" i="44"/>
  <c r="DF95" i="44"/>
  <c r="DF12" i="44"/>
  <c r="DG208" i="44"/>
  <c r="DG212" i="44"/>
  <c r="DG99" i="44"/>
  <c r="DG104" i="44"/>
  <c r="DG101" i="44"/>
  <c r="DG100" i="44"/>
  <c r="DG98" i="44"/>
  <c r="DG103" i="44"/>
  <c r="DG102" i="44"/>
  <c r="DG97" i="44"/>
  <c r="DG96" i="44"/>
  <c r="DG105" i="44"/>
  <c r="CQ8" i="44"/>
  <c r="CQ16" i="44"/>
  <c r="CR15" i="44"/>
  <c r="DH208" i="44"/>
  <c r="DH212" i="44"/>
  <c r="DG95" i="44"/>
  <c r="DG12" i="44"/>
  <c r="CR8" i="44"/>
  <c r="CR16" i="44"/>
  <c r="CS15" i="44"/>
  <c r="CS8" i="44"/>
  <c r="CS16" i="44"/>
  <c r="CT15" i="44"/>
  <c r="DH99" i="44"/>
  <c r="DH102" i="44"/>
  <c r="DH104" i="44"/>
  <c r="DH101" i="44"/>
  <c r="DH100" i="44"/>
  <c r="DH98" i="44"/>
  <c r="DH103" i="44"/>
  <c r="DH97" i="44"/>
  <c r="DH96" i="44"/>
  <c r="DH105" i="44"/>
  <c r="DH95" i="44"/>
  <c r="DH12" i="44"/>
  <c r="DI208" i="44"/>
  <c r="DI212" i="44"/>
  <c r="CT8" i="44"/>
  <c r="CT16" i="44"/>
  <c r="CU15" i="44"/>
  <c r="CU8" i="44"/>
  <c r="DI105" i="44"/>
  <c r="DI99" i="44"/>
  <c r="DI104" i="44"/>
  <c r="DI101" i="44"/>
  <c r="DI100" i="44"/>
  <c r="DI98" i="44"/>
  <c r="DI103" i="44"/>
  <c r="DI96" i="44"/>
  <c r="DI102" i="44"/>
  <c r="DI97" i="44"/>
  <c r="CU16" i="44"/>
  <c r="CV15" i="44"/>
  <c r="DJ208" i="44"/>
  <c r="DJ212" i="44"/>
  <c r="DI95" i="44"/>
  <c r="DI12" i="44"/>
  <c r="CW8" i="44"/>
  <c r="CV8" i="44"/>
  <c r="CV16" i="44"/>
  <c r="CW15" i="44"/>
  <c r="CW16" i="44"/>
  <c r="CX15" i="44"/>
  <c r="DJ97" i="44"/>
  <c r="DJ96" i="44"/>
  <c r="DJ105" i="44"/>
  <c r="DJ99" i="44"/>
  <c r="DJ104" i="44"/>
  <c r="DJ101" i="44"/>
  <c r="DJ100" i="44"/>
  <c r="DJ98" i="44"/>
  <c r="DJ102" i="44"/>
  <c r="DJ103" i="44"/>
  <c r="CX8" i="44"/>
  <c r="CX16" i="44"/>
  <c r="CY15" i="44"/>
  <c r="DK208" i="44"/>
  <c r="DK212" i="44"/>
  <c r="DJ95" i="44"/>
  <c r="DJ12" i="44"/>
  <c r="DK102" i="44"/>
  <c r="DK97" i="44"/>
  <c r="DK96" i="44"/>
  <c r="DK105" i="44"/>
  <c r="DK99" i="44"/>
  <c r="DK104" i="44"/>
  <c r="DK101" i="44"/>
  <c r="DK100" i="44"/>
  <c r="DK98" i="44"/>
  <c r="DK103" i="44"/>
  <c r="CY8" i="44"/>
  <c r="CY16" i="44"/>
  <c r="CZ15" i="44"/>
  <c r="CZ8" i="44"/>
  <c r="CZ16" i="44"/>
  <c r="DA15" i="44"/>
  <c r="DL208" i="44"/>
  <c r="DL212" i="44"/>
  <c r="DK95" i="44"/>
  <c r="DK12" i="44"/>
  <c r="DL97" i="44"/>
  <c r="DL96" i="44"/>
  <c r="DL105" i="44"/>
  <c r="DL102" i="44"/>
  <c r="DL103" i="44"/>
  <c r="DL99" i="44"/>
  <c r="DL104" i="44"/>
  <c r="DL101" i="44"/>
  <c r="DL100" i="44"/>
  <c r="DL98" i="44"/>
  <c r="DA8" i="44"/>
  <c r="DA16" i="44"/>
  <c r="DB15" i="44"/>
  <c r="DM208" i="44"/>
  <c r="DM212" i="44"/>
  <c r="DL95" i="44"/>
  <c r="DL12" i="44"/>
  <c r="DB8" i="44"/>
  <c r="DB16" i="44"/>
  <c r="DC15" i="44"/>
  <c r="DM103" i="44"/>
  <c r="DM97" i="44"/>
  <c r="DM96" i="44"/>
  <c r="DM105" i="44"/>
  <c r="DM102" i="44"/>
  <c r="DM99" i="44"/>
  <c r="DM104" i="44"/>
  <c r="DM100" i="44"/>
  <c r="DM101" i="44"/>
  <c r="DM98" i="44"/>
  <c r="DC8" i="44"/>
  <c r="DC16" i="44"/>
  <c r="DD15" i="44"/>
  <c r="DM95" i="44"/>
  <c r="DM12" i="44"/>
  <c r="DN208" i="44"/>
  <c r="DN212" i="44"/>
  <c r="DD8" i="44"/>
  <c r="DD16" i="44"/>
  <c r="DE15" i="44"/>
  <c r="DE8" i="44"/>
  <c r="DE16" i="44"/>
  <c r="DF15" i="44"/>
  <c r="DN101" i="44"/>
  <c r="DN100" i="44"/>
  <c r="DN98" i="44"/>
  <c r="DN102" i="44"/>
  <c r="DN103" i="44"/>
  <c r="DN97" i="44"/>
  <c r="DN96" i="44"/>
  <c r="DN105" i="44"/>
  <c r="DN99" i="44"/>
  <c r="DN104" i="44"/>
  <c r="DF8" i="44"/>
  <c r="DF16" i="44"/>
  <c r="DG15" i="44"/>
  <c r="DN95" i="44"/>
  <c r="DN12" i="44"/>
  <c r="DO208" i="44"/>
  <c r="DO212" i="44"/>
  <c r="DO101" i="44"/>
  <c r="DO100" i="44"/>
  <c r="DO98" i="44"/>
  <c r="DO102" i="44"/>
  <c r="DO103" i="44"/>
  <c r="DO97" i="44"/>
  <c r="DO96" i="44"/>
  <c r="DO105" i="44"/>
  <c r="DO99" i="44"/>
  <c r="DO104" i="44"/>
  <c r="DG8" i="44"/>
  <c r="DG16" i="44"/>
  <c r="DH15" i="44"/>
  <c r="DO95" i="44"/>
  <c r="DO12" i="44"/>
  <c r="DP208" i="44"/>
  <c r="DP212" i="44"/>
  <c r="DH8" i="44"/>
  <c r="DH16" i="44"/>
  <c r="DI15" i="44"/>
  <c r="DI8" i="44"/>
  <c r="DI16" i="44"/>
  <c r="DJ15" i="44"/>
  <c r="DP99" i="44"/>
  <c r="DP104" i="44"/>
  <c r="DP101" i="44"/>
  <c r="DP100" i="44"/>
  <c r="DP98" i="44"/>
  <c r="DP103" i="44"/>
  <c r="DP102" i="44"/>
  <c r="DP97" i="44"/>
  <c r="DP96" i="44"/>
  <c r="DP105" i="44"/>
  <c r="DP95" i="44"/>
  <c r="DP12" i="44"/>
  <c r="DQ208" i="44"/>
  <c r="DQ212" i="44"/>
  <c r="DJ8" i="44"/>
  <c r="DJ16" i="44"/>
  <c r="DK15" i="44"/>
  <c r="DQ99" i="44"/>
  <c r="DQ104" i="44"/>
  <c r="DQ101" i="44"/>
  <c r="DQ100" i="44"/>
  <c r="DQ98" i="44"/>
  <c r="DQ103" i="44"/>
  <c r="DQ102" i="44"/>
  <c r="DQ97" i="44"/>
  <c r="DQ96" i="44"/>
  <c r="DQ105" i="44"/>
  <c r="DK8" i="44"/>
  <c r="DK16" i="44"/>
  <c r="DL15" i="44"/>
  <c r="DR208" i="44"/>
  <c r="DR212" i="44"/>
  <c r="DQ95" i="44"/>
  <c r="DQ12" i="44"/>
  <c r="DL8" i="44"/>
  <c r="DL16" i="44"/>
  <c r="DM15" i="44"/>
  <c r="DM8" i="44"/>
  <c r="DM16" i="44"/>
  <c r="DN15" i="44"/>
  <c r="DR105" i="44"/>
  <c r="DR99" i="44"/>
  <c r="DR104" i="44"/>
  <c r="DR102" i="44"/>
  <c r="DR101" i="44"/>
  <c r="DR100" i="44"/>
  <c r="DR98" i="44"/>
  <c r="DR103" i="44"/>
  <c r="DR96" i="44"/>
  <c r="DR97" i="44"/>
  <c r="DR95" i="44"/>
  <c r="DR12" i="44"/>
  <c r="DN8" i="44"/>
  <c r="DN16" i="44"/>
  <c r="DO15" i="44"/>
  <c r="DS208" i="44"/>
  <c r="DS212" i="44"/>
  <c r="DO8" i="44"/>
  <c r="DO16" i="44"/>
  <c r="DP15" i="44"/>
  <c r="DS97" i="44"/>
  <c r="DS96" i="44"/>
  <c r="DS105" i="44"/>
  <c r="DS102" i="44"/>
  <c r="DS99" i="44"/>
  <c r="DS104" i="44"/>
  <c r="DS101" i="44"/>
  <c r="DS100" i="44"/>
  <c r="DS98" i="44"/>
  <c r="DS103" i="44"/>
  <c r="DP8" i="44"/>
  <c r="DP16" i="44"/>
  <c r="DQ15" i="44"/>
  <c r="DT208" i="44"/>
  <c r="DT212" i="44"/>
  <c r="DS95" i="44"/>
  <c r="DS12" i="44"/>
  <c r="DQ8" i="44"/>
  <c r="DQ16" i="44"/>
  <c r="DR15" i="44"/>
  <c r="DT97" i="44"/>
  <c r="DT96" i="44"/>
  <c r="DT105" i="44"/>
  <c r="DT102" i="44"/>
  <c r="DT103" i="44"/>
  <c r="DT99" i="44"/>
  <c r="DT104" i="44"/>
  <c r="DT101" i="44"/>
  <c r="DT100" i="44"/>
  <c r="DT98" i="44"/>
  <c r="DU208" i="44"/>
  <c r="DU212" i="44"/>
  <c r="DT95" i="44"/>
  <c r="DT12" i="44"/>
  <c r="DR8" i="44"/>
  <c r="DR16" i="44"/>
  <c r="DS15" i="44"/>
  <c r="DU103" i="44"/>
  <c r="DU102" i="44"/>
  <c r="DU97" i="44"/>
  <c r="DU96" i="44"/>
  <c r="DU105" i="44"/>
  <c r="DU99" i="44"/>
  <c r="DU104" i="44"/>
  <c r="DU101" i="44"/>
  <c r="DU100" i="44"/>
  <c r="DU98" i="44"/>
  <c r="DS8" i="44"/>
  <c r="DS16" i="44"/>
  <c r="DT15" i="44"/>
  <c r="DV208" i="44"/>
  <c r="DV212" i="44"/>
  <c r="DU95" i="44"/>
  <c r="DU12" i="44"/>
  <c r="DT8" i="44"/>
  <c r="DT16" i="44"/>
  <c r="DU15" i="44"/>
  <c r="DV102" i="44"/>
  <c r="DV103" i="44"/>
  <c r="DV100" i="44"/>
  <c r="DV97" i="44"/>
  <c r="DV96" i="44"/>
  <c r="DV105" i="44"/>
  <c r="DV98" i="44"/>
  <c r="DV99" i="44"/>
  <c r="DV104" i="44"/>
  <c r="DV101" i="44"/>
  <c r="DV95" i="44"/>
  <c r="DV12" i="44"/>
  <c r="DU8" i="44"/>
  <c r="DU16" i="44"/>
  <c r="DV15" i="44"/>
  <c r="DV8" i="44"/>
  <c r="F219" i="44"/>
  <c r="DV16" i="44"/>
  <c r="F220" i="4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<sst xmlns="http://schemas.openxmlformats.org/spreadsheetml/2006/main" count="360" uniqueCount="151">
  <si>
    <t>[$]</t>
  </si>
  <si>
    <t>Total</t>
  </si>
  <si>
    <t>[%]</t>
  </si>
  <si>
    <t>Key Model Assumptions</t>
  </si>
  <si>
    <t>Existing Property Assumptions</t>
  </si>
  <si>
    <t>New Property Vacancy Rates</t>
  </si>
  <si>
    <t>Other Assumptions</t>
  </si>
  <si>
    <t>Existing Properties</t>
  </si>
  <si>
    <t>Gross Rent (Monthly)</t>
  </si>
  <si>
    <t>Vacancy Rate</t>
  </si>
  <si>
    <t>OPEX (Monthly)</t>
  </si>
  <si>
    <t>Month of Operations</t>
  </si>
  <si>
    <t>Property A</t>
  </si>
  <si>
    <t>Model Start Date</t>
  </si>
  <si>
    <t>Valuation</t>
  </si>
  <si>
    <t>Property B</t>
  </si>
  <si>
    <t>Property Mgmt Fee</t>
  </si>
  <si>
    <t>Sale Date</t>
  </si>
  <si>
    <t>Property C</t>
  </si>
  <si>
    <t>Property D</t>
  </si>
  <si>
    <t>Property E</t>
  </si>
  <si>
    <t>New Property Assumptions</t>
  </si>
  <si>
    <t>Inflation Assumptions</t>
  </si>
  <si>
    <t>New Properties</t>
  </si>
  <si>
    <t>Land Cost</t>
  </si>
  <si>
    <t>Construction Costs</t>
  </si>
  <si>
    <t>Land Acquisition</t>
  </si>
  <si>
    <t>Prep Work Length</t>
  </si>
  <si>
    <t>Construction Length</t>
  </si>
  <si>
    <t>Calendar Year</t>
  </si>
  <si>
    <t>Rent Increase</t>
  </si>
  <si>
    <t>Cost Increase</t>
  </si>
  <si>
    <t>Land Appreciation</t>
  </si>
  <si>
    <t>Property F</t>
  </si>
  <si>
    <t>Property G</t>
  </si>
  <si>
    <t>Property H</t>
  </si>
  <si>
    <t>Property I</t>
  </si>
  <si>
    <t>Property J</t>
  </si>
  <si>
    <t>Property K</t>
  </si>
  <si>
    <t>Property L</t>
  </si>
  <si>
    <t>Property M</t>
  </si>
  <si>
    <t>Property N</t>
  </si>
  <si>
    <t>Property O</t>
  </si>
  <si>
    <t>Construction Bell Assumptions</t>
  </si>
  <si>
    <t>Construction Bell</t>
  </si>
  <si>
    <t>% Completed Each Month for Different Construction Lengths</t>
  </si>
  <si>
    <t>Month of Construction</t>
  </si>
  <si>
    <t>Period Start</t>
  </si>
  <si>
    <t>Period End</t>
  </si>
  <si>
    <t>Period #</t>
  </si>
  <si>
    <t>1. Cashflow Summary</t>
  </si>
  <si>
    <t>Total Project Cashflow for the Month</t>
  </si>
  <si>
    <t>Net Rent Revenue</t>
  </si>
  <si>
    <t>Operating Expenses</t>
  </si>
  <si>
    <t>Property Management Fee</t>
  </si>
  <si>
    <t>Land Acquisition Cost</t>
  </si>
  <si>
    <t>Construction Cost</t>
  </si>
  <si>
    <t>Opening Cash</t>
  </si>
  <si>
    <t>Closing Cash</t>
  </si>
  <si>
    <t>2. Rent Revenue Forecast</t>
  </si>
  <si>
    <t>Rent Revenue, Net</t>
  </si>
  <si>
    <t>Gross Revenue</t>
  </si>
  <si>
    <t>3. OPEX Forecast</t>
  </si>
  <si>
    <t>Total OPEX</t>
  </si>
  <si>
    <t>OPEX</t>
  </si>
  <si>
    <t>4. Property Management Fee Forecast</t>
  </si>
  <si>
    <t>Applicable Gross Rent Revenue</t>
  </si>
  <si>
    <t>Existing Properties - Gross Rent</t>
  </si>
  <si>
    <t>New Properties - Gross Rent</t>
  </si>
  <si>
    <t>5. Land Acquisition Cost Forecast</t>
  </si>
  <si>
    <t>New Properties - Land Acquisition</t>
  </si>
  <si>
    <t>Land Cost Real</t>
  </si>
  <si>
    <t>Acquisition Month</t>
  </si>
  <si>
    <t>6. Construction Cost Forecast</t>
  </si>
  <si>
    <t>New Properties - Construction Costs</t>
  </si>
  <si>
    <t>CC Nominal</t>
  </si>
  <si>
    <t>7. Timeline Calculations</t>
  </si>
  <si>
    <t>New Properties - Timeline</t>
  </si>
  <si>
    <t>Property</t>
  </si>
  <si>
    <t>Land Acquisition Date</t>
  </si>
  <si>
    <t>Land Acquisition Month</t>
  </si>
  <si>
    <t>Site Cost - Real</t>
  </si>
  <si>
    <t>Site Appreciation</t>
  </si>
  <si>
    <t>Site Cost - Nominal</t>
  </si>
  <si>
    <t>Construction Start Month</t>
  </si>
  <si>
    <t>Construction Cost - Real</t>
  </si>
  <si>
    <t>Cost Inflation</t>
  </si>
  <si>
    <t>Construction Cost - Nominal</t>
  </si>
  <si>
    <t>Operations Start Month</t>
  </si>
  <si>
    <t>New Properties - Land Acquisition Flag</t>
  </si>
  <si>
    <t>New Properties - Month of Construction</t>
  </si>
  <si>
    <t>New Properties - Construction Bell</t>
  </si>
  <si>
    <t>New Properties - Month of Operations</t>
  </si>
  <si>
    <t>New Properties - Vacancy Rates</t>
  </si>
  <si>
    <t>Flags and Indices</t>
  </si>
  <si>
    <t>[Year]</t>
  </si>
  <si>
    <t>Inflation Kick-In Flag</t>
  </si>
  <si>
    <t>[Flag]</t>
  </si>
  <si>
    <t>Rent Increase Index</t>
  </si>
  <si>
    <t>[Coef.]</t>
  </si>
  <si>
    <t>Cost Increase Index</t>
  </si>
  <si>
    <t>Land Appreciation Index</t>
  </si>
  <si>
    <t>Vacancy Rate by MOO</t>
  </si>
  <si>
    <t>8. Answers to the Case Questions</t>
  </si>
  <si>
    <t>Portfolio Cash Deficit in Jun 2023</t>
  </si>
  <si>
    <t>Portfolio Net Cashflow in Dec 2031</t>
  </si>
  <si>
    <t>Max Cash Requirement</t>
  </si>
  <si>
    <t>Max Cash Requirement (Projects Postponed by 1 Year)</t>
  </si>
  <si>
    <t>Possible Sales Price</t>
  </si>
  <si>
    <t>Delayed Starts</t>
  </si>
  <si>
    <t>NOI</t>
  </si>
  <si>
    <t>New dates for postponed projects</t>
  </si>
  <si>
    <t>CALCULATIONS SCHEDULE</t>
  </si>
  <si>
    <t>Company name</t>
  </si>
  <si>
    <t>label</t>
  </si>
  <si>
    <t>CFM Topic</t>
  </si>
  <si>
    <t>Timing flexibility</t>
  </si>
  <si>
    <t>United Landlords Ltd</t>
  </si>
  <si>
    <t>Model technical inputs</t>
  </si>
  <si>
    <t>Model timeline</t>
  </si>
  <si>
    <t>Constant</t>
  </si>
  <si>
    <t>Unit</t>
  </si>
  <si>
    <t>date</t>
  </si>
  <si>
    <t>Model start date</t>
  </si>
  <si>
    <t>Model end date</t>
  </si>
  <si>
    <t>Periods</t>
  </si>
  <si>
    <t>months</t>
  </si>
  <si>
    <t>Existing properties</t>
  </si>
  <si>
    <t>USD</t>
  </si>
  <si>
    <t>Rent revenues</t>
  </si>
  <si>
    <t>(adjusted for inflation and vacancy)</t>
  </si>
  <si>
    <t>Rent revenue from existing properties</t>
  </si>
  <si>
    <t>Opex from existing properties</t>
  </si>
  <si>
    <t>(adjusted for inflation)</t>
  </si>
  <si>
    <t>New properties</t>
  </si>
  <si>
    <t>Land acquisition</t>
  </si>
  <si>
    <t>Construction costs</t>
  </si>
  <si>
    <t>Rent revenue from new properties</t>
  </si>
  <si>
    <t>Management Fee</t>
  </si>
  <si>
    <t>Gross Rent Revenue on Existing Properties</t>
  </si>
  <si>
    <t>Gross Rent Revenue on New Properties</t>
  </si>
  <si>
    <t>Total Gross Rent Revenue</t>
  </si>
  <si>
    <t>Project Cashflow Summary</t>
  </si>
  <si>
    <t>Revenues</t>
  </si>
  <si>
    <t>Costs</t>
  </si>
  <si>
    <t>Net Change in Cash</t>
  </si>
  <si>
    <t>Cash initial balance</t>
  </si>
  <si>
    <t>Cash closing balance</t>
  </si>
  <si>
    <t>Delay in project start</t>
  </si>
  <si>
    <t xml:space="preserve">years </t>
  </si>
  <si>
    <t>Opex from new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</si>
</sst>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&quot;$&quot;#,##0_);[Red]\(&quot;$&quot;#,##0\)"/>
    <numFmt numFmtId="165" formatCode="&quot;$&quot;#,##0.00_);[Red]\(&quot;$&quot;#,##0.00\)"/>
    <numFmt numFmtId="166" formatCode="_(* #,##0.00_);_(* \(#,##0.00\);_(* &quot;-&quot;??_);_(@_)"/>
    <numFmt numFmtId="167" formatCode="_-* #,##0_-;\-* #,##0_-;_-* &quot;-&quot;??_-;_-@_-"/>
    <numFmt numFmtId="168" formatCode="#,##0_);\(#,##0\);\-"/>
    <numFmt numFmtId="169" formatCode="#,##0_);\(#,##0\);\-_)"/>
    <numFmt numFmtId="170" formatCode="#,##0.00_);\(#,##0.00\);\-_)"/>
    <numFmt numFmtId="171" formatCode="0.00%_);\(0.00%\);\-_)"/>
    <numFmt numFmtId="172" formatCode="d/mmm/yy;d/mmm/yy;\-"/>
    <numFmt numFmtId="173" formatCode="[Red]&quot;Error&quot;;[Red]&quot;Error&quot;;&quot;OK&quot;;[Red]General"/>
    <numFmt numFmtId="174" formatCode="&quot;On&quot;;[Black]\(#,##0\);[Red]&quot;Off&quot;;[Black]General"/>
    <numFmt numFmtId="175" formatCode="&quot;Yes&quot;;[Black]\(#,##0\);[Red]&quot;No&quot;;[Black]General"/>
    <numFmt numFmtId="176" formatCode="d\-mmm\-yy;d\-mmm\-yy;\-"/>
    <numFmt numFmtId="177" formatCode="###0_);\(###0\);\-_)"/>
    <numFmt numFmtId="178" formatCode="0.0%"/>
    <numFmt numFmtId="179" formatCode="0.0\x"/>
    <numFmt numFmtId="180" formatCode="0&quot; Months&quot;"/>
    <numFmt numFmtId="181" formatCode="&quot;$&quot;#,##0_);\(&quot;$&quot;#,##0\);\–_);General_)"/>
    <numFmt numFmtId="182" formatCode="0.0000"/>
    <numFmt numFmtId="183" formatCode="#,##0_);\(#,##0\);\–_);General_)"/>
    <numFmt numFmtId="184" formatCode="0.0%_);\(0.0%\);\–_);General_)"/>
    <numFmt numFmtId="185" formatCode="#,##0.000_);\(#,##0.000\);\–_);General_)"/>
    <numFmt numFmtId="186" formatCode="d\-mmm\-yy;@"/>
    <numFmt numFmtId="187" formatCode="0\ &quot;year(s)&quot;"/>
    <numFmt numFmtId="188" formatCode="#,##0_);\(#,##0\);&quot;-  &quot;;&quot; &quot;@"/>
    <numFmt numFmtId="189" formatCode="0.00%\ ;\-0.00%\ _);&quot;-  &quot;;&quot; &quot;@&quot; &quot;"/>
    <numFmt numFmtId="190" formatCode="#,##0.0000_);\(#,##0.0000\);&quot;-  &quot;;&quot; &quot;@&quot; &quot;"/>
    <numFmt numFmtId="191" formatCode="dd\ mmm\ yyyy_);\(###0\);&quot;-  &quot;;&quot; &quot;@&quot; &quot;"/>
    <numFmt numFmtId="192" formatCode="dd\ mmm\ yy_);\(###0\);&quot;-  &quot;;&quot; &quot;@&quot; &quot;"/>
    <numFmt numFmtId="193" formatCode="###0_);\(###0\);&quot;-  &quot;;&quot; &quot;@&quot; &quot;"/>
  </numFmts>
  <fonts count="50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FF"/>
      <name val="Calibri"/>
      <family val="2"/>
      <scheme val="minor"/>
    </font>
    <font>
      <sz val="8"/>
      <color rgb="FF00B050"/>
      <name val="Calibri"/>
      <family val="2"/>
      <scheme val="minor"/>
    </font>
    <font>
      <sz val="11"/>
      <color theme="1"/>
      <name val="Arial"/>
      <family val="2"/>
    </font>
    <font>
      <sz val="11"/>
      <color rgb="FF0000FF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i/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D9D9D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rgb="FF0000FF"/>
      </left>
      <right style="hair">
        <color rgb="FF0000FF"/>
      </right>
      <top style="thin">
        <color indexed="64"/>
      </top>
      <bottom style="double">
        <color indexed="64"/>
      </bottom>
      <diagonal/>
    </border>
    <border>
      <left style="hair">
        <color rgb="FF0000FF"/>
      </left>
      <right style="hair">
        <color rgb="FF0000FF"/>
      </right>
      <top/>
      <bottom style="hair">
        <color rgb="FF0000F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indexed="64"/>
      </top>
      <bottom/>
      <diagonal/>
    </border>
  </borders>
  <cellStyleXfs count="57">
    <xf numFmtId="188" fontId="0" fillId="0" borderId="0" applyFont="0" applyFill="0" applyBorder="0" applyProtection="0">
      <alignment vertical="top"/>
    </xf>
    <xf numFmtId="0" fontId="2" fillId="0" borderId="0"/>
    <xf numFmtId="166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5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7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9" fontId="1" fillId="0" borderId="0" applyBorder="0"/>
    <xf numFmtId="4" fontId="7" fillId="4" borderId="2">
      <alignment horizontal="left"/>
    </xf>
    <xf numFmtId="168" fontId="11" fillId="0" borderId="0" applyFill="0" applyBorder="0"/>
    <xf numFmtId="169" fontId="9" fillId="0" borderId="0" applyBorder="0"/>
    <xf numFmtId="0" fontId="12" fillId="0" borderId="0" applyNumberFormat="0" applyFill="0" applyBorder="0">
      <alignment horizontal="right"/>
    </xf>
    <xf numFmtId="169" fontId="12" fillId="5" borderId="8">
      <protection locked="0"/>
    </xf>
    <xf numFmtId="170" fontId="12" fillId="5" borderId="8">
      <protection locked="0"/>
    </xf>
    <xf numFmtId="171" fontId="12" fillId="5" borderId="8">
      <protection locked="0"/>
    </xf>
    <xf numFmtId="172" fontId="1" fillId="0" borderId="0" applyBorder="0"/>
    <xf numFmtId="172" fontId="12" fillId="5" borderId="8">
      <protection locked="0"/>
    </xf>
    <xf numFmtId="169" fontId="12" fillId="0" borderId="8"/>
    <xf numFmtId="15" fontId="8" fillId="0" borderId="0" applyFill="0" applyBorder="0" applyAlignment="0"/>
    <xf numFmtId="173" fontId="13" fillId="0" borderId="9">
      <alignment horizontal="center"/>
    </xf>
    <xf numFmtId="169" fontId="14" fillId="7" borderId="0" applyBorder="0" applyAlignment="0"/>
    <xf numFmtId="173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8" fontId="18" fillId="6" borderId="8" applyNumberFormat="0" applyAlignment="0">
      <protection locked="0"/>
    </xf>
    <xf numFmtId="174" fontId="19" fillId="5" borderId="8">
      <alignment horizontal="center"/>
      <protection locked="0"/>
    </xf>
    <xf numFmtId="175" fontId="19" fillId="5" borderId="8">
      <alignment horizontal="center"/>
      <protection locked="0"/>
    </xf>
    <xf numFmtId="170" fontId="1" fillId="0" borderId="0" applyBorder="0"/>
    <xf numFmtId="175" fontId="20" fillId="0" borderId="11" applyFill="0">
      <alignment horizontal="center"/>
    </xf>
    <xf numFmtId="174" fontId="19" fillId="0" borderId="11">
      <alignment horizontal="center"/>
    </xf>
    <xf numFmtId="171" fontId="2" fillId="0" borderId="0" applyFill="0" applyBorder="0" applyAlignment="0"/>
    <xf numFmtId="169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6" fontId="1" fillId="0" borderId="0" applyBorder="0"/>
    <xf numFmtId="177" fontId="1" fillId="0" borderId="0" applyBorder="0"/>
    <xf numFmtId="176" fontId="12" fillId="5" borderId="8">
      <protection locked="0"/>
    </xf>
    <xf numFmtId="166" fontId="22" fillId="0" borderId="0" applyFont="0" applyFill="0" applyBorder="0" applyAlignment="0" applyProtection="0"/>
    <xf numFmtId="0" fontId="25" fillId="2" borderId="7" applyNumberFormat="0" applyAlignment="0" applyProtection="0"/>
    <xf numFmtId="4" fontId="7" fillId="4" borderId="13">
      <alignment horizontal="left"/>
    </xf>
    <xf numFmtId="166" fontId="24" fillId="0" borderId="0" applyFont="0" applyFill="0" applyBorder="0" applyAlignment="0" applyProtection="0"/>
    <xf numFmtId="0" fontId="41" fillId="0" borderId="0"/>
    <xf numFmtId="189" fontId="24" fillId="0" borderId="0" applyFont="0" applyFill="0" applyBorder="0" applyProtection="0">
      <alignment vertical="top"/>
    </xf>
    <xf numFmtId="190" fontId="41" fillId="0" borderId="0" applyFont="0" applyFill="0" applyBorder="0" applyProtection="0">
      <alignment vertical="top"/>
    </xf>
    <xf numFmtId="191" fontId="41" fillId="0" borderId="0" applyFont="0" applyFill="0" applyBorder="0" applyProtection="0">
      <alignment vertical="top"/>
    </xf>
    <xf numFmtId="192" fontId="41" fillId="0" borderId="0" applyFont="0" applyFill="0" applyBorder="0" applyProtection="0">
      <alignment vertical="top"/>
    </xf>
    <xf numFmtId="193" fontId="41" fillId="0" borderId="0" applyFont="0" applyFill="0" applyBorder="0" applyProtection="0">
      <alignment vertical="top"/>
    </xf>
  </cellStyleXfs>
  <cellXfs count="98">
    <xf numFmtId="188" fontId="0" fillId="0" borderId="0" xfId="0">
      <alignment vertical="top"/>
    </xf>
    <xf numFmtId="188" fontId="26" fillId="10" borderId="0" xfId="0" applyFont="1" applyFill="1">
      <alignment vertical="top"/>
    </xf>
    <xf numFmtId="188" fontId="27" fillId="0" borderId="0" xfId="0" applyFont="1">
      <alignment vertical="top"/>
    </xf>
    <xf numFmtId="188" fontId="27" fillId="0" borderId="0" xfId="0" applyFont="1" applyAlignment="1">
      <alignment horizontal="left" indent="1"/>
    </xf>
    <xf numFmtId="166" fontId="28" fillId="0" borderId="0" xfId="50" applyFont="1" applyBorder="1" applyAlignment="1">
      <alignment horizontal="center" wrapText="1"/>
    </xf>
    <xf numFmtId="166" fontId="28" fillId="0" borderId="12" xfId="50" applyFont="1" applyBorder="1" applyAlignment="1">
      <alignment horizontal="left" wrapText="1"/>
    </xf>
    <xf numFmtId="188" fontId="28" fillId="0" borderId="0" xfId="0" applyFont="1">
      <alignment vertical="top"/>
    </xf>
    <xf numFmtId="164" fontId="28" fillId="0" borderId="0" xfId="0" applyNumberFormat="1" applyFont="1">
      <alignment vertical="top"/>
    </xf>
    <xf numFmtId="164" fontId="30" fillId="5" borderId="8" xfId="18" applyNumberFormat="1" applyFont="1">
      <protection locked="0"/>
    </xf>
    <xf numFmtId="188" fontId="28" fillId="0" borderId="0" xfId="0" applyFont="1" applyAlignment="1">
      <alignment horizontal="center"/>
    </xf>
    <xf numFmtId="178" fontId="30" fillId="5" borderId="8" xfId="18" applyNumberFormat="1" applyFont="1" applyAlignment="1">
      <alignment horizontal="center"/>
      <protection locked="0"/>
    </xf>
    <xf numFmtId="9" fontId="30" fillId="5" borderId="8" xfId="18" applyNumberFormat="1" applyFont="1" applyAlignment="1">
      <alignment horizontal="center"/>
      <protection locked="0"/>
    </xf>
    <xf numFmtId="188" fontId="28" fillId="0" borderId="0" xfId="0" applyFont="1" applyAlignment="1">
      <alignment horizontal="left" indent="1"/>
    </xf>
    <xf numFmtId="188" fontId="32" fillId="0" borderId="0" xfId="0" applyFont="1">
      <alignment vertical="top"/>
    </xf>
    <xf numFmtId="188" fontId="27" fillId="0" borderId="0" xfId="0" applyFont="1" applyAlignment="1">
      <alignment horizontal="center"/>
    </xf>
    <xf numFmtId="164" fontId="32" fillId="0" borderId="0" xfId="0" applyNumberFormat="1" applyFont="1">
      <alignment vertical="top"/>
    </xf>
    <xf numFmtId="188" fontId="35" fillId="10" borderId="0" xfId="0" applyFont="1" applyFill="1">
      <alignment vertical="top"/>
    </xf>
    <xf numFmtId="188" fontId="28" fillId="0" borderId="0" xfId="0" applyFont="1" applyAlignment="1">
      <alignment vertical="center"/>
    </xf>
    <xf numFmtId="164" fontId="28" fillId="0" borderId="0" xfId="0" applyNumberFormat="1" applyFont="1" applyAlignment="1">
      <alignment horizontal="center" vertical="center" wrapText="1"/>
    </xf>
    <xf numFmtId="164" fontId="28" fillId="0" borderId="0" xfId="0" applyNumberFormat="1" applyFont="1" applyAlignment="1">
      <alignment vertical="center"/>
    </xf>
    <xf numFmtId="188" fontId="28" fillId="0" borderId="0" xfId="0" applyFont="1" applyAlignment="1">
      <alignment horizontal="left" vertical="center"/>
    </xf>
    <xf numFmtId="188" fontId="0" fillId="0" borderId="0" xfId="0" applyAlignment="1">
      <alignment vertical="center"/>
    </xf>
    <xf numFmtId="188" fontId="31" fillId="0" borderId="0" xfId="0" applyFont="1" applyAlignment="1">
      <alignment vertical="center"/>
    </xf>
    <xf numFmtId="15" fontId="30" fillId="0" borderId="8" xfId="18" applyNumberFormat="1" applyFont="1" applyFill="1" applyAlignment="1">
      <alignment horizontal="center"/>
      <protection locked="0"/>
    </xf>
    <xf numFmtId="179" fontId="30" fillId="5" borderId="8" xfId="18" applyNumberFormat="1" applyFont="1" applyAlignment="1">
      <alignment horizontal="center"/>
      <protection locked="0"/>
    </xf>
    <xf numFmtId="15" fontId="30" fillId="5" borderId="8" xfId="18" applyNumberFormat="1" applyFont="1" applyAlignment="1">
      <alignment horizontal="center"/>
      <protection locked="0"/>
    </xf>
    <xf numFmtId="180" fontId="30" fillId="5" borderId="8" xfId="18" applyNumberFormat="1" applyFont="1" applyAlignment="1">
      <alignment horizontal="center"/>
      <protection locked="0"/>
    </xf>
    <xf numFmtId="10" fontId="30" fillId="5" borderId="8" xfId="18" applyNumberFormat="1" applyFont="1" applyAlignment="1">
      <alignment horizontal="center"/>
      <protection locked="0"/>
    </xf>
    <xf numFmtId="188" fontId="34" fillId="0" borderId="0" xfId="0" applyFont="1">
      <alignment vertical="top"/>
    </xf>
    <xf numFmtId="10" fontId="28" fillId="0" borderId="0" xfId="0" applyNumberFormat="1" applyFont="1" applyAlignment="1">
      <alignment horizontal="center"/>
    </xf>
    <xf numFmtId="188" fontId="36" fillId="0" borderId="0" xfId="0" applyFont="1">
      <alignment vertical="top"/>
    </xf>
    <xf numFmtId="15" fontId="36" fillId="0" borderId="0" xfId="0" applyNumberFormat="1" applyFont="1">
      <alignment vertical="top"/>
    </xf>
    <xf numFmtId="166" fontId="28" fillId="0" borderId="12" xfId="50" applyFont="1" applyBorder="1" applyAlignment="1">
      <alignment horizontal="left"/>
    </xf>
    <xf numFmtId="188" fontId="37" fillId="0" borderId="12" xfId="0" applyFont="1" applyBorder="1" applyAlignment="1">
      <alignment horizontal="center"/>
    </xf>
    <xf numFmtId="181" fontId="28" fillId="0" borderId="12" xfId="0" applyNumberFormat="1" applyFont="1" applyBorder="1">
      <alignment vertical="top"/>
    </xf>
    <xf numFmtId="188" fontId="38" fillId="0" borderId="0" xfId="0" applyFont="1" applyAlignment="1">
      <alignment horizontal="center"/>
    </xf>
    <xf numFmtId="181" fontId="27" fillId="0" borderId="0" xfId="0" applyNumberFormat="1" applyFont="1">
      <alignment vertical="top"/>
    </xf>
    <xf numFmtId="181" fontId="0" fillId="0" borderId="0" xfId="0" applyNumberFormat="1">
      <alignment vertical="top"/>
    </xf>
    <xf numFmtId="181" fontId="32" fillId="0" borderId="0" xfId="0" applyNumberFormat="1" applyFont="1">
      <alignment vertical="top"/>
    </xf>
    <xf numFmtId="188" fontId="0" fillId="0" borderId="12" xfId="0" applyBorder="1">
      <alignment vertical="top"/>
    </xf>
    <xf numFmtId="181" fontId="31" fillId="0" borderId="12" xfId="0" applyNumberFormat="1" applyFont="1" applyBorder="1">
      <alignment vertical="top"/>
    </xf>
    <xf numFmtId="188" fontId="37" fillId="0" borderId="0" xfId="0" applyFont="1" applyAlignment="1">
      <alignment horizontal="center"/>
    </xf>
    <xf numFmtId="181" fontId="28" fillId="0" borderId="0" xfId="0" applyNumberFormat="1" applyFont="1">
      <alignment vertical="top"/>
    </xf>
    <xf numFmtId="164" fontId="33" fillId="0" borderId="8" xfId="18" applyNumberFormat="1" applyFont="1" applyFill="1">
      <protection locked="0"/>
    </xf>
    <xf numFmtId="178" fontId="33" fillId="0" borderId="8" xfId="18" applyNumberFormat="1" applyFont="1" applyFill="1" applyAlignment="1">
      <alignment horizontal="center"/>
      <protection locked="0"/>
    </xf>
    <xf numFmtId="164" fontId="28" fillId="0" borderId="0" xfId="0" applyNumberFormat="1" applyFont="1" applyAlignment="1">
      <alignment horizontal="center"/>
    </xf>
    <xf numFmtId="10" fontId="33" fillId="0" borderId="14" xfId="18" applyNumberFormat="1" applyFont="1" applyFill="1" applyBorder="1" applyAlignment="1">
      <alignment horizontal="center"/>
      <protection locked="0"/>
    </xf>
    <xf numFmtId="166" fontId="28" fillId="0" borderId="13" xfId="50" applyFont="1" applyBorder="1" applyAlignment="1">
      <alignment horizontal="left" wrapText="1"/>
    </xf>
    <xf numFmtId="188" fontId="37" fillId="0" borderId="13" xfId="0" applyFont="1" applyBorder="1" applyAlignment="1">
      <alignment horizontal="center"/>
    </xf>
    <xf numFmtId="181" fontId="28" fillId="0" borderId="13" xfId="0" applyNumberFormat="1" applyFont="1" applyBorder="1">
      <alignment vertical="top"/>
    </xf>
    <xf numFmtId="164" fontId="33" fillId="0" borderId="8" xfId="18" applyNumberFormat="1" applyFont="1" applyFill="1" applyAlignment="1">
      <alignment horizontal="center"/>
      <protection locked="0"/>
    </xf>
    <xf numFmtId="164" fontId="27" fillId="0" borderId="0" xfId="0" applyNumberFormat="1" applyFont="1" applyAlignment="1">
      <alignment horizontal="center"/>
    </xf>
    <xf numFmtId="188" fontId="28" fillId="0" borderId="13" xfId="0" applyFont="1" applyBorder="1" applyAlignment="1">
      <alignment horizontal="left" vertical="center" wrapText="1"/>
    </xf>
    <xf numFmtId="188" fontId="28" fillId="0" borderId="13" xfId="0" applyFont="1" applyBorder="1" applyAlignment="1">
      <alignment horizontal="center" vertical="center" wrapText="1"/>
    </xf>
    <xf numFmtId="15" fontId="33" fillId="0" borderId="15" xfId="18" applyNumberFormat="1" applyFont="1" applyFill="1" applyBorder="1" applyAlignment="1">
      <alignment horizontal="center"/>
      <protection locked="0"/>
    </xf>
    <xf numFmtId="182" fontId="27" fillId="0" borderId="0" xfId="0" applyNumberFormat="1" applyFont="1" applyAlignment="1">
      <alignment horizontal="center"/>
    </xf>
    <xf numFmtId="0" fontId="33" fillId="0" borderId="15" xfId="18" applyNumberFormat="1" applyFont="1" applyFill="1" applyBorder="1" applyAlignment="1">
      <alignment horizontal="center"/>
      <protection locked="0"/>
    </xf>
    <xf numFmtId="1" fontId="33" fillId="0" borderId="15" xfId="18" applyNumberFormat="1" applyFont="1" applyFill="1" applyBorder="1" applyAlignment="1">
      <alignment horizontal="center"/>
      <protection locked="0"/>
    </xf>
    <xf numFmtId="1" fontId="27" fillId="0" borderId="0" xfId="0" applyNumberFormat="1" applyFont="1" applyAlignment="1">
      <alignment horizontal="center"/>
    </xf>
    <xf numFmtId="15" fontId="33" fillId="0" borderId="8" xfId="18" applyNumberFormat="1" applyFont="1" applyFill="1" applyAlignment="1">
      <alignment horizontal="center"/>
      <protection locked="0"/>
    </xf>
    <xf numFmtId="0" fontId="33" fillId="0" borderId="8" xfId="18" applyNumberFormat="1" applyFont="1" applyFill="1" applyAlignment="1">
      <alignment horizontal="center"/>
      <protection locked="0"/>
    </xf>
    <xf numFmtId="1" fontId="33" fillId="0" borderId="8" xfId="18" applyNumberFormat="1" applyFont="1" applyFill="1" applyAlignment="1">
      <alignment horizontal="center"/>
      <protection locked="0"/>
    </xf>
    <xf numFmtId="183" fontId="27" fillId="0" borderId="0" xfId="0" applyNumberFormat="1" applyFont="1">
      <alignment vertical="top"/>
    </xf>
    <xf numFmtId="184" fontId="27" fillId="0" borderId="0" xfId="0" applyNumberFormat="1" applyFont="1">
      <alignment vertical="top"/>
    </xf>
    <xf numFmtId="1" fontId="38" fillId="0" borderId="0" xfId="0" applyNumberFormat="1" applyFont="1">
      <alignment vertical="top"/>
    </xf>
    <xf numFmtId="184" fontId="38" fillId="0" borderId="0" xfId="0" applyNumberFormat="1" applyFont="1">
      <alignment vertical="top"/>
    </xf>
    <xf numFmtId="183" fontId="38" fillId="0" borderId="0" xfId="0" applyNumberFormat="1" applyFont="1">
      <alignment vertical="top"/>
    </xf>
    <xf numFmtId="185" fontId="39" fillId="0" borderId="0" xfId="0" applyNumberFormat="1" applyFont="1">
      <alignment vertical="top"/>
    </xf>
    <xf numFmtId="185" fontId="38" fillId="0" borderId="0" xfId="0" applyNumberFormat="1" applyFont="1">
      <alignment vertical="top"/>
    </xf>
    <xf numFmtId="184" fontId="40" fillId="0" borderId="8" xfId="18" applyNumberFormat="1" applyFont="1" applyFill="1" applyAlignment="1">
      <alignment horizontal="right"/>
      <protection locked="0"/>
    </xf>
    <xf numFmtId="164" fontId="31" fillId="0" borderId="0" xfId="0" applyNumberFormat="1" applyFont="1">
      <alignment vertical="top"/>
    </xf>
    <xf numFmtId="179" fontId="33" fillId="0" borderId="8" xfId="18" applyNumberFormat="1" applyFont="1" applyFill="1" applyAlignment="1">
      <alignment horizontal="center"/>
      <protection locked="0"/>
    </xf>
    <xf numFmtId="166" fontId="0" fillId="0" borderId="0" xfId="50" applyFont="1"/>
    <xf numFmtId="186" fontId="0" fillId="0" borderId="0" xfId="0" applyNumberFormat="1">
      <alignment vertical="top"/>
    </xf>
    <xf numFmtId="164" fontId="29" fillId="0" borderId="0" xfId="0" applyNumberFormat="1" applyFont="1">
      <alignment vertical="top"/>
    </xf>
    <xf numFmtId="188" fontId="43" fillId="0" borderId="0" xfId="0" applyFont="1" applyAlignment="1">
      <alignment horizontal="left" indent="1"/>
    </xf>
    <xf numFmtId="187" fontId="42" fillId="0" borderId="0" xfId="0" applyNumberFormat="1" applyFont="1">
      <alignment vertical="top"/>
    </xf>
    <xf numFmtId="188" fontId="46" fillId="11" borderId="0" xfId="0" applyFont="1" applyFill="1">
      <alignment vertical="top"/>
    </xf>
    <xf numFmtId="188" fontId="44" fillId="11" borderId="0" xfId="0" applyFont="1" applyFill="1">
      <alignment vertical="top"/>
    </xf>
    <xf numFmtId="188" fontId="47" fillId="12" borderId="16" xfId="0" applyFont="1" applyFill="1" applyBorder="1">
      <alignment vertical="top"/>
    </xf>
    <xf numFmtId="188" fontId="47" fillId="12" borderId="17" xfId="0" applyFont="1" applyFill="1" applyBorder="1">
      <alignment vertical="top"/>
    </xf>
    <xf numFmtId="188" fontId="0" fillId="13" borderId="0" xfId="0" applyFill="1">
      <alignment vertical="top"/>
    </xf>
    <xf numFmtId="188" fontId="45" fillId="13" borderId="0" xfId="0" applyFont="1" applyFill="1">
      <alignment vertical="top"/>
    </xf>
    <xf numFmtId="192" fontId="0" fillId="12" borderId="17" xfId="55" applyFont="1" applyFill="1" applyBorder="1">
      <alignment vertical="top"/>
    </xf>
    <xf numFmtId="193" fontId="0" fillId="0" borderId="0" xfId="56" applyFont="1">
      <alignment vertical="top"/>
    </xf>
    <xf numFmtId="188" fontId="0" fillId="0" borderId="0" xfId="0" applyFont="1">
      <alignment vertical="top"/>
    </xf>
    <xf numFmtId="191" fontId="0" fillId="0" borderId="0" xfId="54" applyFont="1">
      <alignment vertical="top"/>
    </xf>
    <xf numFmtId="192" fontId="44" fillId="11" borderId="0" xfId="55" applyFont="1" applyFill="1">
      <alignment vertical="top"/>
    </xf>
    <xf numFmtId="188" fontId="45" fillId="0" borderId="0" xfId="0" applyFont="1">
      <alignment vertical="top"/>
    </xf>
    <xf numFmtId="193" fontId="27" fillId="0" borderId="0" xfId="56" applyFont="1">
      <alignment vertical="top"/>
    </xf>
    <xf numFmtId="185" fontId="47" fillId="0" borderId="0" xfId="0" applyNumberFormat="1" applyFont="1">
      <alignment vertical="top"/>
    </xf>
    <xf numFmtId="185" fontId="48" fillId="0" borderId="0" xfId="0" applyNumberFormat="1" applyFont="1">
      <alignment vertical="top"/>
    </xf>
    <xf numFmtId="190" fontId="0" fillId="0" borderId="0" xfId="53" applyFont="1">
      <alignment vertical="top"/>
    </xf>
    <xf numFmtId="188" fontId="49" fillId="0" borderId="0" xfId="0" applyFont="1">
      <alignment vertical="top"/>
    </xf>
    <xf numFmtId="188" fontId="45" fillId="0" borderId="18" xfId="0" applyFont="1" applyBorder="1">
      <alignment vertical="top"/>
    </xf>
    <xf numFmtId="188" fontId="45" fillId="0" borderId="0" xfId="0" applyFont="1" applyBorder="1">
      <alignment vertical="top"/>
    </xf>
    <xf numFmtId="188" fontId="0" fillId="0" borderId="18" xfId="0" applyBorder="1">
      <alignment vertical="top"/>
    </xf>
    <xf numFmtId="189" fontId="0" fillId="0" borderId="0" xfId="52" applyFont="1">
      <alignment vertical="top"/>
    </xf>
  </cellXfs>
  <cellStyles count="57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" xfId="50" builtinId="3"/>
    <cellStyle name="Comma 2" xfId="2" xr:uid="{00000000-0005-0000-0000-000003000000}"/>
    <cellStyle name="Comma 3" xfId="47" xr:uid="{3570D88B-62A3-40C8-909A-C17A3140EBF0}"/>
    <cellStyle name="Currency [2]" xfId="6" xr:uid="{00000000-0005-0000-0000-000004000000}"/>
    <cellStyle name="DateLong" xfId="54" xr:uid="{F6C270F7-36D5-4C17-B783-C3BC57F3E5F0}"/>
    <cellStyle name="DateShort" xfId="55" xr:uid="{6F49B5D2-067D-4866-883C-1BDA5ECC30E6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49" xr:uid="{18B3665B-19FF-46C4-8B82-732D8E4E6C6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3" xr:uid="{18640E3D-9EAC-4546-A436-88521546439B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ormal 5" xfId="51" xr:uid="{1C775B2B-0598-46C6-BD92-10F7105A3C16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2" builtinId="5" customBuiltin="1"/>
    <cellStyle name="Percent 2" xfId="11" xr:uid="{00000000-0005-0000-0000-00002E000000}"/>
    <cellStyle name="Year" xfId="56" xr:uid="{22F8552D-A0D8-4BEC-B617-D41337B64727}"/>
  </cellStyles>
  <dxfs count="0"/>
  <tableStyles count="0" defaultTableStyle="TableStyleMedium2" defaultPivotStyle="PivotStyleLight16"/>
  <colors>
    <mruColors>
      <color rgb="FFFFD966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9CC09C-7AAA-4B7E-A65F-4B1725ABCA6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e7d616c-5245-43d6-9582-09b5f3a07b0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1940-5C1D-4234-8B3A-E873EBEB9ED4}">
  <sheetPr>
    <pageSetUpPr autoPageBreaks="0" fitToPage="1"/>
  </sheetPr>
  <dimension ref="A1:DY142"/>
  <sheetViews>
    <sheetView tabSelected="1" zoomScale="85" zoomScaleNormal="85" workbookViewId="0">
      <pane xSplit="9" ySplit="11" topLeftCell="Y69" activePane="bottomRight" state="frozen"/>
      <selection pane="topRight" activeCell="J1" sqref="J1"/>
      <selection pane="bottomLeft" activeCell="A12" sqref="A12"/>
      <selection pane="bottomRight" activeCell="J54" sqref="J54"/>
    </sheetView>
  </sheetViews>
  <sheetFormatPr defaultRowHeight="13.8"/>
  <cols>
    <col min="1" max="2" width="1.69921875" customWidth="1"/>
    <col min="3" max="4" width="1.59765625" customWidth="1"/>
    <col min="5" max="5" width="35.69921875" customWidth="1"/>
    <col min="6" max="8" width="12.69921875" customWidth="1"/>
    <col min="9" max="9" width="0.69921875" customWidth="1"/>
    <col min="10" max="129" width="12.69921875" customWidth="1"/>
  </cols>
  <sheetData>
    <row r="1" spans="1:129" s="78" customFormat="1" ht="14.4">
      <c r="A1" s="78" t="str" cm="1">
        <f t="array" ref="A1">company</f>
        <v>United Landlords Ltd</v>
      </c>
      <c r="B1" s="77"/>
      <c r="C1" s="77"/>
      <c r="D1" s="77"/>
      <c r="Z1"/>
    </row>
    <row r="2" spans="1:129" s="78" customFormat="1" ht="14.4">
      <c r="A2" s="78" t="str" cm="1">
        <f t="array" ref="A2">topic</f>
        <v>CFM Topic: Timing flexibility</v>
      </c>
      <c r="B2" s="77"/>
      <c r="C2" s="77"/>
      <c r="D2" s="77"/>
    </row>
    <row r="3" spans="1:129" s="78" customFormat="1" ht="14.4">
      <c r="A3" s="78" t="s">
        <v>112</v>
      </c>
      <c r="B3" s="77"/>
      <c r="C3" s="77"/>
      <c r="D3" s="77"/>
      <c r="F3" s="78" t="s">
        <v>120</v>
      </c>
      <c r="G3" s="78" t="s">
        <v>121</v>
      </c>
      <c r="H3" s="78" t="s">
        <v>1</v>
      </c>
      <c r="J3" s="87" cm="1">
        <f t="array" ref="J3:DY3">_xlfn.ANCHORARRAY( J11)</f>
        <v>44592</v>
      </c>
      <c r="K3" s="87">
        <v>44620</v>
      </c>
      <c r="L3" s="87">
        <v>44651</v>
      </c>
      <c r="M3" s="87">
        <v>44681</v>
      </c>
      <c r="N3" s="87">
        <v>44712</v>
      </c>
      <c r="O3" s="87">
        <v>44742</v>
      </c>
      <c r="P3" s="87">
        <v>44773</v>
      </c>
      <c r="Q3" s="87">
        <v>44804</v>
      </c>
      <c r="R3" s="87">
        <v>44834</v>
      </c>
      <c r="S3" s="87">
        <v>44865</v>
      </c>
      <c r="T3" s="87">
        <v>44895</v>
      </c>
      <c r="U3" s="87">
        <v>44926</v>
      </c>
      <c r="V3" s="87">
        <v>44957</v>
      </c>
      <c r="W3" s="87">
        <v>44985</v>
      </c>
      <c r="X3" s="87">
        <v>45016</v>
      </c>
      <c r="Y3" s="87">
        <v>45046</v>
      </c>
      <c r="Z3" s="87">
        <v>45077</v>
      </c>
      <c r="AA3" s="87">
        <v>45107</v>
      </c>
      <c r="AB3" s="87">
        <v>45138</v>
      </c>
      <c r="AC3" s="87">
        <v>45169</v>
      </c>
      <c r="AD3" s="87">
        <v>45199</v>
      </c>
      <c r="AE3" s="87">
        <v>45230</v>
      </c>
      <c r="AF3" s="87">
        <v>45260</v>
      </c>
      <c r="AG3" s="87">
        <v>45291</v>
      </c>
      <c r="AH3" s="87">
        <v>45322</v>
      </c>
      <c r="AI3" s="87">
        <v>45351</v>
      </c>
      <c r="AJ3" s="87">
        <v>45382</v>
      </c>
      <c r="AK3" s="87">
        <v>45412</v>
      </c>
      <c r="AL3" s="87">
        <v>45443</v>
      </c>
      <c r="AM3" s="87">
        <v>45473</v>
      </c>
      <c r="AN3" s="87">
        <v>45504</v>
      </c>
      <c r="AO3" s="87">
        <v>45535</v>
      </c>
      <c r="AP3" s="87">
        <v>45565</v>
      </c>
      <c r="AQ3" s="87">
        <v>45596</v>
      </c>
      <c r="AR3" s="87">
        <v>45626</v>
      </c>
      <c r="AS3" s="87">
        <v>45657</v>
      </c>
      <c r="AT3" s="87">
        <v>45688</v>
      </c>
      <c r="AU3" s="87">
        <v>45716</v>
      </c>
      <c r="AV3" s="87">
        <v>45747</v>
      </c>
      <c r="AW3" s="87">
        <v>45777</v>
      </c>
      <c r="AX3" s="87">
        <v>45808</v>
      </c>
      <c r="AY3" s="87">
        <v>45838</v>
      </c>
      <c r="AZ3" s="87">
        <v>45869</v>
      </c>
      <c r="BA3" s="87">
        <v>45900</v>
      </c>
      <c r="BB3" s="87">
        <v>45930</v>
      </c>
      <c r="BC3" s="87">
        <v>45961</v>
      </c>
      <c r="BD3" s="87">
        <v>45991</v>
      </c>
      <c r="BE3" s="87">
        <v>46022</v>
      </c>
      <c r="BF3" s="87">
        <v>46053</v>
      </c>
      <c r="BG3" s="87">
        <v>46081</v>
      </c>
      <c r="BH3" s="87">
        <v>46112</v>
      </c>
      <c r="BI3" s="87">
        <v>46142</v>
      </c>
      <c r="BJ3" s="87">
        <v>46173</v>
      </c>
      <c r="BK3" s="87">
        <v>46203</v>
      </c>
      <c r="BL3" s="87">
        <v>46234</v>
      </c>
      <c r="BM3" s="87">
        <v>46265</v>
      </c>
      <c r="BN3" s="87">
        <v>46295</v>
      </c>
      <c r="BO3" s="87">
        <v>46326</v>
      </c>
      <c r="BP3" s="87">
        <v>46356</v>
      </c>
      <c r="BQ3" s="87">
        <v>46387</v>
      </c>
      <c r="BR3" s="87">
        <v>46418</v>
      </c>
      <c r="BS3" s="87">
        <v>46446</v>
      </c>
      <c r="BT3" s="87">
        <v>46477</v>
      </c>
      <c r="BU3" s="87">
        <v>46507</v>
      </c>
      <c r="BV3" s="87">
        <v>46538</v>
      </c>
      <c r="BW3" s="87">
        <v>46568</v>
      </c>
      <c r="BX3" s="87">
        <v>46599</v>
      </c>
      <c r="BY3" s="87">
        <v>46630</v>
      </c>
      <c r="BZ3" s="87">
        <v>46660</v>
      </c>
      <c r="CA3" s="87">
        <v>46691</v>
      </c>
      <c r="CB3" s="87">
        <v>46721</v>
      </c>
      <c r="CC3" s="87">
        <v>46752</v>
      </c>
      <c r="CD3" s="87">
        <v>46783</v>
      </c>
      <c r="CE3" s="87">
        <v>46812</v>
      </c>
      <c r="CF3" s="87">
        <v>46843</v>
      </c>
      <c r="CG3" s="87">
        <v>46873</v>
      </c>
      <c r="CH3" s="87">
        <v>46904</v>
      </c>
      <c r="CI3" s="87">
        <v>46934</v>
      </c>
      <c r="CJ3" s="87">
        <v>46965</v>
      </c>
      <c r="CK3" s="87">
        <v>46996</v>
      </c>
      <c r="CL3" s="87">
        <v>47026</v>
      </c>
      <c r="CM3" s="87">
        <v>47057</v>
      </c>
      <c r="CN3" s="87">
        <v>47087</v>
      </c>
      <c r="CO3" s="87">
        <v>47118</v>
      </c>
      <c r="CP3" s="87">
        <v>47149</v>
      </c>
      <c r="CQ3" s="87">
        <v>47177</v>
      </c>
      <c r="CR3" s="87">
        <v>47208</v>
      </c>
      <c r="CS3" s="87">
        <v>47238</v>
      </c>
      <c r="CT3" s="87">
        <v>47269</v>
      </c>
      <c r="CU3" s="87">
        <v>47299</v>
      </c>
      <c r="CV3" s="87">
        <v>47330</v>
      </c>
      <c r="CW3" s="87">
        <v>47361</v>
      </c>
      <c r="CX3" s="87">
        <v>47391</v>
      </c>
      <c r="CY3" s="87">
        <v>47422</v>
      </c>
      <c r="CZ3" s="87">
        <v>47452</v>
      </c>
      <c r="DA3" s="87">
        <v>47483</v>
      </c>
      <c r="DB3" s="87">
        <v>47514</v>
      </c>
      <c r="DC3" s="87">
        <v>47542</v>
      </c>
      <c r="DD3" s="87">
        <v>47573</v>
      </c>
      <c r="DE3" s="87">
        <v>47603</v>
      </c>
      <c r="DF3" s="87">
        <v>47634</v>
      </c>
      <c r="DG3" s="87">
        <v>47664</v>
      </c>
      <c r="DH3" s="87">
        <v>47695</v>
      </c>
      <c r="DI3" s="87">
        <v>47726</v>
      </c>
      <c r="DJ3" s="87">
        <v>47756</v>
      </c>
      <c r="DK3" s="87">
        <v>47787</v>
      </c>
      <c r="DL3" s="87">
        <v>47817</v>
      </c>
      <c r="DM3" s="87">
        <v>47848</v>
      </c>
      <c r="DN3" s="87">
        <v>47879</v>
      </c>
      <c r="DO3" s="87">
        <v>47907</v>
      </c>
      <c r="DP3" s="87">
        <v>47938</v>
      </c>
      <c r="DQ3" s="87">
        <v>47968</v>
      </c>
      <c r="DR3" s="87">
        <v>47999</v>
      </c>
      <c r="DS3" s="87">
        <v>48029</v>
      </c>
      <c r="DT3" s="87">
        <v>48060</v>
      </c>
      <c r="DU3" s="87">
        <v>48091</v>
      </c>
      <c r="DV3" s="87">
        <v>48121</v>
      </c>
      <c r="DW3" s="87">
        <v>48152</v>
      </c>
      <c r="DX3" s="87">
        <v>48182</v>
      </c>
      <c r="DY3" s="87">
        <v>48213</v>
      </c>
    </row>
    <row r="5" spans="1:129" s="81" customFormat="1">
      <c r="A5" s="82" t="s">
        <v>118</v>
      </c>
    </row>
    <row r="7" spans="1:129">
      <c r="E7" t="s">
        <v>123</v>
      </c>
      <c r="F7" s="83">
        <f>start_date</f>
        <v>44562</v>
      </c>
      <c r="G7" t="s">
        <v>122</v>
      </c>
    </row>
    <row r="8" spans="1:129">
      <c r="E8" t="s">
        <v>124</v>
      </c>
      <c r="F8" s="83">
        <f>end_date</f>
        <v>48213</v>
      </c>
      <c r="G8" t="s">
        <v>122</v>
      </c>
    </row>
    <row r="9" spans="1:129">
      <c r="E9" t="s">
        <v>148</v>
      </c>
      <c r="F9" s="79">
        <v>0</v>
      </c>
      <c r="G9" t="s">
        <v>149</v>
      </c>
    </row>
    <row r="10" spans="1:129">
      <c r="E10" t="s">
        <v>125</v>
      </c>
      <c r="F10" s="85">
        <f xml:space="preserve"> ( VALUE(F8)-VALUE(F7) ) / 365 * 12</f>
        <v>120.03287671232876</v>
      </c>
      <c r="G10" t="s">
        <v>126</v>
      </c>
    </row>
    <row r="11" spans="1:129">
      <c r="E11" t="s">
        <v>119</v>
      </c>
      <c r="G11" t="s">
        <v>122</v>
      </c>
      <c r="J11" s="86" cm="1">
        <f t="array" ref="J11:DY11" xml:space="preserve"> EOMONTH( start_date, _xlfn.SEQUENCE( 1, months, 0, 1 ) )</f>
        <v>44592</v>
      </c>
      <c r="K11" s="86">
        <v>44620</v>
      </c>
      <c r="L11" s="86">
        <v>44651</v>
      </c>
      <c r="M11" s="86">
        <v>44681</v>
      </c>
      <c r="N11" s="86">
        <v>44712</v>
      </c>
      <c r="O11" s="86">
        <v>44742</v>
      </c>
      <c r="P11" s="86">
        <v>44773</v>
      </c>
      <c r="Q11" s="86">
        <v>44804</v>
      </c>
      <c r="R11" s="86">
        <v>44834</v>
      </c>
      <c r="S11" s="86">
        <v>44865</v>
      </c>
      <c r="T11" s="86">
        <v>44895</v>
      </c>
      <c r="U11" s="86">
        <v>44926</v>
      </c>
      <c r="V11" s="86">
        <v>44957</v>
      </c>
      <c r="W11" s="86">
        <v>44985</v>
      </c>
      <c r="X11" s="86">
        <v>45016</v>
      </c>
      <c r="Y11" s="86">
        <v>45046</v>
      </c>
      <c r="Z11" s="86">
        <v>45077</v>
      </c>
      <c r="AA11" s="86">
        <v>45107</v>
      </c>
      <c r="AB11" s="86">
        <v>45138</v>
      </c>
      <c r="AC11" s="86">
        <v>45169</v>
      </c>
      <c r="AD11" s="86">
        <v>45199</v>
      </c>
      <c r="AE11" s="86">
        <v>45230</v>
      </c>
      <c r="AF11" s="86">
        <v>45260</v>
      </c>
      <c r="AG11" s="86">
        <v>45291</v>
      </c>
      <c r="AH11" s="86">
        <v>45322</v>
      </c>
      <c r="AI11" s="86">
        <v>45351</v>
      </c>
      <c r="AJ11" s="86">
        <v>45382</v>
      </c>
      <c r="AK11" s="86">
        <v>45412</v>
      </c>
      <c r="AL11" s="86">
        <v>45443</v>
      </c>
      <c r="AM11" s="86">
        <v>45473</v>
      </c>
      <c r="AN11" s="86">
        <v>45504</v>
      </c>
      <c r="AO11" s="86">
        <v>45535</v>
      </c>
      <c r="AP11" s="86">
        <v>45565</v>
      </c>
      <c r="AQ11" s="86">
        <v>45596</v>
      </c>
      <c r="AR11" s="86">
        <v>45626</v>
      </c>
      <c r="AS11" s="86">
        <v>45657</v>
      </c>
      <c r="AT11" s="86">
        <v>45688</v>
      </c>
      <c r="AU11" s="86">
        <v>45716</v>
      </c>
      <c r="AV11" s="86">
        <v>45747</v>
      </c>
      <c r="AW11" s="86">
        <v>45777</v>
      </c>
      <c r="AX11" s="86">
        <v>45808</v>
      </c>
      <c r="AY11" s="86">
        <v>45838</v>
      </c>
      <c r="AZ11" s="86">
        <v>45869</v>
      </c>
      <c r="BA11" s="86">
        <v>45900</v>
      </c>
      <c r="BB11" s="86">
        <v>45930</v>
      </c>
      <c r="BC11" s="86">
        <v>45961</v>
      </c>
      <c r="BD11" s="86">
        <v>45991</v>
      </c>
      <c r="BE11" s="86">
        <v>46022</v>
      </c>
      <c r="BF11" s="86">
        <v>46053</v>
      </c>
      <c r="BG11" s="86">
        <v>46081</v>
      </c>
      <c r="BH11" s="86">
        <v>46112</v>
      </c>
      <c r="BI11" s="86">
        <v>46142</v>
      </c>
      <c r="BJ11" s="86">
        <v>46173</v>
      </c>
      <c r="BK11" s="86">
        <v>46203</v>
      </c>
      <c r="BL11" s="86">
        <v>46234</v>
      </c>
      <c r="BM11" s="86">
        <v>46265</v>
      </c>
      <c r="BN11" s="86">
        <v>46295</v>
      </c>
      <c r="BO11" s="86">
        <v>46326</v>
      </c>
      <c r="BP11" s="86">
        <v>46356</v>
      </c>
      <c r="BQ11" s="86">
        <v>46387</v>
      </c>
      <c r="BR11" s="86">
        <v>46418</v>
      </c>
      <c r="BS11" s="86">
        <v>46446</v>
      </c>
      <c r="BT11" s="86">
        <v>46477</v>
      </c>
      <c r="BU11" s="86">
        <v>46507</v>
      </c>
      <c r="BV11" s="86">
        <v>46538</v>
      </c>
      <c r="BW11" s="86">
        <v>46568</v>
      </c>
      <c r="BX11" s="86">
        <v>46599</v>
      </c>
      <c r="BY11" s="86">
        <v>46630</v>
      </c>
      <c r="BZ11" s="86">
        <v>46660</v>
      </c>
      <c r="CA11" s="86">
        <v>46691</v>
      </c>
      <c r="CB11" s="86">
        <v>46721</v>
      </c>
      <c r="CC11" s="86">
        <v>46752</v>
      </c>
      <c r="CD11" s="86">
        <v>46783</v>
      </c>
      <c r="CE11" s="86">
        <v>46812</v>
      </c>
      <c r="CF11" s="86">
        <v>46843</v>
      </c>
      <c r="CG11" s="86">
        <v>46873</v>
      </c>
      <c r="CH11" s="86">
        <v>46904</v>
      </c>
      <c r="CI11" s="86">
        <v>46934</v>
      </c>
      <c r="CJ11" s="86">
        <v>46965</v>
      </c>
      <c r="CK11" s="86">
        <v>46996</v>
      </c>
      <c r="CL11" s="86">
        <v>47026</v>
      </c>
      <c r="CM11" s="86">
        <v>47057</v>
      </c>
      <c r="CN11" s="86">
        <v>47087</v>
      </c>
      <c r="CO11" s="86">
        <v>47118</v>
      </c>
      <c r="CP11" s="86">
        <v>47149</v>
      </c>
      <c r="CQ11" s="86">
        <v>47177</v>
      </c>
      <c r="CR11" s="86">
        <v>47208</v>
      </c>
      <c r="CS11" s="86">
        <v>47238</v>
      </c>
      <c r="CT11" s="86">
        <v>47269</v>
      </c>
      <c r="CU11" s="86">
        <v>47299</v>
      </c>
      <c r="CV11" s="86">
        <v>47330</v>
      </c>
      <c r="CW11" s="86">
        <v>47361</v>
      </c>
      <c r="CX11" s="86">
        <v>47391</v>
      </c>
      <c r="CY11" s="86">
        <v>47422</v>
      </c>
      <c r="CZ11" s="86">
        <v>47452</v>
      </c>
      <c r="DA11" s="86">
        <v>47483</v>
      </c>
      <c r="DB11" s="86">
        <v>47514</v>
      </c>
      <c r="DC11" s="86">
        <v>47542</v>
      </c>
      <c r="DD11" s="86">
        <v>47573</v>
      </c>
      <c r="DE11" s="86">
        <v>47603</v>
      </c>
      <c r="DF11" s="86">
        <v>47634</v>
      </c>
      <c r="DG11" s="86">
        <v>47664</v>
      </c>
      <c r="DH11" s="86">
        <v>47695</v>
      </c>
      <c r="DI11" s="86">
        <v>47726</v>
      </c>
      <c r="DJ11" s="86">
        <v>47756</v>
      </c>
      <c r="DK11" s="86">
        <v>47787</v>
      </c>
      <c r="DL11" s="86">
        <v>47817</v>
      </c>
      <c r="DM11" s="86">
        <v>47848</v>
      </c>
      <c r="DN11" s="86">
        <v>47879</v>
      </c>
      <c r="DO11" s="86">
        <v>47907</v>
      </c>
      <c r="DP11" s="86">
        <v>47938</v>
      </c>
      <c r="DQ11" s="86">
        <v>47968</v>
      </c>
      <c r="DR11" s="86">
        <v>47999</v>
      </c>
      <c r="DS11" s="86">
        <v>48029</v>
      </c>
      <c r="DT11" s="86">
        <v>48060</v>
      </c>
      <c r="DU11" s="86">
        <v>48091</v>
      </c>
      <c r="DV11" s="86">
        <v>48121</v>
      </c>
      <c r="DW11" s="86">
        <v>48152</v>
      </c>
      <c r="DX11" s="86">
        <v>48182</v>
      </c>
      <c r="DY11" s="86">
        <v>48213</v>
      </c>
    </row>
    <row r="13" spans="1:129" s="81" customFormat="1">
      <c r="A13" s="82" t="s">
        <v>127</v>
      </c>
    </row>
    <row r="15" spans="1:129">
      <c r="C15" s="88" t="s">
        <v>129</v>
      </c>
      <c r="I15" s="90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91"/>
      <c r="DL15" s="91"/>
      <c r="DM15" s="91"/>
      <c r="DN15" s="91"/>
      <c r="DO15" s="91"/>
      <c r="DP15" s="91"/>
      <c r="DQ15" s="91"/>
      <c r="DR15" s="91"/>
      <c r="DS15" s="91"/>
      <c r="DT15" s="91"/>
      <c r="DU15" s="91"/>
      <c r="DV15" s="91"/>
      <c r="DW15" s="91"/>
      <c r="DX15" s="91"/>
      <c r="DY15" s="91"/>
    </row>
    <row r="16" spans="1:129">
      <c r="C16" s="93" t="s">
        <v>130</v>
      </c>
      <c r="I16" s="90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DY16" s="91"/>
    </row>
    <row r="17" spans="3:129">
      <c r="E17" t="str" cm="1">
        <f t="array" ref="E17:E21" xml:space="preserve"> INDEX( CaseData!$A$6:$B$10,, 1 )</f>
        <v>Property A</v>
      </c>
      <c r="G17" t="s">
        <v>128</v>
      </c>
      <c r="H17" cm="1">
        <f t="array" ref="H17:H21">_xlfn.BYROW(_xlfn.ANCHORARRAY( J17), _xleta.SUM )</f>
        <v>110375051.62727639</v>
      </c>
      <c r="J17" s="85" cm="1">
        <f t="array" ref="J17:DY21" xml:space="preserve"> _xlfn.LET(
      _xlpm.timeline,_xlfn.ANCHORARRAY(          $J$3),
      _xlpm.inflation_flag,    IF( MONTH( _xlpm.timeline ) = 1, 1, 0  ),
      _xlpm.inflation_data,    CaseData!$J$15:$M$24,
      _xlpm.annual_rate,       _xlfn.XLOOKUP( YEAR( _xlpm.timeline ), INDEX( _xlpm.inflation_data,, 1 ), INDEX( _xlpm.inflation_data,, 2 ) ),
      _xlpm.effective_step,    _xlpm.inflation_flag * _xlpm.annual_rate,
      _xlpm.inflation_factor,  _xlfn.SCAN( 1, _xlpm.effective_step, _xlfn.LAMBDA(_xlpm.prev,_xlpm.step, IF( _xlpm.step = 0, _xlpm.prev, _xlpm.prev * ( 1 + _xlpm.step ) ) ) ),
      _xlpm.property_data,     CaseData!$A$6:$D$10,
      _xlpm.property_rows,     INDEX( _xlpm.property_data, 0, 1 ),
      _xlpm.current_property,  INDEX(_xlfn.ANCHORARRAY( E17),, 1 ),
      _xlpm.vacancy_factor,    1 - INDEX( _xlpm.property_data, MATCH( _xlpm.current_property, _xlpm.property_rows, 0 ), 3 ),
      _xlpm.rent,              INDEX( _xlpm.property_data,, 2 ),
      _xlpm.rent * _xlpm.inflation_factor * _xlpm.vacancy_factor )</f>
        <v>789022.5</v>
      </c>
      <c r="K17" s="85">
        <v>789022.5</v>
      </c>
      <c r="L17" s="85">
        <v>789022.5</v>
      </c>
      <c r="M17" s="85">
        <v>789022.5</v>
      </c>
      <c r="N17" s="85">
        <v>789022.5</v>
      </c>
      <c r="O17" s="85">
        <v>789022.5</v>
      </c>
      <c r="P17" s="85">
        <v>789022.5</v>
      </c>
      <c r="Q17" s="85">
        <v>789022.5</v>
      </c>
      <c r="R17" s="85">
        <v>789022.5</v>
      </c>
      <c r="S17" s="85">
        <v>789022.5</v>
      </c>
      <c r="T17" s="85">
        <v>789022.5</v>
      </c>
      <c r="U17" s="85">
        <v>789022.5</v>
      </c>
      <c r="V17" s="85">
        <v>824528.51249999995</v>
      </c>
      <c r="W17" s="85">
        <v>824528.51249999995</v>
      </c>
      <c r="X17" s="85">
        <v>824528.51249999995</v>
      </c>
      <c r="Y17" s="85">
        <v>824528.51249999995</v>
      </c>
      <c r="Z17" s="85">
        <v>824528.51249999995</v>
      </c>
      <c r="AA17" s="85">
        <v>824528.51249999995</v>
      </c>
      <c r="AB17" s="85">
        <v>824528.51249999995</v>
      </c>
      <c r="AC17" s="85">
        <v>824528.51249999995</v>
      </c>
      <c r="AD17" s="85">
        <v>824528.51249999995</v>
      </c>
      <c r="AE17" s="85">
        <v>824528.51249999995</v>
      </c>
      <c r="AF17" s="85">
        <v>824528.51249999995</v>
      </c>
      <c r="AG17" s="85">
        <v>824528.51249999995</v>
      </c>
      <c r="AH17" s="85">
        <v>857509.65299999993</v>
      </c>
      <c r="AI17" s="85">
        <v>857509.65299999993</v>
      </c>
      <c r="AJ17" s="85">
        <v>857509.65299999993</v>
      </c>
      <c r="AK17" s="85">
        <v>857509.65299999993</v>
      </c>
      <c r="AL17" s="85">
        <v>857509.65299999993</v>
      </c>
      <c r="AM17" s="85">
        <v>857509.65299999993</v>
      </c>
      <c r="AN17" s="85">
        <v>857509.65299999993</v>
      </c>
      <c r="AO17" s="85">
        <v>857509.65299999993</v>
      </c>
      <c r="AP17" s="85">
        <v>857509.65299999993</v>
      </c>
      <c r="AQ17" s="85">
        <v>857509.65299999993</v>
      </c>
      <c r="AR17" s="85">
        <v>857509.65299999993</v>
      </c>
      <c r="AS17" s="85">
        <v>857509.65299999993</v>
      </c>
      <c r="AT17" s="85">
        <v>887522.49085499987</v>
      </c>
      <c r="AU17" s="85">
        <v>887522.49085499987</v>
      </c>
      <c r="AV17" s="85">
        <v>887522.49085499987</v>
      </c>
      <c r="AW17" s="85">
        <v>887522.49085499987</v>
      </c>
      <c r="AX17" s="85">
        <v>887522.49085499987</v>
      </c>
      <c r="AY17" s="85">
        <v>887522.49085499987</v>
      </c>
      <c r="AZ17" s="85">
        <v>887522.49085499987</v>
      </c>
      <c r="BA17" s="85">
        <v>887522.49085499987</v>
      </c>
      <c r="BB17" s="85">
        <v>887522.49085499987</v>
      </c>
      <c r="BC17" s="85">
        <v>887522.49085499987</v>
      </c>
      <c r="BD17" s="85">
        <v>887522.49085499987</v>
      </c>
      <c r="BE17" s="85">
        <v>887522.49085499987</v>
      </c>
      <c r="BF17" s="85">
        <v>914148.16558064998</v>
      </c>
      <c r="BG17" s="85">
        <v>914148.16558064998</v>
      </c>
      <c r="BH17" s="85">
        <v>914148.16558064998</v>
      </c>
      <c r="BI17" s="85">
        <v>914148.16558064998</v>
      </c>
      <c r="BJ17" s="85">
        <v>914148.16558064998</v>
      </c>
      <c r="BK17" s="85">
        <v>914148.16558064998</v>
      </c>
      <c r="BL17" s="85">
        <v>914148.16558064998</v>
      </c>
      <c r="BM17" s="85">
        <v>914148.16558064998</v>
      </c>
      <c r="BN17" s="85">
        <v>914148.16558064998</v>
      </c>
      <c r="BO17" s="85">
        <v>914148.16558064998</v>
      </c>
      <c r="BP17" s="85">
        <v>914148.16558064998</v>
      </c>
      <c r="BQ17" s="85">
        <v>914148.16558064998</v>
      </c>
      <c r="BR17" s="85">
        <v>937001.86972016608</v>
      </c>
      <c r="BS17" s="85">
        <v>937001.86972016608</v>
      </c>
      <c r="BT17" s="85">
        <v>937001.86972016608</v>
      </c>
      <c r="BU17" s="85">
        <v>937001.86972016608</v>
      </c>
      <c r="BV17" s="85">
        <v>937001.86972016608</v>
      </c>
      <c r="BW17" s="85">
        <v>937001.86972016608</v>
      </c>
      <c r="BX17" s="85">
        <v>937001.86972016608</v>
      </c>
      <c r="BY17" s="85">
        <v>937001.86972016608</v>
      </c>
      <c r="BZ17" s="85">
        <v>937001.86972016608</v>
      </c>
      <c r="CA17" s="85">
        <v>937001.86972016608</v>
      </c>
      <c r="CB17" s="85">
        <v>937001.86972016608</v>
      </c>
      <c r="CC17" s="85">
        <v>937001.86972016608</v>
      </c>
      <c r="CD17" s="85">
        <v>960426.91646317008</v>
      </c>
      <c r="CE17" s="85">
        <v>960426.91646317008</v>
      </c>
      <c r="CF17" s="85">
        <v>960426.91646317008</v>
      </c>
      <c r="CG17" s="85">
        <v>960426.91646317008</v>
      </c>
      <c r="CH17" s="85">
        <v>960426.91646317008</v>
      </c>
      <c r="CI17" s="85">
        <v>960426.91646317008</v>
      </c>
      <c r="CJ17" s="85">
        <v>960426.91646317008</v>
      </c>
      <c r="CK17" s="85">
        <v>960426.91646317008</v>
      </c>
      <c r="CL17" s="85">
        <v>960426.91646317008</v>
      </c>
      <c r="CM17" s="85">
        <v>960426.91646317008</v>
      </c>
      <c r="CN17" s="85">
        <v>960426.91646317008</v>
      </c>
      <c r="CO17" s="85">
        <v>960426.91646317008</v>
      </c>
      <c r="CP17" s="85">
        <v>984437.58937474934</v>
      </c>
      <c r="CQ17" s="85">
        <v>984437.58937474934</v>
      </c>
      <c r="CR17" s="85">
        <v>984437.58937474934</v>
      </c>
      <c r="CS17" s="85">
        <v>984437.58937474934</v>
      </c>
      <c r="CT17" s="85">
        <v>984437.58937474934</v>
      </c>
      <c r="CU17" s="85">
        <v>984437.58937474934</v>
      </c>
      <c r="CV17" s="85">
        <v>984437.58937474934</v>
      </c>
      <c r="CW17" s="85">
        <v>984437.58937474934</v>
      </c>
      <c r="CX17" s="85">
        <v>984437.58937474934</v>
      </c>
      <c r="CY17" s="85">
        <v>984437.58937474934</v>
      </c>
      <c r="CZ17" s="85">
        <v>984437.58937474934</v>
      </c>
      <c r="DA17" s="85">
        <v>984437.58937474934</v>
      </c>
      <c r="DB17" s="85">
        <v>1009048.5291091179</v>
      </c>
      <c r="DC17" s="85">
        <v>1009048.5291091179</v>
      </c>
      <c r="DD17" s="85">
        <v>1009048.5291091179</v>
      </c>
      <c r="DE17" s="85">
        <v>1009048.5291091179</v>
      </c>
      <c r="DF17" s="85">
        <v>1009048.5291091179</v>
      </c>
      <c r="DG17" s="85">
        <v>1009048.5291091179</v>
      </c>
      <c r="DH17" s="85">
        <v>1009048.5291091179</v>
      </c>
      <c r="DI17" s="85">
        <v>1009048.5291091179</v>
      </c>
      <c r="DJ17" s="85">
        <v>1009048.5291091179</v>
      </c>
      <c r="DK17" s="85">
        <v>1009048.5291091179</v>
      </c>
      <c r="DL17" s="85">
        <v>1009048.5291091179</v>
      </c>
      <c r="DM17" s="85">
        <v>1009048.5291091179</v>
      </c>
      <c r="DN17" s="85">
        <v>1034274.7423368457</v>
      </c>
      <c r="DO17" s="85">
        <v>1034274.7423368457</v>
      </c>
      <c r="DP17" s="85">
        <v>1034274.7423368457</v>
      </c>
      <c r="DQ17" s="85">
        <v>1034274.7423368457</v>
      </c>
      <c r="DR17" s="85">
        <v>1034274.7423368457</v>
      </c>
      <c r="DS17" s="85">
        <v>1034274.7423368457</v>
      </c>
      <c r="DT17" s="85">
        <v>1034274.7423368457</v>
      </c>
      <c r="DU17" s="85">
        <v>1034274.7423368457</v>
      </c>
      <c r="DV17" s="85">
        <v>1034274.7423368457</v>
      </c>
      <c r="DW17" s="85">
        <v>1034274.7423368457</v>
      </c>
      <c r="DX17" s="85">
        <v>1034274.7423368457</v>
      </c>
      <c r="DY17" s="85">
        <v>1034274.7423368457</v>
      </c>
    </row>
    <row r="18" spans="3:129">
      <c r="E18" t="str">
        <v>Property B</v>
      </c>
      <c r="G18" t="s">
        <v>128</v>
      </c>
      <c r="H18">
        <v>61197234.027531356</v>
      </c>
      <c r="J18" s="85">
        <v>437471.99999999994</v>
      </c>
      <c r="K18" s="85">
        <v>437471.99999999994</v>
      </c>
      <c r="L18" s="85">
        <v>437471.99999999994</v>
      </c>
      <c r="M18" s="85">
        <v>437471.99999999994</v>
      </c>
      <c r="N18" s="85">
        <v>437471.99999999994</v>
      </c>
      <c r="O18" s="85">
        <v>437471.99999999994</v>
      </c>
      <c r="P18" s="85">
        <v>437471.99999999994</v>
      </c>
      <c r="Q18" s="85">
        <v>437471.99999999994</v>
      </c>
      <c r="R18" s="85">
        <v>437471.99999999994</v>
      </c>
      <c r="S18" s="85">
        <v>437471.99999999994</v>
      </c>
      <c r="T18" s="85">
        <v>437471.99999999994</v>
      </c>
      <c r="U18" s="85">
        <v>437471.99999999994</v>
      </c>
      <c r="V18" s="85">
        <v>457158.24</v>
      </c>
      <c r="W18" s="85">
        <v>457158.24</v>
      </c>
      <c r="X18" s="85">
        <v>457158.24</v>
      </c>
      <c r="Y18" s="85">
        <v>457158.24</v>
      </c>
      <c r="Z18" s="85">
        <v>457158.24</v>
      </c>
      <c r="AA18" s="85">
        <v>457158.24</v>
      </c>
      <c r="AB18" s="85">
        <v>457158.24</v>
      </c>
      <c r="AC18" s="85">
        <v>457158.24</v>
      </c>
      <c r="AD18" s="85">
        <v>457158.24</v>
      </c>
      <c r="AE18" s="85">
        <v>457158.24</v>
      </c>
      <c r="AF18" s="85">
        <v>457158.24</v>
      </c>
      <c r="AG18" s="85">
        <v>457158.24</v>
      </c>
      <c r="AH18" s="85">
        <v>475444.56959999999</v>
      </c>
      <c r="AI18" s="85">
        <v>475444.56959999999</v>
      </c>
      <c r="AJ18" s="85">
        <v>475444.56959999999</v>
      </c>
      <c r="AK18" s="85">
        <v>475444.56959999999</v>
      </c>
      <c r="AL18" s="85">
        <v>475444.56959999999</v>
      </c>
      <c r="AM18" s="85">
        <v>475444.56959999999</v>
      </c>
      <c r="AN18" s="85">
        <v>475444.56959999999</v>
      </c>
      <c r="AO18" s="85">
        <v>475444.56959999999</v>
      </c>
      <c r="AP18" s="85">
        <v>475444.56959999999</v>
      </c>
      <c r="AQ18" s="85">
        <v>475444.56959999999</v>
      </c>
      <c r="AR18" s="85">
        <v>475444.56959999999</v>
      </c>
      <c r="AS18" s="85">
        <v>475444.56959999999</v>
      </c>
      <c r="AT18" s="85">
        <v>492085.12953599991</v>
      </c>
      <c r="AU18" s="85">
        <v>492085.12953599991</v>
      </c>
      <c r="AV18" s="85">
        <v>492085.12953599991</v>
      </c>
      <c r="AW18" s="85">
        <v>492085.12953599991</v>
      </c>
      <c r="AX18" s="85">
        <v>492085.12953599991</v>
      </c>
      <c r="AY18" s="85">
        <v>492085.12953599991</v>
      </c>
      <c r="AZ18" s="85">
        <v>492085.12953599991</v>
      </c>
      <c r="BA18" s="85">
        <v>492085.12953599991</v>
      </c>
      <c r="BB18" s="85">
        <v>492085.12953599991</v>
      </c>
      <c r="BC18" s="85">
        <v>492085.12953599991</v>
      </c>
      <c r="BD18" s="85">
        <v>492085.12953599991</v>
      </c>
      <c r="BE18" s="85">
        <v>492085.12953599991</v>
      </c>
      <c r="BF18" s="85">
        <v>506847.68342208001</v>
      </c>
      <c r="BG18" s="85">
        <v>506847.68342208001</v>
      </c>
      <c r="BH18" s="85">
        <v>506847.68342208001</v>
      </c>
      <c r="BI18" s="85">
        <v>506847.68342208001</v>
      </c>
      <c r="BJ18" s="85">
        <v>506847.68342208001</v>
      </c>
      <c r="BK18" s="85">
        <v>506847.68342208001</v>
      </c>
      <c r="BL18" s="85">
        <v>506847.68342208001</v>
      </c>
      <c r="BM18" s="85">
        <v>506847.68342208001</v>
      </c>
      <c r="BN18" s="85">
        <v>506847.68342208001</v>
      </c>
      <c r="BO18" s="85">
        <v>506847.68342208001</v>
      </c>
      <c r="BP18" s="85">
        <v>506847.68342208001</v>
      </c>
      <c r="BQ18" s="85">
        <v>506847.68342208001</v>
      </c>
      <c r="BR18" s="85">
        <v>519518.87550763186</v>
      </c>
      <c r="BS18" s="85">
        <v>519518.87550763186</v>
      </c>
      <c r="BT18" s="85">
        <v>519518.87550763186</v>
      </c>
      <c r="BU18" s="85">
        <v>519518.87550763186</v>
      </c>
      <c r="BV18" s="85">
        <v>519518.87550763186</v>
      </c>
      <c r="BW18" s="85">
        <v>519518.87550763186</v>
      </c>
      <c r="BX18" s="85">
        <v>519518.87550763186</v>
      </c>
      <c r="BY18" s="85">
        <v>519518.87550763186</v>
      </c>
      <c r="BZ18" s="85">
        <v>519518.87550763186</v>
      </c>
      <c r="CA18" s="85">
        <v>519518.87550763186</v>
      </c>
      <c r="CB18" s="85">
        <v>519518.87550763186</v>
      </c>
      <c r="CC18" s="85">
        <v>519518.87550763186</v>
      </c>
      <c r="CD18" s="85">
        <v>532506.84739532263</v>
      </c>
      <c r="CE18" s="85">
        <v>532506.84739532263</v>
      </c>
      <c r="CF18" s="85">
        <v>532506.84739532263</v>
      </c>
      <c r="CG18" s="85">
        <v>532506.84739532263</v>
      </c>
      <c r="CH18" s="85">
        <v>532506.84739532263</v>
      </c>
      <c r="CI18" s="85">
        <v>532506.84739532263</v>
      </c>
      <c r="CJ18" s="85">
        <v>532506.84739532263</v>
      </c>
      <c r="CK18" s="85">
        <v>532506.84739532263</v>
      </c>
      <c r="CL18" s="85">
        <v>532506.84739532263</v>
      </c>
      <c r="CM18" s="85">
        <v>532506.84739532263</v>
      </c>
      <c r="CN18" s="85">
        <v>532506.84739532263</v>
      </c>
      <c r="CO18" s="85">
        <v>532506.84739532263</v>
      </c>
      <c r="CP18" s="85">
        <v>545819.51858020574</v>
      </c>
      <c r="CQ18" s="85">
        <v>545819.51858020574</v>
      </c>
      <c r="CR18" s="85">
        <v>545819.51858020574</v>
      </c>
      <c r="CS18" s="85">
        <v>545819.51858020574</v>
      </c>
      <c r="CT18" s="85">
        <v>545819.51858020574</v>
      </c>
      <c r="CU18" s="85">
        <v>545819.51858020574</v>
      </c>
      <c r="CV18" s="85">
        <v>545819.51858020574</v>
      </c>
      <c r="CW18" s="85">
        <v>545819.51858020574</v>
      </c>
      <c r="CX18" s="85">
        <v>545819.51858020574</v>
      </c>
      <c r="CY18" s="85">
        <v>545819.51858020574</v>
      </c>
      <c r="CZ18" s="85">
        <v>545819.51858020574</v>
      </c>
      <c r="DA18" s="85">
        <v>545819.51858020574</v>
      </c>
      <c r="DB18" s="85">
        <v>559465.00654471072</v>
      </c>
      <c r="DC18" s="85">
        <v>559465.00654471072</v>
      </c>
      <c r="DD18" s="85">
        <v>559465.00654471072</v>
      </c>
      <c r="DE18" s="85">
        <v>559465.00654471072</v>
      </c>
      <c r="DF18" s="85">
        <v>559465.00654471072</v>
      </c>
      <c r="DG18" s="85">
        <v>559465.00654471072</v>
      </c>
      <c r="DH18" s="85">
        <v>559465.00654471072</v>
      </c>
      <c r="DI18" s="85">
        <v>559465.00654471072</v>
      </c>
      <c r="DJ18" s="85">
        <v>559465.00654471072</v>
      </c>
      <c r="DK18" s="85">
        <v>559465.00654471072</v>
      </c>
      <c r="DL18" s="85">
        <v>559465.00654471072</v>
      </c>
      <c r="DM18" s="85">
        <v>559465.00654471072</v>
      </c>
      <c r="DN18" s="85">
        <v>573451.63170832838</v>
      </c>
      <c r="DO18" s="85">
        <v>573451.63170832838</v>
      </c>
      <c r="DP18" s="85">
        <v>573451.63170832838</v>
      </c>
      <c r="DQ18" s="85">
        <v>573451.63170832838</v>
      </c>
      <c r="DR18" s="85">
        <v>573451.63170832838</v>
      </c>
      <c r="DS18" s="85">
        <v>573451.63170832838</v>
      </c>
      <c r="DT18" s="85">
        <v>573451.63170832838</v>
      </c>
      <c r="DU18" s="85">
        <v>573451.63170832838</v>
      </c>
      <c r="DV18" s="85">
        <v>573451.63170832838</v>
      </c>
      <c r="DW18" s="85">
        <v>573451.63170832838</v>
      </c>
      <c r="DX18" s="85">
        <v>573451.63170832838</v>
      </c>
      <c r="DY18" s="85">
        <v>573451.63170832838</v>
      </c>
    </row>
    <row r="19" spans="3:129">
      <c r="E19" t="str">
        <v>Property C</v>
      </c>
      <c r="G19" t="s">
        <v>128</v>
      </c>
      <c r="H19">
        <v>94715880.353094473</v>
      </c>
      <c r="J19" s="85">
        <v>677082</v>
      </c>
      <c r="K19" s="85">
        <v>677082</v>
      </c>
      <c r="L19" s="85">
        <v>677082</v>
      </c>
      <c r="M19" s="85">
        <v>677082</v>
      </c>
      <c r="N19" s="85">
        <v>677082</v>
      </c>
      <c r="O19" s="85">
        <v>677082</v>
      </c>
      <c r="P19" s="85">
        <v>677082</v>
      </c>
      <c r="Q19" s="85">
        <v>677082</v>
      </c>
      <c r="R19" s="85">
        <v>677082</v>
      </c>
      <c r="S19" s="85">
        <v>677082</v>
      </c>
      <c r="T19" s="85">
        <v>677082</v>
      </c>
      <c r="U19" s="85">
        <v>677082</v>
      </c>
      <c r="V19" s="85">
        <v>707550.69</v>
      </c>
      <c r="W19" s="85">
        <v>707550.69</v>
      </c>
      <c r="X19" s="85">
        <v>707550.69</v>
      </c>
      <c r="Y19" s="85">
        <v>707550.69</v>
      </c>
      <c r="Z19" s="85">
        <v>707550.69</v>
      </c>
      <c r="AA19" s="85">
        <v>707550.69</v>
      </c>
      <c r="AB19" s="85">
        <v>707550.69</v>
      </c>
      <c r="AC19" s="85">
        <v>707550.69</v>
      </c>
      <c r="AD19" s="85">
        <v>707550.69</v>
      </c>
      <c r="AE19" s="85">
        <v>707550.69</v>
      </c>
      <c r="AF19" s="85">
        <v>707550.69</v>
      </c>
      <c r="AG19" s="85">
        <v>707550.69</v>
      </c>
      <c r="AH19" s="85">
        <v>735852.71759999997</v>
      </c>
      <c r="AI19" s="85">
        <v>735852.71759999997</v>
      </c>
      <c r="AJ19" s="85">
        <v>735852.71759999997</v>
      </c>
      <c r="AK19" s="85">
        <v>735852.71759999997</v>
      </c>
      <c r="AL19" s="85">
        <v>735852.71759999997</v>
      </c>
      <c r="AM19" s="85">
        <v>735852.71759999997</v>
      </c>
      <c r="AN19" s="85">
        <v>735852.71759999997</v>
      </c>
      <c r="AO19" s="85">
        <v>735852.71759999997</v>
      </c>
      <c r="AP19" s="85">
        <v>735852.71759999997</v>
      </c>
      <c r="AQ19" s="85">
        <v>735852.71759999997</v>
      </c>
      <c r="AR19" s="85">
        <v>735852.71759999997</v>
      </c>
      <c r="AS19" s="85">
        <v>735852.71759999997</v>
      </c>
      <c r="AT19" s="85">
        <v>761607.5627159999</v>
      </c>
      <c r="AU19" s="85">
        <v>761607.5627159999</v>
      </c>
      <c r="AV19" s="85">
        <v>761607.5627159999</v>
      </c>
      <c r="AW19" s="85">
        <v>761607.5627159999</v>
      </c>
      <c r="AX19" s="85">
        <v>761607.5627159999</v>
      </c>
      <c r="AY19" s="85">
        <v>761607.5627159999</v>
      </c>
      <c r="AZ19" s="85">
        <v>761607.5627159999</v>
      </c>
      <c r="BA19" s="85">
        <v>761607.5627159999</v>
      </c>
      <c r="BB19" s="85">
        <v>761607.5627159999</v>
      </c>
      <c r="BC19" s="85">
        <v>761607.5627159999</v>
      </c>
      <c r="BD19" s="85">
        <v>761607.5627159999</v>
      </c>
      <c r="BE19" s="85">
        <v>761607.5627159999</v>
      </c>
      <c r="BF19" s="85">
        <v>784455.78959747998</v>
      </c>
      <c r="BG19" s="85">
        <v>784455.78959747998</v>
      </c>
      <c r="BH19" s="85">
        <v>784455.78959747998</v>
      </c>
      <c r="BI19" s="85">
        <v>784455.78959747998</v>
      </c>
      <c r="BJ19" s="85">
        <v>784455.78959747998</v>
      </c>
      <c r="BK19" s="85">
        <v>784455.78959747998</v>
      </c>
      <c r="BL19" s="85">
        <v>784455.78959747998</v>
      </c>
      <c r="BM19" s="85">
        <v>784455.78959747998</v>
      </c>
      <c r="BN19" s="85">
        <v>784455.78959747998</v>
      </c>
      <c r="BO19" s="85">
        <v>784455.78959747998</v>
      </c>
      <c r="BP19" s="85">
        <v>784455.78959747998</v>
      </c>
      <c r="BQ19" s="85">
        <v>784455.78959747998</v>
      </c>
      <c r="BR19" s="85">
        <v>804067.18433741678</v>
      </c>
      <c r="BS19" s="85">
        <v>804067.18433741678</v>
      </c>
      <c r="BT19" s="85">
        <v>804067.18433741678</v>
      </c>
      <c r="BU19" s="85">
        <v>804067.18433741678</v>
      </c>
      <c r="BV19" s="85">
        <v>804067.18433741678</v>
      </c>
      <c r="BW19" s="85">
        <v>804067.18433741678</v>
      </c>
      <c r="BX19" s="85">
        <v>804067.18433741678</v>
      </c>
      <c r="BY19" s="85">
        <v>804067.18433741678</v>
      </c>
      <c r="BZ19" s="85">
        <v>804067.18433741678</v>
      </c>
      <c r="CA19" s="85">
        <v>804067.18433741678</v>
      </c>
      <c r="CB19" s="85">
        <v>804067.18433741678</v>
      </c>
      <c r="CC19" s="85">
        <v>804067.18433741678</v>
      </c>
      <c r="CD19" s="85">
        <v>824168.86394585215</v>
      </c>
      <c r="CE19" s="85">
        <v>824168.86394585215</v>
      </c>
      <c r="CF19" s="85">
        <v>824168.86394585215</v>
      </c>
      <c r="CG19" s="85">
        <v>824168.86394585215</v>
      </c>
      <c r="CH19" s="85">
        <v>824168.86394585215</v>
      </c>
      <c r="CI19" s="85">
        <v>824168.86394585215</v>
      </c>
      <c r="CJ19" s="85">
        <v>824168.86394585215</v>
      </c>
      <c r="CK19" s="85">
        <v>824168.86394585215</v>
      </c>
      <c r="CL19" s="85">
        <v>824168.86394585215</v>
      </c>
      <c r="CM19" s="85">
        <v>824168.86394585215</v>
      </c>
      <c r="CN19" s="85">
        <v>824168.86394585215</v>
      </c>
      <c r="CO19" s="85">
        <v>824168.86394585215</v>
      </c>
      <c r="CP19" s="85">
        <v>844773.0855444984</v>
      </c>
      <c r="CQ19" s="85">
        <v>844773.0855444984</v>
      </c>
      <c r="CR19" s="85">
        <v>844773.0855444984</v>
      </c>
      <c r="CS19" s="85">
        <v>844773.0855444984</v>
      </c>
      <c r="CT19" s="85">
        <v>844773.0855444984</v>
      </c>
      <c r="CU19" s="85">
        <v>844773.0855444984</v>
      </c>
      <c r="CV19" s="85">
        <v>844773.0855444984</v>
      </c>
      <c r="CW19" s="85">
        <v>844773.0855444984</v>
      </c>
      <c r="CX19" s="85">
        <v>844773.0855444984</v>
      </c>
      <c r="CY19" s="85">
        <v>844773.0855444984</v>
      </c>
      <c r="CZ19" s="85">
        <v>844773.0855444984</v>
      </c>
      <c r="DA19" s="85">
        <v>844773.0855444984</v>
      </c>
      <c r="DB19" s="85">
        <v>865892.4126831108</v>
      </c>
      <c r="DC19" s="85">
        <v>865892.4126831108</v>
      </c>
      <c r="DD19" s="85">
        <v>865892.4126831108</v>
      </c>
      <c r="DE19" s="85">
        <v>865892.4126831108</v>
      </c>
      <c r="DF19" s="85">
        <v>865892.4126831108</v>
      </c>
      <c r="DG19" s="85">
        <v>865892.4126831108</v>
      </c>
      <c r="DH19" s="85">
        <v>865892.4126831108</v>
      </c>
      <c r="DI19" s="85">
        <v>865892.4126831108</v>
      </c>
      <c r="DJ19" s="85">
        <v>865892.4126831108</v>
      </c>
      <c r="DK19" s="85">
        <v>865892.4126831108</v>
      </c>
      <c r="DL19" s="85">
        <v>865892.4126831108</v>
      </c>
      <c r="DM19" s="85">
        <v>865892.4126831108</v>
      </c>
      <c r="DN19" s="85">
        <v>887539.72300018847</v>
      </c>
      <c r="DO19" s="85">
        <v>887539.72300018847</v>
      </c>
      <c r="DP19" s="85">
        <v>887539.72300018847</v>
      </c>
      <c r="DQ19" s="85">
        <v>887539.72300018847</v>
      </c>
      <c r="DR19" s="85">
        <v>887539.72300018847</v>
      </c>
      <c r="DS19" s="85">
        <v>887539.72300018847</v>
      </c>
      <c r="DT19" s="85">
        <v>887539.72300018847</v>
      </c>
      <c r="DU19" s="85">
        <v>887539.72300018847</v>
      </c>
      <c r="DV19" s="85">
        <v>887539.72300018847</v>
      </c>
      <c r="DW19" s="85">
        <v>887539.72300018847</v>
      </c>
      <c r="DX19" s="85">
        <v>887539.72300018847</v>
      </c>
      <c r="DY19" s="85">
        <v>887539.72300018847</v>
      </c>
    </row>
    <row r="20" spans="3:129">
      <c r="E20" t="str">
        <v>Property D</v>
      </c>
      <c r="G20" t="s">
        <v>128</v>
      </c>
      <c r="H20">
        <v>104063499.33713856</v>
      </c>
      <c r="J20" s="85">
        <v>743904</v>
      </c>
      <c r="K20" s="85">
        <v>743904</v>
      </c>
      <c r="L20" s="85">
        <v>743904</v>
      </c>
      <c r="M20" s="85">
        <v>743904</v>
      </c>
      <c r="N20" s="85">
        <v>743904</v>
      </c>
      <c r="O20" s="85">
        <v>743904</v>
      </c>
      <c r="P20" s="85">
        <v>743904</v>
      </c>
      <c r="Q20" s="85">
        <v>743904</v>
      </c>
      <c r="R20" s="85">
        <v>743904</v>
      </c>
      <c r="S20" s="85">
        <v>743904</v>
      </c>
      <c r="T20" s="85">
        <v>743904</v>
      </c>
      <c r="U20" s="85">
        <v>743904</v>
      </c>
      <c r="V20" s="85">
        <v>777379.67999999993</v>
      </c>
      <c r="W20" s="85">
        <v>777379.67999999993</v>
      </c>
      <c r="X20" s="85">
        <v>777379.67999999993</v>
      </c>
      <c r="Y20" s="85">
        <v>777379.67999999993</v>
      </c>
      <c r="Z20" s="85">
        <v>777379.67999999993</v>
      </c>
      <c r="AA20" s="85">
        <v>777379.67999999993</v>
      </c>
      <c r="AB20" s="85">
        <v>777379.67999999993</v>
      </c>
      <c r="AC20" s="85">
        <v>777379.67999999993</v>
      </c>
      <c r="AD20" s="85">
        <v>777379.67999999993</v>
      </c>
      <c r="AE20" s="85">
        <v>777379.67999999993</v>
      </c>
      <c r="AF20" s="85">
        <v>777379.67999999993</v>
      </c>
      <c r="AG20" s="85">
        <v>777379.67999999993</v>
      </c>
      <c r="AH20" s="85">
        <v>808474.86719999998</v>
      </c>
      <c r="AI20" s="85">
        <v>808474.86719999998</v>
      </c>
      <c r="AJ20" s="85">
        <v>808474.86719999998</v>
      </c>
      <c r="AK20" s="85">
        <v>808474.86719999998</v>
      </c>
      <c r="AL20" s="85">
        <v>808474.86719999998</v>
      </c>
      <c r="AM20" s="85">
        <v>808474.86719999998</v>
      </c>
      <c r="AN20" s="85">
        <v>808474.86719999998</v>
      </c>
      <c r="AO20" s="85">
        <v>808474.86719999998</v>
      </c>
      <c r="AP20" s="85">
        <v>808474.86719999998</v>
      </c>
      <c r="AQ20" s="85">
        <v>808474.86719999998</v>
      </c>
      <c r="AR20" s="85">
        <v>808474.86719999998</v>
      </c>
      <c r="AS20" s="85">
        <v>808474.86719999998</v>
      </c>
      <c r="AT20" s="85">
        <v>836771.48755199986</v>
      </c>
      <c r="AU20" s="85">
        <v>836771.48755199986</v>
      </c>
      <c r="AV20" s="85">
        <v>836771.48755199986</v>
      </c>
      <c r="AW20" s="85">
        <v>836771.48755199986</v>
      </c>
      <c r="AX20" s="85">
        <v>836771.48755199986</v>
      </c>
      <c r="AY20" s="85">
        <v>836771.48755199986</v>
      </c>
      <c r="AZ20" s="85">
        <v>836771.48755199986</v>
      </c>
      <c r="BA20" s="85">
        <v>836771.48755199986</v>
      </c>
      <c r="BB20" s="85">
        <v>836771.48755199986</v>
      </c>
      <c r="BC20" s="85">
        <v>836771.48755199986</v>
      </c>
      <c r="BD20" s="85">
        <v>836771.48755199986</v>
      </c>
      <c r="BE20" s="85">
        <v>836771.48755199986</v>
      </c>
      <c r="BF20" s="85">
        <v>861874.6321785599</v>
      </c>
      <c r="BG20" s="85">
        <v>861874.6321785599</v>
      </c>
      <c r="BH20" s="85">
        <v>861874.6321785599</v>
      </c>
      <c r="BI20" s="85">
        <v>861874.6321785599</v>
      </c>
      <c r="BJ20" s="85">
        <v>861874.6321785599</v>
      </c>
      <c r="BK20" s="85">
        <v>861874.6321785599</v>
      </c>
      <c r="BL20" s="85">
        <v>861874.6321785599</v>
      </c>
      <c r="BM20" s="85">
        <v>861874.6321785599</v>
      </c>
      <c r="BN20" s="85">
        <v>861874.6321785599</v>
      </c>
      <c r="BO20" s="85">
        <v>861874.6321785599</v>
      </c>
      <c r="BP20" s="85">
        <v>861874.6321785599</v>
      </c>
      <c r="BQ20" s="85">
        <v>861874.6321785599</v>
      </c>
      <c r="BR20" s="85">
        <v>883421.49798302376</v>
      </c>
      <c r="BS20" s="85">
        <v>883421.49798302376</v>
      </c>
      <c r="BT20" s="85">
        <v>883421.49798302376</v>
      </c>
      <c r="BU20" s="85">
        <v>883421.49798302376</v>
      </c>
      <c r="BV20" s="85">
        <v>883421.49798302376</v>
      </c>
      <c r="BW20" s="85">
        <v>883421.49798302376</v>
      </c>
      <c r="BX20" s="85">
        <v>883421.49798302376</v>
      </c>
      <c r="BY20" s="85">
        <v>883421.49798302376</v>
      </c>
      <c r="BZ20" s="85">
        <v>883421.49798302376</v>
      </c>
      <c r="CA20" s="85">
        <v>883421.49798302376</v>
      </c>
      <c r="CB20" s="85">
        <v>883421.49798302376</v>
      </c>
      <c r="CC20" s="85">
        <v>883421.49798302376</v>
      </c>
      <c r="CD20" s="85">
        <v>905507.03543259937</v>
      </c>
      <c r="CE20" s="85">
        <v>905507.03543259937</v>
      </c>
      <c r="CF20" s="85">
        <v>905507.03543259937</v>
      </c>
      <c r="CG20" s="85">
        <v>905507.03543259937</v>
      </c>
      <c r="CH20" s="85">
        <v>905507.03543259937</v>
      </c>
      <c r="CI20" s="85">
        <v>905507.03543259937</v>
      </c>
      <c r="CJ20" s="85">
        <v>905507.03543259937</v>
      </c>
      <c r="CK20" s="85">
        <v>905507.03543259937</v>
      </c>
      <c r="CL20" s="85">
        <v>905507.03543259937</v>
      </c>
      <c r="CM20" s="85">
        <v>905507.03543259937</v>
      </c>
      <c r="CN20" s="85">
        <v>905507.03543259937</v>
      </c>
      <c r="CO20" s="85">
        <v>905507.03543259937</v>
      </c>
      <c r="CP20" s="85">
        <v>928144.71131841431</v>
      </c>
      <c r="CQ20" s="85">
        <v>928144.71131841431</v>
      </c>
      <c r="CR20" s="85">
        <v>928144.71131841431</v>
      </c>
      <c r="CS20" s="85">
        <v>928144.71131841431</v>
      </c>
      <c r="CT20" s="85">
        <v>928144.71131841431</v>
      </c>
      <c r="CU20" s="85">
        <v>928144.71131841431</v>
      </c>
      <c r="CV20" s="85">
        <v>928144.71131841431</v>
      </c>
      <c r="CW20" s="85">
        <v>928144.71131841431</v>
      </c>
      <c r="CX20" s="85">
        <v>928144.71131841431</v>
      </c>
      <c r="CY20" s="85">
        <v>928144.71131841431</v>
      </c>
      <c r="CZ20" s="85">
        <v>928144.71131841431</v>
      </c>
      <c r="DA20" s="85">
        <v>928144.71131841431</v>
      </c>
      <c r="DB20" s="85">
        <v>951348.32910137461</v>
      </c>
      <c r="DC20" s="85">
        <v>951348.32910137461</v>
      </c>
      <c r="DD20" s="85">
        <v>951348.32910137461</v>
      </c>
      <c r="DE20" s="85">
        <v>951348.32910137461</v>
      </c>
      <c r="DF20" s="85">
        <v>951348.32910137461</v>
      </c>
      <c r="DG20" s="85">
        <v>951348.32910137461</v>
      </c>
      <c r="DH20" s="85">
        <v>951348.32910137461</v>
      </c>
      <c r="DI20" s="85">
        <v>951348.32910137461</v>
      </c>
      <c r="DJ20" s="85">
        <v>951348.32910137461</v>
      </c>
      <c r="DK20" s="85">
        <v>951348.32910137461</v>
      </c>
      <c r="DL20" s="85">
        <v>951348.32910137461</v>
      </c>
      <c r="DM20" s="85">
        <v>951348.32910137461</v>
      </c>
      <c r="DN20" s="85">
        <v>975132.0373289088</v>
      </c>
      <c r="DO20" s="85">
        <v>975132.0373289088</v>
      </c>
      <c r="DP20" s="85">
        <v>975132.0373289088</v>
      </c>
      <c r="DQ20" s="85">
        <v>975132.0373289088</v>
      </c>
      <c r="DR20" s="85">
        <v>975132.0373289088</v>
      </c>
      <c r="DS20" s="85">
        <v>975132.0373289088</v>
      </c>
      <c r="DT20" s="85">
        <v>975132.0373289088</v>
      </c>
      <c r="DU20" s="85">
        <v>975132.0373289088</v>
      </c>
      <c r="DV20" s="85">
        <v>975132.0373289088</v>
      </c>
      <c r="DW20" s="85">
        <v>975132.0373289088</v>
      </c>
      <c r="DX20" s="85">
        <v>975132.0373289088</v>
      </c>
      <c r="DY20" s="85">
        <v>975132.0373289088</v>
      </c>
    </row>
    <row r="21" spans="3:129">
      <c r="E21" t="str">
        <v>Property E</v>
      </c>
      <c r="G21" t="s">
        <v>128</v>
      </c>
      <c r="H21">
        <v>78789382.45177643</v>
      </c>
      <c r="J21" s="85">
        <v>563230.5</v>
      </c>
      <c r="K21" s="85">
        <v>563230.5</v>
      </c>
      <c r="L21" s="85">
        <v>563230.5</v>
      </c>
      <c r="M21" s="85">
        <v>563230.5</v>
      </c>
      <c r="N21" s="85">
        <v>563230.5</v>
      </c>
      <c r="O21" s="85">
        <v>563230.5</v>
      </c>
      <c r="P21" s="85">
        <v>563230.5</v>
      </c>
      <c r="Q21" s="85">
        <v>563230.5</v>
      </c>
      <c r="R21" s="85">
        <v>563230.5</v>
      </c>
      <c r="S21" s="85">
        <v>563230.5</v>
      </c>
      <c r="T21" s="85">
        <v>563230.5</v>
      </c>
      <c r="U21" s="85">
        <v>563230.5</v>
      </c>
      <c r="V21" s="85">
        <v>588575.87249999994</v>
      </c>
      <c r="W21" s="85">
        <v>588575.87249999994</v>
      </c>
      <c r="X21" s="85">
        <v>588575.87249999994</v>
      </c>
      <c r="Y21" s="85">
        <v>588575.87249999994</v>
      </c>
      <c r="Z21" s="85">
        <v>588575.87249999994</v>
      </c>
      <c r="AA21" s="85">
        <v>588575.87249999994</v>
      </c>
      <c r="AB21" s="85">
        <v>588575.87249999994</v>
      </c>
      <c r="AC21" s="85">
        <v>588575.87249999994</v>
      </c>
      <c r="AD21" s="85">
        <v>588575.87249999994</v>
      </c>
      <c r="AE21" s="85">
        <v>588575.87249999994</v>
      </c>
      <c r="AF21" s="85">
        <v>588575.87249999994</v>
      </c>
      <c r="AG21" s="85">
        <v>588575.87249999994</v>
      </c>
      <c r="AH21" s="85">
        <v>612118.90740000003</v>
      </c>
      <c r="AI21" s="85">
        <v>612118.90740000003</v>
      </c>
      <c r="AJ21" s="85">
        <v>612118.90740000003</v>
      </c>
      <c r="AK21" s="85">
        <v>612118.90740000003</v>
      </c>
      <c r="AL21" s="85">
        <v>612118.90740000003</v>
      </c>
      <c r="AM21" s="85">
        <v>612118.90740000003</v>
      </c>
      <c r="AN21" s="85">
        <v>612118.90740000003</v>
      </c>
      <c r="AO21" s="85">
        <v>612118.90740000003</v>
      </c>
      <c r="AP21" s="85">
        <v>612118.90740000003</v>
      </c>
      <c r="AQ21" s="85">
        <v>612118.90740000003</v>
      </c>
      <c r="AR21" s="85">
        <v>612118.90740000003</v>
      </c>
      <c r="AS21" s="85">
        <v>612118.90740000003</v>
      </c>
      <c r="AT21" s="85">
        <v>633543.06915899983</v>
      </c>
      <c r="AU21" s="85">
        <v>633543.06915899983</v>
      </c>
      <c r="AV21" s="85">
        <v>633543.06915899983</v>
      </c>
      <c r="AW21" s="85">
        <v>633543.06915899983</v>
      </c>
      <c r="AX21" s="85">
        <v>633543.06915899983</v>
      </c>
      <c r="AY21" s="85">
        <v>633543.06915899983</v>
      </c>
      <c r="AZ21" s="85">
        <v>633543.06915899983</v>
      </c>
      <c r="BA21" s="85">
        <v>633543.06915899983</v>
      </c>
      <c r="BB21" s="85">
        <v>633543.06915899983</v>
      </c>
      <c r="BC21" s="85">
        <v>633543.06915899983</v>
      </c>
      <c r="BD21" s="85">
        <v>633543.06915899983</v>
      </c>
      <c r="BE21" s="85">
        <v>633543.06915899983</v>
      </c>
      <c r="BF21" s="85">
        <v>652549.36123377003</v>
      </c>
      <c r="BG21" s="85">
        <v>652549.36123377003</v>
      </c>
      <c r="BH21" s="85">
        <v>652549.36123377003</v>
      </c>
      <c r="BI21" s="85">
        <v>652549.36123377003</v>
      </c>
      <c r="BJ21" s="85">
        <v>652549.36123377003</v>
      </c>
      <c r="BK21" s="85">
        <v>652549.36123377003</v>
      </c>
      <c r="BL21" s="85">
        <v>652549.36123377003</v>
      </c>
      <c r="BM21" s="85">
        <v>652549.36123377003</v>
      </c>
      <c r="BN21" s="85">
        <v>652549.36123377003</v>
      </c>
      <c r="BO21" s="85">
        <v>652549.36123377003</v>
      </c>
      <c r="BP21" s="85">
        <v>652549.36123377003</v>
      </c>
      <c r="BQ21" s="85">
        <v>652549.36123377003</v>
      </c>
      <c r="BR21" s="85">
        <v>668863.09526461421</v>
      </c>
      <c r="BS21" s="85">
        <v>668863.09526461421</v>
      </c>
      <c r="BT21" s="85">
        <v>668863.09526461421</v>
      </c>
      <c r="BU21" s="85">
        <v>668863.09526461421</v>
      </c>
      <c r="BV21" s="85">
        <v>668863.09526461421</v>
      </c>
      <c r="BW21" s="85">
        <v>668863.09526461421</v>
      </c>
      <c r="BX21" s="85">
        <v>668863.09526461421</v>
      </c>
      <c r="BY21" s="85">
        <v>668863.09526461421</v>
      </c>
      <c r="BZ21" s="85">
        <v>668863.09526461421</v>
      </c>
      <c r="CA21" s="85">
        <v>668863.09526461421</v>
      </c>
      <c r="CB21" s="85">
        <v>668863.09526461421</v>
      </c>
      <c r="CC21" s="85">
        <v>668863.09526461421</v>
      </c>
      <c r="CD21" s="85">
        <v>685584.67264622939</v>
      </c>
      <c r="CE21" s="85">
        <v>685584.67264622939</v>
      </c>
      <c r="CF21" s="85">
        <v>685584.67264622939</v>
      </c>
      <c r="CG21" s="85">
        <v>685584.67264622939</v>
      </c>
      <c r="CH21" s="85">
        <v>685584.67264622939</v>
      </c>
      <c r="CI21" s="85">
        <v>685584.67264622939</v>
      </c>
      <c r="CJ21" s="85">
        <v>685584.67264622939</v>
      </c>
      <c r="CK21" s="85">
        <v>685584.67264622939</v>
      </c>
      <c r="CL21" s="85">
        <v>685584.67264622939</v>
      </c>
      <c r="CM21" s="85">
        <v>685584.67264622939</v>
      </c>
      <c r="CN21" s="85">
        <v>685584.67264622939</v>
      </c>
      <c r="CO21" s="85">
        <v>685584.67264622939</v>
      </c>
      <c r="CP21" s="85">
        <v>702724.28946238512</v>
      </c>
      <c r="CQ21" s="85">
        <v>702724.28946238512</v>
      </c>
      <c r="CR21" s="85">
        <v>702724.28946238512</v>
      </c>
      <c r="CS21" s="85">
        <v>702724.28946238512</v>
      </c>
      <c r="CT21" s="85">
        <v>702724.28946238512</v>
      </c>
      <c r="CU21" s="85">
        <v>702724.28946238512</v>
      </c>
      <c r="CV21" s="85">
        <v>702724.28946238512</v>
      </c>
      <c r="CW21" s="85">
        <v>702724.28946238512</v>
      </c>
      <c r="CX21" s="85">
        <v>702724.28946238512</v>
      </c>
      <c r="CY21" s="85">
        <v>702724.28946238512</v>
      </c>
      <c r="CZ21" s="85">
        <v>702724.28946238512</v>
      </c>
      <c r="DA21" s="85">
        <v>702724.28946238512</v>
      </c>
      <c r="DB21" s="85">
        <v>720292.39669894474</v>
      </c>
      <c r="DC21" s="85">
        <v>720292.39669894474</v>
      </c>
      <c r="DD21" s="85">
        <v>720292.39669894474</v>
      </c>
      <c r="DE21" s="85">
        <v>720292.39669894474</v>
      </c>
      <c r="DF21" s="85">
        <v>720292.39669894474</v>
      </c>
      <c r="DG21" s="85">
        <v>720292.39669894474</v>
      </c>
      <c r="DH21" s="85">
        <v>720292.39669894474</v>
      </c>
      <c r="DI21" s="85">
        <v>720292.39669894474</v>
      </c>
      <c r="DJ21" s="85">
        <v>720292.39669894474</v>
      </c>
      <c r="DK21" s="85">
        <v>720292.39669894474</v>
      </c>
      <c r="DL21" s="85">
        <v>720292.39669894474</v>
      </c>
      <c r="DM21" s="85">
        <v>720292.39669894474</v>
      </c>
      <c r="DN21" s="85">
        <v>738299.7066164182</v>
      </c>
      <c r="DO21" s="85">
        <v>738299.7066164182</v>
      </c>
      <c r="DP21" s="85">
        <v>738299.7066164182</v>
      </c>
      <c r="DQ21" s="85">
        <v>738299.7066164182</v>
      </c>
      <c r="DR21" s="85">
        <v>738299.7066164182</v>
      </c>
      <c r="DS21" s="85">
        <v>738299.7066164182</v>
      </c>
      <c r="DT21" s="85">
        <v>738299.7066164182</v>
      </c>
      <c r="DU21" s="85">
        <v>738299.7066164182</v>
      </c>
      <c r="DV21" s="85">
        <v>738299.7066164182</v>
      </c>
      <c r="DW21" s="85">
        <v>738299.7066164182</v>
      </c>
      <c r="DX21" s="85">
        <v>738299.7066164182</v>
      </c>
      <c r="DY21" s="85">
        <v>738299.7066164182</v>
      </c>
    </row>
    <row r="22" spans="3:129">
      <c r="E22" s="94" t="s">
        <v>131</v>
      </c>
      <c r="F22" s="94"/>
      <c r="G22" s="94" t="s">
        <v>128</v>
      </c>
      <c r="H22" s="94" cm="1">
        <f t="array" ref="H22">_xlfn.BYROW(_xlfn.ANCHORARRAY( J22), _xleta.SUM )</f>
        <v>449141047.796817</v>
      </c>
      <c r="I22" s="94"/>
      <c r="J22" s="94" cm="1">
        <f t="array" ref="J22:DY22" xml:space="preserve"> _xlfn.BYCOL(_xlfn.ANCHORARRAY( J17), _xleta.SUM )</f>
        <v>3210711</v>
      </c>
      <c r="K22" s="94">
        <v>3210711</v>
      </c>
      <c r="L22" s="94">
        <v>3210711</v>
      </c>
      <c r="M22" s="94">
        <v>3210711</v>
      </c>
      <c r="N22" s="94">
        <v>3210711</v>
      </c>
      <c r="O22" s="94">
        <v>3210711</v>
      </c>
      <c r="P22" s="94">
        <v>3210711</v>
      </c>
      <c r="Q22" s="94">
        <v>3210711</v>
      </c>
      <c r="R22" s="94">
        <v>3210711</v>
      </c>
      <c r="S22" s="94">
        <v>3210711</v>
      </c>
      <c r="T22" s="94">
        <v>3210711</v>
      </c>
      <c r="U22" s="94">
        <v>3210711</v>
      </c>
      <c r="V22" s="94">
        <v>3355192.9949999996</v>
      </c>
      <c r="W22" s="94">
        <v>3355192.9949999996</v>
      </c>
      <c r="X22" s="94">
        <v>3355192.9949999996</v>
      </c>
      <c r="Y22" s="94">
        <v>3355192.9949999996</v>
      </c>
      <c r="Z22" s="94">
        <v>3355192.9949999996</v>
      </c>
      <c r="AA22" s="94">
        <v>3355192.9949999996</v>
      </c>
      <c r="AB22" s="94">
        <v>3355192.9949999996</v>
      </c>
      <c r="AC22" s="94">
        <v>3355192.9949999996</v>
      </c>
      <c r="AD22" s="94">
        <v>3355192.9949999996</v>
      </c>
      <c r="AE22" s="94">
        <v>3355192.9949999996</v>
      </c>
      <c r="AF22" s="94">
        <v>3355192.9949999996</v>
      </c>
      <c r="AG22" s="94">
        <v>3355192.9949999996</v>
      </c>
      <c r="AH22" s="94">
        <v>3489400.7148000002</v>
      </c>
      <c r="AI22" s="94">
        <v>3489400.7148000002</v>
      </c>
      <c r="AJ22" s="94">
        <v>3489400.7148000002</v>
      </c>
      <c r="AK22" s="94">
        <v>3489400.7148000002</v>
      </c>
      <c r="AL22" s="94">
        <v>3489400.7148000002</v>
      </c>
      <c r="AM22" s="94">
        <v>3489400.7148000002</v>
      </c>
      <c r="AN22" s="94">
        <v>3489400.7148000002</v>
      </c>
      <c r="AO22" s="94">
        <v>3489400.7148000002</v>
      </c>
      <c r="AP22" s="94">
        <v>3489400.7148000002</v>
      </c>
      <c r="AQ22" s="94">
        <v>3489400.7148000002</v>
      </c>
      <c r="AR22" s="94">
        <v>3489400.7148000002</v>
      </c>
      <c r="AS22" s="94">
        <v>3489400.7148000002</v>
      </c>
      <c r="AT22" s="94">
        <v>3611529.7398179993</v>
      </c>
      <c r="AU22" s="94">
        <v>3611529.7398179993</v>
      </c>
      <c r="AV22" s="94">
        <v>3611529.7398179993</v>
      </c>
      <c r="AW22" s="94">
        <v>3611529.7398179993</v>
      </c>
      <c r="AX22" s="94">
        <v>3611529.7398179993</v>
      </c>
      <c r="AY22" s="94">
        <v>3611529.7398179993</v>
      </c>
      <c r="AZ22" s="94">
        <v>3611529.7398179993</v>
      </c>
      <c r="BA22" s="94">
        <v>3611529.7398179993</v>
      </c>
      <c r="BB22" s="94">
        <v>3611529.7398179993</v>
      </c>
      <c r="BC22" s="94">
        <v>3611529.7398179993</v>
      </c>
      <c r="BD22" s="94">
        <v>3611529.7398179993</v>
      </c>
      <c r="BE22" s="94">
        <v>3611529.7398179993</v>
      </c>
      <c r="BF22" s="94">
        <v>3719875.63201254</v>
      </c>
      <c r="BG22" s="94">
        <v>3719875.63201254</v>
      </c>
      <c r="BH22" s="94">
        <v>3719875.63201254</v>
      </c>
      <c r="BI22" s="94">
        <v>3719875.63201254</v>
      </c>
      <c r="BJ22" s="94">
        <v>3719875.63201254</v>
      </c>
      <c r="BK22" s="94">
        <v>3719875.63201254</v>
      </c>
      <c r="BL22" s="94">
        <v>3719875.63201254</v>
      </c>
      <c r="BM22" s="94">
        <v>3719875.63201254</v>
      </c>
      <c r="BN22" s="94">
        <v>3719875.63201254</v>
      </c>
      <c r="BO22" s="94">
        <v>3719875.63201254</v>
      </c>
      <c r="BP22" s="94">
        <v>3719875.63201254</v>
      </c>
      <c r="BQ22" s="94">
        <v>3719875.63201254</v>
      </c>
      <c r="BR22" s="94">
        <v>3812872.5228128522</v>
      </c>
      <c r="BS22" s="94">
        <v>3812872.5228128522</v>
      </c>
      <c r="BT22" s="94">
        <v>3812872.5228128522</v>
      </c>
      <c r="BU22" s="94">
        <v>3812872.5228128522</v>
      </c>
      <c r="BV22" s="94">
        <v>3812872.5228128522</v>
      </c>
      <c r="BW22" s="94">
        <v>3812872.5228128522</v>
      </c>
      <c r="BX22" s="94">
        <v>3812872.5228128522</v>
      </c>
      <c r="BY22" s="94">
        <v>3812872.5228128522</v>
      </c>
      <c r="BZ22" s="94">
        <v>3812872.5228128522</v>
      </c>
      <c r="CA22" s="94">
        <v>3812872.5228128522</v>
      </c>
      <c r="CB22" s="94">
        <v>3812872.5228128522</v>
      </c>
      <c r="CC22" s="94">
        <v>3812872.5228128522</v>
      </c>
      <c r="CD22" s="94">
        <v>3908194.3358831741</v>
      </c>
      <c r="CE22" s="94">
        <v>3908194.3358831741</v>
      </c>
      <c r="CF22" s="94">
        <v>3908194.3358831741</v>
      </c>
      <c r="CG22" s="94">
        <v>3908194.3358831741</v>
      </c>
      <c r="CH22" s="94">
        <v>3908194.3358831741</v>
      </c>
      <c r="CI22" s="94">
        <v>3908194.3358831741</v>
      </c>
      <c r="CJ22" s="94">
        <v>3908194.3358831741</v>
      </c>
      <c r="CK22" s="94">
        <v>3908194.3358831741</v>
      </c>
      <c r="CL22" s="94">
        <v>3908194.3358831741</v>
      </c>
      <c r="CM22" s="94">
        <v>3908194.3358831741</v>
      </c>
      <c r="CN22" s="94">
        <v>3908194.3358831741</v>
      </c>
      <c r="CO22" s="94">
        <v>3908194.3358831741</v>
      </c>
      <c r="CP22" s="94">
        <v>4005899.1942802528</v>
      </c>
      <c r="CQ22" s="94">
        <v>4005899.1942802528</v>
      </c>
      <c r="CR22" s="94">
        <v>4005899.1942802528</v>
      </c>
      <c r="CS22" s="94">
        <v>4005899.1942802528</v>
      </c>
      <c r="CT22" s="94">
        <v>4005899.1942802528</v>
      </c>
      <c r="CU22" s="94">
        <v>4005899.1942802528</v>
      </c>
      <c r="CV22" s="94">
        <v>4005899.1942802528</v>
      </c>
      <c r="CW22" s="94">
        <v>4005899.1942802528</v>
      </c>
      <c r="CX22" s="94">
        <v>4005899.1942802528</v>
      </c>
      <c r="CY22" s="94">
        <v>4005899.1942802528</v>
      </c>
      <c r="CZ22" s="94">
        <v>4005899.1942802528</v>
      </c>
      <c r="DA22" s="94">
        <v>4005899.1942802528</v>
      </c>
      <c r="DB22" s="94">
        <v>4106046.6741372584</v>
      </c>
      <c r="DC22" s="94">
        <v>4106046.6741372584</v>
      </c>
      <c r="DD22" s="94">
        <v>4106046.6741372584</v>
      </c>
      <c r="DE22" s="94">
        <v>4106046.6741372584</v>
      </c>
      <c r="DF22" s="94">
        <v>4106046.6741372584</v>
      </c>
      <c r="DG22" s="94">
        <v>4106046.6741372584</v>
      </c>
      <c r="DH22" s="94">
        <v>4106046.6741372584</v>
      </c>
      <c r="DI22" s="94">
        <v>4106046.6741372584</v>
      </c>
      <c r="DJ22" s="94">
        <v>4106046.6741372584</v>
      </c>
      <c r="DK22" s="94">
        <v>4106046.6741372584</v>
      </c>
      <c r="DL22" s="94">
        <v>4106046.6741372584</v>
      </c>
      <c r="DM22" s="94">
        <v>4106046.6741372584</v>
      </c>
      <c r="DN22" s="94">
        <v>4208697.8409906896</v>
      </c>
      <c r="DO22" s="94">
        <v>4208697.8409906896</v>
      </c>
      <c r="DP22" s="94">
        <v>4208697.8409906896</v>
      </c>
      <c r="DQ22" s="94">
        <v>4208697.8409906896</v>
      </c>
      <c r="DR22" s="94">
        <v>4208697.8409906896</v>
      </c>
      <c r="DS22" s="94">
        <v>4208697.8409906896</v>
      </c>
      <c r="DT22" s="94">
        <v>4208697.8409906896</v>
      </c>
      <c r="DU22" s="94">
        <v>4208697.8409906896</v>
      </c>
      <c r="DV22" s="94">
        <v>4208697.8409906896</v>
      </c>
      <c r="DW22" s="94">
        <v>4208697.8409906896</v>
      </c>
      <c r="DX22" s="94">
        <v>4208697.8409906896</v>
      </c>
      <c r="DY22" s="94">
        <v>4208697.8409906896</v>
      </c>
    </row>
    <row r="23" spans="3:129">
      <c r="J23" s="92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</row>
    <row r="24" spans="3:129">
      <c r="J24" s="92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</row>
    <row r="25" spans="3:129">
      <c r="C25" s="88" t="s">
        <v>64</v>
      </c>
      <c r="J25" s="92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</row>
    <row r="26" spans="3:129">
      <c r="C26" s="93" t="s">
        <v>133</v>
      </c>
      <c r="J26" s="92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</row>
    <row r="27" spans="3:129">
      <c r="E27" t="str" cm="1">
        <f t="array" ref="E27:E31" xml:space="preserve"> INDEX( CaseData!$A$6:$D$10,, 1 )</f>
        <v>Property A</v>
      </c>
      <c r="G27" t="s">
        <v>128</v>
      </c>
      <c r="H27" cm="1">
        <f t="array" ref="H27:H31">_xlfn.BYROW(_xlfn.ANCHORARRAY( J27), _xleta.SUM )</f>
        <v>27250265.55849617</v>
      </c>
      <c r="J27" s="85" cm="1">
        <f t="array" ref="J27:DY31" xml:space="preserve"> _xlfn.LET(
      _xlpm.timeline,_xlfn.ANCHORARRAY(          $J$3),
      _xlpm.inflation_flag,    IF( MONTH( _xlpm.timeline ) = 1, 1, 0  ),
      _xlpm.inflation_data,    CaseData!$J$15:$M$24,
      _xlpm.annual_rate,       _xlfn.XLOOKUP( YEAR( _xlpm.timeline ), INDEX( _xlpm.inflation_data,, 1 ), INDEX( _xlpm.inflation_data,, 3 ) ),
      _xlpm.effective_step,    _xlpm.inflation_flag * _xlpm.annual_rate,
      _xlpm.inflation_factor,  _xlfn.SCAN( 1, _xlpm.effective_step, _xlfn.LAMBDA(_xlpm.prev,_xlpm.step, IF( _xlpm.step = 0, _xlpm.prev, _xlpm.prev * ( 1 + _xlpm.step ) ) ) ),
      _xlpm.property_data,     CaseData!$A$6:$D$10,
      _xlpm.opex,              INDEX( _xlpm.property_data,, 4 ),
      _xlpm.opex * _xlpm.inflation_factor )</f>
        <v>202693.74999999997</v>
      </c>
      <c r="K27">
        <v>202693.74999999997</v>
      </c>
      <c r="L27">
        <v>202693.74999999997</v>
      </c>
      <c r="M27">
        <v>202693.74999999997</v>
      </c>
      <c r="N27">
        <v>202693.74999999997</v>
      </c>
      <c r="O27">
        <v>202693.74999999997</v>
      </c>
      <c r="P27">
        <v>202693.74999999997</v>
      </c>
      <c r="Q27">
        <v>202693.74999999997</v>
      </c>
      <c r="R27">
        <v>202693.74999999997</v>
      </c>
      <c r="S27">
        <v>202693.74999999997</v>
      </c>
      <c r="T27">
        <v>202693.74999999997</v>
      </c>
      <c r="U27">
        <v>202693.74999999997</v>
      </c>
      <c r="V27">
        <v>207761.09374999997</v>
      </c>
      <c r="W27">
        <v>207761.09374999997</v>
      </c>
      <c r="X27">
        <v>207761.09374999997</v>
      </c>
      <c r="Y27">
        <v>207761.09374999997</v>
      </c>
      <c r="Z27">
        <v>207761.09374999997</v>
      </c>
      <c r="AA27">
        <v>207761.09374999997</v>
      </c>
      <c r="AB27">
        <v>207761.09374999997</v>
      </c>
      <c r="AC27">
        <v>207761.09374999997</v>
      </c>
      <c r="AD27">
        <v>207761.09374999997</v>
      </c>
      <c r="AE27">
        <v>207761.09374999997</v>
      </c>
      <c r="AF27">
        <v>207761.09374999997</v>
      </c>
      <c r="AG27">
        <v>207761.09374999997</v>
      </c>
      <c r="AH27">
        <v>212955.12109374997</v>
      </c>
      <c r="AI27">
        <v>212955.12109374997</v>
      </c>
      <c r="AJ27">
        <v>212955.12109374997</v>
      </c>
      <c r="AK27">
        <v>212955.12109374997</v>
      </c>
      <c r="AL27">
        <v>212955.12109374997</v>
      </c>
      <c r="AM27">
        <v>212955.12109374997</v>
      </c>
      <c r="AN27">
        <v>212955.12109374997</v>
      </c>
      <c r="AO27">
        <v>212955.12109374997</v>
      </c>
      <c r="AP27">
        <v>212955.12109374997</v>
      </c>
      <c r="AQ27">
        <v>212955.12109374997</v>
      </c>
      <c r="AR27">
        <v>212955.12109374997</v>
      </c>
      <c r="AS27">
        <v>212955.12109374997</v>
      </c>
      <c r="AT27">
        <v>218278.99912109372</v>
      </c>
      <c r="AU27">
        <v>218278.99912109372</v>
      </c>
      <c r="AV27">
        <v>218278.99912109372</v>
      </c>
      <c r="AW27">
        <v>218278.99912109372</v>
      </c>
      <c r="AX27">
        <v>218278.99912109372</v>
      </c>
      <c r="AY27">
        <v>218278.99912109372</v>
      </c>
      <c r="AZ27">
        <v>218278.99912109372</v>
      </c>
      <c r="BA27">
        <v>218278.99912109372</v>
      </c>
      <c r="BB27">
        <v>218278.99912109372</v>
      </c>
      <c r="BC27">
        <v>218278.99912109372</v>
      </c>
      <c r="BD27">
        <v>218278.99912109372</v>
      </c>
      <c r="BE27">
        <v>218278.99912109372</v>
      </c>
      <c r="BF27">
        <v>223735.97409912103</v>
      </c>
      <c r="BG27">
        <v>223735.97409912103</v>
      </c>
      <c r="BH27">
        <v>223735.97409912103</v>
      </c>
      <c r="BI27">
        <v>223735.97409912103</v>
      </c>
      <c r="BJ27">
        <v>223735.97409912103</v>
      </c>
      <c r="BK27">
        <v>223735.97409912103</v>
      </c>
      <c r="BL27">
        <v>223735.97409912103</v>
      </c>
      <c r="BM27">
        <v>223735.97409912103</v>
      </c>
      <c r="BN27">
        <v>223735.97409912103</v>
      </c>
      <c r="BO27">
        <v>223735.97409912103</v>
      </c>
      <c r="BP27">
        <v>223735.97409912103</v>
      </c>
      <c r="BQ27">
        <v>223735.97409912103</v>
      </c>
      <c r="BR27">
        <v>229329.37345159904</v>
      </c>
      <c r="BS27">
        <v>229329.37345159904</v>
      </c>
      <c r="BT27">
        <v>229329.37345159904</v>
      </c>
      <c r="BU27">
        <v>229329.37345159904</v>
      </c>
      <c r="BV27">
        <v>229329.37345159904</v>
      </c>
      <c r="BW27">
        <v>229329.37345159904</v>
      </c>
      <c r="BX27">
        <v>229329.37345159904</v>
      </c>
      <c r="BY27">
        <v>229329.37345159904</v>
      </c>
      <c r="BZ27">
        <v>229329.37345159904</v>
      </c>
      <c r="CA27">
        <v>229329.37345159904</v>
      </c>
      <c r="CB27">
        <v>229329.37345159904</v>
      </c>
      <c r="CC27">
        <v>229329.37345159904</v>
      </c>
      <c r="CD27">
        <v>235062.60778788899</v>
      </c>
      <c r="CE27">
        <v>235062.60778788899</v>
      </c>
      <c r="CF27">
        <v>235062.60778788899</v>
      </c>
      <c r="CG27">
        <v>235062.60778788899</v>
      </c>
      <c r="CH27">
        <v>235062.60778788899</v>
      </c>
      <c r="CI27">
        <v>235062.60778788899</v>
      </c>
      <c r="CJ27">
        <v>235062.60778788899</v>
      </c>
      <c r="CK27">
        <v>235062.60778788899</v>
      </c>
      <c r="CL27">
        <v>235062.60778788899</v>
      </c>
      <c r="CM27">
        <v>235062.60778788899</v>
      </c>
      <c r="CN27">
        <v>235062.60778788899</v>
      </c>
      <c r="CO27">
        <v>235062.60778788899</v>
      </c>
      <c r="CP27">
        <v>240939.17298258617</v>
      </c>
      <c r="CQ27">
        <v>240939.17298258617</v>
      </c>
      <c r="CR27">
        <v>240939.17298258617</v>
      </c>
      <c r="CS27">
        <v>240939.17298258617</v>
      </c>
      <c r="CT27">
        <v>240939.17298258617</v>
      </c>
      <c r="CU27">
        <v>240939.17298258617</v>
      </c>
      <c r="CV27">
        <v>240939.17298258617</v>
      </c>
      <c r="CW27">
        <v>240939.17298258617</v>
      </c>
      <c r="CX27">
        <v>240939.17298258617</v>
      </c>
      <c r="CY27">
        <v>240939.17298258617</v>
      </c>
      <c r="CZ27">
        <v>240939.17298258617</v>
      </c>
      <c r="DA27">
        <v>240939.17298258617</v>
      </c>
      <c r="DB27">
        <v>246962.6523071508</v>
      </c>
      <c r="DC27">
        <v>246962.6523071508</v>
      </c>
      <c r="DD27">
        <v>246962.6523071508</v>
      </c>
      <c r="DE27">
        <v>246962.6523071508</v>
      </c>
      <c r="DF27">
        <v>246962.6523071508</v>
      </c>
      <c r="DG27">
        <v>246962.6523071508</v>
      </c>
      <c r="DH27">
        <v>246962.6523071508</v>
      </c>
      <c r="DI27">
        <v>246962.6523071508</v>
      </c>
      <c r="DJ27">
        <v>246962.6523071508</v>
      </c>
      <c r="DK27">
        <v>246962.6523071508</v>
      </c>
      <c r="DL27">
        <v>246962.6523071508</v>
      </c>
      <c r="DM27">
        <v>246962.6523071508</v>
      </c>
      <c r="DN27">
        <v>253136.71861482953</v>
      </c>
      <c r="DO27">
        <v>253136.71861482953</v>
      </c>
      <c r="DP27">
        <v>253136.71861482953</v>
      </c>
      <c r="DQ27">
        <v>253136.71861482953</v>
      </c>
      <c r="DR27">
        <v>253136.71861482953</v>
      </c>
      <c r="DS27">
        <v>253136.71861482953</v>
      </c>
      <c r="DT27">
        <v>253136.71861482953</v>
      </c>
      <c r="DU27">
        <v>253136.71861482953</v>
      </c>
      <c r="DV27">
        <v>253136.71861482953</v>
      </c>
      <c r="DW27">
        <v>253136.71861482953</v>
      </c>
      <c r="DX27">
        <v>253136.71861482953</v>
      </c>
      <c r="DY27">
        <v>253136.71861482953</v>
      </c>
    </row>
    <row r="28" spans="3:129">
      <c r="E28" t="str">
        <v>Property B</v>
      </c>
      <c r="G28" t="s">
        <v>128</v>
      </c>
      <c r="H28">
        <v>21607290.212754488</v>
      </c>
      <c r="J28">
        <v>160720</v>
      </c>
      <c r="K28">
        <v>160720</v>
      </c>
      <c r="L28">
        <v>160720</v>
      </c>
      <c r="M28">
        <v>160720</v>
      </c>
      <c r="N28">
        <v>160720</v>
      </c>
      <c r="O28">
        <v>160720</v>
      </c>
      <c r="P28">
        <v>160720</v>
      </c>
      <c r="Q28">
        <v>160720</v>
      </c>
      <c r="R28">
        <v>160720</v>
      </c>
      <c r="S28">
        <v>160720</v>
      </c>
      <c r="T28">
        <v>160720</v>
      </c>
      <c r="U28">
        <v>160720</v>
      </c>
      <c r="V28">
        <v>164738</v>
      </c>
      <c r="W28">
        <v>164738</v>
      </c>
      <c r="X28">
        <v>164738</v>
      </c>
      <c r="Y28">
        <v>164738</v>
      </c>
      <c r="Z28">
        <v>164738</v>
      </c>
      <c r="AA28">
        <v>164738</v>
      </c>
      <c r="AB28">
        <v>164738</v>
      </c>
      <c r="AC28">
        <v>164738</v>
      </c>
      <c r="AD28">
        <v>164738</v>
      </c>
      <c r="AE28">
        <v>164738</v>
      </c>
      <c r="AF28">
        <v>164738</v>
      </c>
      <c r="AG28">
        <v>164738</v>
      </c>
      <c r="AH28">
        <v>168856.44999999998</v>
      </c>
      <c r="AI28">
        <v>168856.44999999998</v>
      </c>
      <c r="AJ28">
        <v>168856.44999999998</v>
      </c>
      <c r="AK28">
        <v>168856.44999999998</v>
      </c>
      <c r="AL28">
        <v>168856.44999999998</v>
      </c>
      <c r="AM28">
        <v>168856.44999999998</v>
      </c>
      <c r="AN28">
        <v>168856.44999999998</v>
      </c>
      <c r="AO28">
        <v>168856.44999999998</v>
      </c>
      <c r="AP28">
        <v>168856.44999999998</v>
      </c>
      <c r="AQ28">
        <v>168856.44999999998</v>
      </c>
      <c r="AR28">
        <v>168856.44999999998</v>
      </c>
      <c r="AS28">
        <v>168856.44999999998</v>
      </c>
      <c r="AT28">
        <v>173077.86124999996</v>
      </c>
      <c r="AU28">
        <v>173077.86124999996</v>
      </c>
      <c r="AV28">
        <v>173077.86124999996</v>
      </c>
      <c r="AW28">
        <v>173077.86124999996</v>
      </c>
      <c r="AX28">
        <v>173077.86124999996</v>
      </c>
      <c r="AY28">
        <v>173077.86124999996</v>
      </c>
      <c r="AZ28">
        <v>173077.86124999996</v>
      </c>
      <c r="BA28">
        <v>173077.86124999996</v>
      </c>
      <c r="BB28">
        <v>173077.86124999996</v>
      </c>
      <c r="BC28">
        <v>173077.86124999996</v>
      </c>
      <c r="BD28">
        <v>173077.86124999996</v>
      </c>
      <c r="BE28">
        <v>173077.86124999996</v>
      </c>
      <c r="BF28">
        <v>177404.80778124995</v>
      </c>
      <c r="BG28">
        <v>177404.80778124995</v>
      </c>
      <c r="BH28">
        <v>177404.80778124995</v>
      </c>
      <c r="BI28">
        <v>177404.80778124995</v>
      </c>
      <c r="BJ28">
        <v>177404.80778124995</v>
      </c>
      <c r="BK28">
        <v>177404.80778124995</v>
      </c>
      <c r="BL28">
        <v>177404.80778124995</v>
      </c>
      <c r="BM28">
        <v>177404.80778124995</v>
      </c>
      <c r="BN28">
        <v>177404.80778124995</v>
      </c>
      <c r="BO28">
        <v>177404.80778124995</v>
      </c>
      <c r="BP28">
        <v>177404.80778124995</v>
      </c>
      <c r="BQ28">
        <v>177404.80778124995</v>
      </c>
      <c r="BR28">
        <v>181839.92797578117</v>
      </c>
      <c r="BS28">
        <v>181839.92797578117</v>
      </c>
      <c r="BT28">
        <v>181839.92797578117</v>
      </c>
      <c r="BU28">
        <v>181839.92797578117</v>
      </c>
      <c r="BV28">
        <v>181839.92797578117</v>
      </c>
      <c r="BW28">
        <v>181839.92797578117</v>
      </c>
      <c r="BX28">
        <v>181839.92797578117</v>
      </c>
      <c r="BY28">
        <v>181839.92797578117</v>
      </c>
      <c r="BZ28">
        <v>181839.92797578117</v>
      </c>
      <c r="CA28">
        <v>181839.92797578117</v>
      </c>
      <c r="CB28">
        <v>181839.92797578117</v>
      </c>
      <c r="CC28">
        <v>181839.92797578117</v>
      </c>
      <c r="CD28">
        <v>186385.92617517567</v>
      </c>
      <c r="CE28">
        <v>186385.92617517567</v>
      </c>
      <c r="CF28">
        <v>186385.92617517567</v>
      </c>
      <c r="CG28">
        <v>186385.92617517567</v>
      </c>
      <c r="CH28">
        <v>186385.92617517567</v>
      </c>
      <c r="CI28">
        <v>186385.92617517567</v>
      </c>
      <c r="CJ28">
        <v>186385.92617517567</v>
      </c>
      <c r="CK28">
        <v>186385.92617517567</v>
      </c>
      <c r="CL28">
        <v>186385.92617517567</v>
      </c>
      <c r="CM28">
        <v>186385.92617517567</v>
      </c>
      <c r="CN28">
        <v>186385.92617517567</v>
      </c>
      <c r="CO28">
        <v>186385.92617517567</v>
      </c>
      <c r="CP28">
        <v>191045.57432955506</v>
      </c>
      <c r="CQ28">
        <v>191045.57432955506</v>
      </c>
      <c r="CR28">
        <v>191045.57432955506</v>
      </c>
      <c r="CS28">
        <v>191045.57432955506</v>
      </c>
      <c r="CT28">
        <v>191045.57432955506</v>
      </c>
      <c r="CU28">
        <v>191045.57432955506</v>
      </c>
      <c r="CV28">
        <v>191045.57432955506</v>
      </c>
      <c r="CW28">
        <v>191045.57432955506</v>
      </c>
      <c r="CX28">
        <v>191045.57432955506</v>
      </c>
      <c r="CY28">
        <v>191045.57432955506</v>
      </c>
      <c r="CZ28">
        <v>191045.57432955506</v>
      </c>
      <c r="DA28">
        <v>191045.57432955506</v>
      </c>
      <c r="DB28">
        <v>195821.7136877939</v>
      </c>
      <c r="DC28">
        <v>195821.7136877939</v>
      </c>
      <c r="DD28">
        <v>195821.7136877939</v>
      </c>
      <c r="DE28">
        <v>195821.7136877939</v>
      </c>
      <c r="DF28">
        <v>195821.7136877939</v>
      </c>
      <c r="DG28">
        <v>195821.7136877939</v>
      </c>
      <c r="DH28">
        <v>195821.7136877939</v>
      </c>
      <c r="DI28">
        <v>195821.7136877939</v>
      </c>
      <c r="DJ28">
        <v>195821.7136877939</v>
      </c>
      <c r="DK28">
        <v>195821.7136877939</v>
      </c>
      <c r="DL28">
        <v>195821.7136877939</v>
      </c>
      <c r="DM28">
        <v>195821.7136877939</v>
      </c>
      <c r="DN28">
        <v>200717.25652998872</v>
      </c>
      <c r="DO28">
        <v>200717.25652998872</v>
      </c>
      <c r="DP28">
        <v>200717.25652998872</v>
      </c>
      <c r="DQ28">
        <v>200717.25652998872</v>
      </c>
      <c r="DR28">
        <v>200717.25652998872</v>
      </c>
      <c r="DS28">
        <v>200717.25652998872</v>
      </c>
      <c r="DT28">
        <v>200717.25652998872</v>
      </c>
      <c r="DU28">
        <v>200717.25652998872</v>
      </c>
      <c r="DV28">
        <v>200717.25652998872</v>
      </c>
      <c r="DW28">
        <v>200717.25652998872</v>
      </c>
      <c r="DX28">
        <v>200717.25652998872</v>
      </c>
      <c r="DY28">
        <v>200717.25652998872</v>
      </c>
    </row>
    <row r="29" spans="3:129">
      <c r="E29" t="str">
        <v>Property C</v>
      </c>
      <c r="G29" t="s">
        <v>128</v>
      </c>
      <c r="H29">
        <v>23632973.670200288</v>
      </c>
      <c r="J29">
        <v>175787.49999999997</v>
      </c>
      <c r="K29">
        <v>175787.49999999997</v>
      </c>
      <c r="L29">
        <v>175787.49999999997</v>
      </c>
      <c r="M29">
        <v>175787.49999999997</v>
      </c>
      <c r="N29">
        <v>175787.49999999997</v>
      </c>
      <c r="O29">
        <v>175787.49999999997</v>
      </c>
      <c r="P29">
        <v>175787.49999999997</v>
      </c>
      <c r="Q29">
        <v>175787.49999999997</v>
      </c>
      <c r="R29">
        <v>175787.49999999997</v>
      </c>
      <c r="S29">
        <v>175787.49999999997</v>
      </c>
      <c r="T29">
        <v>175787.49999999997</v>
      </c>
      <c r="U29">
        <v>175787.49999999997</v>
      </c>
      <c r="V29">
        <v>180182.1875</v>
      </c>
      <c r="W29">
        <v>180182.1875</v>
      </c>
      <c r="X29">
        <v>180182.1875</v>
      </c>
      <c r="Y29">
        <v>180182.1875</v>
      </c>
      <c r="Z29">
        <v>180182.1875</v>
      </c>
      <c r="AA29">
        <v>180182.1875</v>
      </c>
      <c r="AB29">
        <v>180182.1875</v>
      </c>
      <c r="AC29">
        <v>180182.1875</v>
      </c>
      <c r="AD29">
        <v>180182.1875</v>
      </c>
      <c r="AE29">
        <v>180182.1875</v>
      </c>
      <c r="AF29">
        <v>180182.1875</v>
      </c>
      <c r="AG29">
        <v>180182.1875</v>
      </c>
      <c r="AH29">
        <v>184686.74218749997</v>
      </c>
      <c r="AI29">
        <v>184686.74218749997</v>
      </c>
      <c r="AJ29">
        <v>184686.74218749997</v>
      </c>
      <c r="AK29">
        <v>184686.74218749997</v>
      </c>
      <c r="AL29">
        <v>184686.74218749997</v>
      </c>
      <c r="AM29">
        <v>184686.74218749997</v>
      </c>
      <c r="AN29">
        <v>184686.74218749997</v>
      </c>
      <c r="AO29">
        <v>184686.74218749997</v>
      </c>
      <c r="AP29">
        <v>184686.74218749997</v>
      </c>
      <c r="AQ29">
        <v>184686.74218749997</v>
      </c>
      <c r="AR29">
        <v>184686.74218749997</v>
      </c>
      <c r="AS29">
        <v>184686.74218749997</v>
      </c>
      <c r="AT29">
        <v>189303.91074218747</v>
      </c>
      <c r="AU29">
        <v>189303.91074218747</v>
      </c>
      <c r="AV29">
        <v>189303.91074218747</v>
      </c>
      <c r="AW29">
        <v>189303.91074218747</v>
      </c>
      <c r="AX29">
        <v>189303.91074218747</v>
      </c>
      <c r="AY29">
        <v>189303.91074218747</v>
      </c>
      <c r="AZ29">
        <v>189303.91074218747</v>
      </c>
      <c r="BA29">
        <v>189303.91074218747</v>
      </c>
      <c r="BB29">
        <v>189303.91074218747</v>
      </c>
      <c r="BC29">
        <v>189303.91074218747</v>
      </c>
      <c r="BD29">
        <v>189303.91074218747</v>
      </c>
      <c r="BE29">
        <v>189303.91074218747</v>
      </c>
      <c r="BF29">
        <v>194036.50851074213</v>
      </c>
      <c r="BG29">
        <v>194036.50851074213</v>
      </c>
      <c r="BH29">
        <v>194036.50851074213</v>
      </c>
      <c r="BI29">
        <v>194036.50851074213</v>
      </c>
      <c r="BJ29">
        <v>194036.50851074213</v>
      </c>
      <c r="BK29">
        <v>194036.50851074213</v>
      </c>
      <c r="BL29">
        <v>194036.50851074213</v>
      </c>
      <c r="BM29">
        <v>194036.50851074213</v>
      </c>
      <c r="BN29">
        <v>194036.50851074213</v>
      </c>
      <c r="BO29">
        <v>194036.50851074213</v>
      </c>
      <c r="BP29">
        <v>194036.50851074213</v>
      </c>
      <c r="BQ29">
        <v>194036.50851074213</v>
      </c>
      <c r="BR29">
        <v>198887.42122351067</v>
      </c>
      <c r="BS29">
        <v>198887.42122351067</v>
      </c>
      <c r="BT29">
        <v>198887.42122351067</v>
      </c>
      <c r="BU29">
        <v>198887.42122351067</v>
      </c>
      <c r="BV29">
        <v>198887.42122351067</v>
      </c>
      <c r="BW29">
        <v>198887.42122351067</v>
      </c>
      <c r="BX29">
        <v>198887.42122351067</v>
      </c>
      <c r="BY29">
        <v>198887.42122351067</v>
      </c>
      <c r="BZ29">
        <v>198887.42122351067</v>
      </c>
      <c r="CA29">
        <v>198887.42122351067</v>
      </c>
      <c r="CB29">
        <v>198887.42122351067</v>
      </c>
      <c r="CC29">
        <v>198887.42122351067</v>
      </c>
      <c r="CD29">
        <v>203859.60675409841</v>
      </c>
      <c r="CE29">
        <v>203859.60675409841</v>
      </c>
      <c r="CF29">
        <v>203859.60675409841</v>
      </c>
      <c r="CG29">
        <v>203859.60675409841</v>
      </c>
      <c r="CH29">
        <v>203859.60675409841</v>
      </c>
      <c r="CI29">
        <v>203859.60675409841</v>
      </c>
      <c r="CJ29">
        <v>203859.60675409841</v>
      </c>
      <c r="CK29">
        <v>203859.60675409841</v>
      </c>
      <c r="CL29">
        <v>203859.60675409841</v>
      </c>
      <c r="CM29">
        <v>203859.60675409841</v>
      </c>
      <c r="CN29">
        <v>203859.60675409841</v>
      </c>
      <c r="CO29">
        <v>203859.60675409841</v>
      </c>
      <c r="CP29">
        <v>208956.09692295085</v>
      </c>
      <c r="CQ29">
        <v>208956.09692295085</v>
      </c>
      <c r="CR29">
        <v>208956.09692295085</v>
      </c>
      <c r="CS29">
        <v>208956.09692295085</v>
      </c>
      <c r="CT29">
        <v>208956.09692295085</v>
      </c>
      <c r="CU29">
        <v>208956.09692295085</v>
      </c>
      <c r="CV29">
        <v>208956.09692295085</v>
      </c>
      <c r="CW29">
        <v>208956.09692295085</v>
      </c>
      <c r="CX29">
        <v>208956.09692295085</v>
      </c>
      <c r="CY29">
        <v>208956.09692295085</v>
      </c>
      <c r="CZ29">
        <v>208956.09692295085</v>
      </c>
      <c r="DA29">
        <v>208956.09692295085</v>
      </c>
      <c r="DB29">
        <v>214179.99934602459</v>
      </c>
      <c r="DC29">
        <v>214179.99934602459</v>
      </c>
      <c r="DD29">
        <v>214179.99934602459</v>
      </c>
      <c r="DE29">
        <v>214179.99934602459</v>
      </c>
      <c r="DF29">
        <v>214179.99934602459</v>
      </c>
      <c r="DG29">
        <v>214179.99934602459</v>
      </c>
      <c r="DH29">
        <v>214179.99934602459</v>
      </c>
      <c r="DI29">
        <v>214179.99934602459</v>
      </c>
      <c r="DJ29">
        <v>214179.99934602459</v>
      </c>
      <c r="DK29">
        <v>214179.99934602459</v>
      </c>
      <c r="DL29">
        <v>214179.99934602459</v>
      </c>
      <c r="DM29">
        <v>214179.99934602459</v>
      </c>
      <c r="DN29">
        <v>219534.49932967516</v>
      </c>
      <c r="DO29">
        <v>219534.49932967516</v>
      </c>
      <c r="DP29">
        <v>219534.49932967516</v>
      </c>
      <c r="DQ29">
        <v>219534.49932967516</v>
      </c>
      <c r="DR29">
        <v>219534.49932967516</v>
      </c>
      <c r="DS29">
        <v>219534.49932967516</v>
      </c>
      <c r="DT29">
        <v>219534.49932967516</v>
      </c>
      <c r="DU29">
        <v>219534.49932967516</v>
      </c>
      <c r="DV29">
        <v>219534.49932967516</v>
      </c>
      <c r="DW29">
        <v>219534.49932967516</v>
      </c>
      <c r="DX29">
        <v>219534.49932967516</v>
      </c>
      <c r="DY29">
        <v>219534.49932967516</v>
      </c>
    </row>
    <row r="30" spans="3:129">
      <c r="E30" t="str">
        <v>Property D</v>
      </c>
      <c r="G30" t="s">
        <v>128</v>
      </c>
      <c r="H30">
        <v>28475321.744665779</v>
      </c>
      <c r="J30">
        <v>211805.99999999997</v>
      </c>
      <c r="K30">
        <v>211805.99999999997</v>
      </c>
      <c r="L30">
        <v>211805.99999999997</v>
      </c>
      <c r="M30">
        <v>211805.99999999997</v>
      </c>
      <c r="N30">
        <v>211805.99999999997</v>
      </c>
      <c r="O30">
        <v>211805.99999999997</v>
      </c>
      <c r="P30">
        <v>211805.99999999997</v>
      </c>
      <c r="Q30">
        <v>211805.99999999997</v>
      </c>
      <c r="R30">
        <v>211805.99999999997</v>
      </c>
      <c r="S30">
        <v>211805.99999999997</v>
      </c>
      <c r="T30">
        <v>211805.99999999997</v>
      </c>
      <c r="U30">
        <v>211805.99999999997</v>
      </c>
      <c r="V30">
        <v>217101.15</v>
      </c>
      <c r="W30">
        <v>217101.15</v>
      </c>
      <c r="X30">
        <v>217101.15</v>
      </c>
      <c r="Y30">
        <v>217101.15</v>
      </c>
      <c r="Z30">
        <v>217101.15</v>
      </c>
      <c r="AA30">
        <v>217101.15</v>
      </c>
      <c r="AB30">
        <v>217101.15</v>
      </c>
      <c r="AC30">
        <v>217101.15</v>
      </c>
      <c r="AD30">
        <v>217101.15</v>
      </c>
      <c r="AE30">
        <v>217101.15</v>
      </c>
      <c r="AF30">
        <v>217101.15</v>
      </c>
      <c r="AG30">
        <v>217101.15</v>
      </c>
      <c r="AH30">
        <v>222528.67874999996</v>
      </c>
      <c r="AI30">
        <v>222528.67874999996</v>
      </c>
      <c r="AJ30">
        <v>222528.67874999996</v>
      </c>
      <c r="AK30">
        <v>222528.67874999996</v>
      </c>
      <c r="AL30">
        <v>222528.67874999996</v>
      </c>
      <c r="AM30">
        <v>222528.67874999996</v>
      </c>
      <c r="AN30">
        <v>222528.67874999996</v>
      </c>
      <c r="AO30">
        <v>222528.67874999996</v>
      </c>
      <c r="AP30">
        <v>222528.67874999996</v>
      </c>
      <c r="AQ30">
        <v>222528.67874999996</v>
      </c>
      <c r="AR30">
        <v>222528.67874999996</v>
      </c>
      <c r="AS30">
        <v>222528.67874999996</v>
      </c>
      <c r="AT30">
        <v>228091.89571874996</v>
      </c>
      <c r="AU30">
        <v>228091.89571874996</v>
      </c>
      <c r="AV30">
        <v>228091.89571874996</v>
      </c>
      <c r="AW30">
        <v>228091.89571874996</v>
      </c>
      <c r="AX30">
        <v>228091.89571874996</v>
      </c>
      <c r="AY30">
        <v>228091.89571874996</v>
      </c>
      <c r="AZ30">
        <v>228091.89571874996</v>
      </c>
      <c r="BA30">
        <v>228091.89571874996</v>
      </c>
      <c r="BB30">
        <v>228091.89571874996</v>
      </c>
      <c r="BC30">
        <v>228091.89571874996</v>
      </c>
      <c r="BD30">
        <v>228091.89571874996</v>
      </c>
      <c r="BE30">
        <v>228091.89571874996</v>
      </c>
      <c r="BF30">
        <v>233794.19311171869</v>
      </c>
      <c r="BG30">
        <v>233794.19311171869</v>
      </c>
      <c r="BH30">
        <v>233794.19311171869</v>
      </c>
      <c r="BI30">
        <v>233794.19311171869</v>
      </c>
      <c r="BJ30">
        <v>233794.19311171869</v>
      </c>
      <c r="BK30">
        <v>233794.19311171869</v>
      </c>
      <c r="BL30">
        <v>233794.19311171869</v>
      </c>
      <c r="BM30">
        <v>233794.19311171869</v>
      </c>
      <c r="BN30">
        <v>233794.19311171869</v>
      </c>
      <c r="BO30">
        <v>233794.19311171869</v>
      </c>
      <c r="BP30">
        <v>233794.19311171869</v>
      </c>
      <c r="BQ30">
        <v>233794.19311171869</v>
      </c>
      <c r="BR30">
        <v>239639.04793951163</v>
      </c>
      <c r="BS30">
        <v>239639.04793951163</v>
      </c>
      <c r="BT30">
        <v>239639.04793951163</v>
      </c>
      <c r="BU30">
        <v>239639.04793951163</v>
      </c>
      <c r="BV30">
        <v>239639.04793951163</v>
      </c>
      <c r="BW30">
        <v>239639.04793951163</v>
      </c>
      <c r="BX30">
        <v>239639.04793951163</v>
      </c>
      <c r="BY30">
        <v>239639.04793951163</v>
      </c>
      <c r="BZ30">
        <v>239639.04793951163</v>
      </c>
      <c r="CA30">
        <v>239639.04793951163</v>
      </c>
      <c r="CB30">
        <v>239639.04793951163</v>
      </c>
      <c r="CC30">
        <v>239639.04793951163</v>
      </c>
      <c r="CD30">
        <v>245630.0241379994</v>
      </c>
      <c r="CE30">
        <v>245630.0241379994</v>
      </c>
      <c r="CF30">
        <v>245630.0241379994</v>
      </c>
      <c r="CG30">
        <v>245630.0241379994</v>
      </c>
      <c r="CH30">
        <v>245630.0241379994</v>
      </c>
      <c r="CI30">
        <v>245630.0241379994</v>
      </c>
      <c r="CJ30">
        <v>245630.0241379994</v>
      </c>
      <c r="CK30">
        <v>245630.0241379994</v>
      </c>
      <c r="CL30">
        <v>245630.0241379994</v>
      </c>
      <c r="CM30">
        <v>245630.0241379994</v>
      </c>
      <c r="CN30">
        <v>245630.0241379994</v>
      </c>
      <c r="CO30">
        <v>245630.0241379994</v>
      </c>
      <c r="CP30">
        <v>251770.77474144934</v>
      </c>
      <c r="CQ30">
        <v>251770.77474144934</v>
      </c>
      <c r="CR30">
        <v>251770.77474144934</v>
      </c>
      <c r="CS30">
        <v>251770.77474144934</v>
      </c>
      <c r="CT30">
        <v>251770.77474144934</v>
      </c>
      <c r="CU30">
        <v>251770.77474144934</v>
      </c>
      <c r="CV30">
        <v>251770.77474144934</v>
      </c>
      <c r="CW30">
        <v>251770.77474144934</v>
      </c>
      <c r="CX30">
        <v>251770.77474144934</v>
      </c>
      <c r="CY30">
        <v>251770.77474144934</v>
      </c>
      <c r="CZ30">
        <v>251770.77474144934</v>
      </c>
      <c r="DA30">
        <v>251770.77474144934</v>
      </c>
      <c r="DB30">
        <v>258065.04410998555</v>
      </c>
      <c r="DC30">
        <v>258065.04410998555</v>
      </c>
      <c r="DD30">
        <v>258065.04410998555</v>
      </c>
      <c r="DE30">
        <v>258065.04410998555</v>
      </c>
      <c r="DF30">
        <v>258065.04410998555</v>
      </c>
      <c r="DG30">
        <v>258065.04410998555</v>
      </c>
      <c r="DH30">
        <v>258065.04410998555</v>
      </c>
      <c r="DI30">
        <v>258065.04410998555</v>
      </c>
      <c r="DJ30">
        <v>258065.04410998555</v>
      </c>
      <c r="DK30">
        <v>258065.04410998555</v>
      </c>
      <c r="DL30">
        <v>258065.04410998555</v>
      </c>
      <c r="DM30">
        <v>258065.04410998555</v>
      </c>
      <c r="DN30">
        <v>264516.67021273513</v>
      </c>
      <c r="DO30">
        <v>264516.67021273513</v>
      </c>
      <c r="DP30">
        <v>264516.67021273513</v>
      </c>
      <c r="DQ30">
        <v>264516.67021273513</v>
      </c>
      <c r="DR30">
        <v>264516.67021273513</v>
      </c>
      <c r="DS30">
        <v>264516.67021273513</v>
      </c>
      <c r="DT30">
        <v>264516.67021273513</v>
      </c>
      <c r="DU30">
        <v>264516.67021273513</v>
      </c>
      <c r="DV30">
        <v>264516.67021273513</v>
      </c>
      <c r="DW30">
        <v>264516.67021273513</v>
      </c>
      <c r="DX30">
        <v>264516.67021273513</v>
      </c>
      <c r="DY30">
        <v>264516.67021273513</v>
      </c>
    </row>
    <row r="31" spans="3:129">
      <c r="E31" t="str">
        <v>Property E</v>
      </c>
      <c r="G31" t="s">
        <v>128</v>
      </c>
      <c r="H31">
        <v>24385370.382965829</v>
      </c>
      <c r="J31">
        <v>181383.99999999997</v>
      </c>
      <c r="K31">
        <v>181383.99999999997</v>
      </c>
      <c r="L31">
        <v>181383.99999999997</v>
      </c>
      <c r="M31">
        <v>181383.99999999997</v>
      </c>
      <c r="N31">
        <v>181383.99999999997</v>
      </c>
      <c r="O31">
        <v>181383.99999999997</v>
      </c>
      <c r="P31">
        <v>181383.99999999997</v>
      </c>
      <c r="Q31">
        <v>181383.99999999997</v>
      </c>
      <c r="R31">
        <v>181383.99999999997</v>
      </c>
      <c r="S31">
        <v>181383.99999999997</v>
      </c>
      <c r="T31">
        <v>181383.99999999997</v>
      </c>
      <c r="U31">
        <v>181383.99999999997</v>
      </c>
      <c r="V31">
        <v>185918.59999999998</v>
      </c>
      <c r="W31">
        <v>185918.59999999998</v>
      </c>
      <c r="X31">
        <v>185918.59999999998</v>
      </c>
      <c r="Y31">
        <v>185918.59999999998</v>
      </c>
      <c r="Z31">
        <v>185918.59999999998</v>
      </c>
      <c r="AA31">
        <v>185918.59999999998</v>
      </c>
      <c r="AB31">
        <v>185918.59999999998</v>
      </c>
      <c r="AC31">
        <v>185918.59999999998</v>
      </c>
      <c r="AD31">
        <v>185918.59999999998</v>
      </c>
      <c r="AE31">
        <v>185918.59999999998</v>
      </c>
      <c r="AF31">
        <v>185918.59999999998</v>
      </c>
      <c r="AG31">
        <v>185918.59999999998</v>
      </c>
      <c r="AH31">
        <v>190566.56499999997</v>
      </c>
      <c r="AI31">
        <v>190566.56499999997</v>
      </c>
      <c r="AJ31">
        <v>190566.56499999997</v>
      </c>
      <c r="AK31">
        <v>190566.56499999997</v>
      </c>
      <c r="AL31">
        <v>190566.56499999997</v>
      </c>
      <c r="AM31">
        <v>190566.56499999997</v>
      </c>
      <c r="AN31">
        <v>190566.56499999997</v>
      </c>
      <c r="AO31">
        <v>190566.56499999997</v>
      </c>
      <c r="AP31">
        <v>190566.56499999997</v>
      </c>
      <c r="AQ31">
        <v>190566.56499999997</v>
      </c>
      <c r="AR31">
        <v>190566.56499999997</v>
      </c>
      <c r="AS31">
        <v>190566.56499999997</v>
      </c>
      <c r="AT31">
        <v>195330.72912499995</v>
      </c>
      <c r="AU31">
        <v>195330.72912499995</v>
      </c>
      <c r="AV31">
        <v>195330.72912499995</v>
      </c>
      <c r="AW31">
        <v>195330.72912499995</v>
      </c>
      <c r="AX31">
        <v>195330.72912499995</v>
      </c>
      <c r="AY31">
        <v>195330.72912499995</v>
      </c>
      <c r="AZ31">
        <v>195330.72912499995</v>
      </c>
      <c r="BA31">
        <v>195330.72912499995</v>
      </c>
      <c r="BB31">
        <v>195330.72912499995</v>
      </c>
      <c r="BC31">
        <v>195330.72912499995</v>
      </c>
      <c r="BD31">
        <v>195330.72912499995</v>
      </c>
      <c r="BE31">
        <v>195330.72912499995</v>
      </c>
      <c r="BF31">
        <v>200213.99735312493</v>
      </c>
      <c r="BG31">
        <v>200213.99735312493</v>
      </c>
      <c r="BH31">
        <v>200213.99735312493</v>
      </c>
      <c r="BI31">
        <v>200213.99735312493</v>
      </c>
      <c r="BJ31">
        <v>200213.99735312493</v>
      </c>
      <c r="BK31">
        <v>200213.99735312493</v>
      </c>
      <c r="BL31">
        <v>200213.99735312493</v>
      </c>
      <c r="BM31">
        <v>200213.99735312493</v>
      </c>
      <c r="BN31">
        <v>200213.99735312493</v>
      </c>
      <c r="BO31">
        <v>200213.99735312493</v>
      </c>
      <c r="BP31">
        <v>200213.99735312493</v>
      </c>
      <c r="BQ31">
        <v>200213.99735312493</v>
      </c>
      <c r="BR31">
        <v>205219.34728695304</v>
      </c>
      <c r="BS31">
        <v>205219.34728695304</v>
      </c>
      <c r="BT31">
        <v>205219.34728695304</v>
      </c>
      <c r="BU31">
        <v>205219.34728695304</v>
      </c>
      <c r="BV31">
        <v>205219.34728695304</v>
      </c>
      <c r="BW31">
        <v>205219.34728695304</v>
      </c>
      <c r="BX31">
        <v>205219.34728695304</v>
      </c>
      <c r="BY31">
        <v>205219.34728695304</v>
      </c>
      <c r="BZ31">
        <v>205219.34728695304</v>
      </c>
      <c r="CA31">
        <v>205219.34728695304</v>
      </c>
      <c r="CB31">
        <v>205219.34728695304</v>
      </c>
      <c r="CC31">
        <v>205219.34728695304</v>
      </c>
      <c r="CD31">
        <v>210349.83096912684</v>
      </c>
      <c r="CE31">
        <v>210349.83096912684</v>
      </c>
      <c r="CF31">
        <v>210349.83096912684</v>
      </c>
      <c r="CG31">
        <v>210349.83096912684</v>
      </c>
      <c r="CH31">
        <v>210349.83096912684</v>
      </c>
      <c r="CI31">
        <v>210349.83096912684</v>
      </c>
      <c r="CJ31">
        <v>210349.83096912684</v>
      </c>
      <c r="CK31">
        <v>210349.83096912684</v>
      </c>
      <c r="CL31">
        <v>210349.83096912684</v>
      </c>
      <c r="CM31">
        <v>210349.83096912684</v>
      </c>
      <c r="CN31">
        <v>210349.83096912684</v>
      </c>
      <c r="CO31">
        <v>210349.83096912684</v>
      </c>
      <c r="CP31">
        <v>215608.57674335499</v>
      </c>
      <c r="CQ31">
        <v>215608.57674335499</v>
      </c>
      <c r="CR31">
        <v>215608.57674335499</v>
      </c>
      <c r="CS31">
        <v>215608.57674335499</v>
      </c>
      <c r="CT31">
        <v>215608.57674335499</v>
      </c>
      <c r="CU31">
        <v>215608.57674335499</v>
      </c>
      <c r="CV31">
        <v>215608.57674335499</v>
      </c>
      <c r="CW31">
        <v>215608.57674335499</v>
      </c>
      <c r="CX31">
        <v>215608.57674335499</v>
      </c>
      <c r="CY31">
        <v>215608.57674335499</v>
      </c>
      <c r="CZ31">
        <v>215608.57674335499</v>
      </c>
      <c r="DA31">
        <v>215608.57674335499</v>
      </c>
      <c r="DB31">
        <v>220998.79116193883</v>
      </c>
      <c r="DC31">
        <v>220998.79116193883</v>
      </c>
      <c r="DD31">
        <v>220998.79116193883</v>
      </c>
      <c r="DE31">
        <v>220998.79116193883</v>
      </c>
      <c r="DF31">
        <v>220998.79116193883</v>
      </c>
      <c r="DG31">
        <v>220998.79116193883</v>
      </c>
      <c r="DH31">
        <v>220998.79116193883</v>
      </c>
      <c r="DI31">
        <v>220998.79116193883</v>
      </c>
      <c r="DJ31">
        <v>220998.79116193883</v>
      </c>
      <c r="DK31">
        <v>220998.79116193883</v>
      </c>
      <c r="DL31">
        <v>220998.79116193883</v>
      </c>
      <c r="DM31">
        <v>220998.79116193883</v>
      </c>
      <c r="DN31">
        <v>226523.76094098727</v>
      </c>
      <c r="DO31">
        <v>226523.76094098727</v>
      </c>
      <c r="DP31">
        <v>226523.76094098727</v>
      </c>
      <c r="DQ31">
        <v>226523.76094098727</v>
      </c>
      <c r="DR31">
        <v>226523.76094098727</v>
      </c>
      <c r="DS31">
        <v>226523.76094098727</v>
      </c>
      <c r="DT31">
        <v>226523.76094098727</v>
      </c>
      <c r="DU31">
        <v>226523.76094098727</v>
      </c>
      <c r="DV31">
        <v>226523.76094098727</v>
      </c>
      <c r="DW31">
        <v>226523.76094098727</v>
      </c>
      <c r="DX31">
        <v>226523.76094098727</v>
      </c>
      <c r="DY31">
        <v>226523.76094098727</v>
      </c>
    </row>
    <row r="32" spans="3:129">
      <c r="E32" s="94" t="s">
        <v>132</v>
      </c>
      <c r="F32" s="94"/>
      <c r="G32" s="94" t="s">
        <v>128</v>
      </c>
      <c r="H32" s="94" cm="1">
        <f t="array" ref="H32">_xlfn.BYROW(_xlfn.ANCHORARRAY( J32), _xleta.SUM )</f>
        <v>125351221.56908268</v>
      </c>
      <c r="I32" s="94"/>
      <c r="J32" s="94" cm="1">
        <f t="array" ref="J32:DY32">_xlfn.BYCOL(_xlfn.ANCHORARRAY( J27), _xleta.SUM )</f>
        <v>932391.25</v>
      </c>
      <c r="K32" s="94">
        <v>932391.25</v>
      </c>
      <c r="L32" s="94">
        <v>932391.25</v>
      </c>
      <c r="M32" s="94">
        <v>932391.25</v>
      </c>
      <c r="N32" s="94">
        <v>932391.25</v>
      </c>
      <c r="O32" s="94">
        <v>932391.25</v>
      </c>
      <c r="P32" s="94">
        <v>932391.25</v>
      </c>
      <c r="Q32" s="94">
        <v>932391.25</v>
      </c>
      <c r="R32" s="94">
        <v>932391.25</v>
      </c>
      <c r="S32" s="94">
        <v>932391.25</v>
      </c>
      <c r="T32" s="94">
        <v>932391.25</v>
      </c>
      <c r="U32" s="94">
        <v>932391.25</v>
      </c>
      <c r="V32" s="94">
        <v>955701.03125</v>
      </c>
      <c r="W32" s="94">
        <v>955701.03125</v>
      </c>
      <c r="X32" s="94">
        <v>955701.03125</v>
      </c>
      <c r="Y32" s="94">
        <v>955701.03125</v>
      </c>
      <c r="Z32" s="94">
        <v>955701.03125</v>
      </c>
      <c r="AA32" s="94">
        <v>955701.03125</v>
      </c>
      <c r="AB32" s="94">
        <v>955701.03125</v>
      </c>
      <c r="AC32" s="94">
        <v>955701.03125</v>
      </c>
      <c r="AD32" s="94">
        <v>955701.03125</v>
      </c>
      <c r="AE32" s="94">
        <v>955701.03125</v>
      </c>
      <c r="AF32" s="94">
        <v>955701.03125</v>
      </c>
      <c r="AG32" s="94">
        <v>955701.03125</v>
      </c>
      <c r="AH32" s="94">
        <v>979593.55703124986</v>
      </c>
      <c r="AI32" s="94">
        <v>979593.55703124986</v>
      </c>
      <c r="AJ32" s="94">
        <v>979593.55703124986</v>
      </c>
      <c r="AK32" s="94">
        <v>979593.55703124986</v>
      </c>
      <c r="AL32" s="94">
        <v>979593.55703124986</v>
      </c>
      <c r="AM32" s="94">
        <v>979593.55703124986</v>
      </c>
      <c r="AN32" s="94">
        <v>979593.55703124986</v>
      </c>
      <c r="AO32" s="94">
        <v>979593.55703124986</v>
      </c>
      <c r="AP32" s="94">
        <v>979593.55703124986</v>
      </c>
      <c r="AQ32" s="94">
        <v>979593.55703124986</v>
      </c>
      <c r="AR32" s="94">
        <v>979593.55703124986</v>
      </c>
      <c r="AS32" s="94">
        <v>979593.55703124986</v>
      </c>
      <c r="AT32" s="94">
        <v>1004083.3959570311</v>
      </c>
      <c r="AU32" s="94">
        <v>1004083.3959570311</v>
      </c>
      <c r="AV32" s="94">
        <v>1004083.3959570311</v>
      </c>
      <c r="AW32" s="94">
        <v>1004083.3959570311</v>
      </c>
      <c r="AX32" s="94">
        <v>1004083.3959570311</v>
      </c>
      <c r="AY32" s="94">
        <v>1004083.3959570311</v>
      </c>
      <c r="AZ32" s="94">
        <v>1004083.3959570311</v>
      </c>
      <c r="BA32" s="94">
        <v>1004083.3959570311</v>
      </c>
      <c r="BB32" s="94">
        <v>1004083.3959570311</v>
      </c>
      <c r="BC32" s="94">
        <v>1004083.3959570311</v>
      </c>
      <c r="BD32" s="94">
        <v>1004083.3959570311</v>
      </c>
      <c r="BE32" s="94">
        <v>1004083.3959570311</v>
      </c>
      <c r="BF32" s="94">
        <v>1029185.4808559567</v>
      </c>
      <c r="BG32" s="94">
        <v>1029185.4808559567</v>
      </c>
      <c r="BH32" s="94">
        <v>1029185.4808559567</v>
      </c>
      <c r="BI32" s="94">
        <v>1029185.4808559567</v>
      </c>
      <c r="BJ32" s="94">
        <v>1029185.4808559567</v>
      </c>
      <c r="BK32" s="94">
        <v>1029185.4808559567</v>
      </c>
      <c r="BL32" s="94">
        <v>1029185.4808559567</v>
      </c>
      <c r="BM32" s="94">
        <v>1029185.4808559567</v>
      </c>
      <c r="BN32" s="94">
        <v>1029185.4808559567</v>
      </c>
      <c r="BO32" s="94">
        <v>1029185.4808559567</v>
      </c>
      <c r="BP32" s="94">
        <v>1029185.4808559567</v>
      </c>
      <c r="BQ32" s="94">
        <v>1029185.4808559567</v>
      </c>
      <c r="BR32" s="94">
        <v>1054915.1178773555</v>
      </c>
      <c r="BS32" s="94">
        <v>1054915.1178773555</v>
      </c>
      <c r="BT32" s="94">
        <v>1054915.1178773555</v>
      </c>
      <c r="BU32" s="94">
        <v>1054915.1178773555</v>
      </c>
      <c r="BV32" s="94">
        <v>1054915.1178773555</v>
      </c>
      <c r="BW32" s="94">
        <v>1054915.1178773555</v>
      </c>
      <c r="BX32" s="94">
        <v>1054915.1178773555</v>
      </c>
      <c r="BY32" s="94">
        <v>1054915.1178773555</v>
      </c>
      <c r="BZ32" s="94">
        <v>1054915.1178773555</v>
      </c>
      <c r="CA32" s="94">
        <v>1054915.1178773555</v>
      </c>
      <c r="CB32" s="94">
        <v>1054915.1178773555</v>
      </c>
      <c r="CC32" s="94">
        <v>1054915.1178773555</v>
      </c>
      <c r="CD32" s="94">
        <v>1081287.9958242893</v>
      </c>
      <c r="CE32" s="94">
        <v>1081287.9958242893</v>
      </c>
      <c r="CF32" s="94">
        <v>1081287.9958242893</v>
      </c>
      <c r="CG32" s="94">
        <v>1081287.9958242893</v>
      </c>
      <c r="CH32" s="94">
        <v>1081287.9958242893</v>
      </c>
      <c r="CI32" s="94">
        <v>1081287.9958242893</v>
      </c>
      <c r="CJ32" s="94">
        <v>1081287.9958242893</v>
      </c>
      <c r="CK32" s="94">
        <v>1081287.9958242893</v>
      </c>
      <c r="CL32" s="94">
        <v>1081287.9958242893</v>
      </c>
      <c r="CM32" s="94">
        <v>1081287.9958242893</v>
      </c>
      <c r="CN32" s="94">
        <v>1081287.9958242893</v>
      </c>
      <c r="CO32" s="94">
        <v>1081287.9958242893</v>
      </c>
      <c r="CP32" s="94">
        <v>1108320.1957198964</v>
      </c>
      <c r="CQ32" s="94">
        <v>1108320.1957198964</v>
      </c>
      <c r="CR32" s="94">
        <v>1108320.1957198964</v>
      </c>
      <c r="CS32" s="94">
        <v>1108320.1957198964</v>
      </c>
      <c r="CT32" s="94">
        <v>1108320.1957198964</v>
      </c>
      <c r="CU32" s="94">
        <v>1108320.1957198964</v>
      </c>
      <c r="CV32" s="94">
        <v>1108320.1957198964</v>
      </c>
      <c r="CW32" s="94">
        <v>1108320.1957198964</v>
      </c>
      <c r="CX32" s="94">
        <v>1108320.1957198964</v>
      </c>
      <c r="CY32" s="94">
        <v>1108320.1957198964</v>
      </c>
      <c r="CZ32" s="94">
        <v>1108320.1957198964</v>
      </c>
      <c r="DA32" s="94">
        <v>1108320.1957198964</v>
      </c>
      <c r="DB32" s="94">
        <v>1136028.2006128938</v>
      </c>
      <c r="DC32" s="94">
        <v>1136028.2006128938</v>
      </c>
      <c r="DD32" s="94">
        <v>1136028.2006128938</v>
      </c>
      <c r="DE32" s="94">
        <v>1136028.2006128938</v>
      </c>
      <c r="DF32" s="94">
        <v>1136028.2006128938</v>
      </c>
      <c r="DG32" s="94">
        <v>1136028.2006128938</v>
      </c>
      <c r="DH32" s="94">
        <v>1136028.2006128938</v>
      </c>
      <c r="DI32" s="94">
        <v>1136028.2006128938</v>
      </c>
      <c r="DJ32" s="94">
        <v>1136028.2006128938</v>
      </c>
      <c r="DK32" s="94">
        <v>1136028.2006128938</v>
      </c>
      <c r="DL32" s="94">
        <v>1136028.2006128938</v>
      </c>
      <c r="DM32" s="94">
        <v>1136028.2006128938</v>
      </c>
      <c r="DN32" s="94">
        <v>1164428.905628216</v>
      </c>
      <c r="DO32" s="94">
        <v>1164428.905628216</v>
      </c>
      <c r="DP32" s="94">
        <v>1164428.905628216</v>
      </c>
      <c r="DQ32" s="94">
        <v>1164428.905628216</v>
      </c>
      <c r="DR32" s="94">
        <v>1164428.905628216</v>
      </c>
      <c r="DS32" s="94">
        <v>1164428.905628216</v>
      </c>
      <c r="DT32" s="94">
        <v>1164428.905628216</v>
      </c>
      <c r="DU32" s="94">
        <v>1164428.905628216</v>
      </c>
      <c r="DV32" s="94">
        <v>1164428.905628216</v>
      </c>
      <c r="DW32" s="94">
        <v>1164428.905628216</v>
      </c>
      <c r="DX32" s="94">
        <v>1164428.905628216</v>
      </c>
      <c r="DY32" s="94">
        <v>1164428.905628216</v>
      </c>
    </row>
    <row r="34" spans="1:129" s="81" customFormat="1">
      <c r="A34" s="82" t="s">
        <v>134</v>
      </c>
    </row>
    <row r="37" spans="1:129">
      <c r="C37" s="88" t="s">
        <v>135</v>
      </c>
    </row>
    <row r="38" spans="1:129">
      <c r="C38" s="93" t="s">
        <v>133</v>
      </c>
    </row>
    <row r="39" spans="1:129">
      <c r="E39" t="str" cm="1">
        <f t="array" ref="E39:E48" xml:space="preserve"> _xlfn.LET(
      _xlpm.property_data,    CaseData!$A$15:$H$24,
      _xlfn.CHOOSECOLS( _xlpm.property_data, 1 ) )</f>
        <v>Property F</v>
      </c>
      <c r="G39" t="s">
        <v>128</v>
      </c>
      <c r="J39" cm="1">
        <f t="array" ref="J39:DY48" xml:space="preserve"> _xlfn.LET(
      _xlpm.timeline,_xlfn.ANCHORARRAY(          $J$3),
      _xlpm.properties_data,   CaseData!$A$15:$H$24,
      _xlpm.project_start,     IF( $F$9 = 0, 0, 12 ),
      _xlpm.land_acquisition,       _xlfn.MAKEARRAY( ROWS( _xlpm.properties_data ), COLUMNS( _xlpm.timeline ),
                                             _xlfn.LAMBDA(_xlpm.r,_xlpm.c,
                                              IF( INDEX( _xlpm.timeline, _xlpm.c ) = EOMONTH( INDEX( _xlpm.properties_data, _xlpm.r, 6), _xlpm.project_start),
                                                  INDEX( _xlpm.properties_data, _xlpm.r, 4),
                                                  0 ) ) ),
      _xlpm.inflation_flag,    IF( MONTH( _xlpm.timeline ) = 1, 1, 0  ),
      _xlpm.inflation_data,    CaseData!$J$15:$M$24,
      _xlpm.annual_rate,       _xlfn.XLOOKUP( YEAR( _xlpm.timeline ), INDEX( _xlpm.inflation_data,, 1 ), INDEX( _xlpm.inflation_data,, 4 ) ),
      _xlpm.effective_step,    _xlpm.inflation_flag * _xlpm.annual_rate,
      _xlpm.inflation_factor,  _xlfn.SCAN( 1, _xlpm.effective_step, _xlfn.LAMBDA(_xlpm.prev,_xlpm.step, IF( _xlpm.step = 0, _xlpm.prev, _xlpm.prev * ( 1 + _xlpm.step ) ) ) ),
      _xlpm.land_acquisition * _xlpm.inflation_factor )</f>
        <v>4316130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</row>
    <row r="40" spans="1:129">
      <c r="E40" t="str">
        <v>Property G</v>
      </c>
      <c r="G40" t="s">
        <v>128</v>
      </c>
      <c r="J40">
        <v>0</v>
      </c>
      <c r="K40">
        <v>0</v>
      </c>
      <c r="L40">
        <v>0</v>
      </c>
      <c r="M40">
        <v>3908898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</row>
    <row r="41" spans="1:129">
      <c r="E41" t="str">
        <v>Property H</v>
      </c>
      <c r="G41" t="s">
        <v>128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4936701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</row>
    <row r="42" spans="1:129">
      <c r="E42" t="str">
        <v>Property I</v>
      </c>
      <c r="G42" t="s">
        <v>128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6597360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</row>
    <row r="43" spans="1:129">
      <c r="E43" t="str">
        <v>Property J</v>
      </c>
      <c r="G43" t="s">
        <v>128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4793841.3600000003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</row>
    <row r="44" spans="1:129">
      <c r="E44" t="str">
        <v>Property K</v>
      </c>
      <c r="G44" t="s">
        <v>128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3262091.3325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</row>
    <row r="45" spans="1:129">
      <c r="E45" t="str">
        <v>Property L</v>
      </c>
      <c r="G45" t="s">
        <v>128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7810190.3880000003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</row>
    <row r="46" spans="1:129">
      <c r="E46" t="str">
        <v>Property M</v>
      </c>
      <c r="G46" t="s">
        <v>128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4223861.2416000003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</row>
    <row r="47" spans="1:129">
      <c r="E47" t="str">
        <v>Property N</v>
      </c>
      <c r="G47" t="s">
        <v>128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6440334.2083079992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</row>
    <row r="48" spans="1:129">
      <c r="E48" t="str">
        <v>Property O</v>
      </c>
      <c r="G48" t="s">
        <v>128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6385768.3169279993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</row>
    <row r="49" spans="3:129">
      <c r="E49" s="94" t="s">
        <v>135</v>
      </c>
      <c r="F49" s="94"/>
      <c r="G49" s="94" t="s">
        <v>128</v>
      </c>
      <c r="H49" s="94"/>
      <c r="I49" s="94"/>
      <c r="J49" s="94" cm="1">
        <f t="array" ref="J49:DY49" xml:space="preserve"> _xlfn.BYCOL(_xlfn.ANCHORARRAY( J39), _xleta.SUM )</f>
        <v>4316130</v>
      </c>
      <c r="K49" s="94">
        <v>0</v>
      </c>
      <c r="L49" s="94">
        <v>0</v>
      </c>
      <c r="M49" s="94">
        <v>3908898</v>
      </c>
      <c r="N49" s="94">
        <v>0</v>
      </c>
      <c r="O49" s="94">
        <v>0</v>
      </c>
      <c r="P49" s="94">
        <v>4936701</v>
      </c>
      <c r="Q49" s="94">
        <v>0</v>
      </c>
      <c r="R49" s="94">
        <v>0</v>
      </c>
      <c r="S49" s="94">
        <v>6597360</v>
      </c>
      <c r="T49" s="94">
        <v>0</v>
      </c>
      <c r="U49" s="94">
        <v>0</v>
      </c>
      <c r="V49" s="94">
        <v>4793841.3600000003</v>
      </c>
      <c r="W49" s="94">
        <v>0</v>
      </c>
      <c r="X49" s="94">
        <v>0</v>
      </c>
      <c r="Y49" s="94">
        <v>3262091.3325</v>
      </c>
      <c r="Z49" s="94">
        <v>0</v>
      </c>
      <c r="AA49" s="94">
        <v>0</v>
      </c>
      <c r="AB49" s="94">
        <v>0</v>
      </c>
      <c r="AC49" s="94">
        <v>0</v>
      </c>
      <c r="AD49" s="94">
        <v>0</v>
      </c>
      <c r="AE49" s="94">
        <v>0</v>
      </c>
      <c r="AF49" s="94">
        <v>0</v>
      </c>
      <c r="AG49" s="94">
        <v>0</v>
      </c>
      <c r="AH49" s="94">
        <v>7810190.3880000003</v>
      </c>
      <c r="AI49" s="94">
        <v>0</v>
      </c>
      <c r="AJ49" s="94">
        <v>0</v>
      </c>
      <c r="AK49" s="94">
        <v>4223861.2416000003</v>
      </c>
      <c r="AL49" s="94">
        <v>0</v>
      </c>
      <c r="AM49" s="94">
        <v>0</v>
      </c>
      <c r="AN49" s="94">
        <v>0</v>
      </c>
      <c r="AO49" s="94">
        <v>0</v>
      </c>
      <c r="AP49" s="94">
        <v>0</v>
      </c>
      <c r="AQ49" s="94">
        <v>0</v>
      </c>
      <c r="AR49" s="94">
        <v>0</v>
      </c>
      <c r="AS49" s="94">
        <v>0</v>
      </c>
      <c r="AT49" s="94">
        <v>6440334.2083079992</v>
      </c>
      <c r="AU49" s="94">
        <v>0</v>
      </c>
      <c r="AV49" s="94">
        <v>0</v>
      </c>
      <c r="AW49" s="94">
        <v>0</v>
      </c>
      <c r="AX49" s="94">
        <v>0</v>
      </c>
      <c r="AY49" s="94">
        <v>0</v>
      </c>
      <c r="AZ49" s="94">
        <v>6385768.3169279993</v>
      </c>
      <c r="BA49" s="94">
        <v>0</v>
      </c>
      <c r="BB49" s="94">
        <v>0</v>
      </c>
      <c r="BC49" s="94">
        <v>0</v>
      </c>
      <c r="BD49" s="94">
        <v>0</v>
      </c>
      <c r="BE49" s="94">
        <v>0</v>
      </c>
      <c r="BF49" s="94">
        <v>0</v>
      </c>
      <c r="BG49" s="94">
        <v>0</v>
      </c>
      <c r="BH49" s="94">
        <v>0</v>
      </c>
      <c r="BI49" s="94">
        <v>0</v>
      </c>
      <c r="BJ49" s="94">
        <v>0</v>
      </c>
      <c r="BK49" s="94">
        <v>0</v>
      </c>
      <c r="BL49" s="94">
        <v>0</v>
      </c>
      <c r="BM49" s="94">
        <v>0</v>
      </c>
      <c r="BN49" s="94">
        <v>0</v>
      </c>
      <c r="BO49" s="94">
        <v>0</v>
      </c>
      <c r="BP49" s="94">
        <v>0</v>
      </c>
      <c r="BQ49" s="94">
        <v>0</v>
      </c>
      <c r="BR49" s="94">
        <v>0</v>
      </c>
      <c r="BS49" s="94">
        <v>0</v>
      </c>
      <c r="BT49" s="94">
        <v>0</v>
      </c>
      <c r="BU49" s="94">
        <v>0</v>
      </c>
      <c r="BV49" s="94">
        <v>0</v>
      </c>
      <c r="BW49" s="94">
        <v>0</v>
      </c>
      <c r="BX49" s="94">
        <v>0</v>
      </c>
      <c r="BY49" s="94">
        <v>0</v>
      </c>
      <c r="BZ49" s="94">
        <v>0</v>
      </c>
      <c r="CA49" s="94">
        <v>0</v>
      </c>
      <c r="CB49" s="94">
        <v>0</v>
      </c>
      <c r="CC49" s="94">
        <v>0</v>
      </c>
      <c r="CD49" s="94">
        <v>0</v>
      </c>
      <c r="CE49" s="94">
        <v>0</v>
      </c>
      <c r="CF49" s="94">
        <v>0</v>
      </c>
      <c r="CG49" s="94">
        <v>0</v>
      </c>
      <c r="CH49" s="94">
        <v>0</v>
      </c>
      <c r="CI49" s="94">
        <v>0</v>
      </c>
      <c r="CJ49" s="94">
        <v>0</v>
      </c>
      <c r="CK49" s="94">
        <v>0</v>
      </c>
      <c r="CL49" s="94">
        <v>0</v>
      </c>
      <c r="CM49" s="94">
        <v>0</v>
      </c>
      <c r="CN49" s="94">
        <v>0</v>
      </c>
      <c r="CO49" s="94">
        <v>0</v>
      </c>
      <c r="CP49" s="94">
        <v>0</v>
      </c>
      <c r="CQ49" s="94">
        <v>0</v>
      </c>
      <c r="CR49" s="94">
        <v>0</v>
      </c>
      <c r="CS49" s="94">
        <v>0</v>
      </c>
      <c r="CT49" s="94">
        <v>0</v>
      </c>
      <c r="CU49" s="94">
        <v>0</v>
      </c>
      <c r="CV49" s="94">
        <v>0</v>
      </c>
      <c r="CW49" s="94">
        <v>0</v>
      </c>
      <c r="CX49" s="94">
        <v>0</v>
      </c>
      <c r="CY49" s="94">
        <v>0</v>
      </c>
      <c r="CZ49" s="94">
        <v>0</v>
      </c>
      <c r="DA49" s="94">
        <v>0</v>
      </c>
      <c r="DB49" s="94">
        <v>0</v>
      </c>
      <c r="DC49" s="94">
        <v>0</v>
      </c>
      <c r="DD49" s="94">
        <v>0</v>
      </c>
      <c r="DE49" s="94">
        <v>0</v>
      </c>
      <c r="DF49" s="94">
        <v>0</v>
      </c>
      <c r="DG49" s="94">
        <v>0</v>
      </c>
      <c r="DH49" s="94">
        <v>0</v>
      </c>
      <c r="DI49" s="94">
        <v>0</v>
      </c>
      <c r="DJ49" s="94">
        <v>0</v>
      </c>
      <c r="DK49" s="94">
        <v>0</v>
      </c>
      <c r="DL49" s="94">
        <v>0</v>
      </c>
      <c r="DM49" s="94">
        <v>0</v>
      </c>
      <c r="DN49" s="94">
        <v>0</v>
      </c>
      <c r="DO49" s="94">
        <v>0</v>
      </c>
      <c r="DP49" s="94">
        <v>0</v>
      </c>
      <c r="DQ49" s="94">
        <v>0</v>
      </c>
      <c r="DR49" s="94">
        <v>0</v>
      </c>
      <c r="DS49" s="94">
        <v>0</v>
      </c>
      <c r="DT49" s="94">
        <v>0</v>
      </c>
      <c r="DU49" s="94">
        <v>0</v>
      </c>
      <c r="DV49" s="94">
        <v>0</v>
      </c>
      <c r="DW49" s="94">
        <v>0</v>
      </c>
      <c r="DX49" s="94">
        <v>0</v>
      </c>
      <c r="DY49" s="94">
        <v>0</v>
      </c>
    </row>
    <row r="50" spans="3:129"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5"/>
      <c r="DT50" s="95"/>
      <c r="DU50" s="95"/>
      <c r="DV50" s="95"/>
      <c r="DW50" s="95"/>
      <c r="DX50" s="95"/>
      <c r="DY50" s="95"/>
    </row>
    <row r="52" spans="3:129">
      <c r="C52" s="88" t="s">
        <v>136</v>
      </c>
    </row>
    <row r="53" spans="3:129">
      <c r="C53" s="93" t="s">
        <v>133</v>
      </c>
    </row>
    <row r="54" spans="3:129">
      <c r="E54" t="str" cm="1">
        <f t="array" ref="E54:E63" xml:space="preserve"> _xlfn.LET(
      _xlpm.property_data,    CaseData!$A$15:$H$24,
      _xlfn.CHOOSECOLS( _xlpm.property_data, 1 ) )</f>
        <v>Property F</v>
      </c>
      <c r="G54" t="s">
        <v>128</v>
      </c>
      <c r="J54" s="85" cm="1">
        <f t="array" ref="J54:DY63" xml:space="preserve"> _xlfn.LET(
      _xlpm.timeline,_xlfn.ANCHORARRAY(              $J$3),
      _xlpm.property_data,         CaseData!$A$15:$H$24,
      _xlpm.construction_costs,    INDEX( _xlpm.property_data,, 5 ),
      _xlpm.purchase_date,         INDEX( _xlpm.property_data,, 6 ),
      _xlpm.preparation_months,    INDEX( _xlpm.property_data,, 7 ),
      _xlpm.months_of_construction,INDEX( _xlpm.property_data,, 8 ),
      _xlpm.delay,                 IF( $F$9 = 0, 0, 12 ),
      _xlpm.construction_start,    _xlfn.MAKEARRAY( ROWS( _xlpm.property_data ), 1,
                               _xlfn.LAMBDA(_xlpm.r,_xlpm.c, EOMONTH( INDEX( _xlpm.purchase_date, _xlpm.r ), INDEX( _xlpm.preparation_months, _xlpm.r ) + _xlpm.delay ) ) ),
      _xlpm.construction_duration, _xlfn.MAKEARRAY( ROWS( _xlpm.property_data ), COLUMNS( _xlpm.timeline ),
                               _xlfn.LAMBDA(_xlpm.r,_xlpm.c, IF( ( INDEX( _xlpm.timeline,, _xlpm.c ) &gt;= INDEX( _xlpm.construction_start, _xlpm.r, 1 ) ) *
                                                 ( INDEX( _xlpm.timeline,, _xlpm.c ) &lt; EOMONTH( INDEX( _xlpm.construction_start, _xlpm.r, 1 ), INDEX( _xlpm.months_of_construction, _xlpm.r ) ) ), 1, 0 ) ) ),
      _xlpm.construction_bell,    CaseData!$B$30:$N$53,
      _xlpm.construction_length,  CaseData!$B$29:$N$29,
      _xlpm.construction_month,   CaseData!$A$30:$A$53,
      _xlpm.elapsed_month,        _xlfn.MAKEARRAY( ROWS( _xlpm.property_data ), COLUMNS( _xlpm.timeline ),
                                _xlfn.LAMBDA(_xlpm.r,_xlpm.c, SUM( INDEX( _xlpm.construction_duration, _xlpm.r, _xlfn.SEQUENCE( 1, _xlpm.c ) ) ) ) ),
      _xlpm.POC,                  _xlfn.IFNA( INDEX( _xlpm.construction_bell, MATCH( _xlpm.elapsed_month, _xlpm.construction_month, 0 ), MATCH( _xlpm.months_of_construction, _xlpm.construction_length, 0  ) ), 0 ) * _xlpm.construction_duration,
      _xlpm.inflation_flag,            IF( MONTH( _xlpm.timeline ) = 1, 1, 0 ),
      _xlpm.inflation_data,            CaseData!$J$15:$M$24,
      _xlpm.annual_rate,               _xlfn.XLOOKUP( YEAR( _xlpm.timeline ), INDEX( _xlpm.inflation_data,, 1 ), INDEX( _xlpm.inflation_data,, 3 ) ),
      _xlpm.effective_step,            _xlpm.inflation_flag * _xlpm.annual_rate,
      _xlpm.inflation_factor,          _xlfn.SCAN( 1, _xlpm.effective_step, _xlfn.LAMBDA(_xlpm.prev,_xlpm.step, _xlpm.prev * ( 1 + _xlpm.step ) ) ),
      _xlpm.locked_factor,             _xlfn.XLOOKUP( _xlpm.construction_start, _xlpm.timeline, _xlpm.inflation_factor ),
      ( _xlpm.construction_costs * _xlpm.locked_factor ) * _xlpm.POC )</f>
        <v>0</v>
      </c>
      <c r="K54" s="85">
        <v>0</v>
      </c>
      <c r="L54" s="85">
        <v>0</v>
      </c>
      <c r="M54" s="85">
        <v>0</v>
      </c>
      <c r="N54" s="85">
        <v>948007.125</v>
      </c>
      <c r="O54" s="85">
        <v>1053341.25</v>
      </c>
      <c r="P54" s="85">
        <v>1264009.5</v>
      </c>
      <c r="Q54" s="85">
        <v>1474677.7500000002</v>
      </c>
      <c r="R54" s="85">
        <v>1685346</v>
      </c>
      <c r="S54" s="85">
        <v>2106682.5</v>
      </c>
      <c r="T54" s="85">
        <v>2949355.5000000005</v>
      </c>
      <c r="U54" s="85">
        <v>4213365</v>
      </c>
      <c r="V54" s="85">
        <v>4634701.5</v>
      </c>
      <c r="W54" s="85">
        <v>4634701.5</v>
      </c>
      <c r="X54" s="85">
        <v>4634701.5</v>
      </c>
      <c r="Y54" s="85">
        <v>3792028.5</v>
      </c>
      <c r="Z54" s="85">
        <v>3370692</v>
      </c>
      <c r="AA54" s="85">
        <v>2949355.5000000005</v>
      </c>
      <c r="AB54" s="85">
        <v>2422684.875</v>
      </c>
      <c r="AC54" s="85">
        <v>0</v>
      </c>
      <c r="AD54" s="85">
        <v>0</v>
      </c>
      <c r="AE54" s="85">
        <v>0</v>
      </c>
      <c r="AF54" s="85">
        <v>0</v>
      </c>
      <c r="AG54" s="85">
        <v>0</v>
      </c>
      <c r="AH54" s="85">
        <v>0</v>
      </c>
      <c r="AI54" s="85">
        <v>0</v>
      </c>
      <c r="AJ54" s="85">
        <v>0</v>
      </c>
      <c r="AK54" s="85">
        <v>0</v>
      </c>
      <c r="AL54" s="85">
        <v>0</v>
      </c>
      <c r="AM54" s="85">
        <v>0</v>
      </c>
      <c r="AN54" s="85">
        <v>0</v>
      </c>
      <c r="AO54" s="85">
        <v>0</v>
      </c>
      <c r="AP54" s="85">
        <v>0</v>
      </c>
      <c r="AQ54" s="85">
        <v>0</v>
      </c>
      <c r="AR54" s="85">
        <v>0</v>
      </c>
      <c r="AS54" s="85">
        <v>0</v>
      </c>
      <c r="AT54" s="85">
        <v>0</v>
      </c>
      <c r="AU54" s="85">
        <v>0</v>
      </c>
      <c r="AV54" s="85">
        <v>0</v>
      </c>
      <c r="AW54" s="85">
        <v>0</v>
      </c>
      <c r="AX54" s="85">
        <v>0</v>
      </c>
      <c r="AY54" s="85">
        <v>0</v>
      </c>
      <c r="AZ54" s="85">
        <v>0</v>
      </c>
      <c r="BA54" s="85">
        <v>0</v>
      </c>
      <c r="BB54" s="85">
        <v>0</v>
      </c>
      <c r="BC54" s="85">
        <v>0</v>
      </c>
      <c r="BD54" s="85">
        <v>0</v>
      </c>
      <c r="BE54" s="85">
        <v>0</v>
      </c>
      <c r="BF54" s="85">
        <v>0</v>
      </c>
      <c r="BG54" s="85">
        <v>0</v>
      </c>
      <c r="BH54" s="85">
        <v>0</v>
      </c>
      <c r="BI54" s="85">
        <v>0</v>
      </c>
      <c r="BJ54" s="85">
        <v>0</v>
      </c>
      <c r="BK54" s="85">
        <v>0</v>
      </c>
      <c r="BL54" s="85">
        <v>0</v>
      </c>
      <c r="BM54" s="85">
        <v>0</v>
      </c>
      <c r="BN54" s="85">
        <v>0</v>
      </c>
      <c r="BO54" s="85">
        <v>0</v>
      </c>
      <c r="BP54" s="85">
        <v>0</v>
      </c>
      <c r="BQ54" s="85">
        <v>0</v>
      </c>
      <c r="BR54" s="85">
        <v>0</v>
      </c>
      <c r="BS54" s="85">
        <v>0</v>
      </c>
      <c r="BT54" s="85">
        <v>0</v>
      </c>
      <c r="BU54" s="85">
        <v>0</v>
      </c>
      <c r="BV54" s="85">
        <v>0</v>
      </c>
      <c r="BW54" s="85">
        <v>0</v>
      </c>
      <c r="BX54" s="85">
        <v>0</v>
      </c>
      <c r="BY54" s="85">
        <v>0</v>
      </c>
      <c r="BZ54" s="85">
        <v>0</v>
      </c>
      <c r="CA54" s="85">
        <v>0</v>
      </c>
      <c r="CB54" s="85">
        <v>0</v>
      </c>
      <c r="CC54" s="85">
        <v>0</v>
      </c>
      <c r="CD54" s="85">
        <v>0</v>
      </c>
      <c r="CE54" s="85">
        <v>0</v>
      </c>
      <c r="CF54" s="85">
        <v>0</v>
      </c>
      <c r="CG54" s="85">
        <v>0</v>
      </c>
      <c r="CH54" s="85">
        <v>0</v>
      </c>
      <c r="CI54" s="85">
        <v>0</v>
      </c>
      <c r="CJ54" s="85">
        <v>0</v>
      </c>
      <c r="CK54" s="85">
        <v>0</v>
      </c>
      <c r="CL54" s="85">
        <v>0</v>
      </c>
      <c r="CM54" s="85">
        <v>0</v>
      </c>
      <c r="CN54" s="85">
        <v>0</v>
      </c>
      <c r="CO54" s="85">
        <v>0</v>
      </c>
      <c r="CP54" s="85">
        <v>0</v>
      </c>
      <c r="CQ54" s="85">
        <v>0</v>
      </c>
      <c r="CR54" s="85">
        <v>0</v>
      </c>
      <c r="CS54" s="85">
        <v>0</v>
      </c>
      <c r="CT54" s="85">
        <v>0</v>
      </c>
      <c r="CU54" s="85">
        <v>0</v>
      </c>
      <c r="CV54" s="85">
        <v>0</v>
      </c>
      <c r="CW54" s="85">
        <v>0</v>
      </c>
      <c r="CX54" s="85">
        <v>0</v>
      </c>
      <c r="CY54" s="85">
        <v>0</v>
      </c>
      <c r="CZ54" s="85">
        <v>0</v>
      </c>
      <c r="DA54" s="85">
        <v>0</v>
      </c>
      <c r="DB54" s="85">
        <v>0</v>
      </c>
      <c r="DC54" s="85">
        <v>0</v>
      </c>
      <c r="DD54" s="85">
        <v>0</v>
      </c>
      <c r="DE54" s="85">
        <v>0</v>
      </c>
      <c r="DF54" s="85">
        <v>0</v>
      </c>
      <c r="DG54" s="85">
        <v>0</v>
      </c>
      <c r="DH54" s="85">
        <v>0</v>
      </c>
      <c r="DI54" s="85">
        <v>0</v>
      </c>
      <c r="DJ54" s="85">
        <v>0</v>
      </c>
      <c r="DK54" s="85">
        <v>0</v>
      </c>
      <c r="DL54" s="85">
        <v>0</v>
      </c>
      <c r="DM54" s="85">
        <v>0</v>
      </c>
      <c r="DN54" s="85">
        <v>0</v>
      </c>
      <c r="DO54" s="85">
        <v>0</v>
      </c>
      <c r="DP54" s="85">
        <v>0</v>
      </c>
      <c r="DQ54" s="85">
        <v>0</v>
      </c>
      <c r="DR54" s="85">
        <v>0</v>
      </c>
      <c r="DS54" s="85">
        <v>0</v>
      </c>
      <c r="DT54" s="85">
        <v>0</v>
      </c>
      <c r="DU54" s="85">
        <v>0</v>
      </c>
      <c r="DV54" s="85">
        <v>0</v>
      </c>
      <c r="DW54" s="85">
        <v>0</v>
      </c>
      <c r="DX54" s="85">
        <v>0</v>
      </c>
      <c r="DY54" s="85">
        <v>0</v>
      </c>
    </row>
    <row r="55" spans="3:129">
      <c r="E55" t="str">
        <v>Property G</v>
      </c>
      <c r="G55" t="s">
        <v>128</v>
      </c>
      <c r="J55" s="85">
        <v>0</v>
      </c>
      <c r="K55" s="85">
        <v>0</v>
      </c>
      <c r="L55" s="85">
        <v>0</v>
      </c>
      <c r="M55" s="85">
        <v>0</v>
      </c>
      <c r="N55" s="85">
        <v>0</v>
      </c>
      <c r="O55" s="85">
        <v>0</v>
      </c>
      <c r="P55" s="85">
        <v>0</v>
      </c>
      <c r="Q55" s="85">
        <v>0</v>
      </c>
      <c r="R55" s="85">
        <v>635971.49999999988</v>
      </c>
      <c r="S55" s="85">
        <v>953957.24999999988</v>
      </c>
      <c r="T55" s="85">
        <v>1271942.9999999998</v>
      </c>
      <c r="U55" s="85">
        <v>1589928.75</v>
      </c>
      <c r="V55" s="85">
        <v>1907914.4999999998</v>
      </c>
      <c r="W55" s="85">
        <v>2543885.9999999995</v>
      </c>
      <c r="X55" s="85">
        <v>3179857.5</v>
      </c>
      <c r="Y55" s="85">
        <v>3815828.9999999995</v>
      </c>
      <c r="Z55" s="85">
        <v>4451800.5</v>
      </c>
      <c r="AA55" s="85">
        <v>5087771.9999999991</v>
      </c>
      <c r="AB55" s="85">
        <v>4451800.5</v>
      </c>
      <c r="AC55" s="85">
        <v>1907914.4999999998</v>
      </c>
      <c r="AD55" s="85">
        <v>0</v>
      </c>
      <c r="AE55" s="85">
        <v>0</v>
      </c>
      <c r="AF55" s="85">
        <v>0</v>
      </c>
      <c r="AG55" s="85">
        <v>0</v>
      </c>
      <c r="AH55" s="85">
        <v>0</v>
      </c>
      <c r="AI55" s="85">
        <v>0</v>
      </c>
      <c r="AJ55" s="85">
        <v>0</v>
      </c>
      <c r="AK55" s="85">
        <v>0</v>
      </c>
      <c r="AL55" s="85">
        <v>0</v>
      </c>
      <c r="AM55" s="85">
        <v>0</v>
      </c>
      <c r="AN55" s="85">
        <v>0</v>
      </c>
      <c r="AO55" s="85">
        <v>0</v>
      </c>
      <c r="AP55" s="85">
        <v>0</v>
      </c>
      <c r="AQ55" s="85">
        <v>0</v>
      </c>
      <c r="AR55" s="85">
        <v>0</v>
      </c>
      <c r="AS55" s="85">
        <v>0</v>
      </c>
      <c r="AT55" s="85">
        <v>0</v>
      </c>
      <c r="AU55" s="85">
        <v>0</v>
      </c>
      <c r="AV55" s="85">
        <v>0</v>
      </c>
      <c r="AW55" s="85">
        <v>0</v>
      </c>
      <c r="AX55" s="85">
        <v>0</v>
      </c>
      <c r="AY55" s="85">
        <v>0</v>
      </c>
      <c r="AZ55" s="85">
        <v>0</v>
      </c>
      <c r="BA55" s="85">
        <v>0</v>
      </c>
      <c r="BB55" s="85">
        <v>0</v>
      </c>
      <c r="BC55" s="85">
        <v>0</v>
      </c>
      <c r="BD55" s="85">
        <v>0</v>
      </c>
      <c r="BE55" s="85">
        <v>0</v>
      </c>
      <c r="BF55" s="85">
        <v>0</v>
      </c>
      <c r="BG55" s="85">
        <v>0</v>
      </c>
      <c r="BH55" s="85">
        <v>0</v>
      </c>
      <c r="BI55" s="85">
        <v>0</v>
      </c>
      <c r="BJ55" s="85">
        <v>0</v>
      </c>
      <c r="BK55" s="85">
        <v>0</v>
      </c>
      <c r="BL55" s="85">
        <v>0</v>
      </c>
      <c r="BM55" s="85">
        <v>0</v>
      </c>
      <c r="BN55" s="85">
        <v>0</v>
      </c>
      <c r="BO55" s="85">
        <v>0</v>
      </c>
      <c r="BP55" s="85">
        <v>0</v>
      </c>
      <c r="BQ55" s="85">
        <v>0</v>
      </c>
      <c r="BR55" s="85">
        <v>0</v>
      </c>
      <c r="BS55" s="85">
        <v>0</v>
      </c>
      <c r="BT55" s="85">
        <v>0</v>
      </c>
      <c r="BU55" s="85">
        <v>0</v>
      </c>
      <c r="BV55" s="85">
        <v>0</v>
      </c>
      <c r="BW55" s="85">
        <v>0</v>
      </c>
      <c r="BX55" s="85">
        <v>0</v>
      </c>
      <c r="BY55" s="85">
        <v>0</v>
      </c>
      <c r="BZ55" s="85">
        <v>0</v>
      </c>
      <c r="CA55" s="85">
        <v>0</v>
      </c>
      <c r="CB55" s="85">
        <v>0</v>
      </c>
      <c r="CC55" s="85">
        <v>0</v>
      </c>
      <c r="CD55" s="85">
        <v>0</v>
      </c>
      <c r="CE55" s="85">
        <v>0</v>
      </c>
      <c r="CF55" s="85">
        <v>0</v>
      </c>
      <c r="CG55" s="85">
        <v>0</v>
      </c>
      <c r="CH55" s="85">
        <v>0</v>
      </c>
      <c r="CI55" s="85">
        <v>0</v>
      </c>
      <c r="CJ55" s="85">
        <v>0</v>
      </c>
      <c r="CK55" s="85">
        <v>0</v>
      </c>
      <c r="CL55" s="85">
        <v>0</v>
      </c>
      <c r="CM55" s="85">
        <v>0</v>
      </c>
      <c r="CN55" s="85">
        <v>0</v>
      </c>
      <c r="CO55" s="85">
        <v>0</v>
      </c>
      <c r="CP55" s="85">
        <v>0</v>
      </c>
      <c r="CQ55" s="85">
        <v>0</v>
      </c>
      <c r="CR55" s="85">
        <v>0</v>
      </c>
      <c r="CS55" s="85">
        <v>0</v>
      </c>
      <c r="CT55" s="85">
        <v>0</v>
      </c>
      <c r="CU55" s="85">
        <v>0</v>
      </c>
      <c r="CV55" s="85">
        <v>0</v>
      </c>
      <c r="CW55" s="85">
        <v>0</v>
      </c>
      <c r="CX55" s="85">
        <v>0</v>
      </c>
      <c r="CY55" s="85">
        <v>0</v>
      </c>
      <c r="CZ55" s="85">
        <v>0</v>
      </c>
      <c r="DA55" s="85">
        <v>0</v>
      </c>
      <c r="DB55" s="85">
        <v>0</v>
      </c>
      <c r="DC55" s="85">
        <v>0</v>
      </c>
      <c r="DD55" s="85">
        <v>0</v>
      </c>
      <c r="DE55" s="85">
        <v>0</v>
      </c>
      <c r="DF55" s="85">
        <v>0</v>
      </c>
      <c r="DG55" s="85">
        <v>0</v>
      </c>
      <c r="DH55" s="85">
        <v>0</v>
      </c>
      <c r="DI55" s="85">
        <v>0</v>
      </c>
      <c r="DJ55" s="85">
        <v>0</v>
      </c>
      <c r="DK55" s="85">
        <v>0</v>
      </c>
      <c r="DL55" s="85">
        <v>0</v>
      </c>
      <c r="DM55" s="85">
        <v>0</v>
      </c>
      <c r="DN55" s="85">
        <v>0</v>
      </c>
      <c r="DO55" s="85">
        <v>0</v>
      </c>
      <c r="DP55" s="85">
        <v>0</v>
      </c>
      <c r="DQ55" s="85">
        <v>0</v>
      </c>
      <c r="DR55" s="85">
        <v>0</v>
      </c>
      <c r="DS55" s="85">
        <v>0</v>
      </c>
      <c r="DT55" s="85">
        <v>0</v>
      </c>
      <c r="DU55" s="85">
        <v>0</v>
      </c>
      <c r="DV55" s="85">
        <v>0</v>
      </c>
      <c r="DW55" s="85">
        <v>0</v>
      </c>
      <c r="DX55" s="85">
        <v>0</v>
      </c>
      <c r="DY55" s="85">
        <v>0</v>
      </c>
    </row>
    <row r="56" spans="3:129">
      <c r="E56" t="str">
        <v>Property H</v>
      </c>
      <c r="G56" t="s">
        <v>128</v>
      </c>
      <c r="J56" s="85">
        <v>0</v>
      </c>
      <c r="K56" s="85">
        <v>0</v>
      </c>
      <c r="L56" s="85">
        <v>0</v>
      </c>
      <c r="M56" s="85">
        <v>0</v>
      </c>
      <c r="N56" s="85">
        <v>0</v>
      </c>
      <c r="O56" s="85">
        <v>0</v>
      </c>
      <c r="P56" s="85">
        <v>0</v>
      </c>
      <c r="Q56" s="85">
        <v>0</v>
      </c>
      <c r="R56" s="85">
        <v>0</v>
      </c>
      <c r="S56" s="85">
        <v>876210.99999999988</v>
      </c>
      <c r="T56" s="85">
        <v>876210.99999999988</v>
      </c>
      <c r="U56" s="85">
        <v>1314316.4999999998</v>
      </c>
      <c r="V56" s="85">
        <v>1314316.4999999998</v>
      </c>
      <c r="W56" s="85">
        <v>1533369.25</v>
      </c>
      <c r="X56" s="85">
        <v>1752421.9999999998</v>
      </c>
      <c r="Y56" s="85">
        <v>2190527.4999999995</v>
      </c>
      <c r="Z56" s="85">
        <v>3066738.5</v>
      </c>
      <c r="AA56" s="85">
        <v>3942949.4999999991</v>
      </c>
      <c r="AB56" s="85">
        <v>4381054.9999999991</v>
      </c>
      <c r="AC56" s="85">
        <v>4381054.9999999991</v>
      </c>
      <c r="AD56" s="85">
        <v>4381054.9999999991</v>
      </c>
      <c r="AE56" s="85">
        <v>4381054.9999999991</v>
      </c>
      <c r="AF56" s="85">
        <v>3942949.4999999991</v>
      </c>
      <c r="AG56" s="85">
        <v>3066738.5</v>
      </c>
      <c r="AH56" s="85">
        <v>2409580.2499999995</v>
      </c>
      <c r="AI56" s="85">
        <v>0</v>
      </c>
      <c r="AJ56" s="85">
        <v>0</v>
      </c>
      <c r="AK56" s="85">
        <v>0</v>
      </c>
      <c r="AL56" s="85">
        <v>0</v>
      </c>
      <c r="AM56" s="85">
        <v>0</v>
      </c>
      <c r="AN56" s="85">
        <v>0</v>
      </c>
      <c r="AO56" s="85">
        <v>0</v>
      </c>
      <c r="AP56" s="85">
        <v>0</v>
      </c>
      <c r="AQ56" s="85">
        <v>0</v>
      </c>
      <c r="AR56" s="85">
        <v>0</v>
      </c>
      <c r="AS56" s="85">
        <v>0</v>
      </c>
      <c r="AT56" s="85">
        <v>0</v>
      </c>
      <c r="AU56" s="85">
        <v>0</v>
      </c>
      <c r="AV56" s="85">
        <v>0</v>
      </c>
      <c r="AW56" s="85">
        <v>0</v>
      </c>
      <c r="AX56" s="85">
        <v>0</v>
      </c>
      <c r="AY56" s="85">
        <v>0</v>
      </c>
      <c r="AZ56" s="85">
        <v>0</v>
      </c>
      <c r="BA56" s="85">
        <v>0</v>
      </c>
      <c r="BB56" s="85">
        <v>0</v>
      </c>
      <c r="BC56" s="85">
        <v>0</v>
      </c>
      <c r="BD56" s="85">
        <v>0</v>
      </c>
      <c r="BE56" s="85">
        <v>0</v>
      </c>
      <c r="BF56" s="85">
        <v>0</v>
      </c>
      <c r="BG56" s="85">
        <v>0</v>
      </c>
      <c r="BH56" s="85">
        <v>0</v>
      </c>
      <c r="BI56" s="85">
        <v>0</v>
      </c>
      <c r="BJ56" s="85">
        <v>0</v>
      </c>
      <c r="BK56" s="85">
        <v>0</v>
      </c>
      <c r="BL56" s="85">
        <v>0</v>
      </c>
      <c r="BM56" s="85">
        <v>0</v>
      </c>
      <c r="BN56" s="85">
        <v>0</v>
      </c>
      <c r="BO56" s="85">
        <v>0</v>
      </c>
      <c r="BP56" s="85">
        <v>0</v>
      </c>
      <c r="BQ56" s="85">
        <v>0</v>
      </c>
      <c r="BR56" s="85">
        <v>0</v>
      </c>
      <c r="BS56" s="85">
        <v>0</v>
      </c>
      <c r="BT56" s="85">
        <v>0</v>
      </c>
      <c r="BU56" s="85">
        <v>0</v>
      </c>
      <c r="BV56" s="85">
        <v>0</v>
      </c>
      <c r="BW56" s="85">
        <v>0</v>
      </c>
      <c r="BX56" s="85">
        <v>0</v>
      </c>
      <c r="BY56" s="85">
        <v>0</v>
      </c>
      <c r="BZ56" s="85">
        <v>0</v>
      </c>
      <c r="CA56" s="85">
        <v>0</v>
      </c>
      <c r="CB56" s="85">
        <v>0</v>
      </c>
      <c r="CC56" s="85">
        <v>0</v>
      </c>
      <c r="CD56" s="85">
        <v>0</v>
      </c>
      <c r="CE56" s="85">
        <v>0</v>
      </c>
      <c r="CF56" s="85">
        <v>0</v>
      </c>
      <c r="CG56" s="85">
        <v>0</v>
      </c>
      <c r="CH56" s="85">
        <v>0</v>
      </c>
      <c r="CI56" s="85">
        <v>0</v>
      </c>
      <c r="CJ56" s="85">
        <v>0</v>
      </c>
      <c r="CK56" s="85">
        <v>0</v>
      </c>
      <c r="CL56" s="85">
        <v>0</v>
      </c>
      <c r="CM56" s="85">
        <v>0</v>
      </c>
      <c r="CN56" s="85">
        <v>0</v>
      </c>
      <c r="CO56" s="85">
        <v>0</v>
      </c>
      <c r="CP56" s="85">
        <v>0</v>
      </c>
      <c r="CQ56" s="85">
        <v>0</v>
      </c>
      <c r="CR56" s="85">
        <v>0</v>
      </c>
      <c r="CS56" s="85">
        <v>0</v>
      </c>
      <c r="CT56" s="85">
        <v>0</v>
      </c>
      <c r="CU56" s="85">
        <v>0</v>
      </c>
      <c r="CV56" s="85">
        <v>0</v>
      </c>
      <c r="CW56" s="85">
        <v>0</v>
      </c>
      <c r="CX56" s="85">
        <v>0</v>
      </c>
      <c r="CY56" s="85">
        <v>0</v>
      </c>
      <c r="CZ56" s="85">
        <v>0</v>
      </c>
      <c r="DA56" s="85">
        <v>0</v>
      </c>
      <c r="DB56" s="85">
        <v>0</v>
      </c>
      <c r="DC56" s="85">
        <v>0</v>
      </c>
      <c r="DD56" s="85">
        <v>0</v>
      </c>
      <c r="DE56" s="85">
        <v>0</v>
      </c>
      <c r="DF56" s="85">
        <v>0</v>
      </c>
      <c r="DG56" s="85">
        <v>0</v>
      </c>
      <c r="DH56" s="85">
        <v>0</v>
      </c>
      <c r="DI56" s="85">
        <v>0</v>
      </c>
      <c r="DJ56" s="85">
        <v>0</v>
      </c>
      <c r="DK56" s="85">
        <v>0</v>
      </c>
      <c r="DL56" s="85">
        <v>0</v>
      </c>
      <c r="DM56" s="85">
        <v>0</v>
      </c>
      <c r="DN56" s="85">
        <v>0</v>
      </c>
      <c r="DO56" s="85">
        <v>0</v>
      </c>
      <c r="DP56" s="85">
        <v>0</v>
      </c>
      <c r="DQ56" s="85">
        <v>0</v>
      </c>
      <c r="DR56" s="85">
        <v>0</v>
      </c>
      <c r="DS56" s="85">
        <v>0</v>
      </c>
      <c r="DT56" s="85">
        <v>0</v>
      </c>
      <c r="DU56" s="85">
        <v>0</v>
      </c>
      <c r="DV56" s="85">
        <v>0</v>
      </c>
      <c r="DW56" s="85">
        <v>0</v>
      </c>
      <c r="DX56" s="85">
        <v>0</v>
      </c>
      <c r="DY56" s="85">
        <v>0</v>
      </c>
    </row>
    <row r="57" spans="3:129">
      <c r="E57" t="str">
        <v>Property I</v>
      </c>
      <c r="G57" t="s">
        <v>128</v>
      </c>
      <c r="J57" s="85">
        <v>0</v>
      </c>
      <c r="K57" s="85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825160.87499999988</v>
      </c>
      <c r="Y57" s="85">
        <v>825160.87499999988</v>
      </c>
      <c r="Z57" s="85">
        <v>1100214.4999999998</v>
      </c>
      <c r="AA57" s="85">
        <v>1375268.125</v>
      </c>
      <c r="AB57" s="85">
        <v>1375268.125</v>
      </c>
      <c r="AC57" s="85">
        <v>1650321.7499999998</v>
      </c>
      <c r="AD57" s="85">
        <v>1925375.375</v>
      </c>
      <c r="AE57" s="85">
        <v>2200428.9999999995</v>
      </c>
      <c r="AF57" s="85">
        <v>3300643.4999999995</v>
      </c>
      <c r="AG57" s="85">
        <v>3575697.1249999995</v>
      </c>
      <c r="AH57" s="85">
        <v>4125804.3749999991</v>
      </c>
      <c r="AI57" s="85">
        <v>4950965.2499999991</v>
      </c>
      <c r="AJ57" s="85">
        <v>4950965.2499999991</v>
      </c>
      <c r="AK57" s="85">
        <v>4950965.2499999991</v>
      </c>
      <c r="AL57" s="85">
        <v>4950965.2499999991</v>
      </c>
      <c r="AM57" s="85">
        <v>4950965.2499999991</v>
      </c>
      <c r="AN57" s="85">
        <v>3850750.75</v>
      </c>
      <c r="AO57" s="85">
        <v>2750536.25</v>
      </c>
      <c r="AP57" s="85">
        <v>1375268.125</v>
      </c>
      <c r="AQ57" s="85">
        <v>0</v>
      </c>
      <c r="AR57" s="85">
        <v>0</v>
      </c>
      <c r="AS57" s="85">
        <v>0</v>
      </c>
      <c r="AT57" s="85">
        <v>0</v>
      </c>
      <c r="AU57" s="85">
        <v>0</v>
      </c>
      <c r="AV57" s="85">
        <v>0</v>
      </c>
      <c r="AW57" s="85">
        <v>0</v>
      </c>
      <c r="AX57" s="85">
        <v>0</v>
      </c>
      <c r="AY57" s="85">
        <v>0</v>
      </c>
      <c r="AZ57" s="85">
        <v>0</v>
      </c>
      <c r="BA57" s="85">
        <v>0</v>
      </c>
      <c r="BB57" s="85">
        <v>0</v>
      </c>
      <c r="BC57" s="85">
        <v>0</v>
      </c>
      <c r="BD57" s="85">
        <v>0</v>
      </c>
      <c r="BE57" s="85">
        <v>0</v>
      </c>
      <c r="BF57" s="85">
        <v>0</v>
      </c>
      <c r="BG57" s="85">
        <v>0</v>
      </c>
      <c r="BH57" s="85">
        <v>0</v>
      </c>
      <c r="BI57" s="85">
        <v>0</v>
      </c>
      <c r="BJ57" s="85">
        <v>0</v>
      </c>
      <c r="BK57" s="85">
        <v>0</v>
      </c>
      <c r="BL57" s="85">
        <v>0</v>
      </c>
      <c r="BM57" s="85">
        <v>0</v>
      </c>
      <c r="BN57" s="85">
        <v>0</v>
      </c>
      <c r="BO57" s="85">
        <v>0</v>
      </c>
      <c r="BP57" s="85">
        <v>0</v>
      </c>
      <c r="BQ57" s="85">
        <v>0</v>
      </c>
      <c r="BR57" s="85">
        <v>0</v>
      </c>
      <c r="BS57" s="85">
        <v>0</v>
      </c>
      <c r="BT57" s="85">
        <v>0</v>
      </c>
      <c r="BU57" s="85">
        <v>0</v>
      </c>
      <c r="BV57" s="85">
        <v>0</v>
      </c>
      <c r="BW57" s="85">
        <v>0</v>
      </c>
      <c r="BX57" s="85">
        <v>0</v>
      </c>
      <c r="BY57" s="85">
        <v>0</v>
      </c>
      <c r="BZ57" s="85">
        <v>0</v>
      </c>
      <c r="CA57" s="85">
        <v>0</v>
      </c>
      <c r="CB57" s="85">
        <v>0</v>
      </c>
      <c r="CC57" s="85">
        <v>0</v>
      </c>
      <c r="CD57" s="85">
        <v>0</v>
      </c>
      <c r="CE57" s="85">
        <v>0</v>
      </c>
      <c r="CF57" s="85">
        <v>0</v>
      </c>
      <c r="CG57" s="85">
        <v>0</v>
      </c>
      <c r="CH57" s="85">
        <v>0</v>
      </c>
      <c r="CI57" s="85">
        <v>0</v>
      </c>
      <c r="CJ57" s="85">
        <v>0</v>
      </c>
      <c r="CK57" s="85">
        <v>0</v>
      </c>
      <c r="CL57" s="85">
        <v>0</v>
      </c>
      <c r="CM57" s="85">
        <v>0</v>
      </c>
      <c r="CN57" s="85">
        <v>0</v>
      </c>
      <c r="CO57" s="85">
        <v>0</v>
      </c>
      <c r="CP57" s="85">
        <v>0</v>
      </c>
      <c r="CQ57" s="85">
        <v>0</v>
      </c>
      <c r="CR57" s="85">
        <v>0</v>
      </c>
      <c r="CS57" s="85">
        <v>0</v>
      </c>
      <c r="CT57" s="85">
        <v>0</v>
      </c>
      <c r="CU57" s="85">
        <v>0</v>
      </c>
      <c r="CV57" s="85">
        <v>0</v>
      </c>
      <c r="CW57" s="85">
        <v>0</v>
      </c>
      <c r="CX57" s="85">
        <v>0</v>
      </c>
      <c r="CY57" s="85">
        <v>0</v>
      </c>
      <c r="CZ57" s="85">
        <v>0</v>
      </c>
      <c r="DA57" s="85">
        <v>0</v>
      </c>
      <c r="DB57" s="85">
        <v>0</v>
      </c>
      <c r="DC57" s="85">
        <v>0</v>
      </c>
      <c r="DD57" s="85">
        <v>0</v>
      </c>
      <c r="DE57" s="85">
        <v>0</v>
      </c>
      <c r="DF57" s="85">
        <v>0</v>
      </c>
      <c r="DG57" s="85">
        <v>0</v>
      </c>
      <c r="DH57" s="85">
        <v>0</v>
      </c>
      <c r="DI57" s="85">
        <v>0</v>
      </c>
      <c r="DJ57" s="85">
        <v>0</v>
      </c>
      <c r="DK57" s="85">
        <v>0</v>
      </c>
      <c r="DL57" s="85">
        <v>0</v>
      </c>
      <c r="DM57" s="85">
        <v>0</v>
      </c>
      <c r="DN57" s="85">
        <v>0</v>
      </c>
      <c r="DO57" s="85">
        <v>0</v>
      </c>
      <c r="DP57" s="85">
        <v>0</v>
      </c>
      <c r="DQ57" s="85">
        <v>0</v>
      </c>
      <c r="DR57" s="85">
        <v>0</v>
      </c>
      <c r="DS57" s="85">
        <v>0</v>
      </c>
      <c r="DT57" s="85">
        <v>0</v>
      </c>
      <c r="DU57" s="85">
        <v>0</v>
      </c>
      <c r="DV57" s="85">
        <v>0</v>
      </c>
      <c r="DW57" s="85">
        <v>0</v>
      </c>
      <c r="DX57" s="85">
        <v>0</v>
      </c>
      <c r="DY57" s="85">
        <v>0</v>
      </c>
    </row>
    <row r="58" spans="3:129">
      <c r="E58" t="str">
        <v>Property J</v>
      </c>
      <c r="G58" t="s">
        <v>128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765023.09999999986</v>
      </c>
      <c r="AB58" s="85">
        <v>765023.09999999986</v>
      </c>
      <c r="AC58" s="85">
        <v>1530046.1999999997</v>
      </c>
      <c r="AD58" s="85">
        <v>1530046.1999999997</v>
      </c>
      <c r="AE58" s="85">
        <v>1530046.1999999997</v>
      </c>
      <c r="AF58" s="85">
        <v>1530046.1999999997</v>
      </c>
      <c r="AG58" s="85">
        <v>2040061.5999999999</v>
      </c>
      <c r="AH58" s="85">
        <v>2550077</v>
      </c>
      <c r="AI58" s="85">
        <v>3060092.3999999994</v>
      </c>
      <c r="AJ58" s="85">
        <v>3570107.8</v>
      </c>
      <c r="AK58" s="85">
        <v>4080123.1999999997</v>
      </c>
      <c r="AL58" s="85">
        <v>4590138.5999999987</v>
      </c>
      <c r="AM58" s="85">
        <v>5100154</v>
      </c>
      <c r="AN58" s="85">
        <v>5100154</v>
      </c>
      <c r="AO58" s="85">
        <v>5100154</v>
      </c>
      <c r="AP58" s="85">
        <v>4080123.1999999997</v>
      </c>
      <c r="AQ58" s="85">
        <v>2550077</v>
      </c>
      <c r="AR58" s="85">
        <v>1530046.1999999997</v>
      </c>
      <c r="AS58" s="85">
        <v>0</v>
      </c>
      <c r="AT58" s="85">
        <v>0</v>
      </c>
      <c r="AU58" s="85">
        <v>0</v>
      </c>
      <c r="AV58" s="85">
        <v>0</v>
      </c>
      <c r="AW58" s="85">
        <v>0</v>
      </c>
      <c r="AX58" s="85">
        <v>0</v>
      </c>
      <c r="AY58" s="85">
        <v>0</v>
      </c>
      <c r="AZ58" s="85">
        <v>0</v>
      </c>
      <c r="BA58" s="85">
        <v>0</v>
      </c>
      <c r="BB58" s="85">
        <v>0</v>
      </c>
      <c r="BC58" s="85">
        <v>0</v>
      </c>
      <c r="BD58" s="85">
        <v>0</v>
      </c>
      <c r="BE58" s="85">
        <v>0</v>
      </c>
      <c r="BF58" s="85">
        <v>0</v>
      </c>
      <c r="BG58" s="85">
        <v>0</v>
      </c>
      <c r="BH58" s="85">
        <v>0</v>
      </c>
      <c r="BI58" s="85">
        <v>0</v>
      </c>
      <c r="BJ58" s="85">
        <v>0</v>
      </c>
      <c r="BK58" s="85">
        <v>0</v>
      </c>
      <c r="BL58" s="85">
        <v>0</v>
      </c>
      <c r="BM58" s="85">
        <v>0</v>
      </c>
      <c r="BN58" s="85">
        <v>0</v>
      </c>
      <c r="BO58" s="85">
        <v>0</v>
      </c>
      <c r="BP58" s="85">
        <v>0</v>
      </c>
      <c r="BQ58" s="85">
        <v>0</v>
      </c>
      <c r="BR58" s="85">
        <v>0</v>
      </c>
      <c r="BS58" s="85">
        <v>0</v>
      </c>
      <c r="BT58" s="85">
        <v>0</v>
      </c>
      <c r="BU58" s="85">
        <v>0</v>
      </c>
      <c r="BV58" s="85">
        <v>0</v>
      </c>
      <c r="BW58" s="85">
        <v>0</v>
      </c>
      <c r="BX58" s="85">
        <v>0</v>
      </c>
      <c r="BY58" s="85">
        <v>0</v>
      </c>
      <c r="BZ58" s="85">
        <v>0</v>
      </c>
      <c r="CA58" s="85">
        <v>0</v>
      </c>
      <c r="CB58" s="85">
        <v>0</v>
      </c>
      <c r="CC58" s="85">
        <v>0</v>
      </c>
      <c r="CD58" s="85">
        <v>0</v>
      </c>
      <c r="CE58" s="85">
        <v>0</v>
      </c>
      <c r="CF58" s="85">
        <v>0</v>
      </c>
      <c r="CG58" s="85">
        <v>0</v>
      </c>
      <c r="CH58" s="85">
        <v>0</v>
      </c>
      <c r="CI58" s="85">
        <v>0</v>
      </c>
      <c r="CJ58" s="85">
        <v>0</v>
      </c>
      <c r="CK58" s="85">
        <v>0</v>
      </c>
      <c r="CL58" s="85">
        <v>0</v>
      </c>
      <c r="CM58" s="85">
        <v>0</v>
      </c>
      <c r="CN58" s="85">
        <v>0</v>
      </c>
      <c r="CO58" s="85">
        <v>0</v>
      </c>
      <c r="CP58" s="85">
        <v>0</v>
      </c>
      <c r="CQ58" s="85">
        <v>0</v>
      </c>
      <c r="CR58" s="85">
        <v>0</v>
      </c>
      <c r="CS58" s="85">
        <v>0</v>
      </c>
      <c r="CT58" s="85">
        <v>0</v>
      </c>
      <c r="CU58" s="85">
        <v>0</v>
      </c>
      <c r="CV58" s="85">
        <v>0</v>
      </c>
      <c r="CW58" s="85">
        <v>0</v>
      </c>
      <c r="CX58" s="85">
        <v>0</v>
      </c>
      <c r="CY58" s="85">
        <v>0</v>
      </c>
      <c r="CZ58" s="85">
        <v>0</v>
      </c>
      <c r="DA58" s="85">
        <v>0</v>
      </c>
      <c r="DB58" s="85">
        <v>0</v>
      </c>
      <c r="DC58" s="85">
        <v>0</v>
      </c>
      <c r="DD58" s="85">
        <v>0</v>
      </c>
      <c r="DE58" s="85">
        <v>0</v>
      </c>
      <c r="DF58" s="85">
        <v>0</v>
      </c>
      <c r="DG58" s="85">
        <v>0</v>
      </c>
      <c r="DH58" s="85">
        <v>0</v>
      </c>
      <c r="DI58" s="85">
        <v>0</v>
      </c>
      <c r="DJ58" s="85">
        <v>0</v>
      </c>
      <c r="DK58" s="85">
        <v>0</v>
      </c>
      <c r="DL58" s="85">
        <v>0</v>
      </c>
      <c r="DM58" s="85">
        <v>0</v>
      </c>
      <c r="DN58" s="85">
        <v>0</v>
      </c>
      <c r="DO58" s="85">
        <v>0</v>
      </c>
      <c r="DP58" s="85">
        <v>0</v>
      </c>
      <c r="DQ58" s="85">
        <v>0</v>
      </c>
      <c r="DR58" s="85">
        <v>0</v>
      </c>
      <c r="DS58" s="85">
        <v>0</v>
      </c>
      <c r="DT58" s="85">
        <v>0</v>
      </c>
      <c r="DU58" s="85">
        <v>0</v>
      </c>
      <c r="DV58" s="85">
        <v>0</v>
      </c>
      <c r="DW58" s="85">
        <v>0</v>
      </c>
      <c r="DX58" s="85">
        <v>0</v>
      </c>
      <c r="DY58" s="85">
        <v>0</v>
      </c>
    </row>
    <row r="59" spans="3:129">
      <c r="E59" t="str">
        <v>Property K</v>
      </c>
      <c r="G59" t="s">
        <v>128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  <c r="V59" s="85">
        <v>0</v>
      </c>
      <c r="W59" s="85">
        <v>0</v>
      </c>
      <c r="X59" s="85">
        <v>0</v>
      </c>
      <c r="Y59" s="85">
        <v>0</v>
      </c>
      <c r="Z59" s="85">
        <v>0</v>
      </c>
      <c r="AA59" s="85">
        <v>0</v>
      </c>
      <c r="AB59" s="85">
        <v>0</v>
      </c>
      <c r="AC59" s="85">
        <v>0</v>
      </c>
      <c r="AD59" s="85">
        <v>0</v>
      </c>
      <c r="AE59" s="85">
        <v>694105.91249999998</v>
      </c>
      <c r="AF59" s="85">
        <v>1041158.8687499999</v>
      </c>
      <c r="AG59" s="85">
        <v>1388211.825</v>
      </c>
      <c r="AH59" s="85">
        <v>1735264.78125</v>
      </c>
      <c r="AI59" s="85">
        <v>2082317.7374999998</v>
      </c>
      <c r="AJ59" s="85">
        <v>2776423.65</v>
      </c>
      <c r="AK59" s="85">
        <v>3470529.5625</v>
      </c>
      <c r="AL59" s="85">
        <v>4164635.4749999996</v>
      </c>
      <c r="AM59" s="85">
        <v>4858741.3875000002</v>
      </c>
      <c r="AN59" s="85">
        <v>5552847.2999999998</v>
      </c>
      <c r="AO59" s="85">
        <v>4858741.3875000002</v>
      </c>
      <c r="AP59" s="85">
        <v>2082317.7374999998</v>
      </c>
      <c r="AQ59" s="85">
        <v>0</v>
      </c>
      <c r="AR59" s="85">
        <v>0</v>
      </c>
      <c r="AS59" s="85">
        <v>0</v>
      </c>
      <c r="AT59" s="85">
        <v>0</v>
      </c>
      <c r="AU59" s="85">
        <v>0</v>
      </c>
      <c r="AV59" s="85">
        <v>0</v>
      </c>
      <c r="AW59" s="85">
        <v>0</v>
      </c>
      <c r="AX59" s="85">
        <v>0</v>
      </c>
      <c r="AY59" s="85">
        <v>0</v>
      </c>
      <c r="AZ59" s="85">
        <v>0</v>
      </c>
      <c r="BA59" s="85">
        <v>0</v>
      </c>
      <c r="BB59" s="85">
        <v>0</v>
      </c>
      <c r="BC59" s="85">
        <v>0</v>
      </c>
      <c r="BD59" s="85">
        <v>0</v>
      </c>
      <c r="BE59" s="85">
        <v>0</v>
      </c>
      <c r="BF59" s="85">
        <v>0</v>
      </c>
      <c r="BG59" s="85">
        <v>0</v>
      </c>
      <c r="BH59" s="85">
        <v>0</v>
      </c>
      <c r="BI59" s="85">
        <v>0</v>
      </c>
      <c r="BJ59" s="85">
        <v>0</v>
      </c>
      <c r="BK59" s="85">
        <v>0</v>
      </c>
      <c r="BL59" s="85">
        <v>0</v>
      </c>
      <c r="BM59" s="85">
        <v>0</v>
      </c>
      <c r="BN59" s="85">
        <v>0</v>
      </c>
      <c r="BO59" s="85">
        <v>0</v>
      </c>
      <c r="BP59" s="85">
        <v>0</v>
      </c>
      <c r="BQ59" s="85">
        <v>0</v>
      </c>
      <c r="BR59" s="85">
        <v>0</v>
      </c>
      <c r="BS59" s="85">
        <v>0</v>
      </c>
      <c r="BT59" s="85">
        <v>0</v>
      </c>
      <c r="BU59" s="85">
        <v>0</v>
      </c>
      <c r="BV59" s="85">
        <v>0</v>
      </c>
      <c r="BW59" s="85">
        <v>0</v>
      </c>
      <c r="BX59" s="85">
        <v>0</v>
      </c>
      <c r="BY59" s="85">
        <v>0</v>
      </c>
      <c r="BZ59" s="85">
        <v>0</v>
      </c>
      <c r="CA59" s="85">
        <v>0</v>
      </c>
      <c r="CB59" s="85">
        <v>0</v>
      </c>
      <c r="CC59" s="85">
        <v>0</v>
      </c>
      <c r="CD59" s="85">
        <v>0</v>
      </c>
      <c r="CE59" s="85">
        <v>0</v>
      </c>
      <c r="CF59" s="85">
        <v>0</v>
      </c>
      <c r="CG59" s="85">
        <v>0</v>
      </c>
      <c r="CH59" s="85">
        <v>0</v>
      </c>
      <c r="CI59" s="85">
        <v>0</v>
      </c>
      <c r="CJ59" s="85">
        <v>0</v>
      </c>
      <c r="CK59" s="85">
        <v>0</v>
      </c>
      <c r="CL59" s="85">
        <v>0</v>
      </c>
      <c r="CM59" s="85">
        <v>0</v>
      </c>
      <c r="CN59" s="85">
        <v>0</v>
      </c>
      <c r="CO59" s="85">
        <v>0</v>
      </c>
      <c r="CP59" s="85">
        <v>0</v>
      </c>
      <c r="CQ59" s="85">
        <v>0</v>
      </c>
      <c r="CR59" s="85">
        <v>0</v>
      </c>
      <c r="CS59" s="85">
        <v>0</v>
      </c>
      <c r="CT59" s="85">
        <v>0</v>
      </c>
      <c r="CU59" s="85">
        <v>0</v>
      </c>
      <c r="CV59" s="85">
        <v>0</v>
      </c>
      <c r="CW59" s="85">
        <v>0</v>
      </c>
      <c r="CX59" s="85">
        <v>0</v>
      </c>
      <c r="CY59" s="85">
        <v>0</v>
      </c>
      <c r="CZ59" s="85">
        <v>0</v>
      </c>
      <c r="DA59" s="85">
        <v>0</v>
      </c>
      <c r="DB59" s="85">
        <v>0</v>
      </c>
      <c r="DC59" s="85">
        <v>0</v>
      </c>
      <c r="DD59" s="85">
        <v>0</v>
      </c>
      <c r="DE59" s="85">
        <v>0</v>
      </c>
      <c r="DF59" s="85">
        <v>0</v>
      </c>
      <c r="DG59" s="85">
        <v>0</v>
      </c>
      <c r="DH59" s="85">
        <v>0</v>
      </c>
      <c r="DI59" s="85">
        <v>0</v>
      </c>
      <c r="DJ59" s="85">
        <v>0</v>
      </c>
      <c r="DK59" s="85">
        <v>0</v>
      </c>
      <c r="DL59" s="85">
        <v>0</v>
      </c>
      <c r="DM59" s="85">
        <v>0</v>
      </c>
      <c r="DN59" s="85">
        <v>0</v>
      </c>
      <c r="DO59" s="85">
        <v>0</v>
      </c>
      <c r="DP59" s="85">
        <v>0</v>
      </c>
      <c r="DQ59" s="85">
        <v>0</v>
      </c>
      <c r="DR59" s="85">
        <v>0</v>
      </c>
      <c r="DS59" s="85">
        <v>0</v>
      </c>
      <c r="DT59" s="85">
        <v>0</v>
      </c>
      <c r="DU59" s="85">
        <v>0</v>
      </c>
      <c r="DV59" s="85">
        <v>0</v>
      </c>
      <c r="DW59" s="85">
        <v>0</v>
      </c>
      <c r="DX59" s="85">
        <v>0</v>
      </c>
      <c r="DY59" s="85">
        <v>0</v>
      </c>
    </row>
    <row r="60" spans="3:129">
      <c r="E60" t="str">
        <v>Property L</v>
      </c>
      <c r="G60" t="s">
        <v>128</v>
      </c>
      <c r="J60" s="85">
        <v>0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5">
        <v>0</v>
      </c>
      <c r="AB60" s="85">
        <v>0</v>
      </c>
      <c r="AC60" s="85">
        <v>0</v>
      </c>
      <c r="AD60" s="85">
        <v>0</v>
      </c>
      <c r="AE60" s="85">
        <v>0</v>
      </c>
      <c r="AF60" s="85">
        <v>0</v>
      </c>
      <c r="AG60" s="85">
        <v>0</v>
      </c>
      <c r="AH60" s="85">
        <v>0</v>
      </c>
      <c r="AI60" s="85">
        <v>0</v>
      </c>
      <c r="AJ60" s="85">
        <v>0</v>
      </c>
      <c r="AK60" s="85">
        <v>670041.34687499993</v>
      </c>
      <c r="AL60" s="85">
        <v>670041.34687499993</v>
      </c>
      <c r="AM60" s="85">
        <v>1005062.0203124998</v>
      </c>
      <c r="AN60" s="85">
        <v>1340082.6937499999</v>
      </c>
      <c r="AO60" s="85">
        <v>1340082.6937499999</v>
      </c>
      <c r="AP60" s="85">
        <v>1675103.3671875</v>
      </c>
      <c r="AQ60" s="85">
        <v>1675103.3671875</v>
      </c>
      <c r="AR60" s="85">
        <v>2010124.0406249997</v>
      </c>
      <c r="AS60" s="85">
        <v>2010124.0406249997</v>
      </c>
      <c r="AT60" s="85">
        <v>2345144.7140624998</v>
      </c>
      <c r="AU60" s="85">
        <v>2680165.3874999997</v>
      </c>
      <c r="AV60" s="85">
        <v>3015186.0609374996</v>
      </c>
      <c r="AW60" s="85">
        <v>3350206.734375</v>
      </c>
      <c r="AX60" s="85">
        <v>3685227.4078124994</v>
      </c>
      <c r="AY60" s="85">
        <v>4020248.0812499993</v>
      </c>
      <c r="AZ60" s="85">
        <v>4690289.4281249996</v>
      </c>
      <c r="BA60" s="85">
        <v>5360330.7749999994</v>
      </c>
      <c r="BB60" s="85">
        <v>5360330.7749999994</v>
      </c>
      <c r="BC60" s="85">
        <v>5360330.7749999994</v>
      </c>
      <c r="BD60" s="85">
        <v>5360330.7749999994</v>
      </c>
      <c r="BE60" s="85">
        <v>4020248.0812499993</v>
      </c>
      <c r="BF60" s="85">
        <v>3350206.734375</v>
      </c>
      <c r="BG60" s="85">
        <v>2010124.0406249997</v>
      </c>
      <c r="BH60" s="85">
        <v>0</v>
      </c>
      <c r="BI60" s="85">
        <v>0</v>
      </c>
      <c r="BJ60" s="85">
        <v>0</v>
      </c>
      <c r="BK60" s="85">
        <v>0</v>
      </c>
      <c r="BL60" s="85">
        <v>0</v>
      </c>
      <c r="BM60" s="85">
        <v>0</v>
      </c>
      <c r="BN60" s="85">
        <v>0</v>
      </c>
      <c r="BO60" s="85">
        <v>0</v>
      </c>
      <c r="BP60" s="85">
        <v>0</v>
      </c>
      <c r="BQ60" s="85">
        <v>0</v>
      </c>
      <c r="BR60" s="85">
        <v>0</v>
      </c>
      <c r="BS60" s="85">
        <v>0</v>
      </c>
      <c r="BT60" s="85">
        <v>0</v>
      </c>
      <c r="BU60" s="85">
        <v>0</v>
      </c>
      <c r="BV60" s="85">
        <v>0</v>
      </c>
      <c r="BW60" s="85">
        <v>0</v>
      </c>
      <c r="BX60" s="85">
        <v>0</v>
      </c>
      <c r="BY60" s="85">
        <v>0</v>
      </c>
      <c r="BZ60" s="85">
        <v>0</v>
      </c>
      <c r="CA60" s="85">
        <v>0</v>
      </c>
      <c r="CB60" s="85">
        <v>0</v>
      </c>
      <c r="CC60" s="85">
        <v>0</v>
      </c>
      <c r="CD60" s="85">
        <v>0</v>
      </c>
      <c r="CE60" s="85">
        <v>0</v>
      </c>
      <c r="CF60" s="85">
        <v>0</v>
      </c>
      <c r="CG60" s="85">
        <v>0</v>
      </c>
      <c r="CH60" s="85">
        <v>0</v>
      </c>
      <c r="CI60" s="85">
        <v>0</v>
      </c>
      <c r="CJ60" s="85">
        <v>0</v>
      </c>
      <c r="CK60" s="85">
        <v>0</v>
      </c>
      <c r="CL60" s="85">
        <v>0</v>
      </c>
      <c r="CM60" s="85">
        <v>0</v>
      </c>
      <c r="CN60" s="85">
        <v>0</v>
      </c>
      <c r="CO60" s="85">
        <v>0</v>
      </c>
      <c r="CP60" s="85">
        <v>0</v>
      </c>
      <c r="CQ60" s="85">
        <v>0</v>
      </c>
      <c r="CR60" s="85">
        <v>0</v>
      </c>
      <c r="CS60" s="85">
        <v>0</v>
      </c>
      <c r="CT60" s="85">
        <v>0</v>
      </c>
      <c r="CU60" s="85">
        <v>0</v>
      </c>
      <c r="CV60" s="85">
        <v>0</v>
      </c>
      <c r="CW60" s="85">
        <v>0</v>
      </c>
      <c r="CX60" s="85">
        <v>0</v>
      </c>
      <c r="CY60" s="85">
        <v>0</v>
      </c>
      <c r="CZ60" s="85">
        <v>0</v>
      </c>
      <c r="DA60" s="85">
        <v>0</v>
      </c>
      <c r="DB60" s="85">
        <v>0</v>
      </c>
      <c r="DC60" s="85">
        <v>0</v>
      </c>
      <c r="DD60" s="85">
        <v>0</v>
      </c>
      <c r="DE60" s="85">
        <v>0</v>
      </c>
      <c r="DF60" s="85">
        <v>0</v>
      </c>
      <c r="DG60" s="85">
        <v>0</v>
      </c>
      <c r="DH60" s="85">
        <v>0</v>
      </c>
      <c r="DI60" s="85">
        <v>0</v>
      </c>
      <c r="DJ60" s="85">
        <v>0</v>
      </c>
      <c r="DK60" s="85">
        <v>0</v>
      </c>
      <c r="DL60" s="85">
        <v>0</v>
      </c>
      <c r="DM60" s="85">
        <v>0</v>
      </c>
      <c r="DN60" s="85">
        <v>0</v>
      </c>
      <c r="DO60" s="85">
        <v>0</v>
      </c>
      <c r="DP60" s="85">
        <v>0</v>
      </c>
      <c r="DQ60" s="85">
        <v>0</v>
      </c>
      <c r="DR60" s="85">
        <v>0</v>
      </c>
      <c r="DS60" s="85">
        <v>0</v>
      </c>
      <c r="DT60" s="85">
        <v>0</v>
      </c>
      <c r="DU60" s="85">
        <v>0</v>
      </c>
      <c r="DV60" s="85">
        <v>0</v>
      </c>
      <c r="DW60" s="85">
        <v>0</v>
      </c>
      <c r="DX60" s="85">
        <v>0</v>
      </c>
      <c r="DY60" s="85">
        <v>0</v>
      </c>
    </row>
    <row r="61" spans="3:129">
      <c r="E61" t="str">
        <v>Property M</v>
      </c>
      <c r="G61" t="s">
        <v>128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5">
        <v>0</v>
      </c>
      <c r="AB61" s="85">
        <v>0</v>
      </c>
      <c r="AC61" s="85">
        <v>0</v>
      </c>
      <c r="AD61" s="85">
        <v>0</v>
      </c>
      <c r="AE61" s="85">
        <v>0</v>
      </c>
      <c r="AF61" s="85">
        <v>0</v>
      </c>
      <c r="AG61" s="85">
        <v>0</v>
      </c>
      <c r="AH61" s="85">
        <v>0</v>
      </c>
      <c r="AI61" s="85">
        <v>0</v>
      </c>
      <c r="AJ61" s="85">
        <v>0</v>
      </c>
      <c r="AK61" s="85">
        <v>0</v>
      </c>
      <c r="AL61" s="85">
        <v>0</v>
      </c>
      <c r="AM61" s="85">
        <v>0</v>
      </c>
      <c r="AN61" s="85">
        <v>0</v>
      </c>
      <c r="AO61" s="85">
        <v>0</v>
      </c>
      <c r="AP61" s="85">
        <v>0</v>
      </c>
      <c r="AQ61" s="85">
        <v>747383.63156249991</v>
      </c>
      <c r="AR61" s="85">
        <v>871947.57015624992</v>
      </c>
      <c r="AS61" s="85">
        <v>1245639.3859374998</v>
      </c>
      <c r="AT61" s="85">
        <v>1370203.3245312497</v>
      </c>
      <c r="AU61" s="85">
        <v>1743895.1403124998</v>
      </c>
      <c r="AV61" s="85">
        <v>1993023.0174999998</v>
      </c>
      <c r="AW61" s="85">
        <v>2491278.7718749996</v>
      </c>
      <c r="AX61" s="85">
        <v>2989534.5262499996</v>
      </c>
      <c r="AY61" s="85">
        <v>3487790.2806249997</v>
      </c>
      <c r="AZ61" s="85">
        <v>3986046.0349999997</v>
      </c>
      <c r="BA61" s="85">
        <v>4484301.7893749988</v>
      </c>
      <c r="BB61" s="85">
        <v>4484301.7893749988</v>
      </c>
      <c r="BC61" s="85">
        <v>4484301.7893749988</v>
      </c>
      <c r="BD61" s="85">
        <v>4484301.7893749988</v>
      </c>
      <c r="BE61" s="85">
        <v>4484301.7893749988</v>
      </c>
      <c r="BF61" s="85">
        <v>3986046.0349999997</v>
      </c>
      <c r="BG61" s="85">
        <v>2491278.7718749996</v>
      </c>
      <c r="BH61" s="85">
        <v>0</v>
      </c>
      <c r="BI61" s="85">
        <v>0</v>
      </c>
      <c r="BJ61" s="85">
        <v>0</v>
      </c>
      <c r="BK61" s="85">
        <v>0</v>
      </c>
      <c r="BL61" s="85">
        <v>0</v>
      </c>
      <c r="BM61" s="85">
        <v>0</v>
      </c>
      <c r="BN61" s="85">
        <v>0</v>
      </c>
      <c r="BO61" s="85">
        <v>0</v>
      </c>
      <c r="BP61" s="85">
        <v>0</v>
      </c>
      <c r="BQ61" s="85">
        <v>0</v>
      </c>
      <c r="BR61" s="85">
        <v>0</v>
      </c>
      <c r="BS61" s="85">
        <v>0</v>
      </c>
      <c r="BT61" s="85">
        <v>0</v>
      </c>
      <c r="BU61" s="85">
        <v>0</v>
      </c>
      <c r="BV61" s="85">
        <v>0</v>
      </c>
      <c r="BW61" s="85">
        <v>0</v>
      </c>
      <c r="BX61" s="85">
        <v>0</v>
      </c>
      <c r="BY61" s="85">
        <v>0</v>
      </c>
      <c r="BZ61" s="85">
        <v>0</v>
      </c>
      <c r="CA61" s="85">
        <v>0</v>
      </c>
      <c r="CB61" s="85">
        <v>0</v>
      </c>
      <c r="CC61" s="85">
        <v>0</v>
      </c>
      <c r="CD61" s="85">
        <v>0</v>
      </c>
      <c r="CE61" s="85">
        <v>0</v>
      </c>
      <c r="CF61" s="85">
        <v>0</v>
      </c>
      <c r="CG61" s="85">
        <v>0</v>
      </c>
      <c r="CH61" s="85">
        <v>0</v>
      </c>
      <c r="CI61" s="85">
        <v>0</v>
      </c>
      <c r="CJ61" s="85">
        <v>0</v>
      </c>
      <c r="CK61" s="85">
        <v>0</v>
      </c>
      <c r="CL61" s="85">
        <v>0</v>
      </c>
      <c r="CM61" s="85">
        <v>0</v>
      </c>
      <c r="CN61" s="85">
        <v>0</v>
      </c>
      <c r="CO61" s="85">
        <v>0</v>
      </c>
      <c r="CP61" s="85">
        <v>0</v>
      </c>
      <c r="CQ61" s="85">
        <v>0</v>
      </c>
      <c r="CR61" s="85">
        <v>0</v>
      </c>
      <c r="CS61" s="85">
        <v>0</v>
      </c>
      <c r="CT61" s="85">
        <v>0</v>
      </c>
      <c r="CU61" s="85">
        <v>0</v>
      </c>
      <c r="CV61" s="85">
        <v>0</v>
      </c>
      <c r="CW61" s="85">
        <v>0</v>
      </c>
      <c r="CX61" s="85">
        <v>0</v>
      </c>
      <c r="CY61" s="85">
        <v>0</v>
      </c>
      <c r="CZ61" s="85">
        <v>0</v>
      </c>
      <c r="DA61" s="85">
        <v>0</v>
      </c>
      <c r="DB61" s="85">
        <v>0</v>
      </c>
      <c r="DC61" s="85">
        <v>0</v>
      </c>
      <c r="DD61" s="85">
        <v>0</v>
      </c>
      <c r="DE61" s="85">
        <v>0</v>
      </c>
      <c r="DF61" s="85">
        <v>0</v>
      </c>
      <c r="DG61" s="85">
        <v>0</v>
      </c>
      <c r="DH61" s="85">
        <v>0</v>
      </c>
      <c r="DI61" s="85">
        <v>0</v>
      </c>
      <c r="DJ61" s="85">
        <v>0</v>
      </c>
      <c r="DK61" s="85">
        <v>0</v>
      </c>
      <c r="DL61" s="85">
        <v>0</v>
      </c>
      <c r="DM61" s="85">
        <v>0</v>
      </c>
      <c r="DN61" s="85">
        <v>0</v>
      </c>
      <c r="DO61" s="85">
        <v>0</v>
      </c>
      <c r="DP61" s="85">
        <v>0</v>
      </c>
      <c r="DQ61" s="85">
        <v>0</v>
      </c>
      <c r="DR61" s="85">
        <v>0</v>
      </c>
      <c r="DS61" s="85">
        <v>0</v>
      </c>
      <c r="DT61" s="85">
        <v>0</v>
      </c>
      <c r="DU61" s="85">
        <v>0</v>
      </c>
      <c r="DV61" s="85">
        <v>0</v>
      </c>
      <c r="DW61" s="85">
        <v>0</v>
      </c>
      <c r="DX61" s="85">
        <v>0</v>
      </c>
      <c r="DY61" s="85">
        <v>0</v>
      </c>
    </row>
    <row r="62" spans="3:129">
      <c r="E62" t="str">
        <v>Property N</v>
      </c>
      <c r="G62" t="s">
        <v>128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5">
        <v>0</v>
      </c>
      <c r="AH62" s="85">
        <v>0</v>
      </c>
      <c r="AI62" s="85">
        <v>0</v>
      </c>
      <c r="AJ62" s="85">
        <v>0</v>
      </c>
      <c r="AK62" s="85">
        <v>0</v>
      </c>
      <c r="AL62" s="85">
        <v>0</v>
      </c>
      <c r="AM62" s="85">
        <v>0</v>
      </c>
      <c r="AN62" s="85">
        <v>0</v>
      </c>
      <c r="AO62" s="85">
        <v>0</v>
      </c>
      <c r="AP62" s="85">
        <v>0</v>
      </c>
      <c r="AQ62" s="85">
        <v>0</v>
      </c>
      <c r="AR62" s="85">
        <v>0</v>
      </c>
      <c r="AS62" s="85">
        <v>0</v>
      </c>
      <c r="AT62" s="85">
        <v>0</v>
      </c>
      <c r="AU62" s="85">
        <v>0</v>
      </c>
      <c r="AV62" s="85">
        <v>0</v>
      </c>
      <c r="AW62" s="85">
        <v>0</v>
      </c>
      <c r="AX62" s="85">
        <v>0</v>
      </c>
      <c r="AY62" s="85">
        <v>668778.15417187486</v>
      </c>
      <c r="AZ62" s="85">
        <v>668778.15417187486</v>
      </c>
      <c r="BA62" s="85">
        <v>1003167.2312578122</v>
      </c>
      <c r="BB62" s="85">
        <v>1337556.3083437497</v>
      </c>
      <c r="BC62" s="85">
        <v>1337556.3083437497</v>
      </c>
      <c r="BD62" s="85">
        <v>1671945.3854296871</v>
      </c>
      <c r="BE62" s="85">
        <v>2006334.4625156245</v>
      </c>
      <c r="BF62" s="85">
        <v>2006334.4625156245</v>
      </c>
      <c r="BG62" s="85">
        <v>2006334.4625156245</v>
      </c>
      <c r="BH62" s="85">
        <v>2675112.6166874995</v>
      </c>
      <c r="BI62" s="85">
        <v>3009501.6937734364</v>
      </c>
      <c r="BJ62" s="85">
        <v>3343890.7708593742</v>
      </c>
      <c r="BK62" s="85">
        <v>3678279.8479453116</v>
      </c>
      <c r="BL62" s="85">
        <v>4012668.9250312489</v>
      </c>
      <c r="BM62" s="85">
        <v>4681447.0792031242</v>
      </c>
      <c r="BN62" s="85">
        <v>5350225.2333749989</v>
      </c>
      <c r="BO62" s="85">
        <v>5350225.2333749989</v>
      </c>
      <c r="BP62" s="85">
        <v>5350225.2333749989</v>
      </c>
      <c r="BQ62" s="85">
        <v>5350225.2333749989</v>
      </c>
      <c r="BR62" s="85">
        <v>4681447.0792031242</v>
      </c>
      <c r="BS62" s="85">
        <v>4012668.9250312489</v>
      </c>
      <c r="BT62" s="85">
        <v>2675112.6166874995</v>
      </c>
      <c r="BU62" s="85">
        <v>0</v>
      </c>
      <c r="BV62" s="85">
        <v>0</v>
      </c>
      <c r="BW62" s="85">
        <v>0</v>
      </c>
      <c r="BX62" s="85">
        <v>0</v>
      </c>
      <c r="BY62" s="85">
        <v>0</v>
      </c>
      <c r="BZ62" s="85">
        <v>0</v>
      </c>
      <c r="CA62" s="85">
        <v>0</v>
      </c>
      <c r="CB62" s="85">
        <v>0</v>
      </c>
      <c r="CC62" s="85">
        <v>0</v>
      </c>
      <c r="CD62" s="85">
        <v>0</v>
      </c>
      <c r="CE62" s="85">
        <v>0</v>
      </c>
      <c r="CF62" s="85">
        <v>0</v>
      </c>
      <c r="CG62" s="85">
        <v>0</v>
      </c>
      <c r="CH62" s="85">
        <v>0</v>
      </c>
      <c r="CI62" s="85">
        <v>0</v>
      </c>
      <c r="CJ62" s="85">
        <v>0</v>
      </c>
      <c r="CK62" s="85">
        <v>0</v>
      </c>
      <c r="CL62" s="85">
        <v>0</v>
      </c>
      <c r="CM62" s="85">
        <v>0</v>
      </c>
      <c r="CN62" s="85">
        <v>0</v>
      </c>
      <c r="CO62" s="85">
        <v>0</v>
      </c>
      <c r="CP62" s="85">
        <v>0</v>
      </c>
      <c r="CQ62" s="85">
        <v>0</v>
      </c>
      <c r="CR62" s="85">
        <v>0</v>
      </c>
      <c r="CS62" s="85">
        <v>0</v>
      </c>
      <c r="CT62" s="85">
        <v>0</v>
      </c>
      <c r="CU62" s="85">
        <v>0</v>
      </c>
      <c r="CV62" s="85">
        <v>0</v>
      </c>
      <c r="CW62" s="85">
        <v>0</v>
      </c>
      <c r="CX62" s="85">
        <v>0</v>
      </c>
      <c r="CY62" s="85">
        <v>0</v>
      </c>
      <c r="CZ62" s="85">
        <v>0</v>
      </c>
      <c r="DA62" s="85">
        <v>0</v>
      </c>
      <c r="DB62" s="85">
        <v>0</v>
      </c>
      <c r="DC62" s="85">
        <v>0</v>
      </c>
      <c r="DD62" s="85">
        <v>0</v>
      </c>
      <c r="DE62" s="85">
        <v>0</v>
      </c>
      <c r="DF62" s="85">
        <v>0</v>
      </c>
      <c r="DG62" s="85">
        <v>0</v>
      </c>
      <c r="DH62" s="85">
        <v>0</v>
      </c>
      <c r="DI62" s="85">
        <v>0</v>
      </c>
      <c r="DJ62" s="85">
        <v>0</v>
      </c>
      <c r="DK62" s="85">
        <v>0</v>
      </c>
      <c r="DL62" s="85">
        <v>0</v>
      </c>
      <c r="DM62" s="85">
        <v>0</v>
      </c>
      <c r="DN62" s="85">
        <v>0</v>
      </c>
      <c r="DO62" s="85">
        <v>0</v>
      </c>
      <c r="DP62" s="85">
        <v>0</v>
      </c>
      <c r="DQ62" s="85">
        <v>0</v>
      </c>
      <c r="DR62" s="85">
        <v>0</v>
      </c>
      <c r="DS62" s="85">
        <v>0</v>
      </c>
      <c r="DT62" s="85">
        <v>0</v>
      </c>
      <c r="DU62" s="85">
        <v>0</v>
      </c>
      <c r="DV62" s="85">
        <v>0</v>
      </c>
      <c r="DW62" s="85">
        <v>0</v>
      </c>
      <c r="DX62" s="85">
        <v>0</v>
      </c>
      <c r="DY62" s="85">
        <v>0</v>
      </c>
    </row>
    <row r="63" spans="3:129">
      <c r="E63" t="str">
        <v>Property O</v>
      </c>
      <c r="G63" t="s">
        <v>128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5">
        <v>0</v>
      </c>
      <c r="AH63" s="85">
        <v>0</v>
      </c>
      <c r="AI63" s="85">
        <v>0</v>
      </c>
      <c r="AJ63" s="85">
        <v>0</v>
      </c>
      <c r="AK63" s="85">
        <v>0</v>
      </c>
      <c r="AL63" s="85">
        <v>0</v>
      </c>
      <c r="AM63" s="85">
        <v>0</v>
      </c>
      <c r="AN63" s="85">
        <v>0</v>
      </c>
      <c r="AO63" s="85">
        <v>0</v>
      </c>
      <c r="AP63" s="85">
        <v>0</v>
      </c>
      <c r="AQ63" s="85">
        <v>0</v>
      </c>
      <c r="AR63" s="85">
        <v>0</v>
      </c>
      <c r="AS63" s="85">
        <v>0</v>
      </c>
      <c r="AT63" s="85">
        <v>0</v>
      </c>
      <c r="AU63" s="85">
        <v>0</v>
      </c>
      <c r="AV63" s="85">
        <v>0</v>
      </c>
      <c r="AW63" s="85">
        <v>0</v>
      </c>
      <c r="AX63" s="85">
        <v>0</v>
      </c>
      <c r="AY63" s="85">
        <v>0</v>
      </c>
      <c r="AZ63" s="85">
        <v>0</v>
      </c>
      <c r="BA63" s="85">
        <v>0</v>
      </c>
      <c r="BB63" s="85">
        <v>0</v>
      </c>
      <c r="BC63" s="85">
        <v>0</v>
      </c>
      <c r="BD63" s="85">
        <v>0</v>
      </c>
      <c r="BE63" s="85">
        <v>746000.90399999998</v>
      </c>
      <c r="BF63" s="85">
        <v>746000.90399999998</v>
      </c>
      <c r="BG63" s="85">
        <v>746000.90399999998</v>
      </c>
      <c r="BH63" s="85">
        <v>1492001.808</v>
      </c>
      <c r="BI63" s="85">
        <v>1492001.808</v>
      </c>
      <c r="BJ63" s="85">
        <v>1492001.808</v>
      </c>
      <c r="BK63" s="85">
        <v>1492001.808</v>
      </c>
      <c r="BL63" s="85">
        <v>2238002.7119999998</v>
      </c>
      <c r="BM63" s="85">
        <v>2238002.7119999998</v>
      </c>
      <c r="BN63" s="85">
        <v>2238002.7119999998</v>
      </c>
      <c r="BO63" s="85">
        <v>2984003.6159999999</v>
      </c>
      <c r="BP63" s="85">
        <v>2984003.6159999999</v>
      </c>
      <c r="BQ63" s="85">
        <v>3730004.5199999996</v>
      </c>
      <c r="BR63" s="85">
        <v>3730004.5199999996</v>
      </c>
      <c r="BS63" s="85">
        <v>4476005.4239999996</v>
      </c>
      <c r="BT63" s="85">
        <v>4476005.4239999996</v>
      </c>
      <c r="BU63" s="85">
        <v>5222006.3279999997</v>
      </c>
      <c r="BV63" s="85">
        <v>5222006.3279999997</v>
      </c>
      <c r="BW63" s="85">
        <v>5968007.2319999998</v>
      </c>
      <c r="BX63" s="85">
        <v>5968007.2319999998</v>
      </c>
      <c r="BY63" s="85">
        <v>5968007.2319999998</v>
      </c>
      <c r="BZ63" s="85">
        <v>4476005.4239999996</v>
      </c>
      <c r="CA63" s="85">
        <v>2984003.6159999999</v>
      </c>
      <c r="CB63" s="85">
        <v>1492001.808</v>
      </c>
      <c r="CC63" s="85">
        <v>0</v>
      </c>
      <c r="CD63" s="85">
        <v>0</v>
      </c>
      <c r="CE63" s="85">
        <v>0</v>
      </c>
      <c r="CF63" s="85">
        <v>0</v>
      </c>
      <c r="CG63" s="85">
        <v>0</v>
      </c>
      <c r="CH63" s="85">
        <v>0</v>
      </c>
      <c r="CI63" s="85">
        <v>0</v>
      </c>
      <c r="CJ63" s="85">
        <v>0</v>
      </c>
      <c r="CK63" s="85">
        <v>0</v>
      </c>
      <c r="CL63" s="85">
        <v>0</v>
      </c>
      <c r="CM63" s="85">
        <v>0</v>
      </c>
      <c r="CN63" s="85">
        <v>0</v>
      </c>
      <c r="CO63" s="85">
        <v>0</v>
      </c>
      <c r="CP63" s="85">
        <v>0</v>
      </c>
      <c r="CQ63" s="85">
        <v>0</v>
      </c>
      <c r="CR63" s="85">
        <v>0</v>
      </c>
      <c r="CS63" s="85">
        <v>0</v>
      </c>
      <c r="CT63" s="85">
        <v>0</v>
      </c>
      <c r="CU63" s="85">
        <v>0</v>
      </c>
      <c r="CV63" s="85">
        <v>0</v>
      </c>
      <c r="CW63" s="85">
        <v>0</v>
      </c>
      <c r="CX63" s="85">
        <v>0</v>
      </c>
      <c r="CY63" s="85">
        <v>0</v>
      </c>
      <c r="CZ63" s="85">
        <v>0</v>
      </c>
      <c r="DA63" s="85">
        <v>0</v>
      </c>
      <c r="DB63" s="85">
        <v>0</v>
      </c>
      <c r="DC63" s="85">
        <v>0</v>
      </c>
      <c r="DD63" s="85">
        <v>0</v>
      </c>
      <c r="DE63" s="85">
        <v>0</v>
      </c>
      <c r="DF63" s="85">
        <v>0</v>
      </c>
      <c r="DG63" s="85">
        <v>0</v>
      </c>
      <c r="DH63" s="85">
        <v>0</v>
      </c>
      <c r="DI63" s="85">
        <v>0</v>
      </c>
      <c r="DJ63" s="85">
        <v>0</v>
      </c>
      <c r="DK63" s="85">
        <v>0</v>
      </c>
      <c r="DL63" s="85">
        <v>0</v>
      </c>
      <c r="DM63" s="85">
        <v>0</v>
      </c>
      <c r="DN63" s="85">
        <v>0</v>
      </c>
      <c r="DO63" s="85">
        <v>0</v>
      </c>
      <c r="DP63" s="85">
        <v>0</v>
      </c>
      <c r="DQ63" s="85">
        <v>0</v>
      </c>
      <c r="DR63" s="85">
        <v>0</v>
      </c>
      <c r="DS63" s="85">
        <v>0</v>
      </c>
      <c r="DT63" s="85">
        <v>0</v>
      </c>
      <c r="DU63" s="85">
        <v>0</v>
      </c>
      <c r="DV63" s="85">
        <v>0</v>
      </c>
      <c r="DW63" s="85">
        <v>0</v>
      </c>
      <c r="DX63" s="85">
        <v>0</v>
      </c>
      <c r="DY63" s="85">
        <v>0</v>
      </c>
    </row>
    <row r="64" spans="3:129">
      <c r="E64" s="94" t="s">
        <v>136</v>
      </c>
      <c r="F64" s="94"/>
      <c r="G64" s="94" t="s">
        <v>128</v>
      </c>
      <c r="H64" s="94"/>
      <c r="I64" s="94"/>
      <c r="J64" s="94" cm="1">
        <f t="array" ref="J64:DY64">_xlfn.BYCOL(_xlfn.ANCHORARRAY( $J$54), _xleta.SUM )</f>
        <v>0</v>
      </c>
      <c r="K64" s="94">
        <v>0</v>
      </c>
      <c r="L64" s="94">
        <v>0</v>
      </c>
      <c r="M64" s="94">
        <v>0</v>
      </c>
      <c r="N64" s="94">
        <v>948007.125</v>
      </c>
      <c r="O64" s="94">
        <v>1053341.25</v>
      </c>
      <c r="P64" s="94">
        <v>1264009.5</v>
      </c>
      <c r="Q64" s="94">
        <v>1474677.7500000002</v>
      </c>
      <c r="R64" s="94">
        <v>2321317.5</v>
      </c>
      <c r="S64" s="94">
        <v>3936850.75</v>
      </c>
      <c r="T64" s="94">
        <v>5097509.5</v>
      </c>
      <c r="U64" s="94">
        <v>7117610.25</v>
      </c>
      <c r="V64" s="94">
        <v>7856932.5</v>
      </c>
      <c r="W64" s="94">
        <v>8711956.75</v>
      </c>
      <c r="X64" s="94">
        <v>10392141.875</v>
      </c>
      <c r="Y64" s="94">
        <v>10623545.875</v>
      </c>
      <c r="Z64" s="94">
        <v>11989445.5</v>
      </c>
      <c r="AA64" s="94">
        <v>14120368.225</v>
      </c>
      <c r="AB64" s="94">
        <v>13395831.6</v>
      </c>
      <c r="AC64" s="94">
        <v>9469337.4499999993</v>
      </c>
      <c r="AD64" s="94">
        <v>7836476.5749999993</v>
      </c>
      <c r="AE64" s="94">
        <v>8805636.112499997</v>
      </c>
      <c r="AF64" s="94">
        <v>9814798.0687499978</v>
      </c>
      <c r="AG64" s="94">
        <v>10070709.049999999</v>
      </c>
      <c r="AH64" s="94">
        <v>10820726.406249998</v>
      </c>
      <c r="AI64" s="94">
        <v>10093375.387499999</v>
      </c>
      <c r="AJ64" s="94">
        <v>11297496.699999999</v>
      </c>
      <c r="AK64" s="94">
        <v>13171659.359375</v>
      </c>
      <c r="AL64" s="94">
        <v>14375780.671874998</v>
      </c>
      <c r="AM64" s="94">
        <v>15914922.657812499</v>
      </c>
      <c r="AN64" s="94">
        <v>15843834.74375</v>
      </c>
      <c r="AO64" s="94">
        <v>14049514.331249999</v>
      </c>
      <c r="AP64" s="94">
        <v>9212812.4296875</v>
      </c>
      <c r="AQ64" s="94">
        <v>4972563.9987500003</v>
      </c>
      <c r="AR64" s="94">
        <v>4412117.8107812498</v>
      </c>
      <c r="AS64" s="94">
        <v>3255763.4265624993</v>
      </c>
      <c r="AT64" s="94">
        <v>3715348.0385937495</v>
      </c>
      <c r="AU64" s="94">
        <v>4424060.5278124996</v>
      </c>
      <c r="AV64" s="94">
        <v>5008209.0784374997</v>
      </c>
      <c r="AW64" s="94">
        <v>5841485.5062499996</v>
      </c>
      <c r="AX64" s="94">
        <v>6674761.9340624996</v>
      </c>
      <c r="AY64" s="94">
        <v>8176816.5160468742</v>
      </c>
      <c r="AZ64" s="94">
        <v>9345113.6172968745</v>
      </c>
      <c r="BA64" s="94">
        <v>10847799.795632811</v>
      </c>
      <c r="BB64" s="94">
        <v>11182188.872718748</v>
      </c>
      <c r="BC64" s="94">
        <v>11182188.872718748</v>
      </c>
      <c r="BD64" s="94">
        <v>11516577.949804686</v>
      </c>
      <c r="BE64" s="94">
        <v>11256885.237140622</v>
      </c>
      <c r="BF64" s="94">
        <v>10088588.135890624</v>
      </c>
      <c r="BG64" s="94">
        <v>7253738.1790156234</v>
      </c>
      <c r="BH64" s="94">
        <v>4167114.4246874992</v>
      </c>
      <c r="BI64" s="94">
        <v>4501503.5017734366</v>
      </c>
      <c r="BJ64" s="94">
        <v>4835892.5788593739</v>
      </c>
      <c r="BK64" s="94">
        <v>5170281.6559453113</v>
      </c>
      <c r="BL64" s="94">
        <v>6250671.6370312488</v>
      </c>
      <c r="BM64" s="94">
        <v>6919449.7912031244</v>
      </c>
      <c r="BN64" s="94">
        <v>7588227.9453749992</v>
      </c>
      <c r="BO64" s="94">
        <v>8334228.8493749984</v>
      </c>
      <c r="BP64" s="94">
        <v>8334228.8493749984</v>
      </c>
      <c r="BQ64" s="94">
        <v>9080229.7533749975</v>
      </c>
      <c r="BR64" s="94">
        <v>8411451.5992031246</v>
      </c>
      <c r="BS64" s="94">
        <v>8488674.3490312491</v>
      </c>
      <c r="BT64" s="94">
        <v>7151118.0406874996</v>
      </c>
      <c r="BU64" s="94">
        <v>5222006.3279999997</v>
      </c>
      <c r="BV64" s="94">
        <v>5222006.3279999997</v>
      </c>
      <c r="BW64" s="94">
        <v>5968007.2319999998</v>
      </c>
      <c r="BX64" s="94">
        <v>5968007.2319999998</v>
      </c>
      <c r="BY64" s="94">
        <v>5968007.2319999998</v>
      </c>
      <c r="BZ64" s="94">
        <v>4476005.4239999996</v>
      </c>
      <c r="CA64" s="94">
        <v>2984003.6159999999</v>
      </c>
      <c r="CB64" s="94">
        <v>1492001.808</v>
      </c>
      <c r="CC64" s="94">
        <v>0</v>
      </c>
      <c r="CD64" s="94">
        <v>0</v>
      </c>
      <c r="CE64" s="94">
        <v>0</v>
      </c>
      <c r="CF64" s="94">
        <v>0</v>
      </c>
      <c r="CG64" s="94">
        <v>0</v>
      </c>
      <c r="CH64" s="94">
        <v>0</v>
      </c>
      <c r="CI64" s="94">
        <v>0</v>
      </c>
      <c r="CJ64" s="94">
        <v>0</v>
      </c>
      <c r="CK64" s="94">
        <v>0</v>
      </c>
      <c r="CL64" s="94">
        <v>0</v>
      </c>
      <c r="CM64" s="94">
        <v>0</v>
      </c>
      <c r="CN64" s="94">
        <v>0</v>
      </c>
      <c r="CO64" s="94">
        <v>0</v>
      </c>
      <c r="CP64" s="94">
        <v>0</v>
      </c>
      <c r="CQ64" s="94">
        <v>0</v>
      </c>
      <c r="CR64" s="94">
        <v>0</v>
      </c>
      <c r="CS64" s="94">
        <v>0</v>
      </c>
      <c r="CT64" s="94">
        <v>0</v>
      </c>
      <c r="CU64" s="94">
        <v>0</v>
      </c>
      <c r="CV64" s="94">
        <v>0</v>
      </c>
      <c r="CW64" s="94">
        <v>0</v>
      </c>
      <c r="CX64" s="94">
        <v>0</v>
      </c>
      <c r="CY64" s="94">
        <v>0</v>
      </c>
      <c r="CZ64" s="94">
        <v>0</v>
      </c>
      <c r="DA64" s="94">
        <v>0</v>
      </c>
      <c r="DB64" s="94">
        <v>0</v>
      </c>
      <c r="DC64" s="94">
        <v>0</v>
      </c>
      <c r="DD64" s="94">
        <v>0</v>
      </c>
      <c r="DE64" s="94">
        <v>0</v>
      </c>
      <c r="DF64" s="94">
        <v>0</v>
      </c>
      <c r="DG64" s="94">
        <v>0</v>
      </c>
      <c r="DH64" s="94">
        <v>0</v>
      </c>
      <c r="DI64" s="94">
        <v>0</v>
      </c>
      <c r="DJ64" s="94">
        <v>0</v>
      </c>
      <c r="DK64" s="94">
        <v>0</v>
      </c>
      <c r="DL64" s="94">
        <v>0</v>
      </c>
      <c r="DM64" s="94">
        <v>0</v>
      </c>
      <c r="DN64" s="94">
        <v>0</v>
      </c>
      <c r="DO64" s="94">
        <v>0</v>
      </c>
      <c r="DP64" s="94">
        <v>0</v>
      </c>
      <c r="DQ64" s="94">
        <v>0</v>
      </c>
      <c r="DR64" s="94">
        <v>0</v>
      </c>
      <c r="DS64" s="94">
        <v>0</v>
      </c>
      <c r="DT64" s="94">
        <v>0</v>
      </c>
      <c r="DU64" s="94">
        <v>0</v>
      </c>
      <c r="DV64" s="94">
        <v>0</v>
      </c>
      <c r="DW64" s="94">
        <v>0</v>
      </c>
      <c r="DX64" s="94">
        <v>0</v>
      </c>
      <c r="DY64" s="94">
        <v>0</v>
      </c>
    </row>
    <row r="67" spans="3:129">
      <c r="C67" s="88" t="s">
        <v>129</v>
      </c>
    </row>
    <row r="68" spans="3:129">
      <c r="C68" s="93" t="s">
        <v>130</v>
      </c>
    </row>
    <row r="69" spans="3:129">
      <c r="E69" t="str" cm="1">
        <f t="array" ref="E69:E78" xml:space="preserve"> _xlfn.LET(
      _xlpm.property_data,    CaseData!$A$15:$H$24,
      _xlfn.CHOOSECOLS( _xlpm.property_data, {1} ) )</f>
        <v>Property F</v>
      </c>
      <c r="G69" t="s">
        <v>128</v>
      </c>
      <c r="J69" s="85" cm="1">
        <f t="array" ref="J69:DY78" xml:space="preserve"> _xlfn.LET(
      _xlpm.timeline,_xlfn.ANCHORARRAY(          $J$3),
      _xlpm.property_data,     CaseData!$A$15:$H$24,
      _xlpm.property_rows,     INDEX( _xlpm.property_data, 0, 1 ),
      _xlpm.purchase_date,     INDEX( _xlpm.property_data,, 6 ),
      _xlpm.prep_months,       INDEX( _xlpm.property_data,, 7 ),
      _xlpm.const_months,      INDEX( _xlpm.property_data,, 8 ),
      _xlpm.delay,             IF( $F$9 = 0, 0, 12 ),
      _xlpm.moo_bp,            CaseData!$F$6:$F$9,
      _xlpm.vac_bp,            CaseData!$H$6:$H$9,
      _xlpm.operation_start,   _xlfn.MAKEARRAY( ROWS( _xlpm.property_data ), 1,
                             _xlfn.LAMBDA(_xlpm.r,_xlpm.c, EOMONTH( INDEX( _xlpm.purchase_date, _xlpm.r ), INDEX( _xlpm.prep_months, _xlpm.r ) + INDEX( _xlpm.const_months, _xlpm.r ) + _xlpm.delay ) ) ),
      _xlpm.operation_flag,    _xlfn.MAKEARRAY( ROWS( _xlpm.property_data ), COLUMNS( _xlpm.timeline ),
                             _xlfn.LAMBDA(_xlpm.r,_xlpm.c, IF( INDEX( _xlpm.timeline,, _xlpm.c ) &gt;= INDEX( _xlpm.operation_start, _xlpm.r, 1 ), 1, 0  ) ) ),
      _xlpm.elapsed_month,     _xlfn.MAKEARRAY( ROWS( _xlpm.property_data ), COLUMNS( _xlpm.timeline ),
                             _xlfn.LAMBDA(_xlpm.r,_xlpm.c, SUM( INDEX(_xlpm.operation_flag, _xlpm.r, _xlfn.SEQUENCE( 1, _xlpm.c ) ) ) ) ),
      _xlpm.vacancy_rate,      _xlfn.MAKEARRAY( ROWS( _xlpm.property_data ), COLUMNS( _xlpm.timeline ),
                             _xlfn.LAMBDA(_xlpm.r,_xlpm.c, _xlfn.LET(
                               _xlpm.moo,        MEDIAN( 1, INDEX( _xlpm.elapsed_month, _xlpm.r, _xlpm.c ), 24 ),
                               _xlpm.seg,        MIN( MATCH( _xlpm.moo, _xlpm.moo_bp, 1 ), 3 ),
                               _xlpm.lower_moo,  INDEX( _xlpm.moo_bp, _xlpm.seg ),
                               _xlpm.upper_moo,  INDEX( _xlpm.moo_bp, _xlpm.seg + 1 ),
                               _xlpm.lower_vac,  INDEX( _xlpm.vac_bp, _xlpm.seg ),
                               _xlpm.upper_vac,  INDEX( _xlpm.vac_bp, _xlpm.seg + 1 ),
                               IF( INDEX( _xlpm.operation_flag, _xlpm.r, _xlpm.c ) = 0, 0,
                                   _xlpm.lower_vac + ( _xlpm.upper_vac - _xlpm.lower_vac ) * ( _xlpm.moo - _xlpm.lower_moo ) / ( _xlpm.upper_moo - _xlpm.lower_moo ) ) ) ) ),
      _xlpm.vacancy_factor,    1 - _xlpm.vacancy_rate,
      _xlpm.inflation_flag,    IF( MONTH( _xlpm.timeline ) = 1, 1, 0  ),
      _xlpm.inflation_data,    CaseData!$J$15:$M$24,
      _xlpm.annual_rate,       _xlfn.XLOOKUP( YEAR( _xlpm.timeline ), INDEX( _xlpm.inflation_data,, 1 ), INDEX( _xlpm.inflation_data,, 2 ) ),
      _xlpm.effective_step,    _xlpm.inflation_flag * _xlpm.annual_rate,
      _xlpm.inflation_factor,  _xlfn.SCAN( 1, _xlpm.effective_step, _xlfn.LAMBDA(_xlpm.prev,_xlpm.step, IF( _xlpm.step = 0, _xlpm.prev, _xlpm.prev * ( 1 + _xlpm.step ) ) ) ),
      _xlpm.rent,              INDEX( _xlpm.property_data,, 2 ),
      _xlpm.operation_flag * _xlpm.rent * _xlpm.inflation_factor * _xlpm.vacancy_factor )</f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  <c r="V69" s="85">
        <v>0</v>
      </c>
      <c r="W69" s="85">
        <v>0</v>
      </c>
      <c r="X69" s="85">
        <v>0</v>
      </c>
      <c r="Y69" s="85">
        <v>0</v>
      </c>
      <c r="Z69" s="85">
        <v>0</v>
      </c>
      <c r="AA69" s="85">
        <v>0</v>
      </c>
      <c r="AB69" s="85">
        <v>0</v>
      </c>
      <c r="AC69" s="85">
        <v>121246.125</v>
      </c>
      <c r="AD69" s="85">
        <v>169744.57499999998</v>
      </c>
      <c r="AE69" s="85">
        <v>218243.02499999997</v>
      </c>
      <c r="AF69" s="85">
        <v>266741.47500000003</v>
      </c>
      <c r="AG69" s="85">
        <v>315239.92499999999</v>
      </c>
      <c r="AH69" s="85">
        <v>378287.91000000003</v>
      </c>
      <c r="AI69" s="85">
        <v>390897.50700000004</v>
      </c>
      <c r="AJ69" s="85">
        <v>403507.10400000005</v>
      </c>
      <c r="AK69" s="85">
        <v>416116.701</v>
      </c>
      <c r="AL69" s="85">
        <v>428726.29800000001</v>
      </c>
      <c r="AM69" s="85">
        <v>441335.89500000002</v>
      </c>
      <c r="AN69" s="85">
        <v>453945.49200000003</v>
      </c>
      <c r="AO69" s="85">
        <v>456047.09149999998</v>
      </c>
      <c r="AP69" s="85">
        <v>458148.69099999999</v>
      </c>
      <c r="AQ69" s="85">
        <v>460250.2905</v>
      </c>
      <c r="AR69" s="85">
        <v>462351.89</v>
      </c>
      <c r="AS69" s="85">
        <v>464453.48949999997</v>
      </c>
      <c r="AT69" s="85">
        <v>482884.51711499994</v>
      </c>
      <c r="AU69" s="85">
        <v>485059.67259749997</v>
      </c>
      <c r="AV69" s="85">
        <v>487234.82807999995</v>
      </c>
      <c r="AW69" s="85">
        <v>489409.98356249993</v>
      </c>
      <c r="AX69" s="85">
        <v>491585.1390449999</v>
      </c>
      <c r="AY69" s="85">
        <v>493760.29452749994</v>
      </c>
      <c r="AZ69" s="85">
        <v>495935.45000999991</v>
      </c>
      <c r="BA69" s="85">
        <v>495935.45000999991</v>
      </c>
      <c r="BB69" s="85">
        <v>495935.45000999991</v>
      </c>
      <c r="BC69" s="85">
        <v>495935.45000999991</v>
      </c>
      <c r="BD69" s="85">
        <v>495935.45000999991</v>
      </c>
      <c r="BE69" s="85">
        <v>495935.45000999991</v>
      </c>
      <c r="BF69" s="85">
        <v>510813.5135102999</v>
      </c>
      <c r="BG69" s="85">
        <v>510813.5135102999</v>
      </c>
      <c r="BH69" s="85">
        <v>510813.5135102999</v>
      </c>
      <c r="BI69" s="85">
        <v>510813.5135102999</v>
      </c>
      <c r="BJ69" s="85">
        <v>510813.5135102999</v>
      </c>
      <c r="BK69" s="85">
        <v>510813.5135102999</v>
      </c>
      <c r="BL69" s="85">
        <v>510813.5135102999</v>
      </c>
      <c r="BM69" s="85">
        <v>510813.5135102999</v>
      </c>
      <c r="BN69" s="85">
        <v>510813.5135102999</v>
      </c>
      <c r="BO69" s="85">
        <v>510813.5135102999</v>
      </c>
      <c r="BP69" s="85">
        <v>510813.5135102999</v>
      </c>
      <c r="BQ69" s="85">
        <v>510813.5135102999</v>
      </c>
      <c r="BR69" s="85">
        <v>523583.85134805739</v>
      </c>
      <c r="BS69" s="85">
        <v>523583.85134805739</v>
      </c>
      <c r="BT69" s="85">
        <v>523583.85134805739</v>
      </c>
      <c r="BU69" s="85">
        <v>523583.85134805739</v>
      </c>
      <c r="BV69" s="85">
        <v>523583.85134805739</v>
      </c>
      <c r="BW69" s="85">
        <v>523583.85134805739</v>
      </c>
      <c r="BX69" s="85">
        <v>523583.85134805739</v>
      </c>
      <c r="BY69" s="85">
        <v>523583.85134805739</v>
      </c>
      <c r="BZ69" s="85">
        <v>523583.85134805739</v>
      </c>
      <c r="CA69" s="85">
        <v>523583.85134805739</v>
      </c>
      <c r="CB69" s="85">
        <v>523583.85134805739</v>
      </c>
      <c r="CC69" s="85">
        <v>523583.85134805739</v>
      </c>
      <c r="CD69" s="85">
        <v>536673.44763175875</v>
      </c>
      <c r="CE69" s="85">
        <v>536673.44763175875</v>
      </c>
      <c r="CF69" s="85">
        <v>536673.44763175875</v>
      </c>
      <c r="CG69" s="85">
        <v>536673.44763175875</v>
      </c>
      <c r="CH69" s="85">
        <v>536673.44763175875</v>
      </c>
      <c r="CI69" s="85">
        <v>536673.44763175875</v>
      </c>
      <c r="CJ69" s="85">
        <v>536673.44763175875</v>
      </c>
      <c r="CK69" s="85">
        <v>536673.44763175875</v>
      </c>
      <c r="CL69" s="85">
        <v>536673.44763175875</v>
      </c>
      <c r="CM69" s="85">
        <v>536673.44763175875</v>
      </c>
      <c r="CN69" s="85">
        <v>536673.44763175875</v>
      </c>
      <c r="CO69" s="85">
        <v>536673.44763175875</v>
      </c>
      <c r="CP69" s="85">
        <v>550090.28382255277</v>
      </c>
      <c r="CQ69" s="85">
        <v>550090.28382255277</v>
      </c>
      <c r="CR69" s="85">
        <v>550090.28382255277</v>
      </c>
      <c r="CS69" s="85">
        <v>550090.28382255277</v>
      </c>
      <c r="CT69" s="85">
        <v>550090.28382255277</v>
      </c>
      <c r="CU69" s="85">
        <v>550090.28382255277</v>
      </c>
      <c r="CV69" s="85">
        <v>550090.28382255277</v>
      </c>
      <c r="CW69" s="85">
        <v>550090.28382255277</v>
      </c>
      <c r="CX69" s="85">
        <v>550090.28382255277</v>
      </c>
      <c r="CY69" s="85">
        <v>550090.28382255277</v>
      </c>
      <c r="CZ69" s="85">
        <v>550090.28382255277</v>
      </c>
      <c r="DA69" s="85">
        <v>550090.28382255277</v>
      </c>
      <c r="DB69" s="85">
        <v>563842.54091811646</v>
      </c>
      <c r="DC69" s="85">
        <v>563842.54091811646</v>
      </c>
      <c r="DD69" s="85">
        <v>563842.54091811646</v>
      </c>
      <c r="DE69" s="85">
        <v>563842.54091811646</v>
      </c>
      <c r="DF69" s="85">
        <v>563842.54091811646</v>
      </c>
      <c r="DG69" s="85">
        <v>563842.54091811646</v>
      </c>
      <c r="DH69" s="85">
        <v>563842.54091811646</v>
      </c>
      <c r="DI69" s="85">
        <v>563842.54091811646</v>
      </c>
      <c r="DJ69" s="85">
        <v>563842.54091811646</v>
      </c>
      <c r="DK69" s="85">
        <v>563842.54091811646</v>
      </c>
      <c r="DL69" s="85">
        <v>563842.54091811646</v>
      </c>
      <c r="DM69" s="85">
        <v>563842.54091811646</v>
      </c>
      <c r="DN69" s="85">
        <v>577938.6044410693</v>
      </c>
      <c r="DO69" s="85">
        <v>577938.6044410693</v>
      </c>
      <c r="DP69" s="85">
        <v>577938.6044410693</v>
      </c>
      <c r="DQ69" s="85">
        <v>577938.6044410693</v>
      </c>
      <c r="DR69" s="85">
        <v>577938.6044410693</v>
      </c>
      <c r="DS69" s="85">
        <v>577938.6044410693</v>
      </c>
      <c r="DT69" s="85">
        <v>577938.6044410693</v>
      </c>
      <c r="DU69" s="85">
        <v>577938.6044410693</v>
      </c>
      <c r="DV69" s="85">
        <v>577938.6044410693</v>
      </c>
      <c r="DW69" s="85">
        <v>577938.6044410693</v>
      </c>
      <c r="DX69" s="85">
        <v>577938.6044410693</v>
      </c>
      <c r="DY69" s="85">
        <v>577938.6044410693</v>
      </c>
    </row>
    <row r="70" spans="3:129">
      <c r="E70" t="str">
        <v>Property G</v>
      </c>
      <c r="G70" t="s">
        <v>128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0</v>
      </c>
      <c r="V70" s="85">
        <v>0</v>
      </c>
      <c r="W70" s="85">
        <v>0</v>
      </c>
      <c r="X70" s="85">
        <v>0</v>
      </c>
      <c r="Y70" s="85">
        <v>0</v>
      </c>
      <c r="Z70" s="85">
        <v>0</v>
      </c>
      <c r="AA70" s="85">
        <v>0</v>
      </c>
      <c r="AB70" s="85">
        <v>0</v>
      </c>
      <c r="AC70" s="85">
        <v>0</v>
      </c>
      <c r="AD70" s="85">
        <v>105061.6875</v>
      </c>
      <c r="AE70" s="85">
        <v>147086.36249999999</v>
      </c>
      <c r="AF70" s="85">
        <v>189111.03749999998</v>
      </c>
      <c r="AG70" s="85">
        <v>231135.71250000002</v>
      </c>
      <c r="AH70" s="85">
        <v>284086.80300000001</v>
      </c>
      <c r="AI70" s="85">
        <v>327792.46499999997</v>
      </c>
      <c r="AJ70" s="85">
        <v>338718.88050000003</v>
      </c>
      <c r="AK70" s="85">
        <v>349645.29600000003</v>
      </c>
      <c r="AL70" s="85">
        <v>360571.71149999998</v>
      </c>
      <c r="AM70" s="85">
        <v>371498.12699999998</v>
      </c>
      <c r="AN70" s="85">
        <v>382424.54249999998</v>
      </c>
      <c r="AO70" s="85">
        <v>393350.95799999998</v>
      </c>
      <c r="AP70" s="85">
        <v>395172.02724999998</v>
      </c>
      <c r="AQ70" s="85">
        <v>396993.09649999999</v>
      </c>
      <c r="AR70" s="85">
        <v>398814.16574999999</v>
      </c>
      <c r="AS70" s="85">
        <v>400635.23499999999</v>
      </c>
      <c r="AT70" s="85">
        <v>416542.27489874995</v>
      </c>
      <c r="AU70" s="85">
        <v>418427.08157249994</v>
      </c>
      <c r="AV70" s="85">
        <v>420311.88824624993</v>
      </c>
      <c r="AW70" s="85">
        <v>422196.69491999998</v>
      </c>
      <c r="AX70" s="85">
        <v>424081.50159374997</v>
      </c>
      <c r="AY70" s="85">
        <v>425966.30826749996</v>
      </c>
      <c r="AZ70" s="85">
        <v>427851.11494124995</v>
      </c>
      <c r="BA70" s="85">
        <v>429735.92161499994</v>
      </c>
      <c r="BB70" s="85">
        <v>429735.92161499994</v>
      </c>
      <c r="BC70" s="85">
        <v>429735.92161499994</v>
      </c>
      <c r="BD70" s="85">
        <v>429735.92161499994</v>
      </c>
      <c r="BE70" s="85">
        <v>429735.92161499994</v>
      </c>
      <c r="BF70" s="85">
        <v>442627.99926344998</v>
      </c>
      <c r="BG70" s="85">
        <v>442627.99926344998</v>
      </c>
      <c r="BH70" s="85">
        <v>442627.99926344998</v>
      </c>
      <c r="BI70" s="85">
        <v>442627.99926344998</v>
      </c>
      <c r="BJ70" s="85">
        <v>442627.99926344998</v>
      </c>
      <c r="BK70" s="85">
        <v>442627.99926344998</v>
      </c>
      <c r="BL70" s="85">
        <v>442627.99926344998</v>
      </c>
      <c r="BM70" s="85">
        <v>442627.99926344998</v>
      </c>
      <c r="BN70" s="85">
        <v>442627.99926344998</v>
      </c>
      <c r="BO70" s="85">
        <v>442627.99926344998</v>
      </c>
      <c r="BP70" s="85">
        <v>442627.99926344998</v>
      </c>
      <c r="BQ70" s="85">
        <v>442627.99926344998</v>
      </c>
      <c r="BR70" s="85">
        <v>453693.69924503617</v>
      </c>
      <c r="BS70" s="85">
        <v>453693.69924503617</v>
      </c>
      <c r="BT70" s="85">
        <v>453693.69924503617</v>
      </c>
      <c r="BU70" s="85">
        <v>453693.69924503617</v>
      </c>
      <c r="BV70" s="85">
        <v>453693.69924503617</v>
      </c>
      <c r="BW70" s="85">
        <v>453693.69924503617</v>
      </c>
      <c r="BX70" s="85">
        <v>453693.69924503617</v>
      </c>
      <c r="BY70" s="85">
        <v>453693.69924503617</v>
      </c>
      <c r="BZ70" s="85">
        <v>453693.69924503617</v>
      </c>
      <c r="CA70" s="85">
        <v>453693.69924503617</v>
      </c>
      <c r="CB70" s="85">
        <v>453693.69924503617</v>
      </c>
      <c r="CC70" s="85">
        <v>453693.69924503617</v>
      </c>
      <c r="CD70" s="85">
        <v>465036.04172616202</v>
      </c>
      <c r="CE70" s="85">
        <v>465036.04172616202</v>
      </c>
      <c r="CF70" s="85">
        <v>465036.04172616202</v>
      </c>
      <c r="CG70" s="85">
        <v>465036.04172616202</v>
      </c>
      <c r="CH70" s="85">
        <v>465036.04172616202</v>
      </c>
      <c r="CI70" s="85">
        <v>465036.04172616202</v>
      </c>
      <c r="CJ70" s="85">
        <v>465036.04172616202</v>
      </c>
      <c r="CK70" s="85">
        <v>465036.04172616202</v>
      </c>
      <c r="CL70" s="85">
        <v>465036.04172616202</v>
      </c>
      <c r="CM70" s="85">
        <v>465036.04172616202</v>
      </c>
      <c r="CN70" s="85">
        <v>465036.04172616202</v>
      </c>
      <c r="CO70" s="85">
        <v>465036.04172616202</v>
      </c>
      <c r="CP70" s="85">
        <v>476661.94276931603</v>
      </c>
      <c r="CQ70" s="85">
        <v>476661.94276931603</v>
      </c>
      <c r="CR70" s="85">
        <v>476661.94276931603</v>
      </c>
      <c r="CS70" s="85">
        <v>476661.94276931603</v>
      </c>
      <c r="CT70" s="85">
        <v>476661.94276931603</v>
      </c>
      <c r="CU70" s="85">
        <v>476661.94276931603</v>
      </c>
      <c r="CV70" s="85">
        <v>476661.94276931603</v>
      </c>
      <c r="CW70" s="85">
        <v>476661.94276931603</v>
      </c>
      <c r="CX70" s="85">
        <v>476661.94276931603</v>
      </c>
      <c r="CY70" s="85">
        <v>476661.94276931603</v>
      </c>
      <c r="CZ70" s="85">
        <v>476661.94276931603</v>
      </c>
      <c r="DA70" s="85">
        <v>476661.94276931603</v>
      </c>
      <c r="DB70" s="85">
        <v>488578.49133854883</v>
      </c>
      <c r="DC70" s="85">
        <v>488578.49133854883</v>
      </c>
      <c r="DD70" s="85">
        <v>488578.49133854883</v>
      </c>
      <c r="DE70" s="85">
        <v>488578.49133854883</v>
      </c>
      <c r="DF70" s="85">
        <v>488578.49133854883</v>
      </c>
      <c r="DG70" s="85">
        <v>488578.49133854883</v>
      </c>
      <c r="DH70" s="85">
        <v>488578.49133854883</v>
      </c>
      <c r="DI70" s="85">
        <v>488578.49133854883</v>
      </c>
      <c r="DJ70" s="85">
        <v>488578.49133854883</v>
      </c>
      <c r="DK70" s="85">
        <v>488578.49133854883</v>
      </c>
      <c r="DL70" s="85">
        <v>488578.49133854883</v>
      </c>
      <c r="DM70" s="85">
        <v>488578.49133854883</v>
      </c>
      <c r="DN70" s="85">
        <v>500792.95362201252</v>
      </c>
      <c r="DO70" s="85">
        <v>500792.95362201252</v>
      </c>
      <c r="DP70" s="85">
        <v>500792.95362201252</v>
      </c>
      <c r="DQ70" s="85">
        <v>500792.95362201252</v>
      </c>
      <c r="DR70" s="85">
        <v>500792.95362201252</v>
      </c>
      <c r="DS70" s="85">
        <v>500792.95362201252</v>
      </c>
      <c r="DT70" s="85">
        <v>500792.95362201252</v>
      </c>
      <c r="DU70" s="85">
        <v>500792.95362201252</v>
      </c>
      <c r="DV70" s="85">
        <v>500792.95362201252</v>
      </c>
      <c r="DW70" s="85">
        <v>500792.95362201252</v>
      </c>
      <c r="DX70" s="85">
        <v>500792.95362201252</v>
      </c>
      <c r="DY70" s="85">
        <v>500792.95362201252</v>
      </c>
    </row>
    <row r="71" spans="3:129">
      <c r="E71" t="str">
        <v>Property H</v>
      </c>
      <c r="G71" t="s">
        <v>128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  <c r="V71" s="85">
        <v>0</v>
      </c>
      <c r="W71" s="85">
        <v>0</v>
      </c>
      <c r="X71" s="85">
        <v>0</v>
      </c>
      <c r="Y71" s="85">
        <v>0</v>
      </c>
      <c r="Z71" s="85">
        <v>0</v>
      </c>
      <c r="AA71" s="85">
        <v>0</v>
      </c>
      <c r="AB71" s="85">
        <v>0</v>
      </c>
      <c r="AC71" s="85">
        <v>0</v>
      </c>
      <c r="AD71" s="85">
        <v>0</v>
      </c>
      <c r="AE71" s="85">
        <v>0</v>
      </c>
      <c r="AF71" s="85">
        <v>0</v>
      </c>
      <c r="AG71" s="85">
        <v>0</v>
      </c>
      <c r="AH71" s="85">
        <v>0</v>
      </c>
      <c r="AI71" s="85">
        <v>141786.64500000002</v>
      </c>
      <c r="AJ71" s="85">
        <v>198501.30300000001</v>
      </c>
      <c r="AK71" s="85">
        <v>255215.96100000001</v>
      </c>
      <c r="AL71" s="85">
        <v>311930.61900000006</v>
      </c>
      <c r="AM71" s="85">
        <v>368645.27700000006</v>
      </c>
      <c r="AN71" s="85">
        <v>425359.93500000006</v>
      </c>
      <c r="AO71" s="85">
        <v>439538.59950000007</v>
      </c>
      <c r="AP71" s="85">
        <v>453717.26400000008</v>
      </c>
      <c r="AQ71" s="85">
        <v>467895.92850000004</v>
      </c>
      <c r="AR71" s="85">
        <v>482074.59300000005</v>
      </c>
      <c r="AS71" s="85">
        <v>496253.25750000007</v>
      </c>
      <c r="AT71" s="85">
        <v>528297.03926999995</v>
      </c>
      <c r="AU71" s="85">
        <v>530742.85889624991</v>
      </c>
      <c r="AV71" s="85">
        <v>533188.67852249998</v>
      </c>
      <c r="AW71" s="85">
        <v>535634.49814874993</v>
      </c>
      <c r="AX71" s="85">
        <v>538080.31777499989</v>
      </c>
      <c r="AY71" s="85">
        <v>540526.13740124984</v>
      </c>
      <c r="AZ71" s="85">
        <v>542971.95702749991</v>
      </c>
      <c r="BA71" s="85">
        <v>545417.77665374998</v>
      </c>
      <c r="BB71" s="85">
        <v>547863.59627999994</v>
      </c>
      <c r="BC71" s="85">
        <v>550309.41590624989</v>
      </c>
      <c r="BD71" s="85">
        <v>552755.23553249997</v>
      </c>
      <c r="BE71" s="85">
        <v>555201.05515874992</v>
      </c>
      <c r="BF71" s="85">
        <v>574376.28102855</v>
      </c>
      <c r="BG71" s="85">
        <v>574376.28102855</v>
      </c>
      <c r="BH71" s="85">
        <v>574376.28102855</v>
      </c>
      <c r="BI71" s="85">
        <v>574376.28102855</v>
      </c>
      <c r="BJ71" s="85">
        <v>574376.28102855</v>
      </c>
      <c r="BK71" s="85">
        <v>574376.28102855</v>
      </c>
      <c r="BL71" s="85">
        <v>574376.28102855</v>
      </c>
      <c r="BM71" s="85">
        <v>574376.28102855</v>
      </c>
      <c r="BN71" s="85">
        <v>574376.28102855</v>
      </c>
      <c r="BO71" s="85">
        <v>574376.28102855</v>
      </c>
      <c r="BP71" s="85">
        <v>574376.28102855</v>
      </c>
      <c r="BQ71" s="85">
        <v>574376.28102855</v>
      </c>
      <c r="BR71" s="85">
        <v>588735.68805426371</v>
      </c>
      <c r="BS71" s="85">
        <v>588735.68805426371</v>
      </c>
      <c r="BT71" s="85">
        <v>588735.68805426371</v>
      </c>
      <c r="BU71" s="85">
        <v>588735.68805426371</v>
      </c>
      <c r="BV71" s="85">
        <v>588735.68805426371</v>
      </c>
      <c r="BW71" s="85">
        <v>588735.68805426371</v>
      </c>
      <c r="BX71" s="85">
        <v>588735.68805426371</v>
      </c>
      <c r="BY71" s="85">
        <v>588735.68805426371</v>
      </c>
      <c r="BZ71" s="85">
        <v>588735.68805426371</v>
      </c>
      <c r="CA71" s="85">
        <v>588735.68805426371</v>
      </c>
      <c r="CB71" s="85">
        <v>588735.68805426371</v>
      </c>
      <c r="CC71" s="85">
        <v>588735.68805426371</v>
      </c>
      <c r="CD71" s="85">
        <v>603454.08025562018</v>
      </c>
      <c r="CE71" s="85">
        <v>603454.08025562018</v>
      </c>
      <c r="CF71" s="85">
        <v>603454.08025562018</v>
      </c>
      <c r="CG71" s="85">
        <v>603454.08025562018</v>
      </c>
      <c r="CH71" s="85">
        <v>603454.08025562018</v>
      </c>
      <c r="CI71" s="85">
        <v>603454.08025562018</v>
      </c>
      <c r="CJ71" s="85">
        <v>603454.08025562018</v>
      </c>
      <c r="CK71" s="85">
        <v>603454.08025562018</v>
      </c>
      <c r="CL71" s="85">
        <v>603454.08025562018</v>
      </c>
      <c r="CM71" s="85">
        <v>603454.08025562018</v>
      </c>
      <c r="CN71" s="85">
        <v>603454.08025562018</v>
      </c>
      <c r="CO71" s="85">
        <v>603454.08025562018</v>
      </c>
      <c r="CP71" s="85">
        <v>618540.43226201064</v>
      </c>
      <c r="CQ71" s="85">
        <v>618540.43226201064</v>
      </c>
      <c r="CR71" s="85">
        <v>618540.43226201064</v>
      </c>
      <c r="CS71" s="85">
        <v>618540.43226201064</v>
      </c>
      <c r="CT71" s="85">
        <v>618540.43226201064</v>
      </c>
      <c r="CU71" s="85">
        <v>618540.43226201064</v>
      </c>
      <c r="CV71" s="85">
        <v>618540.43226201064</v>
      </c>
      <c r="CW71" s="85">
        <v>618540.43226201064</v>
      </c>
      <c r="CX71" s="85">
        <v>618540.43226201064</v>
      </c>
      <c r="CY71" s="85">
        <v>618540.43226201064</v>
      </c>
      <c r="CZ71" s="85">
        <v>618540.43226201064</v>
      </c>
      <c r="DA71" s="85">
        <v>618540.43226201064</v>
      </c>
      <c r="DB71" s="85">
        <v>634003.94306856079</v>
      </c>
      <c r="DC71" s="85">
        <v>634003.94306856079</v>
      </c>
      <c r="DD71" s="85">
        <v>634003.94306856079</v>
      </c>
      <c r="DE71" s="85">
        <v>634003.94306856079</v>
      </c>
      <c r="DF71" s="85">
        <v>634003.94306856079</v>
      </c>
      <c r="DG71" s="85">
        <v>634003.94306856079</v>
      </c>
      <c r="DH71" s="85">
        <v>634003.94306856079</v>
      </c>
      <c r="DI71" s="85">
        <v>634003.94306856079</v>
      </c>
      <c r="DJ71" s="85">
        <v>634003.94306856079</v>
      </c>
      <c r="DK71" s="85">
        <v>634003.94306856079</v>
      </c>
      <c r="DL71" s="85">
        <v>634003.94306856079</v>
      </c>
      <c r="DM71" s="85">
        <v>634003.94306856079</v>
      </c>
      <c r="DN71" s="85">
        <v>649854.04164527485</v>
      </c>
      <c r="DO71" s="85">
        <v>649854.04164527485</v>
      </c>
      <c r="DP71" s="85">
        <v>649854.04164527485</v>
      </c>
      <c r="DQ71" s="85">
        <v>649854.04164527485</v>
      </c>
      <c r="DR71" s="85">
        <v>649854.04164527485</v>
      </c>
      <c r="DS71" s="85">
        <v>649854.04164527485</v>
      </c>
      <c r="DT71" s="85">
        <v>649854.04164527485</v>
      </c>
      <c r="DU71" s="85">
        <v>649854.04164527485</v>
      </c>
      <c r="DV71" s="85">
        <v>649854.04164527485</v>
      </c>
      <c r="DW71" s="85">
        <v>649854.04164527485</v>
      </c>
      <c r="DX71" s="85">
        <v>649854.04164527485</v>
      </c>
      <c r="DY71" s="85">
        <v>649854.04164527485</v>
      </c>
    </row>
    <row r="72" spans="3:129">
      <c r="E72" t="str">
        <v>Property I</v>
      </c>
      <c r="G72" t="s">
        <v>128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  <c r="V72" s="85">
        <v>0</v>
      </c>
      <c r="W72" s="85">
        <v>0</v>
      </c>
      <c r="X72" s="85">
        <v>0</v>
      </c>
      <c r="Y72" s="85">
        <v>0</v>
      </c>
      <c r="Z72" s="85">
        <v>0</v>
      </c>
      <c r="AA72" s="85">
        <v>0</v>
      </c>
      <c r="AB72" s="85">
        <v>0</v>
      </c>
      <c r="AC72" s="85">
        <v>0</v>
      </c>
      <c r="AD72" s="85">
        <v>0</v>
      </c>
      <c r="AE72" s="85">
        <v>0</v>
      </c>
      <c r="AF72" s="85">
        <v>0</v>
      </c>
      <c r="AG72" s="85">
        <v>0</v>
      </c>
      <c r="AH72" s="85">
        <v>0</v>
      </c>
      <c r="AI72" s="85">
        <v>0</v>
      </c>
      <c r="AJ72" s="85">
        <v>0</v>
      </c>
      <c r="AK72" s="85">
        <v>0</v>
      </c>
      <c r="AL72" s="85">
        <v>0</v>
      </c>
      <c r="AM72" s="85">
        <v>0</v>
      </c>
      <c r="AN72" s="85">
        <v>0</v>
      </c>
      <c r="AO72" s="85">
        <v>0</v>
      </c>
      <c r="AP72" s="85">
        <v>0</v>
      </c>
      <c r="AQ72" s="85">
        <v>169744.57500000001</v>
      </c>
      <c r="AR72" s="85">
        <v>237642.405</v>
      </c>
      <c r="AS72" s="85">
        <v>305540.23499999999</v>
      </c>
      <c r="AT72" s="85">
        <v>386508.397275</v>
      </c>
      <c r="AU72" s="85">
        <v>456782.65132499993</v>
      </c>
      <c r="AV72" s="85">
        <v>527056.90537499986</v>
      </c>
      <c r="AW72" s="85">
        <v>544625.46888749988</v>
      </c>
      <c r="AX72" s="85">
        <v>562194.03239999991</v>
      </c>
      <c r="AY72" s="85">
        <v>579762.59591249982</v>
      </c>
      <c r="AZ72" s="85">
        <v>597331.15942499985</v>
      </c>
      <c r="BA72" s="85">
        <v>614899.72293749987</v>
      </c>
      <c r="BB72" s="85">
        <v>632468.2864499999</v>
      </c>
      <c r="BC72" s="85">
        <v>635396.38036874996</v>
      </c>
      <c r="BD72" s="85">
        <v>638324.47428749991</v>
      </c>
      <c r="BE72" s="85">
        <v>641252.56820624985</v>
      </c>
      <c r="BF72" s="85">
        <v>663506.08198874991</v>
      </c>
      <c r="BG72" s="85">
        <v>666522.01872506249</v>
      </c>
      <c r="BH72" s="85">
        <v>669537.95546137495</v>
      </c>
      <c r="BI72" s="85">
        <v>672553.89219768753</v>
      </c>
      <c r="BJ72" s="85">
        <v>675569.82893399999</v>
      </c>
      <c r="BK72" s="85">
        <v>678585.76567031245</v>
      </c>
      <c r="BL72" s="85">
        <v>681601.70240662491</v>
      </c>
      <c r="BM72" s="85">
        <v>684617.63914293749</v>
      </c>
      <c r="BN72" s="85">
        <v>687633.57587924995</v>
      </c>
      <c r="BO72" s="85">
        <v>687633.57587924995</v>
      </c>
      <c r="BP72" s="85">
        <v>687633.57587924995</v>
      </c>
      <c r="BQ72" s="85">
        <v>687633.57587924995</v>
      </c>
      <c r="BR72" s="85">
        <v>704824.41527623113</v>
      </c>
      <c r="BS72" s="85">
        <v>704824.41527623113</v>
      </c>
      <c r="BT72" s="85">
        <v>704824.41527623113</v>
      </c>
      <c r="BU72" s="85">
        <v>704824.41527623113</v>
      </c>
      <c r="BV72" s="85">
        <v>704824.41527623113</v>
      </c>
      <c r="BW72" s="85">
        <v>704824.41527623113</v>
      </c>
      <c r="BX72" s="85">
        <v>704824.41527623113</v>
      </c>
      <c r="BY72" s="85">
        <v>704824.41527623113</v>
      </c>
      <c r="BZ72" s="85">
        <v>704824.41527623113</v>
      </c>
      <c r="CA72" s="85">
        <v>704824.41527623113</v>
      </c>
      <c r="CB72" s="85">
        <v>704824.41527623113</v>
      </c>
      <c r="CC72" s="85">
        <v>704824.41527623113</v>
      </c>
      <c r="CD72" s="85">
        <v>722445.02565813682</v>
      </c>
      <c r="CE72" s="85">
        <v>722445.02565813682</v>
      </c>
      <c r="CF72" s="85">
        <v>722445.02565813682</v>
      </c>
      <c r="CG72" s="85">
        <v>722445.02565813682</v>
      </c>
      <c r="CH72" s="85">
        <v>722445.02565813682</v>
      </c>
      <c r="CI72" s="85">
        <v>722445.02565813682</v>
      </c>
      <c r="CJ72" s="85">
        <v>722445.02565813682</v>
      </c>
      <c r="CK72" s="85">
        <v>722445.02565813682</v>
      </c>
      <c r="CL72" s="85">
        <v>722445.02565813682</v>
      </c>
      <c r="CM72" s="85">
        <v>722445.02565813682</v>
      </c>
      <c r="CN72" s="85">
        <v>722445.02565813682</v>
      </c>
      <c r="CO72" s="85">
        <v>722445.02565813682</v>
      </c>
      <c r="CP72" s="85">
        <v>740506.15129959024</v>
      </c>
      <c r="CQ72" s="85">
        <v>740506.15129959024</v>
      </c>
      <c r="CR72" s="85">
        <v>740506.15129959024</v>
      </c>
      <c r="CS72" s="85">
        <v>740506.15129959024</v>
      </c>
      <c r="CT72" s="85">
        <v>740506.15129959024</v>
      </c>
      <c r="CU72" s="85">
        <v>740506.15129959024</v>
      </c>
      <c r="CV72" s="85">
        <v>740506.15129959024</v>
      </c>
      <c r="CW72" s="85">
        <v>740506.15129959024</v>
      </c>
      <c r="CX72" s="85">
        <v>740506.15129959024</v>
      </c>
      <c r="CY72" s="85">
        <v>740506.15129959024</v>
      </c>
      <c r="CZ72" s="85">
        <v>740506.15129959024</v>
      </c>
      <c r="DA72" s="85">
        <v>740506.15129959024</v>
      </c>
      <c r="DB72" s="85">
        <v>759018.80508207984</v>
      </c>
      <c r="DC72" s="85">
        <v>759018.80508207984</v>
      </c>
      <c r="DD72" s="85">
        <v>759018.80508207984</v>
      </c>
      <c r="DE72" s="85">
        <v>759018.80508207984</v>
      </c>
      <c r="DF72" s="85">
        <v>759018.80508207984</v>
      </c>
      <c r="DG72" s="85">
        <v>759018.80508207984</v>
      </c>
      <c r="DH72" s="85">
        <v>759018.80508207984</v>
      </c>
      <c r="DI72" s="85">
        <v>759018.80508207984</v>
      </c>
      <c r="DJ72" s="85">
        <v>759018.80508207984</v>
      </c>
      <c r="DK72" s="85">
        <v>759018.80508207984</v>
      </c>
      <c r="DL72" s="85">
        <v>759018.80508207984</v>
      </c>
      <c r="DM72" s="85">
        <v>759018.80508207984</v>
      </c>
      <c r="DN72" s="85">
        <v>777994.27520913177</v>
      </c>
      <c r="DO72" s="85">
        <v>777994.27520913177</v>
      </c>
      <c r="DP72" s="85">
        <v>777994.27520913177</v>
      </c>
      <c r="DQ72" s="85">
        <v>777994.27520913177</v>
      </c>
      <c r="DR72" s="85">
        <v>777994.27520913177</v>
      </c>
      <c r="DS72" s="85">
        <v>777994.27520913177</v>
      </c>
      <c r="DT72" s="85">
        <v>777994.27520913177</v>
      </c>
      <c r="DU72" s="85">
        <v>777994.27520913177</v>
      </c>
      <c r="DV72" s="85">
        <v>777994.27520913177</v>
      </c>
      <c r="DW72" s="85">
        <v>777994.27520913177</v>
      </c>
      <c r="DX72" s="85">
        <v>777994.27520913177</v>
      </c>
      <c r="DY72" s="85">
        <v>777994.27520913177</v>
      </c>
    </row>
    <row r="73" spans="3:129">
      <c r="E73" t="str">
        <v>Property J</v>
      </c>
      <c r="G73" t="s">
        <v>128</v>
      </c>
      <c r="J73" s="85">
        <v>0</v>
      </c>
      <c r="K73" s="85">
        <v>0</v>
      </c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5">
        <v>0</v>
      </c>
      <c r="T73" s="85">
        <v>0</v>
      </c>
      <c r="U73" s="85">
        <v>0</v>
      </c>
      <c r="V73" s="85">
        <v>0</v>
      </c>
      <c r="W73" s="85">
        <v>0</v>
      </c>
      <c r="X73" s="85">
        <v>0</v>
      </c>
      <c r="Y73" s="85">
        <v>0</v>
      </c>
      <c r="Z73" s="85">
        <v>0</v>
      </c>
      <c r="AA73" s="85">
        <v>0</v>
      </c>
      <c r="AB73" s="85">
        <v>0</v>
      </c>
      <c r="AC73" s="85">
        <v>0</v>
      </c>
      <c r="AD73" s="85">
        <v>0</v>
      </c>
      <c r="AE73" s="85">
        <v>0</v>
      </c>
      <c r="AF73" s="85">
        <v>0</v>
      </c>
      <c r="AG73" s="85">
        <v>0</v>
      </c>
      <c r="AH73" s="85">
        <v>0</v>
      </c>
      <c r="AI73" s="85">
        <v>0</v>
      </c>
      <c r="AJ73" s="85">
        <v>0</v>
      </c>
      <c r="AK73" s="85">
        <v>0</v>
      </c>
      <c r="AL73" s="85">
        <v>0</v>
      </c>
      <c r="AM73" s="85">
        <v>0</v>
      </c>
      <c r="AN73" s="85">
        <v>0</v>
      </c>
      <c r="AO73" s="85">
        <v>0</v>
      </c>
      <c r="AP73" s="85">
        <v>0</v>
      </c>
      <c r="AQ73" s="85">
        <v>0</v>
      </c>
      <c r="AR73" s="85">
        <v>0</v>
      </c>
      <c r="AS73" s="85">
        <v>168888.72</v>
      </c>
      <c r="AT73" s="85">
        <v>244719.75527999998</v>
      </c>
      <c r="AU73" s="85">
        <v>314639.68535999994</v>
      </c>
      <c r="AV73" s="85">
        <v>384559.61544000002</v>
      </c>
      <c r="AW73" s="85">
        <v>454479.54551999999</v>
      </c>
      <c r="AX73" s="85">
        <v>524399.47560000001</v>
      </c>
      <c r="AY73" s="85">
        <v>541879.45811999997</v>
      </c>
      <c r="AZ73" s="85">
        <v>559359.44064000004</v>
      </c>
      <c r="BA73" s="85">
        <v>576839.42315999989</v>
      </c>
      <c r="BB73" s="85">
        <v>594319.40567999997</v>
      </c>
      <c r="BC73" s="85">
        <v>611799.38819999993</v>
      </c>
      <c r="BD73" s="85">
        <v>629279.37072000001</v>
      </c>
      <c r="BE73" s="85">
        <v>632192.70114000002</v>
      </c>
      <c r="BF73" s="85">
        <v>654159.21250679996</v>
      </c>
      <c r="BG73" s="85">
        <v>657159.94283939991</v>
      </c>
      <c r="BH73" s="85">
        <v>660160.67317199998</v>
      </c>
      <c r="BI73" s="85">
        <v>663161.40350459993</v>
      </c>
      <c r="BJ73" s="85">
        <v>666162.1338372</v>
      </c>
      <c r="BK73" s="85">
        <v>669162.86416979996</v>
      </c>
      <c r="BL73" s="85">
        <v>672163.59450240002</v>
      </c>
      <c r="BM73" s="85">
        <v>675164.32483499998</v>
      </c>
      <c r="BN73" s="85">
        <v>678165.05516759993</v>
      </c>
      <c r="BO73" s="85">
        <v>681165.7855002</v>
      </c>
      <c r="BP73" s="85">
        <v>684166.51583279995</v>
      </c>
      <c r="BQ73" s="85">
        <v>684166.51583279995</v>
      </c>
      <c r="BR73" s="85">
        <v>701270.67872861994</v>
      </c>
      <c r="BS73" s="85">
        <v>701270.67872861994</v>
      </c>
      <c r="BT73" s="85">
        <v>701270.67872861994</v>
      </c>
      <c r="BU73" s="85">
        <v>701270.67872861994</v>
      </c>
      <c r="BV73" s="85">
        <v>701270.67872861994</v>
      </c>
      <c r="BW73" s="85">
        <v>701270.67872861994</v>
      </c>
      <c r="BX73" s="85">
        <v>701270.67872861994</v>
      </c>
      <c r="BY73" s="85">
        <v>701270.67872861994</v>
      </c>
      <c r="BZ73" s="85">
        <v>701270.67872861994</v>
      </c>
      <c r="CA73" s="85">
        <v>701270.67872861994</v>
      </c>
      <c r="CB73" s="85">
        <v>701270.67872861994</v>
      </c>
      <c r="CC73" s="85">
        <v>701270.67872861994</v>
      </c>
      <c r="CD73" s="85">
        <v>718802.44569683529</v>
      </c>
      <c r="CE73" s="85">
        <v>718802.44569683529</v>
      </c>
      <c r="CF73" s="85">
        <v>718802.44569683529</v>
      </c>
      <c r="CG73" s="85">
        <v>718802.44569683529</v>
      </c>
      <c r="CH73" s="85">
        <v>718802.44569683529</v>
      </c>
      <c r="CI73" s="85">
        <v>718802.44569683529</v>
      </c>
      <c r="CJ73" s="85">
        <v>718802.44569683529</v>
      </c>
      <c r="CK73" s="85">
        <v>718802.44569683529</v>
      </c>
      <c r="CL73" s="85">
        <v>718802.44569683529</v>
      </c>
      <c r="CM73" s="85">
        <v>718802.44569683529</v>
      </c>
      <c r="CN73" s="85">
        <v>718802.44569683529</v>
      </c>
      <c r="CO73" s="85">
        <v>718802.44569683529</v>
      </c>
      <c r="CP73" s="85">
        <v>736772.50683925615</v>
      </c>
      <c r="CQ73" s="85">
        <v>736772.50683925615</v>
      </c>
      <c r="CR73" s="85">
        <v>736772.50683925615</v>
      </c>
      <c r="CS73" s="85">
        <v>736772.50683925615</v>
      </c>
      <c r="CT73" s="85">
        <v>736772.50683925615</v>
      </c>
      <c r="CU73" s="85">
        <v>736772.50683925615</v>
      </c>
      <c r="CV73" s="85">
        <v>736772.50683925615</v>
      </c>
      <c r="CW73" s="85">
        <v>736772.50683925615</v>
      </c>
      <c r="CX73" s="85">
        <v>736772.50683925615</v>
      </c>
      <c r="CY73" s="85">
        <v>736772.50683925615</v>
      </c>
      <c r="CZ73" s="85">
        <v>736772.50683925615</v>
      </c>
      <c r="DA73" s="85">
        <v>736772.50683925615</v>
      </c>
      <c r="DB73" s="85">
        <v>755191.81951023743</v>
      </c>
      <c r="DC73" s="85">
        <v>755191.81951023743</v>
      </c>
      <c r="DD73" s="85">
        <v>755191.81951023743</v>
      </c>
      <c r="DE73" s="85">
        <v>755191.81951023743</v>
      </c>
      <c r="DF73" s="85">
        <v>755191.81951023743</v>
      </c>
      <c r="DG73" s="85">
        <v>755191.81951023743</v>
      </c>
      <c r="DH73" s="85">
        <v>755191.81951023743</v>
      </c>
      <c r="DI73" s="85">
        <v>755191.81951023743</v>
      </c>
      <c r="DJ73" s="85">
        <v>755191.81951023743</v>
      </c>
      <c r="DK73" s="85">
        <v>755191.81951023743</v>
      </c>
      <c r="DL73" s="85">
        <v>755191.81951023743</v>
      </c>
      <c r="DM73" s="85">
        <v>755191.81951023743</v>
      </c>
      <c r="DN73" s="85">
        <v>774071.61499799334</v>
      </c>
      <c r="DO73" s="85">
        <v>774071.61499799334</v>
      </c>
      <c r="DP73" s="85">
        <v>774071.61499799334</v>
      </c>
      <c r="DQ73" s="85">
        <v>774071.61499799334</v>
      </c>
      <c r="DR73" s="85">
        <v>774071.61499799334</v>
      </c>
      <c r="DS73" s="85">
        <v>774071.61499799334</v>
      </c>
      <c r="DT73" s="85">
        <v>774071.61499799334</v>
      </c>
      <c r="DU73" s="85">
        <v>774071.61499799334</v>
      </c>
      <c r="DV73" s="85">
        <v>774071.61499799334</v>
      </c>
      <c r="DW73" s="85">
        <v>774071.61499799334</v>
      </c>
      <c r="DX73" s="85">
        <v>774071.61499799334</v>
      </c>
      <c r="DY73" s="85">
        <v>774071.61499799334</v>
      </c>
    </row>
    <row r="74" spans="3:129">
      <c r="E74" t="str">
        <v>Property K</v>
      </c>
      <c r="G74" t="s">
        <v>128</v>
      </c>
      <c r="J74" s="85">
        <v>0</v>
      </c>
      <c r="K74" s="85">
        <v>0</v>
      </c>
      <c r="L74" s="85">
        <v>0</v>
      </c>
      <c r="M74" s="85">
        <v>0</v>
      </c>
      <c r="N74" s="85">
        <v>0</v>
      </c>
      <c r="O74" s="85">
        <v>0</v>
      </c>
      <c r="P74" s="85">
        <v>0</v>
      </c>
      <c r="Q74" s="85">
        <v>0</v>
      </c>
      <c r="R74" s="85">
        <v>0</v>
      </c>
      <c r="S74" s="85">
        <v>0</v>
      </c>
      <c r="T74" s="85">
        <v>0</v>
      </c>
      <c r="U74" s="85">
        <v>0</v>
      </c>
      <c r="V74" s="85">
        <v>0</v>
      </c>
      <c r="W74" s="85">
        <v>0</v>
      </c>
      <c r="X74" s="85">
        <v>0</v>
      </c>
      <c r="Y74" s="85">
        <v>0</v>
      </c>
      <c r="Z74" s="85">
        <v>0</v>
      </c>
      <c r="AA74" s="85">
        <v>0</v>
      </c>
      <c r="AB74" s="85">
        <v>0</v>
      </c>
      <c r="AC74" s="85">
        <v>0</v>
      </c>
      <c r="AD74" s="85">
        <v>0</v>
      </c>
      <c r="AE74" s="85">
        <v>0</v>
      </c>
      <c r="AF74" s="85">
        <v>0</v>
      </c>
      <c r="AG74" s="85">
        <v>0</v>
      </c>
      <c r="AH74" s="85">
        <v>0</v>
      </c>
      <c r="AI74" s="85">
        <v>0</v>
      </c>
      <c r="AJ74" s="85">
        <v>0</v>
      </c>
      <c r="AK74" s="85">
        <v>0</v>
      </c>
      <c r="AL74" s="85">
        <v>0</v>
      </c>
      <c r="AM74" s="85">
        <v>0</v>
      </c>
      <c r="AN74" s="85">
        <v>0</v>
      </c>
      <c r="AO74" s="85">
        <v>0</v>
      </c>
      <c r="AP74" s="85">
        <v>0</v>
      </c>
      <c r="AQ74" s="85">
        <v>103558.455</v>
      </c>
      <c r="AR74" s="85">
        <v>144981.837</v>
      </c>
      <c r="AS74" s="85">
        <v>186405.21899999998</v>
      </c>
      <c r="AT74" s="85">
        <v>235802.60203499999</v>
      </c>
      <c r="AU74" s="85">
        <v>278675.80240499997</v>
      </c>
      <c r="AV74" s="85">
        <v>321549.00277499994</v>
      </c>
      <c r="AW74" s="85">
        <v>332267.30286749994</v>
      </c>
      <c r="AX74" s="85">
        <v>342985.60295999999</v>
      </c>
      <c r="AY74" s="85">
        <v>353703.90305249993</v>
      </c>
      <c r="AZ74" s="85">
        <v>364422.20314499992</v>
      </c>
      <c r="BA74" s="85">
        <v>375140.50323749997</v>
      </c>
      <c r="BB74" s="85">
        <v>385858.80332999997</v>
      </c>
      <c r="BC74" s="85">
        <v>387645.18667874997</v>
      </c>
      <c r="BD74" s="85">
        <v>389431.57002749993</v>
      </c>
      <c r="BE74" s="85">
        <v>391217.95337624993</v>
      </c>
      <c r="BF74" s="85">
        <v>404794.46682674997</v>
      </c>
      <c r="BG74" s="85">
        <v>406634.44167596247</v>
      </c>
      <c r="BH74" s="85">
        <v>408474.41652517504</v>
      </c>
      <c r="BI74" s="85">
        <v>410314.39137438749</v>
      </c>
      <c r="BJ74" s="85">
        <v>412154.36622359999</v>
      </c>
      <c r="BK74" s="85">
        <v>413994.3410728125</v>
      </c>
      <c r="BL74" s="85">
        <v>415834.31592202501</v>
      </c>
      <c r="BM74" s="85">
        <v>417674.29077123746</v>
      </c>
      <c r="BN74" s="85">
        <v>419514.26562044997</v>
      </c>
      <c r="BO74" s="85">
        <v>419514.26562044997</v>
      </c>
      <c r="BP74" s="85">
        <v>419514.26562044997</v>
      </c>
      <c r="BQ74" s="85">
        <v>419514.26562044997</v>
      </c>
      <c r="BR74" s="85">
        <v>430002.12226096116</v>
      </c>
      <c r="BS74" s="85">
        <v>430002.12226096116</v>
      </c>
      <c r="BT74" s="85">
        <v>430002.12226096116</v>
      </c>
      <c r="BU74" s="85">
        <v>430002.12226096116</v>
      </c>
      <c r="BV74" s="85">
        <v>430002.12226096116</v>
      </c>
      <c r="BW74" s="85">
        <v>430002.12226096116</v>
      </c>
      <c r="BX74" s="85">
        <v>430002.12226096116</v>
      </c>
      <c r="BY74" s="85">
        <v>430002.12226096116</v>
      </c>
      <c r="BZ74" s="85">
        <v>430002.12226096116</v>
      </c>
      <c r="CA74" s="85">
        <v>430002.12226096116</v>
      </c>
      <c r="CB74" s="85">
        <v>430002.12226096116</v>
      </c>
      <c r="CC74" s="85">
        <v>430002.12226096116</v>
      </c>
      <c r="CD74" s="85">
        <v>440752.17531748518</v>
      </c>
      <c r="CE74" s="85">
        <v>440752.17531748518</v>
      </c>
      <c r="CF74" s="85">
        <v>440752.17531748518</v>
      </c>
      <c r="CG74" s="85">
        <v>440752.17531748518</v>
      </c>
      <c r="CH74" s="85">
        <v>440752.17531748518</v>
      </c>
      <c r="CI74" s="85">
        <v>440752.17531748518</v>
      </c>
      <c r="CJ74" s="85">
        <v>440752.17531748518</v>
      </c>
      <c r="CK74" s="85">
        <v>440752.17531748518</v>
      </c>
      <c r="CL74" s="85">
        <v>440752.17531748518</v>
      </c>
      <c r="CM74" s="85">
        <v>440752.17531748518</v>
      </c>
      <c r="CN74" s="85">
        <v>440752.17531748518</v>
      </c>
      <c r="CO74" s="85">
        <v>440752.17531748518</v>
      </c>
      <c r="CP74" s="85">
        <v>451770.97970042226</v>
      </c>
      <c r="CQ74" s="85">
        <v>451770.97970042226</v>
      </c>
      <c r="CR74" s="85">
        <v>451770.97970042226</v>
      </c>
      <c r="CS74" s="85">
        <v>451770.97970042226</v>
      </c>
      <c r="CT74" s="85">
        <v>451770.97970042226</v>
      </c>
      <c r="CU74" s="85">
        <v>451770.97970042226</v>
      </c>
      <c r="CV74" s="85">
        <v>451770.97970042226</v>
      </c>
      <c r="CW74" s="85">
        <v>451770.97970042226</v>
      </c>
      <c r="CX74" s="85">
        <v>451770.97970042226</v>
      </c>
      <c r="CY74" s="85">
        <v>451770.97970042226</v>
      </c>
      <c r="CZ74" s="85">
        <v>451770.97970042226</v>
      </c>
      <c r="DA74" s="85">
        <v>451770.97970042226</v>
      </c>
      <c r="DB74" s="85">
        <v>463065.25419293274</v>
      </c>
      <c r="DC74" s="85">
        <v>463065.25419293274</v>
      </c>
      <c r="DD74" s="85">
        <v>463065.25419293274</v>
      </c>
      <c r="DE74" s="85">
        <v>463065.25419293274</v>
      </c>
      <c r="DF74" s="85">
        <v>463065.25419293274</v>
      </c>
      <c r="DG74" s="85">
        <v>463065.25419293274</v>
      </c>
      <c r="DH74" s="85">
        <v>463065.25419293274</v>
      </c>
      <c r="DI74" s="85">
        <v>463065.25419293274</v>
      </c>
      <c r="DJ74" s="85">
        <v>463065.25419293274</v>
      </c>
      <c r="DK74" s="85">
        <v>463065.25419293274</v>
      </c>
      <c r="DL74" s="85">
        <v>463065.25419293274</v>
      </c>
      <c r="DM74" s="85">
        <v>463065.25419293274</v>
      </c>
      <c r="DN74" s="85">
        <v>474641.88554775604</v>
      </c>
      <c r="DO74" s="85">
        <v>474641.88554775604</v>
      </c>
      <c r="DP74" s="85">
        <v>474641.88554775604</v>
      </c>
      <c r="DQ74" s="85">
        <v>474641.88554775604</v>
      </c>
      <c r="DR74" s="85">
        <v>474641.88554775604</v>
      </c>
      <c r="DS74" s="85">
        <v>474641.88554775604</v>
      </c>
      <c r="DT74" s="85">
        <v>474641.88554775604</v>
      </c>
      <c r="DU74" s="85">
        <v>474641.88554775604</v>
      </c>
      <c r="DV74" s="85">
        <v>474641.88554775604</v>
      </c>
      <c r="DW74" s="85">
        <v>474641.88554775604</v>
      </c>
      <c r="DX74" s="85">
        <v>474641.88554775604</v>
      </c>
      <c r="DY74" s="85">
        <v>474641.88554775604</v>
      </c>
    </row>
    <row r="75" spans="3:129">
      <c r="E75" t="str">
        <v>Property L</v>
      </c>
      <c r="G75" t="s">
        <v>128</v>
      </c>
      <c r="J75" s="85">
        <v>0</v>
      </c>
      <c r="K75" s="85">
        <v>0</v>
      </c>
      <c r="L75" s="85">
        <v>0</v>
      </c>
      <c r="M75" s="85">
        <v>0</v>
      </c>
      <c r="N75" s="85">
        <v>0</v>
      </c>
      <c r="O75" s="85">
        <v>0</v>
      </c>
      <c r="P75" s="85">
        <v>0</v>
      </c>
      <c r="Q75" s="85">
        <v>0</v>
      </c>
      <c r="R75" s="85">
        <v>0</v>
      </c>
      <c r="S75" s="85">
        <v>0</v>
      </c>
      <c r="T75" s="85">
        <v>0</v>
      </c>
      <c r="U75" s="85">
        <v>0</v>
      </c>
      <c r="V75" s="85">
        <v>0</v>
      </c>
      <c r="W75" s="85">
        <v>0</v>
      </c>
      <c r="X75" s="85">
        <v>0</v>
      </c>
      <c r="Y75" s="85">
        <v>0</v>
      </c>
      <c r="Z75" s="85">
        <v>0</v>
      </c>
      <c r="AA75" s="85">
        <v>0</v>
      </c>
      <c r="AB75" s="85">
        <v>0</v>
      </c>
      <c r="AC75" s="85">
        <v>0</v>
      </c>
      <c r="AD75" s="85">
        <v>0</v>
      </c>
      <c r="AE75" s="85">
        <v>0</v>
      </c>
      <c r="AF75" s="85">
        <v>0</v>
      </c>
      <c r="AG75" s="85">
        <v>0</v>
      </c>
      <c r="AH75" s="85">
        <v>0</v>
      </c>
      <c r="AI75" s="85">
        <v>0</v>
      </c>
      <c r="AJ75" s="85">
        <v>0</v>
      </c>
      <c r="AK75" s="85">
        <v>0</v>
      </c>
      <c r="AL75" s="85">
        <v>0</v>
      </c>
      <c r="AM75" s="85">
        <v>0</v>
      </c>
      <c r="AN75" s="85">
        <v>0</v>
      </c>
      <c r="AO75" s="85">
        <v>0</v>
      </c>
      <c r="AP75" s="85">
        <v>0</v>
      </c>
      <c r="AQ75" s="85">
        <v>0</v>
      </c>
      <c r="AR75" s="85">
        <v>0</v>
      </c>
      <c r="AS75" s="85">
        <v>0</v>
      </c>
      <c r="AT75" s="85">
        <v>0</v>
      </c>
      <c r="AU75" s="85">
        <v>0</v>
      </c>
      <c r="AV75" s="85">
        <v>0</v>
      </c>
      <c r="AW75" s="85">
        <v>0</v>
      </c>
      <c r="AX75" s="85">
        <v>0</v>
      </c>
      <c r="AY75" s="85">
        <v>0</v>
      </c>
      <c r="AZ75" s="85">
        <v>0</v>
      </c>
      <c r="BA75" s="85">
        <v>0</v>
      </c>
      <c r="BB75" s="85">
        <v>0</v>
      </c>
      <c r="BC75" s="85">
        <v>0</v>
      </c>
      <c r="BD75" s="85">
        <v>0</v>
      </c>
      <c r="BE75" s="85">
        <v>0</v>
      </c>
      <c r="BF75" s="85">
        <v>0</v>
      </c>
      <c r="BG75" s="85">
        <v>0</v>
      </c>
      <c r="BH75" s="85">
        <v>222621.750351</v>
      </c>
      <c r="BI75" s="85">
        <v>311670.45049139997</v>
      </c>
      <c r="BJ75" s="85">
        <v>400719.15063179994</v>
      </c>
      <c r="BK75" s="85">
        <v>489767.85077220004</v>
      </c>
      <c r="BL75" s="85">
        <v>578816.55091260001</v>
      </c>
      <c r="BM75" s="85">
        <v>667865.25105299999</v>
      </c>
      <c r="BN75" s="85">
        <v>690127.42608809995</v>
      </c>
      <c r="BO75" s="85">
        <v>712389.60112320003</v>
      </c>
      <c r="BP75" s="85">
        <v>734651.7761583</v>
      </c>
      <c r="BQ75" s="85">
        <v>756913.95119339996</v>
      </c>
      <c r="BR75" s="85">
        <v>798655.52938421234</v>
      </c>
      <c r="BS75" s="85">
        <v>821474.2587951899</v>
      </c>
      <c r="BT75" s="85">
        <v>825277.38036368613</v>
      </c>
      <c r="BU75" s="85">
        <v>829080.50193218235</v>
      </c>
      <c r="BV75" s="85">
        <v>832883.62350067857</v>
      </c>
      <c r="BW75" s="85">
        <v>836686.74506917479</v>
      </c>
      <c r="BX75" s="85">
        <v>840489.86663767102</v>
      </c>
      <c r="BY75" s="85">
        <v>844292.98820616736</v>
      </c>
      <c r="BZ75" s="85">
        <v>848096.10977466358</v>
      </c>
      <c r="CA75" s="85">
        <v>851899.2313431598</v>
      </c>
      <c r="CB75" s="85">
        <v>855702.35291165614</v>
      </c>
      <c r="CC75" s="85">
        <v>859505.47448015236</v>
      </c>
      <c r="CD75" s="85">
        <v>884891.31094986468</v>
      </c>
      <c r="CE75" s="85">
        <v>888789.51055757341</v>
      </c>
      <c r="CF75" s="85">
        <v>888789.51055757341</v>
      </c>
      <c r="CG75" s="85">
        <v>888789.51055757341</v>
      </c>
      <c r="CH75" s="85">
        <v>888789.51055757341</v>
      </c>
      <c r="CI75" s="85">
        <v>888789.51055757341</v>
      </c>
      <c r="CJ75" s="85">
        <v>888789.51055757341</v>
      </c>
      <c r="CK75" s="85">
        <v>888789.51055757341</v>
      </c>
      <c r="CL75" s="85">
        <v>888789.51055757341</v>
      </c>
      <c r="CM75" s="85">
        <v>888789.51055757341</v>
      </c>
      <c r="CN75" s="85">
        <v>888789.51055757341</v>
      </c>
      <c r="CO75" s="85">
        <v>888789.51055757341</v>
      </c>
      <c r="CP75" s="85">
        <v>911009.24832151271</v>
      </c>
      <c r="CQ75" s="85">
        <v>911009.24832151271</v>
      </c>
      <c r="CR75" s="85">
        <v>911009.24832151271</v>
      </c>
      <c r="CS75" s="85">
        <v>911009.24832151271</v>
      </c>
      <c r="CT75" s="85">
        <v>911009.24832151271</v>
      </c>
      <c r="CU75" s="85">
        <v>911009.24832151271</v>
      </c>
      <c r="CV75" s="85">
        <v>911009.24832151271</v>
      </c>
      <c r="CW75" s="85">
        <v>911009.24832151271</v>
      </c>
      <c r="CX75" s="85">
        <v>911009.24832151271</v>
      </c>
      <c r="CY75" s="85">
        <v>911009.24832151271</v>
      </c>
      <c r="CZ75" s="85">
        <v>911009.24832151271</v>
      </c>
      <c r="DA75" s="85">
        <v>911009.24832151271</v>
      </c>
      <c r="DB75" s="85">
        <v>933784.47952955042</v>
      </c>
      <c r="DC75" s="85">
        <v>933784.47952955042</v>
      </c>
      <c r="DD75" s="85">
        <v>933784.47952955042</v>
      </c>
      <c r="DE75" s="85">
        <v>933784.47952955042</v>
      </c>
      <c r="DF75" s="85">
        <v>933784.47952955042</v>
      </c>
      <c r="DG75" s="85">
        <v>933784.47952955042</v>
      </c>
      <c r="DH75" s="85">
        <v>933784.47952955042</v>
      </c>
      <c r="DI75" s="85">
        <v>933784.47952955042</v>
      </c>
      <c r="DJ75" s="85">
        <v>933784.47952955042</v>
      </c>
      <c r="DK75" s="85">
        <v>933784.47952955042</v>
      </c>
      <c r="DL75" s="85">
        <v>933784.47952955042</v>
      </c>
      <c r="DM75" s="85">
        <v>933784.47952955042</v>
      </c>
      <c r="DN75" s="85">
        <v>957129.09151778906</v>
      </c>
      <c r="DO75" s="85">
        <v>957129.09151778906</v>
      </c>
      <c r="DP75" s="85">
        <v>957129.09151778906</v>
      </c>
      <c r="DQ75" s="85">
        <v>957129.09151778906</v>
      </c>
      <c r="DR75" s="85">
        <v>957129.09151778906</v>
      </c>
      <c r="DS75" s="85">
        <v>957129.09151778906</v>
      </c>
      <c r="DT75" s="85">
        <v>957129.09151778906</v>
      </c>
      <c r="DU75" s="85">
        <v>957129.09151778906</v>
      </c>
      <c r="DV75" s="85">
        <v>957129.09151778906</v>
      </c>
      <c r="DW75" s="85">
        <v>957129.09151778906</v>
      </c>
      <c r="DX75" s="85">
        <v>957129.09151778906</v>
      </c>
      <c r="DY75" s="85">
        <v>957129.09151778906</v>
      </c>
    </row>
    <row r="76" spans="3:129">
      <c r="E76" t="str">
        <v>Property M</v>
      </c>
      <c r="G76" t="s">
        <v>128</v>
      </c>
      <c r="J76" s="85">
        <v>0</v>
      </c>
      <c r="K76" s="85">
        <v>0</v>
      </c>
      <c r="L76" s="85">
        <v>0</v>
      </c>
      <c r="M76" s="85">
        <v>0</v>
      </c>
      <c r="N76" s="85">
        <v>0</v>
      </c>
      <c r="O76" s="85">
        <v>0</v>
      </c>
      <c r="P76" s="85">
        <v>0</v>
      </c>
      <c r="Q76" s="85">
        <v>0</v>
      </c>
      <c r="R76" s="85">
        <v>0</v>
      </c>
      <c r="S76" s="85">
        <v>0</v>
      </c>
      <c r="T76" s="85">
        <v>0</v>
      </c>
      <c r="U76" s="85">
        <v>0</v>
      </c>
      <c r="V76" s="85">
        <v>0</v>
      </c>
      <c r="W76" s="85">
        <v>0</v>
      </c>
      <c r="X76" s="85">
        <v>0</v>
      </c>
      <c r="Y76" s="85">
        <v>0</v>
      </c>
      <c r="Z76" s="85">
        <v>0</v>
      </c>
      <c r="AA76" s="85">
        <v>0</v>
      </c>
      <c r="AB76" s="85">
        <v>0</v>
      </c>
      <c r="AC76" s="85">
        <v>0</v>
      </c>
      <c r="AD76" s="85">
        <v>0</v>
      </c>
      <c r="AE76" s="85">
        <v>0</v>
      </c>
      <c r="AF76" s="85">
        <v>0</v>
      </c>
      <c r="AG76" s="85">
        <v>0</v>
      </c>
      <c r="AH76" s="85">
        <v>0</v>
      </c>
      <c r="AI76" s="85">
        <v>0</v>
      </c>
      <c r="AJ76" s="85">
        <v>0</v>
      </c>
      <c r="AK76" s="85">
        <v>0</v>
      </c>
      <c r="AL76" s="85">
        <v>0</v>
      </c>
      <c r="AM76" s="85">
        <v>0</v>
      </c>
      <c r="AN76" s="85">
        <v>0</v>
      </c>
      <c r="AO76" s="85">
        <v>0</v>
      </c>
      <c r="AP76" s="85">
        <v>0</v>
      </c>
      <c r="AQ76" s="85">
        <v>0</v>
      </c>
      <c r="AR76" s="85">
        <v>0</v>
      </c>
      <c r="AS76" s="85">
        <v>0</v>
      </c>
      <c r="AT76" s="85">
        <v>0</v>
      </c>
      <c r="AU76" s="85">
        <v>0</v>
      </c>
      <c r="AV76" s="85">
        <v>0</v>
      </c>
      <c r="AW76" s="85">
        <v>0</v>
      </c>
      <c r="AX76" s="85">
        <v>0</v>
      </c>
      <c r="AY76" s="85">
        <v>0</v>
      </c>
      <c r="AZ76" s="85">
        <v>0</v>
      </c>
      <c r="BA76" s="85">
        <v>0</v>
      </c>
      <c r="BB76" s="85">
        <v>0</v>
      </c>
      <c r="BC76" s="85">
        <v>0</v>
      </c>
      <c r="BD76" s="85">
        <v>0</v>
      </c>
      <c r="BE76" s="85">
        <v>0</v>
      </c>
      <c r="BF76" s="85">
        <v>0</v>
      </c>
      <c r="BG76" s="85">
        <v>0</v>
      </c>
      <c r="BH76" s="85">
        <v>163620.90394650001</v>
      </c>
      <c r="BI76" s="85">
        <v>229069.2655251</v>
      </c>
      <c r="BJ76" s="85">
        <v>294517.62710370001</v>
      </c>
      <c r="BK76" s="85">
        <v>359965.98868230003</v>
      </c>
      <c r="BL76" s="85">
        <v>425414.35026090004</v>
      </c>
      <c r="BM76" s="85">
        <v>490862.7118395</v>
      </c>
      <c r="BN76" s="85">
        <v>507224.80223415006</v>
      </c>
      <c r="BO76" s="85">
        <v>523586.89262880007</v>
      </c>
      <c r="BP76" s="85">
        <v>539948.98302345001</v>
      </c>
      <c r="BQ76" s="85">
        <v>556311.07341810002</v>
      </c>
      <c r="BR76" s="85">
        <v>586989.9929080687</v>
      </c>
      <c r="BS76" s="85">
        <v>603761.13556258497</v>
      </c>
      <c r="BT76" s="85">
        <v>606556.32600500435</v>
      </c>
      <c r="BU76" s="85">
        <v>609351.51644742372</v>
      </c>
      <c r="BV76" s="85">
        <v>612146.70688984299</v>
      </c>
      <c r="BW76" s="85">
        <v>614941.89733226236</v>
      </c>
      <c r="BX76" s="85">
        <v>617737.08777468174</v>
      </c>
      <c r="BY76" s="85">
        <v>620532.27821710124</v>
      </c>
      <c r="BZ76" s="85">
        <v>623327.46865952061</v>
      </c>
      <c r="CA76" s="85">
        <v>626122.65910193999</v>
      </c>
      <c r="CB76" s="85">
        <v>628917.84954435925</v>
      </c>
      <c r="CC76" s="85">
        <v>631713.03998677863</v>
      </c>
      <c r="CD76" s="85">
        <v>650370.93618992786</v>
      </c>
      <c r="CE76" s="85">
        <v>653236.0063934077</v>
      </c>
      <c r="CF76" s="85">
        <v>653236.0063934077</v>
      </c>
      <c r="CG76" s="85">
        <v>653236.0063934077</v>
      </c>
      <c r="CH76" s="85">
        <v>653236.0063934077</v>
      </c>
      <c r="CI76" s="85">
        <v>653236.0063934077</v>
      </c>
      <c r="CJ76" s="85">
        <v>653236.0063934077</v>
      </c>
      <c r="CK76" s="85">
        <v>653236.0063934077</v>
      </c>
      <c r="CL76" s="85">
        <v>653236.0063934077</v>
      </c>
      <c r="CM76" s="85">
        <v>653236.0063934077</v>
      </c>
      <c r="CN76" s="85">
        <v>653236.0063934077</v>
      </c>
      <c r="CO76" s="85">
        <v>653236.0063934077</v>
      </c>
      <c r="CP76" s="85">
        <v>669566.90655324282</v>
      </c>
      <c r="CQ76" s="85">
        <v>669566.90655324282</v>
      </c>
      <c r="CR76" s="85">
        <v>669566.90655324282</v>
      </c>
      <c r="CS76" s="85">
        <v>669566.90655324282</v>
      </c>
      <c r="CT76" s="85">
        <v>669566.90655324282</v>
      </c>
      <c r="CU76" s="85">
        <v>669566.90655324282</v>
      </c>
      <c r="CV76" s="85">
        <v>669566.90655324282</v>
      </c>
      <c r="CW76" s="85">
        <v>669566.90655324282</v>
      </c>
      <c r="CX76" s="85">
        <v>669566.90655324282</v>
      </c>
      <c r="CY76" s="85">
        <v>669566.90655324282</v>
      </c>
      <c r="CZ76" s="85">
        <v>669566.90655324282</v>
      </c>
      <c r="DA76" s="85">
        <v>669566.90655324282</v>
      </c>
      <c r="DB76" s="85">
        <v>686306.07921707386</v>
      </c>
      <c r="DC76" s="85">
        <v>686306.07921707386</v>
      </c>
      <c r="DD76" s="85">
        <v>686306.07921707386</v>
      </c>
      <c r="DE76" s="85">
        <v>686306.07921707386</v>
      </c>
      <c r="DF76" s="85">
        <v>686306.07921707386</v>
      </c>
      <c r="DG76" s="85">
        <v>686306.07921707386</v>
      </c>
      <c r="DH76" s="85">
        <v>686306.07921707386</v>
      </c>
      <c r="DI76" s="85">
        <v>686306.07921707386</v>
      </c>
      <c r="DJ76" s="85">
        <v>686306.07921707386</v>
      </c>
      <c r="DK76" s="85">
        <v>686306.07921707386</v>
      </c>
      <c r="DL76" s="85">
        <v>686306.07921707386</v>
      </c>
      <c r="DM76" s="85">
        <v>686306.07921707386</v>
      </c>
      <c r="DN76" s="85">
        <v>703463.73119750072</v>
      </c>
      <c r="DO76" s="85">
        <v>703463.73119750072</v>
      </c>
      <c r="DP76" s="85">
        <v>703463.73119750072</v>
      </c>
      <c r="DQ76" s="85">
        <v>703463.73119750072</v>
      </c>
      <c r="DR76" s="85">
        <v>703463.73119750072</v>
      </c>
      <c r="DS76" s="85">
        <v>703463.73119750072</v>
      </c>
      <c r="DT76" s="85">
        <v>703463.73119750072</v>
      </c>
      <c r="DU76" s="85">
        <v>703463.73119750072</v>
      </c>
      <c r="DV76" s="85">
        <v>703463.73119750072</v>
      </c>
      <c r="DW76" s="85">
        <v>703463.73119750072</v>
      </c>
      <c r="DX76" s="85">
        <v>703463.73119750072</v>
      </c>
      <c r="DY76" s="85">
        <v>703463.73119750072</v>
      </c>
    </row>
    <row r="77" spans="3:129">
      <c r="E77" t="str">
        <v>Property N</v>
      </c>
      <c r="G77" t="s">
        <v>128</v>
      </c>
      <c r="J77" s="85">
        <v>0</v>
      </c>
      <c r="K77" s="85">
        <v>0</v>
      </c>
      <c r="L77" s="85">
        <v>0</v>
      </c>
      <c r="M77" s="85">
        <v>0</v>
      </c>
      <c r="N77" s="85">
        <v>0</v>
      </c>
      <c r="O77" s="85">
        <v>0</v>
      </c>
      <c r="P77" s="85">
        <v>0</v>
      </c>
      <c r="Q77" s="85">
        <v>0</v>
      </c>
      <c r="R77" s="85">
        <v>0</v>
      </c>
      <c r="S77" s="85">
        <v>0</v>
      </c>
      <c r="T77" s="85">
        <v>0</v>
      </c>
      <c r="U77" s="85">
        <v>0</v>
      </c>
      <c r="V77" s="85">
        <v>0</v>
      </c>
      <c r="W77" s="85">
        <v>0</v>
      </c>
      <c r="X77" s="85">
        <v>0</v>
      </c>
      <c r="Y77" s="85">
        <v>0</v>
      </c>
      <c r="Z77" s="85">
        <v>0</v>
      </c>
      <c r="AA77" s="85">
        <v>0</v>
      </c>
      <c r="AB77" s="85">
        <v>0</v>
      </c>
      <c r="AC77" s="85">
        <v>0</v>
      </c>
      <c r="AD77" s="85">
        <v>0</v>
      </c>
      <c r="AE77" s="85">
        <v>0</v>
      </c>
      <c r="AF77" s="85">
        <v>0</v>
      </c>
      <c r="AG77" s="85">
        <v>0</v>
      </c>
      <c r="AH77" s="85">
        <v>0</v>
      </c>
      <c r="AI77" s="85">
        <v>0</v>
      </c>
      <c r="AJ77" s="85">
        <v>0</v>
      </c>
      <c r="AK77" s="85">
        <v>0</v>
      </c>
      <c r="AL77" s="85">
        <v>0</v>
      </c>
      <c r="AM77" s="85">
        <v>0</v>
      </c>
      <c r="AN77" s="85">
        <v>0</v>
      </c>
      <c r="AO77" s="85">
        <v>0</v>
      </c>
      <c r="AP77" s="85">
        <v>0</v>
      </c>
      <c r="AQ77" s="85">
        <v>0</v>
      </c>
      <c r="AR77" s="85">
        <v>0</v>
      </c>
      <c r="AS77" s="85">
        <v>0</v>
      </c>
      <c r="AT77" s="85">
        <v>0</v>
      </c>
      <c r="AU77" s="85">
        <v>0</v>
      </c>
      <c r="AV77" s="85">
        <v>0</v>
      </c>
      <c r="AW77" s="85">
        <v>0</v>
      </c>
      <c r="AX77" s="85">
        <v>0</v>
      </c>
      <c r="AY77" s="85">
        <v>0</v>
      </c>
      <c r="AZ77" s="85">
        <v>0</v>
      </c>
      <c r="BA77" s="85">
        <v>0</v>
      </c>
      <c r="BB77" s="85">
        <v>0</v>
      </c>
      <c r="BC77" s="85">
        <v>0</v>
      </c>
      <c r="BD77" s="85">
        <v>0</v>
      </c>
      <c r="BE77" s="85">
        <v>0</v>
      </c>
      <c r="BF77" s="85">
        <v>0</v>
      </c>
      <c r="BG77" s="85">
        <v>0</v>
      </c>
      <c r="BH77" s="85">
        <v>0</v>
      </c>
      <c r="BI77" s="85">
        <v>0</v>
      </c>
      <c r="BJ77" s="85">
        <v>0</v>
      </c>
      <c r="BK77" s="85">
        <v>0</v>
      </c>
      <c r="BL77" s="85">
        <v>0</v>
      </c>
      <c r="BM77" s="85">
        <v>0</v>
      </c>
      <c r="BN77" s="85">
        <v>0</v>
      </c>
      <c r="BO77" s="85">
        <v>0</v>
      </c>
      <c r="BP77" s="85">
        <v>0</v>
      </c>
      <c r="BQ77" s="85">
        <v>0</v>
      </c>
      <c r="BR77" s="85">
        <v>0</v>
      </c>
      <c r="BS77" s="85">
        <v>0</v>
      </c>
      <c r="BT77" s="85">
        <v>0</v>
      </c>
      <c r="BU77" s="85">
        <v>233174.99452747498</v>
      </c>
      <c r="BV77" s="85">
        <v>326444.99233846494</v>
      </c>
      <c r="BW77" s="85">
        <v>419714.99014945491</v>
      </c>
      <c r="BX77" s="85">
        <v>512984.987960445</v>
      </c>
      <c r="BY77" s="85">
        <v>606254.98577143496</v>
      </c>
      <c r="BZ77" s="85">
        <v>699524.98358242493</v>
      </c>
      <c r="CA77" s="85">
        <v>722842.48303517245</v>
      </c>
      <c r="CB77" s="85">
        <v>746159.98248791997</v>
      </c>
      <c r="CC77" s="85">
        <v>769477.48194066738</v>
      </c>
      <c r="CD77" s="85">
        <v>812614.85592825012</v>
      </c>
      <c r="CE77" s="85">
        <v>836515.29286731628</v>
      </c>
      <c r="CF77" s="85">
        <v>860415.72980638244</v>
      </c>
      <c r="CG77" s="85">
        <v>864399.13596289349</v>
      </c>
      <c r="CH77" s="85">
        <v>868382.54211940453</v>
      </c>
      <c r="CI77" s="85">
        <v>872365.94827591558</v>
      </c>
      <c r="CJ77" s="85">
        <v>876349.35443242651</v>
      </c>
      <c r="CK77" s="85">
        <v>880332.76058893756</v>
      </c>
      <c r="CL77" s="85">
        <v>884316.16674544872</v>
      </c>
      <c r="CM77" s="85">
        <v>888299.57290195976</v>
      </c>
      <c r="CN77" s="85">
        <v>892282.97905847069</v>
      </c>
      <c r="CO77" s="85">
        <v>896266.38521498174</v>
      </c>
      <c r="CP77" s="85">
        <v>922756.03615578008</v>
      </c>
      <c r="CQ77" s="85">
        <v>926839.0274662039</v>
      </c>
      <c r="CR77" s="85">
        <v>930922.01877662761</v>
      </c>
      <c r="CS77" s="85">
        <v>930922.01877662761</v>
      </c>
      <c r="CT77" s="85">
        <v>930922.01877662761</v>
      </c>
      <c r="CU77" s="85">
        <v>930922.01877662761</v>
      </c>
      <c r="CV77" s="85">
        <v>930922.01877662761</v>
      </c>
      <c r="CW77" s="85">
        <v>930922.01877662761</v>
      </c>
      <c r="CX77" s="85">
        <v>930922.01877662761</v>
      </c>
      <c r="CY77" s="85">
        <v>930922.01877662761</v>
      </c>
      <c r="CZ77" s="85">
        <v>930922.01877662761</v>
      </c>
      <c r="DA77" s="85">
        <v>930922.01877662761</v>
      </c>
      <c r="DB77" s="85">
        <v>954195.06924604322</v>
      </c>
      <c r="DC77" s="85">
        <v>954195.06924604322</v>
      </c>
      <c r="DD77" s="85">
        <v>954195.06924604322</v>
      </c>
      <c r="DE77" s="85">
        <v>954195.06924604322</v>
      </c>
      <c r="DF77" s="85">
        <v>954195.06924604322</v>
      </c>
      <c r="DG77" s="85">
        <v>954195.06924604322</v>
      </c>
      <c r="DH77" s="85">
        <v>954195.06924604322</v>
      </c>
      <c r="DI77" s="85">
        <v>954195.06924604322</v>
      </c>
      <c r="DJ77" s="85">
        <v>954195.06924604322</v>
      </c>
      <c r="DK77" s="85">
        <v>954195.06924604322</v>
      </c>
      <c r="DL77" s="85">
        <v>954195.06924604322</v>
      </c>
      <c r="DM77" s="85">
        <v>954195.06924604322</v>
      </c>
      <c r="DN77" s="85">
        <v>978049.94597719435</v>
      </c>
      <c r="DO77" s="85">
        <v>978049.94597719435</v>
      </c>
      <c r="DP77" s="85">
        <v>978049.94597719435</v>
      </c>
      <c r="DQ77" s="85">
        <v>978049.94597719435</v>
      </c>
      <c r="DR77" s="85">
        <v>978049.94597719435</v>
      </c>
      <c r="DS77" s="85">
        <v>978049.94597719435</v>
      </c>
      <c r="DT77" s="85">
        <v>978049.94597719435</v>
      </c>
      <c r="DU77" s="85">
        <v>978049.94597719435</v>
      </c>
      <c r="DV77" s="85">
        <v>978049.94597719435</v>
      </c>
      <c r="DW77" s="85">
        <v>978049.94597719435</v>
      </c>
      <c r="DX77" s="85">
        <v>978049.94597719435</v>
      </c>
      <c r="DY77" s="85">
        <v>978049.94597719435</v>
      </c>
    </row>
    <row r="78" spans="3:129">
      <c r="E78" t="str">
        <v>Property O</v>
      </c>
      <c r="G78" t="s">
        <v>128</v>
      </c>
      <c r="J78" s="85">
        <v>0</v>
      </c>
      <c r="K78" s="85">
        <v>0</v>
      </c>
      <c r="L78" s="85">
        <v>0</v>
      </c>
      <c r="M78" s="85">
        <v>0</v>
      </c>
      <c r="N78" s="85">
        <v>0</v>
      </c>
      <c r="O78" s="85">
        <v>0</v>
      </c>
      <c r="P78" s="85">
        <v>0</v>
      </c>
      <c r="Q78" s="85">
        <v>0</v>
      </c>
      <c r="R78" s="85">
        <v>0</v>
      </c>
      <c r="S78" s="85">
        <v>0</v>
      </c>
      <c r="T78" s="85">
        <v>0</v>
      </c>
      <c r="U78" s="85">
        <v>0</v>
      </c>
      <c r="V78" s="85">
        <v>0</v>
      </c>
      <c r="W78" s="85">
        <v>0</v>
      </c>
      <c r="X78" s="85">
        <v>0</v>
      </c>
      <c r="Y78" s="85">
        <v>0</v>
      </c>
      <c r="Z78" s="85">
        <v>0</v>
      </c>
      <c r="AA78" s="85">
        <v>0</v>
      </c>
      <c r="AB78" s="85">
        <v>0</v>
      </c>
      <c r="AC78" s="85">
        <v>0</v>
      </c>
      <c r="AD78" s="85">
        <v>0</v>
      </c>
      <c r="AE78" s="85">
        <v>0</v>
      </c>
      <c r="AF78" s="85">
        <v>0</v>
      </c>
      <c r="AG78" s="85">
        <v>0</v>
      </c>
      <c r="AH78" s="85">
        <v>0</v>
      </c>
      <c r="AI78" s="85">
        <v>0</v>
      </c>
      <c r="AJ78" s="85">
        <v>0</v>
      </c>
      <c r="AK78" s="85">
        <v>0</v>
      </c>
      <c r="AL78" s="85">
        <v>0</v>
      </c>
      <c r="AM78" s="85">
        <v>0</v>
      </c>
      <c r="AN78" s="85">
        <v>0</v>
      </c>
      <c r="AO78" s="85">
        <v>0</v>
      </c>
      <c r="AP78" s="85">
        <v>0</v>
      </c>
      <c r="AQ78" s="85">
        <v>0</v>
      </c>
      <c r="AR78" s="85">
        <v>0</v>
      </c>
      <c r="AS78" s="85">
        <v>0</v>
      </c>
      <c r="AT78" s="85">
        <v>0</v>
      </c>
      <c r="AU78" s="85">
        <v>0</v>
      </c>
      <c r="AV78" s="85">
        <v>0</v>
      </c>
      <c r="AW78" s="85">
        <v>0</v>
      </c>
      <c r="AX78" s="85">
        <v>0</v>
      </c>
      <c r="AY78" s="85">
        <v>0</v>
      </c>
      <c r="AZ78" s="85">
        <v>0</v>
      </c>
      <c r="BA78" s="85">
        <v>0</v>
      </c>
      <c r="BB78" s="85">
        <v>0</v>
      </c>
      <c r="BC78" s="85">
        <v>0</v>
      </c>
      <c r="BD78" s="85">
        <v>0</v>
      </c>
      <c r="BE78" s="85">
        <v>0</v>
      </c>
      <c r="BF78" s="85">
        <v>0</v>
      </c>
      <c r="BG78" s="85">
        <v>0</v>
      </c>
      <c r="BH78" s="85">
        <v>0</v>
      </c>
      <c r="BI78" s="85">
        <v>0</v>
      </c>
      <c r="BJ78" s="85">
        <v>0</v>
      </c>
      <c r="BK78" s="85">
        <v>0</v>
      </c>
      <c r="BL78" s="85">
        <v>0</v>
      </c>
      <c r="BM78" s="85">
        <v>0</v>
      </c>
      <c r="BN78" s="85">
        <v>0</v>
      </c>
      <c r="BO78" s="85">
        <v>0</v>
      </c>
      <c r="BP78" s="85">
        <v>0</v>
      </c>
      <c r="BQ78" s="85">
        <v>0</v>
      </c>
      <c r="BR78" s="85">
        <v>0</v>
      </c>
      <c r="BS78" s="85">
        <v>0</v>
      </c>
      <c r="BT78" s="85">
        <v>0</v>
      </c>
      <c r="BU78" s="85">
        <v>0</v>
      </c>
      <c r="BV78" s="85">
        <v>0</v>
      </c>
      <c r="BW78" s="85">
        <v>0</v>
      </c>
      <c r="BX78" s="85">
        <v>0</v>
      </c>
      <c r="BY78" s="85">
        <v>0</v>
      </c>
      <c r="BZ78" s="85">
        <v>0</v>
      </c>
      <c r="CA78" s="85">
        <v>0</v>
      </c>
      <c r="CB78" s="85">
        <v>0</v>
      </c>
      <c r="CC78" s="85">
        <v>239409.62004959997</v>
      </c>
      <c r="CD78" s="85">
        <v>343552.8047711759</v>
      </c>
      <c r="CE78" s="85">
        <v>441710.74899151188</v>
      </c>
      <c r="CF78" s="85">
        <v>539868.69321184792</v>
      </c>
      <c r="CG78" s="85">
        <v>638026.63743218384</v>
      </c>
      <c r="CH78" s="85">
        <v>736184.58165251988</v>
      </c>
      <c r="CI78" s="85">
        <v>760724.06770760391</v>
      </c>
      <c r="CJ78" s="85">
        <v>785263.55376268784</v>
      </c>
      <c r="CK78" s="85">
        <v>809803.03981777176</v>
      </c>
      <c r="CL78" s="85">
        <v>834342.5258728558</v>
      </c>
      <c r="CM78" s="85">
        <v>858882.01192793984</v>
      </c>
      <c r="CN78" s="85">
        <v>883421.49798302387</v>
      </c>
      <c r="CO78" s="85">
        <v>887511.41232553776</v>
      </c>
      <c r="CP78" s="85">
        <v>913891.35983475309</v>
      </c>
      <c r="CQ78" s="85">
        <v>918083.52203582984</v>
      </c>
      <c r="CR78" s="85">
        <v>922275.6842369067</v>
      </c>
      <c r="CS78" s="85">
        <v>926467.84643798356</v>
      </c>
      <c r="CT78" s="85">
        <v>930660.00863906043</v>
      </c>
      <c r="CU78" s="85">
        <v>934852.17084013729</v>
      </c>
      <c r="CV78" s="85">
        <v>939044.33304121415</v>
      </c>
      <c r="CW78" s="85">
        <v>943236.49524229101</v>
      </c>
      <c r="CX78" s="85">
        <v>947428.65744336788</v>
      </c>
      <c r="CY78" s="85">
        <v>951620.81964444462</v>
      </c>
      <c r="CZ78" s="85">
        <v>955812.98184552148</v>
      </c>
      <c r="DA78" s="85">
        <v>955812.98184552148</v>
      </c>
      <c r="DB78" s="85">
        <v>979708.30639165943</v>
      </c>
      <c r="DC78" s="85">
        <v>979708.30639165943</v>
      </c>
      <c r="DD78" s="85">
        <v>979708.30639165943</v>
      </c>
      <c r="DE78" s="85">
        <v>979708.30639165943</v>
      </c>
      <c r="DF78" s="85">
        <v>979708.30639165943</v>
      </c>
      <c r="DG78" s="85">
        <v>979708.30639165943</v>
      </c>
      <c r="DH78" s="85">
        <v>979708.30639165943</v>
      </c>
      <c r="DI78" s="85">
        <v>979708.30639165943</v>
      </c>
      <c r="DJ78" s="85">
        <v>979708.30639165943</v>
      </c>
      <c r="DK78" s="85">
        <v>979708.30639165943</v>
      </c>
      <c r="DL78" s="85">
        <v>979708.30639165943</v>
      </c>
      <c r="DM78" s="85">
        <v>979708.30639165943</v>
      </c>
      <c r="DN78" s="85">
        <v>1004201.0140514508</v>
      </c>
      <c r="DO78" s="85">
        <v>1004201.0140514508</v>
      </c>
      <c r="DP78" s="85">
        <v>1004201.0140514508</v>
      </c>
      <c r="DQ78" s="85">
        <v>1004201.0140514508</v>
      </c>
      <c r="DR78" s="85">
        <v>1004201.0140514508</v>
      </c>
      <c r="DS78" s="85">
        <v>1004201.0140514508</v>
      </c>
      <c r="DT78" s="85">
        <v>1004201.0140514508</v>
      </c>
      <c r="DU78" s="85">
        <v>1004201.0140514508</v>
      </c>
      <c r="DV78" s="85">
        <v>1004201.0140514508</v>
      </c>
      <c r="DW78" s="85">
        <v>1004201.0140514508</v>
      </c>
      <c r="DX78" s="85">
        <v>1004201.0140514508</v>
      </c>
      <c r="DY78" s="85">
        <v>1004201.0140514508</v>
      </c>
    </row>
    <row r="79" spans="3:129">
      <c r="E79" s="94" t="s">
        <v>137</v>
      </c>
      <c r="F79" s="94"/>
      <c r="G79" s="94" t="s">
        <v>128</v>
      </c>
      <c r="H79" s="94"/>
      <c r="I79" s="94"/>
      <c r="J79" s="94" cm="1">
        <f t="array" ref="J79:DY79">_xlfn.BYCOL(_xlfn.ANCHORARRAY( $J$69), _xleta.SUM )</f>
        <v>0</v>
      </c>
      <c r="K79" s="94">
        <v>0</v>
      </c>
      <c r="L79" s="94">
        <v>0</v>
      </c>
      <c r="M79" s="94">
        <v>0</v>
      </c>
      <c r="N79" s="94">
        <v>0</v>
      </c>
      <c r="O79" s="94">
        <v>0</v>
      </c>
      <c r="P79" s="94">
        <v>0</v>
      </c>
      <c r="Q79" s="94">
        <v>0</v>
      </c>
      <c r="R79" s="94">
        <v>0</v>
      </c>
      <c r="S79" s="94">
        <v>0</v>
      </c>
      <c r="T79" s="94">
        <v>0</v>
      </c>
      <c r="U79" s="94">
        <v>0</v>
      </c>
      <c r="V79" s="94">
        <v>0</v>
      </c>
      <c r="W79" s="94">
        <v>0</v>
      </c>
      <c r="X79" s="94">
        <v>0</v>
      </c>
      <c r="Y79" s="94">
        <v>0</v>
      </c>
      <c r="Z79" s="94">
        <v>0</v>
      </c>
      <c r="AA79" s="94">
        <v>0</v>
      </c>
      <c r="AB79" s="94">
        <v>0</v>
      </c>
      <c r="AC79" s="94">
        <v>121246.125</v>
      </c>
      <c r="AD79" s="94">
        <v>274806.26249999995</v>
      </c>
      <c r="AE79" s="94">
        <v>365329.38749999995</v>
      </c>
      <c r="AF79" s="94">
        <v>455852.51250000001</v>
      </c>
      <c r="AG79" s="94">
        <v>546375.63749999995</v>
      </c>
      <c r="AH79" s="94">
        <v>662374.71299999999</v>
      </c>
      <c r="AI79" s="94">
        <v>860476.61700000009</v>
      </c>
      <c r="AJ79" s="94">
        <v>940727.28750000009</v>
      </c>
      <c r="AK79" s="94">
        <v>1020977.958</v>
      </c>
      <c r="AL79" s="94">
        <v>1101228.6285000001</v>
      </c>
      <c r="AM79" s="94">
        <v>1181479.2990000001</v>
      </c>
      <c r="AN79" s="94">
        <v>1261729.9695000001</v>
      </c>
      <c r="AO79" s="94">
        <v>1288936.649</v>
      </c>
      <c r="AP79" s="94">
        <v>1307037.9822499999</v>
      </c>
      <c r="AQ79" s="94">
        <v>1598442.3455000001</v>
      </c>
      <c r="AR79" s="94">
        <v>1725864.8907500003</v>
      </c>
      <c r="AS79" s="94">
        <v>2022176.1560000002</v>
      </c>
      <c r="AT79" s="94">
        <v>2294754.58587375</v>
      </c>
      <c r="AU79" s="94">
        <v>2484327.7521562492</v>
      </c>
      <c r="AV79" s="94">
        <v>2673900.9184387499</v>
      </c>
      <c r="AW79" s="94">
        <v>2778613.4939062502</v>
      </c>
      <c r="AX79" s="94">
        <v>2883326.0693737492</v>
      </c>
      <c r="AY79" s="94">
        <v>2935598.6972812498</v>
      </c>
      <c r="AZ79" s="94">
        <v>2987871.3251887495</v>
      </c>
      <c r="BA79" s="94">
        <v>3037968.7976137497</v>
      </c>
      <c r="BB79" s="94">
        <v>3086181.4633649997</v>
      </c>
      <c r="BC79" s="94">
        <v>3110821.7427787497</v>
      </c>
      <c r="BD79" s="94">
        <v>3135462.0221925001</v>
      </c>
      <c r="BE79" s="94">
        <v>3145535.6495062495</v>
      </c>
      <c r="BF79" s="94">
        <v>3250277.5551246</v>
      </c>
      <c r="BG79" s="94">
        <v>3258134.1970427246</v>
      </c>
      <c r="BH79" s="94">
        <v>3652233.4932583496</v>
      </c>
      <c r="BI79" s="94">
        <v>3814587.1968954746</v>
      </c>
      <c r="BJ79" s="94">
        <v>3976940.9005325995</v>
      </c>
      <c r="BK79" s="94">
        <v>4139294.6041697254</v>
      </c>
      <c r="BL79" s="94">
        <v>4301648.3078068504</v>
      </c>
      <c r="BM79" s="94">
        <v>4464002.0114439754</v>
      </c>
      <c r="BN79" s="94">
        <v>4510482.9187918501</v>
      </c>
      <c r="BO79" s="94">
        <v>4552107.9145542001</v>
      </c>
      <c r="BP79" s="94">
        <v>4593732.9103165502</v>
      </c>
      <c r="BQ79" s="94">
        <v>4632357.1757463003</v>
      </c>
      <c r="BR79" s="94">
        <v>4787755.9772054506</v>
      </c>
      <c r="BS79" s="94">
        <v>4827345.8492709445</v>
      </c>
      <c r="BT79" s="94">
        <v>4833944.1612818604</v>
      </c>
      <c r="BU79" s="94">
        <v>5073717.4678202514</v>
      </c>
      <c r="BV79" s="94">
        <v>5173585.7776421551</v>
      </c>
      <c r="BW79" s="94">
        <v>5273454.0874640616</v>
      </c>
      <c r="BX79" s="94">
        <v>5373322.3972859671</v>
      </c>
      <c r="BY79" s="94">
        <v>5473190.7071078736</v>
      </c>
      <c r="BZ79" s="94">
        <v>5573059.0169297783</v>
      </c>
      <c r="CA79" s="94">
        <v>5602974.8283934416</v>
      </c>
      <c r="CB79" s="94">
        <v>5632890.639857105</v>
      </c>
      <c r="CC79" s="94">
        <v>5902216.0713703679</v>
      </c>
      <c r="CD79" s="94">
        <v>6178593.1241252162</v>
      </c>
      <c r="CE79" s="94">
        <v>6307414.7750958074</v>
      </c>
      <c r="CF79" s="94">
        <v>6429473.1562552098</v>
      </c>
      <c r="CG79" s="94">
        <v>6531614.506632057</v>
      </c>
      <c r="CH79" s="94">
        <v>6633755.8570089042</v>
      </c>
      <c r="CI79" s="94">
        <v>6662278.7492204988</v>
      </c>
      <c r="CJ79" s="94">
        <v>6690801.6414320935</v>
      </c>
      <c r="CK79" s="94">
        <v>6719324.533643689</v>
      </c>
      <c r="CL79" s="94">
        <v>6747847.4258552836</v>
      </c>
      <c r="CM79" s="94">
        <v>6776370.3180668792</v>
      </c>
      <c r="CN79" s="94">
        <v>6804893.2102784738</v>
      </c>
      <c r="CO79" s="94">
        <v>6812966.5307774991</v>
      </c>
      <c r="CP79" s="94">
        <v>6991565.847558436</v>
      </c>
      <c r="CQ79" s="94">
        <v>6999841.0010699369</v>
      </c>
      <c r="CR79" s="94">
        <v>7008116.1545814369</v>
      </c>
      <c r="CS79" s="94">
        <v>7012308.3167825136</v>
      </c>
      <c r="CT79" s="94">
        <v>7016500.4789835904</v>
      </c>
      <c r="CU79" s="94">
        <v>7020692.6411846681</v>
      </c>
      <c r="CV79" s="94">
        <v>7024884.8033857448</v>
      </c>
      <c r="CW79" s="94">
        <v>7029076.9655868215</v>
      </c>
      <c r="CX79" s="94">
        <v>7033269.1277878983</v>
      </c>
      <c r="CY79" s="94">
        <v>7037461.289988975</v>
      </c>
      <c r="CZ79" s="94">
        <v>7041653.4521900518</v>
      </c>
      <c r="DA79" s="94">
        <v>7041653.4521900518</v>
      </c>
      <c r="DB79" s="94">
        <v>7217694.7884948021</v>
      </c>
      <c r="DC79" s="94">
        <v>7217694.7884948021</v>
      </c>
      <c r="DD79" s="94">
        <v>7217694.7884948021</v>
      </c>
      <c r="DE79" s="94">
        <v>7217694.7884948021</v>
      </c>
      <c r="DF79" s="94">
        <v>7217694.7884948021</v>
      </c>
      <c r="DG79" s="94">
        <v>7217694.7884948021</v>
      </c>
      <c r="DH79" s="94">
        <v>7217694.7884948021</v>
      </c>
      <c r="DI79" s="94">
        <v>7217694.7884948021</v>
      </c>
      <c r="DJ79" s="94">
        <v>7217694.7884948021</v>
      </c>
      <c r="DK79" s="94">
        <v>7217694.7884948021</v>
      </c>
      <c r="DL79" s="94">
        <v>7217694.7884948021</v>
      </c>
      <c r="DM79" s="94">
        <v>7217694.7884948021</v>
      </c>
      <c r="DN79" s="94">
        <v>7398137.1582071725</v>
      </c>
      <c r="DO79" s="94">
        <v>7398137.1582071725</v>
      </c>
      <c r="DP79" s="94">
        <v>7398137.1582071725</v>
      </c>
      <c r="DQ79" s="94">
        <v>7398137.1582071725</v>
      </c>
      <c r="DR79" s="94">
        <v>7398137.1582071725</v>
      </c>
      <c r="DS79" s="94">
        <v>7398137.1582071725</v>
      </c>
      <c r="DT79" s="94">
        <v>7398137.1582071725</v>
      </c>
      <c r="DU79" s="94">
        <v>7398137.1582071725</v>
      </c>
      <c r="DV79" s="94">
        <v>7398137.1582071725</v>
      </c>
      <c r="DW79" s="94">
        <v>7398137.1582071725</v>
      </c>
      <c r="DX79" s="94">
        <v>7398137.1582071725</v>
      </c>
      <c r="DY79" s="94">
        <v>7398137.1582071725</v>
      </c>
    </row>
    <row r="82" spans="3:129">
      <c r="C82" s="88" t="s">
        <v>64</v>
      </c>
    </row>
    <row r="83" spans="3:129">
      <c r="C83" s="93" t="s">
        <v>133</v>
      </c>
    </row>
    <row r="84" spans="3:129">
      <c r="E84" t="str" cm="1">
        <f t="array" ref="E84:E93" xml:space="preserve"> _xlfn.LET(
      _xlpm.property_data,    CaseData!$A$15:$H$24,
      _xlfn.CHOOSECOLS( _xlpm.property_data, {1} ) )</f>
        <v>Property F</v>
      </c>
      <c r="G84" t="s">
        <v>128</v>
      </c>
      <c r="J84" s="85" cm="1">
        <f t="array" ref="J84:DY93" xml:space="preserve"> _xlfn.LET(
      _xlpm.timeline,_xlfn.ANCHORARRAY(          $J$3),
      _xlpm.property_data,     CaseData!$A$15:$H$24,
      _xlpm.property_rows,     INDEX( _xlpm.property_data, 0, 1 ),
      _xlpm.purchase_date,     INDEX( _xlpm.property_data,, 6 ),
      _xlpm.prep_months,       INDEX( _xlpm.property_data,, 7 ),
      _xlpm.const_months,      INDEX( _xlpm.property_data,, 8 ),
      _xlpm.delay,             IF( $F$9 = 0, 0, 12 ),
      _xlpm.operation_start,   _xlfn.MAKEARRAY( ROWS( _xlpm.property_data ), 1,
                             _xlfn.LAMBDA(_xlpm.r,_xlpm.c, EOMONTH( INDEX( _xlpm.purchase_date, _xlpm.r ), INDEX( _xlpm.prep_months, _xlpm.r ) + INDEX( _xlpm.const_months, _xlpm.r ) + _xlpm.delay ) ) ),
      _xlpm.operation_flag,    _xlfn.MAKEARRAY( ROWS( _xlpm.property_data ), COLUMNS( _xlpm.timeline ),
                             _xlfn.LAMBDA(_xlpm.r,_xlpm.c, IF( INDEX( _xlpm.timeline,, _xlpm.c ) &gt;= INDEX( _xlpm.operation_start, _xlpm.r, 1 ), 1, 0  ) ) ),
      _xlpm.elapsed_month,     _xlfn.MAKEARRAY( ROWS( _xlpm.property_data ), COLUMNS( _xlpm.timeline ),
                             _xlfn.LAMBDA(_xlpm.r,_xlpm.c, SUM( INDEX(_xlpm.operation_flag, _xlpm.r, _xlfn.SEQUENCE( 1, _xlpm.c ) ) ) ) ),
      _xlpm.inflation_flag,    IF( MONTH( _xlpm.timeline ) = 1, 1, 0  ),
      _xlpm.inflation_data,    CaseData!$J$15:$M$24,
      _xlpm.annual_rate,       _xlfn.XLOOKUP( YEAR( _xlpm.timeline ), INDEX( _xlpm.inflation_data,, 1 ), INDEX( _xlpm.inflation_data,, 3 ) ),
      _xlpm.effective_step,    _xlpm.inflation_flag * _xlpm.annual_rate,
      _xlpm.inflation_factor,  _xlfn.SCAN( 1, _xlpm.effective_step, _xlfn.LAMBDA(_xlpm.prev,_xlpm.step, IF( _xlpm.step = 0, _xlpm.prev, _xlpm.prev * ( 1 + _xlpm.step ) ) ) ),
      _xlpm.opex,              INDEX( _xlpm.property_data,, 3 ),
      _xlpm.operation_flag * _xlpm.opex * _xlpm.inflation_factor )</f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143956.63749999998</v>
      </c>
      <c r="AD84">
        <v>143956.63749999998</v>
      </c>
      <c r="AE84">
        <v>143956.63749999998</v>
      </c>
      <c r="AF84">
        <v>143956.63749999998</v>
      </c>
      <c r="AG84">
        <v>143956.63749999998</v>
      </c>
      <c r="AH84">
        <v>147555.55343749997</v>
      </c>
      <c r="AI84">
        <v>147555.55343749997</v>
      </c>
      <c r="AJ84">
        <v>147555.55343749997</v>
      </c>
      <c r="AK84">
        <v>147555.55343749997</v>
      </c>
      <c r="AL84">
        <v>147555.55343749997</v>
      </c>
      <c r="AM84">
        <v>147555.55343749997</v>
      </c>
      <c r="AN84">
        <v>147555.55343749997</v>
      </c>
      <c r="AO84">
        <v>147555.55343749997</v>
      </c>
      <c r="AP84">
        <v>147555.55343749997</v>
      </c>
      <c r="AQ84">
        <v>147555.55343749997</v>
      </c>
      <c r="AR84">
        <v>147555.55343749997</v>
      </c>
      <c r="AS84">
        <v>147555.55343749997</v>
      </c>
      <c r="AT84">
        <v>151244.44227343748</v>
      </c>
      <c r="AU84">
        <v>151244.44227343748</v>
      </c>
      <c r="AV84">
        <v>151244.44227343748</v>
      </c>
      <c r="AW84">
        <v>151244.44227343748</v>
      </c>
      <c r="AX84">
        <v>151244.44227343748</v>
      </c>
      <c r="AY84">
        <v>151244.44227343748</v>
      </c>
      <c r="AZ84">
        <v>151244.44227343748</v>
      </c>
      <c r="BA84">
        <v>151244.44227343748</v>
      </c>
      <c r="BB84">
        <v>151244.44227343748</v>
      </c>
      <c r="BC84">
        <v>151244.44227343748</v>
      </c>
      <c r="BD84">
        <v>151244.44227343748</v>
      </c>
      <c r="BE84">
        <v>151244.44227343748</v>
      </c>
      <c r="BF84">
        <v>155025.5533302734</v>
      </c>
      <c r="BG84">
        <v>155025.5533302734</v>
      </c>
      <c r="BH84">
        <v>155025.5533302734</v>
      </c>
      <c r="BI84">
        <v>155025.5533302734</v>
      </c>
      <c r="BJ84">
        <v>155025.5533302734</v>
      </c>
      <c r="BK84">
        <v>155025.5533302734</v>
      </c>
      <c r="BL84">
        <v>155025.5533302734</v>
      </c>
      <c r="BM84">
        <v>155025.5533302734</v>
      </c>
      <c r="BN84">
        <v>155025.5533302734</v>
      </c>
      <c r="BO84">
        <v>155025.5533302734</v>
      </c>
      <c r="BP84">
        <v>155025.5533302734</v>
      </c>
      <c r="BQ84">
        <v>155025.5533302734</v>
      </c>
      <c r="BR84">
        <v>158901.19216353021</v>
      </c>
      <c r="BS84">
        <v>158901.19216353021</v>
      </c>
      <c r="BT84">
        <v>158901.19216353021</v>
      </c>
      <c r="BU84">
        <v>158901.19216353021</v>
      </c>
      <c r="BV84">
        <v>158901.19216353021</v>
      </c>
      <c r="BW84">
        <v>158901.19216353021</v>
      </c>
      <c r="BX84">
        <v>158901.19216353021</v>
      </c>
      <c r="BY84">
        <v>158901.19216353021</v>
      </c>
      <c r="BZ84">
        <v>158901.19216353021</v>
      </c>
      <c r="CA84">
        <v>158901.19216353021</v>
      </c>
      <c r="CB84">
        <v>158901.19216353021</v>
      </c>
      <c r="CC84">
        <v>158901.19216353021</v>
      </c>
      <c r="CD84">
        <v>162873.72196761845</v>
      </c>
      <c r="CE84">
        <v>162873.72196761845</v>
      </c>
      <c r="CF84">
        <v>162873.72196761845</v>
      </c>
      <c r="CG84">
        <v>162873.72196761845</v>
      </c>
      <c r="CH84">
        <v>162873.72196761845</v>
      </c>
      <c r="CI84">
        <v>162873.72196761845</v>
      </c>
      <c r="CJ84">
        <v>162873.72196761845</v>
      </c>
      <c r="CK84">
        <v>162873.72196761845</v>
      </c>
      <c r="CL84">
        <v>162873.72196761845</v>
      </c>
      <c r="CM84">
        <v>162873.72196761845</v>
      </c>
      <c r="CN84">
        <v>162873.72196761845</v>
      </c>
      <c r="CO84">
        <v>162873.72196761845</v>
      </c>
      <c r="CP84">
        <v>166945.56501680889</v>
      </c>
      <c r="CQ84">
        <v>166945.56501680889</v>
      </c>
      <c r="CR84">
        <v>166945.56501680889</v>
      </c>
      <c r="CS84">
        <v>166945.56501680889</v>
      </c>
      <c r="CT84">
        <v>166945.56501680889</v>
      </c>
      <c r="CU84">
        <v>166945.56501680889</v>
      </c>
      <c r="CV84">
        <v>166945.56501680889</v>
      </c>
      <c r="CW84">
        <v>166945.56501680889</v>
      </c>
      <c r="CX84">
        <v>166945.56501680889</v>
      </c>
      <c r="CY84">
        <v>166945.56501680889</v>
      </c>
      <c r="CZ84">
        <v>166945.56501680889</v>
      </c>
      <c r="DA84">
        <v>166945.56501680889</v>
      </c>
      <c r="DB84">
        <v>171119.20414222908</v>
      </c>
      <c r="DC84">
        <v>171119.20414222908</v>
      </c>
      <c r="DD84">
        <v>171119.20414222908</v>
      </c>
      <c r="DE84">
        <v>171119.20414222908</v>
      </c>
      <c r="DF84">
        <v>171119.20414222908</v>
      </c>
      <c r="DG84">
        <v>171119.20414222908</v>
      </c>
      <c r="DH84">
        <v>171119.20414222908</v>
      </c>
      <c r="DI84">
        <v>171119.20414222908</v>
      </c>
      <c r="DJ84">
        <v>171119.20414222908</v>
      </c>
      <c r="DK84">
        <v>171119.20414222908</v>
      </c>
      <c r="DL84">
        <v>171119.20414222908</v>
      </c>
      <c r="DM84">
        <v>171119.20414222908</v>
      </c>
      <c r="DN84">
        <v>175397.1842457848</v>
      </c>
      <c r="DO84">
        <v>175397.1842457848</v>
      </c>
      <c r="DP84">
        <v>175397.1842457848</v>
      </c>
      <c r="DQ84">
        <v>175397.1842457848</v>
      </c>
      <c r="DR84">
        <v>175397.1842457848</v>
      </c>
      <c r="DS84">
        <v>175397.1842457848</v>
      </c>
      <c r="DT84">
        <v>175397.1842457848</v>
      </c>
      <c r="DU84">
        <v>175397.1842457848</v>
      </c>
      <c r="DV84">
        <v>175397.1842457848</v>
      </c>
      <c r="DW84">
        <v>175397.1842457848</v>
      </c>
      <c r="DX84">
        <v>175397.1842457848</v>
      </c>
      <c r="DY84">
        <v>175397.1842457848</v>
      </c>
    </row>
    <row r="85" spans="3:129">
      <c r="E85" t="str">
        <v>Property G</v>
      </c>
      <c r="G85" t="s">
        <v>128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120716.81249999999</v>
      </c>
      <c r="AE85">
        <v>120716.81249999999</v>
      </c>
      <c r="AF85">
        <v>120716.81249999999</v>
      </c>
      <c r="AG85">
        <v>120716.81249999999</v>
      </c>
      <c r="AH85">
        <v>123734.73281249999</v>
      </c>
      <c r="AI85">
        <v>123734.73281249999</v>
      </c>
      <c r="AJ85">
        <v>123734.73281249999</v>
      </c>
      <c r="AK85">
        <v>123734.73281249999</v>
      </c>
      <c r="AL85">
        <v>123734.73281249999</v>
      </c>
      <c r="AM85">
        <v>123734.73281249999</v>
      </c>
      <c r="AN85">
        <v>123734.73281249999</v>
      </c>
      <c r="AO85">
        <v>123734.73281249999</v>
      </c>
      <c r="AP85">
        <v>123734.73281249999</v>
      </c>
      <c r="AQ85">
        <v>123734.73281249999</v>
      </c>
      <c r="AR85">
        <v>123734.73281249999</v>
      </c>
      <c r="AS85">
        <v>123734.73281249999</v>
      </c>
      <c r="AT85">
        <v>126828.10113281247</v>
      </c>
      <c r="AU85">
        <v>126828.10113281247</v>
      </c>
      <c r="AV85">
        <v>126828.10113281247</v>
      </c>
      <c r="AW85">
        <v>126828.10113281247</v>
      </c>
      <c r="AX85">
        <v>126828.10113281247</v>
      </c>
      <c r="AY85">
        <v>126828.10113281247</v>
      </c>
      <c r="AZ85">
        <v>126828.10113281247</v>
      </c>
      <c r="BA85">
        <v>126828.10113281247</v>
      </c>
      <c r="BB85">
        <v>126828.10113281247</v>
      </c>
      <c r="BC85">
        <v>126828.10113281247</v>
      </c>
      <c r="BD85">
        <v>126828.10113281247</v>
      </c>
      <c r="BE85">
        <v>126828.10113281247</v>
      </c>
      <c r="BF85">
        <v>129998.80366113277</v>
      </c>
      <c r="BG85">
        <v>129998.80366113277</v>
      </c>
      <c r="BH85">
        <v>129998.80366113277</v>
      </c>
      <c r="BI85">
        <v>129998.80366113277</v>
      </c>
      <c r="BJ85">
        <v>129998.80366113277</v>
      </c>
      <c r="BK85">
        <v>129998.80366113277</v>
      </c>
      <c r="BL85">
        <v>129998.80366113277</v>
      </c>
      <c r="BM85">
        <v>129998.80366113277</v>
      </c>
      <c r="BN85">
        <v>129998.80366113277</v>
      </c>
      <c r="BO85">
        <v>129998.80366113277</v>
      </c>
      <c r="BP85">
        <v>129998.80366113277</v>
      </c>
      <c r="BQ85">
        <v>129998.80366113277</v>
      </c>
      <c r="BR85">
        <v>133248.77375266107</v>
      </c>
      <c r="BS85">
        <v>133248.77375266107</v>
      </c>
      <c r="BT85">
        <v>133248.77375266107</v>
      </c>
      <c r="BU85">
        <v>133248.77375266107</v>
      </c>
      <c r="BV85">
        <v>133248.77375266107</v>
      </c>
      <c r="BW85">
        <v>133248.77375266107</v>
      </c>
      <c r="BX85">
        <v>133248.77375266107</v>
      </c>
      <c r="BY85">
        <v>133248.77375266107</v>
      </c>
      <c r="BZ85">
        <v>133248.77375266107</v>
      </c>
      <c r="CA85">
        <v>133248.77375266107</v>
      </c>
      <c r="CB85">
        <v>133248.77375266107</v>
      </c>
      <c r="CC85">
        <v>133248.77375266107</v>
      </c>
      <c r="CD85">
        <v>136579.99309647758</v>
      </c>
      <c r="CE85">
        <v>136579.99309647758</v>
      </c>
      <c r="CF85">
        <v>136579.99309647758</v>
      </c>
      <c r="CG85">
        <v>136579.99309647758</v>
      </c>
      <c r="CH85">
        <v>136579.99309647758</v>
      </c>
      <c r="CI85">
        <v>136579.99309647758</v>
      </c>
      <c r="CJ85">
        <v>136579.99309647758</v>
      </c>
      <c r="CK85">
        <v>136579.99309647758</v>
      </c>
      <c r="CL85">
        <v>136579.99309647758</v>
      </c>
      <c r="CM85">
        <v>136579.99309647758</v>
      </c>
      <c r="CN85">
        <v>136579.99309647758</v>
      </c>
      <c r="CO85">
        <v>136579.99309647758</v>
      </c>
      <c r="CP85">
        <v>139994.49292388951</v>
      </c>
      <c r="CQ85">
        <v>139994.49292388951</v>
      </c>
      <c r="CR85">
        <v>139994.49292388951</v>
      </c>
      <c r="CS85">
        <v>139994.49292388951</v>
      </c>
      <c r="CT85">
        <v>139994.49292388951</v>
      </c>
      <c r="CU85">
        <v>139994.49292388951</v>
      </c>
      <c r="CV85">
        <v>139994.49292388951</v>
      </c>
      <c r="CW85">
        <v>139994.49292388951</v>
      </c>
      <c r="CX85">
        <v>139994.49292388951</v>
      </c>
      <c r="CY85">
        <v>139994.49292388951</v>
      </c>
      <c r="CZ85">
        <v>139994.49292388951</v>
      </c>
      <c r="DA85">
        <v>139994.49292388951</v>
      </c>
      <c r="DB85">
        <v>143494.35524698673</v>
      </c>
      <c r="DC85">
        <v>143494.35524698673</v>
      </c>
      <c r="DD85">
        <v>143494.35524698673</v>
      </c>
      <c r="DE85">
        <v>143494.35524698673</v>
      </c>
      <c r="DF85">
        <v>143494.35524698673</v>
      </c>
      <c r="DG85">
        <v>143494.35524698673</v>
      </c>
      <c r="DH85">
        <v>143494.35524698673</v>
      </c>
      <c r="DI85">
        <v>143494.35524698673</v>
      </c>
      <c r="DJ85">
        <v>143494.35524698673</v>
      </c>
      <c r="DK85">
        <v>143494.35524698673</v>
      </c>
      <c r="DL85">
        <v>143494.35524698673</v>
      </c>
      <c r="DM85">
        <v>143494.35524698673</v>
      </c>
      <c r="DN85">
        <v>147081.71412816137</v>
      </c>
      <c r="DO85">
        <v>147081.71412816137</v>
      </c>
      <c r="DP85">
        <v>147081.71412816137</v>
      </c>
      <c r="DQ85">
        <v>147081.71412816137</v>
      </c>
      <c r="DR85">
        <v>147081.71412816137</v>
      </c>
      <c r="DS85">
        <v>147081.71412816137</v>
      </c>
      <c r="DT85">
        <v>147081.71412816137</v>
      </c>
      <c r="DU85">
        <v>147081.71412816137</v>
      </c>
      <c r="DV85">
        <v>147081.71412816137</v>
      </c>
      <c r="DW85">
        <v>147081.71412816137</v>
      </c>
      <c r="DX85">
        <v>147081.71412816137</v>
      </c>
      <c r="DY85">
        <v>147081.71412816137</v>
      </c>
    </row>
    <row r="86" spans="3:129">
      <c r="E86" t="str">
        <v>Property H</v>
      </c>
      <c r="G86" t="s">
        <v>128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144507.95296874997</v>
      </c>
      <c r="AJ86">
        <v>144507.95296874997</v>
      </c>
      <c r="AK86">
        <v>144507.95296874997</v>
      </c>
      <c r="AL86">
        <v>144507.95296874997</v>
      </c>
      <c r="AM86">
        <v>144507.95296874997</v>
      </c>
      <c r="AN86">
        <v>144507.95296874997</v>
      </c>
      <c r="AO86">
        <v>144507.95296874997</v>
      </c>
      <c r="AP86">
        <v>144507.95296874997</v>
      </c>
      <c r="AQ86">
        <v>144507.95296874997</v>
      </c>
      <c r="AR86">
        <v>144507.95296874997</v>
      </c>
      <c r="AS86">
        <v>144507.95296874997</v>
      </c>
      <c r="AT86">
        <v>148120.65179296871</v>
      </c>
      <c r="AU86">
        <v>148120.65179296871</v>
      </c>
      <c r="AV86">
        <v>148120.65179296871</v>
      </c>
      <c r="AW86">
        <v>148120.65179296871</v>
      </c>
      <c r="AX86">
        <v>148120.65179296871</v>
      </c>
      <c r="AY86">
        <v>148120.65179296871</v>
      </c>
      <c r="AZ86">
        <v>148120.65179296871</v>
      </c>
      <c r="BA86">
        <v>148120.65179296871</v>
      </c>
      <c r="BB86">
        <v>148120.65179296871</v>
      </c>
      <c r="BC86">
        <v>148120.65179296871</v>
      </c>
      <c r="BD86">
        <v>148120.65179296871</v>
      </c>
      <c r="BE86">
        <v>148120.65179296871</v>
      </c>
      <c r="BF86">
        <v>151823.66808779293</v>
      </c>
      <c r="BG86">
        <v>151823.66808779293</v>
      </c>
      <c r="BH86">
        <v>151823.66808779293</v>
      </c>
      <c r="BI86">
        <v>151823.66808779293</v>
      </c>
      <c r="BJ86">
        <v>151823.66808779293</v>
      </c>
      <c r="BK86">
        <v>151823.66808779293</v>
      </c>
      <c r="BL86">
        <v>151823.66808779293</v>
      </c>
      <c r="BM86">
        <v>151823.66808779293</v>
      </c>
      <c r="BN86">
        <v>151823.66808779293</v>
      </c>
      <c r="BO86">
        <v>151823.66808779293</v>
      </c>
      <c r="BP86">
        <v>151823.66808779293</v>
      </c>
      <c r="BQ86">
        <v>151823.66808779293</v>
      </c>
      <c r="BR86">
        <v>155619.25978998773</v>
      </c>
      <c r="BS86">
        <v>155619.25978998773</v>
      </c>
      <c r="BT86">
        <v>155619.25978998773</v>
      </c>
      <c r="BU86">
        <v>155619.25978998773</v>
      </c>
      <c r="BV86">
        <v>155619.25978998773</v>
      </c>
      <c r="BW86">
        <v>155619.25978998773</v>
      </c>
      <c r="BX86">
        <v>155619.25978998773</v>
      </c>
      <c r="BY86">
        <v>155619.25978998773</v>
      </c>
      <c r="BZ86">
        <v>155619.25978998773</v>
      </c>
      <c r="CA86">
        <v>155619.25978998773</v>
      </c>
      <c r="CB86">
        <v>155619.25978998773</v>
      </c>
      <c r="CC86">
        <v>155619.25978998773</v>
      </c>
      <c r="CD86">
        <v>159509.74128473739</v>
      </c>
      <c r="CE86">
        <v>159509.74128473739</v>
      </c>
      <c r="CF86">
        <v>159509.74128473739</v>
      </c>
      <c r="CG86">
        <v>159509.74128473739</v>
      </c>
      <c r="CH86">
        <v>159509.74128473739</v>
      </c>
      <c r="CI86">
        <v>159509.74128473739</v>
      </c>
      <c r="CJ86">
        <v>159509.74128473739</v>
      </c>
      <c r="CK86">
        <v>159509.74128473739</v>
      </c>
      <c r="CL86">
        <v>159509.74128473739</v>
      </c>
      <c r="CM86">
        <v>159509.74128473739</v>
      </c>
      <c r="CN86">
        <v>159509.74128473739</v>
      </c>
      <c r="CO86">
        <v>159509.74128473739</v>
      </c>
      <c r="CP86">
        <v>163497.48481685584</v>
      </c>
      <c r="CQ86">
        <v>163497.48481685584</v>
      </c>
      <c r="CR86">
        <v>163497.48481685584</v>
      </c>
      <c r="CS86">
        <v>163497.48481685584</v>
      </c>
      <c r="CT86">
        <v>163497.48481685584</v>
      </c>
      <c r="CU86">
        <v>163497.48481685584</v>
      </c>
      <c r="CV86">
        <v>163497.48481685584</v>
      </c>
      <c r="CW86">
        <v>163497.48481685584</v>
      </c>
      <c r="CX86">
        <v>163497.48481685584</v>
      </c>
      <c r="CY86">
        <v>163497.48481685584</v>
      </c>
      <c r="CZ86">
        <v>163497.48481685584</v>
      </c>
      <c r="DA86">
        <v>163497.48481685584</v>
      </c>
      <c r="DB86">
        <v>167584.92193727719</v>
      </c>
      <c r="DC86">
        <v>167584.92193727719</v>
      </c>
      <c r="DD86">
        <v>167584.92193727719</v>
      </c>
      <c r="DE86">
        <v>167584.92193727719</v>
      </c>
      <c r="DF86">
        <v>167584.92193727719</v>
      </c>
      <c r="DG86">
        <v>167584.92193727719</v>
      </c>
      <c r="DH86">
        <v>167584.92193727719</v>
      </c>
      <c r="DI86">
        <v>167584.92193727719</v>
      </c>
      <c r="DJ86">
        <v>167584.92193727719</v>
      </c>
      <c r="DK86">
        <v>167584.92193727719</v>
      </c>
      <c r="DL86">
        <v>167584.92193727719</v>
      </c>
      <c r="DM86">
        <v>167584.92193727719</v>
      </c>
      <c r="DN86">
        <v>171774.5449857091</v>
      </c>
      <c r="DO86">
        <v>171774.5449857091</v>
      </c>
      <c r="DP86">
        <v>171774.5449857091</v>
      </c>
      <c r="DQ86">
        <v>171774.5449857091</v>
      </c>
      <c r="DR86">
        <v>171774.5449857091</v>
      </c>
      <c r="DS86">
        <v>171774.5449857091</v>
      </c>
      <c r="DT86">
        <v>171774.5449857091</v>
      </c>
      <c r="DU86">
        <v>171774.5449857091</v>
      </c>
      <c r="DV86">
        <v>171774.5449857091</v>
      </c>
      <c r="DW86">
        <v>171774.5449857091</v>
      </c>
      <c r="DX86">
        <v>171774.5449857091</v>
      </c>
      <c r="DY86">
        <v>171774.5449857091</v>
      </c>
    </row>
    <row r="87" spans="3:129">
      <c r="E87" t="str">
        <v>Property I</v>
      </c>
      <c r="G87" t="s">
        <v>128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179409.97812499999</v>
      </c>
      <c r="AR87">
        <v>179409.97812499999</v>
      </c>
      <c r="AS87">
        <v>179409.97812499999</v>
      </c>
      <c r="AT87">
        <v>183895.22757812496</v>
      </c>
      <c r="AU87">
        <v>183895.22757812496</v>
      </c>
      <c r="AV87">
        <v>183895.22757812496</v>
      </c>
      <c r="AW87">
        <v>183895.22757812496</v>
      </c>
      <c r="AX87">
        <v>183895.22757812496</v>
      </c>
      <c r="AY87">
        <v>183895.22757812496</v>
      </c>
      <c r="AZ87">
        <v>183895.22757812496</v>
      </c>
      <c r="BA87">
        <v>183895.22757812496</v>
      </c>
      <c r="BB87">
        <v>183895.22757812496</v>
      </c>
      <c r="BC87">
        <v>183895.22757812496</v>
      </c>
      <c r="BD87">
        <v>183895.22757812496</v>
      </c>
      <c r="BE87">
        <v>183895.22757812496</v>
      </c>
      <c r="BF87">
        <v>188492.60826757806</v>
      </c>
      <c r="BG87">
        <v>188492.60826757806</v>
      </c>
      <c r="BH87">
        <v>188492.60826757806</v>
      </c>
      <c r="BI87">
        <v>188492.60826757806</v>
      </c>
      <c r="BJ87">
        <v>188492.60826757806</v>
      </c>
      <c r="BK87">
        <v>188492.60826757806</v>
      </c>
      <c r="BL87">
        <v>188492.60826757806</v>
      </c>
      <c r="BM87">
        <v>188492.60826757806</v>
      </c>
      <c r="BN87">
        <v>188492.60826757806</v>
      </c>
      <c r="BO87">
        <v>188492.60826757806</v>
      </c>
      <c r="BP87">
        <v>188492.60826757806</v>
      </c>
      <c r="BQ87">
        <v>188492.60826757806</v>
      </c>
      <c r="BR87">
        <v>193204.9234742675</v>
      </c>
      <c r="BS87">
        <v>193204.9234742675</v>
      </c>
      <c r="BT87">
        <v>193204.9234742675</v>
      </c>
      <c r="BU87">
        <v>193204.9234742675</v>
      </c>
      <c r="BV87">
        <v>193204.9234742675</v>
      </c>
      <c r="BW87">
        <v>193204.9234742675</v>
      </c>
      <c r="BX87">
        <v>193204.9234742675</v>
      </c>
      <c r="BY87">
        <v>193204.9234742675</v>
      </c>
      <c r="BZ87">
        <v>193204.9234742675</v>
      </c>
      <c r="CA87">
        <v>193204.9234742675</v>
      </c>
      <c r="CB87">
        <v>193204.9234742675</v>
      </c>
      <c r="CC87">
        <v>193204.9234742675</v>
      </c>
      <c r="CD87">
        <v>198035.04656112415</v>
      </c>
      <c r="CE87">
        <v>198035.04656112415</v>
      </c>
      <c r="CF87">
        <v>198035.04656112415</v>
      </c>
      <c r="CG87">
        <v>198035.04656112415</v>
      </c>
      <c r="CH87">
        <v>198035.04656112415</v>
      </c>
      <c r="CI87">
        <v>198035.04656112415</v>
      </c>
      <c r="CJ87">
        <v>198035.04656112415</v>
      </c>
      <c r="CK87">
        <v>198035.04656112415</v>
      </c>
      <c r="CL87">
        <v>198035.04656112415</v>
      </c>
      <c r="CM87">
        <v>198035.04656112415</v>
      </c>
      <c r="CN87">
        <v>198035.04656112415</v>
      </c>
      <c r="CO87">
        <v>198035.04656112415</v>
      </c>
      <c r="CP87">
        <v>202985.92272515225</v>
      </c>
      <c r="CQ87">
        <v>202985.92272515225</v>
      </c>
      <c r="CR87">
        <v>202985.92272515225</v>
      </c>
      <c r="CS87">
        <v>202985.92272515225</v>
      </c>
      <c r="CT87">
        <v>202985.92272515225</v>
      </c>
      <c r="CU87">
        <v>202985.92272515225</v>
      </c>
      <c r="CV87">
        <v>202985.92272515225</v>
      </c>
      <c r="CW87">
        <v>202985.92272515225</v>
      </c>
      <c r="CX87">
        <v>202985.92272515225</v>
      </c>
      <c r="CY87">
        <v>202985.92272515225</v>
      </c>
      <c r="CZ87">
        <v>202985.92272515225</v>
      </c>
      <c r="DA87">
        <v>202985.92272515225</v>
      </c>
      <c r="DB87">
        <v>208060.57079328102</v>
      </c>
      <c r="DC87">
        <v>208060.57079328102</v>
      </c>
      <c r="DD87">
        <v>208060.57079328102</v>
      </c>
      <c r="DE87">
        <v>208060.57079328102</v>
      </c>
      <c r="DF87">
        <v>208060.57079328102</v>
      </c>
      <c r="DG87">
        <v>208060.57079328102</v>
      </c>
      <c r="DH87">
        <v>208060.57079328102</v>
      </c>
      <c r="DI87">
        <v>208060.57079328102</v>
      </c>
      <c r="DJ87">
        <v>208060.57079328102</v>
      </c>
      <c r="DK87">
        <v>208060.57079328102</v>
      </c>
      <c r="DL87">
        <v>208060.57079328102</v>
      </c>
      <c r="DM87">
        <v>208060.57079328102</v>
      </c>
      <c r="DN87">
        <v>213262.08506311302</v>
      </c>
      <c r="DO87">
        <v>213262.08506311302</v>
      </c>
      <c r="DP87">
        <v>213262.08506311302</v>
      </c>
      <c r="DQ87">
        <v>213262.08506311302</v>
      </c>
      <c r="DR87">
        <v>213262.08506311302</v>
      </c>
      <c r="DS87">
        <v>213262.08506311302</v>
      </c>
      <c r="DT87">
        <v>213262.08506311302</v>
      </c>
      <c r="DU87">
        <v>213262.08506311302</v>
      </c>
      <c r="DV87">
        <v>213262.08506311302</v>
      </c>
      <c r="DW87">
        <v>213262.08506311302</v>
      </c>
      <c r="DX87">
        <v>213262.08506311302</v>
      </c>
      <c r="DY87">
        <v>213262.08506311302</v>
      </c>
    </row>
    <row r="88" spans="3:129">
      <c r="E88" t="str">
        <v>Property J</v>
      </c>
      <c r="G88" t="s">
        <v>128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178505.38999999998</v>
      </c>
      <c r="AT88">
        <v>182968.02474999995</v>
      </c>
      <c r="AU88">
        <v>182968.02474999995</v>
      </c>
      <c r="AV88">
        <v>182968.02474999995</v>
      </c>
      <c r="AW88">
        <v>182968.02474999995</v>
      </c>
      <c r="AX88">
        <v>182968.02474999995</v>
      </c>
      <c r="AY88">
        <v>182968.02474999995</v>
      </c>
      <c r="AZ88">
        <v>182968.02474999995</v>
      </c>
      <c r="BA88">
        <v>182968.02474999995</v>
      </c>
      <c r="BB88">
        <v>182968.02474999995</v>
      </c>
      <c r="BC88">
        <v>182968.02474999995</v>
      </c>
      <c r="BD88">
        <v>182968.02474999995</v>
      </c>
      <c r="BE88">
        <v>182968.02474999995</v>
      </c>
      <c r="BF88">
        <v>187542.22536874993</v>
      </c>
      <c r="BG88">
        <v>187542.22536874993</v>
      </c>
      <c r="BH88">
        <v>187542.22536874993</v>
      </c>
      <c r="BI88">
        <v>187542.22536874993</v>
      </c>
      <c r="BJ88">
        <v>187542.22536874993</v>
      </c>
      <c r="BK88">
        <v>187542.22536874993</v>
      </c>
      <c r="BL88">
        <v>187542.22536874993</v>
      </c>
      <c r="BM88">
        <v>187542.22536874993</v>
      </c>
      <c r="BN88">
        <v>187542.22536874993</v>
      </c>
      <c r="BO88">
        <v>187542.22536874993</v>
      </c>
      <c r="BP88">
        <v>187542.22536874993</v>
      </c>
      <c r="BQ88">
        <v>187542.22536874993</v>
      </c>
      <c r="BR88">
        <v>192230.78100296867</v>
      </c>
      <c r="BS88">
        <v>192230.78100296867</v>
      </c>
      <c r="BT88">
        <v>192230.78100296867</v>
      </c>
      <c r="BU88">
        <v>192230.78100296867</v>
      </c>
      <c r="BV88">
        <v>192230.78100296867</v>
      </c>
      <c r="BW88">
        <v>192230.78100296867</v>
      </c>
      <c r="BX88">
        <v>192230.78100296867</v>
      </c>
      <c r="BY88">
        <v>192230.78100296867</v>
      </c>
      <c r="BZ88">
        <v>192230.78100296867</v>
      </c>
      <c r="CA88">
        <v>192230.78100296867</v>
      </c>
      <c r="CB88">
        <v>192230.78100296867</v>
      </c>
      <c r="CC88">
        <v>192230.78100296867</v>
      </c>
      <c r="CD88">
        <v>197036.55052804286</v>
      </c>
      <c r="CE88">
        <v>197036.55052804286</v>
      </c>
      <c r="CF88">
        <v>197036.55052804286</v>
      </c>
      <c r="CG88">
        <v>197036.55052804286</v>
      </c>
      <c r="CH88">
        <v>197036.55052804286</v>
      </c>
      <c r="CI88">
        <v>197036.55052804286</v>
      </c>
      <c r="CJ88">
        <v>197036.55052804286</v>
      </c>
      <c r="CK88">
        <v>197036.55052804286</v>
      </c>
      <c r="CL88">
        <v>197036.55052804286</v>
      </c>
      <c r="CM88">
        <v>197036.55052804286</v>
      </c>
      <c r="CN88">
        <v>197036.55052804286</v>
      </c>
      <c r="CO88">
        <v>197036.55052804286</v>
      </c>
      <c r="CP88">
        <v>201962.46429124393</v>
      </c>
      <c r="CQ88">
        <v>201962.46429124393</v>
      </c>
      <c r="CR88">
        <v>201962.46429124393</v>
      </c>
      <c r="CS88">
        <v>201962.46429124393</v>
      </c>
      <c r="CT88">
        <v>201962.46429124393</v>
      </c>
      <c r="CU88">
        <v>201962.46429124393</v>
      </c>
      <c r="CV88">
        <v>201962.46429124393</v>
      </c>
      <c r="CW88">
        <v>201962.46429124393</v>
      </c>
      <c r="CX88">
        <v>201962.46429124393</v>
      </c>
      <c r="CY88">
        <v>201962.46429124393</v>
      </c>
      <c r="CZ88">
        <v>201962.46429124393</v>
      </c>
      <c r="DA88">
        <v>201962.46429124393</v>
      </c>
      <c r="DB88">
        <v>207011.525898525</v>
      </c>
      <c r="DC88">
        <v>207011.525898525</v>
      </c>
      <c r="DD88">
        <v>207011.525898525</v>
      </c>
      <c r="DE88">
        <v>207011.525898525</v>
      </c>
      <c r="DF88">
        <v>207011.525898525</v>
      </c>
      <c r="DG88">
        <v>207011.525898525</v>
      </c>
      <c r="DH88">
        <v>207011.525898525</v>
      </c>
      <c r="DI88">
        <v>207011.525898525</v>
      </c>
      <c r="DJ88">
        <v>207011.525898525</v>
      </c>
      <c r="DK88">
        <v>207011.525898525</v>
      </c>
      <c r="DL88">
        <v>207011.525898525</v>
      </c>
      <c r="DM88">
        <v>207011.525898525</v>
      </c>
      <c r="DN88">
        <v>212186.81404598808</v>
      </c>
      <c r="DO88">
        <v>212186.81404598808</v>
      </c>
      <c r="DP88">
        <v>212186.81404598808</v>
      </c>
      <c r="DQ88">
        <v>212186.81404598808</v>
      </c>
      <c r="DR88">
        <v>212186.81404598808</v>
      </c>
      <c r="DS88">
        <v>212186.81404598808</v>
      </c>
      <c r="DT88">
        <v>212186.81404598808</v>
      </c>
      <c r="DU88">
        <v>212186.81404598808</v>
      </c>
      <c r="DV88">
        <v>212186.81404598808</v>
      </c>
      <c r="DW88">
        <v>212186.81404598808</v>
      </c>
      <c r="DX88">
        <v>212186.81404598808</v>
      </c>
      <c r="DY88">
        <v>212186.81404598808</v>
      </c>
    </row>
    <row r="89" spans="3:129">
      <c r="E89" t="str">
        <v>Property K</v>
      </c>
      <c r="G89" t="s">
        <v>128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113364.27609374998</v>
      </c>
      <c r="AR89">
        <v>113364.27609374998</v>
      </c>
      <c r="AS89">
        <v>113364.27609374998</v>
      </c>
      <c r="AT89">
        <v>116198.38299609373</v>
      </c>
      <c r="AU89">
        <v>116198.38299609373</v>
      </c>
      <c r="AV89">
        <v>116198.38299609373</v>
      </c>
      <c r="AW89">
        <v>116198.38299609373</v>
      </c>
      <c r="AX89">
        <v>116198.38299609373</v>
      </c>
      <c r="AY89">
        <v>116198.38299609373</v>
      </c>
      <c r="AZ89">
        <v>116198.38299609373</v>
      </c>
      <c r="BA89">
        <v>116198.38299609373</v>
      </c>
      <c r="BB89">
        <v>116198.38299609373</v>
      </c>
      <c r="BC89">
        <v>116198.38299609373</v>
      </c>
      <c r="BD89">
        <v>116198.38299609373</v>
      </c>
      <c r="BE89">
        <v>116198.38299609373</v>
      </c>
      <c r="BF89">
        <v>119103.34257099606</v>
      </c>
      <c r="BG89">
        <v>119103.34257099606</v>
      </c>
      <c r="BH89">
        <v>119103.34257099606</v>
      </c>
      <c r="BI89">
        <v>119103.34257099606</v>
      </c>
      <c r="BJ89">
        <v>119103.34257099606</v>
      </c>
      <c r="BK89">
        <v>119103.34257099606</v>
      </c>
      <c r="BL89">
        <v>119103.34257099606</v>
      </c>
      <c r="BM89">
        <v>119103.34257099606</v>
      </c>
      <c r="BN89">
        <v>119103.34257099606</v>
      </c>
      <c r="BO89">
        <v>119103.34257099606</v>
      </c>
      <c r="BP89">
        <v>119103.34257099606</v>
      </c>
      <c r="BQ89">
        <v>119103.34257099606</v>
      </c>
      <c r="BR89">
        <v>122080.92613527094</v>
      </c>
      <c r="BS89">
        <v>122080.92613527094</v>
      </c>
      <c r="BT89">
        <v>122080.92613527094</v>
      </c>
      <c r="BU89">
        <v>122080.92613527094</v>
      </c>
      <c r="BV89">
        <v>122080.92613527094</v>
      </c>
      <c r="BW89">
        <v>122080.92613527094</v>
      </c>
      <c r="BX89">
        <v>122080.92613527094</v>
      </c>
      <c r="BY89">
        <v>122080.92613527094</v>
      </c>
      <c r="BZ89">
        <v>122080.92613527094</v>
      </c>
      <c r="CA89">
        <v>122080.92613527094</v>
      </c>
      <c r="CB89">
        <v>122080.92613527094</v>
      </c>
      <c r="CC89">
        <v>122080.92613527094</v>
      </c>
      <c r="CD89">
        <v>125132.9492886527</v>
      </c>
      <c r="CE89">
        <v>125132.9492886527</v>
      </c>
      <c r="CF89">
        <v>125132.9492886527</v>
      </c>
      <c r="CG89">
        <v>125132.9492886527</v>
      </c>
      <c r="CH89">
        <v>125132.9492886527</v>
      </c>
      <c r="CI89">
        <v>125132.9492886527</v>
      </c>
      <c r="CJ89">
        <v>125132.9492886527</v>
      </c>
      <c r="CK89">
        <v>125132.9492886527</v>
      </c>
      <c r="CL89">
        <v>125132.9492886527</v>
      </c>
      <c r="CM89">
        <v>125132.9492886527</v>
      </c>
      <c r="CN89">
        <v>125132.9492886527</v>
      </c>
      <c r="CO89">
        <v>125132.9492886527</v>
      </c>
      <c r="CP89">
        <v>128261.27302086902</v>
      </c>
      <c r="CQ89">
        <v>128261.27302086902</v>
      </c>
      <c r="CR89">
        <v>128261.27302086902</v>
      </c>
      <c r="CS89">
        <v>128261.27302086902</v>
      </c>
      <c r="CT89">
        <v>128261.27302086902</v>
      </c>
      <c r="CU89">
        <v>128261.27302086902</v>
      </c>
      <c r="CV89">
        <v>128261.27302086902</v>
      </c>
      <c r="CW89">
        <v>128261.27302086902</v>
      </c>
      <c r="CX89">
        <v>128261.27302086902</v>
      </c>
      <c r="CY89">
        <v>128261.27302086902</v>
      </c>
      <c r="CZ89">
        <v>128261.27302086902</v>
      </c>
      <c r="DA89">
        <v>128261.27302086902</v>
      </c>
      <c r="DB89">
        <v>131467.8048463907</v>
      </c>
      <c r="DC89">
        <v>131467.8048463907</v>
      </c>
      <c r="DD89">
        <v>131467.8048463907</v>
      </c>
      <c r="DE89">
        <v>131467.8048463907</v>
      </c>
      <c r="DF89">
        <v>131467.8048463907</v>
      </c>
      <c r="DG89">
        <v>131467.8048463907</v>
      </c>
      <c r="DH89">
        <v>131467.8048463907</v>
      </c>
      <c r="DI89">
        <v>131467.8048463907</v>
      </c>
      <c r="DJ89">
        <v>131467.8048463907</v>
      </c>
      <c r="DK89">
        <v>131467.8048463907</v>
      </c>
      <c r="DL89">
        <v>131467.8048463907</v>
      </c>
      <c r="DM89">
        <v>131467.8048463907</v>
      </c>
      <c r="DN89">
        <v>134754.49996755045</v>
      </c>
      <c r="DO89">
        <v>134754.49996755045</v>
      </c>
      <c r="DP89">
        <v>134754.49996755045</v>
      </c>
      <c r="DQ89">
        <v>134754.49996755045</v>
      </c>
      <c r="DR89">
        <v>134754.49996755045</v>
      </c>
      <c r="DS89">
        <v>134754.49996755045</v>
      </c>
      <c r="DT89">
        <v>134754.49996755045</v>
      </c>
      <c r="DU89">
        <v>134754.49996755045</v>
      </c>
      <c r="DV89">
        <v>134754.49996755045</v>
      </c>
      <c r="DW89">
        <v>134754.49996755045</v>
      </c>
      <c r="DX89">
        <v>134754.49996755045</v>
      </c>
      <c r="DY89">
        <v>134754.49996755045</v>
      </c>
    </row>
    <row r="90" spans="3:129">
      <c r="E90" t="str">
        <v>Property L</v>
      </c>
      <c r="G90" t="s">
        <v>128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281584.87602421868</v>
      </c>
      <c r="BI90">
        <v>281584.87602421868</v>
      </c>
      <c r="BJ90">
        <v>281584.87602421868</v>
      </c>
      <c r="BK90">
        <v>281584.87602421868</v>
      </c>
      <c r="BL90">
        <v>281584.87602421868</v>
      </c>
      <c r="BM90">
        <v>281584.87602421868</v>
      </c>
      <c r="BN90">
        <v>281584.87602421868</v>
      </c>
      <c r="BO90">
        <v>281584.87602421868</v>
      </c>
      <c r="BP90">
        <v>281584.87602421868</v>
      </c>
      <c r="BQ90">
        <v>281584.87602421868</v>
      </c>
      <c r="BR90">
        <v>288624.49792482413</v>
      </c>
      <c r="BS90">
        <v>288624.49792482413</v>
      </c>
      <c r="BT90">
        <v>288624.49792482413</v>
      </c>
      <c r="BU90">
        <v>288624.49792482413</v>
      </c>
      <c r="BV90">
        <v>288624.49792482413</v>
      </c>
      <c r="BW90">
        <v>288624.49792482413</v>
      </c>
      <c r="BX90">
        <v>288624.49792482413</v>
      </c>
      <c r="BY90">
        <v>288624.49792482413</v>
      </c>
      <c r="BZ90">
        <v>288624.49792482413</v>
      </c>
      <c r="CA90">
        <v>288624.49792482413</v>
      </c>
      <c r="CB90">
        <v>288624.49792482413</v>
      </c>
      <c r="CC90">
        <v>288624.49792482413</v>
      </c>
      <c r="CD90">
        <v>295840.11037294468</v>
      </c>
      <c r="CE90">
        <v>295840.11037294468</v>
      </c>
      <c r="CF90">
        <v>295840.11037294468</v>
      </c>
      <c r="CG90">
        <v>295840.11037294468</v>
      </c>
      <c r="CH90">
        <v>295840.11037294468</v>
      </c>
      <c r="CI90">
        <v>295840.11037294468</v>
      </c>
      <c r="CJ90">
        <v>295840.11037294468</v>
      </c>
      <c r="CK90">
        <v>295840.11037294468</v>
      </c>
      <c r="CL90">
        <v>295840.11037294468</v>
      </c>
      <c r="CM90">
        <v>295840.11037294468</v>
      </c>
      <c r="CN90">
        <v>295840.11037294468</v>
      </c>
      <c r="CO90">
        <v>295840.11037294468</v>
      </c>
      <c r="CP90">
        <v>303236.11313226825</v>
      </c>
      <c r="CQ90">
        <v>303236.11313226825</v>
      </c>
      <c r="CR90">
        <v>303236.11313226825</v>
      </c>
      <c r="CS90">
        <v>303236.11313226825</v>
      </c>
      <c r="CT90">
        <v>303236.11313226825</v>
      </c>
      <c r="CU90">
        <v>303236.11313226825</v>
      </c>
      <c r="CV90">
        <v>303236.11313226825</v>
      </c>
      <c r="CW90">
        <v>303236.11313226825</v>
      </c>
      <c r="CX90">
        <v>303236.11313226825</v>
      </c>
      <c r="CY90">
        <v>303236.11313226825</v>
      </c>
      <c r="CZ90">
        <v>303236.11313226825</v>
      </c>
      <c r="DA90">
        <v>303236.11313226825</v>
      </c>
      <c r="DB90">
        <v>310817.01596057491</v>
      </c>
      <c r="DC90">
        <v>310817.01596057491</v>
      </c>
      <c r="DD90">
        <v>310817.01596057491</v>
      </c>
      <c r="DE90">
        <v>310817.01596057491</v>
      </c>
      <c r="DF90">
        <v>310817.01596057491</v>
      </c>
      <c r="DG90">
        <v>310817.01596057491</v>
      </c>
      <c r="DH90">
        <v>310817.01596057491</v>
      </c>
      <c r="DI90">
        <v>310817.01596057491</v>
      </c>
      <c r="DJ90">
        <v>310817.01596057491</v>
      </c>
      <c r="DK90">
        <v>310817.01596057491</v>
      </c>
      <c r="DL90">
        <v>310817.01596057491</v>
      </c>
      <c r="DM90">
        <v>310817.01596057491</v>
      </c>
      <c r="DN90">
        <v>318587.44135958923</v>
      </c>
      <c r="DO90">
        <v>318587.44135958923</v>
      </c>
      <c r="DP90">
        <v>318587.44135958923</v>
      </c>
      <c r="DQ90">
        <v>318587.44135958923</v>
      </c>
      <c r="DR90">
        <v>318587.44135958923</v>
      </c>
      <c r="DS90">
        <v>318587.44135958923</v>
      </c>
      <c r="DT90">
        <v>318587.44135958923</v>
      </c>
      <c r="DU90">
        <v>318587.44135958923</v>
      </c>
      <c r="DV90">
        <v>318587.44135958923</v>
      </c>
      <c r="DW90">
        <v>318587.44135958923</v>
      </c>
      <c r="DX90">
        <v>318587.44135958923</v>
      </c>
      <c r="DY90">
        <v>318587.44135958923</v>
      </c>
    </row>
    <row r="91" spans="3:129">
      <c r="E91" t="str">
        <v>Property M</v>
      </c>
      <c r="G91" t="s">
        <v>128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206957.19030195306</v>
      </c>
      <c r="BI91">
        <v>206957.19030195306</v>
      </c>
      <c r="BJ91">
        <v>206957.19030195306</v>
      </c>
      <c r="BK91">
        <v>206957.19030195306</v>
      </c>
      <c r="BL91">
        <v>206957.19030195306</v>
      </c>
      <c r="BM91">
        <v>206957.19030195306</v>
      </c>
      <c r="BN91">
        <v>206957.19030195306</v>
      </c>
      <c r="BO91">
        <v>206957.19030195306</v>
      </c>
      <c r="BP91">
        <v>206957.19030195306</v>
      </c>
      <c r="BQ91">
        <v>206957.19030195306</v>
      </c>
      <c r="BR91">
        <v>212131.12005950187</v>
      </c>
      <c r="BS91">
        <v>212131.12005950187</v>
      </c>
      <c r="BT91">
        <v>212131.12005950187</v>
      </c>
      <c r="BU91">
        <v>212131.12005950187</v>
      </c>
      <c r="BV91">
        <v>212131.12005950187</v>
      </c>
      <c r="BW91">
        <v>212131.12005950187</v>
      </c>
      <c r="BX91">
        <v>212131.12005950187</v>
      </c>
      <c r="BY91">
        <v>212131.12005950187</v>
      </c>
      <c r="BZ91">
        <v>212131.12005950187</v>
      </c>
      <c r="CA91">
        <v>212131.12005950187</v>
      </c>
      <c r="CB91">
        <v>212131.12005950187</v>
      </c>
      <c r="CC91">
        <v>212131.12005950187</v>
      </c>
      <c r="CD91">
        <v>217434.39806098939</v>
      </c>
      <c r="CE91">
        <v>217434.39806098939</v>
      </c>
      <c r="CF91">
        <v>217434.39806098939</v>
      </c>
      <c r="CG91">
        <v>217434.39806098939</v>
      </c>
      <c r="CH91">
        <v>217434.39806098939</v>
      </c>
      <c r="CI91">
        <v>217434.39806098939</v>
      </c>
      <c r="CJ91">
        <v>217434.39806098939</v>
      </c>
      <c r="CK91">
        <v>217434.39806098939</v>
      </c>
      <c r="CL91">
        <v>217434.39806098939</v>
      </c>
      <c r="CM91">
        <v>217434.39806098939</v>
      </c>
      <c r="CN91">
        <v>217434.39806098939</v>
      </c>
      <c r="CO91">
        <v>217434.39806098939</v>
      </c>
      <c r="CP91">
        <v>222870.2580125141</v>
      </c>
      <c r="CQ91">
        <v>222870.2580125141</v>
      </c>
      <c r="CR91">
        <v>222870.2580125141</v>
      </c>
      <c r="CS91">
        <v>222870.2580125141</v>
      </c>
      <c r="CT91">
        <v>222870.2580125141</v>
      </c>
      <c r="CU91">
        <v>222870.2580125141</v>
      </c>
      <c r="CV91">
        <v>222870.2580125141</v>
      </c>
      <c r="CW91">
        <v>222870.2580125141</v>
      </c>
      <c r="CX91">
        <v>222870.2580125141</v>
      </c>
      <c r="CY91">
        <v>222870.2580125141</v>
      </c>
      <c r="CZ91">
        <v>222870.2580125141</v>
      </c>
      <c r="DA91">
        <v>222870.2580125141</v>
      </c>
      <c r="DB91">
        <v>228442.01446282692</v>
      </c>
      <c r="DC91">
        <v>228442.01446282692</v>
      </c>
      <c r="DD91">
        <v>228442.01446282692</v>
      </c>
      <c r="DE91">
        <v>228442.01446282692</v>
      </c>
      <c r="DF91">
        <v>228442.01446282692</v>
      </c>
      <c r="DG91">
        <v>228442.01446282692</v>
      </c>
      <c r="DH91">
        <v>228442.01446282692</v>
      </c>
      <c r="DI91">
        <v>228442.01446282692</v>
      </c>
      <c r="DJ91">
        <v>228442.01446282692</v>
      </c>
      <c r="DK91">
        <v>228442.01446282692</v>
      </c>
      <c r="DL91">
        <v>228442.01446282692</v>
      </c>
      <c r="DM91">
        <v>228442.01446282692</v>
      </c>
      <c r="DN91">
        <v>234153.06482439756</v>
      </c>
      <c r="DO91">
        <v>234153.06482439756</v>
      </c>
      <c r="DP91">
        <v>234153.06482439756</v>
      </c>
      <c r="DQ91">
        <v>234153.06482439756</v>
      </c>
      <c r="DR91">
        <v>234153.06482439756</v>
      </c>
      <c r="DS91">
        <v>234153.06482439756</v>
      </c>
      <c r="DT91">
        <v>234153.06482439756</v>
      </c>
      <c r="DU91">
        <v>234153.06482439756</v>
      </c>
      <c r="DV91">
        <v>234153.06482439756</v>
      </c>
      <c r="DW91">
        <v>234153.06482439756</v>
      </c>
      <c r="DX91">
        <v>234153.06482439756</v>
      </c>
      <c r="DY91">
        <v>234153.06482439756</v>
      </c>
    </row>
    <row r="92" spans="3:129">
      <c r="E92" t="str">
        <v>Property N</v>
      </c>
      <c r="G92" t="s">
        <v>128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225537.17597404288</v>
      </c>
      <c r="BV92">
        <v>225537.17597404288</v>
      </c>
      <c r="BW92">
        <v>225537.17597404288</v>
      </c>
      <c r="BX92">
        <v>225537.17597404288</v>
      </c>
      <c r="BY92">
        <v>225537.17597404288</v>
      </c>
      <c r="BZ92">
        <v>225537.17597404288</v>
      </c>
      <c r="CA92">
        <v>225537.17597404288</v>
      </c>
      <c r="CB92">
        <v>225537.17597404288</v>
      </c>
      <c r="CC92">
        <v>225537.17597404288</v>
      </c>
      <c r="CD92">
        <v>231175.60537339392</v>
      </c>
      <c r="CE92">
        <v>231175.60537339392</v>
      </c>
      <c r="CF92">
        <v>231175.60537339392</v>
      </c>
      <c r="CG92">
        <v>231175.60537339392</v>
      </c>
      <c r="CH92">
        <v>231175.60537339392</v>
      </c>
      <c r="CI92">
        <v>231175.60537339392</v>
      </c>
      <c r="CJ92">
        <v>231175.60537339392</v>
      </c>
      <c r="CK92">
        <v>231175.60537339392</v>
      </c>
      <c r="CL92">
        <v>231175.60537339392</v>
      </c>
      <c r="CM92">
        <v>231175.60537339392</v>
      </c>
      <c r="CN92">
        <v>231175.60537339392</v>
      </c>
      <c r="CO92">
        <v>231175.60537339392</v>
      </c>
      <c r="CP92">
        <v>236954.99550772874</v>
      </c>
      <c r="CQ92">
        <v>236954.99550772874</v>
      </c>
      <c r="CR92">
        <v>236954.99550772874</v>
      </c>
      <c r="CS92">
        <v>236954.99550772874</v>
      </c>
      <c r="CT92">
        <v>236954.99550772874</v>
      </c>
      <c r="CU92">
        <v>236954.99550772874</v>
      </c>
      <c r="CV92">
        <v>236954.99550772874</v>
      </c>
      <c r="CW92">
        <v>236954.99550772874</v>
      </c>
      <c r="CX92">
        <v>236954.99550772874</v>
      </c>
      <c r="CY92">
        <v>236954.99550772874</v>
      </c>
      <c r="CZ92">
        <v>236954.99550772874</v>
      </c>
      <c r="DA92">
        <v>236954.99550772874</v>
      </c>
      <c r="DB92">
        <v>242878.87039542192</v>
      </c>
      <c r="DC92">
        <v>242878.87039542192</v>
      </c>
      <c r="DD92">
        <v>242878.87039542192</v>
      </c>
      <c r="DE92">
        <v>242878.87039542192</v>
      </c>
      <c r="DF92">
        <v>242878.87039542192</v>
      </c>
      <c r="DG92">
        <v>242878.87039542192</v>
      </c>
      <c r="DH92">
        <v>242878.87039542192</v>
      </c>
      <c r="DI92">
        <v>242878.87039542192</v>
      </c>
      <c r="DJ92">
        <v>242878.87039542192</v>
      </c>
      <c r="DK92">
        <v>242878.87039542192</v>
      </c>
      <c r="DL92">
        <v>242878.87039542192</v>
      </c>
      <c r="DM92">
        <v>242878.87039542192</v>
      </c>
      <c r="DN92">
        <v>248950.84215530744</v>
      </c>
      <c r="DO92">
        <v>248950.84215530744</v>
      </c>
      <c r="DP92">
        <v>248950.84215530744</v>
      </c>
      <c r="DQ92">
        <v>248950.84215530744</v>
      </c>
      <c r="DR92">
        <v>248950.84215530744</v>
      </c>
      <c r="DS92">
        <v>248950.84215530744</v>
      </c>
      <c r="DT92">
        <v>248950.84215530744</v>
      </c>
      <c r="DU92">
        <v>248950.84215530744</v>
      </c>
      <c r="DV92">
        <v>248950.84215530744</v>
      </c>
      <c r="DW92">
        <v>248950.84215530744</v>
      </c>
      <c r="DX92">
        <v>248950.84215530744</v>
      </c>
      <c r="DY92">
        <v>248950.84215530744</v>
      </c>
    </row>
    <row r="93" spans="3:129">
      <c r="E93" t="str">
        <v>Property O</v>
      </c>
      <c r="G93" t="s">
        <v>128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276099.80900812487</v>
      </c>
      <c r="CD93">
        <v>283002.30423332797</v>
      </c>
      <c r="CE93">
        <v>283002.30423332797</v>
      </c>
      <c r="CF93">
        <v>283002.30423332797</v>
      </c>
      <c r="CG93">
        <v>283002.30423332797</v>
      </c>
      <c r="CH93">
        <v>283002.30423332797</v>
      </c>
      <c r="CI93">
        <v>283002.30423332797</v>
      </c>
      <c r="CJ93">
        <v>283002.30423332797</v>
      </c>
      <c r="CK93">
        <v>283002.30423332797</v>
      </c>
      <c r="CL93">
        <v>283002.30423332797</v>
      </c>
      <c r="CM93">
        <v>283002.30423332797</v>
      </c>
      <c r="CN93">
        <v>283002.30423332797</v>
      </c>
      <c r="CO93">
        <v>283002.30423332797</v>
      </c>
      <c r="CP93">
        <v>290077.36183916114</v>
      </c>
      <c r="CQ93">
        <v>290077.36183916114</v>
      </c>
      <c r="CR93">
        <v>290077.36183916114</v>
      </c>
      <c r="CS93">
        <v>290077.36183916114</v>
      </c>
      <c r="CT93">
        <v>290077.36183916114</v>
      </c>
      <c r="CU93">
        <v>290077.36183916114</v>
      </c>
      <c r="CV93">
        <v>290077.36183916114</v>
      </c>
      <c r="CW93">
        <v>290077.36183916114</v>
      </c>
      <c r="CX93">
        <v>290077.36183916114</v>
      </c>
      <c r="CY93">
        <v>290077.36183916114</v>
      </c>
      <c r="CZ93">
        <v>290077.36183916114</v>
      </c>
      <c r="DA93">
        <v>290077.36183916114</v>
      </c>
      <c r="DB93">
        <v>297329.29588514013</v>
      </c>
      <c r="DC93">
        <v>297329.29588514013</v>
      </c>
      <c r="DD93">
        <v>297329.29588514013</v>
      </c>
      <c r="DE93">
        <v>297329.29588514013</v>
      </c>
      <c r="DF93">
        <v>297329.29588514013</v>
      </c>
      <c r="DG93">
        <v>297329.29588514013</v>
      </c>
      <c r="DH93">
        <v>297329.29588514013</v>
      </c>
      <c r="DI93">
        <v>297329.29588514013</v>
      </c>
      <c r="DJ93">
        <v>297329.29588514013</v>
      </c>
      <c r="DK93">
        <v>297329.29588514013</v>
      </c>
      <c r="DL93">
        <v>297329.29588514013</v>
      </c>
      <c r="DM93">
        <v>297329.29588514013</v>
      </c>
      <c r="DN93">
        <v>304762.52828226861</v>
      </c>
      <c r="DO93">
        <v>304762.52828226861</v>
      </c>
      <c r="DP93">
        <v>304762.52828226861</v>
      </c>
      <c r="DQ93">
        <v>304762.52828226861</v>
      </c>
      <c r="DR93">
        <v>304762.52828226861</v>
      </c>
      <c r="DS93">
        <v>304762.52828226861</v>
      </c>
      <c r="DT93">
        <v>304762.52828226861</v>
      </c>
      <c r="DU93">
        <v>304762.52828226861</v>
      </c>
      <c r="DV93">
        <v>304762.52828226861</v>
      </c>
      <c r="DW93">
        <v>304762.52828226861</v>
      </c>
      <c r="DX93">
        <v>304762.52828226861</v>
      </c>
      <c r="DY93">
        <v>304762.52828226861</v>
      </c>
    </row>
    <row r="94" spans="3:129">
      <c r="E94" s="94" t="s">
        <v>150</v>
      </c>
      <c r="F94" s="96"/>
      <c r="G94" s="94" t="s">
        <v>128</v>
      </c>
      <c r="H94" s="94"/>
      <c r="I94" s="94"/>
      <c r="J94" s="94" cm="1">
        <f t="array" ref="J94:DY94">_xlfn.BYCOL(_xlfn.ANCHORARRAY( J84), _xleta.SUM )</f>
        <v>0</v>
      </c>
      <c r="K94" s="94">
        <v>0</v>
      </c>
      <c r="L94" s="94">
        <v>0</v>
      </c>
      <c r="M94" s="94">
        <v>0</v>
      </c>
      <c r="N94" s="94">
        <v>0</v>
      </c>
      <c r="O94" s="94">
        <v>0</v>
      </c>
      <c r="P94" s="94">
        <v>0</v>
      </c>
      <c r="Q94" s="94">
        <v>0</v>
      </c>
      <c r="R94" s="94">
        <v>0</v>
      </c>
      <c r="S94" s="94">
        <v>0</v>
      </c>
      <c r="T94" s="94">
        <v>0</v>
      </c>
      <c r="U94" s="94">
        <v>0</v>
      </c>
      <c r="V94" s="94">
        <v>0</v>
      </c>
      <c r="W94" s="94">
        <v>0</v>
      </c>
      <c r="X94" s="94">
        <v>0</v>
      </c>
      <c r="Y94" s="94">
        <v>0</v>
      </c>
      <c r="Z94" s="94">
        <v>0</v>
      </c>
      <c r="AA94" s="94">
        <v>0</v>
      </c>
      <c r="AB94" s="94">
        <v>0</v>
      </c>
      <c r="AC94" s="94">
        <v>143956.63749999998</v>
      </c>
      <c r="AD94" s="94">
        <v>264673.44999999995</v>
      </c>
      <c r="AE94" s="94">
        <v>264673.44999999995</v>
      </c>
      <c r="AF94" s="94">
        <v>264673.44999999995</v>
      </c>
      <c r="AG94" s="94">
        <v>264673.44999999995</v>
      </c>
      <c r="AH94" s="94">
        <v>271290.28624999995</v>
      </c>
      <c r="AI94" s="94">
        <v>415798.23921874992</v>
      </c>
      <c r="AJ94" s="94">
        <v>415798.23921874992</v>
      </c>
      <c r="AK94" s="94">
        <v>415798.23921874992</v>
      </c>
      <c r="AL94" s="94">
        <v>415798.23921874992</v>
      </c>
      <c r="AM94" s="94">
        <v>415798.23921874992</v>
      </c>
      <c r="AN94" s="94">
        <v>415798.23921874992</v>
      </c>
      <c r="AO94" s="94">
        <v>415798.23921874992</v>
      </c>
      <c r="AP94" s="94">
        <v>415798.23921874992</v>
      </c>
      <c r="AQ94" s="94">
        <v>708572.49343749997</v>
      </c>
      <c r="AR94" s="94">
        <v>708572.49343749997</v>
      </c>
      <c r="AS94" s="94">
        <v>887077.88343749999</v>
      </c>
      <c r="AT94" s="94">
        <v>909254.83052343735</v>
      </c>
      <c r="AU94" s="94">
        <v>909254.83052343735</v>
      </c>
      <c r="AV94" s="94">
        <v>909254.83052343735</v>
      </c>
      <c r="AW94" s="94">
        <v>909254.83052343735</v>
      </c>
      <c r="AX94" s="94">
        <v>909254.83052343735</v>
      </c>
      <c r="AY94" s="94">
        <v>909254.83052343735</v>
      </c>
      <c r="AZ94" s="94">
        <v>909254.83052343735</v>
      </c>
      <c r="BA94" s="94">
        <v>909254.83052343735</v>
      </c>
      <c r="BB94" s="94">
        <v>909254.83052343735</v>
      </c>
      <c r="BC94" s="94">
        <v>909254.83052343735</v>
      </c>
      <c r="BD94" s="94">
        <v>909254.83052343735</v>
      </c>
      <c r="BE94" s="94">
        <v>909254.83052343735</v>
      </c>
      <c r="BF94" s="94">
        <v>931986.20128652314</v>
      </c>
      <c r="BG94" s="94">
        <v>931986.20128652314</v>
      </c>
      <c r="BH94" s="94">
        <v>1420528.267612695</v>
      </c>
      <c r="BI94" s="94">
        <v>1420528.267612695</v>
      </c>
      <c r="BJ94" s="94">
        <v>1420528.267612695</v>
      </c>
      <c r="BK94" s="94">
        <v>1420528.267612695</v>
      </c>
      <c r="BL94" s="94">
        <v>1420528.267612695</v>
      </c>
      <c r="BM94" s="94">
        <v>1420528.267612695</v>
      </c>
      <c r="BN94" s="94">
        <v>1420528.267612695</v>
      </c>
      <c r="BO94" s="94">
        <v>1420528.267612695</v>
      </c>
      <c r="BP94" s="94">
        <v>1420528.267612695</v>
      </c>
      <c r="BQ94" s="94">
        <v>1420528.267612695</v>
      </c>
      <c r="BR94" s="94">
        <v>1456041.4743030122</v>
      </c>
      <c r="BS94" s="94">
        <v>1456041.4743030122</v>
      </c>
      <c r="BT94" s="94">
        <v>1456041.4743030122</v>
      </c>
      <c r="BU94" s="94">
        <v>1681578.6502770551</v>
      </c>
      <c r="BV94" s="94">
        <v>1681578.6502770551</v>
      </c>
      <c r="BW94" s="94">
        <v>1681578.6502770551</v>
      </c>
      <c r="BX94" s="94">
        <v>1681578.6502770551</v>
      </c>
      <c r="BY94" s="94">
        <v>1681578.6502770551</v>
      </c>
      <c r="BZ94" s="94">
        <v>1681578.6502770551</v>
      </c>
      <c r="CA94" s="94">
        <v>1681578.6502770551</v>
      </c>
      <c r="CB94" s="94">
        <v>1681578.6502770551</v>
      </c>
      <c r="CC94" s="94">
        <v>1957678.4592851801</v>
      </c>
      <c r="CD94" s="94">
        <v>2006620.4207673091</v>
      </c>
      <c r="CE94" s="94">
        <v>2006620.4207673091</v>
      </c>
      <c r="CF94" s="94">
        <v>2006620.4207673091</v>
      </c>
      <c r="CG94" s="94">
        <v>2006620.4207673091</v>
      </c>
      <c r="CH94" s="94">
        <v>2006620.4207673091</v>
      </c>
      <c r="CI94" s="94">
        <v>2006620.4207673091</v>
      </c>
      <c r="CJ94" s="94">
        <v>2006620.4207673091</v>
      </c>
      <c r="CK94" s="94">
        <v>2006620.4207673091</v>
      </c>
      <c r="CL94" s="94">
        <v>2006620.4207673091</v>
      </c>
      <c r="CM94" s="94">
        <v>2006620.4207673091</v>
      </c>
      <c r="CN94" s="94">
        <v>2006620.4207673091</v>
      </c>
      <c r="CO94" s="94">
        <v>2006620.4207673091</v>
      </c>
      <c r="CP94" s="94">
        <v>2056785.9312864915</v>
      </c>
      <c r="CQ94" s="94">
        <v>2056785.9312864915</v>
      </c>
      <c r="CR94" s="94">
        <v>2056785.9312864915</v>
      </c>
      <c r="CS94" s="94">
        <v>2056785.9312864915</v>
      </c>
      <c r="CT94" s="94">
        <v>2056785.9312864915</v>
      </c>
      <c r="CU94" s="94">
        <v>2056785.9312864915</v>
      </c>
      <c r="CV94" s="94">
        <v>2056785.9312864915</v>
      </c>
      <c r="CW94" s="94">
        <v>2056785.9312864915</v>
      </c>
      <c r="CX94" s="94">
        <v>2056785.9312864915</v>
      </c>
      <c r="CY94" s="94">
        <v>2056785.9312864915</v>
      </c>
      <c r="CZ94" s="94">
        <v>2056785.9312864915</v>
      </c>
      <c r="DA94" s="94">
        <v>2056785.9312864915</v>
      </c>
      <c r="DB94" s="94">
        <v>2108205.5795686538</v>
      </c>
      <c r="DC94" s="94">
        <v>2108205.5795686538</v>
      </c>
      <c r="DD94" s="94">
        <v>2108205.5795686538</v>
      </c>
      <c r="DE94" s="94">
        <v>2108205.5795686538</v>
      </c>
      <c r="DF94" s="94">
        <v>2108205.5795686538</v>
      </c>
      <c r="DG94" s="94">
        <v>2108205.5795686538</v>
      </c>
      <c r="DH94" s="94">
        <v>2108205.5795686538</v>
      </c>
      <c r="DI94" s="94">
        <v>2108205.5795686538</v>
      </c>
      <c r="DJ94" s="94">
        <v>2108205.5795686538</v>
      </c>
      <c r="DK94" s="94">
        <v>2108205.5795686538</v>
      </c>
      <c r="DL94" s="94">
        <v>2108205.5795686538</v>
      </c>
      <c r="DM94" s="94">
        <v>2108205.5795686538</v>
      </c>
      <c r="DN94" s="94">
        <v>2160910.7190578696</v>
      </c>
      <c r="DO94" s="94">
        <v>2160910.7190578696</v>
      </c>
      <c r="DP94" s="94">
        <v>2160910.7190578696</v>
      </c>
      <c r="DQ94" s="94">
        <v>2160910.7190578696</v>
      </c>
      <c r="DR94" s="94">
        <v>2160910.7190578696</v>
      </c>
      <c r="DS94" s="94">
        <v>2160910.7190578696</v>
      </c>
      <c r="DT94" s="94">
        <v>2160910.7190578696</v>
      </c>
      <c r="DU94" s="94">
        <v>2160910.7190578696</v>
      </c>
      <c r="DV94" s="94">
        <v>2160910.7190578696</v>
      </c>
      <c r="DW94" s="94">
        <v>2160910.7190578696</v>
      </c>
      <c r="DX94" s="94">
        <v>2160910.7190578696</v>
      </c>
      <c r="DY94" s="94">
        <v>2160910.7190578696</v>
      </c>
    </row>
    <row r="97" spans="1:129" s="81" customFormat="1">
      <c r="A97" s="82" t="s">
        <v>138</v>
      </c>
    </row>
    <row r="99" spans="1:129">
      <c r="E99" t="s">
        <v>139</v>
      </c>
      <c r="G99" t="s">
        <v>128</v>
      </c>
      <c r="J99" cm="1">
        <f t="array" ref="J99:DY99" xml:space="preserve"> _xlfn.LET(
      _xlpm.timeline,_xlfn.ANCHORARRAY(          $J$3),
      _xlpm.inflation_flag,    IF( MONTH( _xlpm.timeline ) = 1, 1, 0  ),
      _xlpm.inflation_data,    CaseData!$J$15:$M$24,
      _xlpm.annual_rate,       _xlfn.XLOOKUP( YEAR( _xlpm.timeline ), INDEX( _xlpm.inflation_data,, 1 ), INDEX( _xlpm.inflation_data,, 2 ) ),
      _xlpm.effective_step,    _xlpm.inflation_flag * _xlpm.annual_rate,
      _xlpm.inflation_factor,  _xlfn.SCAN( 1, _xlpm.effective_step, _xlfn.LAMBDA(_xlpm.prev,_xlpm.step, IF( _xlpm.step = 0, _xlpm.prev, _xlpm.prev * ( 1 + _xlpm.step ) ) ) ),
      _xlpm.property_data,     CaseData!$A$6:$D$10,
      _xlpm.total_rent,        SUM( INDEX( _xlpm.property_data,, 2 ) ),
      _xlpm.total_rent * _xlpm.inflation_factor )</f>
        <v>3376800</v>
      </c>
      <c r="K99">
        <v>3376800</v>
      </c>
      <c r="L99">
        <v>3376800</v>
      </c>
      <c r="M99">
        <v>3376800</v>
      </c>
      <c r="N99">
        <v>3376800</v>
      </c>
      <c r="O99">
        <v>3376800</v>
      </c>
      <c r="P99">
        <v>3376800</v>
      </c>
      <c r="Q99">
        <v>3376800</v>
      </c>
      <c r="R99">
        <v>3376800</v>
      </c>
      <c r="S99">
        <v>3376800</v>
      </c>
      <c r="T99">
        <v>3376800</v>
      </c>
      <c r="U99">
        <v>3376800</v>
      </c>
      <c r="V99">
        <v>3528756</v>
      </c>
      <c r="W99">
        <v>3528756</v>
      </c>
      <c r="X99">
        <v>3528756</v>
      </c>
      <c r="Y99">
        <v>3528756</v>
      </c>
      <c r="Z99">
        <v>3528756</v>
      </c>
      <c r="AA99">
        <v>3528756</v>
      </c>
      <c r="AB99">
        <v>3528756</v>
      </c>
      <c r="AC99">
        <v>3528756</v>
      </c>
      <c r="AD99">
        <v>3528756</v>
      </c>
      <c r="AE99">
        <v>3528756</v>
      </c>
      <c r="AF99">
        <v>3528756</v>
      </c>
      <c r="AG99">
        <v>3528756</v>
      </c>
      <c r="AH99">
        <v>3669906.24</v>
      </c>
      <c r="AI99">
        <v>3669906.24</v>
      </c>
      <c r="AJ99">
        <v>3669906.24</v>
      </c>
      <c r="AK99">
        <v>3669906.24</v>
      </c>
      <c r="AL99">
        <v>3669906.24</v>
      </c>
      <c r="AM99">
        <v>3669906.24</v>
      </c>
      <c r="AN99">
        <v>3669906.24</v>
      </c>
      <c r="AO99">
        <v>3669906.24</v>
      </c>
      <c r="AP99">
        <v>3669906.24</v>
      </c>
      <c r="AQ99">
        <v>3669906.24</v>
      </c>
      <c r="AR99">
        <v>3669906.24</v>
      </c>
      <c r="AS99">
        <v>3669906.24</v>
      </c>
      <c r="AT99">
        <v>3798352.9583999994</v>
      </c>
      <c r="AU99">
        <v>3798352.9583999994</v>
      </c>
      <c r="AV99">
        <v>3798352.9583999994</v>
      </c>
      <c r="AW99">
        <v>3798352.9583999994</v>
      </c>
      <c r="AX99">
        <v>3798352.9583999994</v>
      </c>
      <c r="AY99">
        <v>3798352.9583999994</v>
      </c>
      <c r="AZ99">
        <v>3798352.9583999994</v>
      </c>
      <c r="BA99">
        <v>3798352.9583999994</v>
      </c>
      <c r="BB99">
        <v>3798352.9583999994</v>
      </c>
      <c r="BC99">
        <v>3798352.9583999994</v>
      </c>
      <c r="BD99">
        <v>3798352.9583999994</v>
      </c>
      <c r="BE99">
        <v>3798352.9583999994</v>
      </c>
      <c r="BF99">
        <v>3912303.547152</v>
      </c>
      <c r="BG99">
        <v>3912303.547152</v>
      </c>
      <c r="BH99">
        <v>3912303.547152</v>
      </c>
      <c r="BI99">
        <v>3912303.547152</v>
      </c>
      <c r="BJ99">
        <v>3912303.547152</v>
      </c>
      <c r="BK99">
        <v>3912303.547152</v>
      </c>
      <c r="BL99">
        <v>3912303.547152</v>
      </c>
      <c r="BM99">
        <v>3912303.547152</v>
      </c>
      <c r="BN99">
        <v>3912303.547152</v>
      </c>
      <c r="BO99">
        <v>3912303.547152</v>
      </c>
      <c r="BP99">
        <v>3912303.547152</v>
      </c>
      <c r="BQ99">
        <v>3912303.547152</v>
      </c>
      <c r="BR99">
        <v>4010111.1358307996</v>
      </c>
      <c r="BS99">
        <v>4010111.1358307996</v>
      </c>
      <c r="BT99">
        <v>4010111.1358307996</v>
      </c>
      <c r="BU99">
        <v>4010111.1358307996</v>
      </c>
      <c r="BV99">
        <v>4010111.1358307996</v>
      </c>
      <c r="BW99">
        <v>4010111.1358307996</v>
      </c>
      <c r="BX99">
        <v>4010111.1358307996</v>
      </c>
      <c r="BY99">
        <v>4010111.1358307996</v>
      </c>
      <c r="BZ99">
        <v>4010111.1358307996</v>
      </c>
      <c r="CA99">
        <v>4010111.1358307996</v>
      </c>
      <c r="CB99">
        <v>4010111.1358307996</v>
      </c>
      <c r="CC99">
        <v>4010111.1358307996</v>
      </c>
      <c r="CD99">
        <v>4110363.9142265688</v>
      </c>
      <c r="CE99">
        <v>4110363.9142265688</v>
      </c>
      <c r="CF99">
        <v>4110363.9142265688</v>
      </c>
      <c r="CG99">
        <v>4110363.9142265688</v>
      </c>
      <c r="CH99">
        <v>4110363.9142265688</v>
      </c>
      <c r="CI99">
        <v>4110363.9142265688</v>
      </c>
      <c r="CJ99">
        <v>4110363.9142265688</v>
      </c>
      <c r="CK99">
        <v>4110363.9142265688</v>
      </c>
      <c r="CL99">
        <v>4110363.9142265688</v>
      </c>
      <c r="CM99">
        <v>4110363.9142265688</v>
      </c>
      <c r="CN99">
        <v>4110363.9142265688</v>
      </c>
      <c r="CO99">
        <v>4110363.9142265688</v>
      </c>
      <c r="CP99">
        <v>4213123.0120822331</v>
      </c>
      <c r="CQ99">
        <v>4213123.0120822331</v>
      </c>
      <c r="CR99">
        <v>4213123.0120822331</v>
      </c>
      <c r="CS99">
        <v>4213123.0120822331</v>
      </c>
      <c r="CT99">
        <v>4213123.0120822331</v>
      </c>
      <c r="CU99">
        <v>4213123.0120822331</v>
      </c>
      <c r="CV99">
        <v>4213123.0120822331</v>
      </c>
      <c r="CW99">
        <v>4213123.0120822331</v>
      </c>
      <c r="CX99">
        <v>4213123.0120822331</v>
      </c>
      <c r="CY99">
        <v>4213123.0120822331</v>
      </c>
      <c r="CZ99">
        <v>4213123.0120822331</v>
      </c>
      <c r="DA99">
        <v>4213123.0120822331</v>
      </c>
      <c r="DB99">
        <v>4318451.0873842882</v>
      </c>
      <c r="DC99">
        <v>4318451.0873842882</v>
      </c>
      <c r="DD99">
        <v>4318451.0873842882</v>
      </c>
      <c r="DE99">
        <v>4318451.0873842882</v>
      </c>
      <c r="DF99">
        <v>4318451.0873842882</v>
      </c>
      <c r="DG99">
        <v>4318451.0873842882</v>
      </c>
      <c r="DH99">
        <v>4318451.0873842882</v>
      </c>
      <c r="DI99">
        <v>4318451.0873842882</v>
      </c>
      <c r="DJ99">
        <v>4318451.0873842882</v>
      </c>
      <c r="DK99">
        <v>4318451.0873842882</v>
      </c>
      <c r="DL99">
        <v>4318451.0873842882</v>
      </c>
      <c r="DM99">
        <v>4318451.0873842882</v>
      </c>
      <c r="DN99">
        <v>4426412.3645688947</v>
      </c>
      <c r="DO99">
        <v>4426412.3645688947</v>
      </c>
      <c r="DP99">
        <v>4426412.3645688947</v>
      </c>
      <c r="DQ99">
        <v>4426412.3645688947</v>
      </c>
      <c r="DR99">
        <v>4426412.3645688947</v>
      </c>
      <c r="DS99">
        <v>4426412.3645688947</v>
      </c>
      <c r="DT99">
        <v>4426412.3645688947</v>
      </c>
      <c r="DU99">
        <v>4426412.3645688947</v>
      </c>
      <c r="DV99">
        <v>4426412.3645688947</v>
      </c>
      <c r="DW99">
        <v>4426412.3645688947</v>
      </c>
      <c r="DX99">
        <v>4426412.3645688947</v>
      </c>
      <c r="DY99">
        <v>4426412.3645688947</v>
      </c>
    </row>
    <row r="100" spans="1:129">
      <c r="E100" t="s">
        <v>140</v>
      </c>
      <c r="G100" t="s">
        <v>128</v>
      </c>
      <c r="J100" cm="1">
        <f t="array" ref="J100:DY100" xml:space="preserve"> _xlfn.LET(
      _xlpm.timeline,_xlfn.ANCHORARRAY(          $J$3),
      _xlpm.property_data,     CaseData!$A$15:$H$24,
      _xlpm.property_rows,     INDEX( _xlpm.property_data, 0, 1 ),
      _xlpm.purchase_date,     INDEX( _xlpm.property_data,, 6 ),
      _xlpm.prep_months,       INDEX( _xlpm.property_data,, 7 ),
      _xlpm.const_months,      INDEX( _xlpm.property_data,, 8 ),
      _xlpm.delay,             IF( $F$9 = 0, 0, 12 ),
      _xlpm.operation_start,   _xlfn.MAKEARRAY( ROWS( _xlpm.property_data ), 1,
                             _xlfn.LAMBDA(_xlpm.r,_xlpm.c, EOMONTH( INDEX( _xlpm.purchase_date, _xlpm.r ), INDEX( _xlpm.prep_months, _xlpm.r ) + INDEX( _xlpm.const_months, _xlpm.r ) + _xlpm.delay ) ) ),
      _xlpm.operation_flag,    _xlfn.MAKEARRAY( ROWS( _xlpm.property_data ), COLUMNS( _xlpm.timeline ),
                             _xlfn.LAMBDA(_xlpm.r,_xlpm.c, IF( INDEX( _xlpm.timeline,, _xlpm.c ) &gt;= INDEX( _xlpm.operation_start, _xlpm.r, 1 ), 1, 0  ) ) ),
      _xlpm.inflation_flag,    IF( MONTH( _xlpm.timeline ) = 1, 1, 0  ),
      _xlpm.inflation_data,    CaseData!$J$15:$M$24,
      _xlpm.annual_rate,       _xlfn.XLOOKUP( YEAR( _xlpm.timeline ), INDEX( _xlpm.inflation_data,, 1 ), INDEX( _xlpm.inflation_data,, 2 ) ),
      _xlpm.effective_step,    _xlpm.inflation_flag * _xlpm.annual_rate,
      _xlpm.inflation_factor,  _xlfn.SCAN( 1, _xlpm.effective_step, _xlfn.LAMBDA(_xlpm.prev,_xlpm.step, IF( _xlpm.step = 0, _xlpm.prev, _xlpm.prev * ( 1 + _xlpm.step ) ) ) ),
      _xlpm.rent,              INDEX( _xlpm.property_data,, 2 ),
      _xlpm.total_rent,        _xlfn.BYCOL( _xlpm.operation_flag * _xlpm.rent, _xleta.SUM ),
      _xlpm.total_rent * _xlpm.inflation_factor )</f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484984.5</v>
      </c>
      <c r="AD100">
        <v>905231.25</v>
      </c>
      <c r="AE100">
        <v>905231.25</v>
      </c>
      <c r="AF100">
        <v>905231.25</v>
      </c>
      <c r="AG100">
        <v>905231.25</v>
      </c>
      <c r="AH100">
        <v>941440.5</v>
      </c>
      <c r="AI100">
        <v>1508587.08</v>
      </c>
      <c r="AJ100">
        <v>1508587.08</v>
      </c>
      <c r="AK100">
        <v>1508587.08</v>
      </c>
      <c r="AL100">
        <v>1508587.08</v>
      </c>
      <c r="AM100">
        <v>1508587.08</v>
      </c>
      <c r="AN100">
        <v>1508587.08</v>
      </c>
      <c r="AO100">
        <v>1508587.08</v>
      </c>
      <c r="AP100">
        <v>1508587.08</v>
      </c>
      <c r="AQ100">
        <v>2601799.2000000002</v>
      </c>
      <c r="AR100">
        <v>2601799.2000000002</v>
      </c>
      <c r="AS100">
        <v>3277354.08</v>
      </c>
      <c r="AT100">
        <v>3392061.4727999996</v>
      </c>
      <c r="AU100">
        <v>3392061.4727999996</v>
      </c>
      <c r="AV100">
        <v>3392061.4727999996</v>
      </c>
      <c r="AW100">
        <v>3392061.4727999996</v>
      </c>
      <c r="AX100">
        <v>3392061.4727999996</v>
      </c>
      <c r="AY100">
        <v>3392061.4727999996</v>
      </c>
      <c r="AZ100">
        <v>3392061.4727999996</v>
      </c>
      <c r="BA100">
        <v>3392061.4727999996</v>
      </c>
      <c r="BB100">
        <v>3392061.4727999996</v>
      </c>
      <c r="BC100">
        <v>3392061.4727999996</v>
      </c>
      <c r="BD100">
        <v>3392061.4727999996</v>
      </c>
      <c r="BE100">
        <v>3392061.4727999996</v>
      </c>
      <c r="BF100">
        <v>3493823.3169839997</v>
      </c>
      <c r="BG100">
        <v>3493823.3169839997</v>
      </c>
      <c r="BH100">
        <v>5038793.9341740003</v>
      </c>
      <c r="BI100">
        <v>5038793.9341740003</v>
      </c>
      <c r="BJ100">
        <v>5038793.9341740003</v>
      </c>
      <c r="BK100">
        <v>5038793.9341740003</v>
      </c>
      <c r="BL100">
        <v>5038793.9341740003</v>
      </c>
      <c r="BM100">
        <v>5038793.9341740003</v>
      </c>
      <c r="BN100">
        <v>5038793.9341740003</v>
      </c>
      <c r="BO100">
        <v>5038793.9341740003</v>
      </c>
      <c r="BP100">
        <v>5038793.9341740003</v>
      </c>
      <c r="BQ100">
        <v>5038793.9341740003</v>
      </c>
      <c r="BR100">
        <v>5164763.7825283492</v>
      </c>
      <c r="BS100">
        <v>5164763.7825283492</v>
      </c>
      <c r="BT100">
        <v>5164763.7825283492</v>
      </c>
      <c r="BU100">
        <v>6097463.7606382491</v>
      </c>
      <c r="BV100">
        <v>6097463.7606382491</v>
      </c>
      <c r="BW100">
        <v>6097463.7606382491</v>
      </c>
      <c r="BX100">
        <v>6097463.7606382491</v>
      </c>
      <c r="BY100">
        <v>6097463.7606382491</v>
      </c>
      <c r="BZ100">
        <v>6097463.7606382491</v>
      </c>
      <c r="CA100">
        <v>6097463.7606382491</v>
      </c>
      <c r="CB100">
        <v>6097463.7606382491</v>
      </c>
      <c r="CC100">
        <v>7055102.2408366492</v>
      </c>
      <c r="CD100">
        <v>7231479.7968575647</v>
      </c>
      <c r="CE100">
        <v>7231479.7968575647</v>
      </c>
      <c r="CF100">
        <v>7231479.7968575647</v>
      </c>
      <c r="CG100">
        <v>7231479.7968575647</v>
      </c>
      <c r="CH100">
        <v>7231479.7968575647</v>
      </c>
      <c r="CI100">
        <v>7231479.7968575647</v>
      </c>
      <c r="CJ100">
        <v>7231479.7968575647</v>
      </c>
      <c r="CK100">
        <v>7231479.7968575647</v>
      </c>
      <c r="CL100">
        <v>7231479.7968575647</v>
      </c>
      <c r="CM100">
        <v>7231479.7968575647</v>
      </c>
      <c r="CN100">
        <v>7231479.7968575647</v>
      </c>
      <c r="CO100">
        <v>7231479.7968575647</v>
      </c>
      <c r="CP100">
        <v>7412266.7917790031</v>
      </c>
      <c r="CQ100">
        <v>7412266.7917790031</v>
      </c>
      <c r="CR100">
        <v>7412266.7917790031</v>
      </c>
      <c r="CS100">
        <v>7412266.7917790031</v>
      </c>
      <c r="CT100">
        <v>7412266.7917790031</v>
      </c>
      <c r="CU100">
        <v>7412266.7917790031</v>
      </c>
      <c r="CV100">
        <v>7412266.7917790031</v>
      </c>
      <c r="CW100">
        <v>7412266.7917790031</v>
      </c>
      <c r="CX100">
        <v>7412266.7917790031</v>
      </c>
      <c r="CY100">
        <v>7412266.7917790031</v>
      </c>
      <c r="CZ100">
        <v>7412266.7917790031</v>
      </c>
      <c r="DA100">
        <v>7412266.7917790031</v>
      </c>
      <c r="DB100">
        <v>7597573.4615734769</v>
      </c>
      <c r="DC100">
        <v>7597573.4615734769</v>
      </c>
      <c r="DD100">
        <v>7597573.4615734769</v>
      </c>
      <c r="DE100">
        <v>7597573.4615734769</v>
      </c>
      <c r="DF100">
        <v>7597573.4615734769</v>
      </c>
      <c r="DG100">
        <v>7597573.4615734769</v>
      </c>
      <c r="DH100">
        <v>7597573.4615734769</v>
      </c>
      <c r="DI100">
        <v>7597573.4615734769</v>
      </c>
      <c r="DJ100">
        <v>7597573.4615734769</v>
      </c>
      <c r="DK100">
        <v>7597573.4615734769</v>
      </c>
      <c r="DL100">
        <v>7597573.4615734769</v>
      </c>
      <c r="DM100">
        <v>7597573.4615734769</v>
      </c>
      <c r="DN100">
        <v>7787512.7981128134</v>
      </c>
      <c r="DO100">
        <v>7787512.7981128134</v>
      </c>
      <c r="DP100">
        <v>7787512.7981128134</v>
      </c>
      <c r="DQ100">
        <v>7787512.7981128134</v>
      </c>
      <c r="DR100">
        <v>7787512.7981128134</v>
      </c>
      <c r="DS100">
        <v>7787512.7981128134</v>
      </c>
      <c r="DT100">
        <v>7787512.7981128134</v>
      </c>
      <c r="DU100">
        <v>7787512.7981128134</v>
      </c>
      <c r="DV100">
        <v>7787512.7981128134</v>
      </c>
      <c r="DW100">
        <v>7787512.7981128134</v>
      </c>
      <c r="DX100">
        <v>7787512.7981128134</v>
      </c>
      <c r="DY100">
        <v>7787512.7981128134</v>
      </c>
    </row>
    <row r="101" spans="1:129">
      <c r="E101" s="94" t="s">
        <v>141</v>
      </c>
      <c r="F101" s="94"/>
      <c r="G101" s="94" t="s">
        <v>128</v>
      </c>
      <c r="H101" s="94"/>
      <c r="I101" s="94"/>
      <c r="J101" s="94" cm="1">
        <f t="array" ref="J101:DY101">_xlfn.BYCOL( $J$99:$DY$100, _xleta.SUM )</f>
        <v>3376800</v>
      </c>
      <c r="K101" s="94">
        <v>3376800</v>
      </c>
      <c r="L101" s="94">
        <v>3376800</v>
      </c>
      <c r="M101" s="94">
        <v>3376800</v>
      </c>
      <c r="N101" s="94">
        <v>3376800</v>
      </c>
      <c r="O101" s="94">
        <v>3376800</v>
      </c>
      <c r="P101" s="94">
        <v>3376800</v>
      </c>
      <c r="Q101" s="94">
        <v>3376800</v>
      </c>
      <c r="R101" s="94">
        <v>3376800</v>
      </c>
      <c r="S101" s="94">
        <v>3376800</v>
      </c>
      <c r="T101" s="94">
        <v>3376800</v>
      </c>
      <c r="U101" s="94">
        <v>3376800</v>
      </c>
      <c r="V101" s="94">
        <v>3528756</v>
      </c>
      <c r="W101" s="94">
        <v>3528756</v>
      </c>
      <c r="X101" s="94">
        <v>3528756</v>
      </c>
      <c r="Y101" s="94">
        <v>3528756</v>
      </c>
      <c r="Z101" s="94">
        <v>3528756</v>
      </c>
      <c r="AA101" s="94">
        <v>3528756</v>
      </c>
      <c r="AB101" s="94">
        <v>3528756</v>
      </c>
      <c r="AC101" s="94">
        <v>4013740.5</v>
      </c>
      <c r="AD101" s="94">
        <v>4433987.25</v>
      </c>
      <c r="AE101" s="94">
        <v>4433987.25</v>
      </c>
      <c r="AF101" s="94">
        <v>4433987.25</v>
      </c>
      <c r="AG101" s="94">
        <v>4433987.25</v>
      </c>
      <c r="AH101" s="94">
        <v>4611346.74</v>
      </c>
      <c r="AI101" s="94">
        <v>5178493.32</v>
      </c>
      <c r="AJ101" s="94">
        <v>5178493.32</v>
      </c>
      <c r="AK101" s="94">
        <v>5178493.32</v>
      </c>
      <c r="AL101" s="94">
        <v>5178493.32</v>
      </c>
      <c r="AM101" s="94">
        <v>5178493.32</v>
      </c>
      <c r="AN101" s="94">
        <v>5178493.32</v>
      </c>
      <c r="AO101" s="94">
        <v>5178493.32</v>
      </c>
      <c r="AP101" s="94">
        <v>5178493.32</v>
      </c>
      <c r="AQ101" s="94">
        <v>6271705.4400000004</v>
      </c>
      <c r="AR101" s="94">
        <v>6271705.4400000004</v>
      </c>
      <c r="AS101" s="94">
        <v>6947260.3200000003</v>
      </c>
      <c r="AT101" s="94">
        <v>7190414.4311999995</v>
      </c>
      <c r="AU101" s="94">
        <v>7190414.4311999995</v>
      </c>
      <c r="AV101" s="94">
        <v>7190414.4311999995</v>
      </c>
      <c r="AW101" s="94">
        <v>7190414.4311999995</v>
      </c>
      <c r="AX101" s="94">
        <v>7190414.4311999995</v>
      </c>
      <c r="AY101" s="94">
        <v>7190414.4311999995</v>
      </c>
      <c r="AZ101" s="94">
        <v>7190414.4311999995</v>
      </c>
      <c r="BA101" s="94">
        <v>7190414.4311999995</v>
      </c>
      <c r="BB101" s="94">
        <v>7190414.4311999995</v>
      </c>
      <c r="BC101" s="94">
        <v>7190414.4311999995</v>
      </c>
      <c r="BD101" s="94">
        <v>7190414.4311999995</v>
      </c>
      <c r="BE101" s="94">
        <v>7190414.4311999995</v>
      </c>
      <c r="BF101" s="94">
        <v>7406126.8641359992</v>
      </c>
      <c r="BG101" s="94">
        <v>7406126.8641359992</v>
      </c>
      <c r="BH101" s="94">
        <v>8951097.4813260008</v>
      </c>
      <c r="BI101" s="94">
        <v>8951097.4813260008</v>
      </c>
      <c r="BJ101" s="94">
        <v>8951097.4813260008</v>
      </c>
      <c r="BK101" s="94">
        <v>8951097.4813260008</v>
      </c>
      <c r="BL101" s="94">
        <v>8951097.4813260008</v>
      </c>
      <c r="BM101" s="94">
        <v>8951097.4813260008</v>
      </c>
      <c r="BN101" s="94">
        <v>8951097.4813260008</v>
      </c>
      <c r="BO101" s="94">
        <v>8951097.4813260008</v>
      </c>
      <c r="BP101" s="94">
        <v>8951097.4813260008</v>
      </c>
      <c r="BQ101" s="94">
        <v>8951097.4813260008</v>
      </c>
      <c r="BR101" s="94">
        <v>9174874.9183591492</v>
      </c>
      <c r="BS101" s="94">
        <v>9174874.9183591492</v>
      </c>
      <c r="BT101" s="94">
        <v>9174874.9183591492</v>
      </c>
      <c r="BU101" s="94">
        <v>10107574.896469049</v>
      </c>
      <c r="BV101" s="94">
        <v>10107574.896469049</v>
      </c>
      <c r="BW101" s="94">
        <v>10107574.896469049</v>
      </c>
      <c r="BX101" s="94">
        <v>10107574.896469049</v>
      </c>
      <c r="BY101" s="94">
        <v>10107574.896469049</v>
      </c>
      <c r="BZ101" s="94">
        <v>10107574.896469049</v>
      </c>
      <c r="CA101" s="94">
        <v>10107574.896469049</v>
      </c>
      <c r="CB101" s="94">
        <v>10107574.896469049</v>
      </c>
      <c r="CC101" s="94">
        <v>11065213.376667449</v>
      </c>
      <c r="CD101" s="94">
        <v>11341843.711084133</v>
      </c>
      <c r="CE101" s="94">
        <v>11341843.711084133</v>
      </c>
      <c r="CF101" s="94">
        <v>11341843.711084133</v>
      </c>
      <c r="CG101" s="94">
        <v>11341843.711084133</v>
      </c>
      <c r="CH101" s="94">
        <v>11341843.711084133</v>
      </c>
      <c r="CI101" s="94">
        <v>11341843.711084133</v>
      </c>
      <c r="CJ101" s="94">
        <v>11341843.711084133</v>
      </c>
      <c r="CK101" s="94">
        <v>11341843.711084133</v>
      </c>
      <c r="CL101" s="94">
        <v>11341843.711084133</v>
      </c>
      <c r="CM101" s="94">
        <v>11341843.711084133</v>
      </c>
      <c r="CN101" s="94">
        <v>11341843.711084133</v>
      </c>
      <c r="CO101" s="94">
        <v>11341843.711084133</v>
      </c>
      <c r="CP101" s="94">
        <v>11625389.803861236</v>
      </c>
      <c r="CQ101" s="94">
        <v>11625389.803861236</v>
      </c>
      <c r="CR101" s="94">
        <v>11625389.803861236</v>
      </c>
      <c r="CS101" s="94">
        <v>11625389.803861236</v>
      </c>
      <c r="CT101" s="94">
        <v>11625389.803861236</v>
      </c>
      <c r="CU101" s="94">
        <v>11625389.803861236</v>
      </c>
      <c r="CV101" s="94">
        <v>11625389.803861236</v>
      </c>
      <c r="CW101" s="94">
        <v>11625389.803861236</v>
      </c>
      <c r="CX101" s="94">
        <v>11625389.803861236</v>
      </c>
      <c r="CY101" s="94">
        <v>11625389.803861236</v>
      </c>
      <c r="CZ101" s="94">
        <v>11625389.803861236</v>
      </c>
      <c r="DA101" s="94">
        <v>11625389.803861236</v>
      </c>
      <c r="DB101" s="94">
        <v>11916024.548957765</v>
      </c>
      <c r="DC101" s="94">
        <v>11916024.548957765</v>
      </c>
      <c r="DD101" s="94">
        <v>11916024.548957765</v>
      </c>
      <c r="DE101" s="94">
        <v>11916024.548957765</v>
      </c>
      <c r="DF101" s="94">
        <v>11916024.548957765</v>
      </c>
      <c r="DG101" s="94">
        <v>11916024.548957765</v>
      </c>
      <c r="DH101" s="94">
        <v>11916024.548957765</v>
      </c>
      <c r="DI101" s="94">
        <v>11916024.548957765</v>
      </c>
      <c r="DJ101" s="94">
        <v>11916024.548957765</v>
      </c>
      <c r="DK101" s="94">
        <v>11916024.548957765</v>
      </c>
      <c r="DL101" s="94">
        <v>11916024.548957765</v>
      </c>
      <c r="DM101" s="94">
        <v>11916024.548957765</v>
      </c>
      <c r="DN101" s="94">
        <v>12213925.162681708</v>
      </c>
      <c r="DO101" s="94">
        <v>12213925.162681708</v>
      </c>
      <c r="DP101" s="94">
        <v>12213925.162681708</v>
      </c>
      <c r="DQ101" s="94">
        <v>12213925.162681708</v>
      </c>
      <c r="DR101" s="94">
        <v>12213925.162681708</v>
      </c>
      <c r="DS101" s="94">
        <v>12213925.162681708</v>
      </c>
      <c r="DT101" s="94">
        <v>12213925.162681708</v>
      </c>
      <c r="DU101" s="94">
        <v>12213925.162681708</v>
      </c>
      <c r="DV101" s="94">
        <v>12213925.162681708</v>
      </c>
      <c r="DW101" s="94">
        <v>12213925.162681708</v>
      </c>
      <c r="DX101" s="94">
        <v>12213925.162681708</v>
      </c>
      <c r="DY101" s="94">
        <v>12213925.162681708</v>
      </c>
    </row>
    <row r="103" spans="1:129">
      <c r="E103" t="s">
        <v>138</v>
      </c>
      <c r="G103" t="s">
        <v>128</v>
      </c>
      <c r="J103" cm="1">
        <f t="array" ref="J103:DY103" xml:space="preserve"> _xlfn.LET(
      _xlpm.management_fee,     CaseData!$L$7,
      _xlpm.gross_rent_revenue,_xlfn.ANCHORARRAY( Calculations!J101),
      _xlpm.management_fee * _xlpm.gross_rent_revenue )</f>
        <v>67536</v>
      </c>
      <c r="K103">
        <v>67536</v>
      </c>
      <c r="L103">
        <v>67536</v>
      </c>
      <c r="M103">
        <v>67536</v>
      </c>
      <c r="N103">
        <v>67536</v>
      </c>
      <c r="O103">
        <v>67536</v>
      </c>
      <c r="P103">
        <v>67536</v>
      </c>
      <c r="Q103">
        <v>67536</v>
      </c>
      <c r="R103">
        <v>67536</v>
      </c>
      <c r="S103">
        <v>67536</v>
      </c>
      <c r="T103">
        <v>67536</v>
      </c>
      <c r="U103">
        <v>67536</v>
      </c>
      <c r="V103">
        <v>70575.12</v>
      </c>
      <c r="W103">
        <v>70575.12</v>
      </c>
      <c r="X103">
        <v>70575.12</v>
      </c>
      <c r="Y103">
        <v>70575.12</v>
      </c>
      <c r="Z103">
        <v>70575.12</v>
      </c>
      <c r="AA103">
        <v>70575.12</v>
      </c>
      <c r="AB103">
        <v>70575.12</v>
      </c>
      <c r="AC103">
        <v>80274.81</v>
      </c>
      <c r="AD103">
        <v>88679.744999999995</v>
      </c>
      <c r="AE103">
        <v>88679.744999999995</v>
      </c>
      <c r="AF103">
        <v>88679.744999999995</v>
      </c>
      <c r="AG103">
        <v>88679.744999999995</v>
      </c>
      <c r="AH103">
        <v>92226.934800000003</v>
      </c>
      <c r="AI103">
        <v>103569.86640000001</v>
      </c>
      <c r="AJ103">
        <v>103569.86640000001</v>
      </c>
      <c r="AK103">
        <v>103569.86640000001</v>
      </c>
      <c r="AL103">
        <v>103569.86640000001</v>
      </c>
      <c r="AM103">
        <v>103569.86640000001</v>
      </c>
      <c r="AN103">
        <v>103569.86640000001</v>
      </c>
      <c r="AO103">
        <v>103569.86640000001</v>
      </c>
      <c r="AP103">
        <v>103569.86640000001</v>
      </c>
      <c r="AQ103">
        <v>125434.10880000002</v>
      </c>
      <c r="AR103">
        <v>125434.10880000002</v>
      </c>
      <c r="AS103">
        <v>138945.2064</v>
      </c>
      <c r="AT103">
        <v>143808.28862400001</v>
      </c>
      <c r="AU103">
        <v>143808.28862400001</v>
      </c>
      <c r="AV103">
        <v>143808.28862400001</v>
      </c>
      <c r="AW103">
        <v>143808.28862400001</v>
      </c>
      <c r="AX103">
        <v>143808.28862400001</v>
      </c>
      <c r="AY103">
        <v>143808.28862400001</v>
      </c>
      <c r="AZ103">
        <v>143808.28862400001</v>
      </c>
      <c r="BA103">
        <v>143808.28862400001</v>
      </c>
      <c r="BB103">
        <v>143808.28862400001</v>
      </c>
      <c r="BC103">
        <v>143808.28862400001</v>
      </c>
      <c r="BD103">
        <v>143808.28862400001</v>
      </c>
      <c r="BE103">
        <v>143808.28862400001</v>
      </c>
      <c r="BF103">
        <v>148122.53728271998</v>
      </c>
      <c r="BG103">
        <v>148122.53728271998</v>
      </c>
      <c r="BH103">
        <v>179021.94962652001</v>
      </c>
      <c r="BI103">
        <v>179021.94962652001</v>
      </c>
      <c r="BJ103">
        <v>179021.94962652001</v>
      </c>
      <c r="BK103">
        <v>179021.94962652001</v>
      </c>
      <c r="BL103">
        <v>179021.94962652001</v>
      </c>
      <c r="BM103">
        <v>179021.94962652001</v>
      </c>
      <c r="BN103">
        <v>179021.94962652001</v>
      </c>
      <c r="BO103">
        <v>179021.94962652001</v>
      </c>
      <c r="BP103">
        <v>179021.94962652001</v>
      </c>
      <c r="BQ103">
        <v>179021.94962652001</v>
      </c>
      <c r="BR103">
        <v>183497.498367183</v>
      </c>
      <c r="BS103">
        <v>183497.498367183</v>
      </c>
      <c r="BT103">
        <v>183497.498367183</v>
      </c>
      <c r="BU103">
        <v>202151.49792938097</v>
      </c>
      <c r="BV103">
        <v>202151.49792938097</v>
      </c>
      <c r="BW103">
        <v>202151.49792938097</v>
      </c>
      <c r="BX103">
        <v>202151.49792938097</v>
      </c>
      <c r="BY103">
        <v>202151.49792938097</v>
      </c>
      <c r="BZ103">
        <v>202151.49792938097</v>
      </c>
      <c r="CA103">
        <v>202151.49792938097</v>
      </c>
      <c r="CB103">
        <v>202151.49792938097</v>
      </c>
      <c r="CC103">
        <v>221304.26753334899</v>
      </c>
      <c r="CD103">
        <v>226836.87422168266</v>
      </c>
      <c r="CE103">
        <v>226836.87422168266</v>
      </c>
      <c r="CF103">
        <v>226836.87422168266</v>
      </c>
      <c r="CG103">
        <v>226836.87422168266</v>
      </c>
      <c r="CH103">
        <v>226836.87422168266</v>
      </c>
      <c r="CI103">
        <v>226836.87422168266</v>
      </c>
      <c r="CJ103">
        <v>226836.87422168266</v>
      </c>
      <c r="CK103">
        <v>226836.87422168266</v>
      </c>
      <c r="CL103">
        <v>226836.87422168266</v>
      </c>
      <c r="CM103">
        <v>226836.87422168266</v>
      </c>
      <c r="CN103">
        <v>226836.87422168266</v>
      </c>
      <c r="CO103">
        <v>226836.87422168266</v>
      </c>
      <c r="CP103">
        <v>232507.79607722472</v>
      </c>
      <c r="CQ103">
        <v>232507.79607722472</v>
      </c>
      <c r="CR103">
        <v>232507.79607722472</v>
      </c>
      <c r="CS103">
        <v>232507.79607722472</v>
      </c>
      <c r="CT103">
        <v>232507.79607722472</v>
      </c>
      <c r="CU103">
        <v>232507.79607722472</v>
      </c>
      <c r="CV103">
        <v>232507.79607722472</v>
      </c>
      <c r="CW103">
        <v>232507.79607722472</v>
      </c>
      <c r="CX103">
        <v>232507.79607722472</v>
      </c>
      <c r="CY103">
        <v>232507.79607722472</v>
      </c>
      <c r="CZ103">
        <v>232507.79607722472</v>
      </c>
      <c r="DA103">
        <v>232507.79607722472</v>
      </c>
      <c r="DB103">
        <v>238320.49097915529</v>
      </c>
      <c r="DC103">
        <v>238320.49097915529</v>
      </c>
      <c r="DD103">
        <v>238320.49097915529</v>
      </c>
      <c r="DE103">
        <v>238320.49097915529</v>
      </c>
      <c r="DF103">
        <v>238320.49097915529</v>
      </c>
      <c r="DG103">
        <v>238320.49097915529</v>
      </c>
      <c r="DH103">
        <v>238320.49097915529</v>
      </c>
      <c r="DI103">
        <v>238320.49097915529</v>
      </c>
      <c r="DJ103">
        <v>238320.49097915529</v>
      </c>
      <c r="DK103">
        <v>238320.49097915529</v>
      </c>
      <c r="DL103">
        <v>238320.49097915529</v>
      </c>
      <c r="DM103">
        <v>238320.49097915529</v>
      </c>
      <c r="DN103">
        <v>244278.50325363418</v>
      </c>
      <c r="DO103">
        <v>244278.50325363418</v>
      </c>
      <c r="DP103">
        <v>244278.50325363418</v>
      </c>
      <c r="DQ103">
        <v>244278.50325363418</v>
      </c>
      <c r="DR103">
        <v>244278.50325363418</v>
      </c>
      <c r="DS103">
        <v>244278.50325363418</v>
      </c>
      <c r="DT103">
        <v>244278.50325363418</v>
      </c>
      <c r="DU103">
        <v>244278.50325363418</v>
      </c>
      <c r="DV103">
        <v>244278.50325363418</v>
      </c>
      <c r="DW103">
        <v>244278.50325363418</v>
      </c>
      <c r="DX103">
        <v>244278.50325363418</v>
      </c>
      <c r="DY103">
        <v>244278.50325363418</v>
      </c>
    </row>
    <row r="106" spans="1:129" s="81" customFormat="1">
      <c r="A106" s="82" t="s">
        <v>142</v>
      </c>
    </row>
    <row r="109" spans="1:129">
      <c r="C109" s="88" t="s">
        <v>143</v>
      </c>
    </row>
    <row r="110" spans="1:129">
      <c r="C110" s="93" t="s">
        <v>130</v>
      </c>
    </row>
    <row r="111" spans="1:129">
      <c r="E111" t="str">
        <f>E$22</f>
        <v>Rent revenue from existing properties</v>
      </c>
      <c r="G111" t="s">
        <v>128</v>
      </c>
      <c r="J111" cm="1">
        <f t="array" ref="J111:DY111">_xlfn.ANCHORARRAY( J22)</f>
        <v>3210711</v>
      </c>
      <c r="K111">
        <v>3210711</v>
      </c>
      <c r="L111">
        <v>3210711</v>
      </c>
      <c r="M111">
        <v>3210711</v>
      </c>
      <c r="N111">
        <v>3210711</v>
      </c>
      <c r="O111">
        <v>3210711</v>
      </c>
      <c r="P111">
        <v>3210711</v>
      </c>
      <c r="Q111">
        <v>3210711</v>
      </c>
      <c r="R111">
        <v>3210711</v>
      </c>
      <c r="S111">
        <v>3210711</v>
      </c>
      <c r="T111">
        <v>3210711</v>
      </c>
      <c r="U111">
        <v>3210711</v>
      </c>
      <c r="V111">
        <v>3355192.9949999996</v>
      </c>
      <c r="W111">
        <v>3355192.9949999996</v>
      </c>
      <c r="X111">
        <v>3355192.9949999996</v>
      </c>
      <c r="Y111">
        <v>3355192.9949999996</v>
      </c>
      <c r="Z111">
        <v>3355192.9949999996</v>
      </c>
      <c r="AA111">
        <v>3355192.9949999996</v>
      </c>
      <c r="AB111">
        <v>3355192.9949999996</v>
      </c>
      <c r="AC111">
        <v>3355192.9949999996</v>
      </c>
      <c r="AD111">
        <v>3355192.9949999996</v>
      </c>
      <c r="AE111">
        <v>3355192.9949999996</v>
      </c>
      <c r="AF111">
        <v>3355192.9949999996</v>
      </c>
      <c r="AG111">
        <v>3355192.9949999996</v>
      </c>
      <c r="AH111">
        <v>3489400.7148000002</v>
      </c>
      <c r="AI111">
        <v>3489400.7148000002</v>
      </c>
      <c r="AJ111">
        <v>3489400.7148000002</v>
      </c>
      <c r="AK111">
        <v>3489400.7148000002</v>
      </c>
      <c r="AL111">
        <v>3489400.7148000002</v>
      </c>
      <c r="AM111">
        <v>3489400.7148000002</v>
      </c>
      <c r="AN111">
        <v>3489400.7148000002</v>
      </c>
      <c r="AO111">
        <v>3489400.7148000002</v>
      </c>
      <c r="AP111">
        <v>3489400.7148000002</v>
      </c>
      <c r="AQ111">
        <v>3489400.7148000002</v>
      </c>
      <c r="AR111">
        <v>3489400.7148000002</v>
      </c>
      <c r="AS111">
        <v>3489400.7148000002</v>
      </c>
      <c r="AT111">
        <v>3611529.7398179993</v>
      </c>
      <c r="AU111">
        <v>3611529.7398179993</v>
      </c>
      <c r="AV111">
        <v>3611529.7398179993</v>
      </c>
      <c r="AW111">
        <v>3611529.7398179993</v>
      </c>
      <c r="AX111">
        <v>3611529.7398179993</v>
      </c>
      <c r="AY111">
        <v>3611529.7398179993</v>
      </c>
      <c r="AZ111">
        <v>3611529.7398179993</v>
      </c>
      <c r="BA111">
        <v>3611529.7398179993</v>
      </c>
      <c r="BB111">
        <v>3611529.7398179993</v>
      </c>
      <c r="BC111">
        <v>3611529.7398179993</v>
      </c>
      <c r="BD111">
        <v>3611529.7398179993</v>
      </c>
      <c r="BE111">
        <v>3611529.7398179993</v>
      </c>
      <c r="BF111">
        <v>3719875.63201254</v>
      </c>
      <c r="BG111">
        <v>3719875.63201254</v>
      </c>
      <c r="BH111">
        <v>3719875.63201254</v>
      </c>
      <c r="BI111">
        <v>3719875.63201254</v>
      </c>
      <c r="BJ111">
        <v>3719875.63201254</v>
      </c>
      <c r="BK111">
        <v>3719875.63201254</v>
      </c>
      <c r="BL111">
        <v>3719875.63201254</v>
      </c>
      <c r="BM111">
        <v>3719875.63201254</v>
      </c>
      <c r="BN111">
        <v>3719875.63201254</v>
      </c>
      <c r="BO111">
        <v>3719875.63201254</v>
      </c>
      <c r="BP111">
        <v>3719875.63201254</v>
      </c>
      <c r="BQ111">
        <v>3719875.63201254</v>
      </c>
      <c r="BR111">
        <v>3812872.5228128522</v>
      </c>
      <c r="BS111">
        <v>3812872.5228128522</v>
      </c>
      <c r="BT111">
        <v>3812872.5228128522</v>
      </c>
      <c r="BU111">
        <v>3812872.5228128522</v>
      </c>
      <c r="BV111">
        <v>3812872.5228128522</v>
      </c>
      <c r="BW111">
        <v>3812872.5228128522</v>
      </c>
      <c r="BX111">
        <v>3812872.5228128522</v>
      </c>
      <c r="BY111">
        <v>3812872.5228128522</v>
      </c>
      <c r="BZ111">
        <v>3812872.5228128522</v>
      </c>
      <c r="CA111">
        <v>3812872.5228128522</v>
      </c>
      <c r="CB111">
        <v>3812872.5228128522</v>
      </c>
      <c r="CC111">
        <v>3812872.5228128522</v>
      </c>
      <c r="CD111">
        <v>3908194.3358831741</v>
      </c>
      <c r="CE111">
        <v>3908194.3358831741</v>
      </c>
      <c r="CF111">
        <v>3908194.3358831741</v>
      </c>
      <c r="CG111">
        <v>3908194.3358831741</v>
      </c>
      <c r="CH111">
        <v>3908194.3358831741</v>
      </c>
      <c r="CI111">
        <v>3908194.3358831741</v>
      </c>
      <c r="CJ111">
        <v>3908194.3358831741</v>
      </c>
      <c r="CK111">
        <v>3908194.3358831741</v>
      </c>
      <c r="CL111">
        <v>3908194.3358831741</v>
      </c>
      <c r="CM111">
        <v>3908194.3358831741</v>
      </c>
      <c r="CN111">
        <v>3908194.3358831741</v>
      </c>
      <c r="CO111">
        <v>3908194.3358831741</v>
      </c>
      <c r="CP111">
        <v>4005899.1942802528</v>
      </c>
      <c r="CQ111">
        <v>4005899.1942802528</v>
      </c>
      <c r="CR111">
        <v>4005899.1942802528</v>
      </c>
      <c r="CS111">
        <v>4005899.1942802528</v>
      </c>
      <c r="CT111">
        <v>4005899.1942802528</v>
      </c>
      <c r="CU111">
        <v>4005899.1942802528</v>
      </c>
      <c r="CV111">
        <v>4005899.1942802528</v>
      </c>
      <c r="CW111">
        <v>4005899.1942802528</v>
      </c>
      <c r="CX111">
        <v>4005899.1942802528</v>
      </c>
      <c r="CY111">
        <v>4005899.1942802528</v>
      </c>
      <c r="CZ111">
        <v>4005899.1942802528</v>
      </c>
      <c r="DA111">
        <v>4005899.1942802528</v>
      </c>
      <c r="DB111">
        <v>4106046.6741372584</v>
      </c>
      <c r="DC111">
        <v>4106046.6741372584</v>
      </c>
      <c r="DD111">
        <v>4106046.6741372584</v>
      </c>
      <c r="DE111">
        <v>4106046.6741372584</v>
      </c>
      <c r="DF111">
        <v>4106046.6741372584</v>
      </c>
      <c r="DG111">
        <v>4106046.6741372584</v>
      </c>
      <c r="DH111">
        <v>4106046.6741372584</v>
      </c>
      <c r="DI111">
        <v>4106046.6741372584</v>
      </c>
      <c r="DJ111">
        <v>4106046.6741372584</v>
      </c>
      <c r="DK111">
        <v>4106046.6741372584</v>
      </c>
      <c r="DL111">
        <v>4106046.6741372584</v>
      </c>
      <c r="DM111">
        <v>4106046.6741372584</v>
      </c>
      <c r="DN111">
        <v>4208697.8409906896</v>
      </c>
      <c r="DO111">
        <v>4208697.8409906896</v>
      </c>
      <c r="DP111">
        <v>4208697.8409906896</v>
      </c>
      <c r="DQ111">
        <v>4208697.8409906896</v>
      </c>
      <c r="DR111">
        <v>4208697.8409906896</v>
      </c>
      <c r="DS111">
        <v>4208697.8409906896</v>
      </c>
      <c r="DT111">
        <v>4208697.8409906896</v>
      </c>
      <c r="DU111">
        <v>4208697.8409906896</v>
      </c>
      <c r="DV111">
        <v>4208697.8409906896</v>
      </c>
      <c r="DW111">
        <v>4208697.8409906896</v>
      </c>
      <c r="DX111">
        <v>4208697.8409906896</v>
      </c>
      <c r="DY111">
        <v>4208697.8409906896</v>
      </c>
    </row>
    <row r="112" spans="1:129">
      <c r="E112" t="str">
        <f>E$79</f>
        <v>Rent revenue from new properties</v>
      </c>
      <c r="G112" t="str">
        <f t="shared" ref="G112" si="0">G$79</f>
        <v>USD</v>
      </c>
      <c r="J112" cm="1">
        <f t="array" ref="J112:DY112">_xlfn.ANCHORARRAY( J79)</f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121246.125</v>
      </c>
      <c r="AD112">
        <v>274806.26249999995</v>
      </c>
      <c r="AE112">
        <v>365329.38749999995</v>
      </c>
      <c r="AF112">
        <v>455852.51250000001</v>
      </c>
      <c r="AG112">
        <v>546375.63749999995</v>
      </c>
      <c r="AH112">
        <v>662374.71299999999</v>
      </c>
      <c r="AI112">
        <v>860476.61700000009</v>
      </c>
      <c r="AJ112">
        <v>940727.28750000009</v>
      </c>
      <c r="AK112">
        <v>1020977.958</v>
      </c>
      <c r="AL112">
        <v>1101228.6285000001</v>
      </c>
      <c r="AM112">
        <v>1181479.2990000001</v>
      </c>
      <c r="AN112">
        <v>1261729.9695000001</v>
      </c>
      <c r="AO112">
        <v>1288936.649</v>
      </c>
      <c r="AP112">
        <v>1307037.9822499999</v>
      </c>
      <c r="AQ112">
        <v>1598442.3455000001</v>
      </c>
      <c r="AR112">
        <v>1725864.8907500003</v>
      </c>
      <c r="AS112">
        <v>2022176.1560000002</v>
      </c>
      <c r="AT112">
        <v>2294754.58587375</v>
      </c>
      <c r="AU112">
        <v>2484327.7521562492</v>
      </c>
      <c r="AV112">
        <v>2673900.9184387499</v>
      </c>
      <c r="AW112">
        <v>2778613.4939062502</v>
      </c>
      <c r="AX112">
        <v>2883326.0693737492</v>
      </c>
      <c r="AY112">
        <v>2935598.6972812498</v>
      </c>
      <c r="AZ112">
        <v>2987871.3251887495</v>
      </c>
      <c r="BA112">
        <v>3037968.7976137497</v>
      </c>
      <c r="BB112">
        <v>3086181.4633649997</v>
      </c>
      <c r="BC112">
        <v>3110821.7427787497</v>
      </c>
      <c r="BD112">
        <v>3135462.0221925001</v>
      </c>
      <c r="BE112">
        <v>3145535.6495062495</v>
      </c>
      <c r="BF112">
        <v>3250277.5551246</v>
      </c>
      <c r="BG112">
        <v>3258134.1970427246</v>
      </c>
      <c r="BH112">
        <v>3652233.4932583496</v>
      </c>
      <c r="BI112">
        <v>3814587.1968954746</v>
      </c>
      <c r="BJ112">
        <v>3976940.9005325995</v>
      </c>
      <c r="BK112">
        <v>4139294.6041697254</v>
      </c>
      <c r="BL112">
        <v>4301648.3078068504</v>
      </c>
      <c r="BM112">
        <v>4464002.0114439754</v>
      </c>
      <c r="BN112">
        <v>4510482.9187918501</v>
      </c>
      <c r="BO112">
        <v>4552107.9145542001</v>
      </c>
      <c r="BP112">
        <v>4593732.9103165502</v>
      </c>
      <c r="BQ112">
        <v>4632357.1757463003</v>
      </c>
      <c r="BR112">
        <v>4787755.9772054506</v>
      </c>
      <c r="BS112">
        <v>4827345.8492709445</v>
      </c>
      <c r="BT112">
        <v>4833944.1612818604</v>
      </c>
      <c r="BU112">
        <v>5073717.4678202514</v>
      </c>
      <c r="BV112">
        <v>5173585.7776421551</v>
      </c>
      <c r="BW112">
        <v>5273454.0874640616</v>
      </c>
      <c r="BX112">
        <v>5373322.3972859671</v>
      </c>
      <c r="BY112">
        <v>5473190.7071078736</v>
      </c>
      <c r="BZ112">
        <v>5573059.0169297783</v>
      </c>
      <c r="CA112">
        <v>5602974.8283934416</v>
      </c>
      <c r="CB112">
        <v>5632890.639857105</v>
      </c>
      <c r="CC112">
        <v>5902216.0713703679</v>
      </c>
      <c r="CD112">
        <v>6178593.1241252162</v>
      </c>
      <c r="CE112">
        <v>6307414.7750958074</v>
      </c>
      <c r="CF112">
        <v>6429473.1562552098</v>
      </c>
      <c r="CG112">
        <v>6531614.506632057</v>
      </c>
      <c r="CH112">
        <v>6633755.8570089042</v>
      </c>
      <c r="CI112">
        <v>6662278.7492204988</v>
      </c>
      <c r="CJ112">
        <v>6690801.6414320935</v>
      </c>
      <c r="CK112">
        <v>6719324.533643689</v>
      </c>
      <c r="CL112">
        <v>6747847.4258552836</v>
      </c>
      <c r="CM112">
        <v>6776370.3180668792</v>
      </c>
      <c r="CN112">
        <v>6804893.2102784738</v>
      </c>
      <c r="CO112">
        <v>6812966.5307774991</v>
      </c>
      <c r="CP112">
        <v>6991565.847558436</v>
      </c>
      <c r="CQ112">
        <v>6999841.0010699369</v>
      </c>
      <c r="CR112">
        <v>7008116.1545814369</v>
      </c>
      <c r="CS112">
        <v>7012308.3167825136</v>
      </c>
      <c r="CT112">
        <v>7016500.4789835904</v>
      </c>
      <c r="CU112">
        <v>7020692.6411846681</v>
      </c>
      <c r="CV112">
        <v>7024884.8033857448</v>
      </c>
      <c r="CW112">
        <v>7029076.9655868215</v>
      </c>
      <c r="CX112">
        <v>7033269.1277878983</v>
      </c>
      <c r="CY112">
        <v>7037461.289988975</v>
      </c>
      <c r="CZ112">
        <v>7041653.4521900518</v>
      </c>
      <c r="DA112">
        <v>7041653.4521900518</v>
      </c>
      <c r="DB112">
        <v>7217694.7884948021</v>
      </c>
      <c r="DC112">
        <v>7217694.7884948021</v>
      </c>
      <c r="DD112">
        <v>7217694.7884948021</v>
      </c>
      <c r="DE112">
        <v>7217694.7884948021</v>
      </c>
      <c r="DF112">
        <v>7217694.7884948021</v>
      </c>
      <c r="DG112">
        <v>7217694.7884948021</v>
      </c>
      <c r="DH112">
        <v>7217694.7884948021</v>
      </c>
      <c r="DI112">
        <v>7217694.7884948021</v>
      </c>
      <c r="DJ112">
        <v>7217694.7884948021</v>
      </c>
      <c r="DK112">
        <v>7217694.7884948021</v>
      </c>
      <c r="DL112">
        <v>7217694.7884948021</v>
      </c>
      <c r="DM112">
        <v>7217694.7884948021</v>
      </c>
      <c r="DN112">
        <v>7398137.1582071725</v>
      </c>
      <c r="DO112">
        <v>7398137.1582071725</v>
      </c>
      <c r="DP112">
        <v>7398137.1582071725</v>
      </c>
      <c r="DQ112">
        <v>7398137.1582071725</v>
      </c>
      <c r="DR112">
        <v>7398137.1582071725</v>
      </c>
      <c r="DS112">
        <v>7398137.1582071725</v>
      </c>
      <c r="DT112">
        <v>7398137.1582071725</v>
      </c>
      <c r="DU112">
        <v>7398137.1582071725</v>
      </c>
      <c r="DV112">
        <v>7398137.1582071725</v>
      </c>
      <c r="DW112">
        <v>7398137.1582071725</v>
      </c>
      <c r="DX112">
        <v>7398137.1582071725</v>
      </c>
      <c r="DY112">
        <v>7398137.1582071725</v>
      </c>
    </row>
    <row r="114" spans="3:129">
      <c r="C114" s="88" t="s">
        <v>144</v>
      </c>
    </row>
    <row r="115" spans="3:129">
      <c r="C115" s="93" t="s">
        <v>133</v>
      </c>
    </row>
    <row r="116" spans="3:129">
      <c r="C116" s="93"/>
      <c r="E116" t="str">
        <f>E$32</f>
        <v>Opex from existing properties</v>
      </c>
      <c r="G116" t="str">
        <f t="shared" ref="G116" si="1">G$32</f>
        <v>USD</v>
      </c>
      <c r="J116" cm="1">
        <f t="array" ref="J116:DY116">_xlfn.ANCHORARRAY( J32) * - 1</f>
        <v>-932391.25</v>
      </c>
      <c r="K116">
        <v>-932391.25</v>
      </c>
      <c r="L116">
        <v>-932391.25</v>
      </c>
      <c r="M116">
        <v>-932391.25</v>
      </c>
      <c r="N116">
        <v>-932391.25</v>
      </c>
      <c r="O116">
        <v>-932391.25</v>
      </c>
      <c r="P116">
        <v>-932391.25</v>
      </c>
      <c r="Q116">
        <v>-932391.25</v>
      </c>
      <c r="R116">
        <v>-932391.25</v>
      </c>
      <c r="S116">
        <v>-932391.25</v>
      </c>
      <c r="T116">
        <v>-932391.25</v>
      </c>
      <c r="U116">
        <v>-932391.25</v>
      </c>
      <c r="V116">
        <v>-955701.03125</v>
      </c>
      <c r="W116">
        <v>-955701.03125</v>
      </c>
      <c r="X116">
        <v>-955701.03125</v>
      </c>
      <c r="Y116">
        <v>-955701.03125</v>
      </c>
      <c r="Z116">
        <v>-955701.03125</v>
      </c>
      <c r="AA116">
        <v>-955701.03125</v>
      </c>
      <c r="AB116">
        <v>-955701.03125</v>
      </c>
      <c r="AC116">
        <v>-955701.03125</v>
      </c>
      <c r="AD116">
        <v>-955701.03125</v>
      </c>
      <c r="AE116">
        <v>-955701.03125</v>
      </c>
      <c r="AF116">
        <v>-955701.03125</v>
      </c>
      <c r="AG116">
        <v>-955701.03125</v>
      </c>
      <c r="AH116">
        <v>-979593.55703124986</v>
      </c>
      <c r="AI116">
        <v>-979593.55703124986</v>
      </c>
      <c r="AJ116">
        <v>-979593.55703124986</v>
      </c>
      <c r="AK116">
        <v>-979593.55703124986</v>
      </c>
      <c r="AL116">
        <v>-979593.55703124986</v>
      </c>
      <c r="AM116">
        <v>-979593.55703124986</v>
      </c>
      <c r="AN116">
        <v>-979593.55703124986</v>
      </c>
      <c r="AO116">
        <v>-979593.55703124986</v>
      </c>
      <c r="AP116">
        <v>-979593.55703124986</v>
      </c>
      <c r="AQ116">
        <v>-979593.55703124986</v>
      </c>
      <c r="AR116">
        <v>-979593.55703124986</v>
      </c>
      <c r="AS116">
        <v>-979593.55703124986</v>
      </c>
      <c r="AT116">
        <v>-1004083.3959570311</v>
      </c>
      <c r="AU116">
        <v>-1004083.3959570311</v>
      </c>
      <c r="AV116">
        <v>-1004083.3959570311</v>
      </c>
      <c r="AW116">
        <v>-1004083.3959570311</v>
      </c>
      <c r="AX116">
        <v>-1004083.3959570311</v>
      </c>
      <c r="AY116">
        <v>-1004083.3959570311</v>
      </c>
      <c r="AZ116">
        <v>-1004083.3959570311</v>
      </c>
      <c r="BA116">
        <v>-1004083.3959570311</v>
      </c>
      <c r="BB116">
        <v>-1004083.3959570311</v>
      </c>
      <c r="BC116">
        <v>-1004083.3959570311</v>
      </c>
      <c r="BD116">
        <v>-1004083.3959570311</v>
      </c>
      <c r="BE116">
        <v>-1004083.3959570311</v>
      </c>
      <c r="BF116">
        <v>-1029185.4808559567</v>
      </c>
      <c r="BG116">
        <v>-1029185.4808559567</v>
      </c>
      <c r="BH116">
        <v>-1029185.4808559567</v>
      </c>
      <c r="BI116">
        <v>-1029185.4808559567</v>
      </c>
      <c r="BJ116">
        <v>-1029185.4808559567</v>
      </c>
      <c r="BK116">
        <v>-1029185.4808559567</v>
      </c>
      <c r="BL116">
        <v>-1029185.4808559567</v>
      </c>
      <c r="BM116">
        <v>-1029185.4808559567</v>
      </c>
      <c r="BN116">
        <v>-1029185.4808559567</v>
      </c>
      <c r="BO116">
        <v>-1029185.4808559567</v>
      </c>
      <c r="BP116">
        <v>-1029185.4808559567</v>
      </c>
      <c r="BQ116">
        <v>-1029185.4808559567</v>
      </c>
      <c r="BR116">
        <v>-1054915.1178773555</v>
      </c>
      <c r="BS116">
        <v>-1054915.1178773555</v>
      </c>
      <c r="BT116">
        <v>-1054915.1178773555</v>
      </c>
      <c r="BU116">
        <v>-1054915.1178773555</v>
      </c>
      <c r="BV116">
        <v>-1054915.1178773555</v>
      </c>
      <c r="BW116">
        <v>-1054915.1178773555</v>
      </c>
      <c r="BX116">
        <v>-1054915.1178773555</v>
      </c>
      <c r="BY116">
        <v>-1054915.1178773555</v>
      </c>
      <c r="BZ116">
        <v>-1054915.1178773555</v>
      </c>
      <c r="CA116">
        <v>-1054915.1178773555</v>
      </c>
      <c r="CB116">
        <v>-1054915.1178773555</v>
      </c>
      <c r="CC116">
        <v>-1054915.1178773555</v>
      </c>
      <c r="CD116">
        <v>-1081287.9958242893</v>
      </c>
      <c r="CE116">
        <v>-1081287.9958242893</v>
      </c>
      <c r="CF116">
        <v>-1081287.9958242893</v>
      </c>
      <c r="CG116">
        <v>-1081287.9958242893</v>
      </c>
      <c r="CH116">
        <v>-1081287.9958242893</v>
      </c>
      <c r="CI116">
        <v>-1081287.9958242893</v>
      </c>
      <c r="CJ116">
        <v>-1081287.9958242893</v>
      </c>
      <c r="CK116">
        <v>-1081287.9958242893</v>
      </c>
      <c r="CL116">
        <v>-1081287.9958242893</v>
      </c>
      <c r="CM116">
        <v>-1081287.9958242893</v>
      </c>
      <c r="CN116">
        <v>-1081287.9958242893</v>
      </c>
      <c r="CO116">
        <v>-1081287.9958242893</v>
      </c>
      <c r="CP116">
        <v>-1108320.1957198964</v>
      </c>
      <c r="CQ116">
        <v>-1108320.1957198964</v>
      </c>
      <c r="CR116">
        <v>-1108320.1957198964</v>
      </c>
      <c r="CS116">
        <v>-1108320.1957198964</v>
      </c>
      <c r="CT116">
        <v>-1108320.1957198964</v>
      </c>
      <c r="CU116">
        <v>-1108320.1957198964</v>
      </c>
      <c r="CV116">
        <v>-1108320.1957198964</v>
      </c>
      <c r="CW116">
        <v>-1108320.1957198964</v>
      </c>
      <c r="CX116">
        <v>-1108320.1957198964</v>
      </c>
      <c r="CY116">
        <v>-1108320.1957198964</v>
      </c>
      <c r="CZ116">
        <v>-1108320.1957198964</v>
      </c>
      <c r="DA116">
        <v>-1108320.1957198964</v>
      </c>
      <c r="DB116">
        <v>-1136028.2006128938</v>
      </c>
      <c r="DC116">
        <v>-1136028.2006128938</v>
      </c>
      <c r="DD116">
        <v>-1136028.2006128938</v>
      </c>
      <c r="DE116">
        <v>-1136028.2006128938</v>
      </c>
      <c r="DF116">
        <v>-1136028.2006128938</v>
      </c>
      <c r="DG116">
        <v>-1136028.2006128938</v>
      </c>
      <c r="DH116">
        <v>-1136028.2006128938</v>
      </c>
      <c r="DI116">
        <v>-1136028.2006128938</v>
      </c>
      <c r="DJ116">
        <v>-1136028.2006128938</v>
      </c>
      <c r="DK116">
        <v>-1136028.2006128938</v>
      </c>
      <c r="DL116">
        <v>-1136028.2006128938</v>
      </c>
      <c r="DM116">
        <v>-1136028.2006128938</v>
      </c>
      <c r="DN116">
        <v>-1164428.905628216</v>
      </c>
      <c r="DO116">
        <v>-1164428.905628216</v>
      </c>
      <c r="DP116">
        <v>-1164428.905628216</v>
      </c>
      <c r="DQ116">
        <v>-1164428.905628216</v>
      </c>
      <c r="DR116">
        <v>-1164428.905628216</v>
      </c>
      <c r="DS116">
        <v>-1164428.905628216</v>
      </c>
      <c r="DT116">
        <v>-1164428.905628216</v>
      </c>
      <c r="DU116">
        <v>-1164428.905628216</v>
      </c>
      <c r="DV116">
        <v>-1164428.905628216</v>
      </c>
      <c r="DW116">
        <v>-1164428.905628216</v>
      </c>
      <c r="DX116">
        <v>-1164428.905628216</v>
      </c>
      <c r="DY116">
        <v>-1164428.905628216</v>
      </c>
    </row>
    <row r="117" spans="3:129">
      <c r="E117" t="str">
        <f>E$49</f>
        <v>Land acquisition</v>
      </c>
      <c r="G117" t="str">
        <f t="shared" ref="G117" si="2">G$49</f>
        <v>USD</v>
      </c>
      <c r="J117" cm="1">
        <f t="array" ref="J117:DY117">_xlfn.ANCHORARRAY( J49) * - 1</f>
        <v>-4316130</v>
      </c>
      <c r="K117">
        <v>0</v>
      </c>
      <c r="L117">
        <v>0</v>
      </c>
      <c r="M117">
        <v>-3908898</v>
      </c>
      <c r="N117">
        <v>0</v>
      </c>
      <c r="O117">
        <v>0</v>
      </c>
      <c r="P117">
        <v>-4936701</v>
      </c>
      <c r="Q117">
        <v>0</v>
      </c>
      <c r="R117">
        <v>0</v>
      </c>
      <c r="S117">
        <v>-6597360</v>
      </c>
      <c r="T117">
        <v>0</v>
      </c>
      <c r="U117">
        <v>0</v>
      </c>
      <c r="V117">
        <v>-4793841.3600000003</v>
      </c>
      <c r="W117">
        <v>0</v>
      </c>
      <c r="X117">
        <v>0</v>
      </c>
      <c r="Y117">
        <v>-3262091.3325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-7810190.3880000003</v>
      </c>
      <c r="AI117">
        <v>0</v>
      </c>
      <c r="AJ117">
        <v>0</v>
      </c>
      <c r="AK117">
        <v>-4223861.2416000003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-6440334.2083079992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-6385768.3169279993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</row>
    <row r="118" spans="3:129">
      <c r="E118" t="str">
        <f>E$64</f>
        <v>Construction costs</v>
      </c>
      <c r="G118" t="str">
        <f t="shared" ref="G118" si="3">G$64</f>
        <v>USD</v>
      </c>
      <c r="J118" cm="1">
        <f t="array" ref="J118:DY118">_xlfn.ANCHORARRAY( J64) * - 1</f>
        <v>0</v>
      </c>
      <c r="K118">
        <v>0</v>
      </c>
      <c r="L118">
        <v>0</v>
      </c>
      <c r="M118">
        <v>0</v>
      </c>
      <c r="N118">
        <v>-948007.125</v>
      </c>
      <c r="O118">
        <v>-1053341.25</v>
      </c>
      <c r="P118">
        <v>-1264009.5</v>
      </c>
      <c r="Q118">
        <v>-1474677.7500000002</v>
      </c>
      <c r="R118">
        <v>-2321317.5</v>
      </c>
      <c r="S118">
        <v>-3936850.75</v>
      </c>
      <c r="T118">
        <v>-5097509.5</v>
      </c>
      <c r="U118">
        <v>-7117610.25</v>
      </c>
      <c r="V118">
        <v>-7856932.5</v>
      </c>
      <c r="W118">
        <v>-8711956.75</v>
      </c>
      <c r="X118">
        <v>-10392141.875</v>
      </c>
      <c r="Y118">
        <v>-10623545.875</v>
      </c>
      <c r="Z118">
        <v>-11989445.5</v>
      </c>
      <c r="AA118">
        <v>-14120368.225</v>
      </c>
      <c r="AB118">
        <v>-13395831.6</v>
      </c>
      <c r="AC118">
        <v>-9469337.4499999993</v>
      </c>
      <c r="AD118">
        <v>-7836476.5749999993</v>
      </c>
      <c r="AE118">
        <v>-8805636.112499997</v>
      </c>
      <c r="AF118">
        <v>-9814798.0687499978</v>
      </c>
      <c r="AG118">
        <v>-10070709.049999999</v>
      </c>
      <c r="AH118">
        <v>-10820726.406249998</v>
      </c>
      <c r="AI118">
        <v>-10093375.387499999</v>
      </c>
      <c r="AJ118">
        <v>-11297496.699999999</v>
      </c>
      <c r="AK118">
        <v>-13171659.359375</v>
      </c>
      <c r="AL118">
        <v>-14375780.671874998</v>
      </c>
      <c r="AM118">
        <v>-15914922.657812499</v>
      </c>
      <c r="AN118">
        <v>-15843834.74375</v>
      </c>
      <c r="AO118">
        <v>-14049514.331249999</v>
      </c>
      <c r="AP118">
        <v>-9212812.4296875</v>
      </c>
      <c r="AQ118">
        <v>-4972563.9987500003</v>
      </c>
      <c r="AR118">
        <v>-4412117.8107812498</v>
      </c>
      <c r="AS118">
        <v>-3255763.4265624993</v>
      </c>
      <c r="AT118">
        <v>-3715348.0385937495</v>
      </c>
      <c r="AU118">
        <v>-4424060.5278124996</v>
      </c>
      <c r="AV118">
        <v>-5008209.0784374997</v>
      </c>
      <c r="AW118">
        <v>-5841485.5062499996</v>
      </c>
      <c r="AX118">
        <v>-6674761.9340624996</v>
      </c>
      <c r="AY118">
        <v>-8176816.5160468742</v>
      </c>
      <c r="AZ118">
        <v>-9345113.6172968745</v>
      </c>
      <c r="BA118">
        <v>-10847799.795632811</v>
      </c>
      <c r="BB118">
        <v>-11182188.872718748</v>
      </c>
      <c r="BC118">
        <v>-11182188.872718748</v>
      </c>
      <c r="BD118">
        <v>-11516577.949804686</v>
      </c>
      <c r="BE118">
        <v>-11256885.237140622</v>
      </c>
      <c r="BF118">
        <v>-10088588.135890624</v>
      </c>
      <c r="BG118">
        <v>-7253738.1790156234</v>
      </c>
      <c r="BH118">
        <v>-4167114.4246874992</v>
      </c>
      <c r="BI118">
        <v>-4501503.5017734366</v>
      </c>
      <c r="BJ118">
        <v>-4835892.5788593739</v>
      </c>
      <c r="BK118">
        <v>-5170281.6559453113</v>
      </c>
      <c r="BL118">
        <v>-6250671.6370312488</v>
      </c>
      <c r="BM118">
        <v>-6919449.7912031244</v>
      </c>
      <c r="BN118">
        <v>-7588227.9453749992</v>
      </c>
      <c r="BO118">
        <v>-8334228.8493749984</v>
      </c>
      <c r="BP118">
        <v>-8334228.8493749984</v>
      </c>
      <c r="BQ118">
        <v>-9080229.7533749975</v>
      </c>
      <c r="BR118">
        <v>-8411451.5992031246</v>
      </c>
      <c r="BS118">
        <v>-8488674.3490312491</v>
      </c>
      <c r="BT118">
        <v>-7151118.0406874996</v>
      </c>
      <c r="BU118">
        <v>-5222006.3279999997</v>
      </c>
      <c r="BV118">
        <v>-5222006.3279999997</v>
      </c>
      <c r="BW118">
        <v>-5968007.2319999998</v>
      </c>
      <c r="BX118">
        <v>-5968007.2319999998</v>
      </c>
      <c r="BY118">
        <v>-5968007.2319999998</v>
      </c>
      <c r="BZ118">
        <v>-4476005.4239999996</v>
      </c>
      <c r="CA118">
        <v>-2984003.6159999999</v>
      </c>
      <c r="CB118">
        <v>-1492001.808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</row>
    <row r="119" spans="3:129">
      <c r="E119" t="str">
        <f>E$94</f>
        <v>Opex from new properties</v>
      </c>
      <c r="G119" t="str">
        <f t="shared" ref="G119" si="4">G$94</f>
        <v>USD</v>
      </c>
      <c r="J119" cm="1">
        <f t="array" ref="J119:DY119">_xlfn.ANCHORARRAY( J94) * - 1</f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-143956.63749999998</v>
      </c>
      <c r="AD119">
        <v>-264673.44999999995</v>
      </c>
      <c r="AE119">
        <v>-264673.44999999995</v>
      </c>
      <c r="AF119">
        <v>-264673.44999999995</v>
      </c>
      <c r="AG119">
        <v>-264673.44999999995</v>
      </c>
      <c r="AH119">
        <v>-271290.28624999995</v>
      </c>
      <c r="AI119">
        <v>-415798.23921874992</v>
      </c>
      <c r="AJ119">
        <v>-415798.23921874992</v>
      </c>
      <c r="AK119">
        <v>-415798.23921874992</v>
      </c>
      <c r="AL119">
        <v>-415798.23921874992</v>
      </c>
      <c r="AM119">
        <v>-415798.23921874992</v>
      </c>
      <c r="AN119">
        <v>-415798.23921874992</v>
      </c>
      <c r="AO119">
        <v>-415798.23921874992</v>
      </c>
      <c r="AP119">
        <v>-415798.23921874992</v>
      </c>
      <c r="AQ119">
        <v>-708572.49343749997</v>
      </c>
      <c r="AR119">
        <v>-708572.49343749997</v>
      </c>
      <c r="AS119">
        <v>-887077.88343749999</v>
      </c>
      <c r="AT119">
        <v>-909254.83052343735</v>
      </c>
      <c r="AU119">
        <v>-909254.83052343735</v>
      </c>
      <c r="AV119">
        <v>-909254.83052343735</v>
      </c>
      <c r="AW119">
        <v>-909254.83052343735</v>
      </c>
      <c r="AX119">
        <v>-909254.83052343735</v>
      </c>
      <c r="AY119">
        <v>-909254.83052343735</v>
      </c>
      <c r="AZ119">
        <v>-909254.83052343735</v>
      </c>
      <c r="BA119">
        <v>-909254.83052343735</v>
      </c>
      <c r="BB119">
        <v>-909254.83052343735</v>
      </c>
      <c r="BC119">
        <v>-909254.83052343735</v>
      </c>
      <c r="BD119">
        <v>-909254.83052343735</v>
      </c>
      <c r="BE119">
        <v>-909254.83052343735</v>
      </c>
      <c r="BF119">
        <v>-931986.20128652314</v>
      </c>
      <c r="BG119">
        <v>-931986.20128652314</v>
      </c>
      <c r="BH119">
        <v>-1420528.267612695</v>
      </c>
      <c r="BI119">
        <v>-1420528.267612695</v>
      </c>
      <c r="BJ119">
        <v>-1420528.267612695</v>
      </c>
      <c r="BK119">
        <v>-1420528.267612695</v>
      </c>
      <c r="BL119">
        <v>-1420528.267612695</v>
      </c>
      <c r="BM119">
        <v>-1420528.267612695</v>
      </c>
      <c r="BN119">
        <v>-1420528.267612695</v>
      </c>
      <c r="BO119">
        <v>-1420528.267612695</v>
      </c>
      <c r="BP119">
        <v>-1420528.267612695</v>
      </c>
      <c r="BQ119">
        <v>-1420528.267612695</v>
      </c>
      <c r="BR119">
        <v>-1456041.4743030122</v>
      </c>
      <c r="BS119">
        <v>-1456041.4743030122</v>
      </c>
      <c r="BT119">
        <v>-1456041.4743030122</v>
      </c>
      <c r="BU119">
        <v>-1681578.6502770551</v>
      </c>
      <c r="BV119">
        <v>-1681578.6502770551</v>
      </c>
      <c r="BW119">
        <v>-1681578.6502770551</v>
      </c>
      <c r="BX119">
        <v>-1681578.6502770551</v>
      </c>
      <c r="BY119">
        <v>-1681578.6502770551</v>
      </c>
      <c r="BZ119">
        <v>-1681578.6502770551</v>
      </c>
      <c r="CA119">
        <v>-1681578.6502770551</v>
      </c>
      <c r="CB119">
        <v>-1681578.6502770551</v>
      </c>
      <c r="CC119">
        <v>-1957678.4592851801</v>
      </c>
      <c r="CD119">
        <v>-2006620.4207673091</v>
      </c>
      <c r="CE119">
        <v>-2006620.4207673091</v>
      </c>
      <c r="CF119">
        <v>-2006620.4207673091</v>
      </c>
      <c r="CG119">
        <v>-2006620.4207673091</v>
      </c>
      <c r="CH119">
        <v>-2006620.4207673091</v>
      </c>
      <c r="CI119">
        <v>-2006620.4207673091</v>
      </c>
      <c r="CJ119">
        <v>-2006620.4207673091</v>
      </c>
      <c r="CK119">
        <v>-2006620.4207673091</v>
      </c>
      <c r="CL119">
        <v>-2006620.4207673091</v>
      </c>
      <c r="CM119">
        <v>-2006620.4207673091</v>
      </c>
      <c r="CN119">
        <v>-2006620.4207673091</v>
      </c>
      <c r="CO119">
        <v>-2006620.4207673091</v>
      </c>
      <c r="CP119">
        <v>-2056785.9312864915</v>
      </c>
      <c r="CQ119">
        <v>-2056785.9312864915</v>
      </c>
      <c r="CR119">
        <v>-2056785.9312864915</v>
      </c>
      <c r="CS119">
        <v>-2056785.9312864915</v>
      </c>
      <c r="CT119">
        <v>-2056785.9312864915</v>
      </c>
      <c r="CU119">
        <v>-2056785.9312864915</v>
      </c>
      <c r="CV119">
        <v>-2056785.9312864915</v>
      </c>
      <c r="CW119">
        <v>-2056785.9312864915</v>
      </c>
      <c r="CX119">
        <v>-2056785.9312864915</v>
      </c>
      <c r="CY119">
        <v>-2056785.9312864915</v>
      </c>
      <c r="CZ119">
        <v>-2056785.9312864915</v>
      </c>
      <c r="DA119">
        <v>-2056785.9312864915</v>
      </c>
      <c r="DB119">
        <v>-2108205.5795686538</v>
      </c>
      <c r="DC119">
        <v>-2108205.5795686538</v>
      </c>
      <c r="DD119">
        <v>-2108205.5795686538</v>
      </c>
      <c r="DE119">
        <v>-2108205.5795686538</v>
      </c>
      <c r="DF119">
        <v>-2108205.5795686538</v>
      </c>
      <c r="DG119">
        <v>-2108205.5795686538</v>
      </c>
      <c r="DH119">
        <v>-2108205.5795686538</v>
      </c>
      <c r="DI119">
        <v>-2108205.5795686538</v>
      </c>
      <c r="DJ119">
        <v>-2108205.5795686538</v>
      </c>
      <c r="DK119">
        <v>-2108205.5795686538</v>
      </c>
      <c r="DL119">
        <v>-2108205.5795686538</v>
      </c>
      <c r="DM119">
        <v>-2108205.5795686538</v>
      </c>
      <c r="DN119">
        <v>-2160910.7190578696</v>
      </c>
      <c r="DO119">
        <v>-2160910.7190578696</v>
      </c>
      <c r="DP119">
        <v>-2160910.7190578696</v>
      </c>
      <c r="DQ119">
        <v>-2160910.7190578696</v>
      </c>
      <c r="DR119">
        <v>-2160910.7190578696</v>
      </c>
      <c r="DS119">
        <v>-2160910.7190578696</v>
      </c>
      <c r="DT119">
        <v>-2160910.7190578696</v>
      </c>
      <c r="DU119">
        <v>-2160910.7190578696</v>
      </c>
      <c r="DV119">
        <v>-2160910.7190578696</v>
      </c>
      <c r="DW119">
        <v>-2160910.7190578696</v>
      </c>
      <c r="DX119">
        <v>-2160910.7190578696</v>
      </c>
      <c r="DY119">
        <v>-2160910.7190578696</v>
      </c>
    </row>
    <row r="120" spans="3:129">
      <c r="E120" t="str">
        <f>E$103</f>
        <v>Management Fee</v>
      </c>
      <c r="G120" t="str">
        <f t="shared" ref="G120" si="5">G$103</f>
        <v>USD</v>
      </c>
      <c r="J120" cm="1">
        <f t="array" ref="J120:DY120">_xlfn.ANCHORARRAY( J103) * - 1</f>
        <v>-67536</v>
      </c>
      <c r="K120">
        <v>-67536</v>
      </c>
      <c r="L120">
        <v>-67536</v>
      </c>
      <c r="M120">
        <v>-67536</v>
      </c>
      <c r="N120">
        <v>-67536</v>
      </c>
      <c r="O120">
        <v>-67536</v>
      </c>
      <c r="P120">
        <v>-67536</v>
      </c>
      <c r="Q120">
        <v>-67536</v>
      </c>
      <c r="R120">
        <v>-67536</v>
      </c>
      <c r="S120">
        <v>-67536</v>
      </c>
      <c r="T120">
        <v>-67536</v>
      </c>
      <c r="U120">
        <v>-67536</v>
      </c>
      <c r="V120">
        <v>-70575.12</v>
      </c>
      <c r="W120">
        <v>-70575.12</v>
      </c>
      <c r="X120">
        <v>-70575.12</v>
      </c>
      <c r="Y120">
        <v>-70575.12</v>
      </c>
      <c r="Z120">
        <v>-70575.12</v>
      </c>
      <c r="AA120">
        <v>-70575.12</v>
      </c>
      <c r="AB120">
        <v>-70575.12</v>
      </c>
      <c r="AC120">
        <v>-80274.81</v>
      </c>
      <c r="AD120">
        <v>-88679.744999999995</v>
      </c>
      <c r="AE120">
        <v>-88679.744999999995</v>
      </c>
      <c r="AF120">
        <v>-88679.744999999995</v>
      </c>
      <c r="AG120">
        <v>-88679.744999999995</v>
      </c>
      <c r="AH120">
        <v>-92226.934800000003</v>
      </c>
      <c r="AI120">
        <v>-103569.86640000001</v>
      </c>
      <c r="AJ120">
        <v>-103569.86640000001</v>
      </c>
      <c r="AK120">
        <v>-103569.86640000001</v>
      </c>
      <c r="AL120">
        <v>-103569.86640000001</v>
      </c>
      <c r="AM120">
        <v>-103569.86640000001</v>
      </c>
      <c r="AN120">
        <v>-103569.86640000001</v>
      </c>
      <c r="AO120">
        <v>-103569.86640000001</v>
      </c>
      <c r="AP120">
        <v>-103569.86640000001</v>
      </c>
      <c r="AQ120">
        <v>-125434.10880000002</v>
      </c>
      <c r="AR120">
        <v>-125434.10880000002</v>
      </c>
      <c r="AS120">
        <v>-138945.2064</v>
      </c>
      <c r="AT120">
        <v>-143808.28862400001</v>
      </c>
      <c r="AU120">
        <v>-143808.28862400001</v>
      </c>
      <c r="AV120">
        <v>-143808.28862400001</v>
      </c>
      <c r="AW120">
        <v>-143808.28862400001</v>
      </c>
      <c r="AX120">
        <v>-143808.28862400001</v>
      </c>
      <c r="AY120">
        <v>-143808.28862400001</v>
      </c>
      <c r="AZ120">
        <v>-143808.28862400001</v>
      </c>
      <c r="BA120">
        <v>-143808.28862400001</v>
      </c>
      <c r="BB120">
        <v>-143808.28862400001</v>
      </c>
      <c r="BC120">
        <v>-143808.28862400001</v>
      </c>
      <c r="BD120">
        <v>-143808.28862400001</v>
      </c>
      <c r="BE120">
        <v>-143808.28862400001</v>
      </c>
      <c r="BF120">
        <v>-148122.53728271998</v>
      </c>
      <c r="BG120">
        <v>-148122.53728271998</v>
      </c>
      <c r="BH120">
        <v>-179021.94962652001</v>
      </c>
      <c r="BI120">
        <v>-179021.94962652001</v>
      </c>
      <c r="BJ120">
        <v>-179021.94962652001</v>
      </c>
      <c r="BK120">
        <v>-179021.94962652001</v>
      </c>
      <c r="BL120">
        <v>-179021.94962652001</v>
      </c>
      <c r="BM120">
        <v>-179021.94962652001</v>
      </c>
      <c r="BN120">
        <v>-179021.94962652001</v>
      </c>
      <c r="BO120">
        <v>-179021.94962652001</v>
      </c>
      <c r="BP120">
        <v>-179021.94962652001</v>
      </c>
      <c r="BQ120">
        <v>-179021.94962652001</v>
      </c>
      <c r="BR120">
        <v>-183497.498367183</v>
      </c>
      <c r="BS120">
        <v>-183497.498367183</v>
      </c>
      <c r="BT120">
        <v>-183497.498367183</v>
      </c>
      <c r="BU120">
        <v>-202151.49792938097</v>
      </c>
      <c r="BV120">
        <v>-202151.49792938097</v>
      </c>
      <c r="BW120">
        <v>-202151.49792938097</v>
      </c>
      <c r="BX120">
        <v>-202151.49792938097</v>
      </c>
      <c r="BY120">
        <v>-202151.49792938097</v>
      </c>
      <c r="BZ120">
        <v>-202151.49792938097</v>
      </c>
      <c r="CA120">
        <v>-202151.49792938097</v>
      </c>
      <c r="CB120">
        <v>-202151.49792938097</v>
      </c>
      <c r="CC120">
        <v>-221304.26753334899</v>
      </c>
      <c r="CD120">
        <v>-226836.87422168266</v>
      </c>
      <c r="CE120">
        <v>-226836.87422168266</v>
      </c>
      <c r="CF120">
        <v>-226836.87422168266</v>
      </c>
      <c r="CG120">
        <v>-226836.87422168266</v>
      </c>
      <c r="CH120">
        <v>-226836.87422168266</v>
      </c>
      <c r="CI120">
        <v>-226836.87422168266</v>
      </c>
      <c r="CJ120">
        <v>-226836.87422168266</v>
      </c>
      <c r="CK120">
        <v>-226836.87422168266</v>
      </c>
      <c r="CL120">
        <v>-226836.87422168266</v>
      </c>
      <c r="CM120">
        <v>-226836.87422168266</v>
      </c>
      <c r="CN120">
        <v>-226836.87422168266</v>
      </c>
      <c r="CO120">
        <v>-226836.87422168266</v>
      </c>
      <c r="CP120">
        <v>-232507.79607722472</v>
      </c>
      <c r="CQ120">
        <v>-232507.79607722472</v>
      </c>
      <c r="CR120">
        <v>-232507.79607722472</v>
      </c>
      <c r="CS120">
        <v>-232507.79607722472</v>
      </c>
      <c r="CT120">
        <v>-232507.79607722472</v>
      </c>
      <c r="CU120">
        <v>-232507.79607722472</v>
      </c>
      <c r="CV120">
        <v>-232507.79607722472</v>
      </c>
      <c r="CW120">
        <v>-232507.79607722472</v>
      </c>
      <c r="CX120">
        <v>-232507.79607722472</v>
      </c>
      <c r="CY120">
        <v>-232507.79607722472</v>
      </c>
      <c r="CZ120">
        <v>-232507.79607722472</v>
      </c>
      <c r="DA120">
        <v>-232507.79607722472</v>
      </c>
      <c r="DB120">
        <v>-238320.49097915529</v>
      </c>
      <c r="DC120">
        <v>-238320.49097915529</v>
      </c>
      <c r="DD120">
        <v>-238320.49097915529</v>
      </c>
      <c r="DE120">
        <v>-238320.49097915529</v>
      </c>
      <c r="DF120">
        <v>-238320.49097915529</v>
      </c>
      <c r="DG120">
        <v>-238320.49097915529</v>
      </c>
      <c r="DH120">
        <v>-238320.49097915529</v>
      </c>
      <c r="DI120">
        <v>-238320.49097915529</v>
      </c>
      <c r="DJ120">
        <v>-238320.49097915529</v>
      </c>
      <c r="DK120">
        <v>-238320.49097915529</v>
      </c>
      <c r="DL120">
        <v>-238320.49097915529</v>
      </c>
      <c r="DM120">
        <v>-238320.49097915529</v>
      </c>
      <c r="DN120">
        <v>-244278.50325363418</v>
      </c>
      <c r="DO120">
        <v>-244278.50325363418</v>
      </c>
      <c r="DP120">
        <v>-244278.50325363418</v>
      </c>
      <c r="DQ120">
        <v>-244278.50325363418</v>
      </c>
      <c r="DR120">
        <v>-244278.50325363418</v>
      </c>
      <c r="DS120">
        <v>-244278.50325363418</v>
      </c>
      <c r="DT120">
        <v>-244278.50325363418</v>
      </c>
      <c r="DU120">
        <v>-244278.50325363418</v>
      </c>
      <c r="DV120">
        <v>-244278.50325363418</v>
      </c>
      <c r="DW120">
        <v>-244278.50325363418</v>
      </c>
      <c r="DX120">
        <v>-244278.50325363418</v>
      </c>
      <c r="DY120">
        <v>-244278.50325363418</v>
      </c>
    </row>
    <row r="122" spans="3:129">
      <c r="C122" s="88" t="s">
        <v>145</v>
      </c>
      <c r="G122" s="88" t="s">
        <v>128</v>
      </c>
      <c r="H122" s="88"/>
      <c r="I122" s="88"/>
      <c r="J122" s="88" cm="1">
        <f t="array" ref="J122:DY122">_xlfn.BYCOL($J$111:$DY$120, _xleta.SUM )</f>
        <v>-2105346.25</v>
      </c>
      <c r="K122" s="88">
        <v>2210783.75</v>
      </c>
      <c r="L122" s="88">
        <v>2210783.75</v>
      </c>
      <c r="M122" s="88">
        <v>-1698114.25</v>
      </c>
      <c r="N122" s="88">
        <v>1262776.625</v>
      </c>
      <c r="O122" s="88">
        <v>1157442.5</v>
      </c>
      <c r="P122" s="88">
        <v>-3989926.75</v>
      </c>
      <c r="Q122" s="88">
        <v>736105.99999999977</v>
      </c>
      <c r="R122" s="88">
        <v>-110533.75</v>
      </c>
      <c r="S122" s="88">
        <v>-8323427</v>
      </c>
      <c r="T122" s="88">
        <v>-2886725.75</v>
      </c>
      <c r="U122" s="88">
        <v>-4906826.5</v>
      </c>
      <c r="V122" s="88">
        <v>-10321857.016249999</v>
      </c>
      <c r="W122" s="88">
        <v>-6383039.9062500009</v>
      </c>
      <c r="X122" s="88">
        <v>-8063225.0312500009</v>
      </c>
      <c r="Y122" s="88">
        <v>-11556720.36375</v>
      </c>
      <c r="Z122" s="88">
        <v>-9660528.65625</v>
      </c>
      <c r="AA122" s="88">
        <v>-11791451.38125</v>
      </c>
      <c r="AB122" s="88">
        <v>-11066914.75625</v>
      </c>
      <c r="AC122" s="88">
        <v>-7172830.8087499999</v>
      </c>
      <c r="AD122" s="88">
        <v>-5515531.5437500002</v>
      </c>
      <c r="AE122" s="88">
        <v>-6394167.956249998</v>
      </c>
      <c r="AF122" s="88">
        <v>-7312806.7874999978</v>
      </c>
      <c r="AG122" s="88">
        <v>-7478194.6437499998</v>
      </c>
      <c r="AH122" s="88">
        <v>-15822252.14453125</v>
      </c>
      <c r="AI122" s="88">
        <v>-7242459.7183499979</v>
      </c>
      <c r="AJ122" s="88">
        <v>-8366330.3603499988</v>
      </c>
      <c r="AK122" s="88">
        <v>-14384103.590824999</v>
      </c>
      <c r="AL122" s="88">
        <v>-11284112.991224997</v>
      </c>
      <c r="AM122" s="88">
        <v>-12743004.306662496</v>
      </c>
      <c r="AN122" s="88">
        <v>-12591665.722099999</v>
      </c>
      <c r="AO122" s="88">
        <v>-10770138.630099997</v>
      </c>
      <c r="AP122" s="88">
        <v>-5915335.3952874998</v>
      </c>
      <c r="AQ122" s="88">
        <v>-1698321.0977187499</v>
      </c>
      <c r="AR122" s="88">
        <v>-1010452.364499999</v>
      </c>
      <c r="AS122" s="88">
        <v>250196.79736875175</v>
      </c>
      <c r="AT122" s="88">
        <v>-6306544.4363144673</v>
      </c>
      <c r="AU122" s="88">
        <v>-385349.55094271968</v>
      </c>
      <c r="AV122" s="88">
        <v>-779924.93528521969</v>
      </c>
      <c r="AW122" s="88">
        <v>-1508488.7876302188</v>
      </c>
      <c r="AX122" s="88">
        <v>-2237052.6399752195</v>
      </c>
      <c r="AY122" s="88">
        <v>-3686834.5940520936</v>
      </c>
      <c r="AZ122" s="88">
        <v>-11188627.384322593</v>
      </c>
      <c r="BA122" s="88">
        <v>-6255447.7733055316</v>
      </c>
      <c r="BB122" s="88">
        <v>-6541624.1846402176</v>
      </c>
      <c r="BC122" s="88">
        <v>-6516983.9052264672</v>
      </c>
      <c r="BD122" s="88">
        <v>-6826732.7028986551</v>
      </c>
      <c r="BE122" s="88">
        <v>-6556966.3629208412</v>
      </c>
      <c r="BF122" s="88">
        <v>-5227729.1681786831</v>
      </c>
      <c r="BG122" s="88">
        <v>-2385022.5693855584</v>
      </c>
      <c r="BH122" s="88">
        <v>576259.00248821918</v>
      </c>
      <c r="BI122" s="88">
        <v>404223.62903940678</v>
      </c>
      <c r="BJ122" s="88">
        <v>232188.2555905944</v>
      </c>
      <c r="BK122" s="88">
        <v>60152.882141782</v>
      </c>
      <c r="BL122" s="88">
        <v>-857883.39530703053</v>
      </c>
      <c r="BM122" s="88">
        <v>-1364307.8458417812</v>
      </c>
      <c r="BN122" s="88">
        <v>-1986605.0926657813</v>
      </c>
      <c r="BO122" s="88">
        <v>-2690981.0009034299</v>
      </c>
      <c r="BP122" s="88">
        <v>-2649356.0051410799</v>
      </c>
      <c r="BQ122" s="88">
        <v>-3356732.643711329</v>
      </c>
      <c r="BR122" s="88">
        <v>-2505277.1897323732</v>
      </c>
      <c r="BS122" s="88">
        <v>-2542910.0674950038</v>
      </c>
      <c r="BT122" s="88">
        <v>-1198755.4471403384</v>
      </c>
      <c r="BU122" s="88">
        <v>725938.3965493124</v>
      </c>
      <c r="BV122" s="88">
        <v>825806.7063712161</v>
      </c>
      <c r="BW122" s="88">
        <v>179674.11219312157</v>
      </c>
      <c r="BX122" s="88">
        <v>279542.42201502714</v>
      </c>
      <c r="BY122" s="88">
        <v>379410.73183693457</v>
      </c>
      <c r="BZ122" s="88">
        <v>1971280.8496588387</v>
      </c>
      <c r="CA122" s="88">
        <v>3493198.469122502</v>
      </c>
      <c r="CB122" s="88">
        <v>5015116.0885861656</v>
      </c>
      <c r="CC122" s="88">
        <v>6481190.7494873358</v>
      </c>
      <c r="CD122" s="88">
        <v>6772042.16919511</v>
      </c>
      <c r="CE122" s="88">
        <v>6900863.8201657012</v>
      </c>
      <c r="CF122" s="88">
        <v>7022922.2013251036</v>
      </c>
      <c r="CG122" s="88">
        <v>7125063.5517019499</v>
      </c>
      <c r="CH122" s="88">
        <v>7227204.902078798</v>
      </c>
      <c r="CI122" s="88">
        <v>7255727.7942903917</v>
      </c>
      <c r="CJ122" s="88">
        <v>7284250.6865019873</v>
      </c>
      <c r="CK122" s="88">
        <v>7312773.5787135828</v>
      </c>
      <c r="CL122" s="88">
        <v>7341296.4709251765</v>
      </c>
      <c r="CM122" s="88">
        <v>7369819.3631367739</v>
      </c>
      <c r="CN122" s="88">
        <v>7398342.2553483676</v>
      </c>
      <c r="CO122" s="88">
        <v>7406415.5758473929</v>
      </c>
      <c r="CP122" s="88">
        <v>7599851.118755077</v>
      </c>
      <c r="CQ122" s="88">
        <v>7608126.272266577</v>
      </c>
      <c r="CR122" s="88">
        <v>7616401.4257780788</v>
      </c>
      <c r="CS122" s="88">
        <v>7620593.5879791556</v>
      </c>
      <c r="CT122" s="88">
        <v>7624785.7501802323</v>
      </c>
      <c r="CU122" s="88">
        <v>7628977.9123813091</v>
      </c>
      <c r="CV122" s="88">
        <v>7633170.0745823858</v>
      </c>
      <c r="CW122" s="88">
        <v>7637362.2367834626</v>
      </c>
      <c r="CX122" s="88">
        <v>7641554.3989845393</v>
      </c>
      <c r="CY122" s="88">
        <v>7645746.5611856161</v>
      </c>
      <c r="CZ122" s="88">
        <v>7649938.7233866928</v>
      </c>
      <c r="DA122" s="88">
        <v>7649938.7233866928</v>
      </c>
      <c r="DB122" s="88">
        <v>7841187.1914713569</v>
      </c>
      <c r="DC122" s="88">
        <v>7841187.1914713569</v>
      </c>
      <c r="DD122" s="88">
        <v>7841187.1914713569</v>
      </c>
      <c r="DE122" s="88">
        <v>7841187.1914713569</v>
      </c>
      <c r="DF122" s="88">
        <v>7841187.1914713569</v>
      </c>
      <c r="DG122" s="88">
        <v>7841187.1914713569</v>
      </c>
      <c r="DH122" s="88">
        <v>7841187.1914713569</v>
      </c>
      <c r="DI122" s="88">
        <v>7841187.1914713569</v>
      </c>
      <c r="DJ122" s="88">
        <v>7841187.1914713569</v>
      </c>
      <c r="DK122" s="88">
        <v>7841187.1914713569</v>
      </c>
      <c r="DL122" s="88">
        <v>7841187.1914713569</v>
      </c>
      <c r="DM122" s="88">
        <v>7841187.1914713569</v>
      </c>
      <c r="DN122" s="88">
        <v>8037216.8712581443</v>
      </c>
      <c r="DO122" s="88">
        <v>8037216.8712581443</v>
      </c>
      <c r="DP122" s="88">
        <v>8037216.8712581443</v>
      </c>
      <c r="DQ122" s="88">
        <v>8037216.8712581443</v>
      </c>
      <c r="DR122" s="88">
        <v>8037216.8712581443</v>
      </c>
      <c r="DS122" s="88">
        <v>8037216.8712581443</v>
      </c>
      <c r="DT122" s="88">
        <v>8037216.8712581443</v>
      </c>
      <c r="DU122" s="88">
        <v>8037216.8712581443</v>
      </c>
      <c r="DV122" s="88">
        <v>8037216.8712581443</v>
      </c>
      <c r="DW122" s="88">
        <v>8037216.8712581443</v>
      </c>
      <c r="DX122" s="88">
        <v>8037216.8712581443</v>
      </c>
      <c r="DY122" s="88">
        <v>8037216.8712581443</v>
      </c>
    </row>
    <row r="124" spans="3:129">
      <c r="E124" t="s">
        <v>146</v>
      </c>
      <c r="G124" t="s">
        <v>128</v>
      </c>
      <c r="J124" cm="1">
        <f t="array" ref="J124:DY124" xml:space="preserve"> _xlfn.DROP( _xlfn.HSTACK( 0,_xlfn.ANCHORARRAY( J126) ),, -1 )</f>
        <v>0</v>
      </c>
      <c r="K124">
        <v>-2105346.25</v>
      </c>
      <c r="L124">
        <v>105437.5</v>
      </c>
      <c r="M124">
        <v>2316221.25</v>
      </c>
      <c r="N124">
        <v>618107</v>
      </c>
      <c r="O124">
        <v>1880883.625</v>
      </c>
      <c r="P124">
        <v>3038326.125</v>
      </c>
      <c r="Q124">
        <v>-951600.625</v>
      </c>
      <c r="R124">
        <v>-215494.62500000023</v>
      </c>
      <c r="S124">
        <v>-326028.37500000023</v>
      </c>
      <c r="T124">
        <v>-8649455.375</v>
      </c>
      <c r="U124">
        <v>-11536181.125</v>
      </c>
      <c r="V124">
        <v>-16443007.625</v>
      </c>
      <c r="W124">
        <v>-26764864.641249999</v>
      </c>
      <c r="X124">
        <v>-33147904.547499999</v>
      </c>
      <c r="Y124">
        <v>-41211129.578749999</v>
      </c>
      <c r="Z124">
        <v>-52767849.942499995</v>
      </c>
      <c r="AA124">
        <v>-62428378.598749995</v>
      </c>
      <c r="AB124">
        <v>-74219829.979999989</v>
      </c>
      <c r="AC124">
        <v>-85286744.736249983</v>
      </c>
      <c r="AD124">
        <v>-92459575.544999987</v>
      </c>
      <c r="AE124">
        <v>-97975107.08874999</v>
      </c>
      <c r="AF124">
        <v>-104369275.04499999</v>
      </c>
      <c r="AG124">
        <v>-111682081.83249998</v>
      </c>
      <c r="AH124">
        <v>-119160276.47624998</v>
      </c>
      <c r="AI124">
        <v>-134982528.62078124</v>
      </c>
      <c r="AJ124">
        <v>-142224988.33913124</v>
      </c>
      <c r="AK124">
        <v>-150591318.69948125</v>
      </c>
      <c r="AL124">
        <v>-164975422.29030624</v>
      </c>
      <c r="AM124">
        <v>-176259535.28153124</v>
      </c>
      <c r="AN124">
        <v>-189002539.58819374</v>
      </c>
      <c r="AO124">
        <v>-201594205.31029373</v>
      </c>
      <c r="AP124">
        <v>-212364343.94039375</v>
      </c>
      <c r="AQ124">
        <v>-218279679.33568126</v>
      </c>
      <c r="AR124">
        <v>-219978000.43340001</v>
      </c>
      <c r="AS124">
        <v>-220988452.79789999</v>
      </c>
      <c r="AT124">
        <v>-220738256.00053123</v>
      </c>
      <c r="AU124">
        <v>-227044800.43684569</v>
      </c>
      <c r="AV124">
        <v>-227430149.98778841</v>
      </c>
      <c r="AW124">
        <v>-228210074.92307362</v>
      </c>
      <c r="AX124">
        <v>-229718563.71070385</v>
      </c>
      <c r="AY124">
        <v>-231955616.35067907</v>
      </c>
      <c r="AZ124">
        <v>-235642450.94473118</v>
      </c>
      <c r="BA124">
        <v>-246831078.32905376</v>
      </c>
      <c r="BB124">
        <v>-253086526.10235929</v>
      </c>
      <c r="BC124">
        <v>-259628150.28699952</v>
      </c>
      <c r="BD124">
        <v>-266145134.19222599</v>
      </c>
      <c r="BE124">
        <v>-272971866.89512467</v>
      </c>
      <c r="BF124">
        <v>-279528833.25804549</v>
      </c>
      <c r="BG124">
        <v>-284756562.42622417</v>
      </c>
      <c r="BH124">
        <v>-287141584.99560976</v>
      </c>
      <c r="BI124">
        <v>-286565325.99312156</v>
      </c>
      <c r="BJ124">
        <v>-286161102.36408216</v>
      </c>
      <c r="BK124">
        <v>-285928914.10849154</v>
      </c>
      <c r="BL124">
        <v>-285868761.22634977</v>
      </c>
      <c r="BM124">
        <v>-286726644.62165678</v>
      </c>
      <c r="BN124">
        <v>-288090952.46749854</v>
      </c>
      <c r="BO124">
        <v>-290077557.56016433</v>
      </c>
      <c r="BP124">
        <v>-292768538.56106776</v>
      </c>
      <c r="BQ124">
        <v>-295417894.56620884</v>
      </c>
      <c r="BR124">
        <v>-298774627.20992017</v>
      </c>
      <c r="BS124">
        <v>-301279904.39965254</v>
      </c>
      <c r="BT124">
        <v>-303822814.46714753</v>
      </c>
      <c r="BU124">
        <v>-305021569.91428787</v>
      </c>
      <c r="BV124">
        <v>-304295631.51773858</v>
      </c>
      <c r="BW124">
        <v>-303469824.81136739</v>
      </c>
      <c r="BX124">
        <v>-303290150.69917428</v>
      </c>
      <c r="BY124">
        <v>-303010608.27715927</v>
      </c>
      <c r="BZ124">
        <v>-302631197.54532236</v>
      </c>
      <c r="CA124">
        <v>-300659916.69566351</v>
      </c>
      <c r="CB124">
        <v>-297166718.22654098</v>
      </c>
      <c r="CC124">
        <v>-292151602.13795483</v>
      </c>
      <c r="CD124">
        <v>-285670411.38846749</v>
      </c>
      <c r="CE124">
        <v>-278898369.21927238</v>
      </c>
      <c r="CF124">
        <v>-271997505.39910668</v>
      </c>
      <c r="CG124">
        <v>-264974583.19778156</v>
      </c>
      <c r="CH124">
        <v>-257849519.6460796</v>
      </c>
      <c r="CI124">
        <v>-250622314.74400079</v>
      </c>
      <c r="CJ124">
        <v>-243366586.9497104</v>
      </c>
      <c r="CK124">
        <v>-236082336.26320842</v>
      </c>
      <c r="CL124">
        <v>-228769562.68449482</v>
      </c>
      <c r="CM124">
        <v>-221428266.21356964</v>
      </c>
      <c r="CN124">
        <v>-214058446.85043287</v>
      </c>
      <c r="CO124">
        <v>-206660104.59508452</v>
      </c>
      <c r="CP124">
        <v>-199253689.01923713</v>
      </c>
      <c r="CQ124">
        <v>-191653837.90048206</v>
      </c>
      <c r="CR124">
        <v>-184045711.62821549</v>
      </c>
      <c r="CS124">
        <v>-176429310.2024374</v>
      </c>
      <c r="CT124">
        <v>-168808716.61445823</v>
      </c>
      <c r="CU124">
        <v>-161183930.86427799</v>
      </c>
      <c r="CV124">
        <v>-153554952.95189667</v>
      </c>
      <c r="CW124">
        <v>-145921782.87731427</v>
      </c>
      <c r="CX124">
        <v>-138284420.64053079</v>
      </c>
      <c r="CY124">
        <v>-130642866.24154626</v>
      </c>
      <c r="CZ124">
        <v>-122997119.68036065</v>
      </c>
      <c r="DA124">
        <v>-115347180.95697396</v>
      </c>
      <c r="DB124">
        <v>-107697242.23358727</v>
      </c>
      <c r="DC124">
        <v>-99856055.042115912</v>
      </c>
      <c r="DD124">
        <v>-92014867.850644559</v>
      </c>
      <c r="DE124">
        <v>-84173680.659173205</v>
      </c>
      <c r="DF124">
        <v>-76332493.467701852</v>
      </c>
      <c r="DG124">
        <v>-68491306.276230499</v>
      </c>
      <c r="DH124">
        <v>-60650119.084759146</v>
      </c>
      <c r="DI124">
        <v>-52808931.893287793</v>
      </c>
      <c r="DJ124">
        <v>-44967744.70181644</v>
      </c>
      <c r="DK124">
        <v>-37126557.510345086</v>
      </c>
      <c r="DL124">
        <v>-29285370.31887373</v>
      </c>
      <c r="DM124">
        <v>-21444183.127402373</v>
      </c>
      <c r="DN124">
        <v>-13602995.935931016</v>
      </c>
      <c r="DO124">
        <v>-5565779.0646728715</v>
      </c>
      <c r="DP124">
        <v>2471437.8065852728</v>
      </c>
      <c r="DQ124">
        <v>10508654.677843418</v>
      </c>
      <c r="DR124">
        <v>18545871.549101561</v>
      </c>
      <c r="DS124">
        <v>26583088.420359705</v>
      </c>
      <c r="DT124">
        <v>34620305.291617848</v>
      </c>
      <c r="DU124">
        <v>42657522.162875995</v>
      </c>
      <c r="DV124">
        <v>50694739.034134142</v>
      </c>
      <c r="DW124">
        <v>58731955.905392289</v>
      </c>
      <c r="DX124">
        <v>66769172.776650436</v>
      </c>
      <c r="DY124">
        <v>74806389.647908583</v>
      </c>
    </row>
    <row r="125" spans="3:129">
      <c r="E125" t="s">
        <v>145</v>
      </c>
      <c r="G125" t="s">
        <v>128</v>
      </c>
      <c r="J125" cm="1">
        <f t="array" ref="J125:DY125">_xlfn.ANCHORARRAY( J122)</f>
        <v>-2105346.25</v>
      </c>
      <c r="K125">
        <v>2210783.75</v>
      </c>
      <c r="L125">
        <v>2210783.75</v>
      </c>
      <c r="M125">
        <v>-1698114.25</v>
      </c>
      <c r="N125">
        <v>1262776.625</v>
      </c>
      <c r="O125">
        <v>1157442.5</v>
      </c>
      <c r="P125">
        <v>-3989926.75</v>
      </c>
      <c r="Q125">
        <v>736105.99999999977</v>
      </c>
      <c r="R125">
        <v>-110533.75</v>
      </c>
      <c r="S125">
        <v>-8323427</v>
      </c>
      <c r="T125">
        <v>-2886725.75</v>
      </c>
      <c r="U125">
        <v>-4906826.5</v>
      </c>
      <c r="V125">
        <v>-10321857.016249999</v>
      </c>
      <c r="W125">
        <v>-6383039.9062500009</v>
      </c>
      <c r="X125">
        <v>-8063225.0312500009</v>
      </c>
      <c r="Y125">
        <v>-11556720.36375</v>
      </c>
      <c r="Z125">
        <v>-9660528.65625</v>
      </c>
      <c r="AA125">
        <v>-11791451.38125</v>
      </c>
      <c r="AB125">
        <v>-11066914.75625</v>
      </c>
      <c r="AC125">
        <v>-7172830.8087499999</v>
      </c>
      <c r="AD125">
        <v>-5515531.5437500002</v>
      </c>
      <c r="AE125">
        <v>-6394167.956249998</v>
      </c>
      <c r="AF125">
        <v>-7312806.7874999978</v>
      </c>
      <c r="AG125">
        <v>-7478194.6437499998</v>
      </c>
      <c r="AH125">
        <v>-15822252.14453125</v>
      </c>
      <c r="AI125">
        <v>-7242459.7183499979</v>
      </c>
      <c r="AJ125">
        <v>-8366330.3603499988</v>
      </c>
      <c r="AK125">
        <v>-14384103.590824999</v>
      </c>
      <c r="AL125">
        <v>-11284112.991224997</v>
      </c>
      <c r="AM125">
        <v>-12743004.306662496</v>
      </c>
      <c r="AN125">
        <v>-12591665.722099999</v>
      </c>
      <c r="AO125">
        <v>-10770138.630099997</v>
      </c>
      <c r="AP125">
        <v>-5915335.3952874998</v>
      </c>
      <c r="AQ125">
        <v>-1698321.0977187499</v>
      </c>
      <c r="AR125">
        <v>-1010452.364499999</v>
      </c>
      <c r="AS125">
        <v>250196.79736875175</v>
      </c>
      <c r="AT125">
        <v>-6306544.4363144673</v>
      </c>
      <c r="AU125">
        <v>-385349.55094271968</v>
      </c>
      <c r="AV125">
        <v>-779924.93528521969</v>
      </c>
      <c r="AW125">
        <v>-1508488.7876302188</v>
      </c>
      <c r="AX125">
        <v>-2237052.6399752195</v>
      </c>
      <c r="AY125">
        <v>-3686834.5940520936</v>
      </c>
      <c r="AZ125">
        <v>-11188627.384322593</v>
      </c>
      <c r="BA125">
        <v>-6255447.7733055316</v>
      </c>
      <c r="BB125">
        <v>-6541624.1846402176</v>
      </c>
      <c r="BC125">
        <v>-6516983.9052264672</v>
      </c>
      <c r="BD125">
        <v>-6826732.7028986551</v>
      </c>
      <c r="BE125">
        <v>-6556966.3629208412</v>
      </c>
      <c r="BF125">
        <v>-5227729.1681786831</v>
      </c>
      <c r="BG125">
        <v>-2385022.5693855584</v>
      </c>
      <c r="BH125">
        <v>576259.00248821918</v>
      </c>
      <c r="BI125">
        <v>404223.62903940678</v>
      </c>
      <c r="BJ125">
        <v>232188.2555905944</v>
      </c>
      <c r="BK125">
        <v>60152.882141782</v>
      </c>
      <c r="BL125">
        <v>-857883.39530703053</v>
      </c>
      <c r="BM125">
        <v>-1364307.8458417812</v>
      </c>
      <c r="BN125">
        <v>-1986605.0926657813</v>
      </c>
      <c r="BO125">
        <v>-2690981.0009034299</v>
      </c>
      <c r="BP125">
        <v>-2649356.0051410799</v>
      </c>
      <c r="BQ125">
        <v>-3356732.643711329</v>
      </c>
      <c r="BR125">
        <v>-2505277.1897323732</v>
      </c>
      <c r="BS125">
        <v>-2542910.0674950038</v>
      </c>
      <c r="BT125">
        <v>-1198755.4471403384</v>
      </c>
      <c r="BU125">
        <v>725938.3965493124</v>
      </c>
      <c r="BV125">
        <v>825806.7063712161</v>
      </c>
      <c r="BW125">
        <v>179674.11219312157</v>
      </c>
      <c r="BX125">
        <v>279542.42201502714</v>
      </c>
      <c r="BY125">
        <v>379410.73183693457</v>
      </c>
      <c r="BZ125">
        <v>1971280.8496588387</v>
      </c>
      <c r="CA125">
        <v>3493198.469122502</v>
      </c>
      <c r="CB125">
        <v>5015116.0885861656</v>
      </c>
      <c r="CC125">
        <v>6481190.7494873358</v>
      </c>
      <c r="CD125">
        <v>6772042.16919511</v>
      </c>
      <c r="CE125">
        <v>6900863.8201657012</v>
      </c>
      <c r="CF125">
        <v>7022922.2013251036</v>
      </c>
      <c r="CG125">
        <v>7125063.5517019499</v>
      </c>
      <c r="CH125">
        <v>7227204.902078798</v>
      </c>
      <c r="CI125">
        <v>7255727.7942903917</v>
      </c>
      <c r="CJ125">
        <v>7284250.6865019873</v>
      </c>
      <c r="CK125">
        <v>7312773.5787135828</v>
      </c>
      <c r="CL125">
        <v>7341296.4709251765</v>
      </c>
      <c r="CM125">
        <v>7369819.3631367739</v>
      </c>
      <c r="CN125">
        <v>7398342.2553483676</v>
      </c>
      <c r="CO125">
        <v>7406415.5758473929</v>
      </c>
      <c r="CP125">
        <v>7599851.118755077</v>
      </c>
      <c r="CQ125">
        <v>7608126.272266577</v>
      </c>
      <c r="CR125">
        <v>7616401.4257780788</v>
      </c>
      <c r="CS125">
        <v>7620593.5879791556</v>
      </c>
      <c r="CT125">
        <v>7624785.7501802323</v>
      </c>
      <c r="CU125">
        <v>7628977.9123813091</v>
      </c>
      <c r="CV125">
        <v>7633170.0745823858</v>
      </c>
      <c r="CW125">
        <v>7637362.2367834626</v>
      </c>
      <c r="CX125">
        <v>7641554.3989845393</v>
      </c>
      <c r="CY125">
        <v>7645746.5611856161</v>
      </c>
      <c r="CZ125">
        <v>7649938.7233866928</v>
      </c>
      <c r="DA125">
        <v>7649938.7233866928</v>
      </c>
      <c r="DB125">
        <v>7841187.1914713569</v>
      </c>
      <c r="DC125">
        <v>7841187.1914713569</v>
      </c>
      <c r="DD125">
        <v>7841187.1914713569</v>
      </c>
      <c r="DE125">
        <v>7841187.1914713569</v>
      </c>
      <c r="DF125">
        <v>7841187.1914713569</v>
      </c>
      <c r="DG125">
        <v>7841187.1914713569</v>
      </c>
      <c r="DH125">
        <v>7841187.1914713569</v>
      </c>
      <c r="DI125">
        <v>7841187.1914713569</v>
      </c>
      <c r="DJ125">
        <v>7841187.1914713569</v>
      </c>
      <c r="DK125">
        <v>7841187.1914713569</v>
      </c>
      <c r="DL125">
        <v>7841187.1914713569</v>
      </c>
      <c r="DM125">
        <v>7841187.1914713569</v>
      </c>
      <c r="DN125">
        <v>8037216.8712581443</v>
      </c>
      <c r="DO125">
        <v>8037216.8712581443</v>
      </c>
      <c r="DP125">
        <v>8037216.8712581443</v>
      </c>
      <c r="DQ125">
        <v>8037216.8712581443</v>
      </c>
      <c r="DR125">
        <v>8037216.8712581443</v>
      </c>
      <c r="DS125">
        <v>8037216.8712581443</v>
      </c>
      <c r="DT125">
        <v>8037216.8712581443</v>
      </c>
      <c r="DU125">
        <v>8037216.8712581443</v>
      </c>
      <c r="DV125">
        <v>8037216.8712581443</v>
      </c>
      <c r="DW125">
        <v>8037216.8712581443</v>
      </c>
      <c r="DX125">
        <v>8037216.8712581443</v>
      </c>
      <c r="DY125">
        <v>8037216.8712581443</v>
      </c>
    </row>
    <row r="126" spans="3:129">
      <c r="E126" t="s">
        <v>147</v>
      </c>
      <c r="G126" t="s">
        <v>128</v>
      </c>
      <c r="J126" cm="1">
        <f t="array" ref="J126:DY126" xml:space="preserve"> _xlfn.SCAN( 0,_xlfn.ANCHORARRAY( J125), _xleta.SUM )</f>
        <v>-2105346.25</v>
      </c>
      <c r="K126">
        <v>105437.5</v>
      </c>
      <c r="L126">
        <v>2316221.25</v>
      </c>
      <c r="M126">
        <v>618107</v>
      </c>
      <c r="N126">
        <v>1880883.625</v>
      </c>
      <c r="O126">
        <v>3038326.125</v>
      </c>
      <c r="P126">
        <v>-951600.625</v>
      </c>
      <c r="Q126">
        <v>-215494.62500000023</v>
      </c>
      <c r="R126">
        <v>-326028.37500000023</v>
      </c>
      <c r="S126">
        <v>-8649455.375</v>
      </c>
      <c r="T126">
        <v>-11536181.125</v>
      </c>
      <c r="U126">
        <v>-16443007.625</v>
      </c>
      <c r="V126">
        <v>-26764864.641249999</v>
      </c>
      <c r="W126">
        <v>-33147904.547499999</v>
      </c>
      <c r="X126">
        <v>-41211129.578749999</v>
      </c>
      <c r="Y126">
        <v>-52767849.942499995</v>
      </c>
      <c r="Z126">
        <v>-62428378.598749995</v>
      </c>
      <c r="AA126">
        <v>-74219829.979999989</v>
      </c>
      <c r="AB126">
        <v>-85286744.736249983</v>
      </c>
      <c r="AC126">
        <v>-92459575.544999987</v>
      </c>
      <c r="AD126">
        <v>-97975107.08874999</v>
      </c>
      <c r="AE126">
        <v>-104369275.04499999</v>
      </c>
      <c r="AF126">
        <v>-111682081.83249998</v>
      </c>
      <c r="AG126">
        <v>-119160276.47624998</v>
      </c>
      <c r="AH126">
        <v>-134982528.62078124</v>
      </c>
      <c r="AI126">
        <v>-142224988.33913124</v>
      </c>
      <c r="AJ126">
        <v>-150591318.69948125</v>
      </c>
      <c r="AK126">
        <v>-164975422.29030624</v>
      </c>
      <c r="AL126">
        <v>-176259535.28153124</v>
      </c>
      <c r="AM126">
        <v>-189002539.58819374</v>
      </c>
      <c r="AN126">
        <v>-201594205.31029373</v>
      </c>
      <c r="AO126">
        <v>-212364343.94039375</v>
      </c>
      <c r="AP126">
        <v>-218279679.33568126</v>
      </c>
      <c r="AQ126">
        <v>-219978000.43340001</v>
      </c>
      <c r="AR126">
        <v>-220988452.79789999</v>
      </c>
      <c r="AS126">
        <v>-220738256.00053123</v>
      </c>
      <c r="AT126">
        <v>-227044800.43684569</v>
      </c>
      <c r="AU126">
        <v>-227430149.98778841</v>
      </c>
      <c r="AV126">
        <v>-228210074.92307362</v>
      </c>
      <c r="AW126">
        <v>-229718563.71070385</v>
      </c>
      <c r="AX126">
        <v>-231955616.35067907</v>
      </c>
      <c r="AY126">
        <v>-235642450.94473118</v>
      </c>
      <c r="AZ126">
        <v>-246831078.32905376</v>
      </c>
      <c r="BA126">
        <v>-253086526.10235929</v>
      </c>
      <c r="BB126">
        <v>-259628150.28699952</v>
      </c>
      <c r="BC126">
        <v>-266145134.19222599</v>
      </c>
      <c r="BD126">
        <v>-272971866.89512467</v>
      </c>
      <c r="BE126">
        <v>-279528833.25804549</v>
      </c>
      <c r="BF126">
        <v>-284756562.42622417</v>
      </c>
      <c r="BG126">
        <v>-287141584.99560976</v>
      </c>
      <c r="BH126">
        <v>-286565325.99312156</v>
      </c>
      <c r="BI126">
        <v>-286161102.36408216</v>
      </c>
      <c r="BJ126">
        <v>-285928914.10849154</v>
      </c>
      <c r="BK126">
        <v>-285868761.22634977</v>
      </c>
      <c r="BL126">
        <v>-286726644.62165678</v>
      </c>
      <c r="BM126">
        <v>-288090952.46749854</v>
      </c>
      <c r="BN126">
        <v>-290077557.56016433</v>
      </c>
      <c r="BO126">
        <v>-292768538.56106776</v>
      </c>
      <c r="BP126">
        <v>-295417894.56620884</v>
      </c>
      <c r="BQ126">
        <v>-298774627.20992017</v>
      </c>
      <c r="BR126">
        <v>-301279904.39965254</v>
      </c>
      <c r="BS126">
        <v>-303822814.46714753</v>
      </c>
      <c r="BT126">
        <v>-305021569.91428787</v>
      </c>
      <c r="BU126">
        <v>-304295631.51773858</v>
      </c>
      <c r="BV126">
        <v>-303469824.81136739</v>
      </c>
      <c r="BW126">
        <v>-303290150.69917428</v>
      </c>
      <c r="BX126">
        <v>-303010608.27715927</v>
      </c>
      <c r="BY126">
        <v>-302631197.54532236</v>
      </c>
      <c r="BZ126">
        <v>-300659916.69566351</v>
      </c>
      <c r="CA126">
        <v>-297166718.22654098</v>
      </c>
      <c r="CB126">
        <v>-292151602.13795483</v>
      </c>
      <c r="CC126">
        <v>-285670411.38846749</v>
      </c>
      <c r="CD126">
        <v>-278898369.21927238</v>
      </c>
      <c r="CE126">
        <v>-271997505.39910668</v>
      </c>
      <c r="CF126">
        <v>-264974583.19778156</v>
      </c>
      <c r="CG126">
        <v>-257849519.6460796</v>
      </c>
      <c r="CH126">
        <v>-250622314.74400079</v>
      </c>
      <c r="CI126">
        <v>-243366586.9497104</v>
      </c>
      <c r="CJ126">
        <v>-236082336.26320842</v>
      </c>
      <c r="CK126">
        <v>-228769562.68449482</v>
      </c>
      <c r="CL126">
        <v>-221428266.21356964</v>
      </c>
      <c r="CM126">
        <v>-214058446.85043287</v>
      </c>
      <c r="CN126">
        <v>-206660104.59508452</v>
      </c>
      <c r="CO126">
        <v>-199253689.01923713</v>
      </c>
      <c r="CP126">
        <v>-191653837.90048206</v>
      </c>
      <c r="CQ126">
        <v>-184045711.62821549</v>
      </c>
      <c r="CR126">
        <v>-176429310.2024374</v>
      </c>
      <c r="CS126">
        <v>-168808716.61445823</v>
      </c>
      <c r="CT126">
        <v>-161183930.86427799</v>
      </c>
      <c r="CU126">
        <v>-153554952.95189667</v>
      </c>
      <c r="CV126">
        <v>-145921782.87731427</v>
      </c>
      <c r="CW126">
        <v>-138284420.64053079</v>
      </c>
      <c r="CX126">
        <v>-130642866.24154626</v>
      </c>
      <c r="CY126">
        <v>-122997119.68036065</v>
      </c>
      <c r="CZ126">
        <v>-115347180.95697396</v>
      </c>
      <c r="DA126">
        <v>-107697242.23358727</v>
      </c>
      <c r="DB126">
        <v>-99856055.042115912</v>
      </c>
      <c r="DC126">
        <v>-92014867.850644559</v>
      </c>
      <c r="DD126">
        <v>-84173680.659173205</v>
      </c>
      <c r="DE126">
        <v>-76332493.467701852</v>
      </c>
      <c r="DF126">
        <v>-68491306.276230499</v>
      </c>
      <c r="DG126">
        <v>-60650119.084759146</v>
      </c>
      <c r="DH126">
        <v>-52808931.893287793</v>
      </c>
      <c r="DI126">
        <v>-44967744.70181644</v>
      </c>
      <c r="DJ126">
        <v>-37126557.510345086</v>
      </c>
      <c r="DK126">
        <v>-29285370.31887373</v>
      </c>
      <c r="DL126">
        <v>-21444183.127402373</v>
      </c>
      <c r="DM126">
        <v>-13602995.935931016</v>
      </c>
      <c r="DN126">
        <v>-5565779.0646728715</v>
      </c>
      <c r="DO126">
        <v>2471437.8065852728</v>
      </c>
      <c r="DP126">
        <v>10508654.677843418</v>
      </c>
      <c r="DQ126">
        <v>18545871.549101561</v>
      </c>
      <c r="DR126">
        <v>26583088.420359705</v>
      </c>
      <c r="DS126">
        <v>34620305.291617848</v>
      </c>
      <c r="DT126">
        <v>42657522.162875995</v>
      </c>
      <c r="DU126">
        <v>50694739.034134142</v>
      </c>
      <c r="DV126">
        <v>58731955.905392289</v>
      </c>
      <c r="DW126">
        <v>66769172.776650436</v>
      </c>
      <c r="DX126">
        <v>74806389.647908583</v>
      </c>
      <c r="DY126">
        <v>82843606.519166723</v>
      </c>
    </row>
    <row r="129" spans="6:129">
      <c r="F129" s="97"/>
    </row>
    <row r="130" spans="6:129">
      <c r="F130" s="97"/>
    </row>
    <row r="131" spans="6:129">
      <c r="F131" s="97"/>
    </row>
    <row r="132" spans="6:129">
      <c r="F132" s="97"/>
    </row>
    <row r="133" spans="6:129"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97"/>
      <c r="AD133" s="97"/>
      <c r="AE133" s="97"/>
      <c r="AF133" s="97"/>
      <c r="AG133" s="97"/>
      <c r="AH133" s="97"/>
      <c r="AI133" s="97"/>
      <c r="AJ133" s="97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</row>
    <row r="134" spans="6:129"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</row>
    <row r="135" spans="6:129"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</row>
    <row r="136" spans="6:129"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</row>
    <row r="137" spans="6:129"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</row>
    <row r="138" spans="6:129"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</row>
    <row r="139" spans="6:129"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</row>
    <row r="140" spans="6:129"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</row>
    <row r="141" spans="6:129"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</row>
    <row r="142" spans="6:129"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</row>
  </sheetData>
  <dataValidations disablePrompts="1" count="1">
    <dataValidation type="list" allowBlank="1" showInputMessage="1" showErrorMessage="1" sqref="F9" xr:uid="{DBA9F547-BDCF-4D98-9662-FBE07358CCC6}">
      <formula1>"0, 1"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scale="2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E97C-6A1E-472C-8A7A-2AFECB63CB9B}">
  <dimension ref="A1:N54"/>
  <sheetViews>
    <sheetView showGridLines="0" zoomScaleNormal="100" workbookViewId="0">
      <selection activeCell="F10" sqref="F10"/>
    </sheetView>
  </sheetViews>
  <sheetFormatPr defaultColWidth="8.59765625" defaultRowHeight="13.8"/>
  <cols>
    <col min="1" max="1" width="31.5" customWidth="1"/>
    <col min="2" max="14" width="12.5" customWidth="1"/>
  </cols>
  <sheetData>
    <row r="1" spans="1:14" ht="15.6">
      <c r="A1" s="16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4"/>
      <c r="B2" s="4"/>
      <c r="C2" s="4"/>
      <c r="D2" s="4"/>
      <c r="E2" s="4"/>
      <c r="I2" s="4"/>
      <c r="J2" s="4"/>
      <c r="K2" s="4"/>
      <c r="L2" s="4"/>
      <c r="M2" s="4"/>
      <c r="N2" s="4"/>
    </row>
    <row r="3" spans="1:14">
      <c r="A3" s="1" t="s">
        <v>4</v>
      </c>
      <c r="B3" s="1"/>
      <c r="C3" s="1"/>
      <c r="D3" s="1"/>
      <c r="E3" s="4"/>
      <c r="F3" s="1" t="s">
        <v>5</v>
      </c>
      <c r="G3" s="1"/>
      <c r="H3" s="1"/>
      <c r="I3" s="4"/>
      <c r="J3" s="1" t="s">
        <v>6</v>
      </c>
      <c r="K3" s="1"/>
      <c r="L3" s="1"/>
      <c r="M3" s="1"/>
      <c r="N3" s="1"/>
    </row>
    <row r="5" spans="1:14" ht="27.6">
      <c r="A5" s="17" t="s">
        <v>7</v>
      </c>
      <c r="B5" s="18" t="s">
        <v>8</v>
      </c>
      <c r="C5" s="19" t="s">
        <v>9</v>
      </c>
      <c r="D5" s="18" t="s">
        <v>10</v>
      </c>
      <c r="F5" s="20" t="s">
        <v>11</v>
      </c>
      <c r="G5" s="21"/>
      <c r="H5" s="19" t="s">
        <v>9</v>
      </c>
      <c r="J5" s="22" t="s">
        <v>6</v>
      </c>
    </row>
    <row r="6" spans="1:14">
      <c r="A6" s="3" t="s">
        <v>12</v>
      </c>
      <c r="B6" s="8">
        <v>791000</v>
      </c>
      <c r="C6" s="10">
        <v>0.05</v>
      </c>
      <c r="D6" s="8">
        <v>197750</v>
      </c>
      <c r="F6" s="3">
        <v>1</v>
      </c>
      <c r="H6" s="11">
        <v>0.75</v>
      </c>
      <c r="J6" s="2" t="s">
        <v>13</v>
      </c>
      <c r="K6" s="2"/>
      <c r="L6" s="23">
        <v>44562</v>
      </c>
      <c r="M6" s="2" t="s">
        <v>14</v>
      </c>
      <c r="N6" s="24">
        <v>20</v>
      </c>
    </row>
    <row r="7" spans="1:14">
      <c r="A7" s="3" t="s">
        <v>15</v>
      </c>
      <c r="B7" s="8">
        <v>448000</v>
      </c>
      <c r="C7" s="10">
        <v>7.0000000000000007E-2</v>
      </c>
      <c r="D7" s="8">
        <v>156800</v>
      </c>
      <c r="F7" s="3">
        <v>6</v>
      </c>
      <c r="H7" s="11">
        <v>0.25</v>
      </c>
      <c r="J7" s="13" t="s">
        <v>16</v>
      </c>
      <c r="L7" s="10">
        <v>0.02</v>
      </c>
      <c r="M7" s="2" t="s">
        <v>17</v>
      </c>
      <c r="N7" s="23">
        <v>48213</v>
      </c>
    </row>
    <row r="8" spans="1:14">
      <c r="A8" s="3" t="s">
        <v>18</v>
      </c>
      <c r="B8" s="8">
        <v>686000</v>
      </c>
      <c r="C8" s="10">
        <v>0.06</v>
      </c>
      <c r="D8" s="8">
        <v>171500</v>
      </c>
      <c r="F8" s="3">
        <v>12</v>
      </c>
      <c r="H8" s="11">
        <v>0.1</v>
      </c>
    </row>
    <row r="9" spans="1:14">
      <c r="A9" s="3" t="s">
        <v>19</v>
      </c>
      <c r="B9" s="8">
        <v>738000</v>
      </c>
      <c r="C9" s="10">
        <v>0.04</v>
      </c>
      <c r="D9" s="8">
        <v>206640</v>
      </c>
      <c r="F9" s="3">
        <v>24</v>
      </c>
      <c r="H9" s="11">
        <v>0.05</v>
      </c>
      <c r="J9" t="s">
        <v>113</v>
      </c>
      <c r="L9" s="80" t="s">
        <v>117</v>
      </c>
      <c r="M9" t="s">
        <v>114</v>
      </c>
    </row>
    <row r="10" spans="1:14">
      <c r="A10" s="3" t="s">
        <v>20</v>
      </c>
      <c r="B10" s="8">
        <v>553000</v>
      </c>
      <c r="C10" s="10">
        <v>0.03</v>
      </c>
      <c r="D10" s="8">
        <v>176960</v>
      </c>
      <c r="F10" s="3"/>
      <c r="J10" t="s">
        <v>115</v>
      </c>
      <c r="L10" s="79" t="s">
        <v>116</v>
      </c>
    </row>
    <row r="11" spans="1:14">
      <c r="A11" s="2"/>
      <c r="B11" s="2"/>
    </row>
    <row r="12" spans="1:14">
      <c r="A12" s="1" t="s">
        <v>21</v>
      </c>
      <c r="B12" s="1"/>
      <c r="C12" s="1"/>
      <c r="D12" s="1"/>
      <c r="E12" s="1"/>
      <c r="F12" s="1"/>
      <c r="G12" s="1"/>
      <c r="H12" s="1"/>
      <c r="J12" s="1" t="s">
        <v>22</v>
      </c>
      <c r="K12" s="1"/>
      <c r="L12" s="1"/>
      <c r="M12" s="1"/>
      <c r="N12" s="1"/>
    </row>
    <row r="14" spans="1:14" ht="27.6">
      <c r="A14" s="20" t="s">
        <v>23</v>
      </c>
      <c r="B14" s="18" t="s">
        <v>8</v>
      </c>
      <c r="C14" s="18" t="s">
        <v>10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/>
      <c r="J14" s="12" t="s">
        <v>29</v>
      </c>
      <c r="K14" s="7" t="s">
        <v>30</v>
      </c>
      <c r="L14" s="7" t="s">
        <v>31</v>
      </c>
      <c r="M14" s="7" t="s">
        <v>32</v>
      </c>
    </row>
    <row r="15" spans="1:14">
      <c r="A15" s="3" t="s">
        <v>33</v>
      </c>
      <c r="B15" s="8">
        <v>442000</v>
      </c>
      <c r="C15" s="8">
        <v>137020</v>
      </c>
      <c r="D15" s="8">
        <v>4110600</v>
      </c>
      <c r="E15" s="8">
        <v>41106000</v>
      </c>
      <c r="F15" s="25">
        <v>44562</v>
      </c>
      <c r="G15" s="26">
        <v>4</v>
      </c>
      <c r="H15" s="26">
        <v>15</v>
      </c>
      <c r="J15" s="89">
        <f>YEAR(L6)</f>
        <v>2022</v>
      </c>
      <c r="K15" s="27">
        <v>0.05</v>
      </c>
      <c r="L15" s="27">
        <v>2.5000000000000001E-2</v>
      </c>
      <c r="M15" s="27">
        <v>0.05</v>
      </c>
    </row>
    <row r="16" spans="1:14">
      <c r="A16" s="3" t="s">
        <v>34</v>
      </c>
      <c r="B16" s="8">
        <v>383000</v>
      </c>
      <c r="C16" s="8">
        <v>114900</v>
      </c>
      <c r="D16" s="8">
        <v>3722760</v>
      </c>
      <c r="E16" s="8">
        <v>31023000</v>
      </c>
      <c r="F16" s="25">
        <v>44652</v>
      </c>
      <c r="G16" s="26">
        <v>5</v>
      </c>
      <c r="H16" s="26">
        <v>12</v>
      </c>
      <c r="J16" s="89">
        <f>J15+1</f>
        <v>2023</v>
      </c>
      <c r="K16" s="27">
        <v>4.4999999999999998E-2</v>
      </c>
      <c r="L16" s="27">
        <v>2.5000000000000001E-2</v>
      </c>
      <c r="M16" s="27">
        <v>4.4999999999999998E-2</v>
      </c>
    </row>
    <row r="17" spans="1:14">
      <c r="A17" s="3" t="s">
        <v>35</v>
      </c>
      <c r="B17" s="8">
        <v>497000</v>
      </c>
      <c r="C17" s="8">
        <v>134190</v>
      </c>
      <c r="D17" s="8">
        <v>4701620</v>
      </c>
      <c r="E17" s="8">
        <v>42742000</v>
      </c>
      <c r="F17" s="25">
        <v>44743</v>
      </c>
      <c r="G17" s="26">
        <v>3</v>
      </c>
      <c r="H17" s="26">
        <v>16</v>
      </c>
      <c r="J17" s="89">
        <f t="shared" ref="J17:J24" si="0">J16+1</f>
        <v>2024</v>
      </c>
      <c r="K17" s="27">
        <v>0.04</v>
      </c>
      <c r="L17" s="27">
        <v>2.5000000000000001E-2</v>
      </c>
      <c r="M17" s="27">
        <v>0.04</v>
      </c>
    </row>
    <row r="18" spans="1:14">
      <c r="A18" s="3" t="s">
        <v>36</v>
      </c>
      <c r="B18" s="8">
        <v>595000</v>
      </c>
      <c r="C18" s="8">
        <v>166600</v>
      </c>
      <c r="D18" s="8">
        <v>6283200</v>
      </c>
      <c r="E18" s="8">
        <v>52360000</v>
      </c>
      <c r="F18" s="25">
        <v>44835</v>
      </c>
      <c r="G18" s="26">
        <v>5</v>
      </c>
      <c r="H18" s="26">
        <v>19</v>
      </c>
      <c r="J18" s="89">
        <f t="shared" si="0"/>
        <v>2025</v>
      </c>
      <c r="K18" s="27">
        <v>3.5000000000000003E-2</v>
      </c>
      <c r="L18" s="27">
        <v>2.5000000000000001E-2</v>
      </c>
      <c r="M18" s="27">
        <v>3.5000000000000003E-2</v>
      </c>
    </row>
    <row r="19" spans="1:14">
      <c r="A19" s="3" t="s">
        <v>37</v>
      </c>
      <c r="B19" s="8">
        <v>592000</v>
      </c>
      <c r="C19" s="8">
        <v>165760</v>
      </c>
      <c r="D19" s="8">
        <v>4368960</v>
      </c>
      <c r="E19" s="8">
        <v>48544000</v>
      </c>
      <c r="F19" s="25">
        <v>44927</v>
      </c>
      <c r="G19" s="26">
        <v>5</v>
      </c>
      <c r="H19" s="26">
        <v>18</v>
      </c>
      <c r="J19" s="89">
        <f t="shared" si="0"/>
        <v>2026</v>
      </c>
      <c r="K19" s="27">
        <v>0.03</v>
      </c>
      <c r="L19" s="27">
        <v>2.5000000000000001E-2</v>
      </c>
      <c r="M19" s="27">
        <v>0.03</v>
      </c>
    </row>
    <row r="20" spans="1:14">
      <c r="A20" s="3" t="s">
        <v>38</v>
      </c>
      <c r="B20" s="8">
        <v>363000</v>
      </c>
      <c r="C20" s="8">
        <v>105270</v>
      </c>
      <c r="D20" s="8">
        <v>2972970</v>
      </c>
      <c r="E20" s="8">
        <v>33033000</v>
      </c>
      <c r="F20" s="25">
        <v>45017</v>
      </c>
      <c r="G20" s="26">
        <v>6</v>
      </c>
      <c r="H20" s="26">
        <v>12</v>
      </c>
      <c r="J20" s="89">
        <f t="shared" si="0"/>
        <v>2027</v>
      </c>
      <c r="K20" s="27">
        <v>2.5000000000000001E-2</v>
      </c>
      <c r="L20" s="27">
        <v>2.5000000000000001E-2</v>
      </c>
      <c r="M20" s="27">
        <v>2.5000000000000001E-2</v>
      </c>
    </row>
    <row r="21" spans="1:14">
      <c r="A21" s="3" t="s">
        <v>39</v>
      </c>
      <c r="B21" s="8">
        <v>732000</v>
      </c>
      <c r="C21" s="8">
        <v>248880</v>
      </c>
      <c r="D21" s="8">
        <v>6844200</v>
      </c>
      <c r="E21" s="8">
        <v>62220000</v>
      </c>
      <c r="F21" s="25">
        <v>45292</v>
      </c>
      <c r="G21" s="26">
        <v>3</v>
      </c>
      <c r="H21" s="26">
        <v>23</v>
      </c>
      <c r="J21" s="89">
        <f t="shared" si="0"/>
        <v>2028</v>
      </c>
      <c r="K21" s="27">
        <v>2.5000000000000001E-2</v>
      </c>
      <c r="L21" s="27">
        <v>2.5000000000000001E-2</v>
      </c>
      <c r="M21" s="27">
        <v>2.5000000000000001E-2</v>
      </c>
    </row>
    <row r="22" spans="1:14">
      <c r="A22" s="3" t="s">
        <v>40</v>
      </c>
      <c r="B22" s="8">
        <v>538000</v>
      </c>
      <c r="C22" s="8">
        <v>182920</v>
      </c>
      <c r="D22" s="8">
        <v>3701440</v>
      </c>
      <c r="E22" s="8">
        <v>46268000</v>
      </c>
      <c r="F22" s="25">
        <v>45383</v>
      </c>
      <c r="G22" s="26">
        <v>6</v>
      </c>
      <c r="H22" s="26">
        <v>17</v>
      </c>
      <c r="J22" s="89">
        <f t="shared" si="0"/>
        <v>2029</v>
      </c>
      <c r="K22" s="27">
        <v>2.5000000000000001E-2</v>
      </c>
      <c r="L22" s="27">
        <v>2.5000000000000001E-2</v>
      </c>
      <c r="M22" s="27">
        <v>2.5000000000000001E-2</v>
      </c>
    </row>
    <row r="23" spans="1:14">
      <c r="A23" s="3" t="s">
        <v>41</v>
      </c>
      <c r="B23" s="8">
        <v>748000</v>
      </c>
      <c r="C23" s="8">
        <v>194480</v>
      </c>
      <c r="D23" s="8">
        <v>5452920</v>
      </c>
      <c r="E23" s="8">
        <v>60588000</v>
      </c>
      <c r="F23" s="25">
        <v>45658</v>
      </c>
      <c r="G23" s="26">
        <v>5</v>
      </c>
      <c r="H23" s="26">
        <v>22</v>
      </c>
      <c r="J23" s="89">
        <f t="shared" si="0"/>
        <v>2030</v>
      </c>
      <c r="K23" s="27">
        <v>2.5000000000000001E-2</v>
      </c>
      <c r="L23" s="27">
        <v>2.5000000000000001E-2</v>
      </c>
      <c r="M23" s="27">
        <v>2.5000000000000001E-2</v>
      </c>
    </row>
    <row r="24" spans="1:14">
      <c r="A24" s="3" t="s">
        <v>42</v>
      </c>
      <c r="B24" s="8">
        <v>768000</v>
      </c>
      <c r="C24" s="8">
        <v>238080</v>
      </c>
      <c r="D24" s="8">
        <v>5406720</v>
      </c>
      <c r="E24" s="8">
        <v>67584000</v>
      </c>
      <c r="F24" s="25">
        <v>45839</v>
      </c>
      <c r="G24" s="26">
        <v>5</v>
      </c>
      <c r="H24" s="26">
        <v>24</v>
      </c>
      <c r="J24" s="89">
        <f t="shared" si="0"/>
        <v>2031</v>
      </c>
      <c r="K24" s="27">
        <v>2.5000000000000001E-2</v>
      </c>
      <c r="L24" s="27">
        <v>2.5000000000000001E-2</v>
      </c>
      <c r="M24" s="27">
        <v>2.5000000000000001E-2</v>
      </c>
    </row>
    <row r="26" spans="1:14">
      <c r="A26" s="1" t="s">
        <v>43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8" spans="1:14" ht="14.4">
      <c r="A28" s="6" t="s">
        <v>44</v>
      </c>
      <c r="B28" s="28" t="s">
        <v>45</v>
      </c>
    </row>
    <row r="29" spans="1:14">
      <c r="A29" s="12" t="s">
        <v>46</v>
      </c>
      <c r="B29" s="9">
        <v>24</v>
      </c>
      <c r="C29" s="9">
        <f>B29-1</f>
        <v>23</v>
      </c>
      <c r="D29" s="9">
        <f t="shared" ref="D29:N29" si="1">C29-1</f>
        <v>22</v>
      </c>
      <c r="E29" s="9">
        <f t="shared" si="1"/>
        <v>21</v>
      </c>
      <c r="F29" s="9">
        <f t="shared" si="1"/>
        <v>20</v>
      </c>
      <c r="G29" s="9">
        <f t="shared" si="1"/>
        <v>19</v>
      </c>
      <c r="H29" s="9">
        <f t="shared" si="1"/>
        <v>18</v>
      </c>
      <c r="I29" s="9">
        <f t="shared" si="1"/>
        <v>17</v>
      </c>
      <c r="J29" s="9">
        <f t="shared" si="1"/>
        <v>16</v>
      </c>
      <c r="K29" s="9">
        <f t="shared" si="1"/>
        <v>15</v>
      </c>
      <c r="L29" s="9">
        <f t="shared" si="1"/>
        <v>14</v>
      </c>
      <c r="M29" s="9">
        <f t="shared" si="1"/>
        <v>13</v>
      </c>
      <c r="N29" s="9">
        <f t="shared" si="1"/>
        <v>12</v>
      </c>
    </row>
    <row r="30" spans="1:14">
      <c r="A30" s="14">
        <v>1</v>
      </c>
      <c r="B30" s="27">
        <v>0.01</v>
      </c>
      <c r="C30" s="27">
        <v>0.01</v>
      </c>
      <c r="D30" s="27">
        <v>0.01</v>
      </c>
      <c r="E30" s="27">
        <v>1.2500000000000001E-2</v>
      </c>
      <c r="F30" s="27">
        <v>1.4999999999999999E-2</v>
      </c>
      <c r="G30" s="27">
        <v>1.4999999999999999E-2</v>
      </c>
      <c r="H30" s="27">
        <v>1.4999999999999999E-2</v>
      </c>
      <c r="I30" s="27">
        <v>1.4999999999999999E-2</v>
      </c>
      <c r="J30" s="27">
        <v>0.02</v>
      </c>
      <c r="K30" s="27">
        <v>2.2499999999999999E-2</v>
      </c>
      <c r="L30" s="27">
        <v>0.02</v>
      </c>
      <c r="M30" s="27">
        <v>0.02</v>
      </c>
      <c r="N30" s="27">
        <v>0.02</v>
      </c>
    </row>
    <row r="31" spans="1:14">
      <c r="A31" s="14">
        <f>A30+1</f>
        <v>2</v>
      </c>
      <c r="B31" s="27">
        <v>0.01</v>
      </c>
      <c r="C31" s="27">
        <v>0.01</v>
      </c>
      <c r="D31" s="27">
        <v>0.01</v>
      </c>
      <c r="E31" s="27">
        <v>1.2500000000000001E-2</v>
      </c>
      <c r="F31" s="27">
        <v>1.4999999999999999E-2</v>
      </c>
      <c r="G31" s="27">
        <v>1.4999999999999999E-2</v>
      </c>
      <c r="H31" s="27">
        <v>1.4999999999999999E-2</v>
      </c>
      <c r="I31" s="27">
        <v>1.7500000000000002E-2</v>
      </c>
      <c r="J31" s="27">
        <v>0.02</v>
      </c>
      <c r="K31" s="27">
        <v>2.5000000000000001E-2</v>
      </c>
      <c r="L31" s="27">
        <v>0.03</v>
      </c>
      <c r="M31" s="27">
        <v>0.03</v>
      </c>
      <c r="N31" s="27">
        <v>0.03</v>
      </c>
    </row>
    <row r="32" spans="1:14">
      <c r="A32" s="14">
        <f t="shared" ref="A32:A53" si="2">A31+1</f>
        <v>3</v>
      </c>
      <c r="B32" s="27">
        <v>0.01</v>
      </c>
      <c r="C32" s="27">
        <v>1.4999999999999999E-2</v>
      </c>
      <c r="D32" s="27">
        <v>1.4999999999999999E-2</v>
      </c>
      <c r="E32" s="27">
        <v>1.4999999999999999E-2</v>
      </c>
      <c r="F32" s="27">
        <v>1.4999999999999999E-2</v>
      </c>
      <c r="G32" s="27">
        <v>0.02</v>
      </c>
      <c r="H32" s="27">
        <v>0.03</v>
      </c>
      <c r="I32" s="27">
        <v>2.5000000000000001E-2</v>
      </c>
      <c r="J32" s="27">
        <v>0.03</v>
      </c>
      <c r="K32" s="27">
        <v>0.03</v>
      </c>
      <c r="L32" s="27">
        <v>3.5000000000000003E-2</v>
      </c>
      <c r="M32" s="27">
        <v>3.5000000000000003E-2</v>
      </c>
      <c r="N32" s="27">
        <v>0.04</v>
      </c>
    </row>
    <row r="33" spans="1:14">
      <c r="A33" s="14">
        <f t="shared" si="2"/>
        <v>4</v>
      </c>
      <c r="B33" s="27">
        <v>0.02</v>
      </c>
      <c r="C33" s="27">
        <v>0.02</v>
      </c>
      <c r="D33" s="27">
        <v>0.02</v>
      </c>
      <c r="E33" s="27">
        <v>1.7500000000000002E-2</v>
      </c>
      <c r="F33" s="27">
        <v>0.02</v>
      </c>
      <c r="G33" s="27">
        <v>2.5000000000000001E-2</v>
      </c>
      <c r="H33" s="27">
        <v>0.03</v>
      </c>
      <c r="I33" s="27">
        <v>2.75E-2</v>
      </c>
      <c r="J33" s="27">
        <v>0.03</v>
      </c>
      <c r="K33" s="27">
        <v>3.5000000000000003E-2</v>
      </c>
      <c r="L33" s="27">
        <v>0.04</v>
      </c>
      <c r="M33" s="27">
        <v>4.4999999999999998E-2</v>
      </c>
      <c r="N33" s="27">
        <v>0.05</v>
      </c>
    </row>
    <row r="34" spans="1:14">
      <c r="A34" s="14">
        <f t="shared" si="2"/>
        <v>5</v>
      </c>
      <c r="B34" s="27">
        <v>0.02</v>
      </c>
      <c r="C34" s="27">
        <v>0.02</v>
      </c>
      <c r="D34" s="27">
        <v>0.02</v>
      </c>
      <c r="E34" s="27">
        <v>0.02</v>
      </c>
      <c r="F34" s="27">
        <v>2.5000000000000001E-2</v>
      </c>
      <c r="G34" s="27">
        <v>2.5000000000000001E-2</v>
      </c>
      <c r="H34" s="27">
        <v>0.03</v>
      </c>
      <c r="I34" s="27">
        <v>3.5000000000000003E-2</v>
      </c>
      <c r="J34" s="27">
        <v>3.5000000000000003E-2</v>
      </c>
      <c r="K34" s="27">
        <v>0.04</v>
      </c>
      <c r="L34" s="27">
        <v>4.4999999999999998E-2</v>
      </c>
      <c r="M34" s="27">
        <v>0.05</v>
      </c>
      <c r="N34" s="27">
        <v>0.06</v>
      </c>
    </row>
    <row r="35" spans="1:14">
      <c r="A35" s="14">
        <f t="shared" si="2"/>
        <v>6</v>
      </c>
      <c r="B35" s="27">
        <v>0.02</v>
      </c>
      <c r="C35" s="27">
        <v>2.5000000000000001E-2</v>
      </c>
      <c r="D35" s="27">
        <v>2.5000000000000001E-2</v>
      </c>
      <c r="E35" s="27">
        <v>2.5000000000000001E-2</v>
      </c>
      <c r="F35" s="27">
        <v>2.75E-2</v>
      </c>
      <c r="G35" s="27">
        <v>0.03</v>
      </c>
      <c r="H35" s="27">
        <v>0.03</v>
      </c>
      <c r="I35" s="27">
        <v>0.04</v>
      </c>
      <c r="J35" s="27">
        <v>0.04</v>
      </c>
      <c r="K35" s="27">
        <v>0.05</v>
      </c>
      <c r="L35" s="27">
        <v>0.06</v>
      </c>
      <c r="M35" s="27">
        <v>7.0000000000000007E-2</v>
      </c>
      <c r="N35" s="27">
        <v>0.08</v>
      </c>
    </row>
    <row r="36" spans="1:14">
      <c r="A36" s="14">
        <f t="shared" si="2"/>
        <v>7</v>
      </c>
      <c r="B36" s="27">
        <v>0.02</v>
      </c>
      <c r="C36" s="27">
        <v>2.5000000000000001E-2</v>
      </c>
      <c r="D36" s="27">
        <v>0.03</v>
      </c>
      <c r="E36" s="27">
        <v>0.03</v>
      </c>
      <c r="F36" s="27">
        <v>3.5000000000000003E-2</v>
      </c>
      <c r="G36" s="27">
        <v>3.5000000000000003E-2</v>
      </c>
      <c r="H36" s="27">
        <v>0.04</v>
      </c>
      <c r="I36" s="27">
        <v>0.05</v>
      </c>
      <c r="J36" s="27">
        <v>0.05</v>
      </c>
      <c r="K36" s="27">
        <v>7.0000000000000007E-2</v>
      </c>
      <c r="L36" s="27">
        <v>0.08</v>
      </c>
      <c r="M36" s="27">
        <v>0.08</v>
      </c>
      <c r="N36" s="27">
        <v>0.1</v>
      </c>
    </row>
    <row r="37" spans="1:14">
      <c r="A37" s="14">
        <f t="shared" si="2"/>
        <v>8</v>
      </c>
      <c r="B37" s="27">
        <v>0.03</v>
      </c>
      <c r="C37" s="27">
        <v>0.03</v>
      </c>
      <c r="D37" s="27">
        <v>0.03</v>
      </c>
      <c r="E37" s="27">
        <v>0.03</v>
      </c>
      <c r="F37" s="27">
        <v>3.5000000000000003E-2</v>
      </c>
      <c r="G37" s="27">
        <v>0.04</v>
      </c>
      <c r="H37" s="27">
        <v>0.05</v>
      </c>
      <c r="I37" s="27">
        <v>0.06</v>
      </c>
      <c r="J37" s="27">
        <v>7.0000000000000007E-2</v>
      </c>
      <c r="K37" s="27">
        <v>0.1</v>
      </c>
      <c r="L37" s="27">
        <v>0.1</v>
      </c>
      <c r="M37" s="27">
        <v>0.1</v>
      </c>
      <c r="N37" s="27">
        <v>0.12</v>
      </c>
    </row>
    <row r="38" spans="1:14">
      <c r="A38" s="14">
        <f t="shared" si="2"/>
        <v>9</v>
      </c>
      <c r="B38" s="27">
        <v>0.03</v>
      </c>
      <c r="C38" s="27">
        <v>0.03</v>
      </c>
      <c r="D38" s="27">
        <v>0.03</v>
      </c>
      <c r="E38" s="27">
        <v>3.5000000000000003E-2</v>
      </c>
      <c r="F38" s="27">
        <v>0.04</v>
      </c>
      <c r="G38" s="27">
        <v>0.06</v>
      </c>
      <c r="H38" s="27">
        <v>0.06</v>
      </c>
      <c r="I38" s="27">
        <v>7.0000000000000007E-2</v>
      </c>
      <c r="J38" s="27">
        <v>0.09</v>
      </c>
      <c r="K38" s="27">
        <v>0.11</v>
      </c>
      <c r="L38" s="27">
        <v>0.12</v>
      </c>
      <c r="M38" s="27">
        <v>0.14000000000000001</v>
      </c>
      <c r="N38" s="27">
        <v>0.14000000000000001</v>
      </c>
    </row>
    <row r="39" spans="1:14">
      <c r="A39" s="14">
        <f t="shared" si="2"/>
        <v>10</v>
      </c>
      <c r="B39" s="27">
        <v>0.03</v>
      </c>
      <c r="C39" s="27">
        <v>3.5000000000000003E-2</v>
      </c>
      <c r="D39" s="27">
        <v>0.04</v>
      </c>
      <c r="E39" s="27">
        <v>0.05</v>
      </c>
      <c r="F39" s="27">
        <v>0.05</v>
      </c>
      <c r="G39" s="27">
        <v>6.5000000000000002E-2</v>
      </c>
      <c r="H39" s="27">
        <v>7.0000000000000007E-2</v>
      </c>
      <c r="I39" s="27">
        <v>0.08</v>
      </c>
      <c r="J39" s="27">
        <v>0.1</v>
      </c>
      <c r="K39" s="27">
        <v>0.11</v>
      </c>
      <c r="L39" s="27">
        <v>0.12</v>
      </c>
      <c r="M39" s="27">
        <v>0.14000000000000001</v>
      </c>
      <c r="N39" s="27">
        <v>0.16</v>
      </c>
    </row>
    <row r="40" spans="1:14">
      <c r="A40" s="14">
        <f t="shared" si="2"/>
        <v>11</v>
      </c>
      <c r="B40" s="27">
        <v>0.04</v>
      </c>
      <c r="C40" s="27">
        <v>0.04</v>
      </c>
      <c r="D40" s="27">
        <v>4.4999999999999998E-2</v>
      </c>
      <c r="E40" s="27">
        <v>0.06</v>
      </c>
      <c r="F40" s="27">
        <v>0.06</v>
      </c>
      <c r="G40" s="27">
        <v>7.4999999999999997E-2</v>
      </c>
      <c r="H40" s="27">
        <v>0.08</v>
      </c>
      <c r="I40" s="27">
        <v>0.09</v>
      </c>
      <c r="J40" s="27">
        <v>0.1</v>
      </c>
      <c r="K40" s="27">
        <v>0.11</v>
      </c>
      <c r="L40" s="27">
        <v>0.12</v>
      </c>
      <c r="M40" s="27">
        <v>0.14000000000000001</v>
      </c>
      <c r="N40" s="27">
        <v>0.14000000000000001</v>
      </c>
    </row>
    <row r="41" spans="1:14">
      <c r="A41" s="14">
        <f t="shared" si="2"/>
        <v>12</v>
      </c>
      <c r="B41" s="27">
        <v>0.04</v>
      </c>
      <c r="C41" s="27">
        <v>4.4999999999999998E-2</v>
      </c>
      <c r="D41" s="27">
        <v>0.05</v>
      </c>
      <c r="E41" s="27">
        <v>7.0000000000000007E-2</v>
      </c>
      <c r="F41" s="27">
        <v>7.0000000000000007E-2</v>
      </c>
      <c r="G41" s="27">
        <v>0.09</v>
      </c>
      <c r="H41" s="27">
        <v>0.09</v>
      </c>
      <c r="I41" s="27">
        <v>0.09</v>
      </c>
      <c r="J41" s="27">
        <v>0.1</v>
      </c>
      <c r="K41" s="27">
        <v>0.09</v>
      </c>
      <c r="L41" s="27">
        <v>0.1</v>
      </c>
      <c r="M41" s="27">
        <v>0.1</v>
      </c>
      <c r="N41" s="27">
        <v>0.06</v>
      </c>
    </row>
    <row r="42" spans="1:14">
      <c r="A42" s="14">
        <f t="shared" si="2"/>
        <v>13</v>
      </c>
      <c r="B42" s="27">
        <v>0.05</v>
      </c>
      <c r="C42" s="27">
        <v>0.05</v>
      </c>
      <c r="D42" s="27">
        <v>5.5E-2</v>
      </c>
      <c r="E42" s="27">
        <v>0.08</v>
      </c>
      <c r="F42" s="27">
        <v>0.09</v>
      </c>
      <c r="G42" s="27">
        <v>0.09</v>
      </c>
      <c r="H42" s="27">
        <v>0.1</v>
      </c>
      <c r="I42" s="27">
        <v>0.09</v>
      </c>
      <c r="J42" s="27">
        <v>0.1</v>
      </c>
      <c r="K42" s="27">
        <v>0.08</v>
      </c>
      <c r="L42" s="27">
        <v>0.08</v>
      </c>
      <c r="M42" s="27">
        <v>0.05</v>
      </c>
    </row>
    <row r="43" spans="1:14">
      <c r="A43" s="14">
        <f t="shared" si="2"/>
        <v>14</v>
      </c>
      <c r="B43" s="27">
        <v>0.05</v>
      </c>
      <c r="C43" s="27">
        <v>5.5E-2</v>
      </c>
      <c r="D43" s="27">
        <v>0.06</v>
      </c>
      <c r="E43" s="27">
        <v>0.09</v>
      </c>
      <c r="F43" s="27">
        <v>0.09</v>
      </c>
      <c r="G43" s="27">
        <v>0.09</v>
      </c>
      <c r="H43" s="27">
        <v>0.1</v>
      </c>
      <c r="I43" s="27">
        <v>0.09</v>
      </c>
      <c r="J43" s="27">
        <v>0.09</v>
      </c>
      <c r="K43" s="27">
        <v>7.0000000000000007E-2</v>
      </c>
      <c r="L43" s="27">
        <v>0.05</v>
      </c>
    </row>
    <row r="44" spans="1:14">
      <c r="A44" s="14">
        <f t="shared" si="2"/>
        <v>15</v>
      </c>
      <c r="B44" s="27">
        <v>0.06</v>
      </c>
      <c r="C44" s="27">
        <v>0.06</v>
      </c>
      <c r="D44" s="27">
        <v>7.0000000000000007E-2</v>
      </c>
      <c r="E44" s="27">
        <v>0.09</v>
      </c>
      <c r="F44" s="27">
        <v>0.09</v>
      </c>
      <c r="G44" s="27">
        <v>0.09</v>
      </c>
      <c r="H44" s="27">
        <v>0.1</v>
      </c>
      <c r="I44" s="27">
        <v>0.09</v>
      </c>
      <c r="J44" s="27">
        <v>7.0000000000000007E-2</v>
      </c>
      <c r="K44" s="27">
        <v>5.7500000000000002E-2</v>
      </c>
    </row>
    <row r="45" spans="1:14">
      <c r="A45" s="14">
        <f t="shared" si="2"/>
        <v>16</v>
      </c>
      <c r="B45" s="27">
        <v>0.06</v>
      </c>
      <c r="C45" s="27">
        <v>7.0000000000000007E-2</v>
      </c>
      <c r="D45" s="27">
        <v>0.08</v>
      </c>
      <c r="E45" s="27">
        <v>0.09</v>
      </c>
      <c r="F45" s="27">
        <v>0.09</v>
      </c>
      <c r="G45" s="27">
        <v>0.09</v>
      </c>
      <c r="H45" s="27">
        <v>0.08</v>
      </c>
      <c r="I45" s="27">
        <v>0.08</v>
      </c>
      <c r="J45" s="27">
        <v>5.5E-2</v>
      </c>
    </row>
    <row r="46" spans="1:14">
      <c r="A46" s="14">
        <f t="shared" si="2"/>
        <v>17</v>
      </c>
      <c r="B46" s="27">
        <v>7.0000000000000007E-2</v>
      </c>
      <c r="C46" s="27">
        <v>0.08</v>
      </c>
      <c r="D46" s="27">
        <v>0.08</v>
      </c>
      <c r="E46" s="27">
        <v>0.09</v>
      </c>
      <c r="F46" s="27">
        <v>0.09</v>
      </c>
      <c r="G46" s="27">
        <v>7.0000000000000007E-2</v>
      </c>
      <c r="H46" s="27">
        <v>0.05</v>
      </c>
      <c r="I46" s="27">
        <v>0.05</v>
      </c>
    </row>
    <row r="47" spans="1:14">
      <c r="A47" s="14">
        <f t="shared" si="2"/>
        <v>18</v>
      </c>
      <c r="B47" s="27">
        <v>7.0000000000000007E-2</v>
      </c>
      <c r="C47" s="27">
        <v>0.08</v>
      </c>
      <c r="D47" s="27">
        <v>0.08</v>
      </c>
      <c r="E47" s="27">
        <v>7.2499999999999995E-2</v>
      </c>
      <c r="F47" s="27">
        <v>7.0000000000000007E-2</v>
      </c>
      <c r="G47" s="27">
        <v>0.05</v>
      </c>
      <c r="H47" s="27">
        <v>0.03</v>
      </c>
    </row>
    <row r="48" spans="1:14">
      <c r="A48" s="14">
        <f t="shared" si="2"/>
        <v>19</v>
      </c>
      <c r="B48" s="27">
        <v>0.08</v>
      </c>
      <c r="C48" s="27">
        <v>0.08</v>
      </c>
      <c r="D48" s="27">
        <v>0.08</v>
      </c>
      <c r="E48" s="27">
        <v>0.05</v>
      </c>
      <c r="F48" s="27">
        <v>0.05</v>
      </c>
      <c r="G48" s="27">
        <v>2.5000000000000001E-2</v>
      </c>
    </row>
    <row r="49" spans="1:14">
      <c r="A49" s="14">
        <f t="shared" si="2"/>
        <v>20</v>
      </c>
      <c r="B49" s="27">
        <v>0.08</v>
      </c>
      <c r="C49" s="27">
        <v>0.08</v>
      </c>
      <c r="D49" s="27">
        <v>7.0000000000000007E-2</v>
      </c>
      <c r="E49" s="27">
        <v>3.5000000000000003E-2</v>
      </c>
      <c r="F49" s="27">
        <v>2.2499999999999999E-2</v>
      </c>
    </row>
    <row r="50" spans="1:14">
      <c r="A50" s="14">
        <f t="shared" si="2"/>
        <v>21</v>
      </c>
      <c r="B50" s="27">
        <v>0.08</v>
      </c>
      <c r="C50" s="27">
        <v>0.06</v>
      </c>
      <c r="D50" s="27">
        <v>0.06</v>
      </c>
      <c r="E50" s="27">
        <v>2.5000000000000001E-2</v>
      </c>
    </row>
    <row r="51" spans="1:14">
      <c r="A51" s="14">
        <f t="shared" si="2"/>
        <v>22</v>
      </c>
      <c r="B51" s="27">
        <v>0.06</v>
      </c>
      <c r="C51" s="27">
        <v>0.05</v>
      </c>
      <c r="D51" s="27">
        <v>0.04</v>
      </c>
    </row>
    <row r="52" spans="1:14" ht="14.4">
      <c r="A52" s="14">
        <f t="shared" si="2"/>
        <v>23</v>
      </c>
      <c r="B52" s="27">
        <v>0.04</v>
      </c>
      <c r="C52" s="27">
        <v>0.03</v>
      </c>
      <c r="E52" s="28"/>
    </row>
    <row r="53" spans="1:14">
      <c r="A53" s="14">
        <f t="shared" si="2"/>
        <v>24</v>
      </c>
      <c r="B53" s="27">
        <v>0.02</v>
      </c>
    </row>
    <row r="54" spans="1:14">
      <c r="A54" s="9" t="s">
        <v>1</v>
      </c>
      <c r="B54" s="29">
        <f>SUM(B30:B53)</f>
        <v>1</v>
      </c>
      <c r="C54" s="29">
        <f t="shared" ref="C54:N54" si="3">SUM(C30:C53)</f>
        <v>1</v>
      </c>
      <c r="D54" s="29">
        <f t="shared" si="3"/>
        <v>1</v>
      </c>
      <c r="E54" s="29">
        <f t="shared" si="3"/>
        <v>1</v>
      </c>
      <c r="F54" s="29">
        <f t="shared" si="3"/>
        <v>1</v>
      </c>
      <c r="G54" s="29">
        <f t="shared" si="3"/>
        <v>0.99999999999999989</v>
      </c>
      <c r="H54" s="29">
        <f t="shared" si="3"/>
        <v>1</v>
      </c>
      <c r="I54" s="29">
        <f t="shared" si="3"/>
        <v>0.99999999999999989</v>
      </c>
      <c r="J54" s="29">
        <f t="shared" si="3"/>
        <v>0.99999999999999989</v>
      </c>
      <c r="K54" s="29">
        <f t="shared" si="3"/>
        <v>0.99999999999999989</v>
      </c>
      <c r="L54" s="29">
        <f t="shared" si="3"/>
        <v>1</v>
      </c>
      <c r="M54" s="29">
        <f t="shared" si="3"/>
        <v>1</v>
      </c>
      <c r="N54" s="29">
        <f t="shared" si="3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E762-F0A3-4564-A7A2-C8A77EFC197C}">
  <dimension ref="A2:DV235"/>
  <sheetViews>
    <sheetView showGridLines="0" zoomScaleNormal="100" workbookViewId="0">
      <pane xSplit="5" ySplit="4" topLeftCell="F200" activePane="bottomRight" state="frozen"/>
      <selection activeCell="Q14" sqref="Q14"/>
      <selection pane="topRight" activeCell="Q14" sqref="Q14"/>
      <selection pane="bottomLeft" activeCell="Q14" sqref="Q14"/>
      <selection pane="bottomRight" activeCell="H222" sqref="H222"/>
    </sheetView>
  </sheetViews>
  <sheetFormatPr defaultColWidth="0" defaultRowHeight="13.8" outlineLevelRow="1"/>
  <cols>
    <col min="1" max="1" width="3.09765625" customWidth="1"/>
    <col min="2" max="2" width="31" customWidth="1"/>
    <col min="3" max="3" width="20.5" customWidth="1"/>
    <col min="4" max="4" width="19.09765625" customWidth="1"/>
    <col min="5" max="5" width="5.5" customWidth="1"/>
    <col min="6" max="6" width="13.59765625" customWidth="1"/>
    <col min="7" max="8" width="12" customWidth="1"/>
    <col min="9" max="9" width="11.69921875" customWidth="1"/>
    <col min="10" max="10" width="12" customWidth="1"/>
    <col min="11" max="11" width="11.69921875" customWidth="1"/>
    <col min="12" max="16" width="12" customWidth="1"/>
    <col min="17" max="18" width="13" customWidth="1"/>
    <col min="19" max="19" width="13.09765625" customWidth="1"/>
    <col min="20" max="21" width="13" customWidth="1"/>
    <col min="22" max="22" width="13.09765625" customWidth="1"/>
    <col min="23" max="23" width="13" customWidth="1"/>
    <col min="24" max="25" width="13.09765625" customWidth="1"/>
    <col min="26" max="27" width="13" customWidth="1"/>
    <col min="28" max="103" width="14.09765625" customWidth="1"/>
    <col min="104" max="115" width="13" customWidth="1"/>
    <col min="116" max="126" width="12.69921875" customWidth="1"/>
    <col min="127" max="16384" width="7.69921875" hidden="1"/>
  </cols>
  <sheetData>
    <row r="2" spans="2:126" s="30" customFormat="1" ht="10.199999999999999">
      <c r="B2" s="30" t="s">
        <v>47</v>
      </c>
      <c r="G2" s="31">
        <f>CaseData!$L$6</f>
        <v>44562</v>
      </c>
      <c r="H2" s="31">
        <f>G3+1</f>
        <v>44593</v>
      </c>
      <c r="I2" s="31">
        <f t="shared" ref="I2:BT2" si="0">H3+1</f>
        <v>44621</v>
      </c>
      <c r="J2" s="31">
        <f t="shared" si="0"/>
        <v>44652</v>
      </c>
      <c r="K2" s="31">
        <f t="shared" si="0"/>
        <v>44682</v>
      </c>
      <c r="L2" s="31">
        <f t="shared" si="0"/>
        <v>44713</v>
      </c>
      <c r="M2" s="31">
        <f t="shared" si="0"/>
        <v>44743</v>
      </c>
      <c r="N2" s="31">
        <f t="shared" si="0"/>
        <v>44774</v>
      </c>
      <c r="O2" s="31">
        <f t="shared" si="0"/>
        <v>44805</v>
      </c>
      <c r="P2" s="31">
        <f t="shared" si="0"/>
        <v>44835</v>
      </c>
      <c r="Q2" s="31">
        <f t="shared" si="0"/>
        <v>44866</v>
      </c>
      <c r="R2" s="31">
        <f t="shared" si="0"/>
        <v>44896</v>
      </c>
      <c r="S2" s="31">
        <f t="shared" si="0"/>
        <v>44927</v>
      </c>
      <c r="T2" s="31">
        <f t="shared" si="0"/>
        <v>44958</v>
      </c>
      <c r="U2" s="31">
        <f t="shared" si="0"/>
        <v>44986</v>
      </c>
      <c r="V2" s="31">
        <f t="shared" si="0"/>
        <v>45017</v>
      </c>
      <c r="W2" s="31">
        <f t="shared" si="0"/>
        <v>45047</v>
      </c>
      <c r="X2" s="31">
        <f t="shared" si="0"/>
        <v>45078</v>
      </c>
      <c r="Y2" s="31">
        <f t="shared" si="0"/>
        <v>45108</v>
      </c>
      <c r="Z2" s="31">
        <f t="shared" si="0"/>
        <v>45139</v>
      </c>
      <c r="AA2" s="31">
        <f t="shared" si="0"/>
        <v>45170</v>
      </c>
      <c r="AB2" s="31">
        <f t="shared" si="0"/>
        <v>45200</v>
      </c>
      <c r="AC2" s="31">
        <f t="shared" si="0"/>
        <v>45231</v>
      </c>
      <c r="AD2" s="31">
        <f t="shared" si="0"/>
        <v>45261</v>
      </c>
      <c r="AE2" s="31">
        <f t="shared" si="0"/>
        <v>45292</v>
      </c>
      <c r="AF2" s="31">
        <f t="shared" si="0"/>
        <v>45323</v>
      </c>
      <c r="AG2" s="31">
        <f t="shared" si="0"/>
        <v>45352</v>
      </c>
      <c r="AH2" s="31">
        <f t="shared" si="0"/>
        <v>45383</v>
      </c>
      <c r="AI2" s="31">
        <f t="shared" si="0"/>
        <v>45413</v>
      </c>
      <c r="AJ2" s="31">
        <f t="shared" si="0"/>
        <v>45444</v>
      </c>
      <c r="AK2" s="31">
        <f t="shared" si="0"/>
        <v>45474</v>
      </c>
      <c r="AL2" s="31">
        <f t="shared" si="0"/>
        <v>45505</v>
      </c>
      <c r="AM2" s="31">
        <f t="shared" si="0"/>
        <v>45536</v>
      </c>
      <c r="AN2" s="31">
        <f t="shared" si="0"/>
        <v>45566</v>
      </c>
      <c r="AO2" s="31">
        <f t="shared" si="0"/>
        <v>45597</v>
      </c>
      <c r="AP2" s="31">
        <f t="shared" si="0"/>
        <v>45627</v>
      </c>
      <c r="AQ2" s="31">
        <f t="shared" si="0"/>
        <v>45658</v>
      </c>
      <c r="AR2" s="31">
        <f t="shared" si="0"/>
        <v>45689</v>
      </c>
      <c r="AS2" s="31">
        <f t="shared" si="0"/>
        <v>45717</v>
      </c>
      <c r="AT2" s="31">
        <f t="shared" si="0"/>
        <v>45748</v>
      </c>
      <c r="AU2" s="31">
        <f t="shared" si="0"/>
        <v>45778</v>
      </c>
      <c r="AV2" s="31">
        <f t="shared" si="0"/>
        <v>45809</v>
      </c>
      <c r="AW2" s="31">
        <f t="shared" si="0"/>
        <v>45839</v>
      </c>
      <c r="AX2" s="31">
        <f t="shared" si="0"/>
        <v>45870</v>
      </c>
      <c r="AY2" s="31">
        <f t="shared" si="0"/>
        <v>45901</v>
      </c>
      <c r="AZ2" s="31">
        <f t="shared" si="0"/>
        <v>45931</v>
      </c>
      <c r="BA2" s="31">
        <f t="shared" si="0"/>
        <v>45962</v>
      </c>
      <c r="BB2" s="31">
        <f t="shared" si="0"/>
        <v>45992</v>
      </c>
      <c r="BC2" s="31">
        <f t="shared" si="0"/>
        <v>46023</v>
      </c>
      <c r="BD2" s="31">
        <f t="shared" si="0"/>
        <v>46054</v>
      </c>
      <c r="BE2" s="31">
        <f t="shared" si="0"/>
        <v>46082</v>
      </c>
      <c r="BF2" s="31">
        <f t="shared" si="0"/>
        <v>46113</v>
      </c>
      <c r="BG2" s="31">
        <f t="shared" si="0"/>
        <v>46143</v>
      </c>
      <c r="BH2" s="31">
        <f t="shared" si="0"/>
        <v>46174</v>
      </c>
      <c r="BI2" s="31">
        <f t="shared" si="0"/>
        <v>46204</v>
      </c>
      <c r="BJ2" s="31">
        <f t="shared" si="0"/>
        <v>46235</v>
      </c>
      <c r="BK2" s="31">
        <f t="shared" si="0"/>
        <v>46266</v>
      </c>
      <c r="BL2" s="31">
        <f t="shared" si="0"/>
        <v>46296</v>
      </c>
      <c r="BM2" s="31">
        <f t="shared" si="0"/>
        <v>46327</v>
      </c>
      <c r="BN2" s="31">
        <f t="shared" si="0"/>
        <v>46357</v>
      </c>
      <c r="BO2" s="31">
        <f t="shared" si="0"/>
        <v>46388</v>
      </c>
      <c r="BP2" s="31">
        <f t="shared" si="0"/>
        <v>46419</v>
      </c>
      <c r="BQ2" s="31">
        <f t="shared" si="0"/>
        <v>46447</v>
      </c>
      <c r="BR2" s="31">
        <f t="shared" si="0"/>
        <v>46478</v>
      </c>
      <c r="BS2" s="31">
        <f t="shared" si="0"/>
        <v>46508</v>
      </c>
      <c r="BT2" s="31">
        <f t="shared" si="0"/>
        <v>46539</v>
      </c>
      <c r="BU2" s="31">
        <f t="shared" ref="BU2:DV2" si="1">BT3+1</f>
        <v>46569</v>
      </c>
      <c r="BV2" s="31">
        <f t="shared" si="1"/>
        <v>46600</v>
      </c>
      <c r="BW2" s="31">
        <f t="shared" si="1"/>
        <v>46631</v>
      </c>
      <c r="BX2" s="31">
        <f t="shared" si="1"/>
        <v>46661</v>
      </c>
      <c r="BY2" s="31">
        <f t="shared" si="1"/>
        <v>46692</v>
      </c>
      <c r="BZ2" s="31">
        <f t="shared" si="1"/>
        <v>46722</v>
      </c>
      <c r="CA2" s="31">
        <f t="shared" si="1"/>
        <v>46753</v>
      </c>
      <c r="CB2" s="31">
        <f t="shared" si="1"/>
        <v>46784</v>
      </c>
      <c r="CC2" s="31">
        <f t="shared" si="1"/>
        <v>46813</v>
      </c>
      <c r="CD2" s="31">
        <f t="shared" si="1"/>
        <v>46844</v>
      </c>
      <c r="CE2" s="31">
        <f t="shared" si="1"/>
        <v>46874</v>
      </c>
      <c r="CF2" s="31">
        <f t="shared" si="1"/>
        <v>46905</v>
      </c>
      <c r="CG2" s="31">
        <f t="shared" si="1"/>
        <v>46935</v>
      </c>
      <c r="CH2" s="31">
        <f t="shared" si="1"/>
        <v>46966</v>
      </c>
      <c r="CI2" s="31">
        <f t="shared" si="1"/>
        <v>46997</v>
      </c>
      <c r="CJ2" s="31">
        <f t="shared" si="1"/>
        <v>47027</v>
      </c>
      <c r="CK2" s="31">
        <f t="shared" si="1"/>
        <v>47058</v>
      </c>
      <c r="CL2" s="31">
        <f t="shared" si="1"/>
        <v>47088</v>
      </c>
      <c r="CM2" s="31">
        <f t="shared" si="1"/>
        <v>47119</v>
      </c>
      <c r="CN2" s="31">
        <f t="shared" si="1"/>
        <v>47150</v>
      </c>
      <c r="CO2" s="31">
        <f t="shared" si="1"/>
        <v>47178</v>
      </c>
      <c r="CP2" s="31">
        <f t="shared" si="1"/>
        <v>47209</v>
      </c>
      <c r="CQ2" s="31">
        <f t="shared" si="1"/>
        <v>47239</v>
      </c>
      <c r="CR2" s="31">
        <f t="shared" si="1"/>
        <v>47270</v>
      </c>
      <c r="CS2" s="31">
        <f t="shared" si="1"/>
        <v>47300</v>
      </c>
      <c r="CT2" s="31">
        <f t="shared" si="1"/>
        <v>47331</v>
      </c>
      <c r="CU2" s="31">
        <f t="shared" si="1"/>
        <v>47362</v>
      </c>
      <c r="CV2" s="31">
        <f t="shared" si="1"/>
        <v>47392</v>
      </c>
      <c r="CW2" s="31">
        <f t="shared" si="1"/>
        <v>47423</v>
      </c>
      <c r="CX2" s="31">
        <f t="shared" si="1"/>
        <v>47453</v>
      </c>
      <c r="CY2" s="31">
        <f t="shared" si="1"/>
        <v>47484</v>
      </c>
      <c r="CZ2" s="31">
        <f t="shared" si="1"/>
        <v>47515</v>
      </c>
      <c r="DA2" s="31">
        <f t="shared" si="1"/>
        <v>47543</v>
      </c>
      <c r="DB2" s="31">
        <f t="shared" si="1"/>
        <v>47574</v>
      </c>
      <c r="DC2" s="31">
        <f t="shared" si="1"/>
        <v>47604</v>
      </c>
      <c r="DD2" s="31">
        <f t="shared" si="1"/>
        <v>47635</v>
      </c>
      <c r="DE2" s="31">
        <f t="shared" si="1"/>
        <v>47665</v>
      </c>
      <c r="DF2" s="31">
        <f t="shared" si="1"/>
        <v>47696</v>
      </c>
      <c r="DG2" s="31">
        <f t="shared" si="1"/>
        <v>47727</v>
      </c>
      <c r="DH2" s="31">
        <f t="shared" si="1"/>
        <v>47757</v>
      </c>
      <c r="DI2" s="31">
        <f t="shared" si="1"/>
        <v>47788</v>
      </c>
      <c r="DJ2" s="31">
        <f t="shared" si="1"/>
        <v>47818</v>
      </c>
      <c r="DK2" s="31">
        <f t="shared" si="1"/>
        <v>47849</v>
      </c>
      <c r="DL2" s="31">
        <f t="shared" si="1"/>
        <v>47880</v>
      </c>
      <c r="DM2" s="31">
        <f t="shared" si="1"/>
        <v>47908</v>
      </c>
      <c r="DN2" s="31">
        <f t="shared" si="1"/>
        <v>47939</v>
      </c>
      <c r="DO2" s="31">
        <f t="shared" si="1"/>
        <v>47969</v>
      </c>
      <c r="DP2" s="31">
        <f t="shared" si="1"/>
        <v>48000</v>
      </c>
      <c r="DQ2" s="31">
        <f t="shared" si="1"/>
        <v>48030</v>
      </c>
      <c r="DR2" s="31">
        <f t="shared" si="1"/>
        <v>48061</v>
      </c>
      <c r="DS2" s="31">
        <f t="shared" si="1"/>
        <v>48092</v>
      </c>
      <c r="DT2" s="31">
        <f t="shared" si="1"/>
        <v>48122</v>
      </c>
      <c r="DU2" s="31">
        <f t="shared" si="1"/>
        <v>48153</v>
      </c>
      <c r="DV2" s="31">
        <f t="shared" si="1"/>
        <v>48183</v>
      </c>
    </row>
    <row r="3" spans="2:126" s="30" customFormat="1" ht="10.199999999999999">
      <c r="B3" s="30" t="s">
        <v>48</v>
      </c>
      <c r="F3" s="31">
        <f>G2-1</f>
        <v>44561</v>
      </c>
      <c r="G3" s="31">
        <f>EOMONTH(G2,0)</f>
        <v>44592</v>
      </c>
      <c r="H3" s="31">
        <f>EOMONTH(H2,0)</f>
        <v>44620</v>
      </c>
      <c r="I3" s="31">
        <f t="shared" ref="I3:BT3" si="2">EOMONTH(I2,0)</f>
        <v>44651</v>
      </c>
      <c r="J3" s="31">
        <f t="shared" si="2"/>
        <v>44681</v>
      </c>
      <c r="K3" s="31">
        <f t="shared" si="2"/>
        <v>44712</v>
      </c>
      <c r="L3" s="31">
        <f t="shared" si="2"/>
        <v>44742</v>
      </c>
      <c r="M3" s="31">
        <f t="shared" si="2"/>
        <v>44773</v>
      </c>
      <c r="N3" s="31">
        <f t="shared" si="2"/>
        <v>44804</v>
      </c>
      <c r="O3" s="31">
        <f t="shared" si="2"/>
        <v>44834</v>
      </c>
      <c r="P3" s="31">
        <f t="shared" si="2"/>
        <v>44865</v>
      </c>
      <c r="Q3" s="31">
        <f t="shared" si="2"/>
        <v>44895</v>
      </c>
      <c r="R3" s="31">
        <f t="shared" si="2"/>
        <v>44926</v>
      </c>
      <c r="S3" s="31">
        <f t="shared" si="2"/>
        <v>44957</v>
      </c>
      <c r="T3" s="31">
        <f t="shared" si="2"/>
        <v>44985</v>
      </c>
      <c r="U3" s="31">
        <f t="shared" si="2"/>
        <v>45016</v>
      </c>
      <c r="V3" s="31">
        <f t="shared" si="2"/>
        <v>45046</v>
      </c>
      <c r="W3" s="31">
        <f t="shared" si="2"/>
        <v>45077</v>
      </c>
      <c r="X3" s="31">
        <f t="shared" si="2"/>
        <v>45107</v>
      </c>
      <c r="Y3" s="31">
        <f t="shared" si="2"/>
        <v>45138</v>
      </c>
      <c r="Z3" s="31">
        <f t="shared" si="2"/>
        <v>45169</v>
      </c>
      <c r="AA3" s="31">
        <f t="shared" si="2"/>
        <v>45199</v>
      </c>
      <c r="AB3" s="31">
        <f t="shared" si="2"/>
        <v>45230</v>
      </c>
      <c r="AC3" s="31">
        <f t="shared" si="2"/>
        <v>45260</v>
      </c>
      <c r="AD3" s="31">
        <f t="shared" si="2"/>
        <v>45291</v>
      </c>
      <c r="AE3" s="31">
        <f t="shared" si="2"/>
        <v>45322</v>
      </c>
      <c r="AF3" s="31">
        <f t="shared" si="2"/>
        <v>45351</v>
      </c>
      <c r="AG3" s="31">
        <f t="shared" si="2"/>
        <v>45382</v>
      </c>
      <c r="AH3" s="31">
        <f t="shared" si="2"/>
        <v>45412</v>
      </c>
      <c r="AI3" s="31">
        <f t="shared" si="2"/>
        <v>45443</v>
      </c>
      <c r="AJ3" s="31">
        <f t="shared" si="2"/>
        <v>45473</v>
      </c>
      <c r="AK3" s="31">
        <f t="shared" si="2"/>
        <v>45504</v>
      </c>
      <c r="AL3" s="31">
        <f t="shared" si="2"/>
        <v>45535</v>
      </c>
      <c r="AM3" s="31">
        <f t="shared" si="2"/>
        <v>45565</v>
      </c>
      <c r="AN3" s="31">
        <f t="shared" si="2"/>
        <v>45596</v>
      </c>
      <c r="AO3" s="31">
        <f t="shared" si="2"/>
        <v>45626</v>
      </c>
      <c r="AP3" s="31">
        <f t="shared" si="2"/>
        <v>45657</v>
      </c>
      <c r="AQ3" s="31">
        <f t="shared" si="2"/>
        <v>45688</v>
      </c>
      <c r="AR3" s="31">
        <f t="shared" si="2"/>
        <v>45716</v>
      </c>
      <c r="AS3" s="31">
        <f t="shared" si="2"/>
        <v>45747</v>
      </c>
      <c r="AT3" s="31">
        <f t="shared" si="2"/>
        <v>45777</v>
      </c>
      <c r="AU3" s="31">
        <f t="shared" si="2"/>
        <v>45808</v>
      </c>
      <c r="AV3" s="31">
        <f t="shared" si="2"/>
        <v>45838</v>
      </c>
      <c r="AW3" s="31">
        <f t="shared" si="2"/>
        <v>45869</v>
      </c>
      <c r="AX3" s="31">
        <f t="shared" si="2"/>
        <v>45900</v>
      </c>
      <c r="AY3" s="31">
        <f t="shared" si="2"/>
        <v>45930</v>
      </c>
      <c r="AZ3" s="31">
        <f t="shared" si="2"/>
        <v>45961</v>
      </c>
      <c r="BA3" s="31">
        <f t="shared" si="2"/>
        <v>45991</v>
      </c>
      <c r="BB3" s="31">
        <f t="shared" si="2"/>
        <v>46022</v>
      </c>
      <c r="BC3" s="31">
        <f t="shared" si="2"/>
        <v>46053</v>
      </c>
      <c r="BD3" s="31">
        <f t="shared" si="2"/>
        <v>46081</v>
      </c>
      <c r="BE3" s="31">
        <f t="shared" si="2"/>
        <v>46112</v>
      </c>
      <c r="BF3" s="31">
        <f t="shared" si="2"/>
        <v>46142</v>
      </c>
      <c r="BG3" s="31">
        <f t="shared" si="2"/>
        <v>46173</v>
      </c>
      <c r="BH3" s="31">
        <f t="shared" si="2"/>
        <v>46203</v>
      </c>
      <c r="BI3" s="31">
        <f t="shared" si="2"/>
        <v>46234</v>
      </c>
      <c r="BJ3" s="31">
        <f t="shared" si="2"/>
        <v>46265</v>
      </c>
      <c r="BK3" s="31">
        <f t="shared" si="2"/>
        <v>46295</v>
      </c>
      <c r="BL3" s="31">
        <f t="shared" si="2"/>
        <v>46326</v>
      </c>
      <c r="BM3" s="31">
        <f t="shared" si="2"/>
        <v>46356</v>
      </c>
      <c r="BN3" s="31">
        <f t="shared" si="2"/>
        <v>46387</v>
      </c>
      <c r="BO3" s="31">
        <f t="shared" si="2"/>
        <v>46418</v>
      </c>
      <c r="BP3" s="31">
        <f t="shared" si="2"/>
        <v>46446</v>
      </c>
      <c r="BQ3" s="31">
        <f t="shared" si="2"/>
        <v>46477</v>
      </c>
      <c r="BR3" s="31">
        <f t="shared" si="2"/>
        <v>46507</v>
      </c>
      <c r="BS3" s="31">
        <f t="shared" si="2"/>
        <v>46538</v>
      </c>
      <c r="BT3" s="31">
        <f t="shared" si="2"/>
        <v>46568</v>
      </c>
      <c r="BU3" s="31">
        <f t="shared" ref="BU3:DV3" si="3">EOMONTH(BU2,0)</f>
        <v>46599</v>
      </c>
      <c r="BV3" s="31">
        <f t="shared" si="3"/>
        <v>46630</v>
      </c>
      <c r="BW3" s="31">
        <f t="shared" si="3"/>
        <v>46660</v>
      </c>
      <c r="BX3" s="31">
        <f t="shared" si="3"/>
        <v>46691</v>
      </c>
      <c r="BY3" s="31">
        <f t="shared" si="3"/>
        <v>46721</v>
      </c>
      <c r="BZ3" s="31">
        <f t="shared" si="3"/>
        <v>46752</v>
      </c>
      <c r="CA3" s="31">
        <f t="shared" si="3"/>
        <v>46783</v>
      </c>
      <c r="CB3" s="31">
        <f t="shared" si="3"/>
        <v>46812</v>
      </c>
      <c r="CC3" s="31">
        <f t="shared" si="3"/>
        <v>46843</v>
      </c>
      <c r="CD3" s="31">
        <f t="shared" si="3"/>
        <v>46873</v>
      </c>
      <c r="CE3" s="31">
        <f t="shared" si="3"/>
        <v>46904</v>
      </c>
      <c r="CF3" s="31">
        <f t="shared" si="3"/>
        <v>46934</v>
      </c>
      <c r="CG3" s="31">
        <f t="shared" si="3"/>
        <v>46965</v>
      </c>
      <c r="CH3" s="31">
        <f t="shared" si="3"/>
        <v>46996</v>
      </c>
      <c r="CI3" s="31">
        <f t="shared" si="3"/>
        <v>47026</v>
      </c>
      <c r="CJ3" s="31">
        <f t="shared" si="3"/>
        <v>47057</v>
      </c>
      <c r="CK3" s="31">
        <f t="shared" si="3"/>
        <v>47087</v>
      </c>
      <c r="CL3" s="31">
        <f t="shared" si="3"/>
        <v>47118</v>
      </c>
      <c r="CM3" s="31">
        <f t="shared" si="3"/>
        <v>47149</v>
      </c>
      <c r="CN3" s="31">
        <f t="shared" si="3"/>
        <v>47177</v>
      </c>
      <c r="CO3" s="31">
        <f t="shared" si="3"/>
        <v>47208</v>
      </c>
      <c r="CP3" s="31">
        <f t="shared" si="3"/>
        <v>47238</v>
      </c>
      <c r="CQ3" s="31">
        <f t="shared" si="3"/>
        <v>47269</v>
      </c>
      <c r="CR3" s="31">
        <f t="shared" si="3"/>
        <v>47299</v>
      </c>
      <c r="CS3" s="31">
        <f t="shared" si="3"/>
        <v>47330</v>
      </c>
      <c r="CT3" s="31">
        <f t="shared" si="3"/>
        <v>47361</v>
      </c>
      <c r="CU3" s="31">
        <f t="shared" si="3"/>
        <v>47391</v>
      </c>
      <c r="CV3" s="31">
        <f t="shared" si="3"/>
        <v>47422</v>
      </c>
      <c r="CW3" s="31">
        <f t="shared" si="3"/>
        <v>47452</v>
      </c>
      <c r="CX3" s="31">
        <f t="shared" si="3"/>
        <v>47483</v>
      </c>
      <c r="CY3" s="31">
        <f t="shared" si="3"/>
        <v>47514</v>
      </c>
      <c r="CZ3" s="31">
        <f t="shared" si="3"/>
        <v>47542</v>
      </c>
      <c r="DA3" s="31">
        <f t="shared" si="3"/>
        <v>47573</v>
      </c>
      <c r="DB3" s="31">
        <f t="shared" si="3"/>
        <v>47603</v>
      </c>
      <c r="DC3" s="31">
        <f t="shared" si="3"/>
        <v>47634</v>
      </c>
      <c r="DD3" s="31">
        <f t="shared" si="3"/>
        <v>47664</v>
      </c>
      <c r="DE3" s="31">
        <f t="shared" si="3"/>
        <v>47695</v>
      </c>
      <c r="DF3" s="31">
        <f t="shared" si="3"/>
        <v>47726</v>
      </c>
      <c r="DG3" s="31">
        <f t="shared" si="3"/>
        <v>47756</v>
      </c>
      <c r="DH3" s="31">
        <f t="shared" si="3"/>
        <v>47787</v>
      </c>
      <c r="DI3" s="31">
        <f t="shared" si="3"/>
        <v>47817</v>
      </c>
      <c r="DJ3" s="31">
        <f t="shared" si="3"/>
        <v>47848</v>
      </c>
      <c r="DK3" s="31">
        <f t="shared" si="3"/>
        <v>47879</v>
      </c>
      <c r="DL3" s="31">
        <f t="shared" si="3"/>
        <v>47907</v>
      </c>
      <c r="DM3" s="31">
        <f t="shared" si="3"/>
        <v>47938</v>
      </c>
      <c r="DN3" s="31">
        <f t="shared" si="3"/>
        <v>47968</v>
      </c>
      <c r="DO3" s="31">
        <f t="shared" si="3"/>
        <v>47999</v>
      </c>
      <c r="DP3" s="31">
        <f t="shared" si="3"/>
        <v>48029</v>
      </c>
      <c r="DQ3" s="31">
        <f t="shared" si="3"/>
        <v>48060</v>
      </c>
      <c r="DR3" s="31">
        <f t="shared" si="3"/>
        <v>48091</v>
      </c>
      <c r="DS3" s="31">
        <f t="shared" si="3"/>
        <v>48121</v>
      </c>
      <c r="DT3" s="31">
        <f t="shared" si="3"/>
        <v>48152</v>
      </c>
      <c r="DU3" s="31">
        <f t="shared" si="3"/>
        <v>48182</v>
      </c>
      <c r="DV3" s="31">
        <f t="shared" si="3"/>
        <v>48213</v>
      </c>
    </row>
    <row r="4" spans="2:126" s="30" customFormat="1" ht="10.199999999999999">
      <c r="B4" s="30" t="s">
        <v>49</v>
      </c>
      <c r="F4" s="30">
        <v>0</v>
      </c>
      <c r="G4" s="30">
        <f>F4+1</f>
        <v>1</v>
      </c>
      <c r="H4" s="30">
        <f t="shared" ref="H4:BS4" si="4">G4+1</f>
        <v>2</v>
      </c>
      <c r="I4" s="30">
        <f t="shared" si="4"/>
        <v>3</v>
      </c>
      <c r="J4" s="30">
        <f t="shared" si="4"/>
        <v>4</v>
      </c>
      <c r="K4" s="30">
        <f t="shared" si="4"/>
        <v>5</v>
      </c>
      <c r="L4" s="30">
        <f t="shared" si="4"/>
        <v>6</v>
      </c>
      <c r="M4" s="30">
        <f t="shared" si="4"/>
        <v>7</v>
      </c>
      <c r="N4" s="30">
        <f t="shared" si="4"/>
        <v>8</v>
      </c>
      <c r="O4" s="30">
        <f t="shared" si="4"/>
        <v>9</v>
      </c>
      <c r="P4" s="30">
        <f t="shared" si="4"/>
        <v>10</v>
      </c>
      <c r="Q4" s="30">
        <f t="shared" si="4"/>
        <v>11</v>
      </c>
      <c r="R4" s="30">
        <f t="shared" si="4"/>
        <v>12</v>
      </c>
      <c r="S4" s="30">
        <f t="shared" si="4"/>
        <v>13</v>
      </c>
      <c r="T4" s="30">
        <f t="shared" si="4"/>
        <v>14</v>
      </c>
      <c r="U4" s="30">
        <f t="shared" si="4"/>
        <v>15</v>
      </c>
      <c r="V4" s="30">
        <f t="shared" si="4"/>
        <v>16</v>
      </c>
      <c r="W4" s="30">
        <f t="shared" si="4"/>
        <v>17</v>
      </c>
      <c r="X4" s="30">
        <f t="shared" si="4"/>
        <v>18</v>
      </c>
      <c r="Y4" s="30">
        <f t="shared" si="4"/>
        <v>19</v>
      </c>
      <c r="Z4" s="30">
        <f t="shared" si="4"/>
        <v>20</v>
      </c>
      <c r="AA4" s="30">
        <f t="shared" si="4"/>
        <v>21</v>
      </c>
      <c r="AB4" s="30">
        <f t="shared" si="4"/>
        <v>22</v>
      </c>
      <c r="AC4" s="30">
        <f t="shared" si="4"/>
        <v>23</v>
      </c>
      <c r="AD4" s="30">
        <f t="shared" si="4"/>
        <v>24</v>
      </c>
      <c r="AE4" s="30">
        <f t="shared" si="4"/>
        <v>25</v>
      </c>
      <c r="AF4" s="30">
        <f t="shared" si="4"/>
        <v>26</v>
      </c>
      <c r="AG4" s="30">
        <f t="shared" si="4"/>
        <v>27</v>
      </c>
      <c r="AH4" s="30">
        <f t="shared" si="4"/>
        <v>28</v>
      </c>
      <c r="AI4" s="30">
        <f t="shared" si="4"/>
        <v>29</v>
      </c>
      <c r="AJ4" s="30">
        <f t="shared" si="4"/>
        <v>30</v>
      </c>
      <c r="AK4" s="30">
        <f t="shared" si="4"/>
        <v>31</v>
      </c>
      <c r="AL4" s="30">
        <f t="shared" si="4"/>
        <v>32</v>
      </c>
      <c r="AM4" s="30">
        <f t="shared" si="4"/>
        <v>33</v>
      </c>
      <c r="AN4" s="30">
        <f t="shared" si="4"/>
        <v>34</v>
      </c>
      <c r="AO4" s="30">
        <f t="shared" si="4"/>
        <v>35</v>
      </c>
      <c r="AP4" s="30">
        <f t="shared" si="4"/>
        <v>36</v>
      </c>
      <c r="AQ4" s="30">
        <f t="shared" si="4"/>
        <v>37</v>
      </c>
      <c r="AR4" s="30">
        <f t="shared" si="4"/>
        <v>38</v>
      </c>
      <c r="AS4" s="30">
        <f t="shared" si="4"/>
        <v>39</v>
      </c>
      <c r="AT4" s="30">
        <f t="shared" si="4"/>
        <v>40</v>
      </c>
      <c r="AU4" s="30">
        <f t="shared" si="4"/>
        <v>41</v>
      </c>
      <c r="AV4" s="30">
        <f t="shared" si="4"/>
        <v>42</v>
      </c>
      <c r="AW4" s="30">
        <f t="shared" si="4"/>
        <v>43</v>
      </c>
      <c r="AX4" s="30">
        <f t="shared" si="4"/>
        <v>44</v>
      </c>
      <c r="AY4" s="30">
        <f t="shared" si="4"/>
        <v>45</v>
      </c>
      <c r="AZ4" s="30">
        <f t="shared" si="4"/>
        <v>46</v>
      </c>
      <c r="BA4" s="30">
        <f t="shared" si="4"/>
        <v>47</v>
      </c>
      <c r="BB4" s="30">
        <f t="shared" si="4"/>
        <v>48</v>
      </c>
      <c r="BC4" s="30">
        <f t="shared" si="4"/>
        <v>49</v>
      </c>
      <c r="BD4" s="30">
        <f t="shared" si="4"/>
        <v>50</v>
      </c>
      <c r="BE4" s="30">
        <f t="shared" si="4"/>
        <v>51</v>
      </c>
      <c r="BF4" s="30">
        <f t="shared" si="4"/>
        <v>52</v>
      </c>
      <c r="BG4" s="30">
        <f t="shared" si="4"/>
        <v>53</v>
      </c>
      <c r="BH4" s="30">
        <f t="shared" si="4"/>
        <v>54</v>
      </c>
      <c r="BI4" s="30">
        <f t="shared" si="4"/>
        <v>55</v>
      </c>
      <c r="BJ4" s="30">
        <f t="shared" si="4"/>
        <v>56</v>
      </c>
      <c r="BK4" s="30">
        <f t="shared" si="4"/>
        <v>57</v>
      </c>
      <c r="BL4" s="30">
        <f t="shared" si="4"/>
        <v>58</v>
      </c>
      <c r="BM4" s="30">
        <f t="shared" si="4"/>
        <v>59</v>
      </c>
      <c r="BN4" s="30">
        <f t="shared" si="4"/>
        <v>60</v>
      </c>
      <c r="BO4" s="30">
        <f t="shared" si="4"/>
        <v>61</v>
      </c>
      <c r="BP4" s="30">
        <f t="shared" si="4"/>
        <v>62</v>
      </c>
      <c r="BQ4" s="30">
        <f t="shared" si="4"/>
        <v>63</v>
      </c>
      <c r="BR4" s="30">
        <f t="shared" si="4"/>
        <v>64</v>
      </c>
      <c r="BS4" s="30">
        <f t="shared" si="4"/>
        <v>65</v>
      </c>
      <c r="BT4" s="30">
        <f t="shared" ref="BT4:DV4" si="5">BS4+1</f>
        <v>66</v>
      </c>
      <c r="BU4" s="30">
        <f t="shared" si="5"/>
        <v>67</v>
      </c>
      <c r="BV4" s="30">
        <f t="shared" si="5"/>
        <v>68</v>
      </c>
      <c r="BW4" s="30">
        <f t="shared" si="5"/>
        <v>69</v>
      </c>
      <c r="BX4" s="30">
        <f t="shared" si="5"/>
        <v>70</v>
      </c>
      <c r="BY4" s="30">
        <f t="shared" si="5"/>
        <v>71</v>
      </c>
      <c r="BZ4" s="30">
        <f t="shared" si="5"/>
        <v>72</v>
      </c>
      <c r="CA4" s="30">
        <f t="shared" si="5"/>
        <v>73</v>
      </c>
      <c r="CB4" s="30">
        <f t="shared" si="5"/>
        <v>74</v>
      </c>
      <c r="CC4" s="30">
        <f t="shared" si="5"/>
        <v>75</v>
      </c>
      <c r="CD4" s="30">
        <f t="shared" si="5"/>
        <v>76</v>
      </c>
      <c r="CE4" s="30">
        <f t="shared" si="5"/>
        <v>77</v>
      </c>
      <c r="CF4" s="30">
        <f t="shared" si="5"/>
        <v>78</v>
      </c>
      <c r="CG4" s="30">
        <f t="shared" si="5"/>
        <v>79</v>
      </c>
      <c r="CH4" s="30">
        <f t="shared" si="5"/>
        <v>80</v>
      </c>
      <c r="CI4" s="30">
        <f t="shared" si="5"/>
        <v>81</v>
      </c>
      <c r="CJ4" s="30">
        <f t="shared" si="5"/>
        <v>82</v>
      </c>
      <c r="CK4" s="30">
        <f t="shared" si="5"/>
        <v>83</v>
      </c>
      <c r="CL4" s="30">
        <f t="shared" si="5"/>
        <v>84</v>
      </c>
      <c r="CM4" s="30">
        <f t="shared" si="5"/>
        <v>85</v>
      </c>
      <c r="CN4" s="30">
        <f t="shared" si="5"/>
        <v>86</v>
      </c>
      <c r="CO4" s="30">
        <f t="shared" si="5"/>
        <v>87</v>
      </c>
      <c r="CP4" s="30">
        <f t="shared" si="5"/>
        <v>88</v>
      </c>
      <c r="CQ4" s="30">
        <f t="shared" si="5"/>
        <v>89</v>
      </c>
      <c r="CR4" s="30">
        <f t="shared" si="5"/>
        <v>90</v>
      </c>
      <c r="CS4" s="30">
        <f t="shared" si="5"/>
        <v>91</v>
      </c>
      <c r="CT4" s="30">
        <f t="shared" si="5"/>
        <v>92</v>
      </c>
      <c r="CU4" s="30">
        <f t="shared" si="5"/>
        <v>93</v>
      </c>
      <c r="CV4" s="30">
        <f t="shared" si="5"/>
        <v>94</v>
      </c>
      <c r="CW4" s="30">
        <f t="shared" si="5"/>
        <v>95</v>
      </c>
      <c r="CX4" s="30">
        <f t="shared" si="5"/>
        <v>96</v>
      </c>
      <c r="CY4" s="30">
        <f t="shared" si="5"/>
        <v>97</v>
      </c>
      <c r="CZ4" s="30">
        <f t="shared" si="5"/>
        <v>98</v>
      </c>
      <c r="DA4" s="30">
        <f t="shared" si="5"/>
        <v>99</v>
      </c>
      <c r="DB4" s="30">
        <f t="shared" si="5"/>
        <v>100</v>
      </c>
      <c r="DC4" s="30">
        <f t="shared" si="5"/>
        <v>101</v>
      </c>
      <c r="DD4" s="30">
        <f t="shared" si="5"/>
        <v>102</v>
      </c>
      <c r="DE4" s="30">
        <f t="shared" si="5"/>
        <v>103</v>
      </c>
      <c r="DF4" s="30">
        <f t="shared" si="5"/>
        <v>104</v>
      </c>
      <c r="DG4" s="30">
        <f t="shared" si="5"/>
        <v>105</v>
      </c>
      <c r="DH4" s="30">
        <f t="shared" si="5"/>
        <v>106</v>
      </c>
      <c r="DI4" s="30">
        <f t="shared" si="5"/>
        <v>107</v>
      </c>
      <c r="DJ4" s="30">
        <f t="shared" si="5"/>
        <v>108</v>
      </c>
      <c r="DK4" s="30">
        <f t="shared" si="5"/>
        <v>109</v>
      </c>
      <c r="DL4" s="30">
        <f t="shared" si="5"/>
        <v>110</v>
      </c>
      <c r="DM4" s="30">
        <f t="shared" si="5"/>
        <v>111</v>
      </c>
      <c r="DN4" s="30">
        <f t="shared" si="5"/>
        <v>112</v>
      </c>
      <c r="DO4" s="30">
        <f t="shared" si="5"/>
        <v>113</v>
      </c>
      <c r="DP4" s="30">
        <f t="shared" si="5"/>
        <v>114</v>
      </c>
      <c r="DQ4" s="30">
        <f t="shared" si="5"/>
        <v>115</v>
      </c>
      <c r="DR4" s="30">
        <f t="shared" si="5"/>
        <v>116</v>
      </c>
      <c r="DS4" s="30">
        <f t="shared" si="5"/>
        <v>117</v>
      </c>
      <c r="DT4" s="30">
        <f t="shared" si="5"/>
        <v>118</v>
      </c>
      <c r="DU4" s="30">
        <f t="shared" si="5"/>
        <v>119</v>
      </c>
      <c r="DV4" s="30">
        <f t="shared" si="5"/>
        <v>120</v>
      </c>
    </row>
    <row r="6" spans="2:126">
      <c r="B6" s="1" t="s">
        <v>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</row>
    <row r="8" spans="2:126" ht="14.4" thickBot="1">
      <c r="B8" s="32" t="s">
        <v>51</v>
      </c>
      <c r="C8" s="5"/>
      <c r="D8" s="5"/>
      <c r="E8" s="33" t="s">
        <v>0</v>
      </c>
      <c r="F8" s="33"/>
      <c r="G8" s="34">
        <f>SUM(G9:G13)</f>
        <v>-2105346.25</v>
      </c>
      <c r="H8" s="34">
        <f t="shared" ref="H8:BS8" si="6">SUM(H9:H13)</f>
        <v>2210783.75</v>
      </c>
      <c r="I8" s="34">
        <f t="shared" si="6"/>
        <v>2210783.75</v>
      </c>
      <c r="J8" s="34">
        <f t="shared" si="6"/>
        <v>-1698114.25</v>
      </c>
      <c r="K8" s="34">
        <f t="shared" si="6"/>
        <v>1262776.625</v>
      </c>
      <c r="L8" s="34">
        <f t="shared" si="6"/>
        <v>1157442.5</v>
      </c>
      <c r="M8" s="34">
        <f t="shared" si="6"/>
        <v>-3989926.75</v>
      </c>
      <c r="N8" s="34">
        <f t="shared" si="6"/>
        <v>736105.99999999977</v>
      </c>
      <c r="O8" s="34">
        <f t="shared" si="6"/>
        <v>-110533.75</v>
      </c>
      <c r="P8" s="34">
        <f t="shared" si="6"/>
        <v>-8323427</v>
      </c>
      <c r="Q8" s="34">
        <f t="shared" si="6"/>
        <v>-2886725.75</v>
      </c>
      <c r="R8" s="34">
        <f t="shared" si="6"/>
        <v>-4906826.5</v>
      </c>
      <c r="S8" s="34">
        <f t="shared" si="6"/>
        <v>-10321857.016249999</v>
      </c>
      <c r="T8" s="34">
        <f t="shared" si="6"/>
        <v>-6383039.90625</v>
      </c>
      <c r="U8" s="34">
        <f t="shared" si="6"/>
        <v>-8063225.03125</v>
      </c>
      <c r="V8" s="34">
        <f t="shared" si="6"/>
        <v>-11556720.36375</v>
      </c>
      <c r="W8" s="34">
        <f t="shared" si="6"/>
        <v>-9660528.65625</v>
      </c>
      <c r="X8" s="34">
        <f t="shared" si="6"/>
        <v>-11791451.38125</v>
      </c>
      <c r="Y8" s="34">
        <f t="shared" si="6"/>
        <v>-11066914.75625</v>
      </c>
      <c r="Z8" s="34">
        <f t="shared" si="6"/>
        <v>-7172830.808749998</v>
      </c>
      <c r="AA8" s="34">
        <f t="shared" si="6"/>
        <v>-5515531.5437499983</v>
      </c>
      <c r="AB8" s="34">
        <f t="shared" si="6"/>
        <v>-6394167.956249997</v>
      </c>
      <c r="AC8" s="34">
        <f t="shared" si="6"/>
        <v>-7312806.7874999968</v>
      </c>
      <c r="AD8" s="34">
        <f t="shared" si="6"/>
        <v>-7478194.6437499989</v>
      </c>
      <c r="AE8" s="34">
        <f t="shared" si="6"/>
        <v>-15822252.144531248</v>
      </c>
      <c r="AF8" s="34">
        <f t="shared" si="6"/>
        <v>-7242459.7183499988</v>
      </c>
      <c r="AG8" s="34">
        <f t="shared" si="6"/>
        <v>-8366330.3603499979</v>
      </c>
      <c r="AH8" s="34">
        <f t="shared" si="6"/>
        <v>-14384103.590825001</v>
      </c>
      <c r="AI8" s="34">
        <f t="shared" si="6"/>
        <v>-11284112.991224999</v>
      </c>
      <c r="AJ8" s="34">
        <f t="shared" si="6"/>
        <v>-12743004.306662498</v>
      </c>
      <c r="AK8" s="34">
        <f t="shared" si="6"/>
        <v>-12591665.722100001</v>
      </c>
      <c r="AL8" s="34">
        <f t="shared" si="6"/>
        <v>-10770138.630099999</v>
      </c>
      <c r="AM8" s="34">
        <f t="shared" si="6"/>
        <v>-5915335.3952874988</v>
      </c>
      <c r="AN8" s="34">
        <f t="shared" si="6"/>
        <v>-1698321.0977187492</v>
      </c>
      <c r="AO8" s="34">
        <f t="shared" si="6"/>
        <v>-1010452.3644999983</v>
      </c>
      <c r="AP8" s="34">
        <f t="shared" si="6"/>
        <v>250196.79736875137</v>
      </c>
      <c r="AQ8" s="34">
        <f t="shared" si="6"/>
        <v>-6306544.4363144683</v>
      </c>
      <c r="AR8" s="34">
        <f t="shared" si="6"/>
        <v>-385349.55094271991</v>
      </c>
      <c r="AS8" s="34">
        <f t="shared" si="6"/>
        <v>-779924.93528521899</v>
      </c>
      <c r="AT8" s="34">
        <f t="shared" si="6"/>
        <v>-1508488.787630219</v>
      </c>
      <c r="AU8" s="34">
        <f t="shared" si="6"/>
        <v>-2237052.639975219</v>
      </c>
      <c r="AV8" s="34">
        <f t="shared" si="6"/>
        <v>-3686834.5940520922</v>
      </c>
      <c r="AW8" s="34">
        <f t="shared" si="6"/>
        <v>-11188627.384322595</v>
      </c>
      <c r="AX8" s="34">
        <f t="shared" si="6"/>
        <v>-6255447.7733055307</v>
      </c>
      <c r="AY8" s="34">
        <f t="shared" si="6"/>
        <v>-6541624.1846402176</v>
      </c>
      <c r="AZ8" s="34">
        <f t="shared" si="6"/>
        <v>-6516983.9052264681</v>
      </c>
      <c r="BA8" s="34">
        <f t="shared" si="6"/>
        <v>-6826732.702898656</v>
      </c>
      <c r="BB8" s="34">
        <f t="shared" si="6"/>
        <v>-6556966.3629208412</v>
      </c>
      <c r="BC8" s="34">
        <f t="shared" si="6"/>
        <v>-5227729.1681786841</v>
      </c>
      <c r="BD8" s="34">
        <f t="shared" si="6"/>
        <v>-2385022.5693855584</v>
      </c>
      <c r="BE8" s="34">
        <f t="shared" si="6"/>
        <v>576259.00248821825</v>
      </c>
      <c r="BF8" s="34">
        <f t="shared" si="6"/>
        <v>404223.62903940585</v>
      </c>
      <c r="BG8" s="34">
        <f t="shared" si="6"/>
        <v>232188.25559059437</v>
      </c>
      <c r="BH8" s="34">
        <f t="shared" si="6"/>
        <v>60152.882141781971</v>
      </c>
      <c r="BI8" s="34">
        <f t="shared" si="6"/>
        <v>-857883.39530703053</v>
      </c>
      <c r="BJ8" s="34">
        <f t="shared" si="6"/>
        <v>-1364307.8458417822</v>
      </c>
      <c r="BK8" s="34">
        <f t="shared" si="6"/>
        <v>-1986605.0926657813</v>
      </c>
      <c r="BL8" s="34">
        <f t="shared" si="6"/>
        <v>-2690981.0009034313</v>
      </c>
      <c r="BM8" s="34">
        <f t="shared" si="6"/>
        <v>-2649356.0051410813</v>
      </c>
      <c r="BN8" s="34">
        <f t="shared" si="6"/>
        <v>-3356732.6437113304</v>
      </c>
      <c r="BO8" s="34">
        <f t="shared" si="6"/>
        <v>-2505277.1897323728</v>
      </c>
      <c r="BP8" s="34">
        <f t="shared" si="6"/>
        <v>-2542910.0674950033</v>
      </c>
      <c r="BQ8" s="34">
        <f t="shared" si="6"/>
        <v>-1198755.4471403379</v>
      </c>
      <c r="BR8" s="34">
        <f t="shared" si="6"/>
        <v>725938.3965493124</v>
      </c>
      <c r="BS8" s="34">
        <f t="shared" si="6"/>
        <v>825806.70637121797</v>
      </c>
      <c r="BT8" s="34">
        <f t="shared" ref="BT8:DV8" si="7">SUM(BT9:BT13)</f>
        <v>179674.11219312344</v>
      </c>
      <c r="BU8" s="34">
        <f t="shared" si="7"/>
        <v>279542.42201502714</v>
      </c>
      <c r="BV8" s="34">
        <f t="shared" si="7"/>
        <v>379410.73183693271</v>
      </c>
      <c r="BW8" s="34">
        <f t="shared" si="7"/>
        <v>1971280.8496588385</v>
      </c>
      <c r="BX8" s="34">
        <f t="shared" si="7"/>
        <v>3493198.4691225034</v>
      </c>
      <c r="BY8" s="34">
        <f t="shared" si="7"/>
        <v>5015116.0885861646</v>
      </c>
      <c r="BZ8" s="34">
        <f t="shared" si="7"/>
        <v>6481190.7494873349</v>
      </c>
      <c r="CA8" s="34">
        <f t="shared" si="7"/>
        <v>6772042.169195109</v>
      </c>
      <c r="CB8" s="34">
        <f t="shared" si="7"/>
        <v>6900863.8201657003</v>
      </c>
      <c r="CC8" s="34">
        <f t="shared" si="7"/>
        <v>7022922.2013251027</v>
      </c>
      <c r="CD8" s="34">
        <f t="shared" si="7"/>
        <v>7125063.5517019508</v>
      </c>
      <c r="CE8" s="34">
        <f t="shared" si="7"/>
        <v>7227204.9020787971</v>
      </c>
      <c r="CF8" s="34">
        <f t="shared" si="7"/>
        <v>7255727.7942903927</v>
      </c>
      <c r="CG8" s="34">
        <f t="shared" si="7"/>
        <v>7284250.6865019863</v>
      </c>
      <c r="CH8" s="34">
        <f t="shared" si="7"/>
        <v>7312773.5787135819</v>
      </c>
      <c r="CI8" s="34">
        <f t="shared" si="7"/>
        <v>7341296.4709251774</v>
      </c>
      <c r="CJ8" s="34">
        <f t="shared" si="7"/>
        <v>7369819.363136773</v>
      </c>
      <c r="CK8" s="34">
        <f t="shared" si="7"/>
        <v>7398342.2553483667</v>
      </c>
      <c r="CL8" s="34">
        <f t="shared" si="7"/>
        <v>7406415.575847392</v>
      </c>
      <c r="CM8" s="34">
        <f t="shared" si="7"/>
        <v>7599851.1187550761</v>
      </c>
      <c r="CN8" s="34">
        <f t="shared" si="7"/>
        <v>7608126.2722665761</v>
      </c>
      <c r="CO8" s="34">
        <f t="shared" si="7"/>
        <v>7616401.4257780761</v>
      </c>
      <c r="CP8" s="34">
        <f t="shared" si="7"/>
        <v>7620593.5879791528</v>
      </c>
      <c r="CQ8" s="34">
        <f t="shared" si="7"/>
        <v>7624785.7501802295</v>
      </c>
      <c r="CR8" s="34">
        <f t="shared" si="7"/>
        <v>7628977.9123813063</v>
      </c>
      <c r="CS8" s="34">
        <f t="shared" si="7"/>
        <v>7633170.074582383</v>
      </c>
      <c r="CT8" s="34">
        <f t="shared" si="7"/>
        <v>7637362.2367834598</v>
      </c>
      <c r="CU8" s="34">
        <f t="shared" si="7"/>
        <v>7641554.3989845384</v>
      </c>
      <c r="CV8" s="34">
        <f t="shared" si="7"/>
        <v>7645746.5611856151</v>
      </c>
      <c r="CW8" s="34">
        <f t="shared" si="7"/>
        <v>7649938.7233866919</v>
      </c>
      <c r="CX8" s="34">
        <f t="shared" si="7"/>
        <v>7649938.7233866919</v>
      </c>
      <c r="CY8" s="34">
        <f t="shared" si="7"/>
        <v>7841187.1914713588</v>
      </c>
      <c r="CZ8" s="34">
        <f t="shared" si="7"/>
        <v>7841187.1914713588</v>
      </c>
      <c r="DA8" s="34">
        <f t="shared" si="7"/>
        <v>7841187.1914713588</v>
      </c>
      <c r="DB8" s="34">
        <f t="shared" si="7"/>
        <v>7841187.1914713588</v>
      </c>
      <c r="DC8" s="34">
        <f t="shared" si="7"/>
        <v>7841187.1914713588</v>
      </c>
      <c r="DD8" s="34">
        <f t="shared" si="7"/>
        <v>7841187.1914713588</v>
      </c>
      <c r="DE8" s="34">
        <f t="shared" si="7"/>
        <v>7841187.1914713588</v>
      </c>
      <c r="DF8" s="34">
        <f t="shared" si="7"/>
        <v>7841187.1914713588</v>
      </c>
      <c r="DG8" s="34">
        <f t="shared" si="7"/>
        <v>7841187.1914713588</v>
      </c>
      <c r="DH8" s="34">
        <f t="shared" si="7"/>
        <v>7841187.1914713588</v>
      </c>
      <c r="DI8" s="34">
        <f t="shared" si="7"/>
        <v>7841187.1914713588</v>
      </c>
      <c r="DJ8" s="34">
        <f t="shared" si="7"/>
        <v>7841187.1914713588</v>
      </c>
      <c r="DK8" s="34">
        <f t="shared" si="7"/>
        <v>8037216.8712581415</v>
      </c>
      <c r="DL8" s="34">
        <f t="shared" si="7"/>
        <v>8037216.8712581415</v>
      </c>
      <c r="DM8" s="34">
        <f t="shared" si="7"/>
        <v>8037216.8712581415</v>
      </c>
      <c r="DN8" s="34">
        <f t="shared" si="7"/>
        <v>8037216.8712581415</v>
      </c>
      <c r="DO8" s="34">
        <f t="shared" si="7"/>
        <v>8037216.8712581415</v>
      </c>
      <c r="DP8" s="34">
        <f t="shared" si="7"/>
        <v>8037216.8712581415</v>
      </c>
      <c r="DQ8" s="34">
        <f t="shared" si="7"/>
        <v>8037216.8712581415</v>
      </c>
      <c r="DR8" s="34">
        <f t="shared" si="7"/>
        <v>8037216.8712581415</v>
      </c>
      <c r="DS8" s="34">
        <f t="shared" si="7"/>
        <v>8037216.8712581415</v>
      </c>
      <c r="DT8" s="34">
        <f t="shared" si="7"/>
        <v>8037216.8712581415</v>
      </c>
      <c r="DU8" s="34">
        <f t="shared" si="7"/>
        <v>8037216.8712581415</v>
      </c>
      <c r="DV8" s="34">
        <f t="shared" si="7"/>
        <v>8037216.8712581415</v>
      </c>
    </row>
    <row r="9" spans="2:126" ht="14.4" thickTop="1">
      <c r="B9" s="3" t="s">
        <v>52</v>
      </c>
      <c r="E9" s="35" t="s">
        <v>0</v>
      </c>
      <c r="F9" s="35"/>
      <c r="G9" s="36">
        <f>G22</f>
        <v>3210711</v>
      </c>
      <c r="H9" s="36">
        <f t="shared" ref="H9:BS9" si="8">H22</f>
        <v>3210711</v>
      </c>
      <c r="I9" s="36">
        <f t="shared" si="8"/>
        <v>3210711</v>
      </c>
      <c r="J9" s="36">
        <f t="shared" si="8"/>
        <v>3210711</v>
      </c>
      <c r="K9" s="36">
        <f t="shared" si="8"/>
        <v>3210711</v>
      </c>
      <c r="L9" s="36">
        <f t="shared" si="8"/>
        <v>3210711</v>
      </c>
      <c r="M9" s="36">
        <f t="shared" si="8"/>
        <v>3210711</v>
      </c>
      <c r="N9" s="36">
        <f t="shared" si="8"/>
        <v>3210711</v>
      </c>
      <c r="O9" s="36">
        <f t="shared" si="8"/>
        <v>3210711</v>
      </c>
      <c r="P9" s="36">
        <f t="shared" si="8"/>
        <v>3210711</v>
      </c>
      <c r="Q9" s="36">
        <f t="shared" si="8"/>
        <v>3210711</v>
      </c>
      <c r="R9" s="36">
        <f t="shared" si="8"/>
        <v>3210711</v>
      </c>
      <c r="S9" s="36">
        <f t="shared" si="8"/>
        <v>3355192.9950000006</v>
      </c>
      <c r="T9" s="36">
        <f t="shared" si="8"/>
        <v>3355192.9950000006</v>
      </c>
      <c r="U9" s="36">
        <f t="shared" si="8"/>
        <v>3355192.9950000006</v>
      </c>
      <c r="V9" s="36">
        <f t="shared" si="8"/>
        <v>3355192.9950000006</v>
      </c>
      <c r="W9" s="36">
        <f t="shared" si="8"/>
        <v>3355192.9950000006</v>
      </c>
      <c r="X9" s="36">
        <f t="shared" si="8"/>
        <v>3355192.9950000006</v>
      </c>
      <c r="Y9" s="36">
        <f t="shared" si="8"/>
        <v>3355192.9950000006</v>
      </c>
      <c r="Z9" s="36">
        <f t="shared" si="8"/>
        <v>3476439.1200000006</v>
      </c>
      <c r="AA9" s="36">
        <f t="shared" si="8"/>
        <v>3629999.2575000008</v>
      </c>
      <c r="AB9" s="36">
        <f t="shared" si="8"/>
        <v>3720522.3825000003</v>
      </c>
      <c r="AC9" s="36">
        <f t="shared" si="8"/>
        <v>3811045.5075000008</v>
      </c>
      <c r="AD9" s="36">
        <f t="shared" si="8"/>
        <v>3901568.6325000003</v>
      </c>
      <c r="AE9" s="36">
        <f t="shared" si="8"/>
        <v>4151775.4278000002</v>
      </c>
      <c r="AF9" s="36">
        <f t="shared" si="8"/>
        <v>4349877.3318000007</v>
      </c>
      <c r="AG9" s="36">
        <f t="shared" si="8"/>
        <v>4430128.0023000007</v>
      </c>
      <c r="AH9" s="36">
        <f t="shared" si="8"/>
        <v>4510378.6727999998</v>
      </c>
      <c r="AI9" s="36">
        <f t="shared" si="8"/>
        <v>4590629.3432999998</v>
      </c>
      <c r="AJ9" s="36">
        <f t="shared" si="8"/>
        <v>4670880.0137999998</v>
      </c>
      <c r="AK9" s="36">
        <f t="shared" si="8"/>
        <v>4751130.6842999998</v>
      </c>
      <c r="AL9" s="36">
        <f t="shared" si="8"/>
        <v>4778337.3638000004</v>
      </c>
      <c r="AM9" s="36">
        <f t="shared" si="8"/>
        <v>4796438.6970500005</v>
      </c>
      <c r="AN9" s="36">
        <f t="shared" si="8"/>
        <v>5087843.0603000009</v>
      </c>
      <c r="AO9" s="36">
        <f t="shared" si="8"/>
        <v>5215265.6055500014</v>
      </c>
      <c r="AP9" s="36">
        <f t="shared" si="8"/>
        <v>5511576.8708000006</v>
      </c>
      <c r="AQ9" s="36">
        <f t="shared" si="8"/>
        <v>5906284.3256917484</v>
      </c>
      <c r="AR9" s="36">
        <f t="shared" si="8"/>
        <v>6095857.4919742476</v>
      </c>
      <c r="AS9" s="36">
        <f t="shared" si="8"/>
        <v>6285430.6582567487</v>
      </c>
      <c r="AT9" s="36">
        <f t="shared" si="8"/>
        <v>6390143.2337242486</v>
      </c>
      <c r="AU9" s="36">
        <f t="shared" si="8"/>
        <v>6494855.8091917485</v>
      </c>
      <c r="AV9" s="36">
        <f t="shared" si="8"/>
        <v>6547128.43709925</v>
      </c>
      <c r="AW9" s="36">
        <f t="shared" si="8"/>
        <v>6599401.0650067478</v>
      </c>
      <c r="AX9" s="36">
        <f t="shared" si="8"/>
        <v>6649498.5374317486</v>
      </c>
      <c r="AY9" s="36">
        <f t="shared" si="8"/>
        <v>6697711.2031829981</v>
      </c>
      <c r="AZ9" s="36">
        <f t="shared" si="8"/>
        <v>6722351.4825967476</v>
      </c>
      <c r="BA9" s="36">
        <f t="shared" si="8"/>
        <v>6746991.762010498</v>
      </c>
      <c r="BB9" s="36">
        <f t="shared" si="8"/>
        <v>6757065.3893242488</v>
      </c>
      <c r="BC9" s="36">
        <f t="shared" si="8"/>
        <v>6970153.18713714</v>
      </c>
      <c r="BD9" s="36">
        <f t="shared" si="8"/>
        <v>6978009.8290552655</v>
      </c>
      <c r="BE9" s="36">
        <f t="shared" si="8"/>
        <v>7372109.1252708891</v>
      </c>
      <c r="BF9" s="36">
        <f t="shared" si="8"/>
        <v>7534462.8289080141</v>
      </c>
      <c r="BG9" s="36">
        <f t="shared" si="8"/>
        <v>7696816.53254514</v>
      </c>
      <c r="BH9" s="36">
        <f t="shared" si="8"/>
        <v>7859170.236182265</v>
      </c>
      <c r="BI9" s="36">
        <f t="shared" si="8"/>
        <v>8021523.93981939</v>
      </c>
      <c r="BJ9" s="36">
        <f t="shared" si="8"/>
        <v>8183877.643456514</v>
      </c>
      <c r="BK9" s="36">
        <f t="shared" si="8"/>
        <v>8230358.5508043896</v>
      </c>
      <c r="BL9" s="36">
        <f t="shared" si="8"/>
        <v>8271983.5465667387</v>
      </c>
      <c r="BM9" s="36">
        <f t="shared" si="8"/>
        <v>8313608.5423290888</v>
      </c>
      <c r="BN9" s="36">
        <f t="shared" si="8"/>
        <v>8352232.8077588389</v>
      </c>
      <c r="BO9" s="36">
        <f t="shared" si="8"/>
        <v>8600628.5000183024</v>
      </c>
      <c r="BP9" s="36">
        <f t="shared" si="8"/>
        <v>8640218.3720837962</v>
      </c>
      <c r="BQ9" s="36">
        <f t="shared" si="8"/>
        <v>8646816.6840947121</v>
      </c>
      <c r="BR9" s="36">
        <f t="shared" si="8"/>
        <v>8886589.990633104</v>
      </c>
      <c r="BS9" s="36">
        <f t="shared" si="8"/>
        <v>8986458.3004550096</v>
      </c>
      <c r="BT9" s="36">
        <f t="shared" ref="BT9:DV9" si="9">BT22</f>
        <v>9086326.6102769151</v>
      </c>
      <c r="BU9" s="36">
        <f t="shared" si="9"/>
        <v>9186194.9200988188</v>
      </c>
      <c r="BV9" s="36">
        <f t="shared" si="9"/>
        <v>9286063.2299207244</v>
      </c>
      <c r="BW9" s="36">
        <f t="shared" si="9"/>
        <v>9385931.53974263</v>
      </c>
      <c r="BX9" s="36">
        <f t="shared" si="9"/>
        <v>9415847.3512062952</v>
      </c>
      <c r="BY9" s="36">
        <f t="shared" si="9"/>
        <v>9445763.1626699567</v>
      </c>
      <c r="BZ9" s="36">
        <f t="shared" si="9"/>
        <v>9715088.5941832196</v>
      </c>
      <c r="CA9" s="36">
        <f t="shared" si="9"/>
        <v>10086787.46000839</v>
      </c>
      <c r="CB9" s="36">
        <f t="shared" si="9"/>
        <v>10215609.110978981</v>
      </c>
      <c r="CC9" s="36">
        <f t="shared" si="9"/>
        <v>10337667.492138384</v>
      </c>
      <c r="CD9" s="36">
        <f t="shared" si="9"/>
        <v>10439808.842515232</v>
      </c>
      <c r="CE9" s="36">
        <f t="shared" si="9"/>
        <v>10541950.192892078</v>
      </c>
      <c r="CF9" s="36">
        <f t="shared" si="9"/>
        <v>10570473.085103674</v>
      </c>
      <c r="CG9" s="36">
        <f t="shared" si="9"/>
        <v>10598995.977315268</v>
      </c>
      <c r="CH9" s="36">
        <f t="shared" si="9"/>
        <v>10627518.869526863</v>
      </c>
      <c r="CI9" s="36">
        <f t="shared" si="9"/>
        <v>10656041.761738459</v>
      </c>
      <c r="CJ9" s="36">
        <f t="shared" si="9"/>
        <v>10684564.653950054</v>
      </c>
      <c r="CK9" s="36">
        <f t="shared" si="9"/>
        <v>10713087.546161648</v>
      </c>
      <c r="CL9" s="36">
        <f t="shared" si="9"/>
        <v>10721160.866660673</v>
      </c>
      <c r="CM9" s="36">
        <f t="shared" si="9"/>
        <v>10997465.041838689</v>
      </c>
      <c r="CN9" s="36">
        <f t="shared" si="9"/>
        <v>11005740.195350189</v>
      </c>
      <c r="CO9" s="36">
        <f t="shared" si="9"/>
        <v>11014015.348861689</v>
      </c>
      <c r="CP9" s="36">
        <f t="shared" si="9"/>
        <v>11018207.511062765</v>
      </c>
      <c r="CQ9" s="36">
        <f t="shared" si="9"/>
        <v>11022399.673263842</v>
      </c>
      <c r="CR9" s="36">
        <f t="shared" si="9"/>
        <v>11026591.835464919</v>
      </c>
      <c r="CS9" s="36">
        <f t="shared" si="9"/>
        <v>11030783.997665996</v>
      </c>
      <c r="CT9" s="36">
        <f t="shared" si="9"/>
        <v>11034976.159867072</v>
      </c>
      <c r="CU9" s="36">
        <f t="shared" si="9"/>
        <v>11039168.322068151</v>
      </c>
      <c r="CV9" s="36">
        <f t="shared" si="9"/>
        <v>11043360.484269228</v>
      </c>
      <c r="CW9" s="36">
        <f t="shared" si="9"/>
        <v>11047552.646470305</v>
      </c>
      <c r="CX9" s="36">
        <f t="shared" si="9"/>
        <v>11047552.646470305</v>
      </c>
      <c r="CY9" s="36">
        <f t="shared" si="9"/>
        <v>11323741.462632062</v>
      </c>
      <c r="CZ9" s="36">
        <f t="shared" si="9"/>
        <v>11323741.462632062</v>
      </c>
      <c r="DA9" s="36">
        <f t="shared" si="9"/>
        <v>11323741.462632062</v>
      </c>
      <c r="DB9" s="36">
        <f t="shared" si="9"/>
        <v>11323741.462632062</v>
      </c>
      <c r="DC9" s="36">
        <f t="shared" si="9"/>
        <v>11323741.462632062</v>
      </c>
      <c r="DD9" s="36">
        <f t="shared" si="9"/>
        <v>11323741.462632062</v>
      </c>
      <c r="DE9" s="36">
        <f t="shared" si="9"/>
        <v>11323741.462632062</v>
      </c>
      <c r="DF9" s="36">
        <f t="shared" si="9"/>
        <v>11323741.462632062</v>
      </c>
      <c r="DG9" s="36">
        <f t="shared" si="9"/>
        <v>11323741.462632062</v>
      </c>
      <c r="DH9" s="36">
        <f t="shared" si="9"/>
        <v>11323741.462632062</v>
      </c>
      <c r="DI9" s="36">
        <f t="shared" si="9"/>
        <v>11323741.462632062</v>
      </c>
      <c r="DJ9" s="36">
        <f t="shared" si="9"/>
        <v>11323741.462632062</v>
      </c>
      <c r="DK9" s="36">
        <f t="shared" si="9"/>
        <v>11606834.999197861</v>
      </c>
      <c r="DL9" s="36">
        <f t="shared" si="9"/>
        <v>11606834.999197861</v>
      </c>
      <c r="DM9" s="36">
        <f t="shared" si="9"/>
        <v>11606834.999197861</v>
      </c>
      <c r="DN9" s="36">
        <f t="shared" si="9"/>
        <v>11606834.999197861</v>
      </c>
      <c r="DO9" s="36">
        <f t="shared" si="9"/>
        <v>11606834.999197861</v>
      </c>
      <c r="DP9" s="36">
        <f t="shared" si="9"/>
        <v>11606834.999197861</v>
      </c>
      <c r="DQ9" s="36">
        <f t="shared" si="9"/>
        <v>11606834.999197861</v>
      </c>
      <c r="DR9" s="36">
        <f t="shared" si="9"/>
        <v>11606834.999197861</v>
      </c>
      <c r="DS9" s="36">
        <f t="shared" si="9"/>
        <v>11606834.999197861</v>
      </c>
      <c r="DT9" s="36">
        <f t="shared" si="9"/>
        <v>11606834.999197861</v>
      </c>
      <c r="DU9" s="36">
        <f t="shared" si="9"/>
        <v>11606834.999197861</v>
      </c>
      <c r="DV9" s="36">
        <f t="shared" si="9"/>
        <v>11606834.999197861</v>
      </c>
    </row>
    <row r="10" spans="2:126">
      <c r="B10" s="3" t="s">
        <v>53</v>
      </c>
      <c r="E10" s="35" t="s">
        <v>0</v>
      </c>
      <c r="F10" s="35"/>
      <c r="G10" s="36">
        <f>-G46</f>
        <v>-932391.25</v>
      </c>
      <c r="H10" s="36">
        <f t="shared" ref="H10:BS10" si="10">-H46</f>
        <v>-932391.25</v>
      </c>
      <c r="I10" s="36">
        <f t="shared" si="10"/>
        <v>-932391.25</v>
      </c>
      <c r="J10" s="36">
        <f t="shared" si="10"/>
        <v>-932391.25</v>
      </c>
      <c r="K10" s="36">
        <f t="shared" si="10"/>
        <v>-932391.25</v>
      </c>
      <c r="L10" s="36">
        <f t="shared" si="10"/>
        <v>-932391.25</v>
      </c>
      <c r="M10" s="36">
        <f t="shared" si="10"/>
        <v>-932391.25</v>
      </c>
      <c r="N10" s="36">
        <f t="shared" si="10"/>
        <v>-932391.25</v>
      </c>
      <c r="O10" s="36">
        <f t="shared" si="10"/>
        <v>-932391.25</v>
      </c>
      <c r="P10" s="36">
        <f t="shared" si="10"/>
        <v>-932391.25</v>
      </c>
      <c r="Q10" s="36">
        <f t="shared" si="10"/>
        <v>-932391.25</v>
      </c>
      <c r="R10" s="36">
        <f t="shared" si="10"/>
        <v>-932391.25</v>
      </c>
      <c r="S10" s="36">
        <f t="shared" si="10"/>
        <v>-955701.03125</v>
      </c>
      <c r="T10" s="36">
        <f t="shared" si="10"/>
        <v>-955701.03125</v>
      </c>
      <c r="U10" s="36">
        <f t="shared" si="10"/>
        <v>-955701.03125</v>
      </c>
      <c r="V10" s="36">
        <f t="shared" si="10"/>
        <v>-955701.03125</v>
      </c>
      <c r="W10" s="36">
        <f t="shared" si="10"/>
        <v>-955701.03125</v>
      </c>
      <c r="X10" s="36">
        <f t="shared" si="10"/>
        <v>-955701.03125</v>
      </c>
      <c r="Y10" s="36">
        <f t="shared" si="10"/>
        <v>-955701.03125</v>
      </c>
      <c r="Z10" s="36">
        <f t="shared" si="10"/>
        <v>-1099657.66875</v>
      </c>
      <c r="AA10" s="36">
        <f t="shared" si="10"/>
        <v>-1220374.48125</v>
      </c>
      <c r="AB10" s="36">
        <f t="shared" si="10"/>
        <v>-1220374.48125</v>
      </c>
      <c r="AC10" s="36">
        <f t="shared" si="10"/>
        <v>-1220374.48125</v>
      </c>
      <c r="AD10" s="36">
        <f t="shared" si="10"/>
        <v>-1220374.48125</v>
      </c>
      <c r="AE10" s="36">
        <f t="shared" si="10"/>
        <v>-1250883.84328125</v>
      </c>
      <c r="AF10" s="36">
        <f t="shared" si="10"/>
        <v>-1395391.7962499999</v>
      </c>
      <c r="AG10" s="36">
        <f t="shared" si="10"/>
        <v>-1395391.7962499999</v>
      </c>
      <c r="AH10" s="36">
        <f t="shared" si="10"/>
        <v>-1395391.7962499999</v>
      </c>
      <c r="AI10" s="36">
        <f t="shared" si="10"/>
        <v>-1395391.7962499999</v>
      </c>
      <c r="AJ10" s="36">
        <f t="shared" si="10"/>
        <v>-1395391.7962499999</v>
      </c>
      <c r="AK10" s="36">
        <f t="shared" si="10"/>
        <v>-1395391.7962499999</v>
      </c>
      <c r="AL10" s="36">
        <f t="shared" si="10"/>
        <v>-1395391.7962499999</v>
      </c>
      <c r="AM10" s="36">
        <f t="shared" si="10"/>
        <v>-1395391.7962499999</v>
      </c>
      <c r="AN10" s="36">
        <f t="shared" si="10"/>
        <v>-1688166.0504687498</v>
      </c>
      <c r="AO10" s="36">
        <f t="shared" si="10"/>
        <v>-1688166.0504687498</v>
      </c>
      <c r="AP10" s="36">
        <f t="shared" si="10"/>
        <v>-1866671.4404687497</v>
      </c>
      <c r="AQ10" s="36">
        <f t="shared" si="10"/>
        <v>-1913338.2264804682</v>
      </c>
      <c r="AR10" s="36">
        <f t="shared" si="10"/>
        <v>-1913338.2264804682</v>
      </c>
      <c r="AS10" s="36">
        <f t="shared" si="10"/>
        <v>-1913338.2264804682</v>
      </c>
      <c r="AT10" s="36">
        <f t="shared" si="10"/>
        <v>-1913338.2264804682</v>
      </c>
      <c r="AU10" s="36">
        <f t="shared" si="10"/>
        <v>-1913338.2264804682</v>
      </c>
      <c r="AV10" s="36">
        <f t="shared" si="10"/>
        <v>-1913338.2264804682</v>
      </c>
      <c r="AW10" s="36">
        <f t="shared" si="10"/>
        <v>-1913338.2264804682</v>
      </c>
      <c r="AX10" s="36">
        <f t="shared" si="10"/>
        <v>-1913338.2264804682</v>
      </c>
      <c r="AY10" s="36">
        <f t="shared" si="10"/>
        <v>-1913338.2264804682</v>
      </c>
      <c r="AZ10" s="36">
        <f t="shared" si="10"/>
        <v>-1913338.2264804682</v>
      </c>
      <c r="BA10" s="36">
        <f t="shared" si="10"/>
        <v>-1913338.2264804682</v>
      </c>
      <c r="BB10" s="36">
        <f t="shared" si="10"/>
        <v>-1913338.2264804682</v>
      </c>
      <c r="BC10" s="36">
        <f t="shared" si="10"/>
        <v>-1961171.68214248</v>
      </c>
      <c r="BD10" s="36">
        <f t="shared" si="10"/>
        <v>-1961171.68214248</v>
      </c>
      <c r="BE10" s="36">
        <f t="shared" si="10"/>
        <v>-2449713.7484686514</v>
      </c>
      <c r="BF10" s="36">
        <f t="shared" si="10"/>
        <v>-2449713.7484686514</v>
      </c>
      <c r="BG10" s="36">
        <f t="shared" si="10"/>
        <v>-2449713.7484686514</v>
      </c>
      <c r="BH10" s="36">
        <f t="shared" si="10"/>
        <v>-2449713.7484686514</v>
      </c>
      <c r="BI10" s="36">
        <f t="shared" si="10"/>
        <v>-2449713.7484686514</v>
      </c>
      <c r="BJ10" s="36">
        <f t="shared" si="10"/>
        <v>-2449713.7484686514</v>
      </c>
      <c r="BK10" s="36">
        <f t="shared" si="10"/>
        <v>-2449713.7484686514</v>
      </c>
      <c r="BL10" s="36">
        <f t="shared" si="10"/>
        <v>-2449713.7484686514</v>
      </c>
      <c r="BM10" s="36">
        <f t="shared" si="10"/>
        <v>-2449713.7484686514</v>
      </c>
      <c r="BN10" s="36">
        <f t="shared" si="10"/>
        <v>-2449713.7484686514</v>
      </c>
      <c r="BO10" s="36">
        <f t="shared" si="10"/>
        <v>-2510956.592180368</v>
      </c>
      <c r="BP10" s="36">
        <f t="shared" si="10"/>
        <v>-2510956.592180368</v>
      </c>
      <c r="BQ10" s="36">
        <f t="shared" si="10"/>
        <v>-2510956.592180368</v>
      </c>
      <c r="BR10" s="36">
        <f t="shared" si="10"/>
        <v>-2736493.7681544111</v>
      </c>
      <c r="BS10" s="36">
        <f t="shared" si="10"/>
        <v>-2736493.7681544111</v>
      </c>
      <c r="BT10" s="36">
        <f t="shared" ref="BT10:DV10" si="11">-BT46</f>
        <v>-2736493.7681544111</v>
      </c>
      <c r="BU10" s="36">
        <f t="shared" si="11"/>
        <v>-2736493.7681544111</v>
      </c>
      <c r="BV10" s="36">
        <f t="shared" si="11"/>
        <v>-2736493.7681544111</v>
      </c>
      <c r="BW10" s="36">
        <f t="shared" si="11"/>
        <v>-2736493.7681544111</v>
      </c>
      <c r="BX10" s="36">
        <f t="shared" si="11"/>
        <v>-2736493.7681544111</v>
      </c>
      <c r="BY10" s="36">
        <f t="shared" si="11"/>
        <v>-2736493.7681544111</v>
      </c>
      <c r="BZ10" s="36">
        <f t="shared" si="11"/>
        <v>-3012593.5771625359</v>
      </c>
      <c r="CA10" s="36">
        <f t="shared" si="11"/>
        <v>-3087908.4165915987</v>
      </c>
      <c r="CB10" s="36">
        <f t="shared" si="11"/>
        <v>-3087908.4165915987</v>
      </c>
      <c r="CC10" s="36">
        <f t="shared" si="11"/>
        <v>-3087908.4165915987</v>
      </c>
      <c r="CD10" s="36">
        <f t="shared" si="11"/>
        <v>-3087908.4165915987</v>
      </c>
      <c r="CE10" s="36">
        <f t="shared" si="11"/>
        <v>-3087908.4165915987</v>
      </c>
      <c r="CF10" s="36">
        <f t="shared" si="11"/>
        <v>-3087908.4165915987</v>
      </c>
      <c r="CG10" s="36">
        <f t="shared" si="11"/>
        <v>-3087908.4165915987</v>
      </c>
      <c r="CH10" s="36">
        <f t="shared" si="11"/>
        <v>-3087908.4165915987</v>
      </c>
      <c r="CI10" s="36">
        <f t="shared" si="11"/>
        <v>-3087908.4165915987</v>
      </c>
      <c r="CJ10" s="36">
        <f t="shared" si="11"/>
        <v>-3087908.4165915987</v>
      </c>
      <c r="CK10" s="36">
        <f t="shared" si="11"/>
        <v>-3087908.4165915987</v>
      </c>
      <c r="CL10" s="36">
        <f t="shared" si="11"/>
        <v>-3087908.4165915987</v>
      </c>
      <c r="CM10" s="36">
        <f t="shared" si="11"/>
        <v>-3165106.1270063883</v>
      </c>
      <c r="CN10" s="36">
        <f t="shared" si="11"/>
        <v>-3165106.1270063883</v>
      </c>
      <c r="CO10" s="36">
        <f t="shared" si="11"/>
        <v>-3165106.1270063883</v>
      </c>
      <c r="CP10" s="36">
        <f t="shared" si="11"/>
        <v>-3165106.1270063883</v>
      </c>
      <c r="CQ10" s="36">
        <f t="shared" si="11"/>
        <v>-3165106.1270063883</v>
      </c>
      <c r="CR10" s="36">
        <f t="shared" si="11"/>
        <v>-3165106.1270063883</v>
      </c>
      <c r="CS10" s="36">
        <f t="shared" si="11"/>
        <v>-3165106.1270063883</v>
      </c>
      <c r="CT10" s="36">
        <f t="shared" si="11"/>
        <v>-3165106.1270063883</v>
      </c>
      <c r="CU10" s="36">
        <f t="shared" si="11"/>
        <v>-3165106.1270063883</v>
      </c>
      <c r="CV10" s="36">
        <f t="shared" si="11"/>
        <v>-3165106.1270063883</v>
      </c>
      <c r="CW10" s="36">
        <f t="shared" si="11"/>
        <v>-3165106.1270063883</v>
      </c>
      <c r="CX10" s="36">
        <f t="shared" si="11"/>
        <v>-3165106.1270063883</v>
      </c>
      <c r="CY10" s="36">
        <f t="shared" si="11"/>
        <v>-3244233.7801815476</v>
      </c>
      <c r="CZ10" s="36">
        <f t="shared" si="11"/>
        <v>-3244233.7801815476</v>
      </c>
      <c r="DA10" s="36">
        <f t="shared" si="11"/>
        <v>-3244233.7801815476</v>
      </c>
      <c r="DB10" s="36">
        <f t="shared" si="11"/>
        <v>-3244233.7801815476</v>
      </c>
      <c r="DC10" s="36">
        <f t="shared" si="11"/>
        <v>-3244233.7801815476</v>
      </c>
      <c r="DD10" s="36">
        <f t="shared" si="11"/>
        <v>-3244233.7801815476</v>
      </c>
      <c r="DE10" s="36">
        <f t="shared" si="11"/>
        <v>-3244233.7801815476</v>
      </c>
      <c r="DF10" s="36">
        <f t="shared" si="11"/>
        <v>-3244233.7801815476</v>
      </c>
      <c r="DG10" s="36">
        <f t="shared" si="11"/>
        <v>-3244233.7801815476</v>
      </c>
      <c r="DH10" s="36">
        <f t="shared" si="11"/>
        <v>-3244233.7801815476</v>
      </c>
      <c r="DI10" s="36">
        <f t="shared" si="11"/>
        <v>-3244233.7801815476</v>
      </c>
      <c r="DJ10" s="36">
        <f t="shared" si="11"/>
        <v>-3244233.7801815476</v>
      </c>
      <c r="DK10" s="36">
        <f t="shared" si="11"/>
        <v>-3325339.6246860856</v>
      </c>
      <c r="DL10" s="36">
        <f t="shared" si="11"/>
        <v>-3325339.6246860856</v>
      </c>
      <c r="DM10" s="36">
        <f t="shared" si="11"/>
        <v>-3325339.6246860856</v>
      </c>
      <c r="DN10" s="36">
        <f t="shared" si="11"/>
        <v>-3325339.6246860856</v>
      </c>
      <c r="DO10" s="36">
        <f t="shared" si="11"/>
        <v>-3325339.6246860856</v>
      </c>
      <c r="DP10" s="36">
        <f t="shared" si="11"/>
        <v>-3325339.6246860856</v>
      </c>
      <c r="DQ10" s="36">
        <f t="shared" si="11"/>
        <v>-3325339.6246860856</v>
      </c>
      <c r="DR10" s="36">
        <f t="shared" si="11"/>
        <v>-3325339.6246860856</v>
      </c>
      <c r="DS10" s="36">
        <f t="shared" si="11"/>
        <v>-3325339.6246860856</v>
      </c>
      <c r="DT10" s="36">
        <f t="shared" si="11"/>
        <v>-3325339.6246860856</v>
      </c>
      <c r="DU10" s="36">
        <f t="shared" si="11"/>
        <v>-3325339.6246860856</v>
      </c>
      <c r="DV10" s="36">
        <f t="shared" si="11"/>
        <v>-3325339.6246860856</v>
      </c>
    </row>
    <row r="11" spans="2:126">
      <c r="B11" s="3" t="s">
        <v>54</v>
      </c>
      <c r="E11" s="35" t="s">
        <v>0</v>
      </c>
      <c r="F11" s="35"/>
      <c r="G11" s="36">
        <f>-G70</f>
        <v>-67536</v>
      </c>
      <c r="H11" s="36">
        <f t="shared" ref="H11:BS11" si="12">-H70</f>
        <v>-67536</v>
      </c>
      <c r="I11" s="36">
        <f t="shared" si="12"/>
        <v>-67536</v>
      </c>
      <c r="J11" s="36">
        <f t="shared" si="12"/>
        <v>-67536</v>
      </c>
      <c r="K11" s="36">
        <f t="shared" si="12"/>
        <v>-67536</v>
      </c>
      <c r="L11" s="36">
        <f t="shared" si="12"/>
        <v>-67536</v>
      </c>
      <c r="M11" s="36">
        <f t="shared" si="12"/>
        <v>-67536</v>
      </c>
      <c r="N11" s="36">
        <f t="shared" si="12"/>
        <v>-67536</v>
      </c>
      <c r="O11" s="36">
        <f t="shared" si="12"/>
        <v>-67536</v>
      </c>
      <c r="P11" s="36">
        <f t="shared" si="12"/>
        <v>-67536</v>
      </c>
      <c r="Q11" s="36">
        <f t="shared" si="12"/>
        <v>-67536</v>
      </c>
      <c r="R11" s="36">
        <f t="shared" si="12"/>
        <v>-67536</v>
      </c>
      <c r="S11" s="36">
        <f t="shared" si="12"/>
        <v>-70575.12</v>
      </c>
      <c r="T11" s="36">
        <f t="shared" si="12"/>
        <v>-70575.12</v>
      </c>
      <c r="U11" s="36">
        <f t="shared" si="12"/>
        <v>-70575.12</v>
      </c>
      <c r="V11" s="36">
        <f t="shared" si="12"/>
        <v>-70575.12</v>
      </c>
      <c r="W11" s="36">
        <f t="shared" si="12"/>
        <v>-70575.12</v>
      </c>
      <c r="X11" s="36">
        <f t="shared" si="12"/>
        <v>-70575.12</v>
      </c>
      <c r="Y11" s="36">
        <f t="shared" si="12"/>
        <v>-70575.12</v>
      </c>
      <c r="Z11" s="36">
        <f t="shared" si="12"/>
        <v>-80274.81</v>
      </c>
      <c r="AA11" s="36">
        <f t="shared" si="12"/>
        <v>-88679.744999999995</v>
      </c>
      <c r="AB11" s="36">
        <f t="shared" si="12"/>
        <v>-88679.744999999995</v>
      </c>
      <c r="AC11" s="36">
        <f t="shared" si="12"/>
        <v>-88679.744999999995</v>
      </c>
      <c r="AD11" s="36">
        <f t="shared" si="12"/>
        <v>-88679.744999999995</v>
      </c>
      <c r="AE11" s="36">
        <f t="shared" si="12"/>
        <v>-92226.934800000003</v>
      </c>
      <c r="AF11" s="36">
        <f t="shared" si="12"/>
        <v>-103569.86640000001</v>
      </c>
      <c r="AG11" s="36">
        <f t="shared" si="12"/>
        <v>-103569.86640000001</v>
      </c>
      <c r="AH11" s="36">
        <f t="shared" si="12"/>
        <v>-103569.86640000001</v>
      </c>
      <c r="AI11" s="36">
        <f t="shared" si="12"/>
        <v>-103569.86640000001</v>
      </c>
      <c r="AJ11" s="36">
        <f t="shared" si="12"/>
        <v>-103569.86640000001</v>
      </c>
      <c r="AK11" s="36">
        <f t="shared" si="12"/>
        <v>-103569.86640000001</v>
      </c>
      <c r="AL11" s="36">
        <f t="shared" si="12"/>
        <v>-103569.86640000001</v>
      </c>
      <c r="AM11" s="36">
        <f t="shared" si="12"/>
        <v>-103569.86640000001</v>
      </c>
      <c r="AN11" s="36">
        <f t="shared" si="12"/>
        <v>-125434.10880000002</v>
      </c>
      <c r="AO11" s="36">
        <f t="shared" si="12"/>
        <v>-125434.10880000002</v>
      </c>
      <c r="AP11" s="36">
        <f t="shared" si="12"/>
        <v>-138945.2064</v>
      </c>
      <c r="AQ11" s="36">
        <f t="shared" si="12"/>
        <v>-143808.28862400001</v>
      </c>
      <c r="AR11" s="36">
        <f t="shared" si="12"/>
        <v>-143808.28862400001</v>
      </c>
      <c r="AS11" s="36">
        <f t="shared" si="12"/>
        <v>-143808.28862400001</v>
      </c>
      <c r="AT11" s="36">
        <f t="shared" si="12"/>
        <v>-143808.28862400001</v>
      </c>
      <c r="AU11" s="36">
        <f t="shared" si="12"/>
        <v>-143808.28862400001</v>
      </c>
      <c r="AV11" s="36">
        <f t="shared" si="12"/>
        <v>-143808.28862400001</v>
      </c>
      <c r="AW11" s="36">
        <f t="shared" si="12"/>
        <v>-143808.28862400001</v>
      </c>
      <c r="AX11" s="36">
        <f t="shared" si="12"/>
        <v>-143808.28862400001</v>
      </c>
      <c r="AY11" s="36">
        <f t="shared" si="12"/>
        <v>-143808.28862400001</v>
      </c>
      <c r="AZ11" s="36">
        <f t="shared" si="12"/>
        <v>-143808.28862400001</v>
      </c>
      <c r="BA11" s="36">
        <f t="shared" si="12"/>
        <v>-143808.28862400001</v>
      </c>
      <c r="BB11" s="36">
        <f t="shared" si="12"/>
        <v>-143808.28862400001</v>
      </c>
      <c r="BC11" s="36">
        <f t="shared" si="12"/>
        <v>-148122.53728272</v>
      </c>
      <c r="BD11" s="36">
        <f t="shared" si="12"/>
        <v>-148122.53728272</v>
      </c>
      <c r="BE11" s="36">
        <f t="shared" si="12"/>
        <v>-179021.94962651999</v>
      </c>
      <c r="BF11" s="36">
        <f t="shared" si="12"/>
        <v>-179021.94962651999</v>
      </c>
      <c r="BG11" s="36">
        <f t="shared" si="12"/>
        <v>-179021.94962651999</v>
      </c>
      <c r="BH11" s="36">
        <f t="shared" si="12"/>
        <v>-179021.94962651999</v>
      </c>
      <c r="BI11" s="36">
        <f t="shared" si="12"/>
        <v>-179021.94962651999</v>
      </c>
      <c r="BJ11" s="36">
        <f t="shared" si="12"/>
        <v>-179021.94962651999</v>
      </c>
      <c r="BK11" s="36">
        <f t="shared" si="12"/>
        <v>-179021.94962651999</v>
      </c>
      <c r="BL11" s="36">
        <f t="shared" si="12"/>
        <v>-179021.94962651999</v>
      </c>
      <c r="BM11" s="36">
        <f t="shared" si="12"/>
        <v>-179021.94962651999</v>
      </c>
      <c r="BN11" s="36">
        <f t="shared" si="12"/>
        <v>-179021.94962651999</v>
      </c>
      <c r="BO11" s="36">
        <f t="shared" si="12"/>
        <v>-183497.49836718294</v>
      </c>
      <c r="BP11" s="36">
        <f t="shared" si="12"/>
        <v>-183497.49836718294</v>
      </c>
      <c r="BQ11" s="36">
        <f t="shared" si="12"/>
        <v>-183497.49836718294</v>
      </c>
      <c r="BR11" s="36">
        <f t="shared" si="12"/>
        <v>-202151.49792938094</v>
      </c>
      <c r="BS11" s="36">
        <f t="shared" si="12"/>
        <v>-202151.49792938094</v>
      </c>
      <c r="BT11" s="36">
        <f t="shared" ref="BT11:DV11" si="13">-BT70</f>
        <v>-202151.49792938094</v>
      </c>
      <c r="BU11" s="36">
        <f t="shared" si="13"/>
        <v>-202151.49792938094</v>
      </c>
      <c r="BV11" s="36">
        <f t="shared" si="13"/>
        <v>-202151.49792938094</v>
      </c>
      <c r="BW11" s="36">
        <f t="shared" si="13"/>
        <v>-202151.49792938094</v>
      </c>
      <c r="BX11" s="36">
        <f t="shared" si="13"/>
        <v>-202151.49792938094</v>
      </c>
      <c r="BY11" s="36">
        <f t="shared" si="13"/>
        <v>-202151.49792938094</v>
      </c>
      <c r="BZ11" s="36">
        <f t="shared" si="13"/>
        <v>-221304.26753334896</v>
      </c>
      <c r="CA11" s="36">
        <f t="shared" si="13"/>
        <v>-226836.87422168269</v>
      </c>
      <c r="CB11" s="36">
        <f t="shared" si="13"/>
        <v>-226836.87422168269</v>
      </c>
      <c r="CC11" s="36">
        <f t="shared" si="13"/>
        <v>-226836.87422168269</v>
      </c>
      <c r="CD11" s="36">
        <f t="shared" si="13"/>
        <v>-226836.87422168269</v>
      </c>
      <c r="CE11" s="36">
        <f t="shared" si="13"/>
        <v>-226836.87422168269</v>
      </c>
      <c r="CF11" s="36">
        <f t="shared" si="13"/>
        <v>-226836.87422168269</v>
      </c>
      <c r="CG11" s="36">
        <f t="shared" si="13"/>
        <v>-226836.87422168269</v>
      </c>
      <c r="CH11" s="36">
        <f t="shared" si="13"/>
        <v>-226836.87422168269</v>
      </c>
      <c r="CI11" s="36">
        <f t="shared" si="13"/>
        <v>-226836.87422168269</v>
      </c>
      <c r="CJ11" s="36">
        <f t="shared" si="13"/>
        <v>-226836.87422168269</v>
      </c>
      <c r="CK11" s="36">
        <f t="shared" si="13"/>
        <v>-226836.87422168269</v>
      </c>
      <c r="CL11" s="36">
        <f t="shared" si="13"/>
        <v>-226836.87422168269</v>
      </c>
      <c r="CM11" s="36">
        <f t="shared" si="13"/>
        <v>-232507.79607722469</v>
      </c>
      <c r="CN11" s="36">
        <f t="shared" si="13"/>
        <v>-232507.79607722469</v>
      </c>
      <c r="CO11" s="36">
        <f t="shared" si="13"/>
        <v>-232507.79607722469</v>
      </c>
      <c r="CP11" s="36">
        <f t="shared" si="13"/>
        <v>-232507.79607722469</v>
      </c>
      <c r="CQ11" s="36">
        <f t="shared" si="13"/>
        <v>-232507.79607722469</v>
      </c>
      <c r="CR11" s="36">
        <f t="shared" si="13"/>
        <v>-232507.79607722469</v>
      </c>
      <c r="CS11" s="36">
        <f t="shared" si="13"/>
        <v>-232507.79607722469</v>
      </c>
      <c r="CT11" s="36">
        <f t="shared" si="13"/>
        <v>-232507.79607722469</v>
      </c>
      <c r="CU11" s="36">
        <f t="shared" si="13"/>
        <v>-232507.79607722469</v>
      </c>
      <c r="CV11" s="36">
        <f t="shared" si="13"/>
        <v>-232507.79607722469</v>
      </c>
      <c r="CW11" s="36">
        <f t="shared" si="13"/>
        <v>-232507.79607722469</v>
      </c>
      <c r="CX11" s="36">
        <f t="shared" si="13"/>
        <v>-232507.79607722469</v>
      </c>
      <c r="CY11" s="36">
        <f t="shared" si="13"/>
        <v>-238320.49097915529</v>
      </c>
      <c r="CZ11" s="36">
        <f t="shared" si="13"/>
        <v>-238320.49097915529</v>
      </c>
      <c r="DA11" s="36">
        <f t="shared" si="13"/>
        <v>-238320.49097915529</v>
      </c>
      <c r="DB11" s="36">
        <f t="shared" si="13"/>
        <v>-238320.49097915529</v>
      </c>
      <c r="DC11" s="36">
        <f t="shared" si="13"/>
        <v>-238320.49097915529</v>
      </c>
      <c r="DD11" s="36">
        <f t="shared" si="13"/>
        <v>-238320.49097915529</v>
      </c>
      <c r="DE11" s="36">
        <f t="shared" si="13"/>
        <v>-238320.49097915529</v>
      </c>
      <c r="DF11" s="36">
        <f t="shared" si="13"/>
        <v>-238320.49097915529</v>
      </c>
      <c r="DG11" s="36">
        <f t="shared" si="13"/>
        <v>-238320.49097915529</v>
      </c>
      <c r="DH11" s="36">
        <f t="shared" si="13"/>
        <v>-238320.49097915529</v>
      </c>
      <c r="DI11" s="36">
        <f t="shared" si="13"/>
        <v>-238320.49097915529</v>
      </c>
      <c r="DJ11" s="36">
        <f t="shared" si="13"/>
        <v>-238320.49097915529</v>
      </c>
      <c r="DK11" s="36">
        <f t="shared" si="13"/>
        <v>-244278.50325363418</v>
      </c>
      <c r="DL11" s="36">
        <f t="shared" si="13"/>
        <v>-244278.50325363418</v>
      </c>
      <c r="DM11" s="36">
        <f t="shared" si="13"/>
        <v>-244278.50325363418</v>
      </c>
      <c r="DN11" s="36">
        <f t="shared" si="13"/>
        <v>-244278.50325363418</v>
      </c>
      <c r="DO11" s="36">
        <f t="shared" si="13"/>
        <v>-244278.50325363418</v>
      </c>
      <c r="DP11" s="36">
        <f t="shared" si="13"/>
        <v>-244278.50325363418</v>
      </c>
      <c r="DQ11" s="36">
        <f t="shared" si="13"/>
        <v>-244278.50325363418</v>
      </c>
      <c r="DR11" s="36">
        <f t="shared" si="13"/>
        <v>-244278.50325363418</v>
      </c>
      <c r="DS11" s="36">
        <f t="shared" si="13"/>
        <v>-244278.50325363418</v>
      </c>
      <c r="DT11" s="36">
        <f t="shared" si="13"/>
        <v>-244278.50325363418</v>
      </c>
      <c r="DU11" s="36">
        <f t="shared" si="13"/>
        <v>-244278.50325363418</v>
      </c>
      <c r="DV11" s="36">
        <f t="shared" si="13"/>
        <v>-244278.50325363418</v>
      </c>
    </row>
    <row r="12" spans="2:126">
      <c r="B12" s="3" t="s">
        <v>55</v>
      </c>
      <c r="E12" s="35" t="s">
        <v>0</v>
      </c>
      <c r="F12" s="35"/>
      <c r="G12" s="36">
        <f>-G95</f>
        <v>-4316130</v>
      </c>
      <c r="H12" s="36">
        <f t="shared" ref="H12:BS12" si="14">-H95</f>
        <v>0</v>
      </c>
      <c r="I12" s="36">
        <f t="shared" si="14"/>
        <v>0</v>
      </c>
      <c r="J12" s="36">
        <f t="shared" si="14"/>
        <v>-3908898</v>
      </c>
      <c r="K12" s="36">
        <f t="shared" si="14"/>
        <v>0</v>
      </c>
      <c r="L12" s="36">
        <f t="shared" si="14"/>
        <v>0</v>
      </c>
      <c r="M12" s="36">
        <f t="shared" si="14"/>
        <v>-4936701</v>
      </c>
      <c r="N12" s="36">
        <f t="shared" si="14"/>
        <v>0</v>
      </c>
      <c r="O12" s="36">
        <f t="shared" si="14"/>
        <v>0</v>
      </c>
      <c r="P12" s="36">
        <f t="shared" si="14"/>
        <v>-6597360</v>
      </c>
      <c r="Q12" s="36">
        <f t="shared" si="14"/>
        <v>0</v>
      </c>
      <c r="R12" s="36">
        <f t="shared" si="14"/>
        <v>0</v>
      </c>
      <c r="S12" s="36">
        <f t="shared" si="14"/>
        <v>-4793841.3600000003</v>
      </c>
      <c r="T12" s="36">
        <f t="shared" si="14"/>
        <v>0</v>
      </c>
      <c r="U12" s="36">
        <f t="shared" si="14"/>
        <v>0</v>
      </c>
      <c r="V12" s="36">
        <f t="shared" si="14"/>
        <v>-3262091.3325</v>
      </c>
      <c r="W12" s="36">
        <f t="shared" si="14"/>
        <v>0</v>
      </c>
      <c r="X12" s="36">
        <f t="shared" si="14"/>
        <v>0</v>
      </c>
      <c r="Y12" s="36">
        <f t="shared" si="14"/>
        <v>0</v>
      </c>
      <c r="Z12" s="36">
        <f t="shared" si="14"/>
        <v>0</v>
      </c>
      <c r="AA12" s="36">
        <f t="shared" si="14"/>
        <v>0</v>
      </c>
      <c r="AB12" s="36">
        <f t="shared" si="14"/>
        <v>0</v>
      </c>
      <c r="AC12" s="36">
        <f t="shared" si="14"/>
        <v>0</v>
      </c>
      <c r="AD12" s="36">
        <f t="shared" si="14"/>
        <v>0</v>
      </c>
      <c r="AE12" s="36">
        <f t="shared" si="14"/>
        <v>-7810190.3880000003</v>
      </c>
      <c r="AF12" s="36">
        <f t="shared" si="14"/>
        <v>0</v>
      </c>
      <c r="AG12" s="36">
        <f t="shared" si="14"/>
        <v>0</v>
      </c>
      <c r="AH12" s="36">
        <f t="shared" si="14"/>
        <v>-4223861.2416000003</v>
      </c>
      <c r="AI12" s="36">
        <f t="shared" si="14"/>
        <v>0</v>
      </c>
      <c r="AJ12" s="36">
        <f t="shared" si="14"/>
        <v>0</v>
      </c>
      <c r="AK12" s="36">
        <f t="shared" si="14"/>
        <v>0</v>
      </c>
      <c r="AL12" s="36">
        <f t="shared" si="14"/>
        <v>0</v>
      </c>
      <c r="AM12" s="36">
        <f t="shared" si="14"/>
        <v>0</v>
      </c>
      <c r="AN12" s="36">
        <f t="shared" si="14"/>
        <v>0</v>
      </c>
      <c r="AO12" s="36">
        <f t="shared" si="14"/>
        <v>0</v>
      </c>
      <c r="AP12" s="36">
        <f t="shared" si="14"/>
        <v>0</v>
      </c>
      <c r="AQ12" s="36">
        <f t="shared" si="14"/>
        <v>-6440334.2083079992</v>
      </c>
      <c r="AR12" s="36">
        <f t="shared" si="14"/>
        <v>0</v>
      </c>
      <c r="AS12" s="36">
        <f t="shared" si="14"/>
        <v>0</v>
      </c>
      <c r="AT12" s="36">
        <f t="shared" si="14"/>
        <v>0</v>
      </c>
      <c r="AU12" s="36">
        <f t="shared" si="14"/>
        <v>0</v>
      </c>
      <c r="AV12" s="36">
        <f t="shared" si="14"/>
        <v>0</v>
      </c>
      <c r="AW12" s="36">
        <f t="shared" si="14"/>
        <v>-6385768.3169279993</v>
      </c>
      <c r="AX12" s="36">
        <f t="shared" si="14"/>
        <v>0</v>
      </c>
      <c r="AY12" s="36">
        <f t="shared" si="14"/>
        <v>0</v>
      </c>
      <c r="AZ12" s="36">
        <f t="shared" si="14"/>
        <v>0</v>
      </c>
      <c r="BA12" s="36">
        <f t="shared" si="14"/>
        <v>0</v>
      </c>
      <c r="BB12" s="36">
        <f t="shared" si="14"/>
        <v>0</v>
      </c>
      <c r="BC12" s="36">
        <f t="shared" si="14"/>
        <v>0</v>
      </c>
      <c r="BD12" s="36">
        <f t="shared" si="14"/>
        <v>0</v>
      </c>
      <c r="BE12" s="36">
        <f t="shared" si="14"/>
        <v>0</v>
      </c>
      <c r="BF12" s="36">
        <f t="shared" si="14"/>
        <v>0</v>
      </c>
      <c r="BG12" s="36">
        <f t="shared" si="14"/>
        <v>0</v>
      </c>
      <c r="BH12" s="36">
        <f t="shared" si="14"/>
        <v>0</v>
      </c>
      <c r="BI12" s="36">
        <f t="shared" si="14"/>
        <v>0</v>
      </c>
      <c r="BJ12" s="36">
        <f t="shared" si="14"/>
        <v>0</v>
      </c>
      <c r="BK12" s="36">
        <f t="shared" si="14"/>
        <v>0</v>
      </c>
      <c r="BL12" s="36">
        <f t="shared" si="14"/>
        <v>0</v>
      </c>
      <c r="BM12" s="36">
        <f t="shared" si="14"/>
        <v>0</v>
      </c>
      <c r="BN12" s="36">
        <f t="shared" si="14"/>
        <v>0</v>
      </c>
      <c r="BO12" s="36">
        <f t="shared" si="14"/>
        <v>0</v>
      </c>
      <c r="BP12" s="36">
        <f t="shared" si="14"/>
        <v>0</v>
      </c>
      <c r="BQ12" s="36">
        <f t="shared" si="14"/>
        <v>0</v>
      </c>
      <c r="BR12" s="36">
        <f t="shared" si="14"/>
        <v>0</v>
      </c>
      <c r="BS12" s="36">
        <f t="shared" si="14"/>
        <v>0</v>
      </c>
      <c r="BT12" s="36">
        <f t="shared" ref="BT12:DV12" si="15">-BT95</f>
        <v>0</v>
      </c>
      <c r="BU12" s="36">
        <f t="shared" si="15"/>
        <v>0</v>
      </c>
      <c r="BV12" s="36">
        <f t="shared" si="15"/>
        <v>0</v>
      </c>
      <c r="BW12" s="36">
        <f t="shared" si="15"/>
        <v>0</v>
      </c>
      <c r="BX12" s="36">
        <f t="shared" si="15"/>
        <v>0</v>
      </c>
      <c r="BY12" s="36">
        <f t="shared" si="15"/>
        <v>0</v>
      </c>
      <c r="BZ12" s="36">
        <f t="shared" si="15"/>
        <v>0</v>
      </c>
      <c r="CA12" s="36">
        <f t="shared" si="15"/>
        <v>0</v>
      </c>
      <c r="CB12" s="36">
        <f t="shared" si="15"/>
        <v>0</v>
      </c>
      <c r="CC12" s="36">
        <f t="shared" si="15"/>
        <v>0</v>
      </c>
      <c r="CD12" s="36">
        <f t="shared" si="15"/>
        <v>0</v>
      </c>
      <c r="CE12" s="36">
        <f t="shared" si="15"/>
        <v>0</v>
      </c>
      <c r="CF12" s="36">
        <f t="shared" si="15"/>
        <v>0</v>
      </c>
      <c r="CG12" s="36">
        <f t="shared" si="15"/>
        <v>0</v>
      </c>
      <c r="CH12" s="36">
        <f t="shared" si="15"/>
        <v>0</v>
      </c>
      <c r="CI12" s="36">
        <f t="shared" si="15"/>
        <v>0</v>
      </c>
      <c r="CJ12" s="36">
        <f t="shared" si="15"/>
        <v>0</v>
      </c>
      <c r="CK12" s="36">
        <f t="shared" si="15"/>
        <v>0</v>
      </c>
      <c r="CL12" s="36">
        <f t="shared" si="15"/>
        <v>0</v>
      </c>
      <c r="CM12" s="36">
        <f t="shared" si="15"/>
        <v>0</v>
      </c>
      <c r="CN12" s="36">
        <f t="shared" si="15"/>
        <v>0</v>
      </c>
      <c r="CO12" s="36">
        <f t="shared" si="15"/>
        <v>0</v>
      </c>
      <c r="CP12" s="36">
        <f t="shared" si="15"/>
        <v>0</v>
      </c>
      <c r="CQ12" s="36">
        <f t="shared" si="15"/>
        <v>0</v>
      </c>
      <c r="CR12" s="36">
        <f t="shared" si="15"/>
        <v>0</v>
      </c>
      <c r="CS12" s="36">
        <f t="shared" si="15"/>
        <v>0</v>
      </c>
      <c r="CT12" s="36">
        <f t="shared" si="15"/>
        <v>0</v>
      </c>
      <c r="CU12" s="36">
        <f t="shared" si="15"/>
        <v>0</v>
      </c>
      <c r="CV12" s="36">
        <f t="shared" si="15"/>
        <v>0</v>
      </c>
      <c r="CW12" s="36">
        <f t="shared" si="15"/>
        <v>0</v>
      </c>
      <c r="CX12" s="36">
        <f t="shared" si="15"/>
        <v>0</v>
      </c>
      <c r="CY12" s="36">
        <f t="shared" si="15"/>
        <v>0</v>
      </c>
      <c r="CZ12" s="36">
        <f t="shared" si="15"/>
        <v>0</v>
      </c>
      <c r="DA12" s="36">
        <f t="shared" si="15"/>
        <v>0</v>
      </c>
      <c r="DB12" s="36">
        <f t="shared" si="15"/>
        <v>0</v>
      </c>
      <c r="DC12" s="36">
        <f t="shared" si="15"/>
        <v>0</v>
      </c>
      <c r="DD12" s="36">
        <f t="shared" si="15"/>
        <v>0</v>
      </c>
      <c r="DE12" s="36">
        <f t="shared" si="15"/>
        <v>0</v>
      </c>
      <c r="DF12" s="36">
        <f t="shared" si="15"/>
        <v>0</v>
      </c>
      <c r="DG12" s="36">
        <f t="shared" si="15"/>
        <v>0</v>
      </c>
      <c r="DH12" s="36">
        <f t="shared" si="15"/>
        <v>0</v>
      </c>
      <c r="DI12" s="36">
        <f t="shared" si="15"/>
        <v>0</v>
      </c>
      <c r="DJ12" s="36">
        <f t="shared" si="15"/>
        <v>0</v>
      </c>
      <c r="DK12" s="36">
        <f t="shared" si="15"/>
        <v>0</v>
      </c>
      <c r="DL12" s="36">
        <f t="shared" si="15"/>
        <v>0</v>
      </c>
      <c r="DM12" s="36">
        <f t="shared" si="15"/>
        <v>0</v>
      </c>
      <c r="DN12" s="36">
        <f t="shared" si="15"/>
        <v>0</v>
      </c>
      <c r="DO12" s="36">
        <f t="shared" si="15"/>
        <v>0</v>
      </c>
      <c r="DP12" s="36">
        <f t="shared" si="15"/>
        <v>0</v>
      </c>
      <c r="DQ12" s="36">
        <f t="shared" si="15"/>
        <v>0</v>
      </c>
      <c r="DR12" s="36">
        <f t="shared" si="15"/>
        <v>0</v>
      </c>
      <c r="DS12" s="36">
        <f t="shared" si="15"/>
        <v>0</v>
      </c>
      <c r="DT12" s="36">
        <f t="shared" si="15"/>
        <v>0</v>
      </c>
      <c r="DU12" s="36">
        <f t="shared" si="15"/>
        <v>0</v>
      </c>
      <c r="DV12" s="36">
        <f t="shared" si="15"/>
        <v>0</v>
      </c>
    </row>
    <row r="13" spans="2:126">
      <c r="B13" s="3" t="s">
        <v>56</v>
      </c>
      <c r="E13" s="35" t="s">
        <v>0</v>
      </c>
      <c r="F13" s="35"/>
      <c r="G13" s="36">
        <f>-G110</f>
        <v>0</v>
      </c>
      <c r="H13" s="36">
        <f t="shared" ref="H13:BS13" si="16">-H110</f>
        <v>0</v>
      </c>
      <c r="I13" s="36">
        <f t="shared" si="16"/>
        <v>0</v>
      </c>
      <c r="J13" s="36">
        <f t="shared" si="16"/>
        <v>0</v>
      </c>
      <c r="K13" s="36">
        <f t="shared" si="16"/>
        <v>-948007.125</v>
      </c>
      <c r="L13" s="36">
        <f t="shared" si="16"/>
        <v>-1053341.25</v>
      </c>
      <c r="M13" s="36">
        <f t="shared" si="16"/>
        <v>-1264009.5</v>
      </c>
      <c r="N13" s="36">
        <f t="shared" si="16"/>
        <v>-1474677.7500000002</v>
      </c>
      <c r="O13" s="36">
        <f t="shared" si="16"/>
        <v>-2321317.5</v>
      </c>
      <c r="P13" s="36">
        <f t="shared" si="16"/>
        <v>-3936850.75</v>
      </c>
      <c r="Q13" s="36">
        <f t="shared" si="16"/>
        <v>-5097509.5</v>
      </c>
      <c r="R13" s="36">
        <f t="shared" si="16"/>
        <v>-7117610.25</v>
      </c>
      <c r="S13" s="36">
        <f t="shared" si="16"/>
        <v>-7856932.5</v>
      </c>
      <c r="T13" s="36">
        <f t="shared" si="16"/>
        <v>-8711956.75</v>
      </c>
      <c r="U13" s="36">
        <f t="shared" si="16"/>
        <v>-10392141.875</v>
      </c>
      <c r="V13" s="36">
        <f t="shared" si="16"/>
        <v>-10623545.875</v>
      </c>
      <c r="W13" s="36">
        <f t="shared" si="16"/>
        <v>-11989445.5</v>
      </c>
      <c r="X13" s="36">
        <f t="shared" si="16"/>
        <v>-14120368.225</v>
      </c>
      <c r="Y13" s="36">
        <f t="shared" si="16"/>
        <v>-13395831.6</v>
      </c>
      <c r="Z13" s="36">
        <f t="shared" si="16"/>
        <v>-9469337.4499999993</v>
      </c>
      <c r="AA13" s="36">
        <f t="shared" si="16"/>
        <v>-7836476.5749999993</v>
      </c>
      <c r="AB13" s="36">
        <f t="shared" si="16"/>
        <v>-8805636.112499997</v>
      </c>
      <c r="AC13" s="36">
        <f t="shared" si="16"/>
        <v>-9814798.0687499978</v>
      </c>
      <c r="AD13" s="36">
        <f t="shared" si="16"/>
        <v>-10070709.049999999</v>
      </c>
      <c r="AE13" s="36">
        <f t="shared" si="16"/>
        <v>-10820726.406249998</v>
      </c>
      <c r="AF13" s="36">
        <f t="shared" si="16"/>
        <v>-10093375.387499999</v>
      </c>
      <c r="AG13" s="36">
        <f t="shared" si="16"/>
        <v>-11297496.699999999</v>
      </c>
      <c r="AH13" s="36">
        <f t="shared" si="16"/>
        <v>-13171659.359375</v>
      </c>
      <c r="AI13" s="36">
        <f t="shared" si="16"/>
        <v>-14375780.671874998</v>
      </c>
      <c r="AJ13" s="36">
        <f t="shared" si="16"/>
        <v>-15914922.657812499</v>
      </c>
      <c r="AK13" s="36">
        <f t="shared" si="16"/>
        <v>-15843834.74375</v>
      </c>
      <c r="AL13" s="36">
        <f t="shared" si="16"/>
        <v>-14049514.331249999</v>
      </c>
      <c r="AM13" s="36">
        <f t="shared" si="16"/>
        <v>-9212812.4296875</v>
      </c>
      <c r="AN13" s="36">
        <f t="shared" si="16"/>
        <v>-4972563.9987500003</v>
      </c>
      <c r="AO13" s="36">
        <f t="shared" si="16"/>
        <v>-4412117.8107812498</v>
      </c>
      <c r="AP13" s="36">
        <f t="shared" si="16"/>
        <v>-3255763.4265624993</v>
      </c>
      <c r="AQ13" s="36">
        <f t="shared" si="16"/>
        <v>-3715348.0385937495</v>
      </c>
      <c r="AR13" s="36">
        <f t="shared" si="16"/>
        <v>-4424060.5278124996</v>
      </c>
      <c r="AS13" s="36">
        <f t="shared" si="16"/>
        <v>-5008209.0784374997</v>
      </c>
      <c r="AT13" s="36">
        <f t="shared" si="16"/>
        <v>-5841485.5062499996</v>
      </c>
      <c r="AU13" s="36">
        <f t="shared" si="16"/>
        <v>-6674761.9340624996</v>
      </c>
      <c r="AV13" s="36">
        <f t="shared" si="16"/>
        <v>-8176816.5160468742</v>
      </c>
      <c r="AW13" s="36">
        <f t="shared" si="16"/>
        <v>-9345113.6172968745</v>
      </c>
      <c r="AX13" s="36">
        <f t="shared" si="16"/>
        <v>-10847799.795632811</v>
      </c>
      <c r="AY13" s="36">
        <f t="shared" si="16"/>
        <v>-11182188.872718748</v>
      </c>
      <c r="AZ13" s="36">
        <f t="shared" si="16"/>
        <v>-11182188.872718748</v>
      </c>
      <c r="BA13" s="36">
        <f t="shared" si="16"/>
        <v>-11516577.949804686</v>
      </c>
      <c r="BB13" s="36">
        <f t="shared" si="16"/>
        <v>-11256885.237140622</v>
      </c>
      <c r="BC13" s="36">
        <f t="shared" si="16"/>
        <v>-10088588.135890624</v>
      </c>
      <c r="BD13" s="36">
        <f t="shared" si="16"/>
        <v>-7253738.1790156234</v>
      </c>
      <c r="BE13" s="36">
        <f t="shared" si="16"/>
        <v>-4167114.4246874992</v>
      </c>
      <c r="BF13" s="36">
        <f t="shared" si="16"/>
        <v>-4501503.5017734366</v>
      </c>
      <c r="BG13" s="36">
        <f t="shared" si="16"/>
        <v>-4835892.5788593739</v>
      </c>
      <c r="BH13" s="36">
        <f t="shared" si="16"/>
        <v>-5170281.6559453113</v>
      </c>
      <c r="BI13" s="36">
        <f t="shared" si="16"/>
        <v>-6250671.6370312488</v>
      </c>
      <c r="BJ13" s="36">
        <f t="shared" si="16"/>
        <v>-6919449.7912031244</v>
      </c>
      <c r="BK13" s="36">
        <f t="shared" si="16"/>
        <v>-7588227.9453749992</v>
      </c>
      <c r="BL13" s="36">
        <f t="shared" si="16"/>
        <v>-8334228.8493749984</v>
      </c>
      <c r="BM13" s="36">
        <f t="shared" si="16"/>
        <v>-8334228.8493749984</v>
      </c>
      <c r="BN13" s="36">
        <f t="shared" si="16"/>
        <v>-9080229.7533749975</v>
      </c>
      <c r="BO13" s="36">
        <f t="shared" si="16"/>
        <v>-8411451.5992031246</v>
      </c>
      <c r="BP13" s="36">
        <f t="shared" si="16"/>
        <v>-8488674.3490312491</v>
      </c>
      <c r="BQ13" s="36">
        <f t="shared" si="16"/>
        <v>-7151118.0406874996</v>
      </c>
      <c r="BR13" s="36">
        <f t="shared" si="16"/>
        <v>-5222006.3279999997</v>
      </c>
      <c r="BS13" s="36">
        <f t="shared" si="16"/>
        <v>-5222006.3279999997</v>
      </c>
      <c r="BT13" s="36">
        <f t="shared" ref="BT13:DV13" si="17">-BT110</f>
        <v>-5968007.2319999998</v>
      </c>
      <c r="BU13" s="36">
        <f t="shared" si="17"/>
        <v>-5968007.2319999998</v>
      </c>
      <c r="BV13" s="36">
        <f t="shared" si="17"/>
        <v>-5968007.2319999998</v>
      </c>
      <c r="BW13" s="36">
        <f t="shared" si="17"/>
        <v>-4476005.4239999996</v>
      </c>
      <c r="BX13" s="36">
        <f t="shared" si="17"/>
        <v>-2984003.6159999999</v>
      </c>
      <c r="BY13" s="36">
        <f t="shared" si="17"/>
        <v>-1492001.808</v>
      </c>
      <c r="BZ13" s="36">
        <f t="shared" si="17"/>
        <v>0</v>
      </c>
      <c r="CA13" s="36">
        <f t="shared" si="17"/>
        <v>0</v>
      </c>
      <c r="CB13" s="36">
        <f t="shared" si="17"/>
        <v>0</v>
      </c>
      <c r="CC13" s="36">
        <f t="shared" si="17"/>
        <v>0</v>
      </c>
      <c r="CD13" s="36">
        <f t="shared" si="17"/>
        <v>0</v>
      </c>
      <c r="CE13" s="36">
        <f t="shared" si="17"/>
        <v>0</v>
      </c>
      <c r="CF13" s="36">
        <f t="shared" si="17"/>
        <v>0</v>
      </c>
      <c r="CG13" s="36">
        <f t="shared" si="17"/>
        <v>0</v>
      </c>
      <c r="CH13" s="36">
        <f t="shared" si="17"/>
        <v>0</v>
      </c>
      <c r="CI13" s="36">
        <f t="shared" si="17"/>
        <v>0</v>
      </c>
      <c r="CJ13" s="36">
        <f t="shared" si="17"/>
        <v>0</v>
      </c>
      <c r="CK13" s="36">
        <f t="shared" si="17"/>
        <v>0</v>
      </c>
      <c r="CL13" s="36">
        <f t="shared" si="17"/>
        <v>0</v>
      </c>
      <c r="CM13" s="36">
        <f t="shared" si="17"/>
        <v>0</v>
      </c>
      <c r="CN13" s="36">
        <f t="shared" si="17"/>
        <v>0</v>
      </c>
      <c r="CO13" s="36">
        <f t="shared" si="17"/>
        <v>0</v>
      </c>
      <c r="CP13" s="36">
        <f t="shared" si="17"/>
        <v>0</v>
      </c>
      <c r="CQ13" s="36">
        <f t="shared" si="17"/>
        <v>0</v>
      </c>
      <c r="CR13" s="36">
        <f t="shared" si="17"/>
        <v>0</v>
      </c>
      <c r="CS13" s="36">
        <f t="shared" si="17"/>
        <v>0</v>
      </c>
      <c r="CT13" s="36">
        <f t="shared" si="17"/>
        <v>0</v>
      </c>
      <c r="CU13" s="36">
        <f t="shared" si="17"/>
        <v>0</v>
      </c>
      <c r="CV13" s="36">
        <f t="shared" si="17"/>
        <v>0</v>
      </c>
      <c r="CW13" s="36">
        <f t="shared" si="17"/>
        <v>0</v>
      </c>
      <c r="CX13" s="36">
        <f t="shared" si="17"/>
        <v>0</v>
      </c>
      <c r="CY13" s="36">
        <f t="shared" si="17"/>
        <v>0</v>
      </c>
      <c r="CZ13" s="36">
        <f t="shared" si="17"/>
        <v>0</v>
      </c>
      <c r="DA13" s="36">
        <f t="shared" si="17"/>
        <v>0</v>
      </c>
      <c r="DB13" s="36">
        <f t="shared" si="17"/>
        <v>0</v>
      </c>
      <c r="DC13" s="36">
        <f t="shared" si="17"/>
        <v>0</v>
      </c>
      <c r="DD13" s="36">
        <f t="shared" si="17"/>
        <v>0</v>
      </c>
      <c r="DE13" s="36">
        <f t="shared" si="17"/>
        <v>0</v>
      </c>
      <c r="DF13" s="36">
        <f t="shared" si="17"/>
        <v>0</v>
      </c>
      <c r="DG13" s="36">
        <f t="shared" si="17"/>
        <v>0</v>
      </c>
      <c r="DH13" s="36">
        <f t="shared" si="17"/>
        <v>0</v>
      </c>
      <c r="DI13" s="36">
        <f t="shared" si="17"/>
        <v>0</v>
      </c>
      <c r="DJ13" s="36">
        <f t="shared" si="17"/>
        <v>0</v>
      </c>
      <c r="DK13" s="36">
        <f t="shared" si="17"/>
        <v>0</v>
      </c>
      <c r="DL13" s="36">
        <f t="shared" si="17"/>
        <v>0</v>
      </c>
      <c r="DM13" s="36">
        <f t="shared" si="17"/>
        <v>0</v>
      </c>
      <c r="DN13" s="36">
        <f t="shared" si="17"/>
        <v>0</v>
      </c>
      <c r="DO13" s="36">
        <f t="shared" si="17"/>
        <v>0</v>
      </c>
      <c r="DP13" s="36">
        <f t="shared" si="17"/>
        <v>0</v>
      </c>
      <c r="DQ13" s="36">
        <f t="shared" si="17"/>
        <v>0</v>
      </c>
      <c r="DR13" s="36">
        <f t="shared" si="17"/>
        <v>0</v>
      </c>
      <c r="DS13" s="36">
        <f t="shared" si="17"/>
        <v>0</v>
      </c>
      <c r="DT13" s="36">
        <f t="shared" si="17"/>
        <v>0</v>
      </c>
      <c r="DU13" s="36">
        <f t="shared" si="17"/>
        <v>0</v>
      </c>
      <c r="DV13" s="36">
        <f t="shared" si="17"/>
        <v>0</v>
      </c>
    </row>
    <row r="14" spans="2:126"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</row>
    <row r="15" spans="2:126">
      <c r="B15" s="3" t="s">
        <v>57</v>
      </c>
      <c r="E15" s="35" t="s">
        <v>0</v>
      </c>
      <c r="G15" s="38">
        <v>0</v>
      </c>
      <c r="H15" s="38">
        <f>G16</f>
        <v>-2105346.25</v>
      </c>
      <c r="I15" s="38">
        <f t="shared" ref="I15:BT15" si="18">H16</f>
        <v>105437.5</v>
      </c>
      <c r="J15" s="38">
        <f t="shared" si="18"/>
        <v>2316221.25</v>
      </c>
      <c r="K15" s="38">
        <f t="shared" si="18"/>
        <v>618107</v>
      </c>
      <c r="L15" s="38">
        <f t="shared" si="18"/>
        <v>1880883.625</v>
      </c>
      <c r="M15" s="38">
        <f t="shared" si="18"/>
        <v>3038326.125</v>
      </c>
      <c r="N15" s="38">
        <f t="shared" si="18"/>
        <v>-951600.625</v>
      </c>
      <c r="O15" s="38">
        <f t="shared" si="18"/>
        <v>-215494.62500000023</v>
      </c>
      <c r="P15" s="38">
        <f t="shared" si="18"/>
        <v>-326028.37500000023</v>
      </c>
      <c r="Q15" s="38">
        <f t="shared" si="18"/>
        <v>-8649455.375</v>
      </c>
      <c r="R15" s="38">
        <f t="shared" si="18"/>
        <v>-11536181.125</v>
      </c>
      <c r="S15" s="38">
        <f t="shared" si="18"/>
        <v>-16443007.625</v>
      </c>
      <c r="T15" s="38">
        <f t="shared" si="18"/>
        <v>-26764864.641249999</v>
      </c>
      <c r="U15" s="38">
        <f t="shared" si="18"/>
        <v>-33147904.547499999</v>
      </c>
      <c r="V15" s="38">
        <f t="shared" si="18"/>
        <v>-41211129.578749999</v>
      </c>
      <c r="W15" s="38">
        <f t="shared" si="18"/>
        <v>-52767849.942499995</v>
      </c>
      <c r="X15" s="38">
        <f t="shared" si="18"/>
        <v>-62428378.598749995</v>
      </c>
      <c r="Y15" s="38">
        <f t="shared" si="18"/>
        <v>-74219829.979999989</v>
      </c>
      <c r="Z15" s="38">
        <f t="shared" si="18"/>
        <v>-85286744.736249983</v>
      </c>
      <c r="AA15" s="38">
        <f t="shared" si="18"/>
        <v>-92459575.544999987</v>
      </c>
      <c r="AB15" s="38">
        <f t="shared" si="18"/>
        <v>-97975107.08874999</v>
      </c>
      <c r="AC15" s="38">
        <f t="shared" si="18"/>
        <v>-104369275.04499999</v>
      </c>
      <c r="AD15" s="38">
        <f t="shared" si="18"/>
        <v>-111682081.83249998</v>
      </c>
      <c r="AE15" s="38">
        <f t="shared" si="18"/>
        <v>-119160276.47624998</v>
      </c>
      <c r="AF15" s="38">
        <f t="shared" si="18"/>
        <v>-134982528.62078121</v>
      </c>
      <c r="AG15" s="38">
        <f t="shared" si="18"/>
        <v>-142224988.33913121</v>
      </c>
      <c r="AH15" s="38">
        <f t="shared" si="18"/>
        <v>-150591318.69948119</v>
      </c>
      <c r="AI15" s="38">
        <f t="shared" si="18"/>
        <v>-164975422.29030618</v>
      </c>
      <c r="AJ15" s="38">
        <f t="shared" si="18"/>
        <v>-176259535.28153118</v>
      </c>
      <c r="AK15" s="38">
        <f t="shared" si="18"/>
        <v>-189002539.58819368</v>
      </c>
      <c r="AL15" s="38">
        <f t="shared" si="18"/>
        <v>-201594205.31029367</v>
      </c>
      <c r="AM15" s="38">
        <f t="shared" si="18"/>
        <v>-212364343.94039369</v>
      </c>
      <c r="AN15" s="38">
        <f t="shared" si="18"/>
        <v>-218279679.3356812</v>
      </c>
      <c r="AO15" s="38">
        <f t="shared" si="18"/>
        <v>-219978000.43339995</v>
      </c>
      <c r="AP15" s="38">
        <f t="shared" si="18"/>
        <v>-220988452.79789993</v>
      </c>
      <c r="AQ15" s="38">
        <f t="shared" si="18"/>
        <v>-220738256.00053117</v>
      </c>
      <c r="AR15" s="38">
        <f t="shared" si="18"/>
        <v>-227044800.43684563</v>
      </c>
      <c r="AS15" s="38">
        <f t="shared" si="18"/>
        <v>-227430149.98778835</v>
      </c>
      <c r="AT15" s="38">
        <f t="shared" si="18"/>
        <v>-228210074.92307356</v>
      </c>
      <c r="AU15" s="38">
        <f t="shared" si="18"/>
        <v>-229718563.71070379</v>
      </c>
      <c r="AV15" s="38">
        <f t="shared" si="18"/>
        <v>-231955616.35067901</v>
      </c>
      <c r="AW15" s="38">
        <f t="shared" si="18"/>
        <v>-235642450.94473112</v>
      </c>
      <c r="AX15" s="38">
        <f t="shared" si="18"/>
        <v>-246831078.3290537</v>
      </c>
      <c r="AY15" s="38">
        <f t="shared" si="18"/>
        <v>-253086526.10235924</v>
      </c>
      <c r="AZ15" s="38">
        <f t="shared" si="18"/>
        <v>-259628150.28699946</v>
      </c>
      <c r="BA15" s="38">
        <f t="shared" si="18"/>
        <v>-266145134.19222593</v>
      </c>
      <c r="BB15" s="38">
        <f t="shared" si="18"/>
        <v>-272971866.89512461</v>
      </c>
      <c r="BC15" s="38">
        <f t="shared" si="18"/>
        <v>-279528833.25804543</v>
      </c>
      <c r="BD15" s="38">
        <f t="shared" si="18"/>
        <v>-284756562.42622411</v>
      </c>
      <c r="BE15" s="38">
        <f t="shared" si="18"/>
        <v>-287141584.99560964</v>
      </c>
      <c r="BF15" s="38">
        <f t="shared" si="18"/>
        <v>-286565325.99312145</v>
      </c>
      <c r="BG15" s="38">
        <f t="shared" si="18"/>
        <v>-286161102.36408204</v>
      </c>
      <c r="BH15" s="38">
        <f t="shared" si="18"/>
        <v>-285928914.10849142</v>
      </c>
      <c r="BI15" s="38">
        <f t="shared" si="18"/>
        <v>-285868761.22634965</v>
      </c>
      <c r="BJ15" s="38">
        <f t="shared" si="18"/>
        <v>-286726644.62165666</v>
      </c>
      <c r="BK15" s="38">
        <f t="shared" si="18"/>
        <v>-288090952.46749842</v>
      </c>
      <c r="BL15" s="38">
        <f t="shared" si="18"/>
        <v>-290077557.56016421</v>
      </c>
      <c r="BM15" s="38">
        <f t="shared" si="18"/>
        <v>-292768538.56106764</v>
      </c>
      <c r="BN15" s="38">
        <f t="shared" si="18"/>
        <v>-295417894.56620872</v>
      </c>
      <c r="BO15" s="38">
        <f t="shared" si="18"/>
        <v>-298774627.20992005</v>
      </c>
      <c r="BP15" s="38">
        <f t="shared" si="18"/>
        <v>-301279904.39965242</v>
      </c>
      <c r="BQ15" s="38">
        <f t="shared" si="18"/>
        <v>-303822814.46714741</v>
      </c>
      <c r="BR15" s="38">
        <f t="shared" si="18"/>
        <v>-305021569.91428775</v>
      </c>
      <c r="BS15" s="38">
        <f t="shared" si="18"/>
        <v>-304295631.51773846</v>
      </c>
      <c r="BT15" s="38">
        <f t="shared" si="18"/>
        <v>-303469824.81136727</v>
      </c>
      <c r="BU15" s="38">
        <f t="shared" ref="BU15:DV15" si="19">BT16</f>
        <v>-303290150.69917417</v>
      </c>
      <c r="BV15" s="38">
        <f t="shared" si="19"/>
        <v>-303010608.27715915</v>
      </c>
      <c r="BW15" s="38">
        <f t="shared" si="19"/>
        <v>-302631197.54532224</v>
      </c>
      <c r="BX15" s="38">
        <f t="shared" si="19"/>
        <v>-300659916.69566339</v>
      </c>
      <c r="BY15" s="38">
        <f t="shared" si="19"/>
        <v>-297166718.22654086</v>
      </c>
      <c r="BZ15" s="38">
        <f t="shared" si="19"/>
        <v>-292151602.13795471</v>
      </c>
      <c r="CA15" s="38">
        <f t="shared" si="19"/>
        <v>-285670411.38846737</v>
      </c>
      <c r="CB15" s="38">
        <f t="shared" si="19"/>
        <v>-278898369.21927226</v>
      </c>
      <c r="CC15" s="38">
        <f t="shared" si="19"/>
        <v>-271997505.39910656</v>
      </c>
      <c r="CD15" s="38">
        <f t="shared" si="19"/>
        <v>-264974583.19778147</v>
      </c>
      <c r="CE15" s="38">
        <f t="shared" si="19"/>
        <v>-257849519.64607951</v>
      </c>
      <c r="CF15" s="38">
        <f t="shared" si="19"/>
        <v>-250622314.7440007</v>
      </c>
      <c r="CG15" s="38">
        <f t="shared" si="19"/>
        <v>-243366586.94971031</v>
      </c>
      <c r="CH15" s="38">
        <f t="shared" si="19"/>
        <v>-236082336.26320833</v>
      </c>
      <c r="CI15" s="38">
        <f t="shared" si="19"/>
        <v>-228769562.68449473</v>
      </c>
      <c r="CJ15" s="38">
        <f t="shared" si="19"/>
        <v>-221428266.21356955</v>
      </c>
      <c r="CK15" s="38">
        <f t="shared" si="19"/>
        <v>-214058446.85043278</v>
      </c>
      <c r="CL15" s="38">
        <f t="shared" si="19"/>
        <v>-206660104.59508443</v>
      </c>
      <c r="CM15" s="38">
        <f t="shared" si="19"/>
        <v>-199253689.01923704</v>
      </c>
      <c r="CN15" s="38">
        <f t="shared" si="19"/>
        <v>-191653837.90048197</v>
      </c>
      <c r="CO15" s="38">
        <f t="shared" si="19"/>
        <v>-184045711.6282154</v>
      </c>
      <c r="CP15" s="38">
        <f t="shared" si="19"/>
        <v>-176429310.20243734</v>
      </c>
      <c r="CQ15" s="38">
        <f t="shared" si="19"/>
        <v>-168808716.6144582</v>
      </c>
      <c r="CR15" s="38">
        <f t="shared" si="19"/>
        <v>-161183930.86427796</v>
      </c>
      <c r="CS15" s="38">
        <f t="shared" si="19"/>
        <v>-153554952.95189667</v>
      </c>
      <c r="CT15" s="38">
        <f t="shared" si="19"/>
        <v>-145921782.87731427</v>
      </c>
      <c r="CU15" s="38">
        <f t="shared" si="19"/>
        <v>-138284420.64053082</v>
      </c>
      <c r="CV15" s="38">
        <f t="shared" si="19"/>
        <v>-130642866.24154629</v>
      </c>
      <c r="CW15" s="38">
        <f t="shared" si="19"/>
        <v>-122997119.68036067</v>
      </c>
      <c r="CX15" s="38">
        <f t="shared" si="19"/>
        <v>-115347180.95697398</v>
      </c>
      <c r="CY15" s="38">
        <f t="shared" si="19"/>
        <v>-107697242.23358729</v>
      </c>
      <c r="CZ15" s="38">
        <f t="shared" si="19"/>
        <v>-99856055.042115942</v>
      </c>
      <c r="DA15" s="38">
        <f t="shared" si="19"/>
        <v>-92014867.850644588</v>
      </c>
      <c r="DB15" s="38">
        <f t="shared" si="19"/>
        <v>-84173680.659173235</v>
      </c>
      <c r="DC15" s="38">
        <f t="shared" si="19"/>
        <v>-76332493.467701882</v>
      </c>
      <c r="DD15" s="38">
        <f t="shared" si="19"/>
        <v>-68491306.276230529</v>
      </c>
      <c r="DE15" s="38">
        <f t="shared" si="19"/>
        <v>-60650119.084759168</v>
      </c>
      <c r="DF15" s="38">
        <f t="shared" si="19"/>
        <v>-52808931.893287808</v>
      </c>
      <c r="DG15" s="38">
        <f t="shared" si="19"/>
        <v>-44967744.701816447</v>
      </c>
      <c r="DH15" s="38">
        <f t="shared" si="19"/>
        <v>-37126557.510345086</v>
      </c>
      <c r="DI15" s="38">
        <f t="shared" si="19"/>
        <v>-29285370.318873726</v>
      </c>
      <c r="DJ15" s="38">
        <f t="shared" si="19"/>
        <v>-21444183.127402365</v>
      </c>
      <c r="DK15" s="38">
        <f t="shared" si="19"/>
        <v>-13602995.935931006</v>
      </c>
      <c r="DL15" s="38">
        <f t="shared" si="19"/>
        <v>-5565779.064672865</v>
      </c>
      <c r="DM15" s="38">
        <f t="shared" si="19"/>
        <v>2471437.8065852765</v>
      </c>
      <c r="DN15" s="38">
        <f t="shared" si="19"/>
        <v>10508654.677843418</v>
      </c>
      <c r="DO15" s="38">
        <f t="shared" si="19"/>
        <v>18545871.549101561</v>
      </c>
      <c r="DP15" s="38">
        <f t="shared" si="19"/>
        <v>26583088.420359701</v>
      </c>
      <c r="DQ15" s="38">
        <f t="shared" si="19"/>
        <v>34620305.291617841</v>
      </c>
      <c r="DR15" s="38">
        <f t="shared" si="19"/>
        <v>42657522.16287598</v>
      </c>
      <c r="DS15" s="38">
        <f t="shared" si="19"/>
        <v>50694739.03413412</v>
      </c>
      <c r="DT15" s="38">
        <f t="shared" si="19"/>
        <v>58731955.905392259</v>
      </c>
      <c r="DU15" s="38">
        <f t="shared" si="19"/>
        <v>66769172.776650399</v>
      </c>
      <c r="DV15" s="38">
        <f t="shared" si="19"/>
        <v>74806389.647908539</v>
      </c>
    </row>
    <row r="16" spans="2:126" ht="14.4" thickBot="1">
      <c r="B16" s="5" t="s">
        <v>58</v>
      </c>
      <c r="C16" s="39"/>
      <c r="D16" s="39"/>
      <c r="E16" s="33" t="s">
        <v>0</v>
      </c>
      <c r="F16" s="39"/>
      <c r="G16" s="40">
        <f>G8+G15</f>
        <v>-2105346.25</v>
      </c>
      <c r="H16" s="40">
        <f>H8+H15</f>
        <v>105437.5</v>
      </c>
      <c r="I16" s="40">
        <f t="shared" ref="I16:BT16" si="20">I8+I15</f>
        <v>2316221.25</v>
      </c>
      <c r="J16" s="40">
        <f t="shared" si="20"/>
        <v>618107</v>
      </c>
      <c r="K16" s="40">
        <f t="shared" si="20"/>
        <v>1880883.625</v>
      </c>
      <c r="L16" s="40">
        <f t="shared" si="20"/>
        <v>3038326.125</v>
      </c>
      <c r="M16" s="40">
        <f t="shared" si="20"/>
        <v>-951600.625</v>
      </c>
      <c r="N16" s="40">
        <f t="shared" si="20"/>
        <v>-215494.62500000023</v>
      </c>
      <c r="O16" s="40">
        <f t="shared" si="20"/>
        <v>-326028.37500000023</v>
      </c>
      <c r="P16" s="40">
        <f t="shared" si="20"/>
        <v>-8649455.375</v>
      </c>
      <c r="Q16" s="40">
        <f t="shared" si="20"/>
        <v>-11536181.125</v>
      </c>
      <c r="R16" s="40">
        <f t="shared" si="20"/>
        <v>-16443007.625</v>
      </c>
      <c r="S16" s="40">
        <f t="shared" si="20"/>
        <v>-26764864.641249999</v>
      </c>
      <c r="T16" s="40">
        <f t="shared" si="20"/>
        <v>-33147904.547499999</v>
      </c>
      <c r="U16" s="40">
        <f t="shared" si="20"/>
        <v>-41211129.578749999</v>
      </c>
      <c r="V16" s="40">
        <f t="shared" si="20"/>
        <v>-52767849.942499995</v>
      </c>
      <c r="W16" s="40">
        <f t="shared" si="20"/>
        <v>-62428378.598749995</v>
      </c>
      <c r="X16" s="40">
        <f t="shared" si="20"/>
        <v>-74219829.979999989</v>
      </c>
      <c r="Y16" s="40">
        <f t="shared" si="20"/>
        <v>-85286744.736249983</v>
      </c>
      <c r="Z16" s="40">
        <f t="shared" si="20"/>
        <v>-92459575.544999987</v>
      </c>
      <c r="AA16" s="40">
        <f t="shared" si="20"/>
        <v>-97975107.08874999</v>
      </c>
      <c r="AB16" s="40">
        <f t="shared" si="20"/>
        <v>-104369275.04499999</v>
      </c>
      <c r="AC16" s="40">
        <f t="shared" si="20"/>
        <v>-111682081.83249998</v>
      </c>
      <c r="AD16" s="40">
        <f t="shared" si="20"/>
        <v>-119160276.47624998</v>
      </c>
      <c r="AE16" s="40">
        <f t="shared" si="20"/>
        <v>-134982528.62078121</v>
      </c>
      <c r="AF16" s="40">
        <f t="shared" si="20"/>
        <v>-142224988.33913121</v>
      </c>
      <c r="AG16" s="40">
        <f t="shared" si="20"/>
        <v>-150591318.69948119</v>
      </c>
      <c r="AH16" s="40">
        <f t="shared" si="20"/>
        <v>-164975422.29030618</v>
      </c>
      <c r="AI16" s="40">
        <f t="shared" si="20"/>
        <v>-176259535.28153118</v>
      </c>
      <c r="AJ16" s="40">
        <f t="shared" si="20"/>
        <v>-189002539.58819368</v>
      </c>
      <c r="AK16" s="40">
        <f t="shared" si="20"/>
        <v>-201594205.31029367</v>
      </c>
      <c r="AL16" s="40">
        <f t="shared" si="20"/>
        <v>-212364343.94039369</v>
      </c>
      <c r="AM16" s="40">
        <f t="shared" si="20"/>
        <v>-218279679.3356812</v>
      </c>
      <c r="AN16" s="40">
        <f t="shared" si="20"/>
        <v>-219978000.43339995</v>
      </c>
      <c r="AO16" s="40">
        <f t="shared" si="20"/>
        <v>-220988452.79789993</v>
      </c>
      <c r="AP16" s="40">
        <f t="shared" si="20"/>
        <v>-220738256.00053117</v>
      </c>
      <c r="AQ16" s="40">
        <f t="shared" si="20"/>
        <v>-227044800.43684563</v>
      </c>
      <c r="AR16" s="40">
        <f t="shared" si="20"/>
        <v>-227430149.98778835</v>
      </c>
      <c r="AS16" s="40">
        <f t="shared" si="20"/>
        <v>-228210074.92307356</v>
      </c>
      <c r="AT16" s="40">
        <f t="shared" si="20"/>
        <v>-229718563.71070379</v>
      </c>
      <c r="AU16" s="40">
        <f t="shared" si="20"/>
        <v>-231955616.35067901</v>
      </c>
      <c r="AV16" s="40">
        <f t="shared" si="20"/>
        <v>-235642450.94473112</v>
      </c>
      <c r="AW16" s="40">
        <f t="shared" si="20"/>
        <v>-246831078.3290537</v>
      </c>
      <c r="AX16" s="40">
        <f t="shared" si="20"/>
        <v>-253086526.10235924</v>
      </c>
      <c r="AY16" s="40">
        <f t="shared" si="20"/>
        <v>-259628150.28699946</v>
      </c>
      <c r="AZ16" s="40">
        <f t="shared" si="20"/>
        <v>-266145134.19222593</v>
      </c>
      <c r="BA16" s="40">
        <f t="shared" si="20"/>
        <v>-272971866.89512461</v>
      </c>
      <c r="BB16" s="40">
        <f t="shared" si="20"/>
        <v>-279528833.25804543</v>
      </c>
      <c r="BC16" s="40">
        <f t="shared" si="20"/>
        <v>-284756562.42622411</v>
      </c>
      <c r="BD16" s="40">
        <f t="shared" si="20"/>
        <v>-287141584.99560964</v>
      </c>
      <c r="BE16" s="40">
        <f t="shared" si="20"/>
        <v>-286565325.99312145</v>
      </c>
      <c r="BF16" s="40">
        <f t="shared" si="20"/>
        <v>-286161102.36408204</v>
      </c>
      <c r="BG16" s="40">
        <f t="shared" si="20"/>
        <v>-285928914.10849142</v>
      </c>
      <c r="BH16" s="40">
        <f t="shared" si="20"/>
        <v>-285868761.22634965</v>
      </c>
      <c r="BI16" s="40">
        <f t="shared" si="20"/>
        <v>-286726644.62165666</v>
      </c>
      <c r="BJ16" s="40">
        <f t="shared" si="20"/>
        <v>-288090952.46749842</v>
      </c>
      <c r="BK16" s="40">
        <f t="shared" si="20"/>
        <v>-290077557.56016421</v>
      </c>
      <c r="BL16" s="40">
        <f t="shared" si="20"/>
        <v>-292768538.56106764</v>
      </c>
      <c r="BM16" s="40">
        <f t="shared" si="20"/>
        <v>-295417894.56620872</v>
      </c>
      <c r="BN16" s="40">
        <f t="shared" si="20"/>
        <v>-298774627.20992005</v>
      </c>
      <c r="BO16" s="40">
        <f t="shared" si="20"/>
        <v>-301279904.39965242</v>
      </c>
      <c r="BP16" s="40">
        <f t="shared" si="20"/>
        <v>-303822814.46714741</v>
      </c>
      <c r="BQ16" s="40">
        <f t="shared" si="20"/>
        <v>-305021569.91428775</v>
      </c>
      <c r="BR16" s="40">
        <f t="shared" si="20"/>
        <v>-304295631.51773846</v>
      </c>
      <c r="BS16" s="40">
        <f t="shared" si="20"/>
        <v>-303469824.81136727</v>
      </c>
      <c r="BT16" s="40">
        <f t="shared" si="20"/>
        <v>-303290150.69917417</v>
      </c>
      <c r="BU16" s="40">
        <f t="shared" ref="BU16:DV16" si="21">BU8+BU15</f>
        <v>-303010608.27715915</v>
      </c>
      <c r="BV16" s="40">
        <f t="shared" si="21"/>
        <v>-302631197.54532224</v>
      </c>
      <c r="BW16" s="40">
        <f t="shared" si="21"/>
        <v>-300659916.69566339</v>
      </c>
      <c r="BX16" s="40">
        <f t="shared" si="21"/>
        <v>-297166718.22654086</v>
      </c>
      <c r="BY16" s="40">
        <f t="shared" si="21"/>
        <v>-292151602.13795471</v>
      </c>
      <c r="BZ16" s="40">
        <f t="shared" si="21"/>
        <v>-285670411.38846737</v>
      </c>
      <c r="CA16" s="40">
        <f t="shared" si="21"/>
        <v>-278898369.21927226</v>
      </c>
      <c r="CB16" s="40">
        <f t="shared" si="21"/>
        <v>-271997505.39910656</v>
      </c>
      <c r="CC16" s="40">
        <f t="shared" si="21"/>
        <v>-264974583.19778147</v>
      </c>
      <c r="CD16" s="40">
        <f t="shared" si="21"/>
        <v>-257849519.64607951</v>
      </c>
      <c r="CE16" s="40">
        <f t="shared" si="21"/>
        <v>-250622314.7440007</v>
      </c>
      <c r="CF16" s="40">
        <f t="shared" si="21"/>
        <v>-243366586.94971031</v>
      </c>
      <c r="CG16" s="40">
        <f t="shared" si="21"/>
        <v>-236082336.26320833</v>
      </c>
      <c r="CH16" s="40">
        <f t="shared" si="21"/>
        <v>-228769562.68449473</v>
      </c>
      <c r="CI16" s="40">
        <f t="shared" si="21"/>
        <v>-221428266.21356955</v>
      </c>
      <c r="CJ16" s="40">
        <f t="shared" si="21"/>
        <v>-214058446.85043278</v>
      </c>
      <c r="CK16" s="40">
        <f t="shared" si="21"/>
        <v>-206660104.59508443</v>
      </c>
      <c r="CL16" s="40">
        <f t="shared" si="21"/>
        <v>-199253689.01923704</v>
      </c>
      <c r="CM16" s="40">
        <f t="shared" si="21"/>
        <v>-191653837.90048197</v>
      </c>
      <c r="CN16" s="40">
        <f t="shared" si="21"/>
        <v>-184045711.6282154</v>
      </c>
      <c r="CO16" s="40">
        <f t="shared" si="21"/>
        <v>-176429310.20243734</v>
      </c>
      <c r="CP16" s="40">
        <f t="shared" si="21"/>
        <v>-168808716.6144582</v>
      </c>
      <c r="CQ16" s="40">
        <f t="shared" si="21"/>
        <v>-161183930.86427796</v>
      </c>
      <c r="CR16" s="40">
        <f t="shared" si="21"/>
        <v>-153554952.95189667</v>
      </c>
      <c r="CS16" s="40">
        <f t="shared" si="21"/>
        <v>-145921782.87731427</v>
      </c>
      <c r="CT16" s="40">
        <f t="shared" si="21"/>
        <v>-138284420.64053082</v>
      </c>
      <c r="CU16" s="40">
        <f t="shared" si="21"/>
        <v>-130642866.24154629</v>
      </c>
      <c r="CV16" s="40">
        <f t="shared" si="21"/>
        <v>-122997119.68036067</v>
      </c>
      <c r="CW16" s="40">
        <f t="shared" si="21"/>
        <v>-115347180.95697398</v>
      </c>
      <c r="CX16" s="40">
        <f t="shared" si="21"/>
        <v>-107697242.23358729</v>
      </c>
      <c r="CY16" s="40">
        <f t="shared" si="21"/>
        <v>-99856055.042115942</v>
      </c>
      <c r="CZ16" s="40">
        <f t="shared" si="21"/>
        <v>-92014867.850644588</v>
      </c>
      <c r="DA16" s="40">
        <f t="shared" si="21"/>
        <v>-84173680.659173235</v>
      </c>
      <c r="DB16" s="40">
        <f t="shared" si="21"/>
        <v>-76332493.467701882</v>
      </c>
      <c r="DC16" s="40">
        <f t="shared" si="21"/>
        <v>-68491306.276230529</v>
      </c>
      <c r="DD16" s="40">
        <f t="shared" si="21"/>
        <v>-60650119.084759168</v>
      </c>
      <c r="DE16" s="40">
        <f t="shared" si="21"/>
        <v>-52808931.893287808</v>
      </c>
      <c r="DF16" s="40">
        <f t="shared" si="21"/>
        <v>-44967744.701816447</v>
      </c>
      <c r="DG16" s="40">
        <f t="shared" si="21"/>
        <v>-37126557.510345086</v>
      </c>
      <c r="DH16" s="40">
        <f t="shared" si="21"/>
        <v>-29285370.318873726</v>
      </c>
      <c r="DI16" s="40">
        <f t="shared" si="21"/>
        <v>-21444183.127402365</v>
      </c>
      <c r="DJ16" s="40">
        <f t="shared" si="21"/>
        <v>-13602995.935931006</v>
      </c>
      <c r="DK16" s="40">
        <f t="shared" si="21"/>
        <v>-5565779.064672865</v>
      </c>
      <c r="DL16" s="40">
        <f t="shared" si="21"/>
        <v>2471437.8065852765</v>
      </c>
      <c r="DM16" s="40">
        <f t="shared" si="21"/>
        <v>10508654.677843418</v>
      </c>
      <c r="DN16" s="40">
        <f t="shared" si="21"/>
        <v>18545871.549101561</v>
      </c>
      <c r="DO16" s="40">
        <f t="shared" si="21"/>
        <v>26583088.420359701</v>
      </c>
      <c r="DP16" s="40">
        <f t="shared" si="21"/>
        <v>34620305.291617841</v>
      </c>
      <c r="DQ16" s="40">
        <f t="shared" si="21"/>
        <v>42657522.16287598</v>
      </c>
      <c r="DR16" s="40">
        <f t="shared" si="21"/>
        <v>50694739.03413412</v>
      </c>
      <c r="DS16" s="40">
        <f t="shared" si="21"/>
        <v>58731955.905392259</v>
      </c>
      <c r="DT16" s="40">
        <f t="shared" si="21"/>
        <v>66769172.776650399</v>
      </c>
      <c r="DU16" s="40">
        <f t="shared" si="21"/>
        <v>74806389.647908539</v>
      </c>
      <c r="DV16" s="40">
        <f t="shared" si="21"/>
        <v>82843606.519166678</v>
      </c>
    </row>
    <row r="17" spans="2:126" ht="15" thickTop="1" thickBot="1">
      <c r="B17" s="32" t="s">
        <v>110</v>
      </c>
      <c r="C17" s="5"/>
      <c r="D17" s="5"/>
      <c r="E17" s="33" t="s">
        <v>0</v>
      </c>
      <c r="F17" s="33"/>
      <c r="G17" s="34">
        <f>SUM(G9:G11)</f>
        <v>2210783.75</v>
      </c>
      <c r="H17" s="34">
        <f t="shared" ref="H17:BS17" si="22">SUM(H9:H11)</f>
        <v>2210783.75</v>
      </c>
      <c r="I17" s="34">
        <f t="shared" si="22"/>
        <v>2210783.75</v>
      </c>
      <c r="J17" s="34">
        <f t="shared" si="22"/>
        <v>2210783.75</v>
      </c>
      <c r="K17" s="34">
        <f t="shared" si="22"/>
        <v>2210783.75</v>
      </c>
      <c r="L17" s="34">
        <f t="shared" si="22"/>
        <v>2210783.75</v>
      </c>
      <c r="M17" s="34">
        <f t="shared" si="22"/>
        <v>2210783.75</v>
      </c>
      <c r="N17" s="34">
        <f t="shared" si="22"/>
        <v>2210783.75</v>
      </c>
      <c r="O17" s="34">
        <f t="shared" si="22"/>
        <v>2210783.75</v>
      </c>
      <c r="P17" s="34">
        <f t="shared" si="22"/>
        <v>2210783.75</v>
      </c>
      <c r="Q17" s="34">
        <f t="shared" si="22"/>
        <v>2210783.75</v>
      </c>
      <c r="R17" s="34">
        <f t="shared" si="22"/>
        <v>2210783.75</v>
      </c>
      <c r="S17" s="34">
        <f t="shared" si="22"/>
        <v>2328916.8437500005</v>
      </c>
      <c r="T17" s="34">
        <f t="shared" si="22"/>
        <v>2328916.8437500005</v>
      </c>
      <c r="U17" s="34">
        <f t="shared" si="22"/>
        <v>2328916.8437500005</v>
      </c>
      <c r="V17" s="34">
        <f t="shared" si="22"/>
        <v>2328916.8437500005</v>
      </c>
      <c r="W17" s="34">
        <f t="shared" si="22"/>
        <v>2328916.8437500005</v>
      </c>
      <c r="X17" s="34">
        <f t="shared" si="22"/>
        <v>2328916.8437500005</v>
      </c>
      <c r="Y17" s="34">
        <f t="shared" si="22"/>
        <v>2328916.8437500005</v>
      </c>
      <c r="Z17" s="34">
        <f t="shared" si="22"/>
        <v>2296506.6412500008</v>
      </c>
      <c r="AA17" s="34">
        <f t="shared" si="22"/>
        <v>2320945.0312500009</v>
      </c>
      <c r="AB17" s="34">
        <f t="shared" si="22"/>
        <v>2411468.15625</v>
      </c>
      <c r="AC17" s="34">
        <f t="shared" si="22"/>
        <v>2501991.2812500009</v>
      </c>
      <c r="AD17" s="34">
        <f t="shared" si="22"/>
        <v>2592514.40625</v>
      </c>
      <c r="AE17" s="34">
        <f t="shared" si="22"/>
        <v>2808664.6497187503</v>
      </c>
      <c r="AF17" s="34">
        <f t="shared" si="22"/>
        <v>2850915.6691500009</v>
      </c>
      <c r="AG17" s="34">
        <f t="shared" si="22"/>
        <v>2931166.3396500009</v>
      </c>
      <c r="AH17" s="34">
        <f t="shared" si="22"/>
        <v>3011417.01015</v>
      </c>
      <c r="AI17" s="34">
        <f t="shared" si="22"/>
        <v>3091667.68065</v>
      </c>
      <c r="AJ17" s="34">
        <f t="shared" si="22"/>
        <v>3171918.35115</v>
      </c>
      <c r="AK17" s="34">
        <f t="shared" si="22"/>
        <v>3252169.02165</v>
      </c>
      <c r="AL17" s="34">
        <f t="shared" si="22"/>
        <v>3279375.7011500006</v>
      </c>
      <c r="AM17" s="34">
        <f t="shared" si="22"/>
        <v>3297477.0344000007</v>
      </c>
      <c r="AN17" s="34">
        <f t="shared" si="22"/>
        <v>3274242.9010312511</v>
      </c>
      <c r="AO17" s="34">
        <f t="shared" si="22"/>
        <v>3401665.4462812515</v>
      </c>
      <c r="AP17" s="34">
        <f t="shared" si="22"/>
        <v>3505960.2239312506</v>
      </c>
      <c r="AQ17" s="34">
        <f t="shared" si="22"/>
        <v>3849137.8105872804</v>
      </c>
      <c r="AR17" s="34">
        <f t="shared" si="22"/>
        <v>4038710.9768697796</v>
      </c>
      <c r="AS17" s="34">
        <f t="shared" si="22"/>
        <v>4228284.1431522807</v>
      </c>
      <c r="AT17" s="34">
        <f t="shared" si="22"/>
        <v>4332996.7186197806</v>
      </c>
      <c r="AU17" s="34">
        <f t="shared" si="22"/>
        <v>4437709.2940872805</v>
      </c>
      <c r="AV17" s="34">
        <f t="shared" si="22"/>
        <v>4489981.9219947821</v>
      </c>
      <c r="AW17" s="34">
        <f t="shared" si="22"/>
        <v>4542254.5499022799</v>
      </c>
      <c r="AX17" s="34">
        <f t="shared" si="22"/>
        <v>4592352.0223272806</v>
      </c>
      <c r="AY17" s="34">
        <f t="shared" si="22"/>
        <v>4640564.6880785301</v>
      </c>
      <c r="AZ17" s="34">
        <f t="shared" si="22"/>
        <v>4665204.9674922796</v>
      </c>
      <c r="BA17" s="34">
        <f t="shared" si="22"/>
        <v>4689845.24690603</v>
      </c>
      <c r="BB17" s="34">
        <f t="shared" si="22"/>
        <v>4699918.8742197808</v>
      </c>
      <c r="BC17" s="34">
        <f t="shared" si="22"/>
        <v>4860858.9677119395</v>
      </c>
      <c r="BD17" s="34">
        <f t="shared" si="22"/>
        <v>4868715.609630065</v>
      </c>
      <c r="BE17" s="34">
        <f t="shared" si="22"/>
        <v>4743373.4271757174</v>
      </c>
      <c r="BF17" s="34">
        <f t="shared" si="22"/>
        <v>4905727.1308128424</v>
      </c>
      <c r="BG17" s="34">
        <f t="shared" si="22"/>
        <v>5068080.8344499683</v>
      </c>
      <c r="BH17" s="34">
        <f t="shared" si="22"/>
        <v>5230434.5380870933</v>
      </c>
      <c r="BI17" s="34">
        <f t="shared" si="22"/>
        <v>5392788.2417242182</v>
      </c>
      <c r="BJ17" s="34">
        <f t="shared" si="22"/>
        <v>5555141.9453613423</v>
      </c>
      <c r="BK17" s="34">
        <f t="shared" si="22"/>
        <v>5601622.8527092179</v>
      </c>
      <c r="BL17" s="34">
        <f t="shared" si="22"/>
        <v>5643247.848471567</v>
      </c>
      <c r="BM17" s="34">
        <f t="shared" si="22"/>
        <v>5684872.8442339171</v>
      </c>
      <c r="BN17" s="34">
        <f t="shared" si="22"/>
        <v>5723497.1096636672</v>
      </c>
      <c r="BO17" s="34">
        <f t="shared" si="22"/>
        <v>5906174.4094707519</v>
      </c>
      <c r="BP17" s="34">
        <f t="shared" si="22"/>
        <v>5945764.2815362457</v>
      </c>
      <c r="BQ17" s="34">
        <f t="shared" si="22"/>
        <v>5952362.5935471617</v>
      </c>
      <c r="BR17" s="34">
        <f t="shared" si="22"/>
        <v>5947944.7245493121</v>
      </c>
      <c r="BS17" s="34">
        <f t="shared" si="22"/>
        <v>6047813.0343712177</v>
      </c>
      <c r="BT17" s="34">
        <f t="shared" ref="BT17:DV17" si="23">SUM(BT9:BT11)</f>
        <v>6147681.3441931233</v>
      </c>
      <c r="BU17" s="34">
        <f t="shared" si="23"/>
        <v>6247549.654015027</v>
      </c>
      <c r="BV17" s="34">
        <f t="shared" si="23"/>
        <v>6347417.9638369326</v>
      </c>
      <c r="BW17" s="34">
        <f t="shared" si="23"/>
        <v>6447286.2736588381</v>
      </c>
      <c r="BX17" s="34">
        <f t="shared" si="23"/>
        <v>6477202.0851225033</v>
      </c>
      <c r="BY17" s="34">
        <f t="shared" si="23"/>
        <v>6507117.8965861648</v>
      </c>
      <c r="BZ17" s="34">
        <f t="shared" si="23"/>
        <v>6481190.7494873349</v>
      </c>
      <c r="CA17" s="34">
        <f t="shared" si="23"/>
        <v>6772042.169195109</v>
      </c>
      <c r="CB17" s="34">
        <f t="shared" si="23"/>
        <v>6900863.8201657003</v>
      </c>
      <c r="CC17" s="34">
        <f t="shared" si="23"/>
        <v>7022922.2013251027</v>
      </c>
      <c r="CD17" s="34">
        <f t="shared" si="23"/>
        <v>7125063.5517019508</v>
      </c>
      <c r="CE17" s="34">
        <f t="shared" si="23"/>
        <v>7227204.9020787971</v>
      </c>
      <c r="CF17" s="34">
        <f t="shared" si="23"/>
        <v>7255727.7942903927</v>
      </c>
      <c r="CG17" s="34">
        <f t="shared" si="23"/>
        <v>7284250.6865019863</v>
      </c>
      <c r="CH17" s="34">
        <f t="shared" si="23"/>
        <v>7312773.5787135819</v>
      </c>
      <c r="CI17" s="34">
        <f t="shared" si="23"/>
        <v>7341296.4709251774</v>
      </c>
      <c r="CJ17" s="34">
        <f t="shared" si="23"/>
        <v>7369819.363136773</v>
      </c>
      <c r="CK17" s="34">
        <f t="shared" si="23"/>
        <v>7398342.2553483667</v>
      </c>
      <c r="CL17" s="34">
        <f t="shared" si="23"/>
        <v>7406415.575847392</v>
      </c>
      <c r="CM17" s="34">
        <f t="shared" si="23"/>
        <v>7599851.1187550761</v>
      </c>
      <c r="CN17" s="34">
        <f t="shared" si="23"/>
        <v>7608126.2722665761</v>
      </c>
      <c r="CO17" s="34">
        <f t="shared" si="23"/>
        <v>7616401.4257780761</v>
      </c>
      <c r="CP17" s="34">
        <f t="shared" si="23"/>
        <v>7620593.5879791528</v>
      </c>
      <c r="CQ17" s="34">
        <f t="shared" si="23"/>
        <v>7624785.7501802295</v>
      </c>
      <c r="CR17" s="34">
        <f t="shared" si="23"/>
        <v>7628977.9123813063</v>
      </c>
      <c r="CS17" s="34">
        <f t="shared" si="23"/>
        <v>7633170.074582383</v>
      </c>
      <c r="CT17" s="34">
        <f t="shared" si="23"/>
        <v>7637362.2367834598</v>
      </c>
      <c r="CU17" s="34">
        <f t="shared" si="23"/>
        <v>7641554.3989845384</v>
      </c>
      <c r="CV17" s="34">
        <f t="shared" si="23"/>
        <v>7645746.5611856151</v>
      </c>
      <c r="CW17" s="34">
        <f t="shared" si="23"/>
        <v>7649938.7233866919</v>
      </c>
      <c r="CX17" s="34">
        <f t="shared" si="23"/>
        <v>7649938.7233866919</v>
      </c>
      <c r="CY17" s="34">
        <f t="shared" si="23"/>
        <v>7841187.1914713588</v>
      </c>
      <c r="CZ17" s="34">
        <f t="shared" si="23"/>
        <v>7841187.1914713588</v>
      </c>
      <c r="DA17" s="34">
        <f t="shared" si="23"/>
        <v>7841187.1914713588</v>
      </c>
      <c r="DB17" s="34">
        <f t="shared" si="23"/>
        <v>7841187.1914713588</v>
      </c>
      <c r="DC17" s="34">
        <f t="shared" si="23"/>
        <v>7841187.1914713588</v>
      </c>
      <c r="DD17" s="34">
        <f t="shared" si="23"/>
        <v>7841187.1914713588</v>
      </c>
      <c r="DE17" s="34">
        <f t="shared" si="23"/>
        <v>7841187.1914713588</v>
      </c>
      <c r="DF17" s="34">
        <f t="shared" si="23"/>
        <v>7841187.1914713588</v>
      </c>
      <c r="DG17" s="34">
        <f t="shared" si="23"/>
        <v>7841187.1914713588</v>
      </c>
      <c r="DH17" s="34">
        <f t="shared" si="23"/>
        <v>7841187.1914713588</v>
      </c>
      <c r="DI17" s="34">
        <f t="shared" si="23"/>
        <v>7841187.1914713588</v>
      </c>
      <c r="DJ17" s="34">
        <f t="shared" si="23"/>
        <v>7841187.1914713588</v>
      </c>
      <c r="DK17" s="34">
        <f t="shared" si="23"/>
        <v>8037216.8712581415</v>
      </c>
      <c r="DL17" s="34">
        <f t="shared" si="23"/>
        <v>8037216.8712581415</v>
      </c>
      <c r="DM17" s="34">
        <f t="shared" si="23"/>
        <v>8037216.8712581415</v>
      </c>
      <c r="DN17" s="34">
        <f t="shared" si="23"/>
        <v>8037216.8712581415</v>
      </c>
      <c r="DO17" s="34">
        <f t="shared" si="23"/>
        <v>8037216.8712581415</v>
      </c>
      <c r="DP17" s="34">
        <f t="shared" si="23"/>
        <v>8037216.8712581415</v>
      </c>
      <c r="DQ17" s="34">
        <f t="shared" si="23"/>
        <v>8037216.8712581415</v>
      </c>
      <c r="DR17" s="34">
        <f t="shared" si="23"/>
        <v>8037216.8712581415</v>
      </c>
      <c r="DS17" s="34">
        <f t="shared" si="23"/>
        <v>8037216.8712581415</v>
      </c>
      <c r="DT17" s="34">
        <f t="shared" si="23"/>
        <v>8037216.8712581415</v>
      </c>
      <c r="DU17" s="34">
        <f t="shared" si="23"/>
        <v>8037216.8712581415</v>
      </c>
      <c r="DV17" s="34">
        <f t="shared" si="23"/>
        <v>8037216.8712581415</v>
      </c>
    </row>
    <row r="18" spans="2:126" ht="14.4" thickTop="1"/>
    <row r="19" spans="2:126">
      <c r="B19" s="1" t="s">
        <v>59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</row>
    <row r="20" spans="2:126" outlineLevel="1">
      <c r="B20" s="2"/>
      <c r="C20" s="2"/>
      <c r="D20" s="2"/>
      <c r="E20" s="2"/>
      <c r="F20" s="2"/>
      <c r="G20" s="2"/>
      <c r="H20" s="2"/>
      <c r="I20" s="3"/>
      <c r="J20" s="3"/>
      <c r="K20" s="2"/>
    </row>
    <row r="21" spans="2:126" outlineLevel="1">
      <c r="B21" s="4"/>
      <c r="C21" s="4"/>
      <c r="D21" s="4"/>
      <c r="E21" s="2"/>
      <c r="F21" s="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2:126" ht="14.4" outlineLevel="1" thickBot="1">
      <c r="B22" s="5" t="s">
        <v>60</v>
      </c>
      <c r="C22" s="5"/>
      <c r="D22" s="5"/>
      <c r="E22" s="33" t="s">
        <v>0</v>
      </c>
      <c r="F22" s="33"/>
      <c r="G22" s="34">
        <f t="shared" ref="G22:BR22" si="24">SUBTOTAL(9,G24:G41)</f>
        <v>3210711</v>
      </c>
      <c r="H22" s="34">
        <f t="shared" si="24"/>
        <v>3210711</v>
      </c>
      <c r="I22" s="34">
        <f t="shared" si="24"/>
        <v>3210711</v>
      </c>
      <c r="J22" s="34">
        <f t="shared" si="24"/>
        <v>3210711</v>
      </c>
      <c r="K22" s="34">
        <f t="shared" si="24"/>
        <v>3210711</v>
      </c>
      <c r="L22" s="34">
        <f t="shared" si="24"/>
        <v>3210711</v>
      </c>
      <c r="M22" s="34">
        <f t="shared" si="24"/>
        <v>3210711</v>
      </c>
      <c r="N22" s="34">
        <f t="shared" si="24"/>
        <v>3210711</v>
      </c>
      <c r="O22" s="34">
        <f t="shared" si="24"/>
        <v>3210711</v>
      </c>
      <c r="P22" s="34">
        <f t="shared" si="24"/>
        <v>3210711</v>
      </c>
      <c r="Q22" s="34">
        <f t="shared" si="24"/>
        <v>3210711</v>
      </c>
      <c r="R22" s="34">
        <f t="shared" si="24"/>
        <v>3210711</v>
      </c>
      <c r="S22" s="34">
        <f t="shared" si="24"/>
        <v>3355192.9950000006</v>
      </c>
      <c r="T22" s="34">
        <f t="shared" si="24"/>
        <v>3355192.9950000006</v>
      </c>
      <c r="U22" s="34">
        <f t="shared" si="24"/>
        <v>3355192.9950000006</v>
      </c>
      <c r="V22" s="34">
        <f t="shared" si="24"/>
        <v>3355192.9950000006</v>
      </c>
      <c r="W22" s="34">
        <f t="shared" si="24"/>
        <v>3355192.9950000006</v>
      </c>
      <c r="X22" s="34">
        <f t="shared" si="24"/>
        <v>3355192.9950000006</v>
      </c>
      <c r="Y22" s="34">
        <f t="shared" si="24"/>
        <v>3355192.9950000006</v>
      </c>
      <c r="Z22" s="34">
        <f t="shared" si="24"/>
        <v>3476439.1200000006</v>
      </c>
      <c r="AA22" s="34">
        <f t="shared" si="24"/>
        <v>3629999.2575000008</v>
      </c>
      <c r="AB22" s="34">
        <f t="shared" si="24"/>
        <v>3720522.3825000003</v>
      </c>
      <c r="AC22" s="34">
        <f t="shared" si="24"/>
        <v>3811045.5075000008</v>
      </c>
      <c r="AD22" s="34">
        <f t="shared" si="24"/>
        <v>3901568.6325000003</v>
      </c>
      <c r="AE22" s="34">
        <f t="shared" si="24"/>
        <v>4151775.4278000002</v>
      </c>
      <c r="AF22" s="34">
        <f t="shared" si="24"/>
        <v>4349877.3318000007</v>
      </c>
      <c r="AG22" s="34">
        <f t="shared" si="24"/>
        <v>4430128.0023000007</v>
      </c>
      <c r="AH22" s="34">
        <f t="shared" si="24"/>
        <v>4510378.6727999998</v>
      </c>
      <c r="AI22" s="34">
        <f t="shared" si="24"/>
        <v>4590629.3432999998</v>
      </c>
      <c r="AJ22" s="34">
        <f t="shared" si="24"/>
        <v>4670880.0137999998</v>
      </c>
      <c r="AK22" s="34">
        <f t="shared" si="24"/>
        <v>4751130.6842999998</v>
      </c>
      <c r="AL22" s="34">
        <f t="shared" si="24"/>
        <v>4778337.3638000004</v>
      </c>
      <c r="AM22" s="34">
        <f t="shared" si="24"/>
        <v>4796438.6970500005</v>
      </c>
      <c r="AN22" s="34">
        <f t="shared" si="24"/>
        <v>5087843.0603000009</v>
      </c>
      <c r="AO22" s="34">
        <f t="shared" si="24"/>
        <v>5215265.6055500014</v>
      </c>
      <c r="AP22" s="34">
        <f t="shared" si="24"/>
        <v>5511576.8708000006</v>
      </c>
      <c r="AQ22" s="34">
        <f t="shared" si="24"/>
        <v>5906284.3256917484</v>
      </c>
      <c r="AR22" s="34">
        <f t="shared" si="24"/>
        <v>6095857.4919742476</v>
      </c>
      <c r="AS22" s="34">
        <f t="shared" si="24"/>
        <v>6285430.6582567487</v>
      </c>
      <c r="AT22" s="34">
        <f t="shared" si="24"/>
        <v>6390143.2337242486</v>
      </c>
      <c r="AU22" s="34">
        <f t="shared" si="24"/>
        <v>6494855.8091917485</v>
      </c>
      <c r="AV22" s="34">
        <f t="shared" si="24"/>
        <v>6547128.43709925</v>
      </c>
      <c r="AW22" s="34">
        <f t="shared" si="24"/>
        <v>6599401.0650067478</v>
      </c>
      <c r="AX22" s="34">
        <f t="shared" si="24"/>
        <v>6649498.5374317486</v>
      </c>
      <c r="AY22" s="34">
        <f t="shared" si="24"/>
        <v>6697711.2031829981</v>
      </c>
      <c r="AZ22" s="34">
        <f t="shared" si="24"/>
        <v>6722351.4825967476</v>
      </c>
      <c r="BA22" s="34">
        <f t="shared" si="24"/>
        <v>6746991.762010498</v>
      </c>
      <c r="BB22" s="34">
        <f t="shared" si="24"/>
        <v>6757065.3893242488</v>
      </c>
      <c r="BC22" s="34">
        <f t="shared" si="24"/>
        <v>6970153.18713714</v>
      </c>
      <c r="BD22" s="34">
        <f t="shared" si="24"/>
        <v>6978009.8290552655</v>
      </c>
      <c r="BE22" s="34">
        <f t="shared" si="24"/>
        <v>7372109.1252708891</v>
      </c>
      <c r="BF22" s="34">
        <f t="shared" si="24"/>
        <v>7534462.8289080141</v>
      </c>
      <c r="BG22" s="34">
        <f t="shared" si="24"/>
        <v>7696816.53254514</v>
      </c>
      <c r="BH22" s="34">
        <f t="shared" si="24"/>
        <v>7859170.236182265</v>
      </c>
      <c r="BI22" s="34">
        <f t="shared" si="24"/>
        <v>8021523.93981939</v>
      </c>
      <c r="BJ22" s="34">
        <f t="shared" si="24"/>
        <v>8183877.643456514</v>
      </c>
      <c r="BK22" s="34">
        <f t="shared" si="24"/>
        <v>8230358.5508043896</v>
      </c>
      <c r="BL22" s="34">
        <f t="shared" si="24"/>
        <v>8271983.5465667387</v>
      </c>
      <c r="BM22" s="34">
        <f t="shared" si="24"/>
        <v>8313608.5423290888</v>
      </c>
      <c r="BN22" s="34">
        <f t="shared" si="24"/>
        <v>8352232.8077588389</v>
      </c>
      <c r="BO22" s="34">
        <f t="shared" si="24"/>
        <v>8600628.5000183024</v>
      </c>
      <c r="BP22" s="34">
        <f t="shared" si="24"/>
        <v>8640218.3720837962</v>
      </c>
      <c r="BQ22" s="34">
        <f t="shared" si="24"/>
        <v>8646816.6840947121</v>
      </c>
      <c r="BR22" s="34">
        <f t="shared" si="24"/>
        <v>8886589.990633104</v>
      </c>
      <c r="BS22" s="34">
        <f t="shared" ref="BS22:DV22" si="25">SUBTOTAL(9,BS24:BS41)</f>
        <v>8986458.3004550096</v>
      </c>
      <c r="BT22" s="34">
        <f t="shared" si="25"/>
        <v>9086326.6102769151</v>
      </c>
      <c r="BU22" s="34">
        <f t="shared" si="25"/>
        <v>9186194.9200988188</v>
      </c>
      <c r="BV22" s="34">
        <f t="shared" si="25"/>
        <v>9286063.2299207244</v>
      </c>
      <c r="BW22" s="34">
        <f t="shared" si="25"/>
        <v>9385931.53974263</v>
      </c>
      <c r="BX22" s="34">
        <f t="shared" si="25"/>
        <v>9415847.3512062952</v>
      </c>
      <c r="BY22" s="34">
        <f t="shared" si="25"/>
        <v>9445763.1626699567</v>
      </c>
      <c r="BZ22" s="34">
        <f t="shared" si="25"/>
        <v>9715088.5941832196</v>
      </c>
      <c r="CA22" s="34">
        <f t="shared" si="25"/>
        <v>10086787.46000839</v>
      </c>
      <c r="CB22" s="34">
        <f t="shared" si="25"/>
        <v>10215609.110978981</v>
      </c>
      <c r="CC22" s="34">
        <f t="shared" si="25"/>
        <v>10337667.492138384</v>
      </c>
      <c r="CD22" s="34">
        <f t="shared" si="25"/>
        <v>10439808.842515232</v>
      </c>
      <c r="CE22" s="34">
        <f t="shared" si="25"/>
        <v>10541950.192892078</v>
      </c>
      <c r="CF22" s="34">
        <f t="shared" si="25"/>
        <v>10570473.085103674</v>
      </c>
      <c r="CG22" s="34">
        <f t="shared" si="25"/>
        <v>10598995.977315268</v>
      </c>
      <c r="CH22" s="34">
        <f t="shared" si="25"/>
        <v>10627518.869526863</v>
      </c>
      <c r="CI22" s="34">
        <f t="shared" si="25"/>
        <v>10656041.761738459</v>
      </c>
      <c r="CJ22" s="34">
        <f t="shared" si="25"/>
        <v>10684564.653950054</v>
      </c>
      <c r="CK22" s="34">
        <f t="shared" si="25"/>
        <v>10713087.546161648</v>
      </c>
      <c r="CL22" s="34">
        <f t="shared" si="25"/>
        <v>10721160.866660673</v>
      </c>
      <c r="CM22" s="34">
        <f t="shared" si="25"/>
        <v>10997465.041838689</v>
      </c>
      <c r="CN22" s="34">
        <f t="shared" si="25"/>
        <v>11005740.195350189</v>
      </c>
      <c r="CO22" s="34">
        <f t="shared" si="25"/>
        <v>11014015.348861689</v>
      </c>
      <c r="CP22" s="34">
        <f t="shared" si="25"/>
        <v>11018207.511062765</v>
      </c>
      <c r="CQ22" s="34">
        <f t="shared" si="25"/>
        <v>11022399.673263842</v>
      </c>
      <c r="CR22" s="34">
        <f t="shared" si="25"/>
        <v>11026591.835464919</v>
      </c>
      <c r="CS22" s="34">
        <f t="shared" si="25"/>
        <v>11030783.997665996</v>
      </c>
      <c r="CT22" s="34">
        <f t="shared" si="25"/>
        <v>11034976.159867072</v>
      </c>
      <c r="CU22" s="34">
        <f t="shared" si="25"/>
        <v>11039168.322068151</v>
      </c>
      <c r="CV22" s="34">
        <f t="shared" si="25"/>
        <v>11043360.484269228</v>
      </c>
      <c r="CW22" s="34">
        <f t="shared" si="25"/>
        <v>11047552.646470305</v>
      </c>
      <c r="CX22" s="34">
        <f t="shared" si="25"/>
        <v>11047552.646470305</v>
      </c>
      <c r="CY22" s="34">
        <f t="shared" si="25"/>
        <v>11323741.462632062</v>
      </c>
      <c r="CZ22" s="34">
        <f t="shared" si="25"/>
        <v>11323741.462632062</v>
      </c>
      <c r="DA22" s="34">
        <f t="shared" si="25"/>
        <v>11323741.462632062</v>
      </c>
      <c r="DB22" s="34">
        <f t="shared" si="25"/>
        <v>11323741.462632062</v>
      </c>
      <c r="DC22" s="34">
        <f t="shared" si="25"/>
        <v>11323741.462632062</v>
      </c>
      <c r="DD22" s="34">
        <f t="shared" si="25"/>
        <v>11323741.462632062</v>
      </c>
      <c r="DE22" s="34">
        <f t="shared" si="25"/>
        <v>11323741.462632062</v>
      </c>
      <c r="DF22" s="34">
        <f t="shared" si="25"/>
        <v>11323741.462632062</v>
      </c>
      <c r="DG22" s="34">
        <f t="shared" si="25"/>
        <v>11323741.462632062</v>
      </c>
      <c r="DH22" s="34">
        <f t="shared" si="25"/>
        <v>11323741.462632062</v>
      </c>
      <c r="DI22" s="34">
        <f t="shared" si="25"/>
        <v>11323741.462632062</v>
      </c>
      <c r="DJ22" s="34">
        <f t="shared" si="25"/>
        <v>11323741.462632062</v>
      </c>
      <c r="DK22" s="34">
        <f t="shared" si="25"/>
        <v>11606834.999197861</v>
      </c>
      <c r="DL22" s="34">
        <f t="shared" si="25"/>
        <v>11606834.999197861</v>
      </c>
      <c r="DM22" s="34">
        <f t="shared" si="25"/>
        <v>11606834.999197861</v>
      </c>
      <c r="DN22" s="34">
        <f t="shared" si="25"/>
        <v>11606834.999197861</v>
      </c>
      <c r="DO22" s="34">
        <f t="shared" si="25"/>
        <v>11606834.999197861</v>
      </c>
      <c r="DP22" s="34">
        <f t="shared" si="25"/>
        <v>11606834.999197861</v>
      </c>
      <c r="DQ22" s="34">
        <f t="shared" si="25"/>
        <v>11606834.999197861</v>
      </c>
      <c r="DR22" s="34">
        <f t="shared" si="25"/>
        <v>11606834.999197861</v>
      </c>
      <c r="DS22" s="34">
        <f t="shared" si="25"/>
        <v>11606834.999197861</v>
      </c>
      <c r="DT22" s="34">
        <f t="shared" si="25"/>
        <v>11606834.999197861</v>
      </c>
      <c r="DU22" s="34">
        <f t="shared" si="25"/>
        <v>11606834.999197861</v>
      </c>
      <c r="DV22" s="34">
        <f t="shared" si="25"/>
        <v>11606834.999197861</v>
      </c>
    </row>
    <row r="23" spans="2:126" ht="14.4" outlineLevel="1" thickTop="1">
      <c r="B23" s="4"/>
      <c r="C23" s="4"/>
      <c r="D23" s="4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</row>
    <row r="24" spans="2:126" outlineLevel="1">
      <c r="B24" s="6" t="s">
        <v>7</v>
      </c>
      <c r="C24" s="6" t="s">
        <v>61</v>
      </c>
      <c r="D24" s="6" t="s">
        <v>9</v>
      </c>
      <c r="E24" s="41" t="s">
        <v>0</v>
      </c>
      <c r="F24" s="41"/>
      <c r="G24" s="42">
        <f>SUBTOTAL(9,G25:G29)</f>
        <v>3210711</v>
      </c>
      <c r="H24" s="42">
        <f t="shared" ref="H24:BS24" si="26">SUBTOTAL(9,H25:H29)</f>
        <v>3210711</v>
      </c>
      <c r="I24" s="42">
        <f t="shared" si="26"/>
        <v>3210711</v>
      </c>
      <c r="J24" s="42">
        <f t="shared" si="26"/>
        <v>3210711</v>
      </c>
      <c r="K24" s="42">
        <f t="shared" si="26"/>
        <v>3210711</v>
      </c>
      <c r="L24" s="42">
        <f t="shared" si="26"/>
        <v>3210711</v>
      </c>
      <c r="M24" s="42">
        <f t="shared" si="26"/>
        <v>3210711</v>
      </c>
      <c r="N24" s="42">
        <f t="shared" si="26"/>
        <v>3210711</v>
      </c>
      <c r="O24" s="42">
        <f t="shared" si="26"/>
        <v>3210711</v>
      </c>
      <c r="P24" s="42">
        <f t="shared" si="26"/>
        <v>3210711</v>
      </c>
      <c r="Q24" s="42">
        <f t="shared" si="26"/>
        <v>3210711</v>
      </c>
      <c r="R24" s="42">
        <f t="shared" si="26"/>
        <v>3210711</v>
      </c>
      <c r="S24" s="42">
        <f t="shared" si="26"/>
        <v>3355192.9950000006</v>
      </c>
      <c r="T24" s="42">
        <f t="shared" si="26"/>
        <v>3355192.9950000006</v>
      </c>
      <c r="U24" s="42">
        <f t="shared" si="26"/>
        <v>3355192.9950000006</v>
      </c>
      <c r="V24" s="42">
        <f t="shared" si="26"/>
        <v>3355192.9950000006</v>
      </c>
      <c r="W24" s="42">
        <f t="shared" si="26"/>
        <v>3355192.9950000006</v>
      </c>
      <c r="X24" s="42">
        <f t="shared" si="26"/>
        <v>3355192.9950000006</v>
      </c>
      <c r="Y24" s="42">
        <f t="shared" si="26"/>
        <v>3355192.9950000006</v>
      </c>
      <c r="Z24" s="42">
        <f t="shared" si="26"/>
        <v>3355192.9950000006</v>
      </c>
      <c r="AA24" s="42">
        <f t="shared" si="26"/>
        <v>3355192.9950000006</v>
      </c>
      <c r="AB24" s="42">
        <f t="shared" si="26"/>
        <v>3355192.9950000006</v>
      </c>
      <c r="AC24" s="42">
        <f t="shared" si="26"/>
        <v>3355192.9950000006</v>
      </c>
      <c r="AD24" s="42">
        <f t="shared" si="26"/>
        <v>3355192.9950000006</v>
      </c>
      <c r="AE24" s="42">
        <f t="shared" si="26"/>
        <v>3489400.7148000002</v>
      </c>
      <c r="AF24" s="42">
        <f t="shared" si="26"/>
        <v>3489400.7148000002</v>
      </c>
      <c r="AG24" s="42">
        <f t="shared" si="26"/>
        <v>3489400.7148000002</v>
      </c>
      <c r="AH24" s="42">
        <f t="shared" si="26"/>
        <v>3489400.7148000002</v>
      </c>
      <c r="AI24" s="42">
        <f t="shared" si="26"/>
        <v>3489400.7148000002</v>
      </c>
      <c r="AJ24" s="42">
        <f t="shared" si="26"/>
        <v>3489400.7148000002</v>
      </c>
      <c r="AK24" s="42">
        <f t="shared" si="26"/>
        <v>3489400.7148000002</v>
      </c>
      <c r="AL24" s="42">
        <f t="shared" si="26"/>
        <v>3489400.7148000002</v>
      </c>
      <c r="AM24" s="42">
        <f t="shared" si="26"/>
        <v>3489400.7148000002</v>
      </c>
      <c r="AN24" s="42">
        <f t="shared" si="26"/>
        <v>3489400.7148000002</v>
      </c>
      <c r="AO24" s="42">
        <f t="shared" si="26"/>
        <v>3489400.7148000002</v>
      </c>
      <c r="AP24" s="42">
        <f t="shared" si="26"/>
        <v>3489400.7148000002</v>
      </c>
      <c r="AQ24" s="42">
        <f t="shared" si="26"/>
        <v>3611529.7398179993</v>
      </c>
      <c r="AR24" s="42">
        <f t="shared" si="26"/>
        <v>3611529.7398179993</v>
      </c>
      <c r="AS24" s="42">
        <f t="shared" si="26"/>
        <v>3611529.7398179993</v>
      </c>
      <c r="AT24" s="42">
        <f t="shared" si="26"/>
        <v>3611529.7398179993</v>
      </c>
      <c r="AU24" s="42">
        <f t="shared" si="26"/>
        <v>3611529.7398179993</v>
      </c>
      <c r="AV24" s="42">
        <f t="shared" si="26"/>
        <v>3611529.7398179993</v>
      </c>
      <c r="AW24" s="42">
        <f t="shared" si="26"/>
        <v>3611529.7398179993</v>
      </c>
      <c r="AX24" s="42">
        <f t="shared" si="26"/>
        <v>3611529.7398179993</v>
      </c>
      <c r="AY24" s="42">
        <f t="shared" si="26"/>
        <v>3611529.7398179993</v>
      </c>
      <c r="AZ24" s="42">
        <f t="shared" si="26"/>
        <v>3611529.7398179993</v>
      </c>
      <c r="BA24" s="42">
        <f t="shared" si="26"/>
        <v>3611529.7398179993</v>
      </c>
      <c r="BB24" s="42">
        <f t="shared" si="26"/>
        <v>3611529.7398179993</v>
      </c>
      <c r="BC24" s="42">
        <f t="shared" si="26"/>
        <v>3719875.63201254</v>
      </c>
      <c r="BD24" s="42">
        <f t="shared" si="26"/>
        <v>3719875.63201254</v>
      </c>
      <c r="BE24" s="42">
        <f t="shared" si="26"/>
        <v>3719875.63201254</v>
      </c>
      <c r="BF24" s="42">
        <f t="shared" si="26"/>
        <v>3719875.63201254</v>
      </c>
      <c r="BG24" s="42">
        <f t="shared" si="26"/>
        <v>3719875.63201254</v>
      </c>
      <c r="BH24" s="42">
        <f t="shared" si="26"/>
        <v>3719875.63201254</v>
      </c>
      <c r="BI24" s="42">
        <f t="shared" si="26"/>
        <v>3719875.63201254</v>
      </c>
      <c r="BJ24" s="42">
        <f t="shared" si="26"/>
        <v>3719875.63201254</v>
      </c>
      <c r="BK24" s="42">
        <f t="shared" si="26"/>
        <v>3719875.63201254</v>
      </c>
      <c r="BL24" s="42">
        <f t="shared" si="26"/>
        <v>3719875.63201254</v>
      </c>
      <c r="BM24" s="42">
        <f t="shared" si="26"/>
        <v>3719875.63201254</v>
      </c>
      <c r="BN24" s="42">
        <f t="shared" si="26"/>
        <v>3719875.63201254</v>
      </c>
      <c r="BO24" s="42">
        <f t="shared" si="26"/>
        <v>3812872.5228128526</v>
      </c>
      <c r="BP24" s="42">
        <f t="shared" si="26"/>
        <v>3812872.5228128526</v>
      </c>
      <c r="BQ24" s="42">
        <f t="shared" si="26"/>
        <v>3812872.5228128526</v>
      </c>
      <c r="BR24" s="42">
        <f t="shared" si="26"/>
        <v>3812872.5228128526</v>
      </c>
      <c r="BS24" s="42">
        <f t="shared" si="26"/>
        <v>3812872.5228128526</v>
      </c>
      <c r="BT24" s="42">
        <f t="shared" ref="BT24:DV24" si="27">SUBTOTAL(9,BT25:BT29)</f>
        <v>3812872.5228128526</v>
      </c>
      <c r="BU24" s="42">
        <f t="shared" si="27"/>
        <v>3812872.5228128526</v>
      </c>
      <c r="BV24" s="42">
        <f t="shared" si="27"/>
        <v>3812872.5228128526</v>
      </c>
      <c r="BW24" s="42">
        <f t="shared" si="27"/>
        <v>3812872.5228128526</v>
      </c>
      <c r="BX24" s="42">
        <f t="shared" si="27"/>
        <v>3812872.5228128526</v>
      </c>
      <c r="BY24" s="42">
        <f t="shared" si="27"/>
        <v>3812872.5228128526</v>
      </c>
      <c r="BZ24" s="42">
        <f t="shared" si="27"/>
        <v>3812872.5228128526</v>
      </c>
      <c r="CA24" s="42">
        <f t="shared" si="27"/>
        <v>3908194.3358831741</v>
      </c>
      <c r="CB24" s="42">
        <f t="shared" si="27"/>
        <v>3908194.3358831741</v>
      </c>
      <c r="CC24" s="42">
        <f t="shared" si="27"/>
        <v>3908194.3358831741</v>
      </c>
      <c r="CD24" s="42">
        <f t="shared" si="27"/>
        <v>3908194.3358831741</v>
      </c>
      <c r="CE24" s="42">
        <f t="shared" si="27"/>
        <v>3908194.3358831741</v>
      </c>
      <c r="CF24" s="42">
        <f t="shared" si="27"/>
        <v>3908194.3358831741</v>
      </c>
      <c r="CG24" s="42">
        <f t="shared" si="27"/>
        <v>3908194.3358831741</v>
      </c>
      <c r="CH24" s="42">
        <f t="shared" si="27"/>
        <v>3908194.3358831741</v>
      </c>
      <c r="CI24" s="42">
        <f t="shared" si="27"/>
        <v>3908194.3358831741</v>
      </c>
      <c r="CJ24" s="42">
        <f t="shared" si="27"/>
        <v>3908194.3358831741</v>
      </c>
      <c r="CK24" s="42">
        <f t="shared" si="27"/>
        <v>3908194.3358831741</v>
      </c>
      <c r="CL24" s="42">
        <f t="shared" si="27"/>
        <v>3908194.3358831741</v>
      </c>
      <c r="CM24" s="42">
        <f t="shared" si="27"/>
        <v>4005899.1942802533</v>
      </c>
      <c r="CN24" s="42">
        <f t="shared" si="27"/>
        <v>4005899.1942802533</v>
      </c>
      <c r="CO24" s="42">
        <f t="shared" si="27"/>
        <v>4005899.1942802533</v>
      </c>
      <c r="CP24" s="42">
        <f t="shared" si="27"/>
        <v>4005899.1942802533</v>
      </c>
      <c r="CQ24" s="42">
        <f t="shared" si="27"/>
        <v>4005899.1942802533</v>
      </c>
      <c r="CR24" s="42">
        <f t="shared" si="27"/>
        <v>4005899.1942802533</v>
      </c>
      <c r="CS24" s="42">
        <f t="shared" si="27"/>
        <v>4005899.1942802533</v>
      </c>
      <c r="CT24" s="42">
        <f t="shared" si="27"/>
        <v>4005899.1942802533</v>
      </c>
      <c r="CU24" s="42">
        <f t="shared" si="27"/>
        <v>4005899.1942802533</v>
      </c>
      <c r="CV24" s="42">
        <f t="shared" si="27"/>
        <v>4005899.1942802533</v>
      </c>
      <c r="CW24" s="42">
        <f t="shared" si="27"/>
        <v>4005899.1942802533</v>
      </c>
      <c r="CX24" s="42">
        <f t="shared" si="27"/>
        <v>4005899.1942802533</v>
      </c>
      <c r="CY24" s="42">
        <f t="shared" si="27"/>
        <v>4106046.6741372584</v>
      </c>
      <c r="CZ24" s="42">
        <f t="shared" si="27"/>
        <v>4106046.6741372584</v>
      </c>
      <c r="DA24" s="42">
        <f t="shared" si="27"/>
        <v>4106046.6741372584</v>
      </c>
      <c r="DB24" s="42">
        <f t="shared" si="27"/>
        <v>4106046.6741372584</v>
      </c>
      <c r="DC24" s="42">
        <f t="shared" si="27"/>
        <v>4106046.6741372584</v>
      </c>
      <c r="DD24" s="42">
        <f t="shared" si="27"/>
        <v>4106046.6741372584</v>
      </c>
      <c r="DE24" s="42">
        <f t="shared" si="27"/>
        <v>4106046.6741372584</v>
      </c>
      <c r="DF24" s="42">
        <f t="shared" si="27"/>
        <v>4106046.6741372584</v>
      </c>
      <c r="DG24" s="42">
        <f t="shared" si="27"/>
        <v>4106046.6741372584</v>
      </c>
      <c r="DH24" s="42">
        <f t="shared" si="27"/>
        <v>4106046.6741372584</v>
      </c>
      <c r="DI24" s="42">
        <f t="shared" si="27"/>
        <v>4106046.6741372584</v>
      </c>
      <c r="DJ24" s="42">
        <f t="shared" si="27"/>
        <v>4106046.6741372584</v>
      </c>
      <c r="DK24" s="42">
        <f t="shared" si="27"/>
        <v>4208697.8409906896</v>
      </c>
      <c r="DL24" s="42">
        <f t="shared" si="27"/>
        <v>4208697.8409906896</v>
      </c>
      <c r="DM24" s="42">
        <f t="shared" si="27"/>
        <v>4208697.8409906896</v>
      </c>
      <c r="DN24" s="42">
        <f t="shared" si="27"/>
        <v>4208697.8409906896</v>
      </c>
      <c r="DO24" s="42">
        <f t="shared" si="27"/>
        <v>4208697.8409906896</v>
      </c>
      <c r="DP24" s="42">
        <f t="shared" si="27"/>
        <v>4208697.8409906896</v>
      </c>
      <c r="DQ24" s="42">
        <f t="shared" si="27"/>
        <v>4208697.8409906896</v>
      </c>
      <c r="DR24" s="42">
        <f t="shared" si="27"/>
        <v>4208697.8409906896</v>
      </c>
      <c r="DS24" s="42">
        <f t="shared" si="27"/>
        <v>4208697.8409906896</v>
      </c>
      <c r="DT24" s="42">
        <f t="shared" si="27"/>
        <v>4208697.8409906896</v>
      </c>
      <c r="DU24" s="42">
        <f t="shared" si="27"/>
        <v>4208697.8409906896</v>
      </c>
      <c r="DV24" s="42">
        <f t="shared" si="27"/>
        <v>4208697.8409906896</v>
      </c>
    </row>
    <row r="25" spans="2:126" outlineLevel="1">
      <c r="B25" s="3" t="str">
        <f>CaseData!A6</f>
        <v>Property A</v>
      </c>
      <c r="C25" s="43">
        <f>CaseData!B6</f>
        <v>791000</v>
      </c>
      <c r="D25" s="44">
        <f>CaseData!C6</f>
        <v>0.05</v>
      </c>
      <c r="E25" s="35" t="s">
        <v>0</v>
      </c>
      <c r="F25" s="35"/>
      <c r="G25" s="36">
        <f t="shared" ref="G25:V29" si="28">$C25*(1-$D25)*G$210</f>
        <v>789022.5</v>
      </c>
      <c r="H25" s="36">
        <f t="shared" si="28"/>
        <v>789022.5</v>
      </c>
      <c r="I25" s="36">
        <f t="shared" si="28"/>
        <v>789022.5</v>
      </c>
      <c r="J25" s="36">
        <f t="shared" si="28"/>
        <v>789022.5</v>
      </c>
      <c r="K25" s="36">
        <f t="shared" si="28"/>
        <v>789022.5</v>
      </c>
      <c r="L25" s="36">
        <f t="shared" si="28"/>
        <v>789022.5</v>
      </c>
      <c r="M25" s="36">
        <f t="shared" si="28"/>
        <v>789022.5</v>
      </c>
      <c r="N25" s="36">
        <f t="shared" si="28"/>
        <v>789022.5</v>
      </c>
      <c r="O25" s="36">
        <f t="shared" si="28"/>
        <v>789022.5</v>
      </c>
      <c r="P25" s="36">
        <f t="shared" si="28"/>
        <v>789022.5</v>
      </c>
      <c r="Q25" s="36">
        <f t="shared" si="28"/>
        <v>789022.5</v>
      </c>
      <c r="R25" s="36">
        <f t="shared" si="28"/>
        <v>789022.5</v>
      </c>
      <c r="S25" s="36">
        <f t="shared" si="28"/>
        <v>824528.51250000007</v>
      </c>
      <c r="T25" s="36">
        <f t="shared" si="28"/>
        <v>824528.51250000007</v>
      </c>
      <c r="U25" s="36">
        <f t="shared" si="28"/>
        <v>824528.51250000007</v>
      </c>
      <c r="V25" s="36">
        <f t="shared" si="28"/>
        <v>824528.51250000007</v>
      </c>
      <c r="W25" s="36">
        <f t="shared" ref="W25:AL29" si="29">$C25*(1-$D25)*W$210</f>
        <v>824528.51250000007</v>
      </c>
      <c r="X25" s="36">
        <f t="shared" si="29"/>
        <v>824528.51250000007</v>
      </c>
      <c r="Y25" s="36">
        <f t="shared" si="29"/>
        <v>824528.51250000007</v>
      </c>
      <c r="Z25" s="36">
        <f t="shared" si="29"/>
        <v>824528.51250000007</v>
      </c>
      <c r="AA25" s="36">
        <f t="shared" si="29"/>
        <v>824528.51250000007</v>
      </c>
      <c r="AB25" s="36">
        <f t="shared" si="29"/>
        <v>824528.51250000007</v>
      </c>
      <c r="AC25" s="36">
        <f t="shared" si="29"/>
        <v>824528.51250000007</v>
      </c>
      <c r="AD25" s="36">
        <f t="shared" si="29"/>
        <v>824528.51250000007</v>
      </c>
      <c r="AE25" s="36">
        <f t="shared" si="29"/>
        <v>857509.65300000005</v>
      </c>
      <c r="AF25" s="36">
        <f t="shared" si="29"/>
        <v>857509.65300000005</v>
      </c>
      <c r="AG25" s="36">
        <f t="shared" si="29"/>
        <v>857509.65300000005</v>
      </c>
      <c r="AH25" s="36">
        <f t="shared" si="29"/>
        <v>857509.65300000005</v>
      </c>
      <c r="AI25" s="36">
        <f t="shared" si="29"/>
        <v>857509.65300000005</v>
      </c>
      <c r="AJ25" s="36">
        <f t="shared" si="29"/>
        <v>857509.65300000005</v>
      </c>
      <c r="AK25" s="36">
        <f t="shared" si="29"/>
        <v>857509.65300000005</v>
      </c>
      <c r="AL25" s="36">
        <f t="shared" si="29"/>
        <v>857509.65300000005</v>
      </c>
      <c r="AM25" s="36">
        <f t="shared" ref="AM25:BB29" si="30">$C25*(1-$D25)*AM$210</f>
        <v>857509.65300000005</v>
      </c>
      <c r="AN25" s="36">
        <f t="shared" si="30"/>
        <v>857509.65300000005</v>
      </c>
      <c r="AO25" s="36">
        <f t="shared" si="30"/>
        <v>857509.65300000005</v>
      </c>
      <c r="AP25" s="36">
        <f t="shared" si="30"/>
        <v>857509.65300000005</v>
      </c>
      <c r="AQ25" s="36">
        <f t="shared" si="30"/>
        <v>887522.49085499987</v>
      </c>
      <c r="AR25" s="36">
        <f t="shared" si="30"/>
        <v>887522.49085499987</v>
      </c>
      <c r="AS25" s="36">
        <f t="shared" si="30"/>
        <v>887522.49085499987</v>
      </c>
      <c r="AT25" s="36">
        <f t="shared" si="30"/>
        <v>887522.49085499987</v>
      </c>
      <c r="AU25" s="36">
        <f t="shared" si="30"/>
        <v>887522.49085499987</v>
      </c>
      <c r="AV25" s="36">
        <f t="shared" si="30"/>
        <v>887522.49085499987</v>
      </c>
      <c r="AW25" s="36">
        <f t="shared" si="30"/>
        <v>887522.49085499987</v>
      </c>
      <c r="AX25" s="36">
        <f t="shared" si="30"/>
        <v>887522.49085499987</v>
      </c>
      <c r="AY25" s="36">
        <f t="shared" si="30"/>
        <v>887522.49085499987</v>
      </c>
      <c r="AZ25" s="36">
        <f t="shared" si="30"/>
        <v>887522.49085499987</v>
      </c>
      <c r="BA25" s="36">
        <f t="shared" si="30"/>
        <v>887522.49085499987</v>
      </c>
      <c r="BB25" s="36">
        <f t="shared" si="30"/>
        <v>887522.49085499987</v>
      </c>
      <c r="BC25" s="36">
        <f t="shared" ref="BC25:BR29" si="31">$C25*(1-$D25)*BC$210</f>
        <v>914148.16558064998</v>
      </c>
      <c r="BD25" s="36">
        <f t="shared" si="31"/>
        <v>914148.16558064998</v>
      </c>
      <c r="BE25" s="36">
        <f t="shared" si="31"/>
        <v>914148.16558064998</v>
      </c>
      <c r="BF25" s="36">
        <f t="shared" si="31"/>
        <v>914148.16558064998</v>
      </c>
      <c r="BG25" s="36">
        <f t="shared" si="31"/>
        <v>914148.16558064998</v>
      </c>
      <c r="BH25" s="36">
        <f t="shared" si="31"/>
        <v>914148.16558064998</v>
      </c>
      <c r="BI25" s="36">
        <f t="shared" si="31"/>
        <v>914148.16558064998</v>
      </c>
      <c r="BJ25" s="36">
        <f t="shared" si="31"/>
        <v>914148.16558064998</v>
      </c>
      <c r="BK25" s="36">
        <f t="shared" si="31"/>
        <v>914148.16558064998</v>
      </c>
      <c r="BL25" s="36">
        <f t="shared" si="31"/>
        <v>914148.16558064998</v>
      </c>
      <c r="BM25" s="36">
        <f t="shared" si="31"/>
        <v>914148.16558064998</v>
      </c>
      <c r="BN25" s="36">
        <f t="shared" si="31"/>
        <v>914148.16558064998</v>
      </c>
      <c r="BO25" s="36">
        <f t="shared" si="31"/>
        <v>937001.86972016608</v>
      </c>
      <c r="BP25" s="36">
        <f t="shared" si="31"/>
        <v>937001.86972016608</v>
      </c>
      <c r="BQ25" s="36">
        <f t="shared" si="31"/>
        <v>937001.86972016608</v>
      </c>
      <c r="BR25" s="36">
        <f t="shared" si="31"/>
        <v>937001.86972016608</v>
      </c>
      <c r="BS25" s="36">
        <f t="shared" ref="BS25:CH29" si="32">$C25*(1-$D25)*BS$210</f>
        <v>937001.86972016608</v>
      </c>
      <c r="BT25" s="36">
        <f t="shared" si="32"/>
        <v>937001.86972016608</v>
      </c>
      <c r="BU25" s="36">
        <f t="shared" si="32"/>
        <v>937001.86972016608</v>
      </c>
      <c r="BV25" s="36">
        <f t="shared" si="32"/>
        <v>937001.86972016608</v>
      </c>
      <c r="BW25" s="36">
        <f t="shared" si="32"/>
        <v>937001.86972016608</v>
      </c>
      <c r="BX25" s="36">
        <f t="shared" si="32"/>
        <v>937001.86972016608</v>
      </c>
      <c r="BY25" s="36">
        <f t="shared" si="32"/>
        <v>937001.86972016608</v>
      </c>
      <c r="BZ25" s="36">
        <f t="shared" si="32"/>
        <v>937001.86972016608</v>
      </c>
      <c r="CA25" s="36">
        <f t="shared" si="32"/>
        <v>960426.9164631702</v>
      </c>
      <c r="CB25" s="36">
        <f t="shared" si="32"/>
        <v>960426.9164631702</v>
      </c>
      <c r="CC25" s="36">
        <f t="shared" si="32"/>
        <v>960426.9164631702</v>
      </c>
      <c r="CD25" s="36">
        <f t="shared" si="32"/>
        <v>960426.9164631702</v>
      </c>
      <c r="CE25" s="36">
        <f t="shared" si="32"/>
        <v>960426.9164631702</v>
      </c>
      <c r="CF25" s="36">
        <f t="shared" si="32"/>
        <v>960426.9164631702</v>
      </c>
      <c r="CG25" s="36">
        <f t="shared" si="32"/>
        <v>960426.9164631702</v>
      </c>
      <c r="CH25" s="36">
        <f t="shared" si="32"/>
        <v>960426.9164631702</v>
      </c>
      <c r="CI25" s="36">
        <f t="shared" ref="CI25:CX29" si="33">$C25*(1-$D25)*CI$210</f>
        <v>960426.9164631702</v>
      </c>
      <c r="CJ25" s="36">
        <f t="shared" si="33"/>
        <v>960426.9164631702</v>
      </c>
      <c r="CK25" s="36">
        <f t="shared" si="33"/>
        <v>960426.9164631702</v>
      </c>
      <c r="CL25" s="36">
        <f t="shared" si="33"/>
        <v>960426.9164631702</v>
      </c>
      <c r="CM25" s="36">
        <f t="shared" si="33"/>
        <v>984437.58937474934</v>
      </c>
      <c r="CN25" s="36">
        <f t="shared" si="33"/>
        <v>984437.58937474934</v>
      </c>
      <c r="CO25" s="36">
        <f t="shared" si="33"/>
        <v>984437.58937474934</v>
      </c>
      <c r="CP25" s="36">
        <f t="shared" si="33"/>
        <v>984437.58937474934</v>
      </c>
      <c r="CQ25" s="36">
        <f t="shared" si="33"/>
        <v>984437.58937474934</v>
      </c>
      <c r="CR25" s="36">
        <f t="shared" si="33"/>
        <v>984437.58937474934</v>
      </c>
      <c r="CS25" s="36">
        <f t="shared" si="33"/>
        <v>984437.58937474934</v>
      </c>
      <c r="CT25" s="36">
        <f t="shared" si="33"/>
        <v>984437.58937474934</v>
      </c>
      <c r="CU25" s="36">
        <f t="shared" si="33"/>
        <v>984437.58937474934</v>
      </c>
      <c r="CV25" s="36">
        <f t="shared" si="33"/>
        <v>984437.58937474934</v>
      </c>
      <c r="CW25" s="36">
        <f t="shared" si="33"/>
        <v>984437.58937474934</v>
      </c>
      <c r="CX25" s="36">
        <f t="shared" si="33"/>
        <v>984437.58937474934</v>
      </c>
      <c r="CY25" s="36">
        <f t="shared" ref="CY25:DN29" si="34">$C25*(1-$D25)*CY$210</f>
        <v>1009048.5291091179</v>
      </c>
      <c r="CZ25" s="36">
        <f t="shared" si="34"/>
        <v>1009048.5291091179</v>
      </c>
      <c r="DA25" s="36">
        <f t="shared" si="34"/>
        <v>1009048.5291091179</v>
      </c>
      <c r="DB25" s="36">
        <f t="shared" si="34"/>
        <v>1009048.5291091179</v>
      </c>
      <c r="DC25" s="36">
        <f t="shared" si="34"/>
        <v>1009048.5291091179</v>
      </c>
      <c r="DD25" s="36">
        <f t="shared" si="34"/>
        <v>1009048.5291091179</v>
      </c>
      <c r="DE25" s="36">
        <f t="shared" si="34"/>
        <v>1009048.5291091179</v>
      </c>
      <c r="DF25" s="36">
        <f t="shared" si="34"/>
        <v>1009048.5291091179</v>
      </c>
      <c r="DG25" s="36">
        <f t="shared" si="34"/>
        <v>1009048.5291091179</v>
      </c>
      <c r="DH25" s="36">
        <f t="shared" si="34"/>
        <v>1009048.5291091179</v>
      </c>
      <c r="DI25" s="36">
        <f t="shared" si="34"/>
        <v>1009048.5291091179</v>
      </c>
      <c r="DJ25" s="36">
        <f t="shared" si="34"/>
        <v>1009048.5291091179</v>
      </c>
      <c r="DK25" s="36">
        <f t="shared" si="34"/>
        <v>1034274.7423368458</v>
      </c>
      <c r="DL25" s="36">
        <f t="shared" si="34"/>
        <v>1034274.7423368458</v>
      </c>
      <c r="DM25" s="36">
        <f t="shared" si="34"/>
        <v>1034274.7423368458</v>
      </c>
      <c r="DN25" s="36">
        <f t="shared" si="34"/>
        <v>1034274.7423368458</v>
      </c>
      <c r="DO25" s="36">
        <f t="shared" ref="DM25:DV29" si="35">$C25*(1-$D25)*DO$210</f>
        <v>1034274.7423368458</v>
      </c>
      <c r="DP25" s="36">
        <f t="shared" si="35"/>
        <v>1034274.7423368458</v>
      </c>
      <c r="DQ25" s="36">
        <f t="shared" si="35"/>
        <v>1034274.7423368458</v>
      </c>
      <c r="DR25" s="36">
        <f t="shared" si="35"/>
        <v>1034274.7423368458</v>
      </c>
      <c r="DS25" s="36">
        <f t="shared" si="35"/>
        <v>1034274.7423368458</v>
      </c>
      <c r="DT25" s="36">
        <f t="shared" si="35"/>
        <v>1034274.7423368458</v>
      </c>
      <c r="DU25" s="36">
        <f t="shared" si="35"/>
        <v>1034274.7423368458</v>
      </c>
      <c r="DV25" s="36">
        <f t="shared" si="35"/>
        <v>1034274.7423368458</v>
      </c>
    </row>
    <row r="26" spans="2:126" outlineLevel="1">
      <c r="B26" s="3" t="str">
        <f>CaseData!A7</f>
        <v>Property B</v>
      </c>
      <c r="C26" s="43">
        <f>CaseData!B7</f>
        <v>448000</v>
      </c>
      <c r="D26" s="44">
        <f>CaseData!C7</f>
        <v>7.0000000000000007E-2</v>
      </c>
      <c r="E26" s="35" t="s">
        <v>0</v>
      </c>
      <c r="F26" s="35"/>
      <c r="G26" s="36">
        <f t="shared" si="28"/>
        <v>437472</v>
      </c>
      <c r="H26" s="36">
        <f t="shared" si="28"/>
        <v>437472</v>
      </c>
      <c r="I26" s="36">
        <f t="shared" si="28"/>
        <v>437472</v>
      </c>
      <c r="J26" s="36">
        <f t="shared" si="28"/>
        <v>437472</v>
      </c>
      <c r="K26" s="36">
        <f t="shared" si="28"/>
        <v>437472</v>
      </c>
      <c r="L26" s="36">
        <f t="shared" si="28"/>
        <v>437472</v>
      </c>
      <c r="M26" s="36">
        <f t="shared" si="28"/>
        <v>437472</v>
      </c>
      <c r="N26" s="36">
        <f t="shared" si="28"/>
        <v>437472</v>
      </c>
      <c r="O26" s="36">
        <f t="shared" si="28"/>
        <v>437472</v>
      </c>
      <c r="P26" s="36">
        <f t="shared" si="28"/>
        <v>437472</v>
      </c>
      <c r="Q26" s="36">
        <f t="shared" si="28"/>
        <v>437472</v>
      </c>
      <c r="R26" s="36">
        <f t="shared" si="28"/>
        <v>437472</v>
      </c>
      <c r="S26" s="36">
        <f t="shared" si="28"/>
        <v>457158.24000000005</v>
      </c>
      <c r="T26" s="36">
        <f t="shared" si="28"/>
        <v>457158.24000000005</v>
      </c>
      <c r="U26" s="36">
        <f t="shared" si="28"/>
        <v>457158.24000000005</v>
      </c>
      <c r="V26" s="36">
        <f t="shared" si="28"/>
        <v>457158.24000000005</v>
      </c>
      <c r="W26" s="36">
        <f t="shared" si="29"/>
        <v>457158.24000000005</v>
      </c>
      <c r="X26" s="36">
        <f t="shared" si="29"/>
        <v>457158.24000000005</v>
      </c>
      <c r="Y26" s="36">
        <f t="shared" si="29"/>
        <v>457158.24000000005</v>
      </c>
      <c r="Z26" s="36">
        <f t="shared" si="29"/>
        <v>457158.24000000005</v>
      </c>
      <c r="AA26" s="36">
        <f t="shared" si="29"/>
        <v>457158.24000000005</v>
      </c>
      <c r="AB26" s="36">
        <f t="shared" si="29"/>
        <v>457158.24000000005</v>
      </c>
      <c r="AC26" s="36">
        <f t="shared" si="29"/>
        <v>457158.24000000005</v>
      </c>
      <c r="AD26" s="36">
        <f t="shared" si="29"/>
        <v>457158.24000000005</v>
      </c>
      <c r="AE26" s="36">
        <f t="shared" si="29"/>
        <v>475444.56960000005</v>
      </c>
      <c r="AF26" s="36">
        <f t="shared" si="29"/>
        <v>475444.56960000005</v>
      </c>
      <c r="AG26" s="36">
        <f t="shared" si="29"/>
        <v>475444.56960000005</v>
      </c>
      <c r="AH26" s="36">
        <f t="shared" si="29"/>
        <v>475444.56960000005</v>
      </c>
      <c r="AI26" s="36">
        <f t="shared" si="29"/>
        <v>475444.56960000005</v>
      </c>
      <c r="AJ26" s="36">
        <f t="shared" si="29"/>
        <v>475444.56960000005</v>
      </c>
      <c r="AK26" s="36">
        <f t="shared" si="29"/>
        <v>475444.56960000005</v>
      </c>
      <c r="AL26" s="36">
        <f t="shared" si="29"/>
        <v>475444.56960000005</v>
      </c>
      <c r="AM26" s="36">
        <f t="shared" si="30"/>
        <v>475444.56960000005</v>
      </c>
      <c r="AN26" s="36">
        <f t="shared" si="30"/>
        <v>475444.56960000005</v>
      </c>
      <c r="AO26" s="36">
        <f t="shared" si="30"/>
        <v>475444.56960000005</v>
      </c>
      <c r="AP26" s="36">
        <f t="shared" si="30"/>
        <v>475444.56960000005</v>
      </c>
      <c r="AQ26" s="36">
        <f t="shared" si="30"/>
        <v>492085.12953599996</v>
      </c>
      <c r="AR26" s="36">
        <f t="shared" si="30"/>
        <v>492085.12953599996</v>
      </c>
      <c r="AS26" s="36">
        <f t="shared" si="30"/>
        <v>492085.12953599996</v>
      </c>
      <c r="AT26" s="36">
        <f t="shared" si="30"/>
        <v>492085.12953599996</v>
      </c>
      <c r="AU26" s="36">
        <f t="shared" si="30"/>
        <v>492085.12953599996</v>
      </c>
      <c r="AV26" s="36">
        <f t="shared" si="30"/>
        <v>492085.12953599996</v>
      </c>
      <c r="AW26" s="36">
        <f t="shared" si="30"/>
        <v>492085.12953599996</v>
      </c>
      <c r="AX26" s="36">
        <f t="shared" si="30"/>
        <v>492085.12953599996</v>
      </c>
      <c r="AY26" s="36">
        <f t="shared" si="30"/>
        <v>492085.12953599996</v>
      </c>
      <c r="AZ26" s="36">
        <f t="shared" si="30"/>
        <v>492085.12953599996</v>
      </c>
      <c r="BA26" s="36">
        <f t="shared" si="30"/>
        <v>492085.12953599996</v>
      </c>
      <c r="BB26" s="36">
        <f t="shared" si="30"/>
        <v>492085.12953599996</v>
      </c>
      <c r="BC26" s="36">
        <f t="shared" si="31"/>
        <v>506847.68342208001</v>
      </c>
      <c r="BD26" s="36">
        <f t="shared" si="31"/>
        <v>506847.68342208001</v>
      </c>
      <c r="BE26" s="36">
        <f t="shared" si="31"/>
        <v>506847.68342208001</v>
      </c>
      <c r="BF26" s="36">
        <f t="shared" si="31"/>
        <v>506847.68342208001</v>
      </c>
      <c r="BG26" s="36">
        <f t="shared" si="31"/>
        <v>506847.68342208001</v>
      </c>
      <c r="BH26" s="36">
        <f t="shared" si="31"/>
        <v>506847.68342208001</v>
      </c>
      <c r="BI26" s="36">
        <f t="shared" si="31"/>
        <v>506847.68342208001</v>
      </c>
      <c r="BJ26" s="36">
        <f t="shared" si="31"/>
        <v>506847.68342208001</v>
      </c>
      <c r="BK26" s="36">
        <f t="shared" si="31"/>
        <v>506847.68342208001</v>
      </c>
      <c r="BL26" s="36">
        <f t="shared" si="31"/>
        <v>506847.68342208001</v>
      </c>
      <c r="BM26" s="36">
        <f t="shared" si="31"/>
        <v>506847.68342208001</v>
      </c>
      <c r="BN26" s="36">
        <f t="shared" si="31"/>
        <v>506847.68342208001</v>
      </c>
      <c r="BO26" s="36">
        <f t="shared" si="31"/>
        <v>519518.87550763192</v>
      </c>
      <c r="BP26" s="36">
        <f t="shared" si="31"/>
        <v>519518.87550763192</v>
      </c>
      <c r="BQ26" s="36">
        <f t="shared" si="31"/>
        <v>519518.87550763192</v>
      </c>
      <c r="BR26" s="36">
        <f t="shared" si="31"/>
        <v>519518.87550763192</v>
      </c>
      <c r="BS26" s="36">
        <f t="shared" si="32"/>
        <v>519518.87550763192</v>
      </c>
      <c r="BT26" s="36">
        <f t="shared" si="32"/>
        <v>519518.87550763192</v>
      </c>
      <c r="BU26" s="36">
        <f t="shared" si="32"/>
        <v>519518.87550763192</v>
      </c>
      <c r="BV26" s="36">
        <f t="shared" si="32"/>
        <v>519518.87550763192</v>
      </c>
      <c r="BW26" s="36">
        <f t="shared" si="32"/>
        <v>519518.87550763192</v>
      </c>
      <c r="BX26" s="36">
        <f t="shared" si="32"/>
        <v>519518.87550763192</v>
      </c>
      <c r="BY26" s="36">
        <f t="shared" si="32"/>
        <v>519518.87550763192</v>
      </c>
      <c r="BZ26" s="36">
        <f t="shared" si="32"/>
        <v>519518.87550763192</v>
      </c>
      <c r="CA26" s="36">
        <f t="shared" si="32"/>
        <v>532506.84739532263</v>
      </c>
      <c r="CB26" s="36">
        <f t="shared" si="32"/>
        <v>532506.84739532263</v>
      </c>
      <c r="CC26" s="36">
        <f t="shared" si="32"/>
        <v>532506.84739532263</v>
      </c>
      <c r="CD26" s="36">
        <f t="shared" si="32"/>
        <v>532506.84739532263</v>
      </c>
      <c r="CE26" s="36">
        <f t="shared" si="32"/>
        <v>532506.84739532263</v>
      </c>
      <c r="CF26" s="36">
        <f t="shared" si="32"/>
        <v>532506.84739532263</v>
      </c>
      <c r="CG26" s="36">
        <f t="shared" si="32"/>
        <v>532506.84739532263</v>
      </c>
      <c r="CH26" s="36">
        <f t="shared" si="32"/>
        <v>532506.84739532263</v>
      </c>
      <c r="CI26" s="36">
        <f t="shared" si="33"/>
        <v>532506.84739532263</v>
      </c>
      <c r="CJ26" s="36">
        <f t="shared" si="33"/>
        <v>532506.84739532263</v>
      </c>
      <c r="CK26" s="36">
        <f t="shared" si="33"/>
        <v>532506.84739532263</v>
      </c>
      <c r="CL26" s="36">
        <f t="shared" si="33"/>
        <v>532506.84739532263</v>
      </c>
      <c r="CM26" s="36">
        <f t="shared" si="33"/>
        <v>545819.51858020574</v>
      </c>
      <c r="CN26" s="36">
        <f t="shared" si="33"/>
        <v>545819.51858020574</v>
      </c>
      <c r="CO26" s="36">
        <f t="shared" si="33"/>
        <v>545819.51858020574</v>
      </c>
      <c r="CP26" s="36">
        <f t="shared" si="33"/>
        <v>545819.51858020574</v>
      </c>
      <c r="CQ26" s="36">
        <f t="shared" si="33"/>
        <v>545819.51858020574</v>
      </c>
      <c r="CR26" s="36">
        <f t="shared" si="33"/>
        <v>545819.51858020574</v>
      </c>
      <c r="CS26" s="36">
        <f t="shared" si="33"/>
        <v>545819.51858020574</v>
      </c>
      <c r="CT26" s="36">
        <f t="shared" si="33"/>
        <v>545819.51858020574</v>
      </c>
      <c r="CU26" s="36">
        <f t="shared" si="33"/>
        <v>545819.51858020574</v>
      </c>
      <c r="CV26" s="36">
        <f t="shared" si="33"/>
        <v>545819.51858020574</v>
      </c>
      <c r="CW26" s="36">
        <f t="shared" si="33"/>
        <v>545819.51858020574</v>
      </c>
      <c r="CX26" s="36">
        <f t="shared" si="33"/>
        <v>545819.51858020574</v>
      </c>
      <c r="CY26" s="36">
        <f t="shared" si="34"/>
        <v>559465.00654471084</v>
      </c>
      <c r="CZ26" s="36">
        <f t="shared" si="34"/>
        <v>559465.00654471084</v>
      </c>
      <c r="DA26" s="36">
        <f t="shared" si="34"/>
        <v>559465.00654471084</v>
      </c>
      <c r="DB26" s="36">
        <f t="shared" si="34"/>
        <v>559465.00654471084</v>
      </c>
      <c r="DC26" s="36">
        <f t="shared" si="34"/>
        <v>559465.00654471084</v>
      </c>
      <c r="DD26" s="36">
        <f t="shared" si="34"/>
        <v>559465.00654471084</v>
      </c>
      <c r="DE26" s="36">
        <f t="shared" si="34"/>
        <v>559465.00654471084</v>
      </c>
      <c r="DF26" s="36">
        <f t="shared" si="34"/>
        <v>559465.00654471084</v>
      </c>
      <c r="DG26" s="36">
        <f t="shared" si="34"/>
        <v>559465.00654471084</v>
      </c>
      <c r="DH26" s="36">
        <f t="shared" si="34"/>
        <v>559465.00654471084</v>
      </c>
      <c r="DI26" s="36">
        <f t="shared" si="34"/>
        <v>559465.00654471084</v>
      </c>
      <c r="DJ26" s="36">
        <f t="shared" si="34"/>
        <v>559465.00654471084</v>
      </c>
      <c r="DK26" s="36">
        <f t="shared" si="34"/>
        <v>573451.6317083285</v>
      </c>
      <c r="DL26" s="36">
        <f t="shared" si="34"/>
        <v>573451.6317083285</v>
      </c>
      <c r="DM26" s="36">
        <f t="shared" si="35"/>
        <v>573451.6317083285</v>
      </c>
      <c r="DN26" s="36">
        <f t="shared" si="35"/>
        <v>573451.6317083285</v>
      </c>
      <c r="DO26" s="36">
        <f t="shared" si="35"/>
        <v>573451.6317083285</v>
      </c>
      <c r="DP26" s="36">
        <f t="shared" si="35"/>
        <v>573451.6317083285</v>
      </c>
      <c r="DQ26" s="36">
        <f t="shared" si="35"/>
        <v>573451.6317083285</v>
      </c>
      <c r="DR26" s="36">
        <f t="shared" si="35"/>
        <v>573451.6317083285</v>
      </c>
      <c r="DS26" s="36">
        <f t="shared" si="35"/>
        <v>573451.6317083285</v>
      </c>
      <c r="DT26" s="36">
        <f t="shared" si="35"/>
        <v>573451.6317083285</v>
      </c>
      <c r="DU26" s="36">
        <f t="shared" si="35"/>
        <v>573451.6317083285</v>
      </c>
      <c r="DV26" s="36">
        <f t="shared" si="35"/>
        <v>573451.6317083285</v>
      </c>
    </row>
    <row r="27" spans="2:126" outlineLevel="1">
      <c r="B27" s="3" t="str">
        <f>CaseData!A8</f>
        <v>Property C</v>
      </c>
      <c r="C27" s="43">
        <f>CaseData!B8</f>
        <v>686000</v>
      </c>
      <c r="D27" s="44">
        <f>CaseData!C8</f>
        <v>0.06</v>
      </c>
      <c r="E27" s="35" t="s">
        <v>0</v>
      </c>
      <c r="F27" s="35"/>
      <c r="G27" s="36">
        <f t="shared" si="28"/>
        <v>677082</v>
      </c>
      <c r="H27" s="36">
        <f t="shared" si="28"/>
        <v>677082</v>
      </c>
      <c r="I27" s="36">
        <f t="shared" si="28"/>
        <v>677082</v>
      </c>
      <c r="J27" s="36">
        <f t="shared" si="28"/>
        <v>677082</v>
      </c>
      <c r="K27" s="36">
        <f t="shared" si="28"/>
        <v>677082</v>
      </c>
      <c r="L27" s="36">
        <f t="shared" si="28"/>
        <v>677082</v>
      </c>
      <c r="M27" s="36">
        <f t="shared" si="28"/>
        <v>677082</v>
      </c>
      <c r="N27" s="36">
        <f t="shared" si="28"/>
        <v>677082</v>
      </c>
      <c r="O27" s="36">
        <f t="shared" si="28"/>
        <v>677082</v>
      </c>
      <c r="P27" s="36">
        <f t="shared" si="28"/>
        <v>677082</v>
      </c>
      <c r="Q27" s="36">
        <f t="shared" si="28"/>
        <v>677082</v>
      </c>
      <c r="R27" s="36">
        <f t="shared" si="28"/>
        <v>677082</v>
      </c>
      <c r="S27" s="36">
        <f t="shared" si="28"/>
        <v>707550.69000000006</v>
      </c>
      <c r="T27" s="36">
        <f t="shared" si="28"/>
        <v>707550.69000000006</v>
      </c>
      <c r="U27" s="36">
        <f t="shared" si="28"/>
        <v>707550.69000000006</v>
      </c>
      <c r="V27" s="36">
        <f t="shared" si="28"/>
        <v>707550.69000000006</v>
      </c>
      <c r="W27" s="36">
        <f t="shared" si="29"/>
        <v>707550.69000000006</v>
      </c>
      <c r="X27" s="36">
        <f t="shared" si="29"/>
        <v>707550.69000000006</v>
      </c>
      <c r="Y27" s="36">
        <f t="shared" si="29"/>
        <v>707550.69000000006</v>
      </c>
      <c r="Z27" s="36">
        <f t="shared" si="29"/>
        <v>707550.69000000006</v>
      </c>
      <c r="AA27" s="36">
        <f t="shared" si="29"/>
        <v>707550.69000000006</v>
      </c>
      <c r="AB27" s="36">
        <f t="shared" si="29"/>
        <v>707550.69000000006</v>
      </c>
      <c r="AC27" s="36">
        <f t="shared" si="29"/>
        <v>707550.69000000006</v>
      </c>
      <c r="AD27" s="36">
        <f t="shared" si="29"/>
        <v>707550.69000000006</v>
      </c>
      <c r="AE27" s="36">
        <f t="shared" si="29"/>
        <v>735852.71759999997</v>
      </c>
      <c r="AF27" s="36">
        <f t="shared" si="29"/>
        <v>735852.71759999997</v>
      </c>
      <c r="AG27" s="36">
        <f t="shared" si="29"/>
        <v>735852.71759999997</v>
      </c>
      <c r="AH27" s="36">
        <f t="shared" si="29"/>
        <v>735852.71759999997</v>
      </c>
      <c r="AI27" s="36">
        <f t="shared" si="29"/>
        <v>735852.71759999997</v>
      </c>
      <c r="AJ27" s="36">
        <f t="shared" si="29"/>
        <v>735852.71759999997</v>
      </c>
      <c r="AK27" s="36">
        <f t="shared" si="29"/>
        <v>735852.71759999997</v>
      </c>
      <c r="AL27" s="36">
        <f t="shared" si="29"/>
        <v>735852.71759999997</v>
      </c>
      <c r="AM27" s="36">
        <f t="shared" si="30"/>
        <v>735852.71759999997</v>
      </c>
      <c r="AN27" s="36">
        <f t="shared" si="30"/>
        <v>735852.71759999997</v>
      </c>
      <c r="AO27" s="36">
        <f t="shared" si="30"/>
        <v>735852.71759999997</v>
      </c>
      <c r="AP27" s="36">
        <f t="shared" si="30"/>
        <v>735852.71759999997</v>
      </c>
      <c r="AQ27" s="36">
        <f t="shared" si="30"/>
        <v>761607.5627159999</v>
      </c>
      <c r="AR27" s="36">
        <f t="shared" si="30"/>
        <v>761607.5627159999</v>
      </c>
      <c r="AS27" s="36">
        <f t="shared" si="30"/>
        <v>761607.5627159999</v>
      </c>
      <c r="AT27" s="36">
        <f t="shared" si="30"/>
        <v>761607.5627159999</v>
      </c>
      <c r="AU27" s="36">
        <f t="shared" si="30"/>
        <v>761607.5627159999</v>
      </c>
      <c r="AV27" s="36">
        <f t="shared" si="30"/>
        <v>761607.5627159999</v>
      </c>
      <c r="AW27" s="36">
        <f t="shared" si="30"/>
        <v>761607.5627159999</v>
      </c>
      <c r="AX27" s="36">
        <f t="shared" si="30"/>
        <v>761607.5627159999</v>
      </c>
      <c r="AY27" s="36">
        <f t="shared" si="30"/>
        <v>761607.5627159999</v>
      </c>
      <c r="AZ27" s="36">
        <f t="shared" si="30"/>
        <v>761607.5627159999</v>
      </c>
      <c r="BA27" s="36">
        <f t="shared" si="30"/>
        <v>761607.5627159999</v>
      </c>
      <c r="BB27" s="36">
        <f t="shared" si="30"/>
        <v>761607.5627159999</v>
      </c>
      <c r="BC27" s="36">
        <f t="shared" si="31"/>
        <v>784455.78959747998</v>
      </c>
      <c r="BD27" s="36">
        <f t="shared" si="31"/>
        <v>784455.78959747998</v>
      </c>
      <c r="BE27" s="36">
        <f t="shared" si="31"/>
        <v>784455.78959747998</v>
      </c>
      <c r="BF27" s="36">
        <f t="shared" si="31"/>
        <v>784455.78959747998</v>
      </c>
      <c r="BG27" s="36">
        <f t="shared" si="31"/>
        <v>784455.78959747998</v>
      </c>
      <c r="BH27" s="36">
        <f t="shared" si="31"/>
        <v>784455.78959747998</v>
      </c>
      <c r="BI27" s="36">
        <f t="shared" si="31"/>
        <v>784455.78959747998</v>
      </c>
      <c r="BJ27" s="36">
        <f t="shared" si="31"/>
        <v>784455.78959747998</v>
      </c>
      <c r="BK27" s="36">
        <f t="shared" si="31"/>
        <v>784455.78959747998</v>
      </c>
      <c r="BL27" s="36">
        <f t="shared" si="31"/>
        <v>784455.78959747998</v>
      </c>
      <c r="BM27" s="36">
        <f t="shared" si="31"/>
        <v>784455.78959747998</v>
      </c>
      <c r="BN27" s="36">
        <f t="shared" si="31"/>
        <v>784455.78959747998</v>
      </c>
      <c r="BO27" s="36">
        <f t="shared" si="31"/>
        <v>804067.1843374169</v>
      </c>
      <c r="BP27" s="36">
        <f t="shared" si="31"/>
        <v>804067.1843374169</v>
      </c>
      <c r="BQ27" s="36">
        <f t="shared" si="31"/>
        <v>804067.1843374169</v>
      </c>
      <c r="BR27" s="36">
        <f t="shared" si="31"/>
        <v>804067.1843374169</v>
      </c>
      <c r="BS27" s="36">
        <f t="shared" si="32"/>
        <v>804067.1843374169</v>
      </c>
      <c r="BT27" s="36">
        <f t="shared" si="32"/>
        <v>804067.1843374169</v>
      </c>
      <c r="BU27" s="36">
        <f t="shared" si="32"/>
        <v>804067.1843374169</v>
      </c>
      <c r="BV27" s="36">
        <f t="shared" si="32"/>
        <v>804067.1843374169</v>
      </c>
      <c r="BW27" s="36">
        <f t="shared" si="32"/>
        <v>804067.1843374169</v>
      </c>
      <c r="BX27" s="36">
        <f t="shared" si="32"/>
        <v>804067.1843374169</v>
      </c>
      <c r="BY27" s="36">
        <f t="shared" si="32"/>
        <v>804067.1843374169</v>
      </c>
      <c r="BZ27" s="36">
        <f t="shared" si="32"/>
        <v>804067.1843374169</v>
      </c>
      <c r="CA27" s="36">
        <f t="shared" si="32"/>
        <v>824168.86394585227</v>
      </c>
      <c r="CB27" s="36">
        <f t="shared" si="32"/>
        <v>824168.86394585227</v>
      </c>
      <c r="CC27" s="36">
        <f t="shared" si="32"/>
        <v>824168.86394585227</v>
      </c>
      <c r="CD27" s="36">
        <f t="shared" si="32"/>
        <v>824168.86394585227</v>
      </c>
      <c r="CE27" s="36">
        <f t="shared" si="32"/>
        <v>824168.86394585227</v>
      </c>
      <c r="CF27" s="36">
        <f t="shared" si="32"/>
        <v>824168.86394585227</v>
      </c>
      <c r="CG27" s="36">
        <f t="shared" si="32"/>
        <v>824168.86394585227</v>
      </c>
      <c r="CH27" s="36">
        <f t="shared" si="32"/>
        <v>824168.86394585227</v>
      </c>
      <c r="CI27" s="36">
        <f t="shared" si="33"/>
        <v>824168.86394585227</v>
      </c>
      <c r="CJ27" s="36">
        <f t="shared" si="33"/>
        <v>824168.86394585227</v>
      </c>
      <c r="CK27" s="36">
        <f t="shared" si="33"/>
        <v>824168.86394585227</v>
      </c>
      <c r="CL27" s="36">
        <f t="shared" si="33"/>
        <v>824168.86394585227</v>
      </c>
      <c r="CM27" s="36">
        <f t="shared" si="33"/>
        <v>844773.08554449852</v>
      </c>
      <c r="CN27" s="36">
        <f t="shared" si="33"/>
        <v>844773.08554449852</v>
      </c>
      <c r="CO27" s="36">
        <f t="shared" si="33"/>
        <v>844773.08554449852</v>
      </c>
      <c r="CP27" s="36">
        <f t="shared" si="33"/>
        <v>844773.08554449852</v>
      </c>
      <c r="CQ27" s="36">
        <f t="shared" si="33"/>
        <v>844773.08554449852</v>
      </c>
      <c r="CR27" s="36">
        <f t="shared" si="33"/>
        <v>844773.08554449852</v>
      </c>
      <c r="CS27" s="36">
        <f t="shared" si="33"/>
        <v>844773.08554449852</v>
      </c>
      <c r="CT27" s="36">
        <f t="shared" si="33"/>
        <v>844773.08554449852</v>
      </c>
      <c r="CU27" s="36">
        <f t="shared" si="33"/>
        <v>844773.08554449852</v>
      </c>
      <c r="CV27" s="36">
        <f t="shared" si="33"/>
        <v>844773.08554449852</v>
      </c>
      <c r="CW27" s="36">
        <f t="shared" si="33"/>
        <v>844773.08554449852</v>
      </c>
      <c r="CX27" s="36">
        <f t="shared" si="33"/>
        <v>844773.08554449852</v>
      </c>
      <c r="CY27" s="36">
        <f t="shared" si="34"/>
        <v>865892.4126831108</v>
      </c>
      <c r="CZ27" s="36">
        <f t="shared" si="34"/>
        <v>865892.4126831108</v>
      </c>
      <c r="DA27" s="36">
        <f t="shared" si="34"/>
        <v>865892.4126831108</v>
      </c>
      <c r="DB27" s="36">
        <f t="shared" si="34"/>
        <v>865892.4126831108</v>
      </c>
      <c r="DC27" s="36">
        <f t="shared" si="34"/>
        <v>865892.4126831108</v>
      </c>
      <c r="DD27" s="36">
        <f t="shared" si="34"/>
        <v>865892.4126831108</v>
      </c>
      <c r="DE27" s="36">
        <f t="shared" si="34"/>
        <v>865892.4126831108</v>
      </c>
      <c r="DF27" s="36">
        <f t="shared" si="34"/>
        <v>865892.4126831108</v>
      </c>
      <c r="DG27" s="36">
        <f t="shared" si="34"/>
        <v>865892.4126831108</v>
      </c>
      <c r="DH27" s="36">
        <f t="shared" si="34"/>
        <v>865892.4126831108</v>
      </c>
      <c r="DI27" s="36">
        <f t="shared" si="34"/>
        <v>865892.4126831108</v>
      </c>
      <c r="DJ27" s="36">
        <f t="shared" si="34"/>
        <v>865892.4126831108</v>
      </c>
      <c r="DK27" s="36">
        <f t="shared" si="34"/>
        <v>887539.72300018859</v>
      </c>
      <c r="DL27" s="36">
        <f t="shared" si="34"/>
        <v>887539.72300018859</v>
      </c>
      <c r="DM27" s="36">
        <f t="shared" si="35"/>
        <v>887539.72300018859</v>
      </c>
      <c r="DN27" s="36">
        <f t="shared" si="35"/>
        <v>887539.72300018859</v>
      </c>
      <c r="DO27" s="36">
        <f t="shared" si="35"/>
        <v>887539.72300018859</v>
      </c>
      <c r="DP27" s="36">
        <f t="shared" si="35"/>
        <v>887539.72300018859</v>
      </c>
      <c r="DQ27" s="36">
        <f t="shared" si="35"/>
        <v>887539.72300018859</v>
      </c>
      <c r="DR27" s="36">
        <f t="shared" si="35"/>
        <v>887539.72300018859</v>
      </c>
      <c r="DS27" s="36">
        <f t="shared" si="35"/>
        <v>887539.72300018859</v>
      </c>
      <c r="DT27" s="36">
        <f t="shared" si="35"/>
        <v>887539.72300018859</v>
      </c>
      <c r="DU27" s="36">
        <f t="shared" si="35"/>
        <v>887539.72300018859</v>
      </c>
      <c r="DV27" s="36">
        <f t="shared" si="35"/>
        <v>887539.72300018859</v>
      </c>
    </row>
    <row r="28" spans="2:126" outlineLevel="1">
      <c r="B28" s="3" t="str">
        <f>CaseData!A9</f>
        <v>Property D</v>
      </c>
      <c r="C28" s="43">
        <f>CaseData!B9</f>
        <v>738000</v>
      </c>
      <c r="D28" s="44">
        <f>CaseData!C9</f>
        <v>0.04</v>
      </c>
      <c r="E28" s="35" t="s">
        <v>0</v>
      </c>
      <c r="F28" s="35"/>
      <c r="G28" s="36">
        <f t="shared" si="28"/>
        <v>743904</v>
      </c>
      <c r="H28" s="36">
        <f t="shared" si="28"/>
        <v>743904</v>
      </c>
      <c r="I28" s="36">
        <f t="shared" si="28"/>
        <v>743904</v>
      </c>
      <c r="J28" s="36">
        <f t="shared" si="28"/>
        <v>743904</v>
      </c>
      <c r="K28" s="36">
        <f t="shared" si="28"/>
        <v>743904</v>
      </c>
      <c r="L28" s="36">
        <f t="shared" si="28"/>
        <v>743904</v>
      </c>
      <c r="M28" s="36">
        <f t="shared" si="28"/>
        <v>743904</v>
      </c>
      <c r="N28" s="36">
        <f t="shared" si="28"/>
        <v>743904</v>
      </c>
      <c r="O28" s="36">
        <f t="shared" si="28"/>
        <v>743904</v>
      </c>
      <c r="P28" s="36">
        <f t="shared" si="28"/>
        <v>743904</v>
      </c>
      <c r="Q28" s="36">
        <f t="shared" si="28"/>
        <v>743904</v>
      </c>
      <c r="R28" s="36">
        <f t="shared" si="28"/>
        <v>743904</v>
      </c>
      <c r="S28" s="36">
        <f t="shared" si="28"/>
        <v>777379.68</v>
      </c>
      <c r="T28" s="36">
        <f t="shared" si="28"/>
        <v>777379.68</v>
      </c>
      <c r="U28" s="36">
        <f t="shared" si="28"/>
        <v>777379.68</v>
      </c>
      <c r="V28" s="36">
        <f t="shared" si="28"/>
        <v>777379.68</v>
      </c>
      <c r="W28" s="36">
        <f t="shared" si="29"/>
        <v>777379.68</v>
      </c>
      <c r="X28" s="36">
        <f t="shared" si="29"/>
        <v>777379.68</v>
      </c>
      <c r="Y28" s="36">
        <f t="shared" si="29"/>
        <v>777379.68</v>
      </c>
      <c r="Z28" s="36">
        <f t="shared" si="29"/>
        <v>777379.68</v>
      </c>
      <c r="AA28" s="36">
        <f t="shared" si="29"/>
        <v>777379.68</v>
      </c>
      <c r="AB28" s="36">
        <f t="shared" si="29"/>
        <v>777379.68</v>
      </c>
      <c r="AC28" s="36">
        <f t="shared" si="29"/>
        <v>777379.68</v>
      </c>
      <c r="AD28" s="36">
        <f t="shared" si="29"/>
        <v>777379.68</v>
      </c>
      <c r="AE28" s="36">
        <f t="shared" si="29"/>
        <v>808474.86719999998</v>
      </c>
      <c r="AF28" s="36">
        <f t="shared" si="29"/>
        <v>808474.86719999998</v>
      </c>
      <c r="AG28" s="36">
        <f t="shared" si="29"/>
        <v>808474.86719999998</v>
      </c>
      <c r="AH28" s="36">
        <f t="shared" si="29"/>
        <v>808474.86719999998</v>
      </c>
      <c r="AI28" s="36">
        <f t="shared" si="29"/>
        <v>808474.86719999998</v>
      </c>
      <c r="AJ28" s="36">
        <f t="shared" si="29"/>
        <v>808474.86719999998</v>
      </c>
      <c r="AK28" s="36">
        <f t="shared" si="29"/>
        <v>808474.86719999998</v>
      </c>
      <c r="AL28" s="36">
        <f t="shared" si="29"/>
        <v>808474.86719999998</v>
      </c>
      <c r="AM28" s="36">
        <f t="shared" si="30"/>
        <v>808474.86719999998</v>
      </c>
      <c r="AN28" s="36">
        <f t="shared" si="30"/>
        <v>808474.86719999998</v>
      </c>
      <c r="AO28" s="36">
        <f t="shared" si="30"/>
        <v>808474.86719999998</v>
      </c>
      <c r="AP28" s="36">
        <f t="shared" si="30"/>
        <v>808474.86719999998</v>
      </c>
      <c r="AQ28" s="36">
        <f t="shared" si="30"/>
        <v>836771.48755199986</v>
      </c>
      <c r="AR28" s="36">
        <f t="shared" si="30"/>
        <v>836771.48755199986</v>
      </c>
      <c r="AS28" s="36">
        <f t="shared" si="30"/>
        <v>836771.48755199986</v>
      </c>
      <c r="AT28" s="36">
        <f t="shared" si="30"/>
        <v>836771.48755199986</v>
      </c>
      <c r="AU28" s="36">
        <f t="shared" si="30"/>
        <v>836771.48755199986</v>
      </c>
      <c r="AV28" s="36">
        <f t="shared" si="30"/>
        <v>836771.48755199986</v>
      </c>
      <c r="AW28" s="36">
        <f t="shared" si="30"/>
        <v>836771.48755199986</v>
      </c>
      <c r="AX28" s="36">
        <f t="shared" si="30"/>
        <v>836771.48755199986</v>
      </c>
      <c r="AY28" s="36">
        <f t="shared" si="30"/>
        <v>836771.48755199986</v>
      </c>
      <c r="AZ28" s="36">
        <f t="shared" si="30"/>
        <v>836771.48755199986</v>
      </c>
      <c r="BA28" s="36">
        <f t="shared" si="30"/>
        <v>836771.48755199986</v>
      </c>
      <c r="BB28" s="36">
        <f t="shared" si="30"/>
        <v>836771.48755199986</v>
      </c>
      <c r="BC28" s="36">
        <f t="shared" si="31"/>
        <v>861874.63217856002</v>
      </c>
      <c r="BD28" s="36">
        <f t="shared" si="31"/>
        <v>861874.63217856002</v>
      </c>
      <c r="BE28" s="36">
        <f t="shared" si="31"/>
        <v>861874.63217856002</v>
      </c>
      <c r="BF28" s="36">
        <f t="shared" si="31"/>
        <v>861874.63217856002</v>
      </c>
      <c r="BG28" s="36">
        <f t="shared" si="31"/>
        <v>861874.63217856002</v>
      </c>
      <c r="BH28" s="36">
        <f t="shared" si="31"/>
        <v>861874.63217856002</v>
      </c>
      <c r="BI28" s="36">
        <f t="shared" si="31"/>
        <v>861874.63217856002</v>
      </c>
      <c r="BJ28" s="36">
        <f t="shared" si="31"/>
        <v>861874.63217856002</v>
      </c>
      <c r="BK28" s="36">
        <f t="shared" si="31"/>
        <v>861874.63217856002</v>
      </c>
      <c r="BL28" s="36">
        <f t="shared" si="31"/>
        <v>861874.63217856002</v>
      </c>
      <c r="BM28" s="36">
        <f t="shared" si="31"/>
        <v>861874.63217856002</v>
      </c>
      <c r="BN28" s="36">
        <f t="shared" si="31"/>
        <v>861874.63217856002</v>
      </c>
      <c r="BO28" s="36">
        <f t="shared" si="31"/>
        <v>883421.49798302387</v>
      </c>
      <c r="BP28" s="36">
        <f t="shared" si="31"/>
        <v>883421.49798302387</v>
      </c>
      <c r="BQ28" s="36">
        <f t="shared" si="31"/>
        <v>883421.49798302387</v>
      </c>
      <c r="BR28" s="36">
        <f t="shared" si="31"/>
        <v>883421.49798302387</v>
      </c>
      <c r="BS28" s="36">
        <f t="shared" si="32"/>
        <v>883421.49798302387</v>
      </c>
      <c r="BT28" s="36">
        <f t="shared" si="32"/>
        <v>883421.49798302387</v>
      </c>
      <c r="BU28" s="36">
        <f t="shared" si="32"/>
        <v>883421.49798302387</v>
      </c>
      <c r="BV28" s="36">
        <f t="shared" si="32"/>
        <v>883421.49798302387</v>
      </c>
      <c r="BW28" s="36">
        <f t="shared" si="32"/>
        <v>883421.49798302387</v>
      </c>
      <c r="BX28" s="36">
        <f t="shared" si="32"/>
        <v>883421.49798302387</v>
      </c>
      <c r="BY28" s="36">
        <f t="shared" si="32"/>
        <v>883421.49798302387</v>
      </c>
      <c r="BZ28" s="36">
        <f t="shared" si="32"/>
        <v>883421.49798302387</v>
      </c>
      <c r="CA28" s="36">
        <f t="shared" si="32"/>
        <v>905507.03543259937</v>
      </c>
      <c r="CB28" s="36">
        <f t="shared" si="32"/>
        <v>905507.03543259937</v>
      </c>
      <c r="CC28" s="36">
        <f t="shared" si="32"/>
        <v>905507.03543259937</v>
      </c>
      <c r="CD28" s="36">
        <f t="shared" si="32"/>
        <v>905507.03543259937</v>
      </c>
      <c r="CE28" s="36">
        <f t="shared" si="32"/>
        <v>905507.03543259937</v>
      </c>
      <c r="CF28" s="36">
        <f t="shared" si="32"/>
        <v>905507.03543259937</v>
      </c>
      <c r="CG28" s="36">
        <f t="shared" si="32"/>
        <v>905507.03543259937</v>
      </c>
      <c r="CH28" s="36">
        <f t="shared" si="32"/>
        <v>905507.03543259937</v>
      </c>
      <c r="CI28" s="36">
        <f t="shared" si="33"/>
        <v>905507.03543259937</v>
      </c>
      <c r="CJ28" s="36">
        <f t="shared" si="33"/>
        <v>905507.03543259937</v>
      </c>
      <c r="CK28" s="36">
        <f t="shared" si="33"/>
        <v>905507.03543259937</v>
      </c>
      <c r="CL28" s="36">
        <f t="shared" si="33"/>
        <v>905507.03543259937</v>
      </c>
      <c r="CM28" s="36">
        <f t="shared" si="33"/>
        <v>928144.71131841431</v>
      </c>
      <c r="CN28" s="36">
        <f t="shared" si="33"/>
        <v>928144.71131841431</v>
      </c>
      <c r="CO28" s="36">
        <f t="shared" si="33"/>
        <v>928144.71131841431</v>
      </c>
      <c r="CP28" s="36">
        <f t="shared" si="33"/>
        <v>928144.71131841431</v>
      </c>
      <c r="CQ28" s="36">
        <f t="shared" si="33"/>
        <v>928144.71131841431</v>
      </c>
      <c r="CR28" s="36">
        <f t="shared" si="33"/>
        <v>928144.71131841431</v>
      </c>
      <c r="CS28" s="36">
        <f t="shared" si="33"/>
        <v>928144.71131841431</v>
      </c>
      <c r="CT28" s="36">
        <f t="shared" si="33"/>
        <v>928144.71131841431</v>
      </c>
      <c r="CU28" s="36">
        <f t="shared" si="33"/>
        <v>928144.71131841431</v>
      </c>
      <c r="CV28" s="36">
        <f t="shared" si="33"/>
        <v>928144.71131841431</v>
      </c>
      <c r="CW28" s="36">
        <f t="shared" si="33"/>
        <v>928144.71131841431</v>
      </c>
      <c r="CX28" s="36">
        <f t="shared" si="33"/>
        <v>928144.71131841431</v>
      </c>
      <c r="CY28" s="36">
        <f t="shared" si="34"/>
        <v>951348.32910137461</v>
      </c>
      <c r="CZ28" s="36">
        <f t="shared" si="34"/>
        <v>951348.32910137461</v>
      </c>
      <c r="DA28" s="36">
        <f t="shared" si="34"/>
        <v>951348.32910137461</v>
      </c>
      <c r="DB28" s="36">
        <f t="shared" si="34"/>
        <v>951348.32910137461</v>
      </c>
      <c r="DC28" s="36">
        <f t="shared" si="34"/>
        <v>951348.32910137461</v>
      </c>
      <c r="DD28" s="36">
        <f t="shared" si="34"/>
        <v>951348.32910137461</v>
      </c>
      <c r="DE28" s="36">
        <f t="shared" si="34"/>
        <v>951348.32910137461</v>
      </c>
      <c r="DF28" s="36">
        <f t="shared" si="34"/>
        <v>951348.32910137461</v>
      </c>
      <c r="DG28" s="36">
        <f t="shared" si="34"/>
        <v>951348.32910137461</v>
      </c>
      <c r="DH28" s="36">
        <f t="shared" si="34"/>
        <v>951348.32910137461</v>
      </c>
      <c r="DI28" s="36">
        <f t="shared" si="34"/>
        <v>951348.32910137461</v>
      </c>
      <c r="DJ28" s="36">
        <f t="shared" si="34"/>
        <v>951348.32910137461</v>
      </c>
      <c r="DK28" s="36">
        <f t="shared" si="34"/>
        <v>975132.0373289088</v>
      </c>
      <c r="DL28" s="36">
        <f t="shared" si="34"/>
        <v>975132.0373289088</v>
      </c>
      <c r="DM28" s="36">
        <f t="shared" si="35"/>
        <v>975132.0373289088</v>
      </c>
      <c r="DN28" s="36">
        <f t="shared" si="35"/>
        <v>975132.0373289088</v>
      </c>
      <c r="DO28" s="36">
        <f t="shared" si="35"/>
        <v>975132.0373289088</v>
      </c>
      <c r="DP28" s="36">
        <f t="shared" si="35"/>
        <v>975132.0373289088</v>
      </c>
      <c r="DQ28" s="36">
        <f t="shared" si="35"/>
        <v>975132.0373289088</v>
      </c>
      <c r="DR28" s="36">
        <f t="shared" si="35"/>
        <v>975132.0373289088</v>
      </c>
      <c r="DS28" s="36">
        <f t="shared" si="35"/>
        <v>975132.0373289088</v>
      </c>
      <c r="DT28" s="36">
        <f t="shared" si="35"/>
        <v>975132.0373289088</v>
      </c>
      <c r="DU28" s="36">
        <f t="shared" si="35"/>
        <v>975132.0373289088</v>
      </c>
      <c r="DV28" s="36">
        <f t="shared" si="35"/>
        <v>975132.0373289088</v>
      </c>
    </row>
    <row r="29" spans="2:126" outlineLevel="1">
      <c r="B29" s="3" t="str">
        <f>CaseData!A10</f>
        <v>Property E</v>
      </c>
      <c r="C29" s="43">
        <f>CaseData!B10</f>
        <v>553000</v>
      </c>
      <c r="D29" s="44">
        <f>CaseData!C10</f>
        <v>0.03</v>
      </c>
      <c r="E29" s="35" t="s">
        <v>0</v>
      </c>
      <c r="F29" s="35"/>
      <c r="G29" s="36">
        <f t="shared" si="28"/>
        <v>563230.5</v>
      </c>
      <c r="H29" s="36">
        <f t="shared" si="28"/>
        <v>563230.5</v>
      </c>
      <c r="I29" s="36">
        <f t="shared" si="28"/>
        <v>563230.5</v>
      </c>
      <c r="J29" s="36">
        <f t="shared" si="28"/>
        <v>563230.5</v>
      </c>
      <c r="K29" s="36">
        <f t="shared" si="28"/>
        <v>563230.5</v>
      </c>
      <c r="L29" s="36">
        <f t="shared" si="28"/>
        <v>563230.5</v>
      </c>
      <c r="M29" s="36">
        <f t="shared" si="28"/>
        <v>563230.5</v>
      </c>
      <c r="N29" s="36">
        <f t="shared" si="28"/>
        <v>563230.5</v>
      </c>
      <c r="O29" s="36">
        <f t="shared" si="28"/>
        <v>563230.5</v>
      </c>
      <c r="P29" s="36">
        <f t="shared" si="28"/>
        <v>563230.5</v>
      </c>
      <c r="Q29" s="36">
        <f t="shared" si="28"/>
        <v>563230.5</v>
      </c>
      <c r="R29" s="36">
        <f t="shared" si="28"/>
        <v>563230.5</v>
      </c>
      <c r="S29" s="36">
        <f t="shared" si="28"/>
        <v>588575.87250000006</v>
      </c>
      <c r="T29" s="36">
        <f t="shared" si="28"/>
        <v>588575.87250000006</v>
      </c>
      <c r="U29" s="36">
        <f t="shared" si="28"/>
        <v>588575.87250000006</v>
      </c>
      <c r="V29" s="36">
        <f t="shared" si="28"/>
        <v>588575.87250000006</v>
      </c>
      <c r="W29" s="36">
        <f t="shared" si="29"/>
        <v>588575.87250000006</v>
      </c>
      <c r="X29" s="36">
        <f t="shared" si="29"/>
        <v>588575.87250000006</v>
      </c>
      <c r="Y29" s="36">
        <f t="shared" si="29"/>
        <v>588575.87250000006</v>
      </c>
      <c r="Z29" s="36">
        <f t="shared" si="29"/>
        <v>588575.87250000006</v>
      </c>
      <c r="AA29" s="36">
        <f t="shared" si="29"/>
        <v>588575.87250000006</v>
      </c>
      <c r="AB29" s="36">
        <f t="shared" si="29"/>
        <v>588575.87250000006</v>
      </c>
      <c r="AC29" s="36">
        <f t="shared" si="29"/>
        <v>588575.87250000006</v>
      </c>
      <c r="AD29" s="36">
        <f t="shared" si="29"/>
        <v>588575.87250000006</v>
      </c>
      <c r="AE29" s="36">
        <f t="shared" si="29"/>
        <v>612118.90740000003</v>
      </c>
      <c r="AF29" s="36">
        <f t="shared" si="29"/>
        <v>612118.90740000003</v>
      </c>
      <c r="AG29" s="36">
        <f t="shared" si="29"/>
        <v>612118.90740000003</v>
      </c>
      <c r="AH29" s="36">
        <f t="shared" si="29"/>
        <v>612118.90740000003</v>
      </c>
      <c r="AI29" s="36">
        <f t="shared" si="29"/>
        <v>612118.90740000003</v>
      </c>
      <c r="AJ29" s="36">
        <f t="shared" si="29"/>
        <v>612118.90740000003</v>
      </c>
      <c r="AK29" s="36">
        <f t="shared" si="29"/>
        <v>612118.90740000003</v>
      </c>
      <c r="AL29" s="36">
        <f t="shared" si="29"/>
        <v>612118.90740000003</v>
      </c>
      <c r="AM29" s="36">
        <f t="shared" si="30"/>
        <v>612118.90740000003</v>
      </c>
      <c r="AN29" s="36">
        <f t="shared" si="30"/>
        <v>612118.90740000003</v>
      </c>
      <c r="AO29" s="36">
        <f t="shared" si="30"/>
        <v>612118.90740000003</v>
      </c>
      <c r="AP29" s="36">
        <f t="shared" si="30"/>
        <v>612118.90740000003</v>
      </c>
      <c r="AQ29" s="36">
        <f t="shared" si="30"/>
        <v>633543.06915899995</v>
      </c>
      <c r="AR29" s="36">
        <f t="shared" si="30"/>
        <v>633543.06915899995</v>
      </c>
      <c r="AS29" s="36">
        <f t="shared" si="30"/>
        <v>633543.06915899995</v>
      </c>
      <c r="AT29" s="36">
        <f t="shared" si="30"/>
        <v>633543.06915899995</v>
      </c>
      <c r="AU29" s="36">
        <f t="shared" si="30"/>
        <v>633543.06915899995</v>
      </c>
      <c r="AV29" s="36">
        <f t="shared" si="30"/>
        <v>633543.06915899995</v>
      </c>
      <c r="AW29" s="36">
        <f t="shared" si="30"/>
        <v>633543.06915899995</v>
      </c>
      <c r="AX29" s="36">
        <f t="shared" si="30"/>
        <v>633543.06915899995</v>
      </c>
      <c r="AY29" s="36">
        <f t="shared" si="30"/>
        <v>633543.06915899995</v>
      </c>
      <c r="AZ29" s="36">
        <f t="shared" si="30"/>
        <v>633543.06915899995</v>
      </c>
      <c r="BA29" s="36">
        <f t="shared" si="30"/>
        <v>633543.06915899995</v>
      </c>
      <c r="BB29" s="36">
        <f t="shared" si="30"/>
        <v>633543.06915899995</v>
      </c>
      <c r="BC29" s="36">
        <f t="shared" si="31"/>
        <v>652549.36123377003</v>
      </c>
      <c r="BD29" s="36">
        <f t="shared" si="31"/>
        <v>652549.36123377003</v>
      </c>
      <c r="BE29" s="36">
        <f t="shared" si="31"/>
        <v>652549.36123377003</v>
      </c>
      <c r="BF29" s="36">
        <f t="shared" si="31"/>
        <v>652549.36123377003</v>
      </c>
      <c r="BG29" s="36">
        <f t="shared" si="31"/>
        <v>652549.36123377003</v>
      </c>
      <c r="BH29" s="36">
        <f t="shared" si="31"/>
        <v>652549.36123377003</v>
      </c>
      <c r="BI29" s="36">
        <f t="shared" si="31"/>
        <v>652549.36123377003</v>
      </c>
      <c r="BJ29" s="36">
        <f t="shared" si="31"/>
        <v>652549.36123377003</v>
      </c>
      <c r="BK29" s="36">
        <f t="shared" si="31"/>
        <v>652549.36123377003</v>
      </c>
      <c r="BL29" s="36">
        <f t="shared" si="31"/>
        <v>652549.36123377003</v>
      </c>
      <c r="BM29" s="36">
        <f t="shared" si="31"/>
        <v>652549.36123377003</v>
      </c>
      <c r="BN29" s="36">
        <f t="shared" si="31"/>
        <v>652549.36123377003</v>
      </c>
      <c r="BO29" s="36">
        <f t="shared" si="31"/>
        <v>668863.09526461421</v>
      </c>
      <c r="BP29" s="36">
        <f t="shared" si="31"/>
        <v>668863.09526461421</v>
      </c>
      <c r="BQ29" s="36">
        <f t="shared" si="31"/>
        <v>668863.09526461421</v>
      </c>
      <c r="BR29" s="36">
        <f t="shared" si="31"/>
        <v>668863.09526461421</v>
      </c>
      <c r="BS29" s="36">
        <f t="shared" si="32"/>
        <v>668863.09526461421</v>
      </c>
      <c r="BT29" s="36">
        <f t="shared" si="32"/>
        <v>668863.09526461421</v>
      </c>
      <c r="BU29" s="36">
        <f t="shared" si="32"/>
        <v>668863.09526461421</v>
      </c>
      <c r="BV29" s="36">
        <f t="shared" si="32"/>
        <v>668863.09526461421</v>
      </c>
      <c r="BW29" s="36">
        <f t="shared" si="32"/>
        <v>668863.09526461421</v>
      </c>
      <c r="BX29" s="36">
        <f t="shared" si="32"/>
        <v>668863.09526461421</v>
      </c>
      <c r="BY29" s="36">
        <f t="shared" si="32"/>
        <v>668863.09526461421</v>
      </c>
      <c r="BZ29" s="36">
        <f t="shared" si="32"/>
        <v>668863.09526461421</v>
      </c>
      <c r="CA29" s="36">
        <f t="shared" si="32"/>
        <v>685584.67264622939</v>
      </c>
      <c r="CB29" s="36">
        <f t="shared" si="32"/>
        <v>685584.67264622939</v>
      </c>
      <c r="CC29" s="36">
        <f t="shared" si="32"/>
        <v>685584.67264622939</v>
      </c>
      <c r="CD29" s="36">
        <f t="shared" si="32"/>
        <v>685584.67264622939</v>
      </c>
      <c r="CE29" s="36">
        <f t="shared" si="32"/>
        <v>685584.67264622939</v>
      </c>
      <c r="CF29" s="36">
        <f t="shared" si="32"/>
        <v>685584.67264622939</v>
      </c>
      <c r="CG29" s="36">
        <f t="shared" si="32"/>
        <v>685584.67264622939</v>
      </c>
      <c r="CH29" s="36">
        <f t="shared" si="32"/>
        <v>685584.67264622939</v>
      </c>
      <c r="CI29" s="36">
        <f t="shared" si="33"/>
        <v>685584.67264622939</v>
      </c>
      <c r="CJ29" s="36">
        <f t="shared" si="33"/>
        <v>685584.67264622939</v>
      </c>
      <c r="CK29" s="36">
        <f t="shared" si="33"/>
        <v>685584.67264622939</v>
      </c>
      <c r="CL29" s="36">
        <f t="shared" si="33"/>
        <v>685584.67264622939</v>
      </c>
      <c r="CM29" s="36">
        <f t="shared" si="33"/>
        <v>702724.28946238512</v>
      </c>
      <c r="CN29" s="36">
        <f t="shared" si="33"/>
        <v>702724.28946238512</v>
      </c>
      <c r="CO29" s="36">
        <f t="shared" si="33"/>
        <v>702724.28946238512</v>
      </c>
      <c r="CP29" s="36">
        <f t="shared" si="33"/>
        <v>702724.28946238512</v>
      </c>
      <c r="CQ29" s="36">
        <f t="shared" si="33"/>
        <v>702724.28946238512</v>
      </c>
      <c r="CR29" s="36">
        <f t="shared" si="33"/>
        <v>702724.28946238512</v>
      </c>
      <c r="CS29" s="36">
        <f t="shared" si="33"/>
        <v>702724.28946238512</v>
      </c>
      <c r="CT29" s="36">
        <f t="shared" si="33"/>
        <v>702724.28946238512</v>
      </c>
      <c r="CU29" s="36">
        <f t="shared" si="33"/>
        <v>702724.28946238512</v>
      </c>
      <c r="CV29" s="36">
        <f t="shared" si="33"/>
        <v>702724.28946238512</v>
      </c>
      <c r="CW29" s="36">
        <f t="shared" si="33"/>
        <v>702724.28946238512</v>
      </c>
      <c r="CX29" s="36">
        <f t="shared" si="33"/>
        <v>702724.28946238512</v>
      </c>
      <c r="CY29" s="36">
        <f t="shared" si="34"/>
        <v>720292.39669894462</v>
      </c>
      <c r="CZ29" s="36">
        <f t="shared" si="34"/>
        <v>720292.39669894462</v>
      </c>
      <c r="DA29" s="36">
        <f t="shared" si="34"/>
        <v>720292.39669894462</v>
      </c>
      <c r="DB29" s="36">
        <f t="shared" si="34"/>
        <v>720292.39669894462</v>
      </c>
      <c r="DC29" s="36">
        <f t="shared" si="34"/>
        <v>720292.39669894462</v>
      </c>
      <c r="DD29" s="36">
        <f t="shared" si="34"/>
        <v>720292.39669894462</v>
      </c>
      <c r="DE29" s="36">
        <f t="shared" si="34"/>
        <v>720292.39669894462</v>
      </c>
      <c r="DF29" s="36">
        <f t="shared" si="34"/>
        <v>720292.39669894462</v>
      </c>
      <c r="DG29" s="36">
        <f t="shared" si="34"/>
        <v>720292.39669894462</v>
      </c>
      <c r="DH29" s="36">
        <f t="shared" si="34"/>
        <v>720292.39669894462</v>
      </c>
      <c r="DI29" s="36">
        <f t="shared" si="34"/>
        <v>720292.39669894462</v>
      </c>
      <c r="DJ29" s="36">
        <f t="shared" si="34"/>
        <v>720292.39669894462</v>
      </c>
      <c r="DK29" s="36">
        <f t="shared" si="34"/>
        <v>738299.7066164182</v>
      </c>
      <c r="DL29" s="36">
        <f t="shared" si="34"/>
        <v>738299.7066164182</v>
      </c>
      <c r="DM29" s="36">
        <f t="shared" si="35"/>
        <v>738299.7066164182</v>
      </c>
      <c r="DN29" s="36">
        <f t="shared" si="35"/>
        <v>738299.7066164182</v>
      </c>
      <c r="DO29" s="36">
        <f t="shared" si="35"/>
        <v>738299.7066164182</v>
      </c>
      <c r="DP29" s="36">
        <f t="shared" si="35"/>
        <v>738299.7066164182</v>
      </c>
      <c r="DQ29" s="36">
        <f t="shared" si="35"/>
        <v>738299.7066164182</v>
      </c>
      <c r="DR29" s="36">
        <f t="shared" si="35"/>
        <v>738299.7066164182</v>
      </c>
      <c r="DS29" s="36">
        <f t="shared" si="35"/>
        <v>738299.7066164182</v>
      </c>
      <c r="DT29" s="36">
        <f t="shared" si="35"/>
        <v>738299.7066164182</v>
      </c>
      <c r="DU29" s="36">
        <f t="shared" si="35"/>
        <v>738299.7066164182</v>
      </c>
      <c r="DV29" s="36">
        <f t="shared" si="35"/>
        <v>738299.7066164182</v>
      </c>
    </row>
    <row r="30" spans="2:126" outlineLevel="1">
      <c r="B30" s="2"/>
      <c r="C30" s="2"/>
      <c r="D30" s="2"/>
      <c r="E30" s="35"/>
      <c r="F30" s="35"/>
      <c r="G30" s="2"/>
      <c r="H30" s="2"/>
      <c r="I30" s="3"/>
      <c r="J30" s="3"/>
      <c r="K30" s="2"/>
    </row>
    <row r="31" spans="2:126" outlineLevel="1">
      <c r="B31" s="6" t="s">
        <v>23</v>
      </c>
      <c r="C31" s="6" t="s">
        <v>61</v>
      </c>
      <c r="D31" s="2"/>
      <c r="E31" s="41" t="s">
        <v>0</v>
      </c>
      <c r="F31" s="35"/>
      <c r="G31" s="42">
        <f t="shared" ref="G31:BR31" si="36">SUBTOTAL(9,G32:G41)</f>
        <v>0</v>
      </c>
      <c r="H31" s="42">
        <f t="shared" si="36"/>
        <v>0</v>
      </c>
      <c r="I31" s="42">
        <f t="shared" si="36"/>
        <v>0</v>
      </c>
      <c r="J31" s="42">
        <f t="shared" si="36"/>
        <v>0</v>
      </c>
      <c r="K31" s="42">
        <f t="shared" si="36"/>
        <v>0</v>
      </c>
      <c r="L31" s="42">
        <f t="shared" si="36"/>
        <v>0</v>
      </c>
      <c r="M31" s="42">
        <f t="shared" si="36"/>
        <v>0</v>
      </c>
      <c r="N31" s="42">
        <f t="shared" si="36"/>
        <v>0</v>
      </c>
      <c r="O31" s="42">
        <f t="shared" si="36"/>
        <v>0</v>
      </c>
      <c r="P31" s="42">
        <f t="shared" si="36"/>
        <v>0</v>
      </c>
      <c r="Q31" s="42">
        <f t="shared" si="36"/>
        <v>0</v>
      </c>
      <c r="R31" s="42">
        <f t="shared" si="36"/>
        <v>0</v>
      </c>
      <c r="S31" s="42">
        <f t="shared" si="36"/>
        <v>0</v>
      </c>
      <c r="T31" s="42">
        <f t="shared" si="36"/>
        <v>0</v>
      </c>
      <c r="U31" s="42">
        <f t="shared" si="36"/>
        <v>0</v>
      </c>
      <c r="V31" s="42">
        <f t="shared" si="36"/>
        <v>0</v>
      </c>
      <c r="W31" s="42">
        <f t="shared" si="36"/>
        <v>0</v>
      </c>
      <c r="X31" s="42">
        <f t="shared" si="36"/>
        <v>0</v>
      </c>
      <c r="Y31" s="42">
        <f t="shared" si="36"/>
        <v>0</v>
      </c>
      <c r="Z31" s="42">
        <f t="shared" si="36"/>
        <v>121246.125</v>
      </c>
      <c r="AA31" s="42">
        <f t="shared" si="36"/>
        <v>274806.26250000001</v>
      </c>
      <c r="AB31" s="42">
        <f t="shared" si="36"/>
        <v>365329.38750000001</v>
      </c>
      <c r="AC31" s="42">
        <f t="shared" si="36"/>
        <v>455852.51249999995</v>
      </c>
      <c r="AD31" s="42">
        <f t="shared" si="36"/>
        <v>546375.63749999995</v>
      </c>
      <c r="AE31" s="42">
        <f t="shared" si="36"/>
        <v>662374.71299999999</v>
      </c>
      <c r="AF31" s="42">
        <f t="shared" si="36"/>
        <v>860476.61700000009</v>
      </c>
      <c r="AG31" s="42">
        <f t="shared" si="36"/>
        <v>940727.28750000009</v>
      </c>
      <c r="AH31" s="42">
        <f t="shared" si="36"/>
        <v>1020977.958</v>
      </c>
      <c r="AI31" s="42">
        <f t="shared" si="36"/>
        <v>1101228.6285000001</v>
      </c>
      <c r="AJ31" s="42">
        <f t="shared" si="36"/>
        <v>1181479.2990000001</v>
      </c>
      <c r="AK31" s="42">
        <f t="shared" si="36"/>
        <v>1261729.9695000001</v>
      </c>
      <c r="AL31" s="42">
        <f t="shared" si="36"/>
        <v>1288936.6490000002</v>
      </c>
      <c r="AM31" s="42">
        <f t="shared" si="36"/>
        <v>1307037.9822499999</v>
      </c>
      <c r="AN31" s="42">
        <f t="shared" si="36"/>
        <v>1598442.3455000001</v>
      </c>
      <c r="AO31" s="42">
        <f t="shared" si="36"/>
        <v>1725864.8907500003</v>
      </c>
      <c r="AP31" s="42">
        <f t="shared" si="36"/>
        <v>2022176.1560000002</v>
      </c>
      <c r="AQ31" s="42">
        <f t="shared" si="36"/>
        <v>2294754.5858737496</v>
      </c>
      <c r="AR31" s="42">
        <f t="shared" si="36"/>
        <v>2484327.7521562492</v>
      </c>
      <c r="AS31" s="42">
        <f t="shared" si="36"/>
        <v>2673900.9184387499</v>
      </c>
      <c r="AT31" s="42">
        <f t="shared" si="36"/>
        <v>2778613.4939062498</v>
      </c>
      <c r="AU31" s="42">
        <f t="shared" si="36"/>
        <v>2883326.0693737497</v>
      </c>
      <c r="AV31" s="42">
        <f t="shared" si="36"/>
        <v>2935598.6972812498</v>
      </c>
      <c r="AW31" s="42">
        <f t="shared" si="36"/>
        <v>2987871.3251887499</v>
      </c>
      <c r="AX31" s="42">
        <f t="shared" si="36"/>
        <v>3037968.7976137497</v>
      </c>
      <c r="AY31" s="42">
        <f t="shared" si="36"/>
        <v>3086181.4633649997</v>
      </c>
      <c r="AZ31" s="42">
        <f t="shared" si="36"/>
        <v>3110821.7427787497</v>
      </c>
      <c r="BA31" s="42">
        <f t="shared" si="36"/>
        <v>3135462.0221924996</v>
      </c>
      <c r="BB31" s="42">
        <f t="shared" si="36"/>
        <v>3145535.6495062495</v>
      </c>
      <c r="BC31" s="42">
        <f t="shared" si="36"/>
        <v>3250277.5551246</v>
      </c>
      <c r="BD31" s="42">
        <f t="shared" si="36"/>
        <v>3258134.1970427246</v>
      </c>
      <c r="BE31" s="42">
        <f t="shared" si="36"/>
        <v>3652233.4932583496</v>
      </c>
      <c r="BF31" s="42">
        <f t="shared" si="36"/>
        <v>3814587.1968954746</v>
      </c>
      <c r="BG31" s="42">
        <f t="shared" si="36"/>
        <v>3976940.9005325995</v>
      </c>
      <c r="BH31" s="42">
        <f t="shared" si="36"/>
        <v>4139294.6041697254</v>
      </c>
      <c r="BI31" s="42">
        <f t="shared" si="36"/>
        <v>4301648.3078068504</v>
      </c>
      <c r="BJ31" s="42">
        <f t="shared" si="36"/>
        <v>4464002.0114439754</v>
      </c>
      <c r="BK31" s="42">
        <f t="shared" si="36"/>
        <v>4510482.9187918501</v>
      </c>
      <c r="BL31" s="42">
        <f t="shared" si="36"/>
        <v>4552107.9145542001</v>
      </c>
      <c r="BM31" s="42">
        <f t="shared" si="36"/>
        <v>4593732.9103165502</v>
      </c>
      <c r="BN31" s="42">
        <f t="shared" si="36"/>
        <v>4632357.1757463003</v>
      </c>
      <c r="BO31" s="42">
        <f t="shared" si="36"/>
        <v>4787755.9772054506</v>
      </c>
      <c r="BP31" s="42">
        <f t="shared" si="36"/>
        <v>4827345.8492709445</v>
      </c>
      <c r="BQ31" s="42">
        <f t="shared" si="36"/>
        <v>4833944.1612818604</v>
      </c>
      <c r="BR31" s="42">
        <f t="shared" si="36"/>
        <v>5073717.4678202514</v>
      </c>
      <c r="BS31" s="42">
        <f t="shared" ref="BS31:DV31" si="37">SUBTOTAL(9,BS32:BS41)</f>
        <v>5173585.7776421551</v>
      </c>
      <c r="BT31" s="42">
        <f t="shared" si="37"/>
        <v>5273454.0874640616</v>
      </c>
      <c r="BU31" s="42">
        <f t="shared" si="37"/>
        <v>5373322.3972859671</v>
      </c>
      <c r="BV31" s="42">
        <f t="shared" si="37"/>
        <v>5473190.7071078736</v>
      </c>
      <c r="BW31" s="42">
        <f t="shared" si="37"/>
        <v>5573059.0169297783</v>
      </c>
      <c r="BX31" s="42">
        <f t="shared" si="37"/>
        <v>5602974.8283934416</v>
      </c>
      <c r="BY31" s="42">
        <f t="shared" si="37"/>
        <v>5632890.639857105</v>
      </c>
      <c r="BZ31" s="42">
        <f t="shared" si="37"/>
        <v>5902216.0713703679</v>
      </c>
      <c r="CA31" s="42">
        <f t="shared" si="37"/>
        <v>6178593.124125218</v>
      </c>
      <c r="CB31" s="42">
        <f t="shared" si="37"/>
        <v>6307414.7750958074</v>
      </c>
      <c r="CC31" s="42">
        <f t="shared" si="37"/>
        <v>6429473.1562552098</v>
      </c>
      <c r="CD31" s="42">
        <f t="shared" si="37"/>
        <v>6531614.506632057</v>
      </c>
      <c r="CE31" s="42">
        <f t="shared" si="37"/>
        <v>6633755.8570089042</v>
      </c>
      <c r="CF31" s="42">
        <f t="shared" si="37"/>
        <v>6662278.7492204988</v>
      </c>
      <c r="CG31" s="42">
        <f t="shared" si="37"/>
        <v>6690801.6414320935</v>
      </c>
      <c r="CH31" s="42">
        <f t="shared" si="37"/>
        <v>6719324.533643689</v>
      </c>
      <c r="CI31" s="42">
        <f t="shared" si="37"/>
        <v>6747847.4258552836</v>
      </c>
      <c r="CJ31" s="42">
        <f t="shared" si="37"/>
        <v>6776370.3180668792</v>
      </c>
      <c r="CK31" s="42">
        <f t="shared" si="37"/>
        <v>6804893.2102784738</v>
      </c>
      <c r="CL31" s="42">
        <f t="shared" si="37"/>
        <v>6812966.5307774991</v>
      </c>
      <c r="CM31" s="42">
        <f t="shared" si="37"/>
        <v>6991565.8475584369</v>
      </c>
      <c r="CN31" s="42">
        <f t="shared" si="37"/>
        <v>6999841.0010699378</v>
      </c>
      <c r="CO31" s="42">
        <f t="shared" si="37"/>
        <v>7008116.1545814388</v>
      </c>
      <c r="CP31" s="42">
        <f t="shared" si="37"/>
        <v>7012308.3167825155</v>
      </c>
      <c r="CQ31" s="42">
        <f t="shared" si="37"/>
        <v>7016500.4789835922</v>
      </c>
      <c r="CR31" s="42">
        <f t="shared" si="37"/>
        <v>7020692.6411846699</v>
      </c>
      <c r="CS31" s="42">
        <f t="shared" si="37"/>
        <v>7024884.8033857467</v>
      </c>
      <c r="CT31" s="42">
        <f t="shared" si="37"/>
        <v>7029076.9655868234</v>
      </c>
      <c r="CU31" s="42">
        <f t="shared" si="37"/>
        <v>7033269.1277879002</v>
      </c>
      <c r="CV31" s="42">
        <f t="shared" si="37"/>
        <v>7037461.2899889769</v>
      </c>
      <c r="CW31" s="42">
        <f t="shared" si="37"/>
        <v>7041653.4521900536</v>
      </c>
      <c r="CX31" s="42">
        <f t="shared" si="37"/>
        <v>7041653.4521900536</v>
      </c>
      <c r="CY31" s="42">
        <f t="shared" si="37"/>
        <v>7217694.788494803</v>
      </c>
      <c r="CZ31" s="42">
        <f t="shared" si="37"/>
        <v>7217694.788494803</v>
      </c>
      <c r="DA31" s="42">
        <f t="shared" si="37"/>
        <v>7217694.788494803</v>
      </c>
      <c r="DB31" s="42">
        <f t="shared" si="37"/>
        <v>7217694.788494803</v>
      </c>
      <c r="DC31" s="42">
        <f t="shared" si="37"/>
        <v>7217694.788494803</v>
      </c>
      <c r="DD31" s="42">
        <f t="shared" si="37"/>
        <v>7217694.788494803</v>
      </c>
      <c r="DE31" s="42">
        <f t="shared" si="37"/>
        <v>7217694.788494803</v>
      </c>
      <c r="DF31" s="42">
        <f t="shared" si="37"/>
        <v>7217694.788494803</v>
      </c>
      <c r="DG31" s="42">
        <f t="shared" si="37"/>
        <v>7217694.788494803</v>
      </c>
      <c r="DH31" s="42">
        <f t="shared" si="37"/>
        <v>7217694.788494803</v>
      </c>
      <c r="DI31" s="42">
        <f t="shared" si="37"/>
        <v>7217694.788494803</v>
      </c>
      <c r="DJ31" s="42">
        <f t="shared" si="37"/>
        <v>7217694.788494803</v>
      </c>
      <c r="DK31" s="42">
        <f t="shared" si="37"/>
        <v>7398137.1582071725</v>
      </c>
      <c r="DL31" s="42">
        <f t="shared" si="37"/>
        <v>7398137.1582071725</v>
      </c>
      <c r="DM31" s="42">
        <f t="shared" si="37"/>
        <v>7398137.1582071725</v>
      </c>
      <c r="DN31" s="42">
        <f t="shared" si="37"/>
        <v>7398137.1582071725</v>
      </c>
      <c r="DO31" s="42">
        <f t="shared" si="37"/>
        <v>7398137.1582071725</v>
      </c>
      <c r="DP31" s="42">
        <f t="shared" si="37"/>
        <v>7398137.1582071725</v>
      </c>
      <c r="DQ31" s="42">
        <f t="shared" si="37"/>
        <v>7398137.1582071725</v>
      </c>
      <c r="DR31" s="42">
        <f t="shared" si="37"/>
        <v>7398137.1582071725</v>
      </c>
      <c r="DS31" s="42">
        <f t="shared" si="37"/>
        <v>7398137.1582071725</v>
      </c>
      <c r="DT31" s="42">
        <f t="shared" si="37"/>
        <v>7398137.1582071725</v>
      </c>
      <c r="DU31" s="42">
        <f t="shared" si="37"/>
        <v>7398137.1582071725</v>
      </c>
      <c r="DV31" s="42">
        <f t="shared" si="37"/>
        <v>7398137.1582071725</v>
      </c>
    </row>
    <row r="32" spans="2:126" outlineLevel="1">
      <c r="B32" s="3" t="str">
        <f>CaseData!A15</f>
        <v>Property F</v>
      </c>
      <c r="C32" s="43">
        <f>CaseData!B15</f>
        <v>442000</v>
      </c>
      <c r="D32" s="2"/>
      <c r="E32" s="35" t="s">
        <v>0</v>
      </c>
      <c r="F32" s="35"/>
      <c r="G32" s="36">
        <f t="shared" ref="G32:BR35" si="38">IF(G179=0,0,$C32*(1-G192)*G$210)</f>
        <v>0</v>
      </c>
      <c r="H32" s="36">
        <f t="shared" si="38"/>
        <v>0</v>
      </c>
      <c r="I32" s="36">
        <f t="shared" si="38"/>
        <v>0</v>
      </c>
      <c r="J32" s="36">
        <f t="shared" si="38"/>
        <v>0</v>
      </c>
      <c r="K32" s="36">
        <f t="shared" si="38"/>
        <v>0</v>
      </c>
      <c r="L32" s="36">
        <f t="shared" si="38"/>
        <v>0</v>
      </c>
      <c r="M32" s="36">
        <f t="shared" si="38"/>
        <v>0</v>
      </c>
      <c r="N32" s="36">
        <f t="shared" si="38"/>
        <v>0</v>
      </c>
      <c r="O32" s="36">
        <f t="shared" si="38"/>
        <v>0</v>
      </c>
      <c r="P32" s="36">
        <f t="shared" si="38"/>
        <v>0</v>
      </c>
      <c r="Q32" s="36">
        <f t="shared" si="38"/>
        <v>0</v>
      </c>
      <c r="R32" s="36">
        <f t="shared" si="38"/>
        <v>0</v>
      </c>
      <c r="S32" s="36">
        <f t="shared" si="38"/>
        <v>0</v>
      </c>
      <c r="T32" s="36">
        <f t="shared" si="38"/>
        <v>0</v>
      </c>
      <c r="U32" s="36">
        <f t="shared" si="38"/>
        <v>0</v>
      </c>
      <c r="V32" s="36">
        <f t="shared" si="38"/>
        <v>0</v>
      </c>
      <c r="W32" s="36">
        <f t="shared" si="38"/>
        <v>0</v>
      </c>
      <c r="X32" s="36">
        <f t="shared" si="38"/>
        <v>0</v>
      </c>
      <c r="Y32" s="36">
        <f t="shared" si="38"/>
        <v>0</v>
      </c>
      <c r="Z32" s="36">
        <f t="shared" si="38"/>
        <v>121246.125</v>
      </c>
      <c r="AA32" s="36">
        <f t="shared" si="38"/>
        <v>169744.57500000001</v>
      </c>
      <c r="AB32" s="36">
        <f t="shared" si="38"/>
        <v>218243.02499999999</v>
      </c>
      <c r="AC32" s="36">
        <f t="shared" si="38"/>
        <v>266741.47499999998</v>
      </c>
      <c r="AD32" s="36">
        <f t="shared" si="38"/>
        <v>315239.92499999993</v>
      </c>
      <c r="AE32" s="36">
        <f t="shared" si="38"/>
        <v>378287.91000000003</v>
      </c>
      <c r="AF32" s="36">
        <f t="shared" si="38"/>
        <v>390897.50700000004</v>
      </c>
      <c r="AG32" s="36">
        <f t="shared" si="38"/>
        <v>403507.10399999999</v>
      </c>
      <c r="AH32" s="36">
        <f t="shared" si="38"/>
        <v>416116.701</v>
      </c>
      <c r="AI32" s="36">
        <f t="shared" si="38"/>
        <v>428726.29800000001</v>
      </c>
      <c r="AJ32" s="36">
        <f t="shared" si="38"/>
        <v>441335.89500000002</v>
      </c>
      <c r="AK32" s="36">
        <f t="shared" si="38"/>
        <v>453945.49200000003</v>
      </c>
      <c r="AL32" s="36">
        <f t="shared" si="38"/>
        <v>456047.09150000004</v>
      </c>
      <c r="AM32" s="36">
        <f t="shared" si="38"/>
        <v>458148.69099999999</v>
      </c>
      <c r="AN32" s="36">
        <f t="shared" si="38"/>
        <v>460250.2905</v>
      </c>
      <c r="AO32" s="36">
        <f t="shared" si="38"/>
        <v>462351.88999999996</v>
      </c>
      <c r="AP32" s="36">
        <f t="shared" si="38"/>
        <v>464453.48949999997</v>
      </c>
      <c r="AQ32" s="36">
        <f t="shared" si="38"/>
        <v>482884.51711499994</v>
      </c>
      <c r="AR32" s="36">
        <f t="shared" si="38"/>
        <v>485059.67259749997</v>
      </c>
      <c r="AS32" s="36">
        <f t="shared" si="38"/>
        <v>487234.82807999989</v>
      </c>
      <c r="AT32" s="36">
        <f t="shared" si="38"/>
        <v>489409.98356249993</v>
      </c>
      <c r="AU32" s="36">
        <f t="shared" si="38"/>
        <v>491585.13904499996</v>
      </c>
      <c r="AV32" s="36">
        <f t="shared" si="38"/>
        <v>493760.29452749994</v>
      </c>
      <c r="AW32" s="36">
        <f t="shared" si="38"/>
        <v>495935.45000999991</v>
      </c>
      <c r="AX32" s="36">
        <f t="shared" si="38"/>
        <v>495935.45000999991</v>
      </c>
      <c r="AY32" s="36">
        <f t="shared" si="38"/>
        <v>495935.45000999991</v>
      </c>
      <c r="AZ32" s="36">
        <f t="shared" si="38"/>
        <v>495935.45000999991</v>
      </c>
      <c r="BA32" s="36">
        <f t="shared" si="38"/>
        <v>495935.45000999991</v>
      </c>
      <c r="BB32" s="36">
        <f t="shared" si="38"/>
        <v>495935.45000999991</v>
      </c>
      <c r="BC32" s="36">
        <f t="shared" si="38"/>
        <v>510813.51351029996</v>
      </c>
      <c r="BD32" s="36">
        <f t="shared" si="38"/>
        <v>510813.51351029996</v>
      </c>
      <c r="BE32" s="36">
        <f t="shared" si="38"/>
        <v>510813.51351029996</v>
      </c>
      <c r="BF32" s="36">
        <f t="shared" si="38"/>
        <v>510813.51351029996</v>
      </c>
      <c r="BG32" s="36">
        <f t="shared" si="38"/>
        <v>510813.51351029996</v>
      </c>
      <c r="BH32" s="36">
        <f t="shared" si="38"/>
        <v>510813.51351029996</v>
      </c>
      <c r="BI32" s="36">
        <f t="shared" si="38"/>
        <v>510813.51351029996</v>
      </c>
      <c r="BJ32" s="36">
        <f t="shared" si="38"/>
        <v>510813.51351029996</v>
      </c>
      <c r="BK32" s="36">
        <f t="shared" si="38"/>
        <v>510813.51351029996</v>
      </c>
      <c r="BL32" s="36">
        <f t="shared" si="38"/>
        <v>510813.51351029996</v>
      </c>
      <c r="BM32" s="36">
        <f t="shared" si="38"/>
        <v>510813.51351029996</v>
      </c>
      <c r="BN32" s="36">
        <f t="shared" si="38"/>
        <v>510813.51351029996</v>
      </c>
      <c r="BO32" s="36">
        <f t="shared" si="38"/>
        <v>523583.85134805745</v>
      </c>
      <c r="BP32" s="36">
        <f t="shared" si="38"/>
        <v>523583.85134805745</v>
      </c>
      <c r="BQ32" s="36">
        <f t="shared" si="38"/>
        <v>523583.85134805745</v>
      </c>
      <c r="BR32" s="36">
        <f t="shared" si="38"/>
        <v>523583.85134805745</v>
      </c>
      <c r="BS32" s="36">
        <f t="shared" ref="BS32:DV36" si="39">IF(BS179=0,0,$C32*(1-BS192)*BS$210)</f>
        <v>523583.85134805745</v>
      </c>
      <c r="BT32" s="36">
        <f t="shared" si="39"/>
        <v>523583.85134805745</v>
      </c>
      <c r="BU32" s="36">
        <f t="shared" si="39"/>
        <v>523583.85134805745</v>
      </c>
      <c r="BV32" s="36">
        <f t="shared" si="39"/>
        <v>523583.85134805745</v>
      </c>
      <c r="BW32" s="36">
        <f t="shared" si="39"/>
        <v>523583.85134805745</v>
      </c>
      <c r="BX32" s="36">
        <f t="shared" si="39"/>
        <v>523583.85134805745</v>
      </c>
      <c r="BY32" s="36">
        <f t="shared" si="39"/>
        <v>523583.85134805745</v>
      </c>
      <c r="BZ32" s="36">
        <f t="shared" si="39"/>
        <v>523583.85134805745</v>
      </c>
      <c r="CA32" s="36">
        <f t="shared" si="39"/>
        <v>536673.44763175875</v>
      </c>
      <c r="CB32" s="36">
        <f t="shared" si="39"/>
        <v>536673.44763175875</v>
      </c>
      <c r="CC32" s="36">
        <f t="shared" si="39"/>
        <v>536673.44763175875</v>
      </c>
      <c r="CD32" s="36">
        <f t="shared" si="39"/>
        <v>536673.44763175875</v>
      </c>
      <c r="CE32" s="36">
        <f t="shared" si="39"/>
        <v>536673.44763175875</v>
      </c>
      <c r="CF32" s="36">
        <f t="shared" si="39"/>
        <v>536673.44763175875</v>
      </c>
      <c r="CG32" s="36">
        <f t="shared" si="39"/>
        <v>536673.44763175875</v>
      </c>
      <c r="CH32" s="36">
        <f t="shared" si="39"/>
        <v>536673.44763175875</v>
      </c>
      <c r="CI32" s="36">
        <f t="shared" si="39"/>
        <v>536673.44763175875</v>
      </c>
      <c r="CJ32" s="36">
        <f t="shared" si="39"/>
        <v>536673.44763175875</v>
      </c>
      <c r="CK32" s="36">
        <f t="shared" si="39"/>
        <v>536673.44763175875</v>
      </c>
      <c r="CL32" s="36">
        <f t="shared" si="39"/>
        <v>536673.44763175875</v>
      </c>
      <c r="CM32" s="36">
        <f t="shared" si="39"/>
        <v>550090.28382255277</v>
      </c>
      <c r="CN32" s="36">
        <f t="shared" si="39"/>
        <v>550090.28382255277</v>
      </c>
      <c r="CO32" s="36">
        <f t="shared" si="39"/>
        <v>550090.28382255277</v>
      </c>
      <c r="CP32" s="36">
        <f t="shared" si="39"/>
        <v>550090.28382255277</v>
      </c>
      <c r="CQ32" s="36">
        <f t="shared" si="39"/>
        <v>550090.28382255277</v>
      </c>
      <c r="CR32" s="36">
        <f t="shared" si="39"/>
        <v>550090.28382255277</v>
      </c>
      <c r="CS32" s="36">
        <f t="shared" si="39"/>
        <v>550090.28382255277</v>
      </c>
      <c r="CT32" s="36">
        <f t="shared" si="39"/>
        <v>550090.28382255277</v>
      </c>
      <c r="CU32" s="36">
        <f t="shared" si="39"/>
        <v>550090.28382255277</v>
      </c>
      <c r="CV32" s="36">
        <f t="shared" si="39"/>
        <v>550090.28382255277</v>
      </c>
      <c r="CW32" s="36">
        <f t="shared" si="39"/>
        <v>550090.28382255277</v>
      </c>
      <c r="CX32" s="36">
        <f t="shared" si="39"/>
        <v>550090.28382255277</v>
      </c>
      <c r="CY32" s="36">
        <f t="shared" si="39"/>
        <v>563842.54091811646</v>
      </c>
      <c r="CZ32" s="36">
        <f t="shared" si="39"/>
        <v>563842.54091811646</v>
      </c>
      <c r="DA32" s="36">
        <f t="shared" si="39"/>
        <v>563842.54091811646</v>
      </c>
      <c r="DB32" s="36">
        <f t="shared" si="39"/>
        <v>563842.54091811646</v>
      </c>
      <c r="DC32" s="36">
        <f t="shared" si="39"/>
        <v>563842.54091811646</v>
      </c>
      <c r="DD32" s="36">
        <f t="shared" si="39"/>
        <v>563842.54091811646</v>
      </c>
      <c r="DE32" s="36">
        <f t="shared" si="39"/>
        <v>563842.54091811646</v>
      </c>
      <c r="DF32" s="36">
        <f t="shared" si="39"/>
        <v>563842.54091811646</v>
      </c>
      <c r="DG32" s="36">
        <f t="shared" si="39"/>
        <v>563842.54091811646</v>
      </c>
      <c r="DH32" s="36">
        <f t="shared" si="39"/>
        <v>563842.54091811646</v>
      </c>
      <c r="DI32" s="36">
        <f t="shared" si="39"/>
        <v>563842.54091811646</v>
      </c>
      <c r="DJ32" s="36">
        <f t="shared" si="39"/>
        <v>563842.54091811646</v>
      </c>
      <c r="DK32" s="36">
        <f t="shared" si="39"/>
        <v>577938.60444106942</v>
      </c>
      <c r="DL32" s="36">
        <f t="shared" si="39"/>
        <v>577938.60444106942</v>
      </c>
      <c r="DM32" s="36">
        <f t="shared" si="39"/>
        <v>577938.60444106942</v>
      </c>
      <c r="DN32" s="36">
        <f t="shared" si="39"/>
        <v>577938.60444106942</v>
      </c>
      <c r="DO32" s="36">
        <f t="shared" si="39"/>
        <v>577938.60444106942</v>
      </c>
      <c r="DP32" s="36">
        <f t="shared" si="39"/>
        <v>577938.60444106942</v>
      </c>
      <c r="DQ32" s="36">
        <f t="shared" si="39"/>
        <v>577938.60444106942</v>
      </c>
      <c r="DR32" s="36">
        <f t="shared" si="39"/>
        <v>577938.60444106942</v>
      </c>
      <c r="DS32" s="36">
        <f t="shared" si="39"/>
        <v>577938.60444106942</v>
      </c>
      <c r="DT32" s="36">
        <f t="shared" si="39"/>
        <v>577938.60444106942</v>
      </c>
      <c r="DU32" s="36">
        <f t="shared" si="39"/>
        <v>577938.60444106942</v>
      </c>
      <c r="DV32" s="36">
        <f t="shared" si="39"/>
        <v>577938.60444106942</v>
      </c>
    </row>
    <row r="33" spans="2:126" outlineLevel="1">
      <c r="B33" s="3" t="str">
        <f>CaseData!A16</f>
        <v>Property G</v>
      </c>
      <c r="C33" s="43">
        <f>CaseData!B16</f>
        <v>383000</v>
      </c>
      <c r="D33" s="2"/>
      <c r="E33" s="35" t="s">
        <v>0</v>
      </c>
      <c r="F33" s="35"/>
      <c r="G33" s="36">
        <f t="shared" si="38"/>
        <v>0</v>
      </c>
      <c r="H33" s="36">
        <f t="shared" si="38"/>
        <v>0</v>
      </c>
      <c r="I33" s="36">
        <f t="shared" si="38"/>
        <v>0</v>
      </c>
      <c r="J33" s="36">
        <f t="shared" si="38"/>
        <v>0</v>
      </c>
      <c r="K33" s="36">
        <f t="shared" si="38"/>
        <v>0</v>
      </c>
      <c r="L33" s="36">
        <f t="shared" si="38"/>
        <v>0</v>
      </c>
      <c r="M33" s="36">
        <f t="shared" si="38"/>
        <v>0</v>
      </c>
      <c r="N33" s="36">
        <f t="shared" si="38"/>
        <v>0</v>
      </c>
      <c r="O33" s="36">
        <f t="shared" si="38"/>
        <v>0</v>
      </c>
      <c r="P33" s="36">
        <f t="shared" si="38"/>
        <v>0</v>
      </c>
      <c r="Q33" s="36">
        <f t="shared" si="38"/>
        <v>0</v>
      </c>
      <c r="R33" s="36">
        <f t="shared" si="38"/>
        <v>0</v>
      </c>
      <c r="S33" s="36">
        <f t="shared" si="38"/>
        <v>0</v>
      </c>
      <c r="T33" s="36">
        <f t="shared" si="38"/>
        <v>0</v>
      </c>
      <c r="U33" s="36">
        <f t="shared" si="38"/>
        <v>0</v>
      </c>
      <c r="V33" s="36">
        <f t="shared" si="38"/>
        <v>0</v>
      </c>
      <c r="W33" s="36">
        <f t="shared" si="38"/>
        <v>0</v>
      </c>
      <c r="X33" s="36">
        <f t="shared" si="38"/>
        <v>0</v>
      </c>
      <c r="Y33" s="36">
        <f t="shared" si="38"/>
        <v>0</v>
      </c>
      <c r="Z33" s="36">
        <f t="shared" si="38"/>
        <v>0</v>
      </c>
      <c r="AA33" s="36">
        <f t="shared" si="38"/>
        <v>105061.6875</v>
      </c>
      <c r="AB33" s="36">
        <f t="shared" si="38"/>
        <v>147086.36250000002</v>
      </c>
      <c r="AC33" s="36">
        <f t="shared" si="38"/>
        <v>189111.03749999998</v>
      </c>
      <c r="AD33" s="36">
        <f t="shared" si="38"/>
        <v>231135.71249999999</v>
      </c>
      <c r="AE33" s="36">
        <f t="shared" si="38"/>
        <v>284086.80299999996</v>
      </c>
      <c r="AF33" s="36">
        <f t="shared" si="38"/>
        <v>327792.46500000003</v>
      </c>
      <c r="AG33" s="36">
        <f t="shared" si="38"/>
        <v>338718.88050000003</v>
      </c>
      <c r="AH33" s="36">
        <f t="shared" si="38"/>
        <v>349645.29600000003</v>
      </c>
      <c r="AI33" s="36">
        <f t="shared" si="38"/>
        <v>360571.71150000003</v>
      </c>
      <c r="AJ33" s="36">
        <f t="shared" si="38"/>
        <v>371498.12700000004</v>
      </c>
      <c r="AK33" s="36">
        <f t="shared" si="38"/>
        <v>382424.54250000004</v>
      </c>
      <c r="AL33" s="36">
        <f t="shared" si="38"/>
        <v>393350.95800000004</v>
      </c>
      <c r="AM33" s="36">
        <f t="shared" si="38"/>
        <v>395172.02724999998</v>
      </c>
      <c r="AN33" s="36">
        <f t="shared" si="38"/>
        <v>396993.09650000004</v>
      </c>
      <c r="AO33" s="36">
        <f t="shared" si="38"/>
        <v>398814.16575000004</v>
      </c>
      <c r="AP33" s="36">
        <f t="shared" si="38"/>
        <v>400635.23499999999</v>
      </c>
      <c r="AQ33" s="36">
        <f t="shared" si="38"/>
        <v>416542.27489874989</v>
      </c>
      <c r="AR33" s="36">
        <f t="shared" si="38"/>
        <v>418427.08157249994</v>
      </c>
      <c r="AS33" s="36">
        <f t="shared" si="38"/>
        <v>420311.88824624999</v>
      </c>
      <c r="AT33" s="36">
        <f t="shared" si="38"/>
        <v>422196.69491999998</v>
      </c>
      <c r="AU33" s="36">
        <f t="shared" si="38"/>
        <v>424081.50159374997</v>
      </c>
      <c r="AV33" s="36">
        <f t="shared" si="38"/>
        <v>425966.3082674999</v>
      </c>
      <c r="AW33" s="36">
        <f t="shared" si="38"/>
        <v>427851.11494124989</v>
      </c>
      <c r="AX33" s="36">
        <f t="shared" si="38"/>
        <v>429735.92161499994</v>
      </c>
      <c r="AY33" s="36">
        <f t="shared" si="38"/>
        <v>429735.92161499994</v>
      </c>
      <c r="AZ33" s="36">
        <f t="shared" si="38"/>
        <v>429735.92161499994</v>
      </c>
      <c r="BA33" s="36">
        <f t="shared" si="38"/>
        <v>429735.92161499994</v>
      </c>
      <c r="BB33" s="36">
        <f t="shared" si="38"/>
        <v>429735.92161499994</v>
      </c>
      <c r="BC33" s="36">
        <f t="shared" si="38"/>
        <v>442627.99926344998</v>
      </c>
      <c r="BD33" s="36">
        <f t="shared" si="38"/>
        <v>442627.99926344998</v>
      </c>
      <c r="BE33" s="36">
        <f t="shared" si="38"/>
        <v>442627.99926344998</v>
      </c>
      <c r="BF33" s="36">
        <f t="shared" si="38"/>
        <v>442627.99926344998</v>
      </c>
      <c r="BG33" s="36">
        <f t="shared" si="38"/>
        <v>442627.99926344998</v>
      </c>
      <c r="BH33" s="36">
        <f t="shared" si="38"/>
        <v>442627.99926344998</v>
      </c>
      <c r="BI33" s="36">
        <f t="shared" si="38"/>
        <v>442627.99926344998</v>
      </c>
      <c r="BJ33" s="36">
        <f t="shared" si="38"/>
        <v>442627.99926344998</v>
      </c>
      <c r="BK33" s="36">
        <f t="shared" si="38"/>
        <v>442627.99926344998</v>
      </c>
      <c r="BL33" s="36">
        <f t="shared" si="38"/>
        <v>442627.99926344998</v>
      </c>
      <c r="BM33" s="36">
        <f t="shared" si="38"/>
        <v>442627.99926344998</v>
      </c>
      <c r="BN33" s="36">
        <f t="shared" si="38"/>
        <v>442627.99926344998</v>
      </c>
      <c r="BO33" s="36">
        <f t="shared" si="38"/>
        <v>453693.69924503617</v>
      </c>
      <c r="BP33" s="36">
        <f t="shared" si="38"/>
        <v>453693.69924503617</v>
      </c>
      <c r="BQ33" s="36">
        <f t="shared" si="38"/>
        <v>453693.69924503617</v>
      </c>
      <c r="BR33" s="36">
        <f t="shared" si="38"/>
        <v>453693.69924503617</v>
      </c>
      <c r="BS33" s="36">
        <f t="shared" si="39"/>
        <v>453693.69924503617</v>
      </c>
      <c r="BT33" s="36">
        <f t="shared" si="39"/>
        <v>453693.69924503617</v>
      </c>
      <c r="BU33" s="36">
        <f t="shared" si="39"/>
        <v>453693.69924503617</v>
      </c>
      <c r="BV33" s="36">
        <f t="shared" si="39"/>
        <v>453693.69924503617</v>
      </c>
      <c r="BW33" s="36">
        <f t="shared" si="39"/>
        <v>453693.69924503617</v>
      </c>
      <c r="BX33" s="36">
        <f t="shared" si="39"/>
        <v>453693.69924503617</v>
      </c>
      <c r="BY33" s="36">
        <f t="shared" si="39"/>
        <v>453693.69924503617</v>
      </c>
      <c r="BZ33" s="36">
        <f t="shared" si="39"/>
        <v>453693.69924503617</v>
      </c>
      <c r="CA33" s="36">
        <f t="shared" si="39"/>
        <v>465036.04172616202</v>
      </c>
      <c r="CB33" s="36">
        <f t="shared" si="39"/>
        <v>465036.04172616202</v>
      </c>
      <c r="CC33" s="36">
        <f t="shared" si="39"/>
        <v>465036.04172616202</v>
      </c>
      <c r="CD33" s="36">
        <f t="shared" si="39"/>
        <v>465036.04172616202</v>
      </c>
      <c r="CE33" s="36">
        <f t="shared" si="39"/>
        <v>465036.04172616202</v>
      </c>
      <c r="CF33" s="36">
        <f t="shared" si="39"/>
        <v>465036.04172616202</v>
      </c>
      <c r="CG33" s="36">
        <f t="shared" si="39"/>
        <v>465036.04172616202</v>
      </c>
      <c r="CH33" s="36">
        <f t="shared" si="39"/>
        <v>465036.04172616202</v>
      </c>
      <c r="CI33" s="36">
        <f t="shared" si="39"/>
        <v>465036.04172616202</v>
      </c>
      <c r="CJ33" s="36">
        <f t="shared" si="39"/>
        <v>465036.04172616202</v>
      </c>
      <c r="CK33" s="36">
        <f t="shared" si="39"/>
        <v>465036.04172616202</v>
      </c>
      <c r="CL33" s="36">
        <f t="shared" si="39"/>
        <v>465036.04172616202</v>
      </c>
      <c r="CM33" s="36">
        <f t="shared" si="39"/>
        <v>476661.94276931608</v>
      </c>
      <c r="CN33" s="36">
        <f t="shared" si="39"/>
        <v>476661.94276931608</v>
      </c>
      <c r="CO33" s="36">
        <f t="shared" si="39"/>
        <v>476661.94276931608</v>
      </c>
      <c r="CP33" s="36">
        <f t="shared" si="39"/>
        <v>476661.94276931608</v>
      </c>
      <c r="CQ33" s="36">
        <f t="shared" si="39"/>
        <v>476661.94276931608</v>
      </c>
      <c r="CR33" s="36">
        <f t="shared" si="39"/>
        <v>476661.94276931608</v>
      </c>
      <c r="CS33" s="36">
        <f t="shared" si="39"/>
        <v>476661.94276931608</v>
      </c>
      <c r="CT33" s="36">
        <f t="shared" si="39"/>
        <v>476661.94276931608</v>
      </c>
      <c r="CU33" s="36">
        <f t="shared" si="39"/>
        <v>476661.94276931608</v>
      </c>
      <c r="CV33" s="36">
        <f t="shared" si="39"/>
        <v>476661.94276931608</v>
      </c>
      <c r="CW33" s="36">
        <f t="shared" si="39"/>
        <v>476661.94276931608</v>
      </c>
      <c r="CX33" s="36">
        <f t="shared" si="39"/>
        <v>476661.94276931608</v>
      </c>
      <c r="CY33" s="36">
        <f t="shared" si="39"/>
        <v>488578.49133854889</v>
      </c>
      <c r="CZ33" s="36">
        <f t="shared" si="39"/>
        <v>488578.49133854889</v>
      </c>
      <c r="DA33" s="36">
        <f t="shared" si="39"/>
        <v>488578.49133854889</v>
      </c>
      <c r="DB33" s="36">
        <f t="shared" si="39"/>
        <v>488578.49133854889</v>
      </c>
      <c r="DC33" s="36">
        <f t="shared" si="39"/>
        <v>488578.49133854889</v>
      </c>
      <c r="DD33" s="36">
        <f t="shared" si="39"/>
        <v>488578.49133854889</v>
      </c>
      <c r="DE33" s="36">
        <f t="shared" si="39"/>
        <v>488578.49133854889</v>
      </c>
      <c r="DF33" s="36">
        <f t="shared" si="39"/>
        <v>488578.49133854889</v>
      </c>
      <c r="DG33" s="36">
        <f t="shared" si="39"/>
        <v>488578.49133854889</v>
      </c>
      <c r="DH33" s="36">
        <f t="shared" si="39"/>
        <v>488578.49133854889</v>
      </c>
      <c r="DI33" s="36">
        <f t="shared" si="39"/>
        <v>488578.49133854889</v>
      </c>
      <c r="DJ33" s="36">
        <f t="shared" si="39"/>
        <v>488578.49133854889</v>
      </c>
      <c r="DK33" s="36">
        <f t="shared" si="39"/>
        <v>500792.95362201257</v>
      </c>
      <c r="DL33" s="36">
        <f t="shared" si="39"/>
        <v>500792.95362201257</v>
      </c>
      <c r="DM33" s="36">
        <f t="shared" si="39"/>
        <v>500792.95362201257</v>
      </c>
      <c r="DN33" s="36">
        <f t="shared" si="39"/>
        <v>500792.95362201257</v>
      </c>
      <c r="DO33" s="36">
        <f t="shared" si="39"/>
        <v>500792.95362201257</v>
      </c>
      <c r="DP33" s="36">
        <f t="shared" si="39"/>
        <v>500792.95362201257</v>
      </c>
      <c r="DQ33" s="36">
        <f t="shared" si="39"/>
        <v>500792.95362201257</v>
      </c>
      <c r="DR33" s="36">
        <f t="shared" si="39"/>
        <v>500792.95362201257</v>
      </c>
      <c r="DS33" s="36">
        <f t="shared" si="39"/>
        <v>500792.95362201257</v>
      </c>
      <c r="DT33" s="36">
        <f t="shared" si="39"/>
        <v>500792.95362201257</v>
      </c>
      <c r="DU33" s="36">
        <f t="shared" si="39"/>
        <v>500792.95362201257</v>
      </c>
      <c r="DV33" s="36">
        <f t="shared" si="39"/>
        <v>500792.95362201257</v>
      </c>
    </row>
    <row r="34" spans="2:126" outlineLevel="1">
      <c r="B34" s="3" t="str">
        <f>CaseData!A17</f>
        <v>Property H</v>
      </c>
      <c r="C34" s="43">
        <f>CaseData!B17</f>
        <v>497000</v>
      </c>
      <c r="D34" s="2"/>
      <c r="E34" s="35" t="s">
        <v>0</v>
      </c>
      <c r="F34" s="35"/>
      <c r="G34" s="36">
        <f t="shared" si="38"/>
        <v>0</v>
      </c>
      <c r="H34" s="36">
        <f t="shared" si="38"/>
        <v>0</v>
      </c>
      <c r="I34" s="36">
        <f t="shared" si="38"/>
        <v>0</v>
      </c>
      <c r="J34" s="36">
        <f t="shared" si="38"/>
        <v>0</v>
      </c>
      <c r="K34" s="36">
        <f t="shared" si="38"/>
        <v>0</v>
      </c>
      <c r="L34" s="36">
        <f t="shared" si="38"/>
        <v>0</v>
      </c>
      <c r="M34" s="36">
        <f t="shared" si="38"/>
        <v>0</v>
      </c>
      <c r="N34" s="36">
        <f t="shared" si="38"/>
        <v>0</v>
      </c>
      <c r="O34" s="36">
        <f t="shared" si="38"/>
        <v>0</v>
      </c>
      <c r="P34" s="36">
        <f t="shared" si="38"/>
        <v>0</v>
      </c>
      <c r="Q34" s="36">
        <f t="shared" si="38"/>
        <v>0</v>
      </c>
      <c r="R34" s="36">
        <f t="shared" si="38"/>
        <v>0</v>
      </c>
      <c r="S34" s="36">
        <f t="shared" si="38"/>
        <v>0</v>
      </c>
      <c r="T34" s="36">
        <f t="shared" si="38"/>
        <v>0</v>
      </c>
      <c r="U34" s="36">
        <f t="shared" si="38"/>
        <v>0</v>
      </c>
      <c r="V34" s="36">
        <f t="shared" si="38"/>
        <v>0</v>
      </c>
      <c r="W34" s="36">
        <f t="shared" si="38"/>
        <v>0</v>
      </c>
      <c r="X34" s="36">
        <f t="shared" si="38"/>
        <v>0</v>
      </c>
      <c r="Y34" s="36">
        <f t="shared" si="38"/>
        <v>0</v>
      </c>
      <c r="Z34" s="36">
        <f t="shared" si="38"/>
        <v>0</v>
      </c>
      <c r="AA34" s="36">
        <f t="shared" si="38"/>
        <v>0</v>
      </c>
      <c r="AB34" s="36">
        <f t="shared" si="38"/>
        <v>0</v>
      </c>
      <c r="AC34" s="36">
        <f t="shared" si="38"/>
        <v>0</v>
      </c>
      <c r="AD34" s="36">
        <f t="shared" si="38"/>
        <v>0</v>
      </c>
      <c r="AE34" s="36">
        <f t="shared" si="38"/>
        <v>0</v>
      </c>
      <c r="AF34" s="36">
        <f t="shared" si="38"/>
        <v>141786.64500000002</v>
      </c>
      <c r="AG34" s="36">
        <f t="shared" si="38"/>
        <v>198501.30300000001</v>
      </c>
      <c r="AH34" s="36">
        <f t="shared" si="38"/>
        <v>255215.96099999998</v>
      </c>
      <c r="AI34" s="36">
        <f t="shared" si="38"/>
        <v>311930.61899999995</v>
      </c>
      <c r="AJ34" s="36">
        <f t="shared" si="38"/>
        <v>368645.27699999994</v>
      </c>
      <c r="AK34" s="36">
        <f t="shared" si="38"/>
        <v>425359.935</v>
      </c>
      <c r="AL34" s="36">
        <f t="shared" si="38"/>
        <v>439538.59950000001</v>
      </c>
      <c r="AM34" s="36">
        <f t="shared" si="38"/>
        <v>453717.26400000002</v>
      </c>
      <c r="AN34" s="36">
        <f t="shared" si="38"/>
        <v>467895.92850000004</v>
      </c>
      <c r="AO34" s="36">
        <f t="shared" si="38"/>
        <v>482074.59299999999</v>
      </c>
      <c r="AP34" s="36">
        <f t="shared" si="38"/>
        <v>496253.25750000001</v>
      </c>
      <c r="AQ34" s="36">
        <f t="shared" si="38"/>
        <v>528297.03926999995</v>
      </c>
      <c r="AR34" s="36">
        <f t="shared" si="38"/>
        <v>530742.85889624991</v>
      </c>
      <c r="AS34" s="36">
        <f t="shared" si="38"/>
        <v>533188.67852249998</v>
      </c>
      <c r="AT34" s="36">
        <f t="shared" si="38"/>
        <v>535634.49814874993</v>
      </c>
      <c r="AU34" s="36">
        <f t="shared" si="38"/>
        <v>538080.31777499989</v>
      </c>
      <c r="AV34" s="36">
        <f t="shared" si="38"/>
        <v>540526.13740124984</v>
      </c>
      <c r="AW34" s="36">
        <f t="shared" si="38"/>
        <v>542971.95702749991</v>
      </c>
      <c r="AX34" s="36">
        <f t="shared" si="38"/>
        <v>545417.77665374998</v>
      </c>
      <c r="AY34" s="36">
        <f t="shared" si="38"/>
        <v>547863.59627999994</v>
      </c>
      <c r="AZ34" s="36">
        <f t="shared" si="38"/>
        <v>550309.41590624989</v>
      </c>
      <c r="BA34" s="36">
        <f t="shared" si="38"/>
        <v>552755.23553249985</v>
      </c>
      <c r="BB34" s="36">
        <f t="shared" si="38"/>
        <v>555201.05515874992</v>
      </c>
      <c r="BC34" s="36">
        <f t="shared" si="38"/>
        <v>574376.28102855</v>
      </c>
      <c r="BD34" s="36">
        <f t="shared" si="38"/>
        <v>574376.28102855</v>
      </c>
      <c r="BE34" s="36">
        <f t="shared" si="38"/>
        <v>574376.28102855</v>
      </c>
      <c r="BF34" s="36">
        <f t="shared" si="38"/>
        <v>574376.28102855</v>
      </c>
      <c r="BG34" s="36">
        <f t="shared" si="38"/>
        <v>574376.28102855</v>
      </c>
      <c r="BH34" s="36">
        <f t="shared" si="38"/>
        <v>574376.28102855</v>
      </c>
      <c r="BI34" s="36">
        <f t="shared" si="38"/>
        <v>574376.28102855</v>
      </c>
      <c r="BJ34" s="36">
        <f t="shared" si="38"/>
        <v>574376.28102855</v>
      </c>
      <c r="BK34" s="36">
        <f t="shared" si="38"/>
        <v>574376.28102855</v>
      </c>
      <c r="BL34" s="36">
        <f t="shared" si="38"/>
        <v>574376.28102855</v>
      </c>
      <c r="BM34" s="36">
        <f t="shared" si="38"/>
        <v>574376.28102855</v>
      </c>
      <c r="BN34" s="36">
        <f t="shared" si="38"/>
        <v>574376.28102855</v>
      </c>
      <c r="BO34" s="36">
        <f t="shared" si="38"/>
        <v>588735.68805426371</v>
      </c>
      <c r="BP34" s="36">
        <f t="shared" si="38"/>
        <v>588735.68805426371</v>
      </c>
      <c r="BQ34" s="36">
        <f t="shared" si="38"/>
        <v>588735.68805426371</v>
      </c>
      <c r="BR34" s="36">
        <f t="shared" si="38"/>
        <v>588735.68805426371</v>
      </c>
      <c r="BS34" s="36">
        <f t="shared" si="39"/>
        <v>588735.68805426371</v>
      </c>
      <c r="BT34" s="36">
        <f t="shared" si="39"/>
        <v>588735.68805426371</v>
      </c>
      <c r="BU34" s="36">
        <f t="shared" si="39"/>
        <v>588735.68805426371</v>
      </c>
      <c r="BV34" s="36">
        <f t="shared" si="39"/>
        <v>588735.68805426371</v>
      </c>
      <c r="BW34" s="36">
        <f t="shared" si="39"/>
        <v>588735.68805426371</v>
      </c>
      <c r="BX34" s="36">
        <f t="shared" si="39"/>
        <v>588735.68805426371</v>
      </c>
      <c r="BY34" s="36">
        <f t="shared" si="39"/>
        <v>588735.68805426371</v>
      </c>
      <c r="BZ34" s="36">
        <f t="shared" si="39"/>
        <v>588735.68805426371</v>
      </c>
      <c r="CA34" s="36">
        <f t="shared" si="39"/>
        <v>603454.08025562018</v>
      </c>
      <c r="CB34" s="36">
        <f t="shared" si="39"/>
        <v>603454.08025562018</v>
      </c>
      <c r="CC34" s="36">
        <f t="shared" si="39"/>
        <v>603454.08025562018</v>
      </c>
      <c r="CD34" s="36">
        <f t="shared" si="39"/>
        <v>603454.08025562018</v>
      </c>
      <c r="CE34" s="36">
        <f t="shared" si="39"/>
        <v>603454.08025562018</v>
      </c>
      <c r="CF34" s="36">
        <f t="shared" si="39"/>
        <v>603454.08025562018</v>
      </c>
      <c r="CG34" s="36">
        <f t="shared" si="39"/>
        <v>603454.08025562018</v>
      </c>
      <c r="CH34" s="36">
        <f t="shared" si="39"/>
        <v>603454.08025562018</v>
      </c>
      <c r="CI34" s="36">
        <f t="shared" si="39"/>
        <v>603454.08025562018</v>
      </c>
      <c r="CJ34" s="36">
        <f t="shared" si="39"/>
        <v>603454.08025562018</v>
      </c>
      <c r="CK34" s="36">
        <f t="shared" si="39"/>
        <v>603454.08025562018</v>
      </c>
      <c r="CL34" s="36">
        <f t="shared" si="39"/>
        <v>603454.08025562018</v>
      </c>
      <c r="CM34" s="36">
        <f t="shared" si="39"/>
        <v>618540.43226201064</v>
      </c>
      <c r="CN34" s="36">
        <f t="shared" si="39"/>
        <v>618540.43226201064</v>
      </c>
      <c r="CO34" s="36">
        <f t="shared" si="39"/>
        <v>618540.43226201064</v>
      </c>
      <c r="CP34" s="36">
        <f t="shared" si="39"/>
        <v>618540.43226201064</v>
      </c>
      <c r="CQ34" s="36">
        <f t="shared" si="39"/>
        <v>618540.43226201064</v>
      </c>
      <c r="CR34" s="36">
        <f t="shared" si="39"/>
        <v>618540.43226201064</v>
      </c>
      <c r="CS34" s="36">
        <f t="shared" si="39"/>
        <v>618540.43226201064</v>
      </c>
      <c r="CT34" s="36">
        <f t="shared" si="39"/>
        <v>618540.43226201064</v>
      </c>
      <c r="CU34" s="36">
        <f t="shared" si="39"/>
        <v>618540.43226201064</v>
      </c>
      <c r="CV34" s="36">
        <f t="shared" si="39"/>
        <v>618540.43226201064</v>
      </c>
      <c r="CW34" s="36">
        <f t="shared" si="39"/>
        <v>618540.43226201064</v>
      </c>
      <c r="CX34" s="36">
        <f t="shared" si="39"/>
        <v>618540.43226201064</v>
      </c>
      <c r="CY34" s="36">
        <f t="shared" si="39"/>
        <v>634003.94306856079</v>
      </c>
      <c r="CZ34" s="36">
        <f t="shared" si="39"/>
        <v>634003.94306856079</v>
      </c>
      <c r="DA34" s="36">
        <f t="shared" si="39"/>
        <v>634003.94306856079</v>
      </c>
      <c r="DB34" s="36">
        <f t="shared" si="39"/>
        <v>634003.94306856079</v>
      </c>
      <c r="DC34" s="36">
        <f t="shared" si="39"/>
        <v>634003.94306856079</v>
      </c>
      <c r="DD34" s="36">
        <f t="shared" si="39"/>
        <v>634003.94306856079</v>
      </c>
      <c r="DE34" s="36">
        <f t="shared" si="39"/>
        <v>634003.94306856079</v>
      </c>
      <c r="DF34" s="36">
        <f t="shared" si="39"/>
        <v>634003.94306856079</v>
      </c>
      <c r="DG34" s="36">
        <f t="shared" si="39"/>
        <v>634003.94306856079</v>
      </c>
      <c r="DH34" s="36">
        <f t="shared" si="39"/>
        <v>634003.94306856079</v>
      </c>
      <c r="DI34" s="36">
        <f t="shared" si="39"/>
        <v>634003.94306856079</v>
      </c>
      <c r="DJ34" s="36">
        <f t="shared" si="39"/>
        <v>634003.94306856079</v>
      </c>
      <c r="DK34" s="36">
        <f t="shared" si="39"/>
        <v>649854.04164527485</v>
      </c>
      <c r="DL34" s="36">
        <f t="shared" si="39"/>
        <v>649854.04164527485</v>
      </c>
      <c r="DM34" s="36">
        <f t="shared" si="39"/>
        <v>649854.04164527485</v>
      </c>
      <c r="DN34" s="36">
        <f t="shared" si="39"/>
        <v>649854.04164527485</v>
      </c>
      <c r="DO34" s="36">
        <f t="shared" si="39"/>
        <v>649854.04164527485</v>
      </c>
      <c r="DP34" s="36">
        <f t="shared" si="39"/>
        <v>649854.04164527485</v>
      </c>
      <c r="DQ34" s="36">
        <f t="shared" si="39"/>
        <v>649854.04164527485</v>
      </c>
      <c r="DR34" s="36">
        <f t="shared" si="39"/>
        <v>649854.04164527485</v>
      </c>
      <c r="DS34" s="36">
        <f t="shared" si="39"/>
        <v>649854.04164527485</v>
      </c>
      <c r="DT34" s="36">
        <f t="shared" si="39"/>
        <v>649854.04164527485</v>
      </c>
      <c r="DU34" s="36">
        <f t="shared" si="39"/>
        <v>649854.04164527485</v>
      </c>
      <c r="DV34" s="36">
        <f t="shared" si="39"/>
        <v>649854.04164527485</v>
      </c>
    </row>
    <row r="35" spans="2:126" outlineLevel="1">
      <c r="B35" s="3" t="str">
        <f>CaseData!A18</f>
        <v>Property I</v>
      </c>
      <c r="C35" s="43">
        <f>CaseData!B18</f>
        <v>595000</v>
      </c>
      <c r="D35" s="2"/>
      <c r="E35" s="35" t="s">
        <v>0</v>
      </c>
      <c r="F35" s="35"/>
      <c r="G35" s="36">
        <f t="shared" si="38"/>
        <v>0</v>
      </c>
      <c r="H35" s="36">
        <f t="shared" si="38"/>
        <v>0</v>
      </c>
      <c r="I35" s="36">
        <f t="shared" si="38"/>
        <v>0</v>
      </c>
      <c r="J35" s="36">
        <f t="shared" si="38"/>
        <v>0</v>
      </c>
      <c r="K35" s="36">
        <f t="shared" si="38"/>
        <v>0</v>
      </c>
      <c r="L35" s="36">
        <f t="shared" si="38"/>
        <v>0</v>
      </c>
      <c r="M35" s="36">
        <f t="shared" si="38"/>
        <v>0</v>
      </c>
      <c r="N35" s="36">
        <f t="shared" si="38"/>
        <v>0</v>
      </c>
      <c r="O35" s="36">
        <f t="shared" si="38"/>
        <v>0</v>
      </c>
      <c r="P35" s="36">
        <f t="shared" si="38"/>
        <v>0</v>
      </c>
      <c r="Q35" s="36">
        <f t="shared" si="38"/>
        <v>0</v>
      </c>
      <c r="R35" s="36">
        <f t="shared" si="38"/>
        <v>0</v>
      </c>
      <c r="S35" s="36">
        <f t="shared" si="38"/>
        <v>0</v>
      </c>
      <c r="T35" s="36">
        <f t="shared" si="38"/>
        <v>0</v>
      </c>
      <c r="U35" s="36">
        <f t="shared" si="38"/>
        <v>0</v>
      </c>
      <c r="V35" s="36">
        <f t="shared" si="38"/>
        <v>0</v>
      </c>
      <c r="W35" s="36">
        <f t="shared" si="38"/>
        <v>0</v>
      </c>
      <c r="X35" s="36">
        <f t="shared" si="38"/>
        <v>0</v>
      </c>
      <c r="Y35" s="36">
        <f t="shared" si="38"/>
        <v>0</v>
      </c>
      <c r="Z35" s="36">
        <f t="shared" si="38"/>
        <v>0</v>
      </c>
      <c r="AA35" s="36">
        <f t="shared" si="38"/>
        <v>0</v>
      </c>
      <c r="AB35" s="36">
        <f t="shared" si="38"/>
        <v>0</v>
      </c>
      <c r="AC35" s="36">
        <f t="shared" si="38"/>
        <v>0</v>
      </c>
      <c r="AD35" s="36">
        <f t="shared" si="38"/>
        <v>0</v>
      </c>
      <c r="AE35" s="36">
        <f t="shared" si="38"/>
        <v>0</v>
      </c>
      <c r="AF35" s="36">
        <f t="shared" si="38"/>
        <v>0</v>
      </c>
      <c r="AG35" s="36">
        <f t="shared" si="38"/>
        <v>0</v>
      </c>
      <c r="AH35" s="36">
        <f t="shared" si="38"/>
        <v>0</v>
      </c>
      <c r="AI35" s="36">
        <f t="shared" si="38"/>
        <v>0</v>
      </c>
      <c r="AJ35" s="36">
        <f t="shared" si="38"/>
        <v>0</v>
      </c>
      <c r="AK35" s="36">
        <f t="shared" si="38"/>
        <v>0</v>
      </c>
      <c r="AL35" s="36">
        <f t="shared" si="38"/>
        <v>0</v>
      </c>
      <c r="AM35" s="36">
        <f t="shared" si="38"/>
        <v>0</v>
      </c>
      <c r="AN35" s="36">
        <f t="shared" si="38"/>
        <v>169744.57500000001</v>
      </c>
      <c r="AO35" s="36">
        <f t="shared" si="38"/>
        <v>237642.405</v>
      </c>
      <c r="AP35" s="36">
        <f t="shared" si="38"/>
        <v>305540.23499999999</v>
      </c>
      <c r="AQ35" s="36">
        <f t="shared" si="38"/>
        <v>386508.39727499988</v>
      </c>
      <c r="AR35" s="36">
        <f t="shared" si="38"/>
        <v>456782.65132499987</v>
      </c>
      <c r="AS35" s="36">
        <f t="shared" si="38"/>
        <v>527056.90537499997</v>
      </c>
      <c r="AT35" s="36">
        <f t="shared" si="38"/>
        <v>544625.46888749988</v>
      </c>
      <c r="AU35" s="36">
        <f t="shared" si="38"/>
        <v>562194.03239999991</v>
      </c>
      <c r="AV35" s="36">
        <f t="shared" si="38"/>
        <v>579762.59591249994</v>
      </c>
      <c r="AW35" s="36">
        <f t="shared" si="38"/>
        <v>597331.15942499996</v>
      </c>
      <c r="AX35" s="36">
        <f t="shared" si="38"/>
        <v>614899.72293749987</v>
      </c>
      <c r="AY35" s="36">
        <f t="shared" si="38"/>
        <v>632468.2864499999</v>
      </c>
      <c r="AZ35" s="36">
        <f t="shared" si="38"/>
        <v>635396.38036874984</v>
      </c>
      <c r="BA35" s="36">
        <f t="shared" si="38"/>
        <v>638324.47428749991</v>
      </c>
      <c r="BB35" s="36">
        <f t="shared" si="38"/>
        <v>641252.56820624997</v>
      </c>
      <c r="BC35" s="36">
        <f t="shared" si="38"/>
        <v>663506.08198874991</v>
      </c>
      <c r="BD35" s="36">
        <f t="shared" si="38"/>
        <v>666522.01872506237</v>
      </c>
      <c r="BE35" s="36">
        <f t="shared" si="38"/>
        <v>669537.95546137495</v>
      </c>
      <c r="BF35" s="36">
        <f t="shared" si="38"/>
        <v>672553.89219768741</v>
      </c>
      <c r="BG35" s="36">
        <f t="shared" si="38"/>
        <v>675569.82893399999</v>
      </c>
      <c r="BH35" s="36">
        <f t="shared" si="38"/>
        <v>678585.76567031245</v>
      </c>
      <c r="BI35" s="36">
        <f t="shared" si="38"/>
        <v>681601.70240662491</v>
      </c>
      <c r="BJ35" s="36">
        <f t="shared" si="38"/>
        <v>684617.63914293749</v>
      </c>
      <c r="BK35" s="36">
        <f t="shared" si="38"/>
        <v>687633.57587924995</v>
      </c>
      <c r="BL35" s="36">
        <f t="shared" si="38"/>
        <v>687633.57587924995</v>
      </c>
      <c r="BM35" s="36">
        <f t="shared" si="38"/>
        <v>687633.57587924995</v>
      </c>
      <c r="BN35" s="36">
        <f t="shared" si="38"/>
        <v>687633.57587924995</v>
      </c>
      <c r="BO35" s="36">
        <f t="shared" si="38"/>
        <v>704824.41527623113</v>
      </c>
      <c r="BP35" s="36">
        <f t="shared" si="38"/>
        <v>704824.41527623113</v>
      </c>
      <c r="BQ35" s="36">
        <f t="shared" si="38"/>
        <v>704824.41527623113</v>
      </c>
      <c r="BR35" s="36">
        <f t="shared" ref="BR35" si="40">IF(BR182=0,0,$C35*(1-BR195)*BR$210)</f>
        <v>704824.41527623113</v>
      </c>
      <c r="BS35" s="36">
        <f t="shared" si="39"/>
        <v>704824.41527623113</v>
      </c>
      <c r="BT35" s="36">
        <f t="shared" si="39"/>
        <v>704824.41527623113</v>
      </c>
      <c r="BU35" s="36">
        <f t="shared" si="39"/>
        <v>704824.41527623113</v>
      </c>
      <c r="BV35" s="36">
        <f t="shared" si="39"/>
        <v>704824.41527623113</v>
      </c>
      <c r="BW35" s="36">
        <f t="shared" si="39"/>
        <v>704824.41527623113</v>
      </c>
      <c r="BX35" s="36">
        <f t="shared" si="39"/>
        <v>704824.41527623113</v>
      </c>
      <c r="BY35" s="36">
        <f t="shared" si="39"/>
        <v>704824.41527623113</v>
      </c>
      <c r="BZ35" s="36">
        <f t="shared" si="39"/>
        <v>704824.41527623113</v>
      </c>
      <c r="CA35" s="36">
        <f t="shared" si="39"/>
        <v>722445.02565813682</v>
      </c>
      <c r="CB35" s="36">
        <f t="shared" si="39"/>
        <v>722445.02565813682</v>
      </c>
      <c r="CC35" s="36">
        <f t="shared" si="39"/>
        <v>722445.02565813682</v>
      </c>
      <c r="CD35" s="36">
        <f t="shared" si="39"/>
        <v>722445.02565813682</v>
      </c>
      <c r="CE35" s="36">
        <f t="shared" si="39"/>
        <v>722445.02565813682</v>
      </c>
      <c r="CF35" s="36">
        <f t="shared" si="39"/>
        <v>722445.02565813682</v>
      </c>
      <c r="CG35" s="36">
        <f t="shared" si="39"/>
        <v>722445.02565813682</v>
      </c>
      <c r="CH35" s="36">
        <f t="shared" si="39"/>
        <v>722445.02565813682</v>
      </c>
      <c r="CI35" s="36">
        <f t="shared" si="39"/>
        <v>722445.02565813682</v>
      </c>
      <c r="CJ35" s="36">
        <f t="shared" si="39"/>
        <v>722445.02565813682</v>
      </c>
      <c r="CK35" s="36">
        <f t="shared" si="39"/>
        <v>722445.02565813682</v>
      </c>
      <c r="CL35" s="36">
        <f t="shared" si="39"/>
        <v>722445.02565813682</v>
      </c>
      <c r="CM35" s="36">
        <f t="shared" si="39"/>
        <v>740506.15129959024</v>
      </c>
      <c r="CN35" s="36">
        <f t="shared" si="39"/>
        <v>740506.15129959024</v>
      </c>
      <c r="CO35" s="36">
        <f t="shared" si="39"/>
        <v>740506.15129959024</v>
      </c>
      <c r="CP35" s="36">
        <f t="shared" si="39"/>
        <v>740506.15129959024</v>
      </c>
      <c r="CQ35" s="36">
        <f t="shared" si="39"/>
        <v>740506.15129959024</v>
      </c>
      <c r="CR35" s="36">
        <f t="shared" si="39"/>
        <v>740506.15129959024</v>
      </c>
      <c r="CS35" s="36">
        <f t="shared" si="39"/>
        <v>740506.15129959024</v>
      </c>
      <c r="CT35" s="36">
        <f t="shared" si="39"/>
        <v>740506.15129959024</v>
      </c>
      <c r="CU35" s="36">
        <f t="shared" si="39"/>
        <v>740506.15129959024</v>
      </c>
      <c r="CV35" s="36">
        <f t="shared" si="39"/>
        <v>740506.15129959024</v>
      </c>
      <c r="CW35" s="36">
        <f t="shared" si="39"/>
        <v>740506.15129959024</v>
      </c>
      <c r="CX35" s="36">
        <f t="shared" si="39"/>
        <v>740506.15129959024</v>
      </c>
      <c r="CY35" s="36">
        <f t="shared" si="39"/>
        <v>759018.80508207984</v>
      </c>
      <c r="CZ35" s="36">
        <f t="shared" si="39"/>
        <v>759018.80508207984</v>
      </c>
      <c r="DA35" s="36">
        <f t="shared" si="39"/>
        <v>759018.80508207984</v>
      </c>
      <c r="DB35" s="36">
        <f t="shared" si="39"/>
        <v>759018.80508207984</v>
      </c>
      <c r="DC35" s="36">
        <f t="shared" si="39"/>
        <v>759018.80508207984</v>
      </c>
      <c r="DD35" s="36">
        <f t="shared" si="39"/>
        <v>759018.80508207984</v>
      </c>
      <c r="DE35" s="36">
        <f t="shared" si="39"/>
        <v>759018.80508207984</v>
      </c>
      <c r="DF35" s="36">
        <f t="shared" si="39"/>
        <v>759018.80508207984</v>
      </c>
      <c r="DG35" s="36">
        <f t="shared" si="39"/>
        <v>759018.80508207984</v>
      </c>
      <c r="DH35" s="36">
        <f t="shared" si="39"/>
        <v>759018.80508207984</v>
      </c>
      <c r="DI35" s="36">
        <f t="shared" si="39"/>
        <v>759018.80508207984</v>
      </c>
      <c r="DJ35" s="36">
        <f t="shared" si="39"/>
        <v>759018.80508207984</v>
      </c>
      <c r="DK35" s="36">
        <f t="shared" si="39"/>
        <v>777994.27520913188</v>
      </c>
      <c r="DL35" s="36">
        <f t="shared" si="39"/>
        <v>777994.27520913188</v>
      </c>
      <c r="DM35" s="36">
        <f t="shared" si="39"/>
        <v>777994.27520913188</v>
      </c>
      <c r="DN35" s="36">
        <f t="shared" si="39"/>
        <v>777994.27520913188</v>
      </c>
      <c r="DO35" s="36">
        <f t="shared" si="39"/>
        <v>777994.27520913188</v>
      </c>
      <c r="DP35" s="36">
        <f t="shared" si="39"/>
        <v>777994.27520913188</v>
      </c>
      <c r="DQ35" s="36">
        <f t="shared" si="39"/>
        <v>777994.27520913188</v>
      </c>
      <c r="DR35" s="36">
        <f t="shared" si="39"/>
        <v>777994.27520913188</v>
      </c>
      <c r="DS35" s="36">
        <f t="shared" si="39"/>
        <v>777994.27520913188</v>
      </c>
      <c r="DT35" s="36">
        <f t="shared" si="39"/>
        <v>777994.27520913188</v>
      </c>
      <c r="DU35" s="36">
        <f t="shared" si="39"/>
        <v>777994.27520913188</v>
      </c>
      <c r="DV35" s="36">
        <f t="shared" si="39"/>
        <v>777994.27520913188</v>
      </c>
    </row>
    <row r="36" spans="2:126" outlineLevel="1">
      <c r="B36" s="3" t="str">
        <f>CaseData!A19</f>
        <v>Property J</v>
      </c>
      <c r="C36" s="43">
        <f>CaseData!B19</f>
        <v>592000</v>
      </c>
      <c r="D36" s="2"/>
      <c r="E36" s="35" t="s">
        <v>0</v>
      </c>
      <c r="F36" s="35"/>
      <c r="G36" s="36">
        <f t="shared" ref="G36:BR39" si="41">IF(G183=0,0,$C36*(1-G196)*G$210)</f>
        <v>0</v>
      </c>
      <c r="H36" s="36">
        <f t="shared" si="41"/>
        <v>0</v>
      </c>
      <c r="I36" s="36">
        <f t="shared" si="41"/>
        <v>0</v>
      </c>
      <c r="J36" s="36">
        <f t="shared" si="41"/>
        <v>0</v>
      </c>
      <c r="K36" s="36">
        <f t="shared" si="41"/>
        <v>0</v>
      </c>
      <c r="L36" s="36">
        <f t="shared" si="41"/>
        <v>0</v>
      </c>
      <c r="M36" s="36">
        <f t="shared" si="41"/>
        <v>0</v>
      </c>
      <c r="N36" s="36">
        <f t="shared" si="41"/>
        <v>0</v>
      </c>
      <c r="O36" s="36">
        <f t="shared" si="41"/>
        <v>0</v>
      </c>
      <c r="P36" s="36">
        <f t="shared" si="41"/>
        <v>0</v>
      </c>
      <c r="Q36" s="36">
        <f t="shared" si="41"/>
        <v>0</v>
      </c>
      <c r="R36" s="36">
        <f t="shared" si="41"/>
        <v>0</v>
      </c>
      <c r="S36" s="36">
        <f t="shared" si="41"/>
        <v>0</v>
      </c>
      <c r="T36" s="36">
        <f t="shared" si="41"/>
        <v>0</v>
      </c>
      <c r="U36" s="36">
        <f t="shared" si="41"/>
        <v>0</v>
      </c>
      <c r="V36" s="36">
        <f t="shared" si="41"/>
        <v>0</v>
      </c>
      <c r="W36" s="36">
        <f t="shared" si="41"/>
        <v>0</v>
      </c>
      <c r="X36" s="36">
        <f t="shared" si="41"/>
        <v>0</v>
      </c>
      <c r="Y36" s="36">
        <f t="shared" si="41"/>
        <v>0</v>
      </c>
      <c r="Z36" s="36">
        <f t="shared" si="41"/>
        <v>0</v>
      </c>
      <c r="AA36" s="36">
        <f t="shared" si="41"/>
        <v>0</v>
      </c>
      <c r="AB36" s="36">
        <f t="shared" si="41"/>
        <v>0</v>
      </c>
      <c r="AC36" s="36">
        <f t="shared" si="41"/>
        <v>0</v>
      </c>
      <c r="AD36" s="36">
        <f t="shared" si="41"/>
        <v>0</v>
      </c>
      <c r="AE36" s="36">
        <f t="shared" si="41"/>
        <v>0</v>
      </c>
      <c r="AF36" s="36">
        <f t="shared" si="41"/>
        <v>0</v>
      </c>
      <c r="AG36" s="36">
        <f t="shared" si="41"/>
        <v>0</v>
      </c>
      <c r="AH36" s="36">
        <f t="shared" si="41"/>
        <v>0</v>
      </c>
      <c r="AI36" s="36">
        <f t="shared" si="41"/>
        <v>0</v>
      </c>
      <c r="AJ36" s="36">
        <f t="shared" si="41"/>
        <v>0</v>
      </c>
      <c r="AK36" s="36">
        <f t="shared" si="41"/>
        <v>0</v>
      </c>
      <c r="AL36" s="36">
        <f t="shared" si="41"/>
        <v>0</v>
      </c>
      <c r="AM36" s="36">
        <f t="shared" si="41"/>
        <v>0</v>
      </c>
      <c r="AN36" s="36">
        <f t="shared" si="41"/>
        <v>0</v>
      </c>
      <c r="AO36" s="36">
        <f t="shared" si="41"/>
        <v>0</v>
      </c>
      <c r="AP36" s="36">
        <f t="shared" si="41"/>
        <v>168888.72</v>
      </c>
      <c r="AQ36" s="36">
        <f t="shared" si="41"/>
        <v>244719.75527999998</v>
      </c>
      <c r="AR36" s="36">
        <f t="shared" si="41"/>
        <v>314639.68535999994</v>
      </c>
      <c r="AS36" s="36">
        <f t="shared" si="41"/>
        <v>384559.61543999991</v>
      </c>
      <c r="AT36" s="36">
        <f t="shared" si="41"/>
        <v>454479.54551999987</v>
      </c>
      <c r="AU36" s="36">
        <f t="shared" si="41"/>
        <v>524399.47559999989</v>
      </c>
      <c r="AV36" s="36">
        <f t="shared" si="41"/>
        <v>541879.45811999997</v>
      </c>
      <c r="AW36" s="36">
        <f t="shared" si="41"/>
        <v>559359.44063999993</v>
      </c>
      <c r="AX36" s="36">
        <f t="shared" si="41"/>
        <v>576839.42315999989</v>
      </c>
      <c r="AY36" s="36">
        <f t="shared" si="41"/>
        <v>594319.40567999997</v>
      </c>
      <c r="AZ36" s="36">
        <f t="shared" si="41"/>
        <v>611799.38819999993</v>
      </c>
      <c r="BA36" s="36">
        <f t="shared" si="41"/>
        <v>629279.37071999989</v>
      </c>
      <c r="BB36" s="36">
        <f t="shared" si="41"/>
        <v>632192.7011399999</v>
      </c>
      <c r="BC36" s="36">
        <f t="shared" si="41"/>
        <v>654159.21250680008</v>
      </c>
      <c r="BD36" s="36">
        <f t="shared" si="41"/>
        <v>657159.94283940003</v>
      </c>
      <c r="BE36" s="36">
        <f t="shared" si="41"/>
        <v>660160.67317199998</v>
      </c>
      <c r="BF36" s="36">
        <f t="shared" si="41"/>
        <v>663161.40350459993</v>
      </c>
      <c r="BG36" s="36">
        <f t="shared" si="41"/>
        <v>666162.1338372</v>
      </c>
      <c r="BH36" s="36">
        <f t="shared" si="41"/>
        <v>669162.86416979996</v>
      </c>
      <c r="BI36" s="36">
        <f t="shared" si="41"/>
        <v>672163.59450240002</v>
      </c>
      <c r="BJ36" s="36">
        <f t="shared" si="41"/>
        <v>675164.32483499998</v>
      </c>
      <c r="BK36" s="36">
        <f t="shared" si="41"/>
        <v>678165.05516759993</v>
      </c>
      <c r="BL36" s="36">
        <f t="shared" si="41"/>
        <v>681165.7855002</v>
      </c>
      <c r="BM36" s="36">
        <f t="shared" si="41"/>
        <v>684166.51583279995</v>
      </c>
      <c r="BN36" s="36">
        <f t="shared" si="41"/>
        <v>684166.51583279995</v>
      </c>
      <c r="BO36" s="36">
        <f t="shared" si="41"/>
        <v>701270.67872861994</v>
      </c>
      <c r="BP36" s="36">
        <f t="shared" si="41"/>
        <v>701270.67872861994</v>
      </c>
      <c r="BQ36" s="36">
        <f t="shared" si="41"/>
        <v>701270.67872861994</v>
      </c>
      <c r="BR36" s="36">
        <f t="shared" si="41"/>
        <v>701270.67872861994</v>
      </c>
      <c r="BS36" s="36">
        <f t="shared" si="39"/>
        <v>701270.67872861994</v>
      </c>
      <c r="BT36" s="36">
        <f t="shared" si="39"/>
        <v>701270.67872861994</v>
      </c>
      <c r="BU36" s="36">
        <f t="shared" si="39"/>
        <v>701270.67872861994</v>
      </c>
      <c r="BV36" s="36">
        <f t="shared" si="39"/>
        <v>701270.67872861994</v>
      </c>
      <c r="BW36" s="36">
        <f t="shared" si="39"/>
        <v>701270.67872861994</v>
      </c>
      <c r="BX36" s="36">
        <f t="shared" si="39"/>
        <v>701270.67872861994</v>
      </c>
      <c r="BY36" s="36">
        <f t="shared" si="39"/>
        <v>701270.67872861994</v>
      </c>
      <c r="BZ36" s="36">
        <f t="shared" si="39"/>
        <v>701270.67872861994</v>
      </c>
      <c r="CA36" s="36">
        <f t="shared" si="39"/>
        <v>718802.44569683529</v>
      </c>
      <c r="CB36" s="36">
        <f t="shared" si="39"/>
        <v>718802.44569683529</v>
      </c>
      <c r="CC36" s="36">
        <f t="shared" si="39"/>
        <v>718802.44569683529</v>
      </c>
      <c r="CD36" s="36">
        <f t="shared" si="39"/>
        <v>718802.44569683529</v>
      </c>
      <c r="CE36" s="36">
        <f t="shared" si="39"/>
        <v>718802.44569683529</v>
      </c>
      <c r="CF36" s="36">
        <f t="shared" si="39"/>
        <v>718802.44569683529</v>
      </c>
      <c r="CG36" s="36">
        <f t="shared" si="39"/>
        <v>718802.44569683529</v>
      </c>
      <c r="CH36" s="36">
        <f t="shared" si="39"/>
        <v>718802.44569683529</v>
      </c>
      <c r="CI36" s="36">
        <f t="shared" si="39"/>
        <v>718802.44569683529</v>
      </c>
      <c r="CJ36" s="36">
        <f t="shared" si="39"/>
        <v>718802.44569683529</v>
      </c>
      <c r="CK36" s="36">
        <f t="shared" si="39"/>
        <v>718802.44569683529</v>
      </c>
      <c r="CL36" s="36">
        <f t="shared" si="39"/>
        <v>718802.44569683529</v>
      </c>
      <c r="CM36" s="36">
        <f t="shared" si="39"/>
        <v>736772.50683925615</v>
      </c>
      <c r="CN36" s="36">
        <f t="shared" si="39"/>
        <v>736772.50683925615</v>
      </c>
      <c r="CO36" s="36">
        <f t="shared" si="39"/>
        <v>736772.50683925615</v>
      </c>
      <c r="CP36" s="36">
        <f t="shared" si="39"/>
        <v>736772.50683925615</v>
      </c>
      <c r="CQ36" s="36">
        <f t="shared" si="39"/>
        <v>736772.50683925615</v>
      </c>
      <c r="CR36" s="36">
        <f t="shared" si="39"/>
        <v>736772.50683925615</v>
      </c>
      <c r="CS36" s="36">
        <f t="shared" si="39"/>
        <v>736772.50683925615</v>
      </c>
      <c r="CT36" s="36">
        <f t="shared" si="39"/>
        <v>736772.50683925615</v>
      </c>
      <c r="CU36" s="36">
        <f t="shared" si="39"/>
        <v>736772.50683925615</v>
      </c>
      <c r="CV36" s="36">
        <f t="shared" si="39"/>
        <v>736772.50683925615</v>
      </c>
      <c r="CW36" s="36">
        <f t="shared" si="39"/>
        <v>736772.50683925615</v>
      </c>
      <c r="CX36" s="36">
        <f t="shared" ref="CX36:DV41" si="42">IF(CX183=0,0,$C36*(1-CX196)*CX$210)</f>
        <v>736772.50683925615</v>
      </c>
      <c r="CY36" s="36">
        <f t="shared" si="42"/>
        <v>755191.81951023743</v>
      </c>
      <c r="CZ36" s="36">
        <f t="shared" si="42"/>
        <v>755191.81951023743</v>
      </c>
      <c r="DA36" s="36">
        <f t="shared" si="42"/>
        <v>755191.81951023743</v>
      </c>
      <c r="DB36" s="36">
        <f t="shared" si="42"/>
        <v>755191.81951023743</v>
      </c>
      <c r="DC36" s="36">
        <f t="shared" si="42"/>
        <v>755191.81951023743</v>
      </c>
      <c r="DD36" s="36">
        <f t="shared" si="42"/>
        <v>755191.81951023743</v>
      </c>
      <c r="DE36" s="36">
        <f t="shared" si="42"/>
        <v>755191.81951023743</v>
      </c>
      <c r="DF36" s="36">
        <f t="shared" si="42"/>
        <v>755191.81951023743</v>
      </c>
      <c r="DG36" s="36">
        <f t="shared" si="42"/>
        <v>755191.81951023743</v>
      </c>
      <c r="DH36" s="36">
        <f t="shared" si="42"/>
        <v>755191.81951023743</v>
      </c>
      <c r="DI36" s="36">
        <f t="shared" si="42"/>
        <v>755191.81951023743</v>
      </c>
      <c r="DJ36" s="36">
        <f t="shared" si="42"/>
        <v>755191.81951023743</v>
      </c>
      <c r="DK36" s="36">
        <f t="shared" si="42"/>
        <v>774071.61499799334</v>
      </c>
      <c r="DL36" s="36">
        <f t="shared" si="42"/>
        <v>774071.61499799334</v>
      </c>
      <c r="DM36" s="36">
        <f t="shared" si="42"/>
        <v>774071.61499799334</v>
      </c>
      <c r="DN36" s="36">
        <f t="shared" si="42"/>
        <v>774071.61499799334</v>
      </c>
      <c r="DO36" s="36">
        <f t="shared" si="42"/>
        <v>774071.61499799334</v>
      </c>
      <c r="DP36" s="36">
        <f t="shared" si="42"/>
        <v>774071.61499799334</v>
      </c>
      <c r="DQ36" s="36">
        <f t="shared" si="42"/>
        <v>774071.61499799334</v>
      </c>
      <c r="DR36" s="36">
        <f t="shared" si="42"/>
        <v>774071.61499799334</v>
      </c>
      <c r="DS36" s="36">
        <f t="shared" si="42"/>
        <v>774071.61499799334</v>
      </c>
      <c r="DT36" s="36">
        <f t="shared" si="42"/>
        <v>774071.61499799334</v>
      </c>
      <c r="DU36" s="36">
        <f t="shared" si="42"/>
        <v>774071.61499799334</v>
      </c>
      <c r="DV36" s="36">
        <f t="shared" si="42"/>
        <v>774071.61499799334</v>
      </c>
    </row>
    <row r="37" spans="2:126" outlineLevel="1">
      <c r="B37" s="3" t="str">
        <f>CaseData!A20</f>
        <v>Property K</v>
      </c>
      <c r="C37" s="43">
        <f>CaseData!B20</f>
        <v>363000</v>
      </c>
      <c r="D37" s="2"/>
      <c r="E37" s="35" t="s">
        <v>0</v>
      </c>
      <c r="F37" s="35"/>
      <c r="G37" s="36">
        <f t="shared" si="41"/>
        <v>0</v>
      </c>
      <c r="H37" s="36">
        <f t="shared" si="41"/>
        <v>0</v>
      </c>
      <c r="I37" s="36">
        <f t="shared" si="41"/>
        <v>0</v>
      </c>
      <c r="J37" s="36">
        <f t="shared" si="41"/>
        <v>0</v>
      </c>
      <c r="K37" s="36">
        <f t="shared" si="41"/>
        <v>0</v>
      </c>
      <c r="L37" s="36">
        <f t="shared" si="41"/>
        <v>0</v>
      </c>
      <c r="M37" s="36">
        <f t="shared" si="41"/>
        <v>0</v>
      </c>
      <c r="N37" s="36">
        <f t="shared" si="41"/>
        <v>0</v>
      </c>
      <c r="O37" s="36">
        <f t="shared" si="41"/>
        <v>0</v>
      </c>
      <c r="P37" s="36">
        <f t="shared" si="41"/>
        <v>0</v>
      </c>
      <c r="Q37" s="36">
        <f t="shared" si="41"/>
        <v>0</v>
      </c>
      <c r="R37" s="36">
        <f t="shared" si="41"/>
        <v>0</v>
      </c>
      <c r="S37" s="36">
        <f t="shared" si="41"/>
        <v>0</v>
      </c>
      <c r="T37" s="36">
        <f t="shared" si="41"/>
        <v>0</v>
      </c>
      <c r="U37" s="36">
        <f t="shared" si="41"/>
        <v>0</v>
      </c>
      <c r="V37" s="36">
        <f t="shared" si="41"/>
        <v>0</v>
      </c>
      <c r="W37" s="36">
        <f t="shared" si="41"/>
        <v>0</v>
      </c>
      <c r="X37" s="36">
        <f t="shared" si="41"/>
        <v>0</v>
      </c>
      <c r="Y37" s="36">
        <f t="shared" si="41"/>
        <v>0</v>
      </c>
      <c r="Z37" s="36">
        <f t="shared" si="41"/>
        <v>0</v>
      </c>
      <c r="AA37" s="36">
        <f t="shared" si="41"/>
        <v>0</v>
      </c>
      <c r="AB37" s="36">
        <f t="shared" si="41"/>
        <v>0</v>
      </c>
      <c r="AC37" s="36">
        <f t="shared" si="41"/>
        <v>0</v>
      </c>
      <c r="AD37" s="36">
        <f t="shared" si="41"/>
        <v>0</v>
      </c>
      <c r="AE37" s="36">
        <f t="shared" si="41"/>
        <v>0</v>
      </c>
      <c r="AF37" s="36">
        <f t="shared" si="41"/>
        <v>0</v>
      </c>
      <c r="AG37" s="36">
        <f t="shared" si="41"/>
        <v>0</v>
      </c>
      <c r="AH37" s="36">
        <f t="shared" si="41"/>
        <v>0</v>
      </c>
      <c r="AI37" s="36">
        <f t="shared" si="41"/>
        <v>0</v>
      </c>
      <c r="AJ37" s="36">
        <f t="shared" si="41"/>
        <v>0</v>
      </c>
      <c r="AK37" s="36">
        <f t="shared" si="41"/>
        <v>0</v>
      </c>
      <c r="AL37" s="36">
        <f t="shared" si="41"/>
        <v>0</v>
      </c>
      <c r="AM37" s="36">
        <f t="shared" si="41"/>
        <v>0</v>
      </c>
      <c r="AN37" s="36">
        <f t="shared" si="41"/>
        <v>103558.455</v>
      </c>
      <c r="AO37" s="36">
        <f t="shared" si="41"/>
        <v>144981.837</v>
      </c>
      <c r="AP37" s="36">
        <f t="shared" si="41"/>
        <v>186405.21899999998</v>
      </c>
      <c r="AQ37" s="36">
        <f t="shared" si="41"/>
        <v>235802.60203499993</v>
      </c>
      <c r="AR37" s="36">
        <f t="shared" si="41"/>
        <v>278675.80240499991</v>
      </c>
      <c r="AS37" s="36">
        <f t="shared" si="41"/>
        <v>321549.00277499994</v>
      </c>
      <c r="AT37" s="36">
        <f t="shared" si="41"/>
        <v>332267.30286749994</v>
      </c>
      <c r="AU37" s="36">
        <f t="shared" si="41"/>
        <v>342985.60295999993</v>
      </c>
      <c r="AV37" s="36">
        <f t="shared" si="41"/>
        <v>353703.90305249998</v>
      </c>
      <c r="AW37" s="36">
        <f t="shared" si="41"/>
        <v>364422.20314499998</v>
      </c>
      <c r="AX37" s="36">
        <f t="shared" si="41"/>
        <v>375140.50323749997</v>
      </c>
      <c r="AY37" s="36">
        <f t="shared" si="41"/>
        <v>385858.80332999997</v>
      </c>
      <c r="AZ37" s="36">
        <f t="shared" si="41"/>
        <v>387645.18667874997</v>
      </c>
      <c r="BA37" s="36">
        <f t="shared" si="41"/>
        <v>389431.57002749993</v>
      </c>
      <c r="BB37" s="36">
        <f t="shared" si="41"/>
        <v>391217.95337624993</v>
      </c>
      <c r="BC37" s="36">
        <f t="shared" si="41"/>
        <v>404794.46682674997</v>
      </c>
      <c r="BD37" s="36">
        <f t="shared" si="41"/>
        <v>406634.44167596247</v>
      </c>
      <c r="BE37" s="36">
        <f t="shared" si="41"/>
        <v>408474.41652517498</v>
      </c>
      <c r="BF37" s="36">
        <f t="shared" si="41"/>
        <v>410314.39137438749</v>
      </c>
      <c r="BG37" s="36">
        <f t="shared" si="41"/>
        <v>412154.36622359999</v>
      </c>
      <c r="BH37" s="36">
        <f t="shared" si="41"/>
        <v>413994.3410728125</v>
      </c>
      <c r="BI37" s="36">
        <f t="shared" si="41"/>
        <v>415834.31592202501</v>
      </c>
      <c r="BJ37" s="36">
        <f t="shared" si="41"/>
        <v>417674.29077123752</v>
      </c>
      <c r="BK37" s="36">
        <f t="shared" si="41"/>
        <v>419514.26562044997</v>
      </c>
      <c r="BL37" s="36">
        <f t="shared" si="41"/>
        <v>419514.26562044997</v>
      </c>
      <c r="BM37" s="36">
        <f t="shared" si="41"/>
        <v>419514.26562044997</v>
      </c>
      <c r="BN37" s="36">
        <f t="shared" si="41"/>
        <v>419514.26562044997</v>
      </c>
      <c r="BO37" s="36">
        <f t="shared" si="41"/>
        <v>430002.12226096122</v>
      </c>
      <c r="BP37" s="36">
        <f t="shared" si="41"/>
        <v>430002.12226096122</v>
      </c>
      <c r="BQ37" s="36">
        <f t="shared" si="41"/>
        <v>430002.12226096122</v>
      </c>
      <c r="BR37" s="36">
        <f t="shared" si="41"/>
        <v>430002.12226096122</v>
      </c>
      <c r="BS37" s="36">
        <f t="shared" ref="BS37:CX41" si="43">IF(BS184=0,0,$C37*(1-BS197)*BS$210)</f>
        <v>430002.12226096122</v>
      </c>
      <c r="BT37" s="36">
        <f t="shared" si="43"/>
        <v>430002.12226096122</v>
      </c>
      <c r="BU37" s="36">
        <f t="shared" si="43"/>
        <v>430002.12226096122</v>
      </c>
      <c r="BV37" s="36">
        <f t="shared" si="43"/>
        <v>430002.12226096122</v>
      </c>
      <c r="BW37" s="36">
        <f t="shared" si="43"/>
        <v>430002.12226096122</v>
      </c>
      <c r="BX37" s="36">
        <f t="shared" si="43"/>
        <v>430002.12226096122</v>
      </c>
      <c r="BY37" s="36">
        <f t="shared" si="43"/>
        <v>430002.12226096122</v>
      </c>
      <c r="BZ37" s="36">
        <f t="shared" si="43"/>
        <v>430002.12226096122</v>
      </c>
      <c r="CA37" s="36">
        <f t="shared" si="43"/>
        <v>440752.17531748518</v>
      </c>
      <c r="CB37" s="36">
        <f t="shared" si="43"/>
        <v>440752.17531748518</v>
      </c>
      <c r="CC37" s="36">
        <f t="shared" si="43"/>
        <v>440752.17531748518</v>
      </c>
      <c r="CD37" s="36">
        <f t="shared" si="43"/>
        <v>440752.17531748518</v>
      </c>
      <c r="CE37" s="36">
        <f t="shared" si="43"/>
        <v>440752.17531748518</v>
      </c>
      <c r="CF37" s="36">
        <f t="shared" si="43"/>
        <v>440752.17531748518</v>
      </c>
      <c r="CG37" s="36">
        <f t="shared" si="43"/>
        <v>440752.17531748518</v>
      </c>
      <c r="CH37" s="36">
        <f t="shared" si="43"/>
        <v>440752.17531748518</v>
      </c>
      <c r="CI37" s="36">
        <f t="shared" si="43"/>
        <v>440752.17531748518</v>
      </c>
      <c r="CJ37" s="36">
        <f t="shared" si="43"/>
        <v>440752.17531748518</v>
      </c>
      <c r="CK37" s="36">
        <f t="shared" si="43"/>
        <v>440752.17531748518</v>
      </c>
      <c r="CL37" s="36">
        <f t="shared" si="43"/>
        <v>440752.17531748518</v>
      </c>
      <c r="CM37" s="36">
        <f t="shared" si="43"/>
        <v>451770.97970042226</v>
      </c>
      <c r="CN37" s="36">
        <f t="shared" si="43"/>
        <v>451770.97970042226</v>
      </c>
      <c r="CO37" s="36">
        <f t="shared" si="43"/>
        <v>451770.97970042226</v>
      </c>
      <c r="CP37" s="36">
        <f t="shared" si="43"/>
        <v>451770.97970042226</v>
      </c>
      <c r="CQ37" s="36">
        <f t="shared" si="43"/>
        <v>451770.97970042226</v>
      </c>
      <c r="CR37" s="36">
        <f t="shared" si="43"/>
        <v>451770.97970042226</v>
      </c>
      <c r="CS37" s="36">
        <f t="shared" si="43"/>
        <v>451770.97970042226</v>
      </c>
      <c r="CT37" s="36">
        <f t="shared" si="43"/>
        <v>451770.97970042226</v>
      </c>
      <c r="CU37" s="36">
        <f t="shared" si="43"/>
        <v>451770.97970042226</v>
      </c>
      <c r="CV37" s="36">
        <f t="shared" si="43"/>
        <v>451770.97970042226</v>
      </c>
      <c r="CW37" s="36">
        <f t="shared" si="43"/>
        <v>451770.97970042226</v>
      </c>
      <c r="CX37" s="36">
        <f t="shared" si="43"/>
        <v>451770.97970042226</v>
      </c>
      <c r="CY37" s="36">
        <f t="shared" si="42"/>
        <v>463065.2541929328</v>
      </c>
      <c r="CZ37" s="36">
        <f t="shared" si="42"/>
        <v>463065.2541929328</v>
      </c>
      <c r="DA37" s="36">
        <f t="shared" si="42"/>
        <v>463065.2541929328</v>
      </c>
      <c r="DB37" s="36">
        <f t="shared" si="42"/>
        <v>463065.2541929328</v>
      </c>
      <c r="DC37" s="36">
        <f t="shared" si="42"/>
        <v>463065.2541929328</v>
      </c>
      <c r="DD37" s="36">
        <f t="shared" si="42"/>
        <v>463065.2541929328</v>
      </c>
      <c r="DE37" s="36">
        <f t="shared" si="42"/>
        <v>463065.2541929328</v>
      </c>
      <c r="DF37" s="36">
        <f t="shared" si="42"/>
        <v>463065.2541929328</v>
      </c>
      <c r="DG37" s="36">
        <f t="shared" si="42"/>
        <v>463065.2541929328</v>
      </c>
      <c r="DH37" s="36">
        <f t="shared" si="42"/>
        <v>463065.2541929328</v>
      </c>
      <c r="DI37" s="36">
        <f t="shared" si="42"/>
        <v>463065.2541929328</v>
      </c>
      <c r="DJ37" s="36">
        <f t="shared" si="42"/>
        <v>463065.2541929328</v>
      </c>
      <c r="DK37" s="36">
        <f t="shared" si="42"/>
        <v>474641.88554775604</v>
      </c>
      <c r="DL37" s="36">
        <f t="shared" si="42"/>
        <v>474641.88554775604</v>
      </c>
      <c r="DM37" s="36">
        <f t="shared" si="42"/>
        <v>474641.88554775604</v>
      </c>
      <c r="DN37" s="36">
        <f t="shared" si="42"/>
        <v>474641.88554775604</v>
      </c>
      <c r="DO37" s="36">
        <f t="shared" si="42"/>
        <v>474641.88554775604</v>
      </c>
      <c r="DP37" s="36">
        <f t="shared" si="42"/>
        <v>474641.88554775604</v>
      </c>
      <c r="DQ37" s="36">
        <f t="shared" si="42"/>
        <v>474641.88554775604</v>
      </c>
      <c r="DR37" s="36">
        <f t="shared" si="42"/>
        <v>474641.88554775604</v>
      </c>
      <c r="DS37" s="36">
        <f t="shared" si="42"/>
        <v>474641.88554775604</v>
      </c>
      <c r="DT37" s="36">
        <f t="shared" si="42"/>
        <v>474641.88554775604</v>
      </c>
      <c r="DU37" s="36">
        <f t="shared" si="42"/>
        <v>474641.88554775604</v>
      </c>
      <c r="DV37" s="36">
        <f t="shared" si="42"/>
        <v>474641.88554775604</v>
      </c>
    </row>
    <row r="38" spans="2:126" outlineLevel="1">
      <c r="B38" s="3" t="str">
        <f>CaseData!A21</f>
        <v>Property L</v>
      </c>
      <c r="C38" s="43">
        <f>CaseData!B21</f>
        <v>732000</v>
      </c>
      <c r="D38" s="2"/>
      <c r="E38" s="35" t="s">
        <v>0</v>
      </c>
      <c r="F38" s="35"/>
      <c r="G38" s="36">
        <f t="shared" si="41"/>
        <v>0</v>
      </c>
      <c r="H38" s="36">
        <f t="shared" si="41"/>
        <v>0</v>
      </c>
      <c r="I38" s="36">
        <f t="shared" si="41"/>
        <v>0</v>
      </c>
      <c r="J38" s="36">
        <f t="shared" si="41"/>
        <v>0</v>
      </c>
      <c r="K38" s="36">
        <f t="shared" si="41"/>
        <v>0</v>
      </c>
      <c r="L38" s="36">
        <f t="shared" si="41"/>
        <v>0</v>
      </c>
      <c r="M38" s="36">
        <f t="shared" si="41"/>
        <v>0</v>
      </c>
      <c r="N38" s="36">
        <f t="shared" si="41"/>
        <v>0</v>
      </c>
      <c r="O38" s="36">
        <f t="shared" si="41"/>
        <v>0</v>
      </c>
      <c r="P38" s="36">
        <f t="shared" si="41"/>
        <v>0</v>
      </c>
      <c r="Q38" s="36">
        <f t="shared" si="41"/>
        <v>0</v>
      </c>
      <c r="R38" s="36">
        <f t="shared" si="41"/>
        <v>0</v>
      </c>
      <c r="S38" s="36">
        <f t="shared" si="41"/>
        <v>0</v>
      </c>
      <c r="T38" s="36">
        <f t="shared" si="41"/>
        <v>0</v>
      </c>
      <c r="U38" s="36">
        <f t="shared" si="41"/>
        <v>0</v>
      </c>
      <c r="V38" s="36">
        <f t="shared" si="41"/>
        <v>0</v>
      </c>
      <c r="W38" s="36">
        <f t="shared" si="41"/>
        <v>0</v>
      </c>
      <c r="X38" s="36">
        <f t="shared" si="41"/>
        <v>0</v>
      </c>
      <c r="Y38" s="36">
        <f t="shared" si="41"/>
        <v>0</v>
      </c>
      <c r="Z38" s="36">
        <f t="shared" si="41"/>
        <v>0</v>
      </c>
      <c r="AA38" s="36">
        <f t="shared" si="41"/>
        <v>0</v>
      </c>
      <c r="AB38" s="36">
        <f t="shared" si="41"/>
        <v>0</v>
      </c>
      <c r="AC38" s="36">
        <f t="shared" si="41"/>
        <v>0</v>
      </c>
      <c r="AD38" s="36">
        <f t="shared" si="41"/>
        <v>0</v>
      </c>
      <c r="AE38" s="36">
        <f t="shared" si="41"/>
        <v>0</v>
      </c>
      <c r="AF38" s="36">
        <f t="shared" si="41"/>
        <v>0</v>
      </c>
      <c r="AG38" s="36">
        <f t="shared" si="41"/>
        <v>0</v>
      </c>
      <c r="AH38" s="36">
        <f t="shared" si="41"/>
        <v>0</v>
      </c>
      <c r="AI38" s="36">
        <f t="shared" si="41"/>
        <v>0</v>
      </c>
      <c r="AJ38" s="36">
        <f t="shared" si="41"/>
        <v>0</v>
      </c>
      <c r="AK38" s="36">
        <f t="shared" si="41"/>
        <v>0</v>
      </c>
      <c r="AL38" s="36">
        <f t="shared" si="41"/>
        <v>0</v>
      </c>
      <c r="AM38" s="36">
        <f t="shared" si="41"/>
        <v>0</v>
      </c>
      <c r="AN38" s="36">
        <f t="shared" si="41"/>
        <v>0</v>
      </c>
      <c r="AO38" s="36">
        <f t="shared" si="41"/>
        <v>0</v>
      </c>
      <c r="AP38" s="36">
        <f t="shared" si="41"/>
        <v>0</v>
      </c>
      <c r="AQ38" s="36">
        <f t="shared" si="41"/>
        <v>0</v>
      </c>
      <c r="AR38" s="36">
        <f t="shared" si="41"/>
        <v>0</v>
      </c>
      <c r="AS38" s="36">
        <f t="shared" si="41"/>
        <v>0</v>
      </c>
      <c r="AT38" s="36">
        <f t="shared" si="41"/>
        <v>0</v>
      </c>
      <c r="AU38" s="36">
        <f t="shared" si="41"/>
        <v>0</v>
      </c>
      <c r="AV38" s="36">
        <f t="shared" si="41"/>
        <v>0</v>
      </c>
      <c r="AW38" s="36">
        <f t="shared" si="41"/>
        <v>0</v>
      </c>
      <c r="AX38" s="36">
        <f t="shared" si="41"/>
        <v>0</v>
      </c>
      <c r="AY38" s="36">
        <f t="shared" si="41"/>
        <v>0</v>
      </c>
      <c r="AZ38" s="36">
        <f t="shared" si="41"/>
        <v>0</v>
      </c>
      <c r="BA38" s="36">
        <f t="shared" si="41"/>
        <v>0</v>
      </c>
      <c r="BB38" s="36">
        <f t="shared" si="41"/>
        <v>0</v>
      </c>
      <c r="BC38" s="36">
        <f t="shared" si="41"/>
        <v>0</v>
      </c>
      <c r="BD38" s="36">
        <f t="shared" si="41"/>
        <v>0</v>
      </c>
      <c r="BE38" s="36">
        <f t="shared" si="41"/>
        <v>222621.750351</v>
      </c>
      <c r="BF38" s="36">
        <f t="shared" si="41"/>
        <v>311670.45049139997</v>
      </c>
      <c r="BG38" s="36">
        <f t="shared" si="41"/>
        <v>400719.15063179994</v>
      </c>
      <c r="BH38" s="36">
        <f t="shared" si="41"/>
        <v>489767.85077219992</v>
      </c>
      <c r="BI38" s="36">
        <f t="shared" si="41"/>
        <v>578816.55091259989</v>
      </c>
      <c r="BJ38" s="36">
        <f t="shared" si="41"/>
        <v>667865.25105299999</v>
      </c>
      <c r="BK38" s="36">
        <f t="shared" si="41"/>
        <v>690127.42608809995</v>
      </c>
      <c r="BL38" s="36">
        <f t="shared" si="41"/>
        <v>712389.60112320003</v>
      </c>
      <c r="BM38" s="36">
        <f t="shared" si="41"/>
        <v>734651.7761583</v>
      </c>
      <c r="BN38" s="36">
        <f t="shared" si="41"/>
        <v>756913.95119339996</v>
      </c>
      <c r="BO38" s="36">
        <f t="shared" si="41"/>
        <v>798655.52938421234</v>
      </c>
      <c r="BP38" s="36">
        <f t="shared" si="41"/>
        <v>821474.2587951899</v>
      </c>
      <c r="BQ38" s="36">
        <f t="shared" si="41"/>
        <v>825277.38036368613</v>
      </c>
      <c r="BR38" s="36">
        <f t="shared" si="41"/>
        <v>829080.50193218235</v>
      </c>
      <c r="BS38" s="36">
        <f t="shared" si="43"/>
        <v>832883.62350067857</v>
      </c>
      <c r="BT38" s="36">
        <f t="shared" si="43"/>
        <v>836686.74506917491</v>
      </c>
      <c r="BU38" s="36">
        <f t="shared" si="43"/>
        <v>840489.86663767113</v>
      </c>
      <c r="BV38" s="36">
        <f t="shared" si="43"/>
        <v>844292.98820616736</v>
      </c>
      <c r="BW38" s="36">
        <f t="shared" si="43"/>
        <v>848096.10977466358</v>
      </c>
      <c r="BX38" s="36">
        <f t="shared" si="43"/>
        <v>851899.23134315992</v>
      </c>
      <c r="BY38" s="36">
        <f t="shared" si="43"/>
        <v>855702.35291165614</v>
      </c>
      <c r="BZ38" s="36">
        <f t="shared" si="43"/>
        <v>859505.47448015236</v>
      </c>
      <c r="CA38" s="36">
        <f t="shared" si="43"/>
        <v>884891.3109498648</v>
      </c>
      <c r="CB38" s="36">
        <f t="shared" si="43"/>
        <v>888789.51055757341</v>
      </c>
      <c r="CC38" s="36">
        <f t="shared" si="43"/>
        <v>888789.51055757341</v>
      </c>
      <c r="CD38" s="36">
        <f t="shared" si="43"/>
        <v>888789.51055757341</v>
      </c>
      <c r="CE38" s="36">
        <f t="shared" si="43"/>
        <v>888789.51055757341</v>
      </c>
      <c r="CF38" s="36">
        <f t="shared" si="43"/>
        <v>888789.51055757341</v>
      </c>
      <c r="CG38" s="36">
        <f t="shared" si="43"/>
        <v>888789.51055757341</v>
      </c>
      <c r="CH38" s="36">
        <f t="shared" si="43"/>
        <v>888789.51055757341</v>
      </c>
      <c r="CI38" s="36">
        <f t="shared" si="43"/>
        <v>888789.51055757341</v>
      </c>
      <c r="CJ38" s="36">
        <f t="shared" si="43"/>
        <v>888789.51055757341</v>
      </c>
      <c r="CK38" s="36">
        <f t="shared" si="43"/>
        <v>888789.51055757341</v>
      </c>
      <c r="CL38" s="36">
        <f t="shared" si="43"/>
        <v>888789.51055757341</v>
      </c>
      <c r="CM38" s="36">
        <f t="shared" si="43"/>
        <v>911009.24832151271</v>
      </c>
      <c r="CN38" s="36">
        <f t="shared" si="43"/>
        <v>911009.24832151271</v>
      </c>
      <c r="CO38" s="36">
        <f t="shared" si="43"/>
        <v>911009.24832151271</v>
      </c>
      <c r="CP38" s="36">
        <f t="shared" si="43"/>
        <v>911009.24832151271</v>
      </c>
      <c r="CQ38" s="36">
        <f t="shared" si="43"/>
        <v>911009.24832151271</v>
      </c>
      <c r="CR38" s="36">
        <f t="shared" si="43"/>
        <v>911009.24832151271</v>
      </c>
      <c r="CS38" s="36">
        <f t="shared" si="43"/>
        <v>911009.24832151271</v>
      </c>
      <c r="CT38" s="36">
        <f t="shared" si="43"/>
        <v>911009.24832151271</v>
      </c>
      <c r="CU38" s="36">
        <f t="shared" si="43"/>
        <v>911009.24832151271</v>
      </c>
      <c r="CV38" s="36">
        <f t="shared" si="43"/>
        <v>911009.24832151271</v>
      </c>
      <c r="CW38" s="36">
        <f t="shared" si="43"/>
        <v>911009.24832151271</v>
      </c>
      <c r="CX38" s="36">
        <f t="shared" si="43"/>
        <v>911009.24832151271</v>
      </c>
      <c r="CY38" s="36">
        <f t="shared" si="42"/>
        <v>933784.47952955042</v>
      </c>
      <c r="CZ38" s="36">
        <f t="shared" si="42"/>
        <v>933784.47952955042</v>
      </c>
      <c r="DA38" s="36">
        <f t="shared" si="42"/>
        <v>933784.47952955042</v>
      </c>
      <c r="DB38" s="36">
        <f t="shared" si="42"/>
        <v>933784.47952955042</v>
      </c>
      <c r="DC38" s="36">
        <f t="shared" si="42"/>
        <v>933784.47952955042</v>
      </c>
      <c r="DD38" s="36">
        <f t="shared" si="42"/>
        <v>933784.47952955042</v>
      </c>
      <c r="DE38" s="36">
        <f t="shared" si="42"/>
        <v>933784.47952955042</v>
      </c>
      <c r="DF38" s="36">
        <f t="shared" si="42"/>
        <v>933784.47952955042</v>
      </c>
      <c r="DG38" s="36">
        <f t="shared" si="42"/>
        <v>933784.47952955042</v>
      </c>
      <c r="DH38" s="36">
        <f t="shared" si="42"/>
        <v>933784.47952955042</v>
      </c>
      <c r="DI38" s="36">
        <f t="shared" si="42"/>
        <v>933784.47952955042</v>
      </c>
      <c r="DJ38" s="36">
        <f t="shared" si="42"/>
        <v>933784.47952955042</v>
      </c>
      <c r="DK38" s="36">
        <f t="shared" si="42"/>
        <v>957129.09151778906</v>
      </c>
      <c r="DL38" s="36">
        <f t="shared" si="42"/>
        <v>957129.09151778906</v>
      </c>
      <c r="DM38" s="36">
        <f t="shared" si="42"/>
        <v>957129.09151778906</v>
      </c>
      <c r="DN38" s="36">
        <f t="shared" si="42"/>
        <v>957129.09151778906</v>
      </c>
      <c r="DO38" s="36">
        <f t="shared" si="42"/>
        <v>957129.09151778906</v>
      </c>
      <c r="DP38" s="36">
        <f t="shared" si="42"/>
        <v>957129.09151778906</v>
      </c>
      <c r="DQ38" s="36">
        <f t="shared" si="42"/>
        <v>957129.09151778906</v>
      </c>
      <c r="DR38" s="36">
        <f t="shared" si="42"/>
        <v>957129.09151778906</v>
      </c>
      <c r="DS38" s="36">
        <f t="shared" si="42"/>
        <v>957129.09151778906</v>
      </c>
      <c r="DT38" s="36">
        <f t="shared" si="42"/>
        <v>957129.09151778906</v>
      </c>
      <c r="DU38" s="36">
        <f t="shared" si="42"/>
        <v>957129.09151778906</v>
      </c>
      <c r="DV38" s="36">
        <f t="shared" si="42"/>
        <v>957129.09151778906</v>
      </c>
    </row>
    <row r="39" spans="2:126" outlineLevel="1">
      <c r="B39" s="3" t="str">
        <f>CaseData!A22</f>
        <v>Property M</v>
      </c>
      <c r="C39" s="43">
        <f>CaseData!B22</f>
        <v>538000</v>
      </c>
      <c r="D39" s="2"/>
      <c r="E39" s="35" t="s">
        <v>0</v>
      </c>
      <c r="F39" s="35"/>
      <c r="G39" s="36">
        <f t="shared" si="41"/>
        <v>0</v>
      </c>
      <c r="H39" s="36">
        <f t="shared" si="41"/>
        <v>0</v>
      </c>
      <c r="I39" s="36">
        <f t="shared" si="41"/>
        <v>0</v>
      </c>
      <c r="J39" s="36">
        <f t="shared" si="41"/>
        <v>0</v>
      </c>
      <c r="K39" s="36">
        <f t="shared" si="41"/>
        <v>0</v>
      </c>
      <c r="L39" s="36">
        <f t="shared" si="41"/>
        <v>0</v>
      </c>
      <c r="M39" s="36">
        <f t="shared" si="41"/>
        <v>0</v>
      </c>
      <c r="N39" s="36">
        <f t="shared" si="41"/>
        <v>0</v>
      </c>
      <c r="O39" s="36">
        <f t="shared" si="41"/>
        <v>0</v>
      </c>
      <c r="P39" s="36">
        <f t="shared" si="41"/>
        <v>0</v>
      </c>
      <c r="Q39" s="36">
        <f t="shared" si="41"/>
        <v>0</v>
      </c>
      <c r="R39" s="36">
        <f t="shared" si="41"/>
        <v>0</v>
      </c>
      <c r="S39" s="36">
        <f t="shared" si="41"/>
        <v>0</v>
      </c>
      <c r="T39" s="36">
        <f t="shared" si="41"/>
        <v>0</v>
      </c>
      <c r="U39" s="36">
        <f t="shared" si="41"/>
        <v>0</v>
      </c>
      <c r="V39" s="36">
        <f t="shared" si="41"/>
        <v>0</v>
      </c>
      <c r="W39" s="36">
        <f t="shared" si="41"/>
        <v>0</v>
      </c>
      <c r="X39" s="36">
        <f t="shared" si="41"/>
        <v>0</v>
      </c>
      <c r="Y39" s="36">
        <f t="shared" si="41"/>
        <v>0</v>
      </c>
      <c r="Z39" s="36">
        <f t="shared" si="41"/>
        <v>0</v>
      </c>
      <c r="AA39" s="36">
        <f t="shared" si="41"/>
        <v>0</v>
      </c>
      <c r="AB39" s="36">
        <f t="shared" si="41"/>
        <v>0</v>
      </c>
      <c r="AC39" s="36">
        <f t="shared" si="41"/>
        <v>0</v>
      </c>
      <c r="AD39" s="36">
        <f t="shared" si="41"/>
        <v>0</v>
      </c>
      <c r="AE39" s="36">
        <f t="shared" si="41"/>
        <v>0</v>
      </c>
      <c r="AF39" s="36">
        <f t="shared" si="41"/>
        <v>0</v>
      </c>
      <c r="AG39" s="36">
        <f t="shared" si="41"/>
        <v>0</v>
      </c>
      <c r="AH39" s="36">
        <f t="shared" si="41"/>
        <v>0</v>
      </c>
      <c r="AI39" s="36">
        <f t="shared" si="41"/>
        <v>0</v>
      </c>
      <c r="AJ39" s="36">
        <f t="shared" si="41"/>
        <v>0</v>
      </c>
      <c r="AK39" s="36">
        <f t="shared" si="41"/>
        <v>0</v>
      </c>
      <c r="AL39" s="36">
        <f t="shared" si="41"/>
        <v>0</v>
      </c>
      <c r="AM39" s="36">
        <f t="shared" si="41"/>
        <v>0</v>
      </c>
      <c r="AN39" s="36">
        <f t="shared" si="41"/>
        <v>0</v>
      </c>
      <c r="AO39" s="36">
        <f t="shared" si="41"/>
        <v>0</v>
      </c>
      <c r="AP39" s="36">
        <f t="shared" si="41"/>
        <v>0</v>
      </c>
      <c r="AQ39" s="36">
        <f t="shared" si="41"/>
        <v>0</v>
      </c>
      <c r="AR39" s="36">
        <f t="shared" si="41"/>
        <v>0</v>
      </c>
      <c r="AS39" s="36">
        <f t="shared" si="41"/>
        <v>0</v>
      </c>
      <c r="AT39" s="36">
        <f t="shared" si="41"/>
        <v>0</v>
      </c>
      <c r="AU39" s="36">
        <f t="shared" si="41"/>
        <v>0</v>
      </c>
      <c r="AV39" s="36">
        <f t="shared" si="41"/>
        <v>0</v>
      </c>
      <c r="AW39" s="36">
        <f t="shared" si="41"/>
        <v>0</v>
      </c>
      <c r="AX39" s="36">
        <f t="shared" si="41"/>
        <v>0</v>
      </c>
      <c r="AY39" s="36">
        <f t="shared" si="41"/>
        <v>0</v>
      </c>
      <c r="AZ39" s="36">
        <f t="shared" si="41"/>
        <v>0</v>
      </c>
      <c r="BA39" s="36">
        <f t="shared" si="41"/>
        <v>0</v>
      </c>
      <c r="BB39" s="36">
        <f t="shared" si="41"/>
        <v>0</v>
      </c>
      <c r="BC39" s="36">
        <f t="shared" si="41"/>
        <v>0</v>
      </c>
      <c r="BD39" s="36">
        <f t="shared" si="41"/>
        <v>0</v>
      </c>
      <c r="BE39" s="36">
        <f t="shared" si="41"/>
        <v>163620.90394650001</v>
      </c>
      <c r="BF39" s="36">
        <f t="shared" si="41"/>
        <v>229069.2655251</v>
      </c>
      <c r="BG39" s="36">
        <f t="shared" si="41"/>
        <v>294517.62710369995</v>
      </c>
      <c r="BH39" s="36">
        <f t="shared" si="41"/>
        <v>359965.98868229991</v>
      </c>
      <c r="BI39" s="36">
        <f t="shared" si="41"/>
        <v>425414.35026089993</v>
      </c>
      <c r="BJ39" s="36">
        <f t="shared" si="41"/>
        <v>490862.7118395</v>
      </c>
      <c r="BK39" s="36">
        <f t="shared" si="41"/>
        <v>507224.80223415</v>
      </c>
      <c r="BL39" s="36">
        <f t="shared" si="41"/>
        <v>523586.89262880001</v>
      </c>
      <c r="BM39" s="36">
        <f t="shared" si="41"/>
        <v>539948.98302345001</v>
      </c>
      <c r="BN39" s="36">
        <f t="shared" si="41"/>
        <v>556311.07341810002</v>
      </c>
      <c r="BO39" s="36">
        <f t="shared" si="41"/>
        <v>586989.9929080687</v>
      </c>
      <c r="BP39" s="36">
        <f t="shared" si="41"/>
        <v>603761.13556258497</v>
      </c>
      <c r="BQ39" s="36">
        <f t="shared" si="41"/>
        <v>606556.32600500435</v>
      </c>
      <c r="BR39" s="36">
        <f t="shared" ref="BR39" si="44">IF(BR186=0,0,$C39*(1-BR199)*BR$210)</f>
        <v>609351.51644742361</v>
      </c>
      <c r="BS39" s="36">
        <f t="shared" si="43"/>
        <v>612146.70688984299</v>
      </c>
      <c r="BT39" s="36">
        <f t="shared" si="43"/>
        <v>614941.89733226236</v>
      </c>
      <c r="BU39" s="36">
        <f t="shared" si="43"/>
        <v>617737.08777468174</v>
      </c>
      <c r="BV39" s="36">
        <f t="shared" si="43"/>
        <v>620532.27821710112</v>
      </c>
      <c r="BW39" s="36">
        <f t="shared" si="43"/>
        <v>623327.46865952061</v>
      </c>
      <c r="BX39" s="36">
        <f t="shared" si="43"/>
        <v>626122.65910193988</v>
      </c>
      <c r="BY39" s="36">
        <f t="shared" si="43"/>
        <v>628917.84954435925</v>
      </c>
      <c r="BZ39" s="36">
        <f t="shared" si="43"/>
        <v>631713.03998677863</v>
      </c>
      <c r="CA39" s="36">
        <f t="shared" si="43"/>
        <v>650370.93618992786</v>
      </c>
      <c r="CB39" s="36">
        <f t="shared" si="43"/>
        <v>653236.00639340782</v>
      </c>
      <c r="CC39" s="36">
        <f t="shared" si="43"/>
        <v>653236.00639340782</v>
      </c>
      <c r="CD39" s="36">
        <f t="shared" si="43"/>
        <v>653236.00639340782</v>
      </c>
      <c r="CE39" s="36">
        <f t="shared" si="43"/>
        <v>653236.00639340782</v>
      </c>
      <c r="CF39" s="36">
        <f t="shared" si="43"/>
        <v>653236.00639340782</v>
      </c>
      <c r="CG39" s="36">
        <f t="shared" si="43"/>
        <v>653236.00639340782</v>
      </c>
      <c r="CH39" s="36">
        <f t="shared" si="43"/>
        <v>653236.00639340782</v>
      </c>
      <c r="CI39" s="36">
        <f t="shared" si="43"/>
        <v>653236.00639340782</v>
      </c>
      <c r="CJ39" s="36">
        <f t="shared" si="43"/>
        <v>653236.00639340782</v>
      </c>
      <c r="CK39" s="36">
        <f t="shared" si="43"/>
        <v>653236.00639340782</v>
      </c>
      <c r="CL39" s="36">
        <f t="shared" si="43"/>
        <v>653236.00639340782</v>
      </c>
      <c r="CM39" s="36">
        <f t="shared" si="43"/>
        <v>669566.90655324294</v>
      </c>
      <c r="CN39" s="36">
        <f t="shared" si="43"/>
        <v>669566.90655324294</v>
      </c>
      <c r="CO39" s="36">
        <f t="shared" si="43"/>
        <v>669566.90655324294</v>
      </c>
      <c r="CP39" s="36">
        <f t="shared" si="43"/>
        <v>669566.90655324294</v>
      </c>
      <c r="CQ39" s="36">
        <f t="shared" si="43"/>
        <v>669566.90655324294</v>
      </c>
      <c r="CR39" s="36">
        <f t="shared" si="43"/>
        <v>669566.90655324294</v>
      </c>
      <c r="CS39" s="36">
        <f t="shared" si="43"/>
        <v>669566.90655324294</v>
      </c>
      <c r="CT39" s="36">
        <f t="shared" si="43"/>
        <v>669566.90655324294</v>
      </c>
      <c r="CU39" s="36">
        <f t="shared" si="43"/>
        <v>669566.90655324294</v>
      </c>
      <c r="CV39" s="36">
        <f t="shared" si="43"/>
        <v>669566.90655324294</v>
      </c>
      <c r="CW39" s="36">
        <f t="shared" si="43"/>
        <v>669566.90655324294</v>
      </c>
      <c r="CX39" s="36">
        <f t="shared" si="43"/>
        <v>669566.90655324294</v>
      </c>
      <c r="CY39" s="36">
        <f t="shared" si="42"/>
        <v>686306.07921707397</v>
      </c>
      <c r="CZ39" s="36">
        <f t="shared" si="42"/>
        <v>686306.07921707397</v>
      </c>
      <c r="DA39" s="36">
        <f t="shared" si="42"/>
        <v>686306.07921707397</v>
      </c>
      <c r="DB39" s="36">
        <f t="shared" si="42"/>
        <v>686306.07921707397</v>
      </c>
      <c r="DC39" s="36">
        <f t="shared" si="42"/>
        <v>686306.07921707397</v>
      </c>
      <c r="DD39" s="36">
        <f t="shared" si="42"/>
        <v>686306.07921707397</v>
      </c>
      <c r="DE39" s="36">
        <f t="shared" si="42"/>
        <v>686306.07921707397</v>
      </c>
      <c r="DF39" s="36">
        <f t="shared" si="42"/>
        <v>686306.07921707397</v>
      </c>
      <c r="DG39" s="36">
        <f t="shared" si="42"/>
        <v>686306.07921707397</v>
      </c>
      <c r="DH39" s="36">
        <f t="shared" si="42"/>
        <v>686306.07921707397</v>
      </c>
      <c r="DI39" s="36">
        <f t="shared" si="42"/>
        <v>686306.07921707397</v>
      </c>
      <c r="DJ39" s="36">
        <f t="shared" si="42"/>
        <v>686306.07921707397</v>
      </c>
      <c r="DK39" s="36">
        <f t="shared" si="42"/>
        <v>703463.73119750072</v>
      </c>
      <c r="DL39" s="36">
        <f t="shared" si="42"/>
        <v>703463.73119750072</v>
      </c>
      <c r="DM39" s="36">
        <f t="shared" si="42"/>
        <v>703463.73119750072</v>
      </c>
      <c r="DN39" s="36">
        <f t="shared" si="42"/>
        <v>703463.73119750072</v>
      </c>
      <c r="DO39" s="36">
        <f t="shared" si="42"/>
        <v>703463.73119750072</v>
      </c>
      <c r="DP39" s="36">
        <f t="shared" si="42"/>
        <v>703463.73119750072</v>
      </c>
      <c r="DQ39" s="36">
        <f t="shared" si="42"/>
        <v>703463.73119750072</v>
      </c>
      <c r="DR39" s="36">
        <f t="shared" si="42"/>
        <v>703463.73119750072</v>
      </c>
      <c r="DS39" s="36">
        <f t="shared" si="42"/>
        <v>703463.73119750072</v>
      </c>
      <c r="DT39" s="36">
        <f t="shared" si="42"/>
        <v>703463.73119750072</v>
      </c>
      <c r="DU39" s="36">
        <f t="shared" si="42"/>
        <v>703463.73119750072</v>
      </c>
      <c r="DV39" s="36">
        <f t="shared" si="42"/>
        <v>703463.73119750072</v>
      </c>
    </row>
    <row r="40" spans="2:126" outlineLevel="1">
      <c r="B40" s="3" t="str">
        <f>CaseData!A23</f>
        <v>Property N</v>
      </c>
      <c r="C40" s="43">
        <f>CaseData!B23</f>
        <v>748000</v>
      </c>
      <c r="D40" s="2"/>
      <c r="E40" s="35" t="s">
        <v>0</v>
      </c>
      <c r="F40" s="35"/>
      <c r="G40" s="36">
        <f t="shared" ref="G40:BR41" si="45">IF(G187=0,0,$C40*(1-G200)*G$210)</f>
        <v>0</v>
      </c>
      <c r="H40" s="36">
        <f t="shared" si="45"/>
        <v>0</v>
      </c>
      <c r="I40" s="36">
        <f t="shared" si="45"/>
        <v>0</v>
      </c>
      <c r="J40" s="36">
        <f t="shared" si="45"/>
        <v>0</v>
      </c>
      <c r="K40" s="36">
        <f t="shared" si="45"/>
        <v>0</v>
      </c>
      <c r="L40" s="36">
        <f t="shared" si="45"/>
        <v>0</v>
      </c>
      <c r="M40" s="36">
        <f t="shared" si="45"/>
        <v>0</v>
      </c>
      <c r="N40" s="36">
        <f t="shared" si="45"/>
        <v>0</v>
      </c>
      <c r="O40" s="36">
        <f t="shared" si="45"/>
        <v>0</v>
      </c>
      <c r="P40" s="36">
        <f t="shared" si="45"/>
        <v>0</v>
      </c>
      <c r="Q40" s="36">
        <f t="shared" si="45"/>
        <v>0</v>
      </c>
      <c r="R40" s="36">
        <f t="shared" si="45"/>
        <v>0</v>
      </c>
      <c r="S40" s="36">
        <f t="shared" si="45"/>
        <v>0</v>
      </c>
      <c r="T40" s="36">
        <f t="shared" si="45"/>
        <v>0</v>
      </c>
      <c r="U40" s="36">
        <f t="shared" si="45"/>
        <v>0</v>
      </c>
      <c r="V40" s="36">
        <f t="shared" si="45"/>
        <v>0</v>
      </c>
      <c r="W40" s="36">
        <f t="shared" si="45"/>
        <v>0</v>
      </c>
      <c r="X40" s="36">
        <f t="shared" si="45"/>
        <v>0</v>
      </c>
      <c r="Y40" s="36">
        <f t="shared" si="45"/>
        <v>0</v>
      </c>
      <c r="Z40" s="36">
        <f t="shared" si="45"/>
        <v>0</v>
      </c>
      <c r="AA40" s="36">
        <f t="shared" si="45"/>
        <v>0</v>
      </c>
      <c r="AB40" s="36">
        <f t="shared" si="45"/>
        <v>0</v>
      </c>
      <c r="AC40" s="36">
        <f t="shared" si="45"/>
        <v>0</v>
      </c>
      <c r="AD40" s="36">
        <f t="shared" si="45"/>
        <v>0</v>
      </c>
      <c r="AE40" s="36">
        <f t="shared" si="45"/>
        <v>0</v>
      </c>
      <c r="AF40" s="36">
        <f t="shared" si="45"/>
        <v>0</v>
      </c>
      <c r="AG40" s="36">
        <f t="shared" si="45"/>
        <v>0</v>
      </c>
      <c r="AH40" s="36">
        <f t="shared" si="45"/>
        <v>0</v>
      </c>
      <c r="AI40" s="36">
        <f t="shared" si="45"/>
        <v>0</v>
      </c>
      <c r="AJ40" s="36">
        <f t="shared" si="45"/>
        <v>0</v>
      </c>
      <c r="AK40" s="36">
        <f t="shared" si="45"/>
        <v>0</v>
      </c>
      <c r="AL40" s="36">
        <f t="shared" si="45"/>
        <v>0</v>
      </c>
      <c r="AM40" s="36">
        <f t="shared" si="45"/>
        <v>0</v>
      </c>
      <c r="AN40" s="36">
        <f t="shared" si="45"/>
        <v>0</v>
      </c>
      <c r="AO40" s="36">
        <f t="shared" si="45"/>
        <v>0</v>
      </c>
      <c r="AP40" s="36">
        <f t="shared" si="45"/>
        <v>0</v>
      </c>
      <c r="AQ40" s="36">
        <f t="shared" si="45"/>
        <v>0</v>
      </c>
      <c r="AR40" s="36">
        <f t="shared" si="45"/>
        <v>0</v>
      </c>
      <c r="AS40" s="36">
        <f t="shared" si="45"/>
        <v>0</v>
      </c>
      <c r="AT40" s="36">
        <f t="shared" si="45"/>
        <v>0</v>
      </c>
      <c r="AU40" s="36">
        <f t="shared" si="45"/>
        <v>0</v>
      </c>
      <c r="AV40" s="36">
        <f t="shared" si="45"/>
        <v>0</v>
      </c>
      <c r="AW40" s="36">
        <f t="shared" si="45"/>
        <v>0</v>
      </c>
      <c r="AX40" s="36">
        <f t="shared" si="45"/>
        <v>0</v>
      </c>
      <c r="AY40" s="36">
        <f t="shared" si="45"/>
        <v>0</v>
      </c>
      <c r="AZ40" s="36">
        <f t="shared" si="45"/>
        <v>0</v>
      </c>
      <c r="BA40" s="36">
        <f t="shared" si="45"/>
        <v>0</v>
      </c>
      <c r="BB40" s="36">
        <f t="shared" si="45"/>
        <v>0</v>
      </c>
      <c r="BC40" s="36">
        <f t="shared" si="45"/>
        <v>0</v>
      </c>
      <c r="BD40" s="36">
        <f t="shared" si="45"/>
        <v>0</v>
      </c>
      <c r="BE40" s="36">
        <f t="shared" si="45"/>
        <v>0</v>
      </c>
      <c r="BF40" s="36">
        <f t="shared" si="45"/>
        <v>0</v>
      </c>
      <c r="BG40" s="36">
        <f t="shared" si="45"/>
        <v>0</v>
      </c>
      <c r="BH40" s="36">
        <f t="shared" si="45"/>
        <v>0</v>
      </c>
      <c r="BI40" s="36">
        <f t="shared" si="45"/>
        <v>0</v>
      </c>
      <c r="BJ40" s="36">
        <f t="shared" si="45"/>
        <v>0</v>
      </c>
      <c r="BK40" s="36">
        <f t="shared" si="45"/>
        <v>0</v>
      </c>
      <c r="BL40" s="36">
        <f t="shared" si="45"/>
        <v>0</v>
      </c>
      <c r="BM40" s="36">
        <f t="shared" si="45"/>
        <v>0</v>
      </c>
      <c r="BN40" s="36">
        <f t="shared" si="45"/>
        <v>0</v>
      </c>
      <c r="BO40" s="36">
        <f t="shared" si="45"/>
        <v>0</v>
      </c>
      <c r="BP40" s="36">
        <f t="shared" si="45"/>
        <v>0</v>
      </c>
      <c r="BQ40" s="36">
        <f t="shared" si="45"/>
        <v>0</v>
      </c>
      <c r="BR40" s="36">
        <f t="shared" si="45"/>
        <v>233174.99452747498</v>
      </c>
      <c r="BS40" s="36">
        <f t="shared" si="43"/>
        <v>326444.99233846494</v>
      </c>
      <c r="BT40" s="36">
        <f t="shared" si="43"/>
        <v>419714.99014945485</v>
      </c>
      <c r="BU40" s="36">
        <f t="shared" si="43"/>
        <v>512984.98796044488</v>
      </c>
      <c r="BV40" s="36">
        <f t="shared" si="43"/>
        <v>606254.98577143485</v>
      </c>
      <c r="BW40" s="36">
        <f t="shared" si="43"/>
        <v>699524.98358242493</v>
      </c>
      <c r="BX40" s="36">
        <f t="shared" si="43"/>
        <v>722842.48303517245</v>
      </c>
      <c r="BY40" s="36">
        <f t="shared" si="43"/>
        <v>746159.98248791986</v>
      </c>
      <c r="BZ40" s="36">
        <f t="shared" si="43"/>
        <v>769477.48194066738</v>
      </c>
      <c r="CA40" s="36">
        <f t="shared" si="43"/>
        <v>812614.85592825012</v>
      </c>
      <c r="CB40" s="36">
        <f t="shared" si="43"/>
        <v>836515.2928673164</v>
      </c>
      <c r="CC40" s="36">
        <f t="shared" si="43"/>
        <v>860415.72980638256</v>
      </c>
      <c r="CD40" s="36">
        <f t="shared" si="43"/>
        <v>864399.13596289349</v>
      </c>
      <c r="CE40" s="36">
        <f t="shared" si="43"/>
        <v>868382.54211940465</v>
      </c>
      <c r="CF40" s="36">
        <f t="shared" si="43"/>
        <v>872365.94827591558</v>
      </c>
      <c r="CG40" s="36">
        <f t="shared" si="43"/>
        <v>876349.35443242663</v>
      </c>
      <c r="CH40" s="36">
        <f t="shared" si="43"/>
        <v>880332.76058893756</v>
      </c>
      <c r="CI40" s="36">
        <f t="shared" si="43"/>
        <v>884316.16674544872</v>
      </c>
      <c r="CJ40" s="36">
        <f t="shared" si="43"/>
        <v>888299.57290195988</v>
      </c>
      <c r="CK40" s="36">
        <f t="shared" si="43"/>
        <v>892282.97905847081</v>
      </c>
      <c r="CL40" s="36">
        <f t="shared" si="43"/>
        <v>896266.38521498186</v>
      </c>
      <c r="CM40" s="36">
        <f t="shared" si="43"/>
        <v>922756.03615578008</v>
      </c>
      <c r="CN40" s="36">
        <f t="shared" si="43"/>
        <v>926839.02746620378</v>
      </c>
      <c r="CO40" s="36">
        <f t="shared" si="43"/>
        <v>930922.01877662772</v>
      </c>
      <c r="CP40" s="36">
        <f t="shared" si="43"/>
        <v>930922.01877662772</v>
      </c>
      <c r="CQ40" s="36">
        <f t="shared" si="43"/>
        <v>930922.01877662772</v>
      </c>
      <c r="CR40" s="36">
        <f t="shared" si="43"/>
        <v>930922.01877662772</v>
      </c>
      <c r="CS40" s="36">
        <f t="shared" si="43"/>
        <v>930922.01877662772</v>
      </c>
      <c r="CT40" s="36">
        <f t="shared" si="43"/>
        <v>930922.01877662772</v>
      </c>
      <c r="CU40" s="36">
        <f t="shared" si="43"/>
        <v>930922.01877662772</v>
      </c>
      <c r="CV40" s="36">
        <f t="shared" si="43"/>
        <v>930922.01877662772</v>
      </c>
      <c r="CW40" s="36">
        <f t="shared" si="43"/>
        <v>930922.01877662772</v>
      </c>
      <c r="CX40" s="36">
        <f t="shared" si="43"/>
        <v>930922.01877662772</v>
      </c>
      <c r="CY40" s="36">
        <f t="shared" si="42"/>
        <v>954195.06924604333</v>
      </c>
      <c r="CZ40" s="36">
        <f t="shared" si="42"/>
        <v>954195.06924604333</v>
      </c>
      <c r="DA40" s="36">
        <f t="shared" si="42"/>
        <v>954195.06924604333</v>
      </c>
      <c r="DB40" s="36">
        <f t="shared" si="42"/>
        <v>954195.06924604333</v>
      </c>
      <c r="DC40" s="36">
        <f t="shared" si="42"/>
        <v>954195.06924604333</v>
      </c>
      <c r="DD40" s="36">
        <f t="shared" si="42"/>
        <v>954195.06924604333</v>
      </c>
      <c r="DE40" s="36">
        <f t="shared" si="42"/>
        <v>954195.06924604333</v>
      </c>
      <c r="DF40" s="36">
        <f t="shared" si="42"/>
        <v>954195.06924604333</v>
      </c>
      <c r="DG40" s="36">
        <f t="shared" si="42"/>
        <v>954195.06924604333</v>
      </c>
      <c r="DH40" s="36">
        <f t="shared" si="42"/>
        <v>954195.06924604333</v>
      </c>
      <c r="DI40" s="36">
        <f t="shared" si="42"/>
        <v>954195.06924604333</v>
      </c>
      <c r="DJ40" s="36">
        <f t="shared" si="42"/>
        <v>954195.06924604333</v>
      </c>
      <c r="DK40" s="36">
        <f t="shared" si="42"/>
        <v>978049.94597719435</v>
      </c>
      <c r="DL40" s="36">
        <f t="shared" si="42"/>
        <v>978049.94597719435</v>
      </c>
      <c r="DM40" s="36">
        <f t="shared" si="42"/>
        <v>978049.94597719435</v>
      </c>
      <c r="DN40" s="36">
        <f t="shared" si="42"/>
        <v>978049.94597719435</v>
      </c>
      <c r="DO40" s="36">
        <f t="shared" si="42"/>
        <v>978049.94597719435</v>
      </c>
      <c r="DP40" s="36">
        <f t="shared" si="42"/>
        <v>978049.94597719435</v>
      </c>
      <c r="DQ40" s="36">
        <f t="shared" si="42"/>
        <v>978049.94597719435</v>
      </c>
      <c r="DR40" s="36">
        <f t="shared" si="42"/>
        <v>978049.94597719435</v>
      </c>
      <c r="DS40" s="36">
        <f t="shared" si="42"/>
        <v>978049.94597719435</v>
      </c>
      <c r="DT40" s="36">
        <f t="shared" si="42"/>
        <v>978049.94597719435</v>
      </c>
      <c r="DU40" s="36">
        <f t="shared" si="42"/>
        <v>978049.94597719435</v>
      </c>
      <c r="DV40" s="36">
        <f t="shared" si="42"/>
        <v>978049.94597719435</v>
      </c>
    </row>
    <row r="41" spans="2:126" outlineLevel="1">
      <c r="B41" s="3" t="str">
        <f>CaseData!A24</f>
        <v>Property O</v>
      </c>
      <c r="C41" s="43">
        <f>CaseData!B24</f>
        <v>768000</v>
      </c>
      <c r="D41" s="2"/>
      <c r="E41" s="35" t="s">
        <v>0</v>
      </c>
      <c r="F41" s="35"/>
      <c r="G41" s="36">
        <f t="shared" si="45"/>
        <v>0</v>
      </c>
      <c r="H41" s="36">
        <f t="shared" si="45"/>
        <v>0</v>
      </c>
      <c r="I41" s="36">
        <f t="shared" si="45"/>
        <v>0</v>
      </c>
      <c r="J41" s="36">
        <f t="shared" si="45"/>
        <v>0</v>
      </c>
      <c r="K41" s="36">
        <f t="shared" si="45"/>
        <v>0</v>
      </c>
      <c r="L41" s="36">
        <f t="shared" si="45"/>
        <v>0</v>
      </c>
      <c r="M41" s="36">
        <f t="shared" si="45"/>
        <v>0</v>
      </c>
      <c r="N41" s="36">
        <f t="shared" si="45"/>
        <v>0</v>
      </c>
      <c r="O41" s="36">
        <f t="shared" si="45"/>
        <v>0</v>
      </c>
      <c r="P41" s="36">
        <f t="shared" si="45"/>
        <v>0</v>
      </c>
      <c r="Q41" s="36">
        <f t="shared" si="45"/>
        <v>0</v>
      </c>
      <c r="R41" s="36">
        <f t="shared" si="45"/>
        <v>0</v>
      </c>
      <c r="S41" s="36">
        <f t="shared" si="45"/>
        <v>0</v>
      </c>
      <c r="T41" s="36">
        <f t="shared" si="45"/>
        <v>0</v>
      </c>
      <c r="U41" s="36">
        <f t="shared" si="45"/>
        <v>0</v>
      </c>
      <c r="V41" s="36">
        <f t="shared" si="45"/>
        <v>0</v>
      </c>
      <c r="W41" s="36">
        <f t="shared" si="45"/>
        <v>0</v>
      </c>
      <c r="X41" s="36">
        <f t="shared" si="45"/>
        <v>0</v>
      </c>
      <c r="Y41" s="36">
        <f t="shared" si="45"/>
        <v>0</v>
      </c>
      <c r="Z41" s="36">
        <f t="shared" si="45"/>
        <v>0</v>
      </c>
      <c r="AA41" s="36">
        <f t="shared" si="45"/>
        <v>0</v>
      </c>
      <c r="AB41" s="36">
        <f t="shared" si="45"/>
        <v>0</v>
      </c>
      <c r="AC41" s="36">
        <f t="shared" si="45"/>
        <v>0</v>
      </c>
      <c r="AD41" s="36">
        <f t="shared" si="45"/>
        <v>0</v>
      </c>
      <c r="AE41" s="36">
        <f t="shared" si="45"/>
        <v>0</v>
      </c>
      <c r="AF41" s="36">
        <f t="shared" si="45"/>
        <v>0</v>
      </c>
      <c r="AG41" s="36">
        <f t="shared" si="45"/>
        <v>0</v>
      </c>
      <c r="AH41" s="36">
        <f t="shared" si="45"/>
        <v>0</v>
      </c>
      <c r="AI41" s="36">
        <f t="shared" si="45"/>
        <v>0</v>
      </c>
      <c r="AJ41" s="36">
        <f t="shared" si="45"/>
        <v>0</v>
      </c>
      <c r="AK41" s="36">
        <f t="shared" si="45"/>
        <v>0</v>
      </c>
      <c r="AL41" s="36">
        <f t="shared" si="45"/>
        <v>0</v>
      </c>
      <c r="AM41" s="36">
        <f t="shared" si="45"/>
        <v>0</v>
      </c>
      <c r="AN41" s="36">
        <f t="shared" si="45"/>
        <v>0</v>
      </c>
      <c r="AO41" s="36">
        <f t="shared" si="45"/>
        <v>0</v>
      </c>
      <c r="AP41" s="36">
        <f t="shared" si="45"/>
        <v>0</v>
      </c>
      <c r="AQ41" s="36">
        <f t="shared" si="45"/>
        <v>0</v>
      </c>
      <c r="AR41" s="36">
        <f t="shared" si="45"/>
        <v>0</v>
      </c>
      <c r="AS41" s="36">
        <f t="shared" si="45"/>
        <v>0</v>
      </c>
      <c r="AT41" s="36">
        <f t="shared" si="45"/>
        <v>0</v>
      </c>
      <c r="AU41" s="36">
        <f t="shared" si="45"/>
        <v>0</v>
      </c>
      <c r="AV41" s="36">
        <f t="shared" si="45"/>
        <v>0</v>
      </c>
      <c r="AW41" s="36">
        <f t="shared" si="45"/>
        <v>0</v>
      </c>
      <c r="AX41" s="36">
        <f t="shared" si="45"/>
        <v>0</v>
      </c>
      <c r="AY41" s="36">
        <f t="shared" si="45"/>
        <v>0</v>
      </c>
      <c r="AZ41" s="36">
        <f t="shared" si="45"/>
        <v>0</v>
      </c>
      <c r="BA41" s="36">
        <f t="shared" si="45"/>
        <v>0</v>
      </c>
      <c r="BB41" s="36">
        <f t="shared" si="45"/>
        <v>0</v>
      </c>
      <c r="BC41" s="36">
        <f t="shared" si="45"/>
        <v>0</v>
      </c>
      <c r="BD41" s="36">
        <f t="shared" si="45"/>
        <v>0</v>
      </c>
      <c r="BE41" s="36">
        <f t="shared" si="45"/>
        <v>0</v>
      </c>
      <c r="BF41" s="36">
        <f t="shared" si="45"/>
        <v>0</v>
      </c>
      <c r="BG41" s="36">
        <f t="shared" si="45"/>
        <v>0</v>
      </c>
      <c r="BH41" s="36">
        <f t="shared" si="45"/>
        <v>0</v>
      </c>
      <c r="BI41" s="36">
        <f t="shared" si="45"/>
        <v>0</v>
      </c>
      <c r="BJ41" s="36">
        <f t="shared" si="45"/>
        <v>0</v>
      </c>
      <c r="BK41" s="36">
        <f t="shared" si="45"/>
        <v>0</v>
      </c>
      <c r="BL41" s="36">
        <f t="shared" si="45"/>
        <v>0</v>
      </c>
      <c r="BM41" s="36">
        <f t="shared" si="45"/>
        <v>0</v>
      </c>
      <c r="BN41" s="36">
        <f t="shared" si="45"/>
        <v>0</v>
      </c>
      <c r="BO41" s="36">
        <f t="shared" si="45"/>
        <v>0</v>
      </c>
      <c r="BP41" s="36">
        <f t="shared" si="45"/>
        <v>0</v>
      </c>
      <c r="BQ41" s="36">
        <f t="shared" si="45"/>
        <v>0</v>
      </c>
      <c r="BR41" s="36">
        <f t="shared" si="45"/>
        <v>0</v>
      </c>
      <c r="BS41" s="36">
        <f t="shared" si="43"/>
        <v>0</v>
      </c>
      <c r="BT41" s="36">
        <f t="shared" si="43"/>
        <v>0</v>
      </c>
      <c r="BU41" s="36">
        <f t="shared" si="43"/>
        <v>0</v>
      </c>
      <c r="BV41" s="36">
        <f t="shared" si="43"/>
        <v>0</v>
      </c>
      <c r="BW41" s="36">
        <f t="shared" si="43"/>
        <v>0</v>
      </c>
      <c r="BX41" s="36">
        <f t="shared" si="43"/>
        <v>0</v>
      </c>
      <c r="BY41" s="36">
        <f t="shared" si="43"/>
        <v>0</v>
      </c>
      <c r="BZ41" s="36">
        <f t="shared" si="43"/>
        <v>239409.62004959997</v>
      </c>
      <c r="CA41" s="36">
        <f t="shared" si="43"/>
        <v>343552.8047711759</v>
      </c>
      <c r="CB41" s="36">
        <f t="shared" si="43"/>
        <v>441710.74899151182</v>
      </c>
      <c r="CC41" s="36">
        <f t="shared" si="43"/>
        <v>539868.6932118478</v>
      </c>
      <c r="CD41" s="36">
        <f t="shared" si="43"/>
        <v>638026.63743218372</v>
      </c>
      <c r="CE41" s="36">
        <f t="shared" si="43"/>
        <v>736184.58165251976</v>
      </c>
      <c r="CF41" s="36">
        <f t="shared" si="43"/>
        <v>760724.0677076038</v>
      </c>
      <c r="CG41" s="36">
        <f t="shared" si="43"/>
        <v>785263.55376268784</v>
      </c>
      <c r="CH41" s="36">
        <f t="shared" si="43"/>
        <v>809803.03981777176</v>
      </c>
      <c r="CI41" s="36">
        <f t="shared" si="43"/>
        <v>834342.5258728558</v>
      </c>
      <c r="CJ41" s="36">
        <f t="shared" si="43"/>
        <v>858882.01192793984</v>
      </c>
      <c r="CK41" s="36">
        <f t="shared" si="43"/>
        <v>883421.49798302376</v>
      </c>
      <c r="CL41" s="36">
        <f t="shared" si="43"/>
        <v>887511.41232553776</v>
      </c>
      <c r="CM41" s="36">
        <f t="shared" si="43"/>
        <v>913891.35983475298</v>
      </c>
      <c r="CN41" s="36">
        <f t="shared" si="43"/>
        <v>918083.52203582984</v>
      </c>
      <c r="CO41" s="36">
        <f t="shared" si="43"/>
        <v>922275.6842369067</v>
      </c>
      <c r="CP41" s="36">
        <f t="shared" si="43"/>
        <v>926467.84643798356</v>
      </c>
      <c r="CQ41" s="36">
        <f t="shared" si="43"/>
        <v>930660.00863906043</v>
      </c>
      <c r="CR41" s="36">
        <f t="shared" si="43"/>
        <v>934852.17084013729</v>
      </c>
      <c r="CS41" s="36">
        <f t="shared" si="43"/>
        <v>939044.33304121415</v>
      </c>
      <c r="CT41" s="36">
        <f t="shared" si="43"/>
        <v>943236.49524229101</v>
      </c>
      <c r="CU41" s="36">
        <f t="shared" si="43"/>
        <v>947428.65744336788</v>
      </c>
      <c r="CV41" s="36">
        <f t="shared" si="43"/>
        <v>951620.81964444462</v>
      </c>
      <c r="CW41" s="36">
        <f t="shared" si="43"/>
        <v>955812.98184552148</v>
      </c>
      <c r="CX41" s="36">
        <f t="shared" si="43"/>
        <v>955812.98184552148</v>
      </c>
      <c r="CY41" s="36">
        <f t="shared" si="42"/>
        <v>979708.30639165943</v>
      </c>
      <c r="CZ41" s="36">
        <f t="shared" si="42"/>
        <v>979708.30639165943</v>
      </c>
      <c r="DA41" s="36">
        <f t="shared" si="42"/>
        <v>979708.30639165943</v>
      </c>
      <c r="DB41" s="36">
        <f t="shared" si="42"/>
        <v>979708.30639165943</v>
      </c>
      <c r="DC41" s="36">
        <f t="shared" si="42"/>
        <v>979708.30639165943</v>
      </c>
      <c r="DD41" s="36">
        <f t="shared" si="42"/>
        <v>979708.30639165943</v>
      </c>
      <c r="DE41" s="36">
        <f t="shared" si="42"/>
        <v>979708.30639165943</v>
      </c>
      <c r="DF41" s="36">
        <f t="shared" si="42"/>
        <v>979708.30639165943</v>
      </c>
      <c r="DG41" s="36">
        <f t="shared" si="42"/>
        <v>979708.30639165943</v>
      </c>
      <c r="DH41" s="36">
        <f t="shared" si="42"/>
        <v>979708.30639165943</v>
      </c>
      <c r="DI41" s="36">
        <f t="shared" si="42"/>
        <v>979708.30639165943</v>
      </c>
      <c r="DJ41" s="36">
        <f t="shared" si="42"/>
        <v>979708.30639165943</v>
      </c>
      <c r="DK41" s="36">
        <f t="shared" si="42"/>
        <v>1004201.0140514509</v>
      </c>
      <c r="DL41" s="36">
        <f t="shared" si="42"/>
        <v>1004201.0140514509</v>
      </c>
      <c r="DM41" s="36">
        <f t="shared" si="42"/>
        <v>1004201.0140514509</v>
      </c>
      <c r="DN41" s="36">
        <f t="shared" si="42"/>
        <v>1004201.0140514509</v>
      </c>
      <c r="DO41" s="36">
        <f t="shared" si="42"/>
        <v>1004201.0140514509</v>
      </c>
      <c r="DP41" s="36">
        <f t="shared" si="42"/>
        <v>1004201.0140514509</v>
      </c>
      <c r="DQ41" s="36">
        <f t="shared" si="42"/>
        <v>1004201.0140514509</v>
      </c>
      <c r="DR41" s="36">
        <f t="shared" si="42"/>
        <v>1004201.0140514509</v>
      </c>
      <c r="DS41" s="36">
        <f t="shared" si="42"/>
        <v>1004201.0140514509</v>
      </c>
      <c r="DT41" s="36">
        <f t="shared" si="42"/>
        <v>1004201.0140514509</v>
      </c>
      <c r="DU41" s="36">
        <f t="shared" si="42"/>
        <v>1004201.0140514509</v>
      </c>
      <c r="DV41" s="36">
        <f t="shared" si="42"/>
        <v>1004201.0140514509</v>
      </c>
    </row>
    <row r="42" spans="2:126" outlineLevel="1">
      <c r="B42" s="3"/>
      <c r="C42" s="2"/>
      <c r="D42" s="2"/>
      <c r="E42" s="35"/>
      <c r="F42" s="35"/>
      <c r="G42" s="2"/>
      <c r="H42" s="2"/>
      <c r="I42" s="3"/>
      <c r="J42" s="3"/>
      <c r="K42" s="2"/>
    </row>
    <row r="43" spans="2:126" outlineLevel="1">
      <c r="B43" s="3"/>
      <c r="C43" s="2"/>
      <c r="D43" s="2"/>
      <c r="E43" s="35"/>
      <c r="F43" s="35"/>
      <c r="G43" s="2"/>
      <c r="H43" s="2"/>
      <c r="I43" s="3"/>
      <c r="J43" s="3"/>
      <c r="K43" s="2"/>
    </row>
    <row r="44" spans="2:126">
      <c r="B44" s="1" t="s">
        <v>62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</row>
    <row r="45" spans="2:126" outlineLevel="1">
      <c r="B45" s="3"/>
      <c r="C45" s="2"/>
      <c r="D45" s="2"/>
      <c r="E45" s="35"/>
      <c r="F45" s="35"/>
      <c r="G45" s="2"/>
      <c r="H45" s="2"/>
      <c r="I45" s="3"/>
      <c r="J45" s="3"/>
      <c r="K45" s="2"/>
    </row>
    <row r="46" spans="2:126" ht="14.4" outlineLevel="1" thickBot="1">
      <c r="B46" s="5" t="s">
        <v>63</v>
      </c>
      <c r="C46" s="5"/>
      <c r="D46" s="5"/>
      <c r="E46" s="33" t="s">
        <v>0</v>
      </c>
      <c r="F46" s="33"/>
      <c r="G46" s="34">
        <f t="shared" ref="G46:BR46" si="46">SUBTOTAL(9,G48:G65)</f>
        <v>932391.25</v>
      </c>
      <c r="H46" s="34">
        <f t="shared" si="46"/>
        <v>932391.25</v>
      </c>
      <c r="I46" s="34">
        <f t="shared" si="46"/>
        <v>932391.25</v>
      </c>
      <c r="J46" s="34">
        <f t="shared" si="46"/>
        <v>932391.25</v>
      </c>
      <c r="K46" s="34">
        <f t="shared" si="46"/>
        <v>932391.25</v>
      </c>
      <c r="L46" s="34">
        <f t="shared" si="46"/>
        <v>932391.25</v>
      </c>
      <c r="M46" s="34">
        <f t="shared" si="46"/>
        <v>932391.25</v>
      </c>
      <c r="N46" s="34">
        <f t="shared" si="46"/>
        <v>932391.25</v>
      </c>
      <c r="O46" s="34">
        <f t="shared" si="46"/>
        <v>932391.25</v>
      </c>
      <c r="P46" s="34">
        <f t="shared" si="46"/>
        <v>932391.25</v>
      </c>
      <c r="Q46" s="34">
        <f t="shared" si="46"/>
        <v>932391.25</v>
      </c>
      <c r="R46" s="34">
        <f t="shared" si="46"/>
        <v>932391.25</v>
      </c>
      <c r="S46" s="34">
        <f t="shared" si="46"/>
        <v>955701.03125</v>
      </c>
      <c r="T46" s="34">
        <f t="shared" si="46"/>
        <v>955701.03125</v>
      </c>
      <c r="U46" s="34">
        <f t="shared" si="46"/>
        <v>955701.03125</v>
      </c>
      <c r="V46" s="34">
        <f t="shared" si="46"/>
        <v>955701.03125</v>
      </c>
      <c r="W46" s="34">
        <f t="shared" si="46"/>
        <v>955701.03125</v>
      </c>
      <c r="X46" s="34">
        <f t="shared" si="46"/>
        <v>955701.03125</v>
      </c>
      <c r="Y46" s="34">
        <f t="shared" si="46"/>
        <v>955701.03125</v>
      </c>
      <c r="Z46" s="34">
        <f t="shared" si="46"/>
        <v>1099657.66875</v>
      </c>
      <c r="AA46" s="34">
        <f t="shared" si="46"/>
        <v>1220374.48125</v>
      </c>
      <c r="AB46" s="34">
        <f t="shared" si="46"/>
        <v>1220374.48125</v>
      </c>
      <c r="AC46" s="34">
        <f t="shared" si="46"/>
        <v>1220374.48125</v>
      </c>
      <c r="AD46" s="34">
        <f t="shared" si="46"/>
        <v>1220374.48125</v>
      </c>
      <c r="AE46" s="34">
        <f t="shared" si="46"/>
        <v>1250883.84328125</v>
      </c>
      <c r="AF46" s="34">
        <f t="shared" si="46"/>
        <v>1395391.7962499999</v>
      </c>
      <c r="AG46" s="34">
        <f t="shared" si="46"/>
        <v>1395391.7962499999</v>
      </c>
      <c r="AH46" s="34">
        <f t="shared" si="46"/>
        <v>1395391.7962499999</v>
      </c>
      <c r="AI46" s="34">
        <f t="shared" si="46"/>
        <v>1395391.7962499999</v>
      </c>
      <c r="AJ46" s="34">
        <f t="shared" si="46"/>
        <v>1395391.7962499999</v>
      </c>
      <c r="AK46" s="34">
        <f t="shared" si="46"/>
        <v>1395391.7962499999</v>
      </c>
      <c r="AL46" s="34">
        <f t="shared" si="46"/>
        <v>1395391.7962499999</v>
      </c>
      <c r="AM46" s="34">
        <f t="shared" si="46"/>
        <v>1395391.7962499999</v>
      </c>
      <c r="AN46" s="34">
        <f t="shared" si="46"/>
        <v>1688166.0504687498</v>
      </c>
      <c r="AO46" s="34">
        <f t="shared" si="46"/>
        <v>1688166.0504687498</v>
      </c>
      <c r="AP46" s="34">
        <f t="shared" si="46"/>
        <v>1866671.4404687497</v>
      </c>
      <c r="AQ46" s="34">
        <f t="shared" si="46"/>
        <v>1913338.2264804682</v>
      </c>
      <c r="AR46" s="34">
        <f t="shared" si="46"/>
        <v>1913338.2264804682</v>
      </c>
      <c r="AS46" s="34">
        <f t="shared" si="46"/>
        <v>1913338.2264804682</v>
      </c>
      <c r="AT46" s="34">
        <f t="shared" si="46"/>
        <v>1913338.2264804682</v>
      </c>
      <c r="AU46" s="34">
        <f t="shared" si="46"/>
        <v>1913338.2264804682</v>
      </c>
      <c r="AV46" s="34">
        <f t="shared" si="46"/>
        <v>1913338.2264804682</v>
      </c>
      <c r="AW46" s="34">
        <f t="shared" si="46"/>
        <v>1913338.2264804682</v>
      </c>
      <c r="AX46" s="34">
        <f t="shared" si="46"/>
        <v>1913338.2264804682</v>
      </c>
      <c r="AY46" s="34">
        <f t="shared" si="46"/>
        <v>1913338.2264804682</v>
      </c>
      <c r="AZ46" s="34">
        <f t="shared" si="46"/>
        <v>1913338.2264804682</v>
      </c>
      <c r="BA46" s="34">
        <f t="shared" si="46"/>
        <v>1913338.2264804682</v>
      </c>
      <c r="BB46" s="34">
        <f t="shared" si="46"/>
        <v>1913338.2264804682</v>
      </c>
      <c r="BC46" s="34">
        <f t="shared" si="46"/>
        <v>1961171.68214248</v>
      </c>
      <c r="BD46" s="34">
        <f t="shared" si="46"/>
        <v>1961171.68214248</v>
      </c>
      <c r="BE46" s="34">
        <f t="shared" si="46"/>
        <v>2449713.7484686514</v>
      </c>
      <c r="BF46" s="34">
        <f t="shared" si="46"/>
        <v>2449713.7484686514</v>
      </c>
      <c r="BG46" s="34">
        <f t="shared" si="46"/>
        <v>2449713.7484686514</v>
      </c>
      <c r="BH46" s="34">
        <f t="shared" si="46"/>
        <v>2449713.7484686514</v>
      </c>
      <c r="BI46" s="34">
        <f t="shared" si="46"/>
        <v>2449713.7484686514</v>
      </c>
      <c r="BJ46" s="34">
        <f t="shared" si="46"/>
        <v>2449713.7484686514</v>
      </c>
      <c r="BK46" s="34">
        <f t="shared" si="46"/>
        <v>2449713.7484686514</v>
      </c>
      <c r="BL46" s="34">
        <f t="shared" si="46"/>
        <v>2449713.7484686514</v>
      </c>
      <c r="BM46" s="34">
        <f t="shared" si="46"/>
        <v>2449713.7484686514</v>
      </c>
      <c r="BN46" s="34">
        <f t="shared" si="46"/>
        <v>2449713.7484686514</v>
      </c>
      <c r="BO46" s="34">
        <f t="shared" si="46"/>
        <v>2510956.592180368</v>
      </c>
      <c r="BP46" s="34">
        <f t="shared" si="46"/>
        <v>2510956.592180368</v>
      </c>
      <c r="BQ46" s="34">
        <f t="shared" si="46"/>
        <v>2510956.592180368</v>
      </c>
      <c r="BR46" s="34">
        <f t="shared" si="46"/>
        <v>2736493.7681544111</v>
      </c>
      <c r="BS46" s="34">
        <f t="shared" ref="BS46:DV46" si="47">SUBTOTAL(9,BS48:BS65)</f>
        <v>2736493.7681544111</v>
      </c>
      <c r="BT46" s="34">
        <f t="shared" si="47"/>
        <v>2736493.7681544111</v>
      </c>
      <c r="BU46" s="34">
        <f t="shared" si="47"/>
        <v>2736493.7681544111</v>
      </c>
      <c r="BV46" s="34">
        <f t="shared" si="47"/>
        <v>2736493.7681544111</v>
      </c>
      <c r="BW46" s="34">
        <f t="shared" si="47"/>
        <v>2736493.7681544111</v>
      </c>
      <c r="BX46" s="34">
        <f t="shared" si="47"/>
        <v>2736493.7681544111</v>
      </c>
      <c r="BY46" s="34">
        <f t="shared" si="47"/>
        <v>2736493.7681544111</v>
      </c>
      <c r="BZ46" s="34">
        <f t="shared" si="47"/>
        <v>3012593.5771625359</v>
      </c>
      <c r="CA46" s="34">
        <f t="shared" si="47"/>
        <v>3087908.4165915987</v>
      </c>
      <c r="CB46" s="34">
        <f t="shared" si="47"/>
        <v>3087908.4165915987</v>
      </c>
      <c r="CC46" s="34">
        <f t="shared" si="47"/>
        <v>3087908.4165915987</v>
      </c>
      <c r="CD46" s="34">
        <f t="shared" si="47"/>
        <v>3087908.4165915987</v>
      </c>
      <c r="CE46" s="34">
        <f t="shared" si="47"/>
        <v>3087908.4165915987</v>
      </c>
      <c r="CF46" s="34">
        <f t="shared" si="47"/>
        <v>3087908.4165915987</v>
      </c>
      <c r="CG46" s="34">
        <f t="shared" si="47"/>
        <v>3087908.4165915987</v>
      </c>
      <c r="CH46" s="34">
        <f t="shared" si="47"/>
        <v>3087908.4165915987</v>
      </c>
      <c r="CI46" s="34">
        <f t="shared" si="47"/>
        <v>3087908.4165915987</v>
      </c>
      <c r="CJ46" s="34">
        <f t="shared" si="47"/>
        <v>3087908.4165915987</v>
      </c>
      <c r="CK46" s="34">
        <f t="shared" si="47"/>
        <v>3087908.4165915987</v>
      </c>
      <c r="CL46" s="34">
        <f t="shared" si="47"/>
        <v>3087908.4165915987</v>
      </c>
      <c r="CM46" s="34">
        <f t="shared" si="47"/>
        <v>3165106.1270063883</v>
      </c>
      <c r="CN46" s="34">
        <f t="shared" si="47"/>
        <v>3165106.1270063883</v>
      </c>
      <c r="CO46" s="34">
        <f t="shared" si="47"/>
        <v>3165106.1270063883</v>
      </c>
      <c r="CP46" s="34">
        <f t="shared" si="47"/>
        <v>3165106.1270063883</v>
      </c>
      <c r="CQ46" s="34">
        <f t="shared" si="47"/>
        <v>3165106.1270063883</v>
      </c>
      <c r="CR46" s="34">
        <f t="shared" si="47"/>
        <v>3165106.1270063883</v>
      </c>
      <c r="CS46" s="34">
        <f t="shared" si="47"/>
        <v>3165106.1270063883</v>
      </c>
      <c r="CT46" s="34">
        <f t="shared" si="47"/>
        <v>3165106.1270063883</v>
      </c>
      <c r="CU46" s="34">
        <f t="shared" si="47"/>
        <v>3165106.1270063883</v>
      </c>
      <c r="CV46" s="34">
        <f t="shared" si="47"/>
        <v>3165106.1270063883</v>
      </c>
      <c r="CW46" s="34">
        <f t="shared" si="47"/>
        <v>3165106.1270063883</v>
      </c>
      <c r="CX46" s="34">
        <f t="shared" si="47"/>
        <v>3165106.1270063883</v>
      </c>
      <c r="CY46" s="34">
        <f t="shared" si="47"/>
        <v>3244233.7801815476</v>
      </c>
      <c r="CZ46" s="34">
        <f t="shared" si="47"/>
        <v>3244233.7801815476</v>
      </c>
      <c r="DA46" s="34">
        <f t="shared" si="47"/>
        <v>3244233.7801815476</v>
      </c>
      <c r="DB46" s="34">
        <f t="shared" si="47"/>
        <v>3244233.7801815476</v>
      </c>
      <c r="DC46" s="34">
        <f t="shared" si="47"/>
        <v>3244233.7801815476</v>
      </c>
      <c r="DD46" s="34">
        <f t="shared" si="47"/>
        <v>3244233.7801815476</v>
      </c>
      <c r="DE46" s="34">
        <f t="shared" si="47"/>
        <v>3244233.7801815476</v>
      </c>
      <c r="DF46" s="34">
        <f t="shared" si="47"/>
        <v>3244233.7801815476</v>
      </c>
      <c r="DG46" s="34">
        <f t="shared" si="47"/>
        <v>3244233.7801815476</v>
      </c>
      <c r="DH46" s="34">
        <f t="shared" si="47"/>
        <v>3244233.7801815476</v>
      </c>
      <c r="DI46" s="34">
        <f t="shared" si="47"/>
        <v>3244233.7801815476</v>
      </c>
      <c r="DJ46" s="34">
        <f t="shared" si="47"/>
        <v>3244233.7801815476</v>
      </c>
      <c r="DK46" s="34">
        <f t="shared" si="47"/>
        <v>3325339.6246860856</v>
      </c>
      <c r="DL46" s="34">
        <f t="shared" si="47"/>
        <v>3325339.6246860856</v>
      </c>
      <c r="DM46" s="34">
        <f t="shared" si="47"/>
        <v>3325339.6246860856</v>
      </c>
      <c r="DN46" s="34">
        <f t="shared" si="47"/>
        <v>3325339.6246860856</v>
      </c>
      <c r="DO46" s="34">
        <f t="shared" si="47"/>
        <v>3325339.6246860856</v>
      </c>
      <c r="DP46" s="34">
        <f t="shared" si="47"/>
        <v>3325339.6246860856</v>
      </c>
      <c r="DQ46" s="34">
        <f t="shared" si="47"/>
        <v>3325339.6246860856</v>
      </c>
      <c r="DR46" s="34">
        <f t="shared" si="47"/>
        <v>3325339.6246860856</v>
      </c>
      <c r="DS46" s="34">
        <f t="shared" si="47"/>
        <v>3325339.6246860856</v>
      </c>
      <c r="DT46" s="34">
        <f t="shared" si="47"/>
        <v>3325339.6246860856</v>
      </c>
      <c r="DU46" s="34">
        <f t="shared" si="47"/>
        <v>3325339.6246860856</v>
      </c>
      <c r="DV46" s="34">
        <f t="shared" si="47"/>
        <v>3325339.6246860856</v>
      </c>
    </row>
    <row r="47" spans="2:126" ht="14.4" outlineLevel="1" thickTop="1">
      <c r="B47" s="4"/>
      <c r="C47" s="4"/>
      <c r="D47" s="4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</row>
    <row r="48" spans="2:126" outlineLevel="1">
      <c r="B48" s="6" t="s">
        <v>7</v>
      </c>
      <c r="C48" s="45" t="s">
        <v>64</v>
      </c>
      <c r="D48" s="2"/>
      <c r="E48" s="41" t="s">
        <v>0</v>
      </c>
      <c r="F48" s="41"/>
      <c r="G48" s="42">
        <f>SUBTOTAL(9,G49:G53)</f>
        <v>932391.25</v>
      </c>
      <c r="H48" s="42">
        <f t="shared" ref="H48:BS48" si="48">SUBTOTAL(9,H49:H53)</f>
        <v>932391.25</v>
      </c>
      <c r="I48" s="42">
        <f t="shared" si="48"/>
        <v>932391.25</v>
      </c>
      <c r="J48" s="42">
        <f t="shared" si="48"/>
        <v>932391.25</v>
      </c>
      <c r="K48" s="42">
        <f t="shared" si="48"/>
        <v>932391.25</v>
      </c>
      <c r="L48" s="42">
        <f t="shared" si="48"/>
        <v>932391.25</v>
      </c>
      <c r="M48" s="42">
        <f t="shared" si="48"/>
        <v>932391.25</v>
      </c>
      <c r="N48" s="42">
        <f t="shared" si="48"/>
        <v>932391.25</v>
      </c>
      <c r="O48" s="42">
        <f t="shared" si="48"/>
        <v>932391.25</v>
      </c>
      <c r="P48" s="42">
        <f t="shared" si="48"/>
        <v>932391.25</v>
      </c>
      <c r="Q48" s="42">
        <f t="shared" si="48"/>
        <v>932391.25</v>
      </c>
      <c r="R48" s="42">
        <f t="shared" si="48"/>
        <v>932391.25</v>
      </c>
      <c r="S48" s="42">
        <f t="shared" si="48"/>
        <v>955701.03125</v>
      </c>
      <c r="T48" s="42">
        <f t="shared" si="48"/>
        <v>955701.03125</v>
      </c>
      <c r="U48" s="42">
        <f t="shared" si="48"/>
        <v>955701.03125</v>
      </c>
      <c r="V48" s="42">
        <f t="shared" si="48"/>
        <v>955701.03125</v>
      </c>
      <c r="W48" s="42">
        <f t="shared" si="48"/>
        <v>955701.03125</v>
      </c>
      <c r="X48" s="42">
        <f t="shared" si="48"/>
        <v>955701.03125</v>
      </c>
      <c r="Y48" s="42">
        <f t="shared" si="48"/>
        <v>955701.03125</v>
      </c>
      <c r="Z48" s="42">
        <f t="shared" si="48"/>
        <v>955701.03125</v>
      </c>
      <c r="AA48" s="42">
        <f t="shared" si="48"/>
        <v>955701.03125</v>
      </c>
      <c r="AB48" s="42">
        <f t="shared" si="48"/>
        <v>955701.03125</v>
      </c>
      <c r="AC48" s="42">
        <f t="shared" si="48"/>
        <v>955701.03125</v>
      </c>
      <c r="AD48" s="42">
        <f t="shared" si="48"/>
        <v>955701.03125</v>
      </c>
      <c r="AE48" s="42">
        <f t="shared" si="48"/>
        <v>979593.55703124986</v>
      </c>
      <c r="AF48" s="42">
        <f t="shared" si="48"/>
        <v>979593.55703124986</v>
      </c>
      <c r="AG48" s="42">
        <f t="shared" si="48"/>
        <v>979593.55703124986</v>
      </c>
      <c r="AH48" s="42">
        <f t="shared" si="48"/>
        <v>979593.55703124986</v>
      </c>
      <c r="AI48" s="42">
        <f t="shared" si="48"/>
        <v>979593.55703124986</v>
      </c>
      <c r="AJ48" s="42">
        <f t="shared" si="48"/>
        <v>979593.55703124986</v>
      </c>
      <c r="AK48" s="42">
        <f t="shared" si="48"/>
        <v>979593.55703124986</v>
      </c>
      <c r="AL48" s="42">
        <f t="shared" si="48"/>
        <v>979593.55703124986</v>
      </c>
      <c r="AM48" s="42">
        <f t="shared" si="48"/>
        <v>979593.55703124986</v>
      </c>
      <c r="AN48" s="42">
        <f t="shared" si="48"/>
        <v>979593.55703124986</v>
      </c>
      <c r="AO48" s="42">
        <f t="shared" si="48"/>
        <v>979593.55703124986</v>
      </c>
      <c r="AP48" s="42">
        <f t="shared" si="48"/>
        <v>979593.55703124986</v>
      </c>
      <c r="AQ48" s="42">
        <f t="shared" si="48"/>
        <v>1004083.3959570311</v>
      </c>
      <c r="AR48" s="42">
        <f t="shared" si="48"/>
        <v>1004083.3959570311</v>
      </c>
      <c r="AS48" s="42">
        <f t="shared" si="48"/>
        <v>1004083.3959570311</v>
      </c>
      <c r="AT48" s="42">
        <f t="shared" si="48"/>
        <v>1004083.3959570311</v>
      </c>
      <c r="AU48" s="42">
        <f t="shared" si="48"/>
        <v>1004083.3959570311</v>
      </c>
      <c r="AV48" s="42">
        <f t="shared" si="48"/>
        <v>1004083.3959570311</v>
      </c>
      <c r="AW48" s="42">
        <f t="shared" si="48"/>
        <v>1004083.3959570311</v>
      </c>
      <c r="AX48" s="42">
        <f t="shared" si="48"/>
        <v>1004083.3959570311</v>
      </c>
      <c r="AY48" s="42">
        <f t="shared" si="48"/>
        <v>1004083.3959570311</v>
      </c>
      <c r="AZ48" s="42">
        <f t="shared" si="48"/>
        <v>1004083.3959570311</v>
      </c>
      <c r="BA48" s="42">
        <f t="shared" si="48"/>
        <v>1004083.3959570311</v>
      </c>
      <c r="BB48" s="42">
        <f t="shared" si="48"/>
        <v>1004083.3959570311</v>
      </c>
      <c r="BC48" s="42">
        <f t="shared" si="48"/>
        <v>1029185.4808559567</v>
      </c>
      <c r="BD48" s="42">
        <f t="shared" si="48"/>
        <v>1029185.4808559567</v>
      </c>
      <c r="BE48" s="42">
        <f t="shared" si="48"/>
        <v>1029185.4808559567</v>
      </c>
      <c r="BF48" s="42">
        <f t="shared" si="48"/>
        <v>1029185.4808559567</v>
      </c>
      <c r="BG48" s="42">
        <f t="shared" si="48"/>
        <v>1029185.4808559567</v>
      </c>
      <c r="BH48" s="42">
        <f t="shared" si="48"/>
        <v>1029185.4808559567</v>
      </c>
      <c r="BI48" s="42">
        <f t="shared" si="48"/>
        <v>1029185.4808559567</v>
      </c>
      <c r="BJ48" s="42">
        <f t="shared" si="48"/>
        <v>1029185.4808559567</v>
      </c>
      <c r="BK48" s="42">
        <f t="shared" si="48"/>
        <v>1029185.4808559567</v>
      </c>
      <c r="BL48" s="42">
        <f t="shared" si="48"/>
        <v>1029185.4808559567</v>
      </c>
      <c r="BM48" s="42">
        <f t="shared" si="48"/>
        <v>1029185.4808559567</v>
      </c>
      <c r="BN48" s="42">
        <f t="shared" si="48"/>
        <v>1029185.4808559567</v>
      </c>
      <c r="BO48" s="42">
        <f t="shared" si="48"/>
        <v>1054915.1178773555</v>
      </c>
      <c r="BP48" s="42">
        <f t="shared" si="48"/>
        <v>1054915.1178773555</v>
      </c>
      <c r="BQ48" s="42">
        <f t="shared" si="48"/>
        <v>1054915.1178773555</v>
      </c>
      <c r="BR48" s="42">
        <f t="shared" si="48"/>
        <v>1054915.1178773555</v>
      </c>
      <c r="BS48" s="42">
        <f t="shared" si="48"/>
        <v>1054915.1178773555</v>
      </c>
      <c r="BT48" s="42">
        <f t="shared" ref="BT48:DV48" si="49">SUBTOTAL(9,BT49:BT53)</f>
        <v>1054915.1178773555</v>
      </c>
      <c r="BU48" s="42">
        <f t="shared" si="49"/>
        <v>1054915.1178773555</v>
      </c>
      <c r="BV48" s="42">
        <f t="shared" si="49"/>
        <v>1054915.1178773555</v>
      </c>
      <c r="BW48" s="42">
        <f t="shared" si="49"/>
        <v>1054915.1178773555</v>
      </c>
      <c r="BX48" s="42">
        <f t="shared" si="49"/>
        <v>1054915.1178773555</v>
      </c>
      <c r="BY48" s="42">
        <f t="shared" si="49"/>
        <v>1054915.1178773555</v>
      </c>
      <c r="BZ48" s="42">
        <f t="shared" si="49"/>
        <v>1054915.1178773555</v>
      </c>
      <c r="CA48" s="42">
        <f t="shared" si="49"/>
        <v>1081287.9958242893</v>
      </c>
      <c r="CB48" s="42">
        <f t="shared" si="49"/>
        <v>1081287.9958242893</v>
      </c>
      <c r="CC48" s="42">
        <f t="shared" si="49"/>
        <v>1081287.9958242893</v>
      </c>
      <c r="CD48" s="42">
        <f t="shared" si="49"/>
        <v>1081287.9958242893</v>
      </c>
      <c r="CE48" s="42">
        <f t="shared" si="49"/>
        <v>1081287.9958242893</v>
      </c>
      <c r="CF48" s="42">
        <f t="shared" si="49"/>
        <v>1081287.9958242893</v>
      </c>
      <c r="CG48" s="42">
        <f t="shared" si="49"/>
        <v>1081287.9958242893</v>
      </c>
      <c r="CH48" s="42">
        <f t="shared" si="49"/>
        <v>1081287.9958242893</v>
      </c>
      <c r="CI48" s="42">
        <f t="shared" si="49"/>
        <v>1081287.9958242893</v>
      </c>
      <c r="CJ48" s="42">
        <f t="shared" si="49"/>
        <v>1081287.9958242893</v>
      </c>
      <c r="CK48" s="42">
        <f t="shared" si="49"/>
        <v>1081287.9958242893</v>
      </c>
      <c r="CL48" s="42">
        <f t="shared" si="49"/>
        <v>1081287.9958242893</v>
      </c>
      <c r="CM48" s="42">
        <f t="shared" si="49"/>
        <v>1108320.1957198964</v>
      </c>
      <c r="CN48" s="42">
        <f t="shared" si="49"/>
        <v>1108320.1957198964</v>
      </c>
      <c r="CO48" s="42">
        <f t="shared" si="49"/>
        <v>1108320.1957198964</v>
      </c>
      <c r="CP48" s="42">
        <f t="shared" si="49"/>
        <v>1108320.1957198964</v>
      </c>
      <c r="CQ48" s="42">
        <f t="shared" si="49"/>
        <v>1108320.1957198964</v>
      </c>
      <c r="CR48" s="42">
        <f t="shared" si="49"/>
        <v>1108320.1957198964</v>
      </c>
      <c r="CS48" s="42">
        <f t="shared" si="49"/>
        <v>1108320.1957198964</v>
      </c>
      <c r="CT48" s="42">
        <f t="shared" si="49"/>
        <v>1108320.1957198964</v>
      </c>
      <c r="CU48" s="42">
        <f t="shared" si="49"/>
        <v>1108320.1957198964</v>
      </c>
      <c r="CV48" s="42">
        <f t="shared" si="49"/>
        <v>1108320.1957198964</v>
      </c>
      <c r="CW48" s="42">
        <f t="shared" si="49"/>
        <v>1108320.1957198964</v>
      </c>
      <c r="CX48" s="42">
        <f t="shared" si="49"/>
        <v>1108320.1957198964</v>
      </c>
      <c r="CY48" s="42">
        <f t="shared" si="49"/>
        <v>1136028.2006128938</v>
      </c>
      <c r="CZ48" s="42">
        <f t="shared" si="49"/>
        <v>1136028.2006128938</v>
      </c>
      <c r="DA48" s="42">
        <f t="shared" si="49"/>
        <v>1136028.2006128938</v>
      </c>
      <c r="DB48" s="42">
        <f t="shared" si="49"/>
        <v>1136028.2006128938</v>
      </c>
      <c r="DC48" s="42">
        <f t="shared" si="49"/>
        <v>1136028.2006128938</v>
      </c>
      <c r="DD48" s="42">
        <f t="shared" si="49"/>
        <v>1136028.2006128938</v>
      </c>
      <c r="DE48" s="42">
        <f t="shared" si="49"/>
        <v>1136028.2006128938</v>
      </c>
      <c r="DF48" s="42">
        <f t="shared" si="49"/>
        <v>1136028.2006128938</v>
      </c>
      <c r="DG48" s="42">
        <f t="shared" si="49"/>
        <v>1136028.2006128938</v>
      </c>
      <c r="DH48" s="42">
        <f t="shared" si="49"/>
        <v>1136028.2006128938</v>
      </c>
      <c r="DI48" s="42">
        <f t="shared" si="49"/>
        <v>1136028.2006128938</v>
      </c>
      <c r="DJ48" s="42">
        <f t="shared" si="49"/>
        <v>1136028.2006128938</v>
      </c>
      <c r="DK48" s="42">
        <f t="shared" si="49"/>
        <v>1164428.905628216</v>
      </c>
      <c r="DL48" s="42">
        <f t="shared" si="49"/>
        <v>1164428.905628216</v>
      </c>
      <c r="DM48" s="42">
        <f t="shared" si="49"/>
        <v>1164428.905628216</v>
      </c>
      <c r="DN48" s="42">
        <f t="shared" si="49"/>
        <v>1164428.905628216</v>
      </c>
      <c r="DO48" s="42">
        <f t="shared" si="49"/>
        <v>1164428.905628216</v>
      </c>
      <c r="DP48" s="42">
        <f t="shared" si="49"/>
        <v>1164428.905628216</v>
      </c>
      <c r="DQ48" s="42">
        <f t="shared" si="49"/>
        <v>1164428.905628216</v>
      </c>
      <c r="DR48" s="42">
        <f t="shared" si="49"/>
        <v>1164428.905628216</v>
      </c>
      <c r="DS48" s="42">
        <f t="shared" si="49"/>
        <v>1164428.905628216</v>
      </c>
      <c r="DT48" s="42">
        <f t="shared" si="49"/>
        <v>1164428.905628216</v>
      </c>
      <c r="DU48" s="42">
        <f t="shared" si="49"/>
        <v>1164428.905628216</v>
      </c>
      <c r="DV48" s="42">
        <f t="shared" si="49"/>
        <v>1164428.905628216</v>
      </c>
    </row>
    <row r="49" spans="2:126" outlineLevel="1">
      <c r="B49" s="3" t="str">
        <f>B25</f>
        <v>Property A</v>
      </c>
      <c r="C49" s="43">
        <f>CaseData!D6</f>
        <v>197750</v>
      </c>
      <c r="D49" s="2"/>
      <c r="E49" s="35" t="s">
        <v>0</v>
      </c>
      <c r="F49" s="35"/>
      <c r="G49" s="36">
        <f t="shared" ref="G49:V53" si="50">$C49*G$211</f>
        <v>202693.74999999997</v>
      </c>
      <c r="H49" s="36">
        <f t="shared" si="50"/>
        <v>202693.74999999997</v>
      </c>
      <c r="I49" s="36">
        <f t="shared" si="50"/>
        <v>202693.74999999997</v>
      </c>
      <c r="J49" s="36">
        <f t="shared" si="50"/>
        <v>202693.74999999997</v>
      </c>
      <c r="K49" s="36">
        <f t="shared" si="50"/>
        <v>202693.74999999997</v>
      </c>
      <c r="L49" s="36">
        <f t="shared" si="50"/>
        <v>202693.74999999997</v>
      </c>
      <c r="M49" s="36">
        <f t="shared" si="50"/>
        <v>202693.74999999997</v>
      </c>
      <c r="N49" s="36">
        <f t="shared" si="50"/>
        <v>202693.74999999997</v>
      </c>
      <c r="O49" s="36">
        <f t="shared" si="50"/>
        <v>202693.74999999997</v>
      </c>
      <c r="P49" s="36">
        <f t="shared" si="50"/>
        <v>202693.74999999997</v>
      </c>
      <c r="Q49" s="36">
        <f t="shared" si="50"/>
        <v>202693.74999999997</v>
      </c>
      <c r="R49" s="36">
        <f t="shared" si="50"/>
        <v>202693.74999999997</v>
      </c>
      <c r="S49" s="36">
        <f t="shared" si="50"/>
        <v>207761.09374999997</v>
      </c>
      <c r="T49" s="36">
        <f t="shared" si="50"/>
        <v>207761.09374999997</v>
      </c>
      <c r="U49" s="36">
        <f t="shared" si="50"/>
        <v>207761.09374999997</v>
      </c>
      <c r="V49" s="36">
        <f t="shared" si="50"/>
        <v>207761.09374999997</v>
      </c>
      <c r="W49" s="36">
        <f t="shared" ref="W49:AL53" si="51">$C49*W$211</f>
        <v>207761.09374999997</v>
      </c>
      <c r="X49" s="36">
        <f t="shared" si="51"/>
        <v>207761.09374999997</v>
      </c>
      <c r="Y49" s="36">
        <f t="shared" si="51"/>
        <v>207761.09374999997</v>
      </c>
      <c r="Z49" s="36">
        <f t="shared" si="51"/>
        <v>207761.09374999997</v>
      </c>
      <c r="AA49" s="36">
        <f t="shared" si="51"/>
        <v>207761.09374999997</v>
      </c>
      <c r="AB49" s="36">
        <f t="shared" si="51"/>
        <v>207761.09374999997</v>
      </c>
      <c r="AC49" s="36">
        <f t="shared" si="51"/>
        <v>207761.09374999997</v>
      </c>
      <c r="AD49" s="36">
        <f t="shared" si="51"/>
        <v>207761.09374999997</v>
      </c>
      <c r="AE49" s="36">
        <f t="shared" si="51"/>
        <v>212955.12109374997</v>
      </c>
      <c r="AF49" s="36">
        <f t="shared" si="51"/>
        <v>212955.12109374997</v>
      </c>
      <c r="AG49" s="36">
        <f t="shared" si="51"/>
        <v>212955.12109374997</v>
      </c>
      <c r="AH49" s="36">
        <f t="shared" si="51"/>
        <v>212955.12109374997</v>
      </c>
      <c r="AI49" s="36">
        <f t="shared" si="51"/>
        <v>212955.12109374997</v>
      </c>
      <c r="AJ49" s="36">
        <f t="shared" si="51"/>
        <v>212955.12109374997</v>
      </c>
      <c r="AK49" s="36">
        <f t="shared" si="51"/>
        <v>212955.12109374997</v>
      </c>
      <c r="AL49" s="36">
        <f t="shared" si="51"/>
        <v>212955.12109374997</v>
      </c>
      <c r="AM49" s="36">
        <f t="shared" ref="AM49:BB53" si="52">$C49*AM$211</f>
        <v>212955.12109374997</v>
      </c>
      <c r="AN49" s="36">
        <f t="shared" si="52"/>
        <v>212955.12109374997</v>
      </c>
      <c r="AO49" s="36">
        <f t="shared" si="52"/>
        <v>212955.12109374997</v>
      </c>
      <c r="AP49" s="36">
        <f t="shared" si="52"/>
        <v>212955.12109374997</v>
      </c>
      <c r="AQ49" s="36">
        <f t="shared" si="52"/>
        <v>218278.99912109372</v>
      </c>
      <c r="AR49" s="36">
        <f t="shared" si="52"/>
        <v>218278.99912109372</v>
      </c>
      <c r="AS49" s="36">
        <f t="shared" si="52"/>
        <v>218278.99912109372</v>
      </c>
      <c r="AT49" s="36">
        <f t="shared" si="52"/>
        <v>218278.99912109372</v>
      </c>
      <c r="AU49" s="36">
        <f t="shared" si="52"/>
        <v>218278.99912109372</v>
      </c>
      <c r="AV49" s="36">
        <f t="shared" si="52"/>
        <v>218278.99912109372</v>
      </c>
      <c r="AW49" s="36">
        <f t="shared" si="52"/>
        <v>218278.99912109372</v>
      </c>
      <c r="AX49" s="36">
        <f t="shared" si="52"/>
        <v>218278.99912109372</v>
      </c>
      <c r="AY49" s="36">
        <f t="shared" si="52"/>
        <v>218278.99912109372</v>
      </c>
      <c r="AZ49" s="36">
        <f t="shared" si="52"/>
        <v>218278.99912109372</v>
      </c>
      <c r="BA49" s="36">
        <f t="shared" si="52"/>
        <v>218278.99912109372</v>
      </c>
      <c r="BB49" s="36">
        <f t="shared" si="52"/>
        <v>218278.99912109372</v>
      </c>
      <c r="BC49" s="36">
        <f t="shared" ref="BC49:BR53" si="53">$C49*BC$211</f>
        <v>223735.97409912103</v>
      </c>
      <c r="BD49" s="36">
        <f t="shared" si="53"/>
        <v>223735.97409912103</v>
      </c>
      <c r="BE49" s="36">
        <f t="shared" si="53"/>
        <v>223735.97409912103</v>
      </c>
      <c r="BF49" s="36">
        <f t="shared" si="53"/>
        <v>223735.97409912103</v>
      </c>
      <c r="BG49" s="36">
        <f t="shared" si="53"/>
        <v>223735.97409912103</v>
      </c>
      <c r="BH49" s="36">
        <f t="shared" si="53"/>
        <v>223735.97409912103</v>
      </c>
      <c r="BI49" s="36">
        <f t="shared" si="53"/>
        <v>223735.97409912103</v>
      </c>
      <c r="BJ49" s="36">
        <f t="shared" si="53"/>
        <v>223735.97409912103</v>
      </c>
      <c r="BK49" s="36">
        <f t="shared" si="53"/>
        <v>223735.97409912103</v>
      </c>
      <c r="BL49" s="36">
        <f t="shared" si="53"/>
        <v>223735.97409912103</v>
      </c>
      <c r="BM49" s="36">
        <f t="shared" si="53"/>
        <v>223735.97409912103</v>
      </c>
      <c r="BN49" s="36">
        <f t="shared" si="53"/>
        <v>223735.97409912103</v>
      </c>
      <c r="BO49" s="36">
        <f t="shared" si="53"/>
        <v>229329.37345159904</v>
      </c>
      <c r="BP49" s="36">
        <f t="shared" si="53"/>
        <v>229329.37345159904</v>
      </c>
      <c r="BQ49" s="36">
        <f t="shared" si="53"/>
        <v>229329.37345159904</v>
      </c>
      <c r="BR49" s="36">
        <f t="shared" si="53"/>
        <v>229329.37345159904</v>
      </c>
      <c r="BS49" s="36">
        <f t="shared" ref="BS49:CH53" si="54">$C49*BS$211</f>
        <v>229329.37345159904</v>
      </c>
      <c r="BT49" s="36">
        <f t="shared" si="54"/>
        <v>229329.37345159904</v>
      </c>
      <c r="BU49" s="36">
        <f t="shared" si="54"/>
        <v>229329.37345159904</v>
      </c>
      <c r="BV49" s="36">
        <f t="shared" si="54"/>
        <v>229329.37345159904</v>
      </c>
      <c r="BW49" s="36">
        <f t="shared" si="54"/>
        <v>229329.37345159904</v>
      </c>
      <c r="BX49" s="36">
        <f t="shared" si="54"/>
        <v>229329.37345159904</v>
      </c>
      <c r="BY49" s="36">
        <f t="shared" si="54"/>
        <v>229329.37345159904</v>
      </c>
      <c r="BZ49" s="36">
        <f t="shared" si="54"/>
        <v>229329.37345159904</v>
      </c>
      <c r="CA49" s="36">
        <f t="shared" si="54"/>
        <v>235062.60778788899</v>
      </c>
      <c r="CB49" s="36">
        <f t="shared" si="54"/>
        <v>235062.60778788899</v>
      </c>
      <c r="CC49" s="36">
        <f t="shared" si="54"/>
        <v>235062.60778788899</v>
      </c>
      <c r="CD49" s="36">
        <f t="shared" si="54"/>
        <v>235062.60778788899</v>
      </c>
      <c r="CE49" s="36">
        <f t="shared" si="54"/>
        <v>235062.60778788899</v>
      </c>
      <c r="CF49" s="36">
        <f t="shared" si="54"/>
        <v>235062.60778788899</v>
      </c>
      <c r="CG49" s="36">
        <f t="shared" si="54"/>
        <v>235062.60778788899</v>
      </c>
      <c r="CH49" s="36">
        <f t="shared" si="54"/>
        <v>235062.60778788899</v>
      </c>
      <c r="CI49" s="36">
        <f t="shared" ref="CI49:CX53" si="55">$C49*CI$211</f>
        <v>235062.60778788899</v>
      </c>
      <c r="CJ49" s="36">
        <f t="shared" si="55"/>
        <v>235062.60778788899</v>
      </c>
      <c r="CK49" s="36">
        <f t="shared" si="55"/>
        <v>235062.60778788899</v>
      </c>
      <c r="CL49" s="36">
        <f t="shared" si="55"/>
        <v>235062.60778788899</v>
      </c>
      <c r="CM49" s="36">
        <f t="shared" si="55"/>
        <v>240939.17298258617</v>
      </c>
      <c r="CN49" s="36">
        <f t="shared" si="55"/>
        <v>240939.17298258617</v>
      </c>
      <c r="CO49" s="36">
        <f t="shared" si="55"/>
        <v>240939.17298258617</v>
      </c>
      <c r="CP49" s="36">
        <f t="shared" si="55"/>
        <v>240939.17298258617</v>
      </c>
      <c r="CQ49" s="36">
        <f t="shared" si="55"/>
        <v>240939.17298258617</v>
      </c>
      <c r="CR49" s="36">
        <f t="shared" si="55"/>
        <v>240939.17298258617</v>
      </c>
      <c r="CS49" s="36">
        <f t="shared" si="55"/>
        <v>240939.17298258617</v>
      </c>
      <c r="CT49" s="36">
        <f t="shared" si="55"/>
        <v>240939.17298258617</v>
      </c>
      <c r="CU49" s="36">
        <f t="shared" si="55"/>
        <v>240939.17298258617</v>
      </c>
      <c r="CV49" s="36">
        <f t="shared" si="55"/>
        <v>240939.17298258617</v>
      </c>
      <c r="CW49" s="36">
        <f t="shared" si="55"/>
        <v>240939.17298258617</v>
      </c>
      <c r="CX49" s="36">
        <f t="shared" si="55"/>
        <v>240939.17298258617</v>
      </c>
      <c r="CY49" s="36">
        <f t="shared" ref="CY49:DN53" si="56">$C49*CY$211</f>
        <v>246962.6523071508</v>
      </c>
      <c r="CZ49" s="36">
        <f t="shared" si="56"/>
        <v>246962.6523071508</v>
      </c>
      <c r="DA49" s="36">
        <f t="shared" si="56"/>
        <v>246962.6523071508</v>
      </c>
      <c r="DB49" s="36">
        <f t="shared" si="56"/>
        <v>246962.6523071508</v>
      </c>
      <c r="DC49" s="36">
        <f t="shared" si="56"/>
        <v>246962.6523071508</v>
      </c>
      <c r="DD49" s="36">
        <f t="shared" si="56"/>
        <v>246962.6523071508</v>
      </c>
      <c r="DE49" s="36">
        <f t="shared" si="56"/>
        <v>246962.6523071508</v>
      </c>
      <c r="DF49" s="36">
        <f t="shared" si="56"/>
        <v>246962.6523071508</v>
      </c>
      <c r="DG49" s="36">
        <f t="shared" si="56"/>
        <v>246962.6523071508</v>
      </c>
      <c r="DH49" s="36">
        <f t="shared" si="56"/>
        <v>246962.6523071508</v>
      </c>
      <c r="DI49" s="36">
        <f t="shared" si="56"/>
        <v>246962.6523071508</v>
      </c>
      <c r="DJ49" s="36">
        <f t="shared" si="56"/>
        <v>246962.6523071508</v>
      </c>
      <c r="DK49" s="36">
        <f t="shared" si="56"/>
        <v>253136.71861482953</v>
      </c>
      <c r="DL49" s="36">
        <f t="shared" si="56"/>
        <v>253136.71861482953</v>
      </c>
      <c r="DM49" s="36">
        <f t="shared" si="56"/>
        <v>253136.71861482953</v>
      </c>
      <c r="DN49" s="36">
        <f t="shared" si="56"/>
        <v>253136.71861482953</v>
      </c>
      <c r="DO49" s="36">
        <f t="shared" ref="DM49:DV53" si="57">$C49*DO$211</f>
        <v>253136.71861482953</v>
      </c>
      <c r="DP49" s="36">
        <f t="shared" si="57"/>
        <v>253136.71861482953</v>
      </c>
      <c r="DQ49" s="36">
        <f t="shared" si="57"/>
        <v>253136.71861482953</v>
      </c>
      <c r="DR49" s="36">
        <f t="shared" si="57"/>
        <v>253136.71861482953</v>
      </c>
      <c r="DS49" s="36">
        <f t="shared" si="57"/>
        <v>253136.71861482953</v>
      </c>
      <c r="DT49" s="36">
        <f t="shared" si="57"/>
        <v>253136.71861482953</v>
      </c>
      <c r="DU49" s="36">
        <f t="shared" si="57"/>
        <v>253136.71861482953</v>
      </c>
      <c r="DV49" s="36">
        <f t="shared" si="57"/>
        <v>253136.71861482953</v>
      </c>
    </row>
    <row r="50" spans="2:126" outlineLevel="1">
      <c r="B50" s="3" t="str">
        <f>B26</f>
        <v>Property B</v>
      </c>
      <c r="C50" s="43">
        <f>CaseData!D7</f>
        <v>156800</v>
      </c>
      <c r="D50" s="2"/>
      <c r="E50" s="35" t="s">
        <v>0</v>
      </c>
      <c r="F50" s="35"/>
      <c r="G50" s="36">
        <f t="shared" si="50"/>
        <v>160720</v>
      </c>
      <c r="H50" s="36">
        <f t="shared" si="50"/>
        <v>160720</v>
      </c>
      <c r="I50" s="36">
        <f t="shared" si="50"/>
        <v>160720</v>
      </c>
      <c r="J50" s="36">
        <f t="shared" si="50"/>
        <v>160720</v>
      </c>
      <c r="K50" s="36">
        <f t="shared" si="50"/>
        <v>160720</v>
      </c>
      <c r="L50" s="36">
        <f t="shared" si="50"/>
        <v>160720</v>
      </c>
      <c r="M50" s="36">
        <f t="shared" si="50"/>
        <v>160720</v>
      </c>
      <c r="N50" s="36">
        <f t="shared" si="50"/>
        <v>160720</v>
      </c>
      <c r="O50" s="36">
        <f t="shared" si="50"/>
        <v>160720</v>
      </c>
      <c r="P50" s="36">
        <f t="shared" si="50"/>
        <v>160720</v>
      </c>
      <c r="Q50" s="36">
        <f t="shared" si="50"/>
        <v>160720</v>
      </c>
      <c r="R50" s="36">
        <f t="shared" si="50"/>
        <v>160720</v>
      </c>
      <c r="S50" s="36">
        <f t="shared" si="50"/>
        <v>164738</v>
      </c>
      <c r="T50" s="36">
        <f t="shared" si="50"/>
        <v>164738</v>
      </c>
      <c r="U50" s="36">
        <f t="shared" si="50"/>
        <v>164738</v>
      </c>
      <c r="V50" s="36">
        <f t="shared" si="50"/>
        <v>164738</v>
      </c>
      <c r="W50" s="36">
        <f t="shared" si="51"/>
        <v>164738</v>
      </c>
      <c r="X50" s="36">
        <f t="shared" si="51"/>
        <v>164738</v>
      </c>
      <c r="Y50" s="36">
        <f t="shared" si="51"/>
        <v>164738</v>
      </c>
      <c r="Z50" s="36">
        <f t="shared" si="51"/>
        <v>164738</v>
      </c>
      <c r="AA50" s="36">
        <f t="shared" si="51"/>
        <v>164738</v>
      </c>
      <c r="AB50" s="36">
        <f t="shared" si="51"/>
        <v>164738</v>
      </c>
      <c r="AC50" s="36">
        <f t="shared" si="51"/>
        <v>164738</v>
      </c>
      <c r="AD50" s="36">
        <f t="shared" si="51"/>
        <v>164738</v>
      </c>
      <c r="AE50" s="36">
        <f t="shared" si="51"/>
        <v>168856.44999999998</v>
      </c>
      <c r="AF50" s="36">
        <f t="shared" si="51"/>
        <v>168856.44999999998</v>
      </c>
      <c r="AG50" s="36">
        <f t="shared" si="51"/>
        <v>168856.44999999998</v>
      </c>
      <c r="AH50" s="36">
        <f t="shared" si="51"/>
        <v>168856.44999999998</v>
      </c>
      <c r="AI50" s="36">
        <f t="shared" si="51"/>
        <v>168856.44999999998</v>
      </c>
      <c r="AJ50" s="36">
        <f t="shared" si="51"/>
        <v>168856.44999999998</v>
      </c>
      <c r="AK50" s="36">
        <f t="shared" si="51"/>
        <v>168856.44999999998</v>
      </c>
      <c r="AL50" s="36">
        <f t="shared" si="51"/>
        <v>168856.44999999998</v>
      </c>
      <c r="AM50" s="36">
        <f t="shared" si="52"/>
        <v>168856.44999999998</v>
      </c>
      <c r="AN50" s="36">
        <f t="shared" si="52"/>
        <v>168856.44999999998</v>
      </c>
      <c r="AO50" s="36">
        <f t="shared" si="52"/>
        <v>168856.44999999998</v>
      </c>
      <c r="AP50" s="36">
        <f t="shared" si="52"/>
        <v>168856.44999999998</v>
      </c>
      <c r="AQ50" s="36">
        <f t="shared" si="52"/>
        <v>173077.86124999996</v>
      </c>
      <c r="AR50" s="36">
        <f t="shared" si="52"/>
        <v>173077.86124999996</v>
      </c>
      <c r="AS50" s="36">
        <f t="shared" si="52"/>
        <v>173077.86124999996</v>
      </c>
      <c r="AT50" s="36">
        <f t="shared" si="52"/>
        <v>173077.86124999996</v>
      </c>
      <c r="AU50" s="36">
        <f t="shared" si="52"/>
        <v>173077.86124999996</v>
      </c>
      <c r="AV50" s="36">
        <f t="shared" si="52"/>
        <v>173077.86124999996</v>
      </c>
      <c r="AW50" s="36">
        <f t="shared" si="52"/>
        <v>173077.86124999996</v>
      </c>
      <c r="AX50" s="36">
        <f t="shared" si="52"/>
        <v>173077.86124999996</v>
      </c>
      <c r="AY50" s="36">
        <f t="shared" si="52"/>
        <v>173077.86124999996</v>
      </c>
      <c r="AZ50" s="36">
        <f t="shared" si="52"/>
        <v>173077.86124999996</v>
      </c>
      <c r="BA50" s="36">
        <f t="shared" si="52"/>
        <v>173077.86124999996</v>
      </c>
      <c r="BB50" s="36">
        <f t="shared" si="52"/>
        <v>173077.86124999996</v>
      </c>
      <c r="BC50" s="36">
        <f t="shared" si="53"/>
        <v>177404.80778124995</v>
      </c>
      <c r="BD50" s="36">
        <f t="shared" si="53"/>
        <v>177404.80778124995</v>
      </c>
      <c r="BE50" s="36">
        <f t="shared" si="53"/>
        <v>177404.80778124995</v>
      </c>
      <c r="BF50" s="36">
        <f t="shared" si="53"/>
        <v>177404.80778124995</v>
      </c>
      <c r="BG50" s="36">
        <f t="shared" si="53"/>
        <v>177404.80778124995</v>
      </c>
      <c r="BH50" s="36">
        <f t="shared" si="53"/>
        <v>177404.80778124995</v>
      </c>
      <c r="BI50" s="36">
        <f t="shared" si="53"/>
        <v>177404.80778124995</v>
      </c>
      <c r="BJ50" s="36">
        <f t="shared" si="53"/>
        <v>177404.80778124995</v>
      </c>
      <c r="BK50" s="36">
        <f t="shared" si="53"/>
        <v>177404.80778124995</v>
      </c>
      <c r="BL50" s="36">
        <f t="shared" si="53"/>
        <v>177404.80778124995</v>
      </c>
      <c r="BM50" s="36">
        <f t="shared" si="53"/>
        <v>177404.80778124995</v>
      </c>
      <c r="BN50" s="36">
        <f t="shared" si="53"/>
        <v>177404.80778124995</v>
      </c>
      <c r="BO50" s="36">
        <f t="shared" si="53"/>
        <v>181839.92797578117</v>
      </c>
      <c r="BP50" s="36">
        <f t="shared" si="53"/>
        <v>181839.92797578117</v>
      </c>
      <c r="BQ50" s="36">
        <f t="shared" si="53"/>
        <v>181839.92797578117</v>
      </c>
      <c r="BR50" s="36">
        <f t="shared" si="53"/>
        <v>181839.92797578117</v>
      </c>
      <c r="BS50" s="36">
        <f t="shared" si="54"/>
        <v>181839.92797578117</v>
      </c>
      <c r="BT50" s="36">
        <f t="shared" si="54"/>
        <v>181839.92797578117</v>
      </c>
      <c r="BU50" s="36">
        <f t="shared" si="54"/>
        <v>181839.92797578117</v>
      </c>
      <c r="BV50" s="36">
        <f t="shared" si="54"/>
        <v>181839.92797578117</v>
      </c>
      <c r="BW50" s="36">
        <f t="shared" si="54"/>
        <v>181839.92797578117</v>
      </c>
      <c r="BX50" s="36">
        <f t="shared" si="54"/>
        <v>181839.92797578117</v>
      </c>
      <c r="BY50" s="36">
        <f t="shared" si="54"/>
        <v>181839.92797578117</v>
      </c>
      <c r="BZ50" s="36">
        <f t="shared" si="54"/>
        <v>181839.92797578117</v>
      </c>
      <c r="CA50" s="36">
        <f t="shared" si="54"/>
        <v>186385.92617517567</v>
      </c>
      <c r="CB50" s="36">
        <f t="shared" si="54"/>
        <v>186385.92617517567</v>
      </c>
      <c r="CC50" s="36">
        <f t="shared" si="54"/>
        <v>186385.92617517567</v>
      </c>
      <c r="CD50" s="36">
        <f t="shared" si="54"/>
        <v>186385.92617517567</v>
      </c>
      <c r="CE50" s="36">
        <f t="shared" si="54"/>
        <v>186385.92617517567</v>
      </c>
      <c r="CF50" s="36">
        <f t="shared" si="54"/>
        <v>186385.92617517567</v>
      </c>
      <c r="CG50" s="36">
        <f t="shared" si="54"/>
        <v>186385.92617517567</v>
      </c>
      <c r="CH50" s="36">
        <f t="shared" si="54"/>
        <v>186385.92617517567</v>
      </c>
      <c r="CI50" s="36">
        <f t="shared" si="55"/>
        <v>186385.92617517567</v>
      </c>
      <c r="CJ50" s="36">
        <f t="shared" si="55"/>
        <v>186385.92617517567</v>
      </c>
      <c r="CK50" s="36">
        <f t="shared" si="55"/>
        <v>186385.92617517567</v>
      </c>
      <c r="CL50" s="36">
        <f t="shared" si="55"/>
        <v>186385.92617517567</v>
      </c>
      <c r="CM50" s="36">
        <f t="shared" si="55"/>
        <v>191045.57432955506</v>
      </c>
      <c r="CN50" s="36">
        <f t="shared" si="55"/>
        <v>191045.57432955506</v>
      </c>
      <c r="CO50" s="36">
        <f t="shared" si="55"/>
        <v>191045.57432955506</v>
      </c>
      <c r="CP50" s="36">
        <f t="shared" si="55"/>
        <v>191045.57432955506</v>
      </c>
      <c r="CQ50" s="36">
        <f t="shared" si="55"/>
        <v>191045.57432955506</v>
      </c>
      <c r="CR50" s="36">
        <f t="shared" si="55"/>
        <v>191045.57432955506</v>
      </c>
      <c r="CS50" s="36">
        <f t="shared" si="55"/>
        <v>191045.57432955506</v>
      </c>
      <c r="CT50" s="36">
        <f t="shared" si="55"/>
        <v>191045.57432955506</v>
      </c>
      <c r="CU50" s="36">
        <f t="shared" si="55"/>
        <v>191045.57432955506</v>
      </c>
      <c r="CV50" s="36">
        <f t="shared" si="55"/>
        <v>191045.57432955506</v>
      </c>
      <c r="CW50" s="36">
        <f t="shared" si="55"/>
        <v>191045.57432955506</v>
      </c>
      <c r="CX50" s="36">
        <f t="shared" si="55"/>
        <v>191045.57432955506</v>
      </c>
      <c r="CY50" s="36">
        <f t="shared" si="56"/>
        <v>195821.7136877939</v>
      </c>
      <c r="CZ50" s="36">
        <f t="shared" si="56"/>
        <v>195821.7136877939</v>
      </c>
      <c r="DA50" s="36">
        <f t="shared" si="56"/>
        <v>195821.7136877939</v>
      </c>
      <c r="DB50" s="36">
        <f t="shared" si="56"/>
        <v>195821.7136877939</v>
      </c>
      <c r="DC50" s="36">
        <f t="shared" si="56"/>
        <v>195821.7136877939</v>
      </c>
      <c r="DD50" s="36">
        <f t="shared" si="56"/>
        <v>195821.7136877939</v>
      </c>
      <c r="DE50" s="36">
        <f t="shared" si="56"/>
        <v>195821.7136877939</v>
      </c>
      <c r="DF50" s="36">
        <f t="shared" si="56"/>
        <v>195821.7136877939</v>
      </c>
      <c r="DG50" s="36">
        <f t="shared" si="56"/>
        <v>195821.7136877939</v>
      </c>
      <c r="DH50" s="36">
        <f t="shared" si="56"/>
        <v>195821.7136877939</v>
      </c>
      <c r="DI50" s="36">
        <f t="shared" si="56"/>
        <v>195821.7136877939</v>
      </c>
      <c r="DJ50" s="36">
        <f t="shared" si="56"/>
        <v>195821.7136877939</v>
      </c>
      <c r="DK50" s="36">
        <f t="shared" si="56"/>
        <v>200717.25652998872</v>
      </c>
      <c r="DL50" s="36">
        <f t="shared" si="56"/>
        <v>200717.25652998872</v>
      </c>
      <c r="DM50" s="36">
        <f t="shared" si="57"/>
        <v>200717.25652998872</v>
      </c>
      <c r="DN50" s="36">
        <f t="shared" si="57"/>
        <v>200717.25652998872</v>
      </c>
      <c r="DO50" s="36">
        <f t="shared" si="57"/>
        <v>200717.25652998872</v>
      </c>
      <c r="DP50" s="36">
        <f t="shared" si="57"/>
        <v>200717.25652998872</v>
      </c>
      <c r="DQ50" s="36">
        <f t="shared" si="57"/>
        <v>200717.25652998872</v>
      </c>
      <c r="DR50" s="36">
        <f t="shared" si="57"/>
        <v>200717.25652998872</v>
      </c>
      <c r="DS50" s="36">
        <f t="shared" si="57"/>
        <v>200717.25652998872</v>
      </c>
      <c r="DT50" s="36">
        <f t="shared" si="57"/>
        <v>200717.25652998872</v>
      </c>
      <c r="DU50" s="36">
        <f t="shared" si="57"/>
        <v>200717.25652998872</v>
      </c>
      <c r="DV50" s="36">
        <f t="shared" si="57"/>
        <v>200717.25652998872</v>
      </c>
    </row>
    <row r="51" spans="2:126" outlineLevel="1">
      <c r="B51" s="3" t="str">
        <f>B27</f>
        <v>Property C</v>
      </c>
      <c r="C51" s="43">
        <f>CaseData!D8</f>
        <v>171500</v>
      </c>
      <c r="D51" s="2"/>
      <c r="E51" s="35" t="s">
        <v>0</v>
      </c>
      <c r="F51" s="35"/>
      <c r="G51" s="36">
        <f t="shared" si="50"/>
        <v>175787.49999999997</v>
      </c>
      <c r="H51" s="36">
        <f t="shared" si="50"/>
        <v>175787.49999999997</v>
      </c>
      <c r="I51" s="36">
        <f t="shared" si="50"/>
        <v>175787.49999999997</v>
      </c>
      <c r="J51" s="36">
        <f t="shared" si="50"/>
        <v>175787.49999999997</v>
      </c>
      <c r="K51" s="36">
        <f t="shared" si="50"/>
        <v>175787.49999999997</v>
      </c>
      <c r="L51" s="36">
        <f t="shared" si="50"/>
        <v>175787.49999999997</v>
      </c>
      <c r="M51" s="36">
        <f t="shared" si="50"/>
        <v>175787.49999999997</v>
      </c>
      <c r="N51" s="36">
        <f t="shared" si="50"/>
        <v>175787.49999999997</v>
      </c>
      <c r="O51" s="36">
        <f t="shared" si="50"/>
        <v>175787.49999999997</v>
      </c>
      <c r="P51" s="36">
        <f t="shared" si="50"/>
        <v>175787.49999999997</v>
      </c>
      <c r="Q51" s="36">
        <f t="shared" si="50"/>
        <v>175787.49999999997</v>
      </c>
      <c r="R51" s="36">
        <f t="shared" si="50"/>
        <v>175787.49999999997</v>
      </c>
      <c r="S51" s="36">
        <f t="shared" si="50"/>
        <v>180182.1875</v>
      </c>
      <c r="T51" s="36">
        <f t="shared" si="50"/>
        <v>180182.1875</v>
      </c>
      <c r="U51" s="36">
        <f t="shared" si="50"/>
        <v>180182.1875</v>
      </c>
      <c r="V51" s="36">
        <f t="shared" si="50"/>
        <v>180182.1875</v>
      </c>
      <c r="W51" s="36">
        <f t="shared" si="51"/>
        <v>180182.1875</v>
      </c>
      <c r="X51" s="36">
        <f t="shared" si="51"/>
        <v>180182.1875</v>
      </c>
      <c r="Y51" s="36">
        <f t="shared" si="51"/>
        <v>180182.1875</v>
      </c>
      <c r="Z51" s="36">
        <f t="shared" si="51"/>
        <v>180182.1875</v>
      </c>
      <c r="AA51" s="36">
        <f t="shared" si="51"/>
        <v>180182.1875</v>
      </c>
      <c r="AB51" s="36">
        <f t="shared" si="51"/>
        <v>180182.1875</v>
      </c>
      <c r="AC51" s="36">
        <f t="shared" si="51"/>
        <v>180182.1875</v>
      </c>
      <c r="AD51" s="36">
        <f t="shared" si="51"/>
        <v>180182.1875</v>
      </c>
      <c r="AE51" s="36">
        <f t="shared" si="51"/>
        <v>184686.74218749997</v>
      </c>
      <c r="AF51" s="36">
        <f t="shared" si="51"/>
        <v>184686.74218749997</v>
      </c>
      <c r="AG51" s="36">
        <f t="shared" si="51"/>
        <v>184686.74218749997</v>
      </c>
      <c r="AH51" s="36">
        <f t="shared" si="51"/>
        <v>184686.74218749997</v>
      </c>
      <c r="AI51" s="36">
        <f t="shared" si="51"/>
        <v>184686.74218749997</v>
      </c>
      <c r="AJ51" s="36">
        <f t="shared" si="51"/>
        <v>184686.74218749997</v>
      </c>
      <c r="AK51" s="36">
        <f t="shared" si="51"/>
        <v>184686.74218749997</v>
      </c>
      <c r="AL51" s="36">
        <f t="shared" si="51"/>
        <v>184686.74218749997</v>
      </c>
      <c r="AM51" s="36">
        <f t="shared" si="52"/>
        <v>184686.74218749997</v>
      </c>
      <c r="AN51" s="36">
        <f t="shared" si="52"/>
        <v>184686.74218749997</v>
      </c>
      <c r="AO51" s="36">
        <f t="shared" si="52"/>
        <v>184686.74218749997</v>
      </c>
      <c r="AP51" s="36">
        <f t="shared" si="52"/>
        <v>184686.74218749997</v>
      </c>
      <c r="AQ51" s="36">
        <f t="shared" si="52"/>
        <v>189303.91074218747</v>
      </c>
      <c r="AR51" s="36">
        <f t="shared" si="52"/>
        <v>189303.91074218747</v>
      </c>
      <c r="AS51" s="36">
        <f t="shared" si="52"/>
        <v>189303.91074218747</v>
      </c>
      <c r="AT51" s="36">
        <f t="shared" si="52"/>
        <v>189303.91074218747</v>
      </c>
      <c r="AU51" s="36">
        <f t="shared" si="52"/>
        <v>189303.91074218747</v>
      </c>
      <c r="AV51" s="36">
        <f t="shared" si="52"/>
        <v>189303.91074218747</v>
      </c>
      <c r="AW51" s="36">
        <f t="shared" si="52"/>
        <v>189303.91074218747</v>
      </c>
      <c r="AX51" s="36">
        <f t="shared" si="52"/>
        <v>189303.91074218747</v>
      </c>
      <c r="AY51" s="36">
        <f t="shared" si="52"/>
        <v>189303.91074218747</v>
      </c>
      <c r="AZ51" s="36">
        <f t="shared" si="52"/>
        <v>189303.91074218747</v>
      </c>
      <c r="BA51" s="36">
        <f t="shared" si="52"/>
        <v>189303.91074218747</v>
      </c>
      <c r="BB51" s="36">
        <f t="shared" si="52"/>
        <v>189303.91074218747</v>
      </c>
      <c r="BC51" s="36">
        <f t="shared" si="53"/>
        <v>194036.50851074213</v>
      </c>
      <c r="BD51" s="36">
        <f t="shared" si="53"/>
        <v>194036.50851074213</v>
      </c>
      <c r="BE51" s="36">
        <f t="shared" si="53"/>
        <v>194036.50851074213</v>
      </c>
      <c r="BF51" s="36">
        <f t="shared" si="53"/>
        <v>194036.50851074213</v>
      </c>
      <c r="BG51" s="36">
        <f t="shared" si="53"/>
        <v>194036.50851074213</v>
      </c>
      <c r="BH51" s="36">
        <f t="shared" si="53"/>
        <v>194036.50851074213</v>
      </c>
      <c r="BI51" s="36">
        <f t="shared" si="53"/>
        <v>194036.50851074213</v>
      </c>
      <c r="BJ51" s="36">
        <f t="shared" si="53"/>
        <v>194036.50851074213</v>
      </c>
      <c r="BK51" s="36">
        <f t="shared" si="53"/>
        <v>194036.50851074213</v>
      </c>
      <c r="BL51" s="36">
        <f t="shared" si="53"/>
        <v>194036.50851074213</v>
      </c>
      <c r="BM51" s="36">
        <f t="shared" si="53"/>
        <v>194036.50851074213</v>
      </c>
      <c r="BN51" s="36">
        <f t="shared" si="53"/>
        <v>194036.50851074213</v>
      </c>
      <c r="BO51" s="36">
        <f t="shared" si="53"/>
        <v>198887.42122351067</v>
      </c>
      <c r="BP51" s="36">
        <f t="shared" si="53"/>
        <v>198887.42122351067</v>
      </c>
      <c r="BQ51" s="36">
        <f t="shared" si="53"/>
        <v>198887.42122351067</v>
      </c>
      <c r="BR51" s="36">
        <f t="shared" si="53"/>
        <v>198887.42122351067</v>
      </c>
      <c r="BS51" s="36">
        <f t="shared" si="54"/>
        <v>198887.42122351067</v>
      </c>
      <c r="BT51" s="36">
        <f t="shared" si="54"/>
        <v>198887.42122351067</v>
      </c>
      <c r="BU51" s="36">
        <f t="shared" si="54"/>
        <v>198887.42122351067</v>
      </c>
      <c r="BV51" s="36">
        <f t="shared" si="54"/>
        <v>198887.42122351067</v>
      </c>
      <c r="BW51" s="36">
        <f t="shared" si="54"/>
        <v>198887.42122351067</v>
      </c>
      <c r="BX51" s="36">
        <f t="shared" si="54"/>
        <v>198887.42122351067</v>
      </c>
      <c r="BY51" s="36">
        <f t="shared" si="54"/>
        <v>198887.42122351067</v>
      </c>
      <c r="BZ51" s="36">
        <f t="shared" si="54"/>
        <v>198887.42122351067</v>
      </c>
      <c r="CA51" s="36">
        <f t="shared" si="54"/>
        <v>203859.60675409841</v>
      </c>
      <c r="CB51" s="36">
        <f t="shared" si="54"/>
        <v>203859.60675409841</v>
      </c>
      <c r="CC51" s="36">
        <f t="shared" si="54"/>
        <v>203859.60675409841</v>
      </c>
      <c r="CD51" s="36">
        <f t="shared" si="54"/>
        <v>203859.60675409841</v>
      </c>
      <c r="CE51" s="36">
        <f t="shared" si="54"/>
        <v>203859.60675409841</v>
      </c>
      <c r="CF51" s="36">
        <f t="shared" si="54"/>
        <v>203859.60675409841</v>
      </c>
      <c r="CG51" s="36">
        <f t="shared" si="54"/>
        <v>203859.60675409841</v>
      </c>
      <c r="CH51" s="36">
        <f t="shared" si="54"/>
        <v>203859.60675409841</v>
      </c>
      <c r="CI51" s="36">
        <f t="shared" si="55"/>
        <v>203859.60675409841</v>
      </c>
      <c r="CJ51" s="36">
        <f t="shared" si="55"/>
        <v>203859.60675409841</v>
      </c>
      <c r="CK51" s="36">
        <f t="shared" si="55"/>
        <v>203859.60675409841</v>
      </c>
      <c r="CL51" s="36">
        <f t="shared" si="55"/>
        <v>203859.60675409841</v>
      </c>
      <c r="CM51" s="36">
        <f t="shared" si="55"/>
        <v>208956.09692295085</v>
      </c>
      <c r="CN51" s="36">
        <f t="shared" si="55"/>
        <v>208956.09692295085</v>
      </c>
      <c r="CO51" s="36">
        <f t="shared" si="55"/>
        <v>208956.09692295085</v>
      </c>
      <c r="CP51" s="36">
        <f t="shared" si="55"/>
        <v>208956.09692295085</v>
      </c>
      <c r="CQ51" s="36">
        <f t="shared" si="55"/>
        <v>208956.09692295085</v>
      </c>
      <c r="CR51" s="36">
        <f t="shared" si="55"/>
        <v>208956.09692295085</v>
      </c>
      <c r="CS51" s="36">
        <f t="shared" si="55"/>
        <v>208956.09692295085</v>
      </c>
      <c r="CT51" s="36">
        <f t="shared" si="55"/>
        <v>208956.09692295085</v>
      </c>
      <c r="CU51" s="36">
        <f t="shared" si="55"/>
        <v>208956.09692295085</v>
      </c>
      <c r="CV51" s="36">
        <f t="shared" si="55"/>
        <v>208956.09692295085</v>
      </c>
      <c r="CW51" s="36">
        <f t="shared" si="55"/>
        <v>208956.09692295085</v>
      </c>
      <c r="CX51" s="36">
        <f t="shared" si="55"/>
        <v>208956.09692295085</v>
      </c>
      <c r="CY51" s="36">
        <f t="shared" si="56"/>
        <v>214179.99934602459</v>
      </c>
      <c r="CZ51" s="36">
        <f t="shared" si="56"/>
        <v>214179.99934602459</v>
      </c>
      <c r="DA51" s="36">
        <f t="shared" si="56"/>
        <v>214179.99934602459</v>
      </c>
      <c r="DB51" s="36">
        <f t="shared" si="56"/>
        <v>214179.99934602459</v>
      </c>
      <c r="DC51" s="36">
        <f t="shared" si="56"/>
        <v>214179.99934602459</v>
      </c>
      <c r="DD51" s="36">
        <f t="shared" si="56"/>
        <v>214179.99934602459</v>
      </c>
      <c r="DE51" s="36">
        <f t="shared" si="56"/>
        <v>214179.99934602459</v>
      </c>
      <c r="DF51" s="36">
        <f t="shared" si="56"/>
        <v>214179.99934602459</v>
      </c>
      <c r="DG51" s="36">
        <f t="shared" si="56"/>
        <v>214179.99934602459</v>
      </c>
      <c r="DH51" s="36">
        <f t="shared" si="56"/>
        <v>214179.99934602459</v>
      </c>
      <c r="DI51" s="36">
        <f t="shared" si="56"/>
        <v>214179.99934602459</v>
      </c>
      <c r="DJ51" s="36">
        <f t="shared" si="56"/>
        <v>214179.99934602459</v>
      </c>
      <c r="DK51" s="36">
        <f t="shared" si="56"/>
        <v>219534.49932967516</v>
      </c>
      <c r="DL51" s="36">
        <f t="shared" si="56"/>
        <v>219534.49932967516</v>
      </c>
      <c r="DM51" s="36">
        <f t="shared" si="57"/>
        <v>219534.49932967516</v>
      </c>
      <c r="DN51" s="36">
        <f t="shared" si="57"/>
        <v>219534.49932967516</v>
      </c>
      <c r="DO51" s="36">
        <f t="shared" si="57"/>
        <v>219534.49932967516</v>
      </c>
      <c r="DP51" s="36">
        <f t="shared" si="57"/>
        <v>219534.49932967516</v>
      </c>
      <c r="DQ51" s="36">
        <f t="shared" si="57"/>
        <v>219534.49932967516</v>
      </c>
      <c r="DR51" s="36">
        <f t="shared" si="57"/>
        <v>219534.49932967516</v>
      </c>
      <c r="DS51" s="36">
        <f t="shared" si="57"/>
        <v>219534.49932967516</v>
      </c>
      <c r="DT51" s="36">
        <f t="shared" si="57"/>
        <v>219534.49932967516</v>
      </c>
      <c r="DU51" s="36">
        <f t="shared" si="57"/>
        <v>219534.49932967516</v>
      </c>
      <c r="DV51" s="36">
        <f t="shared" si="57"/>
        <v>219534.49932967516</v>
      </c>
    </row>
    <row r="52" spans="2:126" outlineLevel="1">
      <c r="B52" s="3" t="str">
        <f>B28</f>
        <v>Property D</v>
      </c>
      <c r="C52" s="43">
        <f>CaseData!D9</f>
        <v>206640</v>
      </c>
      <c r="D52" s="2"/>
      <c r="E52" s="35" t="s">
        <v>0</v>
      </c>
      <c r="F52" s="35"/>
      <c r="G52" s="36">
        <f t="shared" si="50"/>
        <v>211805.99999999997</v>
      </c>
      <c r="H52" s="36">
        <f t="shared" si="50"/>
        <v>211805.99999999997</v>
      </c>
      <c r="I52" s="36">
        <f t="shared" si="50"/>
        <v>211805.99999999997</v>
      </c>
      <c r="J52" s="36">
        <f t="shared" si="50"/>
        <v>211805.99999999997</v>
      </c>
      <c r="K52" s="36">
        <f t="shared" si="50"/>
        <v>211805.99999999997</v>
      </c>
      <c r="L52" s="36">
        <f t="shared" si="50"/>
        <v>211805.99999999997</v>
      </c>
      <c r="M52" s="36">
        <f t="shared" si="50"/>
        <v>211805.99999999997</v>
      </c>
      <c r="N52" s="36">
        <f t="shared" si="50"/>
        <v>211805.99999999997</v>
      </c>
      <c r="O52" s="36">
        <f t="shared" si="50"/>
        <v>211805.99999999997</v>
      </c>
      <c r="P52" s="36">
        <f t="shared" si="50"/>
        <v>211805.99999999997</v>
      </c>
      <c r="Q52" s="36">
        <f t="shared" si="50"/>
        <v>211805.99999999997</v>
      </c>
      <c r="R52" s="36">
        <f t="shared" si="50"/>
        <v>211805.99999999997</v>
      </c>
      <c r="S52" s="36">
        <f t="shared" si="50"/>
        <v>217101.15</v>
      </c>
      <c r="T52" s="36">
        <f t="shared" si="50"/>
        <v>217101.15</v>
      </c>
      <c r="U52" s="36">
        <f t="shared" si="50"/>
        <v>217101.15</v>
      </c>
      <c r="V52" s="36">
        <f t="shared" si="50"/>
        <v>217101.15</v>
      </c>
      <c r="W52" s="36">
        <f t="shared" si="51"/>
        <v>217101.15</v>
      </c>
      <c r="X52" s="36">
        <f t="shared" si="51"/>
        <v>217101.15</v>
      </c>
      <c r="Y52" s="36">
        <f t="shared" si="51"/>
        <v>217101.15</v>
      </c>
      <c r="Z52" s="36">
        <f t="shared" si="51"/>
        <v>217101.15</v>
      </c>
      <c r="AA52" s="36">
        <f t="shared" si="51"/>
        <v>217101.15</v>
      </c>
      <c r="AB52" s="36">
        <f t="shared" si="51"/>
        <v>217101.15</v>
      </c>
      <c r="AC52" s="36">
        <f t="shared" si="51"/>
        <v>217101.15</v>
      </c>
      <c r="AD52" s="36">
        <f t="shared" si="51"/>
        <v>217101.15</v>
      </c>
      <c r="AE52" s="36">
        <f t="shared" si="51"/>
        <v>222528.67874999996</v>
      </c>
      <c r="AF52" s="36">
        <f t="shared" si="51"/>
        <v>222528.67874999996</v>
      </c>
      <c r="AG52" s="36">
        <f t="shared" si="51"/>
        <v>222528.67874999996</v>
      </c>
      <c r="AH52" s="36">
        <f t="shared" si="51"/>
        <v>222528.67874999996</v>
      </c>
      <c r="AI52" s="36">
        <f t="shared" si="51"/>
        <v>222528.67874999996</v>
      </c>
      <c r="AJ52" s="36">
        <f t="shared" si="51"/>
        <v>222528.67874999996</v>
      </c>
      <c r="AK52" s="36">
        <f t="shared" si="51"/>
        <v>222528.67874999996</v>
      </c>
      <c r="AL52" s="36">
        <f t="shared" si="51"/>
        <v>222528.67874999996</v>
      </c>
      <c r="AM52" s="36">
        <f t="shared" si="52"/>
        <v>222528.67874999996</v>
      </c>
      <c r="AN52" s="36">
        <f t="shared" si="52"/>
        <v>222528.67874999996</v>
      </c>
      <c r="AO52" s="36">
        <f t="shared" si="52"/>
        <v>222528.67874999996</v>
      </c>
      <c r="AP52" s="36">
        <f t="shared" si="52"/>
        <v>222528.67874999996</v>
      </c>
      <c r="AQ52" s="36">
        <f t="shared" si="52"/>
        <v>228091.89571874996</v>
      </c>
      <c r="AR52" s="36">
        <f t="shared" si="52"/>
        <v>228091.89571874996</v>
      </c>
      <c r="AS52" s="36">
        <f t="shared" si="52"/>
        <v>228091.89571874996</v>
      </c>
      <c r="AT52" s="36">
        <f t="shared" si="52"/>
        <v>228091.89571874996</v>
      </c>
      <c r="AU52" s="36">
        <f t="shared" si="52"/>
        <v>228091.89571874996</v>
      </c>
      <c r="AV52" s="36">
        <f t="shared" si="52"/>
        <v>228091.89571874996</v>
      </c>
      <c r="AW52" s="36">
        <f t="shared" si="52"/>
        <v>228091.89571874996</v>
      </c>
      <c r="AX52" s="36">
        <f t="shared" si="52"/>
        <v>228091.89571874996</v>
      </c>
      <c r="AY52" s="36">
        <f t="shared" si="52"/>
        <v>228091.89571874996</v>
      </c>
      <c r="AZ52" s="36">
        <f t="shared" si="52"/>
        <v>228091.89571874996</v>
      </c>
      <c r="BA52" s="36">
        <f t="shared" si="52"/>
        <v>228091.89571874996</v>
      </c>
      <c r="BB52" s="36">
        <f t="shared" si="52"/>
        <v>228091.89571874996</v>
      </c>
      <c r="BC52" s="36">
        <f t="shared" si="53"/>
        <v>233794.19311171869</v>
      </c>
      <c r="BD52" s="36">
        <f t="shared" si="53"/>
        <v>233794.19311171869</v>
      </c>
      <c r="BE52" s="36">
        <f t="shared" si="53"/>
        <v>233794.19311171869</v>
      </c>
      <c r="BF52" s="36">
        <f t="shared" si="53"/>
        <v>233794.19311171869</v>
      </c>
      <c r="BG52" s="36">
        <f t="shared" si="53"/>
        <v>233794.19311171869</v>
      </c>
      <c r="BH52" s="36">
        <f t="shared" si="53"/>
        <v>233794.19311171869</v>
      </c>
      <c r="BI52" s="36">
        <f t="shared" si="53"/>
        <v>233794.19311171869</v>
      </c>
      <c r="BJ52" s="36">
        <f t="shared" si="53"/>
        <v>233794.19311171869</v>
      </c>
      <c r="BK52" s="36">
        <f t="shared" si="53"/>
        <v>233794.19311171869</v>
      </c>
      <c r="BL52" s="36">
        <f t="shared" si="53"/>
        <v>233794.19311171869</v>
      </c>
      <c r="BM52" s="36">
        <f t="shared" si="53"/>
        <v>233794.19311171869</v>
      </c>
      <c r="BN52" s="36">
        <f t="shared" si="53"/>
        <v>233794.19311171869</v>
      </c>
      <c r="BO52" s="36">
        <f t="shared" si="53"/>
        <v>239639.04793951163</v>
      </c>
      <c r="BP52" s="36">
        <f t="shared" si="53"/>
        <v>239639.04793951163</v>
      </c>
      <c r="BQ52" s="36">
        <f t="shared" si="53"/>
        <v>239639.04793951163</v>
      </c>
      <c r="BR52" s="36">
        <f t="shared" si="53"/>
        <v>239639.04793951163</v>
      </c>
      <c r="BS52" s="36">
        <f t="shared" si="54"/>
        <v>239639.04793951163</v>
      </c>
      <c r="BT52" s="36">
        <f t="shared" si="54"/>
        <v>239639.04793951163</v>
      </c>
      <c r="BU52" s="36">
        <f t="shared" si="54"/>
        <v>239639.04793951163</v>
      </c>
      <c r="BV52" s="36">
        <f t="shared" si="54"/>
        <v>239639.04793951163</v>
      </c>
      <c r="BW52" s="36">
        <f t="shared" si="54"/>
        <v>239639.04793951163</v>
      </c>
      <c r="BX52" s="36">
        <f t="shared" si="54"/>
        <v>239639.04793951163</v>
      </c>
      <c r="BY52" s="36">
        <f t="shared" si="54"/>
        <v>239639.04793951163</v>
      </c>
      <c r="BZ52" s="36">
        <f t="shared" si="54"/>
        <v>239639.04793951163</v>
      </c>
      <c r="CA52" s="36">
        <f t="shared" si="54"/>
        <v>245630.0241379994</v>
      </c>
      <c r="CB52" s="36">
        <f t="shared" si="54"/>
        <v>245630.0241379994</v>
      </c>
      <c r="CC52" s="36">
        <f t="shared" si="54"/>
        <v>245630.0241379994</v>
      </c>
      <c r="CD52" s="36">
        <f t="shared" si="54"/>
        <v>245630.0241379994</v>
      </c>
      <c r="CE52" s="36">
        <f t="shared" si="54"/>
        <v>245630.0241379994</v>
      </c>
      <c r="CF52" s="36">
        <f t="shared" si="54"/>
        <v>245630.0241379994</v>
      </c>
      <c r="CG52" s="36">
        <f t="shared" si="54"/>
        <v>245630.0241379994</v>
      </c>
      <c r="CH52" s="36">
        <f t="shared" si="54"/>
        <v>245630.0241379994</v>
      </c>
      <c r="CI52" s="36">
        <f t="shared" si="55"/>
        <v>245630.0241379994</v>
      </c>
      <c r="CJ52" s="36">
        <f t="shared" si="55"/>
        <v>245630.0241379994</v>
      </c>
      <c r="CK52" s="36">
        <f t="shared" si="55"/>
        <v>245630.0241379994</v>
      </c>
      <c r="CL52" s="36">
        <f t="shared" si="55"/>
        <v>245630.0241379994</v>
      </c>
      <c r="CM52" s="36">
        <f t="shared" si="55"/>
        <v>251770.77474144934</v>
      </c>
      <c r="CN52" s="36">
        <f t="shared" si="55"/>
        <v>251770.77474144934</v>
      </c>
      <c r="CO52" s="36">
        <f t="shared" si="55"/>
        <v>251770.77474144934</v>
      </c>
      <c r="CP52" s="36">
        <f t="shared" si="55"/>
        <v>251770.77474144934</v>
      </c>
      <c r="CQ52" s="36">
        <f t="shared" si="55"/>
        <v>251770.77474144934</v>
      </c>
      <c r="CR52" s="36">
        <f t="shared" si="55"/>
        <v>251770.77474144934</v>
      </c>
      <c r="CS52" s="36">
        <f t="shared" si="55"/>
        <v>251770.77474144934</v>
      </c>
      <c r="CT52" s="36">
        <f t="shared" si="55"/>
        <v>251770.77474144934</v>
      </c>
      <c r="CU52" s="36">
        <f t="shared" si="55"/>
        <v>251770.77474144934</v>
      </c>
      <c r="CV52" s="36">
        <f t="shared" si="55"/>
        <v>251770.77474144934</v>
      </c>
      <c r="CW52" s="36">
        <f t="shared" si="55"/>
        <v>251770.77474144934</v>
      </c>
      <c r="CX52" s="36">
        <f t="shared" si="55"/>
        <v>251770.77474144934</v>
      </c>
      <c r="CY52" s="36">
        <f t="shared" si="56"/>
        <v>258065.04410998555</v>
      </c>
      <c r="CZ52" s="36">
        <f t="shared" si="56"/>
        <v>258065.04410998555</v>
      </c>
      <c r="DA52" s="36">
        <f t="shared" si="56"/>
        <v>258065.04410998555</v>
      </c>
      <c r="DB52" s="36">
        <f t="shared" si="56"/>
        <v>258065.04410998555</v>
      </c>
      <c r="DC52" s="36">
        <f t="shared" si="56"/>
        <v>258065.04410998555</v>
      </c>
      <c r="DD52" s="36">
        <f t="shared" si="56"/>
        <v>258065.04410998555</v>
      </c>
      <c r="DE52" s="36">
        <f t="shared" si="56"/>
        <v>258065.04410998555</v>
      </c>
      <c r="DF52" s="36">
        <f t="shared" si="56"/>
        <v>258065.04410998555</v>
      </c>
      <c r="DG52" s="36">
        <f t="shared" si="56"/>
        <v>258065.04410998555</v>
      </c>
      <c r="DH52" s="36">
        <f t="shared" si="56"/>
        <v>258065.04410998555</v>
      </c>
      <c r="DI52" s="36">
        <f t="shared" si="56"/>
        <v>258065.04410998555</v>
      </c>
      <c r="DJ52" s="36">
        <f t="shared" si="56"/>
        <v>258065.04410998555</v>
      </c>
      <c r="DK52" s="36">
        <f t="shared" si="56"/>
        <v>264516.67021273513</v>
      </c>
      <c r="DL52" s="36">
        <f t="shared" si="56"/>
        <v>264516.67021273513</v>
      </c>
      <c r="DM52" s="36">
        <f t="shared" si="57"/>
        <v>264516.67021273513</v>
      </c>
      <c r="DN52" s="36">
        <f t="shared" si="57"/>
        <v>264516.67021273513</v>
      </c>
      <c r="DO52" s="36">
        <f t="shared" si="57"/>
        <v>264516.67021273513</v>
      </c>
      <c r="DP52" s="36">
        <f t="shared" si="57"/>
        <v>264516.67021273513</v>
      </c>
      <c r="DQ52" s="36">
        <f t="shared" si="57"/>
        <v>264516.67021273513</v>
      </c>
      <c r="DR52" s="36">
        <f t="shared" si="57"/>
        <v>264516.67021273513</v>
      </c>
      <c r="DS52" s="36">
        <f t="shared" si="57"/>
        <v>264516.67021273513</v>
      </c>
      <c r="DT52" s="36">
        <f t="shared" si="57"/>
        <v>264516.67021273513</v>
      </c>
      <c r="DU52" s="36">
        <f t="shared" si="57"/>
        <v>264516.67021273513</v>
      </c>
      <c r="DV52" s="36">
        <f t="shared" si="57"/>
        <v>264516.67021273513</v>
      </c>
    </row>
    <row r="53" spans="2:126" outlineLevel="1">
      <c r="B53" s="3" t="str">
        <f>B29</f>
        <v>Property E</v>
      </c>
      <c r="C53" s="43">
        <f>CaseData!D10</f>
        <v>176960</v>
      </c>
      <c r="D53" s="2"/>
      <c r="E53" s="35" t="s">
        <v>0</v>
      </c>
      <c r="F53" s="35"/>
      <c r="G53" s="36">
        <f t="shared" si="50"/>
        <v>181383.99999999997</v>
      </c>
      <c r="H53" s="36">
        <f t="shared" si="50"/>
        <v>181383.99999999997</v>
      </c>
      <c r="I53" s="36">
        <f t="shared" si="50"/>
        <v>181383.99999999997</v>
      </c>
      <c r="J53" s="36">
        <f t="shared" si="50"/>
        <v>181383.99999999997</v>
      </c>
      <c r="K53" s="36">
        <f t="shared" si="50"/>
        <v>181383.99999999997</v>
      </c>
      <c r="L53" s="36">
        <f t="shared" si="50"/>
        <v>181383.99999999997</v>
      </c>
      <c r="M53" s="36">
        <f t="shared" si="50"/>
        <v>181383.99999999997</v>
      </c>
      <c r="N53" s="36">
        <f t="shared" si="50"/>
        <v>181383.99999999997</v>
      </c>
      <c r="O53" s="36">
        <f t="shared" si="50"/>
        <v>181383.99999999997</v>
      </c>
      <c r="P53" s="36">
        <f t="shared" si="50"/>
        <v>181383.99999999997</v>
      </c>
      <c r="Q53" s="36">
        <f t="shared" si="50"/>
        <v>181383.99999999997</v>
      </c>
      <c r="R53" s="36">
        <f t="shared" si="50"/>
        <v>181383.99999999997</v>
      </c>
      <c r="S53" s="36">
        <f t="shared" si="50"/>
        <v>185918.59999999998</v>
      </c>
      <c r="T53" s="36">
        <f t="shared" si="50"/>
        <v>185918.59999999998</v>
      </c>
      <c r="U53" s="36">
        <f t="shared" si="50"/>
        <v>185918.59999999998</v>
      </c>
      <c r="V53" s="36">
        <f t="shared" si="50"/>
        <v>185918.59999999998</v>
      </c>
      <c r="W53" s="36">
        <f t="shared" si="51"/>
        <v>185918.59999999998</v>
      </c>
      <c r="X53" s="36">
        <f t="shared" si="51"/>
        <v>185918.59999999998</v>
      </c>
      <c r="Y53" s="36">
        <f t="shared" si="51"/>
        <v>185918.59999999998</v>
      </c>
      <c r="Z53" s="36">
        <f t="shared" si="51"/>
        <v>185918.59999999998</v>
      </c>
      <c r="AA53" s="36">
        <f t="shared" si="51"/>
        <v>185918.59999999998</v>
      </c>
      <c r="AB53" s="36">
        <f t="shared" si="51"/>
        <v>185918.59999999998</v>
      </c>
      <c r="AC53" s="36">
        <f t="shared" si="51"/>
        <v>185918.59999999998</v>
      </c>
      <c r="AD53" s="36">
        <f t="shared" si="51"/>
        <v>185918.59999999998</v>
      </c>
      <c r="AE53" s="36">
        <f t="shared" si="51"/>
        <v>190566.56499999997</v>
      </c>
      <c r="AF53" s="36">
        <f t="shared" si="51"/>
        <v>190566.56499999997</v>
      </c>
      <c r="AG53" s="36">
        <f t="shared" si="51"/>
        <v>190566.56499999997</v>
      </c>
      <c r="AH53" s="36">
        <f t="shared" si="51"/>
        <v>190566.56499999997</v>
      </c>
      <c r="AI53" s="36">
        <f t="shared" si="51"/>
        <v>190566.56499999997</v>
      </c>
      <c r="AJ53" s="36">
        <f t="shared" si="51"/>
        <v>190566.56499999997</v>
      </c>
      <c r="AK53" s="36">
        <f t="shared" si="51"/>
        <v>190566.56499999997</v>
      </c>
      <c r="AL53" s="36">
        <f t="shared" si="51"/>
        <v>190566.56499999997</v>
      </c>
      <c r="AM53" s="36">
        <f t="shared" si="52"/>
        <v>190566.56499999997</v>
      </c>
      <c r="AN53" s="36">
        <f t="shared" si="52"/>
        <v>190566.56499999997</v>
      </c>
      <c r="AO53" s="36">
        <f t="shared" si="52"/>
        <v>190566.56499999997</v>
      </c>
      <c r="AP53" s="36">
        <f t="shared" si="52"/>
        <v>190566.56499999997</v>
      </c>
      <c r="AQ53" s="36">
        <f t="shared" si="52"/>
        <v>195330.72912499995</v>
      </c>
      <c r="AR53" s="36">
        <f t="shared" si="52"/>
        <v>195330.72912499995</v>
      </c>
      <c r="AS53" s="36">
        <f t="shared" si="52"/>
        <v>195330.72912499995</v>
      </c>
      <c r="AT53" s="36">
        <f t="shared" si="52"/>
        <v>195330.72912499995</v>
      </c>
      <c r="AU53" s="36">
        <f t="shared" si="52"/>
        <v>195330.72912499995</v>
      </c>
      <c r="AV53" s="36">
        <f t="shared" si="52"/>
        <v>195330.72912499995</v>
      </c>
      <c r="AW53" s="36">
        <f t="shared" si="52"/>
        <v>195330.72912499995</v>
      </c>
      <c r="AX53" s="36">
        <f t="shared" si="52"/>
        <v>195330.72912499995</v>
      </c>
      <c r="AY53" s="36">
        <f t="shared" si="52"/>
        <v>195330.72912499995</v>
      </c>
      <c r="AZ53" s="36">
        <f t="shared" si="52"/>
        <v>195330.72912499995</v>
      </c>
      <c r="BA53" s="36">
        <f t="shared" si="52"/>
        <v>195330.72912499995</v>
      </c>
      <c r="BB53" s="36">
        <f t="shared" si="52"/>
        <v>195330.72912499995</v>
      </c>
      <c r="BC53" s="36">
        <f t="shared" si="53"/>
        <v>200213.99735312493</v>
      </c>
      <c r="BD53" s="36">
        <f t="shared" si="53"/>
        <v>200213.99735312493</v>
      </c>
      <c r="BE53" s="36">
        <f t="shared" si="53"/>
        <v>200213.99735312493</v>
      </c>
      <c r="BF53" s="36">
        <f t="shared" si="53"/>
        <v>200213.99735312493</v>
      </c>
      <c r="BG53" s="36">
        <f t="shared" si="53"/>
        <v>200213.99735312493</v>
      </c>
      <c r="BH53" s="36">
        <f t="shared" si="53"/>
        <v>200213.99735312493</v>
      </c>
      <c r="BI53" s="36">
        <f t="shared" si="53"/>
        <v>200213.99735312493</v>
      </c>
      <c r="BJ53" s="36">
        <f t="shared" si="53"/>
        <v>200213.99735312493</v>
      </c>
      <c r="BK53" s="36">
        <f t="shared" si="53"/>
        <v>200213.99735312493</v>
      </c>
      <c r="BL53" s="36">
        <f t="shared" si="53"/>
        <v>200213.99735312493</v>
      </c>
      <c r="BM53" s="36">
        <f t="shared" si="53"/>
        <v>200213.99735312493</v>
      </c>
      <c r="BN53" s="36">
        <f t="shared" si="53"/>
        <v>200213.99735312493</v>
      </c>
      <c r="BO53" s="36">
        <f t="shared" si="53"/>
        <v>205219.34728695304</v>
      </c>
      <c r="BP53" s="36">
        <f t="shared" si="53"/>
        <v>205219.34728695304</v>
      </c>
      <c r="BQ53" s="36">
        <f t="shared" si="53"/>
        <v>205219.34728695304</v>
      </c>
      <c r="BR53" s="36">
        <f t="shared" si="53"/>
        <v>205219.34728695304</v>
      </c>
      <c r="BS53" s="36">
        <f t="shared" si="54"/>
        <v>205219.34728695304</v>
      </c>
      <c r="BT53" s="36">
        <f t="shared" si="54"/>
        <v>205219.34728695304</v>
      </c>
      <c r="BU53" s="36">
        <f t="shared" si="54"/>
        <v>205219.34728695304</v>
      </c>
      <c r="BV53" s="36">
        <f t="shared" si="54"/>
        <v>205219.34728695304</v>
      </c>
      <c r="BW53" s="36">
        <f t="shared" si="54"/>
        <v>205219.34728695304</v>
      </c>
      <c r="BX53" s="36">
        <f t="shared" si="54"/>
        <v>205219.34728695304</v>
      </c>
      <c r="BY53" s="36">
        <f t="shared" si="54"/>
        <v>205219.34728695304</v>
      </c>
      <c r="BZ53" s="36">
        <f t="shared" si="54"/>
        <v>205219.34728695304</v>
      </c>
      <c r="CA53" s="36">
        <f t="shared" si="54"/>
        <v>210349.83096912684</v>
      </c>
      <c r="CB53" s="36">
        <f t="shared" si="54"/>
        <v>210349.83096912684</v>
      </c>
      <c r="CC53" s="36">
        <f t="shared" si="54"/>
        <v>210349.83096912684</v>
      </c>
      <c r="CD53" s="36">
        <f t="shared" si="54"/>
        <v>210349.83096912684</v>
      </c>
      <c r="CE53" s="36">
        <f t="shared" si="54"/>
        <v>210349.83096912684</v>
      </c>
      <c r="CF53" s="36">
        <f t="shared" si="54"/>
        <v>210349.83096912684</v>
      </c>
      <c r="CG53" s="36">
        <f t="shared" si="54"/>
        <v>210349.83096912684</v>
      </c>
      <c r="CH53" s="36">
        <f t="shared" si="54"/>
        <v>210349.83096912684</v>
      </c>
      <c r="CI53" s="36">
        <f t="shared" si="55"/>
        <v>210349.83096912684</v>
      </c>
      <c r="CJ53" s="36">
        <f t="shared" si="55"/>
        <v>210349.83096912684</v>
      </c>
      <c r="CK53" s="36">
        <f t="shared" si="55"/>
        <v>210349.83096912684</v>
      </c>
      <c r="CL53" s="36">
        <f t="shared" si="55"/>
        <v>210349.83096912684</v>
      </c>
      <c r="CM53" s="36">
        <f t="shared" si="55"/>
        <v>215608.57674335499</v>
      </c>
      <c r="CN53" s="36">
        <f t="shared" si="55"/>
        <v>215608.57674335499</v>
      </c>
      <c r="CO53" s="36">
        <f t="shared" si="55"/>
        <v>215608.57674335499</v>
      </c>
      <c r="CP53" s="36">
        <f t="shared" si="55"/>
        <v>215608.57674335499</v>
      </c>
      <c r="CQ53" s="36">
        <f t="shared" si="55"/>
        <v>215608.57674335499</v>
      </c>
      <c r="CR53" s="36">
        <f t="shared" si="55"/>
        <v>215608.57674335499</v>
      </c>
      <c r="CS53" s="36">
        <f t="shared" si="55"/>
        <v>215608.57674335499</v>
      </c>
      <c r="CT53" s="36">
        <f t="shared" si="55"/>
        <v>215608.57674335499</v>
      </c>
      <c r="CU53" s="36">
        <f t="shared" si="55"/>
        <v>215608.57674335499</v>
      </c>
      <c r="CV53" s="36">
        <f t="shared" si="55"/>
        <v>215608.57674335499</v>
      </c>
      <c r="CW53" s="36">
        <f t="shared" si="55"/>
        <v>215608.57674335499</v>
      </c>
      <c r="CX53" s="36">
        <f t="shared" si="55"/>
        <v>215608.57674335499</v>
      </c>
      <c r="CY53" s="36">
        <f t="shared" si="56"/>
        <v>220998.79116193883</v>
      </c>
      <c r="CZ53" s="36">
        <f t="shared" si="56"/>
        <v>220998.79116193883</v>
      </c>
      <c r="DA53" s="36">
        <f t="shared" si="56"/>
        <v>220998.79116193883</v>
      </c>
      <c r="DB53" s="36">
        <f t="shared" si="56"/>
        <v>220998.79116193883</v>
      </c>
      <c r="DC53" s="36">
        <f t="shared" si="56"/>
        <v>220998.79116193883</v>
      </c>
      <c r="DD53" s="36">
        <f t="shared" si="56"/>
        <v>220998.79116193883</v>
      </c>
      <c r="DE53" s="36">
        <f t="shared" si="56"/>
        <v>220998.79116193883</v>
      </c>
      <c r="DF53" s="36">
        <f t="shared" si="56"/>
        <v>220998.79116193883</v>
      </c>
      <c r="DG53" s="36">
        <f t="shared" si="56"/>
        <v>220998.79116193883</v>
      </c>
      <c r="DH53" s="36">
        <f t="shared" si="56"/>
        <v>220998.79116193883</v>
      </c>
      <c r="DI53" s="36">
        <f t="shared" si="56"/>
        <v>220998.79116193883</v>
      </c>
      <c r="DJ53" s="36">
        <f t="shared" si="56"/>
        <v>220998.79116193883</v>
      </c>
      <c r="DK53" s="36">
        <f t="shared" si="56"/>
        <v>226523.76094098727</v>
      </c>
      <c r="DL53" s="36">
        <f t="shared" si="56"/>
        <v>226523.76094098727</v>
      </c>
      <c r="DM53" s="36">
        <f t="shared" si="57"/>
        <v>226523.76094098727</v>
      </c>
      <c r="DN53" s="36">
        <f t="shared" si="57"/>
        <v>226523.76094098727</v>
      </c>
      <c r="DO53" s="36">
        <f t="shared" si="57"/>
        <v>226523.76094098727</v>
      </c>
      <c r="DP53" s="36">
        <f t="shared" si="57"/>
        <v>226523.76094098727</v>
      </c>
      <c r="DQ53" s="36">
        <f t="shared" si="57"/>
        <v>226523.76094098727</v>
      </c>
      <c r="DR53" s="36">
        <f t="shared" si="57"/>
        <v>226523.76094098727</v>
      </c>
      <c r="DS53" s="36">
        <f t="shared" si="57"/>
        <v>226523.76094098727</v>
      </c>
      <c r="DT53" s="36">
        <f t="shared" si="57"/>
        <v>226523.76094098727</v>
      </c>
      <c r="DU53" s="36">
        <f t="shared" si="57"/>
        <v>226523.76094098727</v>
      </c>
      <c r="DV53" s="36">
        <f t="shared" si="57"/>
        <v>226523.76094098727</v>
      </c>
    </row>
    <row r="54" spans="2:126" outlineLevel="1">
      <c r="B54" s="2"/>
      <c r="C54" s="2"/>
      <c r="D54" s="2"/>
      <c r="E54" s="35"/>
      <c r="F54" s="35"/>
      <c r="G54" s="2"/>
      <c r="H54" s="2"/>
      <c r="I54" s="3"/>
      <c r="J54" s="3"/>
      <c r="K54" s="2"/>
    </row>
    <row r="55" spans="2:126" outlineLevel="1">
      <c r="B55" s="6" t="s">
        <v>23</v>
      </c>
      <c r="C55" s="45" t="s">
        <v>64</v>
      </c>
      <c r="D55" s="2"/>
      <c r="E55" s="41" t="s">
        <v>0</v>
      </c>
      <c r="F55" s="35"/>
      <c r="G55" s="42">
        <f t="shared" ref="G55:BR55" si="58">SUBTOTAL(9,G56:G65)</f>
        <v>0</v>
      </c>
      <c r="H55" s="42">
        <f t="shared" si="58"/>
        <v>0</v>
      </c>
      <c r="I55" s="42">
        <f t="shared" si="58"/>
        <v>0</v>
      </c>
      <c r="J55" s="42">
        <f t="shared" si="58"/>
        <v>0</v>
      </c>
      <c r="K55" s="42">
        <f t="shared" si="58"/>
        <v>0</v>
      </c>
      <c r="L55" s="42">
        <f t="shared" si="58"/>
        <v>0</v>
      </c>
      <c r="M55" s="42">
        <f t="shared" si="58"/>
        <v>0</v>
      </c>
      <c r="N55" s="42">
        <f t="shared" si="58"/>
        <v>0</v>
      </c>
      <c r="O55" s="42">
        <f t="shared" si="58"/>
        <v>0</v>
      </c>
      <c r="P55" s="42">
        <f t="shared" si="58"/>
        <v>0</v>
      </c>
      <c r="Q55" s="42">
        <f t="shared" si="58"/>
        <v>0</v>
      </c>
      <c r="R55" s="42">
        <f t="shared" si="58"/>
        <v>0</v>
      </c>
      <c r="S55" s="42">
        <f t="shared" si="58"/>
        <v>0</v>
      </c>
      <c r="T55" s="42">
        <f t="shared" si="58"/>
        <v>0</v>
      </c>
      <c r="U55" s="42">
        <f t="shared" si="58"/>
        <v>0</v>
      </c>
      <c r="V55" s="42">
        <f t="shared" si="58"/>
        <v>0</v>
      </c>
      <c r="W55" s="42">
        <f t="shared" si="58"/>
        <v>0</v>
      </c>
      <c r="X55" s="42">
        <f t="shared" si="58"/>
        <v>0</v>
      </c>
      <c r="Y55" s="42">
        <f t="shared" si="58"/>
        <v>0</v>
      </c>
      <c r="Z55" s="42">
        <f t="shared" si="58"/>
        <v>143956.63749999998</v>
      </c>
      <c r="AA55" s="42">
        <f t="shared" si="58"/>
        <v>264673.44999999995</v>
      </c>
      <c r="AB55" s="42">
        <f t="shared" si="58"/>
        <v>264673.44999999995</v>
      </c>
      <c r="AC55" s="42">
        <f t="shared" si="58"/>
        <v>264673.44999999995</v>
      </c>
      <c r="AD55" s="42">
        <f t="shared" si="58"/>
        <v>264673.44999999995</v>
      </c>
      <c r="AE55" s="42">
        <f t="shared" si="58"/>
        <v>271290.28624999995</v>
      </c>
      <c r="AF55" s="42">
        <f t="shared" si="58"/>
        <v>415798.23921874992</v>
      </c>
      <c r="AG55" s="42">
        <f t="shared" si="58"/>
        <v>415798.23921874992</v>
      </c>
      <c r="AH55" s="42">
        <f t="shared" si="58"/>
        <v>415798.23921874992</v>
      </c>
      <c r="AI55" s="42">
        <f t="shared" si="58"/>
        <v>415798.23921874992</v>
      </c>
      <c r="AJ55" s="42">
        <f t="shared" si="58"/>
        <v>415798.23921874992</v>
      </c>
      <c r="AK55" s="42">
        <f t="shared" si="58"/>
        <v>415798.23921874992</v>
      </c>
      <c r="AL55" s="42">
        <f t="shared" si="58"/>
        <v>415798.23921874992</v>
      </c>
      <c r="AM55" s="42">
        <f t="shared" si="58"/>
        <v>415798.23921874992</v>
      </c>
      <c r="AN55" s="42">
        <f t="shared" si="58"/>
        <v>708572.49343749997</v>
      </c>
      <c r="AO55" s="42">
        <f t="shared" si="58"/>
        <v>708572.49343749997</v>
      </c>
      <c r="AP55" s="42">
        <f t="shared" si="58"/>
        <v>887077.88343749999</v>
      </c>
      <c r="AQ55" s="42">
        <f t="shared" si="58"/>
        <v>909254.83052343735</v>
      </c>
      <c r="AR55" s="42">
        <f t="shared" si="58"/>
        <v>909254.83052343735</v>
      </c>
      <c r="AS55" s="42">
        <f t="shared" si="58"/>
        <v>909254.83052343735</v>
      </c>
      <c r="AT55" s="42">
        <f t="shared" si="58"/>
        <v>909254.83052343735</v>
      </c>
      <c r="AU55" s="42">
        <f t="shared" si="58"/>
        <v>909254.83052343735</v>
      </c>
      <c r="AV55" s="42">
        <f t="shared" si="58"/>
        <v>909254.83052343735</v>
      </c>
      <c r="AW55" s="42">
        <f t="shared" si="58"/>
        <v>909254.83052343735</v>
      </c>
      <c r="AX55" s="42">
        <f t="shared" si="58"/>
        <v>909254.83052343735</v>
      </c>
      <c r="AY55" s="42">
        <f t="shared" si="58"/>
        <v>909254.83052343735</v>
      </c>
      <c r="AZ55" s="42">
        <f t="shared" si="58"/>
        <v>909254.83052343735</v>
      </c>
      <c r="BA55" s="42">
        <f t="shared" si="58"/>
        <v>909254.83052343735</v>
      </c>
      <c r="BB55" s="42">
        <f t="shared" si="58"/>
        <v>909254.83052343735</v>
      </c>
      <c r="BC55" s="42">
        <f t="shared" si="58"/>
        <v>931986.20128652314</v>
      </c>
      <c r="BD55" s="42">
        <f t="shared" si="58"/>
        <v>931986.20128652314</v>
      </c>
      <c r="BE55" s="42">
        <f t="shared" si="58"/>
        <v>1420528.267612695</v>
      </c>
      <c r="BF55" s="42">
        <f t="shared" si="58"/>
        <v>1420528.267612695</v>
      </c>
      <c r="BG55" s="42">
        <f t="shared" si="58"/>
        <v>1420528.267612695</v>
      </c>
      <c r="BH55" s="42">
        <f t="shared" si="58"/>
        <v>1420528.267612695</v>
      </c>
      <c r="BI55" s="42">
        <f t="shared" si="58"/>
        <v>1420528.267612695</v>
      </c>
      <c r="BJ55" s="42">
        <f t="shared" si="58"/>
        <v>1420528.267612695</v>
      </c>
      <c r="BK55" s="42">
        <f t="shared" si="58"/>
        <v>1420528.267612695</v>
      </c>
      <c r="BL55" s="42">
        <f t="shared" si="58"/>
        <v>1420528.267612695</v>
      </c>
      <c r="BM55" s="42">
        <f t="shared" si="58"/>
        <v>1420528.267612695</v>
      </c>
      <c r="BN55" s="42">
        <f t="shared" si="58"/>
        <v>1420528.267612695</v>
      </c>
      <c r="BO55" s="42">
        <f t="shared" si="58"/>
        <v>1456041.4743030122</v>
      </c>
      <c r="BP55" s="42">
        <f t="shared" si="58"/>
        <v>1456041.4743030122</v>
      </c>
      <c r="BQ55" s="42">
        <f t="shared" si="58"/>
        <v>1456041.4743030122</v>
      </c>
      <c r="BR55" s="42">
        <f t="shared" si="58"/>
        <v>1681578.6502770551</v>
      </c>
      <c r="BS55" s="42">
        <f t="shared" ref="BS55:DV55" si="59">SUBTOTAL(9,BS56:BS65)</f>
        <v>1681578.6502770551</v>
      </c>
      <c r="BT55" s="42">
        <f t="shared" si="59"/>
        <v>1681578.6502770551</v>
      </c>
      <c r="BU55" s="42">
        <f t="shared" si="59"/>
        <v>1681578.6502770551</v>
      </c>
      <c r="BV55" s="42">
        <f t="shared" si="59"/>
        <v>1681578.6502770551</v>
      </c>
      <c r="BW55" s="42">
        <f t="shared" si="59"/>
        <v>1681578.6502770551</v>
      </c>
      <c r="BX55" s="42">
        <f t="shared" si="59"/>
        <v>1681578.6502770551</v>
      </c>
      <c r="BY55" s="42">
        <f t="shared" si="59"/>
        <v>1681578.6502770551</v>
      </c>
      <c r="BZ55" s="42">
        <f t="shared" si="59"/>
        <v>1957678.4592851801</v>
      </c>
      <c r="CA55" s="42">
        <f t="shared" si="59"/>
        <v>2006620.4207673091</v>
      </c>
      <c r="CB55" s="42">
        <f t="shared" si="59"/>
        <v>2006620.4207673091</v>
      </c>
      <c r="CC55" s="42">
        <f t="shared" si="59"/>
        <v>2006620.4207673091</v>
      </c>
      <c r="CD55" s="42">
        <f t="shared" si="59"/>
        <v>2006620.4207673091</v>
      </c>
      <c r="CE55" s="42">
        <f t="shared" si="59"/>
        <v>2006620.4207673091</v>
      </c>
      <c r="CF55" s="42">
        <f t="shared" si="59"/>
        <v>2006620.4207673091</v>
      </c>
      <c r="CG55" s="42">
        <f t="shared" si="59"/>
        <v>2006620.4207673091</v>
      </c>
      <c r="CH55" s="42">
        <f t="shared" si="59"/>
        <v>2006620.4207673091</v>
      </c>
      <c r="CI55" s="42">
        <f t="shared" si="59"/>
        <v>2006620.4207673091</v>
      </c>
      <c r="CJ55" s="42">
        <f t="shared" si="59"/>
        <v>2006620.4207673091</v>
      </c>
      <c r="CK55" s="42">
        <f t="shared" si="59"/>
        <v>2006620.4207673091</v>
      </c>
      <c r="CL55" s="42">
        <f t="shared" si="59"/>
        <v>2006620.4207673091</v>
      </c>
      <c r="CM55" s="42">
        <f t="shared" si="59"/>
        <v>2056785.9312864915</v>
      </c>
      <c r="CN55" s="42">
        <f t="shared" si="59"/>
        <v>2056785.9312864915</v>
      </c>
      <c r="CO55" s="42">
        <f t="shared" si="59"/>
        <v>2056785.9312864915</v>
      </c>
      <c r="CP55" s="42">
        <f t="shared" si="59"/>
        <v>2056785.9312864915</v>
      </c>
      <c r="CQ55" s="42">
        <f t="shared" si="59"/>
        <v>2056785.9312864915</v>
      </c>
      <c r="CR55" s="42">
        <f t="shared" si="59"/>
        <v>2056785.9312864915</v>
      </c>
      <c r="CS55" s="42">
        <f t="shared" si="59"/>
        <v>2056785.9312864915</v>
      </c>
      <c r="CT55" s="42">
        <f t="shared" si="59"/>
        <v>2056785.9312864915</v>
      </c>
      <c r="CU55" s="42">
        <f t="shared" si="59"/>
        <v>2056785.9312864915</v>
      </c>
      <c r="CV55" s="42">
        <f t="shared" si="59"/>
        <v>2056785.9312864915</v>
      </c>
      <c r="CW55" s="42">
        <f t="shared" si="59"/>
        <v>2056785.9312864915</v>
      </c>
      <c r="CX55" s="42">
        <f t="shared" si="59"/>
        <v>2056785.9312864915</v>
      </c>
      <c r="CY55" s="42">
        <f t="shared" si="59"/>
        <v>2108205.5795686538</v>
      </c>
      <c r="CZ55" s="42">
        <f t="shared" si="59"/>
        <v>2108205.5795686538</v>
      </c>
      <c r="DA55" s="42">
        <f t="shared" si="59"/>
        <v>2108205.5795686538</v>
      </c>
      <c r="DB55" s="42">
        <f t="shared" si="59"/>
        <v>2108205.5795686538</v>
      </c>
      <c r="DC55" s="42">
        <f t="shared" si="59"/>
        <v>2108205.5795686538</v>
      </c>
      <c r="DD55" s="42">
        <f t="shared" si="59"/>
        <v>2108205.5795686538</v>
      </c>
      <c r="DE55" s="42">
        <f t="shared" si="59"/>
        <v>2108205.5795686538</v>
      </c>
      <c r="DF55" s="42">
        <f t="shared" si="59"/>
        <v>2108205.5795686538</v>
      </c>
      <c r="DG55" s="42">
        <f t="shared" si="59"/>
        <v>2108205.5795686538</v>
      </c>
      <c r="DH55" s="42">
        <f t="shared" si="59"/>
        <v>2108205.5795686538</v>
      </c>
      <c r="DI55" s="42">
        <f t="shared" si="59"/>
        <v>2108205.5795686538</v>
      </c>
      <c r="DJ55" s="42">
        <f t="shared" si="59"/>
        <v>2108205.5795686538</v>
      </c>
      <c r="DK55" s="42">
        <f t="shared" si="59"/>
        <v>2160910.7190578696</v>
      </c>
      <c r="DL55" s="42">
        <f t="shared" si="59"/>
        <v>2160910.7190578696</v>
      </c>
      <c r="DM55" s="42">
        <f t="shared" si="59"/>
        <v>2160910.7190578696</v>
      </c>
      <c r="DN55" s="42">
        <f t="shared" si="59"/>
        <v>2160910.7190578696</v>
      </c>
      <c r="DO55" s="42">
        <f t="shared" si="59"/>
        <v>2160910.7190578696</v>
      </c>
      <c r="DP55" s="42">
        <f t="shared" si="59"/>
        <v>2160910.7190578696</v>
      </c>
      <c r="DQ55" s="42">
        <f t="shared" si="59"/>
        <v>2160910.7190578696</v>
      </c>
      <c r="DR55" s="42">
        <f t="shared" si="59"/>
        <v>2160910.7190578696</v>
      </c>
      <c r="DS55" s="42">
        <f t="shared" si="59"/>
        <v>2160910.7190578696</v>
      </c>
      <c r="DT55" s="42">
        <f t="shared" si="59"/>
        <v>2160910.7190578696</v>
      </c>
      <c r="DU55" s="42">
        <f t="shared" si="59"/>
        <v>2160910.7190578696</v>
      </c>
      <c r="DV55" s="42">
        <f t="shared" si="59"/>
        <v>2160910.7190578696</v>
      </c>
    </row>
    <row r="56" spans="2:126" outlineLevel="1">
      <c r="B56" s="3" t="str">
        <f t="shared" ref="B56:B65" si="60">B32</f>
        <v>Property F</v>
      </c>
      <c r="C56" s="43">
        <f>CaseData!C15</f>
        <v>137020</v>
      </c>
      <c r="D56" s="2"/>
      <c r="E56" s="35" t="s">
        <v>0</v>
      </c>
      <c r="F56" s="35"/>
      <c r="G56" s="36">
        <f t="shared" ref="G56:BR59" si="61">$C56*G$211*IF(G179=0,0,1)</f>
        <v>0</v>
      </c>
      <c r="H56" s="36">
        <f t="shared" si="61"/>
        <v>0</v>
      </c>
      <c r="I56" s="36">
        <f t="shared" si="61"/>
        <v>0</v>
      </c>
      <c r="J56" s="36">
        <f t="shared" si="61"/>
        <v>0</v>
      </c>
      <c r="K56" s="36">
        <f t="shared" si="61"/>
        <v>0</v>
      </c>
      <c r="L56" s="36">
        <f t="shared" si="61"/>
        <v>0</v>
      </c>
      <c r="M56" s="36">
        <f t="shared" si="61"/>
        <v>0</v>
      </c>
      <c r="N56" s="36">
        <f t="shared" si="61"/>
        <v>0</v>
      </c>
      <c r="O56" s="36">
        <f t="shared" si="61"/>
        <v>0</v>
      </c>
      <c r="P56" s="36">
        <f t="shared" si="61"/>
        <v>0</v>
      </c>
      <c r="Q56" s="36">
        <f t="shared" si="61"/>
        <v>0</v>
      </c>
      <c r="R56" s="36">
        <f t="shared" si="61"/>
        <v>0</v>
      </c>
      <c r="S56" s="36">
        <f t="shared" si="61"/>
        <v>0</v>
      </c>
      <c r="T56" s="36">
        <f t="shared" si="61"/>
        <v>0</v>
      </c>
      <c r="U56" s="36">
        <f t="shared" si="61"/>
        <v>0</v>
      </c>
      <c r="V56" s="36">
        <f t="shared" si="61"/>
        <v>0</v>
      </c>
      <c r="W56" s="36">
        <f t="shared" si="61"/>
        <v>0</v>
      </c>
      <c r="X56" s="36">
        <f t="shared" si="61"/>
        <v>0</v>
      </c>
      <c r="Y56" s="36">
        <f t="shared" si="61"/>
        <v>0</v>
      </c>
      <c r="Z56" s="36">
        <f t="shared" si="61"/>
        <v>143956.63749999998</v>
      </c>
      <c r="AA56" s="36">
        <f t="shared" si="61"/>
        <v>143956.63749999998</v>
      </c>
      <c r="AB56" s="36">
        <f t="shared" si="61"/>
        <v>143956.63749999998</v>
      </c>
      <c r="AC56" s="36">
        <f t="shared" si="61"/>
        <v>143956.63749999998</v>
      </c>
      <c r="AD56" s="36">
        <f t="shared" si="61"/>
        <v>143956.63749999998</v>
      </c>
      <c r="AE56" s="36">
        <f t="shared" si="61"/>
        <v>147555.55343749997</v>
      </c>
      <c r="AF56" s="36">
        <f t="shared" si="61"/>
        <v>147555.55343749997</v>
      </c>
      <c r="AG56" s="36">
        <f t="shared" si="61"/>
        <v>147555.55343749997</v>
      </c>
      <c r="AH56" s="36">
        <f t="shared" si="61"/>
        <v>147555.55343749997</v>
      </c>
      <c r="AI56" s="36">
        <f t="shared" si="61"/>
        <v>147555.55343749997</v>
      </c>
      <c r="AJ56" s="36">
        <f t="shared" si="61"/>
        <v>147555.55343749997</v>
      </c>
      <c r="AK56" s="36">
        <f t="shared" si="61"/>
        <v>147555.55343749997</v>
      </c>
      <c r="AL56" s="36">
        <f t="shared" si="61"/>
        <v>147555.55343749997</v>
      </c>
      <c r="AM56" s="36">
        <f t="shared" si="61"/>
        <v>147555.55343749997</v>
      </c>
      <c r="AN56" s="36">
        <f t="shared" si="61"/>
        <v>147555.55343749997</v>
      </c>
      <c r="AO56" s="36">
        <f t="shared" si="61"/>
        <v>147555.55343749997</v>
      </c>
      <c r="AP56" s="36">
        <f t="shared" si="61"/>
        <v>147555.55343749997</v>
      </c>
      <c r="AQ56" s="36">
        <f t="shared" si="61"/>
        <v>151244.44227343748</v>
      </c>
      <c r="AR56" s="36">
        <f t="shared" si="61"/>
        <v>151244.44227343748</v>
      </c>
      <c r="AS56" s="36">
        <f t="shared" si="61"/>
        <v>151244.44227343748</v>
      </c>
      <c r="AT56" s="36">
        <f t="shared" si="61"/>
        <v>151244.44227343748</v>
      </c>
      <c r="AU56" s="36">
        <f t="shared" si="61"/>
        <v>151244.44227343748</v>
      </c>
      <c r="AV56" s="36">
        <f t="shared" si="61"/>
        <v>151244.44227343748</v>
      </c>
      <c r="AW56" s="36">
        <f t="shared" si="61"/>
        <v>151244.44227343748</v>
      </c>
      <c r="AX56" s="36">
        <f t="shared" si="61"/>
        <v>151244.44227343748</v>
      </c>
      <c r="AY56" s="36">
        <f t="shared" si="61"/>
        <v>151244.44227343748</v>
      </c>
      <c r="AZ56" s="36">
        <f t="shared" si="61"/>
        <v>151244.44227343748</v>
      </c>
      <c r="BA56" s="36">
        <f t="shared" si="61"/>
        <v>151244.44227343748</v>
      </c>
      <c r="BB56" s="36">
        <f t="shared" si="61"/>
        <v>151244.44227343748</v>
      </c>
      <c r="BC56" s="36">
        <f t="shared" si="61"/>
        <v>155025.5533302734</v>
      </c>
      <c r="BD56" s="36">
        <f t="shared" si="61"/>
        <v>155025.5533302734</v>
      </c>
      <c r="BE56" s="36">
        <f t="shared" si="61"/>
        <v>155025.5533302734</v>
      </c>
      <c r="BF56" s="36">
        <f t="shared" si="61"/>
        <v>155025.5533302734</v>
      </c>
      <c r="BG56" s="36">
        <f t="shared" si="61"/>
        <v>155025.5533302734</v>
      </c>
      <c r="BH56" s="36">
        <f t="shared" si="61"/>
        <v>155025.5533302734</v>
      </c>
      <c r="BI56" s="36">
        <f t="shared" si="61"/>
        <v>155025.5533302734</v>
      </c>
      <c r="BJ56" s="36">
        <f t="shared" si="61"/>
        <v>155025.5533302734</v>
      </c>
      <c r="BK56" s="36">
        <f t="shared" si="61"/>
        <v>155025.5533302734</v>
      </c>
      <c r="BL56" s="36">
        <f t="shared" si="61"/>
        <v>155025.5533302734</v>
      </c>
      <c r="BM56" s="36">
        <f t="shared" si="61"/>
        <v>155025.5533302734</v>
      </c>
      <c r="BN56" s="36">
        <f t="shared" si="61"/>
        <v>155025.5533302734</v>
      </c>
      <c r="BO56" s="36">
        <f t="shared" si="61"/>
        <v>158901.19216353021</v>
      </c>
      <c r="BP56" s="36">
        <f t="shared" si="61"/>
        <v>158901.19216353021</v>
      </c>
      <c r="BQ56" s="36">
        <f t="shared" si="61"/>
        <v>158901.19216353021</v>
      </c>
      <c r="BR56" s="36">
        <f t="shared" si="61"/>
        <v>158901.19216353021</v>
      </c>
      <c r="BS56" s="36">
        <f t="shared" ref="BS56:DV60" si="62">$C56*BS$211*IF(BS179=0,0,1)</f>
        <v>158901.19216353021</v>
      </c>
      <c r="BT56" s="36">
        <f t="shared" si="62"/>
        <v>158901.19216353021</v>
      </c>
      <c r="BU56" s="36">
        <f t="shared" si="62"/>
        <v>158901.19216353021</v>
      </c>
      <c r="BV56" s="36">
        <f t="shared" si="62"/>
        <v>158901.19216353021</v>
      </c>
      <c r="BW56" s="36">
        <f t="shared" si="62"/>
        <v>158901.19216353021</v>
      </c>
      <c r="BX56" s="36">
        <f t="shared" si="62"/>
        <v>158901.19216353021</v>
      </c>
      <c r="BY56" s="36">
        <f t="shared" si="62"/>
        <v>158901.19216353021</v>
      </c>
      <c r="BZ56" s="36">
        <f t="shared" si="62"/>
        <v>158901.19216353021</v>
      </c>
      <c r="CA56" s="36">
        <f t="shared" si="62"/>
        <v>162873.72196761845</v>
      </c>
      <c r="CB56" s="36">
        <f t="shared" si="62"/>
        <v>162873.72196761845</v>
      </c>
      <c r="CC56" s="36">
        <f t="shared" si="62"/>
        <v>162873.72196761845</v>
      </c>
      <c r="CD56" s="36">
        <f t="shared" si="62"/>
        <v>162873.72196761845</v>
      </c>
      <c r="CE56" s="36">
        <f t="shared" si="62"/>
        <v>162873.72196761845</v>
      </c>
      <c r="CF56" s="36">
        <f t="shared" si="62"/>
        <v>162873.72196761845</v>
      </c>
      <c r="CG56" s="36">
        <f t="shared" si="62"/>
        <v>162873.72196761845</v>
      </c>
      <c r="CH56" s="36">
        <f t="shared" si="62"/>
        <v>162873.72196761845</v>
      </c>
      <c r="CI56" s="36">
        <f t="shared" si="62"/>
        <v>162873.72196761845</v>
      </c>
      <c r="CJ56" s="36">
        <f t="shared" si="62"/>
        <v>162873.72196761845</v>
      </c>
      <c r="CK56" s="36">
        <f t="shared" si="62"/>
        <v>162873.72196761845</v>
      </c>
      <c r="CL56" s="36">
        <f t="shared" si="62"/>
        <v>162873.72196761845</v>
      </c>
      <c r="CM56" s="36">
        <f t="shared" si="62"/>
        <v>166945.56501680889</v>
      </c>
      <c r="CN56" s="36">
        <f t="shared" si="62"/>
        <v>166945.56501680889</v>
      </c>
      <c r="CO56" s="36">
        <f t="shared" si="62"/>
        <v>166945.56501680889</v>
      </c>
      <c r="CP56" s="36">
        <f t="shared" si="62"/>
        <v>166945.56501680889</v>
      </c>
      <c r="CQ56" s="36">
        <f t="shared" si="62"/>
        <v>166945.56501680889</v>
      </c>
      <c r="CR56" s="36">
        <f t="shared" si="62"/>
        <v>166945.56501680889</v>
      </c>
      <c r="CS56" s="36">
        <f t="shared" si="62"/>
        <v>166945.56501680889</v>
      </c>
      <c r="CT56" s="36">
        <f t="shared" si="62"/>
        <v>166945.56501680889</v>
      </c>
      <c r="CU56" s="36">
        <f t="shared" si="62"/>
        <v>166945.56501680889</v>
      </c>
      <c r="CV56" s="36">
        <f t="shared" si="62"/>
        <v>166945.56501680889</v>
      </c>
      <c r="CW56" s="36">
        <f t="shared" si="62"/>
        <v>166945.56501680889</v>
      </c>
      <c r="CX56" s="36">
        <f t="shared" si="62"/>
        <v>166945.56501680889</v>
      </c>
      <c r="CY56" s="36">
        <f t="shared" si="62"/>
        <v>171119.20414222908</v>
      </c>
      <c r="CZ56" s="36">
        <f t="shared" si="62"/>
        <v>171119.20414222908</v>
      </c>
      <c r="DA56" s="36">
        <f t="shared" si="62"/>
        <v>171119.20414222908</v>
      </c>
      <c r="DB56" s="36">
        <f t="shared" si="62"/>
        <v>171119.20414222908</v>
      </c>
      <c r="DC56" s="36">
        <f t="shared" si="62"/>
        <v>171119.20414222908</v>
      </c>
      <c r="DD56" s="36">
        <f t="shared" si="62"/>
        <v>171119.20414222908</v>
      </c>
      <c r="DE56" s="36">
        <f t="shared" si="62"/>
        <v>171119.20414222908</v>
      </c>
      <c r="DF56" s="36">
        <f t="shared" si="62"/>
        <v>171119.20414222908</v>
      </c>
      <c r="DG56" s="36">
        <f t="shared" si="62"/>
        <v>171119.20414222908</v>
      </c>
      <c r="DH56" s="36">
        <f t="shared" si="62"/>
        <v>171119.20414222908</v>
      </c>
      <c r="DI56" s="36">
        <f t="shared" si="62"/>
        <v>171119.20414222908</v>
      </c>
      <c r="DJ56" s="36">
        <f t="shared" si="62"/>
        <v>171119.20414222908</v>
      </c>
      <c r="DK56" s="36">
        <f t="shared" si="62"/>
        <v>175397.1842457848</v>
      </c>
      <c r="DL56" s="36">
        <f t="shared" si="62"/>
        <v>175397.1842457848</v>
      </c>
      <c r="DM56" s="36">
        <f t="shared" si="62"/>
        <v>175397.1842457848</v>
      </c>
      <c r="DN56" s="36">
        <f t="shared" si="62"/>
        <v>175397.1842457848</v>
      </c>
      <c r="DO56" s="36">
        <f t="shared" si="62"/>
        <v>175397.1842457848</v>
      </c>
      <c r="DP56" s="36">
        <f t="shared" si="62"/>
        <v>175397.1842457848</v>
      </c>
      <c r="DQ56" s="36">
        <f t="shared" si="62"/>
        <v>175397.1842457848</v>
      </c>
      <c r="DR56" s="36">
        <f t="shared" si="62"/>
        <v>175397.1842457848</v>
      </c>
      <c r="DS56" s="36">
        <f t="shared" si="62"/>
        <v>175397.1842457848</v>
      </c>
      <c r="DT56" s="36">
        <f t="shared" si="62"/>
        <v>175397.1842457848</v>
      </c>
      <c r="DU56" s="36">
        <f t="shared" si="62"/>
        <v>175397.1842457848</v>
      </c>
      <c r="DV56" s="36">
        <f t="shared" si="62"/>
        <v>175397.1842457848</v>
      </c>
    </row>
    <row r="57" spans="2:126" outlineLevel="1">
      <c r="B57" s="3" t="str">
        <f t="shared" si="60"/>
        <v>Property G</v>
      </c>
      <c r="C57" s="43">
        <f>CaseData!C16</f>
        <v>114900</v>
      </c>
      <c r="D57" s="2"/>
      <c r="E57" s="35" t="s">
        <v>0</v>
      </c>
      <c r="F57" s="35"/>
      <c r="G57" s="36">
        <f t="shared" si="61"/>
        <v>0</v>
      </c>
      <c r="H57" s="36">
        <f t="shared" si="61"/>
        <v>0</v>
      </c>
      <c r="I57" s="36">
        <f t="shared" si="61"/>
        <v>0</v>
      </c>
      <c r="J57" s="36">
        <f t="shared" si="61"/>
        <v>0</v>
      </c>
      <c r="K57" s="36">
        <f t="shared" si="61"/>
        <v>0</v>
      </c>
      <c r="L57" s="36">
        <f t="shared" si="61"/>
        <v>0</v>
      </c>
      <c r="M57" s="36">
        <f t="shared" si="61"/>
        <v>0</v>
      </c>
      <c r="N57" s="36">
        <f t="shared" si="61"/>
        <v>0</v>
      </c>
      <c r="O57" s="36">
        <f t="shared" si="61"/>
        <v>0</v>
      </c>
      <c r="P57" s="36">
        <f t="shared" si="61"/>
        <v>0</v>
      </c>
      <c r="Q57" s="36">
        <f t="shared" si="61"/>
        <v>0</v>
      </c>
      <c r="R57" s="36">
        <f t="shared" si="61"/>
        <v>0</v>
      </c>
      <c r="S57" s="36">
        <f t="shared" si="61"/>
        <v>0</v>
      </c>
      <c r="T57" s="36">
        <f t="shared" si="61"/>
        <v>0</v>
      </c>
      <c r="U57" s="36">
        <f t="shared" si="61"/>
        <v>0</v>
      </c>
      <c r="V57" s="36">
        <f t="shared" si="61"/>
        <v>0</v>
      </c>
      <c r="W57" s="36">
        <f t="shared" si="61"/>
        <v>0</v>
      </c>
      <c r="X57" s="36">
        <f t="shared" si="61"/>
        <v>0</v>
      </c>
      <c r="Y57" s="36">
        <f t="shared" si="61"/>
        <v>0</v>
      </c>
      <c r="Z57" s="36">
        <f t="shared" si="61"/>
        <v>0</v>
      </c>
      <c r="AA57" s="36">
        <f t="shared" si="61"/>
        <v>120716.81249999999</v>
      </c>
      <c r="AB57" s="36">
        <f t="shared" si="61"/>
        <v>120716.81249999999</v>
      </c>
      <c r="AC57" s="36">
        <f t="shared" si="61"/>
        <v>120716.81249999999</v>
      </c>
      <c r="AD57" s="36">
        <f t="shared" si="61"/>
        <v>120716.81249999999</v>
      </c>
      <c r="AE57" s="36">
        <f t="shared" si="61"/>
        <v>123734.73281249999</v>
      </c>
      <c r="AF57" s="36">
        <f t="shared" si="61"/>
        <v>123734.73281249999</v>
      </c>
      <c r="AG57" s="36">
        <f t="shared" si="61"/>
        <v>123734.73281249999</v>
      </c>
      <c r="AH57" s="36">
        <f t="shared" si="61"/>
        <v>123734.73281249999</v>
      </c>
      <c r="AI57" s="36">
        <f t="shared" si="61"/>
        <v>123734.73281249999</v>
      </c>
      <c r="AJ57" s="36">
        <f t="shared" si="61"/>
        <v>123734.73281249999</v>
      </c>
      <c r="AK57" s="36">
        <f t="shared" si="61"/>
        <v>123734.73281249999</v>
      </c>
      <c r="AL57" s="36">
        <f t="shared" si="61"/>
        <v>123734.73281249999</v>
      </c>
      <c r="AM57" s="36">
        <f t="shared" si="61"/>
        <v>123734.73281249999</v>
      </c>
      <c r="AN57" s="36">
        <f t="shared" si="61"/>
        <v>123734.73281249999</v>
      </c>
      <c r="AO57" s="36">
        <f t="shared" si="61"/>
        <v>123734.73281249999</v>
      </c>
      <c r="AP57" s="36">
        <f t="shared" si="61"/>
        <v>123734.73281249999</v>
      </c>
      <c r="AQ57" s="36">
        <f t="shared" si="61"/>
        <v>126828.10113281247</v>
      </c>
      <c r="AR57" s="36">
        <f t="shared" si="61"/>
        <v>126828.10113281247</v>
      </c>
      <c r="AS57" s="36">
        <f t="shared" si="61"/>
        <v>126828.10113281247</v>
      </c>
      <c r="AT57" s="36">
        <f t="shared" si="61"/>
        <v>126828.10113281247</v>
      </c>
      <c r="AU57" s="36">
        <f t="shared" si="61"/>
        <v>126828.10113281247</v>
      </c>
      <c r="AV57" s="36">
        <f t="shared" si="61"/>
        <v>126828.10113281247</v>
      </c>
      <c r="AW57" s="36">
        <f t="shared" si="61"/>
        <v>126828.10113281247</v>
      </c>
      <c r="AX57" s="36">
        <f t="shared" si="61"/>
        <v>126828.10113281247</v>
      </c>
      <c r="AY57" s="36">
        <f t="shared" si="61"/>
        <v>126828.10113281247</v>
      </c>
      <c r="AZ57" s="36">
        <f t="shared" si="61"/>
        <v>126828.10113281247</v>
      </c>
      <c r="BA57" s="36">
        <f t="shared" si="61"/>
        <v>126828.10113281247</v>
      </c>
      <c r="BB57" s="36">
        <f t="shared" si="61"/>
        <v>126828.10113281247</v>
      </c>
      <c r="BC57" s="36">
        <f t="shared" si="61"/>
        <v>129998.80366113277</v>
      </c>
      <c r="BD57" s="36">
        <f t="shared" si="61"/>
        <v>129998.80366113277</v>
      </c>
      <c r="BE57" s="36">
        <f t="shared" si="61"/>
        <v>129998.80366113277</v>
      </c>
      <c r="BF57" s="36">
        <f t="shared" si="61"/>
        <v>129998.80366113277</v>
      </c>
      <c r="BG57" s="36">
        <f t="shared" si="61"/>
        <v>129998.80366113277</v>
      </c>
      <c r="BH57" s="36">
        <f t="shared" si="61"/>
        <v>129998.80366113277</v>
      </c>
      <c r="BI57" s="36">
        <f t="shared" si="61"/>
        <v>129998.80366113277</v>
      </c>
      <c r="BJ57" s="36">
        <f t="shared" si="61"/>
        <v>129998.80366113277</v>
      </c>
      <c r="BK57" s="36">
        <f t="shared" si="61"/>
        <v>129998.80366113277</v>
      </c>
      <c r="BL57" s="36">
        <f t="shared" si="61"/>
        <v>129998.80366113277</v>
      </c>
      <c r="BM57" s="36">
        <f t="shared" si="61"/>
        <v>129998.80366113277</v>
      </c>
      <c r="BN57" s="36">
        <f t="shared" si="61"/>
        <v>129998.80366113277</v>
      </c>
      <c r="BO57" s="36">
        <f t="shared" si="61"/>
        <v>133248.77375266107</v>
      </c>
      <c r="BP57" s="36">
        <f t="shared" si="61"/>
        <v>133248.77375266107</v>
      </c>
      <c r="BQ57" s="36">
        <f t="shared" si="61"/>
        <v>133248.77375266107</v>
      </c>
      <c r="BR57" s="36">
        <f t="shared" si="61"/>
        <v>133248.77375266107</v>
      </c>
      <c r="BS57" s="36">
        <f t="shared" si="62"/>
        <v>133248.77375266107</v>
      </c>
      <c r="BT57" s="36">
        <f t="shared" si="62"/>
        <v>133248.77375266107</v>
      </c>
      <c r="BU57" s="36">
        <f t="shared" si="62"/>
        <v>133248.77375266107</v>
      </c>
      <c r="BV57" s="36">
        <f t="shared" si="62"/>
        <v>133248.77375266107</v>
      </c>
      <c r="BW57" s="36">
        <f t="shared" si="62"/>
        <v>133248.77375266107</v>
      </c>
      <c r="BX57" s="36">
        <f t="shared" si="62"/>
        <v>133248.77375266107</v>
      </c>
      <c r="BY57" s="36">
        <f t="shared" si="62"/>
        <v>133248.77375266107</v>
      </c>
      <c r="BZ57" s="36">
        <f t="shared" si="62"/>
        <v>133248.77375266107</v>
      </c>
      <c r="CA57" s="36">
        <f t="shared" si="62"/>
        <v>136579.99309647758</v>
      </c>
      <c r="CB57" s="36">
        <f t="shared" si="62"/>
        <v>136579.99309647758</v>
      </c>
      <c r="CC57" s="36">
        <f t="shared" si="62"/>
        <v>136579.99309647758</v>
      </c>
      <c r="CD57" s="36">
        <f t="shared" si="62"/>
        <v>136579.99309647758</v>
      </c>
      <c r="CE57" s="36">
        <f t="shared" si="62"/>
        <v>136579.99309647758</v>
      </c>
      <c r="CF57" s="36">
        <f t="shared" si="62"/>
        <v>136579.99309647758</v>
      </c>
      <c r="CG57" s="36">
        <f t="shared" si="62"/>
        <v>136579.99309647758</v>
      </c>
      <c r="CH57" s="36">
        <f t="shared" si="62"/>
        <v>136579.99309647758</v>
      </c>
      <c r="CI57" s="36">
        <f t="shared" si="62"/>
        <v>136579.99309647758</v>
      </c>
      <c r="CJ57" s="36">
        <f t="shared" si="62"/>
        <v>136579.99309647758</v>
      </c>
      <c r="CK57" s="36">
        <f t="shared" si="62"/>
        <v>136579.99309647758</v>
      </c>
      <c r="CL57" s="36">
        <f t="shared" si="62"/>
        <v>136579.99309647758</v>
      </c>
      <c r="CM57" s="36">
        <f t="shared" si="62"/>
        <v>139994.49292388951</v>
      </c>
      <c r="CN57" s="36">
        <f t="shared" si="62"/>
        <v>139994.49292388951</v>
      </c>
      <c r="CO57" s="36">
        <f t="shared" si="62"/>
        <v>139994.49292388951</v>
      </c>
      <c r="CP57" s="36">
        <f t="shared" si="62"/>
        <v>139994.49292388951</v>
      </c>
      <c r="CQ57" s="36">
        <f t="shared" si="62"/>
        <v>139994.49292388951</v>
      </c>
      <c r="CR57" s="36">
        <f t="shared" si="62"/>
        <v>139994.49292388951</v>
      </c>
      <c r="CS57" s="36">
        <f t="shared" si="62"/>
        <v>139994.49292388951</v>
      </c>
      <c r="CT57" s="36">
        <f t="shared" si="62"/>
        <v>139994.49292388951</v>
      </c>
      <c r="CU57" s="36">
        <f t="shared" si="62"/>
        <v>139994.49292388951</v>
      </c>
      <c r="CV57" s="36">
        <f t="shared" si="62"/>
        <v>139994.49292388951</v>
      </c>
      <c r="CW57" s="36">
        <f t="shared" si="62"/>
        <v>139994.49292388951</v>
      </c>
      <c r="CX57" s="36">
        <f t="shared" si="62"/>
        <v>139994.49292388951</v>
      </c>
      <c r="CY57" s="36">
        <f t="shared" si="62"/>
        <v>143494.35524698673</v>
      </c>
      <c r="CZ57" s="36">
        <f t="shared" si="62"/>
        <v>143494.35524698673</v>
      </c>
      <c r="DA57" s="36">
        <f t="shared" si="62"/>
        <v>143494.35524698673</v>
      </c>
      <c r="DB57" s="36">
        <f t="shared" si="62"/>
        <v>143494.35524698673</v>
      </c>
      <c r="DC57" s="36">
        <f t="shared" si="62"/>
        <v>143494.35524698673</v>
      </c>
      <c r="DD57" s="36">
        <f t="shared" si="62"/>
        <v>143494.35524698673</v>
      </c>
      <c r="DE57" s="36">
        <f t="shared" si="62"/>
        <v>143494.35524698673</v>
      </c>
      <c r="DF57" s="36">
        <f t="shared" si="62"/>
        <v>143494.35524698673</v>
      </c>
      <c r="DG57" s="36">
        <f t="shared" si="62"/>
        <v>143494.35524698673</v>
      </c>
      <c r="DH57" s="36">
        <f t="shared" si="62"/>
        <v>143494.35524698673</v>
      </c>
      <c r="DI57" s="36">
        <f t="shared" si="62"/>
        <v>143494.35524698673</v>
      </c>
      <c r="DJ57" s="36">
        <f t="shared" si="62"/>
        <v>143494.35524698673</v>
      </c>
      <c r="DK57" s="36">
        <f t="shared" si="62"/>
        <v>147081.71412816137</v>
      </c>
      <c r="DL57" s="36">
        <f t="shared" si="62"/>
        <v>147081.71412816137</v>
      </c>
      <c r="DM57" s="36">
        <f t="shared" si="62"/>
        <v>147081.71412816137</v>
      </c>
      <c r="DN57" s="36">
        <f t="shared" si="62"/>
        <v>147081.71412816137</v>
      </c>
      <c r="DO57" s="36">
        <f t="shared" si="62"/>
        <v>147081.71412816137</v>
      </c>
      <c r="DP57" s="36">
        <f t="shared" si="62"/>
        <v>147081.71412816137</v>
      </c>
      <c r="DQ57" s="36">
        <f t="shared" si="62"/>
        <v>147081.71412816137</v>
      </c>
      <c r="DR57" s="36">
        <f t="shared" si="62"/>
        <v>147081.71412816137</v>
      </c>
      <c r="DS57" s="36">
        <f t="shared" si="62"/>
        <v>147081.71412816137</v>
      </c>
      <c r="DT57" s="36">
        <f t="shared" si="62"/>
        <v>147081.71412816137</v>
      </c>
      <c r="DU57" s="36">
        <f t="shared" si="62"/>
        <v>147081.71412816137</v>
      </c>
      <c r="DV57" s="36">
        <f t="shared" si="62"/>
        <v>147081.71412816137</v>
      </c>
    </row>
    <row r="58" spans="2:126" outlineLevel="1">
      <c r="B58" s="3" t="str">
        <f t="shared" si="60"/>
        <v>Property H</v>
      </c>
      <c r="C58" s="43">
        <f>CaseData!C17</f>
        <v>134190</v>
      </c>
      <c r="D58" s="2"/>
      <c r="E58" s="35" t="s">
        <v>0</v>
      </c>
      <c r="F58" s="35"/>
      <c r="G58" s="36">
        <f t="shared" si="61"/>
        <v>0</v>
      </c>
      <c r="H58" s="36">
        <f t="shared" si="61"/>
        <v>0</v>
      </c>
      <c r="I58" s="36">
        <f t="shared" si="61"/>
        <v>0</v>
      </c>
      <c r="J58" s="36">
        <f t="shared" si="61"/>
        <v>0</v>
      </c>
      <c r="K58" s="36">
        <f t="shared" si="61"/>
        <v>0</v>
      </c>
      <c r="L58" s="36">
        <f t="shared" si="61"/>
        <v>0</v>
      </c>
      <c r="M58" s="36">
        <f t="shared" si="61"/>
        <v>0</v>
      </c>
      <c r="N58" s="36">
        <f t="shared" si="61"/>
        <v>0</v>
      </c>
      <c r="O58" s="36">
        <f t="shared" si="61"/>
        <v>0</v>
      </c>
      <c r="P58" s="36">
        <f t="shared" si="61"/>
        <v>0</v>
      </c>
      <c r="Q58" s="36">
        <f t="shared" si="61"/>
        <v>0</v>
      </c>
      <c r="R58" s="36">
        <f t="shared" si="61"/>
        <v>0</v>
      </c>
      <c r="S58" s="36">
        <f t="shared" si="61"/>
        <v>0</v>
      </c>
      <c r="T58" s="36">
        <f t="shared" si="61"/>
        <v>0</v>
      </c>
      <c r="U58" s="36">
        <f t="shared" si="61"/>
        <v>0</v>
      </c>
      <c r="V58" s="36">
        <f t="shared" si="61"/>
        <v>0</v>
      </c>
      <c r="W58" s="36">
        <f t="shared" si="61"/>
        <v>0</v>
      </c>
      <c r="X58" s="36">
        <f t="shared" si="61"/>
        <v>0</v>
      </c>
      <c r="Y58" s="36">
        <f t="shared" si="61"/>
        <v>0</v>
      </c>
      <c r="Z58" s="36">
        <f t="shared" si="61"/>
        <v>0</v>
      </c>
      <c r="AA58" s="36">
        <f t="shared" si="61"/>
        <v>0</v>
      </c>
      <c r="AB58" s="36">
        <f t="shared" si="61"/>
        <v>0</v>
      </c>
      <c r="AC58" s="36">
        <f t="shared" si="61"/>
        <v>0</v>
      </c>
      <c r="AD58" s="36">
        <f t="shared" si="61"/>
        <v>0</v>
      </c>
      <c r="AE58" s="36">
        <f t="shared" si="61"/>
        <v>0</v>
      </c>
      <c r="AF58" s="36">
        <f t="shared" si="61"/>
        <v>144507.95296874997</v>
      </c>
      <c r="AG58" s="36">
        <f t="shared" si="61"/>
        <v>144507.95296874997</v>
      </c>
      <c r="AH58" s="36">
        <f t="shared" si="61"/>
        <v>144507.95296874997</v>
      </c>
      <c r="AI58" s="36">
        <f t="shared" si="61"/>
        <v>144507.95296874997</v>
      </c>
      <c r="AJ58" s="36">
        <f t="shared" si="61"/>
        <v>144507.95296874997</v>
      </c>
      <c r="AK58" s="36">
        <f t="shared" si="61"/>
        <v>144507.95296874997</v>
      </c>
      <c r="AL58" s="36">
        <f t="shared" si="61"/>
        <v>144507.95296874997</v>
      </c>
      <c r="AM58" s="36">
        <f t="shared" si="61"/>
        <v>144507.95296874997</v>
      </c>
      <c r="AN58" s="36">
        <f t="shared" si="61"/>
        <v>144507.95296874997</v>
      </c>
      <c r="AO58" s="36">
        <f t="shared" si="61"/>
        <v>144507.95296874997</v>
      </c>
      <c r="AP58" s="36">
        <f t="shared" si="61"/>
        <v>144507.95296874997</v>
      </c>
      <c r="AQ58" s="36">
        <f t="shared" si="61"/>
        <v>148120.65179296871</v>
      </c>
      <c r="AR58" s="36">
        <f t="shared" si="61"/>
        <v>148120.65179296871</v>
      </c>
      <c r="AS58" s="36">
        <f t="shared" si="61"/>
        <v>148120.65179296871</v>
      </c>
      <c r="AT58" s="36">
        <f t="shared" si="61"/>
        <v>148120.65179296871</v>
      </c>
      <c r="AU58" s="36">
        <f t="shared" si="61"/>
        <v>148120.65179296871</v>
      </c>
      <c r="AV58" s="36">
        <f t="shared" si="61"/>
        <v>148120.65179296871</v>
      </c>
      <c r="AW58" s="36">
        <f t="shared" si="61"/>
        <v>148120.65179296871</v>
      </c>
      <c r="AX58" s="36">
        <f t="shared" si="61"/>
        <v>148120.65179296871</v>
      </c>
      <c r="AY58" s="36">
        <f t="shared" si="61"/>
        <v>148120.65179296871</v>
      </c>
      <c r="AZ58" s="36">
        <f t="shared" si="61"/>
        <v>148120.65179296871</v>
      </c>
      <c r="BA58" s="36">
        <f t="shared" si="61"/>
        <v>148120.65179296871</v>
      </c>
      <c r="BB58" s="36">
        <f t="shared" si="61"/>
        <v>148120.65179296871</v>
      </c>
      <c r="BC58" s="36">
        <f t="shared" si="61"/>
        <v>151823.66808779293</v>
      </c>
      <c r="BD58" s="36">
        <f t="shared" si="61"/>
        <v>151823.66808779293</v>
      </c>
      <c r="BE58" s="36">
        <f t="shared" si="61"/>
        <v>151823.66808779293</v>
      </c>
      <c r="BF58" s="36">
        <f t="shared" si="61"/>
        <v>151823.66808779293</v>
      </c>
      <c r="BG58" s="36">
        <f t="shared" si="61"/>
        <v>151823.66808779293</v>
      </c>
      <c r="BH58" s="36">
        <f t="shared" si="61"/>
        <v>151823.66808779293</v>
      </c>
      <c r="BI58" s="36">
        <f t="shared" si="61"/>
        <v>151823.66808779293</v>
      </c>
      <c r="BJ58" s="36">
        <f t="shared" si="61"/>
        <v>151823.66808779293</v>
      </c>
      <c r="BK58" s="36">
        <f t="shared" si="61"/>
        <v>151823.66808779293</v>
      </c>
      <c r="BL58" s="36">
        <f t="shared" si="61"/>
        <v>151823.66808779293</v>
      </c>
      <c r="BM58" s="36">
        <f t="shared" si="61"/>
        <v>151823.66808779293</v>
      </c>
      <c r="BN58" s="36">
        <f t="shared" si="61"/>
        <v>151823.66808779293</v>
      </c>
      <c r="BO58" s="36">
        <f t="shared" si="61"/>
        <v>155619.25978998773</v>
      </c>
      <c r="BP58" s="36">
        <f t="shared" si="61"/>
        <v>155619.25978998773</v>
      </c>
      <c r="BQ58" s="36">
        <f t="shared" si="61"/>
        <v>155619.25978998773</v>
      </c>
      <c r="BR58" s="36">
        <f t="shared" si="61"/>
        <v>155619.25978998773</v>
      </c>
      <c r="BS58" s="36">
        <f t="shared" si="62"/>
        <v>155619.25978998773</v>
      </c>
      <c r="BT58" s="36">
        <f t="shared" si="62"/>
        <v>155619.25978998773</v>
      </c>
      <c r="BU58" s="36">
        <f t="shared" si="62"/>
        <v>155619.25978998773</v>
      </c>
      <c r="BV58" s="36">
        <f t="shared" si="62"/>
        <v>155619.25978998773</v>
      </c>
      <c r="BW58" s="36">
        <f t="shared" si="62"/>
        <v>155619.25978998773</v>
      </c>
      <c r="BX58" s="36">
        <f t="shared" si="62"/>
        <v>155619.25978998773</v>
      </c>
      <c r="BY58" s="36">
        <f t="shared" si="62"/>
        <v>155619.25978998773</v>
      </c>
      <c r="BZ58" s="36">
        <f t="shared" si="62"/>
        <v>155619.25978998773</v>
      </c>
      <c r="CA58" s="36">
        <f t="shared" si="62"/>
        <v>159509.74128473739</v>
      </c>
      <c r="CB58" s="36">
        <f t="shared" si="62"/>
        <v>159509.74128473739</v>
      </c>
      <c r="CC58" s="36">
        <f t="shared" si="62"/>
        <v>159509.74128473739</v>
      </c>
      <c r="CD58" s="36">
        <f t="shared" si="62"/>
        <v>159509.74128473739</v>
      </c>
      <c r="CE58" s="36">
        <f t="shared" si="62"/>
        <v>159509.74128473739</v>
      </c>
      <c r="CF58" s="36">
        <f t="shared" si="62"/>
        <v>159509.74128473739</v>
      </c>
      <c r="CG58" s="36">
        <f t="shared" si="62"/>
        <v>159509.74128473739</v>
      </c>
      <c r="CH58" s="36">
        <f t="shared" si="62"/>
        <v>159509.74128473739</v>
      </c>
      <c r="CI58" s="36">
        <f t="shared" si="62"/>
        <v>159509.74128473739</v>
      </c>
      <c r="CJ58" s="36">
        <f t="shared" si="62"/>
        <v>159509.74128473739</v>
      </c>
      <c r="CK58" s="36">
        <f t="shared" si="62"/>
        <v>159509.74128473739</v>
      </c>
      <c r="CL58" s="36">
        <f t="shared" si="62"/>
        <v>159509.74128473739</v>
      </c>
      <c r="CM58" s="36">
        <f t="shared" si="62"/>
        <v>163497.48481685584</v>
      </c>
      <c r="CN58" s="36">
        <f t="shared" si="62"/>
        <v>163497.48481685584</v>
      </c>
      <c r="CO58" s="36">
        <f t="shared" si="62"/>
        <v>163497.48481685584</v>
      </c>
      <c r="CP58" s="36">
        <f t="shared" si="62"/>
        <v>163497.48481685584</v>
      </c>
      <c r="CQ58" s="36">
        <f t="shared" si="62"/>
        <v>163497.48481685584</v>
      </c>
      <c r="CR58" s="36">
        <f t="shared" si="62"/>
        <v>163497.48481685584</v>
      </c>
      <c r="CS58" s="36">
        <f t="shared" si="62"/>
        <v>163497.48481685584</v>
      </c>
      <c r="CT58" s="36">
        <f t="shared" si="62"/>
        <v>163497.48481685584</v>
      </c>
      <c r="CU58" s="36">
        <f t="shared" si="62"/>
        <v>163497.48481685584</v>
      </c>
      <c r="CV58" s="36">
        <f t="shared" si="62"/>
        <v>163497.48481685584</v>
      </c>
      <c r="CW58" s="36">
        <f t="shared" si="62"/>
        <v>163497.48481685584</v>
      </c>
      <c r="CX58" s="36">
        <f t="shared" si="62"/>
        <v>163497.48481685584</v>
      </c>
      <c r="CY58" s="36">
        <f t="shared" si="62"/>
        <v>167584.92193727719</v>
      </c>
      <c r="CZ58" s="36">
        <f t="shared" si="62"/>
        <v>167584.92193727719</v>
      </c>
      <c r="DA58" s="36">
        <f t="shared" si="62"/>
        <v>167584.92193727719</v>
      </c>
      <c r="DB58" s="36">
        <f t="shared" si="62"/>
        <v>167584.92193727719</v>
      </c>
      <c r="DC58" s="36">
        <f t="shared" si="62"/>
        <v>167584.92193727719</v>
      </c>
      <c r="DD58" s="36">
        <f t="shared" si="62"/>
        <v>167584.92193727719</v>
      </c>
      <c r="DE58" s="36">
        <f t="shared" si="62"/>
        <v>167584.92193727719</v>
      </c>
      <c r="DF58" s="36">
        <f t="shared" si="62"/>
        <v>167584.92193727719</v>
      </c>
      <c r="DG58" s="36">
        <f t="shared" si="62"/>
        <v>167584.92193727719</v>
      </c>
      <c r="DH58" s="36">
        <f t="shared" si="62"/>
        <v>167584.92193727719</v>
      </c>
      <c r="DI58" s="36">
        <f t="shared" si="62"/>
        <v>167584.92193727719</v>
      </c>
      <c r="DJ58" s="36">
        <f t="shared" si="62"/>
        <v>167584.92193727719</v>
      </c>
      <c r="DK58" s="36">
        <f t="shared" si="62"/>
        <v>171774.5449857091</v>
      </c>
      <c r="DL58" s="36">
        <f t="shared" si="62"/>
        <v>171774.5449857091</v>
      </c>
      <c r="DM58" s="36">
        <f t="shared" si="62"/>
        <v>171774.5449857091</v>
      </c>
      <c r="DN58" s="36">
        <f t="shared" si="62"/>
        <v>171774.5449857091</v>
      </c>
      <c r="DO58" s="36">
        <f t="shared" si="62"/>
        <v>171774.5449857091</v>
      </c>
      <c r="DP58" s="36">
        <f t="shared" si="62"/>
        <v>171774.5449857091</v>
      </c>
      <c r="DQ58" s="36">
        <f t="shared" si="62"/>
        <v>171774.5449857091</v>
      </c>
      <c r="DR58" s="36">
        <f t="shared" si="62"/>
        <v>171774.5449857091</v>
      </c>
      <c r="DS58" s="36">
        <f t="shared" si="62"/>
        <v>171774.5449857091</v>
      </c>
      <c r="DT58" s="36">
        <f t="shared" si="62"/>
        <v>171774.5449857091</v>
      </c>
      <c r="DU58" s="36">
        <f t="shared" si="62"/>
        <v>171774.5449857091</v>
      </c>
      <c r="DV58" s="36">
        <f t="shared" si="62"/>
        <v>171774.5449857091</v>
      </c>
    </row>
    <row r="59" spans="2:126" outlineLevel="1">
      <c r="B59" s="3" t="str">
        <f t="shared" si="60"/>
        <v>Property I</v>
      </c>
      <c r="C59" s="43">
        <f>CaseData!C18</f>
        <v>166600</v>
      </c>
      <c r="D59" s="2"/>
      <c r="E59" s="35" t="s">
        <v>0</v>
      </c>
      <c r="F59" s="35"/>
      <c r="G59" s="36">
        <f t="shared" si="61"/>
        <v>0</v>
      </c>
      <c r="H59" s="36">
        <f t="shared" si="61"/>
        <v>0</v>
      </c>
      <c r="I59" s="36">
        <f t="shared" si="61"/>
        <v>0</v>
      </c>
      <c r="J59" s="36">
        <f t="shared" si="61"/>
        <v>0</v>
      </c>
      <c r="K59" s="36">
        <f t="shared" si="61"/>
        <v>0</v>
      </c>
      <c r="L59" s="36">
        <f t="shared" si="61"/>
        <v>0</v>
      </c>
      <c r="M59" s="36">
        <f t="shared" si="61"/>
        <v>0</v>
      </c>
      <c r="N59" s="36">
        <f t="shared" si="61"/>
        <v>0</v>
      </c>
      <c r="O59" s="36">
        <f t="shared" si="61"/>
        <v>0</v>
      </c>
      <c r="P59" s="36">
        <f t="shared" si="61"/>
        <v>0</v>
      </c>
      <c r="Q59" s="36">
        <f t="shared" si="61"/>
        <v>0</v>
      </c>
      <c r="R59" s="36">
        <f t="shared" si="61"/>
        <v>0</v>
      </c>
      <c r="S59" s="36">
        <f t="shared" si="61"/>
        <v>0</v>
      </c>
      <c r="T59" s="36">
        <f t="shared" si="61"/>
        <v>0</v>
      </c>
      <c r="U59" s="36">
        <f t="shared" si="61"/>
        <v>0</v>
      </c>
      <c r="V59" s="36">
        <f t="shared" si="61"/>
        <v>0</v>
      </c>
      <c r="W59" s="36">
        <f t="shared" si="61"/>
        <v>0</v>
      </c>
      <c r="X59" s="36">
        <f t="shared" si="61"/>
        <v>0</v>
      </c>
      <c r="Y59" s="36">
        <f t="shared" si="61"/>
        <v>0</v>
      </c>
      <c r="Z59" s="36">
        <f t="shared" si="61"/>
        <v>0</v>
      </c>
      <c r="AA59" s="36">
        <f t="shared" si="61"/>
        <v>0</v>
      </c>
      <c r="AB59" s="36">
        <f t="shared" si="61"/>
        <v>0</v>
      </c>
      <c r="AC59" s="36">
        <f t="shared" si="61"/>
        <v>0</v>
      </c>
      <c r="AD59" s="36">
        <f t="shared" si="61"/>
        <v>0</v>
      </c>
      <c r="AE59" s="36">
        <f t="shared" si="61"/>
        <v>0</v>
      </c>
      <c r="AF59" s="36">
        <f t="shared" si="61"/>
        <v>0</v>
      </c>
      <c r="AG59" s="36">
        <f t="shared" si="61"/>
        <v>0</v>
      </c>
      <c r="AH59" s="36">
        <f t="shared" si="61"/>
        <v>0</v>
      </c>
      <c r="AI59" s="36">
        <f t="shared" si="61"/>
        <v>0</v>
      </c>
      <c r="AJ59" s="36">
        <f t="shared" si="61"/>
        <v>0</v>
      </c>
      <c r="AK59" s="36">
        <f t="shared" si="61"/>
        <v>0</v>
      </c>
      <c r="AL59" s="36">
        <f t="shared" si="61"/>
        <v>0</v>
      </c>
      <c r="AM59" s="36">
        <f t="shared" si="61"/>
        <v>0</v>
      </c>
      <c r="AN59" s="36">
        <f t="shared" si="61"/>
        <v>179409.97812499999</v>
      </c>
      <c r="AO59" s="36">
        <f t="shared" si="61"/>
        <v>179409.97812499999</v>
      </c>
      <c r="AP59" s="36">
        <f t="shared" si="61"/>
        <v>179409.97812499999</v>
      </c>
      <c r="AQ59" s="36">
        <f t="shared" si="61"/>
        <v>183895.22757812496</v>
      </c>
      <c r="AR59" s="36">
        <f t="shared" si="61"/>
        <v>183895.22757812496</v>
      </c>
      <c r="AS59" s="36">
        <f t="shared" si="61"/>
        <v>183895.22757812496</v>
      </c>
      <c r="AT59" s="36">
        <f t="shared" si="61"/>
        <v>183895.22757812496</v>
      </c>
      <c r="AU59" s="36">
        <f t="shared" si="61"/>
        <v>183895.22757812496</v>
      </c>
      <c r="AV59" s="36">
        <f t="shared" si="61"/>
        <v>183895.22757812496</v>
      </c>
      <c r="AW59" s="36">
        <f t="shared" si="61"/>
        <v>183895.22757812496</v>
      </c>
      <c r="AX59" s="36">
        <f t="shared" si="61"/>
        <v>183895.22757812496</v>
      </c>
      <c r="AY59" s="36">
        <f t="shared" si="61"/>
        <v>183895.22757812496</v>
      </c>
      <c r="AZ59" s="36">
        <f t="shared" si="61"/>
        <v>183895.22757812496</v>
      </c>
      <c r="BA59" s="36">
        <f t="shared" si="61"/>
        <v>183895.22757812496</v>
      </c>
      <c r="BB59" s="36">
        <f t="shared" si="61"/>
        <v>183895.22757812496</v>
      </c>
      <c r="BC59" s="36">
        <f t="shared" si="61"/>
        <v>188492.60826757806</v>
      </c>
      <c r="BD59" s="36">
        <f t="shared" si="61"/>
        <v>188492.60826757806</v>
      </c>
      <c r="BE59" s="36">
        <f t="shared" si="61"/>
        <v>188492.60826757806</v>
      </c>
      <c r="BF59" s="36">
        <f t="shared" si="61"/>
        <v>188492.60826757806</v>
      </c>
      <c r="BG59" s="36">
        <f t="shared" si="61"/>
        <v>188492.60826757806</v>
      </c>
      <c r="BH59" s="36">
        <f t="shared" si="61"/>
        <v>188492.60826757806</v>
      </c>
      <c r="BI59" s="36">
        <f t="shared" si="61"/>
        <v>188492.60826757806</v>
      </c>
      <c r="BJ59" s="36">
        <f t="shared" si="61"/>
        <v>188492.60826757806</v>
      </c>
      <c r="BK59" s="36">
        <f t="shared" si="61"/>
        <v>188492.60826757806</v>
      </c>
      <c r="BL59" s="36">
        <f t="shared" si="61"/>
        <v>188492.60826757806</v>
      </c>
      <c r="BM59" s="36">
        <f t="shared" si="61"/>
        <v>188492.60826757806</v>
      </c>
      <c r="BN59" s="36">
        <f t="shared" si="61"/>
        <v>188492.60826757806</v>
      </c>
      <c r="BO59" s="36">
        <f t="shared" si="61"/>
        <v>193204.9234742675</v>
      </c>
      <c r="BP59" s="36">
        <f t="shared" si="61"/>
        <v>193204.9234742675</v>
      </c>
      <c r="BQ59" s="36">
        <f t="shared" si="61"/>
        <v>193204.9234742675</v>
      </c>
      <c r="BR59" s="36">
        <f t="shared" ref="BR59" si="63">$C59*BR$211*IF(BR182=0,0,1)</f>
        <v>193204.9234742675</v>
      </c>
      <c r="BS59" s="36">
        <f t="shared" si="62"/>
        <v>193204.9234742675</v>
      </c>
      <c r="BT59" s="36">
        <f t="shared" si="62"/>
        <v>193204.9234742675</v>
      </c>
      <c r="BU59" s="36">
        <f t="shared" si="62"/>
        <v>193204.9234742675</v>
      </c>
      <c r="BV59" s="36">
        <f t="shared" si="62"/>
        <v>193204.9234742675</v>
      </c>
      <c r="BW59" s="36">
        <f t="shared" si="62"/>
        <v>193204.9234742675</v>
      </c>
      <c r="BX59" s="36">
        <f t="shared" si="62"/>
        <v>193204.9234742675</v>
      </c>
      <c r="BY59" s="36">
        <f t="shared" si="62"/>
        <v>193204.9234742675</v>
      </c>
      <c r="BZ59" s="36">
        <f t="shared" si="62"/>
        <v>193204.9234742675</v>
      </c>
      <c r="CA59" s="36">
        <f t="shared" si="62"/>
        <v>198035.04656112415</v>
      </c>
      <c r="CB59" s="36">
        <f t="shared" si="62"/>
        <v>198035.04656112415</v>
      </c>
      <c r="CC59" s="36">
        <f t="shared" si="62"/>
        <v>198035.04656112415</v>
      </c>
      <c r="CD59" s="36">
        <f t="shared" si="62"/>
        <v>198035.04656112415</v>
      </c>
      <c r="CE59" s="36">
        <f t="shared" si="62"/>
        <v>198035.04656112415</v>
      </c>
      <c r="CF59" s="36">
        <f t="shared" si="62"/>
        <v>198035.04656112415</v>
      </c>
      <c r="CG59" s="36">
        <f t="shared" si="62"/>
        <v>198035.04656112415</v>
      </c>
      <c r="CH59" s="36">
        <f t="shared" si="62"/>
        <v>198035.04656112415</v>
      </c>
      <c r="CI59" s="36">
        <f t="shared" si="62"/>
        <v>198035.04656112415</v>
      </c>
      <c r="CJ59" s="36">
        <f t="shared" si="62"/>
        <v>198035.04656112415</v>
      </c>
      <c r="CK59" s="36">
        <f t="shared" si="62"/>
        <v>198035.04656112415</v>
      </c>
      <c r="CL59" s="36">
        <f t="shared" si="62"/>
        <v>198035.04656112415</v>
      </c>
      <c r="CM59" s="36">
        <f t="shared" si="62"/>
        <v>202985.92272515225</v>
      </c>
      <c r="CN59" s="36">
        <f t="shared" si="62"/>
        <v>202985.92272515225</v>
      </c>
      <c r="CO59" s="36">
        <f t="shared" si="62"/>
        <v>202985.92272515225</v>
      </c>
      <c r="CP59" s="36">
        <f t="shared" si="62"/>
        <v>202985.92272515225</v>
      </c>
      <c r="CQ59" s="36">
        <f t="shared" si="62"/>
        <v>202985.92272515225</v>
      </c>
      <c r="CR59" s="36">
        <f t="shared" si="62"/>
        <v>202985.92272515225</v>
      </c>
      <c r="CS59" s="36">
        <f t="shared" si="62"/>
        <v>202985.92272515225</v>
      </c>
      <c r="CT59" s="36">
        <f t="shared" si="62"/>
        <v>202985.92272515225</v>
      </c>
      <c r="CU59" s="36">
        <f t="shared" si="62"/>
        <v>202985.92272515225</v>
      </c>
      <c r="CV59" s="36">
        <f t="shared" si="62"/>
        <v>202985.92272515225</v>
      </c>
      <c r="CW59" s="36">
        <f t="shared" si="62"/>
        <v>202985.92272515225</v>
      </c>
      <c r="CX59" s="36">
        <f t="shared" si="62"/>
        <v>202985.92272515225</v>
      </c>
      <c r="CY59" s="36">
        <f t="shared" si="62"/>
        <v>208060.57079328102</v>
      </c>
      <c r="CZ59" s="36">
        <f t="shared" si="62"/>
        <v>208060.57079328102</v>
      </c>
      <c r="DA59" s="36">
        <f t="shared" si="62"/>
        <v>208060.57079328102</v>
      </c>
      <c r="DB59" s="36">
        <f t="shared" si="62"/>
        <v>208060.57079328102</v>
      </c>
      <c r="DC59" s="36">
        <f t="shared" si="62"/>
        <v>208060.57079328102</v>
      </c>
      <c r="DD59" s="36">
        <f t="shared" si="62"/>
        <v>208060.57079328102</v>
      </c>
      <c r="DE59" s="36">
        <f t="shared" si="62"/>
        <v>208060.57079328102</v>
      </c>
      <c r="DF59" s="36">
        <f t="shared" si="62"/>
        <v>208060.57079328102</v>
      </c>
      <c r="DG59" s="36">
        <f t="shared" si="62"/>
        <v>208060.57079328102</v>
      </c>
      <c r="DH59" s="36">
        <f t="shared" si="62"/>
        <v>208060.57079328102</v>
      </c>
      <c r="DI59" s="36">
        <f t="shared" si="62"/>
        <v>208060.57079328102</v>
      </c>
      <c r="DJ59" s="36">
        <f t="shared" si="62"/>
        <v>208060.57079328102</v>
      </c>
      <c r="DK59" s="36">
        <f t="shared" si="62"/>
        <v>213262.08506311302</v>
      </c>
      <c r="DL59" s="36">
        <f t="shared" si="62"/>
        <v>213262.08506311302</v>
      </c>
      <c r="DM59" s="36">
        <f t="shared" si="62"/>
        <v>213262.08506311302</v>
      </c>
      <c r="DN59" s="36">
        <f t="shared" si="62"/>
        <v>213262.08506311302</v>
      </c>
      <c r="DO59" s="36">
        <f t="shared" si="62"/>
        <v>213262.08506311302</v>
      </c>
      <c r="DP59" s="36">
        <f t="shared" si="62"/>
        <v>213262.08506311302</v>
      </c>
      <c r="DQ59" s="36">
        <f t="shared" si="62"/>
        <v>213262.08506311302</v>
      </c>
      <c r="DR59" s="36">
        <f t="shared" si="62"/>
        <v>213262.08506311302</v>
      </c>
      <c r="DS59" s="36">
        <f t="shared" si="62"/>
        <v>213262.08506311302</v>
      </c>
      <c r="DT59" s="36">
        <f t="shared" si="62"/>
        <v>213262.08506311302</v>
      </c>
      <c r="DU59" s="36">
        <f t="shared" si="62"/>
        <v>213262.08506311302</v>
      </c>
      <c r="DV59" s="36">
        <f t="shared" si="62"/>
        <v>213262.08506311302</v>
      </c>
    </row>
    <row r="60" spans="2:126" outlineLevel="1">
      <c r="B60" s="3" t="str">
        <f t="shared" si="60"/>
        <v>Property J</v>
      </c>
      <c r="C60" s="43">
        <f>CaseData!C19</f>
        <v>165760</v>
      </c>
      <c r="D60" s="2"/>
      <c r="E60" s="35" t="s">
        <v>0</v>
      </c>
      <c r="F60" s="35"/>
      <c r="G60" s="36">
        <f t="shared" ref="G60:BR63" si="64">$C60*G$211*IF(G183=0,0,1)</f>
        <v>0</v>
      </c>
      <c r="H60" s="36">
        <f t="shared" si="64"/>
        <v>0</v>
      </c>
      <c r="I60" s="36">
        <f t="shared" si="64"/>
        <v>0</v>
      </c>
      <c r="J60" s="36">
        <f t="shared" si="64"/>
        <v>0</v>
      </c>
      <c r="K60" s="36">
        <f t="shared" si="64"/>
        <v>0</v>
      </c>
      <c r="L60" s="36">
        <f t="shared" si="64"/>
        <v>0</v>
      </c>
      <c r="M60" s="36">
        <f t="shared" si="64"/>
        <v>0</v>
      </c>
      <c r="N60" s="36">
        <f t="shared" si="64"/>
        <v>0</v>
      </c>
      <c r="O60" s="36">
        <f t="shared" si="64"/>
        <v>0</v>
      </c>
      <c r="P60" s="36">
        <f t="shared" si="64"/>
        <v>0</v>
      </c>
      <c r="Q60" s="36">
        <f t="shared" si="64"/>
        <v>0</v>
      </c>
      <c r="R60" s="36">
        <f t="shared" si="64"/>
        <v>0</v>
      </c>
      <c r="S60" s="36">
        <f t="shared" si="64"/>
        <v>0</v>
      </c>
      <c r="T60" s="36">
        <f t="shared" si="64"/>
        <v>0</v>
      </c>
      <c r="U60" s="36">
        <f t="shared" si="64"/>
        <v>0</v>
      </c>
      <c r="V60" s="36">
        <f t="shared" si="64"/>
        <v>0</v>
      </c>
      <c r="W60" s="36">
        <f t="shared" si="64"/>
        <v>0</v>
      </c>
      <c r="X60" s="36">
        <f t="shared" si="64"/>
        <v>0</v>
      </c>
      <c r="Y60" s="36">
        <f t="shared" si="64"/>
        <v>0</v>
      </c>
      <c r="Z60" s="36">
        <f t="shared" si="64"/>
        <v>0</v>
      </c>
      <c r="AA60" s="36">
        <f t="shared" si="64"/>
        <v>0</v>
      </c>
      <c r="AB60" s="36">
        <f t="shared" si="64"/>
        <v>0</v>
      </c>
      <c r="AC60" s="36">
        <f t="shared" si="64"/>
        <v>0</v>
      </c>
      <c r="AD60" s="36">
        <f t="shared" si="64"/>
        <v>0</v>
      </c>
      <c r="AE60" s="36">
        <f t="shared" si="64"/>
        <v>0</v>
      </c>
      <c r="AF60" s="36">
        <f t="shared" si="64"/>
        <v>0</v>
      </c>
      <c r="AG60" s="36">
        <f t="shared" si="64"/>
        <v>0</v>
      </c>
      <c r="AH60" s="36">
        <f t="shared" si="64"/>
        <v>0</v>
      </c>
      <c r="AI60" s="36">
        <f t="shared" si="64"/>
        <v>0</v>
      </c>
      <c r="AJ60" s="36">
        <f t="shared" si="64"/>
        <v>0</v>
      </c>
      <c r="AK60" s="36">
        <f t="shared" si="64"/>
        <v>0</v>
      </c>
      <c r="AL60" s="36">
        <f t="shared" si="64"/>
        <v>0</v>
      </c>
      <c r="AM60" s="36">
        <f t="shared" si="64"/>
        <v>0</v>
      </c>
      <c r="AN60" s="36">
        <f t="shared" si="64"/>
        <v>0</v>
      </c>
      <c r="AO60" s="36">
        <f t="shared" si="64"/>
        <v>0</v>
      </c>
      <c r="AP60" s="36">
        <f t="shared" si="64"/>
        <v>178505.38999999998</v>
      </c>
      <c r="AQ60" s="36">
        <f t="shared" si="64"/>
        <v>182968.02474999995</v>
      </c>
      <c r="AR60" s="36">
        <f t="shared" si="64"/>
        <v>182968.02474999995</v>
      </c>
      <c r="AS60" s="36">
        <f t="shared" si="64"/>
        <v>182968.02474999995</v>
      </c>
      <c r="AT60" s="36">
        <f t="shared" si="64"/>
        <v>182968.02474999995</v>
      </c>
      <c r="AU60" s="36">
        <f t="shared" si="64"/>
        <v>182968.02474999995</v>
      </c>
      <c r="AV60" s="36">
        <f t="shared" si="64"/>
        <v>182968.02474999995</v>
      </c>
      <c r="AW60" s="36">
        <f t="shared" si="64"/>
        <v>182968.02474999995</v>
      </c>
      <c r="AX60" s="36">
        <f t="shared" si="64"/>
        <v>182968.02474999995</v>
      </c>
      <c r="AY60" s="36">
        <f t="shared" si="64"/>
        <v>182968.02474999995</v>
      </c>
      <c r="AZ60" s="36">
        <f t="shared" si="64"/>
        <v>182968.02474999995</v>
      </c>
      <c r="BA60" s="36">
        <f t="shared" si="64"/>
        <v>182968.02474999995</v>
      </c>
      <c r="BB60" s="36">
        <f t="shared" si="64"/>
        <v>182968.02474999995</v>
      </c>
      <c r="BC60" s="36">
        <f t="shared" si="64"/>
        <v>187542.22536874993</v>
      </c>
      <c r="BD60" s="36">
        <f t="shared" si="64"/>
        <v>187542.22536874993</v>
      </c>
      <c r="BE60" s="36">
        <f t="shared" si="64"/>
        <v>187542.22536874993</v>
      </c>
      <c r="BF60" s="36">
        <f t="shared" si="64"/>
        <v>187542.22536874993</v>
      </c>
      <c r="BG60" s="36">
        <f t="shared" si="64"/>
        <v>187542.22536874993</v>
      </c>
      <c r="BH60" s="36">
        <f t="shared" si="64"/>
        <v>187542.22536874993</v>
      </c>
      <c r="BI60" s="36">
        <f t="shared" si="64"/>
        <v>187542.22536874993</v>
      </c>
      <c r="BJ60" s="36">
        <f t="shared" si="64"/>
        <v>187542.22536874993</v>
      </c>
      <c r="BK60" s="36">
        <f t="shared" si="64"/>
        <v>187542.22536874993</v>
      </c>
      <c r="BL60" s="36">
        <f t="shared" si="64"/>
        <v>187542.22536874993</v>
      </c>
      <c r="BM60" s="36">
        <f t="shared" si="64"/>
        <v>187542.22536874993</v>
      </c>
      <c r="BN60" s="36">
        <f t="shared" si="64"/>
        <v>187542.22536874993</v>
      </c>
      <c r="BO60" s="36">
        <f t="shared" si="64"/>
        <v>192230.78100296867</v>
      </c>
      <c r="BP60" s="36">
        <f t="shared" si="64"/>
        <v>192230.78100296867</v>
      </c>
      <c r="BQ60" s="36">
        <f t="shared" si="64"/>
        <v>192230.78100296867</v>
      </c>
      <c r="BR60" s="36">
        <f t="shared" si="64"/>
        <v>192230.78100296867</v>
      </c>
      <c r="BS60" s="36">
        <f t="shared" si="62"/>
        <v>192230.78100296867</v>
      </c>
      <c r="BT60" s="36">
        <f t="shared" si="62"/>
        <v>192230.78100296867</v>
      </c>
      <c r="BU60" s="36">
        <f t="shared" si="62"/>
        <v>192230.78100296867</v>
      </c>
      <c r="BV60" s="36">
        <f t="shared" si="62"/>
        <v>192230.78100296867</v>
      </c>
      <c r="BW60" s="36">
        <f t="shared" si="62"/>
        <v>192230.78100296867</v>
      </c>
      <c r="BX60" s="36">
        <f t="shared" si="62"/>
        <v>192230.78100296867</v>
      </c>
      <c r="BY60" s="36">
        <f t="shared" si="62"/>
        <v>192230.78100296867</v>
      </c>
      <c r="BZ60" s="36">
        <f t="shared" si="62"/>
        <v>192230.78100296867</v>
      </c>
      <c r="CA60" s="36">
        <f t="shared" si="62"/>
        <v>197036.55052804286</v>
      </c>
      <c r="CB60" s="36">
        <f t="shared" si="62"/>
        <v>197036.55052804286</v>
      </c>
      <c r="CC60" s="36">
        <f t="shared" si="62"/>
        <v>197036.55052804286</v>
      </c>
      <c r="CD60" s="36">
        <f t="shared" si="62"/>
        <v>197036.55052804286</v>
      </c>
      <c r="CE60" s="36">
        <f t="shared" si="62"/>
        <v>197036.55052804286</v>
      </c>
      <c r="CF60" s="36">
        <f t="shared" si="62"/>
        <v>197036.55052804286</v>
      </c>
      <c r="CG60" s="36">
        <f t="shared" si="62"/>
        <v>197036.55052804286</v>
      </c>
      <c r="CH60" s="36">
        <f t="shared" si="62"/>
        <v>197036.55052804286</v>
      </c>
      <c r="CI60" s="36">
        <f t="shared" si="62"/>
        <v>197036.55052804286</v>
      </c>
      <c r="CJ60" s="36">
        <f t="shared" si="62"/>
        <v>197036.55052804286</v>
      </c>
      <c r="CK60" s="36">
        <f t="shared" si="62"/>
        <v>197036.55052804286</v>
      </c>
      <c r="CL60" s="36">
        <f t="shared" si="62"/>
        <v>197036.55052804286</v>
      </c>
      <c r="CM60" s="36">
        <f t="shared" si="62"/>
        <v>201962.46429124393</v>
      </c>
      <c r="CN60" s="36">
        <f t="shared" si="62"/>
        <v>201962.46429124393</v>
      </c>
      <c r="CO60" s="36">
        <f t="shared" si="62"/>
        <v>201962.46429124393</v>
      </c>
      <c r="CP60" s="36">
        <f t="shared" si="62"/>
        <v>201962.46429124393</v>
      </c>
      <c r="CQ60" s="36">
        <f t="shared" si="62"/>
        <v>201962.46429124393</v>
      </c>
      <c r="CR60" s="36">
        <f t="shared" si="62"/>
        <v>201962.46429124393</v>
      </c>
      <c r="CS60" s="36">
        <f t="shared" si="62"/>
        <v>201962.46429124393</v>
      </c>
      <c r="CT60" s="36">
        <f t="shared" si="62"/>
        <v>201962.46429124393</v>
      </c>
      <c r="CU60" s="36">
        <f t="shared" si="62"/>
        <v>201962.46429124393</v>
      </c>
      <c r="CV60" s="36">
        <f t="shared" si="62"/>
        <v>201962.46429124393</v>
      </c>
      <c r="CW60" s="36">
        <f t="shared" si="62"/>
        <v>201962.46429124393</v>
      </c>
      <c r="CX60" s="36">
        <f t="shared" ref="CX60:DV65" si="65">$C60*CX$211*IF(CX183=0,0,1)</f>
        <v>201962.46429124393</v>
      </c>
      <c r="CY60" s="36">
        <f t="shared" si="65"/>
        <v>207011.525898525</v>
      </c>
      <c r="CZ60" s="36">
        <f t="shared" si="65"/>
        <v>207011.525898525</v>
      </c>
      <c r="DA60" s="36">
        <f t="shared" si="65"/>
        <v>207011.525898525</v>
      </c>
      <c r="DB60" s="36">
        <f t="shared" si="65"/>
        <v>207011.525898525</v>
      </c>
      <c r="DC60" s="36">
        <f t="shared" si="65"/>
        <v>207011.525898525</v>
      </c>
      <c r="DD60" s="36">
        <f t="shared" si="65"/>
        <v>207011.525898525</v>
      </c>
      <c r="DE60" s="36">
        <f t="shared" si="65"/>
        <v>207011.525898525</v>
      </c>
      <c r="DF60" s="36">
        <f t="shared" si="65"/>
        <v>207011.525898525</v>
      </c>
      <c r="DG60" s="36">
        <f t="shared" si="65"/>
        <v>207011.525898525</v>
      </c>
      <c r="DH60" s="36">
        <f t="shared" si="65"/>
        <v>207011.525898525</v>
      </c>
      <c r="DI60" s="36">
        <f t="shared" si="65"/>
        <v>207011.525898525</v>
      </c>
      <c r="DJ60" s="36">
        <f t="shared" si="65"/>
        <v>207011.525898525</v>
      </c>
      <c r="DK60" s="36">
        <f t="shared" si="65"/>
        <v>212186.81404598808</v>
      </c>
      <c r="DL60" s="36">
        <f t="shared" si="65"/>
        <v>212186.81404598808</v>
      </c>
      <c r="DM60" s="36">
        <f t="shared" si="65"/>
        <v>212186.81404598808</v>
      </c>
      <c r="DN60" s="36">
        <f t="shared" si="65"/>
        <v>212186.81404598808</v>
      </c>
      <c r="DO60" s="36">
        <f t="shared" si="65"/>
        <v>212186.81404598808</v>
      </c>
      <c r="DP60" s="36">
        <f t="shared" si="65"/>
        <v>212186.81404598808</v>
      </c>
      <c r="DQ60" s="36">
        <f t="shared" si="65"/>
        <v>212186.81404598808</v>
      </c>
      <c r="DR60" s="36">
        <f t="shared" si="65"/>
        <v>212186.81404598808</v>
      </c>
      <c r="DS60" s="36">
        <f t="shared" si="65"/>
        <v>212186.81404598808</v>
      </c>
      <c r="DT60" s="36">
        <f t="shared" si="65"/>
        <v>212186.81404598808</v>
      </c>
      <c r="DU60" s="36">
        <f t="shared" si="65"/>
        <v>212186.81404598808</v>
      </c>
      <c r="DV60" s="36">
        <f t="shared" si="65"/>
        <v>212186.81404598808</v>
      </c>
    </row>
    <row r="61" spans="2:126" outlineLevel="1">
      <c r="B61" s="3" t="str">
        <f t="shared" si="60"/>
        <v>Property K</v>
      </c>
      <c r="C61" s="43">
        <f>CaseData!C20</f>
        <v>105270</v>
      </c>
      <c r="D61" s="2"/>
      <c r="E61" s="35" t="s">
        <v>0</v>
      </c>
      <c r="F61" s="35"/>
      <c r="G61" s="36">
        <f t="shared" si="64"/>
        <v>0</v>
      </c>
      <c r="H61" s="36">
        <f t="shared" si="64"/>
        <v>0</v>
      </c>
      <c r="I61" s="36">
        <f t="shared" si="64"/>
        <v>0</v>
      </c>
      <c r="J61" s="36">
        <f t="shared" si="64"/>
        <v>0</v>
      </c>
      <c r="K61" s="36">
        <f t="shared" si="64"/>
        <v>0</v>
      </c>
      <c r="L61" s="36">
        <f t="shared" si="64"/>
        <v>0</v>
      </c>
      <c r="M61" s="36">
        <f t="shared" si="64"/>
        <v>0</v>
      </c>
      <c r="N61" s="36">
        <f t="shared" si="64"/>
        <v>0</v>
      </c>
      <c r="O61" s="36">
        <f t="shared" si="64"/>
        <v>0</v>
      </c>
      <c r="P61" s="36">
        <f t="shared" si="64"/>
        <v>0</v>
      </c>
      <c r="Q61" s="36">
        <f t="shared" si="64"/>
        <v>0</v>
      </c>
      <c r="R61" s="36">
        <f t="shared" si="64"/>
        <v>0</v>
      </c>
      <c r="S61" s="36">
        <f t="shared" si="64"/>
        <v>0</v>
      </c>
      <c r="T61" s="36">
        <f t="shared" si="64"/>
        <v>0</v>
      </c>
      <c r="U61" s="36">
        <f t="shared" si="64"/>
        <v>0</v>
      </c>
      <c r="V61" s="36">
        <f t="shared" si="64"/>
        <v>0</v>
      </c>
      <c r="W61" s="36">
        <f t="shared" si="64"/>
        <v>0</v>
      </c>
      <c r="X61" s="36">
        <f t="shared" si="64"/>
        <v>0</v>
      </c>
      <c r="Y61" s="36">
        <f t="shared" si="64"/>
        <v>0</v>
      </c>
      <c r="Z61" s="36">
        <f t="shared" si="64"/>
        <v>0</v>
      </c>
      <c r="AA61" s="36">
        <f t="shared" si="64"/>
        <v>0</v>
      </c>
      <c r="AB61" s="36">
        <f t="shared" si="64"/>
        <v>0</v>
      </c>
      <c r="AC61" s="36">
        <f t="shared" si="64"/>
        <v>0</v>
      </c>
      <c r="AD61" s="36">
        <f t="shared" si="64"/>
        <v>0</v>
      </c>
      <c r="AE61" s="36">
        <f t="shared" si="64"/>
        <v>0</v>
      </c>
      <c r="AF61" s="36">
        <f t="shared" si="64"/>
        <v>0</v>
      </c>
      <c r="AG61" s="36">
        <f t="shared" si="64"/>
        <v>0</v>
      </c>
      <c r="AH61" s="36">
        <f t="shared" si="64"/>
        <v>0</v>
      </c>
      <c r="AI61" s="36">
        <f t="shared" si="64"/>
        <v>0</v>
      </c>
      <c r="AJ61" s="36">
        <f t="shared" si="64"/>
        <v>0</v>
      </c>
      <c r="AK61" s="36">
        <f t="shared" si="64"/>
        <v>0</v>
      </c>
      <c r="AL61" s="36">
        <f t="shared" si="64"/>
        <v>0</v>
      </c>
      <c r="AM61" s="36">
        <f t="shared" si="64"/>
        <v>0</v>
      </c>
      <c r="AN61" s="36">
        <f t="shared" si="64"/>
        <v>113364.27609374998</v>
      </c>
      <c r="AO61" s="36">
        <f t="shared" si="64"/>
        <v>113364.27609374998</v>
      </c>
      <c r="AP61" s="36">
        <f t="shared" si="64"/>
        <v>113364.27609374998</v>
      </c>
      <c r="AQ61" s="36">
        <f t="shared" si="64"/>
        <v>116198.38299609373</v>
      </c>
      <c r="AR61" s="36">
        <f t="shared" si="64"/>
        <v>116198.38299609373</v>
      </c>
      <c r="AS61" s="36">
        <f t="shared" si="64"/>
        <v>116198.38299609373</v>
      </c>
      <c r="AT61" s="36">
        <f t="shared" si="64"/>
        <v>116198.38299609373</v>
      </c>
      <c r="AU61" s="36">
        <f t="shared" si="64"/>
        <v>116198.38299609373</v>
      </c>
      <c r="AV61" s="36">
        <f t="shared" si="64"/>
        <v>116198.38299609373</v>
      </c>
      <c r="AW61" s="36">
        <f t="shared" si="64"/>
        <v>116198.38299609373</v>
      </c>
      <c r="AX61" s="36">
        <f t="shared" si="64"/>
        <v>116198.38299609373</v>
      </c>
      <c r="AY61" s="36">
        <f t="shared" si="64"/>
        <v>116198.38299609373</v>
      </c>
      <c r="AZ61" s="36">
        <f t="shared" si="64"/>
        <v>116198.38299609373</v>
      </c>
      <c r="BA61" s="36">
        <f t="shared" si="64"/>
        <v>116198.38299609373</v>
      </c>
      <c r="BB61" s="36">
        <f t="shared" si="64"/>
        <v>116198.38299609373</v>
      </c>
      <c r="BC61" s="36">
        <f t="shared" si="64"/>
        <v>119103.34257099606</v>
      </c>
      <c r="BD61" s="36">
        <f t="shared" si="64"/>
        <v>119103.34257099606</v>
      </c>
      <c r="BE61" s="36">
        <f t="shared" si="64"/>
        <v>119103.34257099606</v>
      </c>
      <c r="BF61" s="36">
        <f t="shared" si="64"/>
        <v>119103.34257099606</v>
      </c>
      <c r="BG61" s="36">
        <f t="shared" si="64"/>
        <v>119103.34257099606</v>
      </c>
      <c r="BH61" s="36">
        <f t="shared" si="64"/>
        <v>119103.34257099606</v>
      </c>
      <c r="BI61" s="36">
        <f t="shared" si="64"/>
        <v>119103.34257099606</v>
      </c>
      <c r="BJ61" s="36">
        <f t="shared" si="64"/>
        <v>119103.34257099606</v>
      </c>
      <c r="BK61" s="36">
        <f t="shared" si="64"/>
        <v>119103.34257099606</v>
      </c>
      <c r="BL61" s="36">
        <f t="shared" si="64"/>
        <v>119103.34257099606</v>
      </c>
      <c r="BM61" s="36">
        <f t="shared" si="64"/>
        <v>119103.34257099606</v>
      </c>
      <c r="BN61" s="36">
        <f t="shared" si="64"/>
        <v>119103.34257099606</v>
      </c>
      <c r="BO61" s="36">
        <f t="shared" si="64"/>
        <v>122080.92613527094</v>
      </c>
      <c r="BP61" s="36">
        <f t="shared" si="64"/>
        <v>122080.92613527094</v>
      </c>
      <c r="BQ61" s="36">
        <f t="shared" si="64"/>
        <v>122080.92613527094</v>
      </c>
      <c r="BR61" s="36">
        <f t="shared" si="64"/>
        <v>122080.92613527094</v>
      </c>
      <c r="BS61" s="36">
        <f t="shared" ref="BS61:CX65" si="66">$C61*BS$211*IF(BS184=0,0,1)</f>
        <v>122080.92613527094</v>
      </c>
      <c r="BT61" s="36">
        <f t="shared" si="66"/>
        <v>122080.92613527094</v>
      </c>
      <c r="BU61" s="36">
        <f t="shared" si="66"/>
        <v>122080.92613527094</v>
      </c>
      <c r="BV61" s="36">
        <f t="shared" si="66"/>
        <v>122080.92613527094</v>
      </c>
      <c r="BW61" s="36">
        <f t="shared" si="66"/>
        <v>122080.92613527094</v>
      </c>
      <c r="BX61" s="36">
        <f t="shared" si="66"/>
        <v>122080.92613527094</v>
      </c>
      <c r="BY61" s="36">
        <f t="shared" si="66"/>
        <v>122080.92613527094</v>
      </c>
      <c r="BZ61" s="36">
        <f t="shared" si="66"/>
        <v>122080.92613527094</v>
      </c>
      <c r="CA61" s="36">
        <f t="shared" si="66"/>
        <v>125132.9492886527</v>
      </c>
      <c r="CB61" s="36">
        <f t="shared" si="66"/>
        <v>125132.9492886527</v>
      </c>
      <c r="CC61" s="36">
        <f t="shared" si="66"/>
        <v>125132.9492886527</v>
      </c>
      <c r="CD61" s="36">
        <f t="shared" si="66"/>
        <v>125132.9492886527</v>
      </c>
      <c r="CE61" s="36">
        <f t="shared" si="66"/>
        <v>125132.9492886527</v>
      </c>
      <c r="CF61" s="36">
        <f t="shared" si="66"/>
        <v>125132.9492886527</v>
      </c>
      <c r="CG61" s="36">
        <f t="shared" si="66"/>
        <v>125132.9492886527</v>
      </c>
      <c r="CH61" s="36">
        <f t="shared" si="66"/>
        <v>125132.9492886527</v>
      </c>
      <c r="CI61" s="36">
        <f t="shared" si="66"/>
        <v>125132.9492886527</v>
      </c>
      <c r="CJ61" s="36">
        <f t="shared" si="66"/>
        <v>125132.9492886527</v>
      </c>
      <c r="CK61" s="36">
        <f t="shared" si="66"/>
        <v>125132.9492886527</v>
      </c>
      <c r="CL61" s="36">
        <f t="shared" si="66"/>
        <v>125132.9492886527</v>
      </c>
      <c r="CM61" s="36">
        <f t="shared" si="66"/>
        <v>128261.27302086902</v>
      </c>
      <c r="CN61" s="36">
        <f t="shared" si="66"/>
        <v>128261.27302086902</v>
      </c>
      <c r="CO61" s="36">
        <f t="shared" si="66"/>
        <v>128261.27302086902</v>
      </c>
      <c r="CP61" s="36">
        <f t="shared" si="66"/>
        <v>128261.27302086902</v>
      </c>
      <c r="CQ61" s="36">
        <f t="shared" si="66"/>
        <v>128261.27302086902</v>
      </c>
      <c r="CR61" s="36">
        <f t="shared" si="66"/>
        <v>128261.27302086902</v>
      </c>
      <c r="CS61" s="36">
        <f t="shared" si="66"/>
        <v>128261.27302086902</v>
      </c>
      <c r="CT61" s="36">
        <f t="shared" si="66"/>
        <v>128261.27302086902</v>
      </c>
      <c r="CU61" s="36">
        <f t="shared" si="66"/>
        <v>128261.27302086902</v>
      </c>
      <c r="CV61" s="36">
        <f t="shared" si="66"/>
        <v>128261.27302086902</v>
      </c>
      <c r="CW61" s="36">
        <f t="shared" si="66"/>
        <v>128261.27302086902</v>
      </c>
      <c r="CX61" s="36">
        <f t="shared" si="66"/>
        <v>128261.27302086902</v>
      </c>
      <c r="CY61" s="36">
        <f t="shared" si="65"/>
        <v>131467.8048463907</v>
      </c>
      <c r="CZ61" s="36">
        <f t="shared" si="65"/>
        <v>131467.8048463907</v>
      </c>
      <c r="DA61" s="36">
        <f t="shared" si="65"/>
        <v>131467.8048463907</v>
      </c>
      <c r="DB61" s="36">
        <f t="shared" si="65"/>
        <v>131467.8048463907</v>
      </c>
      <c r="DC61" s="36">
        <f t="shared" si="65"/>
        <v>131467.8048463907</v>
      </c>
      <c r="DD61" s="36">
        <f t="shared" si="65"/>
        <v>131467.8048463907</v>
      </c>
      <c r="DE61" s="36">
        <f t="shared" si="65"/>
        <v>131467.8048463907</v>
      </c>
      <c r="DF61" s="36">
        <f t="shared" si="65"/>
        <v>131467.8048463907</v>
      </c>
      <c r="DG61" s="36">
        <f t="shared" si="65"/>
        <v>131467.8048463907</v>
      </c>
      <c r="DH61" s="36">
        <f t="shared" si="65"/>
        <v>131467.8048463907</v>
      </c>
      <c r="DI61" s="36">
        <f t="shared" si="65"/>
        <v>131467.8048463907</v>
      </c>
      <c r="DJ61" s="36">
        <f t="shared" si="65"/>
        <v>131467.8048463907</v>
      </c>
      <c r="DK61" s="36">
        <f t="shared" si="65"/>
        <v>134754.49996755045</v>
      </c>
      <c r="DL61" s="36">
        <f t="shared" si="65"/>
        <v>134754.49996755045</v>
      </c>
      <c r="DM61" s="36">
        <f t="shared" si="65"/>
        <v>134754.49996755045</v>
      </c>
      <c r="DN61" s="36">
        <f t="shared" si="65"/>
        <v>134754.49996755045</v>
      </c>
      <c r="DO61" s="36">
        <f t="shared" si="65"/>
        <v>134754.49996755045</v>
      </c>
      <c r="DP61" s="36">
        <f t="shared" si="65"/>
        <v>134754.49996755045</v>
      </c>
      <c r="DQ61" s="36">
        <f t="shared" si="65"/>
        <v>134754.49996755045</v>
      </c>
      <c r="DR61" s="36">
        <f t="shared" si="65"/>
        <v>134754.49996755045</v>
      </c>
      <c r="DS61" s="36">
        <f t="shared" si="65"/>
        <v>134754.49996755045</v>
      </c>
      <c r="DT61" s="36">
        <f t="shared" si="65"/>
        <v>134754.49996755045</v>
      </c>
      <c r="DU61" s="36">
        <f t="shared" si="65"/>
        <v>134754.49996755045</v>
      </c>
      <c r="DV61" s="36">
        <f t="shared" si="65"/>
        <v>134754.49996755045</v>
      </c>
    </row>
    <row r="62" spans="2:126" outlineLevel="1">
      <c r="B62" s="3" t="str">
        <f t="shared" si="60"/>
        <v>Property L</v>
      </c>
      <c r="C62" s="43">
        <f>CaseData!C21</f>
        <v>248880</v>
      </c>
      <c r="D62" s="2"/>
      <c r="E62" s="35" t="s">
        <v>0</v>
      </c>
      <c r="F62" s="35"/>
      <c r="G62" s="36">
        <f t="shared" si="64"/>
        <v>0</v>
      </c>
      <c r="H62" s="36">
        <f t="shared" si="64"/>
        <v>0</v>
      </c>
      <c r="I62" s="36">
        <f t="shared" si="64"/>
        <v>0</v>
      </c>
      <c r="J62" s="36">
        <f t="shared" si="64"/>
        <v>0</v>
      </c>
      <c r="K62" s="36">
        <f t="shared" si="64"/>
        <v>0</v>
      </c>
      <c r="L62" s="36">
        <f t="shared" si="64"/>
        <v>0</v>
      </c>
      <c r="M62" s="36">
        <f t="shared" si="64"/>
        <v>0</v>
      </c>
      <c r="N62" s="36">
        <f t="shared" si="64"/>
        <v>0</v>
      </c>
      <c r="O62" s="36">
        <f t="shared" si="64"/>
        <v>0</v>
      </c>
      <c r="P62" s="36">
        <f t="shared" si="64"/>
        <v>0</v>
      </c>
      <c r="Q62" s="36">
        <f t="shared" si="64"/>
        <v>0</v>
      </c>
      <c r="R62" s="36">
        <f t="shared" si="64"/>
        <v>0</v>
      </c>
      <c r="S62" s="36">
        <f t="shared" si="64"/>
        <v>0</v>
      </c>
      <c r="T62" s="36">
        <f t="shared" si="64"/>
        <v>0</v>
      </c>
      <c r="U62" s="36">
        <f t="shared" si="64"/>
        <v>0</v>
      </c>
      <c r="V62" s="36">
        <f t="shared" si="64"/>
        <v>0</v>
      </c>
      <c r="W62" s="36">
        <f t="shared" si="64"/>
        <v>0</v>
      </c>
      <c r="X62" s="36">
        <f t="shared" si="64"/>
        <v>0</v>
      </c>
      <c r="Y62" s="36">
        <f t="shared" si="64"/>
        <v>0</v>
      </c>
      <c r="Z62" s="36">
        <f t="shared" si="64"/>
        <v>0</v>
      </c>
      <c r="AA62" s="36">
        <f t="shared" si="64"/>
        <v>0</v>
      </c>
      <c r="AB62" s="36">
        <f t="shared" si="64"/>
        <v>0</v>
      </c>
      <c r="AC62" s="36">
        <f t="shared" si="64"/>
        <v>0</v>
      </c>
      <c r="AD62" s="36">
        <f t="shared" si="64"/>
        <v>0</v>
      </c>
      <c r="AE62" s="36">
        <f t="shared" si="64"/>
        <v>0</v>
      </c>
      <c r="AF62" s="36">
        <f t="shared" si="64"/>
        <v>0</v>
      </c>
      <c r="AG62" s="36">
        <f t="shared" si="64"/>
        <v>0</v>
      </c>
      <c r="AH62" s="36">
        <f t="shared" si="64"/>
        <v>0</v>
      </c>
      <c r="AI62" s="36">
        <f t="shared" si="64"/>
        <v>0</v>
      </c>
      <c r="AJ62" s="36">
        <f t="shared" si="64"/>
        <v>0</v>
      </c>
      <c r="AK62" s="36">
        <f t="shared" si="64"/>
        <v>0</v>
      </c>
      <c r="AL62" s="36">
        <f t="shared" si="64"/>
        <v>0</v>
      </c>
      <c r="AM62" s="36">
        <f t="shared" si="64"/>
        <v>0</v>
      </c>
      <c r="AN62" s="36">
        <f t="shared" si="64"/>
        <v>0</v>
      </c>
      <c r="AO62" s="36">
        <f t="shared" si="64"/>
        <v>0</v>
      </c>
      <c r="AP62" s="36">
        <f t="shared" si="64"/>
        <v>0</v>
      </c>
      <c r="AQ62" s="36">
        <f t="shared" si="64"/>
        <v>0</v>
      </c>
      <c r="AR62" s="36">
        <f t="shared" si="64"/>
        <v>0</v>
      </c>
      <c r="AS62" s="36">
        <f t="shared" si="64"/>
        <v>0</v>
      </c>
      <c r="AT62" s="36">
        <f t="shared" si="64"/>
        <v>0</v>
      </c>
      <c r="AU62" s="36">
        <f t="shared" si="64"/>
        <v>0</v>
      </c>
      <c r="AV62" s="36">
        <f t="shared" si="64"/>
        <v>0</v>
      </c>
      <c r="AW62" s="36">
        <f t="shared" si="64"/>
        <v>0</v>
      </c>
      <c r="AX62" s="36">
        <f t="shared" si="64"/>
        <v>0</v>
      </c>
      <c r="AY62" s="36">
        <f t="shared" si="64"/>
        <v>0</v>
      </c>
      <c r="AZ62" s="36">
        <f t="shared" si="64"/>
        <v>0</v>
      </c>
      <c r="BA62" s="36">
        <f t="shared" si="64"/>
        <v>0</v>
      </c>
      <c r="BB62" s="36">
        <f t="shared" si="64"/>
        <v>0</v>
      </c>
      <c r="BC62" s="36">
        <f t="shared" si="64"/>
        <v>0</v>
      </c>
      <c r="BD62" s="36">
        <f t="shared" si="64"/>
        <v>0</v>
      </c>
      <c r="BE62" s="36">
        <f t="shared" si="64"/>
        <v>281584.87602421868</v>
      </c>
      <c r="BF62" s="36">
        <f t="shared" si="64"/>
        <v>281584.87602421868</v>
      </c>
      <c r="BG62" s="36">
        <f t="shared" si="64"/>
        <v>281584.87602421868</v>
      </c>
      <c r="BH62" s="36">
        <f t="shared" si="64"/>
        <v>281584.87602421868</v>
      </c>
      <c r="BI62" s="36">
        <f t="shared" si="64"/>
        <v>281584.87602421868</v>
      </c>
      <c r="BJ62" s="36">
        <f t="shared" si="64"/>
        <v>281584.87602421868</v>
      </c>
      <c r="BK62" s="36">
        <f t="shared" si="64"/>
        <v>281584.87602421868</v>
      </c>
      <c r="BL62" s="36">
        <f t="shared" si="64"/>
        <v>281584.87602421868</v>
      </c>
      <c r="BM62" s="36">
        <f t="shared" si="64"/>
        <v>281584.87602421868</v>
      </c>
      <c r="BN62" s="36">
        <f t="shared" si="64"/>
        <v>281584.87602421868</v>
      </c>
      <c r="BO62" s="36">
        <f t="shared" si="64"/>
        <v>288624.49792482413</v>
      </c>
      <c r="BP62" s="36">
        <f t="shared" si="64"/>
        <v>288624.49792482413</v>
      </c>
      <c r="BQ62" s="36">
        <f t="shared" si="64"/>
        <v>288624.49792482413</v>
      </c>
      <c r="BR62" s="36">
        <f t="shared" si="64"/>
        <v>288624.49792482413</v>
      </c>
      <c r="BS62" s="36">
        <f t="shared" si="66"/>
        <v>288624.49792482413</v>
      </c>
      <c r="BT62" s="36">
        <f t="shared" si="66"/>
        <v>288624.49792482413</v>
      </c>
      <c r="BU62" s="36">
        <f t="shared" si="66"/>
        <v>288624.49792482413</v>
      </c>
      <c r="BV62" s="36">
        <f t="shared" si="66"/>
        <v>288624.49792482413</v>
      </c>
      <c r="BW62" s="36">
        <f t="shared" si="66"/>
        <v>288624.49792482413</v>
      </c>
      <c r="BX62" s="36">
        <f t="shared" si="66"/>
        <v>288624.49792482413</v>
      </c>
      <c r="BY62" s="36">
        <f t="shared" si="66"/>
        <v>288624.49792482413</v>
      </c>
      <c r="BZ62" s="36">
        <f t="shared" si="66"/>
        <v>288624.49792482413</v>
      </c>
      <c r="CA62" s="36">
        <f t="shared" si="66"/>
        <v>295840.11037294468</v>
      </c>
      <c r="CB62" s="36">
        <f t="shared" si="66"/>
        <v>295840.11037294468</v>
      </c>
      <c r="CC62" s="36">
        <f t="shared" si="66"/>
        <v>295840.11037294468</v>
      </c>
      <c r="CD62" s="36">
        <f t="shared" si="66"/>
        <v>295840.11037294468</v>
      </c>
      <c r="CE62" s="36">
        <f t="shared" si="66"/>
        <v>295840.11037294468</v>
      </c>
      <c r="CF62" s="36">
        <f t="shared" si="66"/>
        <v>295840.11037294468</v>
      </c>
      <c r="CG62" s="36">
        <f t="shared" si="66"/>
        <v>295840.11037294468</v>
      </c>
      <c r="CH62" s="36">
        <f t="shared" si="66"/>
        <v>295840.11037294468</v>
      </c>
      <c r="CI62" s="36">
        <f t="shared" si="66"/>
        <v>295840.11037294468</v>
      </c>
      <c r="CJ62" s="36">
        <f t="shared" si="66"/>
        <v>295840.11037294468</v>
      </c>
      <c r="CK62" s="36">
        <f t="shared" si="66"/>
        <v>295840.11037294468</v>
      </c>
      <c r="CL62" s="36">
        <f t="shared" si="66"/>
        <v>295840.11037294468</v>
      </c>
      <c r="CM62" s="36">
        <f t="shared" si="66"/>
        <v>303236.11313226825</v>
      </c>
      <c r="CN62" s="36">
        <f t="shared" si="66"/>
        <v>303236.11313226825</v>
      </c>
      <c r="CO62" s="36">
        <f t="shared" si="66"/>
        <v>303236.11313226825</v>
      </c>
      <c r="CP62" s="36">
        <f t="shared" si="66"/>
        <v>303236.11313226825</v>
      </c>
      <c r="CQ62" s="36">
        <f t="shared" si="66"/>
        <v>303236.11313226825</v>
      </c>
      <c r="CR62" s="36">
        <f t="shared" si="66"/>
        <v>303236.11313226825</v>
      </c>
      <c r="CS62" s="36">
        <f t="shared" si="66"/>
        <v>303236.11313226825</v>
      </c>
      <c r="CT62" s="36">
        <f t="shared" si="66"/>
        <v>303236.11313226825</v>
      </c>
      <c r="CU62" s="36">
        <f t="shared" si="66"/>
        <v>303236.11313226825</v>
      </c>
      <c r="CV62" s="36">
        <f t="shared" si="66"/>
        <v>303236.11313226825</v>
      </c>
      <c r="CW62" s="36">
        <f t="shared" si="66"/>
        <v>303236.11313226825</v>
      </c>
      <c r="CX62" s="36">
        <f t="shared" si="66"/>
        <v>303236.11313226825</v>
      </c>
      <c r="CY62" s="36">
        <f t="shared" si="65"/>
        <v>310817.01596057491</v>
      </c>
      <c r="CZ62" s="36">
        <f t="shared" si="65"/>
        <v>310817.01596057491</v>
      </c>
      <c r="DA62" s="36">
        <f t="shared" si="65"/>
        <v>310817.01596057491</v>
      </c>
      <c r="DB62" s="36">
        <f t="shared" si="65"/>
        <v>310817.01596057491</v>
      </c>
      <c r="DC62" s="36">
        <f t="shared" si="65"/>
        <v>310817.01596057491</v>
      </c>
      <c r="DD62" s="36">
        <f t="shared" si="65"/>
        <v>310817.01596057491</v>
      </c>
      <c r="DE62" s="36">
        <f t="shared" si="65"/>
        <v>310817.01596057491</v>
      </c>
      <c r="DF62" s="36">
        <f t="shared" si="65"/>
        <v>310817.01596057491</v>
      </c>
      <c r="DG62" s="36">
        <f t="shared" si="65"/>
        <v>310817.01596057491</v>
      </c>
      <c r="DH62" s="36">
        <f t="shared" si="65"/>
        <v>310817.01596057491</v>
      </c>
      <c r="DI62" s="36">
        <f t="shared" si="65"/>
        <v>310817.01596057491</v>
      </c>
      <c r="DJ62" s="36">
        <f t="shared" si="65"/>
        <v>310817.01596057491</v>
      </c>
      <c r="DK62" s="36">
        <f t="shared" si="65"/>
        <v>318587.44135958923</v>
      </c>
      <c r="DL62" s="36">
        <f t="shared" si="65"/>
        <v>318587.44135958923</v>
      </c>
      <c r="DM62" s="36">
        <f t="shared" si="65"/>
        <v>318587.44135958923</v>
      </c>
      <c r="DN62" s="36">
        <f t="shared" si="65"/>
        <v>318587.44135958923</v>
      </c>
      <c r="DO62" s="36">
        <f t="shared" si="65"/>
        <v>318587.44135958923</v>
      </c>
      <c r="DP62" s="36">
        <f t="shared" si="65"/>
        <v>318587.44135958923</v>
      </c>
      <c r="DQ62" s="36">
        <f t="shared" si="65"/>
        <v>318587.44135958923</v>
      </c>
      <c r="DR62" s="36">
        <f t="shared" si="65"/>
        <v>318587.44135958923</v>
      </c>
      <c r="DS62" s="36">
        <f t="shared" si="65"/>
        <v>318587.44135958923</v>
      </c>
      <c r="DT62" s="36">
        <f t="shared" si="65"/>
        <v>318587.44135958923</v>
      </c>
      <c r="DU62" s="36">
        <f t="shared" si="65"/>
        <v>318587.44135958923</v>
      </c>
      <c r="DV62" s="36">
        <f t="shared" si="65"/>
        <v>318587.44135958923</v>
      </c>
    </row>
    <row r="63" spans="2:126" outlineLevel="1">
      <c r="B63" s="3" t="str">
        <f t="shared" si="60"/>
        <v>Property M</v>
      </c>
      <c r="C63" s="43">
        <f>CaseData!C22</f>
        <v>182920</v>
      </c>
      <c r="D63" s="2"/>
      <c r="E63" s="35" t="s">
        <v>0</v>
      </c>
      <c r="F63" s="35"/>
      <c r="G63" s="36">
        <f t="shared" si="64"/>
        <v>0</v>
      </c>
      <c r="H63" s="36">
        <f t="shared" si="64"/>
        <v>0</v>
      </c>
      <c r="I63" s="36">
        <f t="shared" si="64"/>
        <v>0</v>
      </c>
      <c r="J63" s="36">
        <f t="shared" si="64"/>
        <v>0</v>
      </c>
      <c r="K63" s="36">
        <f t="shared" si="64"/>
        <v>0</v>
      </c>
      <c r="L63" s="36">
        <f t="shared" si="64"/>
        <v>0</v>
      </c>
      <c r="M63" s="36">
        <f t="shared" si="64"/>
        <v>0</v>
      </c>
      <c r="N63" s="36">
        <f t="shared" si="64"/>
        <v>0</v>
      </c>
      <c r="O63" s="36">
        <f t="shared" si="64"/>
        <v>0</v>
      </c>
      <c r="P63" s="36">
        <f t="shared" si="64"/>
        <v>0</v>
      </c>
      <c r="Q63" s="36">
        <f t="shared" si="64"/>
        <v>0</v>
      </c>
      <c r="R63" s="36">
        <f t="shared" si="64"/>
        <v>0</v>
      </c>
      <c r="S63" s="36">
        <f t="shared" si="64"/>
        <v>0</v>
      </c>
      <c r="T63" s="36">
        <f t="shared" si="64"/>
        <v>0</v>
      </c>
      <c r="U63" s="36">
        <f t="shared" si="64"/>
        <v>0</v>
      </c>
      <c r="V63" s="36">
        <f t="shared" si="64"/>
        <v>0</v>
      </c>
      <c r="W63" s="36">
        <f t="shared" si="64"/>
        <v>0</v>
      </c>
      <c r="X63" s="36">
        <f t="shared" si="64"/>
        <v>0</v>
      </c>
      <c r="Y63" s="36">
        <f t="shared" si="64"/>
        <v>0</v>
      </c>
      <c r="Z63" s="36">
        <f t="shared" si="64"/>
        <v>0</v>
      </c>
      <c r="AA63" s="36">
        <f t="shared" si="64"/>
        <v>0</v>
      </c>
      <c r="AB63" s="36">
        <f t="shared" si="64"/>
        <v>0</v>
      </c>
      <c r="AC63" s="36">
        <f t="shared" si="64"/>
        <v>0</v>
      </c>
      <c r="AD63" s="36">
        <f t="shared" si="64"/>
        <v>0</v>
      </c>
      <c r="AE63" s="36">
        <f t="shared" si="64"/>
        <v>0</v>
      </c>
      <c r="AF63" s="36">
        <f t="shared" si="64"/>
        <v>0</v>
      </c>
      <c r="AG63" s="36">
        <f t="shared" si="64"/>
        <v>0</v>
      </c>
      <c r="AH63" s="36">
        <f t="shared" si="64"/>
        <v>0</v>
      </c>
      <c r="AI63" s="36">
        <f t="shared" si="64"/>
        <v>0</v>
      </c>
      <c r="AJ63" s="36">
        <f t="shared" si="64"/>
        <v>0</v>
      </c>
      <c r="AK63" s="36">
        <f t="shared" si="64"/>
        <v>0</v>
      </c>
      <c r="AL63" s="36">
        <f t="shared" si="64"/>
        <v>0</v>
      </c>
      <c r="AM63" s="36">
        <f t="shared" si="64"/>
        <v>0</v>
      </c>
      <c r="AN63" s="36">
        <f t="shared" si="64"/>
        <v>0</v>
      </c>
      <c r="AO63" s="36">
        <f t="shared" si="64"/>
        <v>0</v>
      </c>
      <c r="AP63" s="36">
        <f t="shared" si="64"/>
        <v>0</v>
      </c>
      <c r="AQ63" s="36">
        <f t="shared" si="64"/>
        <v>0</v>
      </c>
      <c r="AR63" s="36">
        <f t="shared" si="64"/>
        <v>0</v>
      </c>
      <c r="AS63" s="36">
        <f t="shared" si="64"/>
        <v>0</v>
      </c>
      <c r="AT63" s="36">
        <f t="shared" si="64"/>
        <v>0</v>
      </c>
      <c r="AU63" s="36">
        <f t="shared" si="64"/>
        <v>0</v>
      </c>
      <c r="AV63" s="36">
        <f t="shared" si="64"/>
        <v>0</v>
      </c>
      <c r="AW63" s="36">
        <f t="shared" si="64"/>
        <v>0</v>
      </c>
      <c r="AX63" s="36">
        <f t="shared" si="64"/>
        <v>0</v>
      </c>
      <c r="AY63" s="36">
        <f t="shared" si="64"/>
        <v>0</v>
      </c>
      <c r="AZ63" s="36">
        <f t="shared" si="64"/>
        <v>0</v>
      </c>
      <c r="BA63" s="36">
        <f t="shared" si="64"/>
        <v>0</v>
      </c>
      <c r="BB63" s="36">
        <f t="shared" si="64"/>
        <v>0</v>
      </c>
      <c r="BC63" s="36">
        <f t="shared" si="64"/>
        <v>0</v>
      </c>
      <c r="BD63" s="36">
        <f t="shared" si="64"/>
        <v>0</v>
      </c>
      <c r="BE63" s="36">
        <f t="shared" si="64"/>
        <v>206957.19030195306</v>
      </c>
      <c r="BF63" s="36">
        <f t="shared" si="64"/>
        <v>206957.19030195306</v>
      </c>
      <c r="BG63" s="36">
        <f t="shared" si="64"/>
        <v>206957.19030195306</v>
      </c>
      <c r="BH63" s="36">
        <f t="shared" si="64"/>
        <v>206957.19030195306</v>
      </c>
      <c r="BI63" s="36">
        <f t="shared" si="64"/>
        <v>206957.19030195306</v>
      </c>
      <c r="BJ63" s="36">
        <f t="shared" si="64"/>
        <v>206957.19030195306</v>
      </c>
      <c r="BK63" s="36">
        <f t="shared" si="64"/>
        <v>206957.19030195306</v>
      </c>
      <c r="BL63" s="36">
        <f t="shared" si="64"/>
        <v>206957.19030195306</v>
      </c>
      <c r="BM63" s="36">
        <f t="shared" si="64"/>
        <v>206957.19030195306</v>
      </c>
      <c r="BN63" s="36">
        <f t="shared" si="64"/>
        <v>206957.19030195306</v>
      </c>
      <c r="BO63" s="36">
        <f t="shared" si="64"/>
        <v>212131.12005950187</v>
      </c>
      <c r="BP63" s="36">
        <f t="shared" si="64"/>
        <v>212131.12005950187</v>
      </c>
      <c r="BQ63" s="36">
        <f t="shared" si="64"/>
        <v>212131.12005950187</v>
      </c>
      <c r="BR63" s="36">
        <f t="shared" ref="BR63" si="67">$C63*BR$211*IF(BR186=0,0,1)</f>
        <v>212131.12005950187</v>
      </c>
      <c r="BS63" s="36">
        <f t="shared" si="66"/>
        <v>212131.12005950187</v>
      </c>
      <c r="BT63" s="36">
        <f t="shared" si="66"/>
        <v>212131.12005950187</v>
      </c>
      <c r="BU63" s="36">
        <f t="shared" si="66"/>
        <v>212131.12005950187</v>
      </c>
      <c r="BV63" s="36">
        <f t="shared" si="66"/>
        <v>212131.12005950187</v>
      </c>
      <c r="BW63" s="36">
        <f t="shared" si="66"/>
        <v>212131.12005950187</v>
      </c>
      <c r="BX63" s="36">
        <f t="shared" si="66"/>
        <v>212131.12005950187</v>
      </c>
      <c r="BY63" s="36">
        <f t="shared" si="66"/>
        <v>212131.12005950187</v>
      </c>
      <c r="BZ63" s="36">
        <f t="shared" si="66"/>
        <v>212131.12005950187</v>
      </c>
      <c r="CA63" s="36">
        <f t="shared" si="66"/>
        <v>217434.39806098939</v>
      </c>
      <c r="CB63" s="36">
        <f t="shared" si="66"/>
        <v>217434.39806098939</v>
      </c>
      <c r="CC63" s="36">
        <f t="shared" si="66"/>
        <v>217434.39806098939</v>
      </c>
      <c r="CD63" s="36">
        <f t="shared" si="66"/>
        <v>217434.39806098939</v>
      </c>
      <c r="CE63" s="36">
        <f t="shared" si="66"/>
        <v>217434.39806098939</v>
      </c>
      <c r="CF63" s="36">
        <f t="shared" si="66"/>
        <v>217434.39806098939</v>
      </c>
      <c r="CG63" s="36">
        <f t="shared" si="66"/>
        <v>217434.39806098939</v>
      </c>
      <c r="CH63" s="36">
        <f t="shared" si="66"/>
        <v>217434.39806098939</v>
      </c>
      <c r="CI63" s="36">
        <f t="shared" si="66"/>
        <v>217434.39806098939</v>
      </c>
      <c r="CJ63" s="36">
        <f t="shared" si="66"/>
        <v>217434.39806098939</v>
      </c>
      <c r="CK63" s="36">
        <f t="shared" si="66"/>
        <v>217434.39806098939</v>
      </c>
      <c r="CL63" s="36">
        <f t="shared" si="66"/>
        <v>217434.39806098939</v>
      </c>
      <c r="CM63" s="36">
        <f t="shared" si="66"/>
        <v>222870.2580125141</v>
      </c>
      <c r="CN63" s="36">
        <f t="shared" si="66"/>
        <v>222870.2580125141</v>
      </c>
      <c r="CO63" s="36">
        <f t="shared" si="66"/>
        <v>222870.2580125141</v>
      </c>
      <c r="CP63" s="36">
        <f t="shared" si="66"/>
        <v>222870.2580125141</v>
      </c>
      <c r="CQ63" s="36">
        <f t="shared" si="66"/>
        <v>222870.2580125141</v>
      </c>
      <c r="CR63" s="36">
        <f t="shared" si="66"/>
        <v>222870.2580125141</v>
      </c>
      <c r="CS63" s="36">
        <f t="shared" si="66"/>
        <v>222870.2580125141</v>
      </c>
      <c r="CT63" s="36">
        <f t="shared" si="66"/>
        <v>222870.2580125141</v>
      </c>
      <c r="CU63" s="36">
        <f t="shared" si="66"/>
        <v>222870.2580125141</v>
      </c>
      <c r="CV63" s="36">
        <f t="shared" si="66"/>
        <v>222870.2580125141</v>
      </c>
      <c r="CW63" s="36">
        <f t="shared" si="66"/>
        <v>222870.2580125141</v>
      </c>
      <c r="CX63" s="36">
        <f t="shared" si="66"/>
        <v>222870.2580125141</v>
      </c>
      <c r="CY63" s="36">
        <f t="shared" si="65"/>
        <v>228442.01446282692</v>
      </c>
      <c r="CZ63" s="36">
        <f t="shared" si="65"/>
        <v>228442.01446282692</v>
      </c>
      <c r="DA63" s="36">
        <f t="shared" si="65"/>
        <v>228442.01446282692</v>
      </c>
      <c r="DB63" s="36">
        <f t="shared" si="65"/>
        <v>228442.01446282692</v>
      </c>
      <c r="DC63" s="36">
        <f t="shared" si="65"/>
        <v>228442.01446282692</v>
      </c>
      <c r="DD63" s="36">
        <f t="shared" si="65"/>
        <v>228442.01446282692</v>
      </c>
      <c r="DE63" s="36">
        <f t="shared" si="65"/>
        <v>228442.01446282692</v>
      </c>
      <c r="DF63" s="36">
        <f t="shared" si="65"/>
        <v>228442.01446282692</v>
      </c>
      <c r="DG63" s="36">
        <f t="shared" si="65"/>
        <v>228442.01446282692</v>
      </c>
      <c r="DH63" s="36">
        <f t="shared" si="65"/>
        <v>228442.01446282692</v>
      </c>
      <c r="DI63" s="36">
        <f t="shared" si="65"/>
        <v>228442.01446282692</v>
      </c>
      <c r="DJ63" s="36">
        <f t="shared" si="65"/>
        <v>228442.01446282692</v>
      </c>
      <c r="DK63" s="36">
        <f t="shared" si="65"/>
        <v>234153.06482439756</v>
      </c>
      <c r="DL63" s="36">
        <f t="shared" si="65"/>
        <v>234153.06482439756</v>
      </c>
      <c r="DM63" s="36">
        <f t="shared" si="65"/>
        <v>234153.06482439756</v>
      </c>
      <c r="DN63" s="36">
        <f t="shared" si="65"/>
        <v>234153.06482439756</v>
      </c>
      <c r="DO63" s="36">
        <f t="shared" si="65"/>
        <v>234153.06482439756</v>
      </c>
      <c r="DP63" s="36">
        <f t="shared" si="65"/>
        <v>234153.06482439756</v>
      </c>
      <c r="DQ63" s="36">
        <f t="shared" si="65"/>
        <v>234153.06482439756</v>
      </c>
      <c r="DR63" s="36">
        <f t="shared" si="65"/>
        <v>234153.06482439756</v>
      </c>
      <c r="DS63" s="36">
        <f t="shared" si="65"/>
        <v>234153.06482439756</v>
      </c>
      <c r="DT63" s="36">
        <f t="shared" si="65"/>
        <v>234153.06482439756</v>
      </c>
      <c r="DU63" s="36">
        <f t="shared" si="65"/>
        <v>234153.06482439756</v>
      </c>
      <c r="DV63" s="36">
        <f t="shared" si="65"/>
        <v>234153.06482439756</v>
      </c>
    </row>
    <row r="64" spans="2:126" outlineLevel="1">
      <c r="B64" s="3" t="str">
        <f t="shared" si="60"/>
        <v>Property N</v>
      </c>
      <c r="C64" s="43">
        <f>CaseData!C23</f>
        <v>194480</v>
      </c>
      <c r="D64" s="2"/>
      <c r="E64" s="35" t="s">
        <v>0</v>
      </c>
      <c r="F64" s="35"/>
      <c r="G64" s="36">
        <f t="shared" ref="G64:BR65" si="68">$C64*G$211*IF(G187=0,0,1)</f>
        <v>0</v>
      </c>
      <c r="H64" s="36">
        <f t="shared" si="68"/>
        <v>0</v>
      </c>
      <c r="I64" s="36">
        <f t="shared" si="68"/>
        <v>0</v>
      </c>
      <c r="J64" s="36">
        <f t="shared" si="68"/>
        <v>0</v>
      </c>
      <c r="K64" s="36">
        <f t="shared" si="68"/>
        <v>0</v>
      </c>
      <c r="L64" s="36">
        <f t="shared" si="68"/>
        <v>0</v>
      </c>
      <c r="M64" s="36">
        <f t="shared" si="68"/>
        <v>0</v>
      </c>
      <c r="N64" s="36">
        <f t="shared" si="68"/>
        <v>0</v>
      </c>
      <c r="O64" s="36">
        <f t="shared" si="68"/>
        <v>0</v>
      </c>
      <c r="P64" s="36">
        <f t="shared" si="68"/>
        <v>0</v>
      </c>
      <c r="Q64" s="36">
        <f t="shared" si="68"/>
        <v>0</v>
      </c>
      <c r="R64" s="36">
        <f t="shared" si="68"/>
        <v>0</v>
      </c>
      <c r="S64" s="36">
        <f t="shared" si="68"/>
        <v>0</v>
      </c>
      <c r="T64" s="36">
        <f t="shared" si="68"/>
        <v>0</v>
      </c>
      <c r="U64" s="36">
        <f t="shared" si="68"/>
        <v>0</v>
      </c>
      <c r="V64" s="36">
        <f t="shared" si="68"/>
        <v>0</v>
      </c>
      <c r="W64" s="36">
        <f t="shared" si="68"/>
        <v>0</v>
      </c>
      <c r="X64" s="36">
        <f t="shared" si="68"/>
        <v>0</v>
      </c>
      <c r="Y64" s="36">
        <f t="shared" si="68"/>
        <v>0</v>
      </c>
      <c r="Z64" s="36">
        <f t="shared" si="68"/>
        <v>0</v>
      </c>
      <c r="AA64" s="36">
        <f t="shared" si="68"/>
        <v>0</v>
      </c>
      <c r="AB64" s="36">
        <f t="shared" si="68"/>
        <v>0</v>
      </c>
      <c r="AC64" s="36">
        <f t="shared" si="68"/>
        <v>0</v>
      </c>
      <c r="AD64" s="36">
        <f t="shared" si="68"/>
        <v>0</v>
      </c>
      <c r="AE64" s="36">
        <f t="shared" si="68"/>
        <v>0</v>
      </c>
      <c r="AF64" s="36">
        <f t="shared" si="68"/>
        <v>0</v>
      </c>
      <c r="AG64" s="36">
        <f t="shared" si="68"/>
        <v>0</v>
      </c>
      <c r="AH64" s="36">
        <f t="shared" si="68"/>
        <v>0</v>
      </c>
      <c r="AI64" s="36">
        <f t="shared" si="68"/>
        <v>0</v>
      </c>
      <c r="AJ64" s="36">
        <f t="shared" si="68"/>
        <v>0</v>
      </c>
      <c r="AK64" s="36">
        <f t="shared" si="68"/>
        <v>0</v>
      </c>
      <c r="AL64" s="36">
        <f t="shared" si="68"/>
        <v>0</v>
      </c>
      <c r="AM64" s="36">
        <f t="shared" si="68"/>
        <v>0</v>
      </c>
      <c r="AN64" s="36">
        <f t="shared" si="68"/>
        <v>0</v>
      </c>
      <c r="AO64" s="36">
        <f t="shared" si="68"/>
        <v>0</v>
      </c>
      <c r="AP64" s="36">
        <f t="shared" si="68"/>
        <v>0</v>
      </c>
      <c r="AQ64" s="36">
        <f t="shared" si="68"/>
        <v>0</v>
      </c>
      <c r="AR64" s="36">
        <f t="shared" si="68"/>
        <v>0</v>
      </c>
      <c r="AS64" s="36">
        <f t="shared" si="68"/>
        <v>0</v>
      </c>
      <c r="AT64" s="36">
        <f t="shared" si="68"/>
        <v>0</v>
      </c>
      <c r="AU64" s="36">
        <f t="shared" si="68"/>
        <v>0</v>
      </c>
      <c r="AV64" s="36">
        <f t="shared" si="68"/>
        <v>0</v>
      </c>
      <c r="AW64" s="36">
        <f t="shared" si="68"/>
        <v>0</v>
      </c>
      <c r="AX64" s="36">
        <f t="shared" si="68"/>
        <v>0</v>
      </c>
      <c r="AY64" s="36">
        <f t="shared" si="68"/>
        <v>0</v>
      </c>
      <c r="AZ64" s="36">
        <f t="shared" si="68"/>
        <v>0</v>
      </c>
      <c r="BA64" s="36">
        <f t="shared" si="68"/>
        <v>0</v>
      </c>
      <c r="BB64" s="36">
        <f t="shared" si="68"/>
        <v>0</v>
      </c>
      <c r="BC64" s="36">
        <f t="shared" si="68"/>
        <v>0</v>
      </c>
      <c r="BD64" s="36">
        <f t="shared" si="68"/>
        <v>0</v>
      </c>
      <c r="BE64" s="36">
        <f t="shared" si="68"/>
        <v>0</v>
      </c>
      <c r="BF64" s="36">
        <f t="shared" si="68"/>
        <v>0</v>
      </c>
      <c r="BG64" s="36">
        <f t="shared" si="68"/>
        <v>0</v>
      </c>
      <c r="BH64" s="36">
        <f t="shared" si="68"/>
        <v>0</v>
      </c>
      <c r="BI64" s="36">
        <f t="shared" si="68"/>
        <v>0</v>
      </c>
      <c r="BJ64" s="36">
        <f t="shared" si="68"/>
        <v>0</v>
      </c>
      <c r="BK64" s="36">
        <f t="shared" si="68"/>
        <v>0</v>
      </c>
      <c r="BL64" s="36">
        <f t="shared" si="68"/>
        <v>0</v>
      </c>
      <c r="BM64" s="36">
        <f t="shared" si="68"/>
        <v>0</v>
      </c>
      <c r="BN64" s="36">
        <f t="shared" si="68"/>
        <v>0</v>
      </c>
      <c r="BO64" s="36">
        <f t="shared" si="68"/>
        <v>0</v>
      </c>
      <c r="BP64" s="36">
        <f t="shared" si="68"/>
        <v>0</v>
      </c>
      <c r="BQ64" s="36">
        <f t="shared" si="68"/>
        <v>0</v>
      </c>
      <c r="BR64" s="36">
        <f t="shared" si="68"/>
        <v>225537.17597404288</v>
      </c>
      <c r="BS64" s="36">
        <f t="shared" si="66"/>
        <v>225537.17597404288</v>
      </c>
      <c r="BT64" s="36">
        <f t="shared" si="66"/>
        <v>225537.17597404288</v>
      </c>
      <c r="BU64" s="36">
        <f t="shared" si="66"/>
        <v>225537.17597404288</v>
      </c>
      <c r="BV64" s="36">
        <f t="shared" si="66"/>
        <v>225537.17597404288</v>
      </c>
      <c r="BW64" s="36">
        <f t="shared" si="66"/>
        <v>225537.17597404288</v>
      </c>
      <c r="BX64" s="36">
        <f t="shared" si="66"/>
        <v>225537.17597404288</v>
      </c>
      <c r="BY64" s="36">
        <f t="shared" si="66"/>
        <v>225537.17597404288</v>
      </c>
      <c r="BZ64" s="36">
        <f t="shared" si="66"/>
        <v>225537.17597404288</v>
      </c>
      <c r="CA64" s="36">
        <f t="shared" si="66"/>
        <v>231175.60537339392</v>
      </c>
      <c r="CB64" s="36">
        <f t="shared" si="66"/>
        <v>231175.60537339392</v>
      </c>
      <c r="CC64" s="36">
        <f t="shared" si="66"/>
        <v>231175.60537339392</v>
      </c>
      <c r="CD64" s="36">
        <f t="shared" si="66"/>
        <v>231175.60537339392</v>
      </c>
      <c r="CE64" s="36">
        <f t="shared" si="66"/>
        <v>231175.60537339392</v>
      </c>
      <c r="CF64" s="36">
        <f t="shared" si="66"/>
        <v>231175.60537339392</v>
      </c>
      <c r="CG64" s="36">
        <f t="shared" si="66"/>
        <v>231175.60537339392</v>
      </c>
      <c r="CH64" s="36">
        <f t="shared" si="66"/>
        <v>231175.60537339392</v>
      </c>
      <c r="CI64" s="36">
        <f t="shared" si="66"/>
        <v>231175.60537339392</v>
      </c>
      <c r="CJ64" s="36">
        <f t="shared" si="66"/>
        <v>231175.60537339392</v>
      </c>
      <c r="CK64" s="36">
        <f t="shared" si="66"/>
        <v>231175.60537339392</v>
      </c>
      <c r="CL64" s="36">
        <f t="shared" si="66"/>
        <v>231175.60537339392</v>
      </c>
      <c r="CM64" s="36">
        <f t="shared" si="66"/>
        <v>236954.99550772874</v>
      </c>
      <c r="CN64" s="36">
        <f t="shared" si="66"/>
        <v>236954.99550772874</v>
      </c>
      <c r="CO64" s="36">
        <f t="shared" si="66"/>
        <v>236954.99550772874</v>
      </c>
      <c r="CP64" s="36">
        <f t="shared" si="66"/>
        <v>236954.99550772874</v>
      </c>
      <c r="CQ64" s="36">
        <f t="shared" si="66"/>
        <v>236954.99550772874</v>
      </c>
      <c r="CR64" s="36">
        <f t="shared" si="66"/>
        <v>236954.99550772874</v>
      </c>
      <c r="CS64" s="36">
        <f t="shared" si="66"/>
        <v>236954.99550772874</v>
      </c>
      <c r="CT64" s="36">
        <f t="shared" si="66"/>
        <v>236954.99550772874</v>
      </c>
      <c r="CU64" s="36">
        <f t="shared" si="66"/>
        <v>236954.99550772874</v>
      </c>
      <c r="CV64" s="36">
        <f t="shared" si="66"/>
        <v>236954.99550772874</v>
      </c>
      <c r="CW64" s="36">
        <f t="shared" si="66"/>
        <v>236954.99550772874</v>
      </c>
      <c r="CX64" s="36">
        <f t="shared" si="66"/>
        <v>236954.99550772874</v>
      </c>
      <c r="CY64" s="36">
        <f t="shared" si="65"/>
        <v>242878.87039542192</v>
      </c>
      <c r="CZ64" s="36">
        <f t="shared" si="65"/>
        <v>242878.87039542192</v>
      </c>
      <c r="DA64" s="36">
        <f t="shared" si="65"/>
        <v>242878.87039542192</v>
      </c>
      <c r="DB64" s="36">
        <f t="shared" si="65"/>
        <v>242878.87039542192</v>
      </c>
      <c r="DC64" s="36">
        <f t="shared" si="65"/>
        <v>242878.87039542192</v>
      </c>
      <c r="DD64" s="36">
        <f t="shared" si="65"/>
        <v>242878.87039542192</v>
      </c>
      <c r="DE64" s="36">
        <f t="shared" si="65"/>
        <v>242878.87039542192</v>
      </c>
      <c r="DF64" s="36">
        <f t="shared" si="65"/>
        <v>242878.87039542192</v>
      </c>
      <c r="DG64" s="36">
        <f t="shared" si="65"/>
        <v>242878.87039542192</v>
      </c>
      <c r="DH64" s="36">
        <f t="shared" si="65"/>
        <v>242878.87039542192</v>
      </c>
      <c r="DI64" s="36">
        <f t="shared" si="65"/>
        <v>242878.87039542192</v>
      </c>
      <c r="DJ64" s="36">
        <f t="shared" si="65"/>
        <v>242878.87039542192</v>
      </c>
      <c r="DK64" s="36">
        <f t="shared" si="65"/>
        <v>248950.84215530744</v>
      </c>
      <c r="DL64" s="36">
        <f t="shared" si="65"/>
        <v>248950.84215530744</v>
      </c>
      <c r="DM64" s="36">
        <f t="shared" si="65"/>
        <v>248950.84215530744</v>
      </c>
      <c r="DN64" s="36">
        <f t="shared" si="65"/>
        <v>248950.84215530744</v>
      </c>
      <c r="DO64" s="36">
        <f t="shared" si="65"/>
        <v>248950.84215530744</v>
      </c>
      <c r="DP64" s="36">
        <f t="shared" si="65"/>
        <v>248950.84215530744</v>
      </c>
      <c r="DQ64" s="36">
        <f t="shared" si="65"/>
        <v>248950.84215530744</v>
      </c>
      <c r="DR64" s="36">
        <f t="shared" si="65"/>
        <v>248950.84215530744</v>
      </c>
      <c r="DS64" s="36">
        <f t="shared" si="65"/>
        <v>248950.84215530744</v>
      </c>
      <c r="DT64" s="36">
        <f t="shared" si="65"/>
        <v>248950.84215530744</v>
      </c>
      <c r="DU64" s="36">
        <f t="shared" si="65"/>
        <v>248950.84215530744</v>
      </c>
      <c r="DV64" s="36">
        <f t="shared" si="65"/>
        <v>248950.84215530744</v>
      </c>
    </row>
    <row r="65" spans="2:126" outlineLevel="1">
      <c r="B65" s="3" t="str">
        <f t="shared" si="60"/>
        <v>Property O</v>
      </c>
      <c r="C65" s="43">
        <f>CaseData!C24</f>
        <v>238080</v>
      </c>
      <c r="D65" s="2"/>
      <c r="E65" s="35" t="s">
        <v>0</v>
      </c>
      <c r="F65" s="35"/>
      <c r="G65" s="36">
        <f t="shared" si="68"/>
        <v>0</v>
      </c>
      <c r="H65" s="36">
        <f t="shared" si="68"/>
        <v>0</v>
      </c>
      <c r="I65" s="36">
        <f t="shared" si="68"/>
        <v>0</v>
      </c>
      <c r="J65" s="36">
        <f t="shared" si="68"/>
        <v>0</v>
      </c>
      <c r="K65" s="36">
        <f t="shared" si="68"/>
        <v>0</v>
      </c>
      <c r="L65" s="36">
        <f t="shared" si="68"/>
        <v>0</v>
      </c>
      <c r="M65" s="36">
        <f t="shared" si="68"/>
        <v>0</v>
      </c>
      <c r="N65" s="36">
        <f t="shared" si="68"/>
        <v>0</v>
      </c>
      <c r="O65" s="36">
        <f t="shared" si="68"/>
        <v>0</v>
      </c>
      <c r="P65" s="36">
        <f t="shared" si="68"/>
        <v>0</v>
      </c>
      <c r="Q65" s="36">
        <f t="shared" si="68"/>
        <v>0</v>
      </c>
      <c r="R65" s="36">
        <f t="shared" si="68"/>
        <v>0</v>
      </c>
      <c r="S65" s="36">
        <f t="shared" si="68"/>
        <v>0</v>
      </c>
      <c r="T65" s="36">
        <f t="shared" si="68"/>
        <v>0</v>
      </c>
      <c r="U65" s="36">
        <f t="shared" si="68"/>
        <v>0</v>
      </c>
      <c r="V65" s="36">
        <f t="shared" si="68"/>
        <v>0</v>
      </c>
      <c r="W65" s="36">
        <f t="shared" si="68"/>
        <v>0</v>
      </c>
      <c r="X65" s="36">
        <f t="shared" si="68"/>
        <v>0</v>
      </c>
      <c r="Y65" s="36">
        <f t="shared" si="68"/>
        <v>0</v>
      </c>
      <c r="Z65" s="36">
        <f t="shared" si="68"/>
        <v>0</v>
      </c>
      <c r="AA65" s="36">
        <f t="shared" si="68"/>
        <v>0</v>
      </c>
      <c r="AB65" s="36">
        <f t="shared" si="68"/>
        <v>0</v>
      </c>
      <c r="AC65" s="36">
        <f t="shared" si="68"/>
        <v>0</v>
      </c>
      <c r="AD65" s="36">
        <f t="shared" si="68"/>
        <v>0</v>
      </c>
      <c r="AE65" s="36">
        <f t="shared" si="68"/>
        <v>0</v>
      </c>
      <c r="AF65" s="36">
        <f t="shared" si="68"/>
        <v>0</v>
      </c>
      <c r="AG65" s="36">
        <f t="shared" si="68"/>
        <v>0</v>
      </c>
      <c r="AH65" s="36">
        <f t="shared" si="68"/>
        <v>0</v>
      </c>
      <c r="AI65" s="36">
        <f t="shared" si="68"/>
        <v>0</v>
      </c>
      <c r="AJ65" s="36">
        <f t="shared" si="68"/>
        <v>0</v>
      </c>
      <c r="AK65" s="36">
        <f t="shared" si="68"/>
        <v>0</v>
      </c>
      <c r="AL65" s="36">
        <f t="shared" si="68"/>
        <v>0</v>
      </c>
      <c r="AM65" s="36">
        <f t="shared" si="68"/>
        <v>0</v>
      </c>
      <c r="AN65" s="36">
        <f t="shared" si="68"/>
        <v>0</v>
      </c>
      <c r="AO65" s="36">
        <f t="shared" si="68"/>
        <v>0</v>
      </c>
      <c r="AP65" s="36">
        <f t="shared" si="68"/>
        <v>0</v>
      </c>
      <c r="AQ65" s="36">
        <f t="shared" si="68"/>
        <v>0</v>
      </c>
      <c r="AR65" s="36">
        <f t="shared" si="68"/>
        <v>0</v>
      </c>
      <c r="AS65" s="36">
        <f t="shared" si="68"/>
        <v>0</v>
      </c>
      <c r="AT65" s="36">
        <f t="shared" si="68"/>
        <v>0</v>
      </c>
      <c r="AU65" s="36">
        <f t="shared" si="68"/>
        <v>0</v>
      </c>
      <c r="AV65" s="36">
        <f t="shared" si="68"/>
        <v>0</v>
      </c>
      <c r="AW65" s="36">
        <f t="shared" si="68"/>
        <v>0</v>
      </c>
      <c r="AX65" s="36">
        <f t="shared" si="68"/>
        <v>0</v>
      </c>
      <c r="AY65" s="36">
        <f t="shared" si="68"/>
        <v>0</v>
      </c>
      <c r="AZ65" s="36">
        <f t="shared" si="68"/>
        <v>0</v>
      </c>
      <c r="BA65" s="36">
        <f t="shared" si="68"/>
        <v>0</v>
      </c>
      <c r="BB65" s="36">
        <f t="shared" si="68"/>
        <v>0</v>
      </c>
      <c r="BC65" s="36">
        <f t="shared" si="68"/>
        <v>0</v>
      </c>
      <c r="BD65" s="36">
        <f t="shared" si="68"/>
        <v>0</v>
      </c>
      <c r="BE65" s="36">
        <f t="shared" si="68"/>
        <v>0</v>
      </c>
      <c r="BF65" s="36">
        <f t="shared" si="68"/>
        <v>0</v>
      </c>
      <c r="BG65" s="36">
        <f t="shared" si="68"/>
        <v>0</v>
      </c>
      <c r="BH65" s="36">
        <f t="shared" si="68"/>
        <v>0</v>
      </c>
      <c r="BI65" s="36">
        <f t="shared" si="68"/>
        <v>0</v>
      </c>
      <c r="BJ65" s="36">
        <f t="shared" si="68"/>
        <v>0</v>
      </c>
      <c r="BK65" s="36">
        <f t="shared" si="68"/>
        <v>0</v>
      </c>
      <c r="BL65" s="36">
        <f t="shared" si="68"/>
        <v>0</v>
      </c>
      <c r="BM65" s="36">
        <f t="shared" si="68"/>
        <v>0</v>
      </c>
      <c r="BN65" s="36">
        <f t="shared" si="68"/>
        <v>0</v>
      </c>
      <c r="BO65" s="36">
        <f t="shared" si="68"/>
        <v>0</v>
      </c>
      <c r="BP65" s="36">
        <f t="shared" si="68"/>
        <v>0</v>
      </c>
      <c r="BQ65" s="36">
        <f t="shared" si="68"/>
        <v>0</v>
      </c>
      <c r="BR65" s="36">
        <f t="shared" si="68"/>
        <v>0</v>
      </c>
      <c r="BS65" s="36">
        <f t="shared" si="66"/>
        <v>0</v>
      </c>
      <c r="BT65" s="36">
        <f t="shared" si="66"/>
        <v>0</v>
      </c>
      <c r="BU65" s="36">
        <f t="shared" si="66"/>
        <v>0</v>
      </c>
      <c r="BV65" s="36">
        <f t="shared" si="66"/>
        <v>0</v>
      </c>
      <c r="BW65" s="36">
        <f t="shared" si="66"/>
        <v>0</v>
      </c>
      <c r="BX65" s="36">
        <f t="shared" si="66"/>
        <v>0</v>
      </c>
      <c r="BY65" s="36">
        <f t="shared" si="66"/>
        <v>0</v>
      </c>
      <c r="BZ65" s="36">
        <f t="shared" si="66"/>
        <v>276099.80900812487</v>
      </c>
      <c r="CA65" s="36">
        <f t="shared" si="66"/>
        <v>283002.30423332797</v>
      </c>
      <c r="CB65" s="36">
        <f t="shared" si="66"/>
        <v>283002.30423332797</v>
      </c>
      <c r="CC65" s="36">
        <f t="shared" si="66"/>
        <v>283002.30423332797</v>
      </c>
      <c r="CD65" s="36">
        <f t="shared" si="66"/>
        <v>283002.30423332797</v>
      </c>
      <c r="CE65" s="36">
        <f t="shared" si="66"/>
        <v>283002.30423332797</v>
      </c>
      <c r="CF65" s="36">
        <f t="shared" si="66"/>
        <v>283002.30423332797</v>
      </c>
      <c r="CG65" s="36">
        <f t="shared" si="66"/>
        <v>283002.30423332797</v>
      </c>
      <c r="CH65" s="36">
        <f t="shared" si="66"/>
        <v>283002.30423332797</v>
      </c>
      <c r="CI65" s="36">
        <f t="shared" si="66"/>
        <v>283002.30423332797</v>
      </c>
      <c r="CJ65" s="36">
        <f t="shared" si="66"/>
        <v>283002.30423332797</v>
      </c>
      <c r="CK65" s="36">
        <f t="shared" si="66"/>
        <v>283002.30423332797</v>
      </c>
      <c r="CL65" s="36">
        <f t="shared" si="66"/>
        <v>283002.30423332797</v>
      </c>
      <c r="CM65" s="36">
        <f t="shared" si="66"/>
        <v>290077.36183916114</v>
      </c>
      <c r="CN65" s="36">
        <f t="shared" si="66"/>
        <v>290077.36183916114</v>
      </c>
      <c r="CO65" s="36">
        <f t="shared" si="66"/>
        <v>290077.36183916114</v>
      </c>
      <c r="CP65" s="36">
        <f t="shared" si="66"/>
        <v>290077.36183916114</v>
      </c>
      <c r="CQ65" s="36">
        <f t="shared" si="66"/>
        <v>290077.36183916114</v>
      </c>
      <c r="CR65" s="36">
        <f t="shared" si="66"/>
        <v>290077.36183916114</v>
      </c>
      <c r="CS65" s="36">
        <f t="shared" si="66"/>
        <v>290077.36183916114</v>
      </c>
      <c r="CT65" s="36">
        <f t="shared" si="66"/>
        <v>290077.36183916114</v>
      </c>
      <c r="CU65" s="36">
        <f t="shared" si="66"/>
        <v>290077.36183916114</v>
      </c>
      <c r="CV65" s="36">
        <f t="shared" si="66"/>
        <v>290077.36183916114</v>
      </c>
      <c r="CW65" s="36">
        <f t="shared" si="66"/>
        <v>290077.36183916114</v>
      </c>
      <c r="CX65" s="36">
        <f t="shared" si="66"/>
        <v>290077.36183916114</v>
      </c>
      <c r="CY65" s="36">
        <f t="shared" si="65"/>
        <v>297329.29588514013</v>
      </c>
      <c r="CZ65" s="36">
        <f t="shared" si="65"/>
        <v>297329.29588514013</v>
      </c>
      <c r="DA65" s="36">
        <f t="shared" si="65"/>
        <v>297329.29588514013</v>
      </c>
      <c r="DB65" s="36">
        <f t="shared" si="65"/>
        <v>297329.29588514013</v>
      </c>
      <c r="DC65" s="36">
        <f t="shared" si="65"/>
        <v>297329.29588514013</v>
      </c>
      <c r="DD65" s="36">
        <f t="shared" si="65"/>
        <v>297329.29588514013</v>
      </c>
      <c r="DE65" s="36">
        <f t="shared" si="65"/>
        <v>297329.29588514013</v>
      </c>
      <c r="DF65" s="36">
        <f t="shared" si="65"/>
        <v>297329.29588514013</v>
      </c>
      <c r="DG65" s="36">
        <f t="shared" si="65"/>
        <v>297329.29588514013</v>
      </c>
      <c r="DH65" s="36">
        <f t="shared" si="65"/>
        <v>297329.29588514013</v>
      </c>
      <c r="DI65" s="36">
        <f t="shared" si="65"/>
        <v>297329.29588514013</v>
      </c>
      <c r="DJ65" s="36">
        <f t="shared" si="65"/>
        <v>297329.29588514013</v>
      </c>
      <c r="DK65" s="36">
        <f t="shared" si="65"/>
        <v>304762.52828226861</v>
      </c>
      <c r="DL65" s="36">
        <f t="shared" si="65"/>
        <v>304762.52828226861</v>
      </c>
      <c r="DM65" s="36">
        <f t="shared" si="65"/>
        <v>304762.52828226861</v>
      </c>
      <c r="DN65" s="36">
        <f t="shared" si="65"/>
        <v>304762.52828226861</v>
      </c>
      <c r="DO65" s="36">
        <f t="shared" si="65"/>
        <v>304762.52828226861</v>
      </c>
      <c r="DP65" s="36">
        <f t="shared" si="65"/>
        <v>304762.52828226861</v>
      </c>
      <c r="DQ65" s="36">
        <f t="shared" si="65"/>
        <v>304762.52828226861</v>
      </c>
      <c r="DR65" s="36">
        <f t="shared" si="65"/>
        <v>304762.52828226861</v>
      </c>
      <c r="DS65" s="36">
        <f t="shared" si="65"/>
        <v>304762.52828226861</v>
      </c>
      <c r="DT65" s="36">
        <f t="shared" si="65"/>
        <v>304762.52828226861</v>
      </c>
      <c r="DU65" s="36">
        <f t="shared" si="65"/>
        <v>304762.52828226861</v>
      </c>
      <c r="DV65" s="36">
        <f t="shared" si="65"/>
        <v>304762.52828226861</v>
      </c>
    </row>
    <row r="66" spans="2:126" outlineLevel="1">
      <c r="B66" s="3"/>
      <c r="C66" s="2"/>
      <c r="D66" s="2"/>
      <c r="E66" s="35"/>
      <c r="F66" s="35"/>
      <c r="G66" s="2"/>
      <c r="H66" s="2"/>
      <c r="I66" s="3"/>
      <c r="J66" s="3"/>
      <c r="K66" s="2"/>
    </row>
    <row r="67" spans="2:126" outlineLevel="1">
      <c r="B67" s="3"/>
      <c r="C67" s="2"/>
      <c r="D67" s="2"/>
      <c r="E67" s="35"/>
      <c r="F67" s="35"/>
      <c r="G67" s="2"/>
      <c r="H67" s="2"/>
      <c r="I67" s="3"/>
      <c r="J67" s="3"/>
      <c r="K67" s="2"/>
    </row>
    <row r="68" spans="2:126">
      <c r="B68" s="1" t="s">
        <v>65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</row>
    <row r="69" spans="2:126" outlineLevel="1">
      <c r="B69" s="3"/>
      <c r="C69" s="2"/>
      <c r="D69" s="2"/>
      <c r="E69" s="35"/>
      <c r="F69" s="35"/>
      <c r="G69" s="2"/>
      <c r="H69" s="2"/>
      <c r="I69" s="3"/>
      <c r="J69" s="3"/>
      <c r="K69" s="2"/>
    </row>
    <row r="70" spans="2:126" ht="14.4" outlineLevel="1" thickBot="1">
      <c r="B70" s="5" t="s">
        <v>54</v>
      </c>
      <c r="C70" s="46">
        <f>CaseData!L7</f>
        <v>0.02</v>
      </c>
      <c r="D70" s="5"/>
      <c r="E70" s="33" t="s">
        <v>0</v>
      </c>
      <c r="F70" s="33"/>
      <c r="G70" s="34">
        <f>$C70*G72</f>
        <v>67536</v>
      </c>
      <c r="H70" s="34">
        <f t="shared" ref="H70:BS70" si="69">$C70*H72</f>
        <v>67536</v>
      </c>
      <c r="I70" s="34">
        <f t="shared" si="69"/>
        <v>67536</v>
      </c>
      <c r="J70" s="34">
        <f t="shared" si="69"/>
        <v>67536</v>
      </c>
      <c r="K70" s="34">
        <f t="shared" si="69"/>
        <v>67536</v>
      </c>
      <c r="L70" s="34">
        <f t="shared" si="69"/>
        <v>67536</v>
      </c>
      <c r="M70" s="34">
        <f t="shared" si="69"/>
        <v>67536</v>
      </c>
      <c r="N70" s="34">
        <f t="shared" si="69"/>
        <v>67536</v>
      </c>
      <c r="O70" s="34">
        <f t="shared" si="69"/>
        <v>67536</v>
      </c>
      <c r="P70" s="34">
        <f t="shared" si="69"/>
        <v>67536</v>
      </c>
      <c r="Q70" s="34">
        <f t="shared" si="69"/>
        <v>67536</v>
      </c>
      <c r="R70" s="34">
        <f t="shared" si="69"/>
        <v>67536</v>
      </c>
      <c r="S70" s="34">
        <f t="shared" si="69"/>
        <v>70575.12</v>
      </c>
      <c r="T70" s="34">
        <f t="shared" si="69"/>
        <v>70575.12</v>
      </c>
      <c r="U70" s="34">
        <f t="shared" si="69"/>
        <v>70575.12</v>
      </c>
      <c r="V70" s="34">
        <f t="shared" si="69"/>
        <v>70575.12</v>
      </c>
      <c r="W70" s="34">
        <f t="shared" si="69"/>
        <v>70575.12</v>
      </c>
      <c r="X70" s="34">
        <f t="shared" si="69"/>
        <v>70575.12</v>
      </c>
      <c r="Y70" s="34">
        <f t="shared" si="69"/>
        <v>70575.12</v>
      </c>
      <c r="Z70" s="34">
        <f t="shared" si="69"/>
        <v>80274.81</v>
      </c>
      <c r="AA70" s="34">
        <f t="shared" si="69"/>
        <v>88679.744999999995</v>
      </c>
      <c r="AB70" s="34">
        <f t="shared" si="69"/>
        <v>88679.744999999995</v>
      </c>
      <c r="AC70" s="34">
        <f t="shared" si="69"/>
        <v>88679.744999999995</v>
      </c>
      <c r="AD70" s="34">
        <f t="shared" si="69"/>
        <v>88679.744999999995</v>
      </c>
      <c r="AE70" s="34">
        <f t="shared" si="69"/>
        <v>92226.934800000003</v>
      </c>
      <c r="AF70" s="34">
        <f t="shared" si="69"/>
        <v>103569.86640000001</v>
      </c>
      <c r="AG70" s="34">
        <f t="shared" si="69"/>
        <v>103569.86640000001</v>
      </c>
      <c r="AH70" s="34">
        <f t="shared" si="69"/>
        <v>103569.86640000001</v>
      </c>
      <c r="AI70" s="34">
        <f t="shared" si="69"/>
        <v>103569.86640000001</v>
      </c>
      <c r="AJ70" s="34">
        <f t="shared" si="69"/>
        <v>103569.86640000001</v>
      </c>
      <c r="AK70" s="34">
        <f t="shared" si="69"/>
        <v>103569.86640000001</v>
      </c>
      <c r="AL70" s="34">
        <f t="shared" si="69"/>
        <v>103569.86640000001</v>
      </c>
      <c r="AM70" s="34">
        <f t="shared" si="69"/>
        <v>103569.86640000001</v>
      </c>
      <c r="AN70" s="34">
        <f t="shared" si="69"/>
        <v>125434.10880000002</v>
      </c>
      <c r="AO70" s="34">
        <f t="shared" si="69"/>
        <v>125434.10880000002</v>
      </c>
      <c r="AP70" s="34">
        <f t="shared" si="69"/>
        <v>138945.2064</v>
      </c>
      <c r="AQ70" s="34">
        <f t="shared" si="69"/>
        <v>143808.28862400001</v>
      </c>
      <c r="AR70" s="34">
        <f t="shared" si="69"/>
        <v>143808.28862400001</v>
      </c>
      <c r="AS70" s="34">
        <f t="shared" si="69"/>
        <v>143808.28862400001</v>
      </c>
      <c r="AT70" s="34">
        <f t="shared" si="69"/>
        <v>143808.28862400001</v>
      </c>
      <c r="AU70" s="34">
        <f t="shared" si="69"/>
        <v>143808.28862400001</v>
      </c>
      <c r="AV70" s="34">
        <f t="shared" si="69"/>
        <v>143808.28862400001</v>
      </c>
      <c r="AW70" s="34">
        <f t="shared" si="69"/>
        <v>143808.28862400001</v>
      </c>
      <c r="AX70" s="34">
        <f t="shared" si="69"/>
        <v>143808.28862400001</v>
      </c>
      <c r="AY70" s="34">
        <f t="shared" si="69"/>
        <v>143808.28862400001</v>
      </c>
      <c r="AZ70" s="34">
        <f t="shared" si="69"/>
        <v>143808.28862400001</v>
      </c>
      <c r="BA70" s="34">
        <f t="shared" si="69"/>
        <v>143808.28862400001</v>
      </c>
      <c r="BB70" s="34">
        <f t="shared" si="69"/>
        <v>143808.28862400001</v>
      </c>
      <c r="BC70" s="34">
        <f t="shared" si="69"/>
        <v>148122.53728272</v>
      </c>
      <c r="BD70" s="34">
        <f t="shared" si="69"/>
        <v>148122.53728272</v>
      </c>
      <c r="BE70" s="34">
        <f t="shared" si="69"/>
        <v>179021.94962651999</v>
      </c>
      <c r="BF70" s="34">
        <f t="shared" si="69"/>
        <v>179021.94962651999</v>
      </c>
      <c r="BG70" s="34">
        <f t="shared" si="69"/>
        <v>179021.94962651999</v>
      </c>
      <c r="BH70" s="34">
        <f t="shared" si="69"/>
        <v>179021.94962651999</v>
      </c>
      <c r="BI70" s="34">
        <f t="shared" si="69"/>
        <v>179021.94962651999</v>
      </c>
      <c r="BJ70" s="34">
        <f t="shared" si="69"/>
        <v>179021.94962651999</v>
      </c>
      <c r="BK70" s="34">
        <f t="shared" si="69"/>
        <v>179021.94962651999</v>
      </c>
      <c r="BL70" s="34">
        <f t="shared" si="69"/>
        <v>179021.94962651999</v>
      </c>
      <c r="BM70" s="34">
        <f t="shared" si="69"/>
        <v>179021.94962651999</v>
      </c>
      <c r="BN70" s="34">
        <f t="shared" si="69"/>
        <v>179021.94962651999</v>
      </c>
      <c r="BO70" s="34">
        <f t="shared" si="69"/>
        <v>183497.49836718294</v>
      </c>
      <c r="BP70" s="34">
        <f t="shared" si="69"/>
        <v>183497.49836718294</v>
      </c>
      <c r="BQ70" s="34">
        <f t="shared" si="69"/>
        <v>183497.49836718294</v>
      </c>
      <c r="BR70" s="34">
        <f t="shared" si="69"/>
        <v>202151.49792938094</v>
      </c>
      <c r="BS70" s="34">
        <f t="shared" si="69"/>
        <v>202151.49792938094</v>
      </c>
      <c r="BT70" s="34">
        <f t="shared" ref="BT70:DV70" si="70">$C70*BT72</f>
        <v>202151.49792938094</v>
      </c>
      <c r="BU70" s="34">
        <f t="shared" si="70"/>
        <v>202151.49792938094</v>
      </c>
      <c r="BV70" s="34">
        <f t="shared" si="70"/>
        <v>202151.49792938094</v>
      </c>
      <c r="BW70" s="34">
        <f t="shared" si="70"/>
        <v>202151.49792938094</v>
      </c>
      <c r="BX70" s="34">
        <f t="shared" si="70"/>
        <v>202151.49792938094</v>
      </c>
      <c r="BY70" s="34">
        <f t="shared" si="70"/>
        <v>202151.49792938094</v>
      </c>
      <c r="BZ70" s="34">
        <f t="shared" si="70"/>
        <v>221304.26753334896</v>
      </c>
      <c r="CA70" s="34">
        <f t="shared" si="70"/>
        <v>226836.87422168269</v>
      </c>
      <c r="CB70" s="34">
        <f t="shared" si="70"/>
        <v>226836.87422168269</v>
      </c>
      <c r="CC70" s="34">
        <f t="shared" si="70"/>
        <v>226836.87422168269</v>
      </c>
      <c r="CD70" s="34">
        <f t="shared" si="70"/>
        <v>226836.87422168269</v>
      </c>
      <c r="CE70" s="34">
        <f t="shared" si="70"/>
        <v>226836.87422168269</v>
      </c>
      <c r="CF70" s="34">
        <f t="shared" si="70"/>
        <v>226836.87422168269</v>
      </c>
      <c r="CG70" s="34">
        <f t="shared" si="70"/>
        <v>226836.87422168269</v>
      </c>
      <c r="CH70" s="34">
        <f t="shared" si="70"/>
        <v>226836.87422168269</v>
      </c>
      <c r="CI70" s="34">
        <f t="shared" si="70"/>
        <v>226836.87422168269</v>
      </c>
      <c r="CJ70" s="34">
        <f t="shared" si="70"/>
        <v>226836.87422168269</v>
      </c>
      <c r="CK70" s="34">
        <f t="shared" si="70"/>
        <v>226836.87422168269</v>
      </c>
      <c r="CL70" s="34">
        <f t="shared" si="70"/>
        <v>226836.87422168269</v>
      </c>
      <c r="CM70" s="34">
        <f t="shared" si="70"/>
        <v>232507.79607722469</v>
      </c>
      <c r="CN70" s="34">
        <f t="shared" si="70"/>
        <v>232507.79607722469</v>
      </c>
      <c r="CO70" s="34">
        <f t="shared" si="70"/>
        <v>232507.79607722469</v>
      </c>
      <c r="CP70" s="34">
        <f t="shared" si="70"/>
        <v>232507.79607722469</v>
      </c>
      <c r="CQ70" s="34">
        <f t="shared" si="70"/>
        <v>232507.79607722469</v>
      </c>
      <c r="CR70" s="34">
        <f t="shared" si="70"/>
        <v>232507.79607722469</v>
      </c>
      <c r="CS70" s="34">
        <f t="shared" si="70"/>
        <v>232507.79607722469</v>
      </c>
      <c r="CT70" s="34">
        <f t="shared" si="70"/>
        <v>232507.79607722469</v>
      </c>
      <c r="CU70" s="34">
        <f t="shared" si="70"/>
        <v>232507.79607722469</v>
      </c>
      <c r="CV70" s="34">
        <f t="shared" si="70"/>
        <v>232507.79607722469</v>
      </c>
      <c r="CW70" s="34">
        <f t="shared" si="70"/>
        <v>232507.79607722469</v>
      </c>
      <c r="CX70" s="34">
        <f t="shared" si="70"/>
        <v>232507.79607722469</v>
      </c>
      <c r="CY70" s="34">
        <f t="shared" si="70"/>
        <v>238320.49097915529</v>
      </c>
      <c r="CZ70" s="34">
        <f t="shared" si="70"/>
        <v>238320.49097915529</v>
      </c>
      <c r="DA70" s="34">
        <f t="shared" si="70"/>
        <v>238320.49097915529</v>
      </c>
      <c r="DB70" s="34">
        <f t="shared" si="70"/>
        <v>238320.49097915529</v>
      </c>
      <c r="DC70" s="34">
        <f t="shared" si="70"/>
        <v>238320.49097915529</v>
      </c>
      <c r="DD70" s="34">
        <f t="shared" si="70"/>
        <v>238320.49097915529</v>
      </c>
      <c r="DE70" s="34">
        <f t="shared" si="70"/>
        <v>238320.49097915529</v>
      </c>
      <c r="DF70" s="34">
        <f t="shared" si="70"/>
        <v>238320.49097915529</v>
      </c>
      <c r="DG70" s="34">
        <f t="shared" si="70"/>
        <v>238320.49097915529</v>
      </c>
      <c r="DH70" s="34">
        <f t="shared" si="70"/>
        <v>238320.49097915529</v>
      </c>
      <c r="DI70" s="34">
        <f t="shared" si="70"/>
        <v>238320.49097915529</v>
      </c>
      <c r="DJ70" s="34">
        <f t="shared" si="70"/>
        <v>238320.49097915529</v>
      </c>
      <c r="DK70" s="34">
        <f t="shared" si="70"/>
        <v>244278.50325363418</v>
      </c>
      <c r="DL70" s="34">
        <f t="shared" si="70"/>
        <v>244278.50325363418</v>
      </c>
      <c r="DM70" s="34">
        <f t="shared" si="70"/>
        <v>244278.50325363418</v>
      </c>
      <c r="DN70" s="34">
        <f t="shared" si="70"/>
        <v>244278.50325363418</v>
      </c>
      <c r="DO70" s="34">
        <f t="shared" si="70"/>
        <v>244278.50325363418</v>
      </c>
      <c r="DP70" s="34">
        <f t="shared" si="70"/>
        <v>244278.50325363418</v>
      </c>
      <c r="DQ70" s="34">
        <f t="shared" si="70"/>
        <v>244278.50325363418</v>
      </c>
      <c r="DR70" s="34">
        <f t="shared" si="70"/>
        <v>244278.50325363418</v>
      </c>
      <c r="DS70" s="34">
        <f t="shared" si="70"/>
        <v>244278.50325363418</v>
      </c>
      <c r="DT70" s="34">
        <f t="shared" si="70"/>
        <v>244278.50325363418</v>
      </c>
      <c r="DU70" s="34">
        <f t="shared" si="70"/>
        <v>244278.50325363418</v>
      </c>
      <c r="DV70" s="34">
        <f t="shared" si="70"/>
        <v>244278.50325363418</v>
      </c>
    </row>
    <row r="71" spans="2:126" ht="14.4" outlineLevel="1" thickTop="1">
      <c r="B71" s="3"/>
      <c r="C71" s="2"/>
      <c r="D71" s="2"/>
      <c r="E71" s="35"/>
      <c r="F71" s="35"/>
      <c r="G71" s="2"/>
      <c r="H71" s="2"/>
      <c r="I71" s="3"/>
      <c r="J71" s="3"/>
      <c r="K71" s="2"/>
    </row>
    <row r="72" spans="2:126" outlineLevel="1">
      <c r="B72" s="47" t="s">
        <v>66</v>
      </c>
      <c r="C72" s="47"/>
      <c r="D72" s="47"/>
      <c r="E72" s="48" t="s">
        <v>0</v>
      </c>
      <c r="F72" s="48"/>
      <c r="G72" s="49">
        <f t="shared" ref="G72:BR72" si="71">SUBTOTAL(9,G74:G91)</f>
        <v>3376800</v>
      </c>
      <c r="H72" s="49">
        <f t="shared" si="71"/>
        <v>3376800</v>
      </c>
      <c r="I72" s="49">
        <f t="shared" si="71"/>
        <v>3376800</v>
      </c>
      <c r="J72" s="49">
        <f t="shared" si="71"/>
        <v>3376800</v>
      </c>
      <c r="K72" s="49">
        <f t="shared" si="71"/>
        <v>3376800</v>
      </c>
      <c r="L72" s="49">
        <f t="shared" si="71"/>
        <v>3376800</v>
      </c>
      <c r="M72" s="49">
        <f t="shared" si="71"/>
        <v>3376800</v>
      </c>
      <c r="N72" s="49">
        <f t="shared" si="71"/>
        <v>3376800</v>
      </c>
      <c r="O72" s="49">
        <f t="shared" si="71"/>
        <v>3376800</v>
      </c>
      <c r="P72" s="49">
        <f t="shared" si="71"/>
        <v>3376800</v>
      </c>
      <c r="Q72" s="49">
        <f t="shared" si="71"/>
        <v>3376800</v>
      </c>
      <c r="R72" s="49">
        <f t="shared" si="71"/>
        <v>3376800</v>
      </c>
      <c r="S72" s="49">
        <f t="shared" si="71"/>
        <v>3528756</v>
      </c>
      <c r="T72" s="49">
        <f t="shared" si="71"/>
        <v>3528756</v>
      </c>
      <c r="U72" s="49">
        <f t="shared" si="71"/>
        <v>3528756</v>
      </c>
      <c r="V72" s="49">
        <f t="shared" si="71"/>
        <v>3528756</v>
      </c>
      <c r="W72" s="49">
        <f t="shared" si="71"/>
        <v>3528756</v>
      </c>
      <c r="X72" s="49">
        <f t="shared" si="71"/>
        <v>3528756</v>
      </c>
      <c r="Y72" s="49">
        <f t="shared" si="71"/>
        <v>3528756</v>
      </c>
      <c r="Z72" s="49">
        <f t="shared" si="71"/>
        <v>4013740.5</v>
      </c>
      <c r="AA72" s="49">
        <f t="shared" si="71"/>
        <v>4433987.25</v>
      </c>
      <c r="AB72" s="49">
        <f t="shared" si="71"/>
        <v>4433987.25</v>
      </c>
      <c r="AC72" s="49">
        <f t="shared" si="71"/>
        <v>4433987.25</v>
      </c>
      <c r="AD72" s="49">
        <f t="shared" si="71"/>
        <v>4433987.25</v>
      </c>
      <c r="AE72" s="49">
        <f t="shared" si="71"/>
        <v>4611346.74</v>
      </c>
      <c r="AF72" s="49">
        <f t="shared" si="71"/>
        <v>5178493.32</v>
      </c>
      <c r="AG72" s="49">
        <f t="shared" si="71"/>
        <v>5178493.32</v>
      </c>
      <c r="AH72" s="49">
        <f t="shared" si="71"/>
        <v>5178493.32</v>
      </c>
      <c r="AI72" s="49">
        <f t="shared" si="71"/>
        <v>5178493.32</v>
      </c>
      <c r="AJ72" s="49">
        <f t="shared" si="71"/>
        <v>5178493.32</v>
      </c>
      <c r="AK72" s="49">
        <f t="shared" si="71"/>
        <v>5178493.32</v>
      </c>
      <c r="AL72" s="49">
        <f t="shared" si="71"/>
        <v>5178493.32</v>
      </c>
      <c r="AM72" s="49">
        <f t="shared" si="71"/>
        <v>5178493.32</v>
      </c>
      <c r="AN72" s="49">
        <f t="shared" si="71"/>
        <v>6271705.4400000004</v>
      </c>
      <c r="AO72" s="49">
        <f t="shared" si="71"/>
        <v>6271705.4400000004</v>
      </c>
      <c r="AP72" s="49">
        <f t="shared" si="71"/>
        <v>6947260.3200000003</v>
      </c>
      <c r="AQ72" s="49">
        <f t="shared" si="71"/>
        <v>7190414.4311999995</v>
      </c>
      <c r="AR72" s="49">
        <f t="shared" si="71"/>
        <v>7190414.4311999995</v>
      </c>
      <c r="AS72" s="49">
        <f t="shared" si="71"/>
        <v>7190414.4311999995</v>
      </c>
      <c r="AT72" s="49">
        <f t="shared" si="71"/>
        <v>7190414.4311999995</v>
      </c>
      <c r="AU72" s="49">
        <f t="shared" si="71"/>
        <v>7190414.4311999995</v>
      </c>
      <c r="AV72" s="49">
        <f t="shared" si="71"/>
        <v>7190414.4311999995</v>
      </c>
      <c r="AW72" s="49">
        <f t="shared" si="71"/>
        <v>7190414.4311999995</v>
      </c>
      <c r="AX72" s="49">
        <f t="shared" si="71"/>
        <v>7190414.4311999995</v>
      </c>
      <c r="AY72" s="49">
        <f t="shared" si="71"/>
        <v>7190414.4311999995</v>
      </c>
      <c r="AZ72" s="49">
        <f t="shared" si="71"/>
        <v>7190414.4311999995</v>
      </c>
      <c r="BA72" s="49">
        <f t="shared" si="71"/>
        <v>7190414.4311999995</v>
      </c>
      <c r="BB72" s="49">
        <f t="shared" si="71"/>
        <v>7190414.4311999995</v>
      </c>
      <c r="BC72" s="49">
        <f t="shared" si="71"/>
        <v>7406126.8641360002</v>
      </c>
      <c r="BD72" s="49">
        <f t="shared" si="71"/>
        <v>7406126.8641360002</v>
      </c>
      <c r="BE72" s="49">
        <f t="shared" si="71"/>
        <v>8951097.4813259989</v>
      </c>
      <c r="BF72" s="49">
        <f t="shared" si="71"/>
        <v>8951097.4813259989</v>
      </c>
      <c r="BG72" s="49">
        <f t="shared" si="71"/>
        <v>8951097.4813259989</v>
      </c>
      <c r="BH72" s="49">
        <f t="shared" si="71"/>
        <v>8951097.4813259989</v>
      </c>
      <c r="BI72" s="49">
        <f t="shared" si="71"/>
        <v>8951097.4813259989</v>
      </c>
      <c r="BJ72" s="49">
        <f t="shared" si="71"/>
        <v>8951097.4813259989</v>
      </c>
      <c r="BK72" s="49">
        <f t="shared" si="71"/>
        <v>8951097.4813259989</v>
      </c>
      <c r="BL72" s="49">
        <f t="shared" si="71"/>
        <v>8951097.4813259989</v>
      </c>
      <c r="BM72" s="49">
        <f t="shared" si="71"/>
        <v>8951097.4813259989</v>
      </c>
      <c r="BN72" s="49">
        <f t="shared" si="71"/>
        <v>8951097.4813259989</v>
      </c>
      <c r="BO72" s="49">
        <f t="shared" si="71"/>
        <v>9174874.9183591474</v>
      </c>
      <c r="BP72" s="49">
        <f t="shared" si="71"/>
        <v>9174874.9183591474</v>
      </c>
      <c r="BQ72" s="49">
        <f t="shared" si="71"/>
        <v>9174874.9183591474</v>
      </c>
      <c r="BR72" s="49">
        <f t="shared" si="71"/>
        <v>10107574.896469047</v>
      </c>
      <c r="BS72" s="49">
        <f t="shared" ref="BS72:DV72" si="72">SUBTOTAL(9,BS74:BS91)</f>
        <v>10107574.896469047</v>
      </c>
      <c r="BT72" s="49">
        <f t="shared" si="72"/>
        <v>10107574.896469047</v>
      </c>
      <c r="BU72" s="49">
        <f t="shared" si="72"/>
        <v>10107574.896469047</v>
      </c>
      <c r="BV72" s="49">
        <f t="shared" si="72"/>
        <v>10107574.896469047</v>
      </c>
      <c r="BW72" s="49">
        <f t="shared" si="72"/>
        <v>10107574.896469047</v>
      </c>
      <c r="BX72" s="49">
        <f t="shared" si="72"/>
        <v>10107574.896469047</v>
      </c>
      <c r="BY72" s="49">
        <f t="shared" si="72"/>
        <v>10107574.896469047</v>
      </c>
      <c r="BZ72" s="49">
        <f t="shared" si="72"/>
        <v>11065213.376667447</v>
      </c>
      <c r="CA72" s="49">
        <f t="shared" si="72"/>
        <v>11341843.711084135</v>
      </c>
      <c r="CB72" s="49">
        <f t="shared" si="72"/>
        <v>11341843.711084135</v>
      </c>
      <c r="CC72" s="49">
        <f t="shared" si="72"/>
        <v>11341843.711084135</v>
      </c>
      <c r="CD72" s="49">
        <f t="shared" si="72"/>
        <v>11341843.711084135</v>
      </c>
      <c r="CE72" s="49">
        <f t="shared" si="72"/>
        <v>11341843.711084135</v>
      </c>
      <c r="CF72" s="49">
        <f t="shared" si="72"/>
        <v>11341843.711084135</v>
      </c>
      <c r="CG72" s="49">
        <f t="shared" si="72"/>
        <v>11341843.711084135</v>
      </c>
      <c r="CH72" s="49">
        <f t="shared" si="72"/>
        <v>11341843.711084135</v>
      </c>
      <c r="CI72" s="49">
        <f t="shared" si="72"/>
        <v>11341843.711084135</v>
      </c>
      <c r="CJ72" s="49">
        <f t="shared" si="72"/>
        <v>11341843.711084135</v>
      </c>
      <c r="CK72" s="49">
        <f t="shared" si="72"/>
        <v>11341843.711084135</v>
      </c>
      <c r="CL72" s="49">
        <f t="shared" si="72"/>
        <v>11341843.711084135</v>
      </c>
      <c r="CM72" s="49">
        <f t="shared" si="72"/>
        <v>11625389.803861234</v>
      </c>
      <c r="CN72" s="49">
        <f t="shared" si="72"/>
        <v>11625389.803861234</v>
      </c>
      <c r="CO72" s="49">
        <f t="shared" si="72"/>
        <v>11625389.803861234</v>
      </c>
      <c r="CP72" s="49">
        <f t="shared" si="72"/>
        <v>11625389.803861234</v>
      </c>
      <c r="CQ72" s="49">
        <f t="shared" si="72"/>
        <v>11625389.803861234</v>
      </c>
      <c r="CR72" s="49">
        <f t="shared" si="72"/>
        <v>11625389.803861234</v>
      </c>
      <c r="CS72" s="49">
        <f t="shared" si="72"/>
        <v>11625389.803861234</v>
      </c>
      <c r="CT72" s="49">
        <f t="shared" si="72"/>
        <v>11625389.803861234</v>
      </c>
      <c r="CU72" s="49">
        <f t="shared" si="72"/>
        <v>11625389.803861234</v>
      </c>
      <c r="CV72" s="49">
        <f t="shared" si="72"/>
        <v>11625389.803861234</v>
      </c>
      <c r="CW72" s="49">
        <f t="shared" si="72"/>
        <v>11625389.803861234</v>
      </c>
      <c r="CX72" s="49">
        <f t="shared" si="72"/>
        <v>11625389.803861234</v>
      </c>
      <c r="CY72" s="49">
        <f t="shared" si="72"/>
        <v>11916024.548957765</v>
      </c>
      <c r="CZ72" s="49">
        <f t="shared" si="72"/>
        <v>11916024.548957765</v>
      </c>
      <c r="DA72" s="49">
        <f t="shared" si="72"/>
        <v>11916024.548957765</v>
      </c>
      <c r="DB72" s="49">
        <f t="shared" si="72"/>
        <v>11916024.548957765</v>
      </c>
      <c r="DC72" s="49">
        <f t="shared" si="72"/>
        <v>11916024.548957765</v>
      </c>
      <c r="DD72" s="49">
        <f t="shared" si="72"/>
        <v>11916024.548957765</v>
      </c>
      <c r="DE72" s="49">
        <f t="shared" si="72"/>
        <v>11916024.548957765</v>
      </c>
      <c r="DF72" s="49">
        <f t="shared" si="72"/>
        <v>11916024.548957765</v>
      </c>
      <c r="DG72" s="49">
        <f t="shared" si="72"/>
        <v>11916024.548957765</v>
      </c>
      <c r="DH72" s="49">
        <f t="shared" si="72"/>
        <v>11916024.548957765</v>
      </c>
      <c r="DI72" s="49">
        <f t="shared" si="72"/>
        <v>11916024.548957765</v>
      </c>
      <c r="DJ72" s="49">
        <f t="shared" si="72"/>
        <v>11916024.548957765</v>
      </c>
      <c r="DK72" s="49">
        <f t="shared" si="72"/>
        <v>12213925.162681708</v>
      </c>
      <c r="DL72" s="49">
        <f t="shared" si="72"/>
        <v>12213925.162681708</v>
      </c>
      <c r="DM72" s="49">
        <f t="shared" si="72"/>
        <v>12213925.162681708</v>
      </c>
      <c r="DN72" s="49">
        <f t="shared" si="72"/>
        <v>12213925.162681708</v>
      </c>
      <c r="DO72" s="49">
        <f t="shared" si="72"/>
        <v>12213925.162681708</v>
      </c>
      <c r="DP72" s="49">
        <f t="shared" si="72"/>
        <v>12213925.162681708</v>
      </c>
      <c r="DQ72" s="49">
        <f t="shared" si="72"/>
        <v>12213925.162681708</v>
      </c>
      <c r="DR72" s="49">
        <f t="shared" si="72"/>
        <v>12213925.162681708</v>
      </c>
      <c r="DS72" s="49">
        <f t="shared" si="72"/>
        <v>12213925.162681708</v>
      </c>
      <c r="DT72" s="49">
        <f t="shared" si="72"/>
        <v>12213925.162681708</v>
      </c>
      <c r="DU72" s="49">
        <f t="shared" si="72"/>
        <v>12213925.162681708</v>
      </c>
      <c r="DV72" s="49">
        <f t="shared" si="72"/>
        <v>12213925.162681708</v>
      </c>
    </row>
    <row r="73" spans="2:126" outlineLevel="1">
      <c r="B73" s="4"/>
      <c r="C73" s="4"/>
      <c r="D73" s="4"/>
      <c r="E73" s="2"/>
      <c r="F73" s="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</row>
    <row r="74" spans="2:126" outlineLevel="1">
      <c r="B74" s="6" t="s">
        <v>67</v>
      </c>
      <c r="C74" s="2"/>
      <c r="D74" s="2"/>
      <c r="E74" s="41" t="s">
        <v>0</v>
      </c>
      <c r="F74" s="41"/>
      <c r="G74" s="42">
        <f>SUBTOTAL(9,G75:G79)</f>
        <v>3376800</v>
      </c>
      <c r="H74" s="42">
        <f t="shared" ref="H74:BS74" si="73">SUBTOTAL(9,H75:H79)</f>
        <v>3376800</v>
      </c>
      <c r="I74" s="42">
        <f t="shared" si="73"/>
        <v>3376800</v>
      </c>
      <c r="J74" s="42">
        <f t="shared" si="73"/>
        <v>3376800</v>
      </c>
      <c r="K74" s="42">
        <f t="shared" si="73"/>
        <v>3376800</v>
      </c>
      <c r="L74" s="42">
        <f t="shared" si="73"/>
        <v>3376800</v>
      </c>
      <c r="M74" s="42">
        <f t="shared" si="73"/>
        <v>3376800</v>
      </c>
      <c r="N74" s="42">
        <f t="shared" si="73"/>
        <v>3376800</v>
      </c>
      <c r="O74" s="42">
        <f t="shared" si="73"/>
        <v>3376800</v>
      </c>
      <c r="P74" s="42">
        <f t="shared" si="73"/>
        <v>3376800</v>
      </c>
      <c r="Q74" s="42">
        <f t="shared" si="73"/>
        <v>3376800</v>
      </c>
      <c r="R74" s="42">
        <f t="shared" si="73"/>
        <v>3376800</v>
      </c>
      <c r="S74" s="42">
        <f t="shared" si="73"/>
        <v>3528756</v>
      </c>
      <c r="T74" s="42">
        <f t="shared" si="73"/>
        <v>3528756</v>
      </c>
      <c r="U74" s="42">
        <f t="shared" si="73"/>
        <v>3528756</v>
      </c>
      <c r="V74" s="42">
        <f t="shared" si="73"/>
        <v>3528756</v>
      </c>
      <c r="W74" s="42">
        <f t="shared" si="73"/>
        <v>3528756</v>
      </c>
      <c r="X74" s="42">
        <f t="shared" si="73"/>
        <v>3528756</v>
      </c>
      <c r="Y74" s="42">
        <f t="shared" si="73"/>
        <v>3528756</v>
      </c>
      <c r="Z74" s="42">
        <f t="shared" si="73"/>
        <v>3528756</v>
      </c>
      <c r="AA74" s="42">
        <f t="shared" si="73"/>
        <v>3528756</v>
      </c>
      <c r="AB74" s="42">
        <f t="shared" si="73"/>
        <v>3528756</v>
      </c>
      <c r="AC74" s="42">
        <f t="shared" si="73"/>
        <v>3528756</v>
      </c>
      <c r="AD74" s="42">
        <f t="shared" si="73"/>
        <v>3528756</v>
      </c>
      <c r="AE74" s="42">
        <f t="shared" si="73"/>
        <v>3669906.24</v>
      </c>
      <c r="AF74" s="42">
        <f t="shared" si="73"/>
        <v>3669906.24</v>
      </c>
      <c r="AG74" s="42">
        <f t="shared" si="73"/>
        <v>3669906.24</v>
      </c>
      <c r="AH74" s="42">
        <f t="shared" si="73"/>
        <v>3669906.24</v>
      </c>
      <c r="AI74" s="42">
        <f t="shared" si="73"/>
        <v>3669906.24</v>
      </c>
      <c r="AJ74" s="42">
        <f t="shared" si="73"/>
        <v>3669906.24</v>
      </c>
      <c r="AK74" s="42">
        <f t="shared" si="73"/>
        <v>3669906.24</v>
      </c>
      <c r="AL74" s="42">
        <f t="shared" si="73"/>
        <v>3669906.24</v>
      </c>
      <c r="AM74" s="42">
        <f t="shared" si="73"/>
        <v>3669906.24</v>
      </c>
      <c r="AN74" s="42">
        <f t="shared" si="73"/>
        <v>3669906.24</v>
      </c>
      <c r="AO74" s="42">
        <f t="shared" si="73"/>
        <v>3669906.24</v>
      </c>
      <c r="AP74" s="42">
        <f t="shared" si="73"/>
        <v>3669906.24</v>
      </c>
      <c r="AQ74" s="42">
        <f t="shared" si="73"/>
        <v>3798352.9583999999</v>
      </c>
      <c r="AR74" s="42">
        <f t="shared" si="73"/>
        <v>3798352.9583999999</v>
      </c>
      <c r="AS74" s="42">
        <f t="shared" si="73"/>
        <v>3798352.9583999999</v>
      </c>
      <c r="AT74" s="42">
        <f t="shared" si="73"/>
        <v>3798352.9583999999</v>
      </c>
      <c r="AU74" s="42">
        <f t="shared" si="73"/>
        <v>3798352.9583999999</v>
      </c>
      <c r="AV74" s="42">
        <f t="shared" si="73"/>
        <v>3798352.9583999999</v>
      </c>
      <c r="AW74" s="42">
        <f t="shared" si="73"/>
        <v>3798352.9583999999</v>
      </c>
      <c r="AX74" s="42">
        <f t="shared" si="73"/>
        <v>3798352.9583999999</v>
      </c>
      <c r="AY74" s="42">
        <f t="shared" si="73"/>
        <v>3798352.9583999999</v>
      </c>
      <c r="AZ74" s="42">
        <f t="shared" si="73"/>
        <v>3798352.9583999999</v>
      </c>
      <c r="BA74" s="42">
        <f t="shared" si="73"/>
        <v>3798352.9583999999</v>
      </c>
      <c r="BB74" s="42">
        <f t="shared" si="73"/>
        <v>3798352.9583999999</v>
      </c>
      <c r="BC74" s="42">
        <f t="shared" si="73"/>
        <v>3912303.5471520005</v>
      </c>
      <c r="BD74" s="42">
        <f t="shared" si="73"/>
        <v>3912303.5471520005</v>
      </c>
      <c r="BE74" s="42">
        <f t="shared" si="73"/>
        <v>3912303.5471520005</v>
      </c>
      <c r="BF74" s="42">
        <f t="shared" si="73"/>
        <v>3912303.5471520005</v>
      </c>
      <c r="BG74" s="42">
        <f t="shared" si="73"/>
        <v>3912303.5471520005</v>
      </c>
      <c r="BH74" s="42">
        <f t="shared" si="73"/>
        <v>3912303.5471520005</v>
      </c>
      <c r="BI74" s="42">
        <f t="shared" si="73"/>
        <v>3912303.5471520005</v>
      </c>
      <c r="BJ74" s="42">
        <f t="shared" si="73"/>
        <v>3912303.5471520005</v>
      </c>
      <c r="BK74" s="42">
        <f t="shared" si="73"/>
        <v>3912303.5471520005</v>
      </c>
      <c r="BL74" s="42">
        <f t="shared" si="73"/>
        <v>3912303.5471520005</v>
      </c>
      <c r="BM74" s="42">
        <f t="shared" si="73"/>
        <v>3912303.5471520005</v>
      </c>
      <c r="BN74" s="42">
        <f t="shared" si="73"/>
        <v>3912303.5471520005</v>
      </c>
      <c r="BO74" s="42">
        <f t="shared" si="73"/>
        <v>4010111.1358307991</v>
      </c>
      <c r="BP74" s="42">
        <f t="shared" si="73"/>
        <v>4010111.1358307991</v>
      </c>
      <c r="BQ74" s="42">
        <f t="shared" si="73"/>
        <v>4010111.1358307991</v>
      </c>
      <c r="BR74" s="42">
        <f t="shared" si="73"/>
        <v>4010111.1358307991</v>
      </c>
      <c r="BS74" s="42">
        <f t="shared" si="73"/>
        <v>4010111.1358307991</v>
      </c>
      <c r="BT74" s="42">
        <f t="shared" ref="BT74:DV74" si="74">SUBTOTAL(9,BT75:BT79)</f>
        <v>4010111.1358307991</v>
      </c>
      <c r="BU74" s="42">
        <f t="shared" si="74"/>
        <v>4010111.1358307991</v>
      </c>
      <c r="BV74" s="42">
        <f t="shared" si="74"/>
        <v>4010111.1358307991</v>
      </c>
      <c r="BW74" s="42">
        <f t="shared" si="74"/>
        <v>4010111.1358307991</v>
      </c>
      <c r="BX74" s="42">
        <f t="shared" si="74"/>
        <v>4010111.1358307991</v>
      </c>
      <c r="BY74" s="42">
        <f t="shared" si="74"/>
        <v>4010111.1358307991</v>
      </c>
      <c r="BZ74" s="42">
        <f t="shared" si="74"/>
        <v>4010111.1358307991</v>
      </c>
      <c r="CA74" s="42">
        <f t="shared" si="74"/>
        <v>4110363.9142265692</v>
      </c>
      <c r="CB74" s="42">
        <f t="shared" si="74"/>
        <v>4110363.9142265692</v>
      </c>
      <c r="CC74" s="42">
        <f t="shared" si="74"/>
        <v>4110363.9142265692</v>
      </c>
      <c r="CD74" s="42">
        <f t="shared" si="74"/>
        <v>4110363.9142265692</v>
      </c>
      <c r="CE74" s="42">
        <f t="shared" si="74"/>
        <v>4110363.9142265692</v>
      </c>
      <c r="CF74" s="42">
        <f t="shared" si="74"/>
        <v>4110363.9142265692</v>
      </c>
      <c r="CG74" s="42">
        <f t="shared" si="74"/>
        <v>4110363.9142265692</v>
      </c>
      <c r="CH74" s="42">
        <f t="shared" si="74"/>
        <v>4110363.9142265692</v>
      </c>
      <c r="CI74" s="42">
        <f t="shared" si="74"/>
        <v>4110363.9142265692</v>
      </c>
      <c r="CJ74" s="42">
        <f t="shared" si="74"/>
        <v>4110363.9142265692</v>
      </c>
      <c r="CK74" s="42">
        <f t="shared" si="74"/>
        <v>4110363.9142265692</v>
      </c>
      <c r="CL74" s="42">
        <f t="shared" si="74"/>
        <v>4110363.9142265692</v>
      </c>
      <c r="CM74" s="42">
        <f t="shared" si="74"/>
        <v>4213123.0120822331</v>
      </c>
      <c r="CN74" s="42">
        <f t="shared" si="74"/>
        <v>4213123.0120822331</v>
      </c>
      <c r="CO74" s="42">
        <f t="shared" si="74"/>
        <v>4213123.0120822331</v>
      </c>
      <c r="CP74" s="42">
        <f t="shared" si="74"/>
        <v>4213123.0120822331</v>
      </c>
      <c r="CQ74" s="42">
        <f t="shared" si="74"/>
        <v>4213123.0120822331</v>
      </c>
      <c r="CR74" s="42">
        <f t="shared" si="74"/>
        <v>4213123.0120822331</v>
      </c>
      <c r="CS74" s="42">
        <f t="shared" si="74"/>
        <v>4213123.0120822331</v>
      </c>
      <c r="CT74" s="42">
        <f t="shared" si="74"/>
        <v>4213123.0120822331</v>
      </c>
      <c r="CU74" s="42">
        <f t="shared" si="74"/>
        <v>4213123.0120822331</v>
      </c>
      <c r="CV74" s="42">
        <f t="shared" si="74"/>
        <v>4213123.0120822331</v>
      </c>
      <c r="CW74" s="42">
        <f t="shared" si="74"/>
        <v>4213123.0120822331</v>
      </c>
      <c r="CX74" s="42">
        <f t="shared" si="74"/>
        <v>4213123.0120822331</v>
      </c>
      <c r="CY74" s="42">
        <f t="shared" si="74"/>
        <v>4318451.0873842882</v>
      </c>
      <c r="CZ74" s="42">
        <f t="shared" si="74"/>
        <v>4318451.0873842882</v>
      </c>
      <c r="DA74" s="42">
        <f t="shared" si="74"/>
        <v>4318451.0873842882</v>
      </c>
      <c r="DB74" s="42">
        <f t="shared" si="74"/>
        <v>4318451.0873842882</v>
      </c>
      <c r="DC74" s="42">
        <f t="shared" si="74"/>
        <v>4318451.0873842882</v>
      </c>
      <c r="DD74" s="42">
        <f t="shared" si="74"/>
        <v>4318451.0873842882</v>
      </c>
      <c r="DE74" s="42">
        <f t="shared" si="74"/>
        <v>4318451.0873842882</v>
      </c>
      <c r="DF74" s="42">
        <f t="shared" si="74"/>
        <v>4318451.0873842882</v>
      </c>
      <c r="DG74" s="42">
        <f t="shared" si="74"/>
        <v>4318451.0873842882</v>
      </c>
      <c r="DH74" s="42">
        <f t="shared" si="74"/>
        <v>4318451.0873842882</v>
      </c>
      <c r="DI74" s="42">
        <f t="shared" si="74"/>
        <v>4318451.0873842882</v>
      </c>
      <c r="DJ74" s="42">
        <f t="shared" si="74"/>
        <v>4318451.0873842882</v>
      </c>
      <c r="DK74" s="42">
        <f t="shared" si="74"/>
        <v>4426412.3645688957</v>
      </c>
      <c r="DL74" s="42">
        <f t="shared" si="74"/>
        <v>4426412.3645688957</v>
      </c>
      <c r="DM74" s="42">
        <f t="shared" si="74"/>
        <v>4426412.3645688957</v>
      </c>
      <c r="DN74" s="42">
        <f t="shared" si="74"/>
        <v>4426412.3645688957</v>
      </c>
      <c r="DO74" s="42">
        <f t="shared" si="74"/>
        <v>4426412.3645688957</v>
      </c>
      <c r="DP74" s="42">
        <f t="shared" si="74"/>
        <v>4426412.3645688957</v>
      </c>
      <c r="DQ74" s="42">
        <f t="shared" si="74"/>
        <v>4426412.3645688957</v>
      </c>
      <c r="DR74" s="42">
        <f t="shared" si="74"/>
        <v>4426412.3645688957</v>
      </c>
      <c r="DS74" s="42">
        <f t="shared" si="74"/>
        <v>4426412.3645688957</v>
      </c>
      <c r="DT74" s="42">
        <f t="shared" si="74"/>
        <v>4426412.3645688957</v>
      </c>
      <c r="DU74" s="42">
        <f t="shared" si="74"/>
        <v>4426412.3645688957</v>
      </c>
      <c r="DV74" s="42">
        <f t="shared" si="74"/>
        <v>4426412.3645688957</v>
      </c>
    </row>
    <row r="75" spans="2:126" outlineLevel="1">
      <c r="B75" s="3" t="str">
        <f>B49</f>
        <v>Property A</v>
      </c>
      <c r="C75" s="2"/>
      <c r="D75" s="2"/>
      <c r="E75" s="35" t="s">
        <v>0</v>
      </c>
      <c r="F75" s="35"/>
      <c r="G75" s="36">
        <f t="shared" ref="G75:BR78" si="75">$C25*G$210</f>
        <v>830550</v>
      </c>
      <c r="H75" s="36">
        <f t="shared" si="75"/>
        <v>830550</v>
      </c>
      <c r="I75" s="36">
        <f t="shared" si="75"/>
        <v>830550</v>
      </c>
      <c r="J75" s="36">
        <f t="shared" si="75"/>
        <v>830550</v>
      </c>
      <c r="K75" s="36">
        <f t="shared" si="75"/>
        <v>830550</v>
      </c>
      <c r="L75" s="36">
        <f t="shared" si="75"/>
        <v>830550</v>
      </c>
      <c r="M75" s="36">
        <f t="shared" si="75"/>
        <v>830550</v>
      </c>
      <c r="N75" s="36">
        <f t="shared" si="75"/>
        <v>830550</v>
      </c>
      <c r="O75" s="36">
        <f t="shared" si="75"/>
        <v>830550</v>
      </c>
      <c r="P75" s="36">
        <f t="shared" si="75"/>
        <v>830550</v>
      </c>
      <c r="Q75" s="36">
        <f t="shared" si="75"/>
        <v>830550</v>
      </c>
      <c r="R75" s="36">
        <f t="shared" si="75"/>
        <v>830550</v>
      </c>
      <c r="S75" s="36">
        <f t="shared" si="75"/>
        <v>867924.75</v>
      </c>
      <c r="T75" s="36">
        <f t="shared" si="75"/>
        <v>867924.75</v>
      </c>
      <c r="U75" s="36">
        <f t="shared" si="75"/>
        <v>867924.75</v>
      </c>
      <c r="V75" s="36">
        <f t="shared" si="75"/>
        <v>867924.75</v>
      </c>
      <c r="W75" s="36">
        <f t="shared" si="75"/>
        <v>867924.75</v>
      </c>
      <c r="X75" s="36">
        <f t="shared" si="75"/>
        <v>867924.75</v>
      </c>
      <c r="Y75" s="36">
        <f t="shared" si="75"/>
        <v>867924.75</v>
      </c>
      <c r="Z75" s="36">
        <f t="shared" si="75"/>
        <v>867924.75</v>
      </c>
      <c r="AA75" s="36">
        <f t="shared" si="75"/>
        <v>867924.75</v>
      </c>
      <c r="AB75" s="36">
        <f t="shared" si="75"/>
        <v>867924.75</v>
      </c>
      <c r="AC75" s="36">
        <f t="shared" si="75"/>
        <v>867924.75</v>
      </c>
      <c r="AD75" s="36">
        <f t="shared" si="75"/>
        <v>867924.75</v>
      </c>
      <c r="AE75" s="36">
        <f t="shared" si="75"/>
        <v>902641.74</v>
      </c>
      <c r="AF75" s="36">
        <f t="shared" si="75"/>
        <v>902641.74</v>
      </c>
      <c r="AG75" s="36">
        <f t="shared" si="75"/>
        <v>902641.74</v>
      </c>
      <c r="AH75" s="36">
        <f t="shared" si="75"/>
        <v>902641.74</v>
      </c>
      <c r="AI75" s="36">
        <f t="shared" si="75"/>
        <v>902641.74</v>
      </c>
      <c r="AJ75" s="36">
        <f t="shared" si="75"/>
        <v>902641.74</v>
      </c>
      <c r="AK75" s="36">
        <f t="shared" si="75"/>
        <v>902641.74</v>
      </c>
      <c r="AL75" s="36">
        <f t="shared" si="75"/>
        <v>902641.74</v>
      </c>
      <c r="AM75" s="36">
        <f t="shared" si="75"/>
        <v>902641.74</v>
      </c>
      <c r="AN75" s="36">
        <f t="shared" si="75"/>
        <v>902641.74</v>
      </c>
      <c r="AO75" s="36">
        <f t="shared" si="75"/>
        <v>902641.74</v>
      </c>
      <c r="AP75" s="36">
        <f t="shared" si="75"/>
        <v>902641.74</v>
      </c>
      <c r="AQ75" s="36">
        <f t="shared" si="75"/>
        <v>934234.20089999994</v>
      </c>
      <c r="AR75" s="36">
        <f t="shared" si="75"/>
        <v>934234.20089999994</v>
      </c>
      <c r="AS75" s="36">
        <f t="shared" si="75"/>
        <v>934234.20089999994</v>
      </c>
      <c r="AT75" s="36">
        <f t="shared" si="75"/>
        <v>934234.20089999994</v>
      </c>
      <c r="AU75" s="36">
        <f t="shared" si="75"/>
        <v>934234.20089999994</v>
      </c>
      <c r="AV75" s="36">
        <f t="shared" si="75"/>
        <v>934234.20089999994</v>
      </c>
      <c r="AW75" s="36">
        <f t="shared" si="75"/>
        <v>934234.20089999994</v>
      </c>
      <c r="AX75" s="36">
        <f t="shared" si="75"/>
        <v>934234.20089999994</v>
      </c>
      <c r="AY75" s="36">
        <f t="shared" si="75"/>
        <v>934234.20089999994</v>
      </c>
      <c r="AZ75" s="36">
        <f t="shared" si="75"/>
        <v>934234.20089999994</v>
      </c>
      <c r="BA75" s="36">
        <f t="shared" si="75"/>
        <v>934234.20089999994</v>
      </c>
      <c r="BB75" s="36">
        <f t="shared" si="75"/>
        <v>934234.20089999994</v>
      </c>
      <c r="BC75" s="36">
        <f t="shared" si="75"/>
        <v>962261.22692699998</v>
      </c>
      <c r="BD75" s="36">
        <f t="shared" si="75"/>
        <v>962261.22692699998</v>
      </c>
      <c r="BE75" s="36">
        <f t="shared" si="75"/>
        <v>962261.22692699998</v>
      </c>
      <c r="BF75" s="36">
        <f t="shared" si="75"/>
        <v>962261.22692699998</v>
      </c>
      <c r="BG75" s="36">
        <f t="shared" si="75"/>
        <v>962261.22692699998</v>
      </c>
      <c r="BH75" s="36">
        <f t="shared" si="75"/>
        <v>962261.22692699998</v>
      </c>
      <c r="BI75" s="36">
        <f t="shared" si="75"/>
        <v>962261.22692699998</v>
      </c>
      <c r="BJ75" s="36">
        <f t="shared" si="75"/>
        <v>962261.22692699998</v>
      </c>
      <c r="BK75" s="36">
        <f t="shared" si="75"/>
        <v>962261.22692699998</v>
      </c>
      <c r="BL75" s="36">
        <f t="shared" si="75"/>
        <v>962261.22692699998</v>
      </c>
      <c r="BM75" s="36">
        <f t="shared" si="75"/>
        <v>962261.22692699998</v>
      </c>
      <c r="BN75" s="36">
        <f t="shared" si="75"/>
        <v>962261.22692699998</v>
      </c>
      <c r="BO75" s="36">
        <f t="shared" si="75"/>
        <v>986317.75760017487</v>
      </c>
      <c r="BP75" s="36">
        <f t="shared" si="75"/>
        <v>986317.75760017487</v>
      </c>
      <c r="BQ75" s="36">
        <f t="shared" si="75"/>
        <v>986317.75760017487</v>
      </c>
      <c r="BR75" s="36">
        <f t="shared" si="75"/>
        <v>986317.75760017487</v>
      </c>
      <c r="BS75" s="36">
        <f t="shared" ref="BS75:DV79" si="76">$C25*BS$210</f>
        <v>986317.75760017487</v>
      </c>
      <c r="BT75" s="36">
        <f t="shared" si="76"/>
        <v>986317.75760017487</v>
      </c>
      <c r="BU75" s="36">
        <f t="shared" si="76"/>
        <v>986317.75760017487</v>
      </c>
      <c r="BV75" s="36">
        <f t="shared" si="76"/>
        <v>986317.75760017487</v>
      </c>
      <c r="BW75" s="36">
        <f t="shared" si="76"/>
        <v>986317.75760017487</v>
      </c>
      <c r="BX75" s="36">
        <f t="shared" si="76"/>
        <v>986317.75760017487</v>
      </c>
      <c r="BY75" s="36">
        <f t="shared" si="76"/>
        <v>986317.75760017487</v>
      </c>
      <c r="BZ75" s="36">
        <f t="shared" si="76"/>
        <v>986317.75760017487</v>
      </c>
      <c r="CA75" s="36">
        <f t="shared" si="76"/>
        <v>1010975.7015401791</v>
      </c>
      <c r="CB75" s="36">
        <f t="shared" si="76"/>
        <v>1010975.7015401791</v>
      </c>
      <c r="CC75" s="36">
        <f t="shared" si="76"/>
        <v>1010975.7015401791</v>
      </c>
      <c r="CD75" s="36">
        <f t="shared" si="76"/>
        <v>1010975.7015401791</v>
      </c>
      <c r="CE75" s="36">
        <f t="shared" si="76"/>
        <v>1010975.7015401791</v>
      </c>
      <c r="CF75" s="36">
        <f t="shared" si="76"/>
        <v>1010975.7015401791</v>
      </c>
      <c r="CG75" s="36">
        <f t="shared" si="76"/>
        <v>1010975.7015401791</v>
      </c>
      <c r="CH75" s="36">
        <f t="shared" si="76"/>
        <v>1010975.7015401791</v>
      </c>
      <c r="CI75" s="36">
        <f t="shared" si="76"/>
        <v>1010975.7015401791</v>
      </c>
      <c r="CJ75" s="36">
        <f t="shared" si="76"/>
        <v>1010975.7015401791</v>
      </c>
      <c r="CK75" s="36">
        <f t="shared" si="76"/>
        <v>1010975.7015401791</v>
      </c>
      <c r="CL75" s="36">
        <f t="shared" si="76"/>
        <v>1010975.7015401791</v>
      </c>
      <c r="CM75" s="36">
        <f t="shared" si="76"/>
        <v>1036250.0940786835</v>
      </c>
      <c r="CN75" s="36">
        <f t="shared" si="76"/>
        <v>1036250.0940786835</v>
      </c>
      <c r="CO75" s="36">
        <f t="shared" si="76"/>
        <v>1036250.0940786835</v>
      </c>
      <c r="CP75" s="36">
        <f t="shared" si="76"/>
        <v>1036250.0940786835</v>
      </c>
      <c r="CQ75" s="36">
        <f t="shared" si="76"/>
        <v>1036250.0940786835</v>
      </c>
      <c r="CR75" s="36">
        <f t="shared" si="76"/>
        <v>1036250.0940786835</v>
      </c>
      <c r="CS75" s="36">
        <f t="shared" si="76"/>
        <v>1036250.0940786835</v>
      </c>
      <c r="CT75" s="36">
        <f t="shared" si="76"/>
        <v>1036250.0940786835</v>
      </c>
      <c r="CU75" s="36">
        <f t="shared" si="76"/>
        <v>1036250.0940786835</v>
      </c>
      <c r="CV75" s="36">
        <f t="shared" si="76"/>
        <v>1036250.0940786835</v>
      </c>
      <c r="CW75" s="36">
        <f t="shared" si="76"/>
        <v>1036250.0940786835</v>
      </c>
      <c r="CX75" s="36">
        <f t="shared" si="76"/>
        <v>1036250.0940786835</v>
      </c>
      <c r="CY75" s="36">
        <f t="shared" si="76"/>
        <v>1062156.3464306504</v>
      </c>
      <c r="CZ75" s="36">
        <f t="shared" si="76"/>
        <v>1062156.3464306504</v>
      </c>
      <c r="DA75" s="36">
        <f t="shared" si="76"/>
        <v>1062156.3464306504</v>
      </c>
      <c r="DB75" s="36">
        <f t="shared" si="76"/>
        <v>1062156.3464306504</v>
      </c>
      <c r="DC75" s="36">
        <f t="shared" si="76"/>
        <v>1062156.3464306504</v>
      </c>
      <c r="DD75" s="36">
        <f t="shared" si="76"/>
        <v>1062156.3464306504</v>
      </c>
      <c r="DE75" s="36">
        <f t="shared" si="76"/>
        <v>1062156.3464306504</v>
      </c>
      <c r="DF75" s="36">
        <f t="shared" si="76"/>
        <v>1062156.3464306504</v>
      </c>
      <c r="DG75" s="36">
        <f t="shared" si="76"/>
        <v>1062156.3464306504</v>
      </c>
      <c r="DH75" s="36">
        <f t="shared" si="76"/>
        <v>1062156.3464306504</v>
      </c>
      <c r="DI75" s="36">
        <f t="shared" si="76"/>
        <v>1062156.3464306504</v>
      </c>
      <c r="DJ75" s="36">
        <f t="shared" si="76"/>
        <v>1062156.3464306504</v>
      </c>
      <c r="DK75" s="36">
        <f t="shared" si="76"/>
        <v>1088710.2550914166</v>
      </c>
      <c r="DL75" s="36">
        <f t="shared" si="76"/>
        <v>1088710.2550914166</v>
      </c>
      <c r="DM75" s="36">
        <f t="shared" si="76"/>
        <v>1088710.2550914166</v>
      </c>
      <c r="DN75" s="36">
        <f t="shared" si="76"/>
        <v>1088710.2550914166</v>
      </c>
      <c r="DO75" s="36">
        <f t="shared" si="76"/>
        <v>1088710.2550914166</v>
      </c>
      <c r="DP75" s="36">
        <f t="shared" si="76"/>
        <v>1088710.2550914166</v>
      </c>
      <c r="DQ75" s="36">
        <f t="shared" si="76"/>
        <v>1088710.2550914166</v>
      </c>
      <c r="DR75" s="36">
        <f t="shared" si="76"/>
        <v>1088710.2550914166</v>
      </c>
      <c r="DS75" s="36">
        <f t="shared" si="76"/>
        <v>1088710.2550914166</v>
      </c>
      <c r="DT75" s="36">
        <f t="shared" si="76"/>
        <v>1088710.2550914166</v>
      </c>
      <c r="DU75" s="36">
        <f t="shared" si="76"/>
        <v>1088710.2550914166</v>
      </c>
      <c r="DV75" s="36">
        <f t="shared" si="76"/>
        <v>1088710.2550914166</v>
      </c>
    </row>
    <row r="76" spans="2:126" outlineLevel="1">
      <c r="B76" s="3" t="str">
        <f>B50</f>
        <v>Property B</v>
      </c>
      <c r="C76" s="2"/>
      <c r="D76" s="2"/>
      <c r="E76" s="35" t="s">
        <v>0</v>
      </c>
      <c r="F76" s="35"/>
      <c r="G76" s="36">
        <f t="shared" si="75"/>
        <v>470400</v>
      </c>
      <c r="H76" s="36">
        <f t="shared" si="75"/>
        <v>470400</v>
      </c>
      <c r="I76" s="36">
        <f t="shared" si="75"/>
        <v>470400</v>
      </c>
      <c r="J76" s="36">
        <f t="shared" si="75"/>
        <v>470400</v>
      </c>
      <c r="K76" s="36">
        <f t="shared" si="75"/>
        <v>470400</v>
      </c>
      <c r="L76" s="36">
        <f t="shared" si="75"/>
        <v>470400</v>
      </c>
      <c r="M76" s="36">
        <f t="shared" si="75"/>
        <v>470400</v>
      </c>
      <c r="N76" s="36">
        <f t="shared" si="75"/>
        <v>470400</v>
      </c>
      <c r="O76" s="36">
        <f t="shared" si="75"/>
        <v>470400</v>
      </c>
      <c r="P76" s="36">
        <f t="shared" si="75"/>
        <v>470400</v>
      </c>
      <c r="Q76" s="36">
        <f t="shared" si="75"/>
        <v>470400</v>
      </c>
      <c r="R76" s="36">
        <f t="shared" si="75"/>
        <v>470400</v>
      </c>
      <c r="S76" s="36">
        <f t="shared" si="75"/>
        <v>491568</v>
      </c>
      <c r="T76" s="36">
        <f t="shared" si="75"/>
        <v>491568</v>
      </c>
      <c r="U76" s="36">
        <f t="shared" si="75"/>
        <v>491568</v>
      </c>
      <c r="V76" s="36">
        <f t="shared" si="75"/>
        <v>491568</v>
      </c>
      <c r="W76" s="36">
        <f t="shared" si="75"/>
        <v>491568</v>
      </c>
      <c r="X76" s="36">
        <f t="shared" si="75"/>
        <v>491568</v>
      </c>
      <c r="Y76" s="36">
        <f t="shared" si="75"/>
        <v>491568</v>
      </c>
      <c r="Z76" s="36">
        <f t="shared" si="75"/>
        <v>491568</v>
      </c>
      <c r="AA76" s="36">
        <f t="shared" si="75"/>
        <v>491568</v>
      </c>
      <c r="AB76" s="36">
        <f t="shared" si="75"/>
        <v>491568</v>
      </c>
      <c r="AC76" s="36">
        <f t="shared" si="75"/>
        <v>491568</v>
      </c>
      <c r="AD76" s="36">
        <f t="shared" si="75"/>
        <v>491568</v>
      </c>
      <c r="AE76" s="36">
        <f t="shared" si="75"/>
        <v>511230.72000000003</v>
      </c>
      <c r="AF76" s="36">
        <f t="shared" si="75"/>
        <v>511230.72000000003</v>
      </c>
      <c r="AG76" s="36">
        <f t="shared" si="75"/>
        <v>511230.72000000003</v>
      </c>
      <c r="AH76" s="36">
        <f t="shared" si="75"/>
        <v>511230.72000000003</v>
      </c>
      <c r="AI76" s="36">
        <f t="shared" si="75"/>
        <v>511230.72000000003</v>
      </c>
      <c r="AJ76" s="36">
        <f t="shared" si="75"/>
        <v>511230.72000000003</v>
      </c>
      <c r="AK76" s="36">
        <f t="shared" si="75"/>
        <v>511230.72000000003</v>
      </c>
      <c r="AL76" s="36">
        <f t="shared" si="75"/>
        <v>511230.72000000003</v>
      </c>
      <c r="AM76" s="36">
        <f t="shared" si="75"/>
        <v>511230.72000000003</v>
      </c>
      <c r="AN76" s="36">
        <f t="shared" si="75"/>
        <v>511230.72000000003</v>
      </c>
      <c r="AO76" s="36">
        <f t="shared" si="75"/>
        <v>511230.72000000003</v>
      </c>
      <c r="AP76" s="36">
        <f t="shared" si="75"/>
        <v>511230.72000000003</v>
      </c>
      <c r="AQ76" s="36">
        <f t="shared" si="75"/>
        <v>529123.79519999993</v>
      </c>
      <c r="AR76" s="36">
        <f t="shared" si="75"/>
        <v>529123.79519999993</v>
      </c>
      <c r="AS76" s="36">
        <f t="shared" si="75"/>
        <v>529123.79519999993</v>
      </c>
      <c r="AT76" s="36">
        <f t="shared" si="75"/>
        <v>529123.79519999993</v>
      </c>
      <c r="AU76" s="36">
        <f t="shared" si="75"/>
        <v>529123.79519999993</v>
      </c>
      <c r="AV76" s="36">
        <f t="shared" si="75"/>
        <v>529123.79519999993</v>
      </c>
      <c r="AW76" s="36">
        <f t="shared" si="75"/>
        <v>529123.79519999993</v>
      </c>
      <c r="AX76" s="36">
        <f t="shared" si="75"/>
        <v>529123.79519999993</v>
      </c>
      <c r="AY76" s="36">
        <f t="shared" si="75"/>
        <v>529123.79519999993</v>
      </c>
      <c r="AZ76" s="36">
        <f t="shared" si="75"/>
        <v>529123.79519999993</v>
      </c>
      <c r="BA76" s="36">
        <f t="shared" si="75"/>
        <v>529123.79519999993</v>
      </c>
      <c r="BB76" s="36">
        <f t="shared" si="75"/>
        <v>529123.79519999993</v>
      </c>
      <c r="BC76" s="36">
        <f t="shared" si="75"/>
        <v>544997.50905600004</v>
      </c>
      <c r="BD76" s="36">
        <f t="shared" si="75"/>
        <v>544997.50905600004</v>
      </c>
      <c r="BE76" s="36">
        <f t="shared" si="75"/>
        <v>544997.50905600004</v>
      </c>
      <c r="BF76" s="36">
        <f t="shared" si="75"/>
        <v>544997.50905600004</v>
      </c>
      <c r="BG76" s="36">
        <f t="shared" si="75"/>
        <v>544997.50905600004</v>
      </c>
      <c r="BH76" s="36">
        <f t="shared" si="75"/>
        <v>544997.50905600004</v>
      </c>
      <c r="BI76" s="36">
        <f t="shared" si="75"/>
        <v>544997.50905600004</v>
      </c>
      <c r="BJ76" s="36">
        <f t="shared" si="75"/>
        <v>544997.50905600004</v>
      </c>
      <c r="BK76" s="36">
        <f t="shared" si="75"/>
        <v>544997.50905600004</v>
      </c>
      <c r="BL76" s="36">
        <f t="shared" si="75"/>
        <v>544997.50905600004</v>
      </c>
      <c r="BM76" s="36">
        <f t="shared" si="75"/>
        <v>544997.50905600004</v>
      </c>
      <c r="BN76" s="36">
        <f t="shared" si="75"/>
        <v>544997.50905600004</v>
      </c>
      <c r="BO76" s="36">
        <f t="shared" si="75"/>
        <v>558622.4467823999</v>
      </c>
      <c r="BP76" s="36">
        <f t="shared" si="75"/>
        <v>558622.4467823999</v>
      </c>
      <c r="BQ76" s="36">
        <f t="shared" si="75"/>
        <v>558622.4467823999</v>
      </c>
      <c r="BR76" s="36">
        <f t="shared" si="75"/>
        <v>558622.4467823999</v>
      </c>
      <c r="BS76" s="36">
        <f t="shared" si="76"/>
        <v>558622.4467823999</v>
      </c>
      <c r="BT76" s="36">
        <f t="shared" si="76"/>
        <v>558622.4467823999</v>
      </c>
      <c r="BU76" s="36">
        <f t="shared" si="76"/>
        <v>558622.4467823999</v>
      </c>
      <c r="BV76" s="36">
        <f t="shared" si="76"/>
        <v>558622.4467823999</v>
      </c>
      <c r="BW76" s="36">
        <f t="shared" si="76"/>
        <v>558622.4467823999</v>
      </c>
      <c r="BX76" s="36">
        <f t="shared" si="76"/>
        <v>558622.4467823999</v>
      </c>
      <c r="BY76" s="36">
        <f t="shared" si="76"/>
        <v>558622.4467823999</v>
      </c>
      <c r="BZ76" s="36">
        <f t="shared" si="76"/>
        <v>558622.4467823999</v>
      </c>
      <c r="CA76" s="36">
        <f t="shared" si="76"/>
        <v>572588.00795195985</v>
      </c>
      <c r="CB76" s="36">
        <f t="shared" si="76"/>
        <v>572588.00795195985</v>
      </c>
      <c r="CC76" s="36">
        <f t="shared" si="76"/>
        <v>572588.00795195985</v>
      </c>
      <c r="CD76" s="36">
        <f t="shared" si="76"/>
        <v>572588.00795195985</v>
      </c>
      <c r="CE76" s="36">
        <f t="shared" si="76"/>
        <v>572588.00795195985</v>
      </c>
      <c r="CF76" s="36">
        <f t="shared" si="76"/>
        <v>572588.00795195985</v>
      </c>
      <c r="CG76" s="36">
        <f t="shared" si="76"/>
        <v>572588.00795195985</v>
      </c>
      <c r="CH76" s="36">
        <f t="shared" si="76"/>
        <v>572588.00795195985</v>
      </c>
      <c r="CI76" s="36">
        <f t="shared" si="76"/>
        <v>572588.00795195985</v>
      </c>
      <c r="CJ76" s="36">
        <f t="shared" si="76"/>
        <v>572588.00795195985</v>
      </c>
      <c r="CK76" s="36">
        <f t="shared" si="76"/>
        <v>572588.00795195985</v>
      </c>
      <c r="CL76" s="36">
        <f t="shared" si="76"/>
        <v>572588.00795195985</v>
      </c>
      <c r="CM76" s="36">
        <f t="shared" si="76"/>
        <v>586902.70815075887</v>
      </c>
      <c r="CN76" s="36">
        <f t="shared" si="76"/>
        <v>586902.70815075887</v>
      </c>
      <c r="CO76" s="36">
        <f t="shared" si="76"/>
        <v>586902.70815075887</v>
      </c>
      <c r="CP76" s="36">
        <f t="shared" si="76"/>
        <v>586902.70815075887</v>
      </c>
      <c r="CQ76" s="36">
        <f t="shared" si="76"/>
        <v>586902.70815075887</v>
      </c>
      <c r="CR76" s="36">
        <f t="shared" si="76"/>
        <v>586902.70815075887</v>
      </c>
      <c r="CS76" s="36">
        <f t="shared" si="76"/>
        <v>586902.70815075887</v>
      </c>
      <c r="CT76" s="36">
        <f t="shared" si="76"/>
        <v>586902.70815075887</v>
      </c>
      <c r="CU76" s="36">
        <f t="shared" si="76"/>
        <v>586902.70815075887</v>
      </c>
      <c r="CV76" s="36">
        <f t="shared" si="76"/>
        <v>586902.70815075887</v>
      </c>
      <c r="CW76" s="36">
        <f t="shared" si="76"/>
        <v>586902.70815075887</v>
      </c>
      <c r="CX76" s="36">
        <f t="shared" si="76"/>
        <v>586902.70815075887</v>
      </c>
      <c r="CY76" s="36">
        <f t="shared" si="76"/>
        <v>601575.27585452772</v>
      </c>
      <c r="CZ76" s="36">
        <f t="shared" si="76"/>
        <v>601575.27585452772</v>
      </c>
      <c r="DA76" s="36">
        <f t="shared" si="76"/>
        <v>601575.27585452772</v>
      </c>
      <c r="DB76" s="36">
        <f t="shared" si="76"/>
        <v>601575.27585452772</v>
      </c>
      <c r="DC76" s="36">
        <f t="shared" si="76"/>
        <v>601575.27585452772</v>
      </c>
      <c r="DD76" s="36">
        <f t="shared" si="76"/>
        <v>601575.27585452772</v>
      </c>
      <c r="DE76" s="36">
        <f t="shared" si="76"/>
        <v>601575.27585452772</v>
      </c>
      <c r="DF76" s="36">
        <f t="shared" si="76"/>
        <v>601575.27585452772</v>
      </c>
      <c r="DG76" s="36">
        <f t="shared" si="76"/>
        <v>601575.27585452772</v>
      </c>
      <c r="DH76" s="36">
        <f t="shared" si="76"/>
        <v>601575.27585452772</v>
      </c>
      <c r="DI76" s="36">
        <f t="shared" si="76"/>
        <v>601575.27585452772</v>
      </c>
      <c r="DJ76" s="36">
        <f t="shared" si="76"/>
        <v>601575.27585452772</v>
      </c>
      <c r="DK76" s="36">
        <f t="shared" si="76"/>
        <v>616614.65775089082</v>
      </c>
      <c r="DL76" s="36">
        <f t="shared" si="76"/>
        <v>616614.65775089082</v>
      </c>
      <c r="DM76" s="36">
        <f t="shared" si="76"/>
        <v>616614.65775089082</v>
      </c>
      <c r="DN76" s="36">
        <f t="shared" si="76"/>
        <v>616614.65775089082</v>
      </c>
      <c r="DO76" s="36">
        <f t="shared" si="76"/>
        <v>616614.65775089082</v>
      </c>
      <c r="DP76" s="36">
        <f t="shared" si="76"/>
        <v>616614.65775089082</v>
      </c>
      <c r="DQ76" s="36">
        <f t="shared" si="76"/>
        <v>616614.65775089082</v>
      </c>
      <c r="DR76" s="36">
        <f t="shared" si="76"/>
        <v>616614.65775089082</v>
      </c>
      <c r="DS76" s="36">
        <f t="shared" si="76"/>
        <v>616614.65775089082</v>
      </c>
      <c r="DT76" s="36">
        <f t="shared" si="76"/>
        <v>616614.65775089082</v>
      </c>
      <c r="DU76" s="36">
        <f t="shared" si="76"/>
        <v>616614.65775089082</v>
      </c>
      <c r="DV76" s="36">
        <f t="shared" si="76"/>
        <v>616614.65775089082</v>
      </c>
    </row>
    <row r="77" spans="2:126" outlineLevel="1">
      <c r="B77" s="3" t="str">
        <f>B51</f>
        <v>Property C</v>
      </c>
      <c r="C77" s="2"/>
      <c r="D77" s="2"/>
      <c r="E77" s="35" t="s">
        <v>0</v>
      </c>
      <c r="F77" s="35"/>
      <c r="G77" s="36">
        <f t="shared" si="75"/>
        <v>720300</v>
      </c>
      <c r="H77" s="36">
        <f t="shared" si="75"/>
        <v>720300</v>
      </c>
      <c r="I77" s="36">
        <f t="shared" si="75"/>
        <v>720300</v>
      </c>
      <c r="J77" s="36">
        <f t="shared" si="75"/>
        <v>720300</v>
      </c>
      <c r="K77" s="36">
        <f t="shared" si="75"/>
        <v>720300</v>
      </c>
      <c r="L77" s="36">
        <f t="shared" si="75"/>
        <v>720300</v>
      </c>
      <c r="M77" s="36">
        <f t="shared" si="75"/>
        <v>720300</v>
      </c>
      <c r="N77" s="36">
        <f t="shared" si="75"/>
        <v>720300</v>
      </c>
      <c r="O77" s="36">
        <f t="shared" si="75"/>
        <v>720300</v>
      </c>
      <c r="P77" s="36">
        <f t="shared" si="75"/>
        <v>720300</v>
      </c>
      <c r="Q77" s="36">
        <f t="shared" si="75"/>
        <v>720300</v>
      </c>
      <c r="R77" s="36">
        <f t="shared" si="75"/>
        <v>720300</v>
      </c>
      <c r="S77" s="36">
        <f t="shared" si="75"/>
        <v>752713.5</v>
      </c>
      <c r="T77" s="36">
        <f t="shared" si="75"/>
        <v>752713.5</v>
      </c>
      <c r="U77" s="36">
        <f t="shared" si="75"/>
        <v>752713.5</v>
      </c>
      <c r="V77" s="36">
        <f t="shared" si="75"/>
        <v>752713.5</v>
      </c>
      <c r="W77" s="36">
        <f t="shared" si="75"/>
        <v>752713.5</v>
      </c>
      <c r="X77" s="36">
        <f t="shared" si="75"/>
        <v>752713.5</v>
      </c>
      <c r="Y77" s="36">
        <f t="shared" si="75"/>
        <v>752713.5</v>
      </c>
      <c r="Z77" s="36">
        <f t="shared" si="75"/>
        <v>752713.5</v>
      </c>
      <c r="AA77" s="36">
        <f t="shared" si="75"/>
        <v>752713.5</v>
      </c>
      <c r="AB77" s="36">
        <f t="shared" si="75"/>
        <v>752713.5</v>
      </c>
      <c r="AC77" s="36">
        <f t="shared" si="75"/>
        <v>752713.5</v>
      </c>
      <c r="AD77" s="36">
        <f t="shared" si="75"/>
        <v>752713.5</v>
      </c>
      <c r="AE77" s="36">
        <f t="shared" si="75"/>
        <v>782822.04</v>
      </c>
      <c r="AF77" s="36">
        <f t="shared" si="75"/>
        <v>782822.04</v>
      </c>
      <c r="AG77" s="36">
        <f t="shared" si="75"/>
        <v>782822.04</v>
      </c>
      <c r="AH77" s="36">
        <f t="shared" si="75"/>
        <v>782822.04</v>
      </c>
      <c r="AI77" s="36">
        <f t="shared" si="75"/>
        <v>782822.04</v>
      </c>
      <c r="AJ77" s="36">
        <f t="shared" si="75"/>
        <v>782822.04</v>
      </c>
      <c r="AK77" s="36">
        <f t="shared" si="75"/>
        <v>782822.04</v>
      </c>
      <c r="AL77" s="36">
        <f t="shared" si="75"/>
        <v>782822.04</v>
      </c>
      <c r="AM77" s="36">
        <f t="shared" si="75"/>
        <v>782822.04</v>
      </c>
      <c r="AN77" s="36">
        <f t="shared" si="75"/>
        <v>782822.04</v>
      </c>
      <c r="AO77" s="36">
        <f t="shared" si="75"/>
        <v>782822.04</v>
      </c>
      <c r="AP77" s="36">
        <f t="shared" si="75"/>
        <v>782822.04</v>
      </c>
      <c r="AQ77" s="36">
        <f t="shared" si="75"/>
        <v>810220.81139999989</v>
      </c>
      <c r="AR77" s="36">
        <f t="shared" si="75"/>
        <v>810220.81139999989</v>
      </c>
      <c r="AS77" s="36">
        <f t="shared" si="75"/>
        <v>810220.81139999989</v>
      </c>
      <c r="AT77" s="36">
        <f t="shared" si="75"/>
        <v>810220.81139999989</v>
      </c>
      <c r="AU77" s="36">
        <f t="shared" si="75"/>
        <v>810220.81139999989</v>
      </c>
      <c r="AV77" s="36">
        <f t="shared" si="75"/>
        <v>810220.81139999989</v>
      </c>
      <c r="AW77" s="36">
        <f t="shared" si="75"/>
        <v>810220.81139999989</v>
      </c>
      <c r="AX77" s="36">
        <f t="shared" si="75"/>
        <v>810220.81139999989</v>
      </c>
      <c r="AY77" s="36">
        <f t="shared" si="75"/>
        <v>810220.81139999989</v>
      </c>
      <c r="AZ77" s="36">
        <f t="shared" si="75"/>
        <v>810220.81139999989</v>
      </c>
      <c r="BA77" s="36">
        <f t="shared" si="75"/>
        <v>810220.81139999989</v>
      </c>
      <c r="BB77" s="36">
        <f t="shared" si="75"/>
        <v>810220.81139999989</v>
      </c>
      <c r="BC77" s="36">
        <f t="shared" si="75"/>
        <v>834527.435742</v>
      </c>
      <c r="BD77" s="36">
        <f t="shared" si="75"/>
        <v>834527.435742</v>
      </c>
      <c r="BE77" s="36">
        <f t="shared" si="75"/>
        <v>834527.435742</v>
      </c>
      <c r="BF77" s="36">
        <f t="shared" si="75"/>
        <v>834527.435742</v>
      </c>
      <c r="BG77" s="36">
        <f t="shared" si="75"/>
        <v>834527.435742</v>
      </c>
      <c r="BH77" s="36">
        <f t="shared" si="75"/>
        <v>834527.435742</v>
      </c>
      <c r="BI77" s="36">
        <f t="shared" si="75"/>
        <v>834527.435742</v>
      </c>
      <c r="BJ77" s="36">
        <f t="shared" si="75"/>
        <v>834527.435742</v>
      </c>
      <c r="BK77" s="36">
        <f t="shared" si="75"/>
        <v>834527.435742</v>
      </c>
      <c r="BL77" s="36">
        <f t="shared" si="75"/>
        <v>834527.435742</v>
      </c>
      <c r="BM77" s="36">
        <f t="shared" si="75"/>
        <v>834527.435742</v>
      </c>
      <c r="BN77" s="36">
        <f t="shared" si="75"/>
        <v>834527.435742</v>
      </c>
      <c r="BO77" s="36">
        <f t="shared" si="75"/>
        <v>855390.62163554982</v>
      </c>
      <c r="BP77" s="36">
        <f t="shared" si="75"/>
        <v>855390.62163554982</v>
      </c>
      <c r="BQ77" s="36">
        <f t="shared" si="75"/>
        <v>855390.62163554982</v>
      </c>
      <c r="BR77" s="36">
        <f t="shared" si="75"/>
        <v>855390.62163554982</v>
      </c>
      <c r="BS77" s="36">
        <f t="shared" si="76"/>
        <v>855390.62163554982</v>
      </c>
      <c r="BT77" s="36">
        <f t="shared" si="76"/>
        <v>855390.62163554982</v>
      </c>
      <c r="BU77" s="36">
        <f t="shared" si="76"/>
        <v>855390.62163554982</v>
      </c>
      <c r="BV77" s="36">
        <f t="shared" si="76"/>
        <v>855390.62163554982</v>
      </c>
      <c r="BW77" s="36">
        <f t="shared" si="76"/>
        <v>855390.62163554982</v>
      </c>
      <c r="BX77" s="36">
        <f t="shared" si="76"/>
        <v>855390.62163554982</v>
      </c>
      <c r="BY77" s="36">
        <f t="shared" si="76"/>
        <v>855390.62163554982</v>
      </c>
      <c r="BZ77" s="36">
        <f t="shared" si="76"/>
        <v>855390.62163554982</v>
      </c>
      <c r="CA77" s="36">
        <f t="shared" si="76"/>
        <v>876775.38717643847</v>
      </c>
      <c r="CB77" s="36">
        <f t="shared" si="76"/>
        <v>876775.38717643847</v>
      </c>
      <c r="CC77" s="36">
        <f t="shared" si="76"/>
        <v>876775.38717643847</v>
      </c>
      <c r="CD77" s="36">
        <f t="shared" si="76"/>
        <v>876775.38717643847</v>
      </c>
      <c r="CE77" s="36">
        <f t="shared" si="76"/>
        <v>876775.38717643847</v>
      </c>
      <c r="CF77" s="36">
        <f t="shared" si="76"/>
        <v>876775.38717643847</v>
      </c>
      <c r="CG77" s="36">
        <f t="shared" si="76"/>
        <v>876775.38717643847</v>
      </c>
      <c r="CH77" s="36">
        <f t="shared" si="76"/>
        <v>876775.38717643847</v>
      </c>
      <c r="CI77" s="36">
        <f t="shared" si="76"/>
        <v>876775.38717643847</v>
      </c>
      <c r="CJ77" s="36">
        <f t="shared" si="76"/>
        <v>876775.38717643847</v>
      </c>
      <c r="CK77" s="36">
        <f t="shared" si="76"/>
        <v>876775.38717643847</v>
      </c>
      <c r="CL77" s="36">
        <f t="shared" si="76"/>
        <v>876775.38717643847</v>
      </c>
      <c r="CM77" s="36">
        <f t="shared" si="76"/>
        <v>898694.77185584942</v>
      </c>
      <c r="CN77" s="36">
        <f t="shared" si="76"/>
        <v>898694.77185584942</v>
      </c>
      <c r="CO77" s="36">
        <f t="shared" si="76"/>
        <v>898694.77185584942</v>
      </c>
      <c r="CP77" s="36">
        <f t="shared" si="76"/>
        <v>898694.77185584942</v>
      </c>
      <c r="CQ77" s="36">
        <f t="shared" si="76"/>
        <v>898694.77185584942</v>
      </c>
      <c r="CR77" s="36">
        <f t="shared" si="76"/>
        <v>898694.77185584942</v>
      </c>
      <c r="CS77" s="36">
        <f t="shared" si="76"/>
        <v>898694.77185584942</v>
      </c>
      <c r="CT77" s="36">
        <f t="shared" si="76"/>
        <v>898694.77185584942</v>
      </c>
      <c r="CU77" s="36">
        <f t="shared" si="76"/>
        <v>898694.77185584942</v>
      </c>
      <c r="CV77" s="36">
        <f t="shared" si="76"/>
        <v>898694.77185584942</v>
      </c>
      <c r="CW77" s="36">
        <f t="shared" si="76"/>
        <v>898694.77185584942</v>
      </c>
      <c r="CX77" s="36">
        <f t="shared" si="76"/>
        <v>898694.77185584942</v>
      </c>
      <c r="CY77" s="36">
        <f t="shared" si="76"/>
        <v>921162.14115224557</v>
      </c>
      <c r="CZ77" s="36">
        <f t="shared" si="76"/>
        <v>921162.14115224557</v>
      </c>
      <c r="DA77" s="36">
        <f t="shared" si="76"/>
        <v>921162.14115224557</v>
      </c>
      <c r="DB77" s="36">
        <f t="shared" si="76"/>
        <v>921162.14115224557</v>
      </c>
      <c r="DC77" s="36">
        <f t="shared" si="76"/>
        <v>921162.14115224557</v>
      </c>
      <c r="DD77" s="36">
        <f t="shared" si="76"/>
        <v>921162.14115224557</v>
      </c>
      <c r="DE77" s="36">
        <f t="shared" si="76"/>
        <v>921162.14115224557</v>
      </c>
      <c r="DF77" s="36">
        <f t="shared" si="76"/>
        <v>921162.14115224557</v>
      </c>
      <c r="DG77" s="36">
        <f t="shared" si="76"/>
        <v>921162.14115224557</v>
      </c>
      <c r="DH77" s="36">
        <f t="shared" si="76"/>
        <v>921162.14115224557</v>
      </c>
      <c r="DI77" s="36">
        <f t="shared" si="76"/>
        <v>921162.14115224557</v>
      </c>
      <c r="DJ77" s="36">
        <f t="shared" si="76"/>
        <v>921162.14115224557</v>
      </c>
      <c r="DK77" s="36">
        <f t="shared" si="76"/>
        <v>944191.19468105165</v>
      </c>
      <c r="DL77" s="36">
        <f t="shared" si="76"/>
        <v>944191.19468105165</v>
      </c>
      <c r="DM77" s="36">
        <f t="shared" si="76"/>
        <v>944191.19468105165</v>
      </c>
      <c r="DN77" s="36">
        <f t="shared" si="76"/>
        <v>944191.19468105165</v>
      </c>
      <c r="DO77" s="36">
        <f t="shared" si="76"/>
        <v>944191.19468105165</v>
      </c>
      <c r="DP77" s="36">
        <f t="shared" si="76"/>
        <v>944191.19468105165</v>
      </c>
      <c r="DQ77" s="36">
        <f t="shared" si="76"/>
        <v>944191.19468105165</v>
      </c>
      <c r="DR77" s="36">
        <f t="shared" si="76"/>
        <v>944191.19468105165</v>
      </c>
      <c r="DS77" s="36">
        <f t="shared" si="76"/>
        <v>944191.19468105165</v>
      </c>
      <c r="DT77" s="36">
        <f t="shared" si="76"/>
        <v>944191.19468105165</v>
      </c>
      <c r="DU77" s="36">
        <f t="shared" si="76"/>
        <v>944191.19468105165</v>
      </c>
      <c r="DV77" s="36">
        <f t="shared" si="76"/>
        <v>944191.19468105165</v>
      </c>
    </row>
    <row r="78" spans="2:126" outlineLevel="1">
      <c r="B78" s="3" t="str">
        <f>B52</f>
        <v>Property D</v>
      </c>
      <c r="C78" s="2"/>
      <c r="D78" s="2"/>
      <c r="E78" s="35" t="s">
        <v>0</v>
      </c>
      <c r="F78" s="35"/>
      <c r="G78" s="36">
        <f t="shared" si="75"/>
        <v>774900</v>
      </c>
      <c r="H78" s="36">
        <f t="shared" si="75"/>
        <v>774900</v>
      </c>
      <c r="I78" s="36">
        <f t="shared" si="75"/>
        <v>774900</v>
      </c>
      <c r="J78" s="36">
        <f t="shared" si="75"/>
        <v>774900</v>
      </c>
      <c r="K78" s="36">
        <f t="shared" si="75"/>
        <v>774900</v>
      </c>
      <c r="L78" s="36">
        <f t="shared" si="75"/>
        <v>774900</v>
      </c>
      <c r="M78" s="36">
        <f t="shared" si="75"/>
        <v>774900</v>
      </c>
      <c r="N78" s="36">
        <f t="shared" si="75"/>
        <v>774900</v>
      </c>
      <c r="O78" s="36">
        <f t="shared" si="75"/>
        <v>774900</v>
      </c>
      <c r="P78" s="36">
        <f t="shared" si="75"/>
        <v>774900</v>
      </c>
      <c r="Q78" s="36">
        <f t="shared" si="75"/>
        <v>774900</v>
      </c>
      <c r="R78" s="36">
        <f t="shared" si="75"/>
        <v>774900</v>
      </c>
      <c r="S78" s="36">
        <f t="shared" si="75"/>
        <v>809770.5</v>
      </c>
      <c r="T78" s="36">
        <f t="shared" si="75"/>
        <v>809770.5</v>
      </c>
      <c r="U78" s="36">
        <f t="shared" si="75"/>
        <v>809770.5</v>
      </c>
      <c r="V78" s="36">
        <f t="shared" si="75"/>
        <v>809770.5</v>
      </c>
      <c r="W78" s="36">
        <f t="shared" si="75"/>
        <v>809770.5</v>
      </c>
      <c r="X78" s="36">
        <f t="shared" si="75"/>
        <v>809770.5</v>
      </c>
      <c r="Y78" s="36">
        <f t="shared" si="75"/>
        <v>809770.5</v>
      </c>
      <c r="Z78" s="36">
        <f t="shared" si="75"/>
        <v>809770.5</v>
      </c>
      <c r="AA78" s="36">
        <f t="shared" si="75"/>
        <v>809770.5</v>
      </c>
      <c r="AB78" s="36">
        <f t="shared" si="75"/>
        <v>809770.5</v>
      </c>
      <c r="AC78" s="36">
        <f t="shared" si="75"/>
        <v>809770.5</v>
      </c>
      <c r="AD78" s="36">
        <f t="shared" si="75"/>
        <v>809770.5</v>
      </c>
      <c r="AE78" s="36">
        <f t="shared" si="75"/>
        <v>842161.32000000007</v>
      </c>
      <c r="AF78" s="36">
        <f t="shared" si="75"/>
        <v>842161.32000000007</v>
      </c>
      <c r="AG78" s="36">
        <f t="shared" si="75"/>
        <v>842161.32000000007</v>
      </c>
      <c r="AH78" s="36">
        <f t="shared" si="75"/>
        <v>842161.32000000007</v>
      </c>
      <c r="AI78" s="36">
        <f t="shared" si="75"/>
        <v>842161.32000000007</v>
      </c>
      <c r="AJ78" s="36">
        <f t="shared" si="75"/>
        <v>842161.32000000007</v>
      </c>
      <c r="AK78" s="36">
        <f t="shared" si="75"/>
        <v>842161.32000000007</v>
      </c>
      <c r="AL78" s="36">
        <f t="shared" si="75"/>
        <v>842161.32000000007</v>
      </c>
      <c r="AM78" s="36">
        <f t="shared" si="75"/>
        <v>842161.32000000007</v>
      </c>
      <c r="AN78" s="36">
        <f t="shared" si="75"/>
        <v>842161.32000000007</v>
      </c>
      <c r="AO78" s="36">
        <f t="shared" si="75"/>
        <v>842161.32000000007</v>
      </c>
      <c r="AP78" s="36">
        <f t="shared" si="75"/>
        <v>842161.32000000007</v>
      </c>
      <c r="AQ78" s="36">
        <f t="shared" si="75"/>
        <v>871636.96619999991</v>
      </c>
      <c r="AR78" s="36">
        <f t="shared" si="75"/>
        <v>871636.96619999991</v>
      </c>
      <c r="AS78" s="36">
        <f t="shared" si="75"/>
        <v>871636.96619999991</v>
      </c>
      <c r="AT78" s="36">
        <f t="shared" si="75"/>
        <v>871636.96619999991</v>
      </c>
      <c r="AU78" s="36">
        <f t="shared" si="75"/>
        <v>871636.96619999991</v>
      </c>
      <c r="AV78" s="36">
        <f t="shared" si="75"/>
        <v>871636.96619999991</v>
      </c>
      <c r="AW78" s="36">
        <f t="shared" si="75"/>
        <v>871636.96619999991</v>
      </c>
      <c r="AX78" s="36">
        <f t="shared" si="75"/>
        <v>871636.96619999991</v>
      </c>
      <c r="AY78" s="36">
        <f t="shared" si="75"/>
        <v>871636.96619999991</v>
      </c>
      <c r="AZ78" s="36">
        <f t="shared" si="75"/>
        <v>871636.96619999991</v>
      </c>
      <c r="BA78" s="36">
        <f t="shared" si="75"/>
        <v>871636.96619999991</v>
      </c>
      <c r="BB78" s="36">
        <f t="shared" si="75"/>
        <v>871636.96619999991</v>
      </c>
      <c r="BC78" s="36">
        <f t="shared" si="75"/>
        <v>897786.07518599997</v>
      </c>
      <c r="BD78" s="36">
        <f t="shared" si="75"/>
        <v>897786.07518599997</v>
      </c>
      <c r="BE78" s="36">
        <f t="shared" si="75"/>
        <v>897786.07518599997</v>
      </c>
      <c r="BF78" s="36">
        <f t="shared" si="75"/>
        <v>897786.07518599997</v>
      </c>
      <c r="BG78" s="36">
        <f t="shared" si="75"/>
        <v>897786.07518599997</v>
      </c>
      <c r="BH78" s="36">
        <f t="shared" si="75"/>
        <v>897786.07518599997</v>
      </c>
      <c r="BI78" s="36">
        <f t="shared" si="75"/>
        <v>897786.07518599997</v>
      </c>
      <c r="BJ78" s="36">
        <f t="shared" si="75"/>
        <v>897786.07518599997</v>
      </c>
      <c r="BK78" s="36">
        <f t="shared" si="75"/>
        <v>897786.07518599997</v>
      </c>
      <c r="BL78" s="36">
        <f t="shared" si="75"/>
        <v>897786.07518599997</v>
      </c>
      <c r="BM78" s="36">
        <f t="shared" si="75"/>
        <v>897786.07518599997</v>
      </c>
      <c r="BN78" s="36">
        <f t="shared" si="75"/>
        <v>897786.07518599997</v>
      </c>
      <c r="BO78" s="36">
        <f t="shared" si="75"/>
        <v>920230.72706564981</v>
      </c>
      <c r="BP78" s="36">
        <f t="shared" si="75"/>
        <v>920230.72706564981</v>
      </c>
      <c r="BQ78" s="36">
        <f t="shared" si="75"/>
        <v>920230.72706564981</v>
      </c>
      <c r="BR78" s="36">
        <f t="shared" ref="BR78" si="77">$C28*BR$210</f>
        <v>920230.72706564981</v>
      </c>
      <c r="BS78" s="36">
        <f t="shared" si="76"/>
        <v>920230.72706564981</v>
      </c>
      <c r="BT78" s="36">
        <f t="shared" si="76"/>
        <v>920230.72706564981</v>
      </c>
      <c r="BU78" s="36">
        <f t="shared" si="76"/>
        <v>920230.72706564981</v>
      </c>
      <c r="BV78" s="36">
        <f t="shared" si="76"/>
        <v>920230.72706564981</v>
      </c>
      <c r="BW78" s="36">
        <f t="shared" si="76"/>
        <v>920230.72706564981</v>
      </c>
      <c r="BX78" s="36">
        <f t="shared" si="76"/>
        <v>920230.72706564981</v>
      </c>
      <c r="BY78" s="36">
        <f t="shared" si="76"/>
        <v>920230.72706564981</v>
      </c>
      <c r="BZ78" s="36">
        <f t="shared" si="76"/>
        <v>920230.72706564981</v>
      </c>
      <c r="CA78" s="36">
        <f t="shared" si="76"/>
        <v>943236.49524229101</v>
      </c>
      <c r="CB78" s="36">
        <f t="shared" si="76"/>
        <v>943236.49524229101</v>
      </c>
      <c r="CC78" s="36">
        <f t="shared" si="76"/>
        <v>943236.49524229101</v>
      </c>
      <c r="CD78" s="36">
        <f t="shared" si="76"/>
        <v>943236.49524229101</v>
      </c>
      <c r="CE78" s="36">
        <f t="shared" si="76"/>
        <v>943236.49524229101</v>
      </c>
      <c r="CF78" s="36">
        <f t="shared" si="76"/>
        <v>943236.49524229101</v>
      </c>
      <c r="CG78" s="36">
        <f t="shared" si="76"/>
        <v>943236.49524229101</v>
      </c>
      <c r="CH78" s="36">
        <f t="shared" si="76"/>
        <v>943236.49524229101</v>
      </c>
      <c r="CI78" s="36">
        <f t="shared" si="76"/>
        <v>943236.49524229101</v>
      </c>
      <c r="CJ78" s="36">
        <f t="shared" si="76"/>
        <v>943236.49524229101</v>
      </c>
      <c r="CK78" s="36">
        <f t="shared" si="76"/>
        <v>943236.49524229101</v>
      </c>
      <c r="CL78" s="36">
        <f t="shared" si="76"/>
        <v>943236.49524229101</v>
      </c>
      <c r="CM78" s="36">
        <f t="shared" si="76"/>
        <v>966817.40762334829</v>
      </c>
      <c r="CN78" s="36">
        <f t="shared" si="76"/>
        <v>966817.40762334829</v>
      </c>
      <c r="CO78" s="36">
        <f t="shared" si="76"/>
        <v>966817.40762334829</v>
      </c>
      <c r="CP78" s="36">
        <f t="shared" si="76"/>
        <v>966817.40762334829</v>
      </c>
      <c r="CQ78" s="36">
        <f t="shared" si="76"/>
        <v>966817.40762334829</v>
      </c>
      <c r="CR78" s="36">
        <f t="shared" si="76"/>
        <v>966817.40762334829</v>
      </c>
      <c r="CS78" s="36">
        <f t="shared" si="76"/>
        <v>966817.40762334829</v>
      </c>
      <c r="CT78" s="36">
        <f t="shared" si="76"/>
        <v>966817.40762334829</v>
      </c>
      <c r="CU78" s="36">
        <f t="shared" si="76"/>
        <v>966817.40762334829</v>
      </c>
      <c r="CV78" s="36">
        <f t="shared" si="76"/>
        <v>966817.40762334829</v>
      </c>
      <c r="CW78" s="36">
        <f t="shared" si="76"/>
        <v>966817.40762334829</v>
      </c>
      <c r="CX78" s="36">
        <f t="shared" si="76"/>
        <v>966817.40762334829</v>
      </c>
      <c r="CY78" s="36">
        <f t="shared" si="76"/>
        <v>990987.84281393187</v>
      </c>
      <c r="CZ78" s="36">
        <f t="shared" si="76"/>
        <v>990987.84281393187</v>
      </c>
      <c r="DA78" s="36">
        <f t="shared" si="76"/>
        <v>990987.84281393187</v>
      </c>
      <c r="DB78" s="36">
        <f t="shared" si="76"/>
        <v>990987.84281393187</v>
      </c>
      <c r="DC78" s="36">
        <f t="shared" si="76"/>
        <v>990987.84281393187</v>
      </c>
      <c r="DD78" s="36">
        <f t="shared" si="76"/>
        <v>990987.84281393187</v>
      </c>
      <c r="DE78" s="36">
        <f t="shared" si="76"/>
        <v>990987.84281393187</v>
      </c>
      <c r="DF78" s="36">
        <f t="shared" si="76"/>
        <v>990987.84281393187</v>
      </c>
      <c r="DG78" s="36">
        <f t="shared" si="76"/>
        <v>990987.84281393187</v>
      </c>
      <c r="DH78" s="36">
        <f t="shared" si="76"/>
        <v>990987.84281393187</v>
      </c>
      <c r="DI78" s="36">
        <f t="shared" si="76"/>
        <v>990987.84281393187</v>
      </c>
      <c r="DJ78" s="36">
        <f t="shared" si="76"/>
        <v>990987.84281393187</v>
      </c>
      <c r="DK78" s="36">
        <f t="shared" si="76"/>
        <v>1015762.53888428</v>
      </c>
      <c r="DL78" s="36">
        <f t="shared" si="76"/>
        <v>1015762.53888428</v>
      </c>
      <c r="DM78" s="36">
        <f t="shared" si="76"/>
        <v>1015762.53888428</v>
      </c>
      <c r="DN78" s="36">
        <f t="shared" si="76"/>
        <v>1015762.53888428</v>
      </c>
      <c r="DO78" s="36">
        <f t="shared" si="76"/>
        <v>1015762.53888428</v>
      </c>
      <c r="DP78" s="36">
        <f t="shared" si="76"/>
        <v>1015762.53888428</v>
      </c>
      <c r="DQ78" s="36">
        <f t="shared" si="76"/>
        <v>1015762.53888428</v>
      </c>
      <c r="DR78" s="36">
        <f t="shared" si="76"/>
        <v>1015762.53888428</v>
      </c>
      <c r="DS78" s="36">
        <f t="shared" si="76"/>
        <v>1015762.53888428</v>
      </c>
      <c r="DT78" s="36">
        <f t="shared" si="76"/>
        <v>1015762.53888428</v>
      </c>
      <c r="DU78" s="36">
        <f t="shared" si="76"/>
        <v>1015762.53888428</v>
      </c>
      <c r="DV78" s="36">
        <f t="shared" si="76"/>
        <v>1015762.53888428</v>
      </c>
    </row>
    <row r="79" spans="2:126" outlineLevel="1">
      <c r="B79" s="3" t="str">
        <f>B53</f>
        <v>Property E</v>
      </c>
      <c r="C79" s="2"/>
      <c r="D79" s="2"/>
      <c r="E79" s="35" t="s">
        <v>0</v>
      </c>
      <c r="F79" s="35"/>
      <c r="G79" s="36">
        <f t="shared" ref="G79:BR79" si="78">$C29*G$210</f>
        <v>580650</v>
      </c>
      <c r="H79" s="36">
        <f t="shared" si="78"/>
        <v>580650</v>
      </c>
      <c r="I79" s="36">
        <f t="shared" si="78"/>
        <v>580650</v>
      </c>
      <c r="J79" s="36">
        <f t="shared" si="78"/>
        <v>580650</v>
      </c>
      <c r="K79" s="36">
        <f t="shared" si="78"/>
        <v>580650</v>
      </c>
      <c r="L79" s="36">
        <f t="shared" si="78"/>
        <v>580650</v>
      </c>
      <c r="M79" s="36">
        <f t="shared" si="78"/>
        <v>580650</v>
      </c>
      <c r="N79" s="36">
        <f t="shared" si="78"/>
        <v>580650</v>
      </c>
      <c r="O79" s="36">
        <f t="shared" si="78"/>
        <v>580650</v>
      </c>
      <c r="P79" s="36">
        <f t="shared" si="78"/>
        <v>580650</v>
      </c>
      <c r="Q79" s="36">
        <f t="shared" si="78"/>
        <v>580650</v>
      </c>
      <c r="R79" s="36">
        <f t="shared" si="78"/>
        <v>580650</v>
      </c>
      <c r="S79" s="36">
        <f t="shared" si="78"/>
        <v>606779.25</v>
      </c>
      <c r="T79" s="36">
        <f t="shared" si="78"/>
        <v>606779.25</v>
      </c>
      <c r="U79" s="36">
        <f t="shared" si="78"/>
        <v>606779.25</v>
      </c>
      <c r="V79" s="36">
        <f t="shared" si="78"/>
        <v>606779.25</v>
      </c>
      <c r="W79" s="36">
        <f t="shared" si="78"/>
        <v>606779.25</v>
      </c>
      <c r="X79" s="36">
        <f t="shared" si="78"/>
        <v>606779.25</v>
      </c>
      <c r="Y79" s="36">
        <f t="shared" si="78"/>
        <v>606779.25</v>
      </c>
      <c r="Z79" s="36">
        <f t="shared" si="78"/>
        <v>606779.25</v>
      </c>
      <c r="AA79" s="36">
        <f t="shared" si="78"/>
        <v>606779.25</v>
      </c>
      <c r="AB79" s="36">
        <f t="shared" si="78"/>
        <v>606779.25</v>
      </c>
      <c r="AC79" s="36">
        <f t="shared" si="78"/>
        <v>606779.25</v>
      </c>
      <c r="AD79" s="36">
        <f t="shared" si="78"/>
        <v>606779.25</v>
      </c>
      <c r="AE79" s="36">
        <f t="shared" si="78"/>
        <v>631050.42000000004</v>
      </c>
      <c r="AF79" s="36">
        <f t="shared" si="78"/>
        <v>631050.42000000004</v>
      </c>
      <c r="AG79" s="36">
        <f t="shared" si="78"/>
        <v>631050.42000000004</v>
      </c>
      <c r="AH79" s="36">
        <f t="shared" si="78"/>
        <v>631050.42000000004</v>
      </c>
      <c r="AI79" s="36">
        <f t="shared" si="78"/>
        <v>631050.42000000004</v>
      </c>
      <c r="AJ79" s="36">
        <f t="shared" si="78"/>
        <v>631050.42000000004</v>
      </c>
      <c r="AK79" s="36">
        <f t="shared" si="78"/>
        <v>631050.42000000004</v>
      </c>
      <c r="AL79" s="36">
        <f t="shared" si="78"/>
        <v>631050.42000000004</v>
      </c>
      <c r="AM79" s="36">
        <f t="shared" si="78"/>
        <v>631050.42000000004</v>
      </c>
      <c r="AN79" s="36">
        <f t="shared" si="78"/>
        <v>631050.42000000004</v>
      </c>
      <c r="AO79" s="36">
        <f t="shared" si="78"/>
        <v>631050.42000000004</v>
      </c>
      <c r="AP79" s="36">
        <f t="shared" si="78"/>
        <v>631050.42000000004</v>
      </c>
      <c r="AQ79" s="36">
        <f t="shared" si="78"/>
        <v>653137.18469999987</v>
      </c>
      <c r="AR79" s="36">
        <f t="shared" si="78"/>
        <v>653137.18469999987</v>
      </c>
      <c r="AS79" s="36">
        <f t="shared" si="78"/>
        <v>653137.18469999987</v>
      </c>
      <c r="AT79" s="36">
        <f t="shared" si="78"/>
        <v>653137.18469999987</v>
      </c>
      <c r="AU79" s="36">
        <f t="shared" si="78"/>
        <v>653137.18469999987</v>
      </c>
      <c r="AV79" s="36">
        <f t="shared" si="78"/>
        <v>653137.18469999987</v>
      </c>
      <c r="AW79" s="36">
        <f t="shared" si="78"/>
        <v>653137.18469999987</v>
      </c>
      <c r="AX79" s="36">
        <f t="shared" si="78"/>
        <v>653137.18469999987</v>
      </c>
      <c r="AY79" s="36">
        <f t="shared" si="78"/>
        <v>653137.18469999987</v>
      </c>
      <c r="AZ79" s="36">
        <f t="shared" si="78"/>
        <v>653137.18469999987</v>
      </c>
      <c r="BA79" s="36">
        <f t="shared" si="78"/>
        <v>653137.18469999987</v>
      </c>
      <c r="BB79" s="36">
        <f t="shared" si="78"/>
        <v>653137.18469999987</v>
      </c>
      <c r="BC79" s="36">
        <f t="shared" si="78"/>
        <v>672731.30024100002</v>
      </c>
      <c r="BD79" s="36">
        <f t="shared" si="78"/>
        <v>672731.30024100002</v>
      </c>
      <c r="BE79" s="36">
        <f t="shared" si="78"/>
        <v>672731.30024100002</v>
      </c>
      <c r="BF79" s="36">
        <f t="shared" si="78"/>
        <v>672731.30024100002</v>
      </c>
      <c r="BG79" s="36">
        <f t="shared" si="78"/>
        <v>672731.30024100002</v>
      </c>
      <c r="BH79" s="36">
        <f t="shared" si="78"/>
        <v>672731.30024100002</v>
      </c>
      <c r="BI79" s="36">
        <f t="shared" si="78"/>
        <v>672731.30024100002</v>
      </c>
      <c r="BJ79" s="36">
        <f t="shared" si="78"/>
        <v>672731.30024100002</v>
      </c>
      <c r="BK79" s="36">
        <f t="shared" si="78"/>
        <v>672731.30024100002</v>
      </c>
      <c r="BL79" s="36">
        <f t="shared" si="78"/>
        <v>672731.30024100002</v>
      </c>
      <c r="BM79" s="36">
        <f t="shared" si="78"/>
        <v>672731.30024100002</v>
      </c>
      <c r="BN79" s="36">
        <f t="shared" si="78"/>
        <v>672731.30024100002</v>
      </c>
      <c r="BO79" s="36">
        <f t="shared" si="78"/>
        <v>689549.58274702495</v>
      </c>
      <c r="BP79" s="36">
        <f t="shared" si="78"/>
        <v>689549.58274702495</v>
      </c>
      <c r="BQ79" s="36">
        <f t="shared" si="78"/>
        <v>689549.58274702495</v>
      </c>
      <c r="BR79" s="36">
        <f t="shared" si="78"/>
        <v>689549.58274702495</v>
      </c>
      <c r="BS79" s="36">
        <f t="shared" si="76"/>
        <v>689549.58274702495</v>
      </c>
      <c r="BT79" s="36">
        <f t="shared" si="76"/>
        <v>689549.58274702495</v>
      </c>
      <c r="BU79" s="36">
        <f t="shared" si="76"/>
        <v>689549.58274702495</v>
      </c>
      <c r="BV79" s="36">
        <f t="shared" si="76"/>
        <v>689549.58274702495</v>
      </c>
      <c r="BW79" s="36">
        <f t="shared" si="76"/>
        <v>689549.58274702495</v>
      </c>
      <c r="BX79" s="36">
        <f t="shared" si="76"/>
        <v>689549.58274702495</v>
      </c>
      <c r="BY79" s="36">
        <f t="shared" si="76"/>
        <v>689549.58274702495</v>
      </c>
      <c r="BZ79" s="36">
        <f t="shared" si="76"/>
        <v>689549.58274702495</v>
      </c>
      <c r="CA79" s="36">
        <f t="shared" si="76"/>
        <v>706788.32231570047</v>
      </c>
      <c r="CB79" s="36">
        <f t="shared" si="76"/>
        <v>706788.32231570047</v>
      </c>
      <c r="CC79" s="36">
        <f t="shared" si="76"/>
        <v>706788.32231570047</v>
      </c>
      <c r="CD79" s="36">
        <f t="shared" si="76"/>
        <v>706788.32231570047</v>
      </c>
      <c r="CE79" s="36">
        <f t="shared" si="76"/>
        <v>706788.32231570047</v>
      </c>
      <c r="CF79" s="36">
        <f t="shared" si="76"/>
        <v>706788.32231570047</v>
      </c>
      <c r="CG79" s="36">
        <f t="shared" si="76"/>
        <v>706788.32231570047</v>
      </c>
      <c r="CH79" s="36">
        <f t="shared" si="76"/>
        <v>706788.32231570047</v>
      </c>
      <c r="CI79" s="36">
        <f t="shared" si="76"/>
        <v>706788.32231570047</v>
      </c>
      <c r="CJ79" s="36">
        <f t="shared" si="76"/>
        <v>706788.32231570047</v>
      </c>
      <c r="CK79" s="36">
        <f t="shared" si="76"/>
        <v>706788.32231570047</v>
      </c>
      <c r="CL79" s="36">
        <f t="shared" si="76"/>
        <v>706788.32231570047</v>
      </c>
      <c r="CM79" s="36">
        <f t="shared" si="76"/>
        <v>724458.03037359298</v>
      </c>
      <c r="CN79" s="36">
        <f t="shared" si="76"/>
        <v>724458.03037359298</v>
      </c>
      <c r="CO79" s="36">
        <f t="shared" si="76"/>
        <v>724458.03037359298</v>
      </c>
      <c r="CP79" s="36">
        <f t="shared" si="76"/>
        <v>724458.03037359298</v>
      </c>
      <c r="CQ79" s="36">
        <f t="shared" si="76"/>
        <v>724458.03037359298</v>
      </c>
      <c r="CR79" s="36">
        <f t="shared" si="76"/>
        <v>724458.03037359298</v>
      </c>
      <c r="CS79" s="36">
        <f t="shared" si="76"/>
        <v>724458.03037359298</v>
      </c>
      <c r="CT79" s="36">
        <f t="shared" si="76"/>
        <v>724458.03037359298</v>
      </c>
      <c r="CU79" s="36">
        <f t="shared" si="76"/>
        <v>724458.03037359298</v>
      </c>
      <c r="CV79" s="36">
        <f t="shared" si="76"/>
        <v>724458.03037359298</v>
      </c>
      <c r="CW79" s="36">
        <f t="shared" si="76"/>
        <v>724458.03037359298</v>
      </c>
      <c r="CX79" s="36">
        <f t="shared" ref="CX79:DV79" si="79">$C29*CX$210</f>
        <v>724458.03037359298</v>
      </c>
      <c r="CY79" s="36">
        <f t="shared" si="79"/>
        <v>742569.48113293271</v>
      </c>
      <c r="CZ79" s="36">
        <f t="shared" si="79"/>
        <v>742569.48113293271</v>
      </c>
      <c r="DA79" s="36">
        <f t="shared" si="79"/>
        <v>742569.48113293271</v>
      </c>
      <c r="DB79" s="36">
        <f t="shared" si="79"/>
        <v>742569.48113293271</v>
      </c>
      <c r="DC79" s="36">
        <f t="shared" si="79"/>
        <v>742569.48113293271</v>
      </c>
      <c r="DD79" s="36">
        <f t="shared" si="79"/>
        <v>742569.48113293271</v>
      </c>
      <c r="DE79" s="36">
        <f t="shared" si="79"/>
        <v>742569.48113293271</v>
      </c>
      <c r="DF79" s="36">
        <f t="shared" si="79"/>
        <v>742569.48113293271</v>
      </c>
      <c r="DG79" s="36">
        <f t="shared" si="79"/>
        <v>742569.48113293271</v>
      </c>
      <c r="DH79" s="36">
        <f t="shared" si="79"/>
        <v>742569.48113293271</v>
      </c>
      <c r="DI79" s="36">
        <f t="shared" si="79"/>
        <v>742569.48113293271</v>
      </c>
      <c r="DJ79" s="36">
        <f t="shared" si="79"/>
        <v>742569.48113293271</v>
      </c>
      <c r="DK79" s="36">
        <f t="shared" si="79"/>
        <v>761133.71816125594</v>
      </c>
      <c r="DL79" s="36">
        <f t="shared" si="79"/>
        <v>761133.71816125594</v>
      </c>
      <c r="DM79" s="36">
        <f t="shared" si="79"/>
        <v>761133.71816125594</v>
      </c>
      <c r="DN79" s="36">
        <f t="shared" si="79"/>
        <v>761133.71816125594</v>
      </c>
      <c r="DO79" s="36">
        <f t="shared" si="79"/>
        <v>761133.71816125594</v>
      </c>
      <c r="DP79" s="36">
        <f t="shared" si="79"/>
        <v>761133.71816125594</v>
      </c>
      <c r="DQ79" s="36">
        <f t="shared" si="79"/>
        <v>761133.71816125594</v>
      </c>
      <c r="DR79" s="36">
        <f t="shared" si="79"/>
        <v>761133.71816125594</v>
      </c>
      <c r="DS79" s="36">
        <f t="shared" si="79"/>
        <v>761133.71816125594</v>
      </c>
      <c r="DT79" s="36">
        <f t="shared" si="79"/>
        <v>761133.71816125594</v>
      </c>
      <c r="DU79" s="36">
        <f t="shared" si="79"/>
        <v>761133.71816125594</v>
      </c>
      <c r="DV79" s="36">
        <f t="shared" si="79"/>
        <v>761133.71816125594</v>
      </c>
    </row>
    <row r="80" spans="2:126" outlineLevel="1">
      <c r="B80" s="2"/>
      <c r="C80" s="2"/>
      <c r="D80" s="2"/>
      <c r="E80" s="35"/>
      <c r="F80" s="35"/>
      <c r="G80" s="2"/>
      <c r="H80" s="2"/>
      <c r="I80" s="3"/>
      <c r="J80" s="3"/>
      <c r="K80" s="2"/>
    </row>
    <row r="81" spans="2:126" outlineLevel="1">
      <c r="B81" s="6" t="s">
        <v>68</v>
      </c>
      <c r="C81" s="2"/>
      <c r="D81" s="2"/>
      <c r="E81" s="41" t="s">
        <v>0</v>
      </c>
      <c r="F81" s="35"/>
      <c r="G81" s="42">
        <f t="shared" ref="G81:BR81" si="80">SUBTOTAL(9,G82:G91)</f>
        <v>0</v>
      </c>
      <c r="H81" s="42">
        <f t="shared" si="80"/>
        <v>0</v>
      </c>
      <c r="I81" s="42">
        <f t="shared" si="80"/>
        <v>0</v>
      </c>
      <c r="J81" s="42">
        <f t="shared" si="80"/>
        <v>0</v>
      </c>
      <c r="K81" s="42">
        <f t="shared" si="80"/>
        <v>0</v>
      </c>
      <c r="L81" s="42">
        <f t="shared" si="80"/>
        <v>0</v>
      </c>
      <c r="M81" s="42">
        <f t="shared" si="80"/>
        <v>0</v>
      </c>
      <c r="N81" s="42">
        <f t="shared" si="80"/>
        <v>0</v>
      </c>
      <c r="O81" s="42">
        <f t="shared" si="80"/>
        <v>0</v>
      </c>
      <c r="P81" s="42">
        <f t="shared" si="80"/>
        <v>0</v>
      </c>
      <c r="Q81" s="42">
        <f t="shared" si="80"/>
        <v>0</v>
      </c>
      <c r="R81" s="42">
        <f t="shared" si="80"/>
        <v>0</v>
      </c>
      <c r="S81" s="42">
        <f t="shared" si="80"/>
        <v>0</v>
      </c>
      <c r="T81" s="42">
        <f t="shared" si="80"/>
        <v>0</v>
      </c>
      <c r="U81" s="42">
        <f t="shared" si="80"/>
        <v>0</v>
      </c>
      <c r="V81" s="42">
        <f t="shared" si="80"/>
        <v>0</v>
      </c>
      <c r="W81" s="42">
        <f t="shared" si="80"/>
        <v>0</v>
      </c>
      <c r="X81" s="42">
        <f t="shared" si="80"/>
        <v>0</v>
      </c>
      <c r="Y81" s="42">
        <f t="shared" si="80"/>
        <v>0</v>
      </c>
      <c r="Z81" s="42">
        <f t="shared" si="80"/>
        <v>484984.5</v>
      </c>
      <c r="AA81" s="42">
        <f t="shared" si="80"/>
        <v>905231.25</v>
      </c>
      <c r="AB81" s="42">
        <f t="shared" si="80"/>
        <v>905231.25</v>
      </c>
      <c r="AC81" s="42">
        <f t="shared" si="80"/>
        <v>905231.25</v>
      </c>
      <c r="AD81" s="42">
        <f t="shared" si="80"/>
        <v>905231.25</v>
      </c>
      <c r="AE81" s="42">
        <f t="shared" si="80"/>
        <v>941440.5</v>
      </c>
      <c r="AF81" s="42">
        <f t="shared" si="80"/>
        <v>1508587.08</v>
      </c>
      <c r="AG81" s="42">
        <f t="shared" si="80"/>
        <v>1508587.08</v>
      </c>
      <c r="AH81" s="42">
        <f t="shared" si="80"/>
        <v>1508587.08</v>
      </c>
      <c r="AI81" s="42">
        <f t="shared" si="80"/>
        <v>1508587.08</v>
      </c>
      <c r="AJ81" s="42">
        <f t="shared" si="80"/>
        <v>1508587.08</v>
      </c>
      <c r="AK81" s="42">
        <f t="shared" si="80"/>
        <v>1508587.08</v>
      </c>
      <c r="AL81" s="42">
        <f t="shared" si="80"/>
        <v>1508587.08</v>
      </c>
      <c r="AM81" s="42">
        <f t="shared" si="80"/>
        <v>1508587.08</v>
      </c>
      <c r="AN81" s="42">
        <f t="shared" si="80"/>
        <v>2601799.1999999997</v>
      </c>
      <c r="AO81" s="42">
        <f t="shared" si="80"/>
        <v>2601799.1999999997</v>
      </c>
      <c r="AP81" s="42">
        <f t="shared" si="80"/>
        <v>3277354.0799999996</v>
      </c>
      <c r="AQ81" s="42">
        <f t="shared" si="80"/>
        <v>3392061.4727999996</v>
      </c>
      <c r="AR81" s="42">
        <f t="shared" si="80"/>
        <v>3392061.4727999996</v>
      </c>
      <c r="AS81" s="42">
        <f t="shared" si="80"/>
        <v>3392061.4727999996</v>
      </c>
      <c r="AT81" s="42">
        <f t="shared" si="80"/>
        <v>3392061.4727999996</v>
      </c>
      <c r="AU81" s="42">
        <f t="shared" si="80"/>
        <v>3392061.4727999996</v>
      </c>
      <c r="AV81" s="42">
        <f t="shared" si="80"/>
        <v>3392061.4727999996</v>
      </c>
      <c r="AW81" s="42">
        <f t="shared" si="80"/>
        <v>3392061.4727999996</v>
      </c>
      <c r="AX81" s="42">
        <f t="shared" si="80"/>
        <v>3392061.4727999996</v>
      </c>
      <c r="AY81" s="42">
        <f t="shared" si="80"/>
        <v>3392061.4727999996</v>
      </c>
      <c r="AZ81" s="42">
        <f t="shared" si="80"/>
        <v>3392061.4727999996</v>
      </c>
      <c r="BA81" s="42">
        <f t="shared" si="80"/>
        <v>3392061.4727999996</v>
      </c>
      <c r="BB81" s="42">
        <f t="shared" si="80"/>
        <v>3392061.4727999996</v>
      </c>
      <c r="BC81" s="42">
        <f t="shared" si="80"/>
        <v>3493823.3169839997</v>
      </c>
      <c r="BD81" s="42">
        <f t="shared" si="80"/>
        <v>3493823.3169839997</v>
      </c>
      <c r="BE81" s="42">
        <f t="shared" si="80"/>
        <v>5038793.9341740003</v>
      </c>
      <c r="BF81" s="42">
        <f t="shared" si="80"/>
        <v>5038793.9341740003</v>
      </c>
      <c r="BG81" s="42">
        <f t="shared" si="80"/>
        <v>5038793.9341740003</v>
      </c>
      <c r="BH81" s="42">
        <f t="shared" si="80"/>
        <v>5038793.9341740003</v>
      </c>
      <c r="BI81" s="42">
        <f t="shared" si="80"/>
        <v>5038793.9341740003</v>
      </c>
      <c r="BJ81" s="42">
        <f t="shared" si="80"/>
        <v>5038793.9341740003</v>
      </c>
      <c r="BK81" s="42">
        <f t="shared" si="80"/>
        <v>5038793.9341740003</v>
      </c>
      <c r="BL81" s="42">
        <f t="shared" si="80"/>
        <v>5038793.9341740003</v>
      </c>
      <c r="BM81" s="42">
        <f t="shared" si="80"/>
        <v>5038793.9341740003</v>
      </c>
      <c r="BN81" s="42">
        <f t="shared" si="80"/>
        <v>5038793.9341740003</v>
      </c>
      <c r="BO81" s="42">
        <f t="shared" si="80"/>
        <v>5164763.7825283492</v>
      </c>
      <c r="BP81" s="42">
        <f t="shared" si="80"/>
        <v>5164763.7825283492</v>
      </c>
      <c r="BQ81" s="42">
        <f t="shared" si="80"/>
        <v>5164763.7825283492</v>
      </c>
      <c r="BR81" s="42">
        <f t="shared" si="80"/>
        <v>6097463.7606382491</v>
      </c>
      <c r="BS81" s="42">
        <f t="shared" ref="BS81:DV81" si="81">SUBTOTAL(9,BS82:BS91)</f>
        <v>6097463.7606382491</v>
      </c>
      <c r="BT81" s="42">
        <f t="shared" si="81"/>
        <v>6097463.7606382491</v>
      </c>
      <c r="BU81" s="42">
        <f t="shared" si="81"/>
        <v>6097463.7606382491</v>
      </c>
      <c r="BV81" s="42">
        <f t="shared" si="81"/>
        <v>6097463.7606382491</v>
      </c>
      <c r="BW81" s="42">
        <f t="shared" si="81"/>
        <v>6097463.7606382491</v>
      </c>
      <c r="BX81" s="42">
        <f t="shared" si="81"/>
        <v>6097463.7606382491</v>
      </c>
      <c r="BY81" s="42">
        <f t="shared" si="81"/>
        <v>6097463.7606382491</v>
      </c>
      <c r="BZ81" s="42">
        <f t="shared" si="81"/>
        <v>7055102.2408366492</v>
      </c>
      <c r="CA81" s="42">
        <f t="shared" si="81"/>
        <v>7231479.7968575638</v>
      </c>
      <c r="CB81" s="42">
        <f t="shared" si="81"/>
        <v>7231479.7968575638</v>
      </c>
      <c r="CC81" s="42">
        <f t="shared" si="81"/>
        <v>7231479.7968575638</v>
      </c>
      <c r="CD81" s="42">
        <f t="shared" si="81"/>
        <v>7231479.7968575638</v>
      </c>
      <c r="CE81" s="42">
        <f t="shared" si="81"/>
        <v>7231479.7968575638</v>
      </c>
      <c r="CF81" s="42">
        <f t="shared" si="81"/>
        <v>7231479.7968575638</v>
      </c>
      <c r="CG81" s="42">
        <f t="shared" si="81"/>
        <v>7231479.7968575638</v>
      </c>
      <c r="CH81" s="42">
        <f t="shared" si="81"/>
        <v>7231479.7968575638</v>
      </c>
      <c r="CI81" s="42">
        <f t="shared" si="81"/>
        <v>7231479.7968575638</v>
      </c>
      <c r="CJ81" s="42">
        <f t="shared" si="81"/>
        <v>7231479.7968575638</v>
      </c>
      <c r="CK81" s="42">
        <f t="shared" si="81"/>
        <v>7231479.7968575638</v>
      </c>
      <c r="CL81" s="42">
        <f t="shared" si="81"/>
        <v>7231479.7968575638</v>
      </c>
      <c r="CM81" s="42">
        <f t="shared" si="81"/>
        <v>7412266.7917790022</v>
      </c>
      <c r="CN81" s="42">
        <f t="shared" si="81"/>
        <v>7412266.7917790022</v>
      </c>
      <c r="CO81" s="42">
        <f t="shared" si="81"/>
        <v>7412266.7917790022</v>
      </c>
      <c r="CP81" s="42">
        <f t="shared" si="81"/>
        <v>7412266.7917790022</v>
      </c>
      <c r="CQ81" s="42">
        <f t="shared" si="81"/>
        <v>7412266.7917790022</v>
      </c>
      <c r="CR81" s="42">
        <f t="shared" si="81"/>
        <v>7412266.7917790022</v>
      </c>
      <c r="CS81" s="42">
        <f t="shared" si="81"/>
        <v>7412266.7917790022</v>
      </c>
      <c r="CT81" s="42">
        <f t="shared" si="81"/>
        <v>7412266.7917790022</v>
      </c>
      <c r="CU81" s="42">
        <f t="shared" si="81"/>
        <v>7412266.7917790022</v>
      </c>
      <c r="CV81" s="42">
        <f t="shared" si="81"/>
        <v>7412266.7917790022</v>
      </c>
      <c r="CW81" s="42">
        <f t="shared" si="81"/>
        <v>7412266.7917790022</v>
      </c>
      <c r="CX81" s="42">
        <f t="shared" si="81"/>
        <v>7412266.7917790022</v>
      </c>
      <c r="CY81" s="42">
        <f t="shared" si="81"/>
        <v>7597573.461573476</v>
      </c>
      <c r="CZ81" s="42">
        <f t="shared" si="81"/>
        <v>7597573.461573476</v>
      </c>
      <c r="DA81" s="42">
        <f t="shared" si="81"/>
        <v>7597573.461573476</v>
      </c>
      <c r="DB81" s="42">
        <f t="shared" si="81"/>
        <v>7597573.461573476</v>
      </c>
      <c r="DC81" s="42">
        <f t="shared" si="81"/>
        <v>7597573.461573476</v>
      </c>
      <c r="DD81" s="42">
        <f t="shared" si="81"/>
        <v>7597573.461573476</v>
      </c>
      <c r="DE81" s="42">
        <f t="shared" si="81"/>
        <v>7597573.461573476</v>
      </c>
      <c r="DF81" s="42">
        <f t="shared" si="81"/>
        <v>7597573.461573476</v>
      </c>
      <c r="DG81" s="42">
        <f t="shared" si="81"/>
        <v>7597573.461573476</v>
      </c>
      <c r="DH81" s="42">
        <f t="shared" si="81"/>
        <v>7597573.461573476</v>
      </c>
      <c r="DI81" s="42">
        <f t="shared" si="81"/>
        <v>7597573.461573476</v>
      </c>
      <c r="DJ81" s="42">
        <f t="shared" si="81"/>
        <v>7597573.461573476</v>
      </c>
      <c r="DK81" s="42">
        <f t="shared" si="81"/>
        <v>7787512.7981128143</v>
      </c>
      <c r="DL81" s="42">
        <f t="shared" si="81"/>
        <v>7787512.7981128143</v>
      </c>
      <c r="DM81" s="42">
        <f t="shared" si="81"/>
        <v>7787512.7981128143</v>
      </c>
      <c r="DN81" s="42">
        <f t="shared" si="81"/>
        <v>7787512.7981128143</v>
      </c>
      <c r="DO81" s="42">
        <f t="shared" si="81"/>
        <v>7787512.7981128143</v>
      </c>
      <c r="DP81" s="42">
        <f t="shared" si="81"/>
        <v>7787512.7981128143</v>
      </c>
      <c r="DQ81" s="42">
        <f t="shared" si="81"/>
        <v>7787512.7981128143</v>
      </c>
      <c r="DR81" s="42">
        <f t="shared" si="81"/>
        <v>7787512.7981128143</v>
      </c>
      <c r="DS81" s="42">
        <f t="shared" si="81"/>
        <v>7787512.7981128143</v>
      </c>
      <c r="DT81" s="42">
        <f t="shared" si="81"/>
        <v>7787512.7981128143</v>
      </c>
      <c r="DU81" s="42">
        <f t="shared" si="81"/>
        <v>7787512.7981128143</v>
      </c>
      <c r="DV81" s="42">
        <f t="shared" si="81"/>
        <v>7787512.7981128143</v>
      </c>
    </row>
    <row r="82" spans="2:126" outlineLevel="1">
      <c r="B82" s="3" t="str">
        <f t="shared" ref="B82:B91" si="82">B56</f>
        <v>Property F</v>
      </c>
      <c r="C82" s="2"/>
      <c r="D82" s="2"/>
      <c r="E82" s="35" t="s">
        <v>0</v>
      </c>
      <c r="F82" s="35"/>
      <c r="G82" s="36">
        <f t="shared" ref="G82:BR85" si="83">$C32*G$210*MIN(G179,1)</f>
        <v>0</v>
      </c>
      <c r="H82" s="36">
        <f t="shared" si="83"/>
        <v>0</v>
      </c>
      <c r="I82" s="36">
        <f t="shared" si="83"/>
        <v>0</v>
      </c>
      <c r="J82" s="36">
        <f t="shared" si="83"/>
        <v>0</v>
      </c>
      <c r="K82" s="36">
        <f t="shared" si="83"/>
        <v>0</v>
      </c>
      <c r="L82" s="36">
        <f t="shared" si="83"/>
        <v>0</v>
      </c>
      <c r="M82" s="36">
        <f t="shared" si="83"/>
        <v>0</v>
      </c>
      <c r="N82" s="36">
        <f t="shared" si="83"/>
        <v>0</v>
      </c>
      <c r="O82" s="36">
        <f t="shared" si="83"/>
        <v>0</v>
      </c>
      <c r="P82" s="36">
        <f t="shared" si="83"/>
        <v>0</v>
      </c>
      <c r="Q82" s="36">
        <f t="shared" si="83"/>
        <v>0</v>
      </c>
      <c r="R82" s="36">
        <f t="shared" si="83"/>
        <v>0</v>
      </c>
      <c r="S82" s="36">
        <f t="shared" si="83"/>
        <v>0</v>
      </c>
      <c r="T82" s="36">
        <f t="shared" si="83"/>
        <v>0</v>
      </c>
      <c r="U82" s="36">
        <f t="shared" si="83"/>
        <v>0</v>
      </c>
      <c r="V82" s="36">
        <f t="shared" si="83"/>
        <v>0</v>
      </c>
      <c r="W82" s="36">
        <f t="shared" si="83"/>
        <v>0</v>
      </c>
      <c r="X82" s="36">
        <f t="shared" si="83"/>
        <v>0</v>
      </c>
      <c r="Y82" s="36">
        <f t="shared" si="83"/>
        <v>0</v>
      </c>
      <c r="Z82" s="36">
        <f t="shared" si="83"/>
        <v>484984.5</v>
      </c>
      <c r="AA82" s="36">
        <f t="shared" si="83"/>
        <v>484984.5</v>
      </c>
      <c r="AB82" s="36">
        <f t="shared" si="83"/>
        <v>484984.5</v>
      </c>
      <c r="AC82" s="36">
        <f t="shared" si="83"/>
        <v>484984.5</v>
      </c>
      <c r="AD82" s="36">
        <f t="shared" si="83"/>
        <v>484984.5</v>
      </c>
      <c r="AE82" s="36">
        <f t="shared" si="83"/>
        <v>504383.88</v>
      </c>
      <c r="AF82" s="36">
        <f t="shared" si="83"/>
        <v>504383.88</v>
      </c>
      <c r="AG82" s="36">
        <f t="shared" si="83"/>
        <v>504383.88</v>
      </c>
      <c r="AH82" s="36">
        <f t="shared" si="83"/>
        <v>504383.88</v>
      </c>
      <c r="AI82" s="36">
        <f t="shared" si="83"/>
        <v>504383.88</v>
      </c>
      <c r="AJ82" s="36">
        <f t="shared" si="83"/>
        <v>504383.88</v>
      </c>
      <c r="AK82" s="36">
        <f t="shared" si="83"/>
        <v>504383.88</v>
      </c>
      <c r="AL82" s="36">
        <f t="shared" si="83"/>
        <v>504383.88</v>
      </c>
      <c r="AM82" s="36">
        <f t="shared" si="83"/>
        <v>504383.88</v>
      </c>
      <c r="AN82" s="36">
        <f t="shared" si="83"/>
        <v>504383.88</v>
      </c>
      <c r="AO82" s="36">
        <f t="shared" si="83"/>
        <v>504383.88</v>
      </c>
      <c r="AP82" s="36">
        <f t="shared" si="83"/>
        <v>504383.88</v>
      </c>
      <c r="AQ82" s="36">
        <f t="shared" si="83"/>
        <v>522037.31579999992</v>
      </c>
      <c r="AR82" s="36">
        <f t="shared" si="83"/>
        <v>522037.31579999992</v>
      </c>
      <c r="AS82" s="36">
        <f t="shared" si="83"/>
        <v>522037.31579999992</v>
      </c>
      <c r="AT82" s="36">
        <f t="shared" si="83"/>
        <v>522037.31579999992</v>
      </c>
      <c r="AU82" s="36">
        <f t="shared" si="83"/>
        <v>522037.31579999992</v>
      </c>
      <c r="AV82" s="36">
        <f t="shared" si="83"/>
        <v>522037.31579999992</v>
      </c>
      <c r="AW82" s="36">
        <f t="shared" si="83"/>
        <v>522037.31579999992</v>
      </c>
      <c r="AX82" s="36">
        <f t="shared" si="83"/>
        <v>522037.31579999992</v>
      </c>
      <c r="AY82" s="36">
        <f t="shared" si="83"/>
        <v>522037.31579999992</v>
      </c>
      <c r="AZ82" s="36">
        <f t="shared" si="83"/>
        <v>522037.31579999992</v>
      </c>
      <c r="BA82" s="36">
        <f t="shared" si="83"/>
        <v>522037.31579999992</v>
      </c>
      <c r="BB82" s="36">
        <f t="shared" si="83"/>
        <v>522037.31579999992</v>
      </c>
      <c r="BC82" s="36">
        <f t="shared" si="83"/>
        <v>537698.43527399993</v>
      </c>
      <c r="BD82" s="36">
        <f t="shared" si="83"/>
        <v>537698.43527399993</v>
      </c>
      <c r="BE82" s="36">
        <f t="shared" si="83"/>
        <v>537698.43527399993</v>
      </c>
      <c r="BF82" s="36">
        <f t="shared" si="83"/>
        <v>537698.43527399993</v>
      </c>
      <c r="BG82" s="36">
        <f t="shared" si="83"/>
        <v>537698.43527399993</v>
      </c>
      <c r="BH82" s="36">
        <f t="shared" si="83"/>
        <v>537698.43527399993</v>
      </c>
      <c r="BI82" s="36">
        <f t="shared" si="83"/>
        <v>537698.43527399993</v>
      </c>
      <c r="BJ82" s="36">
        <f t="shared" si="83"/>
        <v>537698.43527399993</v>
      </c>
      <c r="BK82" s="36">
        <f t="shared" si="83"/>
        <v>537698.43527399993</v>
      </c>
      <c r="BL82" s="36">
        <f t="shared" si="83"/>
        <v>537698.43527399993</v>
      </c>
      <c r="BM82" s="36">
        <f t="shared" si="83"/>
        <v>537698.43527399993</v>
      </c>
      <c r="BN82" s="36">
        <f t="shared" si="83"/>
        <v>537698.43527399993</v>
      </c>
      <c r="BO82" s="36">
        <f t="shared" si="83"/>
        <v>551140.89615584991</v>
      </c>
      <c r="BP82" s="36">
        <f t="shared" si="83"/>
        <v>551140.89615584991</v>
      </c>
      <c r="BQ82" s="36">
        <f t="shared" si="83"/>
        <v>551140.89615584991</v>
      </c>
      <c r="BR82" s="36">
        <f t="shared" si="83"/>
        <v>551140.89615584991</v>
      </c>
      <c r="BS82" s="36">
        <f t="shared" ref="BS82:DV86" si="84">$C32*BS$210*MIN(BS179,1)</f>
        <v>551140.89615584991</v>
      </c>
      <c r="BT82" s="36">
        <f t="shared" si="84"/>
        <v>551140.89615584991</v>
      </c>
      <c r="BU82" s="36">
        <f t="shared" si="84"/>
        <v>551140.89615584991</v>
      </c>
      <c r="BV82" s="36">
        <f t="shared" si="84"/>
        <v>551140.89615584991</v>
      </c>
      <c r="BW82" s="36">
        <f t="shared" si="84"/>
        <v>551140.89615584991</v>
      </c>
      <c r="BX82" s="36">
        <f t="shared" si="84"/>
        <v>551140.89615584991</v>
      </c>
      <c r="BY82" s="36">
        <f t="shared" si="84"/>
        <v>551140.89615584991</v>
      </c>
      <c r="BZ82" s="36">
        <f t="shared" si="84"/>
        <v>551140.89615584991</v>
      </c>
      <c r="CA82" s="36">
        <f t="shared" si="84"/>
        <v>564919.41855974612</v>
      </c>
      <c r="CB82" s="36">
        <f t="shared" si="84"/>
        <v>564919.41855974612</v>
      </c>
      <c r="CC82" s="36">
        <f t="shared" si="84"/>
        <v>564919.41855974612</v>
      </c>
      <c r="CD82" s="36">
        <f t="shared" si="84"/>
        <v>564919.41855974612</v>
      </c>
      <c r="CE82" s="36">
        <f t="shared" si="84"/>
        <v>564919.41855974612</v>
      </c>
      <c r="CF82" s="36">
        <f t="shared" si="84"/>
        <v>564919.41855974612</v>
      </c>
      <c r="CG82" s="36">
        <f t="shared" si="84"/>
        <v>564919.41855974612</v>
      </c>
      <c r="CH82" s="36">
        <f t="shared" si="84"/>
        <v>564919.41855974612</v>
      </c>
      <c r="CI82" s="36">
        <f t="shared" si="84"/>
        <v>564919.41855974612</v>
      </c>
      <c r="CJ82" s="36">
        <f t="shared" si="84"/>
        <v>564919.41855974612</v>
      </c>
      <c r="CK82" s="36">
        <f t="shared" si="84"/>
        <v>564919.41855974612</v>
      </c>
      <c r="CL82" s="36">
        <f t="shared" si="84"/>
        <v>564919.41855974612</v>
      </c>
      <c r="CM82" s="36">
        <f t="shared" si="84"/>
        <v>579042.40402373974</v>
      </c>
      <c r="CN82" s="36">
        <f t="shared" si="84"/>
        <v>579042.40402373974</v>
      </c>
      <c r="CO82" s="36">
        <f t="shared" si="84"/>
        <v>579042.40402373974</v>
      </c>
      <c r="CP82" s="36">
        <f t="shared" si="84"/>
        <v>579042.40402373974</v>
      </c>
      <c r="CQ82" s="36">
        <f t="shared" si="84"/>
        <v>579042.40402373974</v>
      </c>
      <c r="CR82" s="36">
        <f t="shared" si="84"/>
        <v>579042.40402373974</v>
      </c>
      <c r="CS82" s="36">
        <f t="shared" si="84"/>
        <v>579042.40402373974</v>
      </c>
      <c r="CT82" s="36">
        <f t="shared" si="84"/>
        <v>579042.40402373974</v>
      </c>
      <c r="CU82" s="36">
        <f t="shared" si="84"/>
        <v>579042.40402373974</v>
      </c>
      <c r="CV82" s="36">
        <f t="shared" si="84"/>
        <v>579042.40402373974</v>
      </c>
      <c r="CW82" s="36">
        <f t="shared" si="84"/>
        <v>579042.40402373974</v>
      </c>
      <c r="CX82" s="36">
        <f t="shared" si="84"/>
        <v>579042.40402373974</v>
      </c>
      <c r="CY82" s="36">
        <f t="shared" si="84"/>
        <v>593518.46412433311</v>
      </c>
      <c r="CZ82" s="36">
        <f t="shared" si="84"/>
        <v>593518.46412433311</v>
      </c>
      <c r="DA82" s="36">
        <f t="shared" si="84"/>
        <v>593518.46412433311</v>
      </c>
      <c r="DB82" s="36">
        <f t="shared" si="84"/>
        <v>593518.46412433311</v>
      </c>
      <c r="DC82" s="36">
        <f t="shared" si="84"/>
        <v>593518.46412433311</v>
      </c>
      <c r="DD82" s="36">
        <f t="shared" si="84"/>
        <v>593518.46412433311</v>
      </c>
      <c r="DE82" s="36">
        <f t="shared" si="84"/>
        <v>593518.46412433311</v>
      </c>
      <c r="DF82" s="36">
        <f t="shared" si="84"/>
        <v>593518.46412433311</v>
      </c>
      <c r="DG82" s="36">
        <f t="shared" si="84"/>
        <v>593518.46412433311</v>
      </c>
      <c r="DH82" s="36">
        <f t="shared" si="84"/>
        <v>593518.46412433311</v>
      </c>
      <c r="DI82" s="36">
        <f t="shared" si="84"/>
        <v>593518.46412433311</v>
      </c>
      <c r="DJ82" s="36">
        <f t="shared" si="84"/>
        <v>593518.46412433311</v>
      </c>
      <c r="DK82" s="36">
        <f t="shared" si="84"/>
        <v>608356.42572744144</v>
      </c>
      <c r="DL82" s="36">
        <f t="shared" si="84"/>
        <v>608356.42572744144</v>
      </c>
      <c r="DM82" s="36">
        <f t="shared" si="84"/>
        <v>608356.42572744144</v>
      </c>
      <c r="DN82" s="36">
        <f t="shared" si="84"/>
        <v>608356.42572744144</v>
      </c>
      <c r="DO82" s="36">
        <f t="shared" si="84"/>
        <v>608356.42572744144</v>
      </c>
      <c r="DP82" s="36">
        <f t="shared" si="84"/>
        <v>608356.42572744144</v>
      </c>
      <c r="DQ82" s="36">
        <f t="shared" si="84"/>
        <v>608356.42572744144</v>
      </c>
      <c r="DR82" s="36">
        <f t="shared" si="84"/>
        <v>608356.42572744144</v>
      </c>
      <c r="DS82" s="36">
        <f t="shared" si="84"/>
        <v>608356.42572744144</v>
      </c>
      <c r="DT82" s="36">
        <f t="shared" si="84"/>
        <v>608356.42572744144</v>
      </c>
      <c r="DU82" s="36">
        <f t="shared" si="84"/>
        <v>608356.42572744144</v>
      </c>
      <c r="DV82" s="36">
        <f t="shared" si="84"/>
        <v>608356.42572744144</v>
      </c>
    </row>
    <row r="83" spans="2:126" outlineLevel="1">
      <c r="B83" s="3" t="str">
        <f t="shared" si="82"/>
        <v>Property G</v>
      </c>
      <c r="C83" s="2"/>
      <c r="D83" s="2"/>
      <c r="E83" s="35" t="s">
        <v>0</v>
      </c>
      <c r="F83" s="35"/>
      <c r="G83" s="36">
        <f t="shared" si="83"/>
        <v>0</v>
      </c>
      <c r="H83" s="36">
        <f t="shared" si="83"/>
        <v>0</v>
      </c>
      <c r="I83" s="36">
        <f t="shared" si="83"/>
        <v>0</v>
      </c>
      <c r="J83" s="36">
        <f t="shared" si="83"/>
        <v>0</v>
      </c>
      <c r="K83" s="36">
        <f t="shared" si="83"/>
        <v>0</v>
      </c>
      <c r="L83" s="36">
        <f t="shared" si="83"/>
        <v>0</v>
      </c>
      <c r="M83" s="36">
        <f t="shared" si="83"/>
        <v>0</v>
      </c>
      <c r="N83" s="36">
        <f t="shared" si="83"/>
        <v>0</v>
      </c>
      <c r="O83" s="36">
        <f t="shared" si="83"/>
        <v>0</v>
      </c>
      <c r="P83" s="36">
        <f t="shared" si="83"/>
        <v>0</v>
      </c>
      <c r="Q83" s="36">
        <f t="shared" si="83"/>
        <v>0</v>
      </c>
      <c r="R83" s="36">
        <f t="shared" si="83"/>
        <v>0</v>
      </c>
      <c r="S83" s="36">
        <f t="shared" si="83"/>
        <v>0</v>
      </c>
      <c r="T83" s="36">
        <f t="shared" si="83"/>
        <v>0</v>
      </c>
      <c r="U83" s="36">
        <f t="shared" si="83"/>
        <v>0</v>
      </c>
      <c r="V83" s="36">
        <f t="shared" si="83"/>
        <v>0</v>
      </c>
      <c r="W83" s="36">
        <f t="shared" si="83"/>
        <v>0</v>
      </c>
      <c r="X83" s="36">
        <f t="shared" si="83"/>
        <v>0</v>
      </c>
      <c r="Y83" s="36">
        <f t="shared" si="83"/>
        <v>0</v>
      </c>
      <c r="Z83" s="36">
        <f t="shared" si="83"/>
        <v>0</v>
      </c>
      <c r="AA83" s="36">
        <f t="shared" si="83"/>
        <v>420246.75</v>
      </c>
      <c r="AB83" s="36">
        <f t="shared" si="83"/>
        <v>420246.75</v>
      </c>
      <c r="AC83" s="36">
        <f t="shared" si="83"/>
        <v>420246.75</v>
      </c>
      <c r="AD83" s="36">
        <f t="shared" si="83"/>
        <v>420246.75</v>
      </c>
      <c r="AE83" s="36">
        <f t="shared" si="83"/>
        <v>437056.62</v>
      </c>
      <c r="AF83" s="36">
        <f t="shared" si="83"/>
        <v>437056.62</v>
      </c>
      <c r="AG83" s="36">
        <f t="shared" si="83"/>
        <v>437056.62</v>
      </c>
      <c r="AH83" s="36">
        <f t="shared" si="83"/>
        <v>437056.62</v>
      </c>
      <c r="AI83" s="36">
        <f t="shared" si="83"/>
        <v>437056.62</v>
      </c>
      <c r="AJ83" s="36">
        <f t="shared" si="83"/>
        <v>437056.62</v>
      </c>
      <c r="AK83" s="36">
        <f t="shared" si="83"/>
        <v>437056.62</v>
      </c>
      <c r="AL83" s="36">
        <f t="shared" si="83"/>
        <v>437056.62</v>
      </c>
      <c r="AM83" s="36">
        <f t="shared" si="83"/>
        <v>437056.62</v>
      </c>
      <c r="AN83" s="36">
        <f t="shared" si="83"/>
        <v>437056.62</v>
      </c>
      <c r="AO83" s="36">
        <f t="shared" si="83"/>
        <v>437056.62</v>
      </c>
      <c r="AP83" s="36">
        <f t="shared" si="83"/>
        <v>437056.62</v>
      </c>
      <c r="AQ83" s="36">
        <f t="shared" si="83"/>
        <v>452353.60169999994</v>
      </c>
      <c r="AR83" s="36">
        <f t="shared" si="83"/>
        <v>452353.60169999994</v>
      </c>
      <c r="AS83" s="36">
        <f t="shared" si="83"/>
        <v>452353.60169999994</v>
      </c>
      <c r="AT83" s="36">
        <f t="shared" si="83"/>
        <v>452353.60169999994</v>
      </c>
      <c r="AU83" s="36">
        <f t="shared" si="83"/>
        <v>452353.60169999994</v>
      </c>
      <c r="AV83" s="36">
        <f t="shared" si="83"/>
        <v>452353.60169999994</v>
      </c>
      <c r="AW83" s="36">
        <f t="shared" si="83"/>
        <v>452353.60169999994</v>
      </c>
      <c r="AX83" s="36">
        <f t="shared" si="83"/>
        <v>452353.60169999994</v>
      </c>
      <c r="AY83" s="36">
        <f t="shared" si="83"/>
        <v>452353.60169999994</v>
      </c>
      <c r="AZ83" s="36">
        <f t="shared" si="83"/>
        <v>452353.60169999994</v>
      </c>
      <c r="BA83" s="36">
        <f t="shared" si="83"/>
        <v>452353.60169999994</v>
      </c>
      <c r="BB83" s="36">
        <f t="shared" si="83"/>
        <v>452353.60169999994</v>
      </c>
      <c r="BC83" s="36">
        <f t="shared" si="83"/>
        <v>465924.20975099999</v>
      </c>
      <c r="BD83" s="36">
        <f t="shared" si="83"/>
        <v>465924.20975099999</v>
      </c>
      <c r="BE83" s="36">
        <f t="shared" si="83"/>
        <v>465924.20975099999</v>
      </c>
      <c r="BF83" s="36">
        <f t="shared" si="83"/>
        <v>465924.20975099999</v>
      </c>
      <c r="BG83" s="36">
        <f t="shared" si="83"/>
        <v>465924.20975099999</v>
      </c>
      <c r="BH83" s="36">
        <f t="shared" si="83"/>
        <v>465924.20975099999</v>
      </c>
      <c r="BI83" s="36">
        <f t="shared" si="83"/>
        <v>465924.20975099999</v>
      </c>
      <c r="BJ83" s="36">
        <f t="shared" si="83"/>
        <v>465924.20975099999</v>
      </c>
      <c r="BK83" s="36">
        <f t="shared" si="83"/>
        <v>465924.20975099999</v>
      </c>
      <c r="BL83" s="36">
        <f t="shared" si="83"/>
        <v>465924.20975099999</v>
      </c>
      <c r="BM83" s="36">
        <f t="shared" si="83"/>
        <v>465924.20975099999</v>
      </c>
      <c r="BN83" s="36">
        <f t="shared" si="83"/>
        <v>465924.20975099999</v>
      </c>
      <c r="BO83" s="36">
        <f t="shared" si="83"/>
        <v>477572.31499477493</v>
      </c>
      <c r="BP83" s="36">
        <f t="shared" si="83"/>
        <v>477572.31499477493</v>
      </c>
      <c r="BQ83" s="36">
        <f t="shared" si="83"/>
        <v>477572.31499477493</v>
      </c>
      <c r="BR83" s="36">
        <f t="shared" si="83"/>
        <v>477572.31499477493</v>
      </c>
      <c r="BS83" s="36">
        <f t="shared" si="84"/>
        <v>477572.31499477493</v>
      </c>
      <c r="BT83" s="36">
        <f t="shared" si="84"/>
        <v>477572.31499477493</v>
      </c>
      <c r="BU83" s="36">
        <f t="shared" si="84"/>
        <v>477572.31499477493</v>
      </c>
      <c r="BV83" s="36">
        <f t="shared" si="84"/>
        <v>477572.31499477493</v>
      </c>
      <c r="BW83" s="36">
        <f t="shared" si="84"/>
        <v>477572.31499477493</v>
      </c>
      <c r="BX83" s="36">
        <f t="shared" si="84"/>
        <v>477572.31499477493</v>
      </c>
      <c r="BY83" s="36">
        <f t="shared" si="84"/>
        <v>477572.31499477493</v>
      </c>
      <c r="BZ83" s="36">
        <f t="shared" si="84"/>
        <v>477572.31499477493</v>
      </c>
      <c r="CA83" s="36">
        <f t="shared" si="84"/>
        <v>489511.62286964426</v>
      </c>
      <c r="CB83" s="36">
        <f t="shared" si="84"/>
        <v>489511.62286964426</v>
      </c>
      <c r="CC83" s="36">
        <f t="shared" si="84"/>
        <v>489511.62286964426</v>
      </c>
      <c r="CD83" s="36">
        <f t="shared" si="84"/>
        <v>489511.62286964426</v>
      </c>
      <c r="CE83" s="36">
        <f t="shared" si="84"/>
        <v>489511.62286964426</v>
      </c>
      <c r="CF83" s="36">
        <f t="shared" si="84"/>
        <v>489511.62286964426</v>
      </c>
      <c r="CG83" s="36">
        <f t="shared" si="84"/>
        <v>489511.62286964426</v>
      </c>
      <c r="CH83" s="36">
        <f t="shared" si="84"/>
        <v>489511.62286964426</v>
      </c>
      <c r="CI83" s="36">
        <f t="shared" si="84"/>
        <v>489511.62286964426</v>
      </c>
      <c r="CJ83" s="36">
        <f t="shared" si="84"/>
        <v>489511.62286964426</v>
      </c>
      <c r="CK83" s="36">
        <f t="shared" si="84"/>
        <v>489511.62286964426</v>
      </c>
      <c r="CL83" s="36">
        <f t="shared" si="84"/>
        <v>489511.62286964426</v>
      </c>
      <c r="CM83" s="36">
        <f t="shared" si="84"/>
        <v>501749.41344138532</v>
      </c>
      <c r="CN83" s="36">
        <f t="shared" si="84"/>
        <v>501749.41344138532</v>
      </c>
      <c r="CO83" s="36">
        <f t="shared" si="84"/>
        <v>501749.41344138532</v>
      </c>
      <c r="CP83" s="36">
        <f t="shared" si="84"/>
        <v>501749.41344138532</v>
      </c>
      <c r="CQ83" s="36">
        <f t="shared" si="84"/>
        <v>501749.41344138532</v>
      </c>
      <c r="CR83" s="36">
        <f t="shared" si="84"/>
        <v>501749.41344138532</v>
      </c>
      <c r="CS83" s="36">
        <f t="shared" si="84"/>
        <v>501749.41344138532</v>
      </c>
      <c r="CT83" s="36">
        <f t="shared" si="84"/>
        <v>501749.41344138532</v>
      </c>
      <c r="CU83" s="36">
        <f t="shared" si="84"/>
        <v>501749.41344138532</v>
      </c>
      <c r="CV83" s="36">
        <f t="shared" si="84"/>
        <v>501749.41344138532</v>
      </c>
      <c r="CW83" s="36">
        <f t="shared" si="84"/>
        <v>501749.41344138532</v>
      </c>
      <c r="CX83" s="36">
        <f t="shared" si="84"/>
        <v>501749.41344138532</v>
      </c>
      <c r="CY83" s="36">
        <f t="shared" si="84"/>
        <v>514293.14877741988</v>
      </c>
      <c r="CZ83" s="36">
        <f t="shared" si="84"/>
        <v>514293.14877741988</v>
      </c>
      <c r="DA83" s="36">
        <f t="shared" si="84"/>
        <v>514293.14877741988</v>
      </c>
      <c r="DB83" s="36">
        <f t="shared" si="84"/>
        <v>514293.14877741988</v>
      </c>
      <c r="DC83" s="36">
        <f t="shared" si="84"/>
        <v>514293.14877741988</v>
      </c>
      <c r="DD83" s="36">
        <f t="shared" si="84"/>
        <v>514293.14877741988</v>
      </c>
      <c r="DE83" s="36">
        <f t="shared" si="84"/>
        <v>514293.14877741988</v>
      </c>
      <c r="DF83" s="36">
        <f t="shared" si="84"/>
        <v>514293.14877741988</v>
      </c>
      <c r="DG83" s="36">
        <f t="shared" si="84"/>
        <v>514293.14877741988</v>
      </c>
      <c r="DH83" s="36">
        <f t="shared" si="84"/>
        <v>514293.14877741988</v>
      </c>
      <c r="DI83" s="36">
        <f t="shared" si="84"/>
        <v>514293.14877741988</v>
      </c>
      <c r="DJ83" s="36">
        <f t="shared" si="84"/>
        <v>514293.14877741988</v>
      </c>
      <c r="DK83" s="36">
        <f t="shared" si="84"/>
        <v>527150.47749685531</v>
      </c>
      <c r="DL83" s="36">
        <f t="shared" si="84"/>
        <v>527150.47749685531</v>
      </c>
      <c r="DM83" s="36">
        <f t="shared" si="84"/>
        <v>527150.47749685531</v>
      </c>
      <c r="DN83" s="36">
        <f t="shared" si="84"/>
        <v>527150.47749685531</v>
      </c>
      <c r="DO83" s="36">
        <f t="shared" si="84"/>
        <v>527150.47749685531</v>
      </c>
      <c r="DP83" s="36">
        <f t="shared" si="84"/>
        <v>527150.47749685531</v>
      </c>
      <c r="DQ83" s="36">
        <f t="shared" si="84"/>
        <v>527150.47749685531</v>
      </c>
      <c r="DR83" s="36">
        <f t="shared" si="84"/>
        <v>527150.47749685531</v>
      </c>
      <c r="DS83" s="36">
        <f t="shared" si="84"/>
        <v>527150.47749685531</v>
      </c>
      <c r="DT83" s="36">
        <f t="shared" si="84"/>
        <v>527150.47749685531</v>
      </c>
      <c r="DU83" s="36">
        <f t="shared" si="84"/>
        <v>527150.47749685531</v>
      </c>
      <c r="DV83" s="36">
        <f t="shared" si="84"/>
        <v>527150.47749685531</v>
      </c>
    </row>
    <row r="84" spans="2:126" outlineLevel="1">
      <c r="B84" s="3" t="str">
        <f t="shared" si="82"/>
        <v>Property H</v>
      </c>
      <c r="C84" s="2"/>
      <c r="D84" s="2"/>
      <c r="E84" s="35" t="s">
        <v>0</v>
      </c>
      <c r="F84" s="35"/>
      <c r="G84" s="36">
        <f t="shared" si="83"/>
        <v>0</v>
      </c>
      <c r="H84" s="36">
        <f t="shared" si="83"/>
        <v>0</v>
      </c>
      <c r="I84" s="36">
        <f t="shared" si="83"/>
        <v>0</v>
      </c>
      <c r="J84" s="36">
        <f t="shared" si="83"/>
        <v>0</v>
      </c>
      <c r="K84" s="36">
        <f t="shared" si="83"/>
        <v>0</v>
      </c>
      <c r="L84" s="36">
        <f t="shared" si="83"/>
        <v>0</v>
      </c>
      <c r="M84" s="36">
        <f t="shared" si="83"/>
        <v>0</v>
      </c>
      <c r="N84" s="36">
        <f t="shared" si="83"/>
        <v>0</v>
      </c>
      <c r="O84" s="36">
        <f t="shared" si="83"/>
        <v>0</v>
      </c>
      <c r="P84" s="36">
        <f t="shared" si="83"/>
        <v>0</v>
      </c>
      <c r="Q84" s="36">
        <f t="shared" si="83"/>
        <v>0</v>
      </c>
      <c r="R84" s="36">
        <f t="shared" si="83"/>
        <v>0</v>
      </c>
      <c r="S84" s="36">
        <f t="shared" si="83"/>
        <v>0</v>
      </c>
      <c r="T84" s="36">
        <f t="shared" si="83"/>
        <v>0</v>
      </c>
      <c r="U84" s="36">
        <f t="shared" si="83"/>
        <v>0</v>
      </c>
      <c r="V84" s="36">
        <f t="shared" si="83"/>
        <v>0</v>
      </c>
      <c r="W84" s="36">
        <f t="shared" si="83"/>
        <v>0</v>
      </c>
      <c r="X84" s="36">
        <f t="shared" si="83"/>
        <v>0</v>
      </c>
      <c r="Y84" s="36">
        <f t="shared" si="83"/>
        <v>0</v>
      </c>
      <c r="Z84" s="36">
        <f t="shared" si="83"/>
        <v>0</v>
      </c>
      <c r="AA84" s="36">
        <f t="shared" si="83"/>
        <v>0</v>
      </c>
      <c r="AB84" s="36">
        <f t="shared" si="83"/>
        <v>0</v>
      </c>
      <c r="AC84" s="36">
        <f t="shared" si="83"/>
        <v>0</v>
      </c>
      <c r="AD84" s="36">
        <f t="shared" si="83"/>
        <v>0</v>
      </c>
      <c r="AE84" s="36">
        <f t="shared" si="83"/>
        <v>0</v>
      </c>
      <c r="AF84" s="36">
        <f t="shared" si="83"/>
        <v>567146.58000000007</v>
      </c>
      <c r="AG84" s="36">
        <f t="shared" si="83"/>
        <v>567146.58000000007</v>
      </c>
      <c r="AH84" s="36">
        <f t="shared" si="83"/>
        <v>567146.58000000007</v>
      </c>
      <c r="AI84" s="36">
        <f t="shared" si="83"/>
        <v>567146.58000000007</v>
      </c>
      <c r="AJ84" s="36">
        <f t="shared" si="83"/>
        <v>567146.58000000007</v>
      </c>
      <c r="AK84" s="36">
        <f t="shared" si="83"/>
        <v>567146.58000000007</v>
      </c>
      <c r="AL84" s="36">
        <f t="shared" si="83"/>
        <v>567146.58000000007</v>
      </c>
      <c r="AM84" s="36">
        <f t="shared" si="83"/>
        <v>567146.58000000007</v>
      </c>
      <c r="AN84" s="36">
        <f t="shared" si="83"/>
        <v>567146.58000000007</v>
      </c>
      <c r="AO84" s="36">
        <f t="shared" si="83"/>
        <v>567146.58000000007</v>
      </c>
      <c r="AP84" s="36">
        <f t="shared" si="83"/>
        <v>567146.58000000007</v>
      </c>
      <c r="AQ84" s="36">
        <f t="shared" si="83"/>
        <v>586996.71029999992</v>
      </c>
      <c r="AR84" s="36">
        <f t="shared" si="83"/>
        <v>586996.71029999992</v>
      </c>
      <c r="AS84" s="36">
        <f t="shared" si="83"/>
        <v>586996.71029999992</v>
      </c>
      <c r="AT84" s="36">
        <f t="shared" si="83"/>
        <v>586996.71029999992</v>
      </c>
      <c r="AU84" s="36">
        <f t="shared" si="83"/>
        <v>586996.71029999992</v>
      </c>
      <c r="AV84" s="36">
        <f t="shared" si="83"/>
        <v>586996.71029999992</v>
      </c>
      <c r="AW84" s="36">
        <f t="shared" si="83"/>
        <v>586996.71029999992</v>
      </c>
      <c r="AX84" s="36">
        <f t="shared" si="83"/>
        <v>586996.71029999992</v>
      </c>
      <c r="AY84" s="36">
        <f t="shared" si="83"/>
        <v>586996.71029999992</v>
      </c>
      <c r="AZ84" s="36">
        <f t="shared" si="83"/>
        <v>586996.71029999992</v>
      </c>
      <c r="BA84" s="36">
        <f t="shared" si="83"/>
        <v>586996.71029999992</v>
      </c>
      <c r="BB84" s="36">
        <f t="shared" si="83"/>
        <v>586996.71029999992</v>
      </c>
      <c r="BC84" s="36">
        <f t="shared" si="83"/>
        <v>604606.61160900001</v>
      </c>
      <c r="BD84" s="36">
        <f t="shared" si="83"/>
        <v>604606.61160900001</v>
      </c>
      <c r="BE84" s="36">
        <f t="shared" si="83"/>
        <v>604606.61160900001</v>
      </c>
      <c r="BF84" s="36">
        <f t="shared" si="83"/>
        <v>604606.61160900001</v>
      </c>
      <c r="BG84" s="36">
        <f t="shared" si="83"/>
        <v>604606.61160900001</v>
      </c>
      <c r="BH84" s="36">
        <f t="shared" si="83"/>
        <v>604606.61160900001</v>
      </c>
      <c r="BI84" s="36">
        <f t="shared" si="83"/>
        <v>604606.61160900001</v>
      </c>
      <c r="BJ84" s="36">
        <f t="shared" si="83"/>
        <v>604606.61160900001</v>
      </c>
      <c r="BK84" s="36">
        <f t="shared" si="83"/>
        <v>604606.61160900001</v>
      </c>
      <c r="BL84" s="36">
        <f t="shared" si="83"/>
        <v>604606.61160900001</v>
      </c>
      <c r="BM84" s="36">
        <f t="shared" si="83"/>
        <v>604606.61160900001</v>
      </c>
      <c r="BN84" s="36">
        <f t="shared" si="83"/>
        <v>604606.61160900001</v>
      </c>
      <c r="BO84" s="36">
        <f t="shared" si="83"/>
        <v>619721.77689922496</v>
      </c>
      <c r="BP84" s="36">
        <f t="shared" si="83"/>
        <v>619721.77689922496</v>
      </c>
      <c r="BQ84" s="36">
        <f t="shared" si="83"/>
        <v>619721.77689922496</v>
      </c>
      <c r="BR84" s="36">
        <f t="shared" si="83"/>
        <v>619721.77689922496</v>
      </c>
      <c r="BS84" s="36">
        <f t="shared" si="84"/>
        <v>619721.77689922496</v>
      </c>
      <c r="BT84" s="36">
        <f t="shared" si="84"/>
        <v>619721.77689922496</v>
      </c>
      <c r="BU84" s="36">
        <f t="shared" si="84"/>
        <v>619721.77689922496</v>
      </c>
      <c r="BV84" s="36">
        <f t="shared" si="84"/>
        <v>619721.77689922496</v>
      </c>
      <c r="BW84" s="36">
        <f t="shared" si="84"/>
        <v>619721.77689922496</v>
      </c>
      <c r="BX84" s="36">
        <f t="shared" si="84"/>
        <v>619721.77689922496</v>
      </c>
      <c r="BY84" s="36">
        <f t="shared" si="84"/>
        <v>619721.77689922496</v>
      </c>
      <c r="BZ84" s="36">
        <f t="shared" si="84"/>
        <v>619721.77689922496</v>
      </c>
      <c r="CA84" s="36">
        <f t="shared" si="84"/>
        <v>635214.82132170547</v>
      </c>
      <c r="CB84" s="36">
        <f t="shared" si="84"/>
        <v>635214.82132170547</v>
      </c>
      <c r="CC84" s="36">
        <f t="shared" si="84"/>
        <v>635214.82132170547</v>
      </c>
      <c r="CD84" s="36">
        <f t="shared" si="84"/>
        <v>635214.82132170547</v>
      </c>
      <c r="CE84" s="36">
        <f t="shared" si="84"/>
        <v>635214.82132170547</v>
      </c>
      <c r="CF84" s="36">
        <f t="shared" si="84"/>
        <v>635214.82132170547</v>
      </c>
      <c r="CG84" s="36">
        <f t="shared" si="84"/>
        <v>635214.82132170547</v>
      </c>
      <c r="CH84" s="36">
        <f t="shared" si="84"/>
        <v>635214.82132170547</v>
      </c>
      <c r="CI84" s="36">
        <f t="shared" si="84"/>
        <v>635214.82132170547</v>
      </c>
      <c r="CJ84" s="36">
        <f t="shared" si="84"/>
        <v>635214.82132170547</v>
      </c>
      <c r="CK84" s="36">
        <f t="shared" si="84"/>
        <v>635214.82132170547</v>
      </c>
      <c r="CL84" s="36">
        <f t="shared" si="84"/>
        <v>635214.82132170547</v>
      </c>
      <c r="CM84" s="36">
        <f t="shared" si="84"/>
        <v>651095.19185474806</v>
      </c>
      <c r="CN84" s="36">
        <f t="shared" si="84"/>
        <v>651095.19185474806</v>
      </c>
      <c r="CO84" s="36">
        <f t="shared" si="84"/>
        <v>651095.19185474806</v>
      </c>
      <c r="CP84" s="36">
        <f t="shared" si="84"/>
        <v>651095.19185474806</v>
      </c>
      <c r="CQ84" s="36">
        <f t="shared" si="84"/>
        <v>651095.19185474806</v>
      </c>
      <c r="CR84" s="36">
        <f t="shared" si="84"/>
        <v>651095.19185474806</v>
      </c>
      <c r="CS84" s="36">
        <f t="shared" si="84"/>
        <v>651095.19185474806</v>
      </c>
      <c r="CT84" s="36">
        <f t="shared" si="84"/>
        <v>651095.19185474806</v>
      </c>
      <c r="CU84" s="36">
        <f t="shared" si="84"/>
        <v>651095.19185474806</v>
      </c>
      <c r="CV84" s="36">
        <f t="shared" si="84"/>
        <v>651095.19185474806</v>
      </c>
      <c r="CW84" s="36">
        <f t="shared" si="84"/>
        <v>651095.19185474806</v>
      </c>
      <c r="CX84" s="36">
        <f t="shared" si="84"/>
        <v>651095.19185474806</v>
      </c>
      <c r="CY84" s="36">
        <f t="shared" si="84"/>
        <v>667372.57165111671</v>
      </c>
      <c r="CZ84" s="36">
        <f t="shared" si="84"/>
        <v>667372.57165111671</v>
      </c>
      <c r="DA84" s="36">
        <f t="shared" si="84"/>
        <v>667372.57165111671</v>
      </c>
      <c r="DB84" s="36">
        <f t="shared" si="84"/>
        <v>667372.57165111671</v>
      </c>
      <c r="DC84" s="36">
        <f t="shared" si="84"/>
        <v>667372.57165111671</v>
      </c>
      <c r="DD84" s="36">
        <f t="shared" si="84"/>
        <v>667372.57165111671</v>
      </c>
      <c r="DE84" s="36">
        <f t="shared" si="84"/>
        <v>667372.57165111671</v>
      </c>
      <c r="DF84" s="36">
        <f t="shared" si="84"/>
        <v>667372.57165111671</v>
      </c>
      <c r="DG84" s="36">
        <f t="shared" si="84"/>
        <v>667372.57165111671</v>
      </c>
      <c r="DH84" s="36">
        <f t="shared" si="84"/>
        <v>667372.57165111671</v>
      </c>
      <c r="DI84" s="36">
        <f t="shared" si="84"/>
        <v>667372.57165111671</v>
      </c>
      <c r="DJ84" s="36">
        <f t="shared" si="84"/>
        <v>667372.57165111671</v>
      </c>
      <c r="DK84" s="36">
        <f t="shared" si="84"/>
        <v>684056.88594239461</v>
      </c>
      <c r="DL84" s="36">
        <f t="shared" si="84"/>
        <v>684056.88594239461</v>
      </c>
      <c r="DM84" s="36">
        <f t="shared" si="84"/>
        <v>684056.88594239461</v>
      </c>
      <c r="DN84" s="36">
        <f t="shared" si="84"/>
        <v>684056.88594239461</v>
      </c>
      <c r="DO84" s="36">
        <f t="shared" si="84"/>
        <v>684056.88594239461</v>
      </c>
      <c r="DP84" s="36">
        <f t="shared" si="84"/>
        <v>684056.88594239461</v>
      </c>
      <c r="DQ84" s="36">
        <f t="shared" si="84"/>
        <v>684056.88594239461</v>
      </c>
      <c r="DR84" s="36">
        <f t="shared" si="84"/>
        <v>684056.88594239461</v>
      </c>
      <c r="DS84" s="36">
        <f t="shared" si="84"/>
        <v>684056.88594239461</v>
      </c>
      <c r="DT84" s="36">
        <f t="shared" si="84"/>
        <v>684056.88594239461</v>
      </c>
      <c r="DU84" s="36">
        <f t="shared" si="84"/>
        <v>684056.88594239461</v>
      </c>
      <c r="DV84" s="36">
        <f t="shared" si="84"/>
        <v>684056.88594239461</v>
      </c>
    </row>
    <row r="85" spans="2:126" outlineLevel="1">
      <c r="B85" s="3" t="str">
        <f t="shared" si="82"/>
        <v>Property I</v>
      </c>
      <c r="C85" s="2"/>
      <c r="D85" s="2"/>
      <c r="E85" s="35" t="s">
        <v>0</v>
      </c>
      <c r="F85" s="35"/>
      <c r="G85" s="36">
        <f t="shared" si="83"/>
        <v>0</v>
      </c>
      <c r="H85" s="36">
        <f t="shared" si="83"/>
        <v>0</v>
      </c>
      <c r="I85" s="36">
        <f t="shared" si="83"/>
        <v>0</v>
      </c>
      <c r="J85" s="36">
        <f t="shared" si="83"/>
        <v>0</v>
      </c>
      <c r="K85" s="36">
        <f t="shared" si="83"/>
        <v>0</v>
      </c>
      <c r="L85" s="36">
        <f t="shared" si="83"/>
        <v>0</v>
      </c>
      <c r="M85" s="36">
        <f t="shared" si="83"/>
        <v>0</v>
      </c>
      <c r="N85" s="36">
        <f t="shared" si="83"/>
        <v>0</v>
      </c>
      <c r="O85" s="36">
        <f t="shared" si="83"/>
        <v>0</v>
      </c>
      <c r="P85" s="36">
        <f t="shared" si="83"/>
        <v>0</v>
      </c>
      <c r="Q85" s="36">
        <f t="shared" si="83"/>
        <v>0</v>
      </c>
      <c r="R85" s="36">
        <f t="shared" si="83"/>
        <v>0</v>
      </c>
      <c r="S85" s="36">
        <f t="shared" si="83"/>
        <v>0</v>
      </c>
      <c r="T85" s="36">
        <f t="shared" si="83"/>
        <v>0</v>
      </c>
      <c r="U85" s="36">
        <f t="shared" si="83"/>
        <v>0</v>
      </c>
      <c r="V85" s="36">
        <f t="shared" si="83"/>
        <v>0</v>
      </c>
      <c r="W85" s="36">
        <f t="shared" si="83"/>
        <v>0</v>
      </c>
      <c r="X85" s="36">
        <f t="shared" si="83"/>
        <v>0</v>
      </c>
      <c r="Y85" s="36">
        <f t="shared" si="83"/>
        <v>0</v>
      </c>
      <c r="Z85" s="36">
        <f t="shared" si="83"/>
        <v>0</v>
      </c>
      <c r="AA85" s="36">
        <f t="shared" si="83"/>
        <v>0</v>
      </c>
      <c r="AB85" s="36">
        <f t="shared" si="83"/>
        <v>0</v>
      </c>
      <c r="AC85" s="36">
        <f t="shared" si="83"/>
        <v>0</v>
      </c>
      <c r="AD85" s="36">
        <f t="shared" si="83"/>
        <v>0</v>
      </c>
      <c r="AE85" s="36">
        <f t="shared" si="83"/>
        <v>0</v>
      </c>
      <c r="AF85" s="36">
        <f t="shared" si="83"/>
        <v>0</v>
      </c>
      <c r="AG85" s="36">
        <f t="shared" si="83"/>
        <v>0</v>
      </c>
      <c r="AH85" s="36">
        <f t="shared" si="83"/>
        <v>0</v>
      </c>
      <c r="AI85" s="36">
        <f t="shared" si="83"/>
        <v>0</v>
      </c>
      <c r="AJ85" s="36">
        <f t="shared" si="83"/>
        <v>0</v>
      </c>
      <c r="AK85" s="36">
        <f t="shared" si="83"/>
        <v>0</v>
      </c>
      <c r="AL85" s="36">
        <f t="shared" si="83"/>
        <v>0</v>
      </c>
      <c r="AM85" s="36">
        <f t="shared" si="83"/>
        <v>0</v>
      </c>
      <c r="AN85" s="36">
        <f t="shared" si="83"/>
        <v>678978.3</v>
      </c>
      <c r="AO85" s="36">
        <f t="shared" si="83"/>
        <v>678978.3</v>
      </c>
      <c r="AP85" s="36">
        <f t="shared" si="83"/>
        <v>678978.3</v>
      </c>
      <c r="AQ85" s="36">
        <f t="shared" si="83"/>
        <v>702742.54049999989</v>
      </c>
      <c r="AR85" s="36">
        <f t="shared" si="83"/>
        <v>702742.54049999989</v>
      </c>
      <c r="AS85" s="36">
        <f t="shared" si="83"/>
        <v>702742.54049999989</v>
      </c>
      <c r="AT85" s="36">
        <f t="shared" si="83"/>
        <v>702742.54049999989</v>
      </c>
      <c r="AU85" s="36">
        <f t="shared" si="83"/>
        <v>702742.54049999989</v>
      </c>
      <c r="AV85" s="36">
        <f t="shared" si="83"/>
        <v>702742.54049999989</v>
      </c>
      <c r="AW85" s="36">
        <f t="shared" si="83"/>
        <v>702742.54049999989</v>
      </c>
      <c r="AX85" s="36">
        <f t="shared" si="83"/>
        <v>702742.54049999989</v>
      </c>
      <c r="AY85" s="36">
        <f t="shared" si="83"/>
        <v>702742.54049999989</v>
      </c>
      <c r="AZ85" s="36">
        <f t="shared" si="83"/>
        <v>702742.54049999989</v>
      </c>
      <c r="BA85" s="36">
        <f t="shared" si="83"/>
        <v>702742.54049999989</v>
      </c>
      <c r="BB85" s="36">
        <f t="shared" si="83"/>
        <v>702742.54049999989</v>
      </c>
      <c r="BC85" s="36">
        <f t="shared" si="83"/>
        <v>723824.81671499996</v>
      </c>
      <c r="BD85" s="36">
        <f t="shared" si="83"/>
        <v>723824.81671499996</v>
      </c>
      <c r="BE85" s="36">
        <f t="shared" si="83"/>
        <v>723824.81671499996</v>
      </c>
      <c r="BF85" s="36">
        <f t="shared" si="83"/>
        <v>723824.81671499996</v>
      </c>
      <c r="BG85" s="36">
        <f t="shared" si="83"/>
        <v>723824.81671499996</v>
      </c>
      <c r="BH85" s="36">
        <f t="shared" si="83"/>
        <v>723824.81671499996</v>
      </c>
      <c r="BI85" s="36">
        <f t="shared" si="83"/>
        <v>723824.81671499996</v>
      </c>
      <c r="BJ85" s="36">
        <f t="shared" si="83"/>
        <v>723824.81671499996</v>
      </c>
      <c r="BK85" s="36">
        <f t="shared" si="83"/>
        <v>723824.81671499996</v>
      </c>
      <c r="BL85" s="36">
        <f t="shared" si="83"/>
        <v>723824.81671499996</v>
      </c>
      <c r="BM85" s="36">
        <f t="shared" si="83"/>
        <v>723824.81671499996</v>
      </c>
      <c r="BN85" s="36">
        <f t="shared" si="83"/>
        <v>723824.81671499996</v>
      </c>
      <c r="BO85" s="36">
        <f t="shared" si="83"/>
        <v>741920.43713287485</v>
      </c>
      <c r="BP85" s="36">
        <f t="shared" si="83"/>
        <v>741920.43713287485</v>
      </c>
      <c r="BQ85" s="36">
        <f t="shared" si="83"/>
        <v>741920.43713287485</v>
      </c>
      <c r="BR85" s="36">
        <f t="shared" ref="BR85" si="85">$C35*BR$210*MIN(BR182,1)</f>
        <v>741920.43713287485</v>
      </c>
      <c r="BS85" s="36">
        <f t="shared" si="84"/>
        <v>741920.43713287485</v>
      </c>
      <c r="BT85" s="36">
        <f t="shared" si="84"/>
        <v>741920.43713287485</v>
      </c>
      <c r="BU85" s="36">
        <f t="shared" si="84"/>
        <v>741920.43713287485</v>
      </c>
      <c r="BV85" s="36">
        <f t="shared" si="84"/>
        <v>741920.43713287485</v>
      </c>
      <c r="BW85" s="36">
        <f t="shared" si="84"/>
        <v>741920.43713287485</v>
      </c>
      <c r="BX85" s="36">
        <f t="shared" si="84"/>
        <v>741920.43713287485</v>
      </c>
      <c r="BY85" s="36">
        <f t="shared" si="84"/>
        <v>741920.43713287485</v>
      </c>
      <c r="BZ85" s="36">
        <f t="shared" si="84"/>
        <v>741920.43713287485</v>
      </c>
      <c r="CA85" s="36">
        <f t="shared" si="84"/>
        <v>760468.44806119672</v>
      </c>
      <c r="CB85" s="36">
        <f t="shared" si="84"/>
        <v>760468.44806119672</v>
      </c>
      <c r="CC85" s="36">
        <f t="shared" si="84"/>
        <v>760468.44806119672</v>
      </c>
      <c r="CD85" s="36">
        <f t="shared" si="84"/>
        <v>760468.44806119672</v>
      </c>
      <c r="CE85" s="36">
        <f t="shared" si="84"/>
        <v>760468.44806119672</v>
      </c>
      <c r="CF85" s="36">
        <f t="shared" si="84"/>
        <v>760468.44806119672</v>
      </c>
      <c r="CG85" s="36">
        <f t="shared" si="84"/>
        <v>760468.44806119672</v>
      </c>
      <c r="CH85" s="36">
        <f t="shared" si="84"/>
        <v>760468.44806119672</v>
      </c>
      <c r="CI85" s="36">
        <f t="shared" si="84"/>
        <v>760468.44806119672</v>
      </c>
      <c r="CJ85" s="36">
        <f t="shared" si="84"/>
        <v>760468.44806119672</v>
      </c>
      <c r="CK85" s="36">
        <f t="shared" si="84"/>
        <v>760468.44806119672</v>
      </c>
      <c r="CL85" s="36">
        <f t="shared" si="84"/>
        <v>760468.44806119672</v>
      </c>
      <c r="CM85" s="36">
        <f t="shared" si="84"/>
        <v>779480.15926272655</v>
      </c>
      <c r="CN85" s="36">
        <f t="shared" si="84"/>
        <v>779480.15926272655</v>
      </c>
      <c r="CO85" s="36">
        <f t="shared" si="84"/>
        <v>779480.15926272655</v>
      </c>
      <c r="CP85" s="36">
        <f t="shared" si="84"/>
        <v>779480.15926272655</v>
      </c>
      <c r="CQ85" s="36">
        <f t="shared" si="84"/>
        <v>779480.15926272655</v>
      </c>
      <c r="CR85" s="36">
        <f t="shared" si="84"/>
        <v>779480.15926272655</v>
      </c>
      <c r="CS85" s="36">
        <f t="shared" si="84"/>
        <v>779480.15926272655</v>
      </c>
      <c r="CT85" s="36">
        <f t="shared" si="84"/>
        <v>779480.15926272655</v>
      </c>
      <c r="CU85" s="36">
        <f t="shared" si="84"/>
        <v>779480.15926272655</v>
      </c>
      <c r="CV85" s="36">
        <f t="shared" si="84"/>
        <v>779480.15926272655</v>
      </c>
      <c r="CW85" s="36">
        <f t="shared" si="84"/>
        <v>779480.15926272655</v>
      </c>
      <c r="CX85" s="36">
        <f t="shared" si="84"/>
        <v>779480.15926272655</v>
      </c>
      <c r="CY85" s="36">
        <f t="shared" si="84"/>
        <v>798967.16324429458</v>
      </c>
      <c r="CZ85" s="36">
        <f t="shared" si="84"/>
        <v>798967.16324429458</v>
      </c>
      <c r="DA85" s="36">
        <f t="shared" si="84"/>
        <v>798967.16324429458</v>
      </c>
      <c r="DB85" s="36">
        <f t="shared" si="84"/>
        <v>798967.16324429458</v>
      </c>
      <c r="DC85" s="36">
        <f t="shared" si="84"/>
        <v>798967.16324429458</v>
      </c>
      <c r="DD85" s="36">
        <f t="shared" si="84"/>
        <v>798967.16324429458</v>
      </c>
      <c r="DE85" s="36">
        <f t="shared" si="84"/>
        <v>798967.16324429458</v>
      </c>
      <c r="DF85" s="36">
        <f t="shared" si="84"/>
        <v>798967.16324429458</v>
      </c>
      <c r="DG85" s="36">
        <f t="shared" si="84"/>
        <v>798967.16324429458</v>
      </c>
      <c r="DH85" s="36">
        <f t="shared" si="84"/>
        <v>798967.16324429458</v>
      </c>
      <c r="DI85" s="36">
        <f t="shared" si="84"/>
        <v>798967.16324429458</v>
      </c>
      <c r="DJ85" s="36">
        <f t="shared" si="84"/>
        <v>798967.16324429458</v>
      </c>
      <c r="DK85" s="36">
        <f t="shared" si="84"/>
        <v>818941.34232540196</v>
      </c>
      <c r="DL85" s="36">
        <f t="shared" si="84"/>
        <v>818941.34232540196</v>
      </c>
      <c r="DM85" s="36">
        <f t="shared" si="84"/>
        <v>818941.34232540196</v>
      </c>
      <c r="DN85" s="36">
        <f t="shared" si="84"/>
        <v>818941.34232540196</v>
      </c>
      <c r="DO85" s="36">
        <f t="shared" si="84"/>
        <v>818941.34232540196</v>
      </c>
      <c r="DP85" s="36">
        <f t="shared" si="84"/>
        <v>818941.34232540196</v>
      </c>
      <c r="DQ85" s="36">
        <f t="shared" si="84"/>
        <v>818941.34232540196</v>
      </c>
      <c r="DR85" s="36">
        <f t="shared" si="84"/>
        <v>818941.34232540196</v>
      </c>
      <c r="DS85" s="36">
        <f t="shared" si="84"/>
        <v>818941.34232540196</v>
      </c>
      <c r="DT85" s="36">
        <f t="shared" si="84"/>
        <v>818941.34232540196</v>
      </c>
      <c r="DU85" s="36">
        <f t="shared" si="84"/>
        <v>818941.34232540196</v>
      </c>
      <c r="DV85" s="36">
        <f t="shared" si="84"/>
        <v>818941.34232540196</v>
      </c>
    </row>
    <row r="86" spans="2:126" outlineLevel="1">
      <c r="B86" s="3" t="str">
        <f t="shared" si="82"/>
        <v>Property J</v>
      </c>
      <c r="C86" s="2"/>
      <c r="D86" s="2"/>
      <c r="E86" s="35" t="s">
        <v>0</v>
      </c>
      <c r="F86" s="35"/>
      <c r="G86" s="36">
        <f t="shared" ref="G86:BR89" si="86">$C36*G$210*MIN(G183,1)</f>
        <v>0</v>
      </c>
      <c r="H86" s="36">
        <f t="shared" si="86"/>
        <v>0</v>
      </c>
      <c r="I86" s="36">
        <f t="shared" si="86"/>
        <v>0</v>
      </c>
      <c r="J86" s="36">
        <f t="shared" si="86"/>
        <v>0</v>
      </c>
      <c r="K86" s="36">
        <f t="shared" si="86"/>
        <v>0</v>
      </c>
      <c r="L86" s="36">
        <f t="shared" si="86"/>
        <v>0</v>
      </c>
      <c r="M86" s="36">
        <f t="shared" si="86"/>
        <v>0</v>
      </c>
      <c r="N86" s="36">
        <f t="shared" si="86"/>
        <v>0</v>
      </c>
      <c r="O86" s="36">
        <f t="shared" si="86"/>
        <v>0</v>
      </c>
      <c r="P86" s="36">
        <f t="shared" si="86"/>
        <v>0</v>
      </c>
      <c r="Q86" s="36">
        <f t="shared" si="86"/>
        <v>0</v>
      </c>
      <c r="R86" s="36">
        <f t="shared" si="86"/>
        <v>0</v>
      </c>
      <c r="S86" s="36">
        <f t="shared" si="86"/>
        <v>0</v>
      </c>
      <c r="T86" s="36">
        <f t="shared" si="86"/>
        <v>0</v>
      </c>
      <c r="U86" s="36">
        <f t="shared" si="86"/>
        <v>0</v>
      </c>
      <c r="V86" s="36">
        <f t="shared" si="86"/>
        <v>0</v>
      </c>
      <c r="W86" s="36">
        <f t="shared" si="86"/>
        <v>0</v>
      </c>
      <c r="X86" s="36">
        <f t="shared" si="86"/>
        <v>0</v>
      </c>
      <c r="Y86" s="36">
        <f t="shared" si="86"/>
        <v>0</v>
      </c>
      <c r="Z86" s="36">
        <f t="shared" si="86"/>
        <v>0</v>
      </c>
      <c r="AA86" s="36">
        <f t="shared" si="86"/>
        <v>0</v>
      </c>
      <c r="AB86" s="36">
        <f t="shared" si="86"/>
        <v>0</v>
      </c>
      <c r="AC86" s="36">
        <f t="shared" si="86"/>
        <v>0</v>
      </c>
      <c r="AD86" s="36">
        <f t="shared" si="86"/>
        <v>0</v>
      </c>
      <c r="AE86" s="36">
        <f t="shared" si="86"/>
        <v>0</v>
      </c>
      <c r="AF86" s="36">
        <f t="shared" si="86"/>
        <v>0</v>
      </c>
      <c r="AG86" s="36">
        <f t="shared" si="86"/>
        <v>0</v>
      </c>
      <c r="AH86" s="36">
        <f t="shared" si="86"/>
        <v>0</v>
      </c>
      <c r="AI86" s="36">
        <f t="shared" si="86"/>
        <v>0</v>
      </c>
      <c r="AJ86" s="36">
        <f t="shared" si="86"/>
        <v>0</v>
      </c>
      <c r="AK86" s="36">
        <f t="shared" si="86"/>
        <v>0</v>
      </c>
      <c r="AL86" s="36">
        <f t="shared" si="86"/>
        <v>0</v>
      </c>
      <c r="AM86" s="36">
        <f t="shared" si="86"/>
        <v>0</v>
      </c>
      <c r="AN86" s="36">
        <f t="shared" si="86"/>
        <v>0</v>
      </c>
      <c r="AO86" s="36">
        <f t="shared" si="86"/>
        <v>0</v>
      </c>
      <c r="AP86" s="36">
        <f t="shared" si="86"/>
        <v>675554.88</v>
      </c>
      <c r="AQ86" s="36">
        <f t="shared" si="86"/>
        <v>699199.30079999997</v>
      </c>
      <c r="AR86" s="36">
        <f t="shared" si="86"/>
        <v>699199.30079999997</v>
      </c>
      <c r="AS86" s="36">
        <f t="shared" si="86"/>
        <v>699199.30079999997</v>
      </c>
      <c r="AT86" s="36">
        <f t="shared" si="86"/>
        <v>699199.30079999997</v>
      </c>
      <c r="AU86" s="36">
        <f t="shared" si="86"/>
        <v>699199.30079999997</v>
      </c>
      <c r="AV86" s="36">
        <f t="shared" si="86"/>
        <v>699199.30079999997</v>
      </c>
      <c r="AW86" s="36">
        <f t="shared" si="86"/>
        <v>699199.30079999997</v>
      </c>
      <c r="AX86" s="36">
        <f t="shared" si="86"/>
        <v>699199.30079999997</v>
      </c>
      <c r="AY86" s="36">
        <f t="shared" si="86"/>
        <v>699199.30079999997</v>
      </c>
      <c r="AZ86" s="36">
        <f t="shared" si="86"/>
        <v>699199.30079999997</v>
      </c>
      <c r="BA86" s="36">
        <f t="shared" si="86"/>
        <v>699199.30079999997</v>
      </c>
      <c r="BB86" s="36">
        <f t="shared" si="86"/>
        <v>699199.30079999997</v>
      </c>
      <c r="BC86" s="36">
        <f t="shared" si="86"/>
        <v>720175.27982399997</v>
      </c>
      <c r="BD86" s="36">
        <f t="shared" si="86"/>
        <v>720175.27982399997</v>
      </c>
      <c r="BE86" s="36">
        <f t="shared" si="86"/>
        <v>720175.27982399997</v>
      </c>
      <c r="BF86" s="36">
        <f t="shared" si="86"/>
        <v>720175.27982399997</v>
      </c>
      <c r="BG86" s="36">
        <f t="shared" si="86"/>
        <v>720175.27982399997</v>
      </c>
      <c r="BH86" s="36">
        <f t="shared" si="86"/>
        <v>720175.27982399997</v>
      </c>
      <c r="BI86" s="36">
        <f t="shared" si="86"/>
        <v>720175.27982399997</v>
      </c>
      <c r="BJ86" s="36">
        <f t="shared" si="86"/>
        <v>720175.27982399997</v>
      </c>
      <c r="BK86" s="36">
        <f t="shared" si="86"/>
        <v>720175.27982399997</v>
      </c>
      <c r="BL86" s="36">
        <f t="shared" si="86"/>
        <v>720175.27982399997</v>
      </c>
      <c r="BM86" s="36">
        <f t="shared" si="86"/>
        <v>720175.27982399997</v>
      </c>
      <c r="BN86" s="36">
        <f t="shared" si="86"/>
        <v>720175.27982399997</v>
      </c>
      <c r="BO86" s="36">
        <f t="shared" si="86"/>
        <v>738179.66181959992</v>
      </c>
      <c r="BP86" s="36">
        <f t="shared" si="86"/>
        <v>738179.66181959992</v>
      </c>
      <c r="BQ86" s="36">
        <f t="shared" si="86"/>
        <v>738179.66181959992</v>
      </c>
      <c r="BR86" s="36">
        <f t="shared" si="86"/>
        <v>738179.66181959992</v>
      </c>
      <c r="BS86" s="36">
        <f t="shared" si="84"/>
        <v>738179.66181959992</v>
      </c>
      <c r="BT86" s="36">
        <f t="shared" si="84"/>
        <v>738179.66181959992</v>
      </c>
      <c r="BU86" s="36">
        <f t="shared" si="84"/>
        <v>738179.66181959992</v>
      </c>
      <c r="BV86" s="36">
        <f t="shared" si="84"/>
        <v>738179.66181959992</v>
      </c>
      <c r="BW86" s="36">
        <f t="shared" si="84"/>
        <v>738179.66181959992</v>
      </c>
      <c r="BX86" s="36">
        <f t="shared" si="84"/>
        <v>738179.66181959992</v>
      </c>
      <c r="BY86" s="36">
        <f t="shared" si="84"/>
        <v>738179.66181959992</v>
      </c>
      <c r="BZ86" s="36">
        <f t="shared" si="84"/>
        <v>738179.66181959992</v>
      </c>
      <c r="CA86" s="36">
        <f t="shared" si="84"/>
        <v>756634.15336508979</v>
      </c>
      <c r="CB86" s="36">
        <f t="shared" si="84"/>
        <v>756634.15336508979</v>
      </c>
      <c r="CC86" s="36">
        <f t="shared" si="84"/>
        <v>756634.15336508979</v>
      </c>
      <c r="CD86" s="36">
        <f t="shared" si="84"/>
        <v>756634.15336508979</v>
      </c>
      <c r="CE86" s="36">
        <f t="shared" si="84"/>
        <v>756634.15336508979</v>
      </c>
      <c r="CF86" s="36">
        <f t="shared" si="84"/>
        <v>756634.15336508979</v>
      </c>
      <c r="CG86" s="36">
        <f t="shared" si="84"/>
        <v>756634.15336508979</v>
      </c>
      <c r="CH86" s="36">
        <f t="shared" si="84"/>
        <v>756634.15336508979</v>
      </c>
      <c r="CI86" s="36">
        <f t="shared" si="84"/>
        <v>756634.15336508979</v>
      </c>
      <c r="CJ86" s="36">
        <f t="shared" si="84"/>
        <v>756634.15336508979</v>
      </c>
      <c r="CK86" s="36">
        <f t="shared" si="84"/>
        <v>756634.15336508979</v>
      </c>
      <c r="CL86" s="36">
        <f t="shared" si="84"/>
        <v>756634.15336508979</v>
      </c>
      <c r="CM86" s="36">
        <f t="shared" si="84"/>
        <v>775550.00719921698</v>
      </c>
      <c r="CN86" s="36">
        <f t="shared" si="84"/>
        <v>775550.00719921698</v>
      </c>
      <c r="CO86" s="36">
        <f t="shared" si="84"/>
        <v>775550.00719921698</v>
      </c>
      <c r="CP86" s="36">
        <f t="shared" si="84"/>
        <v>775550.00719921698</v>
      </c>
      <c r="CQ86" s="36">
        <f t="shared" si="84"/>
        <v>775550.00719921698</v>
      </c>
      <c r="CR86" s="36">
        <f t="shared" si="84"/>
        <v>775550.00719921698</v>
      </c>
      <c r="CS86" s="36">
        <f t="shared" si="84"/>
        <v>775550.00719921698</v>
      </c>
      <c r="CT86" s="36">
        <f t="shared" si="84"/>
        <v>775550.00719921698</v>
      </c>
      <c r="CU86" s="36">
        <f t="shared" si="84"/>
        <v>775550.00719921698</v>
      </c>
      <c r="CV86" s="36">
        <f t="shared" si="84"/>
        <v>775550.00719921698</v>
      </c>
      <c r="CW86" s="36">
        <f t="shared" si="84"/>
        <v>775550.00719921698</v>
      </c>
      <c r="CX86" s="36">
        <f t="shared" ref="CX86:DV91" si="87">$C36*CX$210*MIN(CX183,1)</f>
        <v>775550.00719921698</v>
      </c>
      <c r="CY86" s="36">
        <f t="shared" si="87"/>
        <v>794938.75737919728</v>
      </c>
      <c r="CZ86" s="36">
        <f t="shared" si="87"/>
        <v>794938.75737919728</v>
      </c>
      <c r="DA86" s="36">
        <f t="shared" si="87"/>
        <v>794938.75737919728</v>
      </c>
      <c r="DB86" s="36">
        <f t="shared" si="87"/>
        <v>794938.75737919728</v>
      </c>
      <c r="DC86" s="36">
        <f t="shared" si="87"/>
        <v>794938.75737919728</v>
      </c>
      <c r="DD86" s="36">
        <f t="shared" si="87"/>
        <v>794938.75737919728</v>
      </c>
      <c r="DE86" s="36">
        <f t="shared" si="87"/>
        <v>794938.75737919728</v>
      </c>
      <c r="DF86" s="36">
        <f t="shared" si="87"/>
        <v>794938.75737919728</v>
      </c>
      <c r="DG86" s="36">
        <f t="shared" si="87"/>
        <v>794938.75737919728</v>
      </c>
      <c r="DH86" s="36">
        <f t="shared" si="87"/>
        <v>794938.75737919728</v>
      </c>
      <c r="DI86" s="36">
        <f t="shared" si="87"/>
        <v>794938.75737919728</v>
      </c>
      <c r="DJ86" s="36">
        <f t="shared" si="87"/>
        <v>794938.75737919728</v>
      </c>
      <c r="DK86" s="36">
        <f t="shared" si="87"/>
        <v>814812.22631367727</v>
      </c>
      <c r="DL86" s="36">
        <f t="shared" si="87"/>
        <v>814812.22631367727</v>
      </c>
      <c r="DM86" s="36">
        <f t="shared" si="87"/>
        <v>814812.22631367727</v>
      </c>
      <c r="DN86" s="36">
        <f t="shared" si="87"/>
        <v>814812.22631367727</v>
      </c>
      <c r="DO86" s="36">
        <f t="shared" si="87"/>
        <v>814812.22631367727</v>
      </c>
      <c r="DP86" s="36">
        <f t="shared" si="87"/>
        <v>814812.22631367727</v>
      </c>
      <c r="DQ86" s="36">
        <f t="shared" si="87"/>
        <v>814812.22631367727</v>
      </c>
      <c r="DR86" s="36">
        <f t="shared" si="87"/>
        <v>814812.22631367727</v>
      </c>
      <c r="DS86" s="36">
        <f t="shared" si="87"/>
        <v>814812.22631367727</v>
      </c>
      <c r="DT86" s="36">
        <f t="shared" si="87"/>
        <v>814812.22631367727</v>
      </c>
      <c r="DU86" s="36">
        <f t="shared" si="87"/>
        <v>814812.22631367727</v>
      </c>
      <c r="DV86" s="36">
        <f t="shared" si="87"/>
        <v>814812.22631367727</v>
      </c>
    </row>
    <row r="87" spans="2:126" outlineLevel="1">
      <c r="B87" s="3" t="str">
        <f t="shared" si="82"/>
        <v>Property K</v>
      </c>
      <c r="C87" s="2"/>
      <c r="D87" s="2"/>
      <c r="E87" s="35" t="s">
        <v>0</v>
      </c>
      <c r="F87" s="35"/>
      <c r="G87" s="36">
        <f t="shared" si="86"/>
        <v>0</v>
      </c>
      <c r="H87" s="36">
        <f t="shared" si="86"/>
        <v>0</v>
      </c>
      <c r="I87" s="36">
        <f t="shared" si="86"/>
        <v>0</v>
      </c>
      <c r="J87" s="36">
        <f t="shared" si="86"/>
        <v>0</v>
      </c>
      <c r="K87" s="36">
        <f t="shared" si="86"/>
        <v>0</v>
      </c>
      <c r="L87" s="36">
        <f t="shared" si="86"/>
        <v>0</v>
      </c>
      <c r="M87" s="36">
        <f t="shared" si="86"/>
        <v>0</v>
      </c>
      <c r="N87" s="36">
        <f t="shared" si="86"/>
        <v>0</v>
      </c>
      <c r="O87" s="36">
        <f t="shared" si="86"/>
        <v>0</v>
      </c>
      <c r="P87" s="36">
        <f t="shared" si="86"/>
        <v>0</v>
      </c>
      <c r="Q87" s="36">
        <f t="shared" si="86"/>
        <v>0</v>
      </c>
      <c r="R87" s="36">
        <f t="shared" si="86"/>
        <v>0</v>
      </c>
      <c r="S87" s="36">
        <f t="shared" si="86"/>
        <v>0</v>
      </c>
      <c r="T87" s="36">
        <f t="shared" si="86"/>
        <v>0</v>
      </c>
      <c r="U87" s="36">
        <f t="shared" si="86"/>
        <v>0</v>
      </c>
      <c r="V87" s="36">
        <f t="shared" si="86"/>
        <v>0</v>
      </c>
      <c r="W87" s="36">
        <f t="shared" si="86"/>
        <v>0</v>
      </c>
      <c r="X87" s="36">
        <f t="shared" si="86"/>
        <v>0</v>
      </c>
      <c r="Y87" s="36">
        <f t="shared" si="86"/>
        <v>0</v>
      </c>
      <c r="Z87" s="36">
        <f t="shared" si="86"/>
        <v>0</v>
      </c>
      <c r="AA87" s="36">
        <f t="shared" si="86"/>
        <v>0</v>
      </c>
      <c r="AB87" s="36">
        <f t="shared" si="86"/>
        <v>0</v>
      </c>
      <c r="AC87" s="36">
        <f t="shared" si="86"/>
        <v>0</v>
      </c>
      <c r="AD87" s="36">
        <f t="shared" si="86"/>
        <v>0</v>
      </c>
      <c r="AE87" s="36">
        <f t="shared" si="86"/>
        <v>0</v>
      </c>
      <c r="AF87" s="36">
        <f t="shared" si="86"/>
        <v>0</v>
      </c>
      <c r="AG87" s="36">
        <f t="shared" si="86"/>
        <v>0</v>
      </c>
      <c r="AH87" s="36">
        <f t="shared" si="86"/>
        <v>0</v>
      </c>
      <c r="AI87" s="36">
        <f t="shared" si="86"/>
        <v>0</v>
      </c>
      <c r="AJ87" s="36">
        <f t="shared" si="86"/>
        <v>0</v>
      </c>
      <c r="AK87" s="36">
        <f t="shared" si="86"/>
        <v>0</v>
      </c>
      <c r="AL87" s="36">
        <f t="shared" si="86"/>
        <v>0</v>
      </c>
      <c r="AM87" s="36">
        <f t="shared" si="86"/>
        <v>0</v>
      </c>
      <c r="AN87" s="36">
        <f t="shared" si="86"/>
        <v>414233.82</v>
      </c>
      <c r="AO87" s="36">
        <f t="shared" si="86"/>
        <v>414233.82</v>
      </c>
      <c r="AP87" s="36">
        <f t="shared" si="86"/>
        <v>414233.82</v>
      </c>
      <c r="AQ87" s="36">
        <f t="shared" si="86"/>
        <v>428732.00369999994</v>
      </c>
      <c r="AR87" s="36">
        <f t="shared" si="86"/>
        <v>428732.00369999994</v>
      </c>
      <c r="AS87" s="36">
        <f t="shared" si="86"/>
        <v>428732.00369999994</v>
      </c>
      <c r="AT87" s="36">
        <f t="shared" si="86"/>
        <v>428732.00369999994</v>
      </c>
      <c r="AU87" s="36">
        <f t="shared" si="86"/>
        <v>428732.00369999994</v>
      </c>
      <c r="AV87" s="36">
        <f t="shared" si="86"/>
        <v>428732.00369999994</v>
      </c>
      <c r="AW87" s="36">
        <f t="shared" si="86"/>
        <v>428732.00369999994</v>
      </c>
      <c r="AX87" s="36">
        <f t="shared" si="86"/>
        <v>428732.00369999994</v>
      </c>
      <c r="AY87" s="36">
        <f t="shared" si="86"/>
        <v>428732.00369999994</v>
      </c>
      <c r="AZ87" s="36">
        <f t="shared" si="86"/>
        <v>428732.00369999994</v>
      </c>
      <c r="BA87" s="36">
        <f t="shared" si="86"/>
        <v>428732.00369999994</v>
      </c>
      <c r="BB87" s="36">
        <f t="shared" si="86"/>
        <v>428732.00369999994</v>
      </c>
      <c r="BC87" s="36">
        <f t="shared" si="86"/>
        <v>441593.96381099999</v>
      </c>
      <c r="BD87" s="36">
        <f t="shared" si="86"/>
        <v>441593.96381099999</v>
      </c>
      <c r="BE87" s="36">
        <f t="shared" si="86"/>
        <v>441593.96381099999</v>
      </c>
      <c r="BF87" s="36">
        <f t="shared" si="86"/>
        <v>441593.96381099999</v>
      </c>
      <c r="BG87" s="36">
        <f t="shared" si="86"/>
        <v>441593.96381099999</v>
      </c>
      <c r="BH87" s="36">
        <f t="shared" si="86"/>
        <v>441593.96381099999</v>
      </c>
      <c r="BI87" s="36">
        <f t="shared" si="86"/>
        <v>441593.96381099999</v>
      </c>
      <c r="BJ87" s="36">
        <f t="shared" si="86"/>
        <v>441593.96381099999</v>
      </c>
      <c r="BK87" s="36">
        <f t="shared" si="86"/>
        <v>441593.96381099999</v>
      </c>
      <c r="BL87" s="36">
        <f t="shared" si="86"/>
        <v>441593.96381099999</v>
      </c>
      <c r="BM87" s="36">
        <f t="shared" si="86"/>
        <v>441593.96381099999</v>
      </c>
      <c r="BN87" s="36">
        <f t="shared" si="86"/>
        <v>441593.96381099999</v>
      </c>
      <c r="BO87" s="36">
        <f t="shared" si="86"/>
        <v>452633.81290627492</v>
      </c>
      <c r="BP87" s="36">
        <f t="shared" si="86"/>
        <v>452633.81290627492</v>
      </c>
      <c r="BQ87" s="36">
        <f t="shared" si="86"/>
        <v>452633.81290627492</v>
      </c>
      <c r="BR87" s="36">
        <f t="shared" si="86"/>
        <v>452633.81290627492</v>
      </c>
      <c r="BS87" s="36">
        <f t="shared" ref="BS87:CX91" si="88">$C37*BS$210*MIN(BS184,1)</f>
        <v>452633.81290627492</v>
      </c>
      <c r="BT87" s="36">
        <f t="shared" si="88"/>
        <v>452633.81290627492</v>
      </c>
      <c r="BU87" s="36">
        <f t="shared" si="88"/>
        <v>452633.81290627492</v>
      </c>
      <c r="BV87" s="36">
        <f t="shared" si="88"/>
        <v>452633.81290627492</v>
      </c>
      <c r="BW87" s="36">
        <f t="shared" si="88"/>
        <v>452633.81290627492</v>
      </c>
      <c r="BX87" s="36">
        <f t="shared" si="88"/>
        <v>452633.81290627492</v>
      </c>
      <c r="BY87" s="36">
        <f t="shared" si="88"/>
        <v>452633.81290627492</v>
      </c>
      <c r="BZ87" s="36">
        <f t="shared" si="88"/>
        <v>452633.81290627492</v>
      </c>
      <c r="CA87" s="36">
        <f t="shared" si="88"/>
        <v>463949.65822893177</v>
      </c>
      <c r="CB87" s="36">
        <f t="shared" si="88"/>
        <v>463949.65822893177</v>
      </c>
      <c r="CC87" s="36">
        <f t="shared" si="88"/>
        <v>463949.65822893177</v>
      </c>
      <c r="CD87" s="36">
        <f t="shared" si="88"/>
        <v>463949.65822893177</v>
      </c>
      <c r="CE87" s="36">
        <f t="shared" si="88"/>
        <v>463949.65822893177</v>
      </c>
      <c r="CF87" s="36">
        <f t="shared" si="88"/>
        <v>463949.65822893177</v>
      </c>
      <c r="CG87" s="36">
        <f t="shared" si="88"/>
        <v>463949.65822893177</v>
      </c>
      <c r="CH87" s="36">
        <f t="shared" si="88"/>
        <v>463949.65822893177</v>
      </c>
      <c r="CI87" s="36">
        <f t="shared" si="88"/>
        <v>463949.65822893177</v>
      </c>
      <c r="CJ87" s="36">
        <f t="shared" si="88"/>
        <v>463949.65822893177</v>
      </c>
      <c r="CK87" s="36">
        <f t="shared" si="88"/>
        <v>463949.65822893177</v>
      </c>
      <c r="CL87" s="36">
        <f t="shared" si="88"/>
        <v>463949.65822893177</v>
      </c>
      <c r="CM87" s="36">
        <f t="shared" si="88"/>
        <v>475548.39968465501</v>
      </c>
      <c r="CN87" s="36">
        <f t="shared" si="88"/>
        <v>475548.39968465501</v>
      </c>
      <c r="CO87" s="36">
        <f t="shared" si="88"/>
        <v>475548.39968465501</v>
      </c>
      <c r="CP87" s="36">
        <f t="shared" si="88"/>
        <v>475548.39968465501</v>
      </c>
      <c r="CQ87" s="36">
        <f t="shared" si="88"/>
        <v>475548.39968465501</v>
      </c>
      <c r="CR87" s="36">
        <f t="shared" si="88"/>
        <v>475548.39968465501</v>
      </c>
      <c r="CS87" s="36">
        <f t="shared" si="88"/>
        <v>475548.39968465501</v>
      </c>
      <c r="CT87" s="36">
        <f t="shared" si="88"/>
        <v>475548.39968465501</v>
      </c>
      <c r="CU87" s="36">
        <f t="shared" si="88"/>
        <v>475548.39968465501</v>
      </c>
      <c r="CV87" s="36">
        <f t="shared" si="88"/>
        <v>475548.39968465501</v>
      </c>
      <c r="CW87" s="36">
        <f t="shared" si="88"/>
        <v>475548.39968465501</v>
      </c>
      <c r="CX87" s="36">
        <f t="shared" si="88"/>
        <v>475548.39968465501</v>
      </c>
      <c r="CY87" s="36">
        <f t="shared" si="87"/>
        <v>487437.10967677133</v>
      </c>
      <c r="CZ87" s="36">
        <f t="shared" si="87"/>
        <v>487437.10967677133</v>
      </c>
      <c r="DA87" s="36">
        <f t="shared" si="87"/>
        <v>487437.10967677133</v>
      </c>
      <c r="DB87" s="36">
        <f t="shared" si="87"/>
        <v>487437.10967677133</v>
      </c>
      <c r="DC87" s="36">
        <f t="shared" si="87"/>
        <v>487437.10967677133</v>
      </c>
      <c r="DD87" s="36">
        <f t="shared" si="87"/>
        <v>487437.10967677133</v>
      </c>
      <c r="DE87" s="36">
        <f t="shared" si="87"/>
        <v>487437.10967677133</v>
      </c>
      <c r="DF87" s="36">
        <f t="shared" si="87"/>
        <v>487437.10967677133</v>
      </c>
      <c r="DG87" s="36">
        <f t="shared" si="87"/>
        <v>487437.10967677133</v>
      </c>
      <c r="DH87" s="36">
        <f t="shared" si="87"/>
        <v>487437.10967677133</v>
      </c>
      <c r="DI87" s="36">
        <f t="shared" si="87"/>
        <v>487437.10967677133</v>
      </c>
      <c r="DJ87" s="36">
        <f t="shared" si="87"/>
        <v>487437.10967677133</v>
      </c>
      <c r="DK87" s="36">
        <f t="shared" si="87"/>
        <v>499623.03741869057</v>
      </c>
      <c r="DL87" s="36">
        <f t="shared" si="87"/>
        <v>499623.03741869057</v>
      </c>
      <c r="DM87" s="36">
        <f t="shared" si="87"/>
        <v>499623.03741869057</v>
      </c>
      <c r="DN87" s="36">
        <f t="shared" si="87"/>
        <v>499623.03741869057</v>
      </c>
      <c r="DO87" s="36">
        <f t="shared" si="87"/>
        <v>499623.03741869057</v>
      </c>
      <c r="DP87" s="36">
        <f t="shared" si="87"/>
        <v>499623.03741869057</v>
      </c>
      <c r="DQ87" s="36">
        <f t="shared" si="87"/>
        <v>499623.03741869057</v>
      </c>
      <c r="DR87" s="36">
        <f t="shared" si="87"/>
        <v>499623.03741869057</v>
      </c>
      <c r="DS87" s="36">
        <f t="shared" si="87"/>
        <v>499623.03741869057</v>
      </c>
      <c r="DT87" s="36">
        <f t="shared" si="87"/>
        <v>499623.03741869057</v>
      </c>
      <c r="DU87" s="36">
        <f t="shared" si="87"/>
        <v>499623.03741869057</v>
      </c>
      <c r="DV87" s="36">
        <f t="shared" si="87"/>
        <v>499623.03741869057</v>
      </c>
    </row>
    <row r="88" spans="2:126" outlineLevel="1">
      <c r="B88" s="3" t="str">
        <f t="shared" si="82"/>
        <v>Property L</v>
      </c>
      <c r="C88" s="2"/>
      <c r="D88" s="2"/>
      <c r="E88" s="35" t="s">
        <v>0</v>
      </c>
      <c r="F88" s="35"/>
      <c r="G88" s="36">
        <f t="shared" si="86"/>
        <v>0</v>
      </c>
      <c r="H88" s="36">
        <f t="shared" si="86"/>
        <v>0</v>
      </c>
      <c r="I88" s="36">
        <f t="shared" si="86"/>
        <v>0</v>
      </c>
      <c r="J88" s="36">
        <f t="shared" si="86"/>
        <v>0</v>
      </c>
      <c r="K88" s="36">
        <f t="shared" si="86"/>
        <v>0</v>
      </c>
      <c r="L88" s="36">
        <f t="shared" si="86"/>
        <v>0</v>
      </c>
      <c r="M88" s="36">
        <f t="shared" si="86"/>
        <v>0</v>
      </c>
      <c r="N88" s="36">
        <f t="shared" si="86"/>
        <v>0</v>
      </c>
      <c r="O88" s="36">
        <f t="shared" si="86"/>
        <v>0</v>
      </c>
      <c r="P88" s="36">
        <f t="shared" si="86"/>
        <v>0</v>
      </c>
      <c r="Q88" s="36">
        <f t="shared" si="86"/>
        <v>0</v>
      </c>
      <c r="R88" s="36">
        <f t="shared" si="86"/>
        <v>0</v>
      </c>
      <c r="S88" s="36">
        <f t="shared" si="86"/>
        <v>0</v>
      </c>
      <c r="T88" s="36">
        <f t="shared" si="86"/>
        <v>0</v>
      </c>
      <c r="U88" s="36">
        <f t="shared" si="86"/>
        <v>0</v>
      </c>
      <c r="V88" s="36">
        <f t="shared" si="86"/>
        <v>0</v>
      </c>
      <c r="W88" s="36">
        <f t="shared" si="86"/>
        <v>0</v>
      </c>
      <c r="X88" s="36">
        <f t="shared" si="86"/>
        <v>0</v>
      </c>
      <c r="Y88" s="36">
        <f t="shared" si="86"/>
        <v>0</v>
      </c>
      <c r="Z88" s="36">
        <f t="shared" si="86"/>
        <v>0</v>
      </c>
      <c r="AA88" s="36">
        <f t="shared" si="86"/>
        <v>0</v>
      </c>
      <c r="AB88" s="36">
        <f t="shared" si="86"/>
        <v>0</v>
      </c>
      <c r="AC88" s="36">
        <f t="shared" si="86"/>
        <v>0</v>
      </c>
      <c r="AD88" s="36">
        <f t="shared" si="86"/>
        <v>0</v>
      </c>
      <c r="AE88" s="36">
        <f t="shared" si="86"/>
        <v>0</v>
      </c>
      <c r="AF88" s="36">
        <f t="shared" si="86"/>
        <v>0</v>
      </c>
      <c r="AG88" s="36">
        <f t="shared" si="86"/>
        <v>0</v>
      </c>
      <c r="AH88" s="36">
        <f t="shared" si="86"/>
        <v>0</v>
      </c>
      <c r="AI88" s="36">
        <f t="shared" si="86"/>
        <v>0</v>
      </c>
      <c r="AJ88" s="36">
        <f t="shared" si="86"/>
        <v>0</v>
      </c>
      <c r="AK88" s="36">
        <f t="shared" si="86"/>
        <v>0</v>
      </c>
      <c r="AL88" s="36">
        <f t="shared" si="86"/>
        <v>0</v>
      </c>
      <c r="AM88" s="36">
        <f t="shared" si="86"/>
        <v>0</v>
      </c>
      <c r="AN88" s="36">
        <f t="shared" si="86"/>
        <v>0</v>
      </c>
      <c r="AO88" s="36">
        <f t="shared" si="86"/>
        <v>0</v>
      </c>
      <c r="AP88" s="36">
        <f t="shared" si="86"/>
        <v>0</v>
      </c>
      <c r="AQ88" s="36">
        <f t="shared" si="86"/>
        <v>0</v>
      </c>
      <c r="AR88" s="36">
        <f t="shared" si="86"/>
        <v>0</v>
      </c>
      <c r="AS88" s="36">
        <f t="shared" si="86"/>
        <v>0</v>
      </c>
      <c r="AT88" s="36">
        <f t="shared" si="86"/>
        <v>0</v>
      </c>
      <c r="AU88" s="36">
        <f t="shared" si="86"/>
        <v>0</v>
      </c>
      <c r="AV88" s="36">
        <f t="shared" si="86"/>
        <v>0</v>
      </c>
      <c r="AW88" s="36">
        <f t="shared" si="86"/>
        <v>0</v>
      </c>
      <c r="AX88" s="36">
        <f t="shared" si="86"/>
        <v>0</v>
      </c>
      <c r="AY88" s="36">
        <f t="shared" si="86"/>
        <v>0</v>
      </c>
      <c r="AZ88" s="36">
        <f t="shared" si="86"/>
        <v>0</v>
      </c>
      <c r="BA88" s="36">
        <f t="shared" si="86"/>
        <v>0</v>
      </c>
      <c r="BB88" s="36">
        <f t="shared" si="86"/>
        <v>0</v>
      </c>
      <c r="BC88" s="36">
        <f t="shared" si="86"/>
        <v>0</v>
      </c>
      <c r="BD88" s="36">
        <f t="shared" si="86"/>
        <v>0</v>
      </c>
      <c r="BE88" s="36">
        <f t="shared" si="86"/>
        <v>890487.00140399998</v>
      </c>
      <c r="BF88" s="36">
        <f t="shared" si="86"/>
        <v>890487.00140399998</v>
      </c>
      <c r="BG88" s="36">
        <f t="shared" si="86"/>
        <v>890487.00140399998</v>
      </c>
      <c r="BH88" s="36">
        <f t="shared" si="86"/>
        <v>890487.00140399998</v>
      </c>
      <c r="BI88" s="36">
        <f t="shared" si="86"/>
        <v>890487.00140399998</v>
      </c>
      <c r="BJ88" s="36">
        <f t="shared" si="86"/>
        <v>890487.00140399998</v>
      </c>
      <c r="BK88" s="36">
        <f t="shared" si="86"/>
        <v>890487.00140399998</v>
      </c>
      <c r="BL88" s="36">
        <f t="shared" si="86"/>
        <v>890487.00140399998</v>
      </c>
      <c r="BM88" s="36">
        <f t="shared" si="86"/>
        <v>890487.00140399998</v>
      </c>
      <c r="BN88" s="36">
        <f t="shared" si="86"/>
        <v>890487.00140399998</v>
      </c>
      <c r="BO88" s="36">
        <f t="shared" si="86"/>
        <v>912749.17643909983</v>
      </c>
      <c r="BP88" s="36">
        <f t="shared" si="86"/>
        <v>912749.17643909983</v>
      </c>
      <c r="BQ88" s="36">
        <f t="shared" si="86"/>
        <v>912749.17643909983</v>
      </c>
      <c r="BR88" s="36">
        <f t="shared" si="86"/>
        <v>912749.17643909983</v>
      </c>
      <c r="BS88" s="36">
        <f t="shared" si="88"/>
        <v>912749.17643909983</v>
      </c>
      <c r="BT88" s="36">
        <f t="shared" si="88"/>
        <v>912749.17643909983</v>
      </c>
      <c r="BU88" s="36">
        <f t="shared" si="88"/>
        <v>912749.17643909983</v>
      </c>
      <c r="BV88" s="36">
        <f t="shared" si="88"/>
        <v>912749.17643909983</v>
      </c>
      <c r="BW88" s="36">
        <f t="shared" si="88"/>
        <v>912749.17643909983</v>
      </c>
      <c r="BX88" s="36">
        <f t="shared" si="88"/>
        <v>912749.17643909983</v>
      </c>
      <c r="BY88" s="36">
        <f t="shared" si="88"/>
        <v>912749.17643909983</v>
      </c>
      <c r="BZ88" s="36">
        <f t="shared" si="88"/>
        <v>912749.17643909983</v>
      </c>
      <c r="CA88" s="36">
        <f t="shared" si="88"/>
        <v>935567.90585007728</v>
      </c>
      <c r="CB88" s="36">
        <f t="shared" si="88"/>
        <v>935567.90585007728</v>
      </c>
      <c r="CC88" s="36">
        <f t="shared" si="88"/>
        <v>935567.90585007728</v>
      </c>
      <c r="CD88" s="36">
        <f t="shared" si="88"/>
        <v>935567.90585007728</v>
      </c>
      <c r="CE88" s="36">
        <f t="shared" si="88"/>
        <v>935567.90585007728</v>
      </c>
      <c r="CF88" s="36">
        <f t="shared" si="88"/>
        <v>935567.90585007728</v>
      </c>
      <c r="CG88" s="36">
        <f t="shared" si="88"/>
        <v>935567.90585007728</v>
      </c>
      <c r="CH88" s="36">
        <f t="shared" si="88"/>
        <v>935567.90585007728</v>
      </c>
      <c r="CI88" s="36">
        <f t="shared" si="88"/>
        <v>935567.90585007728</v>
      </c>
      <c r="CJ88" s="36">
        <f t="shared" si="88"/>
        <v>935567.90585007728</v>
      </c>
      <c r="CK88" s="36">
        <f t="shared" si="88"/>
        <v>935567.90585007728</v>
      </c>
      <c r="CL88" s="36">
        <f t="shared" si="88"/>
        <v>935567.90585007728</v>
      </c>
      <c r="CM88" s="36">
        <f t="shared" si="88"/>
        <v>958957.10349632916</v>
      </c>
      <c r="CN88" s="36">
        <f t="shared" si="88"/>
        <v>958957.10349632916</v>
      </c>
      <c r="CO88" s="36">
        <f t="shared" si="88"/>
        <v>958957.10349632916</v>
      </c>
      <c r="CP88" s="36">
        <f t="shared" si="88"/>
        <v>958957.10349632916</v>
      </c>
      <c r="CQ88" s="36">
        <f t="shared" si="88"/>
        <v>958957.10349632916</v>
      </c>
      <c r="CR88" s="36">
        <f t="shared" si="88"/>
        <v>958957.10349632916</v>
      </c>
      <c r="CS88" s="36">
        <f t="shared" si="88"/>
        <v>958957.10349632916</v>
      </c>
      <c r="CT88" s="36">
        <f t="shared" si="88"/>
        <v>958957.10349632916</v>
      </c>
      <c r="CU88" s="36">
        <f t="shared" si="88"/>
        <v>958957.10349632916</v>
      </c>
      <c r="CV88" s="36">
        <f t="shared" si="88"/>
        <v>958957.10349632916</v>
      </c>
      <c r="CW88" s="36">
        <f t="shared" si="88"/>
        <v>958957.10349632916</v>
      </c>
      <c r="CX88" s="36">
        <f t="shared" si="88"/>
        <v>958957.10349632916</v>
      </c>
      <c r="CY88" s="36">
        <f t="shared" si="87"/>
        <v>982931.03108373727</v>
      </c>
      <c r="CZ88" s="36">
        <f t="shared" si="87"/>
        <v>982931.03108373727</v>
      </c>
      <c r="DA88" s="36">
        <f t="shared" si="87"/>
        <v>982931.03108373727</v>
      </c>
      <c r="DB88" s="36">
        <f t="shared" si="87"/>
        <v>982931.03108373727</v>
      </c>
      <c r="DC88" s="36">
        <f t="shared" si="87"/>
        <v>982931.03108373727</v>
      </c>
      <c r="DD88" s="36">
        <f t="shared" si="87"/>
        <v>982931.03108373727</v>
      </c>
      <c r="DE88" s="36">
        <f t="shared" si="87"/>
        <v>982931.03108373727</v>
      </c>
      <c r="DF88" s="36">
        <f t="shared" si="87"/>
        <v>982931.03108373727</v>
      </c>
      <c r="DG88" s="36">
        <f t="shared" si="87"/>
        <v>982931.03108373727</v>
      </c>
      <c r="DH88" s="36">
        <f t="shared" si="87"/>
        <v>982931.03108373727</v>
      </c>
      <c r="DI88" s="36">
        <f t="shared" si="87"/>
        <v>982931.03108373727</v>
      </c>
      <c r="DJ88" s="36">
        <f t="shared" si="87"/>
        <v>982931.03108373727</v>
      </c>
      <c r="DK88" s="36">
        <f t="shared" si="87"/>
        <v>1007504.3068608306</v>
      </c>
      <c r="DL88" s="36">
        <f t="shared" si="87"/>
        <v>1007504.3068608306</v>
      </c>
      <c r="DM88" s="36">
        <f t="shared" si="87"/>
        <v>1007504.3068608306</v>
      </c>
      <c r="DN88" s="36">
        <f t="shared" si="87"/>
        <v>1007504.3068608306</v>
      </c>
      <c r="DO88" s="36">
        <f t="shared" si="87"/>
        <v>1007504.3068608306</v>
      </c>
      <c r="DP88" s="36">
        <f t="shared" si="87"/>
        <v>1007504.3068608306</v>
      </c>
      <c r="DQ88" s="36">
        <f t="shared" si="87"/>
        <v>1007504.3068608306</v>
      </c>
      <c r="DR88" s="36">
        <f t="shared" si="87"/>
        <v>1007504.3068608306</v>
      </c>
      <c r="DS88" s="36">
        <f t="shared" si="87"/>
        <v>1007504.3068608306</v>
      </c>
      <c r="DT88" s="36">
        <f t="shared" si="87"/>
        <v>1007504.3068608306</v>
      </c>
      <c r="DU88" s="36">
        <f t="shared" si="87"/>
        <v>1007504.3068608306</v>
      </c>
      <c r="DV88" s="36">
        <f t="shared" si="87"/>
        <v>1007504.3068608306</v>
      </c>
    </row>
    <row r="89" spans="2:126" outlineLevel="1">
      <c r="B89" s="3" t="str">
        <f t="shared" si="82"/>
        <v>Property M</v>
      </c>
      <c r="C89" s="2"/>
      <c r="D89" s="2"/>
      <c r="E89" s="35" t="s">
        <v>0</v>
      </c>
      <c r="F89" s="35"/>
      <c r="G89" s="36">
        <f t="shared" si="86"/>
        <v>0</v>
      </c>
      <c r="H89" s="36">
        <f t="shared" si="86"/>
        <v>0</v>
      </c>
      <c r="I89" s="36">
        <f t="shared" si="86"/>
        <v>0</v>
      </c>
      <c r="J89" s="36">
        <f t="shared" si="86"/>
        <v>0</v>
      </c>
      <c r="K89" s="36">
        <f t="shared" si="86"/>
        <v>0</v>
      </c>
      <c r="L89" s="36">
        <f t="shared" si="86"/>
        <v>0</v>
      </c>
      <c r="M89" s="36">
        <f t="shared" si="86"/>
        <v>0</v>
      </c>
      <c r="N89" s="36">
        <f t="shared" si="86"/>
        <v>0</v>
      </c>
      <c r="O89" s="36">
        <f t="shared" si="86"/>
        <v>0</v>
      </c>
      <c r="P89" s="36">
        <f t="shared" si="86"/>
        <v>0</v>
      </c>
      <c r="Q89" s="36">
        <f t="shared" si="86"/>
        <v>0</v>
      </c>
      <c r="R89" s="36">
        <f t="shared" si="86"/>
        <v>0</v>
      </c>
      <c r="S89" s="36">
        <f t="shared" si="86"/>
        <v>0</v>
      </c>
      <c r="T89" s="36">
        <f t="shared" si="86"/>
        <v>0</v>
      </c>
      <c r="U89" s="36">
        <f t="shared" si="86"/>
        <v>0</v>
      </c>
      <c r="V89" s="36">
        <f t="shared" si="86"/>
        <v>0</v>
      </c>
      <c r="W89" s="36">
        <f t="shared" si="86"/>
        <v>0</v>
      </c>
      <c r="X89" s="36">
        <f t="shared" si="86"/>
        <v>0</v>
      </c>
      <c r="Y89" s="36">
        <f t="shared" si="86"/>
        <v>0</v>
      </c>
      <c r="Z89" s="36">
        <f t="shared" si="86"/>
        <v>0</v>
      </c>
      <c r="AA89" s="36">
        <f t="shared" si="86"/>
        <v>0</v>
      </c>
      <c r="AB89" s="36">
        <f t="shared" si="86"/>
        <v>0</v>
      </c>
      <c r="AC89" s="36">
        <f t="shared" si="86"/>
        <v>0</v>
      </c>
      <c r="AD89" s="36">
        <f t="shared" si="86"/>
        <v>0</v>
      </c>
      <c r="AE89" s="36">
        <f t="shared" si="86"/>
        <v>0</v>
      </c>
      <c r="AF89" s="36">
        <f t="shared" si="86"/>
        <v>0</v>
      </c>
      <c r="AG89" s="36">
        <f t="shared" si="86"/>
        <v>0</v>
      </c>
      <c r="AH89" s="36">
        <f t="shared" si="86"/>
        <v>0</v>
      </c>
      <c r="AI89" s="36">
        <f t="shared" si="86"/>
        <v>0</v>
      </c>
      <c r="AJ89" s="36">
        <f t="shared" si="86"/>
        <v>0</v>
      </c>
      <c r="AK89" s="36">
        <f t="shared" si="86"/>
        <v>0</v>
      </c>
      <c r="AL89" s="36">
        <f t="shared" si="86"/>
        <v>0</v>
      </c>
      <c r="AM89" s="36">
        <f t="shared" si="86"/>
        <v>0</v>
      </c>
      <c r="AN89" s="36">
        <f t="shared" si="86"/>
        <v>0</v>
      </c>
      <c r="AO89" s="36">
        <f t="shared" si="86"/>
        <v>0</v>
      </c>
      <c r="AP89" s="36">
        <f t="shared" si="86"/>
        <v>0</v>
      </c>
      <c r="AQ89" s="36">
        <f t="shared" si="86"/>
        <v>0</v>
      </c>
      <c r="AR89" s="36">
        <f t="shared" si="86"/>
        <v>0</v>
      </c>
      <c r="AS89" s="36">
        <f t="shared" si="86"/>
        <v>0</v>
      </c>
      <c r="AT89" s="36">
        <f t="shared" si="86"/>
        <v>0</v>
      </c>
      <c r="AU89" s="36">
        <f t="shared" si="86"/>
        <v>0</v>
      </c>
      <c r="AV89" s="36">
        <f t="shared" si="86"/>
        <v>0</v>
      </c>
      <c r="AW89" s="36">
        <f t="shared" si="86"/>
        <v>0</v>
      </c>
      <c r="AX89" s="36">
        <f t="shared" si="86"/>
        <v>0</v>
      </c>
      <c r="AY89" s="36">
        <f t="shared" si="86"/>
        <v>0</v>
      </c>
      <c r="AZ89" s="36">
        <f t="shared" si="86"/>
        <v>0</v>
      </c>
      <c r="BA89" s="36">
        <f t="shared" si="86"/>
        <v>0</v>
      </c>
      <c r="BB89" s="36">
        <f t="shared" si="86"/>
        <v>0</v>
      </c>
      <c r="BC89" s="36">
        <f t="shared" si="86"/>
        <v>0</v>
      </c>
      <c r="BD89" s="36">
        <f t="shared" si="86"/>
        <v>0</v>
      </c>
      <c r="BE89" s="36">
        <f t="shared" si="86"/>
        <v>654483.61578600004</v>
      </c>
      <c r="BF89" s="36">
        <f t="shared" si="86"/>
        <v>654483.61578600004</v>
      </c>
      <c r="BG89" s="36">
        <f t="shared" si="86"/>
        <v>654483.61578600004</v>
      </c>
      <c r="BH89" s="36">
        <f t="shared" si="86"/>
        <v>654483.61578600004</v>
      </c>
      <c r="BI89" s="36">
        <f t="shared" si="86"/>
        <v>654483.61578600004</v>
      </c>
      <c r="BJ89" s="36">
        <f t="shared" si="86"/>
        <v>654483.61578600004</v>
      </c>
      <c r="BK89" s="36">
        <f t="shared" si="86"/>
        <v>654483.61578600004</v>
      </c>
      <c r="BL89" s="36">
        <f t="shared" si="86"/>
        <v>654483.61578600004</v>
      </c>
      <c r="BM89" s="36">
        <f t="shared" si="86"/>
        <v>654483.61578600004</v>
      </c>
      <c r="BN89" s="36">
        <f t="shared" si="86"/>
        <v>654483.61578600004</v>
      </c>
      <c r="BO89" s="36">
        <f t="shared" si="86"/>
        <v>670845.70618064993</v>
      </c>
      <c r="BP89" s="36">
        <f t="shared" si="86"/>
        <v>670845.70618064993</v>
      </c>
      <c r="BQ89" s="36">
        <f t="shared" si="86"/>
        <v>670845.70618064993</v>
      </c>
      <c r="BR89" s="36">
        <f t="shared" ref="BR89" si="89">$C39*BR$210*MIN(BR186,1)</f>
        <v>670845.70618064993</v>
      </c>
      <c r="BS89" s="36">
        <f t="shared" si="88"/>
        <v>670845.70618064993</v>
      </c>
      <c r="BT89" s="36">
        <f t="shared" si="88"/>
        <v>670845.70618064993</v>
      </c>
      <c r="BU89" s="36">
        <f t="shared" si="88"/>
        <v>670845.70618064993</v>
      </c>
      <c r="BV89" s="36">
        <f t="shared" si="88"/>
        <v>670845.70618064993</v>
      </c>
      <c r="BW89" s="36">
        <f t="shared" si="88"/>
        <v>670845.70618064993</v>
      </c>
      <c r="BX89" s="36">
        <f t="shared" si="88"/>
        <v>670845.70618064993</v>
      </c>
      <c r="BY89" s="36">
        <f t="shared" si="88"/>
        <v>670845.70618064993</v>
      </c>
      <c r="BZ89" s="36">
        <f t="shared" si="88"/>
        <v>670845.70618064993</v>
      </c>
      <c r="CA89" s="36">
        <f t="shared" si="88"/>
        <v>687616.84883516608</v>
      </c>
      <c r="CB89" s="36">
        <f t="shared" si="88"/>
        <v>687616.84883516608</v>
      </c>
      <c r="CC89" s="36">
        <f t="shared" si="88"/>
        <v>687616.84883516608</v>
      </c>
      <c r="CD89" s="36">
        <f t="shared" si="88"/>
        <v>687616.84883516608</v>
      </c>
      <c r="CE89" s="36">
        <f t="shared" si="88"/>
        <v>687616.84883516608</v>
      </c>
      <c r="CF89" s="36">
        <f t="shared" si="88"/>
        <v>687616.84883516608</v>
      </c>
      <c r="CG89" s="36">
        <f t="shared" si="88"/>
        <v>687616.84883516608</v>
      </c>
      <c r="CH89" s="36">
        <f t="shared" si="88"/>
        <v>687616.84883516608</v>
      </c>
      <c r="CI89" s="36">
        <f t="shared" si="88"/>
        <v>687616.84883516608</v>
      </c>
      <c r="CJ89" s="36">
        <f t="shared" si="88"/>
        <v>687616.84883516608</v>
      </c>
      <c r="CK89" s="36">
        <f t="shared" si="88"/>
        <v>687616.84883516608</v>
      </c>
      <c r="CL89" s="36">
        <f t="shared" si="88"/>
        <v>687616.84883516608</v>
      </c>
      <c r="CM89" s="36">
        <f t="shared" si="88"/>
        <v>704807.27005604515</v>
      </c>
      <c r="CN89" s="36">
        <f t="shared" si="88"/>
        <v>704807.27005604515</v>
      </c>
      <c r="CO89" s="36">
        <f t="shared" si="88"/>
        <v>704807.27005604515</v>
      </c>
      <c r="CP89" s="36">
        <f t="shared" si="88"/>
        <v>704807.27005604515</v>
      </c>
      <c r="CQ89" s="36">
        <f t="shared" si="88"/>
        <v>704807.27005604515</v>
      </c>
      <c r="CR89" s="36">
        <f t="shared" si="88"/>
        <v>704807.27005604515</v>
      </c>
      <c r="CS89" s="36">
        <f t="shared" si="88"/>
        <v>704807.27005604515</v>
      </c>
      <c r="CT89" s="36">
        <f t="shared" si="88"/>
        <v>704807.27005604515</v>
      </c>
      <c r="CU89" s="36">
        <f t="shared" si="88"/>
        <v>704807.27005604515</v>
      </c>
      <c r="CV89" s="36">
        <f t="shared" si="88"/>
        <v>704807.27005604515</v>
      </c>
      <c r="CW89" s="36">
        <f t="shared" si="88"/>
        <v>704807.27005604515</v>
      </c>
      <c r="CX89" s="36">
        <f t="shared" si="88"/>
        <v>704807.27005604515</v>
      </c>
      <c r="CY89" s="36">
        <f t="shared" si="87"/>
        <v>722427.4518074462</v>
      </c>
      <c r="CZ89" s="36">
        <f t="shared" si="87"/>
        <v>722427.4518074462</v>
      </c>
      <c r="DA89" s="36">
        <f t="shared" si="87"/>
        <v>722427.4518074462</v>
      </c>
      <c r="DB89" s="36">
        <f t="shared" si="87"/>
        <v>722427.4518074462</v>
      </c>
      <c r="DC89" s="36">
        <f t="shared" si="87"/>
        <v>722427.4518074462</v>
      </c>
      <c r="DD89" s="36">
        <f t="shared" si="87"/>
        <v>722427.4518074462</v>
      </c>
      <c r="DE89" s="36">
        <f t="shared" si="87"/>
        <v>722427.4518074462</v>
      </c>
      <c r="DF89" s="36">
        <f t="shared" si="87"/>
        <v>722427.4518074462</v>
      </c>
      <c r="DG89" s="36">
        <f t="shared" si="87"/>
        <v>722427.4518074462</v>
      </c>
      <c r="DH89" s="36">
        <f t="shared" si="87"/>
        <v>722427.4518074462</v>
      </c>
      <c r="DI89" s="36">
        <f t="shared" si="87"/>
        <v>722427.4518074462</v>
      </c>
      <c r="DJ89" s="36">
        <f t="shared" si="87"/>
        <v>722427.4518074462</v>
      </c>
      <c r="DK89" s="36">
        <f t="shared" si="87"/>
        <v>740488.13810263237</v>
      </c>
      <c r="DL89" s="36">
        <f t="shared" si="87"/>
        <v>740488.13810263237</v>
      </c>
      <c r="DM89" s="36">
        <f t="shared" si="87"/>
        <v>740488.13810263237</v>
      </c>
      <c r="DN89" s="36">
        <f t="shared" si="87"/>
        <v>740488.13810263237</v>
      </c>
      <c r="DO89" s="36">
        <f t="shared" si="87"/>
        <v>740488.13810263237</v>
      </c>
      <c r="DP89" s="36">
        <f t="shared" si="87"/>
        <v>740488.13810263237</v>
      </c>
      <c r="DQ89" s="36">
        <f t="shared" si="87"/>
        <v>740488.13810263237</v>
      </c>
      <c r="DR89" s="36">
        <f t="shared" si="87"/>
        <v>740488.13810263237</v>
      </c>
      <c r="DS89" s="36">
        <f t="shared" si="87"/>
        <v>740488.13810263237</v>
      </c>
      <c r="DT89" s="36">
        <f t="shared" si="87"/>
        <v>740488.13810263237</v>
      </c>
      <c r="DU89" s="36">
        <f t="shared" si="87"/>
        <v>740488.13810263237</v>
      </c>
      <c r="DV89" s="36">
        <f t="shared" si="87"/>
        <v>740488.13810263237</v>
      </c>
    </row>
    <row r="90" spans="2:126" outlineLevel="1">
      <c r="B90" s="3" t="str">
        <f t="shared" si="82"/>
        <v>Property N</v>
      </c>
      <c r="C90" s="2"/>
      <c r="D90" s="2"/>
      <c r="E90" s="35" t="s">
        <v>0</v>
      </c>
      <c r="F90" s="35"/>
      <c r="G90" s="36">
        <f t="shared" ref="G90:BR91" si="90">$C40*G$210*MIN(G187,1)</f>
        <v>0</v>
      </c>
      <c r="H90" s="36">
        <f t="shared" si="90"/>
        <v>0</v>
      </c>
      <c r="I90" s="36">
        <f t="shared" si="90"/>
        <v>0</v>
      </c>
      <c r="J90" s="36">
        <f t="shared" si="90"/>
        <v>0</v>
      </c>
      <c r="K90" s="36">
        <f t="shared" si="90"/>
        <v>0</v>
      </c>
      <c r="L90" s="36">
        <f t="shared" si="90"/>
        <v>0</v>
      </c>
      <c r="M90" s="36">
        <f t="shared" si="90"/>
        <v>0</v>
      </c>
      <c r="N90" s="36">
        <f t="shared" si="90"/>
        <v>0</v>
      </c>
      <c r="O90" s="36">
        <f t="shared" si="90"/>
        <v>0</v>
      </c>
      <c r="P90" s="36">
        <f t="shared" si="90"/>
        <v>0</v>
      </c>
      <c r="Q90" s="36">
        <f t="shared" si="90"/>
        <v>0</v>
      </c>
      <c r="R90" s="36">
        <f t="shared" si="90"/>
        <v>0</v>
      </c>
      <c r="S90" s="36">
        <f t="shared" si="90"/>
        <v>0</v>
      </c>
      <c r="T90" s="36">
        <f t="shared" si="90"/>
        <v>0</v>
      </c>
      <c r="U90" s="36">
        <f t="shared" si="90"/>
        <v>0</v>
      </c>
      <c r="V90" s="36">
        <f t="shared" si="90"/>
        <v>0</v>
      </c>
      <c r="W90" s="36">
        <f t="shared" si="90"/>
        <v>0</v>
      </c>
      <c r="X90" s="36">
        <f t="shared" si="90"/>
        <v>0</v>
      </c>
      <c r="Y90" s="36">
        <f t="shared" si="90"/>
        <v>0</v>
      </c>
      <c r="Z90" s="36">
        <f t="shared" si="90"/>
        <v>0</v>
      </c>
      <c r="AA90" s="36">
        <f t="shared" si="90"/>
        <v>0</v>
      </c>
      <c r="AB90" s="36">
        <f t="shared" si="90"/>
        <v>0</v>
      </c>
      <c r="AC90" s="36">
        <f t="shared" si="90"/>
        <v>0</v>
      </c>
      <c r="AD90" s="36">
        <f t="shared" si="90"/>
        <v>0</v>
      </c>
      <c r="AE90" s="36">
        <f t="shared" si="90"/>
        <v>0</v>
      </c>
      <c r="AF90" s="36">
        <f t="shared" si="90"/>
        <v>0</v>
      </c>
      <c r="AG90" s="36">
        <f t="shared" si="90"/>
        <v>0</v>
      </c>
      <c r="AH90" s="36">
        <f t="shared" si="90"/>
        <v>0</v>
      </c>
      <c r="AI90" s="36">
        <f t="shared" si="90"/>
        <v>0</v>
      </c>
      <c r="AJ90" s="36">
        <f t="shared" si="90"/>
        <v>0</v>
      </c>
      <c r="AK90" s="36">
        <f t="shared" si="90"/>
        <v>0</v>
      </c>
      <c r="AL90" s="36">
        <f t="shared" si="90"/>
        <v>0</v>
      </c>
      <c r="AM90" s="36">
        <f t="shared" si="90"/>
        <v>0</v>
      </c>
      <c r="AN90" s="36">
        <f t="shared" si="90"/>
        <v>0</v>
      </c>
      <c r="AO90" s="36">
        <f t="shared" si="90"/>
        <v>0</v>
      </c>
      <c r="AP90" s="36">
        <f t="shared" si="90"/>
        <v>0</v>
      </c>
      <c r="AQ90" s="36">
        <f t="shared" si="90"/>
        <v>0</v>
      </c>
      <c r="AR90" s="36">
        <f t="shared" si="90"/>
        <v>0</v>
      </c>
      <c r="AS90" s="36">
        <f t="shared" si="90"/>
        <v>0</v>
      </c>
      <c r="AT90" s="36">
        <f t="shared" si="90"/>
        <v>0</v>
      </c>
      <c r="AU90" s="36">
        <f t="shared" si="90"/>
        <v>0</v>
      </c>
      <c r="AV90" s="36">
        <f t="shared" si="90"/>
        <v>0</v>
      </c>
      <c r="AW90" s="36">
        <f t="shared" si="90"/>
        <v>0</v>
      </c>
      <c r="AX90" s="36">
        <f t="shared" si="90"/>
        <v>0</v>
      </c>
      <c r="AY90" s="36">
        <f t="shared" si="90"/>
        <v>0</v>
      </c>
      <c r="AZ90" s="36">
        <f t="shared" si="90"/>
        <v>0</v>
      </c>
      <c r="BA90" s="36">
        <f t="shared" si="90"/>
        <v>0</v>
      </c>
      <c r="BB90" s="36">
        <f t="shared" si="90"/>
        <v>0</v>
      </c>
      <c r="BC90" s="36">
        <f t="shared" si="90"/>
        <v>0</v>
      </c>
      <c r="BD90" s="36">
        <f t="shared" si="90"/>
        <v>0</v>
      </c>
      <c r="BE90" s="36">
        <f t="shared" si="90"/>
        <v>0</v>
      </c>
      <c r="BF90" s="36">
        <f t="shared" si="90"/>
        <v>0</v>
      </c>
      <c r="BG90" s="36">
        <f t="shared" si="90"/>
        <v>0</v>
      </c>
      <c r="BH90" s="36">
        <f t="shared" si="90"/>
        <v>0</v>
      </c>
      <c r="BI90" s="36">
        <f t="shared" si="90"/>
        <v>0</v>
      </c>
      <c r="BJ90" s="36">
        <f t="shared" si="90"/>
        <v>0</v>
      </c>
      <c r="BK90" s="36">
        <f t="shared" si="90"/>
        <v>0</v>
      </c>
      <c r="BL90" s="36">
        <f t="shared" si="90"/>
        <v>0</v>
      </c>
      <c r="BM90" s="36">
        <f t="shared" si="90"/>
        <v>0</v>
      </c>
      <c r="BN90" s="36">
        <f t="shared" si="90"/>
        <v>0</v>
      </c>
      <c r="BO90" s="36">
        <f t="shared" si="90"/>
        <v>0</v>
      </c>
      <c r="BP90" s="36">
        <f t="shared" si="90"/>
        <v>0</v>
      </c>
      <c r="BQ90" s="36">
        <f t="shared" si="90"/>
        <v>0</v>
      </c>
      <c r="BR90" s="36">
        <f t="shared" si="90"/>
        <v>932699.97810989991</v>
      </c>
      <c r="BS90" s="36">
        <f t="shared" si="88"/>
        <v>932699.97810989991</v>
      </c>
      <c r="BT90" s="36">
        <f t="shared" si="88"/>
        <v>932699.97810989991</v>
      </c>
      <c r="BU90" s="36">
        <f t="shared" si="88"/>
        <v>932699.97810989991</v>
      </c>
      <c r="BV90" s="36">
        <f t="shared" si="88"/>
        <v>932699.97810989991</v>
      </c>
      <c r="BW90" s="36">
        <f t="shared" si="88"/>
        <v>932699.97810989991</v>
      </c>
      <c r="BX90" s="36">
        <f t="shared" si="88"/>
        <v>932699.97810989991</v>
      </c>
      <c r="BY90" s="36">
        <f t="shared" si="88"/>
        <v>932699.97810989991</v>
      </c>
      <c r="BZ90" s="36">
        <f t="shared" si="88"/>
        <v>932699.97810989991</v>
      </c>
      <c r="CA90" s="36">
        <f t="shared" si="88"/>
        <v>956017.4775626472</v>
      </c>
      <c r="CB90" s="36">
        <f t="shared" si="88"/>
        <v>956017.4775626472</v>
      </c>
      <c r="CC90" s="36">
        <f t="shared" si="88"/>
        <v>956017.4775626472</v>
      </c>
      <c r="CD90" s="36">
        <f t="shared" si="88"/>
        <v>956017.4775626472</v>
      </c>
      <c r="CE90" s="36">
        <f t="shared" si="88"/>
        <v>956017.4775626472</v>
      </c>
      <c r="CF90" s="36">
        <f t="shared" si="88"/>
        <v>956017.4775626472</v>
      </c>
      <c r="CG90" s="36">
        <f t="shared" si="88"/>
        <v>956017.4775626472</v>
      </c>
      <c r="CH90" s="36">
        <f t="shared" si="88"/>
        <v>956017.4775626472</v>
      </c>
      <c r="CI90" s="36">
        <f t="shared" si="88"/>
        <v>956017.4775626472</v>
      </c>
      <c r="CJ90" s="36">
        <f t="shared" si="88"/>
        <v>956017.4775626472</v>
      </c>
      <c r="CK90" s="36">
        <f t="shared" si="88"/>
        <v>956017.4775626472</v>
      </c>
      <c r="CL90" s="36">
        <f t="shared" si="88"/>
        <v>956017.4775626472</v>
      </c>
      <c r="CM90" s="36">
        <f t="shared" si="88"/>
        <v>979917.91450171336</v>
      </c>
      <c r="CN90" s="36">
        <f t="shared" si="88"/>
        <v>979917.91450171336</v>
      </c>
      <c r="CO90" s="36">
        <f t="shared" si="88"/>
        <v>979917.91450171336</v>
      </c>
      <c r="CP90" s="36">
        <f t="shared" si="88"/>
        <v>979917.91450171336</v>
      </c>
      <c r="CQ90" s="36">
        <f t="shared" si="88"/>
        <v>979917.91450171336</v>
      </c>
      <c r="CR90" s="36">
        <f t="shared" si="88"/>
        <v>979917.91450171336</v>
      </c>
      <c r="CS90" s="36">
        <f t="shared" si="88"/>
        <v>979917.91450171336</v>
      </c>
      <c r="CT90" s="36">
        <f t="shared" si="88"/>
        <v>979917.91450171336</v>
      </c>
      <c r="CU90" s="36">
        <f t="shared" si="88"/>
        <v>979917.91450171336</v>
      </c>
      <c r="CV90" s="36">
        <f t="shared" si="88"/>
        <v>979917.91450171336</v>
      </c>
      <c r="CW90" s="36">
        <f t="shared" si="88"/>
        <v>979917.91450171336</v>
      </c>
      <c r="CX90" s="36">
        <f t="shared" si="88"/>
        <v>979917.91450171336</v>
      </c>
      <c r="CY90" s="36">
        <f t="shared" si="87"/>
        <v>1004415.8623642561</v>
      </c>
      <c r="CZ90" s="36">
        <f t="shared" si="87"/>
        <v>1004415.8623642561</v>
      </c>
      <c r="DA90" s="36">
        <f t="shared" si="87"/>
        <v>1004415.8623642561</v>
      </c>
      <c r="DB90" s="36">
        <f t="shared" si="87"/>
        <v>1004415.8623642561</v>
      </c>
      <c r="DC90" s="36">
        <f t="shared" si="87"/>
        <v>1004415.8623642561</v>
      </c>
      <c r="DD90" s="36">
        <f t="shared" si="87"/>
        <v>1004415.8623642561</v>
      </c>
      <c r="DE90" s="36">
        <f t="shared" si="87"/>
        <v>1004415.8623642561</v>
      </c>
      <c r="DF90" s="36">
        <f t="shared" si="87"/>
        <v>1004415.8623642561</v>
      </c>
      <c r="DG90" s="36">
        <f t="shared" si="87"/>
        <v>1004415.8623642561</v>
      </c>
      <c r="DH90" s="36">
        <f t="shared" si="87"/>
        <v>1004415.8623642561</v>
      </c>
      <c r="DI90" s="36">
        <f t="shared" si="87"/>
        <v>1004415.8623642561</v>
      </c>
      <c r="DJ90" s="36">
        <f t="shared" si="87"/>
        <v>1004415.8623642561</v>
      </c>
      <c r="DK90" s="36">
        <f t="shared" si="87"/>
        <v>1029526.2589233625</v>
      </c>
      <c r="DL90" s="36">
        <f t="shared" si="87"/>
        <v>1029526.2589233625</v>
      </c>
      <c r="DM90" s="36">
        <f t="shared" si="87"/>
        <v>1029526.2589233625</v>
      </c>
      <c r="DN90" s="36">
        <f t="shared" si="87"/>
        <v>1029526.2589233625</v>
      </c>
      <c r="DO90" s="36">
        <f t="shared" si="87"/>
        <v>1029526.2589233625</v>
      </c>
      <c r="DP90" s="36">
        <f t="shared" si="87"/>
        <v>1029526.2589233625</v>
      </c>
      <c r="DQ90" s="36">
        <f t="shared" si="87"/>
        <v>1029526.2589233625</v>
      </c>
      <c r="DR90" s="36">
        <f t="shared" si="87"/>
        <v>1029526.2589233625</v>
      </c>
      <c r="DS90" s="36">
        <f t="shared" si="87"/>
        <v>1029526.2589233625</v>
      </c>
      <c r="DT90" s="36">
        <f t="shared" si="87"/>
        <v>1029526.2589233625</v>
      </c>
      <c r="DU90" s="36">
        <f t="shared" si="87"/>
        <v>1029526.2589233625</v>
      </c>
      <c r="DV90" s="36">
        <f t="shared" si="87"/>
        <v>1029526.2589233625</v>
      </c>
    </row>
    <row r="91" spans="2:126" outlineLevel="1">
      <c r="B91" s="3" t="str">
        <f t="shared" si="82"/>
        <v>Property O</v>
      </c>
      <c r="C91" s="2"/>
      <c r="D91" s="2"/>
      <c r="E91" s="35" t="s">
        <v>0</v>
      </c>
      <c r="F91" s="35"/>
      <c r="G91" s="36">
        <f t="shared" si="90"/>
        <v>0</v>
      </c>
      <c r="H91" s="36">
        <f t="shared" si="90"/>
        <v>0</v>
      </c>
      <c r="I91" s="36">
        <f t="shared" si="90"/>
        <v>0</v>
      </c>
      <c r="J91" s="36">
        <f t="shared" si="90"/>
        <v>0</v>
      </c>
      <c r="K91" s="36">
        <f t="shared" si="90"/>
        <v>0</v>
      </c>
      <c r="L91" s="36">
        <f t="shared" si="90"/>
        <v>0</v>
      </c>
      <c r="M91" s="36">
        <f t="shared" si="90"/>
        <v>0</v>
      </c>
      <c r="N91" s="36">
        <f t="shared" si="90"/>
        <v>0</v>
      </c>
      <c r="O91" s="36">
        <f t="shared" si="90"/>
        <v>0</v>
      </c>
      <c r="P91" s="36">
        <f t="shared" si="90"/>
        <v>0</v>
      </c>
      <c r="Q91" s="36">
        <f t="shared" si="90"/>
        <v>0</v>
      </c>
      <c r="R91" s="36">
        <f t="shared" si="90"/>
        <v>0</v>
      </c>
      <c r="S91" s="36">
        <f t="shared" si="90"/>
        <v>0</v>
      </c>
      <c r="T91" s="36">
        <f t="shared" si="90"/>
        <v>0</v>
      </c>
      <c r="U91" s="36">
        <f t="shared" si="90"/>
        <v>0</v>
      </c>
      <c r="V91" s="36">
        <f t="shared" si="90"/>
        <v>0</v>
      </c>
      <c r="W91" s="36">
        <f t="shared" si="90"/>
        <v>0</v>
      </c>
      <c r="X91" s="36">
        <f t="shared" si="90"/>
        <v>0</v>
      </c>
      <c r="Y91" s="36">
        <f t="shared" si="90"/>
        <v>0</v>
      </c>
      <c r="Z91" s="36">
        <f t="shared" si="90"/>
        <v>0</v>
      </c>
      <c r="AA91" s="36">
        <f t="shared" si="90"/>
        <v>0</v>
      </c>
      <c r="AB91" s="36">
        <f t="shared" si="90"/>
        <v>0</v>
      </c>
      <c r="AC91" s="36">
        <f t="shared" si="90"/>
        <v>0</v>
      </c>
      <c r="AD91" s="36">
        <f t="shared" si="90"/>
        <v>0</v>
      </c>
      <c r="AE91" s="36">
        <f t="shared" si="90"/>
        <v>0</v>
      </c>
      <c r="AF91" s="36">
        <f t="shared" si="90"/>
        <v>0</v>
      </c>
      <c r="AG91" s="36">
        <f t="shared" si="90"/>
        <v>0</v>
      </c>
      <c r="AH91" s="36">
        <f t="shared" si="90"/>
        <v>0</v>
      </c>
      <c r="AI91" s="36">
        <f t="shared" si="90"/>
        <v>0</v>
      </c>
      <c r="AJ91" s="36">
        <f t="shared" si="90"/>
        <v>0</v>
      </c>
      <c r="AK91" s="36">
        <f t="shared" si="90"/>
        <v>0</v>
      </c>
      <c r="AL91" s="36">
        <f t="shared" si="90"/>
        <v>0</v>
      </c>
      <c r="AM91" s="36">
        <f t="shared" si="90"/>
        <v>0</v>
      </c>
      <c r="AN91" s="36">
        <f t="shared" si="90"/>
        <v>0</v>
      </c>
      <c r="AO91" s="36">
        <f t="shared" si="90"/>
        <v>0</v>
      </c>
      <c r="AP91" s="36">
        <f t="shared" si="90"/>
        <v>0</v>
      </c>
      <c r="AQ91" s="36">
        <f t="shared" si="90"/>
        <v>0</v>
      </c>
      <c r="AR91" s="36">
        <f t="shared" si="90"/>
        <v>0</v>
      </c>
      <c r="AS91" s="36">
        <f t="shared" si="90"/>
        <v>0</v>
      </c>
      <c r="AT91" s="36">
        <f t="shared" si="90"/>
        <v>0</v>
      </c>
      <c r="AU91" s="36">
        <f t="shared" si="90"/>
        <v>0</v>
      </c>
      <c r="AV91" s="36">
        <f t="shared" si="90"/>
        <v>0</v>
      </c>
      <c r="AW91" s="36">
        <f t="shared" si="90"/>
        <v>0</v>
      </c>
      <c r="AX91" s="36">
        <f t="shared" si="90"/>
        <v>0</v>
      </c>
      <c r="AY91" s="36">
        <f t="shared" si="90"/>
        <v>0</v>
      </c>
      <c r="AZ91" s="36">
        <f t="shared" si="90"/>
        <v>0</v>
      </c>
      <c r="BA91" s="36">
        <f t="shared" si="90"/>
        <v>0</v>
      </c>
      <c r="BB91" s="36">
        <f t="shared" si="90"/>
        <v>0</v>
      </c>
      <c r="BC91" s="36">
        <f t="shared" si="90"/>
        <v>0</v>
      </c>
      <c r="BD91" s="36">
        <f t="shared" si="90"/>
        <v>0</v>
      </c>
      <c r="BE91" s="36">
        <f t="shared" si="90"/>
        <v>0</v>
      </c>
      <c r="BF91" s="36">
        <f t="shared" si="90"/>
        <v>0</v>
      </c>
      <c r="BG91" s="36">
        <f t="shared" si="90"/>
        <v>0</v>
      </c>
      <c r="BH91" s="36">
        <f t="shared" si="90"/>
        <v>0</v>
      </c>
      <c r="BI91" s="36">
        <f t="shared" si="90"/>
        <v>0</v>
      </c>
      <c r="BJ91" s="36">
        <f t="shared" si="90"/>
        <v>0</v>
      </c>
      <c r="BK91" s="36">
        <f t="shared" si="90"/>
        <v>0</v>
      </c>
      <c r="BL91" s="36">
        <f t="shared" si="90"/>
        <v>0</v>
      </c>
      <c r="BM91" s="36">
        <f t="shared" si="90"/>
        <v>0</v>
      </c>
      <c r="BN91" s="36">
        <f t="shared" si="90"/>
        <v>0</v>
      </c>
      <c r="BO91" s="36">
        <f t="shared" si="90"/>
        <v>0</v>
      </c>
      <c r="BP91" s="36">
        <f t="shared" si="90"/>
        <v>0</v>
      </c>
      <c r="BQ91" s="36">
        <f t="shared" si="90"/>
        <v>0</v>
      </c>
      <c r="BR91" s="36">
        <f t="shared" si="90"/>
        <v>0</v>
      </c>
      <c r="BS91" s="36">
        <f t="shared" si="88"/>
        <v>0</v>
      </c>
      <c r="BT91" s="36">
        <f t="shared" si="88"/>
        <v>0</v>
      </c>
      <c r="BU91" s="36">
        <f t="shared" si="88"/>
        <v>0</v>
      </c>
      <c r="BV91" s="36">
        <f t="shared" si="88"/>
        <v>0</v>
      </c>
      <c r="BW91" s="36">
        <f t="shared" si="88"/>
        <v>0</v>
      </c>
      <c r="BX91" s="36">
        <f t="shared" si="88"/>
        <v>0</v>
      </c>
      <c r="BY91" s="36">
        <f t="shared" si="88"/>
        <v>0</v>
      </c>
      <c r="BZ91" s="36">
        <f t="shared" si="88"/>
        <v>957638.48019839986</v>
      </c>
      <c r="CA91" s="36">
        <f t="shared" si="88"/>
        <v>981579.44220335979</v>
      </c>
      <c r="CB91" s="36">
        <f t="shared" si="88"/>
        <v>981579.44220335979</v>
      </c>
      <c r="CC91" s="36">
        <f t="shared" si="88"/>
        <v>981579.44220335979</v>
      </c>
      <c r="CD91" s="36">
        <f t="shared" si="88"/>
        <v>981579.44220335979</v>
      </c>
      <c r="CE91" s="36">
        <f t="shared" si="88"/>
        <v>981579.44220335979</v>
      </c>
      <c r="CF91" s="36">
        <f t="shared" si="88"/>
        <v>981579.44220335979</v>
      </c>
      <c r="CG91" s="36">
        <f t="shared" si="88"/>
        <v>981579.44220335979</v>
      </c>
      <c r="CH91" s="36">
        <f t="shared" si="88"/>
        <v>981579.44220335979</v>
      </c>
      <c r="CI91" s="36">
        <f t="shared" si="88"/>
        <v>981579.44220335979</v>
      </c>
      <c r="CJ91" s="36">
        <f t="shared" si="88"/>
        <v>981579.44220335979</v>
      </c>
      <c r="CK91" s="36">
        <f t="shared" si="88"/>
        <v>981579.44220335979</v>
      </c>
      <c r="CL91" s="36">
        <f t="shared" si="88"/>
        <v>981579.44220335979</v>
      </c>
      <c r="CM91" s="36">
        <f t="shared" si="88"/>
        <v>1006118.9282584437</v>
      </c>
      <c r="CN91" s="36">
        <f t="shared" si="88"/>
        <v>1006118.9282584437</v>
      </c>
      <c r="CO91" s="36">
        <f t="shared" si="88"/>
        <v>1006118.9282584437</v>
      </c>
      <c r="CP91" s="36">
        <f t="shared" si="88"/>
        <v>1006118.9282584437</v>
      </c>
      <c r="CQ91" s="36">
        <f t="shared" si="88"/>
        <v>1006118.9282584437</v>
      </c>
      <c r="CR91" s="36">
        <f t="shared" si="88"/>
        <v>1006118.9282584437</v>
      </c>
      <c r="CS91" s="36">
        <f t="shared" si="88"/>
        <v>1006118.9282584437</v>
      </c>
      <c r="CT91" s="36">
        <f t="shared" si="88"/>
        <v>1006118.9282584437</v>
      </c>
      <c r="CU91" s="36">
        <f t="shared" si="88"/>
        <v>1006118.9282584437</v>
      </c>
      <c r="CV91" s="36">
        <f t="shared" si="88"/>
        <v>1006118.9282584437</v>
      </c>
      <c r="CW91" s="36">
        <f t="shared" si="88"/>
        <v>1006118.9282584437</v>
      </c>
      <c r="CX91" s="36">
        <f t="shared" si="88"/>
        <v>1006118.9282584437</v>
      </c>
      <c r="CY91" s="36">
        <f t="shared" si="87"/>
        <v>1031271.9014649047</v>
      </c>
      <c r="CZ91" s="36">
        <f t="shared" si="87"/>
        <v>1031271.9014649047</v>
      </c>
      <c r="DA91" s="36">
        <f t="shared" si="87"/>
        <v>1031271.9014649047</v>
      </c>
      <c r="DB91" s="36">
        <f t="shared" si="87"/>
        <v>1031271.9014649047</v>
      </c>
      <c r="DC91" s="36">
        <f t="shared" si="87"/>
        <v>1031271.9014649047</v>
      </c>
      <c r="DD91" s="36">
        <f t="shared" si="87"/>
        <v>1031271.9014649047</v>
      </c>
      <c r="DE91" s="36">
        <f t="shared" si="87"/>
        <v>1031271.9014649047</v>
      </c>
      <c r="DF91" s="36">
        <f t="shared" si="87"/>
        <v>1031271.9014649047</v>
      </c>
      <c r="DG91" s="36">
        <f t="shared" si="87"/>
        <v>1031271.9014649047</v>
      </c>
      <c r="DH91" s="36">
        <f t="shared" si="87"/>
        <v>1031271.9014649047</v>
      </c>
      <c r="DI91" s="36">
        <f t="shared" si="87"/>
        <v>1031271.9014649047</v>
      </c>
      <c r="DJ91" s="36">
        <f t="shared" si="87"/>
        <v>1031271.9014649047</v>
      </c>
      <c r="DK91" s="36">
        <f t="shared" si="87"/>
        <v>1057053.6990015272</v>
      </c>
      <c r="DL91" s="36">
        <f t="shared" si="87"/>
        <v>1057053.6990015272</v>
      </c>
      <c r="DM91" s="36">
        <f t="shared" si="87"/>
        <v>1057053.6990015272</v>
      </c>
      <c r="DN91" s="36">
        <f t="shared" si="87"/>
        <v>1057053.6990015272</v>
      </c>
      <c r="DO91" s="36">
        <f t="shared" si="87"/>
        <v>1057053.6990015272</v>
      </c>
      <c r="DP91" s="36">
        <f t="shared" si="87"/>
        <v>1057053.6990015272</v>
      </c>
      <c r="DQ91" s="36">
        <f t="shared" si="87"/>
        <v>1057053.6990015272</v>
      </c>
      <c r="DR91" s="36">
        <f t="shared" si="87"/>
        <v>1057053.6990015272</v>
      </c>
      <c r="DS91" s="36">
        <f t="shared" si="87"/>
        <v>1057053.6990015272</v>
      </c>
      <c r="DT91" s="36">
        <f t="shared" si="87"/>
        <v>1057053.6990015272</v>
      </c>
      <c r="DU91" s="36">
        <f t="shared" si="87"/>
        <v>1057053.6990015272</v>
      </c>
      <c r="DV91" s="36">
        <f t="shared" si="87"/>
        <v>1057053.6990015272</v>
      </c>
    </row>
    <row r="92" spans="2:126" outlineLevel="1">
      <c r="B92" s="3"/>
      <c r="C92" s="2"/>
      <c r="D92" s="2"/>
      <c r="E92" s="35"/>
      <c r="F92" s="35"/>
      <c r="G92" s="2"/>
      <c r="H92" s="2"/>
      <c r="I92" s="3"/>
      <c r="J92" s="3"/>
      <c r="K92" s="2"/>
    </row>
    <row r="93" spans="2:126">
      <c r="B93" s="1" t="s">
        <v>69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</row>
    <row r="94" spans="2:126" outlineLevel="1">
      <c r="B94" s="3"/>
      <c r="C94" s="2"/>
      <c r="D94" s="2"/>
      <c r="E94" s="35"/>
      <c r="F94" s="35"/>
      <c r="G94" s="2"/>
      <c r="H94" s="2"/>
      <c r="I94" s="3"/>
      <c r="J94" s="3"/>
      <c r="K94" s="2"/>
    </row>
    <row r="95" spans="2:126" outlineLevel="1">
      <c r="B95" s="6" t="s">
        <v>70</v>
      </c>
      <c r="C95" s="6" t="s">
        <v>71</v>
      </c>
      <c r="D95" s="6" t="s">
        <v>72</v>
      </c>
      <c r="E95" s="41" t="s">
        <v>0</v>
      </c>
      <c r="F95" s="35"/>
      <c r="G95" s="42">
        <f t="shared" ref="G95:BR95" si="91">SUBTOTAL(9,G96:G105)</f>
        <v>4316130</v>
      </c>
      <c r="H95" s="42">
        <f t="shared" si="91"/>
        <v>0</v>
      </c>
      <c r="I95" s="42">
        <f t="shared" si="91"/>
        <v>0</v>
      </c>
      <c r="J95" s="42">
        <f t="shared" si="91"/>
        <v>3908898</v>
      </c>
      <c r="K95" s="42">
        <f t="shared" si="91"/>
        <v>0</v>
      </c>
      <c r="L95" s="42">
        <f t="shared" si="91"/>
        <v>0</v>
      </c>
      <c r="M95" s="42">
        <f t="shared" si="91"/>
        <v>4936701</v>
      </c>
      <c r="N95" s="42">
        <f t="shared" si="91"/>
        <v>0</v>
      </c>
      <c r="O95" s="42">
        <f t="shared" si="91"/>
        <v>0</v>
      </c>
      <c r="P95" s="42">
        <f t="shared" si="91"/>
        <v>6597360</v>
      </c>
      <c r="Q95" s="42">
        <f t="shared" si="91"/>
        <v>0</v>
      </c>
      <c r="R95" s="42">
        <f t="shared" si="91"/>
        <v>0</v>
      </c>
      <c r="S95" s="42">
        <f t="shared" si="91"/>
        <v>4793841.3600000003</v>
      </c>
      <c r="T95" s="42">
        <f t="shared" si="91"/>
        <v>0</v>
      </c>
      <c r="U95" s="42">
        <f t="shared" si="91"/>
        <v>0</v>
      </c>
      <c r="V95" s="42">
        <f t="shared" si="91"/>
        <v>3262091.3325</v>
      </c>
      <c r="W95" s="42">
        <f t="shared" si="91"/>
        <v>0</v>
      </c>
      <c r="X95" s="42">
        <f t="shared" si="91"/>
        <v>0</v>
      </c>
      <c r="Y95" s="42">
        <f t="shared" si="91"/>
        <v>0</v>
      </c>
      <c r="Z95" s="42">
        <f t="shared" si="91"/>
        <v>0</v>
      </c>
      <c r="AA95" s="42">
        <f t="shared" si="91"/>
        <v>0</v>
      </c>
      <c r="AB95" s="42">
        <f t="shared" si="91"/>
        <v>0</v>
      </c>
      <c r="AC95" s="42">
        <f t="shared" si="91"/>
        <v>0</v>
      </c>
      <c r="AD95" s="42">
        <f t="shared" si="91"/>
        <v>0</v>
      </c>
      <c r="AE95" s="42">
        <f t="shared" si="91"/>
        <v>7810190.3880000003</v>
      </c>
      <c r="AF95" s="42">
        <f t="shared" si="91"/>
        <v>0</v>
      </c>
      <c r="AG95" s="42">
        <f t="shared" si="91"/>
        <v>0</v>
      </c>
      <c r="AH95" s="42">
        <f t="shared" si="91"/>
        <v>4223861.2416000003</v>
      </c>
      <c r="AI95" s="42">
        <f t="shared" si="91"/>
        <v>0</v>
      </c>
      <c r="AJ95" s="42">
        <f t="shared" si="91"/>
        <v>0</v>
      </c>
      <c r="AK95" s="42">
        <f t="shared" si="91"/>
        <v>0</v>
      </c>
      <c r="AL95" s="42">
        <f t="shared" si="91"/>
        <v>0</v>
      </c>
      <c r="AM95" s="42">
        <f t="shared" si="91"/>
        <v>0</v>
      </c>
      <c r="AN95" s="42">
        <f t="shared" si="91"/>
        <v>0</v>
      </c>
      <c r="AO95" s="42">
        <f t="shared" si="91"/>
        <v>0</v>
      </c>
      <c r="AP95" s="42">
        <f t="shared" si="91"/>
        <v>0</v>
      </c>
      <c r="AQ95" s="42">
        <f t="shared" si="91"/>
        <v>6440334.2083079992</v>
      </c>
      <c r="AR95" s="42">
        <f t="shared" si="91"/>
        <v>0</v>
      </c>
      <c r="AS95" s="42">
        <f t="shared" si="91"/>
        <v>0</v>
      </c>
      <c r="AT95" s="42">
        <f t="shared" si="91"/>
        <v>0</v>
      </c>
      <c r="AU95" s="42">
        <f t="shared" si="91"/>
        <v>0</v>
      </c>
      <c r="AV95" s="42">
        <f t="shared" si="91"/>
        <v>0</v>
      </c>
      <c r="AW95" s="42">
        <f t="shared" si="91"/>
        <v>6385768.3169279993</v>
      </c>
      <c r="AX95" s="42">
        <f t="shared" si="91"/>
        <v>0</v>
      </c>
      <c r="AY95" s="42">
        <f t="shared" si="91"/>
        <v>0</v>
      </c>
      <c r="AZ95" s="42">
        <f t="shared" si="91"/>
        <v>0</v>
      </c>
      <c r="BA95" s="42">
        <f t="shared" si="91"/>
        <v>0</v>
      </c>
      <c r="BB95" s="42">
        <f t="shared" si="91"/>
        <v>0</v>
      </c>
      <c r="BC95" s="42">
        <f t="shared" si="91"/>
        <v>0</v>
      </c>
      <c r="BD95" s="42">
        <f t="shared" si="91"/>
        <v>0</v>
      </c>
      <c r="BE95" s="42">
        <f t="shared" si="91"/>
        <v>0</v>
      </c>
      <c r="BF95" s="42">
        <f t="shared" si="91"/>
        <v>0</v>
      </c>
      <c r="BG95" s="42">
        <f t="shared" si="91"/>
        <v>0</v>
      </c>
      <c r="BH95" s="42">
        <f t="shared" si="91"/>
        <v>0</v>
      </c>
      <c r="BI95" s="42">
        <f t="shared" si="91"/>
        <v>0</v>
      </c>
      <c r="BJ95" s="42">
        <f t="shared" si="91"/>
        <v>0</v>
      </c>
      <c r="BK95" s="42">
        <f t="shared" si="91"/>
        <v>0</v>
      </c>
      <c r="BL95" s="42">
        <f t="shared" si="91"/>
        <v>0</v>
      </c>
      <c r="BM95" s="42">
        <f t="shared" si="91"/>
        <v>0</v>
      </c>
      <c r="BN95" s="42">
        <f t="shared" si="91"/>
        <v>0</v>
      </c>
      <c r="BO95" s="42">
        <f t="shared" si="91"/>
        <v>0</v>
      </c>
      <c r="BP95" s="42">
        <f t="shared" si="91"/>
        <v>0</v>
      </c>
      <c r="BQ95" s="42">
        <f t="shared" si="91"/>
        <v>0</v>
      </c>
      <c r="BR95" s="42">
        <f t="shared" si="91"/>
        <v>0</v>
      </c>
      <c r="BS95" s="42">
        <f t="shared" ref="BS95:DV95" si="92">SUBTOTAL(9,BS96:BS105)</f>
        <v>0</v>
      </c>
      <c r="BT95" s="42">
        <f t="shared" si="92"/>
        <v>0</v>
      </c>
      <c r="BU95" s="42">
        <f t="shared" si="92"/>
        <v>0</v>
      </c>
      <c r="BV95" s="42">
        <f t="shared" si="92"/>
        <v>0</v>
      </c>
      <c r="BW95" s="42">
        <f t="shared" si="92"/>
        <v>0</v>
      </c>
      <c r="BX95" s="42">
        <f t="shared" si="92"/>
        <v>0</v>
      </c>
      <c r="BY95" s="42">
        <f t="shared" si="92"/>
        <v>0</v>
      </c>
      <c r="BZ95" s="42">
        <f t="shared" si="92"/>
        <v>0</v>
      </c>
      <c r="CA95" s="42">
        <f t="shared" si="92"/>
        <v>0</v>
      </c>
      <c r="CB95" s="42">
        <f t="shared" si="92"/>
        <v>0</v>
      </c>
      <c r="CC95" s="42">
        <f t="shared" si="92"/>
        <v>0</v>
      </c>
      <c r="CD95" s="42">
        <f t="shared" si="92"/>
        <v>0</v>
      </c>
      <c r="CE95" s="42">
        <f t="shared" si="92"/>
        <v>0</v>
      </c>
      <c r="CF95" s="42">
        <f t="shared" si="92"/>
        <v>0</v>
      </c>
      <c r="CG95" s="42">
        <f t="shared" si="92"/>
        <v>0</v>
      </c>
      <c r="CH95" s="42">
        <f t="shared" si="92"/>
        <v>0</v>
      </c>
      <c r="CI95" s="42">
        <f t="shared" si="92"/>
        <v>0</v>
      </c>
      <c r="CJ95" s="42">
        <f t="shared" si="92"/>
        <v>0</v>
      </c>
      <c r="CK95" s="42">
        <f t="shared" si="92"/>
        <v>0</v>
      </c>
      <c r="CL95" s="42">
        <f t="shared" si="92"/>
        <v>0</v>
      </c>
      <c r="CM95" s="42">
        <f t="shared" si="92"/>
        <v>0</v>
      </c>
      <c r="CN95" s="42">
        <f t="shared" si="92"/>
        <v>0</v>
      </c>
      <c r="CO95" s="42">
        <f t="shared" si="92"/>
        <v>0</v>
      </c>
      <c r="CP95" s="42">
        <f t="shared" si="92"/>
        <v>0</v>
      </c>
      <c r="CQ95" s="42">
        <f t="shared" si="92"/>
        <v>0</v>
      </c>
      <c r="CR95" s="42">
        <f t="shared" si="92"/>
        <v>0</v>
      </c>
      <c r="CS95" s="42">
        <f t="shared" si="92"/>
        <v>0</v>
      </c>
      <c r="CT95" s="42">
        <f t="shared" si="92"/>
        <v>0</v>
      </c>
      <c r="CU95" s="42">
        <f t="shared" si="92"/>
        <v>0</v>
      </c>
      <c r="CV95" s="42">
        <f t="shared" si="92"/>
        <v>0</v>
      </c>
      <c r="CW95" s="42">
        <f t="shared" si="92"/>
        <v>0</v>
      </c>
      <c r="CX95" s="42">
        <f t="shared" si="92"/>
        <v>0</v>
      </c>
      <c r="CY95" s="42">
        <f t="shared" si="92"/>
        <v>0</v>
      </c>
      <c r="CZ95" s="42">
        <f t="shared" si="92"/>
        <v>0</v>
      </c>
      <c r="DA95" s="42">
        <f t="shared" si="92"/>
        <v>0</v>
      </c>
      <c r="DB95" s="42">
        <f t="shared" si="92"/>
        <v>0</v>
      </c>
      <c r="DC95" s="42">
        <f t="shared" si="92"/>
        <v>0</v>
      </c>
      <c r="DD95" s="42">
        <f t="shared" si="92"/>
        <v>0</v>
      </c>
      <c r="DE95" s="42">
        <f t="shared" si="92"/>
        <v>0</v>
      </c>
      <c r="DF95" s="42">
        <f t="shared" si="92"/>
        <v>0</v>
      </c>
      <c r="DG95" s="42">
        <f t="shared" si="92"/>
        <v>0</v>
      </c>
      <c r="DH95" s="42">
        <f t="shared" si="92"/>
        <v>0</v>
      </c>
      <c r="DI95" s="42">
        <f t="shared" si="92"/>
        <v>0</v>
      </c>
      <c r="DJ95" s="42">
        <f t="shared" si="92"/>
        <v>0</v>
      </c>
      <c r="DK95" s="42">
        <f t="shared" si="92"/>
        <v>0</v>
      </c>
      <c r="DL95" s="42">
        <f t="shared" si="92"/>
        <v>0</v>
      </c>
      <c r="DM95" s="42">
        <f t="shared" si="92"/>
        <v>0</v>
      </c>
      <c r="DN95" s="42">
        <f t="shared" si="92"/>
        <v>0</v>
      </c>
      <c r="DO95" s="42">
        <f t="shared" si="92"/>
        <v>0</v>
      </c>
      <c r="DP95" s="42">
        <f t="shared" si="92"/>
        <v>0</v>
      </c>
      <c r="DQ95" s="42">
        <f t="shared" si="92"/>
        <v>0</v>
      </c>
      <c r="DR95" s="42">
        <f t="shared" si="92"/>
        <v>0</v>
      </c>
      <c r="DS95" s="42">
        <f t="shared" si="92"/>
        <v>0</v>
      </c>
      <c r="DT95" s="42">
        <f t="shared" si="92"/>
        <v>0</v>
      </c>
      <c r="DU95" s="42">
        <f t="shared" si="92"/>
        <v>0</v>
      </c>
      <c r="DV95" s="42">
        <f t="shared" si="92"/>
        <v>0</v>
      </c>
    </row>
    <row r="96" spans="2:126" outlineLevel="1">
      <c r="B96" s="3" t="str">
        <f t="shared" ref="B96:B105" si="93">B82</f>
        <v>Property F</v>
      </c>
      <c r="C96" s="50">
        <f>CaseData!D15</f>
        <v>4110600</v>
      </c>
      <c r="D96" s="14">
        <f t="shared" ref="D96:D105" si="94">D127</f>
        <v>1</v>
      </c>
      <c r="E96" s="35" t="s">
        <v>0</v>
      </c>
      <c r="F96" s="35"/>
      <c r="G96" s="36">
        <f t="shared" ref="G96:V105" si="95">IF($D96=G$4,1,0)*$C96*G$212</f>
        <v>4316130</v>
      </c>
      <c r="H96" s="36">
        <f t="shared" si="95"/>
        <v>0</v>
      </c>
      <c r="I96" s="36">
        <f t="shared" si="95"/>
        <v>0</v>
      </c>
      <c r="J96" s="36">
        <f t="shared" si="95"/>
        <v>0</v>
      </c>
      <c r="K96" s="36">
        <f t="shared" si="95"/>
        <v>0</v>
      </c>
      <c r="L96" s="36">
        <f t="shared" si="95"/>
        <v>0</v>
      </c>
      <c r="M96" s="36">
        <f t="shared" si="95"/>
        <v>0</v>
      </c>
      <c r="N96" s="36">
        <f t="shared" si="95"/>
        <v>0</v>
      </c>
      <c r="O96" s="36">
        <f t="shared" si="95"/>
        <v>0</v>
      </c>
      <c r="P96" s="36">
        <f t="shared" si="95"/>
        <v>0</v>
      </c>
      <c r="Q96" s="36">
        <f t="shared" si="95"/>
        <v>0</v>
      </c>
      <c r="R96" s="36">
        <f t="shared" si="95"/>
        <v>0</v>
      </c>
      <c r="S96" s="36">
        <f t="shared" si="95"/>
        <v>0</v>
      </c>
      <c r="T96" s="36">
        <f t="shared" si="95"/>
        <v>0</v>
      </c>
      <c r="U96" s="36">
        <f t="shared" si="95"/>
        <v>0</v>
      </c>
      <c r="V96" s="36">
        <f t="shared" si="95"/>
        <v>0</v>
      </c>
      <c r="W96" s="36">
        <f t="shared" ref="W96:AL105" si="96">IF($D96=W$4,1,0)*$C96*W$212</f>
        <v>0</v>
      </c>
      <c r="X96" s="36">
        <f t="shared" si="96"/>
        <v>0</v>
      </c>
      <c r="Y96" s="36">
        <f t="shared" si="96"/>
        <v>0</v>
      </c>
      <c r="Z96" s="36">
        <f t="shared" si="96"/>
        <v>0</v>
      </c>
      <c r="AA96" s="36">
        <f t="shared" si="96"/>
        <v>0</v>
      </c>
      <c r="AB96" s="36">
        <f t="shared" si="96"/>
        <v>0</v>
      </c>
      <c r="AC96" s="36">
        <f t="shared" si="96"/>
        <v>0</v>
      </c>
      <c r="AD96" s="36">
        <f t="shared" si="96"/>
        <v>0</v>
      </c>
      <c r="AE96" s="36">
        <f t="shared" si="96"/>
        <v>0</v>
      </c>
      <c r="AF96" s="36">
        <f t="shared" si="96"/>
        <v>0</v>
      </c>
      <c r="AG96" s="36">
        <f t="shared" si="96"/>
        <v>0</v>
      </c>
      <c r="AH96" s="36">
        <f t="shared" si="96"/>
        <v>0</v>
      </c>
      <c r="AI96" s="36">
        <f t="shared" si="96"/>
        <v>0</v>
      </c>
      <c r="AJ96" s="36">
        <f t="shared" si="96"/>
        <v>0</v>
      </c>
      <c r="AK96" s="36">
        <f t="shared" si="96"/>
        <v>0</v>
      </c>
      <c r="AL96" s="36">
        <f t="shared" si="96"/>
        <v>0</v>
      </c>
      <c r="AM96" s="36">
        <f t="shared" ref="AM96:BB105" si="97">IF($D96=AM$4,1,0)*$C96*AM$212</f>
        <v>0</v>
      </c>
      <c r="AN96" s="36">
        <f t="shared" si="97"/>
        <v>0</v>
      </c>
      <c r="AO96" s="36">
        <f t="shared" si="97"/>
        <v>0</v>
      </c>
      <c r="AP96" s="36">
        <f t="shared" si="97"/>
        <v>0</v>
      </c>
      <c r="AQ96" s="36">
        <f t="shared" si="97"/>
        <v>0</v>
      </c>
      <c r="AR96" s="36">
        <f t="shared" si="97"/>
        <v>0</v>
      </c>
      <c r="AS96" s="36">
        <f t="shared" si="97"/>
        <v>0</v>
      </c>
      <c r="AT96" s="36">
        <f t="shared" si="97"/>
        <v>0</v>
      </c>
      <c r="AU96" s="36">
        <f t="shared" si="97"/>
        <v>0</v>
      </c>
      <c r="AV96" s="36">
        <f t="shared" si="97"/>
        <v>0</v>
      </c>
      <c r="AW96" s="36">
        <f t="shared" si="97"/>
        <v>0</v>
      </c>
      <c r="AX96" s="36">
        <f t="shared" si="97"/>
        <v>0</v>
      </c>
      <c r="AY96" s="36">
        <f t="shared" si="97"/>
        <v>0</v>
      </c>
      <c r="AZ96" s="36">
        <f t="shared" si="97"/>
        <v>0</v>
      </c>
      <c r="BA96" s="36">
        <f t="shared" si="97"/>
        <v>0</v>
      </c>
      <c r="BB96" s="36">
        <f t="shared" si="97"/>
        <v>0</v>
      </c>
      <c r="BC96" s="36">
        <f t="shared" ref="BC96:BR105" si="98">IF($D96=BC$4,1,0)*$C96*BC$212</f>
        <v>0</v>
      </c>
      <c r="BD96" s="36">
        <f t="shared" si="98"/>
        <v>0</v>
      </c>
      <c r="BE96" s="36">
        <f t="shared" si="98"/>
        <v>0</v>
      </c>
      <c r="BF96" s="36">
        <f t="shared" si="98"/>
        <v>0</v>
      </c>
      <c r="BG96" s="36">
        <f t="shared" si="98"/>
        <v>0</v>
      </c>
      <c r="BH96" s="36">
        <f t="shared" si="98"/>
        <v>0</v>
      </c>
      <c r="BI96" s="36">
        <f t="shared" si="98"/>
        <v>0</v>
      </c>
      <c r="BJ96" s="36">
        <f t="shared" si="98"/>
        <v>0</v>
      </c>
      <c r="BK96" s="36">
        <f t="shared" si="98"/>
        <v>0</v>
      </c>
      <c r="BL96" s="36">
        <f t="shared" si="98"/>
        <v>0</v>
      </c>
      <c r="BM96" s="36">
        <f t="shared" si="98"/>
        <v>0</v>
      </c>
      <c r="BN96" s="36">
        <f t="shared" si="98"/>
        <v>0</v>
      </c>
      <c r="BO96" s="36">
        <f t="shared" si="98"/>
        <v>0</v>
      </c>
      <c r="BP96" s="36">
        <f t="shared" si="98"/>
        <v>0</v>
      </c>
      <c r="BQ96" s="36">
        <f t="shared" si="98"/>
        <v>0</v>
      </c>
      <c r="BR96" s="36">
        <f t="shared" si="98"/>
        <v>0</v>
      </c>
      <c r="BS96" s="36">
        <f t="shared" ref="BS96:CH105" si="99">IF($D96=BS$4,1,0)*$C96*BS$212</f>
        <v>0</v>
      </c>
      <c r="BT96" s="36">
        <f t="shared" si="99"/>
        <v>0</v>
      </c>
      <c r="BU96" s="36">
        <f t="shared" si="99"/>
        <v>0</v>
      </c>
      <c r="BV96" s="36">
        <f t="shared" si="99"/>
        <v>0</v>
      </c>
      <c r="BW96" s="36">
        <f t="shared" si="99"/>
        <v>0</v>
      </c>
      <c r="BX96" s="36">
        <f t="shared" si="99"/>
        <v>0</v>
      </c>
      <c r="BY96" s="36">
        <f t="shared" si="99"/>
        <v>0</v>
      </c>
      <c r="BZ96" s="36">
        <f t="shared" si="99"/>
        <v>0</v>
      </c>
      <c r="CA96" s="36">
        <f t="shared" si="99"/>
        <v>0</v>
      </c>
      <c r="CB96" s="36">
        <f t="shared" si="99"/>
        <v>0</v>
      </c>
      <c r="CC96" s="36">
        <f t="shared" si="99"/>
        <v>0</v>
      </c>
      <c r="CD96" s="36">
        <f t="shared" si="99"/>
        <v>0</v>
      </c>
      <c r="CE96" s="36">
        <f t="shared" si="99"/>
        <v>0</v>
      </c>
      <c r="CF96" s="36">
        <f t="shared" si="99"/>
        <v>0</v>
      </c>
      <c r="CG96" s="36">
        <f t="shared" si="99"/>
        <v>0</v>
      </c>
      <c r="CH96" s="36">
        <f t="shared" si="99"/>
        <v>0</v>
      </c>
      <c r="CI96" s="36">
        <f t="shared" ref="CI96:CX105" si="100">IF($D96=CI$4,1,0)*$C96*CI$212</f>
        <v>0</v>
      </c>
      <c r="CJ96" s="36">
        <f t="shared" si="100"/>
        <v>0</v>
      </c>
      <c r="CK96" s="36">
        <f t="shared" si="100"/>
        <v>0</v>
      </c>
      <c r="CL96" s="36">
        <f t="shared" si="100"/>
        <v>0</v>
      </c>
      <c r="CM96" s="36">
        <f t="shared" si="100"/>
        <v>0</v>
      </c>
      <c r="CN96" s="36">
        <f t="shared" si="100"/>
        <v>0</v>
      </c>
      <c r="CO96" s="36">
        <f t="shared" si="100"/>
        <v>0</v>
      </c>
      <c r="CP96" s="36">
        <f t="shared" si="100"/>
        <v>0</v>
      </c>
      <c r="CQ96" s="36">
        <f t="shared" si="100"/>
        <v>0</v>
      </c>
      <c r="CR96" s="36">
        <f t="shared" si="100"/>
        <v>0</v>
      </c>
      <c r="CS96" s="36">
        <f t="shared" si="100"/>
        <v>0</v>
      </c>
      <c r="CT96" s="36">
        <f t="shared" si="100"/>
        <v>0</v>
      </c>
      <c r="CU96" s="36">
        <f t="shared" si="100"/>
        <v>0</v>
      </c>
      <c r="CV96" s="36">
        <f t="shared" si="100"/>
        <v>0</v>
      </c>
      <c r="CW96" s="36">
        <f t="shared" si="100"/>
        <v>0</v>
      </c>
      <c r="CX96" s="36">
        <f t="shared" si="100"/>
        <v>0</v>
      </c>
      <c r="CY96" s="36">
        <f t="shared" ref="CY96:DN105" si="101">IF($D96=CY$4,1,0)*$C96*CY$212</f>
        <v>0</v>
      </c>
      <c r="CZ96" s="36">
        <f t="shared" si="101"/>
        <v>0</v>
      </c>
      <c r="DA96" s="36">
        <f t="shared" si="101"/>
        <v>0</v>
      </c>
      <c r="DB96" s="36">
        <f t="shared" si="101"/>
        <v>0</v>
      </c>
      <c r="DC96" s="36">
        <f t="shared" si="101"/>
        <v>0</v>
      </c>
      <c r="DD96" s="36">
        <f t="shared" si="101"/>
        <v>0</v>
      </c>
      <c r="DE96" s="36">
        <f t="shared" si="101"/>
        <v>0</v>
      </c>
      <c r="DF96" s="36">
        <f t="shared" si="101"/>
        <v>0</v>
      </c>
      <c r="DG96" s="36">
        <f t="shared" si="101"/>
        <v>0</v>
      </c>
      <c r="DH96" s="36">
        <f t="shared" si="101"/>
        <v>0</v>
      </c>
      <c r="DI96" s="36">
        <f t="shared" si="101"/>
        <v>0</v>
      </c>
      <c r="DJ96" s="36">
        <f t="shared" si="101"/>
        <v>0</v>
      </c>
      <c r="DK96" s="36">
        <f t="shared" si="101"/>
        <v>0</v>
      </c>
      <c r="DL96" s="36">
        <f t="shared" si="101"/>
        <v>0</v>
      </c>
      <c r="DM96" s="36">
        <f t="shared" si="101"/>
        <v>0</v>
      </c>
      <c r="DN96" s="36">
        <f t="shared" si="101"/>
        <v>0</v>
      </c>
      <c r="DO96" s="36">
        <f t="shared" ref="DM96:DV105" si="102">IF($D96=DO$4,1,0)*$C96*DO$212</f>
        <v>0</v>
      </c>
      <c r="DP96" s="36">
        <f t="shared" si="102"/>
        <v>0</v>
      </c>
      <c r="DQ96" s="36">
        <f t="shared" si="102"/>
        <v>0</v>
      </c>
      <c r="DR96" s="36">
        <f t="shared" si="102"/>
        <v>0</v>
      </c>
      <c r="DS96" s="36">
        <f t="shared" si="102"/>
        <v>0</v>
      </c>
      <c r="DT96" s="36">
        <f t="shared" si="102"/>
        <v>0</v>
      </c>
      <c r="DU96" s="36">
        <f t="shared" si="102"/>
        <v>0</v>
      </c>
      <c r="DV96" s="36">
        <f t="shared" si="102"/>
        <v>0</v>
      </c>
    </row>
    <row r="97" spans="2:126" outlineLevel="1">
      <c r="B97" s="3" t="str">
        <f t="shared" si="93"/>
        <v>Property G</v>
      </c>
      <c r="C97" s="50">
        <f>CaseData!D16</f>
        <v>3722760</v>
      </c>
      <c r="D97" s="14">
        <f t="shared" si="94"/>
        <v>4</v>
      </c>
      <c r="E97" s="35" t="s">
        <v>0</v>
      </c>
      <c r="F97" s="35"/>
      <c r="G97" s="36">
        <f t="shared" si="95"/>
        <v>0</v>
      </c>
      <c r="H97" s="36">
        <f t="shared" si="95"/>
        <v>0</v>
      </c>
      <c r="I97" s="36">
        <f t="shared" si="95"/>
        <v>0</v>
      </c>
      <c r="J97" s="36">
        <f t="shared" si="95"/>
        <v>3908898</v>
      </c>
      <c r="K97" s="36">
        <f t="shared" si="95"/>
        <v>0</v>
      </c>
      <c r="L97" s="36">
        <f t="shared" si="95"/>
        <v>0</v>
      </c>
      <c r="M97" s="36">
        <f t="shared" si="95"/>
        <v>0</v>
      </c>
      <c r="N97" s="36">
        <f t="shared" si="95"/>
        <v>0</v>
      </c>
      <c r="O97" s="36">
        <f t="shared" si="95"/>
        <v>0</v>
      </c>
      <c r="P97" s="36">
        <f t="shared" si="95"/>
        <v>0</v>
      </c>
      <c r="Q97" s="36">
        <f t="shared" si="95"/>
        <v>0</v>
      </c>
      <c r="R97" s="36">
        <f t="shared" si="95"/>
        <v>0</v>
      </c>
      <c r="S97" s="36">
        <f t="shared" si="95"/>
        <v>0</v>
      </c>
      <c r="T97" s="36">
        <f t="shared" si="95"/>
        <v>0</v>
      </c>
      <c r="U97" s="36">
        <f t="shared" si="95"/>
        <v>0</v>
      </c>
      <c r="V97" s="36">
        <f t="shared" si="95"/>
        <v>0</v>
      </c>
      <c r="W97" s="36">
        <f t="shared" si="96"/>
        <v>0</v>
      </c>
      <c r="X97" s="36">
        <f t="shared" si="96"/>
        <v>0</v>
      </c>
      <c r="Y97" s="36">
        <f t="shared" si="96"/>
        <v>0</v>
      </c>
      <c r="Z97" s="36">
        <f t="shared" si="96"/>
        <v>0</v>
      </c>
      <c r="AA97" s="36">
        <f t="shared" si="96"/>
        <v>0</v>
      </c>
      <c r="AB97" s="36">
        <f t="shared" si="96"/>
        <v>0</v>
      </c>
      <c r="AC97" s="36">
        <f t="shared" si="96"/>
        <v>0</v>
      </c>
      <c r="AD97" s="36">
        <f t="shared" si="96"/>
        <v>0</v>
      </c>
      <c r="AE97" s="36">
        <f t="shared" si="96"/>
        <v>0</v>
      </c>
      <c r="AF97" s="36">
        <f t="shared" si="96"/>
        <v>0</v>
      </c>
      <c r="AG97" s="36">
        <f t="shared" si="96"/>
        <v>0</v>
      </c>
      <c r="AH97" s="36">
        <f t="shared" si="96"/>
        <v>0</v>
      </c>
      <c r="AI97" s="36">
        <f t="shared" si="96"/>
        <v>0</v>
      </c>
      <c r="AJ97" s="36">
        <f t="shared" si="96"/>
        <v>0</v>
      </c>
      <c r="AK97" s="36">
        <f t="shared" si="96"/>
        <v>0</v>
      </c>
      <c r="AL97" s="36">
        <f t="shared" si="96"/>
        <v>0</v>
      </c>
      <c r="AM97" s="36">
        <f t="shared" si="97"/>
        <v>0</v>
      </c>
      <c r="AN97" s="36">
        <f t="shared" si="97"/>
        <v>0</v>
      </c>
      <c r="AO97" s="36">
        <f t="shared" si="97"/>
        <v>0</v>
      </c>
      <c r="AP97" s="36">
        <f t="shared" si="97"/>
        <v>0</v>
      </c>
      <c r="AQ97" s="36">
        <f t="shared" si="97"/>
        <v>0</v>
      </c>
      <c r="AR97" s="36">
        <f t="shared" si="97"/>
        <v>0</v>
      </c>
      <c r="AS97" s="36">
        <f t="shared" si="97"/>
        <v>0</v>
      </c>
      <c r="AT97" s="36">
        <f t="shared" si="97"/>
        <v>0</v>
      </c>
      <c r="AU97" s="36">
        <f t="shared" si="97"/>
        <v>0</v>
      </c>
      <c r="AV97" s="36">
        <f t="shared" si="97"/>
        <v>0</v>
      </c>
      <c r="AW97" s="36">
        <f t="shared" si="97"/>
        <v>0</v>
      </c>
      <c r="AX97" s="36">
        <f t="shared" si="97"/>
        <v>0</v>
      </c>
      <c r="AY97" s="36">
        <f t="shared" si="97"/>
        <v>0</v>
      </c>
      <c r="AZ97" s="36">
        <f t="shared" si="97"/>
        <v>0</v>
      </c>
      <c r="BA97" s="36">
        <f t="shared" si="97"/>
        <v>0</v>
      </c>
      <c r="BB97" s="36">
        <f t="shared" si="97"/>
        <v>0</v>
      </c>
      <c r="BC97" s="36">
        <f t="shared" si="98"/>
        <v>0</v>
      </c>
      <c r="BD97" s="36">
        <f t="shared" si="98"/>
        <v>0</v>
      </c>
      <c r="BE97" s="36">
        <f t="shared" si="98"/>
        <v>0</v>
      </c>
      <c r="BF97" s="36">
        <f t="shared" si="98"/>
        <v>0</v>
      </c>
      <c r="BG97" s="36">
        <f t="shared" si="98"/>
        <v>0</v>
      </c>
      <c r="BH97" s="36">
        <f t="shared" si="98"/>
        <v>0</v>
      </c>
      <c r="BI97" s="36">
        <f t="shared" si="98"/>
        <v>0</v>
      </c>
      <c r="BJ97" s="36">
        <f t="shared" si="98"/>
        <v>0</v>
      </c>
      <c r="BK97" s="36">
        <f t="shared" si="98"/>
        <v>0</v>
      </c>
      <c r="BL97" s="36">
        <f t="shared" si="98"/>
        <v>0</v>
      </c>
      <c r="BM97" s="36">
        <f t="shared" si="98"/>
        <v>0</v>
      </c>
      <c r="BN97" s="36">
        <f t="shared" si="98"/>
        <v>0</v>
      </c>
      <c r="BO97" s="36">
        <f t="shared" si="98"/>
        <v>0</v>
      </c>
      <c r="BP97" s="36">
        <f t="shared" si="98"/>
        <v>0</v>
      </c>
      <c r="BQ97" s="36">
        <f t="shared" si="98"/>
        <v>0</v>
      </c>
      <c r="BR97" s="36">
        <f t="shared" si="98"/>
        <v>0</v>
      </c>
      <c r="BS97" s="36">
        <f t="shared" si="99"/>
        <v>0</v>
      </c>
      <c r="BT97" s="36">
        <f t="shared" si="99"/>
        <v>0</v>
      </c>
      <c r="BU97" s="36">
        <f t="shared" si="99"/>
        <v>0</v>
      </c>
      <c r="BV97" s="36">
        <f t="shared" si="99"/>
        <v>0</v>
      </c>
      <c r="BW97" s="36">
        <f t="shared" si="99"/>
        <v>0</v>
      </c>
      <c r="BX97" s="36">
        <f t="shared" si="99"/>
        <v>0</v>
      </c>
      <c r="BY97" s="36">
        <f t="shared" si="99"/>
        <v>0</v>
      </c>
      <c r="BZ97" s="36">
        <f t="shared" si="99"/>
        <v>0</v>
      </c>
      <c r="CA97" s="36">
        <f t="shared" si="99"/>
        <v>0</v>
      </c>
      <c r="CB97" s="36">
        <f t="shared" si="99"/>
        <v>0</v>
      </c>
      <c r="CC97" s="36">
        <f t="shared" si="99"/>
        <v>0</v>
      </c>
      <c r="CD97" s="36">
        <f t="shared" si="99"/>
        <v>0</v>
      </c>
      <c r="CE97" s="36">
        <f t="shared" si="99"/>
        <v>0</v>
      </c>
      <c r="CF97" s="36">
        <f t="shared" si="99"/>
        <v>0</v>
      </c>
      <c r="CG97" s="36">
        <f t="shared" si="99"/>
        <v>0</v>
      </c>
      <c r="CH97" s="36">
        <f t="shared" si="99"/>
        <v>0</v>
      </c>
      <c r="CI97" s="36">
        <f t="shared" si="100"/>
        <v>0</v>
      </c>
      <c r="CJ97" s="36">
        <f t="shared" si="100"/>
        <v>0</v>
      </c>
      <c r="CK97" s="36">
        <f t="shared" si="100"/>
        <v>0</v>
      </c>
      <c r="CL97" s="36">
        <f t="shared" si="100"/>
        <v>0</v>
      </c>
      <c r="CM97" s="36">
        <f t="shared" si="100"/>
        <v>0</v>
      </c>
      <c r="CN97" s="36">
        <f t="shared" si="100"/>
        <v>0</v>
      </c>
      <c r="CO97" s="36">
        <f t="shared" si="100"/>
        <v>0</v>
      </c>
      <c r="CP97" s="36">
        <f t="shared" si="100"/>
        <v>0</v>
      </c>
      <c r="CQ97" s="36">
        <f t="shared" si="100"/>
        <v>0</v>
      </c>
      <c r="CR97" s="36">
        <f t="shared" si="100"/>
        <v>0</v>
      </c>
      <c r="CS97" s="36">
        <f t="shared" si="100"/>
        <v>0</v>
      </c>
      <c r="CT97" s="36">
        <f t="shared" si="100"/>
        <v>0</v>
      </c>
      <c r="CU97" s="36">
        <f t="shared" si="100"/>
        <v>0</v>
      </c>
      <c r="CV97" s="36">
        <f t="shared" si="100"/>
        <v>0</v>
      </c>
      <c r="CW97" s="36">
        <f t="shared" si="100"/>
        <v>0</v>
      </c>
      <c r="CX97" s="36">
        <f t="shared" si="100"/>
        <v>0</v>
      </c>
      <c r="CY97" s="36">
        <f t="shared" si="101"/>
        <v>0</v>
      </c>
      <c r="CZ97" s="36">
        <f t="shared" si="101"/>
        <v>0</v>
      </c>
      <c r="DA97" s="36">
        <f t="shared" si="101"/>
        <v>0</v>
      </c>
      <c r="DB97" s="36">
        <f t="shared" si="101"/>
        <v>0</v>
      </c>
      <c r="DC97" s="36">
        <f t="shared" si="101"/>
        <v>0</v>
      </c>
      <c r="DD97" s="36">
        <f t="shared" si="101"/>
        <v>0</v>
      </c>
      <c r="DE97" s="36">
        <f t="shared" si="101"/>
        <v>0</v>
      </c>
      <c r="DF97" s="36">
        <f t="shared" si="101"/>
        <v>0</v>
      </c>
      <c r="DG97" s="36">
        <f t="shared" si="101"/>
        <v>0</v>
      </c>
      <c r="DH97" s="36">
        <f t="shared" si="101"/>
        <v>0</v>
      </c>
      <c r="DI97" s="36">
        <f t="shared" si="101"/>
        <v>0</v>
      </c>
      <c r="DJ97" s="36">
        <f t="shared" si="101"/>
        <v>0</v>
      </c>
      <c r="DK97" s="36">
        <f t="shared" si="101"/>
        <v>0</v>
      </c>
      <c r="DL97" s="36">
        <f t="shared" si="101"/>
        <v>0</v>
      </c>
      <c r="DM97" s="36">
        <f t="shared" si="102"/>
        <v>0</v>
      </c>
      <c r="DN97" s="36">
        <f t="shared" si="102"/>
        <v>0</v>
      </c>
      <c r="DO97" s="36">
        <f t="shared" si="102"/>
        <v>0</v>
      </c>
      <c r="DP97" s="36">
        <f t="shared" si="102"/>
        <v>0</v>
      </c>
      <c r="DQ97" s="36">
        <f t="shared" si="102"/>
        <v>0</v>
      </c>
      <c r="DR97" s="36">
        <f t="shared" si="102"/>
        <v>0</v>
      </c>
      <c r="DS97" s="36">
        <f t="shared" si="102"/>
        <v>0</v>
      </c>
      <c r="DT97" s="36">
        <f t="shared" si="102"/>
        <v>0</v>
      </c>
      <c r="DU97" s="36">
        <f t="shared" si="102"/>
        <v>0</v>
      </c>
      <c r="DV97" s="36">
        <f t="shared" si="102"/>
        <v>0</v>
      </c>
    </row>
    <row r="98" spans="2:126" outlineLevel="1">
      <c r="B98" s="3" t="str">
        <f t="shared" si="93"/>
        <v>Property H</v>
      </c>
      <c r="C98" s="50">
        <f>CaseData!D17</f>
        <v>4701620</v>
      </c>
      <c r="D98" s="14">
        <f t="shared" si="94"/>
        <v>7</v>
      </c>
      <c r="E98" s="35" t="s">
        <v>0</v>
      </c>
      <c r="F98" s="35"/>
      <c r="G98" s="36">
        <f t="shared" si="95"/>
        <v>0</v>
      </c>
      <c r="H98" s="36">
        <f t="shared" si="95"/>
        <v>0</v>
      </c>
      <c r="I98" s="36">
        <f t="shared" si="95"/>
        <v>0</v>
      </c>
      <c r="J98" s="36">
        <f t="shared" si="95"/>
        <v>0</v>
      </c>
      <c r="K98" s="36">
        <f t="shared" si="95"/>
        <v>0</v>
      </c>
      <c r="L98" s="36">
        <f t="shared" si="95"/>
        <v>0</v>
      </c>
      <c r="M98" s="36">
        <f t="shared" si="95"/>
        <v>4936701</v>
      </c>
      <c r="N98" s="36">
        <f t="shared" si="95"/>
        <v>0</v>
      </c>
      <c r="O98" s="36">
        <f t="shared" si="95"/>
        <v>0</v>
      </c>
      <c r="P98" s="36">
        <f t="shared" si="95"/>
        <v>0</v>
      </c>
      <c r="Q98" s="36">
        <f t="shared" si="95"/>
        <v>0</v>
      </c>
      <c r="R98" s="36">
        <f t="shared" si="95"/>
        <v>0</v>
      </c>
      <c r="S98" s="36">
        <f t="shared" si="95"/>
        <v>0</v>
      </c>
      <c r="T98" s="36">
        <f t="shared" si="95"/>
        <v>0</v>
      </c>
      <c r="U98" s="36">
        <f t="shared" si="95"/>
        <v>0</v>
      </c>
      <c r="V98" s="36">
        <f t="shared" si="95"/>
        <v>0</v>
      </c>
      <c r="W98" s="36">
        <f t="shared" si="96"/>
        <v>0</v>
      </c>
      <c r="X98" s="36">
        <f t="shared" si="96"/>
        <v>0</v>
      </c>
      <c r="Y98" s="36">
        <f t="shared" si="96"/>
        <v>0</v>
      </c>
      <c r="Z98" s="36">
        <f t="shared" si="96"/>
        <v>0</v>
      </c>
      <c r="AA98" s="36">
        <f t="shared" si="96"/>
        <v>0</v>
      </c>
      <c r="AB98" s="36">
        <f t="shared" si="96"/>
        <v>0</v>
      </c>
      <c r="AC98" s="36">
        <f t="shared" si="96"/>
        <v>0</v>
      </c>
      <c r="AD98" s="36">
        <f t="shared" si="96"/>
        <v>0</v>
      </c>
      <c r="AE98" s="36">
        <f t="shared" si="96"/>
        <v>0</v>
      </c>
      <c r="AF98" s="36">
        <f t="shared" si="96"/>
        <v>0</v>
      </c>
      <c r="AG98" s="36">
        <f t="shared" si="96"/>
        <v>0</v>
      </c>
      <c r="AH98" s="36">
        <f t="shared" si="96"/>
        <v>0</v>
      </c>
      <c r="AI98" s="36">
        <f t="shared" si="96"/>
        <v>0</v>
      </c>
      <c r="AJ98" s="36">
        <f t="shared" si="96"/>
        <v>0</v>
      </c>
      <c r="AK98" s="36">
        <f t="shared" si="96"/>
        <v>0</v>
      </c>
      <c r="AL98" s="36">
        <f t="shared" si="96"/>
        <v>0</v>
      </c>
      <c r="AM98" s="36">
        <f t="shared" si="97"/>
        <v>0</v>
      </c>
      <c r="AN98" s="36">
        <f t="shared" si="97"/>
        <v>0</v>
      </c>
      <c r="AO98" s="36">
        <f t="shared" si="97"/>
        <v>0</v>
      </c>
      <c r="AP98" s="36">
        <f t="shared" si="97"/>
        <v>0</v>
      </c>
      <c r="AQ98" s="36">
        <f t="shared" si="97"/>
        <v>0</v>
      </c>
      <c r="AR98" s="36">
        <f t="shared" si="97"/>
        <v>0</v>
      </c>
      <c r="AS98" s="36">
        <f t="shared" si="97"/>
        <v>0</v>
      </c>
      <c r="AT98" s="36">
        <f t="shared" si="97"/>
        <v>0</v>
      </c>
      <c r="AU98" s="36">
        <f t="shared" si="97"/>
        <v>0</v>
      </c>
      <c r="AV98" s="36">
        <f t="shared" si="97"/>
        <v>0</v>
      </c>
      <c r="AW98" s="36">
        <f t="shared" si="97"/>
        <v>0</v>
      </c>
      <c r="AX98" s="36">
        <f t="shared" si="97"/>
        <v>0</v>
      </c>
      <c r="AY98" s="36">
        <f t="shared" si="97"/>
        <v>0</v>
      </c>
      <c r="AZ98" s="36">
        <f t="shared" si="97"/>
        <v>0</v>
      </c>
      <c r="BA98" s="36">
        <f t="shared" si="97"/>
        <v>0</v>
      </c>
      <c r="BB98" s="36">
        <f t="shared" si="97"/>
        <v>0</v>
      </c>
      <c r="BC98" s="36">
        <f t="shared" si="98"/>
        <v>0</v>
      </c>
      <c r="BD98" s="36">
        <f t="shared" si="98"/>
        <v>0</v>
      </c>
      <c r="BE98" s="36">
        <f t="shared" si="98"/>
        <v>0</v>
      </c>
      <c r="BF98" s="36">
        <f t="shared" si="98"/>
        <v>0</v>
      </c>
      <c r="BG98" s="36">
        <f t="shared" si="98"/>
        <v>0</v>
      </c>
      <c r="BH98" s="36">
        <f t="shared" si="98"/>
        <v>0</v>
      </c>
      <c r="BI98" s="36">
        <f t="shared" si="98"/>
        <v>0</v>
      </c>
      <c r="BJ98" s="36">
        <f t="shared" si="98"/>
        <v>0</v>
      </c>
      <c r="BK98" s="36">
        <f t="shared" si="98"/>
        <v>0</v>
      </c>
      <c r="BL98" s="36">
        <f t="shared" si="98"/>
        <v>0</v>
      </c>
      <c r="BM98" s="36">
        <f t="shared" si="98"/>
        <v>0</v>
      </c>
      <c r="BN98" s="36">
        <f t="shared" si="98"/>
        <v>0</v>
      </c>
      <c r="BO98" s="36">
        <f t="shared" si="98"/>
        <v>0</v>
      </c>
      <c r="BP98" s="36">
        <f t="shared" si="98"/>
        <v>0</v>
      </c>
      <c r="BQ98" s="36">
        <f t="shared" si="98"/>
        <v>0</v>
      </c>
      <c r="BR98" s="36">
        <f t="shared" si="98"/>
        <v>0</v>
      </c>
      <c r="BS98" s="36">
        <f t="shared" si="99"/>
        <v>0</v>
      </c>
      <c r="BT98" s="36">
        <f t="shared" si="99"/>
        <v>0</v>
      </c>
      <c r="BU98" s="36">
        <f t="shared" si="99"/>
        <v>0</v>
      </c>
      <c r="BV98" s="36">
        <f t="shared" si="99"/>
        <v>0</v>
      </c>
      <c r="BW98" s="36">
        <f t="shared" si="99"/>
        <v>0</v>
      </c>
      <c r="BX98" s="36">
        <f t="shared" si="99"/>
        <v>0</v>
      </c>
      <c r="BY98" s="36">
        <f t="shared" si="99"/>
        <v>0</v>
      </c>
      <c r="BZ98" s="36">
        <f t="shared" si="99"/>
        <v>0</v>
      </c>
      <c r="CA98" s="36">
        <f t="shared" si="99"/>
        <v>0</v>
      </c>
      <c r="CB98" s="36">
        <f t="shared" si="99"/>
        <v>0</v>
      </c>
      <c r="CC98" s="36">
        <f t="shared" si="99"/>
        <v>0</v>
      </c>
      <c r="CD98" s="36">
        <f t="shared" si="99"/>
        <v>0</v>
      </c>
      <c r="CE98" s="36">
        <f t="shared" si="99"/>
        <v>0</v>
      </c>
      <c r="CF98" s="36">
        <f t="shared" si="99"/>
        <v>0</v>
      </c>
      <c r="CG98" s="36">
        <f t="shared" si="99"/>
        <v>0</v>
      </c>
      <c r="CH98" s="36">
        <f t="shared" si="99"/>
        <v>0</v>
      </c>
      <c r="CI98" s="36">
        <f t="shared" si="100"/>
        <v>0</v>
      </c>
      <c r="CJ98" s="36">
        <f t="shared" si="100"/>
        <v>0</v>
      </c>
      <c r="CK98" s="36">
        <f t="shared" si="100"/>
        <v>0</v>
      </c>
      <c r="CL98" s="36">
        <f t="shared" si="100"/>
        <v>0</v>
      </c>
      <c r="CM98" s="36">
        <f t="shared" si="100"/>
        <v>0</v>
      </c>
      <c r="CN98" s="36">
        <f t="shared" si="100"/>
        <v>0</v>
      </c>
      <c r="CO98" s="36">
        <f t="shared" si="100"/>
        <v>0</v>
      </c>
      <c r="CP98" s="36">
        <f t="shared" si="100"/>
        <v>0</v>
      </c>
      <c r="CQ98" s="36">
        <f t="shared" si="100"/>
        <v>0</v>
      </c>
      <c r="CR98" s="36">
        <f t="shared" si="100"/>
        <v>0</v>
      </c>
      <c r="CS98" s="36">
        <f t="shared" si="100"/>
        <v>0</v>
      </c>
      <c r="CT98" s="36">
        <f t="shared" si="100"/>
        <v>0</v>
      </c>
      <c r="CU98" s="36">
        <f t="shared" si="100"/>
        <v>0</v>
      </c>
      <c r="CV98" s="36">
        <f t="shared" si="100"/>
        <v>0</v>
      </c>
      <c r="CW98" s="36">
        <f t="shared" si="100"/>
        <v>0</v>
      </c>
      <c r="CX98" s="36">
        <f t="shared" si="100"/>
        <v>0</v>
      </c>
      <c r="CY98" s="36">
        <f t="shared" si="101"/>
        <v>0</v>
      </c>
      <c r="CZ98" s="36">
        <f t="shared" si="101"/>
        <v>0</v>
      </c>
      <c r="DA98" s="36">
        <f t="shared" si="101"/>
        <v>0</v>
      </c>
      <c r="DB98" s="36">
        <f t="shared" si="101"/>
        <v>0</v>
      </c>
      <c r="DC98" s="36">
        <f t="shared" si="101"/>
        <v>0</v>
      </c>
      <c r="DD98" s="36">
        <f t="shared" si="101"/>
        <v>0</v>
      </c>
      <c r="DE98" s="36">
        <f t="shared" si="101"/>
        <v>0</v>
      </c>
      <c r="DF98" s="36">
        <f t="shared" si="101"/>
        <v>0</v>
      </c>
      <c r="DG98" s="36">
        <f t="shared" si="101"/>
        <v>0</v>
      </c>
      <c r="DH98" s="36">
        <f t="shared" si="101"/>
        <v>0</v>
      </c>
      <c r="DI98" s="36">
        <f t="shared" si="101"/>
        <v>0</v>
      </c>
      <c r="DJ98" s="36">
        <f t="shared" si="101"/>
        <v>0</v>
      </c>
      <c r="DK98" s="36">
        <f t="shared" si="101"/>
        <v>0</v>
      </c>
      <c r="DL98" s="36">
        <f t="shared" si="101"/>
        <v>0</v>
      </c>
      <c r="DM98" s="36">
        <f t="shared" si="102"/>
        <v>0</v>
      </c>
      <c r="DN98" s="36">
        <f t="shared" si="102"/>
        <v>0</v>
      </c>
      <c r="DO98" s="36">
        <f t="shared" si="102"/>
        <v>0</v>
      </c>
      <c r="DP98" s="36">
        <f t="shared" si="102"/>
        <v>0</v>
      </c>
      <c r="DQ98" s="36">
        <f t="shared" si="102"/>
        <v>0</v>
      </c>
      <c r="DR98" s="36">
        <f t="shared" si="102"/>
        <v>0</v>
      </c>
      <c r="DS98" s="36">
        <f t="shared" si="102"/>
        <v>0</v>
      </c>
      <c r="DT98" s="36">
        <f t="shared" si="102"/>
        <v>0</v>
      </c>
      <c r="DU98" s="36">
        <f t="shared" si="102"/>
        <v>0</v>
      </c>
      <c r="DV98" s="36">
        <f t="shared" si="102"/>
        <v>0</v>
      </c>
    </row>
    <row r="99" spans="2:126" outlineLevel="1">
      <c r="B99" s="3" t="str">
        <f t="shared" si="93"/>
        <v>Property I</v>
      </c>
      <c r="C99" s="50">
        <f>CaseData!D18</f>
        <v>6283200</v>
      </c>
      <c r="D99" s="14">
        <f t="shared" si="94"/>
        <v>10</v>
      </c>
      <c r="E99" s="35" t="s">
        <v>0</v>
      </c>
      <c r="F99" s="35"/>
      <c r="G99" s="36">
        <f t="shared" si="95"/>
        <v>0</v>
      </c>
      <c r="H99" s="36">
        <f t="shared" si="95"/>
        <v>0</v>
      </c>
      <c r="I99" s="36">
        <f t="shared" si="95"/>
        <v>0</v>
      </c>
      <c r="J99" s="36">
        <f t="shared" si="95"/>
        <v>0</v>
      </c>
      <c r="K99" s="36">
        <f t="shared" si="95"/>
        <v>0</v>
      </c>
      <c r="L99" s="36">
        <f t="shared" si="95"/>
        <v>0</v>
      </c>
      <c r="M99" s="36">
        <f t="shared" si="95"/>
        <v>0</v>
      </c>
      <c r="N99" s="36">
        <f t="shared" si="95"/>
        <v>0</v>
      </c>
      <c r="O99" s="36">
        <f t="shared" si="95"/>
        <v>0</v>
      </c>
      <c r="P99" s="36">
        <f t="shared" si="95"/>
        <v>6597360</v>
      </c>
      <c r="Q99" s="36">
        <f t="shared" si="95"/>
        <v>0</v>
      </c>
      <c r="R99" s="36">
        <f t="shared" si="95"/>
        <v>0</v>
      </c>
      <c r="S99" s="36">
        <f t="shared" si="95"/>
        <v>0</v>
      </c>
      <c r="T99" s="36">
        <f t="shared" si="95"/>
        <v>0</v>
      </c>
      <c r="U99" s="36">
        <f t="shared" si="95"/>
        <v>0</v>
      </c>
      <c r="V99" s="36">
        <f t="shared" si="95"/>
        <v>0</v>
      </c>
      <c r="W99" s="36">
        <f t="shared" si="96"/>
        <v>0</v>
      </c>
      <c r="X99" s="36">
        <f t="shared" si="96"/>
        <v>0</v>
      </c>
      <c r="Y99" s="36">
        <f t="shared" si="96"/>
        <v>0</v>
      </c>
      <c r="Z99" s="36">
        <f t="shared" si="96"/>
        <v>0</v>
      </c>
      <c r="AA99" s="36">
        <f t="shared" si="96"/>
        <v>0</v>
      </c>
      <c r="AB99" s="36">
        <f t="shared" si="96"/>
        <v>0</v>
      </c>
      <c r="AC99" s="36">
        <f t="shared" si="96"/>
        <v>0</v>
      </c>
      <c r="AD99" s="36">
        <f t="shared" si="96"/>
        <v>0</v>
      </c>
      <c r="AE99" s="36">
        <f t="shared" si="96"/>
        <v>0</v>
      </c>
      <c r="AF99" s="36">
        <f t="shared" si="96"/>
        <v>0</v>
      </c>
      <c r="AG99" s="36">
        <f t="shared" si="96"/>
        <v>0</v>
      </c>
      <c r="AH99" s="36">
        <f t="shared" si="96"/>
        <v>0</v>
      </c>
      <c r="AI99" s="36">
        <f t="shared" si="96"/>
        <v>0</v>
      </c>
      <c r="AJ99" s="36">
        <f t="shared" si="96"/>
        <v>0</v>
      </c>
      <c r="AK99" s="36">
        <f t="shared" si="96"/>
        <v>0</v>
      </c>
      <c r="AL99" s="36">
        <f t="shared" si="96"/>
        <v>0</v>
      </c>
      <c r="AM99" s="36">
        <f t="shared" si="97"/>
        <v>0</v>
      </c>
      <c r="AN99" s="36">
        <f t="shared" si="97"/>
        <v>0</v>
      </c>
      <c r="AO99" s="36">
        <f t="shared" si="97"/>
        <v>0</v>
      </c>
      <c r="AP99" s="36">
        <f t="shared" si="97"/>
        <v>0</v>
      </c>
      <c r="AQ99" s="36">
        <f t="shared" si="97"/>
        <v>0</v>
      </c>
      <c r="AR99" s="36">
        <f t="shared" si="97"/>
        <v>0</v>
      </c>
      <c r="AS99" s="36">
        <f t="shared" si="97"/>
        <v>0</v>
      </c>
      <c r="AT99" s="36">
        <f t="shared" si="97"/>
        <v>0</v>
      </c>
      <c r="AU99" s="36">
        <f t="shared" si="97"/>
        <v>0</v>
      </c>
      <c r="AV99" s="36">
        <f t="shared" si="97"/>
        <v>0</v>
      </c>
      <c r="AW99" s="36">
        <f t="shared" si="97"/>
        <v>0</v>
      </c>
      <c r="AX99" s="36">
        <f t="shared" si="97"/>
        <v>0</v>
      </c>
      <c r="AY99" s="36">
        <f t="shared" si="97"/>
        <v>0</v>
      </c>
      <c r="AZ99" s="36">
        <f t="shared" si="97"/>
        <v>0</v>
      </c>
      <c r="BA99" s="36">
        <f t="shared" si="97"/>
        <v>0</v>
      </c>
      <c r="BB99" s="36">
        <f t="shared" si="97"/>
        <v>0</v>
      </c>
      <c r="BC99" s="36">
        <f t="shared" si="98"/>
        <v>0</v>
      </c>
      <c r="BD99" s="36">
        <f t="shared" si="98"/>
        <v>0</v>
      </c>
      <c r="BE99" s="36">
        <f t="shared" si="98"/>
        <v>0</v>
      </c>
      <c r="BF99" s="36">
        <f t="shared" si="98"/>
        <v>0</v>
      </c>
      <c r="BG99" s="36">
        <f t="shared" si="98"/>
        <v>0</v>
      </c>
      <c r="BH99" s="36">
        <f t="shared" si="98"/>
        <v>0</v>
      </c>
      <c r="BI99" s="36">
        <f t="shared" si="98"/>
        <v>0</v>
      </c>
      <c r="BJ99" s="36">
        <f t="shared" si="98"/>
        <v>0</v>
      </c>
      <c r="BK99" s="36">
        <f t="shared" si="98"/>
        <v>0</v>
      </c>
      <c r="BL99" s="36">
        <f t="shared" si="98"/>
        <v>0</v>
      </c>
      <c r="BM99" s="36">
        <f t="shared" si="98"/>
        <v>0</v>
      </c>
      <c r="BN99" s="36">
        <f t="shared" si="98"/>
        <v>0</v>
      </c>
      <c r="BO99" s="36">
        <f t="shared" si="98"/>
        <v>0</v>
      </c>
      <c r="BP99" s="36">
        <f t="shared" si="98"/>
        <v>0</v>
      </c>
      <c r="BQ99" s="36">
        <f t="shared" si="98"/>
        <v>0</v>
      </c>
      <c r="BR99" s="36">
        <f t="shared" si="98"/>
        <v>0</v>
      </c>
      <c r="BS99" s="36">
        <f t="shared" si="99"/>
        <v>0</v>
      </c>
      <c r="BT99" s="36">
        <f t="shared" si="99"/>
        <v>0</v>
      </c>
      <c r="BU99" s="36">
        <f t="shared" si="99"/>
        <v>0</v>
      </c>
      <c r="BV99" s="36">
        <f t="shared" si="99"/>
        <v>0</v>
      </c>
      <c r="BW99" s="36">
        <f t="shared" si="99"/>
        <v>0</v>
      </c>
      <c r="BX99" s="36">
        <f t="shared" si="99"/>
        <v>0</v>
      </c>
      <c r="BY99" s="36">
        <f t="shared" si="99"/>
        <v>0</v>
      </c>
      <c r="BZ99" s="36">
        <f t="shared" si="99"/>
        <v>0</v>
      </c>
      <c r="CA99" s="36">
        <f t="shared" si="99"/>
        <v>0</v>
      </c>
      <c r="CB99" s="36">
        <f t="shared" si="99"/>
        <v>0</v>
      </c>
      <c r="CC99" s="36">
        <f t="shared" si="99"/>
        <v>0</v>
      </c>
      <c r="CD99" s="36">
        <f t="shared" si="99"/>
        <v>0</v>
      </c>
      <c r="CE99" s="36">
        <f t="shared" si="99"/>
        <v>0</v>
      </c>
      <c r="CF99" s="36">
        <f t="shared" si="99"/>
        <v>0</v>
      </c>
      <c r="CG99" s="36">
        <f t="shared" si="99"/>
        <v>0</v>
      </c>
      <c r="CH99" s="36">
        <f t="shared" si="99"/>
        <v>0</v>
      </c>
      <c r="CI99" s="36">
        <f t="shared" si="100"/>
        <v>0</v>
      </c>
      <c r="CJ99" s="36">
        <f t="shared" si="100"/>
        <v>0</v>
      </c>
      <c r="CK99" s="36">
        <f t="shared" si="100"/>
        <v>0</v>
      </c>
      <c r="CL99" s="36">
        <f t="shared" si="100"/>
        <v>0</v>
      </c>
      <c r="CM99" s="36">
        <f t="shared" si="100"/>
        <v>0</v>
      </c>
      <c r="CN99" s="36">
        <f t="shared" si="100"/>
        <v>0</v>
      </c>
      <c r="CO99" s="36">
        <f t="shared" si="100"/>
        <v>0</v>
      </c>
      <c r="CP99" s="36">
        <f t="shared" si="100"/>
        <v>0</v>
      </c>
      <c r="CQ99" s="36">
        <f t="shared" si="100"/>
        <v>0</v>
      </c>
      <c r="CR99" s="36">
        <f t="shared" si="100"/>
        <v>0</v>
      </c>
      <c r="CS99" s="36">
        <f t="shared" si="100"/>
        <v>0</v>
      </c>
      <c r="CT99" s="36">
        <f t="shared" si="100"/>
        <v>0</v>
      </c>
      <c r="CU99" s="36">
        <f t="shared" si="100"/>
        <v>0</v>
      </c>
      <c r="CV99" s="36">
        <f t="shared" si="100"/>
        <v>0</v>
      </c>
      <c r="CW99" s="36">
        <f t="shared" si="100"/>
        <v>0</v>
      </c>
      <c r="CX99" s="36">
        <f t="shared" si="100"/>
        <v>0</v>
      </c>
      <c r="CY99" s="36">
        <f t="shared" si="101"/>
        <v>0</v>
      </c>
      <c r="CZ99" s="36">
        <f t="shared" si="101"/>
        <v>0</v>
      </c>
      <c r="DA99" s="36">
        <f t="shared" si="101"/>
        <v>0</v>
      </c>
      <c r="DB99" s="36">
        <f t="shared" si="101"/>
        <v>0</v>
      </c>
      <c r="DC99" s="36">
        <f t="shared" si="101"/>
        <v>0</v>
      </c>
      <c r="DD99" s="36">
        <f t="shared" si="101"/>
        <v>0</v>
      </c>
      <c r="DE99" s="36">
        <f t="shared" si="101"/>
        <v>0</v>
      </c>
      <c r="DF99" s="36">
        <f t="shared" si="101"/>
        <v>0</v>
      </c>
      <c r="DG99" s="36">
        <f t="shared" si="101"/>
        <v>0</v>
      </c>
      <c r="DH99" s="36">
        <f t="shared" si="101"/>
        <v>0</v>
      </c>
      <c r="DI99" s="36">
        <f t="shared" si="101"/>
        <v>0</v>
      </c>
      <c r="DJ99" s="36">
        <f t="shared" si="101"/>
        <v>0</v>
      </c>
      <c r="DK99" s="36">
        <f t="shared" si="101"/>
        <v>0</v>
      </c>
      <c r="DL99" s="36">
        <f t="shared" si="101"/>
        <v>0</v>
      </c>
      <c r="DM99" s="36">
        <f t="shared" si="102"/>
        <v>0</v>
      </c>
      <c r="DN99" s="36">
        <f t="shared" si="102"/>
        <v>0</v>
      </c>
      <c r="DO99" s="36">
        <f t="shared" si="102"/>
        <v>0</v>
      </c>
      <c r="DP99" s="36">
        <f t="shared" si="102"/>
        <v>0</v>
      </c>
      <c r="DQ99" s="36">
        <f t="shared" si="102"/>
        <v>0</v>
      </c>
      <c r="DR99" s="36">
        <f t="shared" si="102"/>
        <v>0</v>
      </c>
      <c r="DS99" s="36">
        <f t="shared" si="102"/>
        <v>0</v>
      </c>
      <c r="DT99" s="36">
        <f t="shared" si="102"/>
        <v>0</v>
      </c>
      <c r="DU99" s="36">
        <f t="shared" si="102"/>
        <v>0</v>
      </c>
      <c r="DV99" s="36">
        <f t="shared" si="102"/>
        <v>0</v>
      </c>
    </row>
    <row r="100" spans="2:126" outlineLevel="1">
      <c r="B100" s="3" t="str">
        <f t="shared" si="93"/>
        <v>Property J</v>
      </c>
      <c r="C100" s="50">
        <f>CaseData!D19</f>
        <v>4368960</v>
      </c>
      <c r="D100" s="14">
        <f t="shared" si="94"/>
        <v>13</v>
      </c>
      <c r="E100" s="35" t="s">
        <v>0</v>
      </c>
      <c r="F100" s="35"/>
      <c r="G100" s="36">
        <f t="shared" si="95"/>
        <v>0</v>
      </c>
      <c r="H100" s="36">
        <f t="shared" si="95"/>
        <v>0</v>
      </c>
      <c r="I100" s="36">
        <f t="shared" si="95"/>
        <v>0</v>
      </c>
      <c r="J100" s="36">
        <f t="shared" si="95"/>
        <v>0</v>
      </c>
      <c r="K100" s="36">
        <f t="shared" si="95"/>
        <v>0</v>
      </c>
      <c r="L100" s="36">
        <f t="shared" si="95"/>
        <v>0</v>
      </c>
      <c r="M100" s="36">
        <f t="shared" si="95"/>
        <v>0</v>
      </c>
      <c r="N100" s="36">
        <f t="shared" si="95"/>
        <v>0</v>
      </c>
      <c r="O100" s="36">
        <f t="shared" si="95"/>
        <v>0</v>
      </c>
      <c r="P100" s="36">
        <f t="shared" si="95"/>
        <v>0</v>
      </c>
      <c r="Q100" s="36">
        <f t="shared" si="95"/>
        <v>0</v>
      </c>
      <c r="R100" s="36">
        <f t="shared" si="95"/>
        <v>0</v>
      </c>
      <c r="S100" s="36">
        <f t="shared" si="95"/>
        <v>4793841.3600000003</v>
      </c>
      <c r="T100" s="36">
        <f t="shared" si="95"/>
        <v>0</v>
      </c>
      <c r="U100" s="36">
        <f t="shared" si="95"/>
        <v>0</v>
      </c>
      <c r="V100" s="36">
        <f t="shared" si="95"/>
        <v>0</v>
      </c>
      <c r="W100" s="36">
        <f t="shared" si="96"/>
        <v>0</v>
      </c>
      <c r="X100" s="36">
        <f t="shared" si="96"/>
        <v>0</v>
      </c>
      <c r="Y100" s="36">
        <f t="shared" si="96"/>
        <v>0</v>
      </c>
      <c r="Z100" s="36">
        <f t="shared" si="96"/>
        <v>0</v>
      </c>
      <c r="AA100" s="36">
        <f t="shared" si="96"/>
        <v>0</v>
      </c>
      <c r="AB100" s="36">
        <f t="shared" si="96"/>
        <v>0</v>
      </c>
      <c r="AC100" s="36">
        <f t="shared" si="96"/>
        <v>0</v>
      </c>
      <c r="AD100" s="36">
        <f t="shared" si="96"/>
        <v>0</v>
      </c>
      <c r="AE100" s="36">
        <f t="shared" si="96"/>
        <v>0</v>
      </c>
      <c r="AF100" s="36">
        <f t="shared" si="96"/>
        <v>0</v>
      </c>
      <c r="AG100" s="36">
        <f t="shared" si="96"/>
        <v>0</v>
      </c>
      <c r="AH100" s="36">
        <f t="shared" si="96"/>
        <v>0</v>
      </c>
      <c r="AI100" s="36">
        <f t="shared" si="96"/>
        <v>0</v>
      </c>
      <c r="AJ100" s="36">
        <f t="shared" si="96"/>
        <v>0</v>
      </c>
      <c r="AK100" s="36">
        <f t="shared" si="96"/>
        <v>0</v>
      </c>
      <c r="AL100" s="36">
        <f t="shared" si="96"/>
        <v>0</v>
      </c>
      <c r="AM100" s="36">
        <f t="shared" si="97"/>
        <v>0</v>
      </c>
      <c r="AN100" s="36">
        <f t="shared" si="97"/>
        <v>0</v>
      </c>
      <c r="AO100" s="36">
        <f t="shared" si="97"/>
        <v>0</v>
      </c>
      <c r="AP100" s="36">
        <f t="shared" si="97"/>
        <v>0</v>
      </c>
      <c r="AQ100" s="36">
        <f t="shared" si="97"/>
        <v>0</v>
      </c>
      <c r="AR100" s="36">
        <f t="shared" si="97"/>
        <v>0</v>
      </c>
      <c r="AS100" s="36">
        <f t="shared" si="97"/>
        <v>0</v>
      </c>
      <c r="AT100" s="36">
        <f t="shared" si="97"/>
        <v>0</v>
      </c>
      <c r="AU100" s="36">
        <f t="shared" si="97"/>
        <v>0</v>
      </c>
      <c r="AV100" s="36">
        <f t="shared" si="97"/>
        <v>0</v>
      </c>
      <c r="AW100" s="36">
        <f t="shared" si="97"/>
        <v>0</v>
      </c>
      <c r="AX100" s="36">
        <f t="shared" si="97"/>
        <v>0</v>
      </c>
      <c r="AY100" s="36">
        <f t="shared" si="97"/>
        <v>0</v>
      </c>
      <c r="AZ100" s="36">
        <f t="shared" si="97"/>
        <v>0</v>
      </c>
      <c r="BA100" s="36">
        <f t="shared" si="97"/>
        <v>0</v>
      </c>
      <c r="BB100" s="36">
        <f t="shared" si="97"/>
        <v>0</v>
      </c>
      <c r="BC100" s="36">
        <f t="shared" si="98"/>
        <v>0</v>
      </c>
      <c r="BD100" s="36">
        <f t="shared" si="98"/>
        <v>0</v>
      </c>
      <c r="BE100" s="36">
        <f t="shared" si="98"/>
        <v>0</v>
      </c>
      <c r="BF100" s="36">
        <f t="shared" si="98"/>
        <v>0</v>
      </c>
      <c r="BG100" s="36">
        <f t="shared" si="98"/>
        <v>0</v>
      </c>
      <c r="BH100" s="36">
        <f t="shared" si="98"/>
        <v>0</v>
      </c>
      <c r="BI100" s="36">
        <f t="shared" si="98"/>
        <v>0</v>
      </c>
      <c r="BJ100" s="36">
        <f t="shared" si="98"/>
        <v>0</v>
      </c>
      <c r="BK100" s="36">
        <f t="shared" si="98"/>
        <v>0</v>
      </c>
      <c r="BL100" s="36">
        <f t="shared" si="98"/>
        <v>0</v>
      </c>
      <c r="BM100" s="36">
        <f t="shared" si="98"/>
        <v>0</v>
      </c>
      <c r="BN100" s="36">
        <f t="shared" si="98"/>
        <v>0</v>
      </c>
      <c r="BO100" s="36">
        <f t="shared" si="98"/>
        <v>0</v>
      </c>
      <c r="BP100" s="36">
        <f t="shared" si="98"/>
        <v>0</v>
      </c>
      <c r="BQ100" s="36">
        <f t="shared" si="98"/>
        <v>0</v>
      </c>
      <c r="BR100" s="36">
        <f t="shared" si="98"/>
        <v>0</v>
      </c>
      <c r="BS100" s="36">
        <f t="shared" si="99"/>
        <v>0</v>
      </c>
      <c r="BT100" s="36">
        <f t="shared" si="99"/>
        <v>0</v>
      </c>
      <c r="BU100" s="36">
        <f t="shared" si="99"/>
        <v>0</v>
      </c>
      <c r="BV100" s="36">
        <f t="shared" si="99"/>
        <v>0</v>
      </c>
      <c r="BW100" s="36">
        <f t="shared" si="99"/>
        <v>0</v>
      </c>
      <c r="BX100" s="36">
        <f t="shared" si="99"/>
        <v>0</v>
      </c>
      <c r="BY100" s="36">
        <f t="shared" si="99"/>
        <v>0</v>
      </c>
      <c r="BZ100" s="36">
        <f t="shared" si="99"/>
        <v>0</v>
      </c>
      <c r="CA100" s="36">
        <f t="shared" si="99"/>
        <v>0</v>
      </c>
      <c r="CB100" s="36">
        <f t="shared" si="99"/>
        <v>0</v>
      </c>
      <c r="CC100" s="36">
        <f t="shared" si="99"/>
        <v>0</v>
      </c>
      <c r="CD100" s="36">
        <f t="shared" si="99"/>
        <v>0</v>
      </c>
      <c r="CE100" s="36">
        <f t="shared" si="99"/>
        <v>0</v>
      </c>
      <c r="CF100" s="36">
        <f t="shared" si="99"/>
        <v>0</v>
      </c>
      <c r="CG100" s="36">
        <f t="shared" si="99"/>
        <v>0</v>
      </c>
      <c r="CH100" s="36">
        <f t="shared" si="99"/>
        <v>0</v>
      </c>
      <c r="CI100" s="36">
        <f t="shared" si="100"/>
        <v>0</v>
      </c>
      <c r="CJ100" s="36">
        <f t="shared" si="100"/>
        <v>0</v>
      </c>
      <c r="CK100" s="36">
        <f t="shared" si="100"/>
        <v>0</v>
      </c>
      <c r="CL100" s="36">
        <f t="shared" si="100"/>
        <v>0</v>
      </c>
      <c r="CM100" s="36">
        <f t="shared" si="100"/>
        <v>0</v>
      </c>
      <c r="CN100" s="36">
        <f t="shared" si="100"/>
        <v>0</v>
      </c>
      <c r="CO100" s="36">
        <f t="shared" si="100"/>
        <v>0</v>
      </c>
      <c r="CP100" s="36">
        <f t="shared" si="100"/>
        <v>0</v>
      </c>
      <c r="CQ100" s="36">
        <f t="shared" si="100"/>
        <v>0</v>
      </c>
      <c r="CR100" s="36">
        <f t="shared" si="100"/>
        <v>0</v>
      </c>
      <c r="CS100" s="36">
        <f t="shared" si="100"/>
        <v>0</v>
      </c>
      <c r="CT100" s="36">
        <f t="shared" si="100"/>
        <v>0</v>
      </c>
      <c r="CU100" s="36">
        <f t="shared" si="100"/>
        <v>0</v>
      </c>
      <c r="CV100" s="36">
        <f t="shared" si="100"/>
        <v>0</v>
      </c>
      <c r="CW100" s="36">
        <f t="shared" si="100"/>
        <v>0</v>
      </c>
      <c r="CX100" s="36">
        <f t="shared" si="100"/>
        <v>0</v>
      </c>
      <c r="CY100" s="36">
        <f t="shared" si="101"/>
        <v>0</v>
      </c>
      <c r="CZ100" s="36">
        <f t="shared" si="101"/>
        <v>0</v>
      </c>
      <c r="DA100" s="36">
        <f t="shared" si="101"/>
        <v>0</v>
      </c>
      <c r="DB100" s="36">
        <f t="shared" si="101"/>
        <v>0</v>
      </c>
      <c r="DC100" s="36">
        <f t="shared" si="101"/>
        <v>0</v>
      </c>
      <c r="DD100" s="36">
        <f t="shared" si="101"/>
        <v>0</v>
      </c>
      <c r="DE100" s="36">
        <f t="shared" si="101"/>
        <v>0</v>
      </c>
      <c r="DF100" s="36">
        <f t="shared" si="101"/>
        <v>0</v>
      </c>
      <c r="DG100" s="36">
        <f t="shared" si="101"/>
        <v>0</v>
      </c>
      <c r="DH100" s="36">
        <f t="shared" si="101"/>
        <v>0</v>
      </c>
      <c r="DI100" s="36">
        <f t="shared" si="101"/>
        <v>0</v>
      </c>
      <c r="DJ100" s="36">
        <f t="shared" si="101"/>
        <v>0</v>
      </c>
      <c r="DK100" s="36">
        <f t="shared" si="101"/>
        <v>0</v>
      </c>
      <c r="DL100" s="36">
        <f t="shared" si="101"/>
        <v>0</v>
      </c>
      <c r="DM100" s="36">
        <f t="shared" si="102"/>
        <v>0</v>
      </c>
      <c r="DN100" s="36">
        <f t="shared" si="102"/>
        <v>0</v>
      </c>
      <c r="DO100" s="36">
        <f t="shared" si="102"/>
        <v>0</v>
      </c>
      <c r="DP100" s="36">
        <f t="shared" si="102"/>
        <v>0</v>
      </c>
      <c r="DQ100" s="36">
        <f t="shared" si="102"/>
        <v>0</v>
      </c>
      <c r="DR100" s="36">
        <f t="shared" si="102"/>
        <v>0</v>
      </c>
      <c r="DS100" s="36">
        <f t="shared" si="102"/>
        <v>0</v>
      </c>
      <c r="DT100" s="36">
        <f t="shared" si="102"/>
        <v>0</v>
      </c>
      <c r="DU100" s="36">
        <f t="shared" si="102"/>
        <v>0</v>
      </c>
      <c r="DV100" s="36">
        <f t="shared" si="102"/>
        <v>0</v>
      </c>
    </row>
    <row r="101" spans="2:126" outlineLevel="1">
      <c r="B101" s="3" t="str">
        <f t="shared" si="93"/>
        <v>Property K</v>
      </c>
      <c r="C101" s="50">
        <f>CaseData!D20</f>
        <v>2972970</v>
      </c>
      <c r="D101" s="14">
        <f t="shared" si="94"/>
        <v>16</v>
      </c>
      <c r="E101" s="35" t="s">
        <v>0</v>
      </c>
      <c r="F101" s="35"/>
      <c r="G101" s="36">
        <f t="shared" si="95"/>
        <v>0</v>
      </c>
      <c r="H101" s="36">
        <f t="shared" si="95"/>
        <v>0</v>
      </c>
      <c r="I101" s="36">
        <f t="shared" si="95"/>
        <v>0</v>
      </c>
      <c r="J101" s="36">
        <f t="shared" si="95"/>
        <v>0</v>
      </c>
      <c r="K101" s="36">
        <f t="shared" si="95"/>
        <v>0</v>
      </c>
      <c r="L101" s="36">
        <f t="shared" si="95"/>
        <v>0</v>
      </c>
      <c r="M101" s="36">
        <f t="shared" si="95"/>
        <v>0</v>
      </c>
      <c r="N101" s="36">
        <f t="shared" si="95"/>
        <v>0</v>
      </c>
      <c r="O101" s="36">
        <f t="shared" si="95"/>
        <v>0</v>
      </c>
      <c r="P101" s="36">
        <f t="shared" si="95"/>
        <v>0</v>
      </c>
      <c r="Q101" s="36">
        <f t="shared" si="95"/>
        <v>0</v>
      </c>
      <c r="R101" s="36">
        <f t="shared" si="95"/>
        <v>0</v>
      </c>
      <c r="S101" s="36">
        <f t="shared" si="95"/>
        <v>0</v>
      </c>
      <c r="T101" s="36">
        <f t="shared" si="95"/>
        <v>0</v>
      </c>
      <c r="U101" s="36">
        <f t="shared" si="95"/>
        <v>0</v>
      </c>
      <c r="V101" s="36">
        <f t="shared" si="95"/>
        <v>3262091.3325</v>
      </c>
      <c r="W101" s="36">
        <f t="shared" si="96"/>
        <v>0</v>
      </c>
      <c r="X101" s="36">
        <f t="shared" si="96"/>
        <v>0</v>
      </c>
      <c r="Y101" s="36">
        <f t="shared" si="96"/>
        <v>0</v>
      </c>
      <c r="Z101" s="36">
        <f t="shared" si="96"/>
        <v>0</v>
      </c>
      <c r="AA101" s="36">
        <f t="shared" si="96"/>
        <v>0</v>
      </c>
      <c r="AB101" s="36">
        <f t="shared" si="96"/>
        <v>0</v>
      </c>
      <c r="AC101" s="36">
        <f t="shared" si="96"/>
        <v>0</v>
      </c>
      <c r="AD101" s="36">
        <f t="shared" si="96"/>
        <v>0</v>
      </c>
      <c r="AE101" s="36">
        <f t="shared" si="96"/>
        <v>0</v>
      </c>
      <c r="AF101" s="36">
        <f t="shared" si="96"/>
        <v>0</v>
      </c>
      <c r="AG101" s="36">
        <f t="shared" si="96"/>
        <v>0</v>
      </c>
      <c r="AH101" s="36">
        <f t="shared" si="96"/>
        <v>0</v>
      </c>
      <c r="AI101" s="36">
        <f t="shared" si="96"/>
        <v>0</v>
      </c>
      <c r="AJ101" s="36">
        <f t="shared" si="96"/>
        <v>0</v>
      </c>
      <c r="AK101" s="36">
        <f t="shared" si="96"/>
        <v>0</v>
      </c>
      <c r="AL101" s="36">
        <f t="shared" si="96"/>
        <v>0</v>
      </c>
      <c r="AM101" s="36">
        <f t="shared" si="97"/>
        <v>0</v>
      </c>
      <c r="AN101" s="36">
        <f t="shared" si="97"/>
        <v>0</v>
      </c>
      <c r="AO101" s="36">
        <f t="shared" si="97"/>
        <v>0</v>
      </c>
      <c r="AP101" s="36">
        <f t="shared" si="97"/>
        <v>0</v>
      </c>
      <c r="AQ101" s="36">
        <f t="shared" si="97"/>
        <v>0</v>
      </c>
      <c r="AR101" s="36">
        <f t="shared" si="97"/>
        <v>0</v>
      </c>
      <c r="AS101" s="36">
        <f t="shared" si="97"/>
        <v>0</v>
      </c>
      <c r="AT101" s="36">
        <f t="shared" si="97"/>
        <v>0</v>
      </c>
      <c r="AU101" s="36">
        <f t="shared" si="97"/>
        <v>0</v>
      </c>
      <c r="AV101" s="36">
        <f t="shared" si="97"/>
        <v>0</v>
      </c>
      <c r="AW101" s="36">
        <f t="shared" si="97"/>
        <v>0</v>
      </c>
      <c r="AX101" s="36">
        <f t="shared" si="97"/>
        <v>0</v>
      </c>
      <c r="AY101" s="36">
        <f t="shared" si="97"/>
        <v>0</v>
      </c>
      <c r="AZ101" s="36">
        <f t="shared" si="97"/>
        <v>0</v>
      </c>
      <c r="BA101" s="36">
        <f t="shared" si="97"/>
        <v>0</v>
      </c>
      <c r="BB101" s="36">
        <f t="shared" si="97"/>
        <v>0</v>
      </c>
      <c r="BC101" s="36">
        <f t="shared" si="98"/>
        <v>0</v>
      </c>
      <c r="BD101" s="36">
        <f t="shared" si="98"/>
        <v>0</v>
      </c>
      <c r="BE101" s="36">
        <f t="shared" si="98"/>
        <v>0</v>
      </c>
      <c r="BF101" s="36">
        <f t="shared" si="98"/>
        <v>0</v>
      </c>
      <c r="BG101" s="36">
        <f t="shared" si="98"/>
        <v>0</v>
      </c>
      <c r="BH101" s="36">
        <f t="shared" si="98"/>
        <v>0</v>
      </c>
      <c r="BI101" s="36">
        <f t="shared" si="98"/>
        <v>0</v>
      </c>
      <c r="BJ101" s="36">
        <f t="shared" si="98"/>
        <v>0</v>
      </c>
      <c r="BK101" s="36">
        <f t="shared" si="98"/>
        <v>0</v>
      </c>
      <c r="BL101" s="36">
        <f t="shared" si="98"/>
        <v>0</v>
      </c>
      <c r="BM101" s="36">
        <f t="shared" si="98"/>
        <v>0</v>
      </c>
      <c r="BN101" s="36">
        <f t="shared" si="98"/>
        <v>0</v>
      </c>
      <c r="BO101" s="36">
        <f t="shared" si="98"/>
        <v>0</v>
      </c>
      <c r="BP101" s="36">
        <f t="shared" si="98"/>
        <v>0</v>
      </c>
      <c r="BQ101" s="36">
        <f t="shared" si="98"/>
        <v>0</v>
      </c>
      <c r="BR101" s="36">
        <f t="shared" si="98"/>
        <v>0</v>
      </c>
      <c r="BS101" s="36">
        <f t="shared" si="99"/>
        <v>0</v>
      </c>
      <c r="BT101" s="36">
        <f t="shared" si="99"/>
        <v>0</v>
      </c>
      <c r="BU101" s="36">
        <f t="shared" si="99"/>
        <v>0</v>
      </c>
      <c r="BV101" s="36">
        <f t="shared" si="99"/>
        <v>0</v>
      </c>
      <c r="BW101" s="36">
        <f t="shared" si="99"/>
        <v>0</v>
      </c>
      <c r="BX101" s="36">
        <f t="shared" si="99"/>
        <v>0</v>
      </c>
      <c r="BY101" s="36">
        <f t="shared" si="99"/>
        <v>0</v>
      </c>
      <c r="BZ101" s="36">
        <f t="shared" si="99"/>
        <v>0</v>
      </c>
      <c r="CA101" s="36">
        <f t="shared" si="99"/>
        <v>0</v>
      </c>
      <c r="CB101" s="36">
        <f t="shared" si="99"/>
        <v>0</v>
      </c>
      <c r="CC101" s="36">
        <f t="shared" si="99"/>
        <v>0</v>
      </c>
      <c r="CD101" s="36">
        <f t="shared" si="99"/>
        <v>0</v>
      </c>
      <c r="CE101" s="36">
        <f t="shared" si="99"/>
        <v>0</v>
      </c>
      <c r="CF101" s="36">
        <f t="shared" si="99"/>
        <v>0</v>
      </c>
      <c r="CG101" s="36">
        <f t="shared" si="99"/>
        <v>0</v>
      </c>
      <c r="CH101" s="36">
        <f t="shared" si="99"/>
        <v>0</v>
      </c>
      <c r="CI101" s="36">
        <f t="shared" si="100"/>
        <v>0</v>
      </c>
      <c r="CJ101" s="36">
        <f t="shared" si="100"/>
        <v>0</v>
      </c>
      <c r="CK101" s="36">
        <f t="shared" si="100"/>
        <v>0</v>
      </c>
      <c r="CL101" s="36">
        <f t="shared" si="100"/>
        <v>0</v>
      </c>
      <c r="CM101" s="36">
        <f t="shared" si="100"/>
        <v>0</v>
      </c>
      <c r="CN101" s="36">
        <f t="shared" si="100"/>
        <v>0</v>
      </c>
      <c r="CO101" s="36">
        <f t="shared" si="100"/>
        <v>0</v>
      </c>
      <c r="CP101" s="36">
        <f t="shared" si="100"/>
        <v>0</v>
      </c>
      <c r="CQ101" s="36">
        <f t="shared" si="100"/>
        <v>0</v>
      </c>
      <c r="CR101" s="36">
        <f t="shared" si="100"/>
        <v>0</v>
      </c>
      <c r="CS101" s="36">
        <f t="shared" si="100"/>
        <v>0</v>
      </c>
      <c r="CT101" s="36">
        <f t="shared" si="100"/>
        <v>0</v>
      </c>
      <c r="CU101" s="36">
        <f t="shared" si="100"/>
        <v>0</v>
      </c>
      <c r="CV101" s="36">
        <f t="shared" si="100"/>
        <v>0</v>
      </c>
      <c r="CW101" s="36">
        <f t="shared" si="100"/>
        <v>0</v>
      </c>
      <c r="CX101" s="36">
        <f t="shared" si="100"/>
        <v>0</v>
      </c>
      <c r="CY101" s="36">
        <f t="shared" si="101"/>
        <v>0</v>
      </c>
      <c r="CZ101" s="36">
        <f t="shared" si="101"/>
        <v>0</v>
      </c>
      <c r="DA101" s="36">
        <f t="shared" si="101"/>
        <v>0</v>
      </c>
      <c r="DB101" s="36">
        <f t="shared" si="101"/>
        <v>0</v>
      </c>
      <c r="DC101" s="36">
        <f t="shared" si="101"/>
        <v>0</v>
      </c>
      <c r="DD101" s="36">
        <f t="shared" si="101"/>
        <v>0</v>
      </c>
      <c r="DE101" s="36">
        <f t="shared" si="101"/>
        <v>0</v>
      </c>
      <c r="DF101" s="36">
        <f t="shared" si="101"/>
        <v>0</v>
      </c>
      <c r="DG101" s="36">
        <f t="shared" si="101"/>
        <v>0</v>
      </c>
      <c r="DH101" s="36">
        <f t="shared" si="101"/>
        <v>0</v>
      </c>
      <c r="DI101" s="36">
        <f t="shared" si="101"/>
        <v>0</v>
      </c>
      <c r="DJ101" s="36">
        <f t="shared" si="101"/>
        <v>0</v>
      </c>
      <c r="DK101" s="36">
        <f t="shared" si="101"/>
        <v>0</v>
      </c>
      <c r="DL101" s="36">
        <f t="shared" si="101"/>
        <v>0</v>
      </c>
      <c r="DM101" s="36">
        <f t="shared" si="102"/>
        <v>0</v>
      </c>
      <c r="DN101" s="36">
        <f t="shared" si="102"/>
        <v>0</v>
      </c>
      <c r="DO101" s="36">
        <f t="shared" si="102"/>
        <v>0</v>
      </c>
      <c r="DP101" s="36">
        <f t="shared" si="102"/>
        <v>0</v>
      </c>
      <c r="DQ101" s="36">
        <f t="shared" si="102"/>
        <v>0</v>
      </c>
      <c r="DR101" s="36">
        <f t="shared" si="102"/>
        <v>0</v>
      </c>
      <c r="DS101" s="36">
        <f t="shared" si="102"/>
        <v>0</v>
      </c>
      <c r="DT101" s="36">
        <f t="shared" si="102"/>
        <v>0</v>
      </c>
      <c r="DU101" s="36">
        <f t="shared" si="102"/>
        <v>0</v>
      </c>
      <c r="DV101" s="36">
        <f t="shared" si="102"/>
        <v>0</v>
      </c>
    </row>
    <row r="102" spans="2:126" outlineLevel="1">
      <c r="B102" s="3" t="str">
        <f t="shared" si="93"/>
        <v>Property L</v>
      </c>
      <c r="C102" s="50">
        <f>CaseData!D21</f>
        <v>6844200</v>
      </c>
      <c r="D102" s="14">
        <f t="shared" si="94"/>
        <v>25</v>
      </c>
      <c r="E102" s="35" t="s">
        <v>0</v>
      </c>
      <c r="F102" s="35"/>
      <c r="G102" s="36">
        <f t="shared" si="95"/>
        <v>0</v>
      </c>
      <c r="H102" s="36">
        <f t="shared" si="95"/>
        <v>0</v>
      </c>
      <c r="I102" s="36">
        <f t="shared" si="95"/>
        <v>0</v>
      </c>
      <c r="J102" s="36">
        <f t="shared" si="95"/>
        <v>0</v>
      </c>
      <c r="K102" s="36">
        <f t="shared" si="95"/>
        <v>0</v>
      </c>
      <c r="L102" s="36">
        <f t="shared" si="95"/>
        <v>0</v>
      </c>
      <c r="M102" s="36">
        <f t="shared" si="95"/>
        <v>0</v>
      </c>
      <c r="N102" s="36">
        <f t="shared" si="95"/>
        <v>0</v>
      </c>
      <c r="O102" s="36">
        <f t="shared" si="95"/>
        <v>0</v>
      </c>
      <c r="P102" s="36">
        <f t="shared" si="95"/>
        <v>0</v>
      </c>
      <c r="Q102" s="36">
        <f t="shared" si="95"/>
        <v>0</v>
      </c>
      <c r="R102" s="36">
        <f t="shared" si="95"/>
        <v>0</v>
      </c>
      <c r="S102" s="36">
        <f t="shared" si="95"/>
        <v>0</v>
      </c>
      <c r="T102" s="36">
        <f t="shared" si="95"/>
        <v>0</v>
      </c>
      <c r="U102" s="36">
        <f t="shared" si="95"/>
        <v>0</v>
      </c>
      <c r="V102" s="36">
        <f t="shared" si="95"/>
        <v>0</v>
      </c>
      <c r="W102" s="36">
        <f t="shared" si="96"/>
        <v>0</v>
      </c>
      <c r="X102" s="36">
        <f t="shared" si="96"/>
        <v>0</v>
      </c>
      <c r="Y102" s="36">
        <f t="shared" si="96"/>
        <v>0</v>
      </c>
      <c r="Z102" s="36">
        <f t="shared" si="96"/>
        <v>0</v>
      </c>
      <c r="AA102" s="36">
        <f t="shared" si="96"/>
        <v>0</v>
      </c>
      <c r="AB102" s="36">
        <f t="shared" si="96"/>
        <v>0</v>
      </c>
      <c r="AC102" s="36">
        <f t="shared" si="96"/>
        <v>0</v>
      </c>
      <c r="AD102" s="36">
        <f t="shared" si="96"/>
        <v>0</v>
      </c>
      <c r="AE102" s="36">
        <f t="shared" si="96"/>
        <v>7810190.3880000003</v>
      </c>
      <c r="AF102" s="36">
        <f t="shared" si="96"/>
        <v>0</v>
      </c>
      <c r="AG102" s="36">
        <f t="shared" si="96"/>
        <v>0</v>
      </c>
      <c r="AH102" s="36">
        <f t="shared" si="96"/>
        <v>0</v>
      </c>
      <c r="AI102" s="36">
        <f t="shared" si="96"/>
        <v>0</v>
      </c>
      <c r="AJ102" s="36">
        <f t="shared" si="96"/>
        <v>0</v>
      </c>
      <c r="AK102" s="36">
        <f t="shared" si="96"/>
        <v>0</v>
      </c>
      <c r="AL102" s="36">
        <f t="shared" si="96"/>
        <v>0</v>
      </c>
      <c r="AM102" s="36">
        <f t="shared" si="97"/>
        <v>0</v>
      </c>
      <c r="AN102" s="36">
        <f t="shared" si="97"/>
        <v>0</v>
      </c>
      <c r="AO102" s="36">
        <f t="shared" si="97"/>
        <v>0</v>
      </c>
      <c r="AP102" s="36">
        <f t="shared" si="97"/>
        <v>0</v>
      </c>
      <c r="AQ102" s="36">
        <f t="shared" si="97"/>
        <v>0</v>
      </c>
      <c r="AR102" s="36">
        <f t="shared" si="97"/>
        <v>0</v>
      </c>
      <c r="AS102" s="36">
        <f t="shared" si="97"/>
        <v>0</v>
      </c>
      <c r="AT102" s="36">
        <f t="shared" si="97"/>
        <v>0</v>
      </c>
      <c r="AU102" s="36">
        <f t="shared" si="97"/>
        <v>0</v>
      </c>
      <c r="AV102" s="36">
        <f t="shared" si="97"/>
        <v>0</v>
      </c>
      <c r="AW102" s="36">
        <f t="shared" si="97"/>
        <v>0</v>
      </c>
      <c r="AX102" s="36">
        <f t="shared" si="97"/>
        <v>0</v>
      </c>
      <c r="AY102" s="36">
        <f t="shared" si="97"/>
        <v>0</v>
      </c>
      <c r="AZ102" s="36">
        <f t="shared" si="97"/>
        <v>0</v>
      </c>
      <c r="BA102" s="36">
        <f t="shared" si="97"/>
        <v>0</v>
      </c>
      <c r="BB102" s="36">
        <f t="shared" si="97"/>
        <v>0</v>
      </c>
      <c r="BC102" s="36">
        <f t="shared" si="98"/>
        <v>0</v>
      </c>
      <c r="BD102" s="36">
        <f t="shared" si="98"/>
        <v>0</v>
      </c>
      <c r="BE102" s="36">
        <f t="shared" si="98"/>
        <v>0</v>
      </c>
      <c r="BF102" s="36">
        <f t="shared" si="98"/>
        <v>0</v>
      </c>
      <c r="BG102" s="36">
        <f t="shared" si="98"/>
        <v>0</v>
      </c>
      <c r="BH102" s="36">
        <f t="shared" si="98"/>
        <v>0</v>
      </c>
      <c r="BI102" s="36">
        <f t="shared" si="98"/>
        <v>0</v>
      </c>
      <c r="BJ102" s="36">
        <f t="shared" si="98"/>
        <v>0</v>
      </c>
      <c r="BK102" s="36">
        <f t="shared" si="98"/>
        <v>0</v>
      </c>
      <c r="BL102" s="36">
        <f t="shared" si="98"/>
        <v>0</v>
      </c>
      <c r="BM102" s="36">
        <f t="shared" si="98"/>
        <v>0</v>
      </c>
      <c r="BN102" s="36">
        <f t="shared" si="98"/>
        <v>0</v>
      </c>
      <c r="BO102" s="36">
        <f t="shared" si="98"/>
        <v>0</v>
      </c>
      <c r="BP102" s="36">
        <f t="shared" si="98"/>
        <v>0</v>
      </c>
      <c r="BQ102" s="36">
        <f t="shared" si="98"/>
        <v>0</v>
      </c>
      <c r="BR102" s="36">
        <f t="shared" si="98"/>
        <v>0</v>
      </c>
      <c r="BS102" s="36">
        <f t="shared" si="99"/>
        <v>0</v>
      </c>
      <c r="BT102" s="36">
        <f t="shared" si="99"/>
        <v>0</v>
      </c>
      <c r="BU102" s="36">
        <f t="shared" si="99"/>
        <v>0</v>
      </c>
      <c r="BV102" s="36">
        <f t="shared" si="99"/>
        <v>0</v>
      </c>
      <c r="BW102" s="36">
        <f t="shared" si="99"/>
        <v>0</v>
      </c>
      <c r="BX102" s="36">
        <f t="shared" si="99"/>
        <v>0</v>
      </c>
      <c r="BY102" s="36">
        <f t="shared" si="99"/>
        <v>0</v>
      </c>
      <c r="BZ102" s="36">
        <f t="shared" si="99"/>
        <v>0</v>
      </c>
      <c r="CA102" s="36">
        <f t="shared" si="99"/>
        <v>0</v>
      </c>
      <c r="CB102" s="36">
        <f t="shared" si="99"/>
        <v>0</v>
      </c>
      <c r="CC102" s="36">
        <f t="shared" si="99"/>
        <v>0</v>
      </c>
      <c r="CD102" s="36">
        <f t="shared" si="99"/>
        <v>0</v>
      </c>
      <c r="CE102" s="36">
        <f t="shared" si="99"/>
        <v>0</v>
      </c>
      <c r="CF102" s="36">
        <f t="shared" si="99"/>
        <v>0</v>
      </c>
      <c r="CG102" s="36">
        <f t="shared" si="99"/>
        <v>0</v>
      </c>
      <c r="CH102" s="36">
        <f t="shared" si="99"/>
        <v>0</v>
      </c>
      <c r="CI102" s="36">
        <f t="shared" si="100"/>
        <v>0</v>
      </c>
      <c r="CJ102" s="36">
        <f t="shared" si="100"/>
        <v>0</v>
      </c>
      <c r="CK102" s="36">
        <f t="shared" si="100"/>
        <v>0</v>
      </c>
      <c r="CL102" s="36">
        <f t="shared" si="100"/>
        <v>0</v>
      </c>
      <c r="CM102" s="36">
        <f t="shared" si="100"/>
        <v>0</v>
      </c>
      <c r="CN102" s="36">
        <f t="shared" si="100"/>
        <v>0</v>
      </c>
      <c r="CO102" s="36">
        <f t="shared" si="100"/>
        <v>0</v>
      </c>
      <c r="CP102" s="36">
        <f t="shared" si="100"/>
        <v>0</v>
      </c>
      <c r="CQ102" s="36">
        <f t="shared" si="100"/>
        <v>0</v>
      </c>
      <c r="CR102" s="36">
        <f t="shared" si="100"/>
        <v>0</v>
      </c>
      <c r="CS102" s="36">
        <f t="shared" si="100"/>
        <v>0</v>
      </c>
      <c r="CT102" s="36">
        <f t="shared" si="100"/>
        <v>0</v>
      </c>
      <c r="CU102" s="36">
        <f t="shared" si="100"/>
        <v>0</v>
      </c>
      <c r="CV102" s="36">
        <f t="shared" si="100"/>
        <v>0</v>
      </c>
      <c r="CW102" s="36">
        <f t="shared" si="100"/>
        <v>0</v>
      </c>
      <c r="CX102" s="36">
        <f t="shared" si="100"/>
        <v>0</v>
      </c>
      <c r="CY102" s="36">
        <f t="shared" si="101"/>
        <v>0</v>
      </c>
      <c r="CZ102" s="36">
        <f t="shared" si="101"/>
        <v>0</v>
      </c>
      <c r="DA102" s="36">
        <f t="shared" si="101"/>
        <v>0</v>
      </c>
      <c r="DB102" s="36">
        <f t="shared" si="101"/>
        <v>0</v>
      </c>
      <c r="DC102" s="36">
        <f t="shared" si="101"/>
        <v>0</v>
      </c>
      <c r="DD102" s="36">
        <f t="shared" si="101"/>
        <v>0</v>
      </c>
      <c r="DE102" s="36">
        <f t="shared" si="101"/>
        <v>0</v>
      </c>
      <c r="DF102" s="36">
        <f t="shared" si="101"/>
        <v>0</v>
      </c>
      <c r="DG102" s="36">
        <f t="shared" si="101"/>
        <v>0</v>
      </c>
      <c r="DH102" s="36">
        <f t="shared" si="101"/>
        <v>0</v>
      </c>
      <c r="DI102" s="36">
        <f t="shared" si="101"/>
        <v>0</v>
      </c>
      <c r="DJ102" s="36">
        <f t="shared" si="101"/>
        <v>0</v>
      </c>
      <c r="DK102" s="36">
        <f t="shared" si="101"/>
        <v>0</v>
      </c>
      <c r="DL102" s="36">
        <f t="shared" si="101"/>
        <v>0</v>
      </c>
      <c r="DM102" s="36">
        <f t="shared" si="102"/>
        <v>0</v>
      </c>
      <c r="DN102" s="36">
        <f t="shared" si="102"/>
        <v>0</v>
      </c>
      <c r="DO102" s="36">
        <f t="shared" si="102"/>
        <v>0</v>
      </c>
      <c r="DP102" s="36">
        <f t="shared" si="102"/>
        <v>0</v>
      </c>
      <c r="DQ102" s="36">
        <f t="shared" si="102"/>
        <v>0</v>
      </c>
      <c r="DR102" s="36">
        <f t="shared" si="102"/>
        <v>0</v>
      </c>
      <c r="DS102" s="36">
        <f t="shared" si="102"/>
        <v>0</v>
      </c>
      <c r="DT102" s="36">
        <f t="shared" si="102"/>
        <v>0</v>
      </c>
      <c r="DU102" s="36">
        <f t="shared" si="102"/>
        <v>0</v>
      </c>
      <c r="DV102" s="36">
        <f t="shared" si="102"/>
        <v>0</v>
      </c>
    </row>
    <row r="103" spans="2:126" outlineLevel="1">
      <c r="B103" s="3" t="str">
        <f t="shared" si="93"/>
        <v>Property M</v>
      </c>
      <c r="C103" s="50">
        <f>CaseData!D22</f>
        <v>3701440</v>
      </c>
      <c r="D103" s="14">
        <f t="shared" si="94"/>
        <v>28</v>
      </c>
      <c r="E103" s="35" t="s">
        <v>0</v>
      </c>
      <c r="F103" s="35"/>
      <c r="G103" s="36">
        <f t="shared" si="95"/>
        <v>0</v>
      </c>
      <c r="H103" s="36">
        <f t="shared" si="95"/>
        <v>0</v>
      </c>
      <c r="I103" s="36">
        <f t="shared" si="95"/>
        <v>0</v>
      </c>
      <c r="J103" s="36">
        <f t="shared" si="95"/>
        <v>0</v>
      </c>
      <c r="K103" s="36">
        <f t="shared" si="95"/>
        <v>0</v>
      </c>
      <c r="L103" s="36">
        <f t="shared" si="95"/>
        <v>0</v>
      </c>
      <c r="M103" s="36">
        <f t="shared" si="95"/>
        <v>0</v>
      </c>
      <c r="N103" s="36">
        <f t="shared" si="95"/>
        <v>0</v>
      </c>
      <c r="O103" s="36">
        <f t="shared" si="95"/>
        <v>0</v>
      </c>
      <c r="P103" s="36">
        <f t="shared" si="95"/>
        <v>0</v>
      </c>
      <c r="Q103" s="36">
        <f t="shared" si="95"/>
        <v>0</v>
      </c>
      <c r="R103" s="36">
        <f t="shared" si="95"/>
        <v>0</v>
      </c>
      <c r="S103" s="36">
        <f t="shared" si="95"/>
        <v>0</v>
      </c>
      <c r="T103" s="36">
        <f t="shared" si="95"/>
        <v>0</v>
      </c>
      <c r="U103" s="36">
        <f t="shared" si="95"/>
        <v>0</v>
      </c>
      <c r="V103" s="36">
        <f t="shared" si="95"/>
        <v>0</v>
      </c>
      <c r="W103" s="36">
        <f t="shared" si="96"/>
        <v>0</v>
      </c>
      <c r="X103" s="36">
        <f t="shared" si="96"/>
        <v>0</v>
      </c>
      <c r="Y103" s="36">
        <f t="shared" si="96"/>
        <v>0</v>
      </c>
      <c r="Z103" s="36">
        <f t="shared" si="96"/>
        <v>0</v>
      </c>
      <c r="AA103" s="36">
        <f t="shared" si="96"/>
        <v>0</v>
      </c>
      <c r="AB103" s="36">
        <f t="shared" si="96"/>
        <v>0</v>
      </c>
      <c r="AC103" s="36">
        <f t="shared" si="96"/>
        <v>0</v>
      </c>
      <c r="AD103" s="36">
        <f t="shared" si="96"/>
        <v>0</v>
      </c>
      <c r="AE103" s="36">
        <f t="shared" si="96"/>
        <v>0</v>
      </c>
      <c r="AF103" s="36">
        <f t="shared" si="96"/>
        <v>0</v>
      </c>
      <c r="AG103" s="36">
        <f t="shared" si="96"/>
        <v>0</v>
      </c>
      <c r="AH103" s="36">
        <f t="shared" si="96"/>
        <v>4223861.2416000003</v>
      </c>
      <c r="AI103" s="36">
        <f t="shared" si="96"/>
        <v>0</v>
      </c>
      <c r="AJ103" s="36">
        <f t="shared" si="96"/>
        <v>0</v>
      </c>
      <c r="AK103" s="36">
        <f t="shared" si="96"/>
        <v>0</v>
      </c>
      <c r="AL103" s="36">
        <f t="shared" si="96"/>
        <v>0</v>
      </c>
      <c r="AM103" s="36">
        <f t="shared" si="97"/>
        <v>0</v>
      </c>
      <c r="AN103" s="36">
        <f t="shared" si="97"/>
        <v>0</v>
      </c>
      <c r="AO103" s="36">
        <f t="shared" si="97"/>
        <v>0</v>
      </c>
      <c r="AP103" s="36">
        <f t="shared" si="97"/>
        <v>0</v>
      </c>
      <c r="AQ103" s="36">
        <f t="shared" si="97"/>
        <v>0</v>
      </c>
      <c r="AR103" s="36">
        <f t="shared" si="97"/>
        <v>0</v>
      </c>
      <c r="AS103" s="36">
        <f t="shared" si="97"/>
        <v>0</v>
      </c>
      <c r="AT103" s="36">
        <f t="shared" si="97"/>
        <v>0</v>
      </c>
      <c r="AU103" s="36">
        <f t="shared" si="97"/>
        <v>0</v>
      </c>
      <c r="AV103" s="36">
        <f t="shared" si="97"/>
        <v>0</v>
      </c>
      <c r="AW103" s="36">
        <f t="shared" si="97"/>
        <v>0</v>
      </c>
      <c r="AX103" s="36">
        <f t="shared" si="97"/>
        <v>0</v>
      </c>
      <c r="AY103" s="36">
        <f t="shared" si="97"/>
        <v>0</v>
      </c>
      <c r="AZ103" s="36">
        <f t="shared" si="97"/>
        <v>0</v>
      </c>
      <c r="BA103" s="36">
        <f t="shared" si="97"/>
        <v>0</v>
      </c>
      <c r="BB103" s="36">
        <f t="shared" si="97"/>
        <v>0</v>
      </c>
      <c r="BC103" s="36">
        <f t="shared" si="98"/>
        <v>0</v>
      </c>
      <c r="BD103" s="36">
        <f t="shared" si="98"/>
        <v>0</v>
      </c>
      <c r="BE103" s="36">
        <f t="shared" si="98"/>
        <v>0</v>
      </c>
      <c r="BF103" s="36">
        <f t="shared" si="98"/>
        <v>0</v>
      </c>
      <c r="BG103" s="36">
        <f t="shared" si="98"/>
        <v>0</v>
      </c>
      <c r="BH103" s="36">
        <f t="shared" si="98"/>
        <v>0</v>
      </c>
      <c r="BI103" s="36">
        <f t="shared" si="98"/>
        <v>0</v>
      </c>
      <c r="BJ103" s="36">
        <f t="shared" si="98"/>
        <v>0</v>
      </c>
      <c r="BK103" s="36">
        <f t="shared" si="98"/>
        <v>0</v>
      </c>
      <c r="BL103" s="36">
        <f t="shared" si="98"/>
        <v>0</v>
      </c>
      <c r="BM103" s="36">
        <f t="shared" si="98"/>
        <v>0</v>
      </c>
      <c r="BN103" s="36">
        <f t="shared" si="98"/>
        <v>0</v>
      </c>
      <c r="BO103" s="36">
        <f t="shared" si="98"/>
        <v>0</v>
      </c>
      <c r="BP103" s="36">
        <f t="shared" si="98"/>
        <v>0</v>
      </c>
      <c r="BQ103" s="36">
        <f t="shared" si="98"/>
        <v>0</v>
      </c>
      <c r="BR103" s="36">
        <f t="shared" si="98"/>
        <v>0</v>
      </c>
      <c r="BS103" s="36">
        <f t="shared" si="99"/>
        <v>0</v>
      </c>
      <c r="BT103" s="36">
        <f t="shared" si="99"/>
        <v>0</v>
      </c>
      <c r="BU103" s="36">
        <f t="shared" si="99"/>
        <v>0</v>
      </c>
      <c r="BV103" s="36">
        <f t="shared" si="99"/>
        <v>0</v>
      </c>
      <c r="BW103" s="36">
        <f t="shared" si="99"/>
        <v>0</v>
      </c>
      <c r="BX103" s="36">
        <f t="shared" si="99"/>
        <v>0</v>
      </c>
      <c r="BY103" s="36">
        <f t="shared" si="99"/>
        <v>0</v>
      </c>
      <c r="BZ103" s="36">
        <f t="shared" si="99"/>
        <v>0</v>
      </c>
      <c r="CA103" s="36">
        <f t="shared" si="99"/>
        <v>0</v>
      </c>
      <c r="CB103" s="36">
        <f t="shared" si="99"/>
        <v>0</v>
      </c>
      <c r="CC103" s="36">
        <f t="shared" si="99"/>
        <v>0</v>
      </c>
      <c r="CD103" s="36">
        <f t="shared" si="99"/>
        <v>0</v>
      </c>
      <c r="CE103" s="36">
        <f t="shared" si="99"/>
        <v>0</v>
      </c>
      <c r="CF103" s="36">
        <f t="shared" si="99"/>
        <v>0</v>
      </c>
      <c r="CG103" s="36">
        <f t="shared" si="99"/>
        <v>0</v>
      </c>
      <c r="CH103" s="36">
        <f t="shared" si="99"/>
        <v>0</v>
      </c>
      <c r="CI103" s="36">
        <f t="shared" si="100"/>
        <v>0</v>
      </c>
      <c r="CJ103" s="36">
        <f t="shared" si="100"/>
        <v>0</v>
      </c>
      <c r="CK103" s="36">
        <f t="shared" si="100"/>
        <v>0</v>
      </c>
      <c r="CL103" s="36">
        <f t="shared" si="100"/>
        <v>0</v>
      </c>
      <c r="CM103" s="36">
        <f t="shared" si="100"/>
        <v>0</v>
      </c>
      <c r="CN103" s="36">
        <f t="shared" si="100"/>
        <v>0</v>
      </c>
      <c r="CO103" s="36">
        <f t="shared" si="100"/>
        <v>0</v>
      </c>
      <c r="CP103" s="36">
        <f t="shared" si="100"/>
        <v>0</v>
      </c>
      <c r="CQ103" s="36">
        <f t="shared" si="100"/>
        <v>0</v>
      </c>
      <c r="CR103" s="36">
        <f t="shared" si="100"/>
        <v>0</v>
      </c>
      <c r="CS103" s="36">
        <f t="shared" si="100"/>
        <v>0</v>
      </c>
      <c r="CT103" s="36">
        <f t="shared" si="100"/>
        <v>0</v>
      </c>
      <c r="CU103" s="36">
        <f t="shared" si="100"/>
        <v>0</v>
      </c>
      <c r="CV103" s="36">
        <f t="shared" si="100"/>
        <v>0</v>
      </c>
      <c r="CW103" s="36">
        <f t="shared" si="100"/>
        <v>0</v>
      </c>
      <c r="CX103" s="36">
        <f t="shared" si="100"/>
        <v>0</v>
      </c>
      <c r="CY103" s="36">
        <f t="shared" si="101"/>
        <v>0</v>
      </c>
      <c r="CZ103" s="36">
        <f t="shared" si="101"/>
        <v>0</v>
      </c>
      <c r="DA103" s="36">
        <f t="shared" si="101"/>
        <v>0</v>
      </c>
      <c r="DB103" s="36">
        <f t="shared" si="101"/>
        <v>0</v>
      </c>
      <c r="DC103" s="36">
        <f t="shared" si="101"/>
        <v>0</v>
      </c>
      <c r="DD103" s="36">
        <f t="shared" si="101"/>
        <v>0</v>
      </c>
      <c r="DE103" s="36">
        <f t="shared" si="101"/>
        <v>0</v>
      </c>
      <c r="DF103" s="36">
        <f t="shared" si="101"/>
        <v>0</v>
      </c>
      <c r="DG103" s="36">
        <f t="shared" si="101"/>
        <v>0</v>
      </c>
      <c r="DH103" s="36">
        <f t="shared" si="101"/>
        <v>0</v>
      </c>
      <c r="DI103" s="36">
        <f t="shared" si="101"/>
        <v>0</v>
      </c>
      <c r="DJ103" s="36">
        <f t="shared" si="101"/>
        <v>0</v>
      </c>
      <c r="DK103" s="36">
        <f t="shared" si="101"/>
        <v>0</v>
      </c>
      <c r="DL103" s="36">
        <f t="shared" si="101"/>
        <v>0</v>
      </c>
      <c r="DM103" s="36">
        <f t="shared" si="102"/>
        <v>0</v>
      </c>
      <c r="DN103" s="36">
        <f t="shared" si="102"/>
        <v>0</v>
      </c>
      <c r="DO103" s="36">
        <f t="shared" si="102"/>
        <v>0</v>
      </c>
      <c r="DP103" s="36">
        <f t="shared" si="102"/>
        <v>0</v>
      </c>
      <c r="DQ103" s="36">
        <f t="shared" si="102"/>
        <v>0</v>
      </c>
      <c r="DR103" s="36">
        <f t="shared" si="102"/>
        <v>0</v>
      </c>
      <c r="DS103" s="36">
        <f t="shared" si="102"/>
        <v>0</v>
      </c>
      <c r="DT103" s="36">
        <f t="shared" si="102"/>
        <v>0</v>
      </c>
      <c r="DU103" s="36">
        <f t="shared" si="102"/>
        <v>0</v>
      </c>
      <c r="DV103" s="36">
        <f t="shared" si="102"/>
        <v>0</v>
      </c>
    </row>
    <row r="104" spans="2:126" outlineLevel="1">
      <c r="B104" s="3" t="str">
        <f t="shared" si="93"/>
        <v>Property N</v>
      </c>
      <c r="C104" s="50">
        <f>CaseData!D23</f>
        <v>5452920</v>
      </c>
      <c r="D104" s="14">
        <f t="shared" si="94"/>
        <v>37</v>
      </c>
      <c r="E104" s="35" t="s">
        <v>0</v>
      </c>
      <c r="F104" s="35"/>
      <c r="G104" s="36">
        <f t="shared" si="95"/>
        <v>0</v>
      </c>
      <c r="H104" s="36">
        <f t="shared" si="95"/>
        <v>0</v>
      </c>
      <c r="I104" s="36">
        <f t="shared" si="95"/>
        <v>0</v>
      </c>
      <c r="J104" s="36">
        <f t="shared" si="95"/>
        <v>0</v>
      </c>
      <c r="K104" s="36">
        <f t="shared" si="95"/>
        <v>0</v>
      </c>
      <c r="L104" s="36">
        <f t="shared" si="95"/>
        <v>0</v>
      </c>
      <c r="M104" s="36">
        <f t="shared" si="95"/>
        <v>0</v>
      </c>
      <c r="N104" s="36">
        <f t="shared" si="95"/>
        <v>0</v>
      </c>
      <c r="O104" s="36">
        <f t="shared" si="95"/>
        <v>0</v>
      </c>
      <c r="P104" s="36">
        <f t="shared" si="95"/>
        <v>0</v>
      </c>
      <c r="Q104" s="36">
        <f t="shared" si="95"/>
        <v>0</v>
      </c>
      <c r="R104" s="36">
        <f t="shared" si="95"/>
        <v>0</v>
      </c>
      <c r="S104" s="36">
        <f t="shared" si="95"/>
        <v>0</v>
      </c>
      <c r="T104" s="36">
        <f t="shared" si="95"/>
        <v>0</v>
      </c>
      <c r="U104" s="36">
        <f t="shared" si="95"/>
        <v>0</v>
      </c>
      <c r="V104" s="36">
        <f t="shared" si="95"/>
        <v>0</v>
      </c>
      <c r="W104" s="36">
        <f t="shared" si="96"/>
        <v>0</v>
      </c>
      <c r="X104" s="36">
        <f t="shared" si="96"/>
        <v>0</v>
      </c>
      <c r="Y104" s="36">
        <f t="shared" si="96"/>
        <v>0</v>
      </c>
      <c r="Z104" s="36">
        <f t="shared" si="96"/>
        <v>0</v>
      </c>
      <c r="AA104" s="36">
        <f t="shared" si="96"/>
        <v>0</v>
      </c>
      <c r="AB104" s="36">
        <f t="shared" si="96"/>
        <v>0</v>
      </c>
      <c r="AC104" s="36">
        <f t="shared" si="96"/>
        <v>0</v>
      </c>
      <c r="AD104" s="36">
        <f t="shared" si="96"/>
        <v>0</v>
      </c>
      <c r="AE104" s="36">
        <f t="shared" si="96"/>
        <v>0</v>
      </c>
      <c r="AF104" s="36">
        <f t="shared" si="96"/>
        <v>0</v>
      </c>
      <c r="AG104" s="36">
        <f t="shared" si="96"/>
        <v>0</v>
      </c>
      <c r="AH104" s="36">
        <f t="shared" si="96"/>
        <v>0</v>
      </c>
      <c r="AI104" s="36">
        <f t="shared" si="96"/>
        <v>0</v>
      </c>
      <c r="AJ104" s="36">
        <f t="shared" si="96"/>
        <v>0</v>
      </c>
      <c r="AK104" s="36">
        <f t="shared" si="96"/>
        <v>0</v>
      </c>
      <c r="AL104" s="36">
        <f t="shared" si="96"/>
        <v>0</v>
      </c>
      <c r="AM104" s="36">
        <f t="shared" si="97"/>
        <v>0</v>
      </c>
      <c r="AN104" s="36">
        <f t="shared" si="97"/>
        <v>0</v>
      </c>
      <c r="AO104" s="36">
        <f t="shared" si="97"/>
        <v>0</v>
      </c>
      <c r="AP104" s="36">
        <f t="shared" si="97"/>
        <v>0</v>
      </c>
      <c r="AQ104" s="36">
        <f t="shared" si="97"/>
        <v>6440334.2083079992</v>
      </c>
      <c r="AR104" s="36">
        <f t="shared" si="97"/>
        <v>0</v>
      </c>
      <c r="AS104" s="36">
        <f t="shared" si="97"/>
        <v>0</v>
      </c>
      <c r="AT104" s="36">
        <f t="shared" si="97"/>
        <v>0</v>
      </c>
      <c r="AU104" s="36">
        <f t="shared" si="97"/>
        <v>0</v>
      </c>
      <c r="AV104" s="36">
        <f t="shared" si="97"/>
        <v>0</v>
      </c>
      <c r="AW104" s="36">
        <f t="shared" si="97"/>
        <v>0</v>
      </c>
      <c r="AX104" s="36">
        <f t="shared" si="97"/>
        <v>0</v>
      </c>
      <c r="AY104" s="36">
        <f t="shared" si="97"/>
        <v>0</v>
      </c>
      <c r="AZ104" s="36">
        <f t="shared" si="97"/>
        <v>0</v>
      </c>
      <c r="BA104" s="36">
        <f t="shared" si="97"/>
        <v>0</v>
      </c>
      <c r="BB104" s="36">
        <f t="shared" si="97"/>
        <v>0</v>
      </c>
      <c r="BC104" s="36">
        <f t="shared" si="98"/>
        <v>0</v>
      </c>
      <c r="BD104" s="36">
        <f t="shared" si="98"/>
        <v>0</v>
      </c>
      <c r="BE104" s="36">
        <f t="shared" si="98"/>
        <v>0</v>
      </c>
      <c r="BF104" s="36">
        <f t="shared" si="98"/>
        <v>0</v>
      </c>
      <c r="BG104" s="36">
        <f t="shared" si="98"/>
        <v>0</v>
      </c>
      <c r="BH104" s="36">
        <f t="shared" si="98"/>
        <v>0</v>
      </c>
      <c r="BI104" s="36">
        <f t="shared" si="98"/>
        <v>0</v>
      </c>
      <c r="BJ104" s="36">
        <f t="shared" si="98"/>
        <v>0</v>
      </c>
      <c r="BK104" s="36">
        <f t="shared" si="98"/>
        <v>0</v>
      </c>
      <c r="BL104" s="36">
        <f t="shared" si="98"/>
        <v>0</v>
      </c>
      <c r="BM104" s="36">
        <f t="shared" si="98"/>
        <v>0</v>
      </c>
      <c r="BN104" s="36">
        <f t="shared" si="98"/>
        <v>0</v>
      </c>
      <c r="BO104" s="36">
        <f t="shared" si="98"/>
        <v>0</v>
      </c>
      <c r="BP104" s="36">
        <f t="shared" si="98"/>
        <v>0</v>
      </c>
      <c r="BQ104" s="36">
        <f t="shared" si="98"/>
        <v>0</v>
      </c>
      <c r="BR104" s="36">
        <f t="shared" si="98"/>
        <v>0</v>
      </c>
      <c r="BS104" s="36">
        <f t="shared" si="99"/>
        <v>0</v>
      </c>
      <c r="BT104" s="36">
        <f t="shared" si="99"/>
        <v>0</v>
      </c>
      <c r="BU104" s="36">
        <f t="shared" si="99"/>
        <v>0</v>
      </c>
      <c r="BV104" s="36">
        <f t="shared" si="99"/>
        <v>0</v>
      </c>
      <c r="BW104" s="36">
        <f t="shared" si="99"/>
        <v>0</v>
      </c>
      <c r="BX104" s="36">
        <f t="shared" si="99"/>
        <v>0</v>
      </c>
      <c r="BY104" s="36">
        <f t="shared" si="99"/>
        <v>0</v>
      </c>
      <c r="BZ104" s="36">
        <f t="shared" si="99"/>
        <v>0</v>
      </c>
      <c r="CA104" s="36">
        <f t="shared" si="99"/>
        <v>0</v>
      </c>
      <c r="CB104" s="36">
        <f t="shared" si="99"/>
        <v>0</v>
      </c>
      <c r="CC104" s="36">
        <f t="shared" si="99"/>
        <v>0</v>
      </c>
      <c r="CD104" s="36">
        <f t="shared" si="99"/>
        <v>0</v>
      </c>
      <c r="CE104" s="36">
        <f t="shared" si="99"/>
        <v>0</v>
      </c>
      <c r="CF104" s="36">
        <f t="shared" si="99"/>
        <v>0</v>
      </c>
      <c r="CG104" s="36">
        <f t="shared" si="99"/>
        <v>0</v>
      </c>
      <c r="CH104" s="36">
        <f t="shared" si="99"/>
        <v>0</v>
      </c>
      <c r="CI104" s="36">
        <f t="shared" si="100"/>
        <v>0</v>
      </c>
      <c r="CJ104" s="36">
        <f t="shared" si="100"/>
        <v>0</v>
      </c>
      <c r="CK104" s="36">
        <f t="shared" si="100"/>
        <v>0</v>
      </c>
      <c r="CL104" s="36">
        <f t="shared" si="100"/>
        <v>0</v>
      </c>
      <c r="CM104" s="36">
        <f t="shared" si="100"/>
        <v>0</v>
      </c>
      <c r="CN104" s="36">
        <f t="shared" si="100"/>
        <v>0</v>
      </c>
      <c r="CO104" s="36">
        <f t="shared" si="100"/>
        <v>0</v>
      </c>
      <c r="CP104" s="36">
        <f t="shared" si="100"/>
        <v>0</v>
      </c>
      <c r="CQ104" s="36">
        <f t="shared" si="100"/>
        <v>0</v>
      </c>
      <c r="CR104" s="36">
        <f t="shared" si="100"/>
        <v>0</v>
      </c>
      <c r="CS104" s="36">
        <f t="shared" si="100"/>
        <v>0</v>
      </c>
      <c r="CT104" s="36">
        <f t="shared" si="100"/>
        <v>0</v>
      </c>
      <c r="CU104" s="36">
        <f t="shared" si="100"/>
        <v>0</v>
      </c>
      <c r="CV104" s="36">
        <f t="shared" si="100"/>
        <v>0</v>
      </c>
      <c r="CW104" s="36">
        <f t="shared" si="100"/>
        <v>0</v>
      </c>
      <c r="CX104" s="36">
        <f t="shared" si="100"/>
        <v>0</v>
      </c>
      <c r="CY104" s="36">
        <f t="shared" si="101"/>
        <v>0</v>
      </c>
      <c r="CZ104" s="36">
        <f t="shared" si="101"/>
        <v>0</v>
      </c>
      <c r="DA104" s="36">
        <f t="shared" si="101"/>
        <v>0</v>
      </c>
      <c r="DB104" s="36">
        <f t="shared" si="101"/>
        <v>0</v>
      </c>
      <c r="DC104" s="36">
        <f t="shared" si="101"/>
        <v>0</v>
      </c>
      <c r="DD104" s="36">
        <f t="shared" si="101"/>
        <v>0</v>
      </c>
      <c r="DE104" s="36">
        <f t="shared" si="101"/>
        <v>0</v>
      </c>
      <c r="DF104" s="36">
        <f t="shared" si="101"/>
        <v>0</v>
      </c>
      <c r="DG104" s="36">
        <f t="shared" si="101"/>
        <v>0</v>
      </c>
      <c r="DH104" s="36">
        <f t="shared" si="101"/>
        <v>0</v>
      </c>
      <c r="DI104" s="36">
        <f t="shared" si="101"/>
        <v>0</v>
      </c>
      <c r="DJ104" s="36">
        <f t="shared" si="101"/>
        <v>0</v>
      </c>
      <c r="DK104" s="36">
        <f t="shared" si="101"/>
        <v>0</v>
      </c>
      <c r="DL104" s="36">
        <f t="shared" si="101"/>
        <v>0</v>
      </c>
      <c r="DM104" s="36">
        <f t="shared" si="102"/>
        <v>0</v>
      </c>
      <c r="DN104" s="36">
        <f t="shared" si="102"/>
        <v>0</v>
      </c>
      <c r="DO104" s="36">
        <f t="shared" si="102"/>
        <v>0</v>
      </c>
      <c r="DP104" s="36">
        <f t="shared" si="102"/>
        <v>0</v>
      </c>
      <c r="DQ104" s="36">
        <f t="shared" si="102"/>
        <v>0</v>
      </c>
      <c r="DR104" s="36">
        <f t="shared" si="102"/>
        <v>0</v>
      </c>
      <c r="DS104" s="36">
        <f t="shared" si="102"/>
        <v>0</v>
      </c>
      <c r="DT104" s="36">
        <f t="shared" si="102"/>
        <v>0</v>
      </c>
      <c r="DU104" s="36">
        <f t="shared" si="102"/>
        <v>0</v>
      </c>
      <c r="DV104" s="36">
        <f t="shared" si="102"/>
        <v>0</v>
      </c>
    </row>
    <row r="105" spans="2:126" outlineLevel="1">
      <c r="B105" s="3" t="str">
        <f t="shared" si="93"/>
        <v>Property O</v>
      </c>
      <c r="C105" s="50">
        <f>CaseData!D24</f>
        <v>5406720</v>
      </c>
      <c r="D105" s="14">
        <f t="shared" si="94"/>
        <v>43</v>
      </c>
      <c r="E105" s="35" t="s">
        <v>0</v>
      </c>
      <c r="F105" s="35"/>
      <c r="G105" s="36">
        <f t="shared" si="95"/>
        <v>0</v>
      </c>
      <c r="H105" s="36">
        <f t="shared" si="95"/>
        <v>0</v>
      </c>
      <c r="I105" s="36">
        <f t="shared" si="95"/>
        <v>0</v>
      </c>
      <c r="J105" s="36">
        <f t="shared" si="95"/>
        <v>0</v>
      </c>
      <c r="K105" s="36">
        <f t="shared" si="95"/>
        <v>0</v>
      </c>
      <c r="L105" s="36">
        <f t="shared" si="95"/>
        <v>0</v>
      </c>
      <c r="M105" s="36">
        <f t="shared" si="95"/>
        <v>0</v>
      </c>
      <c r="N105" s="36">
        <f t="shared" si="95"/>
        <v>0</v>
      </c>
      <c r="O105" s="36">
        <f t="shared" si="95"/>
        <v>0</v>
      </c>
      <c r="P105" s="36">
        <f t="shared" si="95"/>
        <v>0</v>
      </c>
      <c r="Q105" s="36">
        <f t="shared" si="95"/>
        <v>0</v>
      </c>
      <c r="R105" s="36">
        <f t="shared" si="95"/>
        <v>0</v>
      </c>
      <c r="S105" s="36">
        <f t="shared" si="95"/>
        <v>0</v>
      </c>
      <c r="T105" s="36">
        <f t="shared" si="95"/>
        <v>0</v>
      </c>
      <c r="U105" s="36">
        <f t="shared" si="95"/>
        <v>0</v>
      </c>
      <c r="V105" s="36">
        <f t="shared" si="95"/>
        <v>0</v>
      </c>
      <c r="W105" s="36">
        <f t="shared" si="96"/>
        <v>0</v>
      </c>
      <c r="X105" s="36">
        <f t="shared" si="96"/>
        <v>0</v>
      </c>
      <c r="Y105" s="36">
        <f t="shared" si="96"/>
        <v>0</v>
      </c>
      <c r="Z105" s="36">
        <f t="shared" si="96"/>
        <v>0</v>
      </c>
      <c r="AA105" s="36">
        <f t="shared" si="96"/>
        <v>0</v>
      </c>
      <c r="AB105" s="36">
        <f t="shared" si="96"/>
        <v>0</v>
      </c>
      <c r="AC105" s="36">
        <f t="shared" si="96"/>
        <v>0</v>
      </c>
      <c r="AD105" s="36">
        <f t="shared" si="96"/>
        <v>0</v>
      </c>
      <c r="AE105" s="36">
        <f t="shared" si="96"/>
        <v>0</v>
      </c>
      <c r="AF105" s="36">
        <f t="shared" si="96"/>
        <v>0</v>
      </c>
      <c r="AG105" s="36">
        <f t="shared" si="96"/>
        <v>0</v>
      </c>
      <c r="AH105" s="36">
        <f t="shared" si="96"/>
        <v>0</v>
      </c>
      <c r="AI105" s="36">
        <f t="shared" si="96"/>
        <v>0</v>
      </c>
      <c r="AJ105" s="36">
        <f t="shared" si="96"/>
        <v>0</v>
      </c>
      <c r="AK105" s="36">
        <f t="shared" si="96"/>
        <v>0</v>
      </c>
      <c r="AL105" s="36">
        <f t="shared" si="96"/>
        <v>0</v>
      </c>
      <c r="AM105" s="36">
        <f t="shared" si="97"/>
        <v>0</v>
      </c>
      <c r="AN105" s="36">
        <f t="shared" si="97"/>
        <v>0</v>
      </c>
      <c r="AO105" s="36">
        <f t="shared" si="97"/>
        <v>0</v>
      </c>
      <c r="AP105" s="36">
        <f t="shared" si="97"/>
        <v>0</v>
      </c>
      <c r="AQ105" s="36">
        <f t="shared" si="97"/>
        <v>0</v>
      </c>
      <c r="AR105" s="36">
        <f t="shared" si="97"/>
        <v>0</v>
      </c>
      <c r="AS105" s="36">
        <f t="shared" si="97"/>
        <v>0</v>
      </c>
      <c r="AT105" s="36">
        <f t="shared" si="97"/>
        <v>0</v>
      </c>
      <c r="AU105" s="36">
        <f t="shared" si="97"/>
        <v>0</v>
      </c>
      <c r="AV105" s="36">
        <f t="shared" si="97"/>
        <v>0</v>
      </c>
      <c r="AW105" s="36">
        <f t="shared" si="97"/>
        <v>6385768.3169279993</v>
      </c>
      <c r="AX105" s="36">
        <f t="shared" si="97"/>
        <v>0</v>
      </c>
      <c r="AY105" s="36">
        <f t="shared" si="97"/>
        <v>0</v>
      </c>
      <c r="AZ105" s="36">
        <f t="shared" si="97"/>
        <v>0</v>
      </c>
      <c r="BA105" s="36">
        <f t="shared" si="97"/>
        <v>0</v>
      </c>
      <c r="BB105" s="36">
        <f t="shared" si="97"/>
        <v>0</v>
      </c>
      <c r="BC105" s="36">
        <f t="shared" si="98"/>
        <v>0</v>
      </c>
      <c r="BD105" s="36">
        <f t="shared" si="98"/>
        <v>0</v>
      </c>
      <c r="BE105" s="36">
        <f t="shared" si="98"/>
        <v>0</v>
      </c>
      <c r="BF105" s="36">
        <f t="shared" si="98"/>
        <v>0</v>
      </c>
      <c r="BG105" s="36">
        <f t="shared" si="98"/>
        <v>0</v>
      </c>
      <c r="BH105" s="36">
        <f t="shared" si="98"/>
        <v>0</v>
      </c>
      <c r="BI105" s="36">
        <f t="shared" si="98"/>
        <v>0</v>
      </c>
      <c r="BJ105" s="36">
        <f t="shared" si="98"/>
        <v>0</v>
      </c>
      <c r="BK105" s="36">
        <f t="shared" si="98"/>
        <v>0</v>
      </c>
      <c r="BL105" s="36">
        <f t="shared" si="98"/>
        <v>0</v>
      </c>
      <c r="BM105" s="36">
        <f t="shared" si="98"/>
        <v>0</v>
      </c>
      <c r="BN105" s="36">
        <f t="shared" si="98"/>
        <v>0</v>
      </c>
      <c r="BO105" s="36">
        <f t="shared" si="98"/>
        <v>0</v>
      </c>
      <c r="BP105" s="36">
        <f t="shared" si="98"/>
        <v>0</v>
      </c>
      <c r="BQ105" s="36">
        <f t="shared" si="98"/>
        <v>0</v>
      </c>
      <c r="BR105" s="36">
        <f t="shared" si="98"/>
        <v>0</v>
      </c>
      <c r="BS105" s="36">
        <f t="shared" si="99"/>
        <v>0</v>
      </c>
      <c r="BT105" s="36">
        <f t="shared" si="99"/>
        <v>0</v>
      </c>
      <c r="BU105" s="36">
        <f t="shared" si="99"/>
        <v>0</v>
      </c>
      <c r="BV105" s="36">
        <f t="shared" si="99"/>
        <v>0</v>
      </c>
      <c r="BW105" s="36">
        <f t="shared" si="99"/>
        <v>0</v>
      </c>
      <c r="BX105" s="36">
        <f t="shared" si="99"/>
        <v>0</v>
      </c>
      <c r="BY105" s="36">
        <f t="shared" si="99"/>
        <v>0</v>
      </c>
      <c r="BZ105" s="36">
        <f t="shared" si="99"/>
        <v>0</v>
      </c>
      <c r="CA105" s="36">
        <f t="shared" si="99"/>
        <v>0</v>
      </c>
      <c r="CB105" s="36">
        <f t="shared" si="99"/>
        <v>0</v>
      </c>
      <c r="CC105" s="36">
        <f t="shared" si="99"/>
        <v>0</v>
      </c>
      <c r="CD105" s="36">
        <f t="shared" si="99"/>
        <v>0</v>
      </c>
      <c r="CE105" s="36">
        <f t="shared" si="99"/>
        <v>0</v>
      </c>
      <c r="CF105" s="36">
        <f t="shared" si="99"/>
        <v>0</v>
      </c>
      <c r="CG105" s="36">
        <f t="shared" si="99"/>
        <v>0</v>
      </c>
      <c r="CH105" s="36">
        <f t="shared" si="99"/>
        <v>0</v>
      </c>
      <c r="CI105" s="36">
        <f t="shared" si="100"/>
        <v>0</v>
      </c>
      <c r="CJ105" s="36">
        <f t="shared" si="100"/>
        <v>0</v>
      </c>
      <c r="CK105" s="36">
        <f t="shared" si="100"/>
        <v>0</v>
      </c>
      <c r="CL105" s="36">
        <f t="shared" si="100"/>
        <v>0</v>
      </c>
      <c r="CM105" s="36">
        <f t="shared" si="100"/>
        <v>0</v>
      </c>
      <c r="CN105" s="36">
        <f t="shared" si="100"/>
        <v>0</v>
      </c>
      <c r="CO105" s="36">
        <f t="shared" si="100"/>
        <v>0</v>
      </c>
      <c r="CP105" s="36">
        <f t="shared" si="100"/>
        <v>0</v>
      </c>
      <c r="CQ105" s="36">
        <f t="shared" si="100"/>
        <v>0</v>
      </c>
      <c r="CR105" s="36">
        <f t="shared" si="100"/>
        <v>0</v>
      </c>
      <c r="CS105" s="36">
        <f t="shared" si="100"/>
        <v>0</v>
      </c>
      <c r="CT105" s="36">
        <f t="shared" si="100"/>
        <v>0</v>
      </c>
      <c r="CU105" s="36">
        <f t="shared" si="100"/>
        <v>0</v>
      </c>
      <c r="CV105" s="36">
        <f t="shared" si="100"/>
        <v>0</v>
      </c>
      <c r="CW105" s="36">
        <f t="shared" si="100"/>
        <v>0</v>
      </c>
      <c r="CX105" s="36">
        <f t="shared" si="100"/>
        <v>0</v>
      </c>
      <c r="CY105" s="36">
        <f t="shared" si="101"/>
        <v>0</v>
      </c>
      <c r="CZ105" s="36">
        <f t="shared" si="101"/>
        <v>0</v>
      </c>
      <c r="DA105" s="36">
        <f t="shared" si="101"/>
        <v>0</v>
      </c>
      <c r="DB105" s="36">
        <f t="shared" si="101"/>
        <v>0</v>
      </c>
      <c r="DC105" s="36">
        <f t="shared" si="101"/>
        <v>0</v>
      </c>
      <c r="DD105" s="36">
        <f t="shared" si="101"/>
        <v>0</v>
      </c>
      <c r="DE105" s="36">
        <f t="shared" si="101"/>
        <v>0</v>
      </c>
      <c r="DF105" s="36">
        <f t="shared" si="101"/>
        <v>0</v>
      </c>
      <c r="DG105" s="36">
        <f t="shared" si="101"/>
        <v>0</v>
      </c>
      <c r="DH105" s="36">
        <f t="shared" si="101"/>
        <v>0</v>
      </c>
      <c r="DI105" s="36">
        <f t="shared" si="101"/>
        <v>0</v>
      </c>
      <c r="DJ105" s="36">
        <f t="shared" si="101"/>
        <v>0</v>
      </c>
      <c r="DK105" s="36">
        <f t="shared" si="101"/>
        <v>0</v>
      </c>
      <c r="DL105" s="36">
        <f t="shared" si="101"/>
        <v>0</v>
      </c>
      <c r="DM105" s="36">
        <f t="shared" si="102"/>
        <v>0</v>
      </c>
      <c r="DN105" s="36">
        <f t="shared" si="102"/>
        <v>0</v>
      </c>
      <c r="DO105" s="36">
        <f t="shared" si="102"/>
        <v>0</v>
      </c>
      <c r="DP105" s="36">
        <f t="shared" si="102"/>
        <v>0</v>
      </c>
      <c r="DQ105" s="36">
        <f t="shared" si="102"/>
        <v>0</v>
      </c>
      <c r="DR105" s="36">
        <f t="shared" si="102"/>
        <v>0</v>
      </c>
      <c r="DS105" s="36">
        <f t="shared" si="102"/>
        <v>0</v>
      </c>
      <c r="DT105" s="36">
        <f t="shared" si="102"/>
        <v>0</v>
      </c>
      <c r="DU105" s="36">
        <f t="shared" si="102"/>
        <v>0</v>
      </c>
      <c r="DV105" s="36">
        <f t="shared" si="102"/>
        <v>0</v>
      </c>
    </row>
    <row r="106" spans="2:126" outlineLevel="1">
      <c r="B106" s="3"/>
      <c r="C106" s="2"/>
      <c r="D106" s="2"/>
      <c r="E106" s="35"/>
      <c r="F106" s="35"/>
      <c r="G106" s="2"/>
      <c r="H106" s="2"/>
      <c r="I106" s="3"/>
      <c r="J106" s="3"/>
      <c r="K106" s="2"/>
    </row>
    <row r="107" spans="2:126" outlineLevel="1">
      <c r="B107" s="3"/>
      <c r="C107" s="2"/>
      <c r="D107" s="2"/>
      <c r="E107" s="35"/>
      <c r="F107" s="35"/>
      <c r="G107" s="2"/>
      <c r="H107" s="2"/>
      <c r="I107" s="3"/>
      <c r="J107" s="3"/>
      <c r="K107" s="2"/>
    </row>
    <row r="108" spans="2:126">
      <c r="B108" s="1" t="s">
        <v>73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</row>
    <row r="109" spans="2:126" outlineLevel="1">
      <c r="B109" s="3"/>
      <c r="C109" s="2"/>
      <c r="D109" s="2"/>
      <c r="E109" s="35"/>
      <c r="F109" s="35"/>
      <c r="G109" s="2"/>
      <c r="H109" s="2"/>
      <c r="I109" s="3"/>
      <c r="J109" s="3"/>
      <c r="K109" s="2"/>
    </row>
    <row r="110" spans="2:126" outlineLevel="1">
      <c r="B110" s="6" t="s">
        <v>74</v>
      </c>
      <c r="C110" s="6" t="s">
        <v>75</v>
      </c>
      <c r="D110" s="6"/>
      <c r="E110" s="41" t="s">
        <v>0</v>
      </c>
      <c r="F110" s="35"/>
      <c r="G110" s="42">
        <f t="shared" ref="G110:BR110" si="103">SUBTOTAL(9,G111:G120)</f>
        <v>0</v>
      </c>
      <c r="H110" s="42">
        <f t="shared" si="103"/>
        <v>0</v>
      </c>
      <c r="I110" s="42">
        <f t="shared" si="103"/>
        <v>0</v>
      </c>
      <c r="J110" s="42">
        <f t="shared" si="103"/>
        <v>0</v>
      </c>
      <c r="K110" s="42">
        <f t="shared" si="103"/>
        <v>948007.125</v>
      </c>
      <c r="L110" s="42">
        <f t="shared" si="103"/>
        <v>1053341.25</v>
      </c>
      <c r="M110" s="42">
        <f t="shared" si="103"/>
        <v>1264009.5</v>
      </c>
      <c r="N110" s="42">
        <f t="shared" si="103"/>
        <v>1474677.7500000002</v>
      </c>
      <c r="O110" s="42">
        <f t="shared" si="103"/>
        <v>2321317.5</v>
      </c>
      <c r="P110" s="42">
        <f t="shared" si="103"/>
        <v>3936850.75</v>
      </c>
      <c r="Q110" s="42">
        <f t="shared" si="103"/>
        <v>5097509.5</v>
      </c>
      <c r="R110" s="42">
        <f t="shared" si="103"/>
        <v>7117610.25</v>
      </c>
      <c r="S110" s="42">
        <f t="shared" si="103"/>
        <v>7856932.5</v>
      </c>
      <c r="T110" s="42">
        <f t="shared" si="103"/>
        <v>8711956.75</v>
      </c>
      <c r="U110" s="42">
        <f t="shared" si="103"/>
        <v>10392141.875</v>
      </c>
      <c r="V110" s="42">
        <f t="shared" si="103"/>
        <v>10623545.875</v>
      </c>
      <c r="W110" s="42">
        <f t="shared" si="103"/>
        <v>11989445.5</v>
      </c>
      <c r="X110" s="42">
        <f t="shared" si="103"/>
        <v>14120368.225</v>
      </c>
      <c r="Y110" s="42">
        <f t="shared" si="103"/>
        <v>13395831.6</v>
      </c>
      <c r="Z110" s="42">
        <f t="shared" si="103"/>
        <v>9469337.4499999993</v>
      </c>
      <c r="AA110" s="42">
        <f t="shared" si="103"/>
        <v>7836476.5749999993</v>
      </c>
      <c r="AB110" s="42">
        <f t="shared" si="103"/>
        <v>8805636.112499997</v>
      </c>
      <c r="AC110" s="42">
        <f t="shared" si="103"/>
        <v>9814798.0687499978</v>
      </c>
      <c r="AD110" s="42">
        <f t="shared" si="103"/>
        <v>10070709.049999999</v>
      </c>
      <c r="AE110" s="42">
        <f t="shared" si="103"/>
        <v>10820726.406249998</v>
      </c>
      <c r="AF110" s="42">
        <f t="shared" si="103"/>
        <v>10093375.387499999</v>
      </c>
      <c r="AG110" s="42">
        <f t="shared" si="103"/>
        <v>11297496.699999999</v>
      </c>
      <c r="AH110" s="42">
        <f t="shared" si="103"/>
        <v>13171659.359375</v>
      </c>
      <c r="AI110" s="42">
        <f t="shared" si="103"/>
        <v>14375780.671874998</v>
      </c>
      <c r="AJ110" s="42">
        <f t="shared" si="103"/>
        <v>15914922.657812499</v>
      </c>
      <c r="AK110" s="42">
        <f t="shared" si="103"/>
        <v>15843834.74375</v>
      </c>
      <c r="AL110" s="42">
        <f t="shared" si="103"/>
        <v>14049514.331249999</v>
      </c>
      <c r="AM110" s="42">
        <f t="shared" si="103"/>
        <v>9212812.4296875</v>
      </c>
      <c r="AN110" s="42">
        <f t="shared" si="103"/>
        <v>4972563.9987500003</v>
      </c>
      <c r="AO110" s="42">
        <f t="shared" si="103"/>
        <v>4412117.8107812498</v>
      </c>
      <c r="AP110" s="42">
        <f t="shared" si="103"/>
        <v>3255763.4265624993</v>
      </c>
      <c r="AQ110" s="42">
        <f t="shared" si="103"/>
        <v>3715348.0385937495</v>
      </c>
      <c r="AR110" s="42">
        <f t="shared" si="103"/>
        <v>4424060.5278124996</v>
      </c>
      <c r="AS110" s="42">
        <f t="shared" si="103"/>
        <v>5008209.0784374997</v>
      </c>
      <c r="AT110" s="42">
        <f t="shared" si="103"/>
        <v>5841485.5062499996</v>
      </c>
      <c r="AU110" s="42">
        <f t="shared" si="103"/>
        <v>6674761.9340624996</v>
      </c>
      <c r="AV110" s="42">
        <f t="shared" si="103"/>
        <v>8176816.5160468742</v>
      </c>
      <c r="AW110" s="42">
        <f t="shared" si="103"/>
        <v>9345113.6172968745</v>
      </c>
      <c r="AX110" s="42">
        <f t="shared" si="103"/>
        <v>10847799.795632811</v>
      </c>
      <c r="AY110" s="42">
        <f t="shared" si="103"/>
        <v>11182188.872718748</v>
      </c>
      <c r="AZ110" s="42">
        <f t="shared" si="103"/>
        <v>11182188.872718748</v>
      </c>
      <c r="BA110" s="42">
        <f t="shared" si="103"/>
        <v>11516577.949804686</v>
      </c>
      <c r="BB110" s="42">
        <f t="shared" si="103"/>
        <v>11256885.237140622</v>
      </c>
      <c r="BC110" s="42">
        <f t="shared" si="103"/>
        <v>10088588.135890624</v>
      </c>
      <c r="BD110" s="42">
        <f t="shared" si="103"/>
        <v>7253738.1790156234</v>
      </c>
      <c r="BE110" s="42">
        <f t="shared" si="103"/>
        <v>4167114.4246874992</v>
      </c>
      <c r="BF110" s="42">
        <f t="shared" si="103"/>
        <v>4501503.5017734366</v>
      </c>
      <c r="BG110" s="42">
        <f t="shared" si="103"/>
        <v>4835892.5788593739</v>
      </c>
      <c r="BH110" s="42">
        <f t="shared" si="103"/>
        <v>5170281.6559453113</v>
      </c>
      <c r="BI110" s="42">
        <f t="shared" si="103"/>
        <v>6250671.6370312488</v>
      </c>
      <c r="BJ110" s="42">
        <f t="shared" si="103"/>
        <v>6919449.7912031244</v>
      </c>
      <c r="BK110" s="42">
        <f t="shared" si="103"/>
        <v>7588227.9453749992</v>
      </c>
      <c r="BL110" s="42">
        <f t="shared" si="103"/>
        <v>8334228.8493749984</v>
      </c>
      <c r="BM110" s="42">
        <f t="shared" si="103"/>
        <v>8334228.8493749984</v>
      </c>
      <c r="BN110" s="42">
        <f t="shared" si="103"/>
        <v>9080229.7533749975</v>
      </c>
      <c r="BO110" s="42">
        <f t="shared" si="103"/>
        <v>8411451.5992031246</v>
      </c>
      <c r="BP110" s="42">
        <f t="shared" si="103"/>
        <v>8488674.3490312491</v>
      </c>
      <c r="BQ110" s="42">
        <f t="shared" si="103"/>
        <v>7151118.0406874996</v>
      </c>
      <c r="BR110" s="42">
        <f t="shared" si="103"/>
        <v>5222006.3279999997</v>
      </c>
      <c r="BS110" s="42">
        <f t="shared" ref="BS110:DV110" si="104">SUBTOTAL(9,BS111:BS120)</f>
        <v>5222006.3279999997</v>
      </c>
      <c r="BT110" s="42">
        <f t="shared" si="104"/>
        <v>5968007.2319999998</v>
      </c>
      <c r="BU110" s="42">
        <f t="shared" si="104"/>
        <v>5968007.2319999998</v>
      </c>
      <c r="BV110" s="42">
        <f t="shared" si="104"/>
        <v>5968007.2319999998</v>
      </c>
      <c r="BW110" s="42">
        <f t="shared" si="104"/>
        <v>4476005.4239999996</v>
      </c>
      <c r="BX110" s="42">
        <f t="shared" si="104"/>
        <v>2984003.6159999999</v>
      </c>
      <c r="BY110" s="42">
        <f t="shared" si="104"/>
        <v>1492001.808</v>
      </c>
      <c r="BZ110" s="42">
        <f t="shared" si="104"/>
        <v>0</v>
      </c>
      <c r="CA110" s="42">
        <f t="shared" si="104"/>
        <v>0</v>
      </c>
      <c r="CB110" s="42">
        <f t="shared" si="104"/>
        <v>0</v>
      </c>
      <c r="CC110" s="42">
        <f t="shared" si="104"/>
        <v>0</v>
      </c>
      <c r="CD110" s="42">
        <f t="shared" si="104"/>
        <v>0</v>
      </c>
      <c r="CE110" s="42">
        <f t="shared" si="104"/>
        <v>0</v>
      </c>
      <c r="CF110" s="42">
        <f t="shared" si="104"/>
        <v>0</v>
      </c>
      <c r="CG110" s="42">
        <f t="shared" si="104"/>
        <v>0</v>
      </c>
      <c r="CH110" s="42">
        <f t="shared" si="104"/>
        <v>0</v>
      </c>
      <c r="CI110" s="42">
        <f t="shared" si="104"/>
        <v>0</v>
      </c>
      <c r="CJ110" s="42">
        <f t="shared" si="104"/>
        <v>0</v>
      </c>
      <c r="CK110" s="42">
        <f t="shared" si="104"/>
        <v>0</v>
      </c>
      <c r="CL110" s="42">
        <f t="shared" si="104"/>
        <v>0</v>
      </c>
      <c r="CM110" s="42">
        <f t="shared" si="104"/>
        <v>0</v>
      </c>
      <c r="CN110" s="42">
        <f t="shared" si="104"/>
        <v>0</v>
      </c>
      <c r="CO110" s="42">
        <f t="shared" si="104"/>
        <v>0</v>
      </c>
      <c r="CP110" s="42">
        <f t="shared" si="104"/>
        <v>0</v>
      </c>
      <c r="CQ110" s="42">
        <f t="shared" si="104"/>
        <v>0</v>
      </c>
      <c r="CR110" s="42">
        <f t="shared" si="104"/>
        <v>0</v>
      </c>
      <c r="CS110" s="42">
        <f t="shared" si="104"/>
        <v>0</v>
      </c>
      <c r="CT110" s="42">
        <f t="shared" si="104"/>
        <v>0</v>
      </c>
      <c r="CU110" s="42">
        <f t="shared" si="104"/>
        <v>0</v>
      </c>
      <c r="CV110" s="42">
        <f t="shared" si="104"/>
        <v>0</v>
      </c>
      <c r="CW110" s="42">
        <f t="shared" si="104"/>
        <v>0</v>
      </c>
      <c r="CX110" s="42">
        <f t="shared" si="104"/>
        <v>0</v>
      </c>
      <c r="CY110" s="42">
        <f t="shared" si="104"/>
        <v>0</v>
      </c>
      <c r="CZ110" s="42">
        <f t="shared" si="104"/>
        <v>0</v>
      </c>
      <c r="DA110" s="42">
        <f t="shared" si="104"/>
        <v>0</v>
      </c>
      <c r="DB110" s="42">
        <f t="shared" si="104"/>
        <v>0</v>
      </c>
      <c r="DC110" s="42">
        <f t="shared" si="104"/>
        <v>0</v>
      </c>
      <c r="DD110" s="42">
        <f t="shared" si="104"/>
        <v>0</v>
      </c>
      <c r="DE110" s="42">
        <f t="shared" si="104"/>
        <v>0</v>
      </c>
      <c r="DF110" s="42">
        <f t="shared" si="104"/>
        <v>0</v>
      </c>
      <c r="DG110" s="42">
        <f t="shared" si="104"/>
        <v>0</v>
      </c>
      <c r="DH110" s="42">
        <f t="shared" si="104"/>
        <v>0</v>
      </c>
      <c r="DI110" s="42">
        <f t="shared" si="104"/>
        <v>0</v>
      </c>
      <c r="DJ110" s="42">
        <f t="shared" si="104"/>
        <v>0</v>
      </c>
      <c r="DK110" s="42">
        <f t="shared" si="104"/>
        <v>0</v>
      </c>
      <c r="DL110" s="42">
        <f t="shared" si="104"/>
        <v>0</v>
      </c>
      <c r="DM110" s="42">
        <f t="shared" si="104"/>
        <v>0</v>
      </c>
      <c r="DN110" s="42">
        <f t="shared" si="104"/>
        <v>0</v>
      </c>
      <c r="DO110" s="42">
        <f t="shared" si="104"/>
        <v>0</v>
      </c>
      <c r="DP110" s="42">
        <f t="shared" si="104"/>
        <v>0</v>
      </c>
      <c r="DQ110" s="42">
        <f t="shared" si="104"/>
        <v>0</v>
      </c>
      <c r="DR110" s="42">
        <f t="shared" si="104"/>
        <v>0</v>
      </c>
      <c r="DS110" s="42">
        <f t="shared" si="104"/>
        <v>0</v>
      </c>
      <c r="DT110" s="42">
        <f t="shared" si="104"/>
        <v>0</v>
      </c>
      <c r="DU110" s="42">
        <f t="shared" si="104"/>
        <v>0</v>
      </c>
      <c r="DV110" s="42">
        <f t="shared" si="104"/>
        <v>0</v>
      </c>
    </row>
    <row r="111" spans="2:126" outlineLevel="1">
      <c r="B111" s="3" t="str">
        <f t="shared" ref="B111:B120" si="105">B96</f>
        <v>Property F</v>
      </c>
      <c r="C111" s="51">
        <f t="shared" ref="C111:C120" si="106">M127</f>
        <v>42133650</v>
      </c>
      <c r="D111" s="14"/>
      <c r="E111" s="35" t="s">
        <v>0</v>
      </c>
      <c r="F111" s="35"/>
      <c r="G111" s="36">
        <f t="shared" ref="G111:BR114" si="107">$C111*G166</f>
        <v>0</v>
      </c>
      <c r="H111" s="36">
        <f t="shared" si="107"/>
        <v>0</v>
      </c>
      <c r="I111" s="36">
        <f t="shared" si="107"/>
        <v>0</v>
      </c>
      <c r="J111" s="36">
        <f t="shared" si="107"/>
        <v>0</v>
      </c>
      <c r="K111" s="36">
        <f t="shared" si="107"/>
        <v>948007.125</v>
      </c>
      <c r="L111" s="36">
        <f t="shared" si="107"/>
        <v>1053341.25</v>
      </c>
      <c r="M111" s="36">
        <f t="shared" si="107"/>
        <v>1264009.5</v>
      </c>
      <c r="N111" s="36">
        <f t="shared" si="107"/>
        <v>1474677.7500000002</v>
      </c>
      <c r="O111" s="36">
        <f t="shared" si="107"/>
        <v>1685346</v>
      </c>
      <c r="P111" s="36">
        <f t="shared" si="107"/>
        <v>2106682.5</v>
      </c>
      <c r="Q111" s="36">
        <f t="shared" si="107"/>
        <v>2949355.5000000005</v>
      </c>
      <c r="R111" s="36">
        <f t="shared" si="107"/>
        <v>4213365</v>
      </c>
      <c r="S111" s="36">
        <f t="shared" si="107"/>
        <v>4634701.5</v>
      </c>
      <c r="T111" s="36">
        <f t="shared" si="107"/>
        <v>4634701.5</v>
      </c>
      <c r="U111" s="36">
        <f t="shared" si="107"/>
        <v>4634701.5</v>
      </c>
      <c r="V111" s="36">
        <f t="shared" si="107"/>
        <v>3792028.5</v>
      </c>
      <c r="W111" s="36">
        <f t="shared" si="107"/>
        <v>3370692</v>
      </c>
      <c r="X111" s="36">
        <f t="shared" si="107"/>
        <v>2949355.5000000005</v>
      </c>
      <c r="Y111" s="36">
        <f t="shared" si="107"/>
        <v>2422684.875</v>
      </c>
      <c r="Z111" s="36">
        <f t="shared" si="107"/>
        <v>0</v>
      </c>
      <c r="AA111" s="36">
        <f t="shared" si="107"/>
        <v>0</v>
      </c>
      <c r="AB111" s="36">
        <f t="shared" si="107"/>
        <v>0</v>
      </c>
      <c r="AC111" s="36">
        <f t="shared" si="107"/>
        <v>0</v>
      </c>
      <c r="AD111" s="36">
        <f t="shared" si="107"/>
        <v>0</v>
      </c>
      <c r="AE111" s="36">
        <f t="shared" si="107"/>
        <v>0</v>
      </c>
      <c r="AF111" s="36">
        <f t="shared" si="107"/>
        <v>0</v>
      </c>
      <c r="AG111" s="36">
        <f t="shared" si="107"/>
        <v>0</v>
      </c>
      <c r="AH111" s="36">
        <f t="shared" si="107"/>
        <v>0</v>
      </c>
      <c r="AI111" s="36">
        <f t="shared" si="107"/>
        <v>0</v>
      </c>
      <c r="AJ111" s="36">
        <f t="shared" si="107"/>
        <v>0</v>
      </c>
      <c r="AK111" s="36">
        <f t="shared" si="107"/>
        <v>0</v>
      </c>
      <c r="AL111" s="36">
        <f t="shared" si="107"/>
        <v>0</v>
      </c>
      <c r="AM111" s="36">
        <f t="shared" si="107"/>
        <v>0</v>
      </c>
      <c r="AN111" s="36">
        <f t="shared" si="107"/>
        <v>0</v>
      </c>
      <c r="AO111" s="36">
        <f t="shared" si="107"/>
        <v>0</v>
      </c>
      <c r="AP111" s="36">
        <f t="shared" si="107"/>
        <v>0</v>
      </c>
      <c r="AQ111" s="36">
        <f t="shared" si="107"/>
        <v>0</v>
      </c>
      <c r="AR111" s="36">
        <f t="shared" si="107"/>
        <v>0</v>
      </c>
      <c r="AS111" s="36">
        <f t="shared" si="107"/>
        <v>0</v>
      </c>
      <c r="AT111" s="36">
        <f t="shared" si="107"/>
        <v>0</v>
      </c>
      <c r="AU111" s="36">
        <f t="shared" si="107"/>
        <v>0</v>
      </c>
      <c r="AV111" s="36">
        <f t="shared" si="107"/>
        <v>0</v>
      </c>
      <c r="AW111" s="36">
        <f t="shared" si="107"/>
        <v>0</v>
      </c>
      <c r="AX111" s="36">
        <f t="shared" si="107"/>
        <v>0</v>
      </c>
      <c r="AY111" s="36">
        <f t="shared" si="107"/>
        <v>0</v>
      </c>
      <c r="AZ111" s="36">
        <f t="shared" si="107"/>
        <v>0</v>
      </c>
      <c r="BA111" s="36">
        <f t="shared" si="107"/>
        <v>0</v>
      </c>
      <c r="BB111" s="36">
        <f t="shared" si="107"/>
        <v>0</v>
      </c>
      <c r="BC111" s="36">
        <f t="shared" si="107"/>
        <v>0</v>
      </c>
      <c r="BD111" s="36">
        <f t="shared" si="107"/>
        <v>0</v>
      </c>
      <c r="BE111" s="36">
        <f t="shared" si="107"/>
        <v>0</v>
      </c>
      <c r="BF111" s="36">
        <f t="shared" si="107"/>
        <v>0</v>
      </c>
      <c r="BG111" s="36">
        <f t="shared" si="107"/>
        <v>0</v>
      </c>
      <c r="BH111" s="36">
        <f t="shared" si="107"/>
        <v>0</v>
      </c>
      <c r="BI111" s="36">
        <f t="shared" si="107"/>
        <v>0</v>
      </c>
      <c r="BJ111" s="36">
        <f t="shared" si="107"/>
        <v>0</v>
      </c>
      <c r="BK111" s="36">
        <f t="shared" si="107"/>
        <v>0</v>
      </c>
      <c r="BL111" s="36">
        <f t="shared" si="107"/>
        <v>0</v>
      </c>
      <c r="BM111" s="36">
        <f t="shared" si="107"/>
        <v>0</v>
      </c>
      <c r="BN111" s="36">
        <f t="shared" si="107"/>
        <v>0</v>
      </c>
      <c r="BO111" s="36">
        <f t="shared" si="107"/>
        <v>0</v>
      </c>
      <c r="BP111" s="36">
        <f t="shared" si="107"/>
        <v>0</v>
      </c>
      <c r="BQ111" s="36">
        <f t="shared" si="107"/>
        <v>0</v>
      </c>
      <c r="BR111" s="36">
        <f t="shared" si="107"/>
        <v>0</v>
      </c>
      <c r="BS111" s="36">
        <f t="shared" ref="BS111:DV115" si="108">$C111*BS166</f>
        <v>0</v>
      </c>
      <c r="BT111" s="36">
        <f t="shared" si="108"/>
        <v>0</v>
      </c>
      <c r="BU111" s="36">
        <f t="shared" si="108"/>
        <v>0</v>
      </c>
      <c r="BV111" s="36">
        <f t="shared" si="108"/>
        <v>0</v>
      </c>
      <c r="BW111" s="36">
        <f t="shared" si="108"/>
        <v>0</v>
      </c>
      <c r="BX111" s="36">
        <f t="shared" si="108"/>
        <v>0</v>
      </c>
      <c r="BY111" s="36">
        <f t="shared" si="108"/>
        <v>0</v>
      </c>
      <c r="BZ111" s="36">
        <f t="shared" si="108"/>
        <v>0</v>
      </c>
      <c r="CA111" s="36">
        <f t="shared" si="108"/>
        <v>0</v>
      </c>
      <c r="CB111" s="36">
        <f t="shared" si="108"/>
        <v>0</v>
      </c>
      <c r="CC111" s="36">
        <f t="shared" si="108"/>
        <v>0</v>
      </c>
      <c r="CD111" s="36">
        <f t="shared" si="108"/>
        <v>0</v>
      </c>
      <c r="CE111" s="36">
        <f t="shared" si="108"/>
        <v>0</v>
      </c>
      <c r="CF111" s="36">
        <f t="shared" si="108"/>
        <v>0</v>
      </c>
      <c r="CG111" s="36">
        <f t="shared" si="108"/>
        <v>0</v>
      </c>
      <c r="CH111" s="36">
        <f t="shared" si="108"/>
        <v>0</v>
      </c>
      <c r="CI111" s="36">
        <f t="shared" si="108"/>
        <v>0</v>
      </c>
      <c r="CJ111" s="36">
        <f t="shared" si="108"/>
        <v>0</v>
      </c>
      <c r="CK111" s="36">
        <f t="shared" si="108"/>
        <v>0</v>
      </c>
      <c r="CL111" s="36">
        <f t="shared" si="108"/>
        <v>0</v>
      </c>
      <c r="CM111" s="36">
        <f t="shared" si="108"/>
        <v>0</v>
      </c>
      <c r="CN111" s="36">
        <f t="shared" si="108"/>
        <v>0</v>
      </c>
      <c r="CO111" s="36">
        <f t="shared" si="108"/>
        <v>0</v>
      </c>
      <c r="CP111" s="36">
        <f t="shared" si="108"/>
        <v>0</v>
      </c>
      <c r="CQ111" s="36">
        <f t="shared" si="108"/>
        <v>0</v>
      </c>
      <c r="CR111" s="36">
        <f t="shared" si="108"/>
        <v>0</v>
      </c>
      <c r="CS111" s="36">
        <f t="shared" si="108"/>
        <v>0</v>
      </c>
      <c r="CT111" s="36">
        <f t="shared" si="108"/>
        <v>0</v>
      </c>
      <c r="CU111" s="36">
        <f t="shared" si="108"/>
        <v>0</v>
      </c>
      <c r="CV111" s="36">
        <f t="shared" si="108"/>
        <v>0</v>
      </c>
      <c r="CW111" s="36">
        <f t="shared" si="108"/>
        <v>0</v>
      </c>
      <c r="CX111" s="36">
        <f t="shared" si="108"/>
        <v>0</v>
      </c>
      <c r="CY111" s="36">
        <f t="shared" si="108"/>
        <v>0</v>
      </c>
      <c r="CZ111" s="36">
        <f t="shared" si="108"/>
        <v>0</v>
      </c>
      <c r="DA111" s="36">
        <f t="shared" si="108"/>
        <v>0</v>
      </c>
      <c r="DB111" s="36">
        <f t="shared" si="108"/>
        <v>0</v>
      </c>
      <c r="DC111" s="36">
        <f t="shared" si="108"/>
        <v>0</v>
      </c>
      <c r="DD111" s="36">
        <f t="shared" si="108"/>
        <v>0</v>
      </c>
      <c r="DE111" s="36">
        <f t="shared" si="108"/>
        <v>0</v>
      </c>
      <c r="DF111" s="36">
        <f t="shared" si="108"/>
        <v>0</v>
      </c>
      <c r="DG111" s="36">
        <f t="shared" si="108"/>
        <v>0</v>
      </c>
      <c r="DH111" s="36">
        <f t="shared" si="108"/>
        <v>0</v>
      </c>
      <c r="DI111" s="36">
        <f t="shared" si="108"/>
        <v>0</v>
      </c>
      <c r="DJ111" s="36">
        <f t="shared" si="108"/>
        <v>0</v>
      </c>
      <c r="DK111" s="36">
        <f t="shared" si="108"/>
        <v>0</v>
      </c>
      <c r="DL111" s="36">
        <f t="shared" si="108"/>
        <v>0</v>
      </c>
      <c r="DM111" s="36">
        <f t="shared" si="108"/>
        <v>0</v>
      </c>
      <c r="DN111" s="36">
        <f t="shared" si="108"/>
        <v>0</v>
      </c>
      <c r="DO111" s="36">
        <f t="shared" si="108"/>
        <v>0</v>
      </c>
      <c r="DP111" s="36">
        <f t="shared" si="108"/>
        <v>0</v>
      </c>
      <c r="DQ111" s="36">
        <f t="shared" si="108"/>
        <v>0</v>
      </c>
      <c r="DR111" s="36">
        <f t="shared" si="108"/>
        <v>0</v>
      </c>
      <c r="DS111" s="36">
        <f t="shared" si="108"/>
        <v>0</v>
      </c>
      <c r="DT111" s="36">
        <f t="shared" si="108"/>
        <v>0</v>
      </c>
      <c r="DU111" s="36">
        <f t="shared" si="108"/>
        <v>0</v>
      </c>
      <c r="DV111" s="36">
        <f t="shared" si="108"/>
        <v>0</v>
      </c>
    </row>
    <row r="112" spans="2:126" outlineLevel="1">
      <c r="B112" s="3" t="str">
        <f t="shared" si="105"/>
        <v>Property G</v>
      </c>
      <c r="C112" s="51">
        <f t="shared" si="106"/>
        <v>31798574.999999996</v>
      </c>
      <c r="D112" s="14"/>
      <c r="E112" s="35" t="s">
        <v>0</v>
      </c>
      <c r="F112" s="35"/>
      <c r="G112" s="36">
        <f t="shared" si="107"/>
        <v>0</v>
      </c>
      <c r="H112" s="36">
        <f t="shared" si="107"/>
        <v>0</v>
      </c>
      <c r="I112" s="36">
        <f t="shared" si="107"/>
        <v>0</v>
      </c>
      <c r="J112" s="36">
        <f t="shared" si="107"/>
        <v>0</v>
      </c>
      <c r="K112" s="36">
        <f t="shared" si="107"/>
        <v>0</v>
      </c>
      <c r="L112" s="36">
        <f t="shared" si="107"/>
        <v>0</v>
      </c>
      <c r="M112" s="36">
        <f t="shared" si="107"/>
        <v>0</v>
      </c>
      <c r="N112" s="36">
        <f t="shared" si="107"/>
        <v>0</v>
      </c>
      <c r="O112" s="36">
        <f t="shared" si="107"/>
        <v>635971.49999999988</v>
      </c>
      <c r="P112" s="36">
        <f t="shared" si="107"/>
        <v>953957.24999999988</v>
      </c>
      <c r="Q112" s="36">
        <f t="shared" si="107"/>
        <v>1271942.9999999998</v>
      </c>
      <c r="R112" s="36">
        <f t="shared" si="107"/>
        <v>1589928.75</v>
      </c>
      <c r="S112" s="36">
        <f t="shared" si="107"/>
        <v>1907914.4999999998</v>
      </c>
      <c r="T112" s="36">
        <f t="shared" si="107"/>
        <v>2543885.9999999995</v>
      </c>
      <c r="U112" s="36">
        <f t="shared" si="107"/>
        <v>3179857.5</v>
      </c>
      <c r="V112" s="36">
        <f t="shared" si="107"/>
        <v>3815828.9999999995</v>
      </c>
      <c r="W112" s="36">
        <f t="shared" si="107"/>
        <v>4451800.5</v>
      </c>
      <c r="X112" s="36">
        <f t="shared" si="107"/>
        <v>5087771.9999999991</v>
      </c>
      <c r="Y112" s="36">
        <f t="shared" si="107"/>
        <v>4451800.5</v>
      </c>
      <c r="Z112" s="36">
        <f t="shared" si="107"/>
        <v>1907914.4999999998</v>
      </c>
      <c r="AA112" s="36">
        <f t="shared" si="107"/>
        <v>0</v>
      </c>
      <c r="AB112" s="36">
        <f t="shared" si="107"/>
        <v>0</v>
      </c>
      <c r="AC112" s="36">
        <f t="shared" si="107"/>
        <v>0</v>
      </c>
      <c r="AD112" s="36">
        <f t="shared" si="107"/>
        <v>0</v>
      </c>
      <c r="AE112" s="36">
        <f t="shared" si="107"/>
        <v>0</v>
      </c>
      <c r="AF112" s="36">
        <f t="shared" si="107"/>
        <v>0</v>
      </c>
      <c r="AG112" s="36">
        <f t="shared" si="107"/>
        <v>0</v>
      </c>
      <c r="AH112" s="36">
        <f t="shared" si="107"/>
        <v>0</v>
      </c>
      <c r="AI112" s="36">
        <f t="shared" si="107"/>
        <v>0</v>
      </c>
      <c r="AJ112" s="36">
        <f t="shared" si="107"/>
        <v>0</v>
      </c>
      <c r="AK112" s="36">
        <f t="shared" si="107"/>
        <v>0</v>
      </c>
      <c r="AL112" s="36">
        <f t="shared" si="107"/>
        <v>0</v>
      </c>
      <c r="AM112" s="36">
        <f t="shared" si="107"/>
        <v>0</v>
      </c>
      <c r="AN112" s="36">
        <f t="shared" si="107"/>
        <v>0</v>
      </c>
      <c r="AO112" s="36">
        <f t="shared" si="107"/>
        <v>0</v>
      </c>
      <c r="AP112" s="36">
        <f t="shared" si="107"/>
        <v>0</v>
      </c>
      <c r="AQ112" s="36">
        <f t="shared" si="107"/>
        <v>0</v>
      </c>
      <c r="AR112" s="36">
        <f t="shared" si="107"/>
        <v>0</v>
      </c>
      <c r="AS112" s="36">
        <f t="shared" si="107"/>
        <v>0</v>
      </c>
      <c r="AT112" s="36">
        <f t="shared" si="107"/>
        <v>0</v>
      </c>
      <c r="AU112" s="36">
        <f t="shared" si="107"/>
        <v>0</v>
      </c>
      <c r="AV112" s="36">
        <f t="shared" si="107"/>
        <v>0</v>
      </c>
      <c r="AW112" s="36">
        <f t="shared" si="107"/>
        <v>0</v>
      </c>
      <c r="AX112" s="36">
        <f t="shared" si="107"/>
        <v>0</v>
      </c>
      <c r="AY112" s="36">
        <f t="shared" si="107"/>
        <v>0</v>
      </c>
      <c r="AZ112" s="36">
        <f t="shared" si="107"/>
        <v>0</v>
      </c>
      <c r="BA112" s="36">
        <f t="shared" si="107"/>
        <v>0</v>
      </c>
      <c r="BB112" s="36">
        <f t="shared" si="107"/>
        <v>0</v>
      </c>
      <c r="BC112" s="36">
        <f t="shared" si="107"/>
        <v>0</v>
      </c>
      <c r="BD112" s="36">
        <f t="shared" si="107"/>
        <v>0</v>
      </c>
      <c r="BE112" s="36">
        <f t="shared" si="107"/>
        <v>0</v>
      </c>
      <c r="BF112" s="36">
        <f t="shared" si="107"/>
        <v>0</v>
      </c>
      <c r="BG112" s="36">
        <f t="shared" si="107"/>
        <v>0</v>
      </c>
      <c r="BH112" s="36">
        <f t="shared" si="107"/>
        <v>0</v>
      </c>
      <c r="BI112" s="36">
        <f t="shared" si="107"/>
        <v>0</v>
      </c>
      <c r="BJ112" s="36">
        <f t="shared" si="107"/>
        <v>0</v>
      </c>
      <c r="BK112" s="36">
        <f t="shared" si="107"/>
        <v>0</v>
      </c>
      <c r="BL112" s="36">
        <f t="shared" si="107"/>
        <v>0</v>
      </c>
      <c r="BM112" s="36">
        <f t="shared" si="107"/>
        <v>0</v>
      </c>
      <c r="BN112" s="36">
        <f t="shared" si="107"/>
        <v>0</v>
      </c>
      <c r="BO112" s="36">
        <f t="shared" si="107"/>
        <v>0</v>
      </c>
      <c r="BP112" s="36">
        <f t="shared" si="107"/>
        <v>0</v>
      </c>
      <c r="BQ112" s="36">
        <f t="shared" si="107"/>
        <v>0</v>
      </c>
      <c r="BR112" s="36">
        <f t="shared" si="107"/>
        <v>0</v>
      </c>
      <c r="BS112" s="36">
        <f t="shared" si="108"/>
        <v>0</v>
      </c>
      <c r="BT112" s="36">
        <f t="shared" si="108"/>
        <v>0</v>
      </c>
      <c r="BU112" s="36">
        <f t="shared" si="108"/>
        <v>0</v>
      </c>
      <c r="BV112" s="36">
        <f t="shared" si="108"/>
        <v>0</v>
      </c>
      <c r="BW112" s="36">
        <f t="shared" si="108"/>
        <v>0</v>
      </c>
      <c r="BX112" s="36">
        <f t="shared" si="108"/>
        <v>0</v>
      </c>
      <c r="BY112" s="36">
        <f t="shared" si="108"/>
        <v>0</v>
      </c>
      <c r="BZ112" s="36">
        <f t="shared" si="108"/>
        <v>0</v>
      </c>
      <c r="CA112" s="36">
        <f t="shared" si="108"/>
        <v>0</v>
      </c>
      <c r="CB112" s="36">
        <f t="shared" si="108"/>
        <v>0</v>
      </c>
      <c r="CC112" s="36">
        <f t="shared" si="108"/>
        <v>0</v>
      </c>
      <c r="CD112" s="36">
        <f t="shared" si="108"/>
        <v>0</v>
      </c>
      <c r="CE112" s="36">
        <f t="shared" si="108"/>
        <v>0</v>
      </c>
      <c r="CF112" s="36">
        <f t="shared" si="108"/>
        <v>0</v>
      </c>
      <c r="CG112" s="36">
        <f t="shared" si="108"/>
        <v>0</v>
      </c>
      <c r="CH112" s="36">
        <f t="shared" si="108"/>
        <v>0</v>
      </c>
      <c r="CI112" s="36">
        <f t="shared" si="108"/>
        <v>0</v>
      </c>
      <c r="CJ112" s="36">
        <f t="shared" si="108"/>
        <v>0</v>
      </c>
      <c r="CK112" s="36">
        <f t="shared" si="108"/>
        <v>0</v>
      </c>
      <c r="CL112" s="36">
        <f t="shared" si="108"/>
        <v>0</v>
      </c>
      <c r="CM112" s="36">
        <f t="shared" si="108"/>
        <v>0</v>
      </c>
      <c r="CN112" s="36">
        <f t="shared" si="108"/>
        <v>0</v>
      </c>
      <c r="CO112" s="36">
        <f t="shared" si="108"/>
        <v>0</v>
      </c>
      <c r="CP112" s="36">
        <f t="shared" si="108"/>
        <v>0</v>
      </c>
      <c r="CQ112" s="36">
        <f t="shared" si="108"/>
        <v>0</v>
      </c>
      <c r="CR112" s="36">
        <f t="shared" si="108"/>
        <v>0</v>
      </c>
      <c r="CS112" s="36">
        <f t="shared" si="108"/>
        <v>0</v>
      </c>
      <c r="CT112" s="36">
        <f t="shared" si="108"/>
        <v>0</v>
      </c>
      <c r="CU112" s="36">
        <f t="shared" si="108"/>
        <v>0</v>
      </c>
      <c r="CV112" s="36">
        <f t="shared" si="108"/>
        <v>0</v>
      </c>
      <c r="CW112" s="36">
        <f t="shared" si="108"/>
        <v>0</v>
      </c>
      <c r="CX112" s="36">
        <f t="shared" si="108"/>
        <v>0</v>
      </c>
      <c r="CY112" s="36">
        <f t="shared" si="108"/>
        <v>0</v>
      </c>
      <c r="CZ112" s="36">
        <f t="shared" si="108"/>
        <v>0</v>
      </c>
      <c r="DA112" s="36">
        <f t="shared" si="108"/>
        <v>0</v>
      </c>
      <c r="DB112" s="36">
        <f t="shared" si="108"/>
        <v>0</v>
      </c>
      <c r="DC112" s="36">
        <f t="shared" si="108"/>
        <v>0</v>
      </c>
      <c r="DD112" s="36">
        <f t="shared" si="108"/>
        <v>0</v>
      </c>
      <c r="DE112" s="36">
        <f t="shared" si="108"/>
        <v>0</v>
      </c>
      <c r="DF112" s="36">
        <f t="shared" si="108"/>
        <v>0</v>
      </c>
      <c r="DG112" s="36">
        <f t="shared" si="108"/>
        <v>0</v>
      </c>
      <c r="DH112" s="36">
        <f t="shared" si="108"/>
        <v>0</v>
      </c>
      <c r="DI112" s="36">
        <f t="shared" si="108"/>
        <v>0</v>
      </c>
      <c r="DJ112" s="36">
        <f t="shared" si="108"/>
        <v>0</v>
      </c>
      <c r="DK112" s="36">
        <f t="shared" si="108"/>
        <v>0</v>
      </c>
      <c r="DL112" s="36">
        <f t="shared" si="108"/>
        <v>0</v>
      </c>
      <c r="DM112" s="36">
        <f t="shared" si="108"/>
        <v>0</v>
      </c>
      <c r="DN112" s="36">
        <f t="shared" si="108"/>
        <v>0</v>
      </c>
      <c r="DO112" s="36">
        <f t="shared" si="108"/>
        <v>0</v>
      </c>
      <c r="DP112" s="36">
        <f t="shared" si="108"/>
        <v>0</v>
      </c>
      <c r="DQ112" s="36">
        <f t="shared" si="108"/>
        <v>0</v>
      </c>
      <c r="DR112" s="36">
        <f t="shared" si="108"/>
        <v>0</v>
      </c>
      <c r="DS112" s="36">
        <f t="shared" si="108"/>
        <v>0</v>
      </c>
      <c r="DT112" s="36">
        <f t="shared" si="108"/>
        <v>0</v>
      </c>
      <c r="DU112" s="36">
        <f t="shared" si="108"/>
        <v>0</v>
      </c>
      <c r="DV112" s="36">
        <f t="shared" si="108"/>
        <v>0</v>
      </c>
    </row>
    <row r="113" spans="2:126" outlineLevel="1">
      <c r="B113" s="3" t="str">
        <f t="shared" si="105"/>
        <v>Property H</v>
      </c>
      <c r="C113" s="51">
        <f t="shared" si="106"/>
        <v>43810549.999999993</v>
      </c>
      <c r="D113" s="14"/>
      <c r="E113" s="35" t="s">
        <v>0</v>
      </c>
      <c r="F113" s="35"/>
      <c r="G113" s="36">
        <f t="shared" si="107"/>
        <v>0</v>
      </c>
      <c r="H113" s="36">
        <f t="shared" si="107"/>
        <v>0</v>
      </c>
      <c r="I113" s="36">
        <f t="shared" si="107"/>
        <v>0</v>
      </c>
      <c r="J113" s="36">
        <f t="shared" si="107"/>
        <v>0</v>
      </c>
      <c r="K113" s="36">
        <f t="shared" si="107"/>
        <v>0</v>
      </c>
      <c r="L113" s="36">
        <f t="shared" si="107"/>
        <v>0</v>
      </c>
      <c r="M113" s="36">
        <f t="shared" si="107"/>
        <v>0</v>
      </c>
      <c r="N113" s="36">
        <f t="shared" si="107"/>
        <v>0</v>
      </c>
      <c r="O113" s="36">
        <f t="shared" si="107"/>
        <v>0</v>
      </c>
      <c r="P113" s="36">
        <f t="shared" si="107"/>
        <v>876210.99999999988</v>
      </c>
      <c r="Q113" s="36">
        <f t="shared" si="107"/>
        <v>876210.99999999988</v>
      </c>
      <c r="R113" s="36">
        <f t="shared" si="107"/>
        <v>1314316.4999999998</v>
      </c>
      <c r="S113" s="36">
        <f t="shared" si="107"/>
        <v>1314316.4999999998</v>
      </c>
      <c r="T113" s="36">
        <f t="shared" si="107"/>
        <v>1533369.25</v>
      </c>
      <c r="U113" s="36">
        <f t="shared" si="107"/>
        <v>1752421.9999999998</v>
      </c>
      <c r="V113" s="36">
        <f t="shared" si="107"/>
        <v>2190527.4999999995</v>
      </c>
      <c r="W113" s="36">
        <f t="shared" si="107"/>
        <v>3066738.5</v>
      </c>
      <c r="X113" s="36">
        <f t="shared" si="107"/>
        <v>3942949.4999999991</v>
      </c>
      <c r="Y113" s="36">
        <f t="shared" si="107"/>
        <v>4381054.9999999991</v>
      </c>
      <c r="Z113" s="36">
        <f t="shared" si="107"/>
        <v>4381054.9999999991</v>
      </c>
      <c r="AA113" s="36">
        <f t="shared" si="107"/>
        <v>4381054.9999999991</v>
      </c>
      <c r="AB113" s="36">
        <f t="shared" si="107"/>
        <v>4381054.9999999991</v>
      </c>
      <c r="AC113" s="36">
        <f t="shared" si="107"/>
        <v>3942949.4999999991</v>
      </c>
      <c r="AD113" s="36">
        <f t="shared" si="107"/>
        <v>3066738.5</v>
      </c>
      <c r="AE113" s="36">
        <f t="shared" si="107"/>
        <v>2409580.2499999995</v>
      </c>
      <c r="AF113" s="36">
        <f t="shared" si="107"/>
        <v>0</v>
      </c>
      <c r="AG113" s="36">
        <f t="shared" si="107"/>
        <v>0</v>
      </c>
      <c r="AH113" s="36">
        <f t="shared" si="107"/>
        <v>0</v>
      </c>
      <c r="AI113" s="36">
        <f t="shared" si="107"/>
        <v>0</v>
      </c>
      <c r="AJ113" s="36">
        <f t="shared" si="107"/>
        <v>0</v>
      </c>
      <c r="AK113" s="36">
        <f t="shared" si="107"/>
        <v>0</v>
      </c>
      <c r="AL113" s="36">
        <f t="shared" si="107"/>
        <v>0</v>
      </c>
      <c r="AM113" s="36">
        <f t="shared" si="107"/>
        <v>0</v>
      </c>
      <c r="AN113" s="36">
        <f t="shared" si="107"/>
        <v>0</v>
      </c>
      <c r="AO113" s="36">
        <f t="shared" si="107"/>
        <v>0</v>
      </c>
      <c r="AP113" s="36">
        <f t="shared" si="107"/>
        <v>0</v>
      </c>
      <c r="AQ113" s="36">
        <f t="shared" si="107"/>
        <v>0</v>
      </c>
      <c r="AR113" s="36">
        <f t="shared" si="107"/>
        <v>0</v>
      </c>
      <c r="AS113" s="36">
        <f t="shared" si="107"/>
        <v>0</v>
      </c>
      <c r="AT113" s="36">
        <f t="shared" si="107"/>
        <v>0</v>
      </c>
      <c r="AU113" s="36">
        <f t="shared" si="107"/>
        <v>0</v>
      </c>
      <c r="AV113" s="36">
        <f t="shared" si="107"/>
        <v>0</v>
      </c>
      <c r="AW113" s="36">
        <f t="shared" si="107"/>
        <v>0</v>
      </c>
      <c r="AX113" s="36">
        <f t="shared" si="107"/>
        <v>0</v>
      </c>
      <c r="AY113" s="36">
        <f t="shared" si="107"/>
        <v>0</v>
      </c>
      <c r="AZ113" s="36">
        <f t="shared" si="107"/>
        <v>0</v>
      </c>
      <c r="BA113" s="36">
        <f t="shared" si="107"/>
        <v>0</v>
      </c>
      <c r="BB113" s="36">
        <f t="shared" si="107"/>
        <v>0</v>
      </c>
      <c r="BC113" s="36">
        <f t="shared" si="107"/>
        <v>0</v>
      </c>
      <c r="BD113" s="36">
        <f t="shared" si="107"/>
        <v>0</v>
      </c>
      <c r="BE113" s="36">
        <f t="shared" si="107"/>
        <v>0</v>
      </c>
      <c r="BF113" s="36">
        <f t="shared" si="107"/>
        <v>0</v>
      </c>
      <c r="BG113" s="36">
        <f t="shared" si="107"/>
        <v>0</v>
      </c>
      <c r="BH113" s="36">
        <f t="shared" si="107"/>
        <v>0</v>
      </c>
      <c r="BI113" s="36">
        <f t="shared" si="107"/>
        <v>0</v>
      </c>
      <c r="BJ113" s="36">
        <f t="shared" si="107"/>
        <v>0</v>
      </c>
      <c r="BK113" s="36">
        <f t="shared" si="107"/>
        <v>0</v>
      </c>
      <c r="BL113" s="36">
        <f t="shared" si="107"/>
        <v>0</v>
      </c>
      <c r="BM113" s="36">
        <f t="shared" si="107"/>
        <v>0</v>
      </c>
      <c r="BN113" s="36">
        <f t="shared" si="107"/>
        <v>0</v>
      </c>
      <c r="BO113" s="36">
        <f t="shared" si="107"/>
        <v>0</v>
      </c>
      <c r="BP113" s="36">
        <f t="shared" si="107"/>
        <v>0</v>
      </c>
      <c r="BQ113" s="36">
        <f t="shared" si="107"/>
        <v>0</v>
      </c>
      <c r="BR113" s="36">
        <f t="shared" si="107"/>
        <v>0</v>
      </c>
      <c r="BS113" s="36">
        <f t="shared" si="108"/>
        <v>0</v>
      </c>
      <c r="BT113" s="36">
        <f t="shared" si="108"/>
        <v>0</v>
      </c>
      <c r="BU113" s="36">
        <f t="shared" si="108"/>
        <v>0</v>
      </c>
      <c r="BV113" s="36">
        <f t="shared" si="108"/>
        <v>0</v>
      </c>
      <c r="BW113" s="36">
        <f t="shared" si="108"/>
        <v>0</v>
      </c>
      <c r="BX113" s="36">
        <f t="shared" si="108"/>
        <v>0</v>
      </c>
      <c r="BY113" s="36">
        <f t="shared" si="108"/>
        <v>0</v>
      </c>
      <c r="BZ113" s="36">
        <f t="shared" si="108"/>
        <v>0</v>
      </c>
      <c r="CA113" s="36">
        <f t="shared" si="108"/>
        <v>0</v>
      </c>
      <c r="CB113" s="36">
        <f t="shared" si="108"/>
        <v>0</v>
      </c>
      <c r="CC113" s="36">
        <f t="shared" si="108"/>
        <v>0</v>
      </c>
      <c r="CD113" s="36">
        <f t="shared" si="108"/>
        <v>0</v>
      </c>
      <c r="CE113" s="36">
        <f t="shared" si="108"/>
        <v>0</v>
      </c>
      <c r="CF113" s="36">
        <f t="shared" si="108"/>
        <v>0</v>
      </c>
      <c r="CG113" s="36">
        <f t="shared" si="108"/>
        <v>0</v>
      </c>
      <c r="CH113" s="36">
        <f t="shared" si="108"/>
        <v>0</v>
      </c>
      <c r="CI113" s="36">
        <f t="shared" si="108"/>
        <v>0</v>
      </c>
      <c r="CJ113" s="36">
        <f t="shared" si="108"/>
        <v>0</v>
      </c>
      <c r="CK113" s="36">
        <f t="shared" si="108"/>
        <v>0</v>
      </c>
      <c r="CL113" s="36">
        <f t="shared" si="108"/>
        <v>0</v>
      </c>
      <c r="CM113" s="36">
        <f t="shared" si="108"/>
        <v>0</v>
      </c>
      <c r="CN113" s="36">
        <f t="shared" si="108"/>
        <v>0</v>
      </c>
      <c r="CO113" s="36">
        <f t="shared" si="108"/>
        <v>0</v>
      </c>
      <c r="CP113" s="36">
        <f t="shared" si="108"/>
        <v>0</v>
      </c>
      <c r="CQ113" s="36">
        <f t="shared" si="108"/>
        <v>0</v>
      </c>
      <c r="CR113" s="36">
        <f t="shared" si="108"/>
        <v>0</v>
      </c>
      <c r="CS113" s="36">
        <f t="shared" si="108"/>
        <v>0</v>
      </c>
      <c r="CT113" s="36">
        <f t="shared" si="108"/>
        <v>0</v>
      </c>
      <c r="CU113" s="36">
        <f t="shared" si="108"/>
        <v>0</v>
      </c>
      <c r="CV113" s="36">
        <f t="shared" si="108"/>
        <v>0</v>
      </c>
      <c r="CW113" s="36">
        <f t="shared" si="108"/>
        <v>0</v>
      </c>
      <c r="CX113" s="36">
        <f t="shared" si="108"/>
        <v>0</v>
      </c>
      <c r="CY113" s="36">
        <f t="shared" si="108"/>
        <v>0</v>
      </c>
      <c r="CZ113" s="36">
        <f t="shared" si="108"/>
        <v>0</v>
      </c>
      <c r="DA113" s="36">
        <f t="shared" si="108"/>
        <v>0</v>
      </c>
      <c r="DB113" s="36">
        <f t="shared" si="108"/>
        <v>0</v>
      </c>
      <c r="DC113" s="36">
        <f t="shared" si="108"/>
        <v>0</v>
      </c>
      <c r="DD113" s="36">
        <f t="shared" si="108"/>
        <v>0</v>
      </c>
      <c r="DE113" s="36">
        <f t="shared" si="108"/>
        <v>0</v>
      </c>
      <c r="DF113" s="36">
        <f t="shared" si="108"/>
        <v>0</v>
      </c>
      <c r="DG113" s="36">
        <f t="shared" si="108"/>
        <v>0</v>
      </c>
      <c r="DH113" s="36">
        <f t="shared" si="108"/>
        <v>0</v>
      </c>
      <c r="DI113" s="36">
        <f t="shared" si="108"/>
        <v>0</v>
      </c>
      <c r="DJ113" s="36">
        <f t="shared" si="108"/>
        <v>0</v>
      </c>
      <c r="DK113" s="36">
        <f t="shared" si="108"/>
        <v>0</v>
      </c>
      <c r="DL113" s="36">
        <f t="shared" si="108"/>
        <v>0</v>
      </c>
      <c r="DM113" s="36">
        <f t="shared" si="108"/>
        <v>0</v>
      </c>
      <c r="DN113" s="36">
        <f t="shared" si="108"/>
        <v>0</v>
      </c>
      <c r="DO113" s="36">
        <f t="shared" si="108"/>
        <v>0</v>
      </c>
      <c r="DP113" s="36">
        <f t="shared" si="108"/>
        <v>0</v>
      </c>
      <c r="DQ113" s="36">
        <f t="shared" si="108"/>
        <v>0</v>
      </c>
      <c r="DR113" s="36">
        <f t="shared" si="108"/>
        <v>0</v>
      </c>
      <c r="DS113" s="36">
        <f t="shared" si="108"/>
        <v>0</v>
      </c>
      <c r="DT113" s="36">
        <f t="shared" si="108"/>
        <v>0</v>
      </c>
      <c r="DU113" s="36">
        <f t="shared" si="108"/>
        <v>0</v>
      </c>
      <c r="DV113" s="36">
        <f t="shared" si="108"/>
        <v>0</v>
      </c>
    </row>
    <row r="114" spans="2:126" outlineLevel="1">
      <c r="B114" s="3" t="str">
        <f t="shared" si="105"/>
        <v>Property I</v>
      </c>
      <c r="C114" s="51">
        <f t="shared" si="106"/>
        <v>55010724.999999993</v>
      </c>
      <c r="D114" s="14"/>
      <c r="E114" s="35" t="s">
        <v>0</v>
      </c>
      <c r="F114" s="35"/>
      <c r="G114" s="36">
        <f t="shared" si="107"/>
        <v>0</v>
      </c>
      <c r="H114" s="36">
        <f t="shared" si="107"/>
        <v>0</v>
      </c>
      <c r="I114" s="36">
        <f t="shared" si="107"/>
        <v>0</v>
      </c>
      <c r="J114" s="36">
        <f t="shared" si="107"/>
        <v>0</v>
      </c>
      <c r="K114" s="36">
        <f t="shared" si="107"/>
        <v>0</v>
      </c>
      <c r="L114" s="36">
        <f t="shared" si="107"/>
        <v>0</v>
      </c>
      <c r="M114" s="36">
        <f t="shared" si="107"/>
        <v>0</v>
      </c>
      <c r="N114" s="36">
        <f t="shared" si="107"/>
        <v>0</v>
      </c>
      <c r="O114" s="36">
        <f t="shared" si="107"/>
        <v>0</v>
      </c>
      <c r="P114" s="36">
        <f t="shared" si="107"/>
        <v>0</v>
      </c>
      <c r="Q114" s="36">
        <f t="shared" si="107"/>
        <v>0</v>
      </c>
      <c r="R114" s="36">
        <f t="shared" si="107"/>
        <v>0</v>
      </c>
      <c r="S114" s="36">
        <f t="shared" si="107"/>
        <v>0</v>
      </c>
      <c r="T114" s="36">
        <f t="shared" si="107"/>
        <v>0</v>
      </c>
      <c r="U114" s="36">
        <f t="shared" si="107"/>
        <v>825160.87499999988</v>
      </c>
      <c r="V114" s="36">
        <f t="shared" si="107"/>
        <v>825160.87499999988</v>
      </c>
      <c r="W114" s="36">
        <f t="shared" si="107"/>
        <v>1100214.4999999998</v>
      </c>
      <c r="X114" s="36">
        <f t="shared" si="107"/>
        <v>1375268.125</v>
      </c>
      <c r="Y114" s="36">
        <f t="shared" si="107"/>
        <v>1375268.125</v>
      </c>
      <c r="Z114" s="36">
        <f t="shared" si="107"/>
        <v>1650321.7499999998</v>
      </c>
      <c r="AA114" s="36">
        <f t="shared" si="107"/>
        <v>1925375.375</v>
      </c>
      <c r="AB114" s="36">
        <f t="shared" si="107"/>
        <v>2200428.9999999995</v>
      </c>
      <c r="AC114" s="36">
        <f t="shared" si="107"/>
        <v>3300643.4999999995</v>
      </c>
      <c r="AD114" s="36">
        <f t="shared" si="107"/>
        <v>3575697.1249999995</v>
      </c>
      <c r="AE114" s="36">
        <f t="shared" si="107"/>
        <v>4125804.3749999991</v>
      </c>
      <c r="AF114" s="36">
        <f t="shared" si="107"/>
        <v>4950965.2499999991</v>
      </c>
      <c r="AG114" s="36">
        <f t="shared" si="107"/>
        <v>4950965.2499999991</v>
      </c>
      <c r="AH114" s="36">
        <f t="shared" si="107"/>
        <v>4950965.2499999991</v>
      </c>
      <c r="AI114" s="36">
        <f t="shared" si="107"/>
        <v>4950965.2499999991</v>
      </c>
      <c r="AJ114" s="36">
        <f t="shared" si="107"/>
        <v>4950965.2499999991</v>
      </c>
      <c r="AK114" s="36">
        <f t="shared" si="107"/>
        <v>3850750.75</v>
      </c>
      <c r="AL114" s="36">
        <f t="shared" si="107"/>
        <v>2750536.25</v>
      </c>
      <c r="AM114" s="36">
        <f t="shared" si="107"/>
        <v>1375268.125</v>
      </c>
      <c r="AN114" s="36">
        <f t="shared" si="107"/>
        <v>0</v>
      </c>
      <c r="AO114" s="36">
        <f t="shared" si="107"/>
        <v>0</v>
      </c>
      <c r="AP114" s="36">
        <f t="shared" si="107"/>
        <v>0</v>
      </c>
      <c r="AQ114" s="36">
        <f t="shared" si="107"/>
        <v>0</v>
      </c>
      <c r="AR114" s="36">
        <f t="shared" si="107"/>
        <v>0</v>
      </c>
      <c r="AS114" s="36">
        <f t="shared" si="107"/>
        <v>0</v>
      </c>
      <c r="AT114" s="36">
        <f t="shared" si="107"/>
        <v>0</v>
      </c>
      <c r="AU114" s="36">
        <f t="shared" si="107"/>
        <v>0</v>
      </c>
      <c r="AV114" s="36">
        <f t="shared" si="107"/>
        <v>0</v>
      </c>
      <c r="AW114" s="36">
        <f t="shared" si="107"/>
        <v>0</v>
      </c>
      <c r="AX114" s="36">
        <f t="shared" si="107"/>
        <v>0</v>
      </c>
      <c r="AY114" s="36">
        <f t="shared" si="107"/>
        <v>0</v>
      </c>
      <c r="AZ114" s="36">
        <f t="shared" si="107"/>
        <v>0</v>
      </c>
      <c r="BA114" s="36">
        <f t="shared" si="107"/>
        <v>0</v>
      </c>
      <c r="BB114" s="36">
        <f t="shared" si="107"/>
        <v>0</v>
      </c>
      <c r="BC114" s="36">
        <f t="shared" si="107"/>
        <v>0</v>
      </c>
      <c r="BD114" s="36">
        <f t="shared" si="107"/>
        <v>0</v>
      </c>
      <c r="BE114" s="36">
        <f t="shared" si="107"/>
        <v>0</v>
      </c>
      <c r="BF114" s="36">
        <f t="shared" si="107"/>
        <v>0</v>
      </c>
      <c r="BG114" s="36">
        <f t="shared" si="107"/>
        <v>0</v>
      </c>
      <c r="BH114" s="36">
        <f t="shared" si="107"/>
        <v>0</v>
      </c>
      <c r="BI114" s="36">
        <f t="shared" si="107"/>
        <v>0</v>
      </c>
      <c r="BJ114" s="36">
        <f t="shared" si="107"/>
        <v>0</v>
      </c>
      <c r="BK114" s="36">
        <f t="shared" si="107"/>
        <v>0</v>
      </c>
      <c r="BL114" s="36">
        <f t="shared" si="107"/>
        <v>0</v>
      </c>
      <c r="BM114" s="36">
        <f t="shared" si="107"/>
        <v>0</v>
      </c>
      <c r="BN114" s="36">
        <f t="shared" si="107"/>
        <v>0</v>
      </c>
      <c r="BO114" s="36">
        <f t="shared" si="107"/>
        <v>0</v>
      </c>
      <c r="BP114" s="36">
        <f t="shared" si="107"/>
        <v>0</v>
      </c>
      <c r="BQ114" s="36">
        <f t="shared" si="107"/>
        <v>0</v>
      </c>
      <c r="BR114" s="36">
        <f t="shared" ref="BR114" si="109">$C114*BR169</f>
        <v>0</v>
      </c>
      <c r="BS114" s="36">
        <f t="shared" si="108"/>
        <v>0</v>
      </c>
      <c r="BT114" s="36">
        <f t="shared" si="108"/>
        <v>0</v>
      </c>
      <c r="BU114" s="36">
        <f t="shared" si="108"/>
        <v>0</v>
      </c>
      <c r="BV114" s="36">
        <f t="shared" si="108"/>
        <v>0</v>
      </c>
      <c r="BW114" s="36">
        <f t="shared" si="108"/>
        <v>0</v>
      </c>
      <c r="BX114" s="36">
        <f t="shared" si="108"/>
        <v>0</v>
      </c>
      <c r="BY114" s="36">
        <f t="shared" si="108"/>
        <v>0</v>
      </c>
      <c r="BZ114" s="36">
        <f t="shared" si="108"/>
        <v>0</v>
      </c>
      <c r="CA114" s="36">
        <f t="shared" si="108"/>
        <v>0</v>
      </c>
      <c r="CB114" s="36">
        <f t="shared" si="108"/>
        <v>0</v>
      </c>
      <c r="CC114" s="36">
        <f t="shared" si="108"/>
        <v>0</v>
      </c>
      <c r="CD114" s="36">
        <f t="shared" si="108"/>
        <v>0</v>
      </c>
      <c r="CE114" s="36">
        <f t="shared" si="108"/>
        <v>0</v>
      </c>
      <c r="CF114" s="36">
        <f t="shared" si="108"/>
        <v>0</v>
      </c>
      <c r="CG114" s="36">
        <f t="shared" si="108"/>
        <v>0</v>
      </c>
      <c r="CH114" s="36">
        <f t="shared" si="108"/>
        <v>0</v>
      </c>
      <c r="CI114" s="36">
        <f t="shared" si="108"/>
        <v>0</v>
      </c>
      <c r="CJ114" s="36">
        <f t="shared" si="108"/>
        <v>0</v>
      </c>
      <c r="CK114" s="36">
        <f t="shared" si="108"/>
        <v>0</v>
      </c>
      <c r="CL114" s="36">
        <f t="shared" si="108"/>
        <v>0</v>
      </c>
      <c r="CM114" s="36">
        <f t="shared" si="108"/>
        <v>0</v>
      </c>
      <c r="CN114" s="36">
        <f t="shared" si="108"/>
        <v>0</v>
      </c>
      <c r="CO114" s="36">
        <f t="shared" si="108"/>
        <v>0</v>
      </c>
      <c r="CP114" s="36">
        <f t="shared" si="108"/>
        <v>0</v>
      </c>
      <c r="CQ114" s="36">
        <f t="shared" si="108"/>
        <v>0</v>
      </c>
      <c r="CR114" s="36">
        <f t="shared" si="108"/>
        <v>0</v>
      </c>
      <c r="CS114" s="36">
        <f t="shared" si="108"/>
        <v>0</v>
      </c>
      <c r="CT114" s="36">
        <f t="shared" si="108"/>
        <v>0</v>
      </c>
      <c r="CU114" s="36">
        <f t="shared" si="108"/>
        <v>0</v>
      </c>
      <c r="CV114" s="36">
        <f t="shared" si="108"/>
        <v>0</v>
      </c>
      <c r="CW114" s="36">
        <f t="shared" si="108"/>
        <v>0</v>
      </c>
      <c r="CX114" s="36">
        <f t="shared" si="108"/>
        <v>0</v>
      </c>
      <c r="CY114" s="36">
        <f t="shared" si="108"/>
        <v>0</v>
      </c>
      <c r="CZ114" s="36">
        <f t="shared" si="108"/>
        <v>0</v>
      </c>
      <c r="DA114" s="36">
        <f t="shared" si="108"/>
        <v>0</v>
      </c>
      <c r="DB114" s="36">
        <f t="shared" si="108"/>
        <v>0</v>
      </c>
      <c r="DC114" s="36">
        <f t="shared" si="108"/>
        <v>0</v>
      </c>
      <c r="DD114" s="36">
        <f t="shared" si="108"/>
        <v>0</v>
      </c>
      <c r="DE114" s="36">
        <f t="shared" si="108"/>
        <v>0</v>
      </c>
      <c r="DF114" s="36">
        <f t="shared" si="108"/>
        <v>0</v>
      </c>
      <c r="DG114" s="36">
        <f t="shared" si="108"/>
        <v>0</v>
      </c>
      <c r="DH114" s="36">
        <f t="shared" si="108"/>
        <v>0</v>
      </c>
      <c r="DI114" s="36">
        <f t="shared" si="108"/>
        <v>0</v>
      </c>
      <c r="DJ114" s="36">
        <f t="shared" si="108"/>
        <v>0</v>
      </c>
      <c r="DK114" s="36">
        <f t="shared" si="108"/>
        <v>0</v>
      </c>
      <c r="DL114" s="36">
        <f t="shared" si="108"/>
        <v>0</v>
      </c>
      <c r="DM114" s="36">
        <f t="shared" si="108"/>
        <v>0</v>
      </c>
      <c r="DN114" s="36">
        <f t="shared" si="108"/>
        <v>0</v>
      </c>
      <c r="DO114" s="36">
        <f t="shared" si="108"/>
        <v>0</v>
      </c>
      <c r="DP114" s="36">
        <f t="shared" si="108"/>
        <v>0</v>
      </c>
      <c r="DQ114" s="36">
        <f t="shared" si="108"/>
        <v>0</v>
      </c>
      <c r="DR114" s="36">
        <f t="shared" si="108"/>
        <v>0</v>
      </c>
      <c r="DS114" s="36">
        <f t="shared" si="108"/>
        <v>0</v>
      </c>
      <c r="DT114" s="36">
        <f t="shared" si="108"/>
        <v>0</v>
      </c>
      <c r="DU114" s="36">
        <f t="shared" si="108"/>
        <v>0</v>
      </c>
      <c r="DV114" s="36">
        <f t="shared" si="108"/>
        <v>0</v>
      </c>
    </row>
    <row r="115" spans="2:126" outlineLevel="1">
      <c r="B115" s="3" t="str">
        <f t="shared" si="105"/>
        <v>Property J</v>
      </c>
      <c r="C115" s="51">
        <f t="shared" si="106"/>
        <v>51001539.999999993</v>
      </c>
      <c r="D115" s="14"/>
      <c r="E115" s="35" t="s">
        <v>0</v>
      </c>
      <c r="F115" s="35"/>
      <c r="G115" s="36">
        <f t="shared" ref="G115:BR118" si="110">$C115*G170</f>
        <v>0</v>
      </c>
      <c r="H115" s="36">
        <f t="shared" si="110"/>
        <v>0</v>
      </c>
      <c r="I115" s="36">
        <f t="shared" si="110"/>
        <v>0</v>
      </c>
      <c r="J115" s="36">
        <f t="shared" si="110"/>
        <v>0</v>
      </c>
      <c r="K115" s="36">
        <f t="shared" si="110"/>
        <v>0</v>
      </c>
      <c r="L115" s="36">
        <f t="shared" si="110"/>
        <v>0</v>
      </c>
      <c r="M115" s="36">
        <f t="shared" si="110"/>
        <v>0</v>
      </c>
      <c r="N115" s="36">
        <f t="shared" si="110"/>
        <v>0</v>
      </c>
      <c r="O115" s="36">
        <f t="shared" si="110"/>
        <v>0</v>
      </c>
      <c r="P115" s="36">
        <f t="shared" si="110"/>
        <v>0</v>
      </c>
      <c r="Q115" s="36">
        <f t="shared" si="110"/>
        <v>0</v>
      </c>
      <c r="R115" s="36">
        <f t="shared" si="110"/>
        <v>0</v>
      </c>
      <c r="S115" s="36">
        <f t="shared" si="110"/>
        <v>0</v>
      </c>
      <c r="T115" s="36">
        <f t="shared" si="110"/>
        <v>0</v>
      </c>
      <c r="U115" s="36">
        <f t="shared" si="110"/>
        <v>0</v>
      </c>
      <c r="V115" s="36">
        <f t="shared" si="110"/>
        <v>0</v>
      </c>
      <c r="W115" s="36">
        <f t="shared" si="110"/>
        <v>0</v>
      </c>
      <c r="X115" s="36">
        <f t="shared" si="110"/>
        <v>765023.09999999986</v>
      </c>
      <c r="Y115" s="36">
        <f t="shared" si="110"/>
        <v>765023.09999999986</v>
      </c>
      <c r="Z115" s="36">
        <f t="shared" si="110"/>
        <v>1530046.1999999997</v>
      </c>
      <c r="AA115" s="36">
        <f t="shared" si="110"/>
        <v>1530046.1999999997</v>
      </c>
      <c r="AB115" s="36">
        <f t="shared" si="110"/>
        <v>1530046.1999999997</v>
      </c>
      <c r="AC115" s="36">
        <f t="shared" si="110"/>
        <v>1530046.1999999997</v>
      </c>
      <c r="AD115" s="36">
        <f t="shared" si="110"/>
        <v>2040061.5999999999</v>
      </c>
      <c r="AE115" s="36">
        <f t="shared" si="110"/>
        <v>2550077</v>
      </c>
      <c r="AF115" s="36">
        <f t="shared" si="110"/>
        <v>3060092.3999999994</v>
      </c>
      <c r="AG115" s="36">
        <f t="shared" si="110"/>
        <v>3570107.8</v>
      </c>
      <c r="AH115" s="36">
        <f t="shared" si="110"/>
        <v>4080123.1999999997</v>
      </c>
      <c r="AI115" s="36">
        <f t="shared" si="110"/>
        <v>4590138.5999999987</v>
      </c>
      <c r="AJ115" s="36">
        <f t="shared" si="110"/>
        <v>5100154</v>
      </c>
      <c r="AK115" s="36">
        <f t="shared" si="110"/>
        <v>5100154</v>
      </c>
      <c r="AL115" s="36">
        <f t="shared" si="110"/>
        <v>5100154</v>
      </c>
      <c r="AM115" s="36">
        <f t="shared" si="110"/>
        <v>4080123.1999999997</v>
      </c>
      <c r="AN115" s="36">
        <f t="shared" si="110"/>
        <v>2550077</v>
      </c>
      <c r="AO115" s="36">
        <f t="shared" si="110"/>
        <v>1530046.1999999997</v>
      </c>
      <c r="AP115" s="36">
        <f t="shared" si="110"/>
        <v>0</v>
      </c>
      <c r="AQ115" s="36">
        <f t="shared" si="110"/>
        <v>0</v>
      </c>
      <c r="AR115" s="36">
        <f t="shared" si="110"/>
        <v>0</v>
      </c>
      <c r="AS115" s="36">
        <f t="shared" si="110"/>
        <v>0</v>
      </c>
      <c r="AT115" s="36">
        <f t="shared" si="110"/>
        <v>0</v>
      </c>
      <c r="AU115" s="36">
        <f t="shared" si="110"/>
        <v>0</v>
      </c>
      <c r="AV115" s="36">
        <f t="shared" si="110"/>
        <v>0</v>
      </c>
      <c r="AW115" s="36">
        <f t="shared" si="110"/>
        <v>0</v>
      </c>
      <c r="AX115" s="36">
        <f t="shared" si="110"/>
        <v>0</v>
      </c>
      <c r="AY115" s="36">
        <f t="shared" si="110"/>
        <v>0</v>
      </c>
      <c r="AZ115" s="36">
        <f t="shared" si="110"/>
        <v>0</v>
      </c>
      <c r="BA115" s="36">
        <f t="shared" si="110"/>
        <v>0</v>
      </c>
      <c r="BB115" s="36">
        <f t="shared" si="110"/>
        <v>0</v>
      </c>
      <c r="BC115" s="36">
        <f t="shared" si="110"/>
        <v>0</v>
      </c>
      <c r="BD115" s="36">
        <f t="shared" si="110"/>
        <v>0</v>
      </c>
      <c r="BE115" s="36">
        <f t="shared" si="110"/>
        <v>0</v>
      </c>
      <c r="BF115" s="36">
        <f t="shared" si="110"/>
        <v>0</v>
      </c>
      <c r="BG115" s="36">
        <f t="shared" si="110"/>
        <v>0</v>
      </c>
      <c r="BH115" s="36">
        <f t="shared" si="110"/>
        <v>0</v>
      </c>
      <c r="BI115" s="36">
        <f t="shared" si="110"/>
        <v>0</v>
      </c>
      <c r="BJ115" s="36">
        <f t="shared" si="110"/>
        <v>0</v>
      </c>
      <c r="BK115" s="36">
        <f t="shared" si="110"/>
        <v>0</v>
      </c>
      <c r="BL115" s="36">
        <f t="shared" si="110"/>
        <v>0</v>
      </c>
      <c r="BM115" s="36">
        <f t="shared" si="110"/>
        <v>0</v>
      </c>
      <c r="BN115" s="36">
        <f t="shared" si="110"/>
        <v>0</v>
      </c>
      <c r="BO115" s="36">
        <f t="shared" si="110"/>
        <v>0</v>
      </c>
      <c r="BP115" s="36">
        <f t="shared" si="110"/>
        <v>0</v>
      </c>
      <c r="BQ115" s="36">
        <f t="shared" si="110"/>
        <v>0</v>
      </c>
      <c r="BR115" s="36">
        <f t="shared" si="110"/>
        <v>0</v>
      </c>
      <c r="BS115" s="36">
        <f t="shared" si="108"/>
        <v>0</v>
      </c>
      <c r="BT115" s="36">
        <f t="shared" si="108"/>
        <v>0</v>
      </c>
      <c r="BU115" s="36">
        <f t="shared" si="108"/>
        <v>0</v>
      </c>
      <c r="BV115" s="36">
        <f t="shared" si="108"/>
        <v>0</v>
      </c>
      <c r="BW115" s="36">
        <f t="shared" si="108"/>
        <v>0</v>
      </c>
      <c r="BX115" s="36">
        <f t="shared" si="108"/>
        <v>0</v>
      </c>
      <c r="BY115" s="36">
        <f t="shared" si="108"/>
        <v>0</v>
      </c>
      <c r="BZ115" s="36">
        <f t="shared" si="108"/>
        <v>0</v>
      </c>
      <c r="CA115" s="36">
        <f t="shared" si="108"/>
        <v>0</v>
      </c>
      <c r="CB115" s="36">
        <f t="shared" si="108"/>
        <v>0</v>
      </c>
      <c r="CC115" s="36">
        <f t="shared" si="108"/>
        <v>0</v>
      </c>
      <c r="CD115" s="36">
        <f t="shared" si="108"/>
        <v>0</v>
      </c>
      <c r="CE115" s="36">
        <f t="shared" si="108"/>
        <v>0</v>
      </c>
      <c r="CF115" s="36">
        <f t="shared" si="108"/>
        <v>0</v>
      </c>
      <c r="CG115" s="36">
        <f t="shared" si="108"/>
        <v>0</v>
      </c>
      <c r="CH115" s="36">
        <f t="shared" si="108"/>
        <v>0</v>
      </c>
      <c r="CI115" s="36">
        <f t="shared" si="108"/>
        <v>0</v>
      </c>
      <c r="CJ115" s="36">
        <f t="shared" si="108"/>
        <v>0</v>
      </c>
      <c r="CK115" s="36">
        <f t="shared" si="108"/>
        <v>0</v>
      </c>
      <c r="CL115" s="36">
        <f t="shared" si="108"/>
        <v>0</v>
      </c>
      <c r="CM115" s="36">
        <f t="shared" si="108"/>
        <v>0</v>
      </c>
      <c r="CN115" s="36">
        <f t="shared" si="108"/>
        <v>0</v>
      </c>
      <c r="CO115" s="36">
        <f t="shared" si="108"/>
        <v>0</v>
      </c>
      <c r="CP115" s="36">
        <f t="shared" si="108"/>
        <v>0</v>
      </c>
      <c r="CQ115" s="36">
        <f t="shared" si="108"/>
        <v>0</v>
      </c>
      <c r="CR115" s="36">
        <f t="shared" si="108"/>
        <v>0</v>
      </c>
      <c r="CS115" s="36">
        <f t="shared" si="108"/>
        <v>0</v>
      </c>
      <c r="CT115" s="36">
        <f t="shared" si="108"/>
        <v>0</v>
      </c>
      <c r="CU115" s="36">
        <f t="shared" si="108"/>
        <v>0</v>
      </c>
      <c r="CV115" s="36">
        <f t="shared" si="108"/>
        <v>0</v>
      </c>
      <c r="CW115" s="36">
        <f t="shared" si="108"/>
        <v>0</v>
      </c>
      <c r="CX115" s="36">
        <f t="shared" ref="CX115:DV120" si="111">$C115*CX170</f>
        <v>0</v>
      </c>
      <c r="CY115" s="36">
        <f t="shared" si="111"/>
        <v>0</v>
      </c>
      <c r="CZ115" s="36">
        <f t="shared" si="111"/>
        <v>0</v>
      </c>
      <c r="DA115" s="36">
        <f t="shared" si="111"/>
        <v>0</v>
      </c>
      <c r="DB115" s="36">
        <f t="shared" si="111"/>
        <v>0</v>
      </c>
      <c r="DC115" s="36">
        <f t="shared" si="111"/>
        <v>0</v>
      </c>
      <c r="DD115" s="36">
        <f t="shared" si="111"/>
        <v>0</v>
      </c>
      <c r="DE115" s="36">
        <f t="shared" si="111"/>
        <v>0</v>
      </c>
      <c r="DF115" s="36">
        <f t="shared" si="111"/>
        <v>0</v>
      </c>
      <c r="DG115" s="36">
        <f t="shared" si="111"/>
        <v>0</v>
      </c>
      <c r="DH115" s="36">
        <f t="shared" si="111"/>
        <v>0</v>
      </c>
      <c r="DI115" s="36">
        <f t="shared" si="111"/>
        <v>0</v>
      </c>
      <c r="DJ115" s="36">
        <f t="shared" si="111"/>
        <v>0</v>
      </c>
      <c r="DK115" s="36">
        <f t="shared" si="111"/>
        <v>0</v>
      </c>
      <c r="DL115" s="36">
        <f t="shared" si="111"/>
        <v>0</v>
      </c>
      <c r="DM115" s="36">
        <f t="shared" si="111"/>
        <v>0</v>
      </c>
      <c r="DN115" s="36">
        <f t="shared" si="111"/>
        <v>0</v>
      </c>
      <c r="DO115" s="36">
        <f t="shared" si="111"/>
        <v>0</v>
      </c>
      <c r="DP115" s="36">
        <f t="shared" si="111"/>
        <v>0</v>
      </c>
      <c r="DQ115" s="36">
        <f t="shared" si="111"/>
        <v>0</v>
      </c>
      <c r="DR115" s="36">
        <f t="shared" si="111"/>
        <v>0</v>
      </c>
      <c r="DS115" s="36">
        <f t="shared" si="111"/>
        <v>0</v>
      </c>
      <c r="DT115" s="36">
        <f t="shared" si="111"/>
        <v>0</v>
      </c>
      <c r="DU115" s="36">
        <f t="shared" si="111"/>
        <v>0</v>
      </c>
      <c r="DV115" s="36">
        <f t="shared" si="111"/>
        <v>0</v>
      </c>
    </row>
    <row r="116" spans="2:126" outlineLevel="1">
      <c r="B116" s="3" t="str">
        <f t="shared" si="105"/>
        <v>Property K</v>
      </c>
      <c r="C116" s="51">
        <f t="shared" si="106"/>
        <v>34705295.625</v>
      </c>
      <c r="D116" s="14"/>
      <c r="E116" s="35" t="s">
        <v>0</v>
      </c>
      <c r="F116" s="35"/>
      <c r="G116" s="36">
        <f t="shared" si="110"/>
        <v>0</v>
      </c>
      <c r="H116" s="36">
        <f t="shared" si="110"/>
        <v>0</v>
      </c>
      <c r="I116" s="36">
        <f t="shared" si="110"/>
        <v>0</v>
      </c>
      <c r="J116" s="36">
        <f t="shared" si="110"/>
        <v>0</v>
      </c>
      <c r="K116" s="36">
        <f t="shared" si="110"/>
        <v>0</v>
      </c>
      <c r="L116" s="36">
        <f t="shared" si="110"/>
        <v>0</v>
      </c>
      <c r="M116" s="36">
        <f t="shared" si="110"/>
        <v>0</v>
      </c>
      <c r="N116" s="36">
        <f t="shared" si="110"/>
        <v>0</v>
      </c>
      <c r="O116" s="36">
        <f t="shared" si="110"/>
        <v>0</v>
      </c>
      <c r="P116" s="36">
        <f t="shared" si="110"/>
        <v>0</v>
      </c>
      <c r="Q116" s="36">
        <f t="shared" si="110"/>
        <v>0</v>
      </c>
      <c r="R116" s="36">
        <f t="shared" si="110"/>
        <v>0</v>
      </c>
      <c r="S116" s="36">
        <f t="shared" si="110"/>
        <v>0</v>
      </c>
      <c r="T116" s="36">
        <f t="shared" si="110"/>
        <v>0</v>
      </c>
      <c r="U116" s="36">
        <f t="shared" si="110"/>
        <v>0</v>
      </c>
      <c r="V116" s="36">
        <f t="shared" si="110"/>
        <v>0</v>
      </c>
      <c r="W116" s="36">
        <f t="shared" si="110"/>
        <v>0</v>
      </c>
      <c r="X116" s="36">
        <f t="shared" si="110"/>
        <v>0</v>
      </c>
      <c r="Y116" s="36">
        <f t="shared" si="110"/>
        <v>0</v>
      </c>
      <c r="Z116" s="36">
        <f t="shared" si="110"/>
        <v>0</v>
      </c>
      <c r="AA116" s="36">
        <f t="shared" si="110"/>
        <v>0</v>
      </c>
      <c r="AB116" s="36">
        <f t="shared" si="110"/>
        <v>694105.91249999998</v>
      </c>
      <c r="AC116" s="36">
        <f t="shared" si="110"/>
        <v>1041158.8687499999</v>
      </c>
      <c r="AD116" s="36">
        <f t="shared" si="110"/>
        <v>1388211.825</v>
      </c>
      <c r="AE116" s="36">
        <f t="shared" si="110"/>
        <v>1735264.78125</v>
      </c>
      <c r="AF116" s="36">
        <f t="shared" si="110"/>
        <v>2082317.7374999998</v>
      </c>
      <c r="AG116" s="36">
        <f t="shared" si="110"/>
        <v>2776423.65</v>
      </c>
      <c r="AH116" s="36">
        <f t="shared" si="110"/>
        <v>3470529.5625</v>
      </c>
      <c r="AI116" s="36">
        <f t="shared" si="110"/>
        <v>4164635.4749999996</v>
      </c>
      <c r="AJ116" s="36">
        <f t="shared" si="110"/>
        <v>4858741.3875000002</v>
      </c>
      <c r="AK116" s="36">
        <f t="shared" si="110"/>
        <v>5552847.2999999998</v>
      </c>
      <c r="AL116" s="36">
        <f t="shared" si="110"/>
        <v>4858741.3875000002</v>
      </c>
      <c r="AM116" s="36">
        <f t="shared" si="110"/>
        <v>2082317.7374999998</v>
      </c>
      <c r="AN116" s="36">
        <f t="shared" si="110"/>
        <v>0</v>
      </c>
      <c r="AO116" s="36">
        <f t="shared" si="110"/>
        <v>0</v>
      </c>
      <c r="AP116" s="36">
        <f t="shared" si="110"/>
        <v>0</v>
      </c>
      <c r="AQ116" s="36">
        <f t="shared" si="110"/>
        <v>0</v>
      </c>
      <c r="AR116" s="36">
        <f t="shared" si="110"/>
        <v>0</v>
      </c>
      <c r="AS116" s="36">
        <f t="shared" si="110"/>
        <v>0</v>
      </c>
      <c r="AT116" s="36">
        <f t="shared" si="110"/>
        <v>0</v>
      </c>
      <c r="AU116" s="36">
        <f t="shared" si="110"/>
        <v>0</v>
      </c>
      <c r="AV116" s="36">
        <f t="shared" si="110"/>
        <v>0</v>
      </c>
      <c r="AW116" s="36">
        <f t="shared" si="110"/>
        <v>0</v>
      </c>
      <c r="AX116" s="36">
        <f t="shared" si="110"/>
        <v>0</v>
      </c>
      <c r="AY116" s="36">
        <f t="shared" si="110"/>
        <v>0</v>
      </c>
      <c r="AZ116" s="36">
        <f t="shared" si="110"/>
        <v>0</v>
      </c>
      <c r="BA116" s="36">
        <f t="shared" si="110"/>
        <v>0</v>
      </c>
      <c r="BB116" s="36">
        <f t="shared" si="110"/>
        <v>0</v>
      </c>
      <c r="BC116" s="36">
        <f t="shared" si="110"/>
        <v>0</v>
      </c>
      <c r="BD116" s="36">
        <f t="shared" si="110"/>
        <v>0</v>
      </c>
      <c r="BE116" s="36">
        <f t="shared" si="110"/>
        <v>0</v>
      </c>
      <c r="BF116" s="36">
        <f t="shared" si="110"/>
        <v>0</v>
      </c>
      <c r="BG116" s="36">
        <f t="shared" si="110"/>
        <v>0</v>
      </c>
      <c r="BH116" s="36">
        <f t="shared" si="110"/>
        <v>0</v>
      </c>
      <c r="BI116" s="36">
        <f t="shared" si="110"/>
        <v>0</v>
      </c>
      <c r="BJ116" s="36">
        <f t="shared" si="110"/>
        <v>0</v>
      </c>
      <c r="BK116" s="36">
        <f t="shared" si="110"/>
        <v>0</v>
      </c>
      <c r="BL116" s="36">
        <f t="shared" si="110"/>
        <v>0</v>
      </c>
      <c r="BM116" s="36">
        <f t="shared" si="110"/>
        <v>0</v>
      </c>
      <c r="BN116" s="36">
        <f t="shared" si="110"/>
        <v>0</v>
      </c>
      <c r="BO116" s="36">
        <f t="shared" si="110"/>
        <v>0</v>
      </c>
      <c r="BP116" s="36">
        <f t="shared" si="110"/>
        <v>0</v>
      </c>
      <c r="BQ116" s="36">
        <f t="shared" si="110"/>
        <v>0</v>
      </c>
      <c r="BR116" s="36">
        <f t="shared" si="110"/>
        <v>0</v>
      </c>
      <c r="BS116" s="36">
        <f t="shared" ref="BS116:CX120" si="112">$C116*BS171</f>
        <v>0</v>
      </c>
      <c r="BT116" s="36">
        <f t="shared" si="112"/>
        <v>0</v>
      </c>
      <c r="BU116" s="36">
        <f t="shared" si="112"/>
        <v>0</v>
      </c>
      <c r="BV116" s="36">
        <f t="shared" si="112"/>
        <v>0</v>
      </c>
      <c r="BW116" s="36">
        <f t="shared" si="112"/>
        <v>0</v>
      </c>
      <c r="BX116" s="36">
        <f t="shared" si="112"/>
        <v>0</v>
      </c>
      <c r="BY116" s="36">
        <f t="shared" si="112"/>
        <v>0</v>
      </c>
      <c r="BZ116" s="36">
        <f t="shared" si="112"/>
        <v>0</v>
      </c>
      <c r="CA116" s="36">
        <f t="shared" si="112"/>
        <v>0</v>
      </c>
      <c r="CB116" s="36">
        <f t="shared" si="112"/>
        <v>0</v>
      </c>
      <c r="CC116" s="36">
        <f t="shared" si="112"/>
        <v>0</v>
      </c>
      <c r="CD116" s="36">
        <f t="shared" si="112"/>
        <v>0</v>
      </c>
      <c r="CE116" s="36">
        <f t="shared" si="112"/>
        <v>0</v>
      </c>
      <c r="CF116" s="36">
        <f t="shared" si="112"/>
        <v>0</v>
      </c>
      <c r="CG116" s="36">
        <f t="shared" si="112"/>
        <v>0</v>
      </c>
      <c r="CH116" s="36">
        <f t="shared" si="112"/>
        <v>0</v>
      </c>
      <c r="CI116" s="36">
        <f t="shared" si="112"/>
        <v>0</v>
      </c>
      <c r="CJ116" s="36">
        <f t="shared" si="112"/>
        <v>0</v>
      </c>
      <c r="CK116" s="36">
        <f t="shared" si="112"/>
        <v>0</v>
      </c>
      <c r="CL116" s="36">
        <f t="shared" si="112"/>
        <v>0</v>
      </c>
      <c r="CM116" s="36">
        <f t="shared" si="112"/>
        <v>0</v>
      </c>
      <c r="CN116" s="36">
        <f t="shared" si="112"/>
        <v>0</v>
      </c>
      <c r="CO116" s="36">
        <f t="shared" si="112"/>
        <v>0</v>
      </c>
      <c r="CP116" s="36">
        <f t="shared" si="112"/>
        <v>0</v>
      </c>
      <c r="CQ116" s="36">
        <f t="shared" si="112"/>
        <v>0</v>
      </c>
      <c r="CR116" s="36">
        <f t="shared" si="112"/>
        <v>0</v>
      </c>
      <c r="CS116" s="36">
        <f t="shared" si="112"/>
        <v>0</v>
      </c>
      <c r="CT116" s="36">
        <f t="shared" si="112"/>
        <v>0</v>
      </c>
      <c r="CU116" s="36">
        <f t="shared" si="112"/>
        <v>0</v>
      </c>
      <c r="CV116" s="36">
        <f t="shared" si="112"/>
        <v>0</v>
      </c>
      <c r="CW116" s="36">
        <f t="shared" si="112"/>
        <v>0</v>
      </c>
      <c r="CX116" s="36">
        <f t="shared" si="112"/>
        <v>0</v>
      </c>
      <c r="CY116" s="36">
        <f t="shared" si="111"/>
        <v>0</v>
      </c>
      <c r="CZ116" s="36">
        <f t="shared" si="111"/>
        <v>0</v>
      </c>
      <c r="DA116" s="36">
        <f t="shared" si="111"/>
        <v>0</v>
      </c>
      <c r="DB116" s="36">
        <f t="shared" si="111"/>
        <v>0</v>
      </c>
      <c r="DC116" s="36">
        <f t="shared" si="111"/>
        <v>0</v>
      </c>
      <c r="DD116" s="36">
        <f t="shared" si="111"/>
        <v>0</v>
      </c>
      <c r="DE116" s="36">
        <f t="shared" si="111"/>
        <v>0</v>
      </c>
      <c r="DF116" s="36">
        <f t="shared" si="111"/>
        <v>0</v>
      </c>
      <c r="DG116" s="36">
        <f t="shared" si="111"/>
        <v>0</v>
      </c>
      <c r="DH116" s="36">
        <f t="shared" si="111"/>
        <v>0</v>
      </c>
      <c r="DI116" s="36">
        <f t="shared" si="111"/>
        <v>0</v>
      </c>
      <c r="DJ116" s="36">
        <f t="shared" si="111"/>
        <v>0</v>
      </c>
      <c r="DK116" s="36">
        <f t="shared" si="111"/>
        <v>0</v>
      </c>
      <c r="DL116" s="36">
        <f t="shared" si="111"/>
        <v>0</v>
      </c>
      <c r="DM116" s="36">
        <f t="shared" si="111"/>
        <v>0</v>
      </c>
      <c r="DN116" s="36">
        <f t="shared" si="111"/>
        <v>0</v>
      </c>
      <c r="DO116" s="36">
        <f t="shared" si="111"/>
        <v>0</v>
      </c>
      <c r="DP116" s="36">
        <f t="shared" si="111"/>
        <v>0</v>
      </c>
      <c r="DQ116" s="36">
        <f t="shared" si="111"/>
        <v>0</v>
      </c>
      <c r="DR116" s="36">
        <f t="shared" si="111"/>
        <v>0</v>
      </c>
      <c r="DS116" s="36">
        <f t="shared" si="111"/>
        <v>0</v>
      </c>
      <c r="DT116" s="36">
        <f t="shared" si="111"/>
        <v>0</v>
      </c>
      <c r="DU116" s="36">
        <f t="shared" si="111"/>
        <v>0</v>
      </c>
      <c r="DV116" s="36">
        <f t="shared" si="111"/>
        <v>0</v>
      </c>
    </row>
    <row r="117" spans="2:126" outlineLevel="1">
      <c r="B117" s="3" t="str">
        <f t="shared" si="105"/>
        <v>Property L</v>
      </c>
      <c r="C117" s="51">
        <f t="shared" si="106"/>
        <v>67004134.687499993</v>
      </c>
      <c r="D117" s="14"/>
      <c r="E117" s="35" t="s">
        <v>0</v>
      </c>
      <c r="F117" s="35"/>
      <c r="G117" s="36">
        <f t="shared" si="110"/>
        <v>0</v>
      </c>
      <c r="H117" s="36">
        <f t="shared" si="110"/>
        <v>0</v>
      </c>
      <c r="I117" s="36">
        <f t="shared" si="110"/>
        <v>0</v>
      </c>
      <c r="J117" s="36">
        <f t="shared" si="110"/>
        <v>0</v>
      </c>
      <c r="K117" s="36">
        <f t="shared" si="110"/>
        <v>0</v>
      </c>
      <c r="L117" s="36">
        <f t="shared" si="110"/>
        <v>0</v>
      </c>
      <c r="M117" s="36">
        <f t="shared" si="110"/>
        <v>0</v>
      </c>
      <c r="N117" s="36">
        <f t="shared" si="110"/>
        <v>0</v>
      </c>
      <c r="O117" s="36">
        <f t="shared" si="110"/>
        <v>0</v>
      </c>
      <c r="P117" s="36">
        <f t="shared" si="110"/>
        <v>0</v>
      </c>
      <c r="Q117" s="36">
        <f t="shared" si="110"/>
        <v>0</v>
      </c>
      <c r="R117" s="36">
        <f t="shared" si="110"/>
        <v>0</v>
      </c>
      <c r="S117" s="36">
        <f t="shared" si="110"/>
        <v>0</v>
      </c>
      <c r="T117" s="36">
        <f t="shared" si="110"/>
        <v>0</v>
      </c>
      <c r="U117" s="36">
        <f t="shared" si="110"/>
        <v>0</v>
      </c>
      <c r="V117" s="36">
        <f t="shared" si="110"/>
        <v>0</v>
      </c>
      <c r="W117" s="36">
        <f t="shared" si="110"/>
        <v>0</v>
      </c>
      <c r="X117" s="36">
        <f t="shared" si="110"/>
        <v>0</v>
      </c>
      <c r="Y117" s="36">
        <f t="shared" si="110"/>
        <v>0</v>
      </c>
      <c r="Z117" s="36">
        <f t="shared" si="110"/>
        <v>0</v>
      </c>
      <c r="AA117" s="36">
        <f t="shared" si="110"/>
        <v>0</v>
      </c>
      <c r="AB117" s="36">
        <f t="shared" si="110"/>
        <v>0</v>
      </c>
      <c r="AC117" s="36">
        <f t="shared" si="110"/>
        <v>0</v>
      </c>
      <c r="AD117" s="36">
        <f t="shared" si="110"/>
        <v>0</v>
      </c>
      <c r="AE117" s="36">
        <f t="shared" si="110"/>
        <v>0</v>
      </c>
      <c r="AF117" s="36">
        <f t="shared" si="110"/>
        <v>0</v>
      </c>
      <c r="AG117" s="36">
        <f t="shared" si="110"/>
        <v>0</v>
      </c>
      <c r="AH117" s="36">
        <f t="shared" si="110"/>
        <v>670041.34687499993</v>
      </c>
      <c r="AI117" s="36">
        <f t="shared" si="110"/>
        <v>670041.34687499993</v>
      </c>
      <c r="AJ117" s="36">
        <f t="shared" si="110"/>
        <v>1005062.0203124998</v>
      </c>
      <c r="AK117" s="36">
        <f t="shared" si="110"/>
        <v>1340082.6937499999</v>
      </c>
      <c r="AL117" s="36">
        <f t="shared" si="110"/>
        <v>1340082.6937499999</v>
      </c>
      <c r="AM117" s="36">
        <f t="shared" si="110"/>
        <v>1675103.3671875</v>
      </c>
      <c r="AN117" s="36">
        <f t="shared" si="110"/>
        <v>1675103.3671875</v>
      </c>
      <c r="AO117" s="36">
        <f t="shared" si="110"/>
        <v>2010124.0406249997</v>
      </c>
      <c r="AP117" s="36">
        <f t="shared" si="110"/>
        <v>2010124.0406249997</v>
      </c>
      <c r="AQ117" s="36">
        <f t="shared" si="110"/>
        <v>2345144.7140624998</v>
      </c>
      <c r="AR117" s="36">
        <f t="shared" si="110"/>
        <v>2680165.3874999997</v>
      </c>
      <c r="AS117" s="36">
        <f t="shared" si="110"/>
        <v>3015186.0609374996</v>
      </c>
      <c r="AT117" s="36">
        <f t="shared" si="110"/>
        <v>3350206.734375</v>
      </c>
      <c r="AU117" s="36">
        <f t="shared" si="110"/>
        <v>3685227.4078124994</v>
      </c>
      <c r="AV117" s="36">
        <f t="shared" si="110"/>
        <v>4020248.0812499993</v>
      </c>
      <c r="AW117" s="36">
        <f t="shared" si="110"/>
        <v>4690289.4281249996</v>
      </c>
      <c r="AX117" s="36">
        <f t="shared" si="110"/>
        <v>5360330.7749999994</v>
      </c>
      <c r="AY117" s="36">
        <f t="shared" si="110"/>
        <v>5360330.7749999994</v>
      </c>
      <c r="AZ117" s="36">
        <f t="shared" si="110"/>
        <v>5360330.7749999994</v>
      </c>
      <c r="BA117" s="36">
        <f t="shared" si="110"/>
        <v>5360330.7749999994</v>
      </c>
      <c r="BB117" s="36">
        <f t="shared" si="110"/>
        <v>4020248.0812499993</v>
      </c>
      <c r="BC117" s="36">
        <f t="shared" si="110"/>
        <v>3350206.734375</v>
      </c>
      <c r="BD117" s="36">
        <f t="shared" si="110"/>
        <v>2010124.0406249997</v>
      </c>
      <c r="BE117" s="36">
        <f t="shared" si="110"/>
        <v>0</v>
      </c>
      <c r="BF117" s="36">
        <f t="shared" si="110"/>
        <v>0</v>
      </c>
      <c r="BG117" s="36">
        <f t="shared" si="110"/>
        <v>0</v>
      </c>
      <c r="BH117" s="36">
        <f t="shared" si="110"/>
        <v>0</v>
      </c>
      <c r="BI117" s="36">
        <f t="shared" si="110"/>
        <v>0</v>
      </c>
      <c r="BJ117" s="36">
        <f t="shared" si="110"/>
        <v>0</v>
      </c>
      <c r="BK117" s="36">
        <f t="shared" si="110"/>
        <v>0</v>
      </c>
      <c r="BL117" s="36">
        <f t="shared" si="110"/>
        <v>0</v>
      </c>
      <c r="BM117" s="36">
        <f t="shared" si="110"/>
        <v>0</v>
      </c>
      <c r="BN117" s="36">
        <f t="shared" si="110"/>
        <v>0</v>
      </c>
      <c r="BO117" s="36">
        <f t="shared" si="110"/>
        <v>0</v>
      </c>
      <c r="BP117" s="36">
        <f t="shared" si="110"/>
        <v>0</v>
      </c>
      <c r="BQ117" s="36">
        <f t="shared" si="110"/>
        <v>0</v>
      </c>
      <c r="BR117" s="36">
        <f t="shared" si="110"/>
        <v>0</v>
      </c>
      <c r="BS117" s="36">
        <f t="shared" si="112"/>
        <v>0</v>
      </c>
      <c r="BT117" s="36">
        <f t="shared" si="112"/>
        <v>0</v>
      </c>
      <c r="BU117" s="36">
        <f t="shared" si="112"/>
        <v>0</v>
      </c>
      <c r="BV117" s="36">
        <f t="shared" si="112"/>
        <v>0</v>
      </c>
      <c r="BW117" s="36">
        <f t="shared" si="112"/>
        <v>0</v>
      </c>
      <c r="BX117" s="36">
        <f t="shared" si="112"/>
        <v>0</v>
      </c>
      <c r="BY117" s="36">
        <f t="shared" si="112"/>
        <v>0</v>
      </c>
      <c r="BZ117" s="36">
        <f t="shared" si="112"/>
        <v>0</v>
      </c>
      <c r="CA117" s="36">
        <f t="shared" si="112"/>
        <v>0</v>
      </c>
      <c r="CB117" s="36">
        <f t="shared" si="112"/>
        <v>0</v>
      </c>
      <c r="CC117" s="36">
        <f t="shared" si="112"/>
        <v>0</v>
      </c>
      <c r="CD117" s="36">
        <f t="shared" si="112"/>
        <v>0</v>
      </c>
      <c r="CE117" s="36">
        <f t="shared" si="112"/>
        <v>0</v>
      </c>
      <c r="CF117" s="36">
        <f t="shared" si="112"/>
        <v>0</v>
      </c>
      <c r="CG117" s="36">
        <f t="shared" si="112"/>
        <v>0</v>
      </c>
      <c r="CH117" s="36">
        <f t="shared" si="112"/>
        <v>0</v>
      </c>
      <c r="CI117" s="36">
        <f t="shared" si="112"/>
        <v>0</v>
      </c>
      <c r="CJ117" s="36">
        <f t="shared" si="112"/>
        <v>0</v>
      </c>
      <c r="CK117" s="36">
        <f t="shared" si="112"/>
        <v>0</v>
      </c>
      <c r="CL117" s="36">
        <f t="shared" si="112"/>
        <v>0</v>
      </c>
      <c r="CM117" s="36">
        <f t="shared" si="112"/>
        <v>0</v>
      </c>
      <c r="CN117" s="36">
        <f t="shared" si="112"/>
        <v>0</v>
      </c>
      <c r="CO117" s="36">
        <f t="shared" si="112"/>
        <v>0</v>
      </c>
      <c r="CP117" s="36">
        <f t="shared" si="112"/>
        <v>0</v>
      </c>
      <c r="CQ117" s="36">
        <f t="shared" si="112"/>
        <v>0</v>
      </c>
      <c r="CR117" s="36">
        <f t="shared" si="112"/>
        <v>0</v>
      </c>
      <c r="CS117" s="36">
        <f t="shared" si="112"/>
        <v>0</v>
      </c>
      <c r="CT117" s="36">
        <f t="shared" si="112"/>
        <v>0</v>
      </c>
      <c r="CU117" s="36">
        <f t="shared" si="112"/>
        <v>0</v>
      </c>
      <c r="CV117" s="36">
        <f t="shared" si="112"/>
        <v>0</v>
      </c>
      <c r="CW117" s="36">
        <f t="shared" si="112"/>
        <v>0</v>
      </c>
      <c r="CX117" s="36">
        <f t="shared" si="112"/>
        <v>0</v>
      </c>
      <c r="CY117" s="36">
        <f t="shared" si="111"/>
        <v>0</v>
      </c>
      <c r="CZ117" s="36">
        <f t="shared" si="111"/>
        <v>0</v>
      </c>
      <c r="DA117" s="36">
        <f t="shared" si="111"/>
        <v>0</v>
      </c>
      <c r="DB117" s="36">
        <f t="shared" si="111"/>
        <v>0</v>
      </c>
      <c r="DC117" s="36">
        <f t="shared" si="111"/>
        <v>0</v>
      </c>
      <c r="DD117" s="36">
        <f t="shared" si="111"/>
        <v>0</v>
      </c>
      <c r="DE117" s="36">
        <f t="shared" si="111"/>
        <v>0</v>
      </c>
      <c r="DF117" s="36">
        <f t="shared" si="111"/>
        <v>0</v>
      </c>
      <c r="DG117" s="36">
        <f t="shared" si="111"/>
        <v>0</v>
      </c>
      <c r="DH117" s="36">
        <f t="shared" si="111"/>
        <v>0</v>
      </c>
      <c r="DI117" s="36">
        <f t="shared" si="111"/>
        <v>0</v>
      </c>
      <c r="DJ117" s="36">
        <f t="shared" si="111"/>
        <v>0</v>
      </c>
      <c r="DK117" s="36">
        <f t="shared" si="111"/>
        <v>0</v>
      </c>
      <c r="DL117" s="36">
        <f t="shared" si="111"/>
        <v>0</v>
      </c>
      <c r="DM117" s="36">
        <f t="shared" si="111"/>
        <v>0</v>
      </c>
      <c r="DN117" s="36">
        <f t="shared" si="111"/>
        <v>0</v>
      </c>
      <c r="DO117" s="36">
        <f t="shared" si="111"/>
        <v>0</v>
      </c>
      <c r="DP117" s="36">
        <f t="shared" si="111"/>
        <v>0</v>
      </c>
      <c r="DQ117" s="36">
        <f t="shared" si="111"/>
        <v>0</v>
      </c>
      <c r="DR117" s="36">
        <f t="shared" si="111"/>
        <v>0</v>
      </c>
      <c r="DS117" s="36">
        <f t="shared" si="111"/>
        <v>0</v>
      </c>
      <c r="DT117" s="36">
        <f t="shared" si="111"/>
        <v>0</v>
      </c>
      <c r="DU117" s="36">
        <f t="shared" si="111"/>
        <v>0</v>
      </c>
      <c r="DV117" s="36">
        <f t="shared" si="111"/>
        <v>0</v>
      </c>
    </row>
    <row r="118" spans="2:126" outlineLevel="1">
      <c r="B118" s="3" t="str">
        <f t="shared" si="105"/>
        <v>Property M</v>
      </c>
      <c r="C118" s="51">
        <f t="shared" si="106"/>
        <v>49825575.437499993</v>
      </c>
      <c r="D118" s="14"/>
      <c r="E118" s="35" t="s">
        <v>0</v>
      </c>
      <c r="F118" s="35"/>
      <c r="G118" s="36">
        <f t="shared" si="110"/>
        <v>0</v>
      </c>
      <c r="H118" s="36">
        <f t="shared" si="110"/>
        <v>0</v>
      </c>
      <c r="I118" s="36">
        <f t="shared" si="110"/>
        <v>0</v>
      </c>
      <c r="J118" s="36">
        <f t="shared" si="110"/>
        <v>0</v>
      </c>
      <c r="K118" s="36">
        <f t="shared" si="110"/>
        <v>0</v>
      </c>
      <c r="L118" s="36">
        <f t="shared" si="110"/>
        <v>0</v>
      </c>
      <c r="M118" s="36">
        <f t="shared" si="110"/>
        <v>0</v>
      </c>
      <c r="N118" s="36">
        <f t="shared" si="110"/>
        <v>0</v>
      </c>
      <c r="O118" s="36">
        <f t="shared" si="110"/>
        <v>0</v>
      </c>
      <c r="P118" s="36">
        <f t="shared" si="110"/>
        <v>0</v>
      </c>
      <c r="Q118" s="36">
        <f t="shared" si="110"/>
        <v>0</v>
      </c>
      <c r="R118" s="36">
        <f t="shared" si="110"/>
        <v>0</v>
      </c>
      <c r="S118" s="36">
        <f t="shared" si="110"/>
        <v>0</v>
      </c>
      <c r="T118" s="36">
        <f t="shared" si="110"/>
        <v>0</v>
      </c>
      <c r="U118" s="36">
        <f t="shared" si="110"/>
        <v>0</v>
      </c>
      <c r="V118" s="36">
        <f t="shared" si="110"/>
        <v>0</v>
      </c>
      <c r="W118" s="36">
        <f t="shared" si="110"/>
        <v>0</v>
      </c>
      <c r="X118" s="36">
        <f t="shared" si="110"/>
        <v>0</v>
      </c>
      <c r="Y118" s="36">
        <f t="shared" si="110"/>
        <v>0</v>
      </c>
      <c r="Z118" s="36">
        <f t="shared" si="110"/>
        <v>0</v>
      </c>
      <c r="AA118" s="36">
        <f t="shared" si="110"/>
        <v>0</v>
      </c>
      <c r="AB118" s="36">
        <f t="shared" si="110"/>
        <v>0</v>
      </c>
      <c r="AC118" s="36">
        <f t="shared" si="110"/>
        <v>0</v>
      </c>
      <c r="AD118" s="36">
        <f t="shared" si="110"/>
        <v>0</v>
      </c>
      <c r="AE118" s="36">
        <f t="shared" si="110"/>
        <v>0</v>
      </c>
      <c r="AF118" s="36">
        <f t="shared" si="110"/>
        <v>0</v>
      </c>
      <c r="AG118" s="36">
        <f t="shared" si="110"/>
        <v>0</v>
      </c>
      <c r="AH118" s="36">
        <f t="shared" si="110"/>
        <v>0</v>
      </c>
      <c r="AI118" s="36">
        <f t="shared" si="110"/>
        <v>0</v>
      </c>
      <c r="AJ118" s="36">
        <f t="shared" si="110"/>
        <v>0</v>
      </c>
      <c r="AK118" s="36">
        <f t="shared" si="110"/>
        <v>0</v>
      </c>
      <c r="AL118" s="36">
        <f t="shared" si="110"/>
        <v>0</v>
      </c>
      <c r="AM118" s="36">
        <f t="shared" si="110"/>
        <v>0</v>
      </c>
      <c r="AN118" s="36">
        <f t="shared" si="110"/>
        <v>747383.63156249991</v>
      </c>
      <c r="AO118" s="36">
        <f t="shared" si="110"/>
        <v>871947.57015624992</v>
      </c>
      <c r="AP118" s="36">
        <f t="shared" si="110"/>
        <v>1245639.3859374998</v>
      </c>
      <c r="AQ118" s="36">
        <f t="shared" si="110"/>
        <v>1370203.3245312497</v>
      </c>
      <c r="AR118" s="36">
        <f t="shared" si="110"/>
        <v>1743895.1403124998</v>
      </c>
      <c r="AS118" s="36">
        <f t="shared" si="110"/>
        <v>1993023.0174999998</v>
      </c>
      <c r="AT118" s="36">
        <f t="shared" si="110"/>
        <v>2491278.7718749996</v>
      </c>
      <c r="AU118" s="36">
        <f t="shared" si="110"/>
        <v>2989534.5262499996</v>
      </c>
      <c r="AV118" s="36">
        <f t="shared" si="110"/>
        <v>3487790.2806249997</v>
      </c>
      <c r="AW118" s="36">
        <f t="shared" si="110"/>
        <v>3986046.0349999997</v>
      </c>
      <c r="AX118" s="36">
        <f t="shared" si="110"/>
        <v>4484301.7893749988</v>
      </c>
      <c r="AY118" s="36">
        <f t="shared" si="110"/>
        <v>4484301.7893749988</v>
      </c>
      <c r="AZ118" s="36">
        <f t="shared" si="110"/>
        <v>4484301.7893749988</v>
      </c>
      <c r="BA118" s="36">
        <f t="shared" si="110"/>
        <v>4484301.7893749988</v>
      </c>
      <c r="BB118" s="36">
        <f t="shared" si="110"/>
        <v>4484301.7893749988</v>
      </c>
      <c r="BC118" s="36">
        <f t="shared" si="110"/>
        <v>3986046.0349999997</v>
      </c>
      <c r="BD118" s="36">
        <f t="shared" si="110"/>
        <v>2491278.7718749996</v>
      </c>
      <c r="BE118" s="36">
        <f t="shared" si="110"/>
        <v>0</v>
      </c>
      <c r="BF118" s="36">
        <f t="shared" si="110"/>
        <v>0</v>
      </c>
      <c r="BG118" s="36">
        <f t="shared" si="110"/>
        <v>0</v>
      </c>
      <c r="BH118" s="36">
        <f t="shared" si="110"/>
        <v>0</v>
      </c>
      <c r="BI118" s="36">
        <f t="shared" si="110"/>
        <v>0</v>
      </c>
      <c r="BJ118" s="36">
        <f t="shared" si="110"/>
        <v>0</v>
      </c>
      <c r="BK118" s="36">
        <f t="shared" si="110"/>
        <v>0</v>
      </c>
      <c r="BL118" s="36">
        <f t="shared" si="110"/>
        <v>0</v>
      </c>
      <c r="BM118" s="36">
        <f t="shared" si="110"/>
        <v>0</v>
      </c>
      <c r="BN118" s="36">
        <f t="shared" si="110"/>
        <v>0</v>
      </c>
      <c r="BO118" s="36">
        <f t="shared" si="110"/>
        <v>0</v>
      </c>
      <c r="BP118" s="36">
        <f t="shared" si="110"/>
        <v>0</v>
      </c>
      <c r="BQ118" s="36">
        <f t="shared" si="110"/>
        <v>0</v>
      </c>
      <c r="BR118" s="36">
        <f t="shared" ref="BR118" si="113">$C118*BR173</f>
        <v>0</v>
      </c>
      <c r="BS118" s="36">
        <f t="shared" si="112"/>
        <v>0</v>
      </c>
      <c r="BT118" s="36">
        <f t="shared" si="112"/>
        <v>0</v>
      </c>
      <c r="BU118" s="36">
        <f t="shared" si="112"/>
        <v>0</v>
      </c>
      <c r="BV118" s="36">
        <f t="shared" si="112"/>
        <v>0</v>
      </c>
      <c r="BW118" s="36">
        <f t="shared" si="112"/>
        <v>0</v>
      </c>
      <c r="BX118" s="36">
        <f t="shared" si="112"/>
        <v>0</v>
      </c>
      <c r="BY118" s="36">
        <f t="shared" si="112"/>
        <v>0</v>
      </c>
      <c r="BZ118" s="36">
        <f t="shared" si="112"/>
        <v>0</v>
      </c>
      <c r="CA118" s="36">
        <f t="shared" si="112"/>
        <v>0</v>
      </c>
      <c r="CB118" s="36">
        <f t="shared" si="112"/>
        <v>0</v>
      </c>
      <c r="CC118" s="36">
        <f t="shared" si="112"/>
        <v>0</v>
      </c>
      <c r="CD118" s="36">
        <f t="shared" si="112"/>
        <v>0</v>
      </c>
      <c r="CE118" s="36">
        <f t="shared" si="112"/>
        <v>0</v>
      </c>
      <c r="CF118" s="36">
        <f t="shared" si="112"/>
        <v>0</v>
      </c>
      <c r="CG118" s="36">
        <f t="shared" si="112"/>
        <v>0</v>
      </c>
      <c r="CH118" s="36">
        <f t="shared" si="112"/>
        <v>0</v>
      </c>
      <c r="CI118" s="36">
        <f t="shared" si="112"/>
        <v>0</v>
      </c>
      <c r="CJ118" s="36">
        <f t="shared" si="112"/>
        <v>0</v>
      </c>
      <c r="CK118" s="36">
        <f t="shared" si="112"/>
        <v>0</v>
      </c>
      <c r="CL118" s="36">
        <f t="shared" si="112"/>
        <v>0</v>
      </c>
      <c r="CM118" s="36">
        <f t="shared" si="112"/>
        <v>0</v>
      </c>
      <c r="CN118" s="36">
        <f t="shared" si="112"/>
        <v>0</v>
      </c>
      <c r="CO118" s="36">
        <f t="shared" si="112"/>
        <v>0</v>
      </c>
      <c r="CP118" s="36">
        <f t="shared" si="112"/>
        <v>0</v>
      </c>
      <c r="CQ118" s="36">
        <f t="shared" si="112"/>
        <v>0</v>
      </c>
      <c r="CR118" s="36">
        <f t="shared" si="112"/>
        <v>0</v>
      </c>
      <c r="CS118" s="36">
        <f t="shared" si="112"/>
        <v>0</v>
      </c>
      <c r="CT118" s="36">
        <f t="shared" si="112"/>
        <v>0</v>
      </c>
      <c r="CU118" s="36">
        <f t="shared" si="112"/>
        <v>0</v>
      </c>
      <c r="CV118" s="36">
        <f t="shared" si="112"/>
        <v>0</v>
      </c>
      <c r="CW118" s="36">
        <f t="shared" si="112"/>
        <v>0</v>
      </c>
      <c r="CX118" s="36">
        <f t="shared" si="112"/>
        <v>0</v>
      </c>
      <c r="CY118" s="36">
        <f t="shared" si="111"/>
        <v>0</v>
      </c>
      <c r="CZ118" s="36">
        <f t="shared" si="111"/>
        <v>0</v>
      </c>
      <c r="DA118" s="36">
        <f t="shared" si="111"/>
        <v>0</v>
      </c>
      <c r="DB118" s="36">
        <f t="shared" si="111"/>
        <v>0</v>
      </c>
      <c r="DC118" s="36">
        <f t="shared" si="111"/>
        <v>0</v>
      </c>
      <c r="DD118" s="36">
        <f t="shared" si="111"/>
        <v>0</v>
      </c>
      <c r="DE118" s="36">
        <f t="shared" si="111"/>
        <v>0</v>
      </c>
      <c r="DF118" s="36">
        <f t="shared" si="111"/>
        <v>0</v>
      </c>
      <c r="DG118" s="36">
        <f t="shared" si="111"/>
        <v>0</v>
      </c>
      <c r="DH118" s="36">
        <f t="shared" si="111"/>
        <v>0</v>
      </c>
      <c r="DI118" s="36">
        <f t="shared" si="111"/>
        <v>0</v>
      </c>
      <c r="DJ118" s="36">
        <f t="shared" si="111"/>
        <v>0</v>
      </c>
      <c r="DK118" s="36">
        <f t="shared" si="111"/>
        <v>0</v>
      </c>
      <c r="DL118" s="36">
        <f t="shared" si="111"/>
        <v>0</v>
      </c>
      <c r="DM118" s="36">
        <f t="shared" si="111"/>
        <v>0</v>
      </c>
      <c r="DN118" s="36">
        <f t="shared" si="111"/>
        <v>0</v>
      </c>
      <c r="DO118" s="36">
        <f t="shared" si="111"/>
        <v>0</v>
      </c>
      <c r="DP118" s="36">
        <f t="shared" si="111"/>
        <v>0</v>
      </c>
      <c r="DQ118" s="36">
        <f t="shared" si="111"/>
        <v>0</v>
      </c>
      <c r="DR118" s="36">
        <f t="shared" si="111"/>
        <v>0</v>
      </c>
      <c r="DS118" s="36">
        <f t="shared" si="111"/>
        <v>0</v>
      </c>
      <c r="DT118" s="36">
        <f t="shared" si="111"/>
        <v>0</v>
      </c>
      <c r="DU118" s="36">
        <f t="shared" si="111"/>
        <v>0</v>
      </c>
      <c r="DV118" s="36">
        <f t="shared" si="111"/>
        <v>0</v>
      </c>
    </row>
    <row r="119" spans="2:126" outlineLevel="1">
      <c r="B119" s="3" t="str">
        <f t="shared" si="105"/>
        <v>Property N</v>
      </c>
      <c r="C119" s="51">
        <f t="shared" si="106"/>
        <v>66877815.417187482</v>
      </c>
      <c r="D119" s="14"/>
      <c r="E119" s="35" t="s">
        <v>0</v>
      </c>
      <c r="F119" s="35"/>
      <c r="G119" s="36">
        <f t="shared" ref="G119:BR120" si="114">$C119*G174</f>
        <v>0</v>
      </c>
      <c r="H119" s="36">
        <f t="shared" si="114"/>
        <v>0</v>
      </c>
      <c r="I119" s="36">
        <f t="shared" si="114"/>
        <v>0</v>
      </c>
      <c r="J119" s="36">
        <f t="shared" si="114"/>
        <v>0</v>
      </c>
      <c r="K119" s="36">
        <f t="shared" si="114"/>
        <v>0</v>
      </c>
      <c r="L119" s="36">
        <f t="shared" si="114"/>
        <v>0</v>
      </c>
      <c r="M119" s="36">
        <f t="shared" si="114"/>
        <v>0</v>
      </c>
      <c r="N119" s="36">
        <f t="shared" si="114"/>
        <v>0</v>
      </c>
      <c r="O119" s="36">
        <f t="shared" si="114"/>
        <v>0</v>
      </c>
      <c r="P119" s="36">
        <f t="shared" si="114"/>
        <v>0</v>
      </c>
      <c r="Q119" s="36">
        <f t="shared" si="114"/>
        <v>0</v>
      </c>
      <c r="R119" s="36">
        <f t="shared" si="114"/>
        <v>0</v>
      </c>
      <c r="S119" s="36">
        <f t="shared" si="114"/>
        <v>0</v>
      </c>
      <c r="T119" s="36">
        <f t="shared" si="114"/>
        <v>0</v>
      </c>
      <c r="U119" s="36">
        <f t="shared" si="114"/>
        <v>0</v>
      </c>
      <c r="V119" s="36">
        <f t="shared" si="114"/>
        <v>0</v>
      </c>
      <c r="W119" s="36">
        <f t="shared" si="114"/>
        <v>0</v>
      </c>
      <c r="X119" s="36">
        <f t="shared" si="114"/>
        <v>0</v>
      </c>
      <c r="Y119" s="36">
        <f t="shared" si="114"/>
        <v>0</v>
      </c>
      <c r="Z119" s="36">
        <f t="shared" si="114"/>
        <v>0</v>
      </c>
      <c r="AA119" s="36">
        <f t="shared" si="114"/>
        <v>0</v>
      </c>
      <c r="AB119" s="36">
        <f t="shared" si="114"/>
        <v>0</v>
      </c>
      <c r="AC119" s="36">
        <f t="shared" si="114"/>
        <v>0</v>
      </c>
      <c r="AD119" s="36">
        <f t="shared" si="114"/>
        <v>0</v>
      </c>
      <c r="AE119" s="36">
        <f t="shared" si="114"/>
        <v>0</v>
      </c>
      <c r="AF119" s="36">
        <f t="shared" si="114"/>
        <v>0</v>
      </c>
      <c r="AG119" s="36">
        <f t="shared" si="114"/>
        <v>0</v>
      </c>
      <c r="AH119" s="36">
        <f t="shared" si="114"/>
        <v>0</v>
      </c>
      <c r="AI119" s="36">
        <f t="shared" si="114"/>
        <v>0</v>
      </c>
      <c r="AJ119" s="36">
        <f t="shared" si="114"/>
        <v>0</v>
      </c>
      <c r="AK119" s="36">
        <f t="shared" si="114"/>
        <v>0</v>
      </c>
      <c r="AL119" s="36">
        <f t="shared" si="114"/>
        <v>0</v>
      </c>
      <c r="AM119" s="36">
        <f t="shared" si="114"/>
        <v>0</v>
      </c>
      <c r="AN119" s="36">
        <f t="shared" si="114"/>
        <v>0</v>
      </c>
      <c r="AO119" s="36">
        <f t="shared" si="114"/>
        <v>0</v>
      </c>
      <c r="AP119" s="36">
        <f t="shared" si="114"/>
        <v>0</v>
      </c>
      <c r="AQ119" s="36">
        <f t="shared" si="114"/>
        <v>0</v>
      </c>
      <c r="AR119" s="36">
        <f t="shared" si="114"/>
        <v>0</v>
      </c>
      <c r="AS119" s="36">
        <f t="shared" si="114"/>
        <v>0</v>
      </c>
      <c r="AT119" s="36">
        <f t="shared" si="114"/>
        <v>0</v>
      </c>
      <c r="AU119" s="36">
        <f t="shared" si="114"/>
        <v>0</v>
      </c>
      <c r="AV119" s="36">
        <f t="shared" si="114"/>
        <v>668778.15417187486</v>
      </c>
      <c r="AW119" s="36">
        <f t="shared" si="114"/>
        <v>668778.15417187486</v>
      </c>
      <c r="AX119" s="36">
        <f t="shared" si="114"/>
        <v>1003167.2312578122</v>
      </c>
      <c r="AY119" s="36">
        <f t="shared" si="114"/>
        <v>1337556.3083437497</v>
      </c>
      <c r="AZ119" s="36">
        <f t="shared" si="114"/>
        <v>1337556.3083437497</v>
      </c>
      <c r="BA119" s="36">
        <f t="shared" si="114"/>
        <v>1671945.3854296871</v>
      </c>
      <c r="BB119" s="36">
        <f t="shared" si="114"/>
        <v>2006334.4625156245</v>
      </c>
      <c r="BC119" s="36">
        <f t="shared" si="114"/>
        <v>2006334.4625156245</v>
      </c>
      <c r="BD119" s="36">
        <f t="shared" si="114"/>
        <v>2006334.4625156245</v>
      </c>
      <c r="BE119" s="36">
        <f t="shared" si="114"/>
        <v>2675112.6166874995</v>
      </c>
      <c r="BF119" s="36">
        <f t="shared" si="114"/>
        <v>3009501.6937734364</v>
      </c>
      <c r="BG119" s="36">
        <f t="shared" si="114"/>
        <v>3343890.7708593742</v>
      </c>
      <c r="BH119" s="36">
        <f t="shared" si="114"/>
        <v>3678279.8479453116</v>
      </c>
      <c r="BI119" s="36">
        <f t="shared" si="114"/>
        <v>4012668.9250312489</v>
      </c>
      <c r="BJ119" s="36">
        <f t="shared" si="114"/>
        <v>4681447.0792031242</v>
      </c>
      <c r="BK119" s="36">
        <f t="shared" si="114"/>
        <v>5350225.2333749989</v>
      </c>
      <c r="BL119" s="36">
        <f t="shared" si="114"/>
        <v>5350225.2333749989</v>
      </c>
      <c r="BM119" s="36">
        <f t="shared" si="114"/>
        <v>5350225.2333749989</v>
      </c>
      <c r="BN119" s="36">
        <f t="shared" si="114"/>
        <v>5350225.2333749989</v>
      </c>
      <c r="BO119" s="36">
        <f t="shared" si="114"/>
        <v>4681447.0792031242</v>
      </c>
      <c r="BP119" s="36">
        <f t="shared" si="114"/>
        <v>4012668.9250312489</v>
      </c>
      <c r="BQ119" s="36">
        <f t="shared" si="114"/>
        <v>2675112.6166874995</v>
      </c>
      <c r="BR119" s="36">
        <f t="shared" si="114"/>
        <v>0</v>
      </c>
      <c r="BS119" s="36">
        <f t="shared" si="112"/>
        <v>0</v>
      </c>
      <c r="BT119" s="36">
        <f t="shared" si="112"/>
        <v>0</v>
      </c>
      <c r="BU119" s="36">
        <f t="shared" si="112"/>
        <v>0</v>
      </c>
      <c r="BV119" s="36">
        <f t="shared" si="112"/>
        <v>0</v>
      </c>
      <c r="BW119" s="36">
        <f t="shared" si="112"/>
        <v>0</v>
      </c>
      <c r="BX119" s="36">
        <f t="shared" si="112"/>
        <v>0</v>
      </c>
      <c r="BY119" s="36">
        <f t="shared" si="112"/>
        <v>0</v>
      </c>
      <c r="BZ119" s="36">
        <f t="shared" si="112"/>
        <v>0</v>
      </c>
      <c r="CA119" s="36">
        <f t="shared" si="112"/>
        <v>0</v>
      </c>
      <c r="CB119" s="36">
        <f t="shared" si="112"/>
        <v>0</v>
      </c>
      <c r="CC119" s="36">
        <f t="shared" si="112"/>
        <v>0</v>
      </c>
      <c r="CD119" s="36">
        <f t="shared" si="112"/>
        <v>0</v>
      </c>
      <c r="CE119" s="36">
        <f t="shared" si="112"/>
        <v>0</v>
      </c>
      <c r="CF119" s="36">
        <f t="shared" si="112"/>
        <v>0</v>
      </c>
      <c r="CG119" s="36">
        <f t="shared" si="112"/>
        <v>0</v>
      </c>
      <c r="CH119" s="36">
        <f t="shared" si="112"/>
        <v>0</v>
      </c>
      <c r="CI119" s="36">
        <f t="shared" si="112"/>
        <v>0</v>
      </c>
      <c r="CJ119" s="36">
        <f t="shared" si="112"/>
        <v>0</v>
      </c>
      <c r="CK119" s="36">
        <f t="shared" si="112"/>
        <v>0</v>
      </c>
      <c r="CL119" s="36">
        <f t="shared" si="112"/>
        <v>0</v>
      </c>
      <c r="CM119" s="36">
        <f t="shared" si="112"/>
        <v>0</v>
      </c>
      <c r="CN119" s="36">
        <f t="shared" si="112"/>
        <v>0</v>
      </c>
      <c r="CO119" s="36">
        <f t="shared" si="112"/>
        <v>0</v>
      </c>
      <c r="CP119" s="36">
        <f t="shared" si="112"/>
        <v>0</v>
      </c>
      <c r="CQ119" s="36">
        <f t="shared" si="112"/>
        <v>0</v>
      </c>
      <c r="CR119" s="36">
        <f t="shared" si="112"/>
        <v>0</v>
      </c>
      <c r="CS119" s="36">
        <f t="shared" si="112"/>
        <v>0</v>
      </c>
      <c r="CT119" s="36">
        <f t="shared" si="112"/>
        <v>0</v>
      </c>
      <c r="CU119" s="36">
        <f t="shared" si="112"/>
        <v>0</v>
      </c>
      <c r="CV119" s="36">
        <f t="shared" si="112"/>
        <v>0</v>
      </c>
      <c r="CW119" s="36">
        <f t="shared" si="112"/>
        <v>0</v>
      </c>
      <c r="CX119" s="36">
        <f t="shared" si="112"/>
        <v>0</v>
      </c>
      <c r="CY119" s="36">
        <f t="shared" si="111"/>
        <v>0</v>
      </c>
      <c r="CZ119" s="36">
        <f t="shared" si="111"/>
        <v>0</v>
      </c>
      <c r="DA119" s="36">
        <f t="shared" si="111"/>
        <v>0</v>
      </c>
      <c r="DB119" s="36">
        <f t="shared" si="111"/>
        <v>0</v>
      </c>
      <c r="DC119" s="36">
        <f t="shared" si="111"/>
        <v>0</v>
      </c>
      <c r="DD119" s="36">
        <f t="shared" si="111"/>
        <v>0</v>
      </c>
      <c r="DE119" s="36">
        <f t="shared" si="111"/>
        <v>0</v>
      </c>
      <c r="DF119" s="36">
        <f t="shared" si="111"/>
        <v>0</v>
      </c>
      <c r="DG119" s="36">
        <f t="shared" si="111"/>
        <v>0</v>
      </c>
      <c r="DH119" s="36">
        <f t="shared" si="111"/>
        <v>0</v>
      </c>
      <c r="DI119" s="36">
        <f t="shared" si="111"/>
        <v>0</v>
      </c>
      <c r="DJ119" s="36">
        <f t="shared" si="111"/>
        <v>0</v>
      </c>
      <c r="DK119" s="36">
        <f t="shared" si="111"/>
        <v>0</v>
      </c>
      <c r="DL119" s="36">
        <f t="shared" si="111"/>
        <v>0</v>
      </c>
      <c r="DM119" s="36">
        <f t="shared" si="111"/>
        <v>0</v>
      </c>
      <c r="DN119" s="36">
        <f t="shared" si="111"/>
        <v>0</v>
      </c>
      <c r="DO119" s="36">
        <f t="shared" si="111"/>
        <v>0</v>
      </c>
      <c r="DP119" s="36">
        <f t="shared" si="111"/>
        <v>0</v>
      </c>
      <c r="DQ119" s="36">
        <f t="shared" si="111"/>
        <v>0</v>
      </c>
      <c r="DR119" s="36">
        <f t="shared" si="111"/>
        <v>0</v>
      </c>
      <c r="DS119" s="36">
        <f t="shared" si="111"/>
        <v>0</v>
      </c>
      <c r="DT119" s="36">
        <f t="shared" si="111"/>
        <v>0</v>
      </c>
      <c r="DU119" s="36">
        <f t="shared" si="111"/>
        <v>0</v>
      </c>
      <c r="DV119" s="36">
        <f t="shared" si="111"/>
        <v>0</v>
      </c>
    </row>
    <row r="120" spans="2:126" outlineLevel="1">
      <c r="B120" s="3" t="str">
        <f t="shared" si="105"/>
        <v>Property O</v>
      </c>
      <c r="C120" s="51">
        <f t="shared" si="106"/>
        <v>74600090.399999991</v>
      </c>
      <c r="D120" s="14"/>
      <c r="E120" s="35" t="s">
        <v>0</v>
      </c>
      <c r="F120" s="35"/>
      <c r="G120" s="36">
        <f t="shared" si="114"/>
        <v>0</v>
      </c>
      <c r="H120" s="36">
        <f t="shared" si="114"/>
        <v>0</v>
      </c>
      <c r="I120" s="36">
        <f t="shared" si="114"/>
        <v>0</v>
      </c>
      <c r="J120" s="36">
        <f t="shared" si="114"/>
        <v>0</v>
      </c>
      <c r="K120" s="36">
        <f t="shared" si="114"/>
        <v>0</v>
      </c>
      <c r="L120" s="36">
        <f t="shared" si="114"/>
        <v>0</v>
      </c>
      <c r="M120" s="36">
        <f t="shared" si="114"/>
        <v>0</v>
      </c>
      <c r="N120" s="36">
        <f t="shared" si="114"/>
        <v>0</v>
      </c>
      <c r="O120" s="36">
        <f t="shared" si="114"/>
        <v>0</v>
      </c>
      <c r="P120" s="36">
        <f t="shared" si="114"/>
        <v>0</v>
      </c>
      <c r="Q120" s="36">
        <f t="shared" si="114"/>
        <v>0</v>
      </c>
      <c r="R120" s="36">
        <f t="shared" si="114"/>
        <v>0</v>
      </c>
      <c r="S120" s="36">
        <f t="shared" si="114"/>
        <v>0</v>
      </c>
      <c r="T120" s="36">
        <f t="shared" si="114"/>
        <v>0</v>
      </c>
      <c r="U120" s="36">
        <f t="shared" si="114"/>
        <v>0</v>
      </c>
      <c r="V120" s="36">
        <f t="shared" si="114"/>
        <v>0</v>
      </c>
      <c r="W120" s="36">
        <f t="shared" si="114"/>
        <v>0</v>
      </c>
      <c r="X120" s="36">
        <f t="shared" si="114"/>
        <v>0</v>
      </c>
      <c r="Y120" s="36">
        <f t="shared" si="114"/>
        <v>0</v>
      </c>
      <c r="Z120" s="36">
        <f t="shared" si="114"/>
        <v>0</v>
      </c>
      <c r="AA120" s="36">
        <f t="shared" si="114"/>
        <v>0</v>
      </c>
      <c r="AB120" s="36">
        <f t="shared" si="114"/>
        <v>0</v>
      </c>
      <c r="AC120" s="36">
        <f t="shared" si="114"/>
        <v>0</v>
      </c>
      <c r="AD120" s="36">
        <f t="shared" si="114"/>
        <v>0</v>
      </c>
      <c r="AE120" s="36">
        <f t="shared" si="114"/>
        <v>0</v>
      </c>
      <c r="AF120" s="36">
        <f t="shared" si="114"/>
        <v>0</v>
      </c>
      <c r="AG120" s="36">
        <f t="shared" si="114"/>
        <v>0</v>
      </c>
      <c r="AH120" s="36">
        <f t="shared" si="114"/>
        <v>0</v>
      </c>
      <c r="AI120" s="36">
        <f t="shared" si="114"/>
        <v>0</v>
      </c>
      <c r="AJ120" s="36">
        <f t="shared" si="114"/>
        <v>0</v>
      </c>
      <c r="AK120" s="36">
        <f t="shared" si="114"/>
        <v>0</v>
      </c>
      <c r="AL120" s="36">
        <f t="shared" si="114"/>
        <v>0</v>
      </c>
      <c r="AM120" s="36">
        <f t="shared" si="114"/>
        <v>0</v>
      </c>
      <c r="AN120" s="36">
        <f t="shared" si="114"/>
        <v>0</v>
      </c>
      <c r="AO120" s="36">
        <f t="shared" si="114"/>
        <v>0</v>
      </c>
      <c r="AP120" s="36">
        <f t="shared" si="114"/>
        <v>0</v>
      </c>
      <c r="AQ120" s="36">
        <f t="shared" si="114"/>
        <v>0</v>
      </c>
      <c r="AR120" s="36">
        <f t="shared" si="114"/>
        <v>0</v>
      </c>
      <c r="AS120" s="36">
        <f t="shared" si="114"/>
        <v>0</v>
      </c>
      <c r="AT120" s="36">
        <f t="shared" si="114"/>
        <v>0</v>
      </c>
      <c r="AU120" s="36">
        <f t="shared" si="114"/>
        <v>0</v>
      </c>
      <c r="AV120" s="36">
        <f t="shared" si="114"/>
        <v>0</v>
      </c>
      <c r="AW120" s="36">
        <f t="shared" si="114"/>
        <v>0</v>
      </c>
      <c r="AX120" s="36">
        <f t="shared" si="114"/>
        <v>0</v>
      </c>
      <c r="AY120" s="36">
        <f t="shared" si="114"/>
        <v>0</v>
      </c>
      <c r="AZ120" s="36">
        <f t="shared" si="114"/>
        <v>0</v>
      </c>
      <c r="BA120" s="36">
        <f t="shared" si="114"/>
        <v>0</v>
      </c>
      <c r="BB120" s="36">
        <f t="shared" si="114"/>
        <v>746000.90399999998</v>
      </c>
      <c r="BC120" s="36">
        <f t="shared" si="114"/>
        <v>746000.90399999998</v>
      </c>
      <c r="BD120" s="36">
        <f t="shared" si="114"/>
        <v>746000.90399999998</v>
      </c>
      <c r="BE120" s="36">
        <f t="shared" si="114"/>
        <v>1492001.808</v>
      </c>
      <c r="BF120" s="36">
        <f t="shared" si="114"/>
        <v>1492001.808</v>
      </c>
      <c r="BG120" s="36">
        <f t="shared" si="114"/>
        <v>1492001.808</v>
      </c>
      <c r="BH120" s="36">
        <f t="shared" si="114"/>
        <v>1492001.808</v>
      </c>
      <c r="BI120" s="36">
        <f t="shared" si="114"/>
        <v>2238002.7119999998</v>
      </c>
      <c r="BJ120" s="36">
        <f t="shared" si="114"/>
        <v>2238002.7119999998</v>
      </c>
      <c r="BK120" s="36">
        <f t="shared" si="114"/>
        <v>2238002.7119999998</v>
      </c>
      <c r="BL120" s="36">
        <f t="shared" si="114"/>
        <v>2984003.6159999999</v>
      </c>
      <c r="BM120" s="36">
        <f t="shared" si="114"/>
        <v>2984003.6159999999</v>
      </c>
      <c r="BN120" s="36">
        <f t="shared" si="114"/>
        <v>3730004.5199999996</v>
      </c>
      <c r="BO120" s="36">
        <f t="shared" si="114"/>
        <v>3730004.5199999996</v>
      </c>
      <c r="BP120" s="36">
        <f t="shared" si="114"/>
        <v>4476005.4239999996</v>
      </c>
      <c r="BQ120" s="36">
        <f t="shared" si="114"/>
        <v>4476005.4239999996</v>
      </c>
      <c r="BR120" s="36">
        <f t="shared" si="114"/>
        <v>5222006.3279999997</v>
      </c>
      <c r="BS120" s="36">
        <f t="shared" si="112"/>
        <v>5222006.3279999997</v>
      </c>
      <c r="BT120" s="36">
        <f t="shared" si="112"/>
        <v>5968007.2319999998</v>
      </c>
      <c r="BU120" s="36">
        <f t="shared" si="112"/>
        <v>5968007.2319999998</v>
      </c>
      <c r="BV120" s="36">
        <f t="shared" si="112"/>
        <v>5968007.2319999998</v>
      </c>
      <c r="BW120" s="36">
        <f t="shared" si="112"/>
        <v>4476005.4239999996</v>
      </c>
      <c r="BX120" s="36">
        <f t="shared" si="112"/>
        <v>2984003.6159999999</v>
      </c>
      <c r="BY120" s="36">
        <f t="shared" si="112"/>
        <v>1492001.808</v>
      </c>
      <c r="BZ120" s="36">
        <f t="shared" si="112"/>
        <v>0</v>
      </c>
      <c r="CA120" s="36">
        <f t="shared" si="112"/>
        <v>0</v>
      </c>
      <c r="CB120" s="36">
        <f t="shared" si="112"/>
        <v>0</v>
      </c>
      <c r="CC120" s="36">
        <f t="shared" si="112"/>
        <v>0</v>
      </c>
      <c r="CD120" s="36">
        <f t="shared" si="112"/>
        <v>0</v>
      </c>
      <c r="CE120" s="36">
        <f t="shared" si="112"/>
        <v>0</v>
      </c>
      <c r="CF120" s="36">
        <f t="shared" si="112"/>
        <v>0</v>
      </c>
      <c r="CG120" s="36">
        <f t="shared" si="112"/>
        <v>0</v>
      </c>
      <c r="CH120" s="36">
        <f t="shared" si="112"/>
        <v>0</v>
      </c>
      <c r="CI120" s="36">
        <f t="shared" si="112"/>
        <v>0</v>
      </c>
      <c r="CJ120" s="36">
        <f t="shared" si="112"/>
        <v>0</v>
      </c>
      <c r="CK120" s="36">
        <f t="shared" si="112"/>
        <v>0</v>
      </c>
      <c r="CL120" s="36">
        <f t="shared" si="112"/>
        <v>0</v>
      </c>
      <c r="CM120" s="36">
        <f t="shared" si="112"/>
        <v>0</v>
      </c>
      <c r="CN120" s="36">
        <f t="shared" si="112"/>
        <v>0</v>
      </c>
      <c r="CO120" s="36">
        <f t="shared" si="112"/>
        <v>0</v>
      </c>
      <c r="CP120" s="36">
        <f t="shared" si="112"/>
        <v>0</v>
      </c>
      <c r="CQ120" s="36">
        <f t="shared" si="112"/>
        <v>0</v>
      </c>
      <c r="CR120" s="36">
        <f t="shared" si="112"/>
        <v>0</v>
      </c>
      <c r="CS120" s="36">
        <f t="shared" si="112"/>
        <v>0</v>
      </c>
      <c r="CT120" s="36">
        <f t="shared" si="112"/>
        <v>0</v>
      </c>
      <c r="CU120" s="36">
        <f t="shared" si="112"/>
        <v>0</v>
      </c>
      <c r="CV120" s="36">
        <f t="shared" si="112"/>
        <v>0</v>
      </c>
      <c r="CW120" s="36">
        <f t="shared" si="112"/>
        <v>0</v>
      </c>
      <c r="CX120" s="36">
        <f t="shared" si="112"/>
        <v>0</v>
      </c>
      <c r="CY120" s="36">
        <f t="shared" si="111"/>
        <v>0</v>
      </c>
      <c r="CZ120" s="36">
        <f t="shared" si="111"/>
        <v>0</v>
      </c>
      <c r="DA120" s="36">
        <f t="shared" si="111"/>
        <v>0</v>
      </c>
      <c r="DB120" s="36">
        <f t="shared" si="111"/>
        <v>0</v>
      </c>
      <c r="DC120" s="36">
        <f t="shared" si="111"/>
        <v>0</v>
      </c>
      <c r="DD120" s="36">
        <f t="shared" si="111"/>
        <v>0</v>
      </c>
      <c r="DE120" s="36">
        <f t="shared" si="111"/>
        <v>0</v>
      </c>
      <c r="DF120" s="36">
        <f t="shared" si="111"/>
        <v>0</v>
      </c>
      <c r="DG120" s="36">
        <f t="shared" si="111"/>
        <v>0</v>
      </c>
      <c r="DH120" s="36">
        <f t="shared" si="111"/>
        <v>0</v>
      </c>
      <c r="DI120" s="36">
        <f t="shared" si="111"/>
        <v>0</v>
      </c>
      <c r="DJ120" s="36">
        <f t="shared" si="111"/>
        <v>0</v>
      </c>
      <c r="DK120" s="36">
        <f t="shared" si="111"/>
        <v>0</v>
      </c>
      <c r="DL120" s="36">
        <f t="shared" si="111"/>
        <v>0</v>
      </c>
      <c r="DM120" s="36">
        <f t="shared" si="111"/>
        <v>0</v>
      </c>
      <c r="DN120" s="36">
        <f t="shared" si="111"/>
        <v>0</v>
      </c>
      <c r="DO120" s="36">
        <f t="shared" si="111"/>
        <v>0</v>
      </c>
      <c r="DP120" s="36">
        <f t="shared" si="111"/>
        <v>0</v>
      </c>
      <c r="DQ120" s="36">
        <f t="shared" si="111"/>
        <v>0</v>
      </c>
      <c r="DR120" s="36">
        <f t="shared" si="111"/>
        <v>0</v>
      </c>
      <c r="DS120" s="36">
        <f t="shared" si="111"/>
        <v>0</v>
      </c>
      <c r="DT120" s="36">
        <f t="shared" si="111"/>
        <v>0</v>
      </c>
      <c r="DU120" s="36">
        <f t="shared" si="111"/>
        <v>0</v>
      </c>
      <c r="DV120" s="36">
        <f t="shared" si="111"/>
        <v>0</v>
      </c>
    </row>
    <row r="121" spans="2:126" outlineLevel="1">
      <c r="B121" s="3"/>
      <c r="C121" s="2"/>
      <c r="D121" s="2"/>
      <c r="E121" s="35"/>
      <c r="F121" s="35"/>
      <c r="G121" s="2"/>
      <c r="H121" s="2"/>
      <c r="I121" s="3"/>
      <c r="J121" s="3"/>
      <c r="K121" s="2"/>
    </row>
    <row r="122" spans="2:126" outlineLevel="1">
      <c r="B122" s="3"/>
      <c r="C122" s="2"/>
      <c r="D122" s="2"/>
      <c r="E122" s="35"/>
      <c r="F122" s="35"/>
      <c r="G122" s="2"/>
      <c r="H122" s="2"/>
      <c r="I122" s="3"/>
      <c r="J122" s="3"/>
      <c r="K122" s="2"/>
    </row>
    <row r="123" spans="2:126">
      <c r="B123" s="1" t="s">
        <v>76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</row>
    <row r="124" spans="2:126" outlineLevel="1">
      <c r="B124" s="3"/>
      <c r="C124" s="2"/>
      <c r="D124" s="2"/>
      <c r="E124" s="35"/>
      <c r="F124" s="35"/>
      <c r="G124" s="2"/>
      <c r="H124" s="2"/>
      <c r="I124" s="3"/>
      <c r="J124" s="3"/>
      <c r="K124" s="2"/>
    </row>
    <row r="125" spans="2:126" outlineLevel="1">
      <c r="B125" s="6" t="s">
        <v>77</v>
      </c>
      <c r="C125" s="2"/>
      <c r="D125" s="2"/>
      <c r="E125" s="35"/>
      <c r="F125" s="35"/>
      <c r="G125" s="2"/>
      <c r="H125" s="2"/>
      <c r="I125" s="3"/>
      <c r="J125" s="3"/>
      <c r="K125" s="2"/>
    </row>
    <row r="126" spans="2:126" ht="27.6" outlineLevel="1">
      <c r="B126" s="52" t="s">
        <v>78</v>
      </c>
      <c r="C126" s="53" t="s">
        <v>79</v>
      </c>
      <c r="D126" s="53" t="s">
        <v>80</v>
      </c>
      <c r="E126" s="53"/>
      <c r="F126" s="53" t="s">
        <v>81</v>
      </c>
      <c r="G126" s="53" t="s">
        <v>82</v>
      </c>
      <c r="H126" s="53" t="s">
        <v>83</v>
      </c>
      <c r="I126" s="53" t="s">
        <v>27</v>
      </c>
      <c r="J126" s="53" t="s">
        <v>84</v>
      </c>
      <c r="K126" s="53" t="s">
        <v>85</v>
      </c>
      <c r="L126" s="53" t="s">
        <v>86</v>
      </c>
      <c r="M126" s="53" t="s">
        <v>87</v>
      </c>
      <c r="N126" s="53" t="s">
        <v>28</v>
      </c>
      <c r="O126" s="53" t="s">
        <v>88</v>
      </c>
    </row>
    <row r="127" spans="2:126" ht="14.4" outlineLevel="1">
      <c r="B127" s="3" t="str">
        <f t="shared" ref="B127:B136" si="115">B32</f>
        <v>Property F</v>
      </c>
      <c r="C127" s="54">
        <f>CaseData!F15</f>
        <v>44562</v>
      </c>
      <c r="D127" s="14">
        <f>INDEX($G$4:$DV$4,MATCH($C127,$G$2:$DV$2,1))</f>
        <v>1</v>
      </c>
      <c r="E127" s="35"/>
      <c r="F127" s="50">
        <f>CaseData!D15</f>
        <v>4110600</v>
      </c>
      <c r="G127" s="55" cm="1">
        <f t="array" ref="G127">INDEX($G$212:$DV$212,1, D127)</f>
        <v>1.05</v>
      </c>
      <c r="H127" s="15">
        <f>F127*G127</f>
        <v>4316130</v>
      </c>
      <c r="I127" s="56">
        <f>CaseData!G15</f>
        <v>4</v>
      </c>
      <c r="J127" s="14">
        <f t="shared" ref="J127:J136" si="116">D127+I127</f>
        <v>5</v>
      </c>
      <c r="K127" s="50">
        <f>CaseData!E15</f>
        <v>41106000</v>
      </c>
      <c r="L127" s="55" cm="1">
        <f t="array" ref="L127">INDEX($G$211:$DV$211,1, J127)</f>
        <v>1.0249999999999999</v>
      </c>
      <c r="M127" s="15">
        <f>K127*L127</f>
        <v>42133650</v>
      </c>
      <c r="N127" s="57">
        <f>CaseData!H15</f>
        <v>15</v>
      </c>
      <c r="O127" s="58">
        <f t="shared" ref="O127:O136" si="117">J127+N127</f>
        <v>20</v>
      </c>
      <c r="Q127" s="55"/>
      <c r="R127" s="72"/>
    </row>
    <row r="128" spans="2:126" ht="14.4" outlineLevel="1">
      <c r="B128" s="3" t="str">
        <f t="shared" si="115"/>
        <v>Property G</v>
      </c>
      <c r="C128" s="59">
        <f>CaseData!F16</f>
        <v>44652</v>
      </c>
      <c r="D128" s="14">
        <f t="shared" ref="D128:D136" si="118">INDEX($G$4:$DV$4,MATCH($C128,$G$2:$DV$2,1))</f>
        <v>4</v>
      </c>
      <c r="E128" s="35"/>
      <c r="F128" s="50">
        <f>CaseData!D16</f>
        <v>3722760</v>
      </c>
      <c r="G128" s="55" cm="1">
        <f t="array" ref="G128">INDEX($G$212:$DV$212,1, D128)</f>
        <v>1.05</v>
      </c>
      <c r="H128" s="15">
        <f t="shared" ref="H128:H136" si="119">F128*G128</f>
        <v>3908898</v>
      </c>
      <c r="I128" s="60">
        <f>CaseData!G16</f>
        <v>5</v>
      </c>
      <c r="J128" s="14">
        <f t="shared" si="116"/>
        <v>9</v>
      </c>
      <c r="K128" s="50">
        <f>CaseData!E16</f>
        <v>31023000</v>
      </c>
      <c r="L128" s="55" cm="1">
        <f t="array" ref="L128">INDEX($G$211:$DV$211,1, J128)</f>
        <v>1.0249999999999999</v>
      </c>
      <c r="M128" s="15">
        <f t="shared" ref="M128:M136" si="120">K128*L128</f>
        <v>31798574.999999996</v>
      </c>
      <c r="N128" s="61">
        <f>CaseData!H16</f>
        <v>12</v>
      </c>
      <c r="O128" s="58">
        <f t="shared" si="117"/>
        <v>21</v>
      </c>
      <c r="Q128" s="55"/>
      <c r="R128" s="72"/>
    </row>
    <row r="129" spans="2:126" ht="14.4" outlineLevel="1">
      <c r="B129" s="3" t="str">
        <f t="shared" si="115"/>
        <v>Property H</v>
      </c>
      <c r="C129" s="59">
        <f>CaseData!F17</f>
        <v>44743</v>
      </c>
      <c r="D129" s="14">
        <f t="shared" si="118"/>
        <v>7</v>
      </c>
      <c r="E129" s="35"/>
      <c r="F129" s="50">
        <f>CaseData!D17</f>
        <v>4701620</v>
      </c>
      <c r="G129" s="55" cm="1">
        <f t="array" ref="G129">INDEX($G$212:$DV$212,1, D129)</f>
        <v>1.05</v>
      </c>
      <c r="H129" s="15">
        <f t="shared" si="119"/>
        <v>4936701</v>
      </c>
      <c r="I129" s="60">
        <f>CaseData!G17</f>
        <v>3</v>
      </c>
      <c r="J129" s="14">
        <f t="shared" si="116"/>
        <v>10</v>
      </c>
      <c r="K129" s="50">
        <f>CaseData!E17</f>
        <v>42742000</v>
      </c>
      <c r="L129" s="55" cm="1">
        <f t="array" ref="L129">INDEX($G$211:$DV$211,1, J129)</f>
        <v>1.0249999999999999</v>
      </c>
      <c r="M129" s="15">
        <f t="shared" si="120"/>
        <v>43810549.999999993</v>
      </c>
      <c r="N129" s="61">
        <f>CaseData!H17</f>
        <v>16</v>
      </c>
      <c r="O129" s="58">
        <f t="shared" si="117"/>
        <v>26</v>
      </c>
      <c r="Q129" s="55"/>
      <c r="R129" s="72"/>
    </row>
    <row r="130" spans="2:126" ht="14.4" outlineLevel="1">
      <c r="B130" s="3" t="str">
        <f t="shared" si="115"/>
        <v>Property I</v>
      </c>
      <c r="C130" s="59">
        <f>CaseData!F18</f>
        <v>44835</v>
      </c>
      <c r="D130" s="14">
        <f t="shared" si="118"/>
        <v>10</v>
      </c>
      <c r="E130" s="35"/>
      <c r="F130" s="50">
        <f>CaseData!D18</f>
        <v>6283200</v>
      </c>
      <c r="G130" s="55" cm="1">
        <f t="array" ref="G130">INDEX($G$212:$DV$212,1, D130)</f>
        <v>1.05</v>
      </c>
      <c r="H130" s="15">
        <f t="shared" si="119"/>
        <v>6597360</v>
      </c>
      <c r="I130" s="60">
        <f>CaseData!G18</f>
        <v>5</v>
      </c>
      <c r="J130" s="14">
        <f t="shared" si="116"/>
        <v>15</v>
      </c>
      <c r="K130" s="50">
        <f>CaseData!E18</f>
        <v>52360000</v>
      </c>
      <c r="L130" s="55" cm="1">
        <f t="array" ref="L130">INDEX($G$211:$DV$211,1, J130)</f>
        <v>1.0506249999999999</v>
      </c>
      <c r="M130" s="15">
        <f t="shared" si="120"/>
        <v>55010724.999999993</v>
      </c>
      <c r="N130" s="61">
        <f>CaseData!H18</f>
        <v>19</v>
      </c>
      <c r="O130" s="58">
        <f t="shared" si="117"/>
        <v>34</v>
      </c>
      <c r="Q130" s="55"/>
      <c r="R130" s="72"/>
    </row>
    <row r="131" spans="2:126" ht="14.4" outlineLevel="1">
      <c r="B131" s="3" t="str">
        <f t="shared" si="115"/>
        <v>Property J</v>
      </c>
      <c r="C131" s="59">
        <f>CaseData!F19</f>
        <v>44927</v>
      </c>
      <c r="D131" s="14">
        <f t="shared" si="118"/>
        <v>13</v>
      </c>
      <c r="E131" s="35"/>
      <c r="F131" s="50">
        <f>CaseData!D19</f>
        <v>4368960</v>
      </c>
      <c r="G131" s="55" cm="1">
        <f t="array" ref="G131">INDEX($G$212:$DV$212,1, D131)</f>
        <v>1.0972500000000001</v>
      </c>
      <c r="H131" s="15">
        <f t="shared" si="119"/>
        <v>4793841.3600000003</v>
      </c>
      <c r="I131" s="60">
        <f>CaseData!G19</f>
        <v>5</v>
      </c>
      <c r="J131" s="14">
        <f t="shared" si="116"/>
        <v>18</v>
      </c>
      <c r="K131" s="50">
        <f>CaseData!E19</f>
        <v>48544000</v>
      </c>
      <c r="L131" s="55" cm="1">
        <f t="array" ref="L131">INDEX($G$211:$DV$211,1, J131)</f>
        <v>1.0506249999999999</v>
      </c>
      <c r="M131" s="15">
        <f t="shared" si="120"/>
        <v>51001539.999999993</v>
      </c>
      <c r="N131" s="61">
        <f>CaseData!H19</f>
        <v>18</v>
      </c>
      <c r="O131" s="58">
        <f t="shared" si="117"/>
        <v>36</v>
      </c>
      <c r="Q131" s="55"/>
      <c r="R131" s="72"/>
    </row>
    <row r="132" spans="2:126" ht="14.4" outlineLevel="1">
      <c r="B132" s="3" t="str">
        <f t="shared" si="115"/>
        <v>Property K</v>
      </c>
      <c r="C132" s="59">
        <f>CaseData!F20</f>
        <v>45017</v>
      </c>
      <c r="D132" s="14">
        <f t="shared" si="118"/>
        <v>16</v>
      </c>
      <c r="E132" s="35"/>
      <c r="F132" s="50">
        <f>CaseData!D20</f>
        <v>2972970</v>
      </c>
      <c r="G132" s="55" cm="1">
        <f t="array" ref="G132">INDEX($G$212:$DV$212,1, D132)</f>
        <v>1.0972500000000001</v>
      </c>
      <c r="H132" s="15">
        <f t="shared" si="119"/>
        <v>3262091.3325</v>
      </c>
      <c r="I132" s="60">
        <f>CaseData!G20</f>
        <v>6</v>
      </c>
      <c r="J132" s="14">
        <f t="shared" si="116"/>
        <v>22</v>
      </c>
      <c r="K132" s="50">
        <f>CaseData!E20</f>
        <v>33033000</v>
      </c>
      <c r="L132" s="55" cm="1">
        <f t="array" ref="L132">INDEX($G$211:$DV$211,1, J132)</f>
        <v>1.0506249999999999</v>
      </c>
      <c r="M132" s="15">
        <f t="shared" si="120"/>
        <v>34705295.625</v>
      </c>
      <c r="N132" s="61">
        <f>CaseData!H20</f>
        <v>12</v>
      </c>
      <c r="O132" s="58">
        <f t="shared" si="117"/>
        <v>34</v>
      </c>
      <c r="Q132" s="55"/>
      <c r="R132" s="72"/>
    </row>
    <row r="133" spans="2:126" ht="14.4" outlineLevel="1">
      <c r="B133" s="3" t="str">
        <f t="shared" si="115"/>
        <v>Property L</v>
      </c>
      <c r="C133" s="59">
        <f>CaseData!F21</f>
        <v>45292</v>
      </c>
      <c r="D133" s="14">
        <f t="shared" si="118"/>
        <v>25</v>
      </c>
      <c r="E133" s="35"/>
      <c r="F133" s="50">
        <f>CaseData!D21</f>
        <v>6844200</v>
      </c>
      <c r="G133" s="55" cm="1">
        <f t="array" ref="G133">INDEX($G$212:$DV$212,1, D133)</f>
        <v>1.14114</v>
      </c>
      <c r="H133" s="15">
        <f t="shared" si="119"/>
        <v>7810190.3880000003</v>
      </c>
      <c r="I133" s="60">
        <f>CaseData!G21</f>
        <v>3</v>
      </c>
      <c r="J133" s="14">
        <f t="shared" si="116"/>
        <v>28</v>
      </c>
      <c r="K133" s="50">
        <f>CaseData!E21</f>
        <v>62220000</v>
      </c>
      <c r="L133" s="55" cm="1">
        <f t="array" ref="L133">INDEX($G$211:$DV$211,1, J133)</f>
        <v>1.0768906249999999</v>
      </c>
      <c r="M133" s="15">
        <f t="shared" si="120"/>
        <v>67004134.687499993</v>
      </c>
      <c r="N133" s="61">
        <f>CaseData!H21</f>
        <v>23</v>
      </c>
      <c r="O133" s="58">
        <f t="shared" si="117"/>
        <v>51</v>
      </c>
      <c r="Q133" s="55"/>
      <c r="R133" s="72"/>
    </row>
    <row r="134" spans="2:126" ht="14.4" outlineLevel="1">
      <c r="B134" s="3" t="str">
        <f t="shared" si="115"/>
        <v>Property M</v>
      </c>
      <c r="C134" s="59">
        <f>CaseData!F22</f>
        <v>45383</v>
      </c>
      <c r="D134" s="14">
        <f t="shared" si="118"/>
        <v>28</v>
      </c>
      <c r="E134" s="35"/>
      <c r="F134" s="50">
        <f>CaseData!D22</f>
        <v>3701440</v>
      </c>
      <c r="G134" s="55" cm="1">
        <f t="array" ref="G134">INDEX($G$212:$DV$212,1, D134)</f>
        <v>1.14114</v>
      </c>
      <c r="H134" s="15">
        <f t="shared" si="119"/>
        <v>4223861.2416000003</v>
      </c>
      <c r="I134" s="60">
        <f>CaseData!G22</f>
        <v>6</v>
      </c>
      <c r="J134" s="14">
        <f t="shared" si="116"/>
        <v>34</v>
      </c>
      <c r="K134" s="50">
        <f>CaseData!E22</f>
        <v>46268000</v>
      </c>
      <c r="L134" s="55" cm="1">
        <f t="array" ref="L134">INDEX($G$211:$DV$211,1, J134)</f>
        <v>1.0768906249999999</v>
      </c>
      <c r="M134" s="15">
        <f t="shared" si="120"/>
        <v>49825575.437499993</v>
      </c>
      <c r="N134" s="61">
        <f>CaseData!H22</f>
        <v>17</v>
      </c>
      <c r="O134" s="58">
        <f t="shared" si="117"/>
        <v>51</v>
      </c>
      <c r="Q134" s="55"/>
      <c r="R134" s="72"/>
    </row>
    <row r="135" spans="2:126" ht="14.4" outlineLevel="1">
      <c r="B135" s="3" t="str">
        <f t="shared" si="115"/>
        <v>Property N</v>
      </c>
      <c r="C135" s="59">
        <f>CaseData!F23</f>
        <v>45658</v>
      </c>
      <c r="D135" s="14">
        <f t="shared" si="118"/>
        <v>37</v>
      </c>
      <c r="E135" s="35"/>
      <c r="F135" s="50">
        <f>CaseData!D23</f>
        <v>5452920</v>
      </c>
      <c r="G135" s="55" cm="1">
        <f t="array" ref="G135">INDEX($G$212:$DV$212,1, D135)</f>
        <v>1.1810798999999998</v>
      </c>
      <c r="H135" s="15">
        <f t="shared" si="119"/>
        <v>6440334.2083079992</v>
      </c>
      <c r="I135" s="60">
        <f>CaseData!G23</f>
        <v>5</v>
      </c>
      <c r="J135" s="14">
        <f t="shared" si="116"/>
        <v>42</v>
      </c>
      <c r="K135" s="50">
        <f>CaseData!E23</f>
        <v>60588000</v>
      </c>
      <c r="L135" s="55" cm="1">
        <f t="array" ref="L135">INDEX($G$211:$DV$211,1, J135)</f>
        <v>1.1038128906249998</v>
      </c>
      <c r="M135" s="15">
        <f t="shared" si="120"/>
        <v>66877815.417187482</v>
      </c>
      <c r="N135" s="61">
        <f>CaseData!H23</f>
        <v>22</v>
      </c>
      <c r="O135" s="58">
        <f t="shared" si="117"/>
        <v>64</v>
      </c>
      <c r="Q135" s="55"/>
      <c r="R135" s="72"/>
    </row>
    <row r="136" spans="2:126" ht="14.4" outlineLevel="1">
      <c r="B136" s="3" t="str">
        <f t="shared" si="115"/>
        <v>Property O</v>
      </c>
      <c r="C136" s="59">
        <f>CaseData!F24</f>
        <v>45839</v>
      </c>
      <c r="D136" s="14">
        <f t="shared" si="118"/>
        <v>43</v>
      </c>
      <c r="E136" s="35"/>
      <c r="F136" s="50">
        <f>CaseData!D24</f>
        <v>5406720</v>
      </c>
      <c r="G136" s="55" cm="1">
        <f t="array" ref="G136">INDEX($G$212:$DV$212,1, D136)</f>
        <v>1.1810798999999998</v>
      </c>
      <c r="H136" s="15">
        <f t="shared" si="119"/>
        <v>6385768.3169279993</v>
      </c>
      <c r="I136" s="60">
        <f>CaseData!G24</f>
        <v>5</v>
      </c>
      <c r="J136" s="14">
        <f t="shared" si="116"/>
        <v>48</v>
      </c>
      <c r="K136" s="50">
        <f>CaseData!E24</f>
        <v>67584000</v>
      </c>
      <c r="L136" s="55" cm="1">
        <f t="array" ref="L136">INDEX($G$211:$DV$211,1, J136)</f>
        <v>1.1038128906249998</v>
      </c>
      <c r="M136" s="15">
        <f t="shared" si="120"/>
        <v>74600090.399999991</v>
      </c>
      <c r="N136" s="61">
        <f>CaseData!H24</f>
        <v>24</v>
      </c>
      <c r="O136" s="58">
        <f t="shared" si="117"/>
        <v>72</v>
      </c>
      <c r="Q136" s="55"/>
      <c r="R136" s="72"/>
    </row>
    <row r="137" spans="2:126" outlineLevel="1">
      <c r="B137" s="3"/>
      <c r="C137" s="2"/>
      <c r="D137" s="2"/>
      <c r="E137" s="35"/>
      <c r="F137" s="35"/>
      <c r="G137" s="2"/>
      <c r="H137" s="2"/>
      <c r="I137" s="3"/>
      <c r="J137" s="3"/>
      <c r="K137" s="2"/>
    </row>
    <row r="138" spans="2:126" outlineLevel="1">
      <c r="B138" s="2"/>
      <c r="C138" s="2"/>
      <c r="D138" s="2"/>
      <c r="E138" s="35"/>
      <c r="F138" s="35"/>
      <c r="G138" s="2"/>
      <c r="H138" s="2"/>
      <c r="I138" s="3"/>
      <c r="J138" s="3"/>
      <c r="K138" s="2"/>
    </row>
    <row r="139" spans="2:126" outlineLevel="1">
      <c r="B139" s="6" t="s">
        <v>89</v>
      </c>
      <c r="C139" s="2"/>
      <c r="D139" s="9" t="s">
        <v>80</v>
      </c>
      <c r="E139" s="35"/>
      <c r="F139" s="35"/>
      <c r="G139" s="2"/>
      <c r="H139" s="2"/>
      <c r="I139" s="3"/>
      <c r="J139" s="3"/>
      <c r="K139" s="2"/>
    </row>
    <row r="140" spans="2:126" outlineLevel="1">
      <c r="B140" s="3" t="str">
        <f t="shared" ref="B140:B149" si="121">B127</f>
        <v>Property F</v>
      </c>
      <c r="C140" s="2"/>
      <c r="D140" s="14">
        <f t="shared" ref="D140:D149" si="122">D127</f>
        <v>1</v>
      </c>
      <c r="E140" s="35"/>
      <c r="F140" s="35"/>
      <c r="G140" s="62">
        <f>IF($D140=G$4,1,0)</f>
        <v>1</v>
      </c>
      <c r="H140" s="62">
        <f t="shared" ref="H140:BS144" si="123">IF($D140=H$4,1,0)</f>
        <v>0</v>
      </c>
      <c r="I140" s="62">
        <f t="shared" si="123"/>
        <v>0</v>
      </c>
      <c r="J140" s="62">
        <f t="shared" si="123"/>
        <v>0</v>
      </c>
      <c r="K140" s="62">
        <f t="shared" si="123"/>
        <v>0</v>
      </c>
      <c r="L140" s="62">
        <f t="shared" si="123"/>
        <v>0</v>
      </c>
      <c r="M140" s="62">
        <f t="shared" si="123"/>
        <v>0</v>
      </c>
      <c r="N140" s="62">
        <f t="shared" si="123"/>
        <v>0</v>
      </c>
      <c r="O140" s="62">
        <f t="shared" si="123"/>
        <v>0</v>
      </c>
      <c r="P140" s="62">
        <f t="shared" si="123"/>
        <v>0</v>
      </c>
      <c r="Q140" s="62">
        <f t="shared" si="123"/>
        <v>0</v>
      </c>
      <c r="R140" s="62">
        <f t="shared" si="123"/>
        <v>0</v>
      </c>
      <c r="S140" s="62">
        <f t="shared" si="123"/>
        <v>0</v>
      </c>
      <c r="T140" s="62">
        <f t="shared" si="123"/>
        <v>0</v>
      </c>
      <c r="U140" s="62">
        <f t="shared" si="123"/>
        <v>0</v>
      </c>
      <c r="V140" s="62">
        <f t="shared" si="123"/>
        <v>0</v>
      </c>
      <c r="W140" s="62">
        <f t="shared" si="123"/>
        <v>0</v>
      </c>
      <c r="X140" s="62">
        <f t="shared" si="123"/>
        <v>0</v>
      </c>
      <c r="Y140" s="62">
        <f t="shared" si="123"/>
        <v>0</v>
      </c>
      <c r="Z140" s="62">
        <f t="shared" si="123"/>
        <v>0</v>
      </c>
      <c r="AA140" s="62">
        <f t="shared" si="123"/>
        <v>0</v>
      </c>
      <c r="AB140" s="62">
        <f t="shared" si="123"/>
        <v>0</v>
      </c>
      <c r="AC140" s="62">
        <f t="shared" si="123"/>
        <v>0</v>
      </c>
      <c r="AD140" s="62">
        <f t="shared" si="123"/>
        <v>0</v>
      </c>
      <c r="AE140" s="62">
        <f t="shared" si="123"/>
        <v>0</v>
      </c>
      <c r="AF140" s="62">
        <f t="shared" si="123"/>
        <v>0</v>
      </c>
      <c r="AG140" s="62">
        <f t="shared" si="123"/>
        <v>0</v>
      </c>
      <c r="AH140" s="62">
        <f t="shared" si="123"/>
        <v>0</v>
      </c>
      <c r="AI140" s="62">
        <f t="shared" si="123"/>
        <v>0</v>
      </c>
      <c r="AJ140" s="62">
        <f t="shared" si="123"/>
        <v>0</v>
      </c>
      <c r="AK140" s="62">
        <f t="shared" si="123"/>
        <v>0</v>
      </c>
      <c r="AL140" s="62">
        <f t="shared" si="123"/>
        <v>0</v>
      </c>
      <c r="AM140" s="62">
        <f t="shared" si="123"/>
        <v>0</v>
      </c>
      <c r="AN140" s="62">
        <f t="shared" si="123"/>
        <v>0</v>
      </c>
      <c r="AO140" s="62">
        <f t="shared" si="123"/>
        <v>0</v>
      </c>
      <c r="AP140" s="62">
        <f t="shared" si="123"/>
        <v>0</v>
      </c>
      <c r="AQ140" s="62">
        <f t="shared" si="123"/>
        <v>0</v>
      </c>
      <c r="AR140" s="62">
        <f t="shared" si="123"/>
        <v>0</v>
      </c>
      <c r="AS140" s="62">
        <f t="shared" si="123"/>
        <v>0</v>
      </c>
      <c r="AT140" s="62">
        <f t="shared" si="123"/>
        <v>0</v>
      </c>
      <c r="AU140" s="62">
        <f t="shared" si="123"/>
        <v>0</v>
      </c>
      <c r="AV140" s="62">
        <f t="shared" si="123"/>
        <v>0</v>
      </c>
      <c r="AW140" s="62">
        <f t="shared" si="123"/>
        <v>0</v>
      </c>
      <c r="AX140" s="62">
        <f t="shared" si="123"/>
        <v>0</v>
      </c>
      <c r="AY140" s="62">
        <f t="shared" si="123"/>
        <v>0</v>
      </c>
      <c r="AZ140" s="62">
        <f t="shared" si="123"/>
        <v>0</v>
      </c>
      <c r="BA140" s="62">
        <f t="shared" si="123"/>
        <v>0</v>
      </c>
      <c r="BB140" s="62">
        <f t="shared" si="123"/>
        <v>0</v>
      </c>
      <c r="BC140" s="62">
        <f t="shared" si="123"/>
        <v>0</v>
      </c>
      <c r="BD140" s="62">
        <f t="shared" si="123"/>
        <v>0</v>
      </c>
      <c r="BE140" s="62">
        <f t="shared" si="123"/>
        <v>0</v>
      </c>
      <c r="BF140" s="62">
        <f t="shared" si="123"/>
        <v>0</v>
      </c>
      <c r="BG140" s="62">
        <f t="shared" si="123"/>
        <v>0</v>
      </c>
      <c r="BH140" s="62">
        <f t="shared" si="123"/>
        <v>0</v>
      </c>
      <c r="BI140" s="62">
        <f t="shared" si="123"/>
        <v>0</v>
      </c>
      <c r="BJ140" s="62">
        <f t="shared" si="123"/>
        <v>0</v>
      </c>
      <c r="BK140" s="62">
        <f t="shared" si="123"/>
        <v>0</v>
      </c>
      <c r="BL140" s="62">
        <f t="shared" si="123"/>
        <v>0</v>
      </c>
      <c r="BM140" s="62">
        <f t="shared" si="123"/>
        <v>0</v>
      </c>
      <c r="BN140" s="62">
        <f t="shared" si="123"/>
        <v>0</v>
      </c>
      <c r="BO140" s="62">
        <f t="shared" si="123"/>
        <v>0</v>
      </c>
      <c r="BP140" s="62">
        <f t="shared" si="123"/>
        <v>0</v>
      </c>
      <c r="BQ140" s="62">
        <f t="shared" si="123"/>
        <v>0</v>
      </c>
      <c r="BR140" s="62">
        <f t="shared" si="123"/>
        <v>0</v>
      </c>
      <c r="BS140" s="62">
        <f t="shared" si="123"/>
        <v>0</v>
      </c>
      <c r="BT140" s="62">
        <f t="shared" ref="BT140:DV144" si="124">IF($D140=BT$4,1,0)</f>
        <v>0</v>
      </c>
      <c r="BU140" s="62">
        <f t="shared" si="124"/>
        <v>0</v>
      </c>
      <c r="BV140" s="62">
        <f t="shared" si="124"/>
        <v>0</v>
      </c>
      <c r="BW140" s="62">
        <f t="shared" si="124"/>
        <v>0</v>
      </c>
      <c r="BX140" s="62">
        <f t="shared" si="124"/>
        <v>0</v>
      </c>
      <c r="BY140" s="62">
        <f t="shared" si="124"/>
        <v>0</v>
      </c>
      <c r="BZ140" s="62">
        <f t="shared" si="124"/>
        <v>0</v>
      </c>
      <c r="CA140" s="62">
        <f t="shared" si="124"/>
        <v>0</v>
      </c>
      <c r="CB140" s="62">
        <f t="shared" si="124"/>
        <v>0</v>
      </c>
      <c r="CC140" s="62">
        <f t="shared" si="124"/>
        <v>0</v>
      </c>
      <c r="CD140" s="62">
        <f t="shared" si="124"/>
        <v>0</v>
      </c>
      <c r="CE140" s="62">
        <f t="shared" si="124"/>
        <v>0</v>
      </c>
      <c r="CF140" s="62">
        <f t="shared" si="124"/>
        <v>0</v>
      </c>
      <c r="CG140" s="62">
        <f t="shared" si="124"/>
        <v>0</v>
      </c>
      <c r="CH140" s="62">
        <f t="shared" si="124"/>
        <v>0</v>
      </c>
      <c r="CI140" s="62">
        <f t="shared" si="124"/>
        <v>0</v>
      </c>
      <c r="CJ140" s="62">
        <f t="shared" si="124"/>
        <v>0</v>
      </c>
      <c r="CK140" s="62">
        <f t="shared" si="124"/>
        <v>0</v>
      </c>
      <c r="CL140" s="62">
        <f t="shared" si="124"/>
        <v>0</v>
      </c>
      <c r="CM140" s="62">
        <f t="shared" si="124"/>
        <v>0</v>
      </c>
      <c r="CN140" s="62">
        <f t="shared" si="124"/>
        <v>0</v>
      </c>
      <c r="CO140" s="62">
        <f t="shared" si="124"/>
        <v>0</v>
      </c>
      <c r="CP140" s="62">
        <f t="shared" si="124"/>
        <v>0</v>
      </c>
      <c r="CQ140" s="62">
        <f t="shared" si="124"/>
        <v>0</v>
      </c>
      <c r="CR140" s="62">
        <f t="shared" si="124"/>
        <v>0</v>
      </c>
      <c r="CS140" s="62">
        <f t="shared" si="124"/>
        <v>0</v>
      </c>
      <c r="CT140" s="62">
        <f t="shared" si="124"/>
        <v>0</v>
      </c>
      <c r="CU140" s="62">
        <f t="shared" si="124"/>
        <v>0</v>
      </c>
      <c r="CV140" s="62">
        <f t="shared" si="124"/>
        <v>0</v>
      </c>
      <c r="CW140" s="62">
        <f t="shared" si="124"/>
        <v>0</v>
      </c>
      <c r="CX140" s="62">
        <f t="shared" si="124"/>
        <v>0</v>
      </c>
      <c r="CY140" s="62">
        <f t="shared" si="124"/>
        <v>0</v>
      </c>
      <c r="CZ140" s="62">
        <f t="shared" si="124"/>
        <v>0</v>
      </c>
      <c r="DA140" s="62">
        <f t="shared" si="124"/>
        <v>0</v>
      </c>
      <c r="DB140" s="62">
        <f t="shared" si="124"/>
        <v>0</v>
      </c>
      <c r="DC140" s="62">
        <f t="shared" si="124"/>
        <v>0</v>
      </c>
      <c r="DD140" s="62">
        <f t="shared" si="124"/>
        <v>0</v>
      </c>
      <c r="DE140" s="62">
        <f t="shared" si="124"/>
        <v>0</v>
      </c>
      <c r="DF140" s="62">
        <f t="shared" si="124"/>
        <v>0</v>
      </c>
      <c r="DG140" s="62">
        <f t="shared" si="124"/>
        <v>0</v>
      </c>
      <c r="DH140" s="62">
        <f t="shared" si="124"/>
        <v>0</v>
      </c>
      <c r="DI140" s="62">
        <f t="shared" si="124"/>
        <v>0</v>
      </c>
      <c r="DJ140" s="62">
        <f t="shared" si="124"/>
        <v>0</v>
      </c>
      <c r="DK140" s="62">
        <f t="shared" si="124"/>
        <v>0</v>
      </c>
      <c r="DL140" s="62">
        <f t="shared" si="124"/>
        <v>0</v>
      </c>
      <c r="DM140" s="62">
        <f t="shared" si="124"/>
        <v>0</v>
      </c>
      <c r="DN140" s="62">
        <f t="shared" si="124"/>
        <v>0</v>
      </c>
      <c r="DO140" s="62">
        <f t="shared" si="124"/>
        <v>0</v>
      </c>
      <c r="DP140" s="62">
        <f t="shared" si="124"/>
        <v>0</v>
      </c>
      <c r="DQ140" s="62">
        <f t="shared" si="124"/>
        <v>0</v>
      </c>
      <c r="DR140" s="62">
        <f t="shared" si="124"/>
        <v>0</v>
      </c>
      <c r="DS140" s="62">
        <f t="shared" si="124"/>
        <v>0</v>
      </c>
      <c r="DT140" s="62">
        <f t="shared" si="124"/>
        <v>0</v>
      </c>
      <c r="DU140" s="62">
        <f t="shared" si="124"/>
        <v>0</v>
      </c>
      <c r="DV140" s="62">
        <f t="shared" si="124"/>
        <v>0</v>
      </c>
    </row>
    <row r="141" spans="2:126" outlineLevel="1">
      <c r="B141" s="3" t="str">
        <f t="shared" si="121"/>
        <v>Property G</v>
      </c>
      <c r="C141" s="2"/>
      <c r="D141" s="14">
        <f t="shared" si="122"/>
        <v>4</v>
      </c>
      <c r="E141" s="35"/>
      <c r="F141" s="35"/>
      <c r="G141" s="62">
        <f t="shared" ref="G141:V149" si="125">IF($D141=G$4,1,0)</f>
        <v>0</v>
      </c>
      <c r="H141" s="62">
        <f t="shared" si="125"/>
        <v>0</v>
      </c>
      <c r="I141" s="62">
        <f t="shared" si="125"/>
        <v>0</v>
      </c>
      <c r="J141" s="62">
        <f t="shared" si="125"/>
        <v>1</v>
      </c>
      <c r="K141" s="62">
        <f t="shared" si="125"/>
        <v>0</v>
      </c>
      <c r="L141" s="62">
        <f t="shared" si="125"/>
        <v>0</v>
      </c>
      <c r="M141" s="62">
        <f t="shared" si="125"/>
        <v>0</v>
      </c>
      <c r="N141" s="62">
        <f t="shared" si="125"/>
        <v>0</v>
      </c>
      <c r="O141" s="62">
        <f t="shared" si="125"/>
        <v>0</v>
      </c>
      <c r="P141" s="62">
        <f t="shared" si="125"/>
        <v>0</v>
      </c>
      <c r="Q141" s="62">
        <f t="shared" si="125"/>
        <v>0</v>
      </c>
      <c r="R141" s="62">
        <f t="shared" si="125"/>
        <v>0</v>
      </c>
      <c r="S141" s="62">
        <f t="shared" si="125"/>
        <v>0</v>
      </c>
      <c r="T141" s="62">
        <f t="shared" si="125"/>
        <v>0</v>
      </c>
      <c r="U141" s="62">
        <f t="shared" si="125"/>
        <v>0</v>
      </c>
      <c r="V141" s="62">
        <f t="shared" si="125"/>
        <v>0</v>
      </c>
      <c r="W141" s="62">
        <f t="shared" si="123"/>
        <v>0</v>
      </c>
      <c r="X141" s="62">
        <f t="shared" si="123"/>
        <v>0</v>
      </c>
      <c r="Y141" s="62">
        <f t="shared" si="123"/>
        <v>0</v>
      </c>
      <c r="Z141" s="62">
        <f t="shared" si="123"/>
        <v>0</v>
      </c>
      <c r="AA141" s="62">
        <f t="shared" si="123"/>
        <v>0</v>
      </c>
      <c r="AB141" s="62">
        <f t="shared" si="123"/>
        <v>0</v>
      </c>
      <c r="AC141" s="62">
        <f t="shared" si="123"/>
        <v>0</v>
      </c>
      <c r="AD141" s="62">
        <f t="shared" si="123"/>
        <v>0</v>
      </c>
      <c r="AE141" s="62">
        <f t="shared" si="123"/>
        <v>0</v>
      </c>
      <c r="AF141" s="62">
        <f t="shared" si="123"/>
        <v>0</v>
      </c>
      <c r="AG141" s="62">
        <f t="shared" si="123"/>
        <v>0</v>
      </c>
      <c r="AH141" s="62">
        <f t="shared" si="123"/>
        <v>0</v>
      </c>
      <c r="AI141" s="62">
        <f t="shared" si="123"/>
        <v>0</v>
      </c>
      <c r="AJ141" s="62">
        <f t="shared" si="123"/>
        <v>0</v>
      </c>
      <c r="AK141" s="62">
        <f t="shared" si="123"/>
        <v>0</v>
      </c>
      <c r="AL141" s="62">
        <f t="shared" si="123"/>
        <v>0</v>
      </c>
      <c r="AM141" s="62">
        <f t="shared" si="123"/>
        <v>0</v>
      </c>
      <c r="AN141" s="62">
        <f t="shared" si="123"/>
        <v>0</v>
      </c>
      <c r="AO141" s="62">
        <f t="shared" si="123"/>
        <v>0</v>
      </c>
      <c r="AP141" s="62">
        <f t="shared" si="123"/>
        <v>0</v>
      </c>
      <c r="AQ141" s="62">
        <f t="shared" si="123"/>
        <v>0</v>
      </c>
      <c r="AR141" s="62">
        <f t="shared" si="123"/>
        <v>0</v>
      </c>
      <c r="AS141" s="62">
        <f t="shared" si="123"/>
        <v>0</v>
      </c>
      <c r="AT141" s="62">
        <f t="shared" si="123"/>
        <v>0</v>
      </c>
      <c r="AU141" s="62">
        <f t="shared" si="123"/>
        <v>0</v>
      </c>
      <c r="AV141" s="62">
        <f t="shared" si="123"/>
        <v>0</v>
      </c>
      <c r="AW141" s="62">
        <f t="shared" si="123"/>
        <v>0</v>
      </c>
      <c r="AX141" s="62">
        <f t="shared" si="123"/>
        <v>0</v>
      </c>
      <c r="AY141" s="62">
        <f t="shared" si="123"/>
        <v>0</v>
      </c>
      <c r="AZ141" s="62">
        <f t="shared" si="123"/>
        <v>0</v>
      </c>
      <c r="BA141" s="62">
        <f t="shared" si="123"/>
        <v>0</v>
      </c>
      <c r="BB141" s="62">
        <f t="shared" si="123"/>
        <v>0</v>
      </c>
      <c r="BC141" s="62">
        <f t="shared" si="123"/>
        <v>0</v>
      </c>
      <c r="BD141" s="62">
        <f t="shared" si="123"/>
        <v>0</v>
      </c>
      <c r="BE141" s="62">
        <f t="shared" si="123"/>
        <v>0</v>
      </c>
      <c r="BF141" s="62">
        <f t="shared" si="123"/>
        <v>0</v>
      </c>
      <c r="BG141" s="62">
        <f t="shared" si="123"/>
        <v>0</v>
      </c>
      <c r="BH141" s="62">
        <f t="shared" si="123"/>
        <v>0</v>
      </c>
      <c r="BI141" s="62">
        <f t="shared" si="123"/>
        <v>0</v>
      </c>
      <c r="BJ141" s="62">
        <f t="shared" si="123"/>
        <v>0</v>
      </c>
      <c r="BK141" s="62">
        <f t="shared" si="123"/>
        <v>0</v>
      </c>
      <c r="BL141" s="62">
        <f t="shared" si="123"/>
        <v>0</v>
      </c>
      <c r="BM141" s="62">
        <f t="shared" si="123"/>
        <v>0</v>
      </c>
      <c r="BN141" s="62">
        <f t="shared" si="123"/>
        <v>0</v>
      </c>
      <c r="BO141" s="62">
        <f t="shared" si="123"/>
        <v>0</v>
      </c>
      <c r="BP141" s="62">
        <f t="shared" si="123"/>
        <v>0</v>
      </c>
      <c r="BQ141" s="62">
        <f t="shared" si="123"/>
        <v>0</v>
      </c>
      <c r="BR141" s="62">
        <f t="shared" si="123"/>
        <v>0</v>
      </c>
      <c r="BS141" s="62">
        <f t="shared" si="123"/>
        <v>0</v>
      </c>
      <c r="BT141" s="62">
        <f t="shared" si="124"/>
        <v>0</v>
      </c>
      <c r="BU141" s="62">
        <f t="shared" si="124"/>
        <v>0</v>
      </c>
      <c r="BV141" s="62">
        <f t="shared" si="124"/>
        <v>0</v>
      </c>
      <c r="BW141" s="62">
        <f t="shared" si="124"/>
        <v>0</v>
      </c>
      <c r="BX141" s="62">
        <f t="shared" si="124"/>
        <v>0</v>
      </c>
      <c r="BY141" s="62">
        <f t="shared" si="124"/>
        <v>0</v>
      </c>
      <c r="BZ141" s="62">
        <f t="shared" si="124"/>
        <v>0</v>
      </c>
      <c r="CA141" s="62">
        <f t="shared" si="124"/>
        <v>0</v>
      </c>
      <c r="CB141" s="62">
        <f t="shared" si="124"/>
        <v>0</v>
      </c>
      <c r="CC141" s="62">
        <f t="shared" si="124"/>
        <v>0</v>
      </c>
      <c r="CD141" s="62">
        <f t="shared" si="124"/>
        <v>0</v>
      </c>
      <c r="CE141" s="62">
        <f t="shared" si="124"/>
        <v>0</v>
      </c>
      <c r="CF141" s="62">
        <f t="shared" si="124"/>
        <v>0</v>
      </c>
      <c r="CG141" s="62">
        <f t="shared" si="124"/>
        <v>0</v>
      </c>
      <c r="CH141" s="62">
        <f t="shared" si="124"/>
        <v>0</v>
      </c>
      <c r="CI141" s="62">
        <f t="shared" si="124"/>
        <v>0</v>
      </c>
      <c r="CJ141" s="62">
        <f t="shared" si="124"/>
        <v>0</v>
      </c>
      <c r="CK141" s="62">
        <f t="shared" si="124"/>
        <v>0</v>
      </c>
      <c r="CL141" s="62">
        <f t="shared" si="124"/>
        <v>0</v>
      </c>
      <c r="CM141" s="62">
        <f t="shared" si="124"/>
        <v>0</v>
      </c>
      <c r="CN141" s="62">
        <f t="shared" si="124"/>
        <v>0</v>
      </c>
      <c r="CO141" s="62">
        <f t="shared" si="124"/>
        <v>0</v>
      </c>
      <c r="CP141" s="62">
        <f t="shared" si="124"/>
        <v>0</v>
      </c>
      <c r="CQ141" s="62">
        <f t="shared" si="124"/>
        <v>0</v>
      </c>
      <c r="CR141" s="62">
        <f t="shared" si="124"/>
        <v>0</v>
      </c>
      <c r="CS141" s="62">
        <f t="shared" si="124"/>
        <v>0</v>
      </c>
      <c r="CT141" s="62">
        <f t="shared" si="124"/>
        <v>0</v>
      </c>
      <c r="CU141" s="62">
        <f t="shared" si="124"/>
        <v>0</v>
      </c>
      <c r="CV141" s="62">
        <f t="shared" si="124"/>
        <v>0</v>
      </c>
      <c r="CW141" s="62">
        <f t="shared" si="124"/>
        <v>0</v>
      </c>
      <c r="CX141" s="62">
        <f t="shared" si="124"/>
        <v>0</v>
      </c>
      <c r="CY141" s="62">
        <f t="shared" si="124"/>
        <v>0</v>
      </c>
      <c r="CZ141" s="62">
        <f t="shared" si="124"/>
        <v>0</v>
      </c>
      <c r="DA141" s="62">
        <f t="shared" si="124"/>
        <v>0</v>
      </c>
      <c r="DB141" s="62">
        <f t="shared" si="124"/>
        <v>0</v>
      </c>
      <c r="DC141" s="62">
        <f t="shared" si="124"/>
        <v>0</v>
      </c>
      <c r="DD141" s="62">
        <f t="shared" si="124"/>
        <v>0</v>
      </c>
      <c r="DE141" s="62">
        <f t="shared" si="124"/>
        <v>0</v>
      </c>
      <c r="DF141" s="62">
        <f t="shared" si="124"/>
        <v>0</v>
      </c>
      <c r="DG141" s="62">
        <f t="shared" si="124"/>
        <v>0</v>
      </c>
      <c r="DH141" s="62">
        <f t="shared" si="124"/>
        <v>0</v>
      </c>
      <c r="DI141" s="62">
        <f t="shared" si="124"/>
        <v>0</v>
      </c>
      <c r="DJ141" s="62">
        <f t="shared" si="124"/>
        <v>0</v>
      </c>
      <c r="DK141" s="62">
        <f t="shared" si="124"/>
        <v>0</v>
      </c>
      <c r="DL141" s="62">
        <f t="shared" si="124"/>
        <v>0</v>
      </c>
      <c r="DM141" s="62">
        <f t="shared" si="124"/>
        <v>0</v>
      </c>
      <c r="DN141" s="62">
        <f t="shared" si="124"/>
        <v>0</v>
      </c>
      <c r="DO141" s="62">
        <f t="shared" si="124"/>
        <v>0</v>
      </c>
      <c r="DP141" s="62">
        <f t="shared" si="124"/>
        <v>0</v>
      </c>
      <c r="DQ141" s="62">
        <f t="shared" si="124"/>
        <v>0</v>
      </c>
      <c r="DR141" s="62">
        <f t="shared" si="124"/>
        <v>0</v>
      </c>
      <c r="DS141" s="62">
        <f t="shared" si="124"/>
        <v>0</v>
      </c>
      <c r="DT141" s="62">
        <f t="shared" si="124"/>
        <v>0</v>
      </c>
      <c r="DU141" s="62">
        <f t="shared" si="124"/>
        <v>0</v>
      </c>
      <c r="DV141" s="62">
        <f t="shared" si="124"/>
        <v>0</v>
      </c>
    </row>
    <row r="142" spans="2:126" outlineLevel="1">
      <c r="B142" s="3" t="str">
        <f t="shared" si="121"/>
        <v>Property H</v>
      </c>
      <c r="C142" s="2"/>
      <c r="D142" s="14">
        <f t="shared" si="122"/>
        <v>7</v>
      </c>
      <c r="E142" s="35"/>
      <c r="F142" s="35"/>
      <c r="G142" s="62">
        <f t="shared" si="125"/>
        <v>0</v>
      </c>
      <c r="H142" s="62">
        <f t="shared" si="125"/>
        <v>0</v>
      </c>
      <c r="I142" s="62">
        <f t="shared" si="125"/>
        <v>0</v>
      </c>
      <c r="J142" s="62">
        <f t="shared" si="125"/>
        <v>0</v>
      </c>
      <c r="K142" s="62">
        <f t="shared" si="125"/>
        <v>0</v>
      </c>
      <c r="L142" s="62">
        <f t="shared" si="125"/>
        <v>0</v>
      </c>
      <c r="M142" s="62">
        <f t="shared" si="125"/>
        <v>1</v>
      </c>
      <c r="N142" s="62">
        <f t="shared" si="125"/>
        <v>0</v>
      </c>
      <c r="O142" s="62">
        <f t="shared" si="125"/>
        <v>0</v>
      </c>
      <c r="P142" s="62">
        <f t="shared" si="125"/>
        <v>0</v>
      </c>
      <c r="Q142" s="62">
        <f t="shared" si="125"/>
        <v>0</v>
      </c>
      <c r="R142" s="62">
        <f t="shared" si="125"/>
        <v>0</v>
      </c>
      <c r="S142" s="62">
        <f t="shared" si="125"/>
        <v>0</v>
      </c>
      <c r="T142" s="62">
        <f t="shared" si="125"/>
        <v>0</v>
      </c>
      <c r="U142" s="62">
        <f t="shared" si="125"/>
        <v>0</v>
      </c>
      <c r="V142" s="62">
        <f t="shared" si="125"/>
        <v>0</v>
      </c>
      <c r="W142" s="62">
        <f t="shared" si="123"/>
        <v>0</v>
      </c>
      <c r="X142" s="62">
        <f t="shared" si="123"/>
        <v>0</v>
      </c>
      <c r="Y142" s="62">
        <f t="shared" si="123"/>
        <v>0</v>
      </c>
      <c r="Z142" s="62">
        <f t="shared" si="123"/>
        <v>0</v>
      </c>
      <c r="AA142" s="62">
        <f t="shared" si="123"/>
        <v>0</v>
      </c>
      <c r="AB142" s="62">
        <f t="shared" si="123"/>
        <v>0</v>
      </c>
      <c r="AC142" s="62">
        <f t="shared" si="123"/>
        <v>0</v>
      </c>
      <c r="AD142" s="62">
        <f t="shared" si="123"/>
        <v>0</v>
      </c>
      <c r="AE142" s="62">
        <f t="shared" si="123"/>
        <v>0</v>
      </c>
      <c r="AF142" s="62">
        <f t="shared" si="123"/>
        <v>0</v>
      </c>
      <c r="AG142" s="62">
        <f t="shared" si="123"/>
        <v>0</v>
      </c>
      <c r="AH142" s="62">
        <f t="shared" si="123"/>
        <v>0</v>
      </c>
      <c r="AI142" s="62">
        <f t="shared" si="123"/>
        <v>0</v>
      </c>
      <c r="AJ142" s="62">
        <f t="shared" si="123"/>
        <v>0</v>
      </c>
      <c r="AK142" s="62">
        <f t="shared" si="123"/>
        <v>0</v>
      </c>
      <c r="AL142" s="62">
        <f t="shared" si="123"/>
        <v>0</v>
      </c>
      <c r="AM142" s="62">
        <f t="shared" si="123"/>
        <v>0</v>
      </c>
      <c r="AN142" s="62">
        <f t="shared" si="123"/>
        <v>0</v>
      </c>
      <c r="AO142" s="62">
        <f t="shared" si="123"/>
        <v>0</v>
      </c>
      <c r="AP142" s="62">
        <f t="shared" si="123"/>
        <v>0</v>
      </c>
      <c r="AQ142" s="62">
        <f t="shared" si="123"/>
        <v>0</v>
      </c>
      <c r="AR142" s="62">
        <f t="shared" si="123"/>
        <v>0</v>
      </c>
      <c r="AS142" s="62">
        <f t="shared" si="123"/>
        <v>0</v>
      </c>
      <c r="AT142" s="62">
        <f t="shared" si="123"/>
        <v>0</v>
      </c>
      <c r="AU142" s="62">
        <f t="shared" si="123"/>
        <v>0</v>
      </c>
      <c r="AV142" s="62">
        <f t="shared" si="123"/>
        <v>0</v>
      </c>
      <c r="AW142" s="62">
        <f t="shared" si="123"/>
        <v>0</v>
      </c>
      <c r="AX142" s="62">
        <f t="shared" si="123"/>
        <v>0</v>
      </c>
      <c r="AY142" s="62">
        <f t="shared" si="123"/>
        <v>0</v>
      </c>
      <c r="AZ142" s="62">
        <f t="shared" si="123"/>
        <v>0</v>
      </c>
      <c r="BA142" s="62">
        <f t="shared" si="123"/>
        <v>0</v>
      </c>
      <c r="BB142" s="62">
        <f t="shared" si="123"/>
        <v>0</v>
      </c>
      <c r="BC142" s="62">
        <f t="shared" si="123"/>
        <v>0</v>
      </c>
      <c r="BD142" s="62">
        <f t="shared" si="123"/>
        <v>0</v>
      </c>
      <c r="BE142" s="62">
        <f t="shared" si="123"/>
        <v>0</v>
      </c>
      <c r="BF142" s="62">
        <f t="shared" si="123"/>
        <v>0</v>
      </c>
      <c r="BG142" s="62">
        <f t="shared" si="123"/>
        <v>0</v>
      </c>
      <c r="BH142" s="62">
        <f t="shared" si="123"/>
        <v>0</v>
      </c>
      <c r="BI142" s="62">
        <f t="shared" si="123"/>
        <v>0</v>
      </c>
      <c r="BJ142" s="62">
        <f t="shared" si="123"/>
        <v>0</v>
      </c>
      <c r="BK142" s="62">
        <f t="shared" si="123"/>
        <v>0</v>
      </c>
      <c r="BL142" s="62">
        <f t="shared" si="123"/>
        <v>0</v>
      </c>
      <c r="BM142" s="62">
        <f t="shared" si="123"/>
        <v>0</v>
      </c>
      <c r="BN142" s="62">
        <f t="shared" si="123"/>
        <v>0</v>
      </c>
      <c r="BO142" s="62">
        <f t="shared" si="123"/>
        <v>0</v>
      </c>
      <c r="BP142" s="62">
        <f t="shared" si="123"/>
        <v>0</v>
      </c>
      <c r="BQ142" s="62">
        <f t="shared" si="123"/>
        <v>0</v>
      </c>
      <c r="BR142" s="62">
        <f t="shared" si="123"/>
        <v>0</v>
      </c>
      <c r="BS142" s="62">
        <f t="shared" si="123"/>
        <v>0</v>
      </c>
      <c r="BT142" s="62">
        <f t="shared" si="124"/>
        <v>0</v>
      </c>
      <c r="BU142" s="62">
        <f t="shared" si="124"/>
        <v>0</v>
      </c>
      <c r="BV142" s="62">
        <f t="shared" si="124"/>
        <v>0</v>
      </c>
      <c r="BW142" s="62">
        <f t="shared" si="124"/>
        <v>0</v>
      </c>
      <c r="BX142" s="62">
        <f t="shared" si="124"/>
        <v>0</v>
      </c>
      <c r="BY142" s="62">
        <f t="shared" si="124"/>
        <v>0</v>
      </c>
      <c r="BZ142" s="62">
        <f t="shared" si="124"/>
        <v>0</v>
      </c>
      <c r="CA142" s="62">
        <f t="shared" si="124"/>
        <v>0</v>
      </c>
      <c r="CB142" s="62">
        <f t="shared" si="124"/>
        <v>0</v>
      </c>
      <c r="CC142" s="62">
        <f t="shared" si="124"/>
        <v>0</v>
      </c>
      <c r="CD142" s="62">
        <f t="shared" si="124"/>
        <v>0</v>
      </c>
      <c r="CE142" s="62">
        <f t="shared" si="124"/>
        <v>0</v>
      </c>
      <c r="CF142" s="62">
        <f t="shared" si="124"/>
        <v>0</v>
      </c>
      <c r="CG142" s="62">
        <f t="shared" si="124"/>
        <v>0</v>
      </c>
      <c r="CH142" s="62">
        <f t="shared" si="124"/>
        <v>0</v>
      </c>
      <c r="CI142" s="62">
        <f t="shared" si="124"/>
        <v>0</v>
      </c>
      <c r="CJ142" s="62">
        <f t="shared" si="124"/>
        <v>0</v>
      </c>
      <c r="CK142" s="62">
        <f t="shared" si="124"/>
        <v>0</v>
      </c>
      <c r="CL142" s="62">
        <f t="shared" si="124"/>
        <v>0</v>
      </c>
      <c r="CM142" s="62">
        <f t="shared" si="124"/>
        <v>0</v>
      </c>
      <c r="CN142" s="62">
        <f t="shared" si="124"/>
        <v>0</v>
      </c>
      <c r="CO142" s="62">
        <f t="shared" si="124"/>
        <v>0</v>
      </c>
      <c r="CP142" s="62">
        <f t="shared" si="124"/>
        <v>0</v>
      </c>
      <c r="CQ142" s="62">
        <f t="shared" si="124"/>
        <v>0</v>
      </c>
      <c r="CR142" s="62">
        <f t="shared" si="124"/>
        <v>0</v>
      </c>
      <c r="CS142" s="62">
        <f t="shared" si="124"/>
        <v>0</v>
      </c>
      <c r="CT142" s="62">
        <f t="shared" si="124"/>
        <v>0</v>
      </c>
      <c r="CU142" s="62">
        <f t="shared" si="124"/>
        <v>0</v>
      </c>
      <c r="CV142" s="62">
        <f t="shared" si="124"/>
        <v>0</v>
      </c>
      <c r="CW142" s="62">
        <f t="shared" si="124"/>
        <v>0</v>
      </c>
      <c r="CX142" s="62">
        <f t="shared" si="124"/>
        <v>0</v>
      </c>
      <c r="CY142" s="62">
        <f t="shared" si="124"/>
        <v>0</v>
      </c>
      <c r="CZ142" s="62">
        <f t="shared" si="124"/>
        <v>0</v>
      </c>
      <c r="DA142" s="62">
        <f t="shared" si="124"/>
        <v>0</v>
      </c>
      <c r="DB142" s="62">
        <f t="shared" si="124"/>
        <v>0</v>
      </c>
      <c r="DC142" s="62">
        <f t="shared" si="124"/>
        <v>0</v>
      </c>
      <c r="DD142" s="62">
        <f t="shared" si="124"/>
        <v>0</v>
      </c>
      <c r="DE142" s="62">
        <f t="shared" si="124"/>
        <v>0</v>
      </c>
      <c r="DF142" s="62">
        <f t="shared" si="124"/>
        <v>0</v>
      </c>
      <c r="DG142" s="62">
        <f t="shared" si="124"/>
        <v>0</v>
      </c>
      <c r="DH142" s="62">
        <f t="shared" si="124"/>
        <v>0</v>
      </c>
      <c r="DI142" s="62">
        <f t="shared" si="124"/>
        <v>0</v>
      </c>
      <c r="DJ142" s="62">
        <f t="shared" si="124"/>
        <v>0</v>
      </c>
      <c r="DK142" s="62">
        <f t="shared" si="124"/>
        <v>0</v>
      </c>
      <c r="DL142" s="62">
        <f t="shared" si="124"/>
        <v>0</v>
      </c>
      <c r="DM142" s="62">
        <f t="shared" si="124"/>
        <v>0</v>
      </c>
      <c r="DN142" s="62">
        <f t="shared" si="124"/>
        <v>0</v>
      </c>
      <c r="DO142" s="62">
        <f t="shared" si="124"/>
        <v>0</v>
      </c>
      <c r="DP142" s="62">
        <f t="shared" si="124"/>
        <v>0</v>
      </c>
      <c r="DQ142" s="62">
        <f t="shared" si="124"/>
        <v>0</v>
      </c>
      <c r="DR142" s="62">
        <f t="shared" si="124"/>
        <v>0</v>
      </c>
      <c r="DS142" s="62">
        <f t="shared" si="124"/>
        <v>0</v>
      </c>
      <c r="DT142" s="62">
        <f t="shared" si="124"/>
        <v>0</v>
      </c>
      <c r="DU142" s="62">
        <f t="shared" si="124"/>
        <v>0</v>
      </c>
      <c r="DV142" s="62">
        <f t="shared" si="124"/>
        <v>0</v>
      </c>
    </row>
    <row r="143" spans="2:126" outlineLevel="1">
      <c r="B143" s="3" t="str">
        <f t="shared" si="121"/>
        <v>Property I</v>
      </c>
      <c r="C143" s="2"/>
      <c r="D143" s="14">
        <f t="shared" si="122"/>
        <v>10</v>
      </c>
      <c r="E143" s="35"/>
      <c r="F143" s="35"/>
      <c r="G143" s="62">
        <f t="shared" si="125"/>
        <v>0</v>
      </c>
      <c r="H143" s="62">
        <f t="shared" si="123"/>
        <v>0</v>
      </c>
      <c r="I143" s="62">
        <f t="shared" si="123"/>
        <v>0</v>
      </c>
      <c r="J143" s="62">
        <f t="shared" si="123"/>
        <v>0</v>
      </c>
      <c r="K143" s="62">
        <f t="shared" si="123"/>
        <v>0</v>
      </c>
      <c r="L143" s="62">
        <f t="shared" si="123"/>
        <v>0</v>
      </c>
      <c r="M143" s="62">
        <f t="shared" si="123"/>
        <v>0</v>
      </c>
      <c r="N143" s="62">
        <f t="shared" si="123"/>
        <v>0</v>
      </c>
      <c r="O143" s="62">
        <f t="shared" si="123"/>
        <v>0</v>
      </c>
      <c r="P143" s="62">
        <f t="shared" si="123"/>
        <v>1</v>
      </c>
      <c r="Q143" s="62">
        <f t="shared" si="123"/>
        <v>0</v>
      </c>
      <c r="R143" s="62">
        <f t="shared" si="123"/>
        <v>0</v>
      </c>
      <c r="S143" s="62">
        <f t="shared" si="123"/>
        <v>0</v>
      </c>
      <c r="T143" s="62">
        <f t="shared" si="123"/>
        <v>0</v>
      </c>
      <c r="U143" s="62">
        <f t="shared" si="123"/>
        <v>0</v>
      </c>
      <c r="V143" s="62">
        <f t="shared" si="123"/>
        <v>0</v>
      </c>
      <c r="W143" s="62">
        <f t="shared" si="123"/>
        <v>0</v>
      </c>
      <c r="X143" s="62">
        <f t="shared" si="123"/>
        <v>0</v>
      </c>
      <c r="Y143" s="62">
        <f t="shared" si="123"/>
        <v>0</v>
      </c>
      <c r="Z143" s="62">
        <f t="shared" si="123"/>
        <v>0</v>
      </c>
      <c r="AA143" s="62">
        <f t="shared" si="123"/>
        <v>0</v>
      </c>
      <c r="AB143" s="62">
        <f t="shared" si="123"/>
        <v>0</v>
      </c>
      <c r="AC143" s="62">
        <f t="shared" si="123"/>
        <v>0</v>
      </c>
      <c r="AD143" s="62">
        <f t="shared" si="123"/>
        <v>0</v>
      </c>
      <c r="AE143" s="62">
        <f t="shared" si="123"/>
        <v>0</v>
      </c>
      <c r="AF143" s="62">
        <f t="shared" si="123"/>
        <v>0</v>
      </c>
      <c r="AG143" s="62">
        <f t="shared" si="123"/>
        <v>0</v>
      </c>
      <c r="AH143" s="62">
        <f t="shared" si="123"/>
        <v>0</v>
      </c>
      <c r="AI143" s="62">
        <f t="shared" si="123"/>
        <v>0</v>
      </c>
      <c r="AJ143" s="62">
        <f t="shared" si="123"/>
        <v>0</v>
      </c>
      <c r="AK143" s="62">
        <f t="shared" si="123"/>
        <v>0</v>
      </c>
      <c r="AL143" s="62">
        <f t="shared" si="123"/>
        <v>0</v>
      </c>
      <c r="AM143" s="62">
        <f t="shared" si="123"/>
        <v>0</v>
      </c>
      <c r="AN143" s="62">
        <f t="shared" si="123"/>
        <v>0</v>
      </c>
      <c r="AO143" s="62">
        <f t="shared" si="123"/>
        <v>0</v>
      </c>
      <c r="AP143" s="62">
        <f t="shared" si="123"/>
        <v>0</v>
      </c>
      <c r="AQ143" s="62">
        <f t="shared" si="123"/>
        <v>0</v>
      </c>
      <c r="AR143" s="62">
        <f t="shared" si="123"/>
        <v>0</v>
      </c>
      <c r="AS143" s="62">
        <f t="shared" si="123"/>
        <v>0</v>
      </c>
      <c r="AT143" s="62">
        <f t="shared" si="123"/>
        <v>0</v>
      </c>
      <c r="AU143" s="62">
        <f t="shared" si="123"/>
        <v>0</v>
      </c>
      <c r="AV143" s="62">
        <f t="shared" si="123"/>
        <v>0</v>
      </c>
      <c r="AW143" s="62">
        <f t="shared" si="123"/>
        <v>0</v>
      </c>
      <c r="AX143" s="62">
        <f t="shared" si="123"/>
        <v>0</v>
      </c>
      <c r="AY143" s="62">
        <f t="shared" si="123"/>
        <v>0</v>
      </c>
      <c r="AZ143" s="62">
        <f t="shared" si="123"/>
        <v>0</v>
      </c>
      <c r="BA143" s="62">
        <f t="shared" si="123"/>
        <v>0</v>
      </c>
      <c r="BB143" s="62">
        <f t="shared" si="123"/>
        <v>0</v>
      </c>
      <c r="BC143" s="62">
        <f t="shared" si="123"/>
        <v>0</v>
      </c>
      <c r="BD143" s="62">
        <f t="shared" si="123"/>
        <v>0</v>
      </c>
      <c r="BE143" s="62">
        <f t="shared" si="123"/>
        <v>0</v>
      </c>
      <c r="BF143" s="62">
        <f t="shared" si="123"/>
        <v>0</v>
      </c>
      <c r="BG143" s="62">
        <f t="shared" si="123"/>
        <v>0</v>
      </c>
      <c r="BH143" s="62">
        <f t="shared" si="123"/>
        <v>0</v>
      </c>
      <c r="BI143" s="62">
        <f t="shared" si="123"/>
        <v>0</v>
      </c>
      <c r="BJ143" s="62">
        <f t="shared" si="123"/>
        <v>0</v>
      </c>
      <c r="BK143" s="62">
        <f t="shared" si="123"/>
        <v>0</v>
      </c>
      <c r="BL143" s="62">
        <f t="shared" si="123"/>
        <v>0</v>
      </c>
      <c r="BM143" s="62">
        <f t="shared" si="123"/>
        <v>0</v>
      </c>
      <c r="BN143" s="62">
        <f t="shared" si="123"/>
        <v>0</v>
      </c>
      <c r="BO143" s="62">
        <f t="shared" si="123"/>
        <v>0</v>
      </c>
      <c r="BP143" s="62">
        <f t="shared" si="123"/>
        <v>0</v>
      </c>
      <c r="BQ143" s="62">
        <f t="shared" si="123"/>
        <v>0</v>
      </c>
      <c r="BR143" s="62">
        <f t="shared" si="123"/>
        <v>0</v>
      </c>
      <c r="BS143" s="62">
        <f t="shared" si="123"/>
        <v>0</v>
      </c>
      <c r="BT143" s="62">
        <f t="shared" si="124"/>
        <v>0</v>
      </c>
      <c r="BU143" s="62">
        <f t="shared" si="124"/>
        <v>0</v>
      </c>
      <c r="BV143" s="62">
        <f t="shared" si="124"/>
        <v>0</v>
      </c>
      <c r="BW143" s="62">
        <f t="shared" si="124"/>
        <v>0</v>
      </c>
      <c r="BX143" s="62">
        <f t="shared" si="124"/>
        <v>0</v>
      </c>
      <c r="BY143" s="62">
        <f t="shared" si="124"/>
        <v>0</v>
      </c>
      <c r="BZ143" s="62">
        <f t="shared" si="124"/>
        <v>0</v>
      </c>
      <c r="CA143" s="62">
        <f t="shared" si="124"/>
        <v>0</v>
      </c>
      <c r="CB143" s="62">
        <f t="shared" si="124"/>
        <v>0</v>
      </c>
      <c r="CC143" s="62">
        <f t="shared" si="124"/>
        <v>0</v>
      </c>
      <c r="CD143" s="62">
        <f t="shared" si="124"/>
        <v>0</v>
      </c>
      <c r="CE143" s="62">
        <f t="shared" si="124"/>
        <v>0</v>
      </c>
      <c r="CF143" s="62">
        <f t="shared" si="124"/>
        <v>0</v>
      </c>
      <c r="CG143" s="62">
        <f t="shared" si="124"/>
        <v>0</v>
      </c>
      <c r="CH143" s="62">
        <f t="shared" si="124"/>
        <v>0</v>
      </c>
      <c r="CI143" s="62">
        <f t="shared" si="124"/>
        <v>0</v>
      </c>
      <c r="CJ143" s="62">
        <f t="shared" si="124"/>
        <v>0</v>
      </c>
      <c r="CK143" s="62">
        <f t="shared" si="124"/>
        <v>0</v>
      </c>
      <c r="CL143" s="62">
        <f t="shared" si="124"/>
        <v>0</v>
      </c>
      <c r="CM143" s="62">
        <f t="shared" si="124"/>
        <v>0</v>
      </c>
      <c r="CN143" s="62">
        <f t="shared" si="124"/>
        <v>0</v>
      </c>
      <c r="CO143" s="62">
        <f t="shared" si="124"/>
        <v>0</v>
      </c>
      <c r="CP143" s="62">
        <f t="shared" si="124"/>
        <v>0</v>
      </c>
      <c r="CQ143" s="62">
        <f t="shared" si="124"/>
        <v>0</v>
      </c>
      <c r="CR143" s="62">
        <f t="shared" si="124"/>
        <v>0</v>
      </c>
      <c r="CS143" s="62">
        <f t="shared" si="124"/>
        <v>0</v>
      </c>
      <c r="CT143" s="62">
        <f t="shared" si="124"/>
        <v>0</v>
      </c>
      <c r="CU143" s="62">
        <f t="shared" si="124"/>
        <v>0</v>
      </c>
      <c r="CV143" s="62">
        <f t="shared" si="124"/>
        <v>0</v>
      </c>
      <c r="CW143" s="62">
        <f t="shared" si="124"/>
        <v>0</v>
      </c>
      <c r="CX143" s="62">
        <f t="shared" si="124"/>
        <v>0</v>
      </c>
      <c r="CY143" s="62">
        <f t="shared" si="124"/>
        <v>0</v>
      </c>
      <c r="CZ143" s="62">
        <f t="shared" si="124"/>
        <v>0</v>
      </c>
      <c r="DA143" s="62">
        <f t="shared" si="124"/>
        <v>0</v>
      </c>
      <c r="DB143" s="62">
        <f t="shared" si="124"/>
        <v>0</v>
      </c>
      <c r="DC143" s="62">
        <f t="shared" si="124"/>
        <v>0</v>
      </c>
      <c r="DD143" s="62">
        <f t="shared" si="124"/>
        <v>0</v>
      </c>
      <c r="DE143" s="62">
        <f t="shared" si="124"/>
        <v>0</v>
      </c>
      <c r="DF143" s="62">
        <f t="shared" si="124"/>
        <v>0</v>
      </c>
      <c r="DG143" s="62">
        <f t="shared" si="124"/>
        <v>0</v>
      </c>
      <c r="DH143" s="62">
        <f t="shared" si="124"/>
        <v>0</v>
      </c>
      <c r="DI143" s="62">
        <f t="shared" si="124"/>
        <v>0</v>
      </c>
      <c r="DJ143" s="62">
        <f t="shared" si="124"/>
        <v>0</v>
      </c>
      <c r="DK143" s="62">
        <f t="shared" si="124"/>
        <v>0</v>
      </c>
      <c r="DL143" s="62">
        <f t="shared" si="124"/>
        <v>0</v>
      </c>
      <c r="DM143" s="62">
        <f t="shared" si="124"/>
        <v>0</v>
      </c>
      <c r="DN143" s="62">
        <f t="shared" si="124"/>
        <v>0</v>
      </c>
      <c r="DO143" s="62">
        <f t="shared" si="124"/>
        <v>0</v>
      </c>
      <c r="DP143" s="62">
        <f t="shared" si="124"/>
        <v>0</v>
      </c>
      <c r="DQ143" s="62">
        <f t="shared" si="124"/>
        <v>0</v>
      </c>
      <c r="DR143" s="62">
        <f t="shared" si="124"/>
        <v>0</v>
      </c>
      <c r="DS143" s="62">
        <f t="shared" si="124"/>
        <v>0</v>
      </c>
      <c r="DT143" s="62">
        <f t="shared" si="124"/>
        <v>0</v>
      </c>
      <c r="DU143" s="62">
        <f t="shared" si="124"/>
        <v>0</v>
      </c>
      <c r="DV143" s="62">
        <f t="shared" si="124"/>
        <v>0</v>
      </c>
    </row>
    <row r="144" spans="2:126" outlineLevel="1">
      <c r="B144" s="3" t="str">
        <f t="shared" si="121"/>
        <v>Property J</v>
      </c>
      <c r="C144" s="2"/>
      <c r="D144" s="14">
        <f t="shared" si="122"/>
        <v>13</v>
      </c>
      <c r="E144" s="35"/>
      <c r="F144" s="35"/>
      <c r="G144" s="62">
        <f t="shared" si="125"/>
        <v>0</v>
      </c>
      <c r="H144" s="62">
        <f t="shared" si="123"/>
        <v>0</v>
      </c>
      <c r="I144" s="62">
        <f t="shared" si="123"/>
        <v>0</v>
      </c>
      <c r="J144" s="62">
        <f t="shared" si="123"/>
        <v>0</v>
      </c>
      <c r="K144" s="62">
        <f t="shared" si="123"/>
        <v>0</v>
      </c>
      <c r="L144" s="62">
        <f t="shared" si="123"/>
        <v>0</v>
      </c>
      <c r="M144" s="62">
        <f t="shared" si="123"/>
        <v>0</v>
      </c>
      <c r="N144" s="62">
        <f t="shared" si="123"/>
        <v>0</v>
      </c>
      <c r="O144" s="62">
        <f t="shared" si="123"/>
        <v>0</v>
      </c>
      <c r="P144" s="62">
        <f t="shared" si="123"/>
        <v>0</v>
      </c>
      <c r="Q144" s="62">
        <f t="shared" si="123"/>
        <v>0</v>
      </c>
      <c r="R144" s="62">
        <f t="shared" si="123"/>
        <v>0</v>
      </c>
      <c r="S144" s="62">
        <f t="shared" si="123"/>
        <v>1</v>
      </c>
      <c r="T144" s="62">
        <f t="shared" si="123"/>
        <v>0</v>
      </c>
      <c r="U144" s="62">
        <f t="shared" si="123"/>
        <v>0</v>
      </c>
      <c r="V144" s="62">
        <f t="shared" si="123"/>
        <v>0</v>
      </c>
      <c r="W144" s="62">
        <f t="shared" si="123"/>
        <v>0</v>
      </c>
      <c r="X144" s="62">
        <f t="shared" si="123"/>
        <v>0</v>
      </c>
      <c r="Y144" s="62">
        <f t="shared" si="123"/>
        <v>0</v>
      </c>
      <c r="Z144" s="62">
        <f t="shared" si="123"/>
        <v>0</v>
      </c>
      <c r="AA144" s="62">
        <f t="shared" si="123"/>
        <v>0</v>
      </c>
      <c r="AB144" s="62">
        <f t="shared" si="123"/>
        <v>0</v>
      </c>
      <c r="AC144" s="62">
        <f t="shared" si="123"/>
        <v>0</v>
      </c>
      <c r="AD144" s="62">
        <f t="shared" si="123"/>
        <v>0</v>
      </c>
      <c r="AE144" s="62">
        <f t="shared" si="123"/>
        <v>0</v>
      </c>
      <c r="AF144" s="62">
        <f t="shared" si="123"/>
        <v>0</v>
      </c>
      <c r="AG144" s="62">
        <f t="shared" si="123"/>
        <v>0</v>
      </c>
      <c r="AH144" s="62">
        <f t="shared" si="123"/>
        <v>0</v>
      </c>
      <c r="AI144" s="62">
        <f t="shared" si="123"/>
        <v>0</v>
      </c>
      <c r="AJ144" s="62">
        <f t="shared" si="123"/>
        <v>0</v>
      </c>
      <c r="AK144" s="62">
        <f t="shared" ref="AK144:CV149" si="126">IF($D144=AK$4,1,0)</f>
        <v>0</v>
      </c>
      <c r="AL144" s="62">
        <f t="shared" si="126"/>
        <v>0</v>
      </c>
      <c r="AM144" s="62">
        <f t="shared" si="126"/>
        <v>0</v>
      </c>
      <c r="AN144" s="62">
        <f t="shared" si="126"/>
        <v>0</v>
      </c>
      <c r="AO144" s="62">
        <f t="shared" si="126"/>
        <v>0</v>
      </c>
      <c r="AP144" s="62">
        <f t="shared" si="126"/>
        <v>0</v>
      </c>
      <c r="AQ144" s="62">
        <f t="shared" si="126"/>
        <v>0</v>
      </c>
      <c r="AR144" s="62">
        <f t="shared" si="126"/>
        <v>0</v>
      </c>
      <c r="AS144" s="62">
        <f t="shared" si="126"/>
        <v>0</v>
      </c>
      <c r="AT144" s="62">
        <f t="shared" si="126"/>
        <v>0</v>
      </c>
      <c r="AU144" s="62">
        <f t="shared" si="126"/>
        <v>0</v>
      </c>
      <c r="AV144" s="62">
        <f t="shared" si="126"/>
        <v>0</v>
      </c>
      <c r="AW144" s="62">
        <f t="shared" si="126"/>
        <v>0</v>
      </c>
      <c r="AX144" s="62">
        <f t="shared" si="126"/>
        <v>0</v>
      </c>
      <c r="AY144" s="62">
        <f t="shared" si="126"/>
        <v>0</v>
      </c>
      <c r="AZ144" s="62">
        <f t="shared" si="126"/>
        <v>0</v>
      </c>
      <c r="BA144" s="62">
        <f t="shared" si="126"/>
        <v>0</v>
      </c>
      <c r="BB144" s="62">
        <f t="shared" si="126"/>
        <v>0</v>
      </c>
      <c r="BC144" s="62">
        <f t="shared" si="126"/>
        <v>0</v>
      </c>
      <c r="BD144" s="62">
        <f t="shared" si="126"/>
        <v>0</v>
      </c>
      <c r="BE144" s="62">
        <f t="shared" si="126"/>
        <v>0</v>
      </c>
      <c r="BF144" s="62">
        <f t="shared" si="126"/>
        <v>0</v>
      </c>
      <c r="BG144" s="62">
        <f t="shared" si="126"/>
        <v>0</v>
      </c>
      <c r="BH144" s="62">
        <f t="shared" si="126"/>
        <v>0</v>
      </c>
      <c r="BI144" s="62">
        <f t="shared" si="126"/>
        <v>0</v>
      </c>
      <c r="BJ144" s="62">
        <f t="shared" si="126"/>
        <v>0</v>
      </c>
      <c r="BK144" s="62">
        <f t="shared" si="126"/>
        <v>0</v>
      </c>
      <c r="BL144" s="62">
        <f t="shared" si="126"/>
        <v>0</v>
      </c>
      <c r="BM144" s="62">
        <f t="shared" si="126"/>
        <v>0</v>
      </c>
      <c r="BN144" s="62">
        <f t="shared" si="126"/>
        <v>0</v>
      </c>
      <c r="BO144" s="62">
        <f t="shared" si="126"/>
        <v>0</v>
      </c>
      <c r="BP144" s="62">
        <f t="shared" si="126"/>
        <v>0</v>
      </c>
      <c r="BQ144" s="62">
        <f t="shared" si="126"/>
        <v>0</v>
      </c>
      <c r="BR144" s="62">
        <f t="shared" si="126"/>
        <v>0</v>
      </c>
      <c r="BS144" s="62">
        <f t="shared" si="126"/>
        <v>0</v>
      </c>
      <c r="BT144" s="62">
        <f t="shared" si="124"/>
        <v>0</v>
      </c>
      <c r="BU144" s="62">
        <f t="shared" si="124"/>
        <v>0</v>
      </c>
      <c r="BV144" s="62">
        <f t="shared" si="124"/>
        <v>0</v>
      </c>
      <c r="BW144" s="62">
        <f t="shared" si="124"/>
        <v>0</v>
      </c>
      <c r="BX144" s="62">
        <f t="shared" si="124"/>
        <v>0</v>
      </c>
      <c r="BY144" s="62">
        <f t="shared" si="124"/>
        <v>0</v>
      </c>
      <c r="BZ144" s="62">
        <f t="shared" si="124"/>
        <v>0</v>
      </c>
      <c r="CA144" s="62">
        <f t="shared" si="124"/>
        <v>0</v>
      </c>
      <c r="CB144" s="62">
        <f t="shared" si="124"/>
        <v>0</v>
      </c>
      <c r="CC144" s="62">
        <f t="shared" si="124"/>
        <v>0</v>
      </c>
      <c r="CD144" s="62">
        <f t="shared" si="124"/>
        <v>0</v>
      </c>
      <c r="CE144" s="62">
        <f t="shared" si="124"/>
        <v>0</v>
      </c>
      <c r="CF144" s="62">
        <f t="shared" si="124"/>
        <v>0</v>
      </c>
      <c r="CG144" s="62">
        <f t="shared" si="124"/>
        <v>0</v>
      </c>
      <c r="CH144" s="62">
        <f t="shared" si="124"/>
        <v>0</v>
      </c>
      <c r="CI144" s="62">
        <f t="shared" si="124"/>
        <v>0</v>
      </c>
      <c r="CJ144" s="62">
        <f t="shared" si="124"/>
        <v>0</v>
      </c>
      <c r="CK144" s="62">
        <f t="shared" si="124"/>
        <v>0</v>
      </c>
      <c r="CL144" s="62">
        <f t="shared" si="124"/>
        <v>0</v>
      </c>
      <c r="CM144" s="62">
        <f t="shared" si="124"/>
        <v>0</v>
      </c>
      <c r="CN144" s="62">
        <f t="shared" si="124"/>
        <v>0</v>
      </c>
      <c r="CO144" s="62">
        <f t="shared" si="124"/>
        <v>0</v>
      </c>
      <c r="CP144" s="62">
        <f t="shared" si="124"/>
        <v>0</v>
      </c>
      <c r="CQ144" s="62">
        <f t="shared" si="124"/>
        <v>0</v>
      </c>
      <c r="CR144" s="62">
        <f t="shared" si="124"/>
        <v>0</v>
      </c>
      <c r="CS144" s="62">
        <f t="shared" si="124"/>
        <v>0</v>
      </c>
      <c r="CT144" s="62">
        <f t="shared" si="124"/>
        <v>0</v>
      </c>
      <c r="CU144" s="62">
        <f t="shared" si="124"/>
        <v>0</v>
      </c>
      <c r="CV144" s="62">
        <f t="shared" si="124"/>
        <v>0</v>
      </c>
      <c r="CW144" s="62">
        <f t="shared" si="124"/>
        <v>0</v>
      </c>
      <c r="CX144" s="62">
        <f t="shared" si="124"/>
        <v>0</v>
      </c>
      <c r="CY144" s="62">
        <f t="shared" si="124"/>
        <v>0</v>
      </c>
      <c r="CZ144" s="62">
        <f t="shared" si="124"/>
        <v>0</v>
      </c>
      <c r="DA144" s="62">
        <f t="shared" si="124"/>
        <v>0</v>
      </c>
      <c r="DB144" s="62">
        <f t="shared" si="124"/>
        <v>0</v>
      </c>
      <c r="DC144" s="62">
        <f t="shared" ref="DC144:DV144" si="127">IF($D144=DC$4,1,0)</f>
        <v>0</v>
      </c>
      <c r="DD144" s="62">
        <f t="shared" si="127"/>
        <v>0</v>
      </c>
      <c r="DE144" s="62">
        <f t="shared" si="127"/>
        <v>0</v>
      </c>
      <c r="DF144" s="62">
        <f t="shared" si="127"/>
        <v>0</v>
      </c>
      <c r="DG144" s="62">
        <f t="shared" si="127"/>
        <v>0</v>
      </c>
      <c r="DH144" s="62">
        <f t="shared" si="127"/>
        <v>0</v>
      </c>
      <c r="DI144" s="62">
        <f t="shared" si="127"/>
        <v>0</v>
      </c>
      <c r="DJ144" s="62">
        <f t="shared" si="127"/>
        <v>0</v>
      </c>
      <c r="DK144" s="62">
        <f t="shared" si="127"/>
        <v>0</v>
      </c>
      <c r="DL144" s="62">
        <f t="shared" si="127"/>
        <v>0</v>
      </c>
      <c r="DM144" s="62">
        <f t="shared" si="127"/>
        <v>0</v>
      </c>
      <c r="DN144" s="62">
        <f t="shared" si="127"/>
        <v>0</v>
      </c>
      <c r="DO144" s="62">
        <f t="shared" si="127"/>
        <v>0</v>
      </c>
      <c r="DP144" s="62">
        <f t="shared" si="127"/>
        <v>0</v>
      </c>
      <c r="DQ144" s="62">
        <f t="shared" si="127"/>
        <v>0</v>
      </c>
      <c r="DR144" s="62">
        <f t="shared" si="127"/>
        <v>0</v>
      </c>
      <c r="DS144" s="62">
        <f t="shared" si="127"/>
        <v>0</v>
      </c>
      <c r="DT144" s="62">
        <f t="shared" si="127"/>
        <v>0</v>
      </c>
      <c r="DU144" s="62">
        <f t="shared" si="127"/>
        <v>0</v>
      </c>
      <c r="DV144" s="62">
        <f t="shared" si="127"/>
        <v>0</v>
      </c>
    </row>
    <row r="145" spans="2:126" outlineLevel="1">
      <c r="B145" s="3" t="str">
        <f t="shared" si="121"/>
        <v>Property K</v>
      </c>
      <c r="C145" s="2"/>
      <c r="D145" s="14">
        <f t="shared" si="122"/>
        <v>16</v>
      </c>
      <c r="E145" s="35"/>
      <c r="F145" s="35"/>
      <c r="G145" s="62">
        <f t="shared" si="125"/>
        <v>0</v>
      </c>
      <c r="H145" s="62">
        <f t="shared" si="125"/>
        <v>0</v>
      </c>
      <c r="I145" s="62">
        <f t="shared" si="125"/>
        <v>0</v>
      </c>
      <c r="J145" s="62">
        <f t="shared" si="125"/>
        <v>0</v>
      </c>
      <c r="K145" s="62">
        <f t="shared" si="125"/>
        <v>0</v>
      </c>
      <c r="L145" s="62">
        <f t="shared" si="125"/>
        <v>0</v>
      </c>
      <c r="M145" s="62">
        <f t="shared" si="125"/>
        <v>0</v>
      </c>
      <c r="N145" s="62">
        <f t="shared" si="125"/>
        <v>0</v>
      </c>
      <c r="O145" s="62">
        <f t="shared" si="125"/>
        <v>0</v>
      </c>
      <c r="P145" s="62">
        <f t="shared" si="125"/>
        <v>0</v>
      </c>
      <c r="Q145" s="62">
        <f t="shared" si="125"/>
        <v>0</v>
      </c>
      <c r="R145" s="62">
        <f t="shared" si="125"/>
        <v>0</v>
      </c>
      <c r="S145" s="62">
        <f t="shared" si="125"/>
        <v>0</v>
      </c>
      <c r="T145" s="62">
        <f t="shared" si="125"/>
        <v>0</v>
      </c>
      <c r="U145" s="62">
        <f t="shared" si="125"/>
        <v>0</v>
      </c>
      <c r="V145" s="62">
        <f t="shared" si="125"/>
        <v>1</v>
      </c>
      <c r="W145" s="62">
        <f t="shared" ref="W145:CD149" si="128">IF($D145=W$4,1,0)</f>
        <v>0</v>
      </c>
      <c r="X145" s="62">
        <f t="shared" si="128"/>
        <v>0</v>
      </c>
      <c r="Y145" s="62">
        <f t="shared" si="128"/>
        <v>0</v>
      </c>
      <c r="Z145" s="62">
        <f t="shared" si="128"/>
        <v>0</v>
      </c>
      <c r="AA145" s="62">
        <f t="shared" si="128"/>
        <v>0</v>
      </c>
      <c r="AB145" s="62">
        <f t="shared" si="128"/>
        <v>0</v>
      </c>
      <c r="AC145" s="62">
        <f t="shared" si="128"/>
        <v>0</v>
      </c>
      <c r="AD145" s="62">
        <f t="shared" si="128"/>
        <v>0</v>
      </c>
      <c r="AE145" s="62">
        <f t="shared" si="128"/>
        <v>0</v>
      </c>
      <c r="AF145" s="62">
        <f t="shared" si="128"/>
        <v>0</v>
      </c>
      <c r="AG145" s="62">
        <f t="shared" si="128"/>
        <v>0</v>
      </c>
      <c r="AH145" s="62">
        <f t="shared" si="128"/>
        <v>0</v>
      </c>
      <c r="AI145" s="62">
        <f t="shared" si="128"/>
        <v>0</v>
      </c>
      <c r="AJ145" s="62">
        <f t="shared" si="128"/>
        <v>0</v>
      </c>
      <c r="AK145" s="62">
        <f t="shared" si="128"/>
        <v>0</v>
      </c>
      <c r="AL145" s="62">
        <f t="shared" si="128"/>
        <v>0</v>
      </c>
      <c r="AM145" s="62">
        <f t="shared" si="128"/>
        <v>0</v>
      </c>
      <c r="AN145" s="62">
        <f t="shared" si="128"/>
        <v>0</v>
      </c>
      <c r="AO145" s="62">
        <f t="shared" si="128"/>
        <v>0</v>
      </c>
      <c r="AP145" s="62">
        <f t="shared" si="128"/>
        <v>0</v>
      </c>
      <c r="AQ145" s="62">
        <f t="shared" si="128"/>
        <v>0</v>
      </c>
      <c r="AR145" s="62">
        <f t="shared" si="128"/>
        <v>0</v>
      </c>
      <c r="AS145" s="62">
        <f t="shared" si="128"/>
        <v>0</v>
      </c>
      <c r="AT145" s="62">
        <f t="shared" si="128"/>
        <v>0</v>
      </c>
      <c r="AU145" s="62">
        <f t="shared" si="128"/>
        <v>0</v>
      </c>
      <c r="AV145" s="62">
        <f t="shared" si="128"/>
        <v>0</v>
      </c>
      <c r="AW145" s="62">
        <f t="shared" si="128"/>
        <v>0</v>
      </c>
      <c r="AX145" s="62">
        <f t="shared" si="128"/>
        <v>0</v>
      </c>
      <c r="AY145" s="62">
        <f t="shared" si="128"/>
        <v>0</v>
      </c>
      <c r="AZ145" s="62">
        <f t="shared" si="128"/>
        <v>0</v>
      </c>
      <c r="BA145" s="62">
        <f t="shared" si="128"/>
        <v>0</v>
      </c>
      <c r="BB145" s="62">
        <f t="shared" si="128"/>
        <v>0</v>
      </c>
      <c r="BC145" s="62">
        <f t="shared" si="128"/>
        <v>0</v>
      </c>
      <c r="BD145" s="62">
        <f t="shared" si="128"/>
        <v>0</v>
      </c>
      <c r="BE145" s="62">
        <f t="shared" si="128"/>
        <v>0</v>
      </c>
      <c r="BF145" s="62">
        <f t="shared" si="128"/>
        <v>0</v>
      </c>
      <c r="BG145" s="62">
        <f t="shared" si="128"/>
        <v>0</v>
      </c>
      <c r="BH145" s="62">
        <f t="shared" si="128"/>
        <v>0</v>
      </c>
      <c r="BI145" s="62">
        <f t="shared" si="128"/>
        <v>0</v>
      </c>
      <c r="BJ145" s="62">
        <f t="shared" si="128"/>
        <v>0</v>
      </c>
      <c r="BK145" s="62">
        <f t="shared" si="128"/>
        <v>0</v>
      </c>
      <c r="BL145" s="62">
        <f t="shared" si="128"/>
        <v>0</v>
      </c>
      <c r="BM145" s="62">
        <f t="shared" si="128"/>
        <v>0</v>
      </c>
      <c r="BN145" s="62">
        <f t="shared" si="128"/>
        <v>0</v>
      </c>
      <c r="BO145" s="62">
        <f t="shared" si="128"/>
        <v>0</v>
      </c>
      <c r="BP145" s="62">
        <f t="shared" si="128"/>
        <v>0</v>
      </c>
      <c r="BQ145" s="62">
        <f t="shared" si="128"/>
        <v>0</v>
      </c>
      <c r="BR145" s="62">
        <f t="shared" si="128"/>
        <v>0</v>
      </c>
      <c r="BS145" s="62">
        <f t="shared" si="126"/>
        <v>0</v>
      </c>
      <c r="BT145" s="62">
        <f t="shared" si="126"/>
        <v>0</v>
      </c>
      <c r="BU145" s="62">
        <f t="shared" si="126"/>
        <v>0</v>
      </c>
      <c r="BV145" s="62">
        <f t="shared" si="126"/>
        <v>0</v>
      </c>
      <c r="BW145" s="62">
        <f t="shared" si="126"/>
        <v>0</v>
      </c>
      <c r="BX145" s="62">
        <f t="shared" si="126"/>
        <v>0</v>
      </c>
      <c r="BY145" s="62">
        <f t="shared" si="126"/>
        <v>0</v>
      </c>
      <c r="BZ145" s="62">
        <f t="shared" si="126"/>
        <v>0</v>
      </c>
      <c r="CA145" s="62">
        <f t="shared" si="126"/>
        <v>0</v>
      </c>
      <c r="CB145" s="62">
        <f t="shared" si="126"/>
        <v>0</v>
      </c>
      <c r="CC145" s="62">
        <f t="shared" si="126"/>
        <v>0</v>
      </c>
      <c r="CD145" s="62">
        <f t="shared" si="126"/>
        <v>0</v>
      </c>
      <c r="CE145" s="62">
        <f t="shared" si="126"/>
        <v>0</v>
      </c>
      <c r="CF145" s="62">
        <f t="shared" si="126"/>
        <v>0</v>
      </c>
      <c r="CG145" s="62">
        <f t="shared" si="126"/>
        <v>0</v>
      </c>
      <c r="CH145" s="62">
        <f t="shared" si="126"/>
        <v>0</v>
      </c>
      <c r="CI145" s="62">
        <f t="shared" si="126"/>
        <v>0</v>
      </c>
      <c r="CJ145" s="62">
        <f t="shared" si="126"/>
        <v>0</v>
      </c>
      <c r="CK145" s="62">
        <f t="shared" si="126"/>
        <v>0</v>
      </c>
      <c r="CL145" s="62">
        <f t="shared" si="126"/>
        <v>0</v>
      </c>
      <c r="CM145" s="62">
        <f t="shared" si="126"/>
        <v>0</v>
      </c>
      <c r="CN145" s="62">
        <f t="shared" si="126"/>
        <v>0</v>
      </c>
      <c r="CO145" s="62">
        <f t="shared" si="126"/>
        <v>0</v>
      </c>
      <c r="CP145" s="62">
        <f t="shared" si="126"/>
        <v>0</v>
      </c>
      <c r="CQ145" s="62">
        <f t="shared" si="126"/>
        <v>0</v>
      </c>
      <c r="CR145" s="62">
        <f t="shared" si="126"/>
        <v>0</v>
      </c>
      <c r="CS145" s="62">
        <f t="shared" si="126"/>
        <v>0</v>
      </c>
      <c r="CT145" s="62">
        <f t="shared" si="126"/>
        <v>0</v>
      </c>
      <c r="CU145" s="62">
        <f t="shared" si="126"/>
        <v>0</v>
      </c>
      <c r="CV145" s="62">
        <f t="shared" si="126"/>
        <v>0</v>
      </c>
      <c r="CW145" s="62">
        <f t="shared" ref="CW145:DV149" si="129">IF($D145=CW$4,1,0)</f>
        <v>0</v>
      </c>
      <c r="CX145" s="62">
        <f t="shared" si="129"/>
        <v>0</v>
      </c>
      <c r="CY145" s="62">
        <f t="shared" si="129"/>
        <v>0</v>
      </c>
      <c r="CZ145" s="62">
        <f t="shared" si="129"/>
        <v>0</v>
      </c>
      <c r="DA145" s="62">
        <f t="shared" si="129"/>
        <v>0</v>
      </c>
      <c r="DB145" s="62">
        <f t="shared" si="129"/>
        <v>0</v>
      </c>
      <c r="DC145" s="62">
        <f t="shared" si="129"/>
        <v>0</v>
      </c>
      <c r="DD145" s="62">
        <f t="shared" si="129"/>
        <v>0</v>
      </c>
      <c r="DE145" s="62">
        <f t="shared" si="129"/>
        <v>0</v>
      </c>
      <c r="DF145" s="62">
        <f t="shared" si="129"/>
        <v>0</v>
      </c>
      <c r="DG145" s="62">
        <f t="shared" si="129"/>
        <v>0</v>
      </c>
      <c r="DH145" s="62">
        <f t="shared" si="129"/>
        <v>0</v>
      </c>
      <c r="DI145" s="62">
        <f t="shared" si="129"/>
        <v>0</v>
      </c>
      <c r="DJ145" s="62">
        <f t="shared" si="129"/>
        <v>0</v>
      </c>
      <c r="DK145" s="62">
        <f t="shared" si="129"/>
        <v>0</v>
      </c>
      <c r="DL145" s="62">
        <f t="shared" si="129"/>
        <v>0</v>
      </c>
      <c r="DM145" s="62">
        <f t="shared" si="129"/>
        <v>0</v>
      </c>
      <c r="DN145" s="62">
        <f t="shared" si="129"/>
        <v>0</v>
      </c>
      <c r="DO145" s="62">
        <f t="shared" si="129"/>
        <v>0</v>
      </c>
      <c r="DP145" s="62">
        <f t="shared" si="129"/>
        <v>0</v>
      </c>
      <c r="DQ145" s="62">
        <f t="shared" si="129"/>
        <v>0</v>
      </c>
      <c r="DR145" s="62">
        <f t="shared" si="129"/>
        <v>0</v>
      </c>
      <c r="DS145" s="62">
        <f t="shared" si="129"/>
        <v>0</v>
      </c>
      <c r="DT145" s="62">
        <f t="shared" si="129"/>
        <v>0</v>
      </c>
      <c r="DU145" s="62">
        <f t="shared" si="129"/>
        <v>0</v>
      </c>
      <c r="DV145" s="62">
        <f t="shared" si="129"/>
        <v>0</v>
      </c>
    </row>
    <row r="146" spans="2:126" outlineLevel="1">
      <c r="B146" s="3" t="str">
        <f t="shared" si="121"/>
        <v>Property L</v>
      </c>
      <c r="C146" s="2"/>
      <c r="D146" s="14">
        <f t="shared" si="122"/>
        <v>25</v>
      </c>
      <c r="E146" s="35"/>
      <c r="F146" s="35"/>
      <c r="G146" s="62">
        <f t="shared" si="125"/>
        <v>0</v>
      </c>
      <c r="H146" s="62">
        <f t="shared" si="125"/>
        <v>0</v>
      </c>
      <c r="I146" s="62">
        <f t="shared" si="125"/>
        <v>0</v>
      </c>
      <c r="J146" s="62">
        <f t="shared" si="125"/>
        <v>0</v>
      </c>
      <c r="K146" s="62">
        <f t="shared" si="125"/>
        <v>0</v>
      </c>
      <c r="L146" s="62">
        <f t="shared" si="125"/>
        <v>0</v>
      </c>
      <c r="M146" s="62">
        <f t="shared" si="125"/>
        <v>0</v>
      </c>
      <c r="N146" s="62">
        <f t="shared" si="125"/>
        <v>0</v>
      </c>
      <c r="O146" s="62">
        <f t="shared" si="125"/>
        <v>0</v>
      </c>
      <c r="P146" s="62">
        <f t="shared" si="125"/>
        <v>0</v>
      </c>
      <c r="Q146" s="62">
        <f t="shared" si="125"/>
        <v>0</v>
      </c>
      <c r="R146" s="62">
        <f t="shared" si="125"/>
        <v>0</v>
      </c>
      <c r="S146" s="62">
        <f t="shared" si="125"/>
        <v>0</v>
      </c>
      <c r="T146" s="62">
        <f t="shared" si="125"/>
        <v>0</v>
      </c>
      <c r="U146" s="62">
        <f t="shared" si="125"/>
        <v>0</v>
      </c>
      <c r="V146" s="62">
        <f t="shared" si="125"/>
        <v>0</v>
      </c>
      <c r="W146" s="62">
        <f t="shared" si="128"/>
        <v>0</v>
      </c>
      <c r="X146" s="62">
        <f t="shared" si="128"/>
        <v>0</v>
      </c>
      <c r="Y146" s="62">
        <f t="shared" si="128"/>
        <v>0</v>
      </c>
      <c r="Z146" s="62">
        <f t="shared" si="128"/>
        <v>0</v>
      </c>
      <c r="AA146" s="62">
        <f t="shared" si="128"/>
        <v>0</v>
      </c>
      <c r="AB146" s="62">
        <f t="shared" si="128"/>
        <v>0</v>
      </c>
      <c r="AC146" s="62">
        <f t="shared" si="128"/>
        <v>0</v>
      </c>
      <c r="AD146" s="62">
        <f t="shared" si="128"/>
        <v>0</v>
      </c>
      <c r="AE146" s="62">
        <f t="shared" si="128"/>
        <v>1</v>
      </c>
      <c r="AF146" s="62">
        <f t="shared" si="128"/>
        <v>0</v>
      </c>
      <c r="AG146" s="62">
        <f t="shared" si="128"/>
        <v>0</v>
      </c>
      <c r="AH146" s="62">
        <f t="shared" si="128"/>
        <v>0</v>
      </c>
      <c r="AI146" s="62">
        <f t="shared" si="128"/>
        <v>0</v>
      </c>
      <c r="AJ146" s="62">
        <f t="shared" si="128"/>
        <v>0</v>
      </c>
      <c r="AK146" s="62">
        <f t="shared" si="128"/>
        <v>0</v>
      </c>
      <c r="AL146" s="62">
        <f t="shared" si="128"/>
        <v>0</v>
      </c>
      <c r="AM146" s="62">
        <f t="shared" si="128"/>
        <v>0</v>
      </c>
      <c r="AN146" s="62">
        <f t="shared" si="128"/>
        <v>0</v>
      </c>
      <c r="AO146" s="62">
        <f t="shared" si="128"/>
        <v>0</v>
      </c>
      <c r="AP146" s="62">
        <f t="shared" si="128"/>
        <v>0</v>
      </c>
      <c r="AQ146" s="62">
        <f t="shared" si="128"/>
        <v>0</v>
      </c>
      <c r="AR146" s="62">
        <f t="shared" si="128"/>
        <v>0</v>
      </c>
      <c r="AS146" s="62">
        <f t="shared" si="128"/>
        <v>0</v>
      </c>
      <c r="AT146" s="62">
        <f t="shared" si="128"/>
        <v>0</v>
      </c>
      <c r="AU146" s="62">
        <f t="shared" si="128"/>
        <v>0</v>
      </c>
      <c r="AV146" s="62">
        <f t="shared" si="128"/>
        <v>0</v>
      </c>
      <c r="AW146" s="62">
        <f t="shared" si="128"/>
        <v>0</v>
      </c>
      <c r="AX146" s="62">
        <f t="shared" si="128"/>
        <v>0</v>
      </c>
      <c r="AY146" s="62">
        <f t="shared" si="128"/>
        <v>0</v>
      </c>
      <c r="AZ146" s="62">
        <f t="shared" si="128"/>
        <v>0</v>
      </c>
      <c r="BA146" s="62">
        <f t="shared" si="128"/>
        <v>0</v>
      </c>
      <c r="BB146" s="62">
        <f t="shared" si="128"/>
        <v>0</v>
      </c>
      <c r="BC146" s="62">
        <f t="shared" si="128"/>
        <v>0</v>
      </c>
      <c r="BD146" s="62">
        <f t="shared" si="128"/>
        <v>0</v>
      </c>
      <c r="BE146" s="62">
        <f t="shared" si="128"/>
        <v>0</v>
      </c>
      <c r="BF146" s="62">
        <f t="shared" si="128"/>
        <v>0</v>
      </c>
      <c r="BG146" s="62">
        <f t="shared" si="128"/>
        <v>0</v>
      </c>
      <c r="BH146" s="62">
        <f t="shared" si="128"/>
        <v>0</v>
      </c>
      <c r="BI146" s="62">
        <f t="shared" si="128"/>
        <v>0</v>
      </c>
      <c r="BJ146" s="62">
        <f t="shared" si="128"/>
        <v>0</v>
      </c>
      <c r="BK146" s="62">
        <f t="shared" si="128"/>
        <v>0</v>
      </c>
      <c r="BL146" s="62">
        <f t="shared" si="128"/>
        <v>0</v>
      </c>
      <c r="BM146" s="62">
        <f t="shared" si="128"/>
        <v>0</v>
      </c>
      <c r="BN146" s="62">
        <f t="shared" si="128"/>
        <v>0</v>
      </c>
      <c r="BO146" s="62">
        <f t="shared" si="128"/>
        <v>0</v>
      </c>
      <c r="BP146" s="62">
        <f t="shared" si="128"/>
        <v>0</v>
      </c>
      <c r="BQ146" s="62">
        <f t="shared" si="128"/>
        <v>0</v>
      </c>
      <c r="BR146" s="62">
        <f t="shared" si="128"/>
        <v>0</v>
      </c>
      <c r="BS146" s="62">
        <f t="shared" si="128"/>
        <v>0</v>
      </c>
      <c r="BT146" s="62">
        <f t="shared" si="126"/>
        <v>0</v>
      </c>
      <c r="BU146" s="62">
        <f t="shared" si="126"/>
        <v>0</v>
      </c>
      <c r="BV146" s="62">
        <f t="shared" si="126"/>
        <v>0</v>
      </c>
      <c r="BW146" s="62">
        <f t="shared" si="126"/>
        <v>0</v>
      </c>
      <c r="BX146" s="62">
        <f t="shared" si="126"/>
        <v>0</v>
      </c>
      <c r="BY146" s="62">
        <f t="shared" si="126"/>
        <v>0</v>
      </c>
      <c r="BZ146" s="62">
        <f t="shared" si="126"/>
        <v>0</v>
      </c>
      <c r="CA146" s="62">
        <f t="shared" si="126"/>
        <v>0</v>
      </c>
      <c r="CB146" s="62">
        <f t="shared" si="126"/>
        <v>0</v>
      </c>
      <c r="CC146" s="62">
        <f t="shared" si="126"/>
        <v>0</v>
      </c>
      <c r="CD146" s="62">
        <f t="shared" si="126"/>
        <v>0</v>
      </c>
      <c r="CE146" s="62">
        <f t="shared" si="126"/>
        <v>0</v>
      </c>
      <c r="CF146" s="62">
        <f t="shared" si="126"/>
        <v>0</v>
      </c>
      <c r="CG146" s="62">
        <f t="shared" si="126"/>
        <v>0</v>
      </c>
      <c r="CH146" s="62">
        <f t="shared" si="126"/>
        <v>0</v>
      </c>
      <c r="CI146" s="62">
        <f t="shared" si="126"/>
        <v>0</v>
      </c>
      <c r="CJ146" s="62">
        <f t="shared" si="126"/>
        <v>0</v>
      </c>
      <c r="CK146" s="62">
        <f t="shared" si="126"/>
        <v>0</v>
      </c>
      <c r="CL146" s="62">
        <f t="shared" si="126"/>
        <v>0</v>
      </c>
      <c r="CM146" s="62">
        <f t="shared" si="126"/>
        <v>0</v>
      </c>
      <c r="CN146" s="62">
        <f t="shared" si="126"/>
        <v>0</v>
      </c>
      <c r="CO146" s="62">
        <f t="shared" si="126"/>
        <v>0</v>
      </c>
      <c r="CP146" s="62">
        <f t="shared" si="126"/>
        <v>0</v>
      </c>
      <c r="CQ146" s="62">
        <f t="shared" si="126"/>
        <v>0</v>
      </c>
      <c r="CR146" s="62">
        <f t="shared" si="126"/>
        <v>0</v>
      </c>
      <c r="CS146" s="62">
        <f t="shared" si="126"/>
        <v>0</v>
      </c>
      <c r="CT146" s="62">
        <f t="shared" si="126"/>
        <v>0</v>
      </c>
      <c r="CU146" s="62">
        <f t="shared" si="126"/>
        <v>0</v>
      </c>
      <c r="CV146" s="62">
        <f t="shared" si="126"/>
        <v>0</v>
      </c>
      <c r="CW146" s="62">
        <f t="shared" si="129"/>
        <v>0</v>
      </c>
      <c r="CX146" s="62">
        <f t="shared" si="129"/>
        <v>0</v>
      </c>
      <c r="CY146" s="62">
        <f t="shared" si="129"/>
        <v>0</v>
      </c>
      <c r="CZ146" s="62">
        <f t="shared" si="129"/>
        <v>0</v>
      </c>
      <c r="DA146" s="62">
        <f t="shared" si="129"/>
        <v>0</v>
      </c>
      <c r="DB146" s="62">
        <f t="shared" si="129"/>
        <v>0</v>
      </c>
      <c r="DC146" s="62">
        <f t="shared" si="129"/>
        <v>0</v>
      </c>
      <c r="DD146" s="62">
        <f t="shared" si="129"/>
        <v>0</v>
      </c>
      <c r="DE146" s="62">
        <f t="shared" si="129"/>
        <v>0</v>
      </c>
      <c r="DF146" s="62">
        <f t="shared" si="129"/>
        <v>0</v>
      </c>
      <c r="DG146" s="62">
        <f t="shared" si="129"/>
        <v>0</v>
      </c>
      <c r="DH146" s="62">
        <f t="shared" si="129"/>
        <v>0</v>
      </c>
      <c r="DI146" s="62">
        <f t="shared" si="129"/>
        <v>0</v>
      </c>
      <c r="DJ146" s="62">
        <f t="shared" si="129"/>
        <v>0</v>
      </c>
      <c r="DK146" s="62">
        <f t="shared" si="129"/>
        <v>0</v>
      </c>
      <c r="DL146" s="62">
        <f t="shared" si="129"/>
        <v>0</v>
      </c>
      <c r="DM146" s="62">
        <f t="shared" si="129"/>
        <v>0</v>
      </c>
      <c r="DN146" s="62">
        <f t="shared" si="129"/>
        <v>0</v>
      </c>
      <c r="DO146" s="62">
        <f t="shared" si="129"/>
        <v>0</v>
      </c>
      <c r="DP146" s="62">
        <f t="shared" si="129"/>
        <v>0</v>
      </c>
      <c r="DQ146" s="62">
        <f t="shared" si="129"/>
        <v>0</v>
      </c>
      <c r="DR146" s="62">
        <f t="shared" si="129"/>
        <v>0</v>
      </c>
      <c r="DS146" s="62">
        <f t="shared" si="129"/>
        <v>0</v>
      </c>
      <c r="DT146" s="62">
        <f t="shared" si="129"/>
        <v>0</v>
      </c>
      <c r="DU146" s="62">
        <f t="shared" si="129"/>
        <v>0</v>
      </c>
      <c r="DV146" s="62">
        <f t="shared" si="129"/>
        <v>0</v>
      </c>
    </row>
    <row r="147" spans="2:126" outlineLevel="1">
      <c r="B147" s="3" t="str">
        <f t="shared" si="121"/>
        <v>Property M</v>
      </c>
      <c r="C147" s="2"/>
      <c r="D147" s="14">
        <f t="shared" si="122"/>
        <v>28</v>
      </c>
      <c r="E147" s="35"/>
      <c r="F147" s="35"/>
      <c r="G147" s="62">
        <f t="shared" si="125"/>
        <v>0</v>
      </c>
      <c r="H147" s="62">
        <f t="shared" si="125"/>
        <v>0</v>
      </c>
      <c r="I147" s="62">
        <f t="shared" si="125"/>
        <v>0</v>
      </c>
      <c r="J147" s="62">
        <f t="shared" si="125"/>
        <v>0</v>
      </c>
      <c r="K147" s="62">
        <f t="shared" si="125"/>
        <v>0</v>
      </c>
      <c r="L147" s="62">
        <f t="shared" si="125"/>
        <v>0</v>
      </c>
      <c r="M147" s="62">
        <f t="shared" si="125"/>
        <v>0</v>
      </c>
      <c r="N147" s="62">
        <f t="shared" si="125"/>
        <v>0</v>
      </c>
      <c r="O147" s="62">
        <f t="shared" si="125"/>
        <v>0</v>
      </c>
      <c r="P147" s="62">
        <f t="shared" si="125"/>
        <v>0</v>
      </c>
      <c r="Q147" s="62">
        <f t="shared" si="125"/>
        <v>0</v>
      </c>
      <c r="R147" s="62">
        <f t="shared" si="125"/>
        <v>0</v>
      </c>
      <c r="S147" s="62">
        <f t="shared" si="125"/>
        <v>0</v>
      </c>
      <c r="T147" s="62">
        <f t="shared" si="125"/>
        <v>0</v>
      </c>
      <c r="U147" s="62">
        <f t="shared" si="125"/>
        <v>0</v>
      </c>
      <c r="V147" s="62">
        <f t="shared" si="125"/>
        <v>0</v>
      </c>
      <c r="W147" s="62">
        <f t="shared" si="128"/>
        <v>0</v>
      </c>
      <c r="X147" s="62">
        <f t="shared" si="128"/>
        <v>0</v>
      </c>
      <c r="Y147" s="62">
        <f t="shared" si="128"/>
        <v>0</v>
      </c>
      <c r="Z147" s="62">
        <f t="shared" si="128"/>
        <v>0</v>
      </c>
      <c r="AA147" s="62">
        <f t="shared" si="128"/>
        <v>0</v>
      </c>
      <c r="AB147" s="62">
        <f t="shared" si="128"/>
        <v>0</v>
      </c>
      <c r="AC147" s="62">
        <f t="shared" si="128"/>
        <v>0</v>
      </c>
      <c r="AD147" s="62">
        <f t="shared" si="128"/>
        <v>0</v>
      </c>
      <c r="AE147" s="62">
        <f t="shared" si="128"/>
        <v>0</v>
      </c>
      <c r="AF147" s="62">
        <f t="shared" si="128"/>
        <v>0</v>
      </c>
      <c r="AG147" s="62">
        <f t="shared" si="128"/>
        <v>0</v>
      </c>
      <c r="AH147" s="62">
        <f t="shared" si="128"/>
        <v>1</v>
      </c>
      <c r="AI147" s="62">
        <f t="shared" si="128"/>
        <v>0</v>
      </c>
      <c r="AJ147" s="62">
        <f t="shared" si="128"/>
        <v>0</v>
      </c>
      <c r="AK147" s="62">
        <f t="shared" si="128"/>
        <v>0</v>
      </c>
      <c r="AL147" s="62">
        <f t="shared" si="128"/>
        <v>0</v>
      </c>
      <c r="AM147" s="62">
        <f t="shared" si="128"/>
        <v>0</v>
      </c>
      <c r="AN147" s="62">
        <f t="shared" si="128"/>
        <v>0</v>
      </c>
      <c r="AO147" s="62">
        <f t="shared" si="128"/>
        <v>0</v>
      </c>
      <c r="AP147" s="62">
        <f t="shared" si="128"/>
        <v>0</v>
      </c>
      <c r="AQ147" s="62">
        <f t="shared" si="128"/>
        <v>0</v>
      </c>
      <c r="AR147" s="62">
        <f t="shared" si="128"/>
        <v>0</v>
      </c>
      <c r="AS147" s="62">
        <f t="shared" si="128"/>
        <v>0</v>
      </c>
      <c r="AT147" s="62">
        <f t="shared" si="128"/>
        <v>0</v>
      </c>
      <c r="AU147" s="62">
        <f t="shared" si="128"/>
        <v>0</v>
      </c>
      <c r="AV147" s="62">
        <f t="shared" si="128"/>
        <v>0</v>
      </c>
      <c r="AW147" s="62">
        <f t="shared" si="128"/>
        <v>0</v>
      </c>
      <c r="AX147" s="62">
        <f t="shared" si="128"/>
        <v>0</v>
      </c>
      <c r="AY147" s="62">
        <f t="shared" si="128"/>
        <v>0</v>
      </c>
      <c r="AZ147" s="62">
        <f t="shared" si="128"/>
        <v>0</v>
      </c>
      <c r="BA147" s="62">
        <f t="shared" si="128"/>
        <v>0</v>
      </c>
      <c r="BB147" s="62">
        <f t="shared" si="128"/>
        <v>0</v>
      </c>
      <c r="BC147" s="62">
        <f t="shared" si="128"/>
        <v>0</v>
      </c>
      <c r="BD147" s="62">
        <f t="shared" si="128"/>
        <v>0</v>
      </c>
      <c r="BE147" s="62">
        <f t="shared" si="128"/>
        <v>0</v>
      </c>
      <c r="BF147" s="62">
        <f t="shared" si="128"/>
        <v>0</v>
      </c>
      <c r="BG147" s="62">
        <f t="shared" si="128"/>
        <v>0</v>
      </c>
      <c r="BH147" s="62">
        <f t="shared" si="128"/>
        <v>0</v>
      </c>
      <c r="BI147" s="62">
        <f t="shared" si="128"/>
        <v>0</v>
      </c>
      <c r="BJ147" s="62">
        <f t="shared" si="128"/>
        <v>0</v>
      </c>
      <c r="BK147" s="62">
        <f t="shared" si="128"/>
        <v>0</v>
      </c>
      <c r="BL147" s="62">
        <f t="shared" si="128"/>
        <v>0</v>
      </c>
      <c r="BM147" s="62">
        <f t="shared" si="128"/>
        <v>0</v>
      </c>
      <c r="BN147" s="62">
        <f t="shared" si="128"/>
        <v>0</v>
      </c>
      <c r="BO147" s="62">
        <f t="shared" si="128"/>
        <v>0</v>
      </c>
      <c r="BP147" s="62">
        <f t="shared" si="128"/>
        <v>0</v>
      </c>
      <c r="BQ147" s="62">
        <f t="shared" si="128"/>
        <v>0</v>
      </c>
      <c r="BR147" s="62">
        <f t="shared" si="128"/>
        <v>0</v>
      </c>
      <c r="BS147" s="62">
        <f t="shared" si="128"/>
        <v>0</v>
      </c>
      <c r="BT147" s="62">
        <f t="shared" si="126"/>
        <v>0</v>
      </c>
      <c r="BU147" s="62">
        <f t="shared" si="126"/>
        <v>0</v>
      </c>
      <c r="BV147" s="62">
        <f t="shared" si="126"/>
        <v>0</v>
      </c>
      <c r="BW147" s="62">
        <f t="shared" si="126"/>
        <v>0</v>
      </c>
      <c r="BX147" s="62">
        <f t="shared" si="126"/>
        <v>0</v>
      </c>
      <c r="BY147" s="62">
        <f t="shared" si="126"/>
        <v>0</v>
      </c>
      <c r="BZ147" s="62">
        <f t="shared" si="126"/>
        <v>0</v>
      </c>
      <c r="CA147" s="62">
        <f t="shared" si="126"/>
        <v>0</v>
      </c>
      <c r="CB147" s="62">
        <f t="shared" si="126"/>
        <v>0</v>
      </c>
      <c r="CC147" s="62">
        <f t="shared" si="126"/>
        <v>0</v>
      </c>
      <c r="CD147" s="62">
        <f t="shared" si="126"/>
        <v>0</v>
      </c>
      <c r="CE147" s="62">
        <f t="shared" si="126"/>
        <v>0</v>
      </c>
      <c r="CF147" s="62">
        <f t="shared" si="126"/>
        <v>0</v>
      </c>
      <c r="CG147" s="62">
        <f t="shared" si="126"/>
        <v>0</v>
      </c>
      <c r="CH147" s="62">
        <f t="shared" si="126"/>
        <v>0</v>
      </c>
      <c r="CI147" s="62">
        <f t="shared" si="126"/>
        <v>0</v>
      </c>
      <c r="CJ147" s="62">
        <f t="shared" si="126"/>
        <v>0</v>
      </c>
      <c r="CK147" s="62">
        <f t="shared" si="126"/>
        <v>0</v>
      </c>
      <c r="CL147" s="62">
        <f t="shared" si="126"/>
        <v>0</v>
      </c>
      <c r="CM147" s="62">
        <f t="shared" si="126"/>
        <v>0</v>
      </c>
      <c r="CN147" s="62">
        <f t="shared" si="126"/>
        <v>0</v>
      </c>
      <c r="CO147" s="62">
        <f t="shared" si="126"/>
        <v>0</v>
      </c>
      <c r="CP147" s="62">
        <f t="shared" si="126"/>
        <v>0</v>
      </c>
      <c r="CQ147" s="62">
        <f t="shared" si="126"/>
        <v>0</v>
      </c>
      <c r="CR147" s="62">
        <f t="shared" si="126"/>
        <v>0</v>
      </c>
      <c r="CS147" s="62">
        <f t="shared" si="126"/>
        <v>0</v>
      </c>
      <c r="CT147" s="62">
        <f t="shared" si="126"/>
        <v>0</v>
      </c>
      <c r="CU147" s="62">
        <f t="shared" si="126"/>
        <v>0</v>
      </c>
      <c r="CV147" s="62">
        <f t="shared" si="126"/>
        <v>0</v>
      </c>
      <c r="CW147" s="62">
        <f t="shared" si="129"/>
        <v>0</v>
      </c>
      <c r="CX147" s="62">
        <f t="shared" si="129"/>
        <v>0</v>
      </c>
      <c r="CY147" s="62">
        <f t="shared" si="129"/>
        <v>0</v>
      </c>
      <c r="CZ147" s="62">
        <f t="shared" si="129"/>
        <v>0</v>
      </c>
      <c r="DA147" s="62">
        <f t="shared" si="129"/>
        <v>0</v>
      </c>
      <c r="DB147" s="62">
        <f t="shared" si="129"/>
        <v>0</v>
      </c>
      <c r="DC147" s="62">
        <f t="shared" si="129"/>
        <v>0</v>
      </c>
      <c r="DD147" s="62">
        <f t="shared" si="129"/>
        <v>0</v>
      </c>
      <c r="DE147" s="62">
        <f t="shared" si="129"/>
        <v>0</v>
      </c>
      <c r="DF147" s="62">
        <f t="shared" si="129"/>
        <v>0</v>
      </c>
      <c r="DG147" s="62">
        <f t="shared" si="129"/>
        <v>0</v>
      </c>
      <c r="DH147" s="62">
        <f t="shared" si="129"/>
        <v>0</v>
      </c>
      <c r="DI147" s="62">
        <f t="shared" si="129"/>
        <v>0</v>
      </c>
      <c r="DJ147" s="62">
        <f t="shared" si="129"/>
        <v>0</v>
      </c>
      <c r="DK147" s="62">
        <f t="shared" si="129"/>
        <v>0</v>
      </c>
      <c r="DL147" s="62">
        <f t="shared" si="129"/>
        <v>0</v>
      </c>
      <c r="DM147" s="62">
        <f t="shared" si="129"/>
        <v>0</v>
      </c>
      <c r="DN147" s="62">
        <f t="shared" si="129"/>
        <v>0</v>
      </c>
      <c r="DO147" s="62">
        <f t="shared" si="129"/>
        <v>0</v>
      </c>
      <c r="DP147" s="62">
        <f t="shared" si="129"/>
        <v>0</v>
      </c>
      <c r="DQ147" s="62">
        <f t="shared" si="129"/>
        <v>0</v>
      </c>
      <c r="DR147" s="62">
        <f t="shared" si="129"/>
        <v>0</v>
      </c>
      <c r="DS147" s="62">
        <f t="shared" si="129"/>
        <v>0</v>
      </c>
      <c r="DT147" s="62">
        <f t="shared" si="129"/>
        <v>0</v>
      </c>
      <c r="DU147" s="62">
        <f t="shared" si="129"/>
        <v>0</v>
      </c>
      <c r="DV147" s="62">
        <f t="shared" si="129"/>
        <v>0</v>
      </c>
    </row>
    <row r="148" spans="2:126" outlineLevel="1">
      <c r="B148" s="3" t="str">
        <f t="shared" si="121"/>
        <v>Property N</v>
      </c>
      <c r="C148" s="2"/>
      <c r="D148" s="14">
        <f t="shared" si="122"/>
        <v>37</v>
      </c>
      <c r="E148" s="35"/>
      <c r="F148" s="35"/>
      <c r="G148" s="62">
        <f t="shared" si="125"/>
        <v>0</v>
      </c>
      <c r="H148" s="62">
        <f t="shared" si="125"/>
        <v>0</v>
      </c>
      <c r="I148" s="62">
        <f t="shared" si="125"/>
        <v>0</v>
      </c>
      <c r="J148" s="62">
        <f t="shared" si="125"/>
        <v>0</v>
      </c>
      <c r="K148" s="62">
        <f t="shared" si="125"/>
        <v>0</v>
      </c>
      <c r="L148" s="62">
        <f t="shared" si="125"/>
        <v>0</v>
      </c>
      <c r="M148" s="62">
        <f t="shared" si="125"/>
        <v>0</v>
      </c>
      <c r="N148" s="62">
        <f t="shared" si="125"/>
        <v>0</v>
      </c>
      <c r="O148" s="62">
        <f t="shared" si="125"/>
        <v>0</v>
      </c>
      <c r="P148" s="62">
        <f t="shared" si="125"/>
        <v>0</v>
      </c>
      <c r="Q148" s="62">
        <f t="shared" si="125"/>
        <v>0</v>
      </c>
      <c r="R148" s="62">
        <f t="shared" si="125"/>
        <v>0</v>
      </c>
      <c r="S148" s="62">
        <f t="shared" si="125"/>
        <v>0</v>
      </c>
      <c r="T148" s="62">
        <f t="shared" si="125"/>
        <v>0</v>
      </c>
      <c r="U148" s="62">
        <f t="shared" si="125"/>
        <v>0</v>
      </c>
      <c r="V148" s="62">
        <f t="shared" si="125"/>
        <v>0</v>
      </c>
      <c r="W148" s="62">
        <f t="shared" si="128"/>
        <v>0</v>
      </c>
      <c r="X148" s="62">
        <f t="shared" si="128"/>
        <v>0</v>
      </c>
      <c r="Y148" s="62">
        <f t="shared" si="128"/>
        <v>0</v>
      </c>
      <c r="Z148" s="62">
        <f t="shared" si="128"/>
        <v>0</v>
      </c>
      <c r="AA148" s="62">
        <f t="shared" si="128"/>
        <v>0</v>
      </c>
      <c r="AB148" s="62">
        <f t="shared" si="128"/>
        <v>0</v>
      </c>
      <c r="AC148" s="62">
        <f t="shared" si="128"/>
        <v>0</v>
      </c>
      <c r="AD148" s="62">
        <f t="shared" si="128"/>
        <v>0</v>
      </c>
      <c r="AE148" s="62">
        <f t="shared" si="128"/>
        <v>0</v>
      </c>
      <c r="AF148" s="62">
        <f t="shared" si="128"/>
        <v>0</v>
      </c>
      <c r="AG148" s="62">
        <f t="shared" si="128"/>
        <v>0</v>
      </c>
      <c r="AH148" s="62">
        <f t="shared" si="128"/>
        <v>0</v>
      </c>
      <c r="AI148" s="62">
        <f t="shared" si="128"/>
        <v>0</v>
      </c>
      <c r="AJ148" s="62">
        <f t="shared" si="128"/>
        <v>0</v>
      </c>
      <c r="AK148" s="62">
        <f t="shared" si="128"/>
        <v>0</v>
      </c>
      <c r="AL148" s="62">
        <f t="shared" si="128"/>
        <v>0</v>
      </c>
      <c r="AM148" s="62">
        <f t="shared" si="128"/>
        <v>0</v>
      </c>
      <c r="AN148" s="62">
        <f t="shared" si="128"/>
        <v>0</v>
      </c>
      <c r="AO148" s="62">
        <f t="shared" si="128"/>
        <v>0</v>
      </c>
      <c r="AP148" s="62">
        <f t="shared" si="128"/>
        <v>0</v>
      </c>
      <c r="AQ148" s="62">
        <f t="shared" si="128"/>
        <v>1</v>
      </c>
      <c r="AR148" s="62">
        <f t="shared" si="128"/>
        <v>0</v>
      </c>
      <c r="AS148" s="62">
        <f t="shared" si="128"/>
        <v>0</v>
      </c>
      <c r="AT148" s="62">
        <f t="shared" si="128"/>
        <v>0</v>
      </c>
      <c r="AU148" s="62">
        <f t="shared" si="128"/>
        <v>0</v>
      </c>
      <c r="AV148" s="62">
        <f t="shared" si="128"/>
        <v>0</v>
      </c>
      <c r="AW148" s="62">
        <f t="shared" si="128"/>
        <v>0</v>
      </c>
      <c r="AX148" s="62">
        <f t="shared" si="128"/>
        <v>0</v>
      </c>
      <c r="AY148" s="62">
        <f t="shared" si="128"/>
        <v>0</v>
      </c>
      <c r="AZ148" s="62">
        <f t="shared" si="128"/>
        <v>0</v>
      </c>
      <c r="BA148" s="62">
        <f t="shared" si="128"/>
        <v>0</v>
      </c>
      <c r="BB148" s="62">
        <f t="shared" si="128"/>
        <v>0</v>
      </c>
      <c r="BC148" s="62">
        <f t="shared" si="128"/>
        <v>0</v>
      </c>
      <c r="BD148" s="62">
        <f t="shared" si="128"/>
        <v>0</v>
      </c>
      <c r="BE148" s="62">
        <f t="shared" si="128"/>
        <v>0</v>
      </c>
      <c r="BF148" s="62">
        <f t="shared" si="128"/>
        <v>0</v>
      </c>
      <c r="BG148" s="62">
        <f t="shared" si="128"/>
        <v>0</v>
      </c>
      <c r="BH148" s="62">
        <f t="shared" si="128"/>
        <v>0</v>
      </c>
      <c r="BI148" s="62">
        <f t="shared" si="128"/>
        <v>0</v>
      </c>
      <c r="BJ148" s="62">
        <f t="shared" si="128"/>
        <v>0</v>
      </c>
      <c r="BK148" s="62">
        <f t="shared" si="128"/>
        <v>0</v>
      </c>
      <c r="BL148" s="62">
        <f t="shared" si="128"/>
        <v>0</v>
      </c>
      <c r="BM148" s="62">
        <f t="shared" si="128"/>
        <v>0</v>
      </c>
      <c r="BN148" s="62">
        <f t="shared" si="128"/>
        <v>0</v>
      </c>
      <c r="BO148" s="62">
        <f t="shared" si="128"/>
        <v>0</v>
      </c>
      <c r="BP148" s="62">
        <f t="shared" si="128"/>
        <v>0</v>
      </c>
      <c r="BQ148" s="62">
        <f t="shared" si="128"/>
        <v>0</v>
      </c>
      <c r="BR148" s="62">
        <f t="shared" si="128"/>
        <v>0</v>
      </c>
      <c r="BS148" s="62">
        <f t="shared" si="128"/>
        <v>0</v>
      </c>
      <c r="BT148" s="62">
        <f t="shared" si="126"/>
        <v>0</v>
      </c>
      <c r="BU148" s="62">
        <f t="shared" si="126"/>
        <v>0</v>
      </c>
      <c r="BV148" s="62">
        <f t="shared" si="126"/>
        <v>0</v>
      </c>
      <c r="BW148" s="62">
        <f t="shared" si="126"/>
        <v>0</v>
      </c>
      <c r="BX148" s="62">
        <f t="shared" si="126"/>
        <v>0</v>
      </c>
      <c r="BY148" s="62">
        <f t="shared" si="126"/>
        <v>0</v>
      </c>
      <c r="BZ148" s="62">
        <f t="shared" si="126"/>
        <v>0</v>
      </c>
      <c r="CA148" s="62">
        <f t="shared" si="126"/>
        <v>0</v>
      </c>
      <c r="CB148" s="62">
        <f t="shared" si="126"/>
        <v>0</v>
      </c>
      <c r="CC148" s="62">
        <f t="shared" si="126"/>
        <v>0</v>
      </c>
      <c r="CD148" s="62">
        <f t="shared" si="126"/>
        <v>0</v>
      </c>
      <c r="CE148" s="62">
        <f t="shared" si="126"/>
        <v>0</v>
      </c>
      <c r="CF148" s="62">
        <f t="shared" si="126"/>
        <v>0</v>
      </c>
      <c r="CG148" s="62">
        <f t="shared" si="126"/>
        <v>0</v>
      </c>
      <c r="CH148" s="62">
        <f t="shared" si="126"/>
        <v>0</v>
      </c>
      <c r="CI148" s="62">
        <f t="shared" si="126"/>
        <v>0</v>
      </c>
      <c r="CJ148" s="62">
        <f t="shared" si="126"/>
        <v>0</v>
      </c>
      <c r="CK148" s="62">
        <f t="shared" si="126"/>
        <v>0</v>
      </c>
      <c r="CL148" s="62">
        <f t="shared" si="126"/>
        <v>0</v>
      </c>
      <c r="CM148" s="62">
        <f t="shared" si="126"/>
        <v>0</v>
      </c>
      <c r="CN148" s="62">
        <f t="shared" si="126"/>
        <v>0</v>
      </c>
      <c r="CO148" s="62">
        <f t="shared" si="126"/>
        <v>0</v>
      </c>
      <c r="CP148" s="62">
        <f t="shared" si="126"/>
        <v>0</v>
      </c>
      <c r="CQ148" s="62">
        <f t="shared" si="126"/>
        <v>0</v>
      </c>
      <c r="CR148" s="62">
        <f t="shared" si="126"/>
        <v>0</v>
      </c>
      <c r="CS148" s="62">
        <f t="shared" si="126"/>
        <v>0</v>
      </c>
      <c r="CT148" s="62">
        <f t="shared" si="126"/>
        <v>0</v>
      </c>
      <c r="CU148" s="62">
        <f t="shared" si="126"/>
        <v>0</v>
      </c>
      <c r="CV148" s="62">
        <f t="shared" si="126"/>
        <v>0</v>
      </c>
      <c r="CW148" s="62">
        <f t="shared" si="129"/>
        <v>0</v>
      </c>
      <c r="CX148" s="62">
        <f t="shared" si="129"/>
        <v>0</v>
      </c>
      <c r="CY148" s="62">
        <f t="shared" si="129"/>
        <v>0</v>
      </c>
      <c r="CZ148" s="62">
        <f t="shared" si="129"/>
        <v>0</v>
      </c>
      <c r="DA148" s="62">
        <f t="shared" si="129"/>
        <v>0</v>
      </c>
      <c r="DB148" s="62">
        <f t="shared" si="129"/>
        <v>0</v>
      </c>
      <c r="DC148" s="62">
        <f t="shared" si="129"/>
        <v>0</v>
      </c>
      <c r="DD148" s="62">
        <f t="shared" si="129"/>
        <v>0</v>
      </c>
      <c r="DE148" s="62">
        <f t="shared" si="129"/>
        <v>0</v>
      </c>
      <c r="DF148" s="62">
        <f t="shared" si="129"/>
        <v>0</v>
      </c>
      <c r="DG148" s="62">
        <f t="shared" si="129"/>
        <v>0</v>
      </c>
      <c r="DH148" s="62">
        <f t="shared" si="129"/>
        <v>0</v>
      </c>
      <c r="DI148" s="62">
        <f t="shared" si="129"/>
        <v>0</v>
      </c>
      <c r="DJ148" s="62">
        <f t="shared" si="129"/>
        <v>0</v>
      </c>
      <c r="DK148" s="62">
        <f t="shared" si="129"/>
        <v>0</v>
      </c>
      <c r="DL148" s="62">
        <f t="shared" si="129"/>
        <v>0</v>
      </c>
      <c r="DM148" s="62">
        <f t="shared" si="129"/>
        <v>0</v>
      </c>
      <c r="DN148" s="62">
        <f t="shared" si="129"/>
        <v>0</v>
      </c>
      <c r="DO148" s="62">
        <f t="shared" si="129"/>
        <v>0</v>
      </c>
      <c r="DP148" s="62">
        <f t="shared" si="129"/>
        <v>0</v>
      </c>
      <c r="DQ148" s="62">
        <f t="shared" si="129"/>
        <v>0</v>
      </c>
      <c r="DR148" s="62">
        <f t="shared" si="129"/>
        <v>0</v>
      </c>
      <c r="DS148" s="62">
        <f t="shared" si="129"/>
        <v>0</v>
      </c>
      <c r="DT148" s="62">
        <f t="shared" si="129"/>
        <v>0</v>
      </c>
      <c r="DU148" s="62">
        <f t="shared" si="129"/>
        <v>0</v>
      </c>
      <c r="DV148" s="62">
        <f t="shared" si="129"/>
        <v>0</v>
      </c>
    </row>
    <row r="149" spans="2:126" outlineLevel="1">
      <c r="B149" s="3" t="str">
        <f t="shared" si="121"/>
        <v>Property O</v>
      </c>
      <c r="C149" s="2"/>
      <c r="D149" s="14">
        <f t="shared" si="122"/>
        <v>43</v>
      </c>
      <c r="E149" s="35"/>
      <c r="F149" s="35"/>
      <c r="G149" s="62">
        <f t="shared" si="125"/>
        <v>0</v>
      </c>
      <c r="H149" s="62">
        <f t="shared" si="125"/>
        <v>0</v>
      </c>
      <c r="I149" s="62">
        <f t="shared" si="125"/>
        <v>0</v>
      </c>
      <c r="J149" s="62">
        <f t="shared" si="125"/>
        <v>0</v>
      </c>
      <c r="K149" s="62">
        <f t="shared" si="125"/>
        <v>0</v>
      </c>
      <c r="L149" s="62">
        <f t="shared" si="125"/>
        <v>0</v>
      </c>
      <c r="M149" s="62">
        <f t="shared" si="125"/>
        <v>0</v>
      </c>
      <c r="N149" s="62">
        <f t="shared" si="125"/>
        <v>0</v>
      </c>
      <c r="O149" s="62">
        <f t="shared" si="125"/>
        <v>0</v>
      </c>
      <c r="P149" s="62">
        <f t="shared" si="125"/>
        <v>0</v>
      </c>
      <c r="Q149" s="62">
        <f t="shared" si="125"/>
        <v>0</v>
      </c>
      <c r="R149" s="62">
        <f t="shared" si="125"/>
        <v>0</v>
      </c>
      <c r="S149" s="62">
        <f t="shared" si="125"/>
        <v>0</v>
      </c>
      <c r="T149" s="62">
        <f t="shared" si="125"/>
        <v>0</v>
      </c>
      <c r="U149" s="62">
        <f t="shared" si="125"/>
        <v>0</v>
      </c>
      <c r="V149" s="62">
        <f t="shared" si="125"/>
        <v>0</v>
      </c>
      <c r="W149" s="62">
        <f t="shared" si="128"/>
        <v>0</v>
      </c>
      <c r="X149" s="62">
        <f t="shared" si="128"/>
        <v>0</v>
      </c>
      <c r="Y149" s="62">
        <f t="shared" si="128"/>
        <v>0</v>
      </c>
      <c r="Z149" s="62">
        <f t="shared" si="128"/>
        <v>0</v>
      </c>
      <c r="AA149" s="62">
        <f t="shared" si="128"/>
        <v>0</v>
      </c>
      <c r="AB149" s="62">
        <f t="shared" si="128"/>
        <v>0</v>
      </c>
      <c r="AC149" s="62">
        <f t="shared" si="128"/>
        <v>0</v>
      </c>
      <c r="AD149" s="62">
        <f t="shared" si="128"/>
        <v>0</v>
      </c>
      <c r="AE149" s="62">
        <f t="shared" si="128"/>
        <v>0</v>
      </c>
      <c r="AF149" s="62">
        <f t="shared" si="128"/>
        <v>0</v>
      </c>
      <c r="AG149" s="62">
        <f t="shared" si="128"/>
        <v>0</v>
      </c>
      <c r="AH149" s="62">
        <f t="shared" si="128"/>
        <v>0</v>
      </c>
      <c r="AI149" s="62">
        <f t="shared" si="128"/>
        <v>0</v>
      </c>
      <c r="AJ149" s="62">
        <f t="shared" si="128"/>
        <v>0</v>
      </c>
      <c r="AK149" s="62">
        <f t="shared" si="128"/>
        <v>0</v>
      </c>
      <c r="AL149" s="62">
        <f t="shared" si="128"/>
        <v>0</v>
      </c>
      <c r="AM149" s="62">
        <f t="shared" si="128"/>
        <v>0</v>
      </c>
      <c r="AN149" s="62">
        <f t="shared" si="128"/>
        <v>0</v>
      </c>
      <c r="AO149" s="62">
        <f t="shared" si="128"/>
        <v>0</v>
      </c>
      <c r="AP149" s="62">
        <f t="shared" si="128"/>
        <v>0</v>
      </c>
      <c r="AQ149" s="62">
        <f t="shared" si="128"/>
        <v>0</v>
      </c>
      <c r="AR149" s="62">
        <f t="shared" si="128"/>
        <v>0</v>
      </c>
      <c r="AS149" s="62">
        <f t="shared" si="128"/>
        <v>0</v>
      </c>
      <c r="AT149" s="62">
        <f t="shared" si="128"/>
        <v>0</v>
      </c>
      <c r="AU149" s="62">
        <f t="shared" si="128"/>
        <v>0</v>
      </c>
      <c r="AV149" s="62">
        <f t="shared" si="128"/>
        <v>0</v>
      </c>
      <c r="AW149" s="62">
        <f t="shared" si="128"/>
        <v>1</v>
      </c>
      <c r="AX149" s="62">
        <f t="shared" si="128"/>
        <v>0</v>
      </c>
      <c r="AY149" s="62">
        <f t="shared" si="128"/>
        <v>0</v>
      </c>
      <c r="AZ149" s="62">
        <f t="shared" si="128"/>
        <v>0</v>
      </c>
      <c r="BA149" s="62">
        <f t="shared" si="128"/>
        <v>0</v>
      </c>
      <c r="BB149" s="62">
        <f t="shared" si="128"/>
        <v>0</v>
      </c>
      <c r="BC149" s="62">
        <f t="shared" si="128"/>
        <v>0</v>
      </c>
      <c r="BD149" s="62">
        <f t="shared" si="128"/>
        <v>0</v>
      </c>
      <c r="BE149" s="62">
        <f t="shared" si="128"/>
        <v>0</v>
      </c>
      <c r="BF149" s="62">
        <f t="shared" si="128"/>
        <v>0</v>
      </c>
      <c r="BG149" s="62">
        <f t="shared" si="128"/>
        <v>0</v>
      </c>
      <c r="BH149" s="62">
        <f t="shared" si="128"/>
        <v>0</v>
      </c>
      <c r="BI149" s="62">
        <f t="shared" si="128"/>
        <v>0</v>
      </c>
      <c r="BJ149" s="62">
        <f t="shared" si="128"/>
        <v>0</v>
      </c>
      <c r="BK149" s="62">
        <f t="shared" si="128"/>
        <v>0</v>
      </c>
      <c r="BL149" s="62">
        <f t="shared" si="128"/>
        <v>0</v>
      </c>
      <c r="BM149" s="62">
        <f t="shared" si="128"/>
        <v>0</v>
      </c>
      <c r="BN149" s="62">
        <f t="shared" si="128"/>
        <v>0</v>
      </c>
      <c r="BO149" s="62">
        <f t="shared" si="128"/>
        <v>0</v>
      </c>
      <c r="BP149" s="62">
        <f t="shared" si="128"/>
        <v>0</v>
      </c>
      <c r="BQ149" s="62">
        <f t="shared" si="128"/>
        <v>0</v>
      </c>
      <c r="BR149" s="62">
        <f t="shared" si="128"/>
        <v>0</v>
      </c>
      <c r="BS149" s="62">
        <f t="shared" si="128"/>
        <v>0</v>
      </c>
      <c r="BT149" s="62">
        <f t="shared" si="128"/>
        <v>0</v>
      </c>
      <c r="BU149" s="62">
        <f t="shared" si="128"/>
        <v>0</v>
      </c>
      <c r="BV149" s="62">
        <f t="shared" si="128"/>
        <v>0</v>
      </c>
      <c r="BW149" s="62">
        <f t="shared" si="128"/>
        <v>0</v>
      </c>
      <c r="BX149" s="62">
        <f t="shared" si="128"/>
        <v>0</v>
      </c>
      <c r="BY149" s="62">
        <f t="shared" si="128"/>
        <v>0</v>
      </c>
      <c r="BZ149" s="62">
        <f t="shared" si="128"/>
        <v>0</v>
      </c>
      <c r="CA149" s="62">
        <f t="shared" si="128"/>
        <v>0</v>
      </c>
      <c r="CB149" s="62">
        <f t="shared" si="128"/>
        <v>0</v>
      </c>
      <c r="CC149" s="62">
        <f t="shared" si="128"/>
        <v>0</v>
      </c>
      <c r="CD149" s="62">
        <f t="shared" si="128"/>
        <v>0</v>
      </c>
      <c r="CE149" s="62">
        <f t="shared" si="126"/>
        <v>0</v>
      </c>
      <c r="CF149" s="62">
        <f t="shared" si="126"/>
        <v>0</v>
      </c>
      <c r="CG149" s="62">
        <f t="shared" si="126"/>
        <v>0</v>
      </c>
      <c r="CH149" s="62">
        <f t="shared" si="126"/>
        <v>0</v>
      </c>
      <c r="CI149" s="62">
        <f t="shared" si="126"/>
        <v>0</v>
      </c>
      <c r="CJ149" s="62">
        <f t="shared" si="126"/>
        <v>0</v>
      </c>
      <c r="CK149" s="62">
        <f t="shared" si="126"/>
        <v>0</v>
      </c>
      <c r="CL149" s="62">
        <f t="shared" si="126"/>
        <v>0</v>
      </c>
      <c r="CM149" s="62">
        <f t="shared" si="126"/>
        <v>0</v>
      </c>
      <c r="CN149" s="62">
        <f t="shared" si="126"/>
        <v>0</v>
      </c>
      <c r="CO149" s="62">
        <f t="shared" si="126"/>
        <v>0</v>
      </c>
      <c r="CP149" s="62">
        <f t="shared" si="126"/>
        <v>0</v>
      </c>
      <c r="CQ149" s="62">
        <f t="shared" si="126"/>
        <v>0</v>
      </c>
      <c r="CR149" s="62">
        <f t="shared" si="126"/>
        <v>0</v>
      </c>
      <c r="CS149" s="62">
        <f t="shared" si="126"/>
        <v>0</v>
      </c>
      <c r="CT149" s="62">
        <f t="shared" si="126"/>
        <v>0</v>
      </c>
      <c r="CU149" s="62">
        <f t="shared" si="126"/>
        <v>0</v>
      </c>
      <c r="CV149" s="62">
        <f t="shared" si="126"/>
        <v>0</v>
      </c>
      <c r="CW149" s="62">
        <f t="shared" si="129"/>
        <v>0</v>
      </c>
      <c r="CX149" s="62">
        <f t="shared" si="129"/>
        <v>0</v>
      </c>
      <c r="CY149" s="62">
        <f t="shared" si="129"/>
        <v>0</v>
      </c>
      <c r="CZ149" s="62">
        <f t="shared" si="129"/>
        <v>0</v>
      </c>
      <c r="DA149" s="62">
        <f t="shared" si="129"/>
        <v>0</v>
      </c>
      <c r="DB149" s="62">
        <f t="shared" si="129"/>
        <v>0</v>
      </c>
      <c r="DC149" s="62">
        <f t="shared" si="129"/>
        <v>0</v>
      </c>
      <c r="DD149" s="62">
        <f t="shared" si="129"/>
        <v>0</v>
      </c>
      <c r="DE149" s="62">
        <f t="shared" si="129"/>
        <v>0</v>
      </c>
      <c r="DF149" s="62">
        <f t="shared" si="129"/>
        <v>0</v>
      </c>
      <c r="DG149" s="62">
        <f t="shared" si="129"/>
        <v>0</v>
      </c>
      <c r="DH149" s="62">
        <f t="shared" si="129"/>
        <v>0</v>
      </c>
      <c r="DI149" s="62">
        <f t="shared" si="129"/>
        <v>0</v>
      </c>
      <c r="DJ149" s="62">
        <f t="shared" si="129"/>
        <v>0</v>
      </c>
      <c r="DK149" s="62">
        <f t="shared" si="129"/>
        <v>0</v>
      </c>
      <c r="DL149" s="62">
        <f t="shared" si="129"/>
        <v>0</v>
      </c>
      <c r="DM149" s="62">
        <f t="shared" si="129"/>
        <v>0</v>
      </c>
      <c r="DN149" s="62">
        <f t="shared" si="129"/>
        <v>0</v>
      </c>
      <c r="DO149" s="62">
        <f t="shared" si="129"/>
        <v>0</v>
      </c>
      <c r="DP149" s="62">
        <f t="shared" si="129"/>
        <v>0</v>
      </c>
      <c r="DQ149" s="62">
        <f t="shared" si="129"/>
        <v>0</v>
      </c>
      <c r="DR149" s="62">
        <f t="shared" si="129"/>
        <v>0</v>
      </c>
      <c r="DS149" s="62">
        <f t="shared" si="129"/>
        <v>0</v>
      </c>
      <c r="DT149" s="62">
        <f t="shared" si="129"/>
        <v>0</v>
      </c>
      <c r="DU149" s="62">
        <f t="shared" si="129"/>
        <v>0</v>
      </c>
      <c r="DV149" s="62">
        <f t="shared" si="129"/>
        <v>0</v>
      </c>
    </row>
    <row r="150" spans="2:126" outlineLevel="1">
      <c r="B150" s="3"/>
      <c r="C150" s="2"/>
      <c r="D150" s="2"/>
      <c r="E150" s="35"/>
      <c r="F150" s="35"/>
      <c r="G150" s="2"/>
      <c r="H150" s="2"/>
      <c r="I150" s="3"/>
      <c r="J150" s="3"/>
      <c r="K150" s="2"/>
    </row>
    <row r="151" spans="2:126" outlineLevel="1">
      <c r="B151" s="3"/>
      <c r="C151" s="2"/>
      <c r="D151" s="2"/>
      <c r="E151" s="35"/>
      <c r="F151" s="35"/>
      <c r="G151" s="2"/>
      <c r="H151" s="2"/>
      <c r="I151" s="3"/>
      <c r="J151" s="3"/>
      <c r="K151" s="2"/>
    </row>
    <row r="152" spans="2:126" outlineLevel="1">
      <c r="B152" s="6" t="s">
        <v>90</v>
      </c>
      <c r="C152" s="9" t="s">
        <v>84</v>
      </c>
      <c r="D152" s="9" t="s">
        <v>28</v>
      </c>
      <c r="E152" s="35"/>
      <c r="F152" s="35"/>
      <c r="G152" s="2"/>
      <c r="H152" s="2"/>
      <c r="I152" s="3"/>
      <c r="J152" s="3"/>
      <c r="K152" s="2"/>
    </row>
    <row r="153" spans="2:126" outlineLevel="1">
      <c r="B153" s="3" t="str">
        <f t="shared" ref="B153:B162" si="130">B140</f>
        <v>Property F</v>
      </c>
      <c r="C153" s="14">
        <f t="shared" ref="C153:C162" si="131">J127</f>
        <v>5</v>
      </c>
      <c r="D153" s="14">
        <f t="shared" ref="D153:D162" si="132">N127</f>
        <v>15</v>
      </c>
      <c r="E153" s="35"/>
      <c r="F153" s="35"/>
      <c r="G153" s="62">
        <f>IF(G$4&gt;=$C153+$D153,0,IF($C153&lt;=G$4,1,0)+F153)</f>
        <v>0</v>
      </c>
      <c r="H153" s="62">
        <f t="shared" ref="H153:BS157" si="133">IF(H$4&gt;=$C153+$D153,0,IF($C153&lt;=H$4,1,0)+G153)</f>
        <v>0</v>
      </c>
      <c r="I153" s="62">
        <f t="shared" si="133"/>
        <v>0</v>
      </c>
      <c r="J153" s="62">
        <f t="shared" si="133"/>
        <v>0</v>
      </c>
      <c r="K153" s="62">
        <f t="shared" si="133"/>
        <v>1</v>
      </c>
      <c r="L153" s="62">
        <f t="shared" si="133"/>
        <v>2</v>
      </c>
      <c r="M153" s="62">
        <f t="shared" si="133"/>
        <v>3</v>
      </c>
      <c r="N153" s="62">
        <f t="shared" si="133"/>
        <v>4</v>
      </c>
      <c r="O153" s="62">
        <f t="shared" si="133"/>
        <v>5</v>
      </c>
      <c r="P153" s="62">
        <f t="shared" si="133"/>
        <v>6</v>
      </c>
      <c r="Q153" s="62">
        <f t="shared" si="133"/>
        <v>7</v>
      </c>
      <c r="R153" s="62">
        <f t="shared" si="133"/>
        <v>8</v>
      </c>
      <c r="S153" s="62">
        <f t="shared" si="133"/>
        <v>9</v>
      </c>
      <c r="T153" s="62">
        <f t="shared" si="133"/>
        <v>10</v>
      </c>
      <c r="U153" s="62">
        <f t="shared" si="133"/>
        <v>11</v>
      </c>
      <c r="V153" s="62">
        <f t="shared" si="133"/>
        <v>12</v>
      </c>
      <c r="W153" s="62">
        <f t="shared" si="133"/>
        <v>13</v>
      </c>
      <c r="X153" s="62">
        <f t="shared" si="133"/>
        <v>14</v>
      </c>
      <c r="Y153" s="62">
        <f t="shared" si="133"/>
        <v>15</v>
      </c>
      <c r="Z153" s="62">
        <f t="shared" si="133"/>
        <v>0</v>
      </c>
      <c r="AA153" s="62">
        <f t="shared" si="133"/>
        <v>0</v>
      </c>
      <c r="AB153" s="62">
        <f t="shared" si="133"/>
        <v>0</v>
      </c>
      <c r="AC153" s="62">
        <f t="shared" si="133"/>
        <v>0</v>
      </c>
      <c r="AD153" s="62">
        <f t="shared" si="133"/>
        <v>0</v>
      </c>
      <c r="AE153" s="62">
        <f t="shared" si="133"/>
        <v>0</v>
      </c>
      <c r="AF153" s="62">
        <f t="shared" si="133"/>
        <v>0</v>
      </c>
      <c r="AG153" s="62">
        <f t="shared" si="133"/>
        <v>0</v>
      </c>
      <c r="AH153" s="62">
        <f t="shared" si="133"/>
        <v>0</v>
      </c>
      <c r="AI153" s="62">
        <f t="shared" si="133"/>
        <v>0</v>
      </c>
      <c r="AJ153" s="62">
        <f t="shared" si="133"/>
        <v>0</v>
      </c>
      <c r="AK153" s="62">
        <f t="shared" si="133"/>
        <v>0</v>
      </c>
      <c r="AL153" s="62">
        <f t="shared" si="133"/>
        <v>0</v>
      </c>
      <c r="AM153" s="62">
        <f t="shared" si="133"/>
        <v>0</v>
      </c>
      <c r="AN153" s="62">
        <f t="shared" si="133"/>
        <v>0</v>
      </c>
      <c r="AO153" s="62">
        <f t="shared" si="133"/>
        <v>0</v>
      </c>
      <c r="AP153" s="62">
        <f t="shared" si="133"/>
        <v>0</v>
      </c>
      <c r="AQ153" s="62">
        <f t="shared" si="133"/>
        <v>0</v>
      </c>
      <c r="AR153" s="62">
        <f t="shared" si="133"/>
        <v>0</v>
      </c>
      <c r="AS153" s="62">
        <f t="shared" si="133"/>
        <v>0</v>
      </c>
      <c r="AT153" s="62">
        <f t="shared" si="133"/>
        <v>0</v>
      </c>
      <c r="AU153" s="62">
        <f t="shared" si="133"/>
        <v>0</v>
      </c>
      <c r="AV153" s="62">
        <f t="shared" si="133"/>
        <v>0</v>
      </c>
      <c r="AW153" s="62">
        <f t="shared" si="133"/>
        <v>0</v>
      </c>
      <c r="AX153" s="62">
        <f t="shared" si="133"/>
        <v>0</v>
      </c>
      <c r="AY153" s="62">
        <f t="shared" si="133"/>
        <v>0</v>
      </c>
      <c r="AZ153" s="62">
        <f t="shared" si="133"/>
        <v>0</v>
      </c>
      <c r="BA153" s="62">
        <f t="shared" si="133"/>
        <v>0</v>
      </c>
      <c r="BB153" s="62">
        <f t="shared" si="133"/>
        <v>0</v>
      </c>
      <c r="BC153" s="62">
        <f t="shared" si="133"/>
        <v>0</v>
      </c>
      <c r="BD153" s="62">
        <f t="shared" si="133"/>
        <v>0</v>
      </c>
      <c r="BE153" s="62">
        <f t="shared" si="133"/>
        <v>0</v>
      </c>
      <c r="BF153" s="62">
        <f t="shared" si="133"/>
        <v>0</v>
      </c>
      <c r="BG153" s="62">
        <f t="shared" si="133"/>
        <v>0</v>
      </c>
      <c r="BH153" s="62">
        <f t="shared" si="133"/>
        <v>0</v>
      </c>
      <c r="BI153" s="62">
        <f t="shared" si="133"/>
        <v>0</v>
      </c>
      <c r="BJ153" s="62">
        <f t="shared" si="133"/>
        <v>0</v>
      </c>
      <c r="BK153" s="62">
        <f t="shared" si="133"/>
        <v>0</v>
      </c>
      <c r="BL153" s="62">
        <f t="shared" si="133"/>
        <v>0</v>
      </c>
      <c r="BM153" s="62">
        <f t="shared" si="133"/>
        <v>0</v>
      </c>
      <c r="BN153" s="62">
        <f t="shared" si="133"/>
        <v>0</v>
      </c>
      <c r="BO153" s="62">
        <f t="shared" si="133"/>
        <v>0</v>
      </c>
      <c r="BP153" s="62">
        <f t="shared" si="133"/>
        <v>0</v>
      </c>
      <c r="BQ153" s="62">
        <f t="shared" si="133"/>
        <v>0</v>
      </c>
      <c r="BR153" s="62">
        <f t="shared" si="133"/>
        <v>0</v>
      </c>
      <c r="BS153" s="62">
        <f t="shared" si="133"/>
        <v>0</v>
      </c>
      <c r="BT153" s="62">
        <f t="shared" ref="BT153:DV157" si="134">IF(BT$4&gt;=$C153+$D153,0,IF($C153&lt;=BT$4,1,0)+BS153)</f>
        <v>0</v>
      </c>
      <c r="BU153" s="62">
        <f t="shared" si="134"/>
        <v>0</v>
      </c>
      <c r="BV153" s="62">
        <f t="shared" si="134"/>
        <v>0</v>
      </c>
      <c r="BW153" s="62">
        <f t="shared" si="134"/>
        <v>0</v>
      </c>
      <c r="BX153" s="62">
        <f t="shared" si="134"/>
        <v>0</v>
      </c>
      <c r="BY153" s="62">
        <f t="shared" si="134"/>
        <v>0</v>
      </c>
      <c r="BZ153" s="62">
        <f t="shared" si="134"/>
        <v>0</v>
      </c>
      <c r="CA153" s="62">
        <f t="shared" si="134"/>
        <v>0</v>
      </c>
      <c r="CB153" s="62">
        <f t="shared" si="134"/>
        <v>0</v>
      </c>
      <c r="CC153" s="62">
        <f t="shared" si="134"/>
        <v>0</v>
      </c>
      <c r="CD153" s="62">
        <f t="shared" si="134"/>
        <v>0</v>
      </c>
      <c r="CE153" s="62">
        <f t="shared" si="134"/>
        <v>0</v>
      </c>
      <c r="CF153" s="62">
        <f t="shared" si="134"/>
        <v>0</v>
      </c>
      <c r="CG153" s="62">
        <f t="shared" si="134"/>
        <v>0</v>
      </c>
      <c r="CH153" s="62">
        <f t="shared" si="134"/>
        <v>0</v>
      </c>
      <c r="CI153" s="62">
        <f t="shared" si="134"/>
        <v>0</v>
      </c>
      <c r="CJ153" s="62">
        <f t="shared" si="134"/>
        <v>0</v>
      </c>
      <c r="CK153" s="62">
        <f t="shared" si="134"/>
        <v>0</v>
      </c>
      <c r="CL153" s="62">
        <f t="shared" si="134"/>
        <v>0</v>
      </c>
      <c r="CM153" s="62">
        <f t="shared" si="134"/>
        <v>0</v>
      </c>
      <c r="CN153" s="62">
        <f t="shared" si="134"/>
        <v>0</v>
      </c>
      <c r="CO153" s="62">
        <f t="shared" si="134"/>
        <v>0</v>
      </c>
      <c r="CP153" s="62">
        <f t="shared" si="134"/>
        <v>0</v>
      </c>
      <c r="CQ153" s="62">
        <f t="shared" si="134"/>
        <v>0</v>
      </c>
      <c r="CR153" s="62">
        <f t="shared" si="134"/>
        <v>0</v>
      </c>
      <c r="CS153" s="62">
        <f t="shared" si="134"/>
        <v>0</v>
      </c>
      <c r="CT153" s="62">
        <f t="shared" si="134"/>
        <v>0</v>
      </c>
      <c r="CU153" s="62">
        <f t="shared" si="134"/>
        <v>0</v>
      </c>
      <c r="CV153" s="62">
        <f t="shared" si="134"/>
        <v>0</v>
      </c>
      <c r="CW153" s="62">
        <f t="shared" si="134"/>
        <v>0</v>
      </c>
      <c r="CX153" s="62">
        <f t="shared" si="134"/>
        <v>0</v>
      </c>
      <c r="CY153" s="62">
        <f t="shared" si="134"/>
        <v>0</v>
      </c>
      <c r="CZ153" s="62">
        <f t="shared" si="134"/>
        <v>0</v>
      </c>
      <c r="DA153" s="62">
        <f t="shared" si="134"/>
        <v>0</v>
      </c>
      <c r="DB153" s="62">
        <f t="shared" si="134"/>
        <v>0</v>
      </c>
      <c r="DC153" s="62">
        <f t="shared" si="134"/>
        <v>0</v>
      </c>
      <c r="DD153" s="62">
        <f t="shared" si="134"/>
        <v>0</v>
      </c>
      <c r="DE153" s="62">
        <f t="shared" si="134"/>
        <v>0</v>
      </c>
      <c r="DF153" s="62">
        <f t="shared" si="134"/>
        <v>0</v>
      </c>
      <c r="DG153" s="62">
        <f t="shared" si="134"/>
        <v>0</v>
      </c>
      <c r="DH153" s="62">
        <f t="shared" si="134"/>
        <v>0</v>
      </c>
      <c r="DI153" s="62">
        <f t="shared" si="134"/>
        <v>0</v>
      </c>
      <c r="DJ153" s="62">
        <f t="shared" si="134"/>
        <v>0</v>
      </c>
      <c r="DK153" s="62">
        <f t="shared" si="134"/>
        <v>0</v>
      </c>
      <c r="DL153" s="62">
        <f t="shared" si="134"/>
        <v>0</v>
      </c>
      <c r="DM153" s="62">
        <f t="shared" si="134"/>
        <v>0</v>
      </c>
      <c r="DN153" s="62">
        <f t="shared" si="134"/>
        <v>0</v>
      </c>
      <c r="DO153" s="62">
        <f t="shared" si="134"/>
        <v>0</v>
      </c>
      <c r="DP153" s="62">
        <f t="shared" si="134"/>
        <v>0</v>
      </c>
      <c r="DQ153" s="62">
        <f t="shared" si="134"/>
        <v>0</v>
      </c>
      <c r="DR153" s="62">
        <f t="shared" si="134"/>
        <v>0</v>
      </c>
      <c r="DS153" s="62">
        <f t="shared" si="134"/>
        <v>0</v>
      </c>
      <c r="DT153" s="62">
        <f t="shared" si="134"/>
        <v>0</v>
      </c>
      <c r="DU153" s="62">
        <f t="shared" si="134"/>
        <v>0</v>
      </c>
      <c r="DV153" s="62">
        <f t="shared" si="134"/>
        <v>0</v>
      </c>
    </row>
    <row r="154" spans="2:126" outlineLevel="1">
      <c r="B154" s="3" t="str">
        <f t="shared" si="130"/>
        <v>Property G</v>
      </c>
      <c r="C154" s="14">
        <f t="shared" si="131"/>
        <v>9</v>
      </c>
      <c r="D154" s="14">
        <f t="shared" si="132"/>
        <v>12</v>
      </c>
      <c r="E154" s="35"/>
      <c r="F154" s="35"/>
      <c r="G154" s="62">
        <f t="shared" ref="G154:V162" si="135">IF(G$4&gt;=$C154+$D154,0,IF($C154&lt;=G$4,1,0)+F154)</f>
        <v>0</v>
      </c>
      <c r="H154" s="62">
        <f t="shared" si="135"/>
        <v>0</v>
      </c>
      <c r="I154" s="62">
        <f t="shared" si="135"/>
        <v>0</v>
      </c>
      <c r="J154" s="62">
        <f t="shared" si="135"/>
        <v>0</v>
      </c>
      <c r="K154" s="62">
        <f t="shared" si="135"/>
        <v>0</v>
      </c>
      <c r="L154" s="62">
        <f t="shared" si="135"/>
        <v>0</v>
      </c>
      <c r="M154" s="62">
        <f t="shared" si="135"/>
        <v>0</v>
      </c>
      <c r="N154" s="62">
        <f t="shared" si="135"/>
        <v>0</v>
      </c>
      <c r="O154" s="62">
        <f t="shared" si="135"/>
        <v>1</v>
      </c>
      <c r="P154" s="62">
        <f t="shared" si="135"/>
        <v>2</v>
      </c>
      <c r="Q154" s="62">
        <f t="shared" si="135"/>
        <v>3</v>
      </c>
      <c r="R154" s="62">
        <f t="shared" si="135"/>
        <v>4</v>
      </c>
      <c r="S154" s="62">
        <f t="shared" si="135"/>
        <v>5</v>
      </c>
      <c r="T154" s="62">
        <f t="shared" si="135"/>
        <v>6</v>
      </c>
      <c r="U154" s="62">
        <f t="shared" si="135"/>
        <v>7</v>
      </c>
      <c r="V154" s="62">
        <f t="shared" si="135"/>
        <v>8</v>
      </c>
      <c r="W154" s="62">
        <f t="shared" si="133"/>
        <v>9</v>
      </c>
      <c r="X154" s="62">
        <f t="shared" si="133"/>
        <v>10</v>
      </c>
      <c r="Y154" s="62">
        <f t="shared" si="133"/>
        <v>11</v>
      </c>
      <c r="Z154" s="62">
        <f t="shared" si="133"/>
        <v>12</v>
      </c>
      <c r="AA154" s="62">
        <f t="shared" si="133"/>
        <v>0</v>
      </c>
      <c r="AB154" s="62">
        <f t="shared" si="133"/>
        <v>0</v>
      </c>
      <c r="AC154" s="62">
        <f t="shared" si="133"/>
        <v>0</v>
      </c>
      <c r="AD154" s="62">
        <f t="shared" si="133"/>
        <v>0</v>
      </c>
      <c r="AE154" s="62">
        <f t="shared" si="133"/>
        <v>0</v>
      </c>
      <c r="AF154" s="62">
        <f t="shared" si="133"/>
        <v>0</v>
      </c>
      <c r="AG154" s="62">
        <f t="shared" si="133"/>
        <v>0</v>
      </c>
      <c r="AH154" s="62">
        <f t="shared" si="133"/>
        <v>0</v>
      </c>
      <c r="AI154" s="62">
        <f t="shared" si="133"/>
        <v>0</v>
      </c>
      <c r="AJ154" s="62">
        <f t="shared" si="133"/>
        <v>0</v>
      </c>
      <c r="AK154" s="62">
        <f t="shared" si="133"/>
        <v>0</v>
      </c>
      <c r="AL154" s="62">
        <f t="shared" si="133"/>
        <v>0</v>
      </c>
      <c r="AM154" s="62">
        <f t="shared" si="133"/>
        <v>0</v>
      </c>
      <c r="AN154" s="62">
        <f t="shared" si="133"/>
        <v>0</v>
      </c>
      <c r="AO154" s="62">
        <f t="shared" si="133"/>
        <v>0</v>
      </c>
      <c r="AP154" s="62">
        <f t="shared" si="133"/>
        <v>0</v>
      </c>
      <c r="AQ154" s="62">
        <f t="shared" si="133"/>
        <v>0</v>
      </c>
      <c r="AR154" s="62">
        <f t="shared" si="133"/>
        <v>0</v>
      </c>
      <c r="AS154" s="62">
        <f t="shared" si="133"/>
        <v>0</v>
      </c>
      <c r="AT154" s="62">
        <f t="shared" si="133"/>
        <v>0</v>
      </c>
      <c r="AU154" s="62">
        <f t="shared" si="133"/>
        <v>0</v>
      </c>
      <c r="AV154" s="62">
        <f t="shared" si="133"/>
        <v>0</v>
      </c>
      <c r="AW154" s="62">
        <f t="shared" si="133"/>
        <v>0</v>
      </c>
      <c r="AX154" s="62">
        <f t="shared" si="133"/>
        <v>0</v>
      </c>
      <c r="AY154" s="62">
        <f t="shared" si="133"/>
        <v>0</v>
      </c>
      <c r="AZ154" s="62">
        <f t="shared" si="133"/>
        <v>0</v>
      </c>
      <c r="BA154" s="62">
        <f t="shared" si="133"/>
        <v>0</v>
      </c>
      <c r="BB154" s="62">
        <f t="shared" si="133"/>
        <v>0</v>
      </c>
      <c r="BC154" s="62">
        <f t="shared" si="133"/>
        <v>0</v>
      </c>
      <c r="BD154" s="62">
        <f t="shared" si="133"/>
        <v>0</v>
      </c>
      <c r="BE154" s="62">
        <f t="shared" si="133"/>
        <v>0</v>
      </c>
      <c r="BF154" s="62">
        <f t="shared" si="133"/>
        <v>0</v>
      </c>
      <c r="BG154" s="62">
        <f t="shared" si="133"/>
        <v>0</v>
      </c>
      <c r="BH154" s="62">
        <f t="shared" si="133"/>
        <v>0</v>
      </c>
      <c r="BI154" s="62">
        <f t="shared" si="133"/>
        <v>0</v>
      </c>
      <c r="BJ154" s="62">
        <f t="shared" si="133"/>
        <v>0</v>
      </c>
      <c r="BK154" s="62">
        <f t="shared" si="133"/>
        <v>0</v>
      </c>
      <c r="BL154" s="62">
        <f t="shared" si="133"/>
        <v>0</v>
      </c>
      <c r="BM154" s="62">
        <f t="shared" si="133"/>
        <v>0</v>
      </c>
      <c r="BN154" s="62">
        <f t="shared" si="133"/>
        <v>0</v>
      </c>
      <c r="BO154" s="62">
        <f t="shared" si="133"/>
        <v>0</v>
      </c>
      <c r="BP154" s="62">
        <f t="shared" si="133"/>
        <v>0</v>
      </c>
      <c r="BQ154" s="62">
        <f t="shared" si="133"/>
        <v>0</v>
      </c>
      <c r="BR154" s="62">
        <f t="shared" si="133"/>
        <v>0</v>
      </c>
      <c r="BS154" s="62">
        <f t="shared" si="133"/>
        <v>0</v>
      </c>
      <c r="BT154" s="62">
        <f t="shared" si="134"/>
        <v>0</v>
      </c>
      <c r="BU154" s="62">
        <f t="shared" si="134"/>
        <v>0</v>
      </c>
      <c r="BV154" s="62">
        <f t="shared" si="134"/>
        <v>0</v>
      </c>
      <c r="BW154" s="62">
        <f t="shared" si="134"/>
        <v>0</v>
      </c>
      <c r="BX154" s="62">
        <f t="shared" si="134"/>
        <v>0</v>
      </c>
      <c r="BY154" s="62">
        <f t="shared" si="134"/>
        <v>0</v>
      </c>
      <c r="BZ154" s="62">
        <f t="shared" si="134"/>
        <v>0</v>
      </c>
      <c r="CA154" s="62">
        <f t="shared" si="134"/>
        <v>0</v>
      </c>
      <c r="CB154" s="62">
        <f t="shared" si="134"/>
        <v>0</v>
      </c>
      <c r="CC154" s="62">
        <f t="shared" si="134"/>
        <v>0</v>
      </c>
      <c r="CD154" s="62">
        <f t="shared" si="134"/>
        <v>0</v>
      </c>
      <c r="CE154" s="62">
        <f t="shared" si="134"/>
        <v>0</v>
      </c>
      <c r="CF154" s="62">
        <f t="shared" si="134"/>
        <v>0</v>
      </c>
      <c r="CG154" s="62">
        <f t="shared" si="134"/>
        <v>0</v>
      </c>
      <c r="CH154" s="62">
        <f t="shared" si="134"/>
        <v>0</v>
      </c>
      <c r="CI154" s="62">
        <f t="shared" si="134"/>
        <v>0</v>
      </c>
      <c r="CJ154" s="62">
        <f t="shared" si="134"/>
        <v>0</v>
      </c>
      <c r="CK154" s="62">
        <f t="shared" si="134"/>
        <v>0</v>
      </c>
      <c r="CL154" s="62">
        <f t="shared" si="134"/>
        <v>0</v>
      </c>
      <c r="CM154" s="62">
        <f t="shared" si="134"/>
        <v>0</v>
      </c>
      <c r="CN154" s="62">
        <f t="shared" si="134"/>
        <v>0</v>
      </c>
      <c r="CO154" s="62">
        <f t="shared" si="134"/>
        <v>0</v>
      </c>
      <c r="CP154" s="62">
        <f t="shared" si="134"/>
        <v>0</v>
      </c>
      <c r="CQ154" s="62">
        <f t="shared" si="134"/>
        <v>0</v>
      </c>
      <c r="CR154" s="62">
        <f t="shared" si="134"/>
        <v>0</v>
      </c>
      <c r="CS154" s="62">
        <f t="shared" si="134"/>
        <v>0</v>
      </c>
      <c r="CT154" s="62">
        <f t="shared" si="134"/>
        <v>0</v>
      </c>
      <c r="CU154" s="62">
        <f t="shared" si="134"/>
        <v>0</v>
      </c>
      <c r="CV154" s="62">
        <f t="shared" si="134"/>
        <v>0</v>
      </c>
      <c r="CW154" s="62">
        <f t="shared" si="134"/>
        <v>0</v>
      </c>
      <c r="CX154" s="62">
        <f t="shared" si="134"/>
        <v>0</v>
      </c>
      <c r="CY154" s="62">
        <f t="shared" si="134"/>
        <v>0</v>
      </c>
      <c r="CZ154" s="62">
        <f t="shared" si="134"/>
        <v>0</v>
      </c>
      <c r="DA154" s="62">
        <f t="shared" si="134"/>
        <v>0</v>
      </c>
      <c r="DB154" s="62">
        <f t="shared" si="134"/>
        <v>0</v>
      </c>
      <c r="DC154" s="62">
        <f t="shared" si="134"/>
        <v>0</v>
      </c>
      <c r="DD154" s="62">
        <f t="shared" si="134"/>
        <v>0</v>
      </c>
      <c r="DE154" s="62">
        <f t="shared" si="134"/>
        <v>0</v>
      </c>
      <c r="DF154" s="62">
        <f t="shared" si="134"/>
        <v>0</v>
      </c>
      <c r="DG154" s="62">
        <f t="shared" si="134"/>
        <v>0</v>
      </c>
      <c r="DH154" s="62">
        <f t="shared" si="134"/>
        <v>0</v>
      </c>
      <c r="DI154" s="62">
        <f t="shared" si="134"/>
        <v>0</v>
      </c>
      <c r="DJ154" s="62">
        <f t="shared" si="134"/>
        <v>0</v>
      </c>
      <c r="DK154" s="62">
        <f t="shared" si="134"/>
        <v>0</v>
      </c>
      <c r="DL154" s="62">
        <f t="shared" si="134"/>
        <v>0</v>
      </c>
      <c r="DM154" s="62">
        <f t="shared" si="134"/>
        <v>0</v>
      </c>
      <c r="DN154" s="62">
        <f t="shared" si="134"/>
        <v>0</v>
      </c>
      <c r="DO154" s="62">
        <f t="shared" si="134"/>
        <v>0</v>
      </c>
      <c r="DP154" s="62">
        <f t="shared" si="134"/>
        <v>0</v>
      </c>
      <c r="DQ154" s="62">
        <f t="shared" si="134"/>
        <v>0</v>
      </c>
      <c r="DR154" s="62">
        <f t="shared" si="134"/>
        <v>0</v>
      </c>
      <c r="DS154" s="62">
        <f t="shared" si="134"/>
        <v>0</v>
      </c>
      <c r="DT154" s="62">
        <f t="shared" si="134"/>
        <v>0</v>
      </c>
      <c r="DU154" s="62">
        <f t="shared" si="134"/>
        <v>0</v>
      </c>
      <c r="DV154" s="62">
        <f t="shared" si="134"/>
        <v>0</v>
      </c>
    </row>
    <row r="155" spans="2:126" outlineLevel="1">
      <c r="B155" s="3" t="str">
        <f t="shared" si="130"/>
        <v>Property H</v>
      </c>
      <c r="C155" s="14">
        <f t="shared" si="131"/>
        <v>10</v>
      </c>
      <c r="D155" s="14">
        <f t="shared" si="132"/>
        <v>16</v>
      </c>
      <c r="E155" s="35"/>
      <c r="F155" s="35"/>
      <c r="G155" s="62">
        <f t="shared" si="135"/>
        <v>0</v>
      </c>
      <c r="H155" s="62">
        <f t="shared" si="135"/>
        <v>0</v>
      </c>
      <c r="I155" s="62">
        <f t="shared" si="135"/>
        <v>0</v>
      </c>
      <c r="J155" s="62">
        <f t="shared" si="135"/>
        <v>0</v>
      </c>
      <c r="K155" s="62">
        <f t="shared" si="135"/>
        <v>0</v>
      </c>
      <c r="L155" s="62">
        <f t="shared" si="135"/>
        <v>0</v>
      </c>
      <c r="M155" s="62">
        <f t="shared" si="135"/>
        <v>0</v>
      </c>
      <c r="N155" s="62">
        <f t="shared" si="135"/>
        <v>0</v>
      </c>
      <c r="O155" s="62">
        <f t="shared" si="135"/>
        <v>0</v>
      </c>
      <c r="P155" s="62">
        <f t="shared" si="135"/>
        <v>1</v>
      </c>
      <c r="Q155" s="62">
        <f t="shared" si="135"/>
        <v>2</v>
      </c>
      <c r="R155" s="62">
        <f t="shared" si="135"/>
        <v>3</v>
      </c>
      <c r="S155" s="62">
        <f t="shared" si="135"/>
        <v>4</v>
      </c>
      <c r="T155" s="62">
        <f t="shared" si="135"/>
        <v>5</v>
      </c>
      <c r="U155" s="62">
        <f t="shared" si="135"/>
        <v>6</v>
      </c>
      <c r="V155" s="62">
        <f t="shared" si="135"/>
        <v>7</v>
      </c>
      <c r="W155" s="62">
        <f t="shared" si="133"/>
        <v>8</v>
      </c>
      <c r="X155" s="62">
        <f t="shared" si="133"/>
        <v>9</v>
      </c>
      <c r="Y155" s="62">
        <f t="shared" si="133"/>
        <v>10</v>
      </c>
      <c r="Z155" s="62">
        <f t="shared" si="133"/>
        <v>11</v>
      </c>
      <c r="AA155" s="62">
        <f t="shared" si="133"/>
        <v>12</v>
      </c>
      <c r="AB155" s="62">
        <f t="shared" si="133"/>
        <v>13</v>
      </c>
      <c r="AC155" s="62">
        <f t="shared" si="133"/>
        <v>14</v>
      </c>
      <c r="AD155" s="62">
        <f t="shared" si="133"/>
        <v>15</v>
      </c>
      <c r="AE155" s="62">
        <f t="shared" si="133"/>
        <v>16</v>
      </c>
      <c r="AF155" s="62">
        <f t="shared" si="133"/>
        <v>0</v>
      </c>
      <c r="AG155" s="62">
        <f t="shared" si="133"/>
        <v>0</v>
      </c>
      <c r="AH155" s="62">
        <f t="shared" si="133"/>
        <v>0</v>
      </c>
      <c r="AI155" s="62">
        <f t="shared" si="133"/>
        <v>0</v>
      </c>
      <c r="AJ155" s="62">
        <f t="shared" si="133"/>
        <v>0</v>
      </c>
      <c r="AK155" s="62">
        <f t="shared" si="133"/>
        <v>0</v>
      </c>
      <c r="AL155" s="62">
        <f t="shared" si="133"/>
        <v>0</v>
      </c>
      <c r="AM155" s="62">
        <f t="shared" si="133"/>
        <v>0</v>
      </c>
      <c r="AN155" s="62">
        <f t="shared" si="133"/>
        <v>0</v>
      </c>
      <c r="AO155" s="62">
        <f t="shared" si="133"/>
        <v>0</v>
      </c>
      <c r="AP155" s="62">
        <f t="shared" si="133"/>
        <v>0</v>
      </c>
      <c r="AQ155" s="62">
        <f t="shared" si="133"/>
        <v>0</v>
      </c>
      <c r="AR155" s="62">
        <f t="shared" si="133"/>
        <v>0</v>
      </c>
      <c r="AS155" s="62">
        <f t="shared" si="133"/>
        <v>0</v>
      </c>
      <c r="AT155" s="62">
        <f t="shared" si="133"/>
        <v>0</v>
      </c>
      <c r="AU155" s="62">
        <f t="shared" si="133"/>
        <v>0</v>
      </c>
      <c r="AV155" s="62">
        <f t="shared" si="133"/>
        <v>0</v>
      </c>
      <c r="AW155" s="62">
        <f t="shared" si="133"/>
        <v>0</v>
      </c>
      <c r="AX155" s="62">
        <f t="shared" si="133"/>
        <v>0</v>
      </c>
      <c r="AY155" s="62">
        <f t="shared" si="133"/>
        <v>0</v>
      </c>
      <c r="AZ155" s="62">
        <f t="shared" si="133"/>
        <v>0</v>
      </c>
      <c r="BA155" s="62">
        <f t="shared" si="133"/>
        <v>0</v>
      </c>
      <c r="BB155" s="62">
        <f t="shared" si="133"/>
        <v>0</v>
      </c>
      <c r="BC155" s="62">
        <f t="shared" si="133"/>
        <v>0</v>
      </c>
      <c r="BD155" s="62">
        <f t="shared" si="133"/>
        <v>0</v>
      </c>
      <c r="BE155" s="62">
        <f t="shared" si="133"/>
        <v>0</v>
      </c>
      <c r="BF155" s="62">
        <f t="shared" si="133"/>
        <v>0</v>
      </c>
      <c r="BG155" s="62">
        <f t="shared" si="133"/>
        <v>0</v>
      </c>
      <c r="BH155" s="62">
        <f t="shared" si="133"/>
        <v>0</v>
      </c>
      <c r="BI155" s="62">
        <f t="shared" si="133"/>
        <v>0</v>
      </c>
      <c r="BJ155" s="62">
        <f t="shared" si="133"/>
        <v>0</v>
      </c>
      <c r="BK155" s="62">
        <f t="shared" si="133"/>
        <v>0</v>
      </c>
      <c r="BL155" s="62">
        <f t="shared" si="133"/>
        <v>0</v>
      </c>
      <c r="BM155" s="62">
        <f t="shared" si="133"/>
        <v>0</v>
      </c>
      <c r="BN155" s="62">
        <f t="shared" si="133"/>
        <v>0</v>
      </c>
      <c r="BO155" s="62">
        <f t="shared" si="133"/>
        <v>0</v>
      </c>
      <c r="BP155" s="62">
        <f t="shared" si="133"/>
        <v>0</v>
      </c>
      <c r="BQ155" s="62">
        <f t="shared" si="133"/>
        <v>0</v>
      </c>
      <c r="BR155" s="62">
        <f t="shared" si="133"/>
        <v>0</v>
      </c>
      <c r="BS155" s="62">
        <f t="shared" si="133"/>
        <v>0</v>
      </c>
      <c r="BT155" s="62">
        <f t="shared" si="134"/>
        <v>0</v>
      </c>
      <c r="BU155" s="62">
        <f t="shared" si="134"/>
        <v>0</v>
      </c>
      <c r="BV155" s="62">
        <f t="shared" si="134"/>
        <v>0</v>
      </c>
      <c r="BW155" s="62">
        <f t="shared" si="134"/>
        <v>0</v>
      </c>
      <c r="BX155" s="62">
        <f t="shared" si="134"/>
        <v>0</v>
      </c>
      <c r="BY155" s="62">
        <f t="shared" si="134"/>
        <v>0</v>
      </c>
      <c r="BZ155" s="62">
        <f t="shared" si="134"/>
        <v>0</v>
      </c>
      <c r="CA155" s="62">
        <f t="shared" si="134"/>
        <v>0</v>
      </c>
      <c r="CB155" s="62">
        <f t="shared" si="134"/>
        <v>0</v>
      </c>
      <c r="CC155" s="62">
        <f t="shared" si="134"/>
        <v>0</v>
      </c>
      <c r="CD155" s="62">
        <f t="shared" si="134"/>
        <v>0</v>
      </c>
      <c r="CE155" s="62">
        <f t="shared" si="134"/>
        <v>0</v>
      </c>
      <c r="CF155" s="62">
        <f t="shared" si="134"/>
        <v>0</v>
      </c>
      <c r="CG155" s="62">
        <f t="shared" si="134"/>
        <v>0</v>
      </c>
      <c r="CH155" s="62">
        <f t="shared" si="134"/>
        <v>0</v>
      </c>
      <c r="CI155" s="62">
        <f t="shared" si="134"/>
        <v>0</v>
      </c>
      <c r="CJ155" s="62">
        <f t="shared" si="134"/>
        <v>0</v>
      </c>
      <c r="CK155" s="62">
        <f t="shared" si="134"/>
        <v>0</v>
      </c>
      <c r="CL155" s="62">
        <f t="shared" si="134"/>
        <v>0</v>
      </c>
      <c r="CM155" s="62">
        <f t="shared" si="134"/>
        <v>0</v>
      </c>
      <c r="CN155" s="62">
        <f t="shared" si="134"/>
        <v>0</v>
      </c>
      <c r="CO155" s="62">
        <f t="shared" si="134"/>
        <v>0</v>
      </c>
      <c r="CP155" s="62">
        <f t="shared" si="134"/>
        <v>0</v>
      </c>
      <c r="CQ155" s="62">
        <f t="shared" si="134"/>
        <v>0</v>
      </c>
      <c r="CR155" s="62">
        <f t="shared" si="134"/>
        <v>0</v>
      </c>
      <c r="CS155" s="62">
        <f t="shared" si="134"/>
        <v>0</v>
      </c>
      <c r="CT155" s="62">
        <f t="shared" si="134"/>
        <v>0</v>
      </c>
      <c r="CU155" s="62">
        <f t="shared" si="134"/>
        <v>0</v>
      </c>
      <c r="CV155" s="62">
        <f t="shared" si="134"/>
        <v>0</v>
      </c>
      <c r="CW155" s="62">
        <f t="shared" si="134"/>
        <v>0</v>
      </c>
      <c r="CX155" s="62">
        <f t="shared" si="134"/>
        <v>0</v>
      </c>
      <c r="CY155" s="62">
        <f t="shared" si="134"/>
        <v>0</v>
      </c>
      <c r="CZ155" s="62">
        <f t="shared" si="134"/>
        <v>0</v>
      </c>
      <c r="DA155" s="62">
        <f t="shared" si="134"/>
        <v>0</v>
      </c>
      <c r="DB155" s="62">
        <f t="shared" si="134"/>
        <v>0</v>
      </c>
      <c r="DC155" s="62">
        <f t="shared" si="134"/>
        <v>0</v>
      </c>
      <c r="DD155" s="62">
        <f t="shared" si="134"/>
        <v>0</v>
      </c>
      <c r="DE155" s="62">
        <f t="shared" si="134"/>
        <v>0</v>
      </c>
      <c r="DF155" s="62">
        <f t="shared" si="134"/>
        <v>0</v>
      </c>
      <c r="DG155" s="62">
        <f t="shared" si="134"/>
        <v>0</v>
      </c>
      <c r="DH155" s="62">
        <f t="shared" si="134"/>
        <v>0</v>
      </c>
      <c r="DI155" s="62">
        <f t="shared" si="134"/>
        <v>0</v>
      </c>
      <c r="DJ155" s="62">
        <f t="shared" si="134"/>
        <v>0</v>
      </c>
      <c r="DK155" s="62">
        <f t="shared" si="134"/>
        <v>0</v>
      </c>
      <c r="DL155" s="62">
        <f t="shared" si="134"/>
        <v>0</v>
      </c>
      <c r="DM155" s="62">
        <f t="shared" si="134"/>
        <v>0</v>
      </c>
      <c r="DN155" s="62">
        <f t="shared" si="134"/>
        <v>0</v>
      </c>
      <c r="DO155" s="62">
        <f t="shared" si="134"/>
        <v>0</v>
      </c>
      <c r="DP155" s="62">
        <f t="shared" si="134"/>
        <v>0</v>
      </c>
      <c r="DQ155" s="62">
        <f t="shared" si="134"/>
        <v>0</v>
      </c>
      <c r="DR155" s="62">
        <f t="shared" si="134"/>
        <v>0</v>
      </c>
      <c r="DS155" s="62">
        <f t="shared" si="134"/>
        <v>0</v>
      </c>
      <c r="DT155" s="62">
        <f t="shared" si="134"/>
        <v>0</v>
      </c>
      <c r="DU155" s="62">
        <f t="shared" si="134"/>
        <v>0</v>
      </c>
      <c r="DV155" s="62">
        <f t="shared" si="134"/>
        <v>0</v>
      </c>
    </row>
    <row r="156" spans="2:126" outlineLevel="1">
      <c r="B156" s="3" t="str">
        <f t="shared" si="130"/>
        <v>Property I</v>
      </c>
      <c r="C156" s="14">
        <f t="shared" si="131"/>
        <v>15</v>
      </c>
      <c r="D156" s="14">
        <f t="shared" si="132"/>
        <v>19</v>
      </c>
      <c r="E156" s="35"/>
      <c r="F156" s="35"/>
      <c r="G156" s="62">
        <f t="shared" si="135"/>
        <v>0</v>
      </c>
      <c r="H156" s="62">
        <f t="shared" si="135"/>
        <v>0</v>
      </c>
      <c r="I156" s="62">
        <f t="shared" si="135"/>
        <v>0</v>
      </c>
      <c r="J156" s="62">
        <f t="shared" si="135"/>
        <v>0</v>
      </c>
      <c r="K156" s="62">
        <f t="shared" si="135"/>
        <v>0</v>
      </c>
      <c r="L156" s="62">
        <f t="shared" si="135"/>
        <v>0</v>
      </c>
      <c r="M156" s="62">
        <f t="shared" si="135"/>
        <v>0</v>
      </c>
      <c r="N156" s="62">
        <f t="shared" si="135"/>
        <v>0</v>
      </c>
      <c r="O156" s="62">
        <f t="shared" si="135"/>
        <v>0</v>
      </c>
      <c r="P156" s="62">
        <f t="shared" si="135"/>
        <v>0</v>
      </c>
      <c r="Q156" s="62">
        <f t="shared" si="135"/>
        <v>0</v>
      </c>
      <c r="R156" s="62">
        <f t="shared" si="135"/>
        <v>0</v>
      </c>
      <c r="S156" s="62">
        <f t="shared" si="135"/>
        <v>0</v>
      </c>
      <c r="T156" s="62">
        <f t="shared" si="135"/>
        <v>0</v>
      </c>
      <c r="U156" s="62">
        <f t="shared" si="135"/>
        <v>1</v>
      </c>
      <c r="V156" s="62">
        <f t="shared" si="135"/>
        <v>2</v>
      </c>
      <c r="W156" s="62">
        <f t="shared" si="133"/>
        <v>3</v>
      </c>
      <c r="X156" s="62">
        <f t="shared" si="133"/>
        <v>4</v>
      </c>
      <c r="Y156" s="62">
        <f t="shared" si="133"/>
        <v>5</v>
      </c>
      <c r="Z156" s="62">
        <f t="shared" si="133"/>
        <v>6</v>
      </c>
      <c r="AA156" s="62">
        <f t="shared" si="133"/>
        <v>7</v>
      </c>
      <c r="AB156" s="62">
        <f t="shared" si="133"/>
        <v>8</v>
      </c>
      <c r="AC156" s="62">
        <f t="shared" si="133"/>
        <v>9</v>
      </c>
      <c r="AD156" s="62">
        <f t="shared" si="133"/>
        <v>10</v>
      </c>
      <c r="AE156" s="62">
        <f t="shared" si="133"/>
        <v>11</v>
      </c>
      <c r="AF156" s="62">
        <f t="shared" si="133"/>
        <v>12</v>
      </c>
      <c r="AG156" s="62">
        <f t="shared" si="133"/>
        <v>13</v>
      </c>
      <c r="AH156" s="62">
        <f t="shared" si="133"/>
        <v>14</v>
      </c>
      <c r="AI156" s="62">
        <f t="shared" si="133"/>
        <v>15</v>
      </c>
      <c r="AJ156" s="62">
        <f t="shared" si="133"/>
        <v>16</v>
      </c>
      <c r="AK156" s="62">
        <f t="shared" si="133"/>
        <v>17</v>
      </c>
      <c r="AL156" s="62">
        <f t="shared" si="133"/>
        <v>18</v>
      </c>
      <c r="AM156" s="62">
        <f t="shared" si="133"/>
        <v>19</v>
      </c>
      <c r="AN156" s="62">
        <f t="shared" si="133"/>
        <v>0</v>
      </c>
      <c r="AO156" s="62">
        <f t="shared" si="133"/>
        <v>0</v>
      </c>
      <c r="AP156" s="62">
        <f t="shared" si="133"/>
        <v>0</v>
      </c>
      <c r="AQ156" s="62">
        <f t="shared" si="133"/>
        <v>0</v>
      </c>
      <c r="AR156" s="62">
        <f t="shared" si="133"/>
        <v>0</v>
      </c>
      <c r="AS156" s="62">
        <f t="shared" si="133"/>
        <v>0</v>
      </c>
      <c r="AT156" s="62">
        <f t="shared" si="133"/>
        <v>0</v>
      </c>
      <c r="AU156" s="62">
        <f t="shared" si="133"/>
        <v>0</v>
      </c>
      <c r="AV156" s="62">
        <f t="shared" si="133"/>
        <v>0</v>
      </c>
      <c r="AW156" s="62">
        <f t="shared" si="133"/>
        <v>0</v>
      </c>
      <c r="AX156" s="62">
        <f t="shared" si="133"/>
        <v>0</v>
      </c>
      <c r="AY156" s="62">
        <f t="shared" si="133"/>
        <v>0</v>
      </c>
      <c r="AZ156" s="62">
        <f t="shared" si="133"/>
        <v>0</v>
      </c>
      <c r="BA156" s="62">
        <f t="shared" si="133"/>
        <v>0</v>
      </c>
      <c r="BB156" s="62">
        <f t="shared" si="133"/>
        <v>0</v>
      </c>
      <c r="BC156" s="62">
        <f t="shared" si="133"/>
        <v>0</v>
      </c>
      <c r="BD156" s="62">
        <f t="shared" si="133"/>
        <v>0</v>
      </c>
      <c r="BE156" s="62">
        <f t="shared" si="133"/>
        <v>0</v>
      </c>
      <c r="BF156" s="62">
        <f t="shared" si="133"/>
        <v>0</v>
      </c>
      <c r="BG156" s="62">
        <f t="shared" si="133"/>
        <v>0</v>
      </c>
      <c r="BH156" s="62">
        <f t="shared" si="133"/>
        <v>0</v>
      </c>
      <c r="BI156" s="62">
        <f t="shared" si="133"/>
        <v>0</v>
      </c>
      <c r="BJ156" s="62">
        <f t="shared" si="133"/>
        <v>0</v>
      </c>
      <c r="BK156" s="62">
        <f t="shared" si="133"/>
        <v>0</v>
      </c>
      <c r="BL156" s="62">
        <f t="shared" si="133"/>
        <v>0</v>
      </c>
      <c r="BM156" s="62">
        <f t="shared" si="133"/>
        <v>0</v>
      </c>
      <c r="BN156" s="62">
        <f t="shared" si="133"/>
        <v>0</v>
      </c>
      <c r="BO156" s="62">
        <f t="shared" si="133"/>
        <v>0</v>
      </c>
      <c r="BP156" s="62">
        <f t="shared" si="133"/>
        <v>0</v>
      </c>
      <c r="BQ156" s="62">
        <f t="shared" si="133"/>
        <v>0</v>
      </c>
      <c r="BR156" s="62">
        <f t="shared" si="133"/>
        <v>0</v>
      </c>
      <c r="BS156" s="62">
        <f t="shared" si="133"/>
        <v>0</v>
      </c>
      <c r="BT156" s="62">
        <f t="shared" si="134"/>
        <v>0</v>
      </c>
      <c r="BU156" s="62">
        <f t="shared" si="134"/>
        <v>0</v>
      </c>
      <c r="BV156" s="62">
        <f t="shared" si="134"/>
        <v>0</v>
      </c>
      <c r="BW156" s="62">
        <f t="shared" si="134"/>
        <v>0</v>
      </c>
      <c r="BX156" s="62">
        <f t="shared" si="134"/>
        <v>0</v>
      </c>
      <c r="BY156" s="62">
        <f t="shared" si="134"/>
        <v>0</v>
      </c>
      <c r="BZ156" s="62">
        <f t="shared" si="134"/>
        <v>0</v>
      </c>
      <c r="CA156" s="62">
        <f t="shared" si="134"/>
        <v>0</v>
      </c>
      <c r="CB156" s="62">
        <f t="shared" si="134"/>
        <v>0</v>
      </c>
      <c r="CC156" s="62">
        <f t="shared" si="134"/>
        <v>0</v>
      </c>
      <c r="CD156" s="62">
        <f t="shared" si="134"/>
        <v>0</v>
      </c>
      <c r="CE156" s="62">
        <f t="shared" si="134"/>
        <v>0</v>
      </c>
      <c r="CF156" s="62">
        <f t="shared" si="134"/>
        <v>0</v>
      </c>
      <c r="CG156" s="62">
        <f t="shared" si="134"/>
        <v>0</v>
      </c>
      <c r="CH156" s="62">
        <f t="shared" si="134"/>
        <v>0</v>
      </c>
      <c r="CI156" s="62">
        <f t="shared" si="134"/>
        <v>0</v>
      </c>
      <c r="CJ156" s="62">
        <f t="shared" si="134"/>
        <v>0</v>
      </c>
      <c r="CK156" s="62">
        <f t="shared" si="134"/>
        <v>0</v>
      </c>
      <c r="CL156" s="62">
        <f t="shared" si="134"/>
        <v>0</v>
      </c>
      <c r="CM156" s="62">
        <f t="shared" si="134"/>
        <v>0</v>
      </c>
      <c r="CN156" s="62">
        <f t="shared" si="134"/>
        <v>0</v>
      </c>
      <c r="CO156" s="62">
        <f t="shared" si="134"/>
        <v>0</v>
      </c>
      <c r="CP156" s="62">
        <f t="shared" si="134"/>
        <v>0</v>
      </c>
      <c r="CQ156" s="62">
        <f t="shared" si="134"/>
        <v>0</v>
      </c>
      <c r="CR156" s="62">
        <f t="shared" si="134"/>
        <v>0</v>
      </c>
      <c r="CS156" s="62">
        <f t="shared" si="134"/>
        <v>0</v>
      </c>
      <c r="CT156" s="62">
        <f t="shared" si="134"/>
        <v>0</v>
      </c>
      <c r="CU156" s="62">
        <f t="shared" si="134"/>
        <v>0</v>
      </c>
      <c r="CV156" s="62">
        <f t="shared" si="134"/>
        <v>0</v>
      </c>
      <c r="CW156" s="62">
        <f t="shared" si="134"/>
        <v>0</v>
      </c>
      <c r="CX156" s="62">
        <f t="shared" si="134"/>
        <v>0</v>
      </c>
      <c r="CY156" s="62">
        <f t="shared" si="134"/>
        <v>0</v>
      </c>
      <c r="CZ156" s="62">
        <f t="shared" si="134"/>
        <v>0</v>
      </c>
      <c r="DA156" s="62">
        <f t="shared" si="134"/>
        <v>0</v>
      </c>
      <c r="DB156" s="62">
        <f t="shared" si="134"/>
        <v>0</v>
      </c>
      <c r="DC156" s="62">
        <f t="shared" si="134"/>
        <v>0</v>
      </c>
      <c r="DD156" s="62">
        <f t="shared" si="134"/>
        <v>0</v>
      </c>
      <c r="DE156" s="62">
        <f t="shared" si="134"/>
        <v>0</v>
      </c>
      <c r="DF156" s="62">
        <f t="shared" si="134"/>
        <v>0</v>
      </c>
      <c r="DG156" s="62">
        <f t="shared" si="134"/>
        <v>0</v>
      </c>
      <c r="DH156" s="62">
        <f t="shared" si="134"/>
        <v>0</v>
      </c>
      <c r="DI156" s="62">
        <f t="shared" si="134"/>
        <v>0</v>
      </c>
      <c r="DJ156" s="62">
        <f t="shared" si="134"/>
        <v>0</v>
      </c>
      <c r="DK156" s="62">
        <f t="shared" si="134"/>
        <v>0</v>
      </c>
      <c r="DL156" s="62">
        <f t="shared" si="134"/>
        <v>0</v>
      </c>
      <c r="DM156" s="62">
        <f t="shared" si="134"/>
        <v>0</v>
      </c>
      <c r="DN156" s="62">
        <f t="shared" si="134"/>
        <v>0</v>
      </c>
      <c r="DO156" s="62">
        <f t="shared" si="134"/>
        <v>0</v>
      </c>
      <c r="DP156" s="62">
        <f t="shared" si="134"/>
        <v>0</v>
      </c>
      <c r="DQ156" s="62">
        <f t="shared" si="134"/>
        <v>0</v>
      </c>
      <c r="DR156" s="62">
        <f t="shared" si="134"/>
        <v>0</v>
      </c>
      <c r="DS156" s="62">
        <f t="shared" si="134"/>
        <v>0</v>
      </c>
      <c r="DT156" s="62">
        <f t="shared" si="134"/>
        <v>0</v>
      </c>
      <c r="DU156" s="62">
        <f t="shared" si="134"/>
        <v>0</v>
      </c>
      <c r="DV156" s="62">
        <f t="shared" si="134"/>
        <v>0</v>
      </c>
    </row>
    <row r="157" spans="2:126" outlineLevel="1">
      <c r="B157" s="3" t="str">
        <f t="shared" si="130"/>
        <v>Property J</v>
      </c>
      <c r="C157" s="14">
        <f t="shared" si="131"/>
        <v>18</v>
      </c>
      <c r="D157" s="14">
        <f t="shared" si="132"/>
        <v>18</v>
      </c>
      <c r="E157" s="35"/>
      <c r="F157" s="35"/>
      <c r="G157" s="62">
        <f t="shared" si="135"/>
        <v>0</v>
      </c>
      <c r="H157" s="62">
        <f t="shared" si="135"/>
        <v>0</v>
      </c>
      <c r="I157" s="62">
        <f t="shared" si="135"/>
        <v>0</v>
      </c>
      <c r="J157" s="62">
        <f t="shared" si="135"/>
        <v>0</v>
      </c>
      <c r="K157" s="62">
        <f t="shared" si="135"/>
        <v>0</v>
      </c>
      <c r="L157" s="62">
        <f t="shared" si="135"/>
        <v>0</v>
      </c>
      <c r="M157" s="62">
        <f t="shared" si="135"/>
        <v>0</v>
      </c>
      <c r="N157" s="62">
        <f t="shared" si="135"/>
        <v>0</v>
      </c>
      <c r="O157" s="62">
        <f t="shared" si="135"/>
        <v>0</v>
      </c>
      <c r="P157" s="62">
        <f t="shared" si="135"/>
        <v>0</v>
      </c>
      <c r="Q157" s="62">
        <f t="shared" si="135"/>
        <v>0</v>
      </c>
      <c r="R157" s="62">
        <f t="shared" si="135"/>
        <v>0</v>
      </c>
      <c r="S157" s="62">
        <f t="shared" si="135"/>
        <v>0</v>
      </c>
      <c r="T157" s="62">
        <f t="shared" si="135"/>
        <v>0</v>
      </c>
      <c r="U157" s="62">
        <f t="shared" si="135"/>
        <v>0</v>
      </c>
      <c r="V157" s="62">
        <f t="shared" si="135"/>
        <v>0</v>
      </c>
      <c r="W157" s="62">
        <f t="shared" si="133"/>
        <v>0</v>
      </c>
      <c r="X157" s="62">
        <f t="shared" si="133"/>
        <v>1</v>
      </c>
      <c r="Y157" s="62">
        <f t="shared" si="133"/>
        <v>2</v>
      </c>
      <c r="Z157" s="62">
        <f t="shared" si="133"/>
        <v>3</v>
      </c>
      <c r="AA157" s="62">
        <f t="shared" si="133"/>
        <v>4</v>
      </c>
      <c r="AB157" s="62">
        <f t="shared" si="133"/>
        <v>5</v>
      </c>
      <c r="AC157" s="62">
        <f t="shared" si="133"/>
        <v>6</v>
      </c>
      <c r="AD157" s="62">
        <f t="shared" si="133"/>
        <v>7</v>
      </c>
      <c r="AE157" s="62">
        <f t="shared" si="133"/>
        <v>8</v>
      </c>
      <c r="AF157" s="62">
        <f t="shared" si="133"/>
        <v>9</v>
      </c>
      <c r="AG157" s="62">
        <f t="shared" si="133"/>
        <v>10</v>
      </c>
      <c r="AH157" s="62">
        <f t="shared" si="133"/>
        <v>11</v>
      </c>
      <c r="AI157" s="62">
        <f t="shared" si="133"/>
        <v>12</v>
      </c>
      <c r="AJ157" s="62">
        <f t="shared" si="133"/>
        <v>13</v>
      </c>
      <c r="AK157" s="62">
        <f t="shared" si="133"/>
        <v>14</v>
      </c>
      <c r="AL157" s="62">
        <f t="shared" si="133"/>
        <v>15</v>
      </c>
      <c r="AM157" s="62">
        <f t="shared" si="133"/>
        <v>16</v>
      </c>
      <c r="AN157" s="62">
        <f t="shared" si="133"/>
        <v>17</v>
      </c>
      <c r="AO157" s="62">
        <f t="shared" si="133"/>
        <v>18</v>
      </c>
      <c r="AP157" s="62">
        <f t="shared" si="133"/>
        <v>0</v>
      </c>
      <c r="AQ157" s="62">
        <f t="shared" si="133"/>
        <v>0</v>
      </c>
      <c r="AR157" s="62">
        <f t="shared" si="133"/>
        <v>0</v>
      </c>
      <c r="AS157" s="62">
        <f t="shared" si="133"/>
        <v>0</v>
      </c>
      <c r="AT157" s="62">
        <f t="shared" si="133"/>
        <v>0</v>
      </c>
      <c r="AU157" s="62">
        <f t="shared" si="133"/>
        <v>0</v>
      </c>
      <c r="AV157" s="62">
        <f t="shared" si="133"/>
        <v>0</v>
      </c>
      <c r="AW157" s="62">
        <f t="shared" si="133"/>
        <v>0</v>
      </c>
      <c r="AX157" s="62">
        <f t="shared" si="133"/>
        <v>0</v>
      </c>
      <c r="AY157" s="62">
        <f t="shared" si="133"/>
        <v>0</v>
      </c>
      <c r="AZ157" s="62">
        <f t="shared" si="133"/>
        <v>0</v>
      </c>
      <c r="BA157" s="62">
        <f t="shared" si="133"/>
        <v>0</v>
      </c>
      <c r="BB157" s="62">
        <f t="shared" si="133"/>
        <v>0</v>
      </c>
      <c r="BC157" s="62">
        <f t="shared" si="133"/>
        <v>0</v>
      </c>
      <c r="BD157" s="62">
        <f t="shared" si="133"/>
        <v>0</v>
      </c>
      <c r="BE157" s="62">
        <f t="shared" si="133"/>
        <v>0</v>
      </c>
      <c r="BF157" s="62">
        <f t="shared" si="133"/>
        <v>0</v>
      </c>
      <c r="BG157" s="62">
        <f t="shared" si="133"/>
        <v>0</v>
      </c>
      <c r="BH157" s="62">
        <f t="shared" si="133"/>
        <v>0</v>
      </c>
      <c r="BI157" s="62">
        <f t="shared" si="133"/>
        <v>0</v>
      </c>
      <c r="BJ157" s="62">
        <f t="shared" si="133"/>
        <v>0</v>
      </c>
      <c r="BK157" s="62">
        <f t="shared" si="133"/>
        <v>0</v>
      </c>
      <c r="BL157" s="62">
        <f t="shared" si="133"/>
        <v>0</v>
      </c>
      <c r="BM157" s="62">
        <f t="shared" si="133"/>
        <v>0</v>
      </c>
      <c r="BN157" s="62">
        <f t="shared" si="133"/>
        <v>0</v>
      </c>
      <c r="BO157" s="62">
        <f t="shared" ref="BO157:CD162" si="136">IF(BO$4&gt;=$C157+$D157,0,IF($C157&lt;=BO$4,1,0)+BN157)</f>
        <v>0</v>
      </c>
      <c r="BP157" s="62">
        <f t="shared" si="136"/>
        <v>0</v>
      </c>
      <c r="BQ157" s="62">
        <f t="shared" si="136"/>
        <v>0</v>
      </c>
      <c r="BR157" s="62">
        <f t="shared" si="136"/>
        <v>0</v>
      </c>
      <c r="BS157" s="62">
        <f t="shared" si="136"/>
        <v>0</v>
      </c>
      <c r="BT157" s="62">
        <f t="shared" si="136"/>
        <v>0</v>
      </c>
      <c r="BU157" s="62">
        <f t="shared" si="136"/>
        <v>0</v>
      </c>
      <c r="BV157" s="62">
        <f t="shared" si="136"/>
        <v>0</v>
      </c>
      <c r="BW157" s="62">
        <f t="shared" si="136"/>
        <v>0</v>
      </c>
      <c r="BX157" s="62">
        <f t="shared" si="136"/>
        <v>0</v>
      </c>
      <c r="BY157" s="62">
        <f t="shared" si="136"/>
        <v>0</v>
      </c>
      <c r="BZ157" s="62">
        <f t="shared" si="136"/>
        <v>0</v>
      </c>
      <c r="CA157" s="62">
        <f t="shared" si="136"/>
        <v>0</v>
      </c>
      <c r="CB157" s="62">
        <f t="shared" si="136"/>
        <v>0</v>
      </c>
      <c r="CC157" s="62">
        <f t="shared" si="136"/>
        <v>0</v>
      </c>
      <c r="CD157" s="62">
        <f t="shared" si="136"/>
        <v>0</v>
      </c>
      <c r="CE157" s="62">
        <f t="shared" si="134"/>
        <v>0</v>
      </c>
      <c r="CF157" s="62">
        <f t="shared" si="134"/>
        <v>0</v>
      </c>
      <c r="CG157" s="62">
        <f t="shared" si="134"/>
        <v>0</v>
      </c>
      <c r="CH157" s="62">
        <f t="shared" si="134"/>
        <v>0</v>
      </c>
      <c r="CI157" s="62">
        <f t="shared" si="134"/>
        <v>0</v>
      </c>
      <c r="CJ157" s="62">
        <f t="shared" si="134"/>
        <v>0</v>
      </c>
      <c r="CK157" s="62">
        <f t="shared" si="134"/>
        <v>0</v>
      </c>
      <c r="CL157" s="62">
        <f t="shared" si="134"/>
        <v>0</v>
      </c>
      <c r="CM157" s="62">
        <f t="shared" si="134"/>
        <v>0</v>
      </c>
      <c r="CN157" s="62">
        <f t="shared" si="134"/>
        <v>0</v>
      </c>
      <c r="CO157" s="62">
        <f t="shared" si="134"/>
        <v>0</v>
      </c>
      <c r="CP157" s="62">
        <f t="shared" si="134"/>
        <v>0</v>
      </c>
      <c r="CQ157" s="62">
        <f t="shared" si="134"/>
        <v>0</v>
      </c>
      <c r="CR157" s="62">
        <f t="shared" si="134"/>
        <v>0</v>
      </c>
      <c r="CS157" s="62">
        <f t="shared" si="134"/>
        <v>0</v>
      </c>
      <c r="CT157" s="62">
        <f t="shared" si="134"/>
        <v>0</v>
      </c>
      <c r="CU157" s="62">
        <f t="shared" si="134"/>
        <v>0</v>
      </c>
      <c r="CV157" s="62">
        <f t="shared" si="134"/>
        <v>0</v>
      </c>
      <c r="CW157" s="62">
        <f t="shared" si="134"/>
        <v>0</v>
      </c>
      <c r="CX157" s="62">
        <f t="shared" si="134"/>
        <v>0</v>
      </c>
      <c r="CY157" s="62">
        <f t="shared" si="134"/>
        <v>0</v>
      </c>
      <c r="CZ157" s="62">
        <f t="shared" si="134"/>
        <v>0</v>
      </c>
      <c r="DA157" s="62">
        <f t="shared" si="134"/>
        <v>0</v>
      </c>
      <c r="DB157" s="62">
        <f t="shared" si="134"/>
        <v>0</v>
      </c>
      <c r="DC157" s="62">
        <f t="shared" si="134"/>
        <v>0</v>
      </c>
      <c r="DD157" s="62">
        <f t="shared" si="134"/>
        <v>0</v>
      </c>
      <c r="DE157" s="62">
        <f t="shared" si="134"/>
        <v>0</v>
      </c>
      <c r="DF157" s="62">
        <f t="shared" si="134"/>
        <v>0</v>
      </c>
      <c r="DG157" s="62">
        <f t="shared" si="134"/>
        <v>0</v>
      </c>
      <c r="DH157" s="62">
        <f t="shared" si="134"/>
        <v>0</v>
      </c>
      <c r="DI157" s="62">
        <f t="shared" si="134"/>
        <v>0</v>
      </c>
      <c r="DJ157" s="62">
        <f t="shared" si="134"/>
        <v>0</v>
      </c>
      <c r="DK157" s="62">
        <f t="shared" si="134"/>
        <v>0</v>
      </c>
      <c r="DL157" s="62">
        <f t="shared" si="134"/>
        <v>0</v>
      </c>
      <c r="DM157" s="62">
        <f t="shared" si="134"/>
        <v>0</v>
      </c>
      <c r="DN157" s="62">
        <f t="shared" ref="DN157:DV157" si="137">IF(DN$4&gt;=$C157+$D157,0,IF($C157&lt;=DN$4,1,0)+DM157)</f>
        <v>0</v>
      </c>
      <c r="DO157" s="62">
        <f t="shared" si="137"/>
        <v>0</v>
      </c>
      <c r="DP157" s="62">
        <f t="shared" si="137"/>
        <v>0</v>
      </c>
      <c r="DQ157" s="62">
        <f t="shared" si="137"/>
        <v>0</v>
      </c>
      <c r="DR157" s="62">
        <f t="shared" si="137"/>
        <v>0</v>
      </c>
      <c r="DS157" s="62">
        <f t="shared" si="137"/>
        <v>0</v>
      </c>
      <c r="DT157" s="62">
        <f t="shared" si="137"/>
        <v>0</v>
      </c>
      <c r="DU157" s="62">
        <f t="shared" si="137"/>
        <v>0</v>
      </c>
      <c r="DV157" s="62">
        <f t="shared" si="137"/>
        <v>0</v>
      </c>
    </row>
    <row r="158" spans="2:126" outlineLevel="1">
      <c r="B158" s="3" t="str">
        <f t="shared" si="130"/>
        <v>Property K</v>
      </c>
      <c r="C158" s="14">
        <f t="shared" si="131"/>
        <v>22</v>
      </c>
      <c r="D158" s="14">
        <f t="shared" si="132"/>
        <v>12</v>
      </c>
      <c r="E158" s="35"/>
      <c r="F158" s="35"/>
      <c r="G158" s="62">
        <f t="shared" si="135"/>
        <v>0</v>
      </c>
      <c r="H158" s="62">
        <f t="shared" si="135"/>
        <v>0</v>
      </c>
      <c r="I158" s="62">
        <f t="shared" si="135"/>
        <v>0</v>
      </c>
      <c r="J158" s="62">
        <f t="shared" si="135"/>
        <v>0</v>
      </c>
      <c r="K158" s="62">
        <f t="shared" si="135"/>
        <v>0</v>
      </c>
      <c r="L158" s="62">
        <f t="shared" si="135"/>
        <v>0</v>
      </c>
      <c r="M158" s="62">
        <f t="shared" si="135"/>
        <v>0</v>
      </c>
      <c r="N158" s="62">
        <f t="shared" si="135"/>
        <v>0</v>
      </c>
      <c r="O158" s="62">
        <f t="shared" si="135"/>
        <v>0</v>
      </c>
      <c r="P158" s="62">
        <f t="shared" si="135"/>
        <v>0</v>
      </c>
      <c r="Q158" s="62">
        <f t="shared" si="135"/>
        <v>0</v>
      </c>
      <c r="R158" s="62">
        <f t="shared" si="135"/>
        <v>0</v>
      </c>
      <c r="S158" s="62">
        <f t="shared" si="135"/>
        <v>0</v>
      </c>
      <c r="T158" s="62">
        <f t="shared" si="135"/>
        <v>0</v>
      </c>
      <c r="U158" s="62">
        <f t="shared" si="135"/>
        <v>0</v>
      </c>
      <c r="V158" s="62">
        <f t="shared" si="135"/>
        <v>0</v>
      </c>
      <c r="W158" s="62">
        <f t="shared" ref="W158:AL162" si="138">IF(W$4&gt;=$C158+$D158,0,IF($C158&lt;=W$4,1,0)+V158)</f>
        <v>0</v>
      </c>
      <c r="X158" s="62">
        <f t="shared" si="138"/>
        <v>0</v>
      </c>
      <c r="Y158" s="62">
        <f t="shared" si="138"/>
        <v>0</v>
      </c>
      <c r="Z158" s="62">
        <f t="shared" si="138"/>
        <v>0</v>
      </c>
      <c r="AA158" s="62">
        <f t="shared" si="138"/>
        <v>0</v>
      </c>
      <c r="AB158" s="62">
        <f t="shared" si="138"/>
        <v>1</v>
      </c>
      <c r="AC158" s="62">
        <f t="shared" si="138"/>
        <v>2</v>
      </c>
      <c r="AD158" s="62">
        <f t="shared" si="138"/>
        <v>3</v>
      </c>
      <c r="AE158" s="62">
        <f t="shared" si="138"/>
        <v>4</v>
      </c>
      <c r="AF158" s="62">
        <f t="shared" si="138"/>
        <v>5</v>
      </c>
      <c r="AG158" s="62">
        <f t="shared" si="138"/>
        <v>6</v>
      </c>
      <c r="AH158" s="62">
        <f t="shared" si="138"/>
        <v>7</v>
      </c>
      <c r="AI158" s="62">
        <f t="shared" si="138"/>
        <v>8</v>
      </c>
      <c r="AJ158" s="62">
        <f t="shared" si="138"/>
        <v>9</v>
      </c>
      <c r="AK158" s="62">
        <f t="shared" si="138"/>
        <v>10</v>
      </c>
      <c r="AL158" s="62">
        <f t="shared" si="138"/>
        <v>11</v>
      </c>
      <c r="AM158" s="62">
        <f t="shared" ref="AM158:BB162" si="139">IF(AM$4&gt;=$C158+$D158,0,IF($C158&lt;=AM$4,1,0)+AL158)</f>
        <v>12</v>
      </c>
      <c r="AN158" s="62">
        <f t="shared" si="139"/>
        <v>0</v>
      </c>
      <c r="AO158" s="62">
        <f t="shared" si="139"/>
        <v>0</v>
      </c>
      <c r="AP158" s="62">
        <f t="shared" si="139"/>
        <v>0</v>
      </c>
      <c r="AQ158" s="62">
        <f t="shared" si="139"/>
        <v>0</v>
      </c>
      <c r="AR158" s="62">
        <f t="shared" si="139"/>
        <v>0</v>
      </c>
      <c r="AS158" s="62">
        <f t="shared" si="139"/>
        <v>0</v>
      </c>
      <c r="AT158" s="62">
        <f t="shared" si="139"/>
        <v>0</v>
      </c>
      <c r="AU158" s="62">
        <f t="shared" si="139"/>
        <v>0</v>
      </c>
      <c r="AV158" s="62">
        <f t="shared" si="139"/>
        <v>0</v>
      </c>
      <c r="AW158" s="62">
        <f t="shared" si="139"/>
        <v>0</v>
      </c>
      <c r="AX158" s="62">
        <f t="shared" si="139"/>
        <v>0</v>
      </c>
      <c r="AY158" s="62">
        <f t="shared" si="139"/>
        <v>0</v>
      </c>
      <c r="AZ158" s="62">
        <f t="shared" si="139"/>
        <v>0</v>
      </c>
      <c r="BA158" s="62">
        <f t="shared" si="139"/>
        <v>0</v>
      </c>
      <c r="BB158" s="62">
        <f t="shared" si="139"/>
        <v>0</v>
      </c>
      <c r="BC158" s="62">
        <f t="shared" ref="BC158:BR162" si="140">IF(BC$4&gt;=$C158+$D158,0,IF($C158&lt;=BC$4,1,0)+BB158)</f>
        <v>0</v>
      </c>
      <c r="BD158" s="62">
        <f t="shared" si="140"/>
        <v>0</v>
      </c>
      <c r="BE158" s="62">
        <f t="shared" si="140"/>
        <v>0</v>
      </c>
      <c r="BF158" s="62">
        <f t="shared" si="140"/>
        <v>0</v>
      </c>
      <c r="BG158" s="62">
        <f t="shared" si="140"/>
        <v>0</v>
      </c>
      <c r="BH158" s="62">
        <f t="shared" si="140"/>
        <v>0</v>
      </c>
      <c r="BI158" s="62">
        <f t="shared" si="140"/>
        <v>0</v>
      </c>
      <c r="BJ158" s="62">
        <f t="shared" si="140"/>
        <v>0</v>
      </c>
      <c r="BK158" s="62">
        <f t="shared" si="140"/>
        <v>0</v>
      </c>
      <c r="BL158" s="62">
        <f t="shared" si="140"/>
        <v>0</v>
      </c>
      <c r="BM158" s="62">
        <f t="shared" si="140"/>
        <v>0</v>
      </c>
      <c r="BN158" s="62">
        <f t="shared" si="140"/>
        <v>0</v>
      </c>
      <c r="BO158" s="62">
        <f t="shared" si="140"/>
        <v>0</v>
      </c>
      <c r="BP158" s="62">
        <f t="shared" si="140"/>
        <v>0</v>
      </c>
      <c r="BQ158" s="62">
        <f t="shared" si="140"/>
        <v>0</v>
      </c>
      <c r="BR158" s="62">
        <f t="shared" si="140"/>
        <v>0</v>
      </c>
      <c r="BS158" s="62">
        <f t="shared" si="136"/>
        <v>0</v>
      </c>
      <c r="BT158" s="62">
        <f t="shared" si="136"/>
        <v>0</v>
      </c>
      <c r="BU158" s="62">
        <f t="shared" si="136"/>
        <v>0</v>
      </c>
      <c r="BV158" s="62">
        <f t="shared" si="136"/>
        <v>0</v>
      </c>
      <c r="BW158" s="62">
        <f t="shared" si="136"/>
        <v>0</v>
      </c>
      <c r="BX158" s="62">
        <f t="shared" si="136"/>
        <v>0</v>
      </c>
      <c r="BY158" s="62">
        <f t="shared" si="136"/>
        <v>0</v>
      </c>
      <c r="BZ158" s="62">
        <f t="shared" si="136"/>
        <v>0</v>
      </c>
      <c r="CA158" s="62">
        <f t="shared" si="136"/>
        <v>0</v>
      </c>
      <c r="CB158" s="62">
        <f t="shared" si="136"/>
        <v>0</v>
      </c>
      <c r="CC158" s="62">
        <f t="shared" si="136"/>
        <v>0</v>
      </c>
      <c r="CD158" s="62">
        <f t="shared" si="136"/>
        <v>0</v>
      </c>
      <c r="CE158" s="62">
        <f t="shared" ref="CE158:CT162" si="141">IF(CE$4&gt;=$C158+$D158,0,IF($C158&lt;=CE$4,1,0)+CD158)</f>
        <v>0</v>
      </c>
      <c r="CF158" s="62">
        <f t="shared" si="141"/>
        <v>0</v>
      </c>
      <c r="CG158" s="62">
        <f t="shared" si="141"/>
        <v>0</v>
      </c>
      <c r="CH158" s="62">
        <f t="shared" si="141"/>
        <v>0</v>
      </c>
      <c r="CI158" s="62">
        <f t="shared" si="141"/>
        <v>0</v>
      </c>
      <c r="CJ158" s="62">
        <f t="shared" si="141"/>
        <v>0</v>
      </c>
      <c r="CK158" s="62">
        <f t="shared" si="141"/>
        <v>0</v>
      </c>
      <c r="CL158" s="62">
        <f t="shared" si="141"/>
        <v>0</v>
      </c>
      <c r="CM158" s="62">
        <f t="shared" si="141"/>
        <v>0</v>
      </c>
      <c r="CN158" s="62">
        <f t="shared" si="141"/>
        <v>0</v>
      </c>
      <c r="CO158" s="62">
        <f t="shared" si="141"/>
        <v>0</v>
      </c>
      <c r="CP158" s="62">
        <f t="shared" si="141"/>
        <v>0</v>
      </c>
      <c r="CQ158" s="62">
        <f t="shared" si="141"/>
        <v>0</v>
      </c>
      <c r="CR158" s="62">
        <f t="shared" si="141"/>
        <v>0</v>
      </c>
      <c r="CS158" s="62">
        <f t="shared" si="141"/>
        <v>0</v>
      </c>
      <c r="CT158" s="62">
        <f t="shared" si="141"/>
        <v>0</v>
      </c>
      <c r="CU158" s="62">
        <f t="shared" ref="CU158:DJ162" si="142">IF(CU$4&gt;=$C158+$D158,0,IF($C158&lt;=CU$4,1,0)+CT158)</f>
        <v>0</v>
      </c>
      <c r="CV158" s="62">
        <f t="shared" si="142"/>
        <v>0</v>
      </c>
      <c r="CW158" s="62">
        <f t="shared" si="142"/>
        <v>0</v>
      </c>
      <c r="CX158" s="62">
        <f t="shared" si="142"/>
        <v>0</v>
      </c>
      <c r="CY158" s="62">
        <f t="shared" si="142"/>
        <v>0</v>
      </c>
      <c r="CZ158" s="62">
        <f t="shared" si="142"/>
        <v>0</v>
      </c>
      <c r="DA158" s="62">
        <f t="shared" si="142"/>
        <v>0</v>
      </c>
      <c r="DB158" s="62">
        <f t="shared" si="142"/>
        <v>0</v>
      </c>
      <c r="DC158" s="62">
        <f t="shared" si="142"/>
        <v>0</v>
      </c>
      <c r="DD158" s="62">
        <f t="shared" si="142"/>
        <v>0</v>
      </c>
      <c r="DE158" s="62">
        <f t="shared" si="142"/>
        <v>0</v>
      </c>
      <c r="DF158" s="62">
        <f t="shared" si="142"/>
        <v>0</v>
      </c>
      <c r="DG158" s="62">
        <f t="shared" si="142"/>
        <v>0</v>
      </c>
      <c r="DH158" s="62">
        <f t="shared" si="142"/>
        <v>0</v>
      </c>
      <c r="DI158" s="62">
        <f t="shared" si="142"/>
        <v>0</v>
      </c>
      <c r="DJ158" s="62">
        <f t="shared" si="142"/>
        <v>0</v>
      </c>
      <c r="DK158" s="62">
        <f t="shared" ref="DK158:DV162" si="143">IF(DK$4&gt;=$C158+$D158,0,IF($C158&lt;=DK$4,1,0)+DJ158)</f>
        <v>0</v>
      </c>
      <c r="DL158" s="62">
        <f t="shared" si="143"/>
        <v>0</v>
      </c>
      <c r="DM158" s="62">
        <f t="shared" si="143"/>
        <v>0</v>
      </c>
      <c r="DN158" s="62">
        <f t="shared" si="143"/>
        <v>0</v>
      </c>
      <c r="DO158" s="62">
        <f t="shared" si="143"/>
        <v>0</v>
      </c>
      <c r="DP158" s="62">
        <f t="shared" si="143"/>
        <v>0</v>
      </c>
      <c r="DQ158" s="62">
        <f t="shared" si="143"/>
        <v>0</v>
      </c>
      <c r="DR158" s="62">
        <f t="shared" si="143"/>
        <v>0</v>
      </c>
      <c r="DS158" s="62">
        <f t="shared" si="143"/>
        <v>0</v>
      </c>
      <c r="DT158" s="62">
        <f t="shared" si="143"/>
        <v>0</v>
      </c>
      <c r="DU158" s="62">
        <f t="shared" si="143"/>
        <v>0</v>
      </c>
      <c r="DV158" s="62">
        <f t="shared" si="143"/>
        <v>0</v>
      </c>
    </row>
    <row r="159" spans="2:126" outlineLevel="1">
      <c r="B159" s="3" t="str">
        <f t="shared" si="130"/>
        <v>Property L</v>
      </c>
      <c r="C159" s="14">
        <f t="shared" si="131"/>
        <v>28</v>
      </c>
      <c r="D159" s="14">
        <f t="shared" si="132"/>
        <v>23</v>
      </c>
      <c r="E159" s="35"/>
      <c r="F159" s="35"/>
      <c r="G159" s="62">
        <f t="shared" si="135"/>
        <v>0</v>
      </c>
      <c r="H159" s="62">
        <f t="shared" si="135"/>
        <v>0</v>
      </c>
      <c r="I159" s="62">
        <f t="shared" si="135"/>
        <v>0</v>
      </c>
      <c r="J159" s="62">
        <f t="shared" si="135"/>
        <v>0</v>
      </c>
      <c r="K159" s="62">
        <f t="shared" si="135"/>
        <v>0</v>
      </c>
      <c r="L159" s="62">
        <f t="shared" si="135"/>
        <v>0</v>
      </c>
      <c r="M159" s="62">
        <f t="shared" si="135"/>
        <v>0</v>
      </c>
      <c r="N159" s="62">
        <f t="shared" si="135"/>
        <v>0</v>
      </c>
      <c r="O159" s="62">
        <f t="shared" si="135"/>
        <v>0</v>
      </c>
      <c r="P159" s="62">
        <f t="shared" si="135"/>
        <v>0</v>
      </c>
      <c r="Q159" s="62">
        <f t="shared" si="135"/>
        <v>0</v>
      </c>
      <c r="R159" s="62">
        <f t="shared" si="135"/>
        <v>0</v>
      </c>
      <c r="S159" s="62">
        <f t="shared" si="135"/>
        <v>0</v>
      </c>
      <c r="T159" s="62">
        <f t="shared" si="135"/>
        <v>0</v>
      </c>
      <c r="U159" s="62">
        <f t="shared" si="135"/>
        <v>0</v>
      </c>
      <c r="V159" s="62">
        <f t="shared" si="135"/>
        <v>0</v>
      </c>
      <c r="W159" s="62">
        <f t="shared" si="138"/>
        <v>0</v>
      </c>
      <c r="X159" s="62">
        <f t="shared" si="138"/>
        <v>0</v>
      </c>
      <c r="Y159" s="62">
        <f t="shared" si="138"/>
        <v>0</v>
      </c>
      <c r="Z159" s="62">
        <f t="shared" si="138"/>
        <v>0</v>
      </c>
      <c r="AA159" s="62">
        <f t="shared" si="138"/>
        <v>0</v>
      </c>
      <c r="AB159" s="62">
        <f t="shared" si="138"/>
        <v>0</v>
      </c>
      <c r="AC159" s="62">
        <f t="shared" si="138"/>
        <v>0</v>
      </c>
      <c r="AD159" s="62">
        <f t="shared" si="138"/>
        <v>0</v>
      </c>
      <c r="AE159" s="62">
        <f t="shared" si="138"/>
        <v>0</v>
      </c>
      <c r="AF159" s="62">
        <f t="shared" si="138"/>
        <v>0</v>
      </c>
      <c r="AG159" s="62">
        <f t="shared" si="138"/>
        <v>0</v>
      </c>
      <c r="AH159" s="62">
        <f t="shared" si="138"/>
        <v>1</v>
      </c>
      <c r="AI159" s="62">
        <f t="shared" si="138"/>
        <v>2</v>
      </c>
      <c r="AJ159" s="62">
        <f t="shared" si="138"/>
        <v>3</v>
      </c>
      <c r="AK159" s="62">
        <f t="shared" si="138"/>
        <v>4</v>
      </c>
      <c r="AL159" s="62">
        <f t="shared" si="138"/>
        <v>5</v>
      </c>
      <c r="AM159" s="62">
        <f t="shared" si="139"/>
        <v>6</v>
      </c>
      <c r="AN159" s="62">
        <f t="shared" si="139"/>
        <v>7</v>
      </c>
      <c r="AO159" s="62">
        <f t="shared" si="139"/>
        <v>8</v>
      </c>
      <c r="AP159" s="62">
        <f t="shared" si="139"/>
        <v>9</v>
      </c>
      <c r="AQ159" s="62">
        <f t="shared" si="139"/>
        <v>10</v>
      </c>
      <c r="AR159" s="62">
        <f t="shared" si="139"/>
        <v>11</v>
      </c>
      <c r="AS159" s="62">
        <f t="shared" si="139"/>
        <v>12</v>
      </c>
      <c r="AT159" s="62">
        <f t="shared" si="139"/>
        <v>13</v>
      </c>
      <c r="AU159" s="62">
        <f t="shared" si="139"/>
        <v>14</v>
      </c>
      <c r="AV159" s="62">
        <f t="shared" si="139"/>
        <v>15</v>
      </c>
      <c r="AW159" s="62">
        <f t="shared" si="139"/>
        <v>16</v>
      </c>
      <c r="AX159" s="62">
        <f t="shared" si="139"/>
        <v>17</v>
      </c>
      <c r="AY159" s="62">
        <f t="shared" si="139"/>
        <v>18</v>
      </c>
      <c r="AZ159" s="62">
        <f t="shared" si="139"/>
        <v>19</v>
      </c>
      <c r="BA159" s="62">
        <f t="shared" si="139"/>
        <v>20</v>
      </c>
      <c r="BB159" s="62">
        <f t="shared" si="139"/>
        <v>21</v>
      </c>
      <c r="BC159" s="62">
        <f t="shared" si="140"/>
        <v>22</v>
      </c>
      <c r="BD159" s="62">
        <f t="shared" si="140"/>
        <v>23</v>
      </c>
      <c r="BE159" s="62">
        <f t="shared" si="140"/>
        <v>0</v>
      </c>
      <c r="BF159" s="62">
        <f t="shared" si="140"/>
        <v>0</v>
      </c>
      <c r="BG159" s="62">
        <f t="shared" si="140"/>
        <v>0</v>
      </c>
      <c r="BH159" s="62">
        <f t="shared" si="140"/>
        <v>0</v>
      </c>
      <c r="BI159" s="62">
        <f t="shared" si="140"/>
        <v>0</v>
      </c>
      <c r="BJ159" s="62">
        <f t="shared" si="140"/>
        <v>0</v>
      </c>
      <c r="BK159" s="62">
        <f t="shared" si="140"/>
        <v>0</v>
      </c>
      <c r="BL159" s="62">
        <f t="shared" si="140"/>
        <v>0</v>
      </c>
      <c r="BM159" s="62">
        <f t="shared" si="140"/>
        <v>0</v>
      </c>
      <c r="BN159" s="62">
        <f t="shared" si="140"/>
        <v>0</v>
      </c>
      <c r="BO159" s="62">
        <f t="shared" si="140"/>
        <v>0</v>
      </c>
      <c r="BP159" s="62">
        <f t="shared" si="140"/>
        <v>0</v>
      </c>
      <c r="BQ159" s="62">
        <f t="shared" si="140"/>
        <v>0</v>
      </c>
      <c r="BR159" s="62">
        <f t="shared" si="140"/>
        <v>0</v>
      </c>
      <c r="BS159" s="62">
        <f t="shared" si="136"/>
        <v>0</v>
      </c>
      <c r="BT159" s="62">
        <f t="shared" si="136"/>
        <v>0</v>
      </c>
      <c r="BU159" s="62">
        <f t="shared" si="136"/>
        <v>0</v>
      </c>
      <c r="BV159" s="62">
        <f t="shared" si="136"/>
        <v>0</v>
      </c>
      <c r="BW159" s="62">
        <f t="shared" si="136"/>
        <v>0</v>
      </c>
      <c r="BX159" s="62">
        <f t="shared" si="136"/>
        <v>0</v>
      </c>
      <c r="BY159" s="62">
        <f t="shared" si="136"/>
        <v>0</v>
      </c>
      <c r="BZ159" s="62">
        <f t="shared" si="136"/>
        <v>0</v>
      </c>
      <c r="CA159" s="62">
        <f t="shared" si="136"/>
        <v>0</v>
      </c>
      <c r="CB159" s="62">
        <f t="shared" si="136"/>
        <v>0</v>
      </c>
      <c r="CC159" s="62">
        <f t="shared" si="136"/>
        <v>0</v>
      </c>
      <c r="CD159" s="62">
        <f t="shared" si="136"/>
        <v>0</v>
      </c>
      <c r="CE159" s="62">
        <f t="shared" si="141"/>
        <v>0</v>
      </c>
      <c r="CF159" s="62">
        <f t="shared" si="141"/>
        <v>0</v>
      </c>
      <c r="CG159" s="62">
        <f t="shared" si="141"/>
        <v>0</v>
      </c>
      <c r="CH159" s="62">
        <f t="shared" si="141"/>
        <v>0</v>
      </c>
      <c r="CI159" s="62">
        <f t="shared" si="141"/>
        <v>0</v>
      </c>
      <c r="CJ159" s="62">
        <f t="shared" si="141"/>
        <v>0</v>
      </c>
      <c r="CK159" s="62">
        <f t="shared" si="141"/>
        <v>0</v>
      </c>
      <c r="CL159" s="62">
        <f t="shared" si="141"/>
        <v>0</v>
      </c>
      <c r="CM159" s="62">
        <f t="shared" si="141"/>
        <v>0</v>
      </c>
      <c r="CN159" s="62">
        <f t="shared" si="141"/>
        <v>0</v>
      </c>
      <c r="CO159" s="62">
        <f t="shared" si="141"/>
        <v>0</v>
      </c>
      <c r="CP159" s="62">
        <f t="shared" si="141"/>
        <v>0</v>
      </c>
      <c r="CQ159" s="62">
        <f t="shared" si="141"/>
        <v>0</v>
      </c>
      <c r="CR159" s="62">
        <f t="shared" si="141"/>
        <v>0</v>
      </c>
      <c r="CS159" s="62">
        <f t="shared" si="141"/>
        <v>0</v>
      </c>
      <c r="CT159" s="62">
        <f t="shared" si="141"/>
        <v>0</v>
      </c>
      <c r="CU159" s="62">
        <f t="shared" si="142"/>
        <v>0</v>
      </c>
      <c r="CV159" s="62">
        <f t="shared" si="142"/>
        <v>0</v>
      </c>
      <c r="CW159" s="62">
        <f t="shared" si="142"/>
        <v>0</v>
      </c>
      <c r="CX159" s="62">
        <f t="shared" si="142"/>
        <v>0</v>
      </c>
      <c r="CY159" s="62">
        <f t="shared" si="142"/>
        <v>0</v>
      </c>
      <c r="CZ159" s="62">
        <f t="shared" si="142"/>
        <v>0</v>
      </c>
      <c r="DA159" s="62">
        <f t="shared" si="142"/>
        <v>0</v>
      </c>
      <c r="DB159" s="62">
        <f t="shared" si="142"/>
        <v>0</v>
      </c>
      <c r="DC159" s="62">
        <f t="shared" si="142"/>
        <v>0</v>
      </c>
      <c r="DD159" s="62">
        <f t="shared" si="142"/>
        <v>0</v>
      </c>
      <c r="DE159" s="62">
        <f t="shared" si="142"/>
        <v>0</v>
      </c>
      <c r="DF159" s="62">
        <f t="shared" si="142"/>
        <v>0</v>
      </c>
      <c r="DG159" s="62">
        <f t="shared" si="142"/>
        <v>0</v>
      </c>
      <c r="DH159" s="62">
        <f t="shared" si="142"/>
        <v>0</v>
      </c>
      <c r="DI159" s="62">
        <f t="shared" si="142"/>
        <v>0</v>
      </c>
      <c r="DJ159" s="62">
        <f t="shared" si="142"/>
        <v>0</v>
      </c>
      <c r="DK159" s="62">
        <f t="shared" si="143"/>
        <v>0</v>
      </c>
      <c r="DL159" s="62">
        <f t="shared" si="143"/>
        <v>0</v>
      </c>
      <c r="DM159" s="62">
        <f t="shared" si="143"/>
        <v>0</v>
      </c>
      <c r="DN159" s="62">
        <f t="shared" si="143"/>
        <v>0</v>
      </c>
      <c r="DO159" s="62">
        <f t="shared" si="143"/>
        <v>0</v>
      </c>
      <c r="DP159" s="62">
        <f t="shared" si="143"/>
        <v>0</v>
      </c>
      <c r="DQ159" s="62">
        <f t="shared" si="143"/>
        <v>0</v>
      </c>
      <c r="DR159" s="62">
        <f t="shared" si="143"/>
        <v>0</v>
      </c>
      <c r="DS159" s="62">
        <f t="shared" si="143"/>
        <v>0</v>
      </c>
      <c r="DT159" s="62">
        <f t="shared" si="143"/>
        <v>0</v>
      </c>
      <c r="DU159" s="62">
        <f t="shared" si="143"/>
        <v>0</v>
      </c>
      <c r="DV159" s="62">
        <f t="shared" si="143"/>
        <v>0</v>
      </c>
    </row>
    <row r="160" spans="2:126" outlineLevel="1">
      <c r="B160" s="3" t="str">
        <f t="shared" si="130"/>
        <v>Property M</v>
      </c>
      <c r="C160" s="14">
        <f t="shared" si="131"/>
        <v>34</v>
      </c>
      <c r="D160" s="14">
        <f t="shared" si="132"/>
        <v>17</v>
      </c>
      <c r="E160" s="35"/>
      <c r="F160" s="35"/>
      <c r="G160" s="62">
        <f t="shared" si="135"/>
        <v>0</v>
      </c>
      <c r="H160" s="62">
        <f t="shared" si="135"/>
        <v>0</v>
      </c>
      <c r="I160" s="62">
        <f t="shared" si="135"/>
        <v>0</v>
      </c>
      <c r="J160" s="62">
        <f t="shared" si="135"/>
        <v>0</v>
      </c>
      <c r="K160" s="62">
        <f t="shared" si="135"/>
        <v>0</v>
      </c>
      <c r="L160" s="62">
        <f t="shared" si="135"/>
        <v>0</v>
      </c>
      <c r="M160" s="62">
        <f t="shared" si="135"/>
        <v>0</v>
      </c>
      <c r="N160" s="62">
        <f t="shared" si="135"/>
        <v>0</v>
      </c>
      <c r="O160" s="62">
        <f t="shared" si="135"/>
        <v>0</v>
      </c>
      <c r="P160" s="62">
        <f t="shared" si="135"/>
        <v>0</v>
      </c>
      <c r="Q160" s="62">
        <f t="shared" si="135"/>
        <v>0</v>
      </c>
      <c r="R160" s="62">
        <f t="shared" si="135"/>
        <v>0</v>
      </c>
      <c r="S160" s="62">
        <f t="shared" si="135"/>
        <v>0</v>
      </c>
      <c r="T160" s="62">
        <f t="shared" si="135"/>
        <v>0</v>
      </c>
      <c r="U160" s="62">
        <f t="shared" si="135"/>
        <v>0</v>
      </c>
      <c r="V160" s="62">
        <f t="shared" si="135"/>
        <v>0</v>
      </c>
      <c r="W160" s="62">
        <f t="shared" si="138"/>
        <v>0</v>
      </c>
      <c r="X160" s="62">
        <f t="shared" si="138"/>
        <v>0</v>
      </c>
      <c r="Y160" s="62">
        <f t="shared" si="138"/>
        <v>0</v>
      </c>
      <c r="Z160" s="62">
        <f t="shared" si="138"/>
        <v>0</v>
      </c>
      <c r="AA160" s="62">
        <f t="shared" si="138"/>
        <v>0</v>
      </c>
      <c r="AB160" s="62">
        <f t="shared" si="138"/>
        <v>0</v>
      </c>
      <c r="AC160" s="62">
        <f t="shared" si="138"/>
        <v>0</v>
      </c>
      <c r="AD160" s="62">
        <f t="shared" si="138"/>
        <v>0</v>
      </c>
      <c r="AE160" s="62">
        <f t="shared" si="138"/>
        <v>0</v>
      </c>
      <c r="AF160" s="62">
        <f t="shared" si="138"/>
        <v>0</v>
      </c>
      <c r="AG160" s="62">
        <f t="shared" si="138"/>
        <v>0</v>
      </c>
      <c r="AH160" s="62">
        <f t="shared" si="138"/>
        <v>0</v>
      </c>
      <c r="AI160" s="62">
        <f t="shared" si="138"/>
        <v>0</v>
      </c>
      <c r="AJ160" s="62">
        <f t="shared" si="138"/>
        <v>0</v>
      </c>
      <c r="AK160" s="62">
        <f t="shared" si="138"/>
        <v>0</v>
      </c>
      <c r="AL160" s="62">
        <f t="shared" si="138"/>
        <v>0</v>
      </c>
      <c r="AM160" s="62">
        <f t="shared" si="139"/>
        <v>0</v>
      </c>
      <c r="AN160" s="62">
        <f t="shared" si="139"/>
        <v>1</v>
      </c>
      <c r="AO160" s="62">
        <f t="shared" si="139"/>
        <v>2</v>
      </c>
      <c r="AP160" s="62">
        <f t="shared" si="139"/>
        <v>3</v>
      </c>
      <c r="AQ160" s="62">
        <f t="shared" si="139"/>
        <v>4</v>
      </c>
      <c r="AR160" s="62">
        <f t="shared" si="139"/>
        <v>5</v>
      </c>
      <c r="AS160" s="62">
        <f t="shared" si="139"/>
        <v>6</v>
      </c>
      <c r="AT160" s="62">
        <f t="shared" si="139"/>
        <v>7</v>
      </c>
      <c r="AU160" s="62">
        <f t="shared" si="139"/>
        <v>8</v>
      </c>
      <c r="AV160" s="62">
        <f t="shared" si="139"/>
        <v>9</v>
      </c>
      <c r="AW160" s="62">
        <f t="shared" si="139"/>
        <v>10</v>
      </c>
      <c r="AX160" s="62">
        <f t="shared" si="139"/>
        <v>11</v>
      </c>
      <c r="AY160" s="62">
        <f t="shared" si="139"/>
        <v>12</v>
      </c>
      <c r="AZ160" s="62">
        <f t="shared" si="139"/>
        <v>13</v>
      </c>
      <c r="BA160" s="62">
        <f t="shared" si="139"/>
        <v>14</v>
      </c>
      <c r="BB160" s="62">
        <f t="shared" si="139"/>
        <v>15</v>
      </c>
      <c r="BC160" s="62">
        <f t="shared" si="140"/>
        <v>16</v>
      </c>
      <c r="BD160" s="62">
        <f t="shared" si="140"/>
        <v>17</v>
      </c>
      <c r="BE160" s="62">
        <f t="shared" si="140"/>
        <v>0</v>
      </c>
      <c r="BF160" s="62">
        <f t="shared" si="140"/>
        <v>0</v>
      </c>
      <c r="BG160" s="62">
        <f t="shared" si="140"/>
        <v>0</v>
      </c>
      <c r="BH160" s="62">
        <f t="shared" si="140"/>
        <v>0</v>
      </c>
      <c r="BI160" s="62">
        <f t="shared" si="140"/>
        <v>0</v>
      </c>
      <c r="BJ160" s="62">
        <f t="shared" si="140"/>
        <v>0</v>
      </c>
      <c r="BK160" s="62">
        <f t="shared" si="140"/>
        <v>0</v>
      </c>
      <c r="BL160" s="62">
        <f t="shared" si="140"/>
        <v>0</v>
      </c>
      <c r="BM160" s="62">
        <f t="shared" si="140"/>
        <v>0</v>
      </c>
      <c r="BN160" s="62">
        <f t="shared" si="140"/>
        <v>0</v>
      </c>
      <c r="BO160" s="62">
        <f t="shared" si="140"/>
        <v>0</v>
      </c>
      <c r="BP160" s="62">
        <f t="shared" si="140"/>
        <v>0</v>
      </c>
      <c r="BQ160" s="62">
        <f t="shared" si="140"/>
        <v>0</v>
      </c>
      <c r="BR160" s="62">
        <f t="shared" si="140"/>
        <v>0</v>
      </c>
      <c r="BS160" s="62">
        <f t="shared" si="136"/>
        <v>0</v>
      </c>
      <c r="BT160" s="62">
        <f t="shared" si="136"/>
        <v>0</v>
      </c>
      <c r="BU160" s="62">
        <f t="shared" si="136"/>
        <v>0</v>
      </c>
      <c r="BV160" s="62">
        <f t="shared" si="136"/>
        <v>0</v>
      </c>
      <c r="BW160" s="62">
        <f t="shared" si="136"/>
        <v>0</v>
      </c>
      <c r="BX160" s="62">
        <f t="shared" si="136"/>
        <v>0</v>
      </c>
      <c r="BY160" s="62">
        <f t="shared" si="136"/>
        <v>0</v>
      </c>
      <c r="BZ160" s="62">
        <f t="shared" si="136"/>
        <v>0</v>
      </c>
      <c r="CA160" s="62">
        <f t="shared" si="136"/>
        <v>0</v>
      </c>
      <c r="CB160" s="62">
        <f t="shared" si="136"/>
        <v>0</v>
      </c>
      <c r="CC160" s="62">
        <f t="shared" si="136"/>
        <v>0</v>
      </c>
      <c r="CD160" s="62">
        <f t="shared" si="136"/>
        <v>0</v>
      </c>
      <c r="CE160" s="62">
        <f t="shared" si="141"/>
        <v>0</v>
      </c>
      <c r="CF160" s="62">
        <f t="shared" si="141"/>
        <v>0</v>
      </c>
      <c r="CG160" s="62">
        <f t="shared" si="141"/>
        <v>0</v>
      </c>
      <c r="CH160" s="62">
        <f t="shared" si="141"/>
        <v>0</v>
      </c>
      <c r="CI160" s="62">
        <f t="shared" si="141"/>
        <v>0</v>
      </c>
      <c r="CJ160" s="62">
        <f t="shared" si="141"/>
        <v>0</v>
      </c>
      <c r="CK160" s="62">
        <f t="shared" si="141"/>
        <v>0</v>
      </c>
      <c r="CL160" s="62">
        <f t="shared" si="141"/>
        <v>0</v>
      </c>
      <c r="CM160" s="62">
        <f t="shared" si="141"/>
        <v>0</v>
      </c>
      <c r="CN160" s="62">
        <f t="shared" si="141"/>
        <v>0</v>
      </c>
      <c r="CO160" s="62">
        <f t="shared" si="141"/>
        <v>0</v>
      </c>
      <c r="CP160" s="62">
        <f t="shared" si="141"/>
        <v>0</v>
      </c>
      <c r="CQ160" s="62">
        <f t="shared" si="141"/>
        <v>0</v>
      </c>
      <c r="CR160" s="62">
        <f t="shared" si="141"/>
        <v>0</v>
      </c>
      <c r="CS160" s="62">
        <f t="shared" si="141"/>
        <v>0</v>
      </c>
      <c r="CT160" s="62">
        <f t="shared" si="141"/>
        <v>0</v>
      </c>
      <c r="CU160" s="62">
        <f t="shared" si="142"/>
        <v>0</v>
      </c>
      <c r="CV160" s="62">
        <f t="shared" si="142"/>
        <v>0</v>
      </c>
      <c r="CW160" s="62">
        <f t="shared" si="142"/>
        <v>0</v>
      </c>
      <c r="CX160" s="62">
        <f t="shared" si="142"/>
        <v>0</v>
      </c>
      <c r="CY160" s="62">
        <f t="shared" si="142"/>
        <v>0</v>
      </c>
      <c r="CZ160" s="62">
        <f t="shared" si="142"/>
        <v>0</v>
      </c>
      <c r="DA160" s="62">
        <f t="shared" si="142"/>
        <v>0</v>
      </c>
      <c r="DB160" s="62">
        <f t="shared" si="142"/>
        <v>0</v>
      </c>
      <c r="DC160" s="62">
        <f t="shared" si="142"/>
        <v>0</v>
      </c>
      <c r="DD160" s="62">
        <f t="shared" si="142"/>
        <v>0</v>
      </c>
      <c r="DE160" s="62">
        <f t="shared" si="142"/>
        <v>0</v>
      </c>
      <c r="DF160" s="62">
        <f t="shared" si="142"/>
        <v>0</v>
      </c>
      <c r="DG160" s="62">
        <f t="shared" si="142"/>
        <v>0</v>
      </c>
      <c r="DH160" s="62">
        <f t="shared" si="142"/>
        <v>0</v>
      </c>
      <c r="DI160" s="62">
        <f t="shared" si="142"/>
        <v>0</v>
      </c>
      <c r="DJ160" s="62">
        <f t="shared" si="142"/>
        <v>0</v>
      </c>
      <c r="DK160" s="62">
        <f t="shared" si="143"/>
        <v>0</v>
      </c>
      <c r="DL160" s="62">
        <f t="shared" si="143"/>
        <v>0</v>
      </c>
      <c r="DM160" s="62">
        <f t="shared" si="143"/>
        <v>0</v>
      </c>
      <c r="DN160" s="62">
        <f t="shared" si="143"/>
        <v>0</v>
      </c>
      <c r="DO160" s="62">
        <f t="shared" si="143"/>
        <v>0</v>
      </c>
      <c r="DP160" s="62">
        <f t="shared" si="143"/>
        <v>0</v>
      </c>
      <c r="DQ160" s="62">
        <f t="shared" si="143"/>
        <v>0</v>
      </c>
      <c r="DR160" s="62">
        <f t="shared" si="143"/>
        <v>0</v>
      </c>
      <c r="DS160" s="62">
        <f t="shared" si="143"/>
        <v>0</v>
      </c>
      <c r="DT160" s="62">
        <f t="shared" si="143"/>
        <v>0</v>
      </c>
      <c r="DU160" s="62">
        <f t="shared" si="143"/>
        <v>0</v>
      </c>
      <c r="DV160" s="62">
        <f t="shared" si="143"/>
        <v>0</v>
      </c>
    </row>
    <row r="161" spans="2:126" outlineLevel="1">
      <c r="B161" s="3" t="str">
        <f t="shared" si="130"/>
        <v>Property N</v>
      </c>
      <c r="C161" s="14">
        <f t="shared" si="131"/>
        <v>42</v>
      </c>
      <c r="D161" s="14">
        <f t="shared" si="132"/>
        <v>22</v>
      </c>
      <c r="E161" s="35"/>
      <c r="F161" s="35"/>
      <c r="G161" s="62">
        <f t="shared" si="135"/>
        <v>0</v>
      </c>
      <c r="H161" s="62">
        <f t="shared" si="135"/>
        <v>0</v>
      </c>
      <c r="I161" s="62">
        <f t="shared" si="135"/>
        <v>0</v>
      </c>
      <c r="J161" s="62">
        <f t="shared" si="135"/>
        <v>0</v>
      </c>
      <c r="K161" s="62">
        <f t="shared" si="135"/>
        <v>0</v>
      </c>
      <c r="L161" s="62">
        <f t="shared" si="135"/>
        <v>0</v>
      </c>
      <c r="M161" s="62">
        <f t="shared" si="135"/>
        <v>0</v>
      </c>
      <c r="N161" s="62">
        <f t="shared" si="135"/>
        <v>0</v>
      </c>
      <c r="O161" s="62">
        <f t="shared" si="135"/>
        <v>0</v>
      </c>
      <c r="P161" s="62">
        <f t="shared" si="135"/>
        <v>0</v>
      </c>
      <c r="Q161" s="62">
        <f t="shared" si="135"/>
        <v>0</v>
      </c>
      <c r="R161" s="62">
        <f t="shared" si="135"/>
        <v>0</v>
      </c>
      <c r="S161" s="62">
        <f t="shared" si="135"/>
        <v>0</v>
      </c>
      <c r="T161" s="62">
        <f t="shared" si="135"/>
        <v>0</v>
      </c>
      <c r="U161" s="62">
        <f t="shared" si="135"/>
        <v>0</v>
      </c>
      <c r="V161" s="62">
        <f t="shared" si="135"/>
        <v>0</v>
      </c>
      <c r="W161" s="62">
        <f t="shared" si="138"/>
        <v>0</v>
      </c>
      <c r="X161" s="62">
        <f t="shared" si="138"/>
        <v>0</v>
      </c>
      <c r="Y161" s="62">
        <f t="shared" si="138"/>
        <v>0</v>
      </c>
      <c r="Z161" s="62">
        <f t="shared" si="138"/>
        <v>0</v>
      </c>
      <c r="AA161" s="62">
        <f t="shared" si="138"/>
        <v>0</v>
      </c>
      <c r="AB161" s="62">
        <f t="shared" si="138"/>
        <v>0</v>
      </c>
      <c r="AC161" s="62">
        <f t="shared" si="138"/>
        <v>0</v>
      </c>
      <c r="AD161" s="62">
        <f t="shared" si="138"/>
        <v>0</v>
      </c>
      <c r="AE161" s="62">
        <f t="shared" si="138"/>
        <v>0</v>
      </c>
      <c r="AF161" s="62">
        <f t="shared" si="138"/>
        <v>0</v>
      </c>
      <c r="AG161" s="62">
        <f t="shared" si="138"/>
        <v>0</v>
      </c>
      <c r="AH161" s="62">
        <f t="shared" si="138"/>
        <v>0</v>
      </c>
      <c r="AI161" s="62">
        <f t="shared" si="138"/>
        <v>0</v>
      </c>
      <c r="AJ161" s="62">
        <f t="shared" si="138"/>
        <v>0</v>
      </c>
      <c r="AK161" s="62">
        <f t="shared" si="138"/>
        <v>0</v>
      </c>
      <c r="AL161" s="62">
        <f t="shared" si="138"/>
        <v>0</v>
      </c>
      <c r="AM161" s="62">
        <f t="shared" si="139"/>
        <v>0</v>
      </c>
      <c r="AN161" s="62">
        <f t="shared" si="139"/>
        <v>0</v>
      </c>
      <c r="AO161" s="62">
        <f t="shared" si="139"/>
        <v>0</v>
      </c>
      <c r="AP161" s="62">
        <f t="shared" si="139"/>
        <v>0</v>
      </c>
      <c r="AQ161" s="62">
        <f t="shared" si="139"/>
        <v>0</v>
      </c>
      <c r="AR161" s="62">
        <f t="shared" si="139"/>
        <v>0</v>
      </c>
      <c r="AS161" s="62">
        <f t="shared" si="139"/>
        <v>0</v>
      </c>
      <c r="AT161" s="62">
        <f t="shared" si="139"/>
        <v>0</v>
      </c>
      <c r="AU161" s="62">
        <f t="shared" si="139"/>
        <v>0</v>
      </c>
      <c r="AV161" s="62">
        <f t="shared" si="139"/>
        <v>1</v>
      </c>
      <c r="AW161" s="62">
        <f t="shared" si="139"/>
        <v>2</v>
      </c>
      <c r="AX161" s="62">
        <f t="shared" si="139"/>
        <v>3</v>
      </c>
      <c r="AY161" s="62">
        <f t="shared" si="139"/>
        <v>4</v>
      </c>
      <c r="AZ161" s="62">
        <f t="shared" si="139"/>
        <v>5</v>
      </c>
      <c r="BA161" s="62">
        <f t="shared" si="139"/>
        <v>6</v>
      </c>
      <c r="BB161" s="62">
        <f t="shared" si="139"/>
        <v>7</v>
      </c>
      <c r="BC161" s="62">
        <f t="shared" si="140"/>
        <v>8</v>
      </c>
      <c r="BD161" s="62">
        <f t="shared" si="140"/>
        <v>9</v>
      </c>
      <c r="BE161" s="62">
        <f t="shared" si="140"/>
        <v>10</v>
      </c>
      <c r="BF161" s="62">
        <f t="shared" si="140"/>
        <v>11</v>
      </c>
      <c r="BG161" s="62">
        <f t="shared" si="140"/>
        <v>12</v>
      </c>
      <c r="BH161" s="62">
        <f t="shared" si="140"/>
        <v>13</v>
      </c>
      <c r="BI161" s="62">
        <f t="shared" si="140"/>
        <v>14</v>
      </c>
      <c r="BJ161" s="62">
        <f t="shared" si="140"/>
        <v>15</v>
      </c>
      <c r="BK161" s="62">
        <f t="shared" si="140"/>
        <v>16</v>
      </c>
      <c r="BL161" s="62">
        <f t="shared" si="140"/>
        <v>17</v>
      </c>
      <c r="BM161" s="62">
        <f t="shared" si="140"/>
        <v>18</v>
      </c>
      <c r="BN161" s="62">
        <f t="shared" si="140"/>
        <v>19</v>
      </c>
      <c r="BO161" s="62">
        <f t="shared" si="140"/>
        <v>20</v>
      </c>
      <c r="BP161" s="62">
        <f t="shared" si="140"/>
        <v>21</v>
      </c>
      <c r="BQ161" s="62">
        <f t="shared" si="140"/>
        <v>22</v>
      </c>
      <c r="BR161" s="62">
        <f t="shared" si="140"/>
        <v>0</v>
      </c>
      <c r="BS161" s="62">
        <f t="shared" si="136"/>
        <v>0</v>
      </c>
      <c r="BT161" s="62">
        <f t="shared" si="136"/>
        <v>0</v>
      </c>
      <c r="BU161" s="62">
        <f t="shared" si="136"/>
        <v>0</v>
      </c>
      <c r="BV161" s="62">
        <f t="shared" si="136"/>
        <v>0</v>
      </c>
      <c r="BW161" s="62">
        <f t="shared" si="136"/>
        <v>0</v>
      </c>
      <c r="BX161" s="62">
        <f t="shared" si="136"/>
        <v>0</v>
      </c>
      <c r="BY161" s="62">
        <f t="shared" si="136"/>
        <v>0</v>
      </c>
      <c r="BZ161" s="62">
        <f t="shared" si="136"/>
        <v>0</v>
      </c>
      <c r="CA161" s="62">
        <f t="shared" si="136"/>
        <v>0</v>
      </c>
      <c r="CB161" s="62">
        <f t="shared" si="136"/>
        <v>0</v>
      </c>
      <c r="CC161" s="62">
        <f t="shared" si="136"/>
        <v>0</v>
      </c>
      <c r="CD161" s="62">
        <f t="shared" si="136"/>
        <v>0</v>
      </c>
      <c r="CE161" s="62">
        <f t="shared" si="141"/>
        <v>0</v>
      </c>
      <c r="CF161" s="62">
        <f t="shared" si="141"/>
        <v>0</v>
      </c>
      <c r="CG161" s="62">
        <f t="shared" si="141"/>
        <v>0</v>
      </c>
      <c r="CH161" s="62">
        <f t="shared" si="141"/>
        <v>0</v>
      </c>
      <c r="CI161" s="62">
        <f t="shared" si="141"/>
        <v>0</v>
      </c>
      <c r="CJ161" s="62">
        <f t="shared" si="141"/>
        <v>0</v>
      </c>
      <c r="CK161" s="62">
        <f t="shared" si="141"/>
        <v>0</v>
      </c>
      <c r="CL161" s="62">
        <f t="shared" si="141"/>
        <v>0</v>
      </c>
      <c r="CM161" s="62">
        <f t="shared" si="141"/>
        <v>0</v>
      </c>
      <c r="CN161" s="62">
        <f t="shared" si="141"/>
        <v>0</v>
      </c>
      <c r="CO161" s="62">
        <f t="shared" si="141"/>
        <v>0</v>
      </c>
      <c r="CP161" s="62">
        <f t="shared" si="141"/>
        <v>0</v>
      </c>
      <c r="CQ161" s="62">
        <f t="shared" si="141"/>
        <v>0</v>
      </c>
      <c r="CR161" s="62">
        <f t="shared" si="141"/>
        <v>0</v>
      </c>
      <c r="CS161" s="62">
        <f t="shared" si="141"/>
        <v>0</v>
      </c>
      <c r="CT161" s="62">
        <f t="shared" si="141"/>
        <v>0</v>
      </c>
      <c r="CU161" s="62">
        <f t="shared" si="142"/>
        <v>0</v>
      </c>
      <c r="CV161" s="62">
        <f t="shared" si="142"/>
        <v>0</v>
      </c>
      <c r="CW161" s="62">
        <f t="shared" si="142"/>
        <v>0</v>
      </c>
      <c r="CX161" s="62">
        <f t="shared" si="142"/>
        <v>0</v>
      </c>
      <c r="CY161" s="62">
        <f t="shared" si="142"/>
        <v>0</v>
      </c>
      <c r="CZ161" s="62">
        <f t="shared" si="142"/>
        <v>0</v>
      </c>
      <c r="DA161" s="62">
        <f t="shared" si="142"/>
        <v>0</v>
      </c>
      <c r="DB161" s="62">
        <f t="shared" si="142"/>
        <v>0</v>
      </c>
      <c r="DC161" s="62">
        <f t="shared" si="142"/>
        <v>0</v>
      </c>
      <c r="DD161" s="62">
        <f t="shared" si="142"/>
        <v>0</v>
      </c>
      <c r="DE161" s="62">
        <f t="shared" si="142"/>
        <v>0</v>
      </c>
      <c r="DF161" s="62">
        <f t="shared" si="142"/>
        <v>0</v>
      </c>
      <c r="DG161" s="62">
        <f t="shared" si="142"/>
        <v>0</v>
      </c>
      <c r="DH161" s="62">
        <f t="shared" si="142"/>
        <v>0</v>
      </c>
      <c r="DI161" s="62">
        <f t="shared" si="142"/>
        <v>0</v>
      </c>
      <c r="DJ161" s="62">
        <f t="shared" si="142"/>
        <v>0</v>
      </c>
      <c r="DK161" s="62">
        <f t="shared" si="143"/>
        <v>0</v>
      </c>
      <c r="DL161" s="62">
        <f t="shared" si="143"/>
        <v>0</v>
      </c>
      <c r="DM161" s="62">
        <f t="shared" si="143"/>
        <v>0</v>
      </c>
      <c r="DN161" s="62">
        <f t="shared" si="143"/>
        <v>0</v>
      </c>
      <c r="DO161" s="62">
        <f t="shared" si="143"/>
        <v>0</v>
      </c>
      <c r="DP161" s="62">
        <f t="shared" si="143"/>
        <v>0</v>
      </c>
      <c r="DQ161" s="62">
        <f t="shared" si="143"/>
        <v>0</v>
      </c>
      <c r="DR161" s="62">
        <f t="shared" si="143"/>
        <v>0</v>
      </c>
      <c r="DS161" s="62">
        <f t="shared" si="143"/>
        <v>0</v>
      </c>
      <c r="DT161" s="62">
        <f t="shared" si="143"/>
        <v>0</v>
      </c>
      <c r="DU161" s="62">
        <f t="shared" si="143"/>
        <v>0</v>
      </c>
      <c r="DV161" s="62">
        <f t="shared" si="143"/>
        <v>0</v>
      </c>
    </row>
    <row r="162" spans="2:126" outlineLevel="1">
      <c r="B162" s="3" t="str">
        <f t="shared" si="130"/>
        <v>Property O</v>
      </c>
      <c r="C162" s="14">
        <f t="shared" si="131"/>
        <v>48</v>
      </c>
      <c r="D162" s="14">
        <f t="shared" si="132"/>
        <v>24</v>
      </c>
      <c r="E162" s="35"/>
      <c r="F162" s="35"/>
      <c r="G162" s="62">
        <f t="shared" si="135"/>
        <v>0</v>
      </c>
      <c r="H162" s="62">
        <f t="shared" si="135"/>
        <v>0</v>
      </c>
      <c r="I162" s="62">
        <f t="shared" si="135"/>
        <v>0</v>
      </c>
      <c r="J162" s="62">
        <f t="shared" si="135"/>
        <v>0</v>
      </c>
      <c r="K162" s="62">
        <f t="shared" si="135"/>
        <v>0</v>
      </c>
      <c r="L162" s="62">
        <f t="shared" si="135"/>
        <v>0</v>
      </c>
      <c r="M162" s="62">
        <f t="shared" si="135"/>
        <v>0</v>
      </c>
      <c r="N162" s="62">
        <f t="shared" si="135"/>
        <v>0</v>
      </c>
      <c r="O162" s="62">
        <f t="shared" si="135"/>
        <v>0</v>
      </c>
      <c r="P162" s="62">
        <f t="shared" si="135"/>
        <v>0</v>
      </c>
      <c r="Q162" s="62">
        <f t="shared" si="135"/>
        <v>0</v>
      </c>
      <c r="R162" s="62">
        <f t="shared" si="135"/>
        <v>0</v>
      </c>
      <c r="S162" s="62">
        <f t="shared" si="135"/>
        <v>0</v>
      </c>
      <c r="T162" s="62">
        <f t="shared" si="135"/>
        <v>0</v>
      </c>
      <c r="U162" s="62">
        <f t="shared" si="135"/>
        <v>0</v>
      </c>
      <c r="V162" s="62">
        <f t="shared" si="135"/>
        <v>0</v>
      </c>
      <c r="W162" s="62">
        <f t="shared" si="138"/>
        <v>0</v>
      </c>
      <c r="X162" s="62">
        <f t="shared" si="138"/>
        <v>0</v>
      </c>
      <c r="Y162" s="62">
        <f t="shared" si="138"/>
        <v>0</v>
      </c>
      <c r="Z162" s="62">
        <f t="shared" si="138"/>
        <v>0</v>
      </c>
      <c r="AA162" s="62">
        <f t="shared" si="138"/>
        <v>0</v>
      </c>
      <c r="AB162" s="62">
        <f t="shared" si="138"/>
        <v>0</v>
      </c>
      <c r="AC162" s="62">
        <f t="shared" si="138"/>
        <v>0</v>
      </c>
      <c r="AD162" s="62">
        <f t="shared" si="138"/>
        <v>0</v>
      </c>
      <c r="AE162" s="62">
        <f t="shared" si="138"/>
        <v>0</v>
      </c>
      <c r="AF162" s="62">
        <f t="shared" si="138"/>
        <v>0</v>
      </c>
      <c r="AG162" s="62">
        <f t="shared" si="138"/>
        <v>0</v>
      </c>
      <c r="AH162" s="62">
        <f t="shared" si="138"/>
        <v>0</v>
      </c>
      <c r="AI162" s="62">
        <f t="shared" si="138"/>
        <v>0</v>
      </c>
      <c r="AJ162" s="62">
        <f t="shared" si="138"/>
        <v>0</v>
      </c>
      <c r="AK162" s="62">
        <f t="shared" si="138"/>
        <v>0</v>
      </c>
      <c r="AL162" s="62">
        <f t="shared" si="138"/>
        <v>0</v>
      </c>
      <c r="AM162" s="62">
        <f t="shared" si="139"/>
        <v>0</v>
      </c>
      <c r="AN162" s="62">
        <f t="shared" si="139"/>
        <v>0</v>
      </c>
      <c r="AO162" s="62">
        <f t="shared" si="139"/>
        <v>0</v>
      </c>
      <c r="AP162" s="62">
        <f t="shared" si="139"/>
        <v>0</v>
      </c>
      <c r="AQ162" s="62">
        <f t="shared" si="139"/>
        <v>0</v>
      </c>
      <c r="AR162" s="62">
        <f t="shared" si="139"/>
        <v>0</v>
      </c>
      <c r="AS162" s="62">
        <f t="shared" si="139"/>
        <v>0</v>
      </c>
      <c r="AT162" s="62">
        <f t="shared" si="139"/>
        <v>0</v>
      </c>
      <c r="AU162" s="62">
        <f t="shared" si="139"/>
        <v>0</v>
      </c>
      <c r="AV162" s="62">
        <f t="shared" si="139"/>
        <v>0</v>
      </c>
      <c r="AW162" s="62">
        <f t="shared" si="139"/>
        <v>0</v>
      </c>
      <c r="AX162" s="62">
        <f t="shared" si="139"/>
        <v>0</v>
      </c>
      <c r="AY162" s="62">
        <f t="shared" si="139"/>
        <v>0</v>
      </c>
      <c r="AZ162" s="62">
        <f t="shared" si="139"/>
        <v>0</v>
      </c>
      <c r="BA162" s="62">
        <f t="shared" si="139"/>
        <v>0</v>
      </c>
      <c r="BB162" s="62">
        <f t="shared" si="139"/>
        <v>1</v>
      </c>
      <c r="BC162" s="62">
        <f t="shared" si="140"/>
        <v>2</v>
      </c>
      <c r="BD162" s="62">
        <f t="shared" si="140"/>
        <v>3</v>
      </c>
      <c r="BE162" s="62">
        <f t="shared" si="140"/>
        <v>4</v>
      </c>
      <c r="BF162" s="62">
        <f t="shared" si="140"/>
        <v>5</v>
      </c>
      <c r="BG162" s="62">
        <f t="shared" si="140"/>
        <v>6</v>
      </c>
      <c r="BH162" s="62">
        <f t="shared" si="140"/>
        <v>7</v>
      </c>
      <c r="BI162" s="62">
        <f t="shared" si="140"/>
        <v>8</v>
      </c>
      <c r="BJ162" s="62">
        <f t="shared" si="140"/>
        <v>9</v>
      </c>
      <c r="BK162" s="62">
        <f t="shared" si="140"/>
        <v>10</v>
      </c>
      <c r="BL162" s="62">
        <f t="shared" si="140"/>
        <v>11</v>
      </c>
      <c r="BM162" s="62">
        <f t="shared" si="140"/>
        <v>12</v>
      </c>
      <c r="BN162" s="62">
        <f t="shared" si="140"/>
        <v>13</v>
      </c>
      <c r="BO162" s="62">
        <f t="shared" si="140"/>
        <v>14</v>
      </c>
      <c r="BP162" s="62">
        <f t="shared" si="140"/>
        <v>15</v>
      </c>
      <c r="BQ162" s="62">
        <f t="shared" si="140"/>
        <v>16</v>
      </c>
      <c r="BR162" s="62">
        <f t="shared" si="140"/>
        <v>17</v>
      </c>
      <c r="BS162" s="62">
        <f t="shared" si="136"/>
        <v>18</v>
      </c>
      <c r="BT162" s="62">
        <f t="shared" si="136"/>
        <v>19</v>
      </c>
      <c r="BU162" s="62">
        <f t="shared" si="136"/>
        <v>20</v>
      </c>
      <c r="BV162" s="62">
        <f t="shared" si="136"/>
        <v>21</v>
      </c>
      <c r="BW162" s="62">
        <f t="shared" si="136"/>
        <v>22</v>
      </c>
      <c r="BX162" s="62">
        <f t="shared" si="136"/>
        <v>23</v>
      </c>
      <c r="BY162" s="62">
        <f t="shared" si="136"/>
        <v>24</v>
      </c>
      <c r="BZ162" s="62">
        <f t="shared" si="136"/>
        <v>0</v>
      </c>
      <c r="CA162" s="62">
        <f t="shared" si="136"/>
        <v>0</v>
      </c>
      <c r="CB162" s="62">
        <f t="shared" si="136"/>
        <v>0</v>
      </c>
      <c r="CC162" s="62">
        <f t="shared" si="136"/>
        <v>0</v>
      </c>
      <c r="CD162" s="62">
        <f t="shared" si="136"/>
        <v>0</v>
      </c>
      <c r="CE162" s="62">
        <f t="shared" si="141"/>
        <v>0</v>
      </c>
      <c r="CF162" s="62">
        <f t="shared" si="141"/>
        <v>0</v>
      </c>
      <c r="CG162" s="62">
        <f t="shared" si="141"/>
        <v>0</v>
      </c>
      <c r="CH162" s="62">
        <f t="shared" si="141"/>
        <v>0</v>
      </c>
      <c r="CI162" s="62">
        <f t="shared" si="141"/>
        <v>0</v>
      </c>
      <c r="CJ162" s="62">
        <f t="shared" si="141"/>
        <v>0</v>
      </c>
      <c r="CK162" s="62">
        <f t="shared" si="141"/>
        <v>0</v>
      </c>
      <c r="CL162" s="62">
        <f t="shared" si="141"/>
        <v>0</v>
      </c>
      <c r="CM162" s="62">
        <f t="shared" si="141"/>
        <v>0</v>
      </c>
      <c r="CN162" s="62">
        <f t="shared" si="141"/>
        <v>0</v>
      </c>
      <c r="CO162" s="62">
        <f t="shared" si="141"/>
        <v>0</v>
      </c>
      <c r="CP162" s="62">
        <f t="shared" si="141"/>
        <v>0</v>
      </c>
      <c r="CQ162" s="62">
        <f t="shared" si="141"/>
        <v>0</v>
      </c>
      <c r="CR162" s="62">
        <f t="shared" si="141"/>
        <v>0</v>
      </c>
      <c r="CS162" s="62">
        <f t="shared" si="141"/>
        <v>0</v>
      </c>
      <c r="CT162" s="62">
        <f t="shared" si="141"/>
        <v>0</v>
      </c>
      <c r="CU162" s="62">
        <f t="shared" si="142"/>
        <v>0</v>
      </c>
      <c r="CV162" s="62">
        <f t="shared" si="142"/>
        <v>0</v>
      </c>
      <c r="CW162" s="62">
        <f t="shared" si="142"/>
        <v>0</v>
      </c>
      <c r="CX162" s="62">
        <f t="shared" si="142"/>
        <v>0</v>
      </c>
      <c r="CY162" s="62">
        <f t="shared" si="142"/>
        <v>0</v>
      </c>
      <c r="CZ162" s="62">
        <f t="shared" si="142"/>
        <v>0</v>
      </c>
      <c r="DA162" s="62">
        <f t="shared" si="142"/>
        <v>0</v>
      </c>
      <c r="DB162" s="62">
        <f t="shared" si="142"/>
        <v>0</v>
      </c>
      <c r="DC162" s="62">
        <f t="shared" si="142"/>
        <v>0</v>
      </c>
      <c r="DD162" s="62">
        <f t="shared" si="142"/>
        <v>0</v>
      </c>
      <c r="DE162" s="62">
        <f t="shared" si="142"/>
        <v>0</v>
      </c>
      <c r="DF162" s="62">
        <f t="shared" si="142"/>
        <v>0</v>
      </c>
      <c r="DG162" s="62">
        <f t="shared" si="142"/>
        <v>0</v>
      </c>
      <c r="DH162" s="62">
        <f t="shared" si="142"/>
        <v>0</v>
      </c>
      <c r="DI162" s="62">
        <f t="shared" si="142"/>
        <v>0</v>
      </c>
      <c r="DJ162" s="62">
        <f t="shared" si="142"/>
        <v>0</v>
      </c>
      <c r="DK162" s="62">
        <f t="shared" si="143"/>
        <v>0</v>
      </c>
      <c r="DL162" s="62">
        <f t="shared" si="143"/>
        <v>0</v>
      </c>
      <c r="DM162" s="62">
        <f t="shared" si="143"/>
        <v>0</v>
      </c>
      <c r="DN162" s="62">
        <f t="shared" si="143"/>
        <v>0</v>
      </c>
      <c r="DO162" s="62">
        <f t="shared" si="143"/>
        <v>0</v>
      </c>
      <c r="DP162" s="62">
        <f t="shared" si="143"/>
        <v>0</v>
      </c>
      <c r="DQ162" s="62">
        <f t="shared" si="143"/>
        <v>0</v>
      </c>
      <c r="DR162" s="62">
        <f t="shared" si="143"/>
        <v>0</v>
      </c>
      <c r="DS162" s="62">
        <f t="shared" si="143"/>
        <v>0</v>
      </c>
      <c r="DT162" s="62">
        <f t="shared" si="143"/>
        <v>0</v>
      </c>
      <c r="DU162" s="62">
        <f t="shared" si="143"/>
        <v>0</v>
      </c>
      <c r="DV162" s="62">
        <f t="shared" si="143"/>
        <v>0</v>
      </c>
    </row>
    <row r="163" spans="2:126" outlineLevel="1">
      <c r="B163" s="3"/>
      <c r="C163" s="2"/>
      <c r="D163" s="2"/>
      <c r="E163" s="35"/>
      <c r="F163" s="35"/>
      <c r="G163" s="2"/>
      <c r="H163" s="2"/>
      <c r="I163" s="3"/>
      <c r="J163" s="3"/>
      <c r="K163" s="2"/>
    </row>
    <row r="164" spans="2:126" outlineLevel="1">
      <c r="B164" s="3"/>
      <c r="C164" s="2"/>
      <c r="D164" s="2"/>
      <c r="E164" s="35"/>
      <c r="F164" s="35"/>
      <c r="G164" s="2"/>
      <c r="H164" s="2"/>
      <c r="I164" s="3"/>
      <c r="J164" s="3"/>
      <c r="K164" s="2"/>
    </row>
    <row r="165" spans="2:126" outlineLevel="1">
      <c r="B165" s="6" t="s">
        <v>91</v>
      </c>
      <c r="C165" s="9"/>
      <c r="D165" s="9" t="s">
        <v>28</v>
      </c>
      <c r="E165" s="35"/>
      <c r="F165" s="35"/>
      <c r="G165" s="2"/>
      <c r="H165" s="2"/>
      <c r="I165" s="3"/>
      <c r="J165" s="3"/>
      <c r="K165" s="2"/>
    </row>
    <row r="166" spans="2:126" outlineLevel="1">
      <c r="B166" s="3" t="str">
        <f t="shared" ref="B166:B175" si="144">B153</f>
        <v>Property F</v>
      </c>
      <c r="C166" s="14"/>
      <c r="D166" s="14">
        <f t="shared" ref="D166:D175" si="145">D153</f>
        <v>15</v>
      </c>
      <c r="E166" s="35"/>
      <c r="F166" s="35"/>
      <c r="G166" s="63">
        <f>IF(G153=0,0,INDEX(CaseData!$B$30:$N$53,MATCH(G153,CaseData!$A$30:$A$53,0),MATCH($D166,CaseData!$B$29:$N$29,0)))</f>
        <v>0</v>
      </c>
      <c r="H166" s="63">
        <f>IF(H153=0,0,INDEX(CaseData!$B$30:$N$53,MATCH(H153,CaseData!$A$30:$A$53,0),MATCH($D166,CaseData!$B$29:$N$29,0)))</f>
        <v>0</v>
      </c>
      <c r="I166" s="63">
        <f>IF(I153=0,0,INDEX(CaseData!$B$30:$N$53,MATCH(I153,CaseData!$A$30:$A$53,0),MATCH($D166,CaseData!$B$29:$N$29,0)))</f>
        <v>0</v>
      </c>
      <c r="J166" s="63">
        <f>IF(J153=0,0,INDEX(CaseData!$B$30:$N$53,MATCH(J153,CaseData!$A$30:$A$53,0),MATCH($D166,CaseData!$B$29:$N$29,0)))</f>
        <v>0</v>
      </c>
      <c r="K166" s="63">
        <f>IF(K153=0,0,INDEX(CaseData!$B$30:$N$53,MATCH(K153,CaseData!$A$30:$A$53,0),MATCH($D166,CaseData!$B$29:$N$29,0)))</f>
        <v>2.2499999999999999E-2</v>
      </c>
      <c r="L166" s="63">
        <f>IF(L153=0,0,INDEX(CaseData!$B$30:$N$53,MATCH(L153,CaseData!$A$30:$A$53,0),MATCH($D166,CaseData!$B$29:$N$29,0)))</f>
        <v>2.5000000000000001E-2</v>
      </c>
      <c r="M166" s="63">
        <f>IF(M153=0,0,INDEX(CaseData!$B$30:$N$53,MATCH(M153,CaseData!$A$30:$A$53,0),MATCH($D166,CaseData!$B$29:$N$29,0)))</f>
        <v>0.03</v>
      </c>
      <c r="N166" s="63">
        <f>IF(N153=0,0,INDEX(CaseData!$B$30:$N$53,MATCH(N153,CaseData!$A$30:$A$53,0),MATCH($D166,CaseData!$B$29:$N$29,0)))</f>
        <v>3.5000000000000003E-2</v>
      </c>
      <c r="O166" s="63">
        <f>IF(O153=0,0,INDEX(CaseData!$B$30:$N$53,MATCH(O153,CaseData!$A$30:$A$53,0),MATCH($D166,CaseData!$B$29:$N$29,0)))</f>
        <v>0.04</v>
      </c>
      <c r="P166" s="63">
        <f>IF(P153=0,0,INDEX(CaseData!$B$30:$N$53,MATCH(P153,CaseData!$A$30:$A$53,0),MATCH($D166,CaseData!$B$29:$N$29,0)))</f>
        <v>0.05</v>
      </c>
      <c r="Q166" s="63">
        <f>IF(Q153=0,0,INDEX(CaseData!$B$30:$N$53,MATCH(Q153,CaseData!$A$30:$A$53,0),MATCH($D166,CaseData!$B$29:$N$29,0)))</f>
        <v>7.0000000000000007E-2</v>
      </c>
      <c r="R166" s="63">
        <f>IF(R153=0,0,INDEX(CaseData!$B$30:$N$53,MATCH(R153,CaseData!$A$30:$A$53,0),MATCH($D166,CaseData!$B$29:$N$29,0)))</f>
        <v>0.1</v>
      </c>
      <c r="S166" s="63">
        <f>IF(S153=0,0,INDEX(CaseData!$B$30:$N$53,MATCH(S153,CaseData!$A$30:$A$53,0),MATCH($D166,CaseData!$B$29:$N$29,0)))</f>
        <v>0.11</v>
      </c>
      <c r="T166" s="63">
        <f>IF(T153=0,0,INDEX(CaseData!$B$30:$N$53,MATCH(T153,CaseData!$A$30:$A$53,0),MATCH($D166,CaseData!$B$29:$N$29,0)))</f>
        <v>0.11</v>
      </c>
      <c r="U166" s="63">
        <f>IF(U153=0,0,INDEX(CaseData!$B$30:$N$53,MATCH(U153,CaseData!$A$30:$A$53,0),MATCH($D166,CaseData!$B$29:$N$29,0)))</f>
        <v>0.11</v>
      </c>
      <c r="V166" s="63">
        <f>IF(V153=0,0,INDEX(CaseData!$B$30:$N$53,MATCH(V153,CaseData!$A$30:$A$53,0),MATCH($D166,CaseData!$B$29:$N$29,0)))</f>
        <v>0.09</v>
      </c>
      <c r="W166" s="63">
        <f>IF(W153=0,0,INDEX(CaseData!$B$30:$N$53,MATCH(W153,CaseData!$A$30:$A$53,0),MATCH($D166,CaseData!$B$29:$N$29,0)))</f>
        <v>0.08</v>
      </c>
      <c r="X166" s="63">
        <f>IF(X153=0,0,INDEX(CaseData!$B$30:$N$53,MATCH(X153,CaseData!$A$30:$A$53,0),MATCH($D166,CaseData!$B$29:$N$29,0)))</f>
        <v>7.0000000000000007E-2</v>
      </c>
      <c r="Y166" s="63">
        <f>IF(Y153=0,0,INDEX(CaseData!$B$30:$N$53,MATCH(Y153,CaseData!$A$30:$A$53,0),MATCH($D166,CaseData!$B$29:$N$29,0)))</f>
        <v>5.7500000000000002E-2</v>
      </c>
      <c r="Z166" s="63">
        <f>IF(Z153=0,0,INDEX(CaseData!$B$30:$N$53,MATCH(Z153,CaseData!$A$30:$A$53,0),MATCH($D166,CaseData!$B$29:$N$29,0)))</f>
        <v>0</v>
      </c>
      <c r="AA166" s="63">
        <f>IF(AA153=0,0,INDEX(CaseData!$B$30:$N$53,MATCH(AA153,CaseData!$A$30:$A$53,0),MATCH($D166,CaseData!$B$29:$N$29,0)))</f>
        <v>0</v>
      </c>
      <c r="AB166" s="63">
        <f>IF(AB153=0,0,INDEX(CaseData!$B$30:$N$53,MATCH(AB153,CaseData!$A$30:$A$53,0),MATCH($D166,CaseData!$B$29:$N$29,0)))</f>
        <v>0</v>
      </c>
      <c r="AC166" s="63">
        <f>IF(AC153=0,0,INDEX(CaseData!$B$30:$N$53,MATCH(AC153,CaseData!$A$30:$A$53,0),MATCH($D166,CaseData!$B$29:$N$29,0)))</f>
        <v>0</v>
      </c>
      <c r="AD166" s="63">
        <f>IF(AD153=0,0,INDEX(CaseData!$B$30:$N$53,MATCH(AD153,CaseData!$A$30:$A$53,0),MATCH($D166,CaseData!$B$29:$N$29,0)))</f>
        <v>0</v>
      </c>
      <c r="AE166" s="63">
        <f>IF(AE153=0,0,INDEX(CaseData!$B$30:$N$53,MATCH(AE153,CaseData!$A$30:$A$53,0),MATCH($D166,CaseData!$B$29:$N$29,0)))</f>
        <v>0</v>
      </c>
      <c r="AF166" s="63">
        <f>IF(AF153=0,0,INDEX(CaseData!$B$30:$N$53,MATCH(AF153,CaseData!$A$30:$A$53,0),MATCH($D166,CaseData!$B$29:$N$29,0)))</f>
        <v>0</v>
      </c>
      <c r="AG166" s="63">
        <f>IF(AG153=0,0,INDEX(CaseData!$B$30:$N$53,MATCH(AG153,CaseData!$A$30:$A$53,0),MATCH($D166,CaseData!$B$29:$N$29,0)))</f>
        <v>0</v>
      </c>
      <c r="AH166" s="63">
        <f>IF(AH153=0,0,INDEX(CaseData!$B$30:$N$53,MATCH(AH153,CaseData!$A$30:$A$53,0),MATCH($D166,CaseData!$B$29:$N$29,0)))</f>
        <v>0</v>
      </c>
      <c r="AI166" s="63">
        <f>IF(AI153=0,0,INDEX(CaseData!$B$30:$N$53,MATCH(AI153,CaseData!$A$30:$A$53,0),MATCH($D166,CaseData!$B$29:$N$29,0)))</f>
        <v>0</v>
      </c>
      <c r="AJ166" s="63">
        <f>IF(AJ153=0,0,INDEX(CaseData!$B$30:$N$53,MATCH(AJ153,CaseData!$A$30:$A$53,0),MATCH($D166,CaseData!$B$29:$N$29,0)))</f>
        <v>0</v>
      </c>
      <c r="AK166" s="63">
        <f>IF(AK153=0,0,INDEX(CaseData!$B$30:$N$53,MATCH(AK153,CaseData!$A$30:$A$53,0),MATCH($D166,CaseData!$B$29:$N$29,0)))</f>
        <v>0</v>
      </c>
      <c r="AL166" s="63">
        <f>IF(AL153=0,0,INDEX(CaseData!$B$30:$N$53,MATCH(AL153,CaseData!$A$30:$A$53,0),MATCH($D166,CaseData!$B$29:$N$29,0)))</f>
        <v>0</v>
      </c>
      <c r="AM166" s="63">
        <f>IF(AM153=0,0,INDEX(CaseData!$B$30:$N$53,MATCH(AM153,CaseData!$A$30:$A$53,0),MATCH($D166,CaseData!$B$29:$N$29,0)))</f>
        <v>0</v>
      </c>
      <c r="AN166" s="63">
        <f>IF(AN153=0,0,INDEX(CaseData!$B$30:$N$53,MATCH(AN153,CaseData!$A$30:$A$53,0),MATCH($D166,CaseData!$B$29:$N$29,0)))</f>
        <v>0</v>
      </c>
      <c r="AO166" s="63">
        <f>IF(AO153=0,0,INDEX(CaseData!$B$30:$N$53,MATCH(AO153,CaseData!$A$30:$A$53,0),MATCH($D166,CaseData!$B$29:$N$29,0)))</f>
        <v>0</v>
      </c>
      <c r="AP166" s="63">
        <f>IF(AP153=0,0,INDEX(CaseData!$B$30:$N$53,MATCH(AP153,CaseData!$A$30:$A$53,0),MATCH($D166,CaseData!$B$29:$N$29,0)))</f>
        <v>0</v>
      </c>
      <c r="AQ166" s="63">
        <f>IF(AQ153=0,0,INDEX(CaseData!$B$30:$N$53,MATCH(AQ153,CaseData!$A$30:$A$53,0),MATCH($D166,CaseData!$B$29:$N$29,0)))</f>
        <v>0</v>
      </c>
      <c r="AR166" s="63">
        <f>IF(AR153=0,0,INDEX(CaseData!$B$30:$N$53,MATCH(AR153,CaseData!$A$30:$A$53,0),MATCH($D166,CaseData!$B$29:$N$29,0)))</f>
        <v>0</v>
      </c>
      <c r="AS166" s="63">
        <f>IF(AS153=0,0,INDEX(CaseData!$B$30:$N$53,MATCH(AS153,CaseData!$A$30:$A$53,0),MATCH($D166,CaseData!$B$29:$N$29,0)))</f>
        <v>0</v>
      </c>
      <c r="AT166" s="63">
        <f>IF(AT153=0,0,INDEX(CaseData!$B$30:$N$53,MATCH(AT153,CaseData!$A$30:$A$53,0),MATCH($D166,CaseData!$B$29:$N$29,0)))</f>
        <v>0</v>
      </c>
      <c r="AU166" s="63">
        <f>IF(AU153=0,0,INDEX(CaseData!$B$30:$N$53,MATCH(AU153,CaseData!$A$30:$A$53,0),MATCH($D166,CaseData!$B$29:$N$29,0)))</f>
        <v>0</v>
      </c>
      <c r="AV166" s="63">
        <f>IF(AV153=0,0,INDEX(CaseData!$B$30:$N$53,MATCH(AV153,CaseData!$A$30:$A$53,0),MATCH($D166,CaseData!$B$29:$N$29,0)))</f>
        <v>0</v>
      </c>
      <c r="AW166" s="63">
        <f>IF(AW153=0,0,INDEX(CaseData!$B$30:$N$53,MATCH(AW153,CaseData!$A$30:$A$53,0),MATCH($D166,CaseData!$B$29:$N$29,0)))</f>
        <v>0</v>
      </c>
      <c r="AX166" s="63">
        <f>IF(AX153=0,0,INDEX(CaseData!$B$30:$N$53,MATCH(AX153,CaseData!$A$30:$A$53,0),MATCH($D166,CaseData!$B$29:$N$29,0)))</f>
        <v>0</v>
      </c>
      <c r="AY166" s="63">
        <f>IF(AY153=0,0,INDEX(CaseData!$B$30:$N$53,MATCH(AY153,CaseData!$A$30:$A$53,0),MATCH($D166,CaseData!$B$29:$N$29,0)))</f>
        <v>0</v>
      </c>
      <c r="AZ166" s="63">
        <f>IF(AZ153=0,0,INDEX(CaseData!$B$30:$N$53,MATCH(AZ153,CaseData!$A$30:$A$53,0),MATCH($D166,CaseData!$B$29:$N$29,0)))</f>
        <v>0</v>
      </c>
      <c r="BA166" s="63">
        <f>IF(BA153=0,0,INDEX(CaseData!$B$30:$N$53,MATCH(BA153,CaseData!$A$30:$A$53,0),MATCH($D166,CaseData!$B$29:$N$29,0)))</f>
        <v>0</v>
      </c>
      <c r="BB166" s="63">
        <f>IF(BB153=0,0,INDEX(CaseData!$B$30:$N$53,MATCH(BB153,CaseData!$A$30:$A$53,0),MATCH($D166,CaseData!$B$29:$N$29,0)))</f>
        <v>0</v>
      </c>
      <c r="BC166" s="63">
        <f>IF(BC153=0,0,INDEX(CaseData!$B$30:$N$53,MATCH(BC153,CaseData!$A$30:$A$53,0),MATCH($D166,CaseData!$B$29:$N$29,0)))</f>
        <v>0</v>
      </c>
      <c r="BD166" s="63">
        <f>IF(BD153=0,0,INDEX(CaseData!$B$30:$N$53,MATCH(BD153,CaseData!$A$30:$A$53,0),MATCH($D166,CaseData!$B$29:$N$29,0)))</f>
        <v>0</v>
      </c>
      <c r="BE166" s="63">
        <f>IF(BE153=0,0,INDEX(CaseData!$B$30:$N$53,MATCH(BE153,CaseData!$A$30:$A$53,0),MATCH($D166,CaseData!$B$29:$N$29,0)))</f>
        <v>0</v>
      </c>
      <c r="BF166" s="63">
        <f>IF(BF153=0,0,INDEX(CaseData!$B$30:$N$53,MATCH(BF153,CaseData!$A$30:$A$53,0),MATCH($D166,CaseData!$B$29:$N$29,0)))</f>
        <v>0</v>
      </c>
      <c r="BG166" s="63">
        <f>IF(BG153=0,0,INDEX(CaseData!$B$30:$N$53,MATCH(BG153,CaseData!$A$30:$A$53,0),MATCH($D166,CaseData!$B$29:$N$29,0)))</f>
        <v>0</v>
      </c>
      <c r="BH166" s="63">
        <f>IF(BH153=0,0,INDEX(CaseData!$B$30:$N$53,MATCH(BH153,CaseData!$A$30:$A$53,0),MATCH($D166,CaseData!$B$29:$N$29,0)))</f>
        <v>0</v>
      </c>
      <c r="BI166" s="63">
        <f>IF(BI153=0,0,INDEX(CaseData!$B$30:$N$53,MATCH(BI153,CaseData!$A$30:$A$53,0),MATCH($D166,CaseData!$B$29:$N$29,0)))</f>
        <v>0</v>
      </c>
      <c r="BJ166" s="63">
        <f>IF(BJ153=0,0,INDEX(CaseData!$B$30:$N$53,MATCH(BJ153,CaseData!$A$30:$A$53,0),MATCH($D166,CaseData!$B$29:$N$29,0)))</f>
        <v>0</v>
      </c>
      <c r="BK166" s="63">
        <f>IF(BK153=0,0,INDEX(CaseData!$B$30:$N$53,MATCH(BK153,CaseData!$A$30:$A$53,0),MATCH($D166,CaseData!$B$29:$N$29,0)))</f>
        <v>0</v>
      </c>
      <c r="BL166" s="63">
        <f>IF(BL153=0,0,INDEX(CaseData!$B$30:$N$53,MATCH(BL153,CaseData!$A$30:$A$53,0),MATCH($D166,CaseData!$B$29:$N$29,0)))</f>
        <v>0</v>
      </c>
      <c r="BM166" s="63">
        <f>IF(BM153=0,0,INDEX(CaseData!$B$30:$N$53,MATCH(BM153,CaseData!$A$30:$A$53,0),MATCH($D166,CaseData!$B$29:$N$29,0)))</f>
        <v>0</v>
      </c>
      <c r="BN166" s="63">
        <f>IF(BN153=0,0,INDEX(CaseData!$B$30:$N$53,MATCH(BN153,CaseData!$A$30:$A$53,0),MATCH($D166,CaseData!$B$29:$N$29,0)))</f>
        <v>0</v>
      </c>
      <c r="BO166" s="63">
        <f>IF(BO153=0,0,INDEX(CaseData!$B$30:$N$53,MATCH(BO153,CaseData!$A$30:$A$53,0),MATCH($D166,CaseData!$B$29:$N$29,0)))</f>
        <v>0</v>
      </c>
      <c r="BP166" s="63">
        <f>IF(BP153=0,0,INDEX(CaseData!$B$30:$N$53,MATCH(BP153,CaseData!$A$30:$A$53,0),MATCH($D166,CaseData!$B$29:$N$29,0)))</f>
        <v>0</v>
      </c>
      <c r="BQ166" s="63">
        <f>IF(BQ153=0,0,INDEX(CaseData!$B$30:$N$53,MATCH(BQ153,CaseData!$A$30:$A$53,0),MATCH($D166,CaseData!$B$29:$N$29,0)))</f>
        <v>0</v>
      </c>
      <c r="BR166" s="63">
        <f>IF(BR153=0,0,INDEX(CaseData!$B$30:$N$53,MATCH(BR153,CaseData!$A$30:$A$53,0),MATCH($D166,CaseData!$B$29:$N$29,0)))</f>
        <v>0</v>
      </c>
      <c r="BS166" s="63">
        <f>IF(BS153=0,0,INDEX(CaseData!$B$30:$N$53,MATCH(BS153,CaseData!$A$30:$A$53,0),MATCH($D166,CaseData!$B$29:$N$29,0)))</f>
        <v>0</v>
      </c>
      <c r="BT166" s="63">
        <f>IF(BT153=0,0,INDEX(CaseData!$B$30:$N$53,MATCH(BT153,CaseData!$A$30:$A$53,0),MATCH($D166,CaseData!$B$29:$N$29,0)))</f>
        <v>0</v>
      </c>
      <c r="BU166" s="63">
        <f>IF(BU153=0,0,INDEX(CaseData!$B$30:$N$53,MATCH(BU153,CaseData!$A$30:$A$53,0),MATCH($D166,CaseData!$B$29:$N$29,0)))</f>
        <v>0</v>
      </c>
      <c r="BV166" s="63">
        <f>IF(BV153=0,0,INDEX(CaseData!$B$30:$N$53,MATCH(BV153,CaseData!$A$30:$A$53,0),MATCH($D166,CaseData!$B$29:$N$29,0)))</f>
        <v>0</v>
      </c>
      <c r="BW166" s="63">
        <f>IF(BW153=0,0,INDEX(CaseData!$B$30:$N$53,MATCH(BW153,CaseData!$A$30:$A$53,0),MATCH($D166,CaseData!$B$29:$N$29,0)))</f>
        <v>0</v>
      </c>
      <c r="BX166" s="63">
        <f>IF(BX153=0,0,INDEX(CaseData!$B$30:$N$53,MATCH(BX153,CaseData!$A$30:$A$53,0),MATCH($D166,CaseData!$B$29:$N$29,0)))</f>
        <v>0</v>
      </c>
      <c r="BY166" s="63">
        <f>IF(BY153=0,0,INDEX(CaseData!$B$30:$N$53,MATCH(BY153,CaseData!$A$30:$A$53,0),MATCH($D166,CaseData!$B$29:$N$29,0)))</f>
        <v>0</v>
      </c>
      <c r="BZ166" s="63">
        <f>IF(BZ153=0,0,INDEX(CaseData!$B$30:$N$53,MATCH(BZ153,CaseData!$A$30:$A$53,0),MATCH($D166,CaseData!$B$29:$N$29,0)))</f>
        <v>0</v>
      </c>
      <c r="CA166" s="63">
        <f>IF(CA153=0,0,INDEX(CaseData!$B$30:$N$53,MATCH(CA153,CaseData!$A$30:$A$53,0),MATCH($D166,CaseData!$B$29:$N$29,0)))</f>
        <v>0</v>
      </c>
      <c r="CB166" s="63">
        <f>IF(CB153=0,0,INDEX(CaseData!$B$30:$N$53,MATCH(CB153,CaseData!$A$30:$A$53,0),MATCH($D166,CaseData!$B$29:$N$29,0)))</f>
        <v>0</v>
      </c>
      <c r="CC166" s="63">
        <f>IF(CC153=0,0,INDEX(CaseData!$B$30:$N$53,MATCH(CC153,CaseData!$A$30:$A$53,0),MATCH($D166,CaseData!$B$29:$N$29,0)))</f>
        <v>0</v>
      </c>
      <c r="CD166" s="63">
        <f>IF(CD153=0,0,INDEX(CaseData!$B$30:$N$53,MATCH(CD153,CaseData!$A$30:$A$53,0),MATCH($D166,CaseData!$B$29:$N$29,0)))</f>
        <v>0</v>
      </c>
      <c r="CE166" s="63">
        <f>IF(CE153=0,0,INDEX(CaseData!$B$30:$N$53,MATCH(CE153,CaseData!$A$30:$A$53,0),MATCH($D166,CaseData!$B$29:$N$29,0)))</f>
        <v>0</v>
      </c>
      <c r="CF166" s="63">
        <f>IF(CF153=0,0,INDEX(CaseData!$B$30:$N$53,MATCH(CF153,CaseData!$A$30:$A$53,0),MATCH($D166,CaseData!$B$29:$N$29,0)))</f>
        <v>0</v>
      </c>
      <c r="CG166" s="63">
        <f>IF(CG153=0,0,INDEX(CaseData!$B$30:$N$53,MATCH(CG153,CaseData!$A$30:$A$53,0),MATCH($D166,CaseData!$B$29:$N$29,0)))</f>
        <v>0</v>
      </c>
      <c r="CH166" s="63">
        <f>IF(CH153=0,0,INDEX(CaseData!$B$30:$N$53,MATCH(CH153,CaseData!$A$30:$A$53,0),MATCH($D166,CaseData!$B$29:$N$29,0)))</f>
        <v>0</v>
      </c>
      <c r="CI166" s="63">
        <f>IF(CI153=0,0,INDEX(CaseData!$B$30:$N$53,MATCH(CI153,CaseData!$A$30:$A$53,0),MATCH($D166,CaseData!$B$29:$N$29,0)))</f>
        <v>0</v>
      </c>
      <c r="CJ166" s="63">
        <f>IF(CJ153=0,0,INDEX(CaseData!$B$30:$N$53,MATCH(CJ153,CaseData!$A$30:$A$53,0),MATCH($D166,CaseData!$B$29:$N$29,0)))</f>
        <v>0</v>
      </c>
      <c r="CK166" s="63">
        <f>IF(CK153=0,0,INDEX(CaseData!$B$30:$N$53,MATCH(CK153,CaseData!$A$30:$A$53,0),MATCH($D166,CaseData!$B$29:$N$29,0)))</f>
        <v>0</v>
      </c>
      <c r="CL166" s="63">
        <f>IF(CL153=0,0,INDEX(CaseData!$B$30:$N$53,MATCH(CL153,CaseData!$A$30:$A$53,0),MATCH($D166,CaseData!$B$29:$N$29,0)))</f>
        <v>0</v>
      </c>
      <c r="CM166" s="63">
        <f>IF(CM153=0,0,INDEX(CaseData!$B$30:$N$53,MATCH(CM153,CaseData!$A$30:$A$53,0),MATCH($D166,CaseData!$B$29:$N$29,0)))</f>
        <v>0</v>
      </c>
      <c r="CN166" s="63">
        <f>IF(CN153=0,0,INDEX(CaseData!$B$30:$N$53,MATCH(CN153,CaseData!$A$30:$A$53,0),MATCH($D166,CaseData!$B$29:$N$29,0)))</f>
        <v>0</v>
      </c>
      <c r="CO166" s="63">
        <f>IF(CO153=0,0,INDEX(CaseData!$B$30:$N$53,MATCH(CO153,CaseData!$A$30:$A$53,0),MATCH($D166,CaseData!$B$29:$N$29,0)))</f>
        <v>0</v>
      </c>
      <c r="CP166" s="63">
        <f>IF(CP153=0,0,INDEX(CaseData!$B$30:$N$53,MATCH(CP153,CaseData!$A$30:$A$53,0),MATCH($D166,CaseData!$B$29:$N$29,0)))</f>
        <v>0</v>
      </c>
      <c r="CQ166" s="63">
        <f>IF(CQ153=0,0,INDEX(CaseData!$B$30:$N$53,MATCH(CQ153,CaseData!$A$30:$A$53,0),MATCH($D166,CaseData!$B$29:$N$29,0)))</f>
        <v>0</v>
      </c>
      <c r="CR166" s="63">
        <f>IF(CR153=0,0,INDEX(CaseData!$B$30:$N$53,MATCH(CR153,CaseData!$A$30:$A$53,0),MATCH($D166,CaseData!$B$29:$N$29,0)))</f>
        <v>0</v>
      </c>
      <c r="CS166" s="63">
        <f>IF(CS153=0,0,INDEX(CaseData!$B$30:$N$53,MATCH(CS153,CaseData!$A$30:$A$53,0),MATCH($D166,CaseData!$B$29:$N$29,0)))</f>
        <v>0</v>
      </c>
      <c r="CT166" s="63">
        <f>IF(CT153=0,0,INDEX(CaseData!$B$30:$N$53,MATCH(CT153,CaseData!$A$30:$A$53,0),MATCH($D166,CaseData!$B$29:$N$29,0)))</f>
        <v>0</v>
      </c>
      <c r="CU166" s="63">
        <f>IF(CU153=0,0,INDEX(CaseData!$B$30:$N$53,MATCH(CU153,CaseData!$A$30:$A$53,0),MATCH($D166,CaseData!$B$29:$N$29,0)))</f>
        <v>0</v>
      </c>
      <c r="CV166" s="63">
        <f>IF(CV153=0,0,INDEX(CaseData!$B$30:$N$53,MATCH(CV153,CaseData!$A$30:$A$53,0),MATCH($D166,CaseData!$B$29:$N$29,0)))</f>
        <v>0</v>
      </c>
      <c r="CW166" s="63">
        <f>IF(CW153=0,0,INDEX(CaseData!$B$30:$N$53,MATCH(CW153,CaseData!$A$30:$A$53,0),MATCH($D166,CaseData!$B$29:$N$29,0)))</f>
        <v>0</v>
      </c>
      <c r="CX166" s="63">
        <f>IF(CX153=0,0,INDEX(CaseData!$B$30:$N$53,MATCH(CX153,CaseData!$A$30:$A$53,0),MATCH($D166,CaseData!$B$29:$N$29,0)))</f>
        <v>0</v>
      </c>
      <c r="CY166" s="63">
        <f>IF(CY153=0,0,INDEX(CaseData!$B$30:$N$53,MATCH(CY153,CaseData!$A$30:$A$53,0),MATCH($D166,CaseData!$B$29:$N$29,0)))</f>
        <v>0</v>
      </c>
      <c r="CZ166" s="63">
        <f>IF(CZ153=0,0,INDEX(CaseData!$B$30:$N$53,MATCH(CZ153,CaseData!$A$30:$A$53,0),MATCH($D166,CaseData!$B$29:$N$29,0)))</f>
        <v>0</v>
      </c>
      <c r="DA166" s="63">
        <f>IF(DA153=0,0,INDEX(CaseData!$B$30:$N$53,MATCH(DA153,CaseData!$A$30:$A$53,0),MATCH($D166,CaseData!$B$29:$N$29,0)))</f>
        <v>0</v>
      </c>
      <c r="DB166" s="63">
        <f>IF(DB153=0,0,INDEX(CaseData!$B$30:$N$53,MATCH(DB153,CaseData!$A$30:$A$53,0),MATCH($D166,CaseData!$B$29:$N$29,0)))</f>
        <v>0</v>
      </c>
      <c r="DC166" s="63">
        <f>IF(DC153=0,0,INDEX(CaseData!$B$30:$N$53,MATCH(DC153,CaseData!$A$30:$A$53,0),MATCH($D166,CaseData!$B$29:$N$29,0)))</f>
        <v>0</v>
      </c>
      <c r="DD166" s="63">
        <f>IF(DD153=0,0,INDEX(CaseData!$B$30:$N$53,MATCH(DD153,CaseData!$A$30:$A$53,0),MATCH($D166,CaseData!$B$29:$N$29,0)))</f>
        <v>0</v>
      </c>
      <c r="DE166" s="63">
        <f>IF(DE153=0,0,INDEX(CaseData!$B$30:$N$53,MATCH(DE153,CaseData!$A$30:$A$53,0),MATCH($D166,CaseData!$B$29:$N$29,0)))</f>
        <v>0</v>
      </c>
      <c r="DF166" s="63">
        <f>IF(DF153=0,0,INDEX(CaseData!$B$30:$N$53,MATCH(DF153,CaseData!$A$30:$A$53,0),MATCH($D166,CaseData!$B$29:$N$29,0)))</f>
        <v>0</v>
      </c>
      <c r="DG166" s="63">
        <f>IF(DG153=0,0,INDEX(CaseData!$B$30:$N$53,MATCH(DG153,CaseData!$A$30:$A$53,0),MATCH($D166,CaseData!$B$29:$N$29,0)))</f>
        <v>0</v>
      </c>
      <c r="DH166" s="63">
        <f>IF(DH153=0,0,INDEX(CaseData!$B$30:$N$53,MATCH(DH153,CaseData!$A$30:$A$53,0),MATCH($D166,CaseData!$B$29:$N$29,0)))</f>
        <v>0</v>
      </c>
      <c r="DI166" s="63">
        <f>IF(DI153=0,0,INDEX(CaseData!$B$30:$N$53,MATCH(DI153,CaseData!$A$30:$A$53,0),MATCH($D166,CaseData!$B$29:$N$29,0)))</f>
        <v>0</v>
      </c>
      <c r="DJ166" s="63">
        <f>IF(DJ153=0,0,INDEX(CaseData!$B$30:$N$53,MATCH(DJ153,CaseData!$A$30:$A$53,0),MATCH($D166,CaseData!$B$29:$N$29,0)))</f>
        <v>0</v>
      </c>
      <c r="DK166" s="63">
        <f>IF(DK153=0,0,INDEX(CaseData!$B$30:$N$53,MATCH(DK153,CaseData!$A$30:$A$53,0),MATCH($D166,CaseData!$B$29:$N$29,0)))</f>
        <v>0</v>
      </c>
      <c r="DL166" s="63">
        <f>IF(DL153=0,0,INDEX(CaseData!$B$30:$N$53,MATCH(DL153,CaseData!$A$30:$A$53,0),MATCH($D166,CaseData!$B$29:$N$29,0)))</f>
        <v>0</v>
      </c>
      <c r="DM166" s="63">
        <f>IF(DM153=0,0,INDEX(CaseData!$B$30:$N$53,MATCH(DM153,CaseData!$A$30:$A$53,0),MATCH($D166,CaseData!$B$29:$N$29,0)))</f>
        <v>0</v>
      </c>
      <c r="DN166" s="63">
        <f>IF(DN153=0,0,INDEX(CaseData!$B$30:$N$53,MATCH(DN153,CaseData!$A$30:$A$53,0),MATCH($D166,CaseData!$B$29:$N$29,0)))</f>
        <v>0</v>
      </c>
      <c r="DO166" s="63">
        <f>IF(DO153=0,0,INDEX(CaseData!$B$30:$N$53,MATCH(DO153,CaseData!$A$30:$A$53,0),MATCH($D166,CaseData!$B$29:$N$29,0)))</f>
        <v>0</v>
      </c>
      <c r="DP166" s="63">
        <f>IF(DP153=0,0,INDEX(CaseData!$B$30:$N$53,MATCH(DP153,CaseData!$A$30:$A$53,0),MATCH($D166,CaseData!$B$29:$N$29,0)))</f>
        <v>0</v>
      </c>
      <c r="DQ166" s="63">
        <f>IF(DQ153=0,0,INDEX(CaseData!$B$30:$N$53,MATCH(DQ153,CaseData!$A$30:$A$53,0),MATCH($D166,CaseData!$B$29:$N$29,0)))</f>
        <v>0</v>
      </c>
      <c r="DR166" s="63">
        <f>IF(DR153=0,0,INDEX(CaseData!$B$30:$N$53,MATCH(DR153,CaseData!$A$30:$A$53,0),MATCH($D166,CaseData!$B$29:$N$29,0)))</f>
        <v>0</v>
      </c>
      <c r="DS166" s="63">
        <f>IF(DS153=0,0,INDEX(CaseData!$B$30:$N$53,MATCH(DS153,CaseData!$A$30:$A$53,0),MATCH($D166,CaseData!$B$29:$N$29,0)))</f>
        <v>0</v>
      </c>
      <c r="DT166" s="63">
        <f>IF(DT153=0,0,INDEX(CaseData!$B$30:$N$53,MATCH(DT153,CaseData!$A$30:$A$53,0),MATCH($D166,CaseData!$B$29:$N$29,0)))</f>
        <v>0</v>
      </c>
      <c r="DU166" s="63">
        <f>IF(DU153=0,0,INDEX(CaseData!$B$30:$N$53,MATCH(DU153,CaseData!$A$30:$A$53,0),MATCH($D166,CaseData!$B$29:$N$29,0)))</f>
        <v>0</v>
      </c>
      <c r="DV166" s="63">
        <f>IF(DV153=0,0,INDEX(CaseData!$B$30:$N$53,MATCH(DV153,CaseData!$A$30:$A$53,0),MATCH($D166,CaseData!$B$29:$N$29,0)))</f>
        <v>0</v>
      </c>
    </row>
    <row r="167" spans="2:126" outlineLevel="1">
      <c r="B167" s="3" t="str">
        <f t="shared" si="144"/>
        <v>Property G</v>
      </c>
      <c r="C167" s="14"/>
      <c r="D167" s="14">
        <f t="shared" si="145"/>
        <v>12</v>
      </c>
      <c r="E167" s="35"/>
      <c r="F167" s="35"/>
      <c r="G167" s="63">
        <f>IF(G154=0,0,INDEX(CaseData!$B$30:$N$53,MATCH(G154,CaseData!$A$30:$A$53,0),MATCH($D167,CaseData!$B$29:$N$29,0)))</f>
        <v>0</v>
      </c>
      <c r="H167" s="63">
        <f>IF(H154=0,0,INDEX(CaseData!$B$30:$N$53,MATCH(H154,CaseData!$A$30:$A$53,0),MATCH($D167,CaseData!$B$29:$N$29,0)))</f>
        <v>0</v>
      </c>
      <c r="I167" s="63">
        <f>IF(I154=0,0,INDEX(CaseData!$B$30:$N$53,MATCH(I154,CaseData!$A$30:$A$53,0),MATCH($D167,CaseData!$B$29:$N$29,0)))</f>
        <v>0</v>
      </c>
      <c r="J167" s="63">
        <f>IF(J154=0,0,INDEX(CaseData!$B$30:$N$53,MATCH(J154,CaseData!$A$30:$A$53,0),MATCH($D167,CaseData!$B$29:$N$29,0)))</f>
        <v>0</v>
      </c>
      <c r="K167" s="63">
        <f>IF(K154=0,0,INDEX(CaseData!$B$30:$N$53,MATCH(K154,CaseData!$A$30:$A$53,0),MATCH($D167,CaseData!$B$29:$N$29,0)))</f>
        <v>0</v>
      </c>
      <c r="L167" s="63">
        <f>IF(L154=0,0,INDEX(CaseData!$B$30:$N$53,MATCH(L154,CaseData!$A$30:$A$53,0),MATCH($D167,CaseData!$B$29:$N$29,0)))</f>
        <v>0</v>
      </c>
      <c r="M167" s="63">
        <f>IF(M154=0,0,INDEX(CaseData!$B$30:$N$53,MATCH(M154,CaseData!$A$30:$A$53,0),MATCH($D167,CaseData!$B$29:$N$29,0)))</f>
        <v>0</v>
      </c>
      <c r="N167" s="63">
        <f>IF(N154=0,0,INDEX(CaseData!$B$30:$N$53,MATCH(N154,CaseData!$A$30:$A$53,0),MATCH($D167,CaseData!$B$29:$N$29,0)))</f>
        <v>0</v>
      </c>
      <c r="O167" s="63">
        <f>IF(O154=0,0,INDEX(CaseData!$B$30:$N$53,MATCH(O154,CaseData!$A$30:$A$53,0),MATCH($D167,CaseData!$B$29:$N$29,0)))</f>
        <v>0.02</v>
      </c>
      <c r="P167" s="63">
        <f>IF(P154=0,0,INDEX(CaseData!$B$30:$N$53,MATCH(P154,CaseData!$A$30:$A$53,0),MATCH($D167,CaseData!$B$29:$N$29,0)))</f>
        <v>0.03</v>
      </c>
      <c r="Q167" s="63">
        <f>IF(Q154=0,0,INDEX(CaseData!$B$30:$N$53,MATCH(Q154,CaseData!$A$30:$A$53,0),MATCH($D167,CaseData!$B$29:$N$29,0)))</f>
        <v>0.04</v>
      </c>
      <c r="R167" s="63">
        <f>IF(R154=0,0,INDEX(CaseData!$B$30:$N$53,MATCH(R154,CaseData!$A$30:$A$53,0),MATCH($D167,CaseData!$B$29:$N$29,0)))</f>
        <v>0.05</v>
      </c>
      <c r="S167" s="63">
        <f>IF(S154=0,0,INDEX(CaseData!$B$30:$N$53,MATCH(S154,CaseData!$A$30:$A$53,0),MATCH($D167,CaseData!$B$29:$N$29,0)))</f>
        <v>0.06</v>
      </c>
      <c r="T167" s="63">
        <f>IF(T154=0,0,INDEX(CaseData!$B$30:$N$53,MATCH(T154,CaseData!$A$30:$A$53,0),MATCH($D167,CaseData!$B$29:$N$29,0)))</f>
        <v>0.08</v>
      </c>
      <c r="U167" s="63">
        <f>IF(U154=0,0,INDEX(CaseData!$B$30:$N$53,MATCH(U154,CaseData!$A$30:$A$53,0),MATCH($D167,CaseData!$B$29:$N$29,0)))</f>
        <v>0.1</v>
      </c>
      <c r="V167" s="63">
        <f>IF(V154=0,0,INDEX(CaseData!$B$30:$N$53,MATCH(V154,CaseData!$A$30:$A$53,0),MATCH($D167,CaseData!$B$29:$N$29,0)))</f>
        <v>0.12</v>
      </c>
      <c r="W167" s="63">
        <f>IF(W154=0,0,INDEX(CaseData!$B$30:$N$53,MATCH(W154,CaseData!$A$30:$A$53,0),MATCH($D167,CaseData!$B$29:$N$29,0)))</f>
        <v>0.14000000000000001</v>
      </c>
      <c r="X167" s="63">
        <f>IF(X154=0,0,INDEX(CaseData!$B$30:$N$53,MATCH(X154,CaseData!$A$30:$A$53,0),MATCH($D167,CaseData!$B$29:$N$29,0)))</f>
        <v>0.16</v>
      </c>
      <c r="Y167" s="63">
        <f>IF(Y154=0,0,INDEX(CaseData!$B$30:$N$53,MATCH(Y154,CaseData!$A$30:$A$53,0),MATCH($D167,CaseData!$B$29:$N$29,0)))</f>
        <v>0.14000000000000001</v>
      </c>
      <c r="Z167" s="63">
        <f>IF(Z154=0,0,INDEX(CaseData!$B$30:$N$53,MATCH(Z154,CaseData!$A$30:$A$53,0),MATCH($D167,CaseData!$B$29:$N$29,0)))</f>
        <v>0.06</v>
      </c>
      <c r="AA167" s="63">
        <f>IF(AA154=0,0,INDEX(CaseData!$B$30:$N$53,MATCH(AA154,CaseData!$A$30:$A$53,0),MATCH($D167,CaseData!$B$29:$N$29,0)))</f>
        <v>0</v>
      </c>
      <c r="AB167" s="63">
        <f>IF(AB154=0,0,INDEX(CaseData!$B$30:$N$53,MATCH(AB154,CaseData!$A$30:$A$53,0),MATCH($D167,CaseData!$B$29:$N$29,0)))</f>
        <v>0</v>
      </c>
      <c r="AC167" s="63">
        <f>IF(AC154=0,0,INDEX(CaseData!$B$30:$N$53,MATCH(AC154,CaseData!$A$30:$A$53,0),MATCH($D167,CaseData!$B$29:$N$29,0)))</f>
        <v>0</v>
      </c>
      <c r="AD167" s="63">
        <f>IF(AD154=0,0,INDEX(CaseData!$B$30:$N$53,MATCH(AD154,CaseData!$A$30:$A$53,0),MATCH($D167,CaseData!$B$29:$N$29,0)))</f>
        <v>0</v>
      </c>
      <c r="AE167" s="63">
        <f>IF(AE154=0,0,INDEX(CaseData!$B$30:$N$53,MATCH(AE154,CaseData!$A$30:$A$53,0),MATCH($D167,CaseData!$B$29:$N$29,0)))</f>
        <v>0</v>
      </c>
      <c r="AF167" s="63">
        <f>IF(AF154=0,0,INDEX(CaseData!$B$30:$N$53,MATCH(AF154,CaseData!$A$30:$A$53,0),MATCH($D167,CaseData!$B$29:$N$29,0)))</f>
        <v>0</v>
      </c>
      <c r="AG167" s="63">
        <f>IF(AG154=0,0,INDEX(CaseData!$B$30:$N$53,MATCH(AG154,CaseData!$A$30:$A$53,0),MATCH($D167,CaseData!$B$29:$N$29,0)))</f>
        <v>0</v>
      </c>
      <c r="AH167" s="63">
        <f>IF(AH154=0,0,INDEX(CaseData!$B$30:$N$53,MATCH(AH154,CaseData!$A$30:$A$53,0),MATCH($D167,CaseData!$B$29:$N$29,0)))</f>
        <v>0</v>
      </c>
      <c r="AI167" s="63">
        <f>IF(AI154=0,0,INDEX(CaseData!$B$30:$N$53,MATCH(AI154,CaseData!$A$30:$A$53,0),MATCH($D167,CaseData!$B$29:$N$29,0)))</f>
        <v>0</v>
      </c>
      <c r="AJ167" s="63">
        <f>IF(AJ154=0,0,INDEX(CaseData!$B$30:$N$53,MATCH(AJ154,CaseData!$A$30:$A$53,0),MATCH($D167,CaseData!$B$29:$N$29,0)))</f>
        <v>0</v>
      </c>
      <c r="AK167" s="63">
        <f>IF(AK154=0,0,INDEX(CaseData!$B$30:$N$53,MATCH(AK154,CaseData!$A$30:$A$53,0),MATCH($D167,CaseData!$B$29:$N$29,0)))</f>
        <v>0</v>
      </c>
      <c r="AL167" s="63">
        <f>IF(AL154=0,0,INDEX(CaseData!$B$30:$N$53,MATCH(AL154,CaseData!$A$30:$A$53,0),MATCH($D167,CaseData!$B$29:$N$29,0)))</f>
        <v>0</v>
      </c>
      <c r="AM167" s="63">
        <f>IF(AM154=0,0,INDEX(CaseData!$B$30:$N$53,MATCH(AM154,CaseData!$A$30:$A$53,0),MATCH($D167,CaseData!$B$29:$N$29,0)))</f>
        <v>0</v>
      </c>
      <c r="AN167" s="63">
        <f>IF(AN154=0,0,INDEX(CaseData!$B$30:$N$53,MATCH(AN154,CaseData!$A$30:$A$53,0),MATCH($D167,CaseData!$B$29:$N$29,0)))</f>
        <v>0</v>
      </c>
      <c r="AO167" s="63">
        <f>IF(AO154=0,0,INDEX(CaseData!$B$30:$N$53,MATCH(AO154,CaseData!$A$30:$A$53,0),MATCH($D167,CaseData!$B$29:$N$29,0)))</f>
        <v>0</v>
      </c>
      <c r="AP167" s="63">
        <f>IF(AP154=0,0,INDEX(CaseData!$B$30:$N$53,MATCH(AP154,CaseData!$A$30:$A$53,0),MATCH($D167,CaseData!$B$29:$N$29,0)))</f>
        <v>0</v>
      </c>
      <c r="AQ167" s="63">
        <f>IF(AQ154=0,0,INDEX(CaseData!$B$30:$N$53,MATCH(AQ154,CaseData!$A$30:$A$53,0),MATCH($D167,CaseData!$B$29:$N$29,0)))</f>
        <v>0</v>
      </c>
      <c r="AR167" s="63">
        <f>IF(AR154=0,0,INDEX(CaseData!$B$30:$N$53,MATCH(AR154,CaseData!$A$30:$A$53,0),MATCH($D167,CaseData!$B$29:$N$29,0)))</f>
        <v>0</v>
      </c>
      <c r="AS167" s="63">
        <f>IF(AS154=0,0,INDEX(CaseData!$B$30:$N$53,MATCH(AS154,CaseData!$A$30:$A$53,0),MATCH($D167,CaseData!$B$29:$N$29,0)))</f>
        <v>0</v>
      </c>
      <c r="AT167" s="63">
        <f>IF(AT154=0,0,INDEX(CaseData!$B$30:$N$53,MATCH(AT154,CaseData!$A$30:$A$53,0),MATCH($D167,CaseData!$B$29:$N$29,0)))</f>
        <v>0</v>
      </c>
      <c r="AU167" s="63">
        <f>IF(AU154=0,0,INDEX(CaseData!$B$30:$N$53,MATCH(AU154,CaseData!$A$30:$A$53,0),MATCH($D167,CaseData!$B$29:$N$29,0)))</f>
        <v>0</v>
      </c>
      <c r="AV167" s="63">
        <f>IF(AV154=0,0,INDEX(CaseData!$B$30:$N$53,MATCH(AV154,CaseData!$A$30:$A$53,0),MATCH($D167,CaseData!$B$29:$N$29,0)))</f>
        <v>0</v>
      </c>
      <c r="AW167" s="63">
        <f>IF(AW154=0,0,INDEX(CaseData!$B$30:$N$53,MATCH(AW154,CaseData!$A$30:$A$53,0),MATCH($D167,CaseData!$B$29:$N$29,0)))</f>
        <v>0</v>
      </c>
      <c r="AX167" s="63">
        <f>IF(AX154=0,0,INDEX(CaseData!$B$30:$N$53,MATCH(AX154,CaseData!$A$30:$A$53,0),MATCH($D167,CaseData!$B$29:$N$29,0)))</f>
        <v>0</v>
      </c>
      <c r="AY167" s="63">
        <f>IF(AY154=0,0,INDEX(CaseData!$B$30:$N$53,MATCH(AY154,CaseData!$A$30:$A$53,0),MATCH($D167,CaseData!$B$29:$N$29,0)))</f>
        <v>0</v>
      </c>
      <c r="AZ167" s="63">
        <f>IF(AZ154=0,0,INDEX(CaseData!$B$30:$N$53,MATCH(AZ154,CaseData!$A$30:$A$53,0),MATCH($D167,CaseData!$B$29:$N$29,0)))</f>
        <v>0</v>
      </c>
      <c r="BA167" s="63">
        <f>IF(BA154=0,0,INDEX(CaseData!$B$30:$N$53,MATCH(BA154,CaseData!$A$30:$A$53,0),MATCH($D167,CaseData!$B$29:$N$29,0)))</f>
        <v>0</v>
      </c>
      <c r="BB167" s="63">
        <f>IF(BB154=0,0,INDEX(CaseData!$B$30:$N$53,MATCH(BB154,CaseData!$A$30:$A$53,0),MATCH($D167,CaseData!$B$29:$N$29,0)))</f>
        <v>0</v>
      </c>
      <c r="BC167" s="63">
        <f>IF(BC154=0,0,INDEX(CaseData!$B$30:$N$53,MATCH(BC154,CaseData!$A$30:$A$53,0),MATCH($D167,CaseData!$B$29:$N$29,0)))</f>
        <v>0</v>
      </c>
      <c r="BD167" s="63">
        <f>IF(BD154=0,0,INDEX(CaseData!$B$30:$N$53,MATCH(BD154,CaseData!$A$30:$A$53,0),MATCH($D167,CaseData!$B$29:$N$29,0)))</f>
        <v>0</v>
      </c>
      <c r="BE167" s="63">
        <f>IF(BE154=0,0,INDEX(CaseData!$B$30:$N$53,MATCH(BE154,CaseData!$A$30:$A$53,0),MATCH($D167,CaseData!$B$29:$N$29,0)))</f>
        <v>0</v>
      </c>
      <c r="BF167" s="63">
        <f>IF(BF154=0,0,INDEX(CaseData!$B$30:$N$53,MATCH(BF154,CaseData!$A$30:$A$53,0),MATCH($D167,CaseData!$B$29:$N$29,0)))</f>
        <v>0</v>
      </c>
      <c r="BG167" s="63">
        <f>IF(BG154=0,0,INDEX(CaseData!$B$30:$N$53,MATCH(BG154,CaseData!$A$30:$A$53,0),MATCH($D167,CaseData!$B$29:$N$29,0)))</f>
        <v>0</v>
      </c>
      <c r="BH167" s="63">
        <f>IF(BH154=0,0,INDEX(CaseData!$B$30:$N$53,MATCH(BH154,CaseData!$A$30:$A$53,0),MATCH($D167,CaseData!$B$29:$N$29,0)))</f>
        <v>0</v>
      </c>
      <c r="BI167" s="63">
        <f>IF(BI154=0,0,INDEX(CaseData!$B$30:$N$53,MATCH(BI154,CaseData!$A$30:$A$53,0),MATCH($D167,CaseData!$B$29:$N$29,0)))</f>
        <v>0</v>
      </c>
      <c r="BJ167" s="63">
        <f>IF(BJ154=0,0,INDEX(CaseData!$B$30:$N$53,MATCH(BJ154,CaseData!$A$30:$A$53,0),MATCH($D167,CaseData!$B$29:$N$29,0)))</f>
        <v>0</v>
      </c>
      <c r="BK167" s="63">
        <f>IF(BK154=0,0,INDEX(CaseData!$B$30:$N$53,MATCH(BK154,CaseData!$A$30:$A$53,0),MATCH($D167,CaseData!$B$29:$N$29,0)))</f>
        <v>0</v>
      </c>
      <c r="BL167" s="63">
        <f>IF(BL154=0,0,INDEX(CaseData!$B$30:$N$53,MATCH(BL154,CaseData!$A$30:$A$53,0),MATCH($D167,CaseData!$B$29:$N$29,0)))</f>
        <v>0</v>
      </c>
      <c r="BM167" s="63">
        <f>IF(BM154=0,0,INDEX(CaseData!$B$30:$N$53,MATCH(BM154,CaseData!$A$30:$A$53,0),MATCH($D167,CaseData!$B$29:$N$29,0)))</f>
        <v>0</v>
      </c>
      <c r="BN167" s="63">
        <f>IF(BN154=0,0,INDEX(CaseData!$B$30:$N$53,MATCH(BN154,CaseData!$A$30:$A$53,0),MATCH($D167,CaseData!$B$29:$N$29,0)))</f>
        <v>0</v>
      </c>
      <c r="BO167" s="63">
        <f>IF(BO154=0,0,INDEX(CaseData!$B$30:$N$53,MATCH(BO154,CaseData!$A$30:$A$53,0),MATCH($D167,CaseData!$B$29:$N$29,0)))</f>
        <v>0</v>
      </c>
      <c r="BP167" s="63">
        <f>IF(BP154=0,0,INDEX(CaseData!$B$30:$N$53,MATCH(BP154,CaseData!$A$30:$A$53,0),MATCH($D167,CaseData!$B$29:$N$29,0)))</f>
        <v>0</v>
      </c>
      <c r="BQ167" s="63">
        <f>IF(BQ154=0,0,INDEX(CaseData!$B$30:$N$53,MATCH(BQ154,CaseData!$A$30:$A$53,0),MATCH($D167,CaseData!$B$29:$N$29,0)))</f>
        <v>0</v>
      </c>
      <c r="BR167" s="63">
        <f>IF(BR154=0,0,INDEX(CaseData!$B$30:$N$53,MATCH(BR154,CaseData!$A$30:$A$53,0),MATCH($D167,CaseData!$B$29:$N$29,0)))</f>
        <v>0</v>
      </c>
      <c r="BS167" s="63">
        <f>IF(BS154=0,0,INDEX(CaseData!$B$30:$N$53,MATCH(BS154,CaseData!$A$30:$A$53,0),MATCH($D167,CaseData!$B$29:$N$29,0)))</f>
        <v>0</v>
      </c>
      <c r="BT167" s="63">
        <f>IF(BT154=0,0,INDEX(CaseData!$B$30:$N$53,MATCH(BT154,CaseData!$A$30:$A$53,0),MATCH($D167,CaseData!$B$29:$N$29,0)))</f>
        <v>0</v>
      </c>
      <c r="BU167" s="63">
        <f>IF(BU154=0,0,INDEX(CaseData!$B$30:$N$53,MATCH(BU154,CaseData!$A$30:$A$53,0),MATCH($D167,CaseData!$B$29:$N$29,0)))</f>
        <v>0</v>
      </c>
      <c r="BV167" s="63">
        <f>IF(BV154=0,0,INDEX(CaseData!$B$30:$N$53,MATCH(BV154,CaseData!$A$30:$A$53,0),MATCH($D167,CaseData!$B$29:$N$29,0)))</f>
        <v>0</v>
      </c>
      <c r="BW167" s="63">
        <f>IF(BW154=0,0,INDEX(CaseData!$B$30:$N$53,MATCH(BW154,CaseData!$A$30:$A$53,0),MATCH($D167,CaseData!$B$29:$N$29,0)))</f>
        <v>0</v>
      </c>
      <c r="BX167" s="63">
        <f>IF(BX154=0,0,INDEX(CaseData!$B$30:$N$53,MATCH(BX154,CaseData!$A$30:$A$53,0),MATCH($D167,CaseData!$B$29:$N$29,0)))</f>
        <v>0</v>
      </c>
      <c r="BY167" s="63">
        <f>IF(BY154=0,0,INDEX(CaseData!$B$30:$N$53,MATCH(BY154,CaseData!$A$30:$A$53,0),MATCH($D167,CaseData!$B$29:$N$29,0)))</f>
        <v>0</v>
      </c>
      <c r="BZ167" s="63">
        <f>IF(BZ154=0,0,INDEX(CaseData!$B$30:$N$53,MATCH(BZ154,CaseData!$A$30:$A$53,0),MATCH($D167,CaseData!$B$29:$N$29,0)))</f>
        <v>0</v>
      </c>
      <c r="CA167" s="63">
        <f>IF(CA154=0,0,INDEX(CaseData!$B$30:$N$53,MATCH(CA154,CaseData!$A$30:$A$53,0),MATCH($D167,CaseData!$B$29:$N$29,0)))</f>
        <v>0</v>
      </c>
      <c r="CB167" s="63">
        <f>IF(CB154=0,0,INDEX(CaseData!$B$30:$N$53,MATCH(CB154,CaseData!$A$30:$A$53,0),MATCH($D167,CaseData!$B$29:$N$29,0)))</f>
        <v>0</v>
      </c>
      <c r="CC167" s="63">
        <f>IF(CC154=0,0,INDEX(CaseData!$B$30:$N$53,MATCH(CC154,CaseData!$A$30:$A$53,0),MATCH($D167,CaseData!$B$29:$N$29,0)))</f>
        <v>0</v>
      </c>
      <c r="CD167" s="63">
        <f>IF(CD154=0,0,INDEX(CaseData!$B$30:$N$53,MATCH(CD154,CaseData!$A$30:$A$53,0),MATCH($D167,CaseData!$B$29:$N$29,0)))</f>
        <v>0</v>
      </c>
      <c r="CE167" s="63">
        <f>IF(CE154=0,0,INDEX(CaseData!$B$30:$N$53,MATCH(CE154,CaseData!$A$30:$A$53,0),MATCH($D167,CaseData!$B$29:$N$29,0)))</f>
        <v>0</v>
      </c>
      <c r="CF167" s="63">
        <f>IF(CF154=0,0,INDEX(CaseData!$B$30:$N$53,MATCH(CF154,CaseData!$A$30:$A$53,0),MATCH($D167,CaseData!$B$29:$N$29,0)))</f>
        <v>0</v>
      </c>
      <c r="CG167" s="63">
        <f>IF(CG154=0,0,INDEX(CaseData!$B$30:$N$53,MATCH(CG154,CaseData!$A$30:$A$53,0),MATCH($D167,CaseData!$B$29:$N$29,0)))</f>
        <v>0</v>
      </c>
      <c r="CH167" s="63">
        <f>IF(CH154=0,0,INDEX(CaseData!$B$30:$N$53,MATCH(CH154,CaseData!$A$30:$A$53,0),MATCH($D167,CaseData!$B$29:$N$29,0)))</f>
        <v>0</v>
      </c>
      <c r="CI167" s="63">
        <f>IF(CI154=0,0,INDEX(CaseData!$B$30:$N$53,MATCH(CI154,CaseData!$A$30:$A$53,0),MATCH($D167,CaseData!$B$29:$N$29,0)))</f>
        <v>0</v>
      </c>
      <c r="CJ167" s="63">
        <f>IF(CJ154=0,0,INDEX(CaseData!$B$30:$N$53,MATCH(CJ154,CaseData!$A$30:$A$53,0),MATCH($D167,CaseData!$B$29:$N$29,0)))</f>
        <v>0</v>
      </c>
      <c r="CK167" s="63">
        <f>IF(CK154=0,0,INDEX(CaseData!$B$30:$N$53,MATCH(CK154,CaseData!$A$30:$A$53,0),MATCH($D167,CaseData!$B$29:$N$29,0)))</f>
        <v>0</v>
      </c>
      <c r="CL167" s="63">
        <f>IF(CL154=0,0,INDEX(CaseData!$B$30:$N$53,MATCH(CL154,CaseData!$A$30:$A$53,0),MATCH($D167,CaseData!$B$29:$N$29,0)))</f>
        <v>0</v>
      </c>
      <c r="CM167" s="63">
        <f>IF(CM154=0,0,INDEX(CaseData!$B$30:$N$53,MATCH(CM154,CaseData!$A$30:$A$53,0),MATCH($D167,CaseData!$B$29:$N$29,0)))</f>
        <v>0</v>
      </c>
      <c r="CN167" s="63">
        <f>IF(CN154=0,0,INDEX(CaseData!$B$30:$N$53,MATCH(CN154,CaseData!$A$30:$A$53,0),MATCH($D167,CaseData!$B$29:$N$29,0)))</f>
        <v>0</v>
      </c>
      <c r="CO167" s="63">
        <f>IF(CO154=0,0,INDEX(CaseData!$B$30:$N$53,MATCH(CO154,CaseData!$A$30:$A$53,0),MATCH($D167,CaseData!$B$29:$N$29,0)))</f>
        <v>0</v>
      </c>
      <c r="CP167" s="63">
        <f>IF(CP154=0,0,INDEX(CaseData!$B$30:$N$53,MATCH(CP154,CaseData!$A$30:$A$53,0),MATCH($D167,CaseData!$B$29:$N$29,0)))</f>
        <v>0</v>
      </c>
      <c r="CQ167" s="63">
        <f>IF(CQ154=0,0,INDEX(CaseData!$B$30:$N$53,MATCH(CQ154,CaseData!$A$30:$A$53,0),MATCH($D167,CaseData!$B$29:$N$29,0)))</f>
        <v>0</v>
      </c>
      <c r="CR167" s="63">
        <f>IF(CR154=0,0,INDEX(CaseData!$B$30:$N$53,MATCH(CR154,CaseData!$A$30:$A$53,0),MATCH($D167,CaseData!$B$29:$N$29,0)))</f>
        <v>0</v>
      </c>
      <c r="CS167" s="63">
        <f>IF(CS154=0,0,INDEX(CaseData!$B$30:$N$53,MATCH(CS154,CaseData!$A$30:$A$53,0),MATCH($D167,CaseData!$B$29:$N$29,0)))</f>
        <v>0</v>
      </c>
      <c r="CT167" s="63">
        <f>IF(CT154=0,0,INDEX(CaseData!$B$30:$N$53,MATCH(CT154,CaseData!$A$30:$A$53,0),MATCH($D167,CaseData!$B$29:$N$29,0)))</f>
        <v>0</v>
      </c>
      <c r="CU167" s="63">
        <f>IF(CU154=0,0,INDEX(CaseData!$B$30:$N$53,MATCH(CU154,CaseData!$A$30:$A$53,0),MATCH($D167,CaseData!$B$29:$N$29,0)))</f>
        <v>0</v>
      </c>
      <c r="CV167" s="63">
        <f>IF(CV154=0,0,INDEX(CaseData!$B$30:$N$53,MATCH(CV154,CaseData!$A$30:$A$53,0),MATCH($D167,CaseData!$B$29:$N$29,0)))</f>
        <v>0</v>
      </c>
      <c r="CW167" s="63">
        <f>IF(CW154=0,0,INDEX(CaseData!$B$30:$N$53,MATCH(CW154,CaseData!$A$30:$A$53,0),MATCH($D167,CaseData!$B$29:$N$29,0)))</f>
        <v>0</v>
      </c>
      <c r="CX167" s="63">
        <f>IF(CX154=0,0,INDEX(CaseData!$B$30:$N$53,MATCH(CX154,CaseData!$A$30:$A$53,0),MATCH($D167,CaseData!$B$29:$N$29,0)))</f>
        <v>0</v>
      </c>
      <c r="CY167" s="63">
        <f>IF(CY154=0,0,INDEX(CaseData!$B$30:$N$53,MATCH(CY154,CaseData!$A$30:$A$53,0),MATCH($D167,CaseData!$B$29:$N$29,0)))</f>
        <v>0</v>
      </c>
      <c r="CZ167" s="63">
        <f>IF(CZ154=0,0,INDEX(CaseData!$B$30:$N$53,MATCH(CZ154,CaseData!$A$30:$A$53,0),MATCH($D167,CaseData!$B$29:$N$29,0)))</f>
        <v>0</v>
      </c>
      <c r="DA167" s="63">
        <f>IF(DA154=0,0,INDEX(CaseData!$B$30:$N$53,MATCH(DA154,CaseData!$A$30:$A$53,0),MATCH($D167,CaseData!$B$29:$N$29,0)))</f>
        <v>0</v>
      </c>
      <c r="DB167" s="63">
        <f>IF(DB154=0,0,INDEX(CaseData!$B$30:$N$53,MATCH(DB154,CaseData!$A$30:$A$53,0),MATCH($D167,CaseData!$B$29:$N$29,0)))</f>
        <v>0</v>
      </c>
      <c r="DC167" s="63">
        <f>IF(DC154=0,0,INDEX(CaseData!$B$30:$N$53,MATCH(DC154,CaseData!$A$30:$A$53,0),MATCH($D167,CaseData!$B$29:$N$29,0)))</f>
        <v>0</v>
      </c>
      <c r="DD167" s="63">
        <f>IF(DD154=0,0,INDEX(CaseData!$B$30:$N$53,MATCH(DD154,CaseData!$A$30:$A$53,0),MATCH($D167,CaseData!$B$29:$N$29,0)))</f>
        <v>0</v>
      </c>
      <c r="DE167" s="63">
        <f>IF(DE154=0,0,INDEX(CaseData!$B$30:$N$53,MATCH(DE154,CaseData!$A$30:$A$53,0),MATCH($D167,CaseData!$B$29:$N$29,0)))</f>
        <v>0</v>
      </c>
      <c r="DF167" s="63">
        <f>IF(DF154=0,0,INDEX(CaseData!$B$30:$N$53,MATCH(DF154,CaseData!$A$30:$A$53,0),MATCH($D167,CaseData!$B$29:$N$29,0)))</f>
        <v>0</v>
      </c>
      <c r="DG167" s="63">
        <f>IF(DG154=0,0,INDEX(CaseData!$B$30:$N$53,MATCH(DG154,CaseData!$A$30:$A$53,0),MATCH($D167,CaseData!$B$29:$N$29,0)))</f>
        <v>0</v>
      </c>
      <c r="DH167" s="63">
        <f>IF(DH154=0,0,INDEX(CaseData!$B$30:$N$53,MATCH(DH154,CaseData!$A$30:$A$53,0),MATCH($D167,CaseData!$B$29:$N$29,0)))</f>
        <v>0</v>
      </c>
      <c r="DI167" s="63">
        <f>IF(DI154=0,0,INDEX(CaseData!$B$30:$N$53,MATCH(DI154,CaseData!$A$30:$A$53,0),MATCH($D167,CaseData!$B$29:$N$29,0)))</f>
        <v>0</v>
      </c>
      <c r="DJ167" s="63">
        <f>IF(DJ154=0,0,INDEX(CaseData!$B$30:$N$53,MATCH(DJ154,CaseData!$A$30:$A$53,0),MATCH($D167,CaseData!$B$29:$N$29,0)))</f>
        <v>0</v>
      </c>
      <c r="DK167" s="63">
        <f>IF(DK154=0,0,INDEX(CaseData!$B$30:$N$53,MATCH(DK154,CaseData!$A$30:$A$53,0),MATCH($D167,CaseData!$B$29:$N$29,0)))</f>
        <v>0</v>
      </c>
      <c r="DL167" s="63">
        <f>IF(DL154=0,0,INDEX(CaseData!$B$30:$N$53,MATCH(DL154,CaseData!$A$30:$A$53,0),MATCH($D167,CaseData!$B$29:$N$29,0)))</f>
        <v>0</v>
      </c>
      <c r="DM167" s="63">
        <f>IF(DM154=0,0,INDEX(CaseData!$B$30:$N$53,MATCH(DM154,CaseData!$A$30:$A$53,0),MATCH($D167,CaseData!$B$29:$N$29,0)))</f>
        <v>0</v>
      </c>
      <c r="DN167" s="63">
        <f>IF(DN154=0,0,INDEX(CaseData!$B$30:$N$53,MATCH(DN154,CaseData!$A$30:$A$53,0),MATCH($D167,CaseData!$B$29:$N$29,0)))</f>
        <v>0</v>
      </c>
      <c r="DO167" s="63">
        <f>IF(DO154=0,0,INDEX(CaseData!$B$30:$N$53,MATCH(DO154,CaseData!$A$30:$A$53,0),MATCH($D167,CaseData!$B$29:$N$29,0)))</f>
        <v>0</v>
      </c>
      <c r="DP167" s="63">
        <f>IF(DP154=0,0,INDEX(CaseData!$B$30:$N$53,MATCH(DP154,CaseData!$A$30:$A$53,0),MATCH($D167,CaseData!$B$29:$N$29,0)))</f>
        <v>0</v>
      </c>
      <c r="DQ167" s="63">
        <f>IF(DQ154=0,0,INDEX(CaseData!$B$30:$N$53,MATCH(DQ154,CaseData!$A$30:$A$53,0),MATCH($D167,CaseData!$B$29:$N$29,0)))</f>
        <v>0</v>
      </c>
      <c r="DR167" s="63">
        <f>IF(DR154=0,0,INDEX(CaseData!$B$30:$N$53,MATCH(DR154,CaseData!$A$30:$A$53,0),MATCH($D167,CaseData!$B$29:$N$29,0)))</f>
        <v>0</v>
      </c>
      <c r="DS167" s="63">
        <f>IF(DS154=0,0,INDEX(CaseData!$B$30:$N$53,MATCH(DS154,CaseData!$A$30:$A$53,0),MATCH($D167,CaseData!$B$29:$N$29,0)))</f>
        <v>0</v>
      </c>
      <c r="DT167" s="63">
        <f>IF(DT154=0,0,INDEX(CaseData!$B$30:$N$53,MATCH(DT154,CaseData!$A$30:$A$53,0),MATCH($D167,CaseData!$B$29:$N$29,0)))</f>
        <v>0</v>
      </c>
      <c r="DU167" s="63">
        <f>IF(DU154=0,0,INDEX(CaseData!$B$30:$N$53,MATCH(DU154,CaseData!$A$30:$A$53,0),MATCH($D167,CaseData!$B$29:$N$29,0)))</f>
        <v>0</v>
      </c>
      <c r="DV167" s="63">
        <f>IF(DV154=0,0,INDEX(CaseData!$B$30:$N$53,MATCH(DV154,CaseData!$A$30:$A$53,0),MATCH($D167,CaseData!$B$29:$N$29,0)))</f>
        <v>0</v>
      </c>
    </row>
    <row r="168" spans="2:126" outlineLevel="1">
      <c r="B168" s="3" t="str">
        <f t="shared" si="144"/>
        <v>Property H</v>
      </c>
      <c r="C168" s="14"/>
      <c r="D168" s="14">
        <f t="shared" si="145"/>
        <v>16</v>
      </c>
      <c r="E168" s="35"/>
      <c r="F168" s="35"/>
      <c r="G168" s="63">
        <f>IF(G155=0,0,INDEX(CaseData!$B$30:$N$53,MATCH(G155,CaseData!$A$30:$A$53,0),MATCH($D168,CaseData!$B$29:$N$29,0)))</f>
        <v>0</v>
      </c>
      <c r="H168" s="63">
        <f>IF(H155=0,0,INDEX(CaseData!$B$30:$N$53,MATCH(H155,CaseData!$A$30:$A$53,0),MATCH($D168,CaseData!$B$29:$N$29,0)))</f>
        <v>0</v>
      </c>
      <c r="I168" s="63">
        <f>IF(I155=0,0,INDEX(CaseData!$B$30:$N$53,MATCH(I155,CaseData!$A$30:$A$53,0),MATCH($D168,CaseData!$B$29:$N$29,0)))</f>
        <v>0</v>
      </c>
      <c r="J168" s="63">
        <f>IF(J155=0,0,INDEX(CaseData!$B$30:$N$53,MATCH(J155,CaseData!$A$30:$A$53,0),MATCH($D168,CaseData!$B$29:$N$29,0)))</f>
        <v>0</v>
      </c>
      <c r="K168" s="63">
        <f>IF(K155=0,0,INDEX(CaseData!$B$30:$N$53,MATCH(K155,CaseData!$A$30:$A$53,0),MATCH($D168,CaseData!$B$29:$N$29,0)))</f>
        <v>0</v>
      </c>
      <c r="L168" s="63">
        <f>IF(L155=0,0,INDEX(CaseData!$B$30:$N$53,MATCH(L155,CaseData!$A$30:$A$53,0),MATCH($D168,CaseData!$B$29:$N$29,0)))</f>
        <v>0</v>
      </c>
      <c r="M168" s="63">
        <f>IF(M155=0,0,INDEX(CaseData!$B$30:$N$53,MATCH(M155,CaseData!$A$30:$A$53,0),MATCH($D168,CaseData!$B$29:$N$29,0)))</f>
        <v>0</v>
      </c>
      <c r="N168" s="63">
        <f>IF(N155=0,0,INDEX(CaseData!$B$30:$N$53,MATCH(N155,CaseData!$A$30:$A$53,0),MATCH($D168,CaseData!$B$29:$N$29,0)))</f>
        <v>0</v>
      </c>
      <c r="O168" s="63">
        <f>IF(O155=0,0,INDEX(CaseData!$B$30:$N$53,MATCH(O155,CaseData!$A$30:$A$53,0),MATCH($D168,CaseData!$B$29:$N$29,0)))</f>
        <v>0</v>
      </c>
      <c r="P168" s="63">
        <f>IF(P155=0,0,INDEX(CaseData!$B$30:$N$53,MATCH(P155,CaseData!$A$30:$A$53,0),MATCH($D168,CaseData!$B$29:$N$29,0)))</f>
        <v>0.02</v>
      </c>
      <c r="Q168" s="63">
        <f>IF(Q155=0,0,INDEX(CaseData!$B$30:$N$53,MATCH(Q155,CaseData!$A$30:$A$53,0),MATCH($D168,CaseData!$B$29:$N$29,0)))</f>
        <v>0.02</v>
      </c>
      <c r="R168" s="63">
        <f>IF(R155=0,0,INDEX(CaseData!$B$30:$N$53,MATCH(R155,CaseData!$A$30:$A$53,0),MATCH($D168,CaseData!$B$29:$N$29,0)))</f>
        <v>0.03</v>
      </c>
      <c r="S168" s="63">
        <f>IF(S155=0,0,INDEX(CaseData!$B$30:$N$53,MATCH(S155,CaseData!$A$30:$A$53,0),MATCH($D168,CaseData!$B$29:$N$29,0)))</f>
        <v>0.03</v>
      </c>
      <c r="T168" s="63">
        <f>IF(T155=0,0,INDEX(CaseData!$B$30:$N$53,MATCH(T155,CaseData!$A$30:$A$53,0),MATCH($D168,CaseData!$B$29:$N$29,0)))</f>
        <v>3.5000000000000003E-2</v>
      </c>
      <c r="U168" s="63">
        <f>IF(U155=0,0,INDEX(CaseData!$B$30:$N$53,MATCH(U155,CaseData!$A$30:$A$53,0),MATCH($D168,CaseData!$B$29:$N$29,0)))</f>
        <v>0.04</v>
      </c>
      <c r="V168" s="63">
        <f>IF(V155=0,0,INDEX(CaseData!$B$30:$N$53,MATCH(V155,CaseData!$A$30:$A$53,0),MATCH($D168,CaseData!$B$29:$N$29,0)))</f>
        <v>0.05</v>
      </c>
      <c r="W168" s="63">
        <f>IF(W155=0,0,INDEX(CaseData!$B$30:$N$53,MATCH(W155,CaseData!$A$30:$A$53,0),MATCH($D168,CaseData!$B$29:$N$29,0)))</f>
        <v>7.0000000000000007E-2</v>
      </c>
      <c r="X168" s="63">
        <f>IF(X155=0,0,INDEX(CaseData!$B$30:$N$53,MATCH(X155,CaseData!$A$30:$A$53,0),MATCH($D168,CaseData!$B$29:$N$29,0)))</f>
        <v>0.09</v>
      </c>
      <c r="Y168" s="63">
        <f>IF(Y155=0,0,INDEX(CaseData!$B$30:$N$53,MATCH(Y155,CaseData!$A$30:$A$53,0),MATCH($D168,CaseData!$B$29:$N$29,0)))</f>
        <v>0.1</v>
      </c>
      <c r="Z168" s="63">
        <f>IF(Z155=0,0,INDEX(CaseData!$B$30:$N$53,MATCH(Z155,CaseData!$A$30:$A$53,0),MATCH($D168,CaseData!$B$29:$N$29,0)))</f>
        <v>0.1</v>
      </c>
      <c r="AA168" s="63">
        <f>IF(AA155=0,0,INDEX(CaseData!$B$30:$N$53,MATCH(AA155,CaseData!$A$30:$A$53,0),MATCH($D168,CaseData!$B$29:$N$29,0)))</f>
        <v>0.1</v>
      </c>
      <c r="AB168" s="63">
        <f>IF(AB155=0,0,INDEX(CaseData!$B$30:$N$53,MATCH(AB155,CaseData!$A$30:$A$53,0),MATCH($D168,CaseData!$B$29:$N$29,0)))</f>
        <v>0.1</v>
      </c>
      <c r="AC168" s="63">
        <f>IF(AC155=0,0,INDEX(CaseData!$B$30:$N$53,MATCH(AC155,CaseData!$A$30:$A$53,0),MATCH($D168,CaseData!$B$29:$N$29,0)))</f>
        <v>0.09</v>
      </c>
      <c r="AD168" s="63">
        <f>IF(AD155=0,0,INDEX(CaseData!$B$30:$N$53,MATCH(AD155,CaseData!$A$30:$A$53,0),MATCH($D168,CaseData!$B$29:$N$29,0)))</f>
        <v>7.0000000000000007E-2</v>
      </c>
      <c r="AE168" s="63">
        <f>IF(AE155=0,0,INDEX(CaseData!$B$30:$N$53,MATCH(AE155,CaseData!$A$30:$A$53,0),MATCH($D168,CaseData!$B$29:$N$29,0)))</f>
        <v>5.5E-2</v>
      </c>
      <c r="AF168" s="63">
        <f>IF(AF155=0,0,INDEX(CaseData!$B$30:$N$53,MATCH(AF155,CaseData!$A$30:$A$53,0),MATCH($D168,CaseData!$B$29:$N$29,0)))</f>
        <v>0</v>
      </c>
      <c r="AG168" s="63">
        <f>IF(AG155=0,0,INDEX(CaseData!$B$30:$N$53,MATCH(AG155,CaseData!$A$30:$A$53,0),MATCH($D168,CaseData!$B$29:$N$29,0)))</f>
        <v>0</v>
      </c>
      <c r="AH168" s="63">
        <f>IF(AH155=0,0,INDEX(CaseData!$B$30:$N$53,MATCH(AH155,CaseData!$A$30:$A$53,0),MATCH($D168,CaseData!$B$29:$N$29,0)))</f>
        <v>0</v>
      </c>
      <c r="AI168" s="63">
        <f>IF(AI155=0,0,INDEX(CaseData!$B$30:$N$53,MATCH(AI155,CaseData!$A$30:$A$53,0),MATCH($D168,CaseData!$B$29:$N$29,0)))</f>
        <v>0</v>
      </c>
      <c r="AJ168" s="63">
        <f>IF(AJ155=0,0,INDEX(CaseData!$B$30:$N$53,MATCH(AJ155,CaseData!$A$30:$A$53,0),MATCH($D168,CaseData!$B$29:$N$29,0)))</f>
        <v>0</v>
      </c>
      <c r="AK168" s="63">
        <f>IF(AK155=0,0,INDEX(CaseData!$B$30:$N$53,MATCH(AK155,CaseData!$A$30:$A$53,0),MATCH($D168,CaseData!$B$29:$N$29,0)))</f>
        <v>0</v>
      </c>
      <c r="AL168" s="63">
        <f>IF(AL155=0,0,INDEX(CaseData!$B$30:$N$53,MATCH(AL155,CaseData!$A$30:$A$53,0),MATCH($D168,CaseData!$B$29:$N$29,0)))</f>
        <v>0</v>
      </c>
      <c r="AM168" s="63">
        <f>IF(AM155=0,0,INDEX(CaseData!$B$30:$N$53,MATCH(AM155,CaseData!$A$30:$A$53,0),MATCH($D168,CaseData!$B$29:$N$29,0)))</f>
        <v>0</v>
      </c>
      <c r="AN168" s="63">
        <f>IF(AN155=0,0,INDEX(CaseData!$B$30:$N$53,MATCH(AN155,CaseData!$A$30:$A$53,0),MATCH($D168,CaseData!$B$29:$N$29,0)))</f>
        <v>0</v>
      </c>
      <c r="AO168" s="63">
        <f>IF(AO155=0,0,INDEX(CaseData!$B$30:$N$53,MATCH(AO155,CaseData!$A$30:$A$53,0),MATCH($D168,CaseData!$B$29:$N$29,0)))</f>
        <v>0</v>
      </c>
      <c r="AP168" s="63">
        <f>IF(AP155=0,0,INDEX(CaseData!$B$30:$N$53,MATCH(AP155,CaseData!$A$30:$A$53,0),MATCH($D168,CaseData!$B$29:$N$29,0)))</f>
        <v>0</v>
      </c>
      <c r="AQ168" s="63">
        <f>IF(AQ155=0,0,INDEX(CaseData!$B$30:$N$53,MATCH(AQ155,CaseData!$A$30:$A$53,0),MATCH($D168,CaseData!$B$29:$N$29,0)))</f>
        <v>0</v>
      </c>
      <c r="AR168" s="63">
        <f>IF(AR155=0,0,INDEX(CaseData!$B$30:$N$53,MATCH(AR155,CaseData!$A$30:$A$53,0),MATCH($D168,CaseData!$B$29:$N$29,0)))</f>
        <v>0</v>
      </c>
      <c r="AS168" s="63">
        <f>IF(AS155=0,0,INDEX(CaseData!$B$30:$N$53,MATCH(AS155,CaseData!$A$30:$A$53,0),MATCH($D168,CaseData!$B$29:$N$29,0)))</f>
        <v>0</v>
      </c>
      <c r="AT168" s="63">
        <f>IF(AT155=0,0,INDEX(CaseData!$B$30:$N$53,MATCH(AT155,CaseData!$A$30:$A$53,0),MATCH($D168,CaseData!$B$29:$N$29,0)))</f>
        <v>0</v>
      </c>
      <c r="AU168" s="63">
        <f>IF(AU155=0,0,INDEX(CaseData!$B$30:$N$53,MATCH(AU155,CaseData!$A$30:$A$53,0),MATCH($D168,CaseData!$B$29:$N$29,0)))</f>
        <v>0</v>
      </c>
      <c r="AV168" s="63">
        <f>IF(AV155=0,0,INDEX(CaseData!$B$30:$N$53,MATCH(AV155,CaseData!$A$30:$A$53,0),MATCH($D168,CaseData!$B$29:$N$29,0)))</f>
        <v>0</v>
      </c>
      <c r="AW168" s="63">
        <f>IF(AW155=0,0,INDEX(CaseData!$B$30:$N$53,MATCH(AW155,CaseData!$A$30:$A$53,0),MATCH($D168,CaseData!$B$29:$N$29,0)))</f>
        <v>0</v>
      </c>
      <c r="AX168" s="63">
        <f>IF(AX155=0,0,INDEX(CaseData!$B$30:$N$53,MATCH(AX155,CaseData!$A$30:$A$53,0),MATCH($D168,CaseData!$B$29:$N$29,0)))</f>
        <v>0</v>
      </c>
      <c r="AY168" s="63">
        <f>IF(AY155=0,0,INDEX(CaseData!$B$30:$N$53,MATCH(AY155,CaseData!$A$30:$A$53,0),MATCH($D168,CaseData!$B$29:$N$29,0)))</f>
        <v>0</v>
      </c>
      <c r="AZ168" s="63">
        <f>IF(AZ155=0,0,INDEX(CaseData!$B$30:$N$53,MATCH(AZ155,CaseData!$A$30:$A$53,0),MATCH($D168,CaseData!$B$29:$N$29,0)))</f>
        <v>0</v>
      </c>
      <c r="BA168" s="63">
        <f>IF(BA155=0,0,INDEX(CaseData!$B$30:$N$53,MATCH(BA155,CaseData!$A$30:$A$53,0),MATCH($D168,CaseData!$B$29:$N$29,0)))</f>
        <v>0</v>
      </c>
      <c r="BB168" s="63">
        <f>IF(BB155=0,0,INDEX(CaseData!$B$30:$N$53,MATCH(BB155,CaseData!$A$30:$A$53,0),MATCH($D168,CaseData!$B$29:$N$29,0)))</f>
        <v>0</v>
      </c>
      <c r="BC168" s="63">
        <f>IF(BC155=0,0,INDEX(CaseData!$B$30:$N$53,MATCH(BC155,CaseData!$A$30:$A$53,0),MATCH($D168,CaseData!$B$29:$N$29,0)))</f>
        <v>0</v>
      </c>
      <c r="BD168" s="63">
        <f>IF(BD155=0,0,INDEX(CaseData!$B$30:$N$53,MATCH(BD155,CaseData!$A$30:$A$53,0),MATCH($D168,CaseData!$B$29:$N$29,0)))</f>
        <v>0</v>
      </c>
      <c r="BE168" s="63">
        <f>IF(BE155=0,0,INDEX(CaseData!$B$30:$N$53,MATCH(BE155,CaseData!$A$30:$A$53,0),MATCH($D168,CaseData!$B$29:$N$29,0)))</f>
        <v>0</v>
      </c>
      <c r="BF168" s="63">
        <f>IF(BF155=0,0,INDEX(CaseData!$B$30:$N$53,MATCH(BF155,CaseData!$A$30:$A$53,0),MATCH($D168,CaseData!$B$29:$N$29,0)))</f>
        <v>0</v>
      </c>
      <c r="BG168" s="63">
        <f>IF(BG155=0,0,INDEX(CaseData!$B$30:$N$53,MATCH(BG155,CaseData!$A$30:$A$53,0),MATCH($D168,CaseData!$B$29:$N$29,0)))</f>
        <v>0</v>
      </c>
      <c r="BH168" s="63">
        <f>IF(BH155=0,0,INDEX(CaseData!$B$30:$N$53,MATCH(BH155,CaseData!$A$30:$A$53,0),MATCH($D168,CaseData!$B$29:$N$29,0)))</f>
        <v>0</v>
      </c>
      <c r="BI168" s="63">
        <f>IF(BI155=0,0,INDEX(CaseData!$B$30:$N$53,MATCH(BI155,CaseData!$A$30:$A$53,0),MATCH($D168,CaseData!$B$29:$N$29,0)))</f>
        <v>0</v>
      </c>
      <c r="BJ168" s="63">
        <f>IF(BJ155=0,0,INDEX(CaseData!$B$30:$N$53,MATCH(BJ155,CaseData!$A$30:$A$53,0),MATCH($D168,CaseData!$B$29:$N$29,0)))</f>
        <v>0</v>
      </c>
      <c r="BK168" s="63">
        <f>IF(BK155=0,0,INDEX(CaseData!$B$30:$N$53,MATCH(BK155,CaseData!$A$30:$A$53,0),MATCH($D168,CaseData!$B$29:$N$29,0)))</f>
        <v>0</v>
      </c>
      <c r="BL168" s="63">
        <f>IF(BL155=0,0,INDEX(CaseData!$B$30:$N$53,MATCH(BL155,CaseData!$A$30:$A$53,0),MATCH($D168,CaseData!$B$29:$N$29,0)))</f>
        <v>0</v>
      </c>
      <c r="BM168" s="63">
        <f>IF(BM155=0,0,INDEX(CaseData!$B$30:$N$53,MATCH(BM155,CaseData!$A$30:$A$53,0),MATCH($D168,CaseData!$B$29:$N$29,0)))</f>
        <v>0</v>
      </c>
      <c r="BN168" s="63">
        <f>IF(BN155=0,0,INDEX(CaseData!$B$30:$N$53,MATCH(BN155,CaseData!$A$30:$A$53,0),MATCH($D168,CaseData!$B$29:$N$29,0)))</f>
        <v>0</v>
      </c>
      <c r="BO168" s="63">
        <f>IF(BO155=0,0,INDEX(CaseData!$B$30:$N$53,MATCH(BO155,CaseData!$A$30:$A$53,0),MATCH($D168,CaseData!$B$29:$N$29,0)))</f>
        <v>0</v>
      </c>
      <c r="BP168" s="63">
        <f>IF(BP155=0,0,INDEX(CaseData!$B$30:$N$53,MATCH(BP155,CaseData!$A$30:$A$53,0),MATCH($D168,CaseData!$B$29:$N$29,0)))</f>
        <v>0</v>
      </c>
      <c r="BQ168" s="63">
        <f>IF(BQ155=0,0,INDEX(CaseData!$B$30:$N$53,MATCH(BQ155,CaseData!$A$30:$A$53,0),MATCH($D168,CaseData!$B$29:$N$29,0)))</f>
        <v>0</v>
      </c>
      <c r="BR168" s="63">
        <f>IF(BR155=0,0,INDEX(CaseData!$B$30:$N$53,MATCH(BR155,CaseData!$A$30:$A$53,0),MATCH($D168,CaseData!$B$29:$N$29,0)))</f>
        <v>0</v>
      </c>
      <c r="BS168" s="63">
        <f>IF(BS155=0,0,INDEX(CaseData!$B$30:$N$53,MATCH(BS155,CaseData!$A$30:$A$53,0),MATCH($D168,CaseData!$B$29:$N$29,0)))</f>
        <v>0</v>
      </c>
      <c r="BT168" s="63">
        <f>IF(BT155=0,0,INDEX(CaseData!$B$30:$N$53,MATCH(BT155,CaseData!$A$30:$A$53,0),MATCH($D168,CaseData!$B$29:$N$29,0)))</f>
        <v>0</v>
      </c>
      <c r="BU168" s="63">
        <f>IF(BU155=0,0,INDEX(CaseData!$B$30:$N$53,MATCH(BU155,CaseData!$A$30:$A$53,0),MATCH($D168,CaseData!$B$29:$N$29,0)))</f>
        <v>0</v>
      </c>
      <c r="BV168" s="63">
        <f>IF(BV155=0,0,INDEX(CaseData!$B$30:$N$53,MATCH(BV155,CaseData!$A$30:$A$53,0),MATCH($D168,CaseData!$B$29:$N$29,0)))</f>
        <v>0</v>
      </c>
      <c r="BW168" s="63">
        <f>IF(BW155=0,0,INDEX(CaseData!$B$30:$N$53,MATCH(BW155,CaseData!$A$30:$A$53,0),MATCH($D168,CaseData!$B$29:$N$29,0)))</f>
        <v>0</v>
      </c>
      <c r="BX168" s="63">
        <f>IF(BX155=0,0,INDEX(CaseData!$B$30:$N$53,MATCH(BX155,CaseData!$A$30:$A$53,0),MATCH($D168,CaseData!$B$29:$N$29,0)))</f>
        <v>0</v>
      </c>
      <c r="BY168" s="63">
        <f>IF(BY155=0,0,INDEX(CaseData!$B$30:$N$53,MATCH(BY155,CaseData!$A$30:$A$53,0),MATCH($D168,CaseData!$B$29:$N$29,0)))</f>
        <v>0</v>
      </c>
      <c r="BZ168" s="63">
        <f>IF(BZ155=0,0,INDEX(CaseData!$B$30:$N$53,MATCH(BZ155,CaseData!$A$30:$A$53,0),MATCH($D168,CaseData!$B$29:$N$29,0)))</f>
        <v>0</v>
      </c>
      <c r="CA168" s="63">
        <f>IF(CA155=0,0,INDEX(CaseData!$B$30:$N$53,MATCH(CA155,CaseData!$A$30:$A$53,0),MATCH($D168,CaseData!$B$29:$N$29,0)))</f>
        <v>0</v>
      </c>
      <c r="CB168" s="63">
        <f>IF(CB155=0,0,INDEX(CaseData!$B$30:$N$53,MATCH(CB155,CaseData!$A$30:$A$53,0),MATCH($D168,CaseData!$B$29:$N$29,0)))</f>
        <v>0</v>
      </c>
      <c r="CC168" s="63">
        <f>IF(CC155=0,0,INDEX(CaseData!$B$30:$N$53,MATCH(CC155,CaseData!$A$30:$A$53,0),MATCH($D168,CaseData!$B$29:$N$29,0)))</f>
        <v>0</v>
      </c>
      <c r="CD168" s="63">
        <f>IF(CD155=0,0,INDEX(CaseData!$B$30:$N$53,MATCH(CD155,CaseData!$A$30:$A$53,0),MATCH($D168,CaseData!$B$29:$N$29,0)))</f>
        <v>0</v>
      </c>
      <c r="CE168" s="63">
        <f>IF(CE155=0,0,INDEX(CaseData!$B$30:$N$53,MATCH(CE155,CaseData!$A$30:$A$53,0),MATCH($D168,CaseData!$B$29:$N$29,0)))</f>
        <v>0</v>
      </c>
      <c r="CF168" s="63">
        <f>IF(CF155=0,0,INDEX(CaseData!$B$30:$N$53,MATCH(CF155,CaseData!$A$30:$A$53,0),MATCH($D168,CaseData!$B$29:$N$29,0)))</f>
        <v>0</v>
      </c>
      <c r="CG168" s="63">
        <f>IF(CG155=0,0,INDEX(CaseData!$B$30:$N$53,MATCH(CG155,CaseData!$A$30:$A$53,0),MATCH($D168,CaseData!$B$29:$N$29,0)))</f>
        <v>0</v>
      </c>
      <c r="CH168" s="63">
        <f>IF(CH155=0,0,INDEX(CaseData!$B$30:$N$53,MATCH(CH155,CaseData!$A$30:$A$53,0),MATCH($D168,CaseData!$B$29:$N$29,0)))</f>
        <v>0</v>
      </c>
      <c r="CI168" s="63">
        <f>IF(CI155=0,0,INDEX(CaseData!$B$30:$N$53,MATCH(CI155,CaseData!$A$30:$A$53,0),MATCH($D168,CaseData!$B$29:$N$29,0)))</f>
        <v>0</v>
      </c>
      <c r="CJ168" s="63">
        <f>IF(CJ155=0,0,INDEX(CaseData!$B$30:$N$53,MATCH(CJ155,CaseData!$A$30:$A$53,0),MATCH($D168,CaseData!$B$29:$N$29,0)))</f>
        <v>0</v>
      </c>
      <c r="CK168" s="63">
        <f>IF(CK155=0,0,INDEX(CaseData!$B$30:$N$53,MATCH(CK155,CaseData!$A$30:$A$53,0),MATCH($D168,CaseData!$B$29:$N$29,0)))</f>
        <v>0</v>
      </c>
      <c r="CL168" s="63">
        <f>IF(CL155=0,0,INDEX(CaseData!$B$30:$N$53,MATCH(CL155,CaseData!$A$30:$A$53,0),MATCH($D168,CaseData!$B$29:$N$29,0)))</f>
        <v>0</v>
      </c>
      <c r="CM168" s="63">
        <f>IF(CM155=0,0,INDEX(CaseData!$B$30:$N$53,MATCH(CM155,CaseData!$A$30:$A$53,0),MATCH($D168,CaseData!$B$29:$N$29,0)))</f>
        <v>0</v>
      </c>
      <c r="CN168" s="63">
        <f>IF(CN155=0,0,INDEX(CaseData!$B$30:$N$53,MATCH(CN155,CaseData!$A$30:$A$53,0),MATCH($D168,CaseData!$B$29:$N$29,0)))</f>
        <v>0</v>
      </c>
      <c r="CO168" s="63">
        <f>IF(CO155=0,0,INDEX(CaseData!$B$30:$N$53,MATCH(CO155,CaseData!$A$30:$A$53,0),MATCH($D168,CaseData!$B$29:$N$29,0)))</f>
        <v>0</v>
      </c>
      <c r="CP168" s="63">
        <f>IF(CP155=0,0,INDEX(CaseData!$B$30:$N$53,MATCH(CP155,CaseData!$A$30:$A$53,0),MATCH($D168,CaseData!$B$29:$N$29,0)))</f>
        <v>0</v>
      </c>
      <c r="CQ168" s="63">
        <f>IF(CQ155=0,0,INDEX(CaseData!$B$30:$N$53,MATCH(CQ155,CaseData!$A$30:$A$53,0),MATCH($D168,CaseData!$B$29:$N$29,0)))</f>
        <v>0</v>
      </c>
      <c r="CR168" s="63">
        <f>IF(CR155=0,0,INDEX(CaseData!$B$30:$N$53,MATCH(CR155,CaseData!$A$30:$A$53,0),MATCH($D168,CaseData!$B$29:$N$29,0)))</f>
        <v>0</v>
      </c>
      <c r="CS168" s="63">
        <f>IF(CS155=0,0,INDEX(CaseData!$B$30:$N$53,MATCH(CS155,CaseData!$A$30:$A$53,0),MATCH($D168,CaseData!$B$29:$N$29,0)))</f>
        <v>0</v>
      </c>
      <c r="CT168" s="63">
        <f>IF(CT155=0,0,INDEX(CaseData!$B$30:$N$53,MATCH(CT155,CaseData!$A$30:$A$53,0),MATCH($D168,CaseData!$B$29:$N$29,0)))</f>
        <v>0</v>
      </c>
      <c r="CU168" s="63">
        <f>IF(CU155=0,0,INDEX(CaseData!$B$30:$N$53,MATCH(CU155,CaseData!$A$30:$A$53,0),MATCH($D168,CaseData!$B$29:$N$29,0)))</f>
        <v>0</v>
      </c>
      <c r="CV168" s="63">
        <f>IF(CV155=0,0,INDEX(CaseData!$B$30:$N$53,MATCH(CV155,CaseData!$A$30:$A$53,0),MATCH($D168,CaseData!$B$29:$N$29,0)))</f>
        <v>0</v>
      </c>
      <c r="CW168" s="63">
        <f>IF(CW155=0,0,INDEX(CaseData!$B$30:$N$53,MATCH(CW155,CaseData!$A$30:$A$53,0),MATCH($D168,CaseData!$B$29:$N$29,0)))</f>
        <v>0</v>
      </c>
      <c r="CX168" s="63">
        <f>IF(CX155=0,0,INDEX(CaseData!$B$30:$N$53,MATCH(CX155,CaseData!$A$30:$A$53,0),MATCH($D168,CaseData!$B$29:$N$29,0)))</f>
        <v>0</v>
      </c>
      <c r="CY168" s="63">
        <f>IF(CY155=0,0,INDEX(CaseData!$B$30:$N$53,MATCH(CY155,CaseData!$A$30:$A$53,0),MATCH($D168,CaseData!$B$29:$N$29,0)))</f>
        <v>0</v>
      </c>
      <c r="CZ168" s="63">
        <f>IF(CZ155=0,0,INDEX(CaseData!$B$30:$N$53,MATCH(CZ155,CaseData!$A$30:$A$53,0),MATCH($D168,CaseData!$B$29:$N$29,0)))</f>
        <v>0</v>
      </c>
      <c r="DA168" s="63">
        <f>IF(DA155=0,0,INDEX(CaseData!$B$30:$N$53,MATCH(DA155,CaseData!$A$30:$A$53,0),MATCH($D168,CaseData!$B$29:$N$29,0)))</f>
        <v>0</v>
      </c>
      <c r="DB168" s="63">
        <f>IF(DB155=0,0,INDEX(CaseData!$B$30:$N$53,MATCH(DB155,CaseData!$A$30:$A$53,0),MATCH($D168,CaseData!$B$29:$N$29,0)))</f>
        <v>0</v>
      </c>
      <c r="DC168" s="63">
        <f>IF(DC155=0,0,INDEX(CaseData!$B$30:$N$53,MATCH(DC155,CaseData!$A$30:$A$53,0),MATCH($D168,CaseData!$B$29:$N$29,0)))</f>
        <v>0</v>
      </c>
      <c r="DD168" s="63">
        <f>IF(DD155=0,0,INDEX(CaseData!$B$30:$N$53,MATCH(DD155,CaseData!$A$30:$A$53,0),MATCH($D168,CaseData!$B$29:$N$29,0)))</f>
        <v>0</v>
      </c>
      <c r="DE168" s="63">
        <f>IF(DE155=0,0,INDEX(CaseData!$B$30:$N$53,MATCH(DE155,CaseData!$A$30:$A$53,0),MATCH($D168,CaseData!$B$29:$N$29,0)))</f>
        <v>0</v>
      </c>
      <c r="DF168" s="63">
        <f>IF(DF155=0,0,INDEX(CaseData!$B$30:$N$53,MATCH(DF155,CaseData!$A$30:$A$53,0),MATCH($D168,CaseData!$B$29:$N$29,0)))</f>
        <v>0</v>
      </c>
      <c r="DG168" s="63">
        <f>IF(DG155=0,0,INDEX(CaseData!$B$30:$N$53,MATCH(DG155,CaseData!$A$30:$A$53,0),MATCH($D168,CaseData!$B$29:$N$29,0)))</f>
        <v>0</v>
      </c>
      <c r="DH168" s="63">
        <f>IF(DH155=0,0,INDEX(CaseData!$B$30:$N$53,MATCH(DH155,CaseData!$A$30:$A$53,0),MATCH($D168,CaseData!$B$29:$N$29,0)))</f>
        <v>0</v>
      </c>
      <c r="DI168" s="63">
        <f>IF(DI155=0,0,INDEX(CaseData!$B$30:$N$53,MATCH(DI155,CaseData!$A$30:$A$53,0),MATCH($D168,CaseData!$B$29:$N$29,0)))</f>
        <v>0</v>
      </c>
      <c r="DJ168" s="63">
        <f>IF(DJ155=0,0,INDEX(CaseData!$B$30:$N$53,MATCH(DJ155,CaseData!$A$30:$A$53,0),MATCH($D168,CaseData!$B$29:$N$29,0)))</f>
        <v>0</v>
      </c>
      <c r="DK168" s="63">
        <f>IF(DK155=0,0,INDEX(CaseData!$B$30:$N$53,MATCH(DK155,CaseData!$A$30:$A$53,0),MATCH($D168,CaseData!$B$29:$N$29,0)))</f>
        <v>0</v>
      </c>
      <c r="DL168" s="63">
        <f>IF(DL155=0,0,INDEX(CaseData!$B$30:$N$53,MATCH(DL155,CaseData!$A$30:$A$53,0),MATCH($D168,CaseData!$B$29:$N$29,0)))</f>
        <v>0</v>
      </c>
      <c r="DM168" s="63">
        <f>IF(DM155=0,0,INDEX(CaseData!$B$30:$N$53,MATCH(DM155,CaseData!$A$30:$A$53,0),MATCH($D168,CaseData!$B$29:$N$29,0)))</f>
        <v>0</v>
      </c>
      <c r="DN168" s="63">
        <f>IF(DN155=0,0,INDEX(CaseData!$B$30:$N$53,MATCH(DN155,CaseData!$A$30:$A$53,0),MATCH($D168,CaseData!$B$29:$N$29,0)))</f>
        <v>0</v>
      </c>
      <c r="DO168" s="63">
        <f>IF(DO155=0,0,INDEX(CaseData!$B$30:$N$53,MATCH(DO155,CaseData!$A$30:$A$53,0),MATCH($D168,CaseData!$B$29:$N$29,0)))</f>
        <v>0</v>
      </c>
      <c r="DP168" s="63">
        <f>IF(DP155=0,0,INDEX(CaseData!$B$30:$N$53,MATCH(DP155,CaseData!$A$30:$A$53,0),MATCH($D168,CaseData!$B$29:$N$29,0)))</f>
        <v>0</v>
      </c>
      <c r="DQ168" s="63">
        <f>IF(DQ155=0,0,INDEX(CaseData!$B$30:$N$53,MATCH(DQ155,CaseData!$A$30:$A$53,0),MATCH($D168,CaseData!$B$29:$N$29,0)))</f>
        <v>0</v>
      </c>
      <c r="DR168" s="63">
        <f>IF(DR155=0,0,INDEX(CaseData!$B$30:$N$53,MATCH(DR155,CaseData!$A$30:$A$53,0),MATCH($D168,CaseData!$B$29:$N$29,0)))</f>
        <v>0</v>
      </c>
      <c r="DS168" s="63">
        <f>IF(DS155=0,0,INDEX(CaseData!$B$30:$N$53,MATCH(DS155,CaseData!$A$30:$A$53,0),MATCH($D168,CaseData!$B$29:$N$29,0)))</f>
        <v>0</v>
      </c>
      <c r="DT168" s="63">
        <f>IF(DT155=0,0,INDEX(CaseData!$B$30:$N$53,MATCH(DT155,CaseData!$A$30:$A$53,0),MATCH($D168,CaseData!$B$29:$N$29,0)))</f>
        <v>0</v>
      </c>
      <c r="DU168" s="63">
        <f>IF(DU155=0,0,INDEX(CaseData!$B$30:$N$53,MATCH(DU155,CaseData!$A$30:$A$53,0),MATCH($D168,CaseData!$B$29:$N$29,0)))</f>
        <v>0</v>
      </c>
      <c r="DV168" s="63">
        <f>IF(DV155=0,0,INDEX(CaseData!$B$30:$N$53,MATCH(DV155,CaseData!$A$30:$A$53,0),MATCH($D168,CaseData!$B$29:$N$29,0)))</f>
        <v>0</v>
      </c>
    </row>
    <row r="169" spans="2:126" outlineLevel="1">
      <c r="B169" s="3" t="str">
        <f t="shared" si="144"/>
        <v>Property I</v>
      </c>
      <c r="C169" s="14"/>
      <c r="D169" s="14">
        <f t="shared" si="145"/>
        <v>19</v>
      </c>
      <c r="E169" s="35"/>
      <c r="F169" s="35"/>
      <c r="G169" s="63">
        <f>IF(G156=0,0,INDEX(CaseData!$B$30:$N$53,MATCH(G156,CaseData!$A$30:$A$53,0),MATCH($D169,CaseData!$B$29:$N$29,0)))</f>
        <v>0</v>
      </c>
      <c r="H169" s="63">
        <f>IF(H156=0,0,INDEX(CaseData!$B$30:$N$53,MATCH(H156,CaseData!$A$30:$A$53,0),MATCH($D169,CaseData!$B$29:$N$29,0)))</f>
        <v>0</v>
      </c>
      <c r="I169" s="63">
        <f>IF(I156=0,0,INDEX(CaseData!$B$30:$N$53,MATCH(I156,CaseData!$A$30:$A$53,0),MATCH($D169,CaseData!$B$29:$N$29,0)))</f>
        <v>0</v>
      </c>
      <c r="J169" s="63">
        <f>IF(J156=0,0,INDEX(CaseData!$B$30:$N$53,MATCH(J156,CaseData!$A$30:$A$53,0),MATCH($D169,CaseData!$B$29:$N$29,0)))</f>
        <v>0</v>
      </c>
      <c r="K169" s="63">
        <f>IF(K156=0,0,INDEX(CaseData!$B$30:$N$53,MATCH(K156,CaseData!$A$30:$A$53,0),MATCH($D169,CaseData!$B$29:$N$29,0)))</f>
        <v>0</v>
      </c>
      <c r="L169" s="63">
        <f>IF(L156=0,0,INDEX(CaseData!$B$30:$N$53,MATCH(L156,CaseData!$A$30:$A$53,0),MATCH($D169,CaseData!$B$29:$N$29,0)))</f>
        <v>0</v>
      </c>
      <c r="M169" s="63">
        <f>IF(M156=0,0,INDEX(CaseData!$B$30:$N$53,MATCH(M156,CaseData!$A$30:$A$53,0),MATCH($D169,CaseData!$B$29:$N$29,0)))</f>
        <v>0</v>
      </c>
      <c r="N169" s="63">
        <f>IF(N156=0,0,INDEX(CaseData!$B$30:$N$53,MATCH(N156,CaseData!$A$30:$A$53,0),MATCH($D169,CaseData!$B$29:$N$29,0)))</f>
        <v>0</v>
      </c>
      <c r="O169" s="63">
        <f>IF(O156=0,0,INDEX(CaseData!$B$30:$N$53,MATCH(O156,CaseData!$A$30:$A$53,0),MATCH($D169,CaseData!$B$29:$N$29,0)))</f>
        <v>0</v>
      </c>
      <c r="P169" s="63">
        <f>IF(P156=0,0,INDEX(CaseData!$B$30:$N$53,MATCH(P156,CaseData!$A$30:$A$53,0),MATCH($D169,CaseData!$B$29:$N$29,0)))</f>
        <v>0</v>
      </c>
      <c r="Q169" s="63">
        <f>IF(Q156=0,0,INDEX(CaseData!$B$30:$N$53,MATCH(Q156,CaseData!$A$30:$A$53,0),MATCH($D169,CaseData!$B$29:$N$29,0)))</f>
        <v>0</v>
      </c>
      <c r="R169" s="63">
        <f>IF(R156=0,0,INDEX(CaseData!$B$30:$N$53,MATCH(R156,CaseData!$A$30:$A$53,0),MATCH($D169,CaseData!$B$29:$N$29,0)))</f>
        <v>0</v>
      </c>
      <c r="S169" s="63">
        <f>IF(S156=0,0,INDEX(CaseData!$B$30:$N$53,MATCH(S156,CaseData!$A$30:$A$53,0),MATCH($D169,CaseData!$B$29:$N$29,0)))</f>
        <v>0</v>
      </c>
      <c r="T169" s="63">
        <f>IF(T156=0,0,INDEX(CaseData!$B$30:$N$53,MATCH(T156,CaseData!$A$30:$A$53,0),MATCH($D169,CaseData!$B$29:$N$29,0)))</f>
        <v>0</v>
      </c>
      <c r="U169" s="63">
        <f>IF(U156=0,0,INDEX(CaseData!$B$30:$N$53,MATCH(U156,CaseData!$A$30:$A$53,0),MATCH($D169,CaseData!$B$29:$N$29,0)))</f>
        <v>1.4999999999999999E-2</v>
      </c>
      <c r="V169" s="63">
        <f>IF(V156=0,0,INDEX(CaseData!$B$30:$N$53,MATCH(V156,CaseData!$A$30:$A$53,0),MATCH($D169,CaseData!$B$29:$N$29,0)))</f>
        <v>1.4999999999999999E-2</v>
      </c>
      <c r="W169" s="63">
        <f>IF(W156=0,0,INDEX(CaseData!$B$30:$N$53,MATCH(W156,CaseData!$A$30:$A$53,0),MATCH($D169,CaseData!$B$29:$N$29,0)))</f>
        <v>0.02</v>
      </c>
      <c r="X169" s="63">
        <f>IF(X156=0,0,INDEX(CaseData!$B$30:$N$53,MATCH(X156,CaseData!$A$30:$A$53,0),MATCH($D169,CaseData!$B$29:$N$29,0)))</f>
        <v>2.5000000000000001E-2</v>
      </c>
      <c r="Y169" s="63">
        <f>IF(Y156=0,0,INDEX(CaseData!$B$30:$N$53,MATCH(Y156,CaseData!$A$30:$A$53,0),MATCH($D169,CaseData!$B$29:$N$29,0)))</f>
        <v>2.5000000000000001E-2</v>
      </c>
      <c r="Z169" s="63">
        <f>IF(Z156=0,0,INDEX(CaseData!$B$30:$N$53,MATCH(Z156,CaseData!$A$30:$A$53,0),MATCH($D169,CaseData!$B$29:$N$29,0)))</f>
        <v>0.03</v>
      </c>
      <c r="AA169" s="63">
        <f>IF(AA156=0,0,INDEX(CaseData!$B$30:$N$53,MATCH(AA156,CaseData!$A$30:$A$53,0),MATCH($D169,CaseData!$B$29:$N$29,0)))</f>
        <v>3.5000000000000003E-2</v>
      </c>
      <c r="AB169" s="63">
        <f>IF(AB156=0,0,INDEX(CaseData!$B$30:$N$53,MATCH(AB156,CaseData!$A$30:$A$53,0),MATCH($D169,CaseData!$B$29:$N$29,0)))</f>
        <v>0.04</v>
      </c>
      <c r="AC169" s="63">
        <f>IF(AC156=0,0,INDEX(CaseData!$B$30:$N$53,MATCH(AC156,CaseData!$A$30:$A$53,0),MATCH($D169,CaseData!$B$29:$N$29,0)))</f>
        <v>0.06</v>
      </c>
      <c r="AD169" s="63">
        <f>IF(AD156=0,0,INDEX(CaseData!$B$30:$N$53,MATCH(AD156,CaseData!$A$30:$A$53,0),MATCH($D169,CaseData!$B$29:$N$29,0)))</f>
        <v>6.5000000000000002E-2</v>
      </c>
      <c r="AE169" s="63">
        <f>IF(AE156=0,0,INDEX(CaseData!$B$30:$N$53,MATCH(AE156,CaseData!$A$30:$A$53,0),MATCH($D169,CaseData!$B$29:$N$29,0)))</f>
        <v>7.4999999999999997E-2</v>
      </c>
      <c r="AF169" s="63">
        <f>IF(AF156=0,0,INDEX(CaseData!$B$30:$N$53,MATCH(AF156,CaseData!$A$30:$A$53,0),MATCH($D169,CaseData!$B$29:$N$29,0)))</f>
        <v>0.09</v>
      </c>
      <c r="AG169" s="63">
        <f>IF(AG156=0,0,INDEX(CaseData!$B$30:$N$53,MATCH(AG156,CaseData!$A$30:$A$53,0),MATCH($D169,CaseData!$B$29:$N$29,0)))</f>
        <v>0.09</v>
      </c>
      <c r="AH169" s="63">
        <f>IF(AH156=0,0,INDEX(CaseData!$B$30:$N$53,MATCH(AH156,CaseData!$A$30:$A$53,0),MATCH($D169,CaseData!$B$29:$N$29,0)))</f>
        <v>0.09</v>
      </c>
      <c r="AI169" s="63">
        <f>IF(AI156=0,0,INDEX(CaseData!$B$30:$N$53,MATCH(AI156,CaseData!$A$30:$A$53,0),MATCH($D169,CaseData!$B$29:$N$29,0)))</f>
        <v>0.09</v>
      </c>
      <c r="AJ169" s="63">
        <f>IF(AJ156=0,0,INDEX(CaseData!$B$30:$N$53,MATCH(AJ156,CaseData!$A$30:$A$53,0),MATCH($D169,CaseData!$B$29:$N$29,0)))</f>
        <v>0.09</v>
      </c>
      <c r="AK169" s="63">
        <f>IF(AK156=0,0,INDEX(CaseData!$B$30:$N$53,MATCH(AK156,CaseData!$A$30:$A$53,0),MATCH($D169,CaseData!$B$29:$N$29,0)))</f>
        <v>7.0000000000000007E-2</v>
      </c>
      <c r="AL169" s="63">
        <f>IF(AL156=0,0,INDEX(CaseData!$B$30:$N$53,MATCH(AL156,CaseData!$A$30:$A$53,0),MATCH($D169,CaseData!$B$29:$N$29,0)))</f>
        <v>0.05</v>
      </c>
      <c r="AM169" s="63">
        <f>IF(AM156=0,0,INDEX(CaseData!$B$30:$N$53,MATCH(AM156,CaseData!$A$30:$A$53,0),MATCH($D169,CaseData!$B$29:$N$29,0)))</f>
        <v>2.5000000000000001E-2</v>
      </c>
      <c r="AN169" s="63">
        <f>IF(AN156=0,0,INDEX(CaseData!$B$30:$N$53,MATCH(AN156,CaseData!$A$30:$A$53,0),MATCH($D169,CaseData!$B$29:$N$29,0)))</f>
        <v>0</v>
      </c>
      <c r="AO169" s="63">
        <f>IF(AO156=0,0,INDEX(CaseData!$B$30:$N$53,MATCH(AO156,CaseData!$A$30:$A$53,0),MATCH($D169,CaseData!$B$29:$N$29,0)))</f>
        <v>0</v>
      </c>
      <c r="AP169" s="63">
        <f>IF(AP156=0,0,INDEX(CaseData!$B$30:$N$53,MATCH(AP156,CaseData!$A$30:$A$53,0),MATCH($D169,CaseData!$B$29:$N$29,0)))</f>
        <v>0</v>
      </c>
      <c r="AQ169" s="63">
        <f>IF(AQ156=0,0,INDEX(CaseData!$B$30:$N$53,MATCH(AQ156,CaseData!$A$30:$A$53,0),MATCH($D169,CaseData!$B$29:$N$29,0)))</f>
        <v>0</v>
      </c>
      <c r="AR169" s="63">
        <f>IF(AR156=0,0,INDEX(CaseData!$B$30:$N$53,MATCH(AR156,CaseData!$A$30:$A$53,0),MATCH($D169,CaseData!$B$29:$N$29,0)))</f>
        <v>0</v>
      </c>
      <c r="AS169" s="63">
        <f>IF(AS156=0,0,INDEX(CaseData!$B$30:$N$53,MATCH(AS156,CaseData!$A$30:$A$53,0),MATCH($D169,CaseData!$B$29:$N$29,0)))</f>
        <v>0</v>
      </c>
      <c r="AT169" s="63">
        <f>IF(AT156=0,0,INDEX(CaseData!$B$30:$N$53,MATCH(AT156,CaseData!$A$30:$A$53,0),MATCH($D169,CaseData!$B$29:$N$29,0)))</f>
        <v>0</v>
      </c>
      <c r="AU169" s="63">
        <f>IF(AU156=0,0,INDEX(CaseData!$B$30:$N$53,MATCH(AU156,CaseData!$A$30:$A$53,0),MATCH($D169,CaseData!$B$29:$N$29,0)))</f>
        <v>0</v>
      </c>
      <c r="AV169" s="63">
        <f>IF(AV156=0,0,INDEX(CaseData!$B$30:$N$53,MATCH(AV156,CaseData!$A$30:$A$53,0),MATCH($D169,CaseData!$B$29:$N$29,0)))</f>
        <v>0</v>
      </c>
      <c r="AW169" s="63">
        <f>IF(AW156=0,0,INDEX(CaseData!$B$30:$N$53,MATCH(AW156,CaseData!$A$30:$A$53,0),MATCH($D169,CaseData!$B$29:$N$29,0)))</f>
        <v>0</v>
      </c>
      <c r="AX169" s="63">
        <f>IF(AX156=0,0,INDEX(CaseData!$B$30:$N$53,MATCH(AX156,CaseData!$A$30:$A$53,0),MATCH($D169,CaseData!$B$29:$N$29,0)))</f>
        <v>0</v>
      </c>
      <c r="AY169" s="63">
        <f>IF(AY156=0,0,INDEX(CaseData!$B$30:$N$53,MATCH(AY156,CaseData!$A$30:$A$53,0),MATCH($D169,CaseData!$B$29:$N$29,0)))</f>
        <v>0</v>
      </c>
      <c r="AZ169" s="63">
        <f>IF(AZ156=0,0,INDEX(CaseData!$B$30:$N$53,MATCH(AZ156,CaseData!$A$30:$A$53,0),MATCH($D169,CaseData!$B$29:$N$29,0)))</f>
        <v>0</v>
      </c>
      <c r="BA169" s="63">
        <f>IF(BA156=0,0,INDEX(CaseData!$B$30:$N$53,MATCH(BA156,CaseData!$A$30:$A$53,0),MATCH($D169,CaseData!$B$29:$N$29,0)))</f>
        <v>0</v>
      </c>
      <c r="BB169" s="63">
        <f>IF(BB156=0,0,INDEX(CaseData!$B$30:$N$53,MATCH(BB156,CaseData!$A$30:$A$53,0),MATCH($D169,CaseData!$B$29:$N$29,0)))</f>
        <v>0</v>
      </c>
      <c r="BC169" s="63">
        <f>IF(BC156=0,0,INDEX(CaseData!$B$30:$N$53,MATCH(BC156,CaseData!$A$30:$A$53,0),MATCH($D169,CaseData!$B$29:$N$29,0)))</f>
        <v>0</v>
      </c>
      <c r="BD169" s="63">
        <f>IF(BD156=0,0,INDEX(CaseData!$B$30:$N$53,MATCH(BD156,CaseData!$A$30:$A$53,0),MATCH($D169,CaseData!$B$29:$N$29,0)))</f>
        <v>0</v>
      </c>
      <c r="BE169" s="63">
        <f>IF(BE156=0,0,INDEX(CaseData!$B$30:$N$53,MATCH(BE156,CaseData!$A$30:$A$53,0),MATCH($D169,CaseData!$B$29:$N$29,0)))</f>
        <v>0</v>
      </c>
      <c r="BF169" s="63">
        <f>IF(BF156=0,0,INDEX(CaseData!$B$30:$N$53,MATCH(BF156,CaseData!$A$30:$A$53,0),MATCH($D169,CaseData!$B$29:$N$29,0)))</f>
        <v>0</v>
      </c>
      <c r="BG169" s="63">
        <f>IF(BG156=0,0,INDEX(CaseData!$B$30:$N$53,MATCH(BG156,CaseData!$A$30:$A$53,0),MATCH($D169,CaseData!$B$29:$N$29,0)))</f>
        <v>0</v>
      </c>
      <c r="BH169" s="63">
        <f>IF(BH156=0,0,INDEX(CaseData!$B$30:$N$53,MATCH(BH156,CaseData!$A$30:$A$53,0),MATCH($D169,CaseData!$B$29:$N$29,0)))</f>
        <v>0</v>
      </c>
      <c r="BI169" s="63">
        <f>IF(BI156=0,0,INDEX(CaseData!$B$30:$N$53,MATCH(BI156,CaseData!$A$30:$A$53,0),MATCH($D169,CaseData!$B$29:$N$29,0)))</f>
        <v>0</v>
      </c>
      <c r="BJ169" s="63">
        <f>IF(BJ156=0,0,INDEX(CaseData!$B$30:$N$53,MATCH(BJ156,CaseData!$A$30:$A$53,0),MATCH($D169,CaseData!$B$29:$N$29,0)))</f>
        <v>0</v>
      </c>
      <c r="BK169" s="63">
        <f>IF(BK156=0,0,INDEX(CaseData!$B$30:$N$53,MATCH(BK156,CaseData!$A$30:$A$53,0),MATCH($D169,CaseData!$B$29:$N$29,0)))</f>
        <v>0</v>
      </c>
      <c r="BL169" s="63">
        <f>IF(BL156=0,0,INDEX(CaseData!$B$30:$N$53,MATCH(BL156,CaseData!$A$30:$A$53,0),MATCH($D169,CaseData!$B$29:$N$29,0)))</f>
        <v>0</v>
      </c>
      <c r="BM169" s="63">
        <f>IF(BM156=0,0,INDEX(CaseData!$B$30:$N$53,MATCH(BM156,CaseData!$A$30:$A$53,0),MATCH($D169,CaseData!$B$29:$N$29,0)))</f>
        <v>0</v>
      </c>
      <c r="BN169" s="63">
        <f>IF(BN156=0,0,INDEX(CaseData!$B$30:$N$53,MATCH(BN156,CaseData!$A$30:$A$53,0),MATCH($D169,CaseData!$B$29:$N$29,0)))</f>
        <v>0</v>
      </c>
      <c r="BO169" s="63">
        <f>IF(BO156=0,0,INDEX(CaseData!$B$30:$N$53,MATCH(BO156,CaseData!$A$30:$A$53,0),MATCH($D169,CaseData!$B$29:$N$29,0)))</f>
        <v>0</v>
      </c>
      <c r="BP169" s="63">
        <f>IF(BP156=0,0,INDEX(CaseData!$B$30:$N$53,MATCH(BP156,CaseData!$A$30:$A$53,0),MATCH($D169,CaseData!$B$29:$N$29,0)))</f>
        <v>0</v>
      </c>
      <c r="BQ169" s="63">
        <f>IF(BQ156=0,0,INDEX(CaseData!$B$30:$N$53,MATCH(BQ156,CaseData!$A$30:$A$53,0),MATCH($D169,CaseData!$B$29:$N$29,0)))</f>
        <v>0</v>
      </c>
      <c r="BR169" s="63">
        <f>IF(BR156=0,0,INDEX(CaseData!$B$30:$N$53,MATCH(BR156,CaseData!$A$30:$A$53,0),MATCH($D169,CaseData!$B$29:$N$29,0)))</f>
        <v>0</v>
      </c>
      <c r="BS169" s="63">
        <f>IF(BS156=0,0,INDEX(CaseData!$B$30:$N$53,MATCH(BS156,CaseData!$A$30:$A$53,0),MATCH($D169,CaseData!$B$29:$N$29,0)))</f>
        <v>0</v>
      </c>
      <c r="BT169" s="63">
        <f>IF(BT156=0,0,INDEX(CaseData!$B$30:$N$53,MATCH(BT156,CaseData!$A$30:$A$53,0),MATCH($D169,CaseData!$B$29:$N$29,0)))</f>
        <v>0</v>
      </c>
      <c r="BU169" s="63">
        <f>IF(BU156=0,0,INDEX(CaseData!$B$30:$N$53,MATCH(BU156,CaseData!$A$30:$A$53,0),MATCH($D169,CaseData!$B$29:$N$29,0)))</f>
        <v>0</v>
      </c>
      <c r="BV169" s="63">
        <f>IF(BV156=0,0,INDEX(CaseData!$B$30:$N$53,MATCH(BV156,CaseData!$A$30:$A$53,0),MATCH($D169,CaseData!$B$29:$N$29,0)))</f>
        <v>0</v>
      </c>
      <c r="BW169" s="63">
        <f>IF(BW156=0,0,INDEX(CaseData!$B$30:$N$53,MATCH(BW156,CaseData!$A$30:$A$53,0),MATCH($D169,CaseData!$B$29:$N$29,0)))</f>
        <v>0</v>
      </c>
      <c r="BX169" s="63">
        <f>IF(BX156=0,0,INDEX(CaseData!$B$30:$N$53,MATCH(BX156,CaseData!$A$30:$A$53,0),MATCH($D169,CaseData!$B$29:$N$29,0)))</f>
        <v>0</v>
      </c>
      <c r="BY169" s="63">
        <f>IF(BY156=0,0,INDEX(CaseData!$B$30:$N$53,MATCH(BY156,CaseData!$A$30:$A$53,0),MATCH($D169,CaseData!$B$29:$N$29,0)))</f>
        <v>0</v>
      </c>
      <c r="BZ169" s="63">
        <f>IF(BZ156=0,0,INDEX(CaseData!$B$30:$N$53,MATCH(BZ156,CaseData!$A$30:$A$53,0),MATCH($D169,CaseData!$B$29:$N$29,0)))</f>
        <v>0</v>
      </c>
      <c r="CA169" s="63">
        <f>IF(CA156=0,0,INDEX(CaseData!$B$30:$N$53,MATCH(CA156,CaseData!$A$30:$A$53,0),MATCH($D169,CaseData!$B$29:$N$29,0)))</f>
        <v>0</v>
      </c>
      <c r="CB169" s="63">
        <f>IF(CB156=0,0,INDEX(CaseData!$B$30:$N$53,MATCH(CB156,CaseData!$A$30:$A$53,0),MATCH($D169,CaseData!$B$29:$N$29,0)))</f>
        <v>0</v>
      </c>
      <c r="CC169" s="63">
        <f>IF(CC156=0,0,INDEX(CaseData!$B$30:$N$53,MATCH(CC156,CaseData!$A$30:$A$53,0),MATCH($D169,CaseData!$B$29:$N$29,0)))</f>
        <v>0</v>
      </c>
      <c r="CD169" s="63">
        <f>IF(CD156=0,0,INDEX(CaseData!$B$30:$N$53,MATCH(CD156,CaseData!$A$30:$A$53,0),MATCH($D169,CaseData!$B$29:$N$29,0)))</f>
        <v>0</v>
      </c>
      <c r="CE169" s="63">
        <f>IF(CE156=0,0,INDEX(CaseData!$B$30:$N$53,MATCH(CE156,CaseData!$A$30:$A$53,0),MATCH($D169,CaseData!$B$29:$N$29,0)))</f>
        <v>0</v>
      </c>
      <c r="CF169" s="63">
        <f>IF(CF156=0,0,INDEX(CaseData!$B$30:$N$53,MATCH(CF156,CaseData!$A$30:$A$53,0),MATCH($D169,CaseData!$B$29:$N$29,0)))</f>
        <v>0</v>
      </c>
      <c r="CG169" s="63">
        <f>IF(CG156=0,0,INDEX(CaseData!$B$30:$N$53,MATCH(CG156,CaseData!$A$30:$A$53,0),MATCH($D169,CaseData!$B$29:$N$29,0)))</f>
        <v>0</v>
      </c>
      <c r="CH169" s="63">
        <f>IF(CH156=0,0,INDEX(CaseData!$B$30:$N$53,MATCH(CH156,CaseData!$A$30:$A$53,0),MATCH($D169,CaseData!$B$29:$N$29,0)))</f>
        <v>0</v>
      </c>
      <c r="CI169" s="63">
        <f>IF(CI156=0,0,INDEX(CaseData!$B$30:$N$53,MATCH(CI156,CaseData!$A$30:$A$53,0),MATCH($D169,CaseData!$B$29:$N$29,0)))</f>
        <v>0</v>
      </c>
      <c r="CJ169" s="63">
        <f>IF(CJ156=0,0,INDEX(CaseData!$B$30:$N$53,MATCH(CJ156,CaseData!$A$30:$A$53,0),MATCH($D169,CaseData!$B$29:$N$29,0)))</f>
        <v>0</v>
      </c>
      <c r="CK169" s="63">
        <f>IF(CK156=0,0,INDEX(CaseData!$B$30:$N$53,MATCH(CK156,CaseData!$A$30:$A$53,0),MATCH($D169,CaseData!$B$29:$N$29,0)))</f>
        <v>0</v>
      </c>
      <c r="CL169" s="63">
        <f>IF(CL156=0,0,INDEX(CaseData!$B$30:$N$53,MATCH(CL156,CaseData!$A$30:$A$53,0),MATCH($D169,CaseData!$B$29:$N$29,0)))</f>
        <v>0</v>
      </c>
      <c r="CM169" s="63">
        <f>IF(CM156=0,0,INDEX(CaseData!$B$30:$N$53,MATCH(CM156,CaseData!$A$30:$A$53,0),MATCH($D169,CaseData!$B$29:$N$29,0)))</f>
        <v>0</v>
      </c>
      <c r="CN169" s="63">
        <f>IF(CN156=0,0,INDEX(CaseData!$B$30:$N$53,MATCH(CN156,CaseData!$A$30:$A$53,0),MATCH($D169,CaseData!$B$29:$N$29,0)))</f>
        <v>0</v>
      </c>
      <c r="CO169" s="63">
        <f>IF(CO156=0,0,INDEX(CaseData!$B$30:$N$53,MATCH(CO156,CaseData!$A$30:$A$53,0),MATCH($D169,CaseData!$B$29:$N$29,0)))</f>
        <v>0</v>
      </c>
      <c r="CP169" s="63">
        <f>IF(CP156=0,0,INDEX(CaseData!$B$30:$N$53,MATCH(CP156,CaseData!$A$30:$A$53,0),MATCH($D169,CaseData!$B$29:$N$29,0)))</f>
        <v>0</v>
      </c>
      <c r="CQ169" s="63">
        <f>IF(CQ156=0,0,INDEX(CaseData!$B$30:$N$53,MATCH(CQ156,CaseData!$A$30:$A$53,0),MATCH($D169,CaseData!$B$29:$N$29,0)))</f>
        <v>0</v>
      </c>
      <c r="CR169" s="63">
        <f>IF(CR156=0,0,INDEX(CaseData!$B$30:$N$53,MATCH(CR156,CaseData!$A$30:$A$53,0),MATCH($D169,CaseData!$B$29:$N$29,0)))</f>
        <v>0</v>
      </c>
      <c r="CS169" s="63">
        <f>IF(CS156=0,0,INDEX(CaseData!$B$30:$N$53,MATCH(CS156,CaseData!$A$30:$A$53,0),MATCH($D169,CaseData!$B$29:$N$29,0)))</f>
        <v>0</v>
      </c>
      <c r="CT169" s="63">
        <f>IF(CT156=0,0,INDEX(CaseData!$B$30:$N$53,MATCH(CT156,CaseData!$A$30:$A$53,0),MATCH($D169,CaseData!$B$29:$N$29,0)))</f>
        <v>0</v>
      </c>
      <c r="CU169" s="63">
        <f>IF(CU156=0,0,INDEX(CaseData!$B$30:$N$53,MATCH(CU156,CaseData!$A$30:$A$53,0),MATCH($D169,CaseData!$B$29:$N$29,0)))</f>
        <v>0</v>
      </c>
      <c r="CV169" s="63">
        <f>IF(CV156=0,0,INDEX(CaseData!$B$30:$N$53,MATCH(CV156,CaseData!$A$30:$A$53,0),MATCH($D169,CaseData!$B$29:$N$29,0)))</f>
        <v>0</v>
      </c>
      <c r="CW169" s="63">
        <f>IF(CW156=0,0,INDEX(CaseData!$B$30:$N$53,MATCH(CW156,CaseData!$A$30:$A$53,0),MATCH($D169,CaseData!$B$29:$N$29,0)))</f>
        <v>0</v>
      </c>
      <c r="CX169" s="63">
        <f>IF(CX156=0,0,INDEX(CaseData!$B$30:$N$53,MATCH(CX156,CaseData!$A$30:$A$53,0),MATCH($D169,CaseData!$B$29:$N$29,0)))</f>
        <v>0</v>
      </c>
      <c r="CY169" s="63">
        <f>IF(CY156=0,0,INDEX(CaseData!$B$30:$N$53,MATCH(CY156,CaseData!$A$30:$A$53,0),MATCH($D169,CaseData!$B$29:$N$29,0)))</f>
        <v>0</v>
      </c>
      <c r="CZ169" s="63">
        <f>IF(CZ156=0,0,INDEX(CaseData!$B$30:$N$53,MATCH(CZ156,CaseData!$A$30:$A$53,0),MATCH($D169,CaseData!$B$29:$N$29,0)))</f>
        <v>0</v>
      </c>
      <c r="DA169" s="63">
        <f>IF(DA156=0,0,INDEX(CaseData!$B$30:$N$53,MATCH(DA156,CaseData!$A$30:$A$53,0),MATCH($D169,CaseData!$B$29:$N$29,0)))</f>
        <v>0</v>
      </c>
      <c r="DB169" s="63">
        <f>IF(DB156=0,0,INDEX(CaseData!$B$30:$N$53,MATCH(DB156,CaseData!$A$30:$A$53,0),MATCH($D169,CaseData!$B$29:$N$29,0)))</f>
        <v>0</v>
      </c>
      <c r="DC169" s="63">
        <f>IF(DC156=0,0,INDEX(CaseData!$B$30:$N$53,MATCH(DC156,CaseData!$A$30:$A$53,0),MATCH($D169,CaseData!$B$29:$N$29,0)))</f>
        <v>0</v>
      </c>
      <c r="DD169" s="63">
        <f>IF(DD156=0,0,INDEX(CaseData!$B$30:$N$53,MATCH(DD156,CaseData!$A$30:$A$53,0),MATCH($D169,CaseData!$B$29:$N$29,0)))</f>
        <v>0</v>
      </c>
      <c r="DE169" s="63">
        <f>IF(DE156=0,0,INDEX(CaseData!$B$30:$N$53,MATCH(DE156,CaseData!$A$30:$A$53,0),MATCH($D169,CaseData!$B$29:$N$29,0)))</f>
        <v>0</v>
      </c>
      <c r="DF169" s="63">
        <f>IF(DF156=0,0,INDEX(CaseData!$B$30:$N$53,MATCH(DF156,CaseData!$A$30:$A$53,0),MATCH($D169,CaseData!$B$29:$N$29,0)))</f>
        <v>0</v>
      </c>
      <c r="DG169" s="63">
        <f>IF(DG156=0,0,INDEX(CaseData!$B$30:$N$53,MATCH(DG156,CaseData!$A$30:$A$53,0),MATCH($D169,CaseData!$B$29:$N$29,0)))</f>
        <v>0</v>
      </c>
      <c r="DH169" s="63">
        <f>IF(DH156=0,0,INDEX(CaseData!$B$30:$N$53,MATCH(DH156,CaseData!$A$30:$A$53,0),MATCH($D169,CaseData!$B$29:$N$29,0)))</f>
        <v>0</v>
      </c>
      <c r="DI169" s="63">
        <f>IF(DI156=0,0,INDEX(CaseData!$B$30:$N$53,MATCH(DI156,CaseData!$A$30:$A$53,0),MATCH($D169,CaseData!$B$29:$N$29,0)))</f>
        <v>0</v>
      </c>
      <c r="DJ169" s="63">
        <f>IF(DJ156=0,0,INDEX(CaseData!$B$30:$N$53,MATCH(DJ156,CaseData!$A$30:$A$53,0),MATCH($D169,CaseData!$B$29:$N$29,0)))</f>
        <v>0</v>
      </c>
      <c r="DK169" s="63">
        <f>IF(DK156=0,0,INDEX(CaseData!$B$30:$N$53,MATCH(DK156,CaseData!$A$30:$A$53,0),MATCH($D169,CaseData!$B$29:$N$29,0)))</f>
        <v>0</v>
      </c>
      <c r="DL169" s="63">
        <f>IF(DL156=0,0,INDEX(CaseData!$B$30:$N$53,MATCH(DL156,CaseData!$A$30:$A$53,0),MATCH($D169,CaseData!$B$29:$N$29,0)))</f>
        <v>0</v>
      </c>
      <c r="DM169" s="63">
        <f>IF(DM156=0,0,INDEX(CaseData!$B$30:$N$53,MATCH(DM156,CaseData!$A$30:$A$53,0),MATCH($D169,CaseData!$B$29:$N$29,0)))</f>
        <v>0</v>
      </c>
      <c r="DN169" s="63">
        <f>IF(DN156=0,0,INDEX(CaseData!$B$30:$N$53,MATCH(DN156,CaseData!$A$30:$A$53,0),MATCH($D169,CaseData!$B$29:$N$29,0)))</f>
        <v>0</v>
      </c>
      <c r="DO169" s="63">
        <f>IF(DO156=0,0,INDEX(CaseData!$B$30:$N$53,MATCH(DO156,CaseData!$A$30:$A$53,0),MATCH($D169,CaseData!$B$29:$N$29,0)))</f>
        <v>0</v>
      </c>
      <c r="DP169" s="63">
        <f>IF(DP156=0,0,INDEX(CaseData!$B$30:$N$53,MATCH(DP156,CaseData!$A$30:$A$53,0),MATCH($D169,CaseData!$B$29:$N$29,0)))</f>
        <v>0</v>
      </c>
      <c r="DQ169" s="63">
        <f>IF(DQ156=0,0,INDEX(CaseData!$B$30:$N$53,MATCH(DQ156,CaseData!$A$30:$A$53,0),MATCH($D169,CaseData!$B$29:$N$29,0)))</f>
        <v>0</v>
      </c>
      <c r="DR169" s="63">
        <f>IF(DR156=0,0,INDEX(CaseData!$B$30:$N$53,MATCH(DR156,CaseData!$A$30:$A$53,0),MATCH($D169,CaseData!$B$29:$N$29,0)))</f>
        <v>0</v>
      </c>
      <c r="DS169" s="63">
        <f>IF(DS156=0,0,INDEX(CaseData!$B$30:$N$53,MATCH(DS156,CaseData!$A$30:$A$53,0),MATCH($D169,CaseData!$B$29:$N$29,0)))</f>
        <v>0</v>
      </c>
      <c r="DT169" s="63">
        <f>IF(DT156=0,0,INDEX(CaseData!$B$30:$N$53,MATCH(DT156,CaseData!$A$30:$A$53,0),MATCH($D169,CaseData!$B$29:$N$29,0)))</f>
        <v>0</v>
      </c>
      <c r="DU169" s="63">
        <f>IF(DU156=0,0,INDEX(CaseData!$B$30:$N$53,MATCH(DU156,CaseData!$A$30:$A$53,0),MATCH($D169,CaseData!$B$29:$N$29,0)))</f>
        <v>0</v>
      </c>
      <c r="DV169" s="63">
        <f>IF(DV156=0,0,INDEX(CaseData!$B$30:$N$53,MATCH(DV156,CaseData!$A$30:$A$53,0),MATCH($D169,CaseData!$B$29:$N$29,0)))</f>
        <v>0</v>
      </c>
    </row>
    <row r="170" spans="2:126" outlineLevel="1">
      <c r="B170" s="3" t="str">
        <f t="shared" si="144"/>
        <v>Property J</v>
      </c>
      <c r="C170" s="14"/>
      <c r="D170" s="14">
        <f t="shared" si="145"/>
        <v>18</v>
      </c>
      <c r="E170" s="35"/>
      <c r="F170" s="35"/>
      <c r="G170" s="63">
        <f>IF(G157=0,0,INDEX(CaseData!$B$30:$N$53,MATCH(G157,CaseData!$A$30:$A$53,0),MATCH($D170,CaseData!$B$29:$N$29,0)))</f>
        <v>0</v>
      </c>
      <c r="H170" s="63">
        <f>IF(H157=0,0,INDEX(CaseData!$B$30:$N$53,MATCH(H157,CaseData!$A$30:$A$53,0),MATCH($D170,CaseData!$B$29:$N$29,0)))</f>
        <v>0</v>
      </c>
      <c r="I170" s="63">
        <f>IF(I157=0,0,INDEX(CaseData!$B$30:$N$53,MATCH(I157,CaseData!$A$30:$A$53,0),MATCH($D170,CaseData!$B$29:$N$29,0)))</f>
        <v>0</v>
      </c>
      <c r="J170" s="63">
        <f>IF(J157=0,0,INDEX(CaseData!$B$30:$N$53,MATCH(J157,CaseData!$A$30:$A$53,0),MATCH($D170,CaseData!$B$29:$N$29,0)))</f>
        <v>0</v>
      </c>
      <c r="K170" s="63">
        <f>IF(K157=0,0,INDEX(CaseData!$B$30:$N$53,MATCH(K157,CaseData!$A$30:$A$53,0),MATCH($D170,CaseData!$B$29:$N$29,0)))</f>
        <v>0</v>
      </c>
      <c r="L170" s="63">
        <f>IF(L157=0,0,INDEX(CaseData!$B$30:$N$53,MATCH(L157,CaseData!$A$30:$A$53,0),MATCH($D170,CaseData!$B$29:$N$29,0)))</f>
        <v>0</v>
      </c>
      <c r="M170" s="63">
        <f>IF(M157=0,0,INDEX(CaseData!$B$30:$N$53,MATCH(M157,CaseData!$A$30:$A$53,0),MATCH($D170,CaseData!$B$29:$N$29,0)))</f>
        <v>0</v>
      </c>
      <c r="N170" s="63">
        <f>IF(N157=0,0,INDEX(CaseData!$B$30:$N$53,MATCH(N157,CaseData!$A$30:$A$53,0),MATCH($D170,CaseData!$B$29:$N$29,0)))</f>
        <v>0</v>
      </c>
      <c r="O170" s="63">
        <f>IF(O157=0,0,INDEX(CaseData!$B$30:$N$53,MATCH(O157,CaseData!$A$30:$A$53,0),MATCH($D170,CaseData!$B$29:$N$29,0)))</f>
        <v>0</v>
      </c>
      <c r="P170" s="63">
        <f>IF(P157=0,0,INDEX(CaseData!$B$30:$N$53,MATCH(P157,CaseData!$A$30:$A$53,0),MATCH($D170,CaseData!$B$29:$N$29,0)))</f>
        <v>0</v>
      </c>
      <c r="Q170" s="63">
        <f>IF(Q157=0,0,INDEX(CaseData!$B$30:$N$53,MATCH(Q157,CaseData!$A$30:$A$53,0),MATCH($D170,CaseData!$B$29:$N$29,0)))</f>
        <v>0</v>
      </c>
      <c r="R170" s="63">
        <f>IF(R157=0,0,INDEX(CaseData!$B$30:$N$53,MATCH(R157,CaseData!$A$30:$A$53,0),MATCH($D170,CaseData!$B$29:$N$29,0)))</f>
        <v>0</v>
      </c>
      <c r="S170" s="63">
        <f>IF(S157=0,0,INDEX(CaseData!$B$30:$N$53,MATCH(S157,CaseData!$A$30:$A$53,0),MATCH($D170,CaseData!$B$29:$N$29,0)))</f>
        <v>0</v>
      </c>
      <c r="T170" s="63">
        <f>IF(T157=0,0,INDEX(CaseData!$B$30:$N$53,MATCH(T157,CaseData!$A$30:$A$53,0),MATCH($D170,CaseData!$B$29:$N$29,0)))</f>
        <v>0</v>
      </c>
      <c r="U170" s="63">
        <f>IF(U157=0,0,INDEX(CaseData!$B$30:$N$53,MATCH(U157,CaseData!$A$30:$A$53,0),MATCH($D170,CaseData!$B$29:$N$29,0)))</f>
        <v>0</v>
      </c>
      <c r="V170" s="63">
        <f>IF(V157=0,0,INDEX(CaseData!$B$30:$N$53,MATCH(V157,CaseData!$A$30:$A$53,0),MATCH($D170,CaseData!$B$29:$N$29,0)))</f>
        <v>0</v>
      </c>
      <c r="W170" s="63">
        <f>IF(W157=0,0,INDEX(CaseData!$B$30:$N$53,MATCH(W157,CaseData!$A$30:$A$53,0),MATCH($D170,CaseData!$B$29:$N$29,0)))</f>
        <v>0</v>
      </c>
      <c r="X170" s="63">
        <f>IF(X157=0,0,INDEX(CaseData!$B$30:$N$53,MATCH(X157,CaseData!$A$30:$A$53,0),MATCH($D170,CaseData!$B$29:$N$29,0)))</f>
        <v>1.4999999999999999E-2</v>
      </c>
      <c r="Y170" s="63">
        <f>IF(Y157=0,0,INDEX(CaseData!$B$30:$N$53,MATCH(Y157,CaseData!$A$30:$A$53,0),MATCH($D170,CaseData!$B$29:$N$29,0)))</f>
        <v>1.4999999999999999E-2</v>
      </c>
      <c r="Z170" s="63">
        <f>IF(Z157=0,0,INDEX(CaseData!$B$30:$N$53,MATCH(Z157,CaseData!$A$30:$A$53,0),MATCH($D170,CaseData!$B$29:$N$29,0)))</f>
        <v>0.03</v>
      </c>
      <c r="AA170" s="63">
        <f>IF(AA157=0,0,INDEX(CaseData!$B$30:$N$53,MATCH(AA157,CaseData!$A$30:$A$53,0),MATCH($D170,CaseData!$B$29:$N$29,0)))</f>
        <v>0.03</v>
      </c>
      <c r="AB170" s="63">
        <f>IF(AB157=0,0,INDEX(CaseData!$B$30:$N$53,MATCH(AB157,CaseData!$A$30:$A$53,0),MATCH($D170,CaseData!$B$29:$N$29,0)))</f>
        <v>0.03</v>
      </c>
      <c r="AC170" s="63">
        <f>IF(AC157=0,0,INDEX(CaseData!$B$30:$N$53,MATCH(AC157,CaseData!$A$30:$A$53,0),MATCH($D170,CaseData!$B$29:$N$29,0)))</f>
        <v>0.03</v>
      </c>
      <c r="AD170" s="63">
        <f>IF(AD157=0,0,INDEX(CaseData!$B$30:$N$53,MATCH(AD157,CaseData!$A$30:$A$53,0),MATCH($D170,CaseData!$B$29:$N$29,0)))</f>
        <v>0.04</v>
      </c>
      <c r="AE170" s="63">
        <f>IF(AE157=0,0,INDEX(CaseData!$B$30:$N$53,MATCH(AE157,CaseData!$A$30:$A$53,0),MATCH($D170,CaseData!$B$29:$N$29,0)))</f>
        <v>0.05</v>
      </c>
      <c r="AF170" s="63">
        <f>IF(AF157=0,0,INDEX(CaseData!$B$30:$N$53,MATCH(AF157,CaseData!$A$30:$A$53,0),MATCH($D170,CaseData!$B$29:$N$29,0)))</f>
        <v>0.06</v>
      </c>
      <c r="AG170" s="63">
        <f>IF(AG157=0,0,INDEX(CaseData!$B$30:$N$53,MATCH(AG157,CaseData!$A$30:$A$53,0),MATCH($D170,CaseData!$B$29:$N$29,0)))</f>
        <v>7.0000000000000007E-2</v>
      </c>
      <c r="AH170" s="63">
        <f>IF(AH157=0,0,INDEX(CaseData!$B$30:$N$53,MATCH(AH157,CaseData!$A$30:$A$53,0),MATCH($D170,CaseData!$B$29:$N$29,0)))</f>
        <v>0.08</v>
      </c>
      <c r="AI170" s="63">
        <f>IF(AI157=0,0,INDEX(CaseData!$B$30:$N$53,MATCH(AI157,CaseData!$A$30:$A$53,0),MATCH($D170,CaseData!$B$29:$N$29,0)))</f>
        <v>0.09</v>
      </c>
      <c r="AJ170" s="63">
        <f>IF(AJ157=0,0,INDEX(CaseData!$B$30:$N$53,MATCH(AJ157,CaseData!$A$30:$A$53,0),MATCH($D170,CaseData!$B$29:$N$29,0)))</f>
        <v>0.1</v>
      </c>
      <c r="AK170" s="63">
        <f>IF(AK157=0,0,INDEX(CaseData!$B$30:$N$53,MATCH(AK157,CaseData!$A$30:$A$53,0),MATCH($D170,CaseData!$B$29:$N$29,0)))</f>
        <v>0.1</v>
      </c>
      <c r="AL170" s="63">
        <f>IF(AL157=0,0,INDEX(CaseData!$B$30:$N$53,MATCH(AL157,CaseData!$A$30:$A$53,0),MATCH($D170,CaseData!$B$29:$N$29,0)))</f>
        <v>0.1</v>
      </c>
      <c r="AM170" s="63">
        <f>IF(AM157=0,0,INDEX(CaseData!$B$30:$N$53,MATCH(AM157,CaseData!$A$30:$A$53,0),MATCH($D170,CaseData!$B$29:$N$29,0)))</f>
        <v>0.08</v>
      </c>
      <c r="AN170" s="63">
        <f>IF(AN157=0,0,INDEX(CaseData!$B$30:$N$53,MATCH(AN157,CaseData!$A$30:$A$53,0),MATCH($D170,CaseData!$B$29:$N$29,0)))</f>
        <v>0.05</v>
      </c>
      <c r="AO170" s="63">
        <f>IF(AO157=0,0,INDEX(CaseData!$B$30:$N$53,MATCH(AO157,CaseData!$A$30:$A$53,0),MATCH($D170,CaseData!$B$29:$N$29,0)))</f>
        <v>0.03</v>
      </c>
      <c r="AP170" s="63">
        <f>IF(AP157=0,0,INDEX(CaseData!$B$30:$N$53,MATCH(AP157,CaseData!$A$30:$A$53,0),MATCH($D170,CaseData!$B$29:$N$29,0)))</f>
        <v>0</v>
      </c>
      <c r="AQ170" s="63">
        <f>IF(AQ157=0,0,INDEX(CaseData!$B$30:$N$53,MATCH(AQ157,CaseData!$A$30:$A$53,0),MATCH($D170,CaseData!$B$29:$N$29,0)))</f>
        <v>0</v>
      </c>
      <c r="AR170" s="63">
        <f>IF(AR157=0,0,INDEX(CaseData!$B$30:$N$53,MATCH(AR157,CaseData!$A$30:$A$53,0),MATCH($D170,CaseData!$B$29:$N$29,0)))</f>
        <v>0</v>
      </c>
      <c r="AS170" s="63">
        <f>IF(AS157=0,0,INDEX(CaseData!$B$30:$N$53,MATCH(AS157,CaseData!$A$30:$A$53,0),MATCH($D170,CaseData!$B$29:$N$29,0)))</f>
        <v>0</v>
      </c>
      <c r="AT170" s="63">
        <f>IF(AT157=0,0,INDEX(CaseData!$B$30:$N$53,MATCH(AT157,CaseData!$A$30:$A$53,0),MATCH($D170,CaseData!$B$29:$N$29,0)))</f>
        <v>0</v>
      </c>
      <c r="AU170" s="63">
        <f>IF(AU157=0,0,INDEX(CaseData!$B$30:$N$53,MATCH(AU157,CaseData!$A$30:$A$53,0),MATCH($D170,CaseData!$B$29:$N$29,0)))</f>
        <v>0</v>
      </c>
      <c r="AV170" s="63">
        <f>IF(AV157=0,0,INDEX(CaseData!$B$30:$N$53,MATCH(AV157,CaseData!$A$30:$A$53,0),MATCH($D170,CaseData!$B$29:$N$29,0)))</f>
        <v>0</v>
      </c>
      <c r="AW170" s="63">
        <f>IF(AW157=0,0,INDEX(CaseData!$B$30:$N$53,MATCH(AW157,CaseData!$A$30:$A$53,0),MATCH($D170,CaseData!$B$29:$N$29,0)))</f>
        <v>0</v>
      </c>
      <c r="AX170" s="63">
        <f>IF(AX157=0,0,INDEX(CaseData!$B$30:$N$53,MATCH(AX157,CaseData!$A$30:$A$53,0),MATCH($D170,CaseData!$B$29:$N$29,0)))</f>
        <v>0</v>
      </c>
      <c r="AY170" s="63">
        <f>IF(AY157=0,0,INDEX(CaseData!$B$30:$N$53,MATCH(AY157,CaseData!$A$30:$A$53,0),MATCH($D170,CaseData!$B$29:$N$29,0)))</f>
        <v>0</v>
      </c>
      <c r="AZ170" s="63">
        <f>IF(AZ157=0,0,INDEX(CaseData!$B$30:$N$53,MATCH(AZ157,CaseData!$A$30:$A$53,0),MATCH($D170,CaseData!$B$29:$N$29,0)))</f>
        <v>0</v>
      </c>
      <c r="BA170" s="63">
        <f>IF(BA157=0,0,INDEX(CaseData!$B$30:$N$53,MATCH(BA157,CaseData!$A$30:$A$53,0),MATCH($D170,CaseData!$B$29:$N$29,0)))</f>
        <v>0</v>
      </c>
      <c r="BB170" s="63">
        <f>IF(BB157=0,0,INDEX(CaseData!$B$30:$N$53,MATCH(BB157,CaseData!$A$30:$A$53,0),MATCH($D170,CaseData!$B$29:$N$29,0)))</f>
        <v>0</v>
      </c>
      <c r="BC170" s="63">
        <f>IF(BC157=0,0,INDEX(CaseData!$B$30:$N$53,MATCH(BC157,CaseData!$A$30:$A$53,0),MATCH($D170,CaseData!$B$29:$N$29,0)))</f>
        <v>0</v>
      </c>
      <c r="BD170" s="63">
        <f>IF(BD157=0,0,INDEX(CaseData!$B$30:$N$53,MATCH(BD157,CaseData!$A$30:$A$53,0),MATCH($D170,CaseData!$B$29:$N$29,0)))</f>
        <v>0</v>
      </c>
      <c r="BE170" s="63">
        <f>IF(BE157=0,0,INDEX(CaseData!$B$30:$N$53,MATCH(BE157,CaseData!$A$30:$A$53,0),MATCH($D170,CaseData!$B$29:$N$29,0)))</f>
        <v>0</v>
      </c>
      <c r="BF170" s="63">
        <f>IF(BF157=0,0,INDEX(CaseData!$B$30:$N$53,MATCH(BF157,CaseData!$A$30:$A$53,0),MATCH($D170,CaseData!$B$29:$N$29,0)))</f>
        <v>0</v>
      </c>
      <c r="BG170" s="63">
        <f>IF(BG157=0,0,INDEX(CaseData!$B$30:$N$53,MATCH(BG157,CaseData!$A$30:$A$53,0),MATCH($D170,CaseData!$B$29:$N$29,0)))</f>
        <v>0</v>
      </c>
      <c r="BH170" s="63">
        <f>IF(BH157=0,0,INDEX(CaseData!$B$30:$N$53,MATCH(BH157,CaseData!$A$30:$A$53,0),MATCH($D170,CaseData!$B$29:$N$29,0)))</f>
        <v>0</v>
      </c>
      <c r="BI170" s="63">
        <f>IF(BI157=0,0,INDEX(CaseData!$B$30:$N$53,MATCH(BI157,CaseData!$A$30:$A$53,0),MATCH($D170,CaseData!$B$29:$N$29,0)))</f>
        <v>0</v>
      </c>
      <c r="BJ170" s="63">
        <f>IF(BJ157=0,0,INDEX(CaseData!$B$30:$N$53,MATCH(BJ157,CaseData!$A$30:$A$53,0),MATCH($D170,CaseData!$B$29:$N$29,0)))</f>
        <v>0</v>
      </c>
      <c r="BK170" s="63">
        <f>IF(BK157=0,0,INDEX(CaseData!$B$30:$N$53,MATCH(BK157,CaseData!$A$30:$A$53,0),MATCH($D170,CaseData!$B$29:$N$29,0)))</f>
        <v>0</v>
      </c>
      <c r="BL170" s="63">
        <f>IF(BL157=0,0,INDEX(CaseData!$B$30:$N$53,MATCH(BL157,CaseData!$A$30:$A$53,0),MATCH($D170,CaseData!$B$29:$N$29,0)))</f>
        <v>0</v>
      </c>
      <c r="BM170" s="63">
        <f>IF(BM157=0,0,INDEX(CaseData!$B$30:$N$53,MATCH(BM157,CaseData!$A$30:$A$53,0),MATCH($D170,CaseData!$B$29:$N$29,0)))</f>
        <v>0</v>
      </c>
      <c r="BN170" s="63">
        <f>IF(BN157=0,0,INDEX(CaseData!$B$30:$N$53,MATCH(BN157,CaseData!$A$30:$A$53,0),MATCH($D170,CaseData!$B$29:$N$29,0)))</f>
        <v>0</v>
      </c>
      <c r="BO170" s="63">
        <f>IF(BO157=0,0,INDEX(CaseData!$B$30:$N$53,MATCH(BO157,CaseData!$A$30:$A$53,0),MATCH($D170,CaseData!$B$29:$N$29,0)))</f>
        <v>0</v>
      </c>
      <c r="BP170" s="63">
        <f>IF(BP157=0,0,INDEX(CaseData!$B$30:$N$53,MATCH(BP157,CaseData!$A$30:$A$53,0),MATCH($D170,CaseData!$B$29:$N$29,0)))</f>
        <v>0</v>
      </c>
      <c r="BQ170" s="63">
        <f>IF(BQ157=0,0,INDEX(CaseData!$B$30:$N$53,MATCH(BQ157,CaseData!$A$30:$A$53,0),MATCH($D170,CaseData!$B$29:$N$29,0)))</f>
        <v>0</v>
      </c>
      <c r="BR170" s="63">
        <f>IF(BR157=0,0,INDEX(CaseData!$B$30:$N$53,MATCH(BR157,CaseData!$A$30:$A$53,0),MATCH($D170,CaseData!$B$29:$N$29,0)))</f>
        <v>0</v>
      </c>
      <c r="BS170" s="63">
        <f>IF(BS157=0,0,INDEX(CaseData!$B$30:$N$53,MATCH(BS157,CaseData!$A$30:$A$53,0),MATCH($D170,CaseData!$B$29:$N$29,0)))</f>
        <v>0</v>
      </c>
      <c r="BT170" s="63">
        <f>IF(BT157=0,0,INDEX(CaseData!$B$30:$N$53,MATCH(BT157,CaseData!$A$30:$A$53,0),MATCH($D170,CaseData!$B$29:$N$29,0)))</f>
        <v>0</v>
      </c>
      <c r="BU170" s="63">
        <f>IF(BU157=0,0,INDEX(CaseData!$B$30:$N$53,MATCH(BU157,CaseData!$A$30:$A$53,0),MATCH($D170,CaseData!$B$29:$N$29,0)))</f>
        <v>0</v>
      </c>
      <c r="BV170" s="63">
        <f>IF(BV157=0,0,INDEX(CaseData!$B$30:$N$53,MATCH(BV157,CaseData!$A$30:$A$53,0),MATCH($D170,CaseData!$B$29:$N$29,0)))</f>
        <v>0</v>
      </c>
      <c r="BW170" s="63">
        <f>IF(BW157=0,0,INDEX(CaseData!$B$30:$N$53,MATCH(BW157,CaseData!$A$30:$A$53,0),MATCH($D170,CaseData!$B$29:$N$29,0)))</f>
        <v>0</v>
      </c>
      <c r="BX170" s="63">
        <f>IF(BX157=0,0,INDEX(CaseData!$B$30:$N$53,MATCH(BX157,CaseData!$A$30:$A$53,0),MATCH($D170,CaseData!$B$29:$N$29,0)))</f>
        <v>0</v>
      </c>
      <c r="BY170" s="63">
        <f>IF(BY157=0,0,INDEX(CaseData!$B$30:$N$53,MATCH(BY157,CaseData!$A$30:$A$53,0),MATCH($D170,CaseData!$B$29:$N$29,0)))</f>
        <v>0</v>
      </c>
      <c r="BZ170" s="63">
        <f>IF(BZ157=0,0,INDEX(CaseData!$B$30:$N$53,MATCH(BZ157,CaseData!$A$30:$A$53,0),MATCH($D170,CaseData!$B$29:$N$29,0)))</f>
        <v>0</v>
      </c>
      <c r="CA170" s="63">
        <f>IF(CA157=0,0,INDEX(CaseData!$B$30:$N$53,MATCH(CA157,CaseData!$A$30:$A$53,0),MATCH($D170,CaseData!$B$29:$N$29,0)))</f>
        <v>0</v>
      </c>
      <c r="CB170" s="63">
        <f>IF(CB157=0,0,INDEX(CaseData!$B$30:$N$53,MATCH(CB157,CaseData!$A$30:$A$53,0),MATCH($D170,CaseData!$B$29:$N$29,0)))</f>
        <v>0</v>
      </c>
      <c r="CC170" s="63">
        <f>IF(CC157=0,0,INDEX(CaseData!$B$30:$N$53,MATCH(CC157,CaseData!$A$30:$A$53,0),MATCH($D170,CaseData!$B$29:$N$29,0)))</f>
        <v>0</v>
      </c>
      <c r="CD170" s="63">
        <f>IF(CD157=0,0,INDEX(CaseData!$B$30:$N$53,MATCH(CD157,CaseData!$A$30:$A$53,0),MATCH($D170,CaseData!$B$29:$N$29,0)))</f>
        <v>0</v>
      </c>
      <c r="CE170" s="63">
        <f>IF(CE157=0,0,INDEX(CaseData!$B$30:$N$53,MATCH(CE157,CaseData!$A$30:$A$53,0),MATCH($D170,CaseData!$B$29:$N$29,0)))</f>
        <v>0</v>
      </c>
      <c r="CF170" s="63">
        <f>IF(CF157=0,0,INDEX(CaseData!$B$30:$N$53,MATCH(CF157,CaseData!$A$30:$A$53,0),MATCH($D170,CaseData!$B$29:$N$29,0)))</f>
        <v>0</v>
      </c>
      <c r="CG170" s="63">
        <f>IF(CG157=0,0,INDEX(CaseData!$B$30:$N$53,MATCH(CG157,CaseData!$A$30:$A$53,0),MATCH($D170,CaseData!$B$29:$N$29,0)))</f>
        <v>0</v>
      </c>
      <c r="CH170" s="63">
        <f>IF(CH157=0,0,INDEX(CaseData!$B$30:$N$53,MATCH(CH157,CaseData!$A$30:$A$53,0),MATCH($D170,CaseData!$B$29:$N$29,0)))</f>
        <v>0</v>
      </c>
      <c r="CI170" s="63">
        <f>IF(CI157=0,0,INDEX(CaseData!$B$30:$N$53,MATCH(CI157,CaseData!$A$30:$A$53,0),MATCH($D170,CaseData!$B$29:$N$29,0)))</f>
        <v>0</v>
      </c>
      <c r="CJ170" s="63">
        <f>IF(CJ157=0,0,INDEX(CaseData!$B$30:$N$53,MATCH(CJ157,CaseData!$A$30:$A$53,0),MATCH($D170,CaseData!$B$29:$N$29,0)))</f>
        <v>0</v>
      </c>
      <c r="CK170" s="63">
        <f>IF(CK157=0,0,INDEX(CaseData!$B$30:$N$53,MATCH(CK157,CaseData!$A$30:$A$53,0),MATCH($D170,CaseData!$B$29:$N$29,0)))</f>
        <v>0</v>
      </c>
      <c r="CL170" s="63">
        <f>IF(CL157=0,0,INDEX(CaseData!$B$30:$N$53,MATCH(CL157,CaseData!$A$30:$A$53,0),MATCH($D170,CaseData!$B$29:$N$29,0)))</f>
        <v>0</v>
      </c>
      <c r="CM170" s="63">
        <f>IF(CM157=0,0,INDEX(CaseData!$B$30:$N$53,MATCH(CM157,CaseData!$A$30:$A$53,0),MATCH($D170,CaseData!$B$29:$N$29,0)))</f>
        <v>0</v>
      </c>
      <c r="CN170" s="63">
        <f>IF(CN157=0,0,INDEX(CaseData!$B$30:$N$53,MATCH(CN157,CaseData!$A$30:$A$53,0),MATCH($D170,CaseData!$B$29:$N$29,0)))</f>
        <v>0</v>
      </c>
      <c r="CO170" s="63">
        <f>IF(CO157=0,0,INDEX(CaseData!$B$30:$N$53,MATCH(CO157,CaseData!$A$30:$A$53,0),MATCH($D170,CaseData!$B$29:$N$29,0)))</f>
        <v>0</v>
      </c>
      <c r="CP170" s="63">
        <f>IF(CP157=0,0,INDEX(CaseData!$B$30:$N$53,MATCH(CP157,CaseData!$A$30:$A$53,0),MATCH($D170,CaseData!$B$29:$N$29,0)))</f>
        <v>0</v>
      </c>
      <c r="CQ170" s="63">
        <f>IF(CQ157=0,0,INDEX(CaseData!$B$30:$N$53,MATCH(CQ157,CaseData!$A$30:$A$53,0),MATCH($D170,CaseData!$B$29:$N$29,0)))</f>
        <v>0</v>
      </c>
      <c r="CR170" s="63">
        <f>IF(CR157=0,0,INDEX(CaseData!$B$30:$N$53,MATCH(CR157,CaseData!$A$30:$A$53,0),MATCH($D170,CaseData!$B$29:$N$29,0)))</f>
        <v>0</v>
      </c>
      <c r="CS170" s="63">
        <f>IF(CS157=0,0,INDEX(CaseData!$B$30:$N$53,MATCH(CS157,CaseData!$A$30:$A$53,0),MATCH($D170,CaseData!$B$29:$N$29,0)))</f>
        <v>0</v>
      </c>
      <c r="CT170" s="63">
        <f>IF(CT157=0,0,INDEX(CaseData!$B$30:$N$53,MATCH(CT157,CaseData!$A$30:$A$53,0),MATCH($D170,CaseData!$B$29:$N$29,0)))</f>
        <v>0</v>
      </c>
      <c r="CU170" s="63">
        <f>IF(CU157=0,0,INDEX(CaseData!$B$30:$N$53,MATCH(CU157,CaseData!$A$30:$A$53,0),MATCH($D170,CaseData!$B$29:$N$29,0)))</f>
        <v>0</v>
      </c>
      <c r="CV170" s="63">
        <f>IF(CV157=0,0,INDEX(CaseData!$B$30:$N$53,MATCH(CV157,CaseData!$A$30:$A$53,0),MATCH($D170,CaseData!$B$29:$N$29,0)))</f>
        <v>0</v>
      </c>
      <c r="CW170" s="63">
        <f>IF(CW157=0,0,INDEX(CaseData!$B$30:$N$53,MATCH(CW157,CaseData!$A$30:$A$53,0),MATCH($D170,CaseData!$B$29:$N$29,0)))</f>
        <v>0</v>
      </c>
      <c r="CX170" s="63">
        <f>IF(CX157=0,0,INDEX(CaseData!$B$30:$N$53,MATCH(CX157,CaseData!$A$30:$A$53,0),MATCH($D170,CaseData!$B$29:$N$29,0)))</f>
        <v>0</v>
      </c>
      <c r="CY170" s="63">
        <f>IF(CY157=0,0,INDEX(CaseData!$B$30:$N$53,MATCH(CY157,CaseData!$A$30:$A$53,0),MATCH($D170,CaseData!$B$29:$N$29,0)))</f>
        <v>0</v>
      </c>
      <c r="CZ170" s="63">
        <f>IF(CZ157=0,0,INDEX(CaseData!$B$30:$N$53,MATCH(CZ157,CaseData!$A$30:$A$53,0),MATCH($D170,CaseData!$B$29:$N$29,0)))</f>
        <v>0</v>
      </c>
      <c r="DA170" s="63">
        <f>IF(DA157=0,0,INDEX(CaseData!$B$30:$N$53,MATCH(DA157,CaseData!$A$30:$A$53,0),MATCH($D170,CaseData!$B$29:$N$29,0)))</f>
        <v>0</v>
      </c>
      <c r="DB170" s="63">
        <f>IF(DB157=0,0,INDEX(CaseData!$B$30:$N$53,MATCH(DB157,CaseData!$A$30:$A$53,0),MATCH($D170,CaseData!$B$29:$N$29,0)))</f>
        <v>0</v>
      </c>
      <c r="DC170" s="63">
        <f>IF(DC157=0,0,INDEX(CaseData!$B$30:$N$53,MATCH(DC157,CaseData!$A$30:$A$53,0),MATCH($D170,CaseData!$B$29:$N$29,0)))</f>
        <v>0</v>
      </c>
      <c r="DD170" s="63">
        <f>IF(DD157=0,0,INDEX(CaseData!$B$30:$N$53,MATCH(DD157,CaseData!$A$30:$A$53,0),MATCH($D170,CaseData!$B$29:$N$29,0)))</f>
        <v>0</v>
      </c>
      <c r="DE170" s="63">
        <f>IF(DE157=0,0,INDEX(CaseData!$B$30:$N$53,MATCH(DE157,CaseData!$A$30:$A$53,0),MATCH($D170,CaseData!$B$29:$N$29,0)))</f>
        <v>0</v>
      </c>
      <c r="DF170" s="63">
        <f>IF(DF157=0,0,INDEX(CaseData!$B$30:$N$53,MATCH(DF157,CaseData!$A$30:$A$53,0),MATCH($D170,CaseData!$B$29:$N$29,0)))</f>
        <v>0</v>
      </c>
      <c r="DG170" s="63">
        <f>IF(DG157=0,0,INDEX(CaseData!$B$30:$N$53,MATCH(DG157,CaseData!$A$30:$A$53,0),MATCH($D170,CaseData!$B$29:$N$29,0)))</f>
        <v>0</v>
      </c>
      <c r="DH170" s="63">
        <f>IF(DH157=0,0,INDEX(CaseData!$B$30:$N$53,MATCH(DH157,CaseData!$A$30:$A$53,0),MATCH($D170,CaseData!$B$29:$N$29,0)))</f>
        <v>0</v>
      </c>
      <c r="DI170" s="63">
        <f>IF(DI157=0,0,INDEX(CaseData!$B$30:$N$53,MATCH(DI157,CaseData!$A$30:$A$53,0),MATCH($D170,CaseData!$B$29:$N$29,0)))</f>
        <v>0</v>
      </c>
      <c r="DJ170" s="63">
        <f>IF(DJ157=0,0,INDEX(CaseData!$B$30:$N$53,MATCH(DJ157,CaseData!$A$30:$A$53,0),MATCH($D170,CaseData!$B$29:$N$29,0)))</f>
        <v>0</v>
      </c>
      <c r="DK170" s="63">
        <f>IF(DK157=0,0,INDEX(CaseData!$B$30:$N$53,MATCH(DK157,CaseData!$A$30:$A$53,0),MATCH($D170,CaseData!$B$29:$N$29,0)))</f>
        <v>0</v>
      </c>
      <c r="DL170" s="63">
        <f>IF(DL157=0,0,INDEX(CaseData!$B$30:$N$53,MATCH(DL157,CaseData!$A$30:$A$53,0),MATCH($D170,CaseData!$B$29:$N$29,0)))</f>
        <v>0</v>
      </c>
      <c r="DM170" s="63">
        <f>IF(DM157=0,0,INDEX(CaseData!$B$30:$N$53,MATCH(DM157,CaseData!$A$30:$A$53,0),MATCH($D170,CaseData!$B$29:$N$29,0)))</f>
        <v>0</v>
      </c>
      <c r="DN170" s="63">
        <f>IF(DN157=0,0,INDEX(CaseData!$B$30:$N$53,MATCH(DN157,CaseData!$A$30:$A$53,0),MATCH($D170,CaseData!$B$29:$N$29,0)))</f>
        <v>0</v>
      </c>
      <c r="DO170" s="63">
        <f>IF(DO157=0,0,INDEX(CaseData!$B$30:$N$53,MATCH(DO157,CaseData!$A$30:$A$53,0),MATCH($D170,CaseData!$B$29:$N$29,0)))</f>
        <v>0</v>
      </c>
      <c r="DP170" s="63">
        <f>IF(DP157=0,0,INDEX(CaseData!$B$30:$N$53,MATCH(DP157,CaseData!$A$30:$A$53,0),MATCH($D170,CaseData!$B$29:$N$29,0)))</f>
        <v>0</v>
      </c>
      <c r="DQ170" s="63">
        <f>IF(DQ157=0,0,INDEX(CaseData!$B$30:$N$53,MATCH(DQ157,CaseData!$A$30:$A$53,0),MATCH($D170,CaseData!$B$29:$N$29,0)))</f>
        <v>0</v>
      </c>
      <c r="DR170" s="63">
        <f>IF(DR157=0,0,INDEX(CaseData!$B$30:$N$53,MATCH(DR157,CaseData!$A$30:$A$53,0),MATCH($D170,CaseData!$B$29:$N$29,0)))</f>
        <v>0</v>
      </c>
      <c r="DS170" s="63">
        <f>IF(DS157=0,0,INDEX(CaseData!$B$30:$N$53,MATCH(DS157,CaseData!$A$30:$A$53,0),MATCH($D170,CaseData!$B$29:$N$29,0)))</f>
        <v>0</v>
      </c>
      <c r="DT170" s="63">
        <f>IF(DT157=0,0,INDEX(CaseData!$B$30:$N$53,MATCH(DT157,CaseData!$A$30:$A$53,0),MATCH($D170,CaseData!$B$29:$N$29,0)))</f>
        <v>0</v>
      </c>
      <c r="DU170" s="63">
        <f>IF(DU157=0,0,INDEX(CaseData!$B$30:$N$53,MATCH(DU157,CaseData!$A$30:$A$53,0),MATCH($D170,CaseData!$B$29:$N$29,0)))</f>
        <v>0</v>
      </c>
      <c r="DV170" s="63">
        <f>IF(DV157=0,0,INDEX(CaseData!$B$30:$N$53,MATCH(DV157,CaseData!$A$30:$A$53,0),MATCH($D170,CaseData!$B$29:$N$29,0)))</f>
        <v>0</v>
      </c>
    </row>
    <row r="171" spans="2:126" outlineLevel="1">
      <c r="B171" s="3" t="str">
        <f t="shared" si="144"/>
        <v>Property K</v>
      </c>
      <c r="C171" s="14"/>
      <c r="D171" s="14">
        <f t="shared" si="145"/>
        <v>12</v>
      </c>
      <c r="E171" s="35"/>
      <c r="F171" s="35"/>
      <c r="G171" s="63">
        <f>IF(G158=0,0,INDEX(CaseData!$B$30:$N$53,MATCH(G158,CaseData!$A$30:$A$53,0),MATCH($D171,CaseData!$B$29:$N$29,0)))</f>
        <v>0</v>
      </c>
      <c r="H171" s="63">
        <f>IF(H158=0,0,INDEX(CaseData!$B$30:$N$53,MATCH(H158,CaseData!$A$30:$A$53,0),MATCH($D171,CaseData!$B$29:$N$29,0)))</f>
        <v>0</v>
      </c>
      <c r="I171" s="63">
        <f>IF(I158=0,0,INDEX(CaseData!$B$30:$N$53,MATCH(I158,CaseData!$A$30:$A$53,0),MATCH($D171,CaseData!$B$29:$N$29,0)))</f>
        <v>0</v>
      </c>
      <c r="J171" s="63">
        <f>IF(J158=0,0,INDEX(CaseData!$B$30:$N$53,MATCH(J158,CaseData!$A$30:$A$53,0),MATCH($D171,CaseData!$B$29:$N$29,0)))</f>
        <v>0</v>
      </c>
      <c r="K171" s="63">
        <f>IF(K158=0,0,INDEX(CaseData!$B$30:$N$53,MATCH(K158,CaseData!$A$30:$A$53,0),MATCH($D171,CaseData!$B$29:$N$29,0)))</f>
        <v>0</v>
      </c>
      <c r="L171" s="63">
        <f>IF(L158=0,0,INDEX(CaseData!$B$30:$N$53,MATCH(L158,CaseData!$A$30:$A$53,0),MATCH($D171,CaseData!$B$29:$N$29,0)))</f>
        <v>0</v>
      </c>
      <c r="M171" s="63">
        <f>IF(M158=0,0,INDEX(CaseData!$B$30:$N$53,MATCH(M158,CaseData!$A$30:$A$53,0),MATCH($D171,CaseData!$B$29:$N$29,0)))</f>
        <v>0</v>
      </c>
      <c r="N171" s="63">
        <f>IF(N158=0,0,INDEX(CaseData!$B$30:$N$53,MATCH(N158,CaseData!$A$30:$A$53,0),MATCH($D171,CaseData!$B$29:$N$29,0)))</f>
        <v>0</v>
      </c>
      <c r="O171" s="63">
        <f>IF(O158=0,0,INDEX(CaseData!$B$30:$N$53,MATCH(O158,CaseData!$A$30:$A$53,0),MATCH($D171,CaseData!$B$29:$N$29,0)))</f>
        <v>0</v>
      </c>
      <c r="P171" s="63">
        <f>IF(P158=0,0,INDEX(CaseData!$B$30:$N$53,MATCH(P158,CaseData!$A$30:$A$53,0),MATCH($D171,CaseData!$B$29:$N$29,0)))</f>
        <v>0</v>
      </c>
      <c r="Q171" s="63">
        <f>IF(Q158=0,0,INDEX(CaseData!$B$30:$N$53,MATCH(Q158,CaseData!$A$30:$A$53,0),MATCH($D171,CaseData!$B$29:$N$29,0)))</f>
        <v>0</v>
      </c>
      <c r="R171" s="63">
        <f>IF(R158=0,0,INDEX(CaseData!$B$30:$N$53,MATCH(R158,CaseData!$A$30:$A$53,0),MATCH($D171,CaseData!$B$29:$N$29,0)))</f>
        <v>0</v>
      </c>
      <c r="S171" s="63">
        <f>IF(S158=0,0,INDEX(CaseData!$B$30:$N$53,MATCH(S158,CaseData!$A$30:$A$53,0),MATCH($D171,CaseData!$B$29:$N$29,0)))</f>
        <v>0</v>
      </c>
      <c r="T171" s="63">
        <f>IF(T158=0,0,INDEX(CaseData!$B$30:$N$53,MATCH(T158,CaseData!$A$30:$A$53,0),MATCH($D171,CaseData!$B$29:$N$29,0)))</f>
        <v>0</v>
      </c>
      <c r="U171" s="63">
        <f>IF(U158=0,0,INDEX(CaseData!$B$30:$N$53,MATCH(U158,CaseData!$A$30:$A$53,0),MATCH($D171,CaseData!$B$29:$N$29,0)))</f>
        <v>0</v>
      </c>
      <c r="V171" s="63">
        <f>IF(V158=0,0,INDEX(CaseData!$B$30:$N$53,MATCH(V158,CaseData!$A$30:$A$53,0),MATCH($D171,CaseData!$B$29:$N$29,0)))</f>
        <v>0</v>
      </c>
      <c r="W171" s="63">
        <f>IF(W158=0,0,INDEX(CaseData!$B$30:$N$53,MATCH(W158,CaseData!$A$30:$A$53,0),MATCH($D171,CaseData!$B$29:$N$29,0)))</f>
        <v>0</v>
      </c>
      <c r="X171" s="63">
        <f>IF(X158=0,0,INDEX(CaseData!$B$30:$N$53,MATCH(X158,CaseData!$A$30:$A$53,0),MATCH($D171,CaseData!$B$29:$N$29,0)))</f>
        <v>0</v>
      </c>
      <c r="Y171" s="63">
        <f>IF(Y158=0,0,INDEX(CaseData!$B$30:$N$53,MATCH(Y158,CaseData!$A$30:$A$53,0),MATCH($D171,CaseData!$B$29:$N$29,0)))</f>
        <v>0</v>
      </c>
      <c r="Z171" s="63">
        <f>IF(Z158=0,0,INDEX(CaseData!$B$30:$N$53,MATCH(Z158,CaseData!$A$30:$A$53,0),MATCH($D171,CaseData!$B$29:$N$29,0)))</f>
        <v>0</v>
      </c>
      <c r="AA171" s="63">
        <f>IF(AA158=0,0,INDEX(CaseData!$B$30:$N$53,MATCH(AA158,CaseData!$A$30:$A$53,0),MATCH($D171,CaseData!$B$29:$N$29,0)))</f>
        <v>0</v>
      </c>
      <c r="AB171" s="63">
        <f>IF(AB158=0,0,INDEX(CaseData!$B$30:$N$53,MATCH(AB158,CaseData!$A$30:$A$53,0),MATCH($D171,CaseData!$B$29:$N$29,0)))</f>
        <v>0.02</v>
      </c>
      <c r="AC171" s="63">
        <f>IF(AC158=0,0,INDEX(CaseData!$B$30:$N$53,MATCH(AC158,CaseData!$A$30:$A$53,0),MATCH($D171,CaseData!$B$29:$N$29,0)))</f>
        <v>0.03</v>
      </c>
      <c r="AD171" s="63">
        <f>IF(AD158=0,0,INDEX(CaseData!$B$30:$N$53,MATCH(AD158,CaseData!$A$30:$A$53,0),MATCH($D171,CaseData!$B$29:$N$29,0)))</f>
        <v>0.04</v>
      </c>
      <c r="AE171" s="63">
        <f>IF(AE158=0,0,INDEX(CaseData!$B$30:$N$53,MATCH(AE158,CaseData!$A$30:$A$53,0),MATCH($D171,CaseData!$B$29:$N$29,0)))</f>
        <v>0.05</v>
      </c>
      <c r="AF171" s="63">
        <f>IF(AF158=0,0,INDEX(CaseData!$B$30:$N$53,MATCH(AF158,CaseData!$A$30:$A$53,0),MATCH($D171,CaseData!$B$29:$N$29,0)))</f>
        <v>0.06</v>
      </c>
      <c r="AG171" s="63">
        <f>IF(AG158=0,0,INDEX(CaseData!$B$30:$N$53,MATCH(AG158,CaseData!$A$30:$A$53,0),MATCH($D171,CaseData!$B$29:$N$29,0)))</f>
        <v>0.08</v>
      </c>
      <c r="AH171" s="63">
        <f>IF(AH158=0,0,INDEX(CaseData!$B$30:$N$53,MATCH(AH158,CaseData!$A$30:$A$53,0),MATCH($D171,CaseData!$B$29:$N$29,0)))</f>
        <v>0.1</v>
      </c>
      <c r="AI171" s="63">
        <f>IF(AI158=0,0,INDEX(CaseData!$B$30:$N$53,MATCH(AI158,CaseData!$A$30:$A$53,0),MATCH($D171,CaseData!$B$29:$N$29,0)))</f>
        <v>0.12</v>
      </c>
      <c r="AJ171" s="63">
        <f>IF(AJ158=0,0,INDEX(CaseData!$B$30:$N$53,MATCH(AJ158,CaseData!$A$30:$A$53,0),MATCH($D171,CaseData!$B$29:$N$29,0)))</f>
        <v>0.14000000000000001</v>
      </c>
      <c r="AK171" s="63">
        <f>IF(AK158=0,0,INDEX(CaseData!$B$30:$N$53,MATCH(AK158,CaseData!$A$30:$A$53,0),MATCH($D171,CaseData!$B$29:$N$29,0)))</f>
        <v>0.16</v>
      </c>
      <c r="AL171" s="63">
        <f>IF(AL158=0,0,INDEX(CaseData!$B$30:$N$53,MATCH(AL158,CaseData!$A$30:$A$53,0),MATCH($D171,CaseData!$B$29:$N$29,0)))</f>
        <v>0.14000000000000001</v>
      </c>
      <c r="AM171" s="63">
        <f>IF(AM158=0,0,INDEX(CaseData!$B$30:$N$53,MATCH(AM158,CaseData!$A$30:$A$53,0),MATCH($D171,CaseData!$B$29:$N$29,0)))</f>
        <v>0.06</v>
      </c>
      <c r="AN171" s="63">
        <f>IF(AN158=0,0,INDEX(CaseData!$B$30:$N$53,MATCH(AN158,CaseData!$A$30:$A$53,0),MATCH($D171,CaseData!$B$29:$N$29,0)))</f>
        <v>0</v>
      </c>
      <c r="AO171" s="63">
        <f>IF(AO158=0,0,INDEX(CaseData!$B$30:$N$53,MATCH(AO158,CaseData!$A$30:$A$53,0),MATCH($D171,CaseData!$B$29:$N$29,0)))</f>
        <v>0</v>
      </c>
      <c r="AP171" s="63">
        <f>IF(AP158=0,0,INDEX(CaseData!$B$30:$N$53,MATCH(AP158,CaseData!$A$30:$A$53,0),MATCH($D171,CaseData!$B$29:$N$29,0)))</f>
        <v>0</v>
      </c>
      <c r="AQ171" s="63">
        <f>IF(AQ158=0,0,INDEX(CaseData!$B$30:$N$53,MATCH(AQ158,CaseData!$A$30:$A$53,0),MATCH($D171,CaseData!$B$29:$N$29,0)))</f>
        <v>0</v>
      </c>
      <c r="AR171" s="63">
        <f>IF(AR158=0,0,INDEX(CaseData!$B$30:$N$53,MATCH(AR158,CaseData!$A$30:$A$53,0),MATCH($D171,CaseData!$B$29:$N$29,0)))</f>
        <v>0</v>
      </c>
      <c r="AS171" s="63">
        <f>IF(AS158=0,0,INDEX(CaseData!$B$30:$N$53,MATCH(AS158,CaseData!$A$30:$A$53,0),MATCH($D171,CaseData!$B$29:$N$29,0)))</f>
        <v>0</v>
      </c>
      <c r="AT171" s="63">
        <f>IF(AT158=0,0,INDEX(CaseData!$B$30:$N$53,MATCH(AT158,CaseData!$A$30:$A$53,0),MATCH($D171,CaseData!$B$29:$N$29,0)))</f>
        <v>0</v>
      </c>
      <c r="AU171" s="63">
        <f>IF(AU158=0,0,INDEX(CaseData!$B$30:$N$53,MATCH(AU158,CaseData!$A$30:$A$53,0),MATCH($D171,CaseData!$B$29:$N$29,0)))</f>
        <v>0</v>
      </c>
      <c r="AV171" s="63">
        <f>IF(AV158=0,0,INDEX(CaseData!$B$30:$N$53,MATCH(AV158,CaseData!$A$30:$A$53,0),MATCH($D171,CaseData!$B$29:$N$29,0)))</f>
        <v>0</v>
      </c>
      <c r="AW171" s="63">
        <f>IF(AW158=0,0,INDEX(CaseData!$B$30:$N$53,MATCH(AW158,CaseData!$A$30:$A$53,0),MATCH($D171,CaseData!$B$29:$N$29,0)))</f>
        <v>0</v>
      </c>
      <c r="AX171" s="63">
        <f>IF(AX158=0,0,INDEX(CaseData!$B$30:$N$53,MATCH(AX158,CaseData!$A$30:$A$53,0),MATCH($D171,CaseData!$B$29:$N$29,0)))</f>
        <v>0</v>
      </c>
      <c r="AY171" s="63">
        <f>IF(AY158=0,0,INDEX(CaseData!$B$30:$N$53,MATCH(AY158,CaseData!$A$30:$A$53,0),MATCH($D171,CaseData!$B$29:$N$29,0)))</f>
        <v>0</v>
      </c>
      <c r="AZ171" s="63">
        <f>IF(AZ158=0,0,INDEX(CaseData!$B$30:$N$53,MATCH(AZ158,CaseData!$A$30:$A$53,0),MATCH($D171,CaseData!$B$29:$N$29,0)))</f>
        <v>0</v>
      </c>
      <c r="BA171" s="63">
        <f>IF(BA158=0,0,INDEX(CaseData!$B$30:$N$53,MATCH(BA158,CaseData!$A$30:$A$53,0),MATCH($D171,CaseData!$B$29:$N$29,0)))</f>
        <v>0</v>
      </c>
      <c r="BB171" s="63">
        <f>IF(BB158=0,0,INDEX(CaseData!$B$30:$N$53,MATCH(BB158,CaseData!$A$30:$A$53,0),MATCH($D171,CaseData!$B$29:$N$29,0)))</f>
        <v>0</v>
      </c>
      <c r="BC171" s="63">
        <f>IF(BC158=0,0,INDEX(CaseData!$B$30:$N$53,MATCH(BC158,CaseData!$A$30:$A$53,0),MATCH($D171,CaseData!$B$29:$N$29,0)))</f>
        <v>0</v>
      </c>
      <c r="BD171" s="63">
        <f>IF(BD158=0,0,INDEX(CaseData!$B$30:$N$53,MATCH(BD158,CaseData!$A$30:$A$53,0),MATCH($D171,CaseData!$B$29:$N$29,0)))</f>
        <v>0</v>
      </c>
      <c r="BE171" s="63">
        <f>IF(BE158=0,0,INDEX(CaseData!$B$30:$N$53,MATCH(BE158,CaseData!$A$30:$A$53,0),MATCH($D171,CaseData!$B$29:$N$29,0)))</f>
        <v>0</v>
      </c>
      <c r="BF171" s="63">
        <f>IF(BF158=0,0,INDEX(CaseData!$B$30:$N$53,MATCH(BF158,CaseData!$A$30:$A$53,0),MATCH($D171,CaseData!$B$29:$N$29,0)))</f>
        <v>0</v>
      </c>
      <c r="BG171" s="63">
        <f>IF(BG158=0,0,INDEX(CaseData!$B$30:$N$53,MATCH(BG158,CaseData!$A$30:$A$53,0),MATCH($D171,CaseData!$B$29:$N$29,0)))</f>
        <v>0</v>
      </c>
      <c r="BH171" s="63">
        <f>IF(BH158=0,0,INDEX(CaseData!$B$30:$N$53,MATCH(BH158,CaseData!$A$30:$A$53,0),MATCH($D171,CaseData!$B$29:$N$29,0)))</f>
        <v>0</v>
      </c>
      <c r="BI171" s="63">
        <f>IF(BI158=0,0,INDEX(CaseData!$B$30:$N$53,MATCH(BI158,CaseData!$A$30:$A$53,0),MATCH($D171,CaseData!$B$29:$N$29,0)))</f>
        <v>0</v>
      </c>
      <c r="BJ171" s="63">
        <f>IF(BJ158=0,0,INDEX(CaseData!$B$30:$N$53,MATCH(BJ158,CaseData!$A$30:$A$53,0),MATCH($D171,CaseData!$B$29:$N$29,0)))</f>
        <v>0</v>
      </c>
      <c r="BK171" s="63">
        <f>IF(BK158=0,0,INDEX(CaseData!$B$30:$N$53,MATCH(BK158,CaseData!$A$30:$A$53,0),MATCH($D171,CaseData!$B$29:$N$29,0)))</f>
        <v>0</v>
      </c>
      <c r="BL171" s="63">
        <f>IF(BL158=0,0,INDEX(CaseData!$B$30:$N$53,MATCH(BL158,CaseData!$A$30:$A$53,0),MATCH($D171,CaseData!$B$29:$N$29,0)))</f>
        <v>0</v>
      </c>
      <c r="BM171" s="63">
        <f>IF(BM158=0,0,INDEX(CaseData!$B$30:$N$53,MATCH(BM158,CaseData!$A$30:$A$53,0),MATCH($D171,CaseData!$B$29:$N$29,0)))</f>
        <v>0</v>
      </c>
      <c r="BN171" s="63">
        <f>IF(BN158=0,0,INDEX(CaseData!$B$30:$N$53,MATCH(BN158,CaseData!$A$30:$A$53,0),MATCH($D171,CaseData!$B$29:$N$29,0)))</f>
        <v>0</v>
      </c>
      <c r="BO171" s="63">
        <f>IF(BO158=0,0,INDEX(CaseData!$B$30:$N$53,MATCH(BO158,CaseData!$A$30:$A$53,0),MATCH($D171,CaseData!$B$29:$N$29,0)))</f>
        <v>0</v>
      </c>
      <c r="BP171" s="63">
        <f>IF(BP158=0,0,INDEX(CaseData!$B$30:$N$53,MATCH(BP158,CaseData!$A$30:$A$53,0),MATCH($D171,CaseData!$B$29:$N$29,0)))</f>
        <v>0</v>
      </c>
      <c r="BQ171" s="63">
        <f>IF(BQ158=0,0,INDEX(CaseData!$B$30:$N$53,MATCH(BQ158,CaseData!$A$30:$A$53,0),MATCH($D171,CaseData!$B$29:$N$29,0)))</f>
        <v>0</v>
      </c>
      <c r="BR171" s="63">
        <f>IF(BR158=0,0,INDEX(CaseData!$B$30:$N$53,MATCH(BR158,CaseData!$A$30:$A$53,0),MATCH($D171,CaseData!$B$29:$N$29,0)))</f>
        <v>0</v>
      </c>
      <c r="BS171" s="63">
        <f>IF(BS158=0,0,INDEX(CaseData!$B$30:$N$53,MATCH(BS158,CaseData!$A$30:$A$53,0),MATCH($D171,CaseData!$B$29:$N$29,0)))</f>
        <v>0</v>
      </c>
      <c r="BT171" s="63">
        <f>IF(BT158=0,0,INDEX(CaseData!$B$30:$N$53,MATCH(BT158,CaseData!$A$30:$A$53,0),MATCH($D171,CaseData!$B$29:$N$29,0)))</f>
        <v>0</v>
      </c>
      <c r="BU171" s="63">
        <f>IF(BU158=0,0,INDEX(CaseData!$B$30:$N$53,MATCH(BU158,CaseData!$A$30:$A$53,0),MATCH($D171,CaseData!$B$29:$N$29,0)))</f>
        <v>0</v>
      </c>
      <c r="BV171" s="63">
        <f>IF(BV158=0,0,INDEX(CaseData!$B$30:$N$53,MATCH(BV158,CaseData!$A$30:$A$53,0),MATCH($D171,CaseData!$B$29:$N$29,0)))</f>
        <v>0</v>
      </c>
      <c r="BW171" s="63">
        <f>IF(BW158=0,0,INDEX(CaseData!$B$30:$N$53,MATCH(BW158,CaseData!$A$30:$A$53,0),MATCH($D171,CaseData!$B$29:$N$29,0)))</f>
        <v>0</v>
      </c>
      <c r="BX171" s="63">
        <f>IF(BX158=0,0,INDEX(CaseData!$B$30:$N$53,MATCH(BX158,CaseData!$A$30:$A$53,0),MATCH($D171,CaseData!$B$29:$N$29,0)))</f>
        <v>0</v>
      </c>
      <c r="BY171" s="63">
        <f>IF(BY158=0,0,INDEX(CaseData!$B$30:$N$53,MATCH(BY158,CaseData!$A$30:$A$53,0),MATCH($D171,CaseData!$B$29:$N$29,0)))</f>
        <v>0</v>
      </c>
      <c r="BZ171" s="63">
        <f>IF(BZ158=0,0,INDEX(CaseData!$B$30:$N$53,MATCH(BZ158,CaseData!$A$30:$A$53,0),MATCH($D171,CaseData!$B$29:$N$29,0)))</f>
        <v>0</v>
      </c>
      <c r="CA171" s="63">
        <f>IF(CA158=0,0,INDEX(CaseData!$B$30:$N$53,MATCH(CA158,CaseData!$A$30:$A$53,0),MATCH($D171,CaseData!$B$29:$N$29,0)))</f>
        <v>0</v>
      </c>
      <c r="CB171" s="63">
        <f>IF(CB158=0,0,INDEX(CaseData!$B$30:$N$53,MATCH(CB158,CaseData!$A$30:$A$53,0),MATCH($D171,CaseData!$B$29:$N$29,0)))</f>
        <v>0</v>
      </c>
      <c r="CC171" s="63">
        <f>IF(CC158=0,0,INDEX(CaseData!$B$30:$N$53,MATCH(CC158,CaseData!$A$30:$A$53,0),MATCH($D171,CaseData!$B$29:$N$29,0)))</f>
        <v>0</v>
      </c>
      <c r="CD171" s="63">
        <f>IF(CD158=0,0,INDEX(CaseData!$B$30:$N$53,MATCH(CD158,CaseData!$A$30:$A$53,0),MATCH($D171,CaseData!$B$29:$N$29,0)))</f>
        <v>0</v>
      </c>
      <c r="CE171" s="63">
        <f>IF(CE158=0,0,INDEX(CaseData!$B$30:$N$53,MATCH(CE158,CaseData!$A$30:$A$53,0),MATCH($D171,CaseData!$B$29:$N$29,0)))</f>
        <v>0</v>
      </c>
      <c r="CF171" s="63">
        <f>IF(CF158=0,0,INDEX(CaseData!$B$30:$N$53,MATCH(CF158,CaseData!$A$30:$A$53,0),MATCH($D171,CaseData!$B$29:$N$29,0)))</f>
        <v>0</v>
      </c>
      <c r="CG171" s="63">
        <f>IF(CG158=0,0,INDEX(CaseData!$B$30:$N$53,MATCH(CG158,CaseData!$A$30:$A$53,0),MATCH($D171,CaseData!$B$29:$N$29,0)))</f>
        <v>0</v>
      </c>
      <c r="CH171" s="63">
        <f>IF(CH158=0,0,INDEX(CaseData!$B$30:$N$53,MATCH(CH158,CaseData!$A$30:$A$53,0),MATCH($D171,CaseData!$B$29:$N$29,0)))</f>
        <v>0</v>
      </c>
      <c r="CI171" s="63">
        <f>IF(CI158=0,0,INDEX(CaseData!$B$30:$N$53,MATCH(CI158,CaseData!$A$30:$A$53,0),MATCH($D171,CaseData!$B$29:$N$29,0)))</f>
        <v>0</v>
      </c>
      <c r="CJ171" s="63">
        <f>IF(CJ158=0,0,INDEX(CaseData!$B$30:$N$53,MATCH(CJ158,CaseData!$A$30:$A$53,0),MATCH($D171,CaseData!$B$29:$N$29,0)))</f>
        <v>0</v>
      </c>
      <c r="CK171" s="63">
        <f>IF(CK158=0,0,INDEX(CaseData!$B$30:$N$53,MATCH(CK158,CaseData!$A$30:$A$53,0),MATCH($D171,CaseData!$B$29:$N$29,0)))</f>
        <v>0</v>
      </c>
      <c r="CL171" s="63">
        <f>IF(CL158=0,0,INDEX(CaseData!$B$30:$N$53,MATCH(CL158,CaseData!$A$30:$A$53,0),MATCH($D171,CaseData!$B$29:$N$29,0)))</f>
        <v>0</v>
      </c>
      <c r="CM171" s="63">
        <f>IF(CM158=0,0,INDEX(CaseData!$B$30:$N$53,MATCH(CM158,CaseData!$A$30:$A$53,0),MATCH($D171,CaseData!$B$29:$N$29,0)))</f>
        <v>0</v>
      </c>
      <c r="CN171" s="63">
        <f>IF(CN158=0,0,INDEX(CaseData!$B$30:$N$53,MATCH(CN158,CaseData!$A$30:$A$53,0),MATCH($D171,CaseData!$B$29:$N$29,0)))</f>
        <v>0</v>
      </c>
      <c r="CO171" s="63">
        <f>IF(CO158=0,0,INDEX(CaseData!$B$30:$N$53,MATCH(CO158,CaseData!$A$30:$A$53,0),MATCH($D171,CaseData!$B$29:$N$29,0)))</f>
        <v>0</v>
      </c>
      <c r="CP171" s="63">
        <f>IF(CP158=0,0,INDEX(CaseData!$B$30:$N$53,MATCH(CP158,CaseData!$A$30:$A$53,0),MATCH($D171,CaseData!$B$29:$N$29,0)))</f>
        <v>0</v>
      </c>
      <c r="CQ171" s="63">
        <f>IF(CQ158=0,0,INDEX(CaseData!$B$30:$N$53,MATCH(CQ158,CaseData!$A$30:$A$53,0),MATCH($D171,CaseData!$B$29:$N$29,0)))</f>
        <v>0</v>
      </c>
      <c r="CR171" s="63">
        <f>IF(CR158=0,0,INDEX(CaseData!$B$30:$N$53,MATCH(CR158,CaseData!$A$30:$A$53,0),MATCH($D171,CaseData!$B$29:$N$29,0)))</f>
        <v>0</v>
      </c>
      <c r="CS171" s="63">
        <f>IF(CS158=0,0,INDEX(CaseData!$B$30:$N$53,MATCH(CS158,CaseData!$A$30:$A$53,0),MATCH($D171,CaseData!$B$29:$N$29,0)))</f>
        <v>0</v>
      </c>
      <c r="CT171" s="63">
        <f>IF(CT158=0,0,INDEX(CaseData!$B$30:$N$53,MATCH(CT158,CaseData!$A$30:$A$53,0),MATCH($D171,CaseData!$B$29:$N$29,0)))</f>
        <v>0</v>
      </c>
      <c r="CU171" s="63">
        <f>IF(CU158=0,0,INDEX(CaseData!$B$30:$N$53,MATCH(CU158,CaseData!$A$30:$A$53,0),MATCH($D171,CaseData!$B$29:$N$29,0)))</f>
        <v>0</v>
      </c>
      <c r="CV171" s="63">
        <f>IF(CV158=0,0,INDEX(CaseData!$B$30:$N$53,MATCH(CV158,CaseData!$A$30:$A$53,0),MATCH($D171,CaseData!$B$29:$N$29,0)))</f>
        <v>0</v>
      </c>
      <c r="CW171" s="63">
        <f>IF(CW158=0,0,INDEX(CaseData!$B$30:$N$53,MATCH(CW158,CaseData!$A$30:$A$53,0),MATCH($D171,CaseData!$B$29:$N$29,0)))</f>
        <v>0</v>
      </c>
      <c r="CX171" s="63">
        <f>IF(CX158=0,0,INDEX(CaseData!$B$30:$N$53,MATCH(CX158,CaseData!$A$30:$A$53,0),MATCH($D171,CaseData!$B$29:$N$29,0)))</f>
        <v>0</v>
      </c>
      <c r="CY171" s="63">
        <f>IF(CY158=0,0,INDEX(CaseData!$B$30:$N$53,MATCH(CY158,CaseData!$A$30:$A$53,0),MATCH($D171,CaseData!$B$29:$N$29,0)))</f>
        <v>0</v>
      </c>
      <c r="CZ171" s="63">
        <f>IF(CZ158=0,0,INDEX(CaseData!$B$30:$N$53,MATCH(CZ158,CaseData!$A$30:$A$53,0),MATCH($D171,CaseData!$B$29:$N$29,0)))</f>
        <v>0</v>
      </c>
      <c r="DA171" s="63">
        <f>IF(DA158=0,0,INDEX(CaseData!$B$30:$N$53,MATCH(DA158,CaseData!$A$30:$A$53,0),MATCH($D171,CaseData!$B$29:$N$29,0)))</f>
        <v>0</v>
      </c>
      <c r="DB171" s="63">
        <f>IF(DB158=0,0,INDEX(CaseData!$B$30:$N$53,MATCH(DB158,CaseData!$A$30:$A$53,0),MATCH($D171,CaseData!$B$29:$N$29,0)))</f>
        <v>0</v>
      </c>
      <c r="DC171" s="63">
        <f>IF(DC158=0,0,INDEX(CaseData!$B$30:$N$53,MATCH(DC158,CaseData!$A$30:$A$53,0),MATCH($D171,CaseData!$B$29:$N$29,0)))</f>
        <v>0</v>
      </c>
      <c r="DD171" s="63">
        <f>IF(DD158=0,0,INDEX(CaseData!$B$30:$N$53,MATCH(DD158,CaseData!$A$30:$A$53,0),MATCH($D171,CaseData!$B$29:$N$29,0)))</f>
        <v>0</v>
      </c>
      <c r="DE171" s="63">
        <f>IF(DE158=0,0,INDEX(CaseData!$B$30:$N$53,MATCH(DE158,CaseData!$A$30:$A$53,0),MATCH($D171,CaseData!$B$29:$N$29,0)))</f>
        <v>0</v>
      </c>
      <c r="DF171" s="63">
        <f>IF(DF158=0,0,INDEX(CaseData!$B$30:$N$53,MATCH(DF158,CaseData!$A$30:$A$53,0),MATCH($D171,CaseData!$B$29:$N$29,0)))</f>
        <v>0</v>
      </c>
      <c r="DG171" s="63">
        <f>IF(DG158=0,0,INDEX(CaseData!$B$30:$N$53,MATCH(DG158,CaseData!$A$30:$A$53,0),MATCH($D171,CaseData!$B$29:$N$29,0)))</f>
        <v>0</v>
      </c>
      <c r="DH171" s="63">
        <f>IF(DH158=0,0,INDEX(CaseData!$B$30:$N$53,MATCH(DH158,CaseData!$A$30:$A$53,0),MATCH($D171,CaseData!$B$29:$N$29,0)))</f>
        <v>0</v>
      </c>
      <c r="DI171" s="63">
        <f>IF(DI158=0,0,INDEX(CaseData!$B$30:$N$53,MATCH(DI158,CaseData!$A$30:$A$53,0),MATCH($D171,CaseData!$B$29:$N$29,0)))</f>
        <v>0</v>
      </c>
      <c r="DJ171" s="63">
        <f>IF(DJ158=0,0,INDEX(CaseData!$B$30:$N$53,MATCH(DJ158,CaseData!$A$30:$A$53,0),MATCH($D171,CaseData!$B$29:$N$29,0)))</f>
        <v>0</v>
      </c>
      <c r="DK171" s="63">
        <f>IF(DK158=0,0,INDEX(CaseData!$B$30:$N$53,MATCH(DK158,CaseData!$A$30:$A$53,0),MATCH($D171,CaseData!$B$29:$N$29,0)))</f>
        <v>0</v>
      </c>
      <c r="DL171" s="63">
        <f>IF(DL158=0,0,INDEX(CaseData!$B$30:$N$53,MATCH(DL158,CaseData!$A$30:$A$53,0),MATCH($D171,CaseData!$B$29:$N$29,0)))</f>
        <v>0</v>
      </c>
      <c r="DM171" s="63">
        <f>IF(DM158=0,0,INDEX(CaseData!$B$30:$N$53,MATCH(DM158,CaseData!$A$30:$A$53,0),MATCH($D171,CaseData!$B$29:$N$29,0)))</f>
        <v>0</v>
      </c>
      <c r="DN171" s="63">
        <f>IF(DN158=0,0,INDEX(CaseData!$B$30:$N$53,MATCH(DN158,CaseData!$A$30:$A$53,0),MATCH($D171,CaseData!$B$29:$N$29,0)))</f>
        <v>0</v>
      </c>
      <c r="DO171" s="63">
        <f>IF(DO158=0,0,INDEX(CaseData!$B$30:$N$53,MATCH(DO158,CaseData!$A$30:$A$53,0),MATCH($D171,CaseData!$B$29:$N$29,0)))</f>
        <v>0</v>
      </c>
      <c r="DP171" s="63">
        <f>IF(DP158=0,0,INDEX(CaseData!$B$30:$N$53,MATCH(DP158,CaseData!$A$30:$A$53,0),MATCH($D171,CaseData!$B$29:$N$29,0)))</f>
        <v>0</v>
      </c>
      <c r="DQ171" s="63">
        <f>IF(DQ158=0,0,INDEX(CaseData!$B$30:$N$53,MATCH(DQ158,CaseData!$A$30:$A$53,0),MATCH($D171,CaseData!$B$29:$N$29,0)))</f>
        <v>0</v>
      </c>
      <c r="DR171" s="63">
        <f>IF(DR158=0,0,INDEX(CaseData!$B$30:$N$53,MATCH(DR158,CaseData!$A$30:$A$53,0),MATCH($D171,CaseData!$B$29:$N$29,0)))</f>
        <v>0</v>
      </c>
      <c r="DS171" s="63">
        <f>IF(DS158=0,0,INDEX(CaseData!$B$30:$N$53,MATCH(DS158,CaseData!$A$30:$A$53,0),MATCH($D171,CaseData!$B$29:$N$29,0)))</f>
        <v>0</v>
      </c>
      <c r="DT171" s="63">
        <f>IF(DT158=0,0,INDEX(CaseData!$B$30:$N$53,MATCH(DT158,CaseData!$A$30:$A$53,0),MATCH($D171,CaseData!$B$29:$N$29,0)))</f>
        <v>0</v>
      </c>
      <c r="DU171" s="63">
        <f>IF(DU158=0,0,INDEX(CaseData!$B$30:$N$53,MATCH(DU158,CaseData!$A$30:$A$53,0),MATCH($D171,CaseData!$B$29:$N$29,0)))</f>
        <v>0</v>
      </c>
      <c r="DV171" s="63">
        <f>IF(DV158=0,0,INDEX(CaseData!$B$30:$N$53,MATCH(DV158,CaseData!$A$30:$A$53,0),MATCH($D171,CaseData!$B$29:$N$29,0)))</f>
        <v>0</v>
      </c>
    </row>
    <row r="172" spans="2:126" outlineLevel="1">
      <c r="B172" s="3" t="str">
        <f t="shared" si="144"/>
        <v>Property L</v>
      </c>
      <c r="C172" s="14"/>
      <c r="D172" s="14">
        <f t="shared" si="145"/>
        <v>23</v>
      </c>
      <c r="E172" s="35"/>
      <c r="F172" s="35"/>
      <c r="G172" s="63">
        <f>IF(G159=0,0,INDEX(CaseData!$B$30:$N$53,MATCH(G159,CaseData!$A$30:$A$53,0),MATCH($D172,CaseData!$B$29:$N$29,0)))</f>
        <v>0</v>
      </c>
      <c r="H172" s="63">
        <f>IF(H159=0,0,INDEX(CaseData!$B$30:$N$53,MATCH(H159,CaseData!$A$30:$A$53,0),MATCH($D172,CaseData!$B$29:$N$29,0)))</f>
        <v>0</v>
      </c>
      <c r="I172" s="63">
        <f>IF(I159=0,0,INDEX(CaseData!$B$30:$N$53,MATCH(I159,CaseData!$A$30:$A$53,0),MATCH($D172,CaseData!$B$29:$N$29,0)))</f>
        <v>0</v>
      </c>
      <c r="J172" s="63">
        <f>IF(J159=0,0,INDEX(CaseData!$B$30:$N$53,MATCH(J159,CaseData!$A$30:$A$53,0),MATCH($D172,CaseData!$B$29:$N$29,0)))</f>
        <v>0</v>
      </c>
      <c r="K172" s="63">
        <f>IF(K159=0,0,INDEX(CaseData!$B$30:$N$53,MATCH(K159,CaseData!$A$30:$A$53,0),MATCH($D172,CaseData!$B$29:$N$29,0)))</f>
        <v>0</v>
      </c>
      <c r="L172" s="63">
        <f>IF(L159=0,0,INDEX(CaseData!$B$30:$N$53,MATCH(L159,CaseData!$A$30:$A$53,0),MATCH($D172,CaseData!$B$29:$N$29,0)))</f>
        <v>0</v>
      </c>
      <c r="M172" s="63">
        <f>IF(M159=0,0,INDEX(CaseData!$B$30:$N$53,MATCH(M159,CaseData!$A$30:$A$53,0),MATCH($D172,CaseData!$B$29:$N$29,0)))</f>
        <v>0</v>
      </c>
      <c r="N172" s="63">
        <f>IF(N159=0,0,INDEX(CaseData!$B$30:$N$53,MATCH(N159,CaseData!$A$30:$A$53,0),MATCH($D172,CaseData!$B$29:$N$29,0)))</f>
        <v>0</v>
      </c>
      <c r="O172" s="63">
        <f>IF(O159=0,0,INDEX(CaseData!$B$30:$N$53,MATCH(O159,CaseData!$A$30:$A$53,0),MATCH($D172,CaseData!$B$29:$N$29,0)))</f>
        <v>0</v>
      </c>
      <c r="P172" s="63">
        <f>IF(P159=0,0,INDEX(CaseData!$B$30:$N$53,MATCH(P159,CaseData!$A$30:$A$53,0),MATCH($D172,CaseData!$B$29:$N$29,0)))</f>
        <v>0</v>
      </c>
      <c r="Q172" s="63">
        <f>IF(Q159=0,0,INDEX(CaseData!$B$30:$N$53,MATCH(Q159,CaseData!$A$30:$A$53,0),MATCH($D172,CaseData!$B$29:$N$29,0)))</f>
        <v>0</v>
      </c>
      <c r="R172" s="63">
        <f>IF(R159=0,0,INDEX(CaseData!$B$30:$N$53,MATCH(R159,CaseData!$A$30:$A$53,0),MATCH($D172,CaseData!$B$29:$N$29,0)))</f>
        <v>0</v>
      </c>
      <c r="S172" s="63">
        <f>IF(S159=0,0,INDEX(CaseData!$B$30:$N$53,MATCH(S159,CaseData!$A$30:$A$53,0),MATCH($D172,CaseData!$B$29:$N$29,0)))</f>
        <v>0</v>
      </c>
      <c r="T172" s="63">
        <f>IF(T159=0,0,INDEX(CaseData!$B$30:$N$53,MATCH(T159,CaseData!$A$30:$A$53,0),MATCH($D172,CaseData!$B$29:$N$29,0)))</f>
        <v>0</v>
      </c>
      <c r="U172" s="63">
        <f>IF(U159=0,0,INDEX(CaseData!$B$30:$N$53,MATCH(U159,CaseData!$A$30:$A$53,0),MATCH($D172,CaseData!$B$29:$N$29,0)))</f>
        <v>0</v>
      </c>
      <c r="V172" s="63">
        <f>IF(V159=0,0,INDEX(CaseData!$B$30:$N$53,MATCH(V159,CaseData!$A$30:$A$53,0),MATCH($D172,CaseData!$B$29:$N$29,0)))</f>
        <v>0</v>
      </c>
      <c r="W172" s="63">
        <f>IF(W159=0,0,INDEX(CaseData!$B$30:$N$53,MATCH(W159,CaseData!$A$30:$A$53,0),MATCH($D172,CaseData!$B$29:$N$29,0)))</f>
        <v>0</v>
      </c>
      <c r="X172" s="63">
        <f>IF(X159=0,0,INDEX(CaseData!$B$30:$N$53,MATCH(X159,CaseData!$A$30:$A$53,0),MATCH($D172,CaseData!$B$29:$N$29,0)))</f>
        <v>0</v>
      </c>
      <c r="Y172" s="63">
        <f>IF(Y159=0,0,INDEX(CaseData!$B$30:$N$53,MATCH(Y159,CaseData!$A$30:$A$53,0),MATCH($D172,CaseData!$B$29:$N$29,0)))</f>
        <v>0</v>
      </c>
      <c r="Z172" s="63">
        <f>IF(Z159=0,0,INDEX(CaseData!$B$30:$N$53,MATCH(Z159,CaseData!$A$30:$A$53,0),MATCH($D172,CaseData!$B$29:$N$29,0)))</f>
        <v>0</v>
      </c>
      <c r="AA172" s="63">
        <f>IF(AA159=0,0,INDEX(CaseData!$B$30:$N$53,MATCH(AA159,CaseData!$A$30:$A$53,0),MATCH($D172,CaseData!$B$29:$N$29,0)))</f>
        <v>0</v>
      </c>
      <c r="AB172" s="63">
        <f>IF(AB159=0,0,INDEX(CaseData!$B$30:$N$53,MATCH(AB159,CaseData!$A$30:$A$53,0),MATCH($D172,CaseData!$B$29:$N$29,0)))</f>
        <v>0</v>
      </c>
      <c r="AC172" s="63">
        <f>IF(AC159=0,0,INDEX(CaseData!$B$30:$N$53,MATCH(AC159,CaseData!$A$30:$A$53,0),MATCH($D172,CaseData!$B$29:$N$29,0)))</f>
        <v>0</v>
      </c>
      <c r="AD172" s="63">
        <f>IF(AD159=0,0,INDEX(CaseData!$B$30:$N$53,MATCH(AD159,CaseData!$A$30:$A$53,0),MATCH($D172,CaseData!$B$29:$N$29,0)))</f>
        <v>0</v>
      </c>
      <c r="AE172" s="63">
        <f>IF(AE159=0,0,INDEX(CaseData!$B$30:$N$53,MATCH(AE159,CaseData!$A$30:$A$53,0),MATCH($D172,CaseData!$B$29:$N$29,0)))</f>
        <v>0</v>
      </c>
      <c r="AF172" s="63">
        <f>IF(AF159=0,0,INDEX(CaseData!$B$30:$N$53,MATCH(AF159,CaseData!$A$30:$A$53,0),MATCH($D172,CaseData!$B$29:$N$29,0)))</f>
        <v>0</v>
      </c>
      <c r="AG172" s="63">
        <f>IF(AG159=0,0,INDEX(CaseData!$B$30:$N$53,MATCH(AG159,CaseData!$A$30:$A$53,0),MATCH($D172,CaseData!$B$29:$N$29,0)))</f>
        <v>0</v>
      </c>
      <c r="AH172" s="63">
        <f>IF(AH159=0,0,INDEX(CaseData!$B$30:$N$53,MATCH(AH159,CaseData!$A$30:$A$53,0),MATCH($D172,CaseData!$B$29:$N$29,0)))</f>
        <v>0.01</v>
      </c>
      <c r="AI172" s="63">
        <f>IF(AI159=0,0,INDEX(CaseData!$B$30:$N$53,MATCH(AI159,CaseData!$A$30:$A$53,0),MATCH($D172,CaseData!$B$29:$N$29,0)))</f>
        <v>0.01</v>
      </c>
      <c r="AJ172" s="63">
        <f>IF(AJ159=0,0,INDEX(CaseData!$B$30:$N$53,MATCH(AJ159,CaseData!$A$30:$A$53,0),MATCH($D172,CaseData!$B$29:$N$29,0)))</f>
        <v>1.4999999999999999E-2</v>
      </c>
      <c r="AK172" s="63">
        <f>IF(AK159=0,0,INDEX(CaseData!$B$30:$N$53,MATCH(AK159,CaseData!$A$30:$A$53,0),MATCH($D172,CaseData!$B$29:$N$29,0)))</f>
        <v>0.02</v>
      </c>
      <c r="AL172" s="63">
        <f>IF(AL159=0,0,INDEX(CaseData!$B$30:$N$53,MATCH(AL159,CaseData!$A$30:$A$53,0),MATCH($D172,CaseData!$B$29:$N$29,0)))</f>
        <v>0.02</v>
      </c>
      <c r="AM172" s="63">
        <f>IF(AM159=0,0,INDEX(CaseData!$B$30:$N$53,MATCH(AM159,CaseData!$A$30:$A$53,0),MATCH($D172,CaseData!$B$29:$N$29,0)))</f>
        <v>2.5000000000000001E-2</v>
      </c>
      <c r="AN172" s="63">
        <f>IF(AN159=0,0,INDEX(CaseData!$B$30:$N$53,MATCH(AN159,CaseData!$A$30:$A$53,0),MATCH($D172,CaseData!$B$29:$N$29,0)))</f>
        <v>2.5000000000000001E-2</v>
      </c>
      <c r="AO172" s="63">
        <f>IF(AO159=0,0,INDEX(CaseData!$B$30:$N$53,MATCH(AO159,CaseData!$A$30:$A$53,0),MATCH($D172,CaseData!$B$29:$N$29,0)))</f>
        <v>0.03</v>
      </c>
      <c r="AP172" s="63">
        <f>IF(AP159=0,0,INDEX(CaseData!$B$30:$N$53,MATCH(AP159,CaseData!$A$30:$A$53,0),MATCH($D172,CaseData!$B$29:$N$29,0)))</f>
        <v>0.03</v>
      </c>
      <c r="AQ172" s="63">
        <f>IF(AQ159=0,0,INDEX(CaseData!$B$30:$N$53,MATCH(AQ159,CaseData!$A$30:$A$53,0),MATCH($D172,CaseData!$B$29:$N$29,0)))</f>
        <v>3.5000000000000003E-2</v>
      </c>
      <c r="AR172" s="63">
        <f>IF(AR159=0,0,INDEX(CaseData!$B$30:$N$53,MATCH(AR159,CaseData!$A$30:$A$53,0),MATCH($D172,CaseData!$B$29:$N$29,0)))</f>
        <v>0.04</v>
      </c>
      <c r="AS172" s="63">
        <f>IF(AS159=0,0,INDEX(CaseData!$B$30:$N$53,MATCH(AS159,CaseData!$A$30:$A$53,0),MATCH($D172,CaseData!$B$29:$N$29,0)))</f>
        <v>4.4999999999999998E-2</v>
      </c>
      <c r="AT172" s="63">
        <f>IF(AT159=0,0,INDEX(CaseData!$B$30:$N$53,MATCH(AT159,CaseData!$A$30:$A$53,0),MATCH($D172,CaseData!$B$29:$N$29,0)))</f>
        <v>0.05</v>
      </c>
      <c r="AU172" s="63">
        <f>IF(AU159=0,0,INDEX(CaseData!$B$30:$N$53,MATCH(AU159,CaseData!$A$30:$A$53,0),MATCH($D172,CaseData!$B$29:$N$29,0)))</f>
        <v>5.5E-2</v>
      </c>
      <c r="AV172" s="63">
        <f>IF(AV159=0,0,INDEX(CaseData!$B$30:$N$53,MATCH(AV159,CaseData!$A$30:$A$53,0),MATCH($D172,CaseData!$B$29:$N$29,0)))</f>
        <v>0.06</v>
      </c>
      <c r="AW172" s="63">
        <f>IF(AW159=0,0,INDEX(CaseData!$B$30:$N$53,MATCH(AW159,CaseData!$A$30:$A$53,0),MATCH($D172,CaseData!$B$29:$N$29,0)))</f>
        <v>7.0000000000000007E-2</v>
      </c>
      <c r="AX172" s="63">
        <f>IF(AX159=0,0,INDEX(CaseData!$B$30:$N$53,MATCH(AX159,CaseData!$A$30:$A$53,0),MATCH($D172,CaseData!$B$29:$N$29,0)))</f>
        <v>0.08</v>
      </c>
      <c r="AY172" s="63">
        <f>IF(AY159=0,0,INDEX(CaseData!$B$30:$N$53,MATCH(AY159,CaseData!$A$30:$A$53,0),MATCH($D172,CaseData!$B$29:$N$29,0)))</f>
        <v>0.08</v>
      </c>
      <c r="AZ172" s="63">
        <f>IF(AZ159=0,0,INDEX(CaseData!$B$30:$N$53,MATCH(AZ159,CaseData!$A$30:$A$53,0),MATCH($D172,CaseData!$B$29:$N$29,0)))</f>
        <v>0.08</v>
      </c>
      <c r="BA172" s="63">
        <f>IF(BA159=0,0,INDEX(CaseData!$B$30:$N$53,MATCH(BA159,CaseData!$A$30:$A$53,0),MATCH($D172,CaseData!$B$29:$N$29,0)))</f>
        <v>0.08</v>
      </c>
      <c r="BB172" s="63">
        <f>IF(BB159=0,0,INDEX(CaseData!$B$30:$N$53,MATCH(BB159,CaseData!$A$30:$A$53,0),MATCH($D172,CaseData!$B$29:$N$29,0)))</f>
        <v>0.06</v>
      </c>
      <c r="BC172" s="63">
        <f>IF(BC159=0,0,INDEX(CaseData!$B$30:$N$53,MATCH(BC159,CaseData!$A$30:$A$53,0),MATCH($D172,CaseData!$B$29:$N$29,0)))</f>
        <v>0.05</v>
      </c>
      <c r="BD172" s="63">
        <f>IF(BD159=0,0,INDEX(CaseData!$B$30:$N$53,MATCH(BD159,CaseData!$A$30:$A$53,0),MATCH($D172,CaseData!$B$29:$N$29,0)))</f>
        <v>0.03</v>
      </c>
      <c r="BE172" s="63">
        <f>IF(BE159=0,0,INDEX(CaseData!$B$30:$N$53,MATCH(BE159,CaseData!$A$30:$A$53,0),MATCH($D172,CaseData!$B$29:$N$29,0)))</f>
        <v>0</v>
      </c>
      <c r="BF172" s="63">
        <f>IF(BF159=0,0,INDEX(CaseData!$B$30:$N$53,MATCH(BF159,CaseData!$A$30:$A$53,0),MATCH($D172,CaseData!$B$29:$N$29,0)))</f>
        <v>0</v>
      </c>
      <c r="BG172" s="63">
        <f>IF(BG159=0,0,INDEX(CaseData!$B$30:$N$53,MATCH(BG159,CaseData!$A$30:$A$53,0),MATCH($D172,CaseData!$B$29:$N$29,0)))</f>
        <v>0</v>
      </c>
      <c r="BH172" s="63">
        <f>IF(BH159=0,0,INDEX(CaseData!$B$30:$N$53,MATCH(BH159,CaseData!$A$30:$A$53,0),MATCH($D172,CaseData!$B$29:$N$29,0)))</f>
        <v>0</v>
      </c>
      <c r="BI172" s="63">
        <f>IF(BI159=0,0,INDEX(CaseData!$B$30:$N$53,MATCH(BI159,CaseData!$A$30:$A$53,0),MATCH($D172,CaseData!$B$29:$N$29,0)))</f>
        <v>0</v>
      </c>
      <c r="BJ172" s="63">
        <f>IF(BJ159=0,0,INDEX(CaseData!$B$30:$N$53,MATCH(BJ159,CaseData!$A$30:$A$53,0),MATCH($D172,CaseData!$B$29:$N$29,0)))</f>
        <v>0</v>
      </c>
      <c r="BK172" s="63">
        <f>IF(BK159=0,0,INDEX(CaseData!$B$30:$N$53,MATCH(BK159,CaseData!$A$30:$A$53,0),MATCH($D172,CaseData!$B$29:$N$29,0)))</f>
        <v>0</v>
      </c>
      <c r="BL172" s="63">
        <f>IF(BL159=0,0,INDEX(CaseData!$B$30:$N$53,MATCH(BL159,CaseData!$A$30:$A$53,0),MATCH($D172,CaseData!$B$29:$N$29,0)))</f>
        <v>0</v>
      </c>
      <c r="BM172" s="63">
        <f>IF(BM159=0,0,INDEX(CaseData!$B$30:$N$53,MATCH(BM159,CaseData!$A$30:$A$53,0),MATCH($D172,CaseData!$B$29:$N$29,0)))</f>
        <v>0</v>
      </c>
      <c r="BN172" s="63">
        <f>IF(BN159=0,0,INDEX(CaseData!$B$30:$N$53,MATCH(BN159,CaseData!$A$30:$A$53,0),MATCH($D172,CaseData!$B$29:$N$29,0)))</f>
        <v>0</v>
      </c>
      <c r="BO172" s="63">
        <f>IF(BO159=0,0,INDEX(CaseData!$B$30:$N$53,MATCH(BO159,CaseData!$A$30:$A$53,0),MATCH($D172,CaseData!$B$29:$N$29,0)))</f>
        <v>0</v>
      </c>
      <c r="BP172" s="63">
        <f>IF(BP159=0,0,INDEX(CaseData!$B$30:$N$53,MATCH(BP159,CaseData!$A$30:$A$53,0),MATCH($D172,CaseData!$B$29:$N$29,0)))</f>
        <v>0</v>
      </c>
      <c r="BQ172" s="63">
        <f>IF(BQ159=0,0,INDEX(CaseData!$B$30:$N$53,MATCH(BQ159,CaseData!$A$30:$A$53,0),MATCH($D172,CaseData!$B$29:$N$29,0)))</f>
        <v>0</v>
      </c>
      <c r="BR172" s="63">
        <f>IF(BR159=0,0,INDEX(CaseData!$B$30:$N$53,MATCH(BR159,CaseData!$A$30:$A$53,0),MATCH($D172,CaseData!$B$29:$N$29,0)))</f>
        <v>0</v>
      </c>
      <c r="BS172" s="63">
        <f>IF(BS159=0,0,INDEX(CaseData!$B$30:$N$53,MATCH(BS159,CaseData!$A$30:$A$53,0),MATCH($D172,CaseData!$B$29:$N$29,0)))</f>
        <v>0</v>
      </c>
      <c r="BT172" s="63">
        <f>IF(BT159=0,0,INDEX(CaseData!$B$30:$N$53,MATCH(BT159,CaseData!$A$30:$A$53,0),MATCH($D172,CaseData!$B$29:$N$29,0)))</f>
        <v>0</v>
      </c>
      <c r="BU172" s="63">
        <f>IF(BU159=0,0,INDEX(CaseData!$B$30:$N$53,MATCH(BU159,CaseData!$A$30:$A$53,0),MATCH($D172,CaseData!$B$29:$N$29,0)))</f>
        <v>0</v>
      </c>
      <c r="BV172" s="63">
        <f>IF(BV159=0,0,INDEX(CaseData!$B$30:$N$53,MATCH(BV159,CaseData!$A$30:$A$53,0),MATCH($D172,CaseData!$B$29:$N$29,0)))</f>
        <v>0</v>
      </c>
      <c r="BW172" s="63">
        <f>IF(BW159=0,0,INDEX(CaseData!$B$30:$N$53,MATCH(BW159,CaseData!$A$30:$A$53,0),MATCH($D172,CaseData!$B$29:$N$29,0)))</f>
        <v>0</v>
      </c>
      <c r="BX172" s="63">
        <f>IF(BX159=0,0,INDEX(CaseData!$B$30:$N$53,MATCH(BX159,CaseData!$A$30:$A$53,0),MATCH($D172,CaseData!$B$29:$N$29,0)))</f>
        <v>0</v>
      </c>
      <c r="BY172" s="63">
        <f>IF(BY159=0,0,INDEX(CaseData!$B$30:$N$53,MATCH(BY159,CaseData!$A$30:$A$53,0),MATCH($D172,CaseData!$B$29:$N$29,0)))</f>
        <v>0</v>
      </c>
      <c r="BZ172" s="63">
        <f>IF(BZ159=0,0,INDEX(CaseData!$B$30:$N$53,MATCH(BZ159,CaseData!$A$30:$A$53,0),MATCH($D172,CaseData!$B$29:$N$29,0)))</f>
        <v>0</v>
      </c>
      <c r="CA172" s="63">
        <f>IF(CA159=0,0,INDEX(CaseData!$B$30:$N$53,MATCH(CA159,CaseData!$A$30:$A$53,0),MATCH($D172,CaseData!$B$29:$N$29,0)))</f>
        <v>0</v>
      </c>
      <c r="CB172" s="63">
        <f>IF(CB159=0,0,INDEX(CaseData!$B$30:$N$53,MATCH(CB159,CaseData!$A$30:$A$53,0),MATCH($D172,CaseData!$B$29:$N$29,0)))</f>
        <v>0</v>
      </c>
      <c r="CC172" s="63">
        <f>IF(CC159=0,0,INDEX(CaseData!$B$30:$N$53,MATCH(CC159,CaseData!$A$30:$A$53,0),MATCH($D172,CaseData!$B$29:$N$29,0)))</f>
        <v>0</v>
      </c>
      <c r="CD172" s="63">
        <f>IF(CD159=0,0,INDEX(CaseData!$B$30:$N$53,MATCH(CD159,CaseData!$A$30:$A$53,0),MATCH($D172,CaseData!$B$29:$N$29,0)))</f>
        <v>0</v>
      </c>
      <c r="CE172" s="63">
        <f>IF(CE159=0,0,INDEX(CaseData!$B$30:$N$53,MATCH(CE159,CaseData!$A$30:$A$53,0),MATCH($D172,CaseData!$B$29:$N$29,0)))</f>
        <v>0</v>
      </c>
      <c r="CF172" s="63">
        <f>IF(CF159=0,0,INDEX(CaseData!$B$30:$N$53,MATCH(CF159,CaseData!$A$30:$A$53,0),MATCH($D172,CaseData!$B$29:$N$29,0)))</f>
        <v>0</v>
      </c>
      <c r="CG172" s="63">
        <f>IF(CG159=0,0,INDEX(CaseData!$B$30:$N$53,MATCH(CG159,CaseData!$A$30:$A$53,0),MATCH($D172,CaseData!$B$29:$N$29,0)))</f>
        <v>0</v>
      </c>
      <c r="CH172" s="63">
        <f>IF(CH159=0,0,INDEX(CaseData!$B$30:$N$53,MATCH(CH159,CaseData!$A$30:$A$53,0),MATCH($D172,CaseData!$B$29:$N$29,0)))</f>
        <v>0</v>
      </c>
      <c r="CI172" s="63">
        <f>IF(CI159=0,0,INDEX(CaseData!$B$30:$N$53,MATCH(CI159,CaseData!$A$30:$A$53,0),MATCH($D172,CaseData!$B$29:$N$29,0)))</f>
        <v>0</v>
      </c>
      <c r="CJ172" s="63">
        <f>IF(CJ159=0,0,INDEX(CaseData!$B$30:$N$53,MATCH(CJ159,CaseData!$A$30:$A$53,0),MATCH($D172,CaseData!$B$29:$N$29,0)))</f>
        <v>0</v>
      </c>
      <c r="CK172" s="63">
        <f>IF(CK159=0,0,INDEX(CaseData!$B$30:$N$53,MATCH(CK159,CaseData!$A$30:$A$53,0),MATCH($D172,CaseData!$B$29:$N$29,0)))</f>
        <v>0</v>
      </c>
      <c r="CL172" s="63">
        <f>IF(CL159=0,0,INDEX(CaseData!$B$30:$N$53,MATCH(CL159,CaseData!$A$30:$A$53,0),MATCH($D172,CaseData!$B$29:$N$29,0)))</f>
        <v>0</v>
      </c>
      <c r="CM172" s="63">
        <f>IF(CM159=0,0,INDEX(CaseData!$B$30:$N$53,MATCH(CM159,CaseData!$A$30:$A$53,0),MATCH($D172,CaseData!$B$29:$N$29,0)))</f>
        <v>0</v>
      </c>
      <c r="CN172" s="63">
        <f>IF(CN159=0,0,INDEX(CaseData!$B$30:$N$53,MATCH(CN159,CaseData!$A$30:$A$53,0),MATCH($D172,CaseData!$B$29:$N$29,0)))</f>
        <v>0</v>
      </c>
      <c r="CO172" s="63">
        <f>IF(CO159=0,0,INDEX(CaseData!$B$30:$N$53,MATCH(CO159,CaseData!$A$30:$A$53,0),MATCH($D172,CaseData!$B$29:$N$29,0)))</f>
        <v>0</v>
      </c>
      <c r="CP172" s="63">
        <f>IF(CP159=0,0,INDEX(CaseData!$B$30:$N$53,MATCH(CP159,CaseData!$A$30:$A$53,0),MATCH($D172,CaseData!$B$29:$N$29,0)))</f>
        <v>0</v>
      </c>
      <c r="CQ172" s="63">
        <f>IF(CQ159=0,0,INDEX(CaseData!$B$30:$N$53,MATCH(CQ159,CaseData!$A$30:$A$53,0),MATCH($D172,CaseData!$B$29:$N$29,0)))</f>
        <v>0</v>
      </c>
      <c r="CR172" s="63">
        <f>IF(CR159=0,0,INDEX(CaseData!$B$30:$N$53,MATCH(CR159,CaseData!$A$30:$A$53,0),MATCH($D172,CaseData!$B$29:$N$29,0)))</f>
        <v>0</v>
      </c>
      <c r="CS172" s="63">
        <f>IF(CS159=0,0,INDEX(CaseData!$B$30:$N$53,MATCH(CS159,CaseData!$A$30:$A$53,0),MATCH($D172,CaseData!$B$29:$N$29,0)))</f>
        <v>0</v>
      </c>
      <c r="CT172" s="63">
        <f>IF(CT159=0,0,INDEX(CaseData!$B$30:$N$53,MATCH(CT159,CaseData!$A$30:$A$53,0),MATCH($D172,CaseData!$B$29:$N$29,0)))</f>
        <v>0</v>
      </c>
      <c r="CU172" s="63">
        <f>IF(CU159=0,0,INDEX(CaseData!$B$30:$N$53,MATCH(CU159,CaseData!$A$30:$A$53,0),MATCH($D172,CaseData!$B$29:$N$29,0)))</f>
        <v>0</v>
      </c>
      <c r="CV172" s="63">
        <f>IF(CV159=0,0,INDEX(CaseData!$B$30:$N$53,MATCH(CV159,CaseData!$A$30:$A$53,0),MATCH($D172,CaseData!$B$29:$N$29,0)))</f>
        <v>0</v>
      </c>
      <c r="CW172" s="63">
        <f>IF(CW159=0,0,INDEX(CaseData!$B$30:$N$53,MATCH(CW159,CaseData!$A$30:$A$53,0),MATCH($D172,CaseData!$B$29:$N$29,0)))</f>
        <v>0</v>
      </c>
      <c r="CX172" s="63">
        <f>IF(CX159=0,0,INDEX(CaseData!$B$30:$N$53,MATCH(CX159,CaseData!$A$30:$A$53,0),MATCH($D172,CaseData!$B$29:$N$29,0)))</f>
        <v>0</v>
      </c>
      <c r="CY172" s="63">
        <f>IF(CY159=0,0,INDEX(CaseData!$B$30:$N$53,MATCH(CY159,CaseData!$A$30:$A$53,0),MATCH($D172,CaseData!$B$29:$N$29,0)))</f>
        <v>0</v>
      </c>
      <c r="CZ172" s="63">
        <f>IF(CZ159=0,0,INDEX(CaseData!$B$30:$N$53,MATCH(CZ159,CaseData!$A$30:$A$53,0),MATCH($D172,CaseData!$B$29:$N$29,0)))</f>
        <v>0</v>
      </c>
      <c r="DA172" s="63">
        <f>IF(DA159=0,0,INDEX(CaseData!$B$30:$N$53,MATCH(DA159,CaseData!$A$30:$A$53,0),MATCH($D172,CaseData!$B$29:$N$29,0)))</f>
        <v>0</v>
      </c>
      <c r="DB172" s="63">
        <f>IF(DB159=0,0,INDEX(CaseData!$B$30:$N$53,MATCH(DB159,CaseData!$A$30:$A$53,0),MATCH($D172,CaseData!$B$29:$N$29,0)))</f>
        <v>0</v>
      </c>
      <c r="DC172" s="63">
        <f>IF(DC159=0,0,INDEX(CaseData!$B$30:$N$53,MATCH(DC159,CaseData!$A$30:$A$53,0),MATCH($D172,CaseData!$B$29:$N$29,0)))</f>
        <v>0</v>
      </c>
      <c r="DD172" s="63">
        <f>IF(DD159=0,0,INDEX(CaseData!$B$30:$N$53,MATCH(DD159,CaseData!$A$30:$A$53,0),MATCH($D172,CaseData!$B$29:$N$29,0)))</f>
        <v>0</v>
      </c>
      <c r="DE172" s="63">
        <f>IF(DE159=0,0,INDEX(CaseData!$B$30:$N$53,MATCH(DE159,CaseData!$A$30:$A$53,0),MATCH($D172,CaseData!$B$29:$N$29,0)))</f>
        <v>0</v>
      </c>
      <c r="DF172" s="63">
        <f>IF(DF159=0,0,INDEX(CaseData!$B$30:$N$53,MATCH(DF159,CaseData!$A$30:$A$53,0),MATCH($D172,CaseData!$B$29:$N$29,0)))</f>
        <v>0</v>
      </c>
      <c r="DG172" s="63">
        <f>IF(DG159=0,0,INDEX(CaseData!$B$30:$N$53,MATCH(DG159,CaseData!$A$30:$A$53,0),MATCH($D172,CaseData!$B$29:$N$29,0)))</f>
        <v>0</v>
      </c>
      <c r="DH172" s="63">
        <f>IF(DH159=0,0,INDEX(CaseData!$B$30:$N$53,MATCH(DH159,CaseData!$A$30:$A$53,0),MATCH($D172,CaseData!$B$29:$N$29,0)))</f>
        <v>0</v>
      </c>
      <c r="DI172" s="63">
        <f>IF(DI159=0,0,INDEX(CaseData!$B$30:$N$53,MATCH(DI159,CaseData!$A$30:$A$53,0),MATCH($D172,CaseData!$B$29:$N$29,0)))</f>
        <v>0</v>
      </c>
      <c r="DJ172" s="63">
        <f>IF(DJ159=0,0,INDEX(CaseData!$B$30:$N$53,MATCH(DJ159,CaseData!$A$30:$A$53,0),MATCH($D172,CaseData!$B$29:$N$29,0)))</f>
        <v>0</v>
      </c>
      <c r="DK172" s="63">
        <f>IF(DK159=0,0,INDEX(CaseData!$B$30:$N$53,MATCH(DK159,CaseData!$A$30:$A$53,0),MATCH($D172,CaseData!$B$29:$N$29,0)))</f>
        <v>0</v>
      </c>
      <c r="DL172" s="63">
        <f>IF(DL159=0,0,INDEX(CaseData!$B$30:$N$53,MATCH(DL159,CaseData!$A$30:$A$53,0),MATCH($D172,CaseData!$B$29:$N$29,0)))</f>
        <v>0</v>
      </c>
      <c r="DM172" s="63">
        <f>IF(DM159=0,0,INDEX(CaseData!$B$30:$N$53,MATCH(DM159,CaseData!$A$30:$A$53,0),MATCH($D172,CaseData!$B$29:$N$29,0)))</f>
        <v>0</v>
      </c>
      <c r="DN172" s="63">
        <f>IF(DN159=0,0,INDEX(CaseData!$B$30:$N$53,MATCH(DN159,CaseData!$A$30:$A$53,0),MATCH($D172,CaseData!$B$29:$N$29,0)))</f>
        <v>0</v>
      </c>
      <c r="DO172" s="63">
        <f>IF(DO159=0,0,INDEX(CaseData!$B$30:$N$53,MATCH(DO159,CaseData!$A$30:$A$53,0),MATCH($D172,CaseData!$B$29:$N$29,0)))</f>
        <v>0</v>
      </c>
      <c r="DP172" s="63">
        <f>IF(DP159=0,0,INDEX(CaseData!$B$30:$N$53,MATCH(DP159,CaseData!$A$30:$A$53,0),MATCH($D172,CaseData!$B$29:$N$29,0)))</f>
        <v>0</v>
      </c>
      <c r="DQ172" s="63">
        <f>IF(DQ159=0,0,INDEX(CaseData!$B$30:$N$53,MATCH(DQ159,CaseData!$A$30:$A$53,0),MATCH($D172,CaseData!$B$29:$N$29,0)))</f>
        <v>0</v>
      </c>
      <c r="DR172" s="63">
        <f>IF(DR159=0,0,INDEX(CaseData!$B$30:$N$53,MATCH(DR159,CaseData!$A$30:$A$53,0),MATCH($D172,CaseData!$B$29:$N$29,0)))</f>
        <v>0</v>
      </c>
      <c r="DS172" s="63">
        <f>IF(DS159=0,0,INDEX(CaseData!$B$30:$N$53,MATCH(DS159,CaseData!$A$30:$A$53,0),MATCH($D172,CaseData!$B$29:$N$29,0)))</f>
        <v>0</v>
      </c>
      <c r="DT172" s="63">
        <f>IF(DT159=0,0,INDEX(CaseData!$B$30:$N$53,MATCH(DT159,CaseData!$A$30:$A$53,0),MATCH($D172,CaseData!$B$29:$N$29,0)))</f>
        <v>0</v>
      </c>
      <c r="DU172" s="63">
        <f>IF(DU159=0,0,INDEX(CaseData!$B$30:$N$53,MATCH(DU159,CaseData!$A$30:$A$53,0),MATCH($D172,CaseData!$B$29:$N$29,0)))</f>
        <v>0</v>
      </c>
      <c r="DV172" s="63">
        <f>IF(DV159=0,0,INDEX(CaseData!$B$30:$N$53,MATCH(DV159,CaseData!$A$30:$A$53,0),MATCH($D172,CaseData!$B$29:$N$29,0)))</f>
        <v>0</v>
      </c>
    </row>
    <row r="173" spans="2:126" outlineLevel="1">
      <c r="B173" s="3" t="str">
        <f t="shared" si="144"/>
        <v>Property M</v>
      </c>
      <c r="C173" s="14"/>
      <c r="D173" s="14">
        <f t="shared" si="145"/>
        <v>17</v>
      </c>
      <c r="E173" s="35"/>
      <c r="F173" s="35"/>
      <c r="G173" s="63">
        <f>IF(G160=0,0,INDEX(CaseData!$B$30:$N$53,MATCH(G160,CaseData!$A$30:$A$53,0),MATCH($D173,CaseData!$B$29:$N$29,0)))</f>
        <v>0</v>
      </c>
      <c r="H173" s="63">
        <f>IF(H160=0,0,INDEX(CaseData!$B$30:$N$53,MATCH(H160,CaseData!$A$30:$A$53,0),MATCH($D173,CaseData!$B$29:$N$29,0)))</f>
        <v>0</v>
      </c>
      <c r="I173" s="63">
        <f>IF(I160=0,0,INDEX(CaseData!$B$30:$N$53,MATCH(I160,CaseData!$A$30:$A$53,0),MATCH($D173,CaseData!$B$29:$N$29,0)))</f>
        <v>0</v>
      </c>
      <c r="J173" s="63">
        <f>IF(J160=0,0,INDEX(CaseData!$B$30:$N$53,MATCH(J160,CaseData!$A$30:$A$53,0),MATCH($D173,CaseData!$B$29:$N$29,0)))</f>
        <v>0</v>
      </c>
      <c r="K173" s="63">
        <f>IF(K160=0,0,INDEX(CaseData!$B$30:$N$53,MATCH(K160,CaseData!$A$30:$A$53,0),MATCH($D173,CaseData!$B$29:$N$29,0)))</f>
        <v>0</v>
      </c>
      <c r="L173" s="63">
        <f>IF(L160=0,0,INDEX(CaseData!$B$30:$N$53,MATCH(L160,CaseData!$A$30:$A$53,0),MATCH($D173,CaseData!$B$29:$N$29,0)))</f>
        <v>0</v>
      </c>
      <c r="M173" s="63">
        <f>IF(M160=0,0,INDEX(CaseData!$B$30:$N$53,MATCH(M160,CaseData!$A$30:$A$53,0),MATCH($D173,CaseData!$B$29:$N$29,0)))</f>
        <v>0</v>
      </c>
      <c r="N173" s="63">
        <f>IF(N160=0,0,INDEX(CaseData!$B$30:$N$53,MATCH(N160,CaseData!$A$30:$A$53,0),MATCH($D173,CaseData!$B$29:$N$29,0)))</f>
        <v>0</v>
      </c>
      <c r="O173" s="63">
        <f>IF(O160=0,0,INDEX(CaseData!$B$30:$N$53,MATCH(O160,CaseData!$A$30:$A$53,0),MATCH($D173,CaseData!$B$29:$N$29,0)))</f>
        <v>0</v>
      </c>
      <c r="P173" s="63">
        <f>IF(P160=0,0,INDEX(CaseData!$B$30:$N$53,MATCH(P160,CaseData!$A$30:$A$53,0),MATCH($D173,CaseData!$B$29:$N$29,0)))</f>
        <v>0</v>
      </c>
      <c r="Q173" s="63">
        <f>IF(Q160=0,0,INDEX(CaseData!$B$30:$N$53,MATCH(Q160,CaseData!$A$30:$A$53,0),MATCH($D173,CaseData!$B$29:$N$29,0)))</f>
        <v>0</v>
      </c>
      <c r="R173" s="63">
        <f>IF(R160=0,0,INDEX(CaseData!$B$30:$N$53,MATCH(R160,CaseData!$A$30:$A$53,0),MATCH($D173,CaseData!$B$29:$N$29,0)))</f>
        <v>0</v>
      </c>
      <c r="S173" s="63">
        <f>IF(S160=0,0,INDEX(CaseData!$B$30:$N$53,MATCH(S160,CaseData!$A$30:$A$53,0),MATCH($D173,CaseData!$B$29:$N$29,0)))</f>
        <v>0</v>
      </c>
      <c r="T173" s="63">
        <f>IF(T160=0,0,INDEX(CaseData!$B$30:$N$53,MATCH(T160,CaseData!$A$30:$A$53,0),MATCH($D173,CaseData!$B$29:$N$29,0)))</f>
        <v>0</v>
      </c>
      <c r="U173" s="63">
        <f>IF(U160=0,0,INDEX(CaseData!$B$30:$N$53,MATCH(U160,CaseData!$A$30:$A$53,0),MATCH($D173,CaseData!$B$29:$N$29,0)))</f>
        <v>0</v>
      </c>
      <c r="V173" s="63">
        <f>IF(V160=0,0,INDEX(CaseData!$B$30:$N$53,MATCH(V160,CaseData!$A$30:$A$53,0),MATCH($D173,CaseData!$B$29:$N$29,0)))</f>
        <v>0</v>
      </c>
      <c r="W173" s="63">
        <f>IF(W160=0,0,INDEX(CaseData!$B$30:$N$53,MATCH(W160,CaseData!$A$30:$A$53,0),MATCH($D173,CaseData!$B$29:$N$29,0)))</f>
        <v>0</v>
      </c>
      <c r="X173" s="63">
        <f>IF(X160=0,0,INDEX(CaseData!$B$30:$N$53,MATCH(X160,CaseData!$A$30:$A$53,0),MATCH($D173,CaseData!$B$29:$N$29,0)))</f>
        <v>0</v>
      </c>
      <c r="Y173" s="63">
        <f>IF(Y160=0,0,INDEX(CaseData!$B$30:$N$53,MATCH(Y160,CaseData!$A$30:$A$53,0),MATCH($D173,CaseData!$B$29:$N$29,0)))</f>
        <v>0</v>
      </c>
      <c r="Z173" s="63">
        <f>IF(Z160=0,0,INDEX(CaseData!$B$30:$N$53,MATCH(Z160,CaseData!$A$30:$A$53,0),MATCH($D173,CaseData!$B$29:$N$29,0)))</f>
        <v>0</v>
      </c>
      <c r="AA173" s="63">
        <f>IF(AA160=0,0,INDEX(CaseData!$B$30:$N$53,MATCH(AA160,CaseData!$A$30:$A$53,0),MATCH($D173,CaseData!$B$29:$N$29,0)))</f>
        <v>0</v>
      </c>
      <c r="AB173" s="63">
        <f>IF(AB160=0,0,INDEX(CaseData!$B$30:$N$53,MATCH(AB160,CaseData!$A$30:$A$53,0),MATCH($D173,CaseData!$B$29:$N$29,0)))</f>
        <v>0</v>
      </c>
      <c r="AC173" s="63">
        <f>IF(AC160=0,0,INDEX(CaseData!$B$30:$N$53,MATCH(AC160,CaseData!$A$30:$A$53,0),MATCH($D173,CaseData!$B$29:$N$29,0)))</f>
        <v>0</v>
      </c>
      <c r="AD173" s="63">
        <f>IF(AD160=0,0,INDEX(CaseData!$B$30:$N$53,MATCH(AD160,CaseData!$A$30:$A$53,0),MATCH($D173,CaseData!$B$29:$N$29,0)))</f>
        <v>0</v>
      </c>
      <c r="AE173" s="63">
        <f>IF(AE160=0,0,INDEX(CaseData!$B$30:$N$53,MATCH(AE160,CaseData!$A$30:$A$53,0),MATCH($D173,CaseData!$B$29:$N$29,0)))</f>
        <v>0</v>
      </c>
      <c r="AF173" s="63">
        <f>IF(AF160=0,0,INDEX(CaseData!$B$30:$N$53,MATCH(AF160,CaseData!$A$30:$A$53,0),MATCH($D173,CaseData!$B$29:$N$29,0)))</f>
        <v>0</v>
      </c>
      <c r="AG173" s="63">
        <f>IF(AG160=0,0,INDEX(CaseData!$B$30:$N$53,MATCH(AG160,CaseData!$A$30:$A$53,0),MATCH($D173,CaseData!$B$29:$N$29,0)))</f>
        <v>0</v>
      </c>
      <c r="AH173" s="63">
        <f>IF(AH160=0,0,INDEX(CaseData!$B$30:$N$53,MATCH(AH160,CaseData!$A$30:$A$53,0),MATCH($D173,CaseData!$B$29:$N$29,0)))</f>
        <v>0</v>
      </c>
      <c r="AI173" s="63">
        <f>IF(AI160=0,0,INDEX(CaseData!$B$30:$N$53,MATCH(AI160,CaseData!$A$30:$A$53,0),MATCH($D173,CaseData!$B$29:$N$29,0)))</f>
        <v>0</v>
      </c>
      <c r="AJ173" s="63">
        <f>IF(AJ160=0,0,INDEX(CaseData!$B$30:$N$53,MATCH(AJ160,CaseData!$A$30:$A$53,0),MATCH($D173,CaseData!$B$29:$N$29,0)))</f>
        <v>0</v>
      </c>
      <c r="AK173" s="63">
        <f>IF(AK160=0,0,INDEX(CaseData!$B$30:$N$53,MATCH(AK160,CaseData!$A$30:$A$53,0),MATCH($D173,CaseData!$B$29:$N$29,0)))</f>
        <v>0</v>
      </c>
      <c r="AL173" s="63">
        <f>IF(AL160=0,0,INDEX(CaseData!$B$30:$N$53,MATCH(AL160,CaseData!$A$30:$A$53,0),MATCH($D173,CaseData!$B$29:$N$29,0)))</f>
        <v>0</v>
      </c>
      <c r="AM173" s="63">
        <f>IF(AM160=0,0,INDEX(CaseData!$B$30:$N$53,MATCH(AM160,CaseData!$A$30:$A$53,0),MATCH($D173,CaseData!$B$29:$N$29,0)))</f>
        <v>0</v>
      </c>
      <c r="AN173" s="63">
        <f>IF(AN160=0,0,INDEX(CaseData!$B$30:$N$53,MATCH(AN160,CaseData!$A$30:$A$53,0),MATCH($D173,CaseData!$B$29:$N$29,0)))</f>
        <v>1.4999999999999999E-2</v>
      </c>
      <c r="AO173" s="63">
        <f>IF(AO160=0,0,INDEX(CaseData!$B$30:$N$53,MATCH(AO160,CaseData!$A$30:$A$53,0),MATCH($D173,CaseData!$B$29:$N$29,0)))</f>
        <v>1.7500000000000002E-2</v>
      </c>
      <c r="AP173" s="63">
        <f>IF(AP160=0,0,INDEX(CaseData!$B$30:$N$53,MATCH(AP160,CaseData!$A$30:$A$53,0),MATCH($D173,CaseData!$B$29:$N$29,0)))</f>
        <v>2.5000000000000001E-2</v>
      </c>
      <c r="AQ173" s="63">
        <f>IF(AQ160=0,0,INDEX(CaseData!$B$30:$N$53,MATCH(AQ160,CaseData!$A$30:$A$53,0),MATCH($D173,CaseData!$B$29:$N$29,0)))</f>
        <v>2.75E-2</v>
      </c>
      <c r="AR173" s="63">
        <f>IF(AR160=0,0,INDEX(CaseData!$B$30:$N$53,MATCH(AR160,CaseData!$A$30:$A$53,0),MATCH($D173,CaseData!$B$29:$N$29,0)))</f>
        <v>3.5000000000000003E-2</v>
      </c>
      <c r="AS173" s="63">
        <f>IF(AS160=0,0,INDEX(CaseData!$B$30:$N$53,MATCH(AS160,CaseData!$A$30:$A$53,0),MATCH($D173,CaseData!$B$29:$N$29,0)))</f>
        <v>0.04</v>
      </c>
      <c r="AT173" s="63">
        <f>IF(AT160=0,0,INDEX(CaseData!$B$30:$N$53,MATCH(AT160,CaseData!$A$30:$A$53,0),MATCH($D173,CaseData!$B$29:$N$29,0)))</f>
        <v>0.05</v>
      </c>
      <c r="AU173" s="63">
        <f>IF(AU160=0,0,INDEX(CaseData!$B$30:$N$53,MATCH(AU160,CaseData!$A$30:$A$53,0),MATCH($D173,CaseData!$B$29:$N$29,0)))</f>
        <v>0.06</v>
      </c>
      <c r="AV173" s="63">
        <f>IF(AV160=0,0,INDEX(CaseData!$B$30:$N$53,MATCH(AV160,CaseData!$A$30:$A$53,0),MATCH($D173,CaseData!$B$29:$N$29,0)))</f>
        <v>7.0000000000000007E-2</v>
      </c>
      <c r="AW173" s="63">
        <f>IF(AW160=0,0,INDEX(CaseData!$B$30:$N$53,MATCH(AW160,CaseData!$A$30:$A$53,0),MATCH($D173,CaseData!$B$29:$N$29,0)))</f>
        <v>0.08</v>
      </c>
      <c r="AX173" s="63">
        <f>IF(AX160=0,0,INDEX(CaseData!$B$30:$N$53,MATCH(AX160,CaseData!$A$30:$A$53,0),MATCH($D173,CaseData!$B$29:$N$29,0)))</f>
        <v>0.09</v>
      </c>
      <c r="AY173" s="63">
        <f>IF(AY160=0,0,INDEX(CaseData!$B$30:$N$53,MATCH(AY160,CaseData!$A$30:$A$53,0),MATCH($D173,CaseData!$B$29:$N$29,0)))</f>
        <v>0.09</v>
      </c>
      <c r="AZ173" s="63">
        <f>IF(AZ160=0,0,INDEX(CaseData!$B$30:$N$53,MATCH(AZ160,CaseData!$A$30:$A$53,0),MATCH($D173,CaseData!$B$29:$N$29,0)))</f>
        <v>0.09</v>
      </c>
      <c r="BA173" s="63">
        <f>IF(BA160=0,0,INDEX(CaseData!$B$30:$N$53,MATCH(BA160,CaseData!$A$30:$A$53,0),MATCH($D173,CaseData!$B$29:$N$29,0)))</f>
        <v>0.09</v>
      </c>
      <c r="BB173" s="63">
        <f>IF(BB160=0,0,INDEX(CaseData!$B$30:$N$53,MATCH(BB160,CaseData!$A$30:$A$53,0),MATCH($D173,CaseData!$B$29:$N$29,0)))</f>
        <v>0.09</v>
      </c>
      <c r="BC173" s="63">
        <f>IF(BC160=0,0,INDEX(CaseData!$B$30:$N$53,MATCH(BC160,CaseData!$A$30:$A$53,0),MATCH($D173,CaseData!$B$29:$N$29,0)))</f>
        <v>0.08</v>
      </c>
      <c r="BD173" s="63">
        <f>IF(BD160=0,0,INDEX(CaseData!$B$30:$N$53,MATCH(BD160,CaseData!$A$30:$A$53,0),MATCH($D173,CaseData!$B$29:$N$29,0)))</f>
        <v>0.05</v>
      </c>
      <c r="BE173" s="63">
        <f>IF(BE160=0,0,INDEX(CaseData!$B$30:$N$53,MATCH(BE160,CaseData!$A$30:$A$53,0),MATCH($D173,CaseData!$B$29:$N$29,0)))</f>
        <v>0</v>
      </c>
      <c r="BF173" s="63">
        <f>IF(BF160=0,0,INDEX(CaseData!$B$30:$N$53,MATCH(BF160,CaseData!$A$30:$A$53,0),MATCH($D173,CaseData!$B$29:$N$29,0)))</f>
        <v>0</v>
      </c>
      <c r="BG173" s="63">
        <f>IF(BG160=0,0,INDEX(CaseData!$B$30:$N$53,MATCH(BG160,CaseData!$A$30:$A$53,0),MATCH($D173,CaseData!$B$29:$N$29,0)))</f>
        <v>0</v>
      </c>
      <c r="BH173" s="63">
        <f>IF(BH160=0,0,INDEX(CaseData!$B$30:$N$53,MATCH(BH160,CaseData!$A$30:$A$53,0),MATCH($D173,CaseData!$B$29:$N$29,0)))</f>
        <v>0</v>
      </c>
      <c r="BI173" s="63">
        <f>IF(BI160=0,0,INDEX(CaseData!$B$30:$N$53,MATCH(BI160,CaseData!$A$30:$A$53,0),MATCH($D173,CaseData!$B$29:$N$29,0)))</f>
        <v>0</v>
      </c>
      <c r="BJ173" s="63">
        <f>IF(BJ160=0,0,INDEX(CaseData!$B$30:$N$53,MATCH(BJ160,CaseData!$A$30:$A$53,0),MATCH($D173,CaseData!$B$29:$N$29,0)))</f>
        <v>0</v>
      </c>
      <c r="BK173" s="63">
        <f>IF(BK160=0,0,INDEX(CaseData!$B$30:$N$53,MATCH(BK160,CaseData!$A$30:$A$53,0),MATCH($D173,CaseData!$B$29:$N$29,0)))</f>
        <v>0</v>
      </c>
      <c r="BL173" s="63">
        <f>IF(BL160=0,0,INDEX(CaseData!$B$30:$N$53,MATCH(BL160,CaseData!$A$30:$A$53,0),MATCH($D173,CaseData!$B$29:$N$29,0)))</f>
        <v>0</v>
      </c>
      <c r="BM173" s="63">
        <f>IF(BM160=0,0,INDEX(CaseData!$B$30:$N$53,MATCH(BM160,CaseData!$A$30:$A$53,0),MATCH($D173,CaseData!$B$29:$N$29,0)))</f>
        <v>0</v>
      </c>
      <c r="BN173" s="63">
        <f>IF(BN160=0,0,INDEX(CaseData!$B$30:$N$53,MATCH(BN160,CaseData!$A$30:$A$53,0),MATCH($D173,CaseData!$B$29:$N$29,0)))</f>
        <v>0</v>
      </c>
      <c r="BO173" s="63">
        <f>IF(BO160=0,0,INDEX(CaseData!$B$30:$N$53,MATCH(BO160,CaseData!$A$30:$A$53,0),MATCH($D173,CaseData!$B$29:$N$29,0)))</f>
        <v>0</v>
      </c>
      <c r="BP173" s="63">
        <f>IF(BP160=0,0,INDEX(CaseData!$B$30:$N$53,MATCH(BP160,CaseData!$A$30:$A$53,0),MATCH($D173,CaseData!$B$29:$N$29,0)))</f>
        <v>0</v>
      </c>
      <c r="BQ173" s="63">
        <f>IF(BQ160=0,0,INDEX(CaseData!$B$30:$N$53,MATCH(BQ160,CaseData!$A$30:$A$53,0),MATCH($D173,CaseData!$B$29:$N$29,0)))</f>
        <v>0</v>
      </c>
      <c r="BR173" s="63">
        <f>IF(BR160=0,0,INDEX(CaseData!$B$30:$N$53,MATCH(BR160,CaseData!$A$30:$A$53,0),MATCH($D173,CaseData!$B$29:$N$29,0)))</f>
        <v>0</v>
      </c>
      <c r="BS173" s="63">
        <f>IF(BS160=0,0,INDEX(CaseData!$B$30:$N$53,MATCH(BS160,CaseData!$A$30:$A$53,0),MATCH($D173,CaseData!$B$29:$N$29,0)))</f>
        <v>0</v>
      </c>
      <c r="BT173" s="63">
        <f>IF(BT160=0,0,INDEX(CaseData!$B$30:$N$53,MATCH(BT160,CaseData!$A$30:$A$53,0),MATCH($D173,CaseData!$B$29:$N$29,0)))</f>
        <v>0</v>
      </c>
      <c r="BU173" s="63">
        <f>IF(BU160=0,0,INDEX(CaseData!$B$30:$N$53,MATCH(BU160,CaseData!$A$30:$A$53,0),MATCH($D173,CaseData!$B$29:$N$29,0)))</f>
        <v>0</v>
      </c>
      <c r="BV173" s="63">
        <f>IF(BV160=0,0,INDEX(CaseData!$B$30:$N$53,MATCH(BV160,CaseData!$A$30:$A$53,0),MATCH($D173,CaseData!$B$29:$N$29,0)))</f>
        <v>0</v>
      </c>
      <c r="BW173" s="63">
        <f>IF(BW160=0,0,INDEX(CaseData!$B$30:$N$53,MATCH(BW160,CaseData!$A$30:$A$53,0),MATCH($D173,CaseData!$B$29:$N$29,0)))</f>
        <v>0</v>
      </c>
      <c r="BX173" s="63">
        <f>IF(BX160=0,0,INDEX(CaseData!$B$30:$N$53,MATCH(BX160,CaseData!$A$30:$A$53,0),MATCH($D173,CaseData!$B$29:$N$29,0)))</f>
        <v>0</v>
      </c>
      <c r="BY173" s="63">
        <f>IF(BY160=0,0,INDEX(CaseData!$B$30:$N$53,MATCH(BY160,CaseData!$A$30:$A$53,0),MATCH($D173,CaseData!$B$29:$N$29,0)))</f>
        <v>0</v>
      </c>
      <c r="BZ173" s="63">
        <f>IF(BZ160=0,0,INDEX(CaseData!$B$30:$N$53,MATCH(BZ160,CaseData!$A$30:$A$53,0),MATCH($D173,CaseData!$B$29:$N$29,0)))</f>
        <v>0</v>
      </c>
      <c r="CA173" s="63">
        <f>IF(CA160=0,0,INDEX(CaseData!$B$30:$N$53,MATCH(CA160,CaseData!$A$30:$A$53,0),MATCH($D173,CaseData!$B$29:$N$29,0)))</f>
        <v>0</v>
      </c>
      <c r="CB173" s="63">
        <f>IF(CB160=0,0,INDEX(CaseData!$B$30:$N$53,MATCH(CB160,CaseData!$A$30:$A$53,0),MATCH($D173,CaseData!$B$29:$N$29,0)))</f>
        <v>0</v>
      </c>
      <c r="CC173" s="63">
        <f>IF(CC160=0,0,INDEX(CaseData!$B$30:$N$53,MATCH(CC160,CaseData!$A$30:$A$53,0),MATCH($D173,CaseData!$B$29:$N$29,0)))</f>
        <v>0</v>
      </c>
      <c r="CD173" s="63">
        <f>IF(CD160=0,0,INDEX(CaseData!$B$30:$N$53,MATCH(CD160,CaseData!$A$30:$A$53,0),MATCH($D173,CaseData!$B$29:$N$29,0)))</f>
        <v>0</v>
      </c>
      <c r="CE173" s="63">
        <f>IF(CE160=0,0,INDEX(CaseData!$B$30:$N$53,MATCH(CE160,CaseData!$A$30:$A$53,0),MATCH($D173,CaseData!$B$29:$N$29,0)))</f>
        <v>0</v>
      </c>
      <c r="CF173" s="63">
        <f>IF(CF160=0,0,INDEX(CaseData!$B$30:$N$53,MATCH(CF160,CaseData!$A$30:$A$53,0),MATCH($D173,CaseData!$B$29:$N$29,0)))</f>
        <v>0</v>
      </c>
      <c r="CG173" s="63">
        <f>IF(CG160=0,0,INDEX(CaseData!$B$30:$N$53,MATCH(CG160,CaseData!$A$30:$A$53,0),MATCH($D173,CaseData!$B$29:$N$29,0)))</f>
        <v>0</v>
      </c>
      <c r="CH173" s="63">
        <f>IF(CH160=0,0,INDEX(CaseData!$B$30:$N$53,MATCH(CH160,CaseData!$A$30:$A$53,0),MATCH($D173,CaseData!$B$29:$N$29,0)))</f>
        <v>0</v>
      </c>
      <c r="CI173" s="63">
        <f>IF(CI160=0,0,INDEX(CaseData!$B$30:$N$53,MATCH(CI160,CaseData!$A$30:$A$53,0),MATCH($D173,CaseData!$B$29:$N$29,0)))</f>
        <v>0</v>
      </c>
      <c r="CJ173" s="63">
        <f>IF(CJ160=0,0,INDEX(CaseData!$B$30:$N$53,MATCH(CJ160,CaseData!$A$30:$A$53,0),MATCH($D173,CaseData!$B$29:$N$29,0)))</f>
        <v>0</v>
      </c>
      <c r="CK173" s="63">
        <f>IF(CK160=0,0,INDEX(CaseData!$B$30:$N$53,MATCH(CK160,CaseData!$A$30:$A$53,0),MATCH($D173,CaseData!$B$29:$N$29,0)))</f>
        <v>0</v>
      </c>
      <c r="CL173" s="63">
        <f>IF(CL160=0,0,INDEX(CaseData!$B$30:$N$53,MATCH(CL160,CaseData!$A$30:$A$53,0),MATCH($D173,CaseData!$B$29:$N$29,0)))</f>
        <v>0</v>
      </c>
      <c r="CM173" s="63">
        <f>IF(CM160=0,0,INDEX(CaseData!$B$30:$N$53,MATCH(CM160,CaseData!$A$30:$A$53,0),MATCH($D173,CaseData!$B$29:$N$29,0)))</f>
        <v>0</v>
      </c>
      <c r="CN173" s="63">
        <f>IF(CN160=0,0,INDEX(CaseData!$B$30:$N$53,MATCH(CN160,CaseData!$A$30:$A$53,0),MATCH($D173,CaseData!$B$29:$N$29,0)))</f>
        <v>0</v>
      </c>
      <c r="CO173" s="63">
        <f>IF(CO160=0,0,INDEX(CaseData!$B$30:$N$53,MATCH(CO160,CaseData!$A$30:$A$53,0),MATCH($D173,CaseData!$B$29:$N$29,0)))</f>
        <v>0</v>
      </c>
      <c r="CP173" s="63">
        <f>IF(CP160=0,0,INDEX(CaseData!$B$30:$N$53,MATCH(CP160,CaseData!$A$30:$A$53,0),MATCH($D173,CaseData!$B$29:$N$29,0)))</f>
        <v>0</v>
      </c>
      <c r="CQ173" s="63">
        <f>IF(CQ160=0,0,INDEX(CaseData!$B$30:$N$53,MATCH(CQ160,CaseData!$A$30:$A$53,0),MATCH($D173,CaseData!$B$29:$N$29,0)))</f>
        <v>0</v>
      </c>
      <c r="CR173" s="63">
        <f>IF(CR160=0,0,INDEX(CaseData!$B$30:$N$53,MATCH(CR160,CaseData!$A$30:$A$53,0),MATCH($D173,CaseData!$B$29:$N$29,0)))</f>
        <v>0</v>
      </c>
      <c r="CS173" s="63">
        <f>IF(CS160=0,0,INDEX(CaseData!$B$30:$N$53,MATCH(CS160,CaseData!$A$30:$A$53,0),MATCH($D173,CaseData!$B$29:$N$29,0)))</f>
        <v>0</v>
      </c>
      <c r="CT173" s="63">
        <f>IF(CT160=0,0,INDEX(CaseData!$B$30:$N$53,MATCH(CT160,CaseData!$A$30:$A$53,0),MATCH($D173,CaseData!$B$29:$N$29,0)))</f>
        <v>0</v>
      </c>
      <c r="CU173" s="63">
        <f>IF(CU160=0,0,INDEX(CaseData!$B$30:$N$53,MATCH(CU160,CaseData!$A$30:$A$53,0),MATCH($D173,CaseData!$B$29:$N$29,0)))</f>
        <v>0</v>
      </c>
      <c r="CV173" s="63">
        <f>IF(CV160=0,0,INDEX(CaseData!$B$30:$N$53,MATCH(CV160,CaseData!$A$30:$A$53,0),MATCH($D173,CaseData!$B$29:$N$29,0)))</f>
        <v>0</v>
      </c>
      <c r="CW173" s="63">
        <f>IF(CW160=0,0,INDEX(CaseData!$B$30:$N$53,MATCH(CW160,CaseData!$A$30:$A$53,0),MATCH($D173,CaseData!$B$29:$N$29,0)))</f>
        <v>0</v>
      </c>
      <c r="CX173" s="63">
        <f>IF(CX160=0,0,INDEX(CaseData!$B$30:$N$53,MATCH(CX160,CaseData!$A$30:$A$53,0),MATCH($D173,CaseData!$B$29:$N$29,0)))</f>
        <v>0</v>
      </c>
      <c r="CY173" s="63">
        <f>IF(CY160=0,0,INDEX(CaseData!$B$30:$N$53,MATCH(CY160,CaseData!$A$30:$A$53,0),MATCH($D173,CaseData!$B$29:$N$29,0)))</f>
        <v>0</v>
      </c>
      <c r="CZ173" s="63">
        <f>IF(CZ160=0,0,INDEX(CaseData!$B$30:$N$53,MATCH(CZ160,CaseData!$A$30:$A$53,0),MATCH($D173,CaseData!$B$29:$N$29,0)))</f>
        <v>0</v>
      </c>
      <c r="DA173" s="63">
        <f>IF(DA160=0,0,INDEX(CaseData!$B$30:$N$53,MATCH(DA160,CaseData!$A$30:$A$53,0),MATCH($D173,CaseData!$B$29:$N$29,0)))</f>
        <v>0</v>
      </c>
      <c r="DB173" s="63">
        <f>IF(DB160=0,0,INDEX(CaseData!$B$30:$N$53,MATCH(DB160,CaseData!$A$30:$A$53,0),MATCH($D173,CaseData!$B$29:$N$29,0)))</f>
        <v>0</v>
      </c>
      <c r="DC173" s="63">
        <f>IF(DC160=0,0,INDEX(CaseData!$B$30:$N$53,MATCH(DC160,CaseData!$A$30:$A$53,0),MATCH($D173,CaseData!$B$29:$N$29,0)))</f>
        <v>0</v>
      </c>
      <c r="DD173" s="63">
        <f>IF(DD160=0,0,INDEX(CaseData!$B$30:$N$53,MATCH(DD160,CaseData!$A$30:$A$53,0),MATCH($D173,CaseData!$B$29:$N$29,0)))</f>
        <v>0</v>
      </c>
      <c r="DE173" s="63">
        <f>IF(DE160=0,0,INDEX(CaseData!$B$30:$N$53,MATCH(DE160,CaseData!$A$30:$A$53,0),MATCH($D173,CaseData!$B$29:$N$29,0)))</f>
        <v>0</v>
      </c>
      <c r="DF173" s="63">
        <f>IF(DF160=0,0,INDEX(CaseData!$B$30:$N$53,MATCH(DF160,CaseData!$A$30:$A$53,0),MATCH($D173,CaseData!$B$29:$N$29,0)))</f>
        <v>0</v>
      </c>
      <c r="DG173" s="63">
        <f>IF(DG160=0,0,INDEX(CaseData!$B$30:$N$53,MATCH(DG160,CaseData!$A$30:$A$53,0),MATCH($D173,CaseData!$B$29:$N$29,0)))</f>
        <v>0</v>
      </c>
      <c r="DH173" s="63">
        <f>IF(DH160=0,0,INDEX(CaseData!$B$30:$N$53,MATCH(DH160,CaseData!$A$30:$A$53,0),MATCH($D173,CaseData!$B$29:$N$29,0)))</f>
        <v>0</v>
      </c>
      <c r="DI173" s="63">
        <f>IF(DI160=0,0,INDEX(CaseData!$B$30:$N$53,MATCH(DI160,CaseData!$A$30:$A$53,0),MATCH($D173,CaseData!$B$29:$N$29,0)))</f>
        <v>0</v>
      </c>
      <c r="DJ173" s="63">
        <f>IF(DJ160=0,0,INDEX(CaseData!$B$30:$N$53,MATCH(DJ160,CaseData!$A$30:$A$53,0),MATCH($D173,CaseData!$B$29:$N$29,0)))</f>
        <v>0</v>
      </c>
      <c r="DK173" s="63">
        <f>IF(DK160=0,0,INDEX(CaseData!$B$30:$N$53,MATCH(DK160,CaseData!$A$30:$A$53,0),MATCH($D173,CaseData!$B$29:$N$29,0)))</f>
        <v>0</v>
      </c>
      <c r="DL173" s="63">
        <f>IF(DL160=0,0,INDEX(CaseData!$B$30:$N$53,MATCH(DL160,CaseData!$A$30:$A$53,0),MATCH($D173,CaseData!$B$29:$N$29,0)))</f>
        <v>0</v>
      </c>
      <c r="DM173" s="63">
        <f>IF(DM160=0,0,INDEX(CaseData!$B$30:$N$53,MATCH(DM160,CaseData!$A$30:$A$53,0),MATCH($D173,CaseData!$B$29:$N$29,0)))</f>
        <v>0</v>
      </c>
      <c r="DN173" s="63">
        <f>IF(DN160=0,0,INDEX(CaseData!$B$30:$N$53,MATCH(DN160,CaseData!$A$30:$A$53,0),MATCH($D173,CaseData!$B$29:$N$29,0)))</f>
        <v>0</v>
      </c>
      <c r="DO173" s="63">
        <f>IF(DO160=0,0,INDEX(CaseData!$B$30:$N$53,MATCH(DO160,CaseData!$A$30:$A$53,0),MATCH($D173,CaseData!$B$29:$N$29,0)))</f>
        <v>0</v>
      </c>
      <c r="DP173" s="63">
        <f>IF(DP160=0,0,INDEX(CaseData!$B$30:$N$53,MATCH(DP160,CaseData!$A$30:$A$53,0),MATCH($D173,CaseData!$B$29:$N$29,0)))</f>
        <v>0</v>
      </c>
      <c r="DQ173" s="63">
        <f>IF(DQ160=0,0,INDEX(CaseData!$B$30:$N$53,MATCH(DQ160,CaseData!$A$30:$A$53,0),MATCH($D173,CaseData!$B$29:$N$29,0)))</f>
        <v>0</v>
      </c>
      <c r="DR173" s="63">
        <f>IF(DR160=0,0,INDEX(CaseData!$B$30:$N$53,MATCH(DR160,CaseData!$A$30:$A$53,0),MATCH($D173,CaseData!$B$29:$N$29,0)))</f>
        <v>0</v>
      </c>
      <c r="DS173" s="63">
        <f>IF(DS160=0,0,INDEX(CaseData!$B$30:$N$53,MATCH(DS160,CaseData!$A$30:$A$53,0),MATCH($D173,CaseData!$B$29:$N$29,0)))</f>
        <v>0</v>
      </c>
      <c r="DT173" s="63">
        <f>IF(DT160=0,0,INDEX(CaseData!$B$30:$N$53,MATCH(DT160,CaseData!$A$30:$A$53,0),MATCH($D173,CaseData!$B$29:$N$29,0)))</f>
        <v>0</v>
      </c>
      <c r="DU173" s="63">
        <f>IF(DU160=0,0,INDEX(CaseData!$B$30:$N$53,MATCH(DU160,CaseData!$A$30:$A$53,0),MATCH($D173,CaseData!$B$29:$N$29,0)))</f>
        <v>0</v>
      </c>
      <c r="DV173" s="63">
        <f>IF(DV160=0,0,INDEX(CaseData!$B$30:$N$53,MATCH(DV160,CaseData!$A$30:$A$53,0),MATCH($D173,CaseData!$B$29:$N$29,0)))</f>
        <v>0</v>
      </c>
    </row>
    <row r="174" spans="2:126" outlineLevel="1">
      <c r="B174" s="3" t="str">
        <f t="shared" si="144"/>
        <v>Property N</v>
      </c>
      <c r="C174" s="14"/>
      <c r="D174" s="14">
        <f t="shared" si="145"/>
        <v>22</v>
      </c>
      <c r="E174" s="35"/>
      <c r="F174" s="35"/>
      <c r="G174" s="63">
        <f>IF(G161=0,0,INDEX(CaseData!$B$30:$N$53,MATCH(G161,CaseData!$A$30:$A$53,0),MATCH($D174,CaseData!$B$29:$N$29,0)))</f>
        <v>0</v>
      </c>
      <c r="H174" s="63">
        <f>IF(H161=0,0,INDEX(CaseData!$B$30:$N$53,MATCH(H161,CaseData!$A$30:$A$53,0),MATCH($D174,CaseData!$B$29:$N$29,0)))</f>
        <v>0</v>
      </c>
      <c r="I174" s="63">
        <f>IF(I161=0,0,INDEX(CaseData!$B$30:$N$53,MATCH(I161,CaseData!$A$30:$A$53,0),MATCH($D174,CaseData!$B$29:$N$29,0)))</f>
        <v>0</v>
      </c>
      <c r="J174" s="63">
        <f>IF(J161=0,0,INDEX(CaseData!$B$30:$N$53,MATCH(J161,CaseData!$A$30:$A$53,0),MATCH($D174,CaseData!$B$29:$N$29,0)))</f>
        <v>0</v>
      </c>
      <c r="K174" s="63">
        <f>IF(K161=0,0,INDEX(CaseData!$B$30:$N$53,MATCH(K161,CaseData!$A$30:$A$53,0),MATCH($D174,CaseData!$B$29:$N$29,0)))</f>
        <v>0</v>
      </c>
      <c r="L174" s="63">
        <f>IF(L161=0,0,INDEX(CaseData!$B$30:$N$53,MATCH(L161,CaseData!$A$30:$A$53,0),MATCH($D174,CaseData!$B$29:$N$29,0)))</f>
        <v>0</v>
      </c>
      <c r="M174" s="63">
        <f>IF(M161=0,0,INDEX(CaseData!$B$30:$N$53,MATCH(M161,CaseData!$A$30:$A$53,0),MATCH($D174,CaseData!$B$29:$N$29,0)))</f>
        <v>0</v>
      </c>
      <c r="N174" s="63">
        <f>IF(N161=0,0,INDEX(CaseData!$B$30:$N$53,MATCH(N161,CaseData!$A$30:$A$53,0),MATCH($D174,CaseData!$B$29:$N$29,0)))</f>
        <v>0</v>
      </c>
      <c r="O174" s="63">
        <f>IF(O161=0,0,INDEX(CaseData!$B$30:$N$53,MATCH(O161,CaseData!$A$30:$A$53,0),MATCH($D174,CaseData!$B$29:$N$29,0)))</f>
        <v>0</v>
      </c>
      <c r="P174" s="63">
        <f>IF(P161=0,0,INDEX(CaseData!$B$30:$N$53,MATCH(P161,CaseData!$A$30:$A$53,0),MATCH($D174,CaseData!$B$29:$N$29,0)))</f>
        <v>0</v>
      </c>
      <c r="Q174" s="63">
        <f>IF(Q161=0,0,INDEX(CaseData!$B$30:$N$53,MATCH(Q161,CaseData!$A$30:$A$53,0),MATCH($D174,CaseData!$B$29:$N$29,0)))</f>
        <v>0</v>
      </c>
      <c r="R174" s="63">
        <f>IF(R161=0,0,INDEX(CaseData!$B$30:$N$53,MATCH(R161,CaseData!$A$30:$A$53,0),MATCH($D174,CaseData!$B$29:$N$29,0)))</f>
        <v>0</v>
      </c>
      <c r="S174" s="63">
        <f>IF(S161=0,0,INDEX(CaseData!$B$30:$N$53,MATCH(S161,CaseData!$A$30:$A$53,0),MATCH($D174,CaseData!$B$29:$N$29,0)))</f>
        <v>0</v>
      </c>
      <c r="T174" s="63">
        <f>IF(T161=0,0,INDEX(CaseData!$B$30:$N$53,MATCH(T161,CaseData!$A$30:$A$53,0),MATCH($D174,CaseData!$B$29:$N$29,0)))</f>
        <v>0</v>
      </c>
      <c r="U174" s="63">
        <f>IF(U161=0,0,INDEX(CaseData!$B$30:$N$53,MATCH(U161,CaseData!$A$30:$A$53,0),MATCH($D174,CaseData!$B$29:$N$29,0)))</f>
        <v>0</v>
      </c>
      <c r="V174" s="63">
        <f>IF(V161=0,0,INDEX(CaseData!$B$30:$N$53,MATCH(V161,CaseData!$A$30:$A$53,0),MATCH($D174,CaseData!$B$29:$N$29,0)))</f>
        <v>0</v>
      </c>
      <c r="W174" s="63">
        <f>IF(W161=0,0,INDEX(CaseData!$B$30:$N$53,MATCH(W161,CaseData!$A$30:$A$53,0),MATCH($D174,CaseData!$B$29:$N$29,0)))</f>
        <v>0</v>
      </c>
      <c r="X174" s="63">
        <f>IF(X161=0,0,INDEX(CaseData!$B$30:$N$53,MATCH(X161,CaseData!$A$30:$A$53,0),MATCH($D174,CaseData!$B$29:$N$29,0)))</f>
        <v>0</v>
      </c>
      <c r="Y174" s="63">
        <f>IF(Y161=0,0,INDEX(CaseData!$B$30:$N$53,MATCH(Y161,CaseData!$A$30:$A$53,0),MATCH($D174,CaseData!$B$29:$N$29,0)))</f>
        <v>0</v>
      </c>
      <c r="Z174" s="63">
        <f>IF(Z161=0,0,INDEX(CaseData!$B$30:$N$53,MATCH(Z161,CaseData!$A$30:$A$53,0),MATCH($D174,CaseData!$B$29:$N$29,0)))</f>
        <v>0</v>
      </c>
      <c r="AA174" s="63">
        <f>IF(AA161=0,0,INDEX(CaseData!$B$30:$N$53,MATCH(AA161,CaseData!$A$30:$A$53,0),MATCH($D174,CaseData!$B$29:$N$29,0)))</f>
        <v>0</v>
      </c>
      <c r="AB174" s="63">
        <f>IF(AB161=0,0,INDEX(CaseData!$B$30:$N$53,MATCH(AB161,CaseData!$A$30:$A$53,0),MATCH($D174,CaseData!$B$29:$N$29,0)))</f>
        <v>0</v>
      </c>
      <c r="AC174" s="63">
        <f>IF(AC161=0,0,INDEX(CaseData!$B$30:$N$53,MATCH(AC161,CaseData!$A$30:$A$53,0),MATCH($D174,CaseData!$B$29:$N$29,0)))</f>
        <v>0</v>
      </c>
      <c r="AD174" s="63">
        <f>IF(AD161=0,0,INDEX(CaseData!$B$30:$N$53,MATCH(AD161,CaseData!$A$30:$A$53,0),MATCH($D174,CaseData!$B$29:$N$29,0)))</f>
        <v>0</v>
      </c>
      <c r="AE174" s="63">
        <f>IF(AE161=0,0,INDEX(CaseData!$B$30:$N$53,MATCH(AE161,CaseData!$A$30:$A$53,0),MATCH($D174,CaseData!$B$29:$N$29,0)))</f>
        <v>0</v>
      </c>
      <c r="AF174" s="63">
        <f>IF(AF161=0,0,INDEX(CaseData!$B$30:$N$53,MATCH(AF161,CaseData!$A$30:$A$53,0),MATCH($D174,CaseData!$B$29:$N$29,0)))</f>
        <v>0</v>
      </c>
      <c r="AG174" s="63">
        <f>IF(AG161=0,0,INDEX(CaseData!$B$30:$N$53,MATCH(AG161,CaseData!$A$30:$A$53,0),MATCH($D174,CaseData!$B$29:$N$29,0)))</f>
        <v>0</v>
      </c>
      <c r="AH174" s="63">
        <f>IF(AH161=0,0,INDEX(CaseData!$B$30:$N$53,MATCH(AH161,CaseData!$A$30:$A$53,0),MATCH($D174,CaseData!$B$29:$N$29,0)))</f>
        <v>0</v>
      </c>
      <c r="AI174" s="63">
        <f>IF(AI161=0,0,INDEX(CaseData!$B$30:$N$53,MATCH(AI161,CaseData!$A$30:$A$53,0),MATCH($D174,CaseData!$B$29:$N$29,0)))</f>
        <v>0</v>
      </c>
      <c r="AJ174" s="63">
        <f>IF(AJ161=0,0,INDEX(CaseData!$B$30:$N$53,MATCH(AJ161,CaseData!$A$30:$A$53,0),MATCH($D174,CaseData!$B$29:$N$29,0)))</f>
        <v>0</v>
      </c>
      <c r="AK174" s="63">
        <f>IF(AK161=0,0,INDEX(CaseData!$B$30:$N$53,MATCH(AK161,CaseData!$A$30:$A$53,0),MATCH($D174,CaseData!$B$29:$N$29,0)))</f>
        <v>0</v>
      </c>
      <c r="AL174" s="63">
        <f>IF(AL161=0,0,INDEX(CaseData!$B$30:$N$53,MATCH(AL161,CaseData!$A$30:$A$53,0),MATCH($D174,CaseData!$B$29:$N$29,0)))</f>
        <v>0</v>
      </c>
      <c r="AM174" s="63">
        <f>IF(AM161=0,0,INDEX(CaseData!$B$30:$N$53,MATCH(AM161,CaseData!$A$30:$A$53,0),MATCH($D174,CaseData!$B$29:$N$29,0)))</f>
        <v>0</v>
      </c>
      <c r="AN174" s="63">
        <f>IF(AN161=0,0,INDEX(CaseData!$B$30:$N$53,MATCH(AN161,CaseData!$A$30:$A$53,0),MATCH($D174,CaseData!$B$29:$N$29,0)))</f>
        <v>0</v>
      </c>
      <c r="AO174" s="63">
        <f>IF(AO161=0,0,INDEX(CaseData!$B$30:$N$53,MATCH(AO161,CaseData!$A$30:$A$53,0),MATCH($D174,CaseData!$B$29:$N$29,0)))</f>
        <v>0</v>
      </c>
      <c r="AP174" s="63">
        <f>IF(AP161=0,0,INDEX(CaseData!$B$30:$N$53,MATCH(AP161,CaseData!$A$30:$A$53,0),MATCH($D174,CaseData!$B$29:$N$29,0)))</f>
        <v>0</v>
      </c>
      <c r="AQ174" s="63">
        <f>IF(AQ161=0,0,INDEX(CaseData!$B$30:$N$53,MATCH(AQ161,CaseData!$A$30:$A$53,0),MATCH($D174,CaseData!$B$29:$N$29,0)))</f>
        <v>0</v>
      </c>
      <c r="AR174" s="63">
        <f>IF(AR161=0,0,INDEX(CaseData!$B$30:$N$53,MATCH(AR161,CaseData!$A$30:$A$53,0),MATCH($D174,CaseData!$B$29:$N$29,0)))</f>
        <v>0</v>
      </c>
      <c r="AS174" s="63">
        <f>IF(AS161=0,0,INDEX(CaseData!$B$30:$N$53,MATCH(AS161,CaseData!$A$30:$A$53,0),MATCH($D174,CaseData!$B$29:$N$29,0)))</f>
        <v>0</v>
      </c>
      <c r="AT174" s="63">
        <f>IF(AT161=0,0,INDEX(CaseData!$B$30:$N$53,MATCH(AT161,CaseData!$A$30:$A$53,0),MATCH($D174,CaseData!$B$29:$N$29,0)))</f>
        <v>0</v>
      </c>
      <c r="AU174" s="63">
        <f>IF(AU161=0,0,INDEX(CaseData!$B$30:$N$53,MATCH(AU161,CaseData!$A$30:$A$53,0),MATCH($D174,CaseData!$B$29:$N$29,0)))</f>
        <v>0</v>
      </c>
      <c r="AV174" s="63">
        <f>IF(AV161=0,0,INDEX(CaseData!$B$30:$N$53,MATCH(AV161,CaseData!$A$30:$A$53,0),MATCH($D174,CaseData!$B$29:$N$29,0)))</f>
        <v>0.01</v>
      </c>
      <c r="AW174" s="63">
        <f>IF(AW161=0,0,INDEX(CaseData!$B$30:$N$53,MATCH(AW161,CaseData!$A$30:$A$53,0),MATCH($D174,CaseData!$B$29:$N$29,0)))</f>
        <v>0.01</v>
      </c>
      <c r="AX174" s="63">
        <f>IF(AX161=0,0,INDEX(CaseData!$B$30:$N$53,MATCH(AX161,CaseData!$A$30:$A$53,0),MATCH($D174,CaseData!$B$29:$N$29,0)))</f>
        <v>1.4999999999999999E-2</v>
      </c>
      <c r="AY174" s="63">
        <f>IF(AY161=0,0,INDEX(CaseData!$B$30:$N$53,MATCH(AY161,CaseData!$A$30:$A$53,0),MATCH($D174,CaseData!$B$29:$N$29,0)))</f>
        <v>0.02</v>
      </c>
      <c r="AZ174" s="63">
        <f>IF(AZ161=0,0,INDEX(CaseData!$B$30:$N$53,MATCH(AZ161,CaseData!$A$30:$A$53,0),MATCH($D174,CaseData!$B$29:$N$29,0)))</f>
        <v>0.02</v>
      </c>
      <c r="BA174" s="63">
        <f>IF(BA161=0,0,INDEX(CaseData!$B$30:$N$53,MATCH(BA161,CaseData!$A$30:$A$53,0),MATCH($D174,CaseData!$B$29:$N$29,0)))</f>
        <v>2.5000000000000001E-2</v>
      </c>
      <c r="BB174" s="63">
        <f>IF(BB161=0,0,INDEX(CaseData!$B$30:$N$53,MATCH(BB161,CaseData!$A$30:$A$53,0),MATCH($D174,CaseData!$B$29:$N$29,0)))</f>
        <v>0.03</v>
      </c>
      <c r="BC174" s="63">
        <f>IF(BC161=0,0,INDEX(CaseData!$B$30:$N$53,MATCH(BC161,CaseData!$A$30:$A$53,0),MATCH($D174,CaseData!$B$29:$N$29,0)))</f>
        <v>0.03</v>
      </c>
      <c r="BD174" s="63">
        <f>IF(BD161=0,0,INDEX(CaseData!$B$30:$N$53,MATCH(BD161,CaseData!$A$30:$A$53,0),MATCH($D174,CaseData!$B$29:$N$29,0)))</f>
        <v>0.03</v>
      </c>
      <c r="BE174" s="63">
        <f>IF(BE161=0,0,INDEX(CaseData!$B$30:$N$53,MATCH(BE161,CaseData!$A$30:$A$53,0),MATCH($D174,CaseData!$B$29:$N$29,0)))</f>
        <v>0.04</v>
      </c>
      <c r="BF174" s="63">
        <f>IF(BF161=0,0,INDEX(CaseData!$B$30:$N$53,MATCH(BF161,CaseData!$A$30:$A$53,0),MATCH($D174,CaseData!$B$29:$N$29,0)))</f>
        <v>4.4999999999999998E-2</v>
      </c>
      <c r="BG174" s="63">
        <f>IF(BG161=0,0,INDEX(CaseData!$B$30:$N$53,MATCH(BG161,CaseData!$A$30:$A$53,0),MATCH($D174,CaseData!$B$29:$N$29,0)))</f>
        <v>0.05</v>
      </c>
      <c r="BH174" s="63">
        <f>IF(BH161=0,0,INDEX(CaseData!$B$30:$N$53,MATCH(BH161,CaseData!$A$30:$A$53,0),MATCH($D174,CaseData!$B$29:$N$29,0)))</f>
        <v>5.5E-2</v>
      </c>
      <c r="BI174" s="63">
        <f>IF(BI161=0,0,INDEX(CaseData!$B$30:$N$53,MATCH(BI161,CaseData!$A$30:$A$53,0),MATCH($D174,CaseData!$B$29:$N$29,0)))</f>
        <v>0.06</v>
      </c>
      <c r="BJ174" s="63">
        <f>IF(BJ161=0,0,INDEX(CaseData!$B$30:$N$53,MATCH(BJ161,CaseData!$A$30:$A$53,0),MATCH($D174,CaseData!$B$29:$N$29,0)))</f>
        <v>7.0000000000000007E-2</v>
      </c>
      <c r="BK174" s="63">
        <f>IF(BK161=0,0,INDEX(CaseData!$B$30:$N$53,MATCH(BK161,CaseData!$A$30:$A$53,0),MATCH($D174,CaseData!$B$29:$N$29,0)))</f>
        <v>0.08</v>
      </c>
      <c r="BL174" s="63">
        <f>IF(BL161=0,0,INDEX(CaseData!$B$30:$N$53,MATCH(BL161,CaseData!$A$30:$A$53,0),MATCH($D174,CaseData!$B$29:$N$29,0)))</f>
        <v>0.08</v>
      </c>
      <c r="BM174" s="63">
        <f>IF(BM161=0,0,INDEX(CaseData!$B$30:$N$53,MATCH(BM161,CaseData!$A$30:$A$53,0),MATCH($D174,CaseData!$B$29:$N$29,0)))</f>
        <v>0.08</v>
      </c>
      <c r="BN174" s="63">
        <f>IF(BN161=0,0,INDEX(CaseData!$B$30:$N$53,MATCH(BN161,CaseData!$A$30:$A$53,0),MATCH($D174,CaseData!$B$29:$N$29,0)))</f>
        <v>0.08</v>
      </c>
      <c r="BO174" s="63">
        <f>IF(BO161=0,0,INDEX(CaseData!$B$30:$N$53,MATCH(BO161,CaseData!$A$30:$A$53,0),MATCH($D174,CaseData!$B$29:$N$29,0)))</f>
        <v>7.0000000000000007E-2</v>
      </c>
      <c r="BP174" s="63">
        <f>IF(BP161=0,0,INDEX(CaseData!$B$30:$N$53,MATCH(BP161,CaseData!$A$30:$A$53,0),MATCH($D174,CaseData!$B$29:$N$29,0)))</f>
        <v>0.06</v>
      </c>
      <c r="BQ174" s="63">
        <f>IF(BQ161=0,0,INDEX(CaseData!$B$30:$N$53,MATCH(BQ161,CaseData!$A$30:$A$53,0),MATCH($D174,CaseData!$B$29:$N$29,0)))</f>
        <v>0.04</v>
      </c>
      <c r="BR174" s="63">
        <f>IF(BR161=0,0,INDEX(CaseData!$B$30:$N$53,MATCH(BR161,CaseData!$A$30:$A$53,0),MATCH($D174,CaseData!$B$29:$N$29,0)))</f>
        <v>0</v>
      </c>
      <c r="BS174" s="63">
        <f>IF(BS161=0,0,INDEX(CaseData!$B$30:$N$53,MATCH(BS161,CaseData!$A$30:$A$53,0),MATCH($D174,CaseData!$B$29:$N$29,0)))</f>
        <v>0</v>
      </c>
      <c r="BT174" s="63">
        <f>IF(BT161=0,0,INDEX(CaseData!$B$30:$N$53,MATCH(BT161,CaseData!$A$30:$A$53,0),MATCH($D174,CaseData!$B$29:$N$29,0)))</f>
        <v>0</v>
      </c>
      <c r="BU174" s="63">
        <f>IF(BU161=0,0,INDEX(CaseData!$B$30:$N$53,MATCH(BU161,CaseData!$A$30:$A$53,0),MATCH($D174,CaseData!$B$29:$N$29,0)))</f>
        <v>0</v>
      </c>
      <c r="BV174" s="63">
        <f>IF(BV161=0,0,INDEX(CaseData!$B$30:$N$53,MATCH(BV161,CaseData!$A$30:$A$53,0),MATCH($D174,CaseData!$B$29:$N$29,0)))</f>
        <v>0</v>
      </c>
      <c r="BW174" s="63">
        <f>IF(BW161=0,0,INDEX(CaseData!$B$30:$N$53,MATCH(BW161,CaseData!$A$30:$A$53,0),MATCH($D174,CaseData!$B$29:$N$29,0)))</f>
        <v>0</v>
      </c>
      <c r="BX174" s="63">
        <f>IF(BX161=0,0,INDEX(CaseData!$B$30:$N$53,MATCH(BX161,CaseData!$A$30:$A$53,0),MATCH($D174,CaseData!$B$29:$N$29,0)))</f>
        <v>0</v>
      </c>
      <c r="BY174" s="63">
        <f>IF(BY161=0,0,INDEX(CaseData!$B$30:$N$53,MATCH(BY161,CaseData!$A$30:$A$53,0),MATCH($D174,CaseData!$B$29:$N$29,0)))</f>
        <v>0</v>
      </c>
      <c r="BZ174" s="63">
        <f>IF(BZ161=0,0,INDEX(CaseData!$B$30:$N$53,MATCH(BZ161,CaseData!$A$30:$A$53,0),MATCH($D174,CaseData!$B$29:$N$29,0)))</f>
        <v>0</v>
      </c>
      <c r="CA174" s="63">
        <f>IF(CA161=0,0,INDEX(CaseData!$B$30:$N$53,MATCH(CA161,CaseData!$A$30:$A$53,0),MATCH($D174,CaseData!$B$29:$N$29,0)))</f>
        <v>0</v>
      </c>
      <c r="CB174" s="63">
        <f>IF(CB161=0,0,INDEX(CaseData!$B$30:$N$53,MATCH(CB161,CaseData!$A$30:$A$53,0),MATCH($D174,CaseData!$B$29:$N$29,0)))</f>
        <v>0</v>
      </c>
      <c r="CC174" s="63">
        <f>IF(CC161=0,0,INDEX(CaseData!$B$30:$N$53,MATCH(CC161,CaseData!$A$30:$A$53,0),MATCH($D174,CaseData!$B$29:$N$29,0)))</f>
        <v>0</v>
      </c>
      <c r="CD174" s="63">
        <f>IF(CD161=0,0,INDEX(CaseData!$B$30:$N$53,MATCH(CD161,CaseData!$A$30:$A$53,0),MATCH($D174,CaseData!$B$29:$N$29,0)))</f>
        <v>0</v>
      </c>
      <c r="CE174" s="63">
        <f>IF(CE161=0,0,INDEX(CaseData!$B$30:$N$53,MATCH(CE161,CaseData!$A$30:$A$53,0),MATCH($D174,CaseData!$B$29:$N$29,0)))</f>
        <v>0</v>
      </c>
      <c r="CF174" s="63">
        <f>IF(CF161=0,0,INDEX(CaseData!$B$30:$N$53,MATCH(CF161,CaseData!$A$30:$A$53,0),MATCH($D174,CaseData!$B$29:$N$29,0)))</f>
        <v>0</v>
      </c>
      <c r="CG174" s="63">
        <f>IF(CG161=0,0,INDEX(CaseData!$B$30:$N$53,MATCH(CG161,CaseData!$A$30:$A$53,0),MATCH($D174,CaseData!$B$29:$N$29,0)))</f>
        <v>0</v>
      </c>
      <c r="CH174" s="63">
        <f>IF(CH161=0,0,INDEX(CaseData!$B$30:$N$53,MATCH(CH161,CaseData!$A$30:$A$53,0),MATCH($D174,CaseData!$B$29:$N$29,0)))</f>
        <v>0</v>
      </c>
      <c r="CI174" s="63">
        <f>IF(CI161=0,0,INDEX(CaseData!$B$30:$N$53,MATCH(CI161,CaseData!$A$30:$A$53,0),MATCH($D174,CaseData!$B$29:$N$29,0)))</f>
        <v>0</v>
      </c>
      <c r="CJ174" s="63">
        <f>IF(CJ161=0,0,INDEX(CaseData!$B$30:$N$53,MATCH(CJ161,CaseData!$A$30:$A$53,0),MATCH($D174,CaseData!$B$29:$N$29,0)))</f>
        <v>0</v>
      </c>
      <c r="CK174" s="63">
        <f>IF(CK161=0,0,INDEX(CaseData!$B$30:$N$53,MATCH(CK161,CaseData!$A$30:$A$53,0),MATCH($D174,CaseData!$B$29:$N$29,0)))</f>
        <v>0</v>
      </c>
      <c r="CL174" s="63">
        <f>IF(CL161=0,0,INDEX(CaseData!$B$30:$N$53,MATCH(CL161,CaseData!$A$30:$A$53,0),MATCH($D174,CaseData!$B$29:$N$29,0)))</f>
        <v>0</v>
      </c>
      <c r="CM174" s="63">
        <f>IF(CM161=0,0,INDEX(CaseData!$B$30:$N$53,MATCH(CM161,CaseData!$A$30:$A$53,0),MATCH($D174,CaseData!$B$29:$N$29,0)))</f>
        <v>0</v>
      </c>
      <c r="CN174" s="63">
        <f>IF(CN161=0,0,INDEX(CaseData!$B$30:$N$53,MATCH(CN161,CaseData!$A$30:$A$53,0),MATCH($D174,CaseData!$B$29:$N$29,0)))</f>
        <v>0</v>
      </c>
      <c r="CO174" s="63">
        <f>IF(CO161=0,0,INDEX(CaseData!$B$30:$N$53,MATCH(CO161,CaseData!$A$30:$A$53,0),MATCH($D174,CaseData!$B$29:$N$29,0)))</f>
        <v>0</v>
      </c>
      <c r="CP174" s="63">
        <f>IF(CP161=0,0,INDEX(CaseData!$B$30:$N$53,MATCH(CP161,CaseData!$A$30:$A$53,0),MATCH($D174,CaseData!$B$29:$N$29,0)))</f>
        <v>0</v>
      </c>
      <c r="CQ174" s="63">
        <f>IF(CQ161=0,0,INDEX(CaseData!$B$30:$N$53,MATCH(CQ161,CaseData!$A$30:$A$53,0),MATCH($D174,CaseData!$B$29:$N$29,0)))</f>
        <v>0</v>
      </c>
      <c r="CR174" s="63">
        <f>IF(CR161=0,0,INDEX(CaseData!$B$30:$N$53,MATCH(CR161,CaseData!$A$30:$A$53,0),MATCH($D174,CaseData!$B$29:$N$29,0)))</f>
        <v>0</v>
      </c>
      <c r="CS174" s="63">
        <f>IF(CS161=0,0,INDEX(CaseData!$B$30:$N$53,MATCH(CS161,CaseData!$A$30:$A$53,0),MATCH($D174,CaseData!$B$29:$N$29,0)))</f>
        <v>0</v>
      </c>
      <c r="CT174" s="63">
        <f>IF(CT161=0,0,INDEX(CaseData!$B$30:$N$53,MATCH(CT161,CaseData!$A$30:$A$53,0),MATCH($D174,CaseData!$B$29:$N$29,0)))</f>
        <v>0</v>
      </c>
      <c r="CU174" s="63">
        <f>IF(CU161=0,0,INDEX(CaseData!$B$30:$N$53,MATCH(CU161,CaseData!$A$30:$A$53,0),MATCH($D174,CaseData!$B$29:$N$29,0)))</f>
        <v>0</v>
      </c>
      <c r="CV174" s="63">
        <f>IF(CV161=0,0,INDEX(CaseData!$B$30:$N$53,MATCH(CV161,CaseData!$A$30:$A$53,0),MATCH($D174,CaseData!$B$29:$N$29,0)))</f>
        <v>0</v>
      </c>
      <c r="CW174" s="63">
        <f>IF(CW161=0,0,INDEX(CaseData!$B$30:$N$53,MATCH(CW161,CaseData!$A$30:$A$53,0),MATCH($D174,CaseData!$B$29:$N$29,0)))</f>
        <v>0</v>
      </c>
      <c r="CX174" s="63">
        <f>IF(CX161=0,0,INDEX(CaseData!$B$30:$N$53,MATCH(CX161,CaseData!$A$30:$A$53,0),MATCH($D174,CaseData!$B$29:$N$29,0)))</f>
        <v>0</v>
      </c>
      <c r="CY174" s="63">
        <f>IF(CY161=0,0,INDEX(CaseData!$B$30:$N$53,MATCH(CY161,CaseData!$A$30:$A$53,0),MATCH($D174,CaseData!$B$29:$N$29,0)))</f>
        <v>0</v>
      </c>
      <c r="CZ174" s="63">
        <f>IF(CZ161=0,0,INDEX(CaseData!$B$30:$N$53,MATCH(CZ161,CaseData!$A$30:$A$53,0),MATCH($D174,CaseData!$B$29:$N$29,0)))</f>
        <v>0</v>
      </c>
      <c r="DA174" s="63">
        <f>IF(DA161=0,0,INDEX(CaseData!$B$30:$N$53,MATCH(DA161,CaseData!$A$30:$A$53,0),MATCH($D174,CaseData!$B$29:$N$29,0)))</f>
        <v>0</v>
      </c>
      <c r="DB174" s="63">
        <f>IF(DB161=0,0,INDEX(CaseData!$B$30:$N$53,MATCH(DB161,CaseData!$A$30:$A$53,0),MATCH($D174,CaseData!$B$29:$N$29,0)))</f>
        <v>0</v>
      </c>
      <c r="DC174" s="63">
        <f>IF(DC161=0,0,INDEX(CaseData!$B$30:$N$53,MATCH(DC161,CaseData!$A$30:$A$53,0),MATCH($D174,CaseData!$B$29:$N$29,0)))</f>
        <v>0</v>
      </c>
      <c r="DD174" s="63">
        <f>IF(DD161=0,0,INDEX(CaseData!$B$30:$N$53,MATCH(DD161,CaseData!$A$30:$A$53,0),MATCH($D174,CaseData!$B$29:$N$29,0)))</f>
        <v>0</v>
      </c>
      <c r="DE174" s="63">
        <f>IF(DE161=0,0,INDEX(CaseData!$B$30:$N$53,MATCH(DE161,CaseData!$A$30:$A$53,0),MATCH($D174,CaseData!$B$29:$N$29,0)))</f>
        <v>0</v>
      </c>
      <c r="DF174" s="63">
        <f>IF(DF161=0,0,INDEX(CaseData!$B$30:$N$53,MATCH(DF161,CaseData!$A$30:$A$53,0),MATCH($D174,CaseData!$B$29:$N$29,0)))</f>
        <v>0</v>
      </c>
      <c r="DG174" s="63">
        <f>IF(DG161=0,0,INDEX(CaseData!$B$30:$N$53,MATCH(DG161,CaseData!$A$30:$A$53,0),MATCH($D174,CaseData!$B$29:$N$29,0)))</f>
        <v>0</v>
      </c>
      <c r="DH174" s="63">
        <f>IF(DH161=0,0,INDEX(CaseData!$B$30:$N$53,MATCH(DH161,CaseData!$A$30:$A$53,0),MATCH($D174,CaseData!$B$29:$N$29,0)))</f>
        <v>0</v>
      </c>
      <c r="DI174" s="63">
        <f>IF(DI161=0,0,INDEX(CaseData!$B$30:$N$53,MATCH(DI161,CaseData!$A$30:$A$53,0),MATCH($D174,CaseData!$B$29:$N$29,0)))</f>
        <v>0</v>
      </c>
      <c r="DJ174" s="63">
        <f>IF(DJ161=0,0,INDEX(CaseData!$B$30:$N$53,MATCH(DJ161,CaseData!$A$30:$A$53,0),MATCH($D174,CaseData!$B$29:$N$29,0)))</f>
        <v>0</v>
      </c>
      <c r="DK174" s="63">
        <f>IF(DK161=0,0,INDEX(CaseData!$B$30:$N$53,MATCH(DK161,CaseData!$A$30:$A$53,0),MATCH($D174,CaseData!$B$29:$N$29,0)))</f>
        <v>0</v>
      </c>
      <c r="DL174" s="63">
        <f>IF(DL161=0,0,INDEX(CaseData!$B$30:$N$53,MATCH(DL161,CaseData!$A$30:$A$53,0),MATCH($D174,CaseData!$B$29:$N$29,0)))</f>
        <v>0</v>
      </c>
      <c r="DM174" s="63">
        <f>IF(DM161=0,0,INDEX(CaseData!$B$30:$N$53,MATCH(DM161,CaseData!$A$30:$A$53,0),MATCH($D174,CaseData!$B$29:$N$29,0)))</f>
        <v>0</v>
      </c>
      <c r="DN174" s="63">
        <f>IF(DN161=0,0,INDEX(CaseData!$B$30:$N$53,MATCH(DN161,CaseData!$A$30:$A$53,0),MATCH($D174,CaseData!$B$29:$N$29,0)))</f>
        <v>0</v>
      </c>
      <c r="DO174" s="63">
        <f>IF(DO161=0,0,INDEX(CaseData!$B$30:$N$53,MATCH(DO161,CaseData!$A$30:$A$53,0),MATCH($D174,CaseData!$B$29:$N$29,0)))</f>
        <v>0</v>
      </c>
      <c r="DP174" s="63">
        <f>IF(DP161=0,0,INDEX(CaseData!$B$30:$N$53,MATCH(DP161,CaseData!$A$30:$A$53,0),MATCH($D174,CaseData!$B$29:$N$29,0)))</f>
        <v>0</v>
      </c>
      <c r="DQ174" s="63">
        <f>IF(DQ161=0,0,INDEX(CaseData!$B$30:$N$53,MATCH(DQ161,CaseData!$A$30:$A$53,0),MATCH($D174,CaseData!$B$29:$N$29,0)))</f>
        <v>0</v>
      </c>
      <c r="DR174" s="63">
        <f>IF(DR161=0,0,INDEX(CaseData!$B$30:$N$53,MATCH(DR161,CaseData!$A$30:$A$53,0),MATCH($D174,CaseData!$B$29:$N$29,0)))</f>
        <v>0</v>
      </c>
      <c r="DS174" s="63">
        <f>IF(DS161=0,0,INDEX(CaseData!$B$30:$N$53,MATCH(DS161,CaseData!$A$30:$A$53,0),MATCH($D174,CaseData!$B$29:$N$29,0)))</f>
        <v>0</v>
      </c>
      <c r="DT174" s="63">
        <f>IF(DT161=0,0,INDEX(CaseData!$B$30:$N$53,MATCH(DT161,CaseData!$A$30:$A$53,0),MATCH($D174,CaseData!$B$29:$N$29,0)))</f>
        <v>0</v>
      </c>
      <c r="DU174" s="63">
        <f>IF(DU161=0,0,INDEX(CaseData!$B$30:$N$53,MATCH(DU161,CaseData!$A$30:$A$53,0),MATCH($D174,CaseData!$B$29:$N$29,0)))</f>
        <v>0</v>
      </c>
      <c r="DV174" s="63">
        <f>IF(DV161=0,0,INDEX(CaseData!$B$30:$N$53,MATCH(DV161,CaseData!$A$30:$A$53,0),MATCH($D174,CaseData!$B$29:$N$29,0)))</f>
        <v>0</v>
      </c>
    </row>
    <row r="175" spans="2:126" outlineLevel="1">
      <c r="B175" s="3" t="str">
        <f t="shared" si="144"/>
        <v>Property O</v>
      </c>
      <c r="C175" s="14"/>
      <c r="D175" s="14">
        <f t="shared" si="145"/>
        <v>24</v>
      </c>
      <c r="E175" s="35"/>
      <c r="F175" s="35"/>
      <c r="G175" s="63">
        <f>IF(G162=0,0,INDEX(CaseData!$B$30:$N$53,MATCH(G162,CaseData!$A$30:$A$53,0),MATCH($D175,CaseData!$B$29:$N$29,0)))</f>
        <v>0</v>
      </c>
      <c r="H175" s="63">
        <f>IF(H162=0,0,INDEX(CaseData!$B$30:$N$53,MATCH(H162,CaseData!$A$30:$A$53,0),MATCH($D175,CaseData!$B$29:$N$29,0)))</f>
        <v>0</v>
      </c>
      <c r="I175" s="63">
        <f>IF(I162=0,0,INDEX(CaseData!$B$30:$N$53,MATCH(I162,CaseData!$A$30:$A$53,0),MATCH($D175,CaseData!$B$29:$N$29,0)))</f>
        <v>0</v>
      </c>
      <c r="J175" s="63">
        <f>IF(J162=0,0,INDEX(CaseData!$B$30:$N$53,MATCH(J162,CaseData!$A$30:$A$53,0),MATCH($D175,CaseData!$B$29:$N$29,0)))</f>
        <v>0</v>
      </c>
      <c r="K175" s="63">
        <f>IF(K162=0,0,INDEX(CaseData!$B$30:$N$53,MATCH(K162,CaseData!$A$30:$A$53,0),MATCH($D175,CaseData!$B$29:$N$29,0)))</f>
        <v>0</v>
      </c>
      <c r="L175" s="63">
        <f>IF(L162=0,0,INDEX(CaseData!$B$30:$N$53,MATCH(L162,CaseData!$A$30:$A$53,0),MATCH($D175,CaseData!$B$29:$N$29,0)))</f>
        <v>0</v>
      </c>
      <c r="M175" s="63">
        <f>IF(M162=0,0,INDEX(CaseData!$B$30:$N$53,MATCH(M162,CaseData!$A$30:$A$53,0),MATCH($D175,CaseData!$B$29:$N$29,0)))</f>
        <v>0</v>
      </c>
      <c r="N175" s="63">
        <f>IF(N162=0,0,INDEX(CaseData!$B$30:$N$53,MATCH(N162,CaseData!$A$30:$A$53,0),MATCH($D175,CaseData!$B$29:$N$29,0)))</f>
        <v>0</v>
      </c>
      <c r="O175" s="63">
        <f>IF(O162=0,0,INDEX(CaseData!$B$30:$N$53,MATCH(O162,CaseData!$A$30:$A$53,0),MATCH($D175,CaseData!$B$29:$N$29,0)))</f>
        <v>0</v>
      </c>
      <c r="P175" s="63">
        <f>IF(P162=0,0,INDEX(CaseData!$B$30:$N$53,MATCH(P162,CaseData!$A$30:$A$53,0),MATCH($D175,CaseData!$B$29:$N$29,0)))</f>
        <v>0</v>
      </c>
      <c r="Q175" s="63">
        <f>IF(Q162=0,0,INDEX(CaseData!$B$30:$N$53,MATCH(Q162,CaseData!$A$30:$A$53,0),MATCH($D175,CaseData!$B$29:$N$29,0)))</f>
        <v>0</v>
      </c>
      <c r="R175" s="63">
        <f>IF(R162=0,0,INDEX(CaseData!$B$30:$N$53,MATCH(R162,CaseData!$A$30:$A$53,0),MATCH($D175,CaseData!$B$29:$N$29,0)))</f>
        <v>0</v>
      </c>
      <c r="S175" s="63">
        <f>IF(S162=0,0,INDEX(CaseData!$B$30:$N$53,MATCH(S162,CaseData!$A$30:$A$53,0),MATCH($D175,CaseData!$B$29:$N$29,0)))</f>
        <v>0</v>
      </c>
      <c r="T175" s="63">
        <f>IF(T162=0,0,INDEX(CaseData!$B$30:$N$53,MATCH(T162,CaseData!$A$30:$A$53,0),MATCH($D175,CaseData!$B$29:$N$29,0)))</f>
        <v>0</v>
      </c>
      <c r="U175" s="63">
        <f>IF(U162=0,0,INDEX(CaseData!$B$30:$N$53,MATCH(U162,CaseData!$A$30:$A$53,0),MATCH($D175,CaseData!$B$29:$N$29,0)))</f>
        <v>0</v>
      </c>
      <c r="V175" s="63">
        <f>IF(V162=0,0,INDEX(CaseData!$B$30:$N$53,MATCH(V162,CaseData!$A$30:$A$53,0),MATCH($D175,CaseData!$B$29:$N$29,0)))</f>
        <v>0</v>
      </c>
      <c r="W175" s="63">
        <f>IF(W162=0,0,INDEX(CaseData!$B$30:$N$53,MATCH(W162,CaseData!$A$30:$A$53,0),MATCH($D175,CaseData!$B$29:$N$29,0)))</f>
        <v>0</v>
      </c>
      <c r="X175" s="63">
        <f>IF(X162=0,0,INDEX(CaseData!$B$30:$N$53,MATCH(X162,CaseData!$A$30:$A$53,0),MATCH($D175,CaseData!$B$29:$N$29,0)))</f>
        <v>0</v>
      </c>
      <c r="Y175" s="63">
        <f>IF(Y162=0,0,INDEX(CaseData!$B$30:$N$53,MATCH(Y162,CaseData!$A$30:$A$53,0),MATCH($D175,CaseData!$B$29:$N$29,0)))</f>
        <v>0</v>
      </c>
      <c r="Z175" s="63">
        <f>IF(Z162=0,0,INDEX(CaseData!$B$30:$N$53,MATCH(Z162,CaseData!$A$30:$A$53,0),MATCH($D175,CaseData!$B$29:$N$29,0)))</f>
        <v>0</v>
      </c>
      <c r="AA175" s="63">
        <f>IF(AA162=0,0,INDEX(CaseData!$B$30:$N$53,MATCH(AA162,CaseData!$A$30:$A$53,0),MATCH($D175,CaseData!$B$29:$N$29,0)))</f>
        <v>0</v>
      </c>
      <c r="AB175" s="63">
        <f>IF(AB162=0,0,INDEX(CaseData!$B$30:$N$53,MATCH(AB162,CaseData!$A$30:$A$53,0),MATCH($D175,CaseData!$B$29:$N$29,0)))</f>
        <v>0</v>
      </c>
      <c r="AC175" s="63">
        <f>IF(AC162=0,0,INDEX(CaseData!$B$30:$N$53,MATCH(AC162,CaseData!$A$30:$A$53,0),MATCH($D175,CaseData!$B$29:$N$29,0)))</f>
        <v>0</v>
      </c>
      <c r="AD175" s="63">
        <f>IF(AD162=0,0,INDEX(CaseData!$B$30:$N$53,MATCH(AD162,CaseData!$A$30:$A$53,0),MATCH($D175,CaseData!$B$29:$N$29,0)))</f>
        <v>0</v>
      </c>
      <c r="AE175" s="63">
        <f>IF(AE162=0,0,INDEX(CaseData!$B$30:$N$53,MATCH(AE162,CaseData!$A$30:$A$53,0),MATCH($D175,CaseData!$B$29:$N$29,0)))</f>
        <v>0</v>
      </c>
      <c r="AF175" s="63">
        <f>IF(AF162=0,0,INDEX(CaseData!$B$30:$N$53,MATCH(AF162,CaseData!$A$30:$A$53,0),MATCH($D175,CaseData!$B$29:$N$29,0)))</f>
        <v>0</v>
      </c>
      <c r="AG175" s="63">
        <f>IF(AG162=0,0,INDEX(CaseData!$B$30:$N$53,MATCH(AG162,CaseData!$A$30:$A$53,0),MATCH($D175,CaseData!$B$29:$N$29,0)))</f>
        <v>0</v>
      </c>
      <c r="AH175" s="63">
        <f>IF(AH162=0,0,INDEX(CaseData!$B$30:$N$53,MATCH(AH162,CaseData!$A$30:$A$53,0),MATCH($D175,CaseData!$B$29:$N$29,0)))</f>
        <v>0</v>
      </c>
      <c r="AI175" s="63">
        <f>IF(AI162=0,0,INDEX(CaseData!$B$30:$N$53,MATCH(AI162,CaseData!$A$30:$A$53,0),MATCH($D175,CaseData!$B$29:$N$29,0)))</f>
        <v>0</v>
      </c>
      <c r="AJ175" s="63">
        <f>IF(AJ162=0,0,INDEX(CaseData!$B$30:$N$53,MATCH(AJ162,CaseData!$A$30:$A$53,0),MATCH($D175,CaseData!$B$29:$N$29,0)))</f>
        <v>0</v>
      </c>
      <c r="AK175" s="63">
        <f>IF(AK162=0,0,INDEX(CaseData!$B$30:$N$53,MATCH(AK162,CaseData!$A$30:$A$53,0),MATCH($D175,CaseData!$B$29:$N$29,0)))</f>
        <v>0</v>
      </c>
      <c r="AL175" s="63">
        <f>IF(AL162=0,0,INDEX(CaseData!$B$30:$N$53,MATCH(AL162,CaseData!$A$30:$A$53,0),MATCH($D175,CaseData!$B$29:$N$29,0)))</f>
        <v>0</v>
      </c>
      <c r="AM175" s="63">
        <f>IF(AM162=0,0,INDEX(CaseData!$B$30:$N$53,MATCH(AM162,CaseData!$A$30:$A$53,0),MATCH($D175,CaseData!$B$29:$N$29,0)))</f>
        <v>0</v>
      </c>
      <c r="AN175" s="63">
        <f>IF(AN162=0,0,INDEX(CaseData!$B$30:$N$53,MATCH(AN162,CaseData!$A$30:$A$53,0),MATCH($D175,CaseData!$B$29:$N$29,0)))</f>
        <v>0</v>
      </c>
      <c r="AO175" s="63">
        <f>IF(AO162=0,0,INDEX(CaseData!$B$30:$N$53,MATCH(AO162,CaseData!$A$30:$A$53,0),MATCH($D175,CaseData!$B$29:$N$29,0)))</f>
        <v>0</v>
      </c>
      <c r="AP175" s="63">
        <f>IF(AP162=0,0,INDEX(CaseData!$B$30:$N$53,MATCH(AP162,CaseData!$A$30:$A$53,0),MATCH($D175,CaseData!$B$29:$N$29,0)))</f>
        <v>0</v>
      </c>
      <c r="AQ175" s="63">
        <f>IF(AQ162=0,0,INDEX(CaseData!$B$30:$N$53,MATCH(AQ162,CaseData!$A$30:$A$53,0),MATCH($D175,CaseData!$B$29:$N$29,0)))</f>
        <v>0</v>
      </c>
      <c r="AR175" s="63">
        <f>IF(AR162=0,0,INDEX(CaseData!$B$30:$N$53,MATCH(AR162,CaseData!$A$30:$A$53,0),MATCH($D175,CaseData!$B$29:$N$29,0)))</f>
        <v>0</v>
      </c>
      <c r="AS175" s="63">
        <f>IF(AS162=0,0,INDEX(CaseData!$B$30:$N$53,MATCH(AS162,CaseData!$A$30:$A$53,0),MATCH($D175,CaseData!$B$29:$N$29,0)))</f>
        <v>0</v>
      </c>
      <c r="AT175" s="63">
        <f>IF(AT162=0,0,INDEX(CaseData!$B$30:$N$53,MATCH(AT162,CaseData!$A$30:$A$53,0),MATCH($D175,CaseData!$B$29:$N$29,0)))</f>
        <v>0</v>
      </c>
      <c r="AU175" s="63">
        <f>IF(AU162=0,0,INDEX(CaseData!$B$30:$N$53,MATCH(AU162,CaseData!$A$30:$A$53,0),MATCH($D175,CaseData!$B$29:$N$29,0)))</f>
        <v>0</v>
      </c>
      <c r="AV175" s="63">
        <f>IF(AV162=0,0,INDEX(CaseData!$B$30:$N$53,MATCH(AV162,CaseData!$A$30:$A$53,0),MATCH($D175,CaseData!$B$29:$N$29,0)))</f>
        <v>0</v>
      </c>
      <c r="AW175" s="63">
        <f>IF(AW162=0,0,INDEX(CaseData!$B$30:$N$53,MATCH(AW162,CaseData!$A$30:$A$53,0),MATCH($D175,CaseData!$B$29:$N$29,0)))</f>
        <v>0</v>
      </c>
      <c r="AX175" s="63">
        <f>IF(AX162=0,0,INDEX(CaseData!$B$30:$N$53,MATCH(AX162,CaseData!$A$30:$A$53,0),MATCH($D175,CaseData!$B$29:$N$29,0)))</f>
        <v>0</v>
      </c>
      <c r="AY175" s="63">
        <f>IF(AY162=0,0,INDEX(CaseData!$B$30:$N$53,MATCH(AY162,CaseData!$A$30:$A$53,0),MATCH($D175,CaseData!$B$29:$N$29,0)))</f>
        <v>0</v>
      </c>
      <c r="AZ175" s="63">
        <f>IF(AZ162=0,0,INDEX(CaseData!$B$30:$N$53,MATCH(AZ162,CaseData!$A$30:$A$53,0),MATCH($D175,CaseData!$B$29:$N$29,0)))</f>
        <v>0</v>
      </c>
      <c r="BA175" s="63">
        <f>IF(BA162=0,0,INDEX(CaseData!$B$30:$N$53,MATCH(BA162,CaseData!$A$30:$A$53,0),MATCH($D175,CaseData!$B$29:$N$29,0)))</f>
        <v>0</v>
      </c>
      <c r="BB175" s="63">
        <f>IF(BB162=0,0,INDEX(CaseData!$B$30:$N$53,MATCH(BB162,CaseData!$A$30:$A$53,0),MATCH($D175,CaseData!$B$29:$N$29,0)))</f>
        <v>0.01</v>
      </c>
      <c r="BC175" s="63">
        <f>IF(BC162=0,0,INDEX(CaseData!$B$30:$N$53,MATCH(BC162,CaseData!$A$30:$A$53,0),MATCH($D175,CaseData!$B$29:$N$29,0)))</f>
        <v>0.01</v>
      </c>
      <c r="BD175" s="63">
        <f>IF(BD162=0,0,INDEX(CaseData!$B$30:$N$53,MATCH(BD162,CaseData!$A$30:$A$53,0),MATCH($D175,CaseData!$B$29:$N$29,0)))</f>
        <v>0.01</v>
      </c>
      <c r="BE175" s="63">
        <f>IF(BE162=0,0,INDEX(CaseData!$B$30:$N$53,MATCH(BE162,CaseData!$A$30:$A$53,0),MATCH($D175,CaseData!$B$29:$N$29,0)))</f>
        <v>0.02</v>
      </c>
      <c r="BF175" s="63">
        <f>IF(BF162=0,0,INDEX(CaseData!$B$30:$N$53,MATCH(BF162,CaseData!$A$30:$A$53,0),MATCH($D175,CaseData!$B$29:$N$29,0)))</f>
        <v>0.02</v>
      </c>
      <c r="BG175" s="63">
        <f>IF(BG162=0,0,INDEX(CaseData!$B$30:$N$53,MATCH(BG162,CaseData!$A$30:$A$53,0),MATCH($D175,CaseData!$B$29:$N$29,0)))</f>
        <v>0.02</v>
      </c>
      <c r="BH175" s="63">
        <f>IF(BH162=0,0,INDEX(CaseData!$B$30:$N$53,MATCH(BH162,CaseData!$A$30:$A$53,0),MATCH($D175,CaseData!$B$29:$N$29,0)))</f>
        <v>0.02</v>
      </c>
      <c r="BI175" s="63">
        <f>IF(BI162=0,0,INDEX(CaseData!$B$30:$N$53,MATCH(BI162,CaseData!$A$30:$A$53,0),MATCH($D175,CaseData!$B$29:$N$29,0)))</f>
        <v>0.03</v>
      </c>
      <c r="BJ175" s="63">
        <f>IF(BJ162=0,0,INDEX(CaseData!$B$30:$N$53,MATCH(BJ162,CaseData!$A$30:$A$53,0),MATCH($D175,CaseData!$B$29:$N$29,0)))</f>
        <v>0.03</v>
      </c>
      <c r="BK175" s="63">
        <f>IF(BK162=0,0,INDEX(CaseData!$B$30:$N$53,MATCH(BK162,CaseData!$A$30:$A$53,0),MATCH($D175,CaseData!$B$29:$N$29,0)))</f>
        <v>0.03</v>
      </c>
      <c r="BL175" s="63">
        <f>IF(BL162=0,0,INDEX(CaseData!$B$30:$N$53,MATCH(BL162,CaseData!$A$30:$A$53,0),MATCH($D175,CaseData!$B$29:$N$29,0)))</f>
        <v>0.04</v>
      </c>
      <c r="BM175" s="63">
        <f>IF(BM162=0,0,INDEX(CaseData!$B$30:$N$53,MATCH(BM162,CaseData!$A$30:$A$53,0),MATCH($D175,CaseData!$B$29:$N$29,0)))</f>
        <v>0.04</v>
      </c>
      <c r="BN175" s="63">
        <f>IF(BN162=0,0,INDEX(CaseData!$B$30:$N$53,MATCH(BN162,CaseData!$A$30:$A$53,0),MATCH($D175,CaseData!$B$29:$N$29,0)))</f>
        <v>0.05</v>
      </c>
      <c r="BO175" s="63">
        <f>IF(BO162=0,0,INDEX(CaseData!$B$30:$N$53,MATCH(BO162,CaseData!$A$30:$A$53,0),MATCH($D175,CaseData!$B$29:$N$29,0)))</f>
        <v>0.05</v>
      </c>
      <c r="BP175" s="63">
        <f>IF(BP162=0,0,INDEX(CaseData!$B$30:$N$53,MATCH(BP162,CaseData!$A$30:$A$53,0),MATCH($D175,CaseData!$B$29:$N$29,0)))</f>
        <v>0.06</v>
      </c>
      <c r="BQ175" s="63">
        <f>IF(BQ162=0,0,INDEX(CaseData!$B$30:$N$53,MATCH(BQ162,CaseData!$A$30:$A$53,0),MATCH($D175,CaseData!$B$29:$N$29,0)))</f>
        <v>0.06</v>
      </c>
      <c r="BR175" s="63">
        <f>IF(BR162=0,0,INDEX(CaseData!$B$30:$N$53,MATCH(BR162,CaseData!$A$30:$A$53,0),MATCH($D175,CaseData!$B$29:$N$29,0)))</f>
        <v>7.0000000000000007E-2</v>
      </c>
      <c r="BS175" s="63">
        <f>IF(BS162=0,0,INDEX(CaseData!$B$30:$N$53,MATCH(BS162,CaseData!$A$30:$A$53,0),MATCH($D175,CaseData!$B$29:$N$29,0)))</f>
        <v>7.0000000000000007E-2</v>
      </c>
      <c r="BT175" s="63">
        <f>IF(BT162=0,0,INDEX(CaseData!$B$30:$N$53,MATCH(BT162,CaseData!$A$30:$A$53,0),MATCH($D175,CaseData!$B$29:$N$29,0)))</f>
        <v>0.08</v>
      </c>
      <c r="BU175" s="63">
        <f>IF(BU162=0,0,INDEX(CaseData!$B$30:$N$53,MATCH(BU162,CaseData!$A$30:$A$53,0),MATCH($D175,CaseData!$B$29:$N$29,0)))</f>
        <v>0.08</v>
      </c>
      <c r="BV175" s="63">
        <f>IF(BV162=0,0,INDEX(CaseData!$B$30:$N$53,MATCH(BV162,CaseData!$A$30:$A$53,0),MATCH($D175,CaseData!$B$29:$N$29,0)))</f>
        <v>0.08</v>
      </c>
      <c r="BW175" s="63">
        <f>IF(BW162=0,0,INDEX(CaseData!$B$30:$N$53,MATCH(BW162,CaseData!$A$30:$A$53,0),MATCH($D175,CaseData!$B$29:$N$29,0)))</f>
        <v>0.06</v>
      </c>
      <c r="BX175" s="63">
        <f>IF(BX162=0,0,INDEX(CaseData!$B$30:$N$53,MATCH(BX162,CaseData!$A$30:$A$53,0),MATCH($D175,CaseData!$B$29:$N$29,0)))</f>
        <v>0.04</v>
      </c>
      <c r="BY175" s="63">
        <f>IF(BY162=0,0,INDEX(CaseData!$B$30:$N$53,MATCH(BY162,CaseData!$A$30:$A$53,0),MATCH($D175,CaseData!$B$29:$N$29,0)))</f>
        <v>0.02</v>
      </c>
      <c r="BZ175" s="63">
        <f>IF(BZ162=0,0,INDEX(CaseData!$B$30:$N$53,MATCH(BZ162,CaseData!$A$30:$A$53,0),MATCH($D175,CaseData!$B$29:$N$29,0)))</f>
        <v>0</v>
      </c>
      <c r="CA175" s="63">
        <f>IF(CA162=0,0,INDEX(CaseData!$B$30:$N$53,MATCH(CA162,CaseData!$A$30:$A$53,0),MATCH($D175,CaseData!$B$29:$N$29,0)))</f>
        <v>0</v>
      </c>
      <c r="CB175" s="63">
        <f>IF(CB162=0,0,INDEX(CaseData!$B$30:$N$53,MATCH(CB162,CaseData!$A$30:$A$53,0),MATCH($D175,CaseData!$B$29:$N$29,0)))</f>
        <v>0</v>
      </c>
      <c r="CC175" s="63">
        <f>IF(CC162=0,0,INDEX(CaseData!$B$30:$N$53,MATCH(CC162,CaseData!$A$30:$A$53,0),MATCH($D175,CaseData!$B$29:$N$29,0)))</f>
        <v>0</v>
      </c>
      <c r="CD175" s="63">
        <f>IF(CD162=0,0,INDEX(CaseData!$B$30:$N$53,MATCH(CD162,CaseData!$A$30:$A$53,0),MATCH($D175,CaseData!$B$29:$N$29,0)))</f>
        <v>0</v>
      </c>
      <c r="CE175" s="63">
        <f>IF(CE162=0,0,INDEX(CaseData!$B$30:$N$53,MATCH(CE162,CaseData!$A$30:$A$53,0),MATCH($D175,CaseData!$B$29:$N$29,0)))</f>
        <v>0</v>
      </c>
      <c r="CF175" s="63">
        <f>IF(CF162=0,0,INDEX(CaseData!$B$30:$N$53,MATCH(CF162,CaseData!$A$30:$A$53,0),MATCH($D175,CaseData!$B$29:$N$29,0)))</f>
        <v>0</v>
      </c>
      <c r="CG175" s="63">
        <f>IF(CG162=0,0,INDEX(CaseData!$B$30:$N$53,MATCH(CG162,CaseData!$A$30:$A$53,0),MATCH($D175,CaseData!$B$29:$N$29,0)))</f>
        <v>0</v>
      </c>
      <c r="CH175" s="63">
        <f>IF(CH162=0,0,INDEX(CaseData!$B$30:$N$53,MATCH(CH162,CaseData!$A$30:$A$53,0),MATCH($D175,CaseData!$B$29:$N$29,0)))</f>
        <v>0</v>
      </c>
      <c r="CI175" s="63">
        <f>IF(CI162=0,0,INDEX(CaseData!$B$30:$N$53,MATCH(CI162,CaseData!$A$30:$A$53,0),MATCH($D175,CaseData!$B$29:$N$29,0)))</f>
        <v>0</v>
      </c>
      <c r="CJ175" s="63">
        <f>IF(CJ162=0,0,INDEX(CaseData!$B$30:$N$53,MATCH(CJ162,CaseData!$A$30:$A$53,0),MATCH($D175,CaseData!$B$29:$N$29,0)))</f>
        <v>0</v>
      </c>
      <c r="CK175" s="63">
        <f>IF(CK162=0,0,INDEX(CaseData!$B$30:$N$53,MATCH(CK162,CaseData!$A$30:$A$53,0),MATCH($D175,CaseData!$B$29:$N$29,0)))</f>
        <v>0</v>
      </c>
      <c r="CL175" s="63">
        <f>IF(CL162=0,0,INDEX(CaseData!$B$30:$N$53,MATCH(CL162,CaseData!$A$30:$A$53,0),MATCH($D175,CaseData!$B$29:$N$29,0)))</f>
        <v>0</v>
      </c>
      <c r="CM175" s="63">
        <f>IF(CM162=0,0,INDEX(CaseData!$B$30:$N$53,MATCH(CM162,CaseData!$A$30:$A$53,0),MATCH($D175,CaseData!$B$29:$N$29,0)))</f>
        <v>0</v>
      </c>
      <c r="CN175" s="63">
        <f>IF(CN162=0,0,INDEX(CaseData!$B$30:$N$53,MATCH(CN162,CaseData!$A$30:$A$53,0),MATCH($D175,CaseData!$B$29:$N$29,0)))</f>
        <v>0</v>
      </c>
      <c r="CO175" s="63">
        <f>IF(CO162=0,0,INDEX(CaseData!$B$30:$N$53,MATCH(CO162,CaseData!$A$30:$A$53,0),MATCH($D175,CaseData!$B$29:$N$29,0)))</f>
        <v>0</v>
      </c>
      <c r="CP175" s="63">
        <f>IF(CP162=0,0,INDEX(CaseData!$B$30:$N$53,MATCH(CP162,CaseData!$A$30:$A$53,0),MATCH($D175,CaseData!$B$29:$N$29,0)))</f>
        <v>0</v>
      </c>
      <c r="CQ175" s="63">
        <f>IF(CQ162=0,0,INDEX(CaseData!$B$30:$N$53,MATCH(CQ162,CaseData!$A$30:$A$53,0),MATCH($D175,CaseData!$B$29:$N$29,0)))</f>
        <v>0</v>
      </c>
      <c r="CR175" s="63">
        <f>IF(CR162=0,0,INDEX(CaseData!$B$30:$N$53,MATCH(CR162,CaseData!$A$30:$A$53,0),MATCH($D175,CaseData!$B$29:$N$29,0)))</f>
        <v>0</v>
      </c>
      <c r="CS175" s="63">
        <f>IF(CS162=0,0,INDEX(CaseData!$B$30:$N$53,MATCH(CS162,CaseData!$A$30:$A$53,0),MATCH($D175,CaseData!$B$29:$N$29,0)))</f>
        <v>0</v>
      </c>
      <c r="CT175" s="63">
        <f>IF(CT162=0,0,INDEX(CaseData!$B$30:$N$53,MATCH(CT162,CaseData!$A$30:$A$53,0),MATCH($D175,CaseData!$B$29:$N$29,0)))</f>
        <v>0</v>
      </c>
      <c r="CU175" s="63">
        <f>IF(CU162=0,0,INDEX(CaseData!$B$30:$N$53,MATCH(CU162,CaseData!$A$30:$A$53,0),MATCH($D175,CaseData!$B$29:$N$29,0)))</f>
        <v>0</v>
      </c>
      <c r="CV175" s="63">
        <f>IF(CV162=0,0,INDEX(CaseData!$B$30:$N$53,MATCH(CV162,CaseData!$A$30:$A$53,0),MATCH($D175,CaseData!$B$29:$N$29,0)))</f>
        <v>0</v>
      </c>
      <c r="CW175" s="63">
        <f>IF(CW162=0,0,INDEX(CaseData!$B$30:$N$53,MATCH(CW162,CaseData!$A$30:$A$53,0),MATCH($D175,CaseData!$B$29:$N$29,0)))</f>
        <v>0</v>
      </c>
      <c r="CX175" s="63">
        <f>IF(CX162=0,0,INDEX(CaseData!$B$30:$N$53,MATCH(CX162,CaseData!$A$30:$A$53,0),MATCH($D175,CaseData!$B$29:$N$29,0)))</f>
        <v>0</v>
      </c>
      <c r="CY175" s="63">
        <f>IF(CY162=0,0,INDEX(CaseData!$B$30:$N$53,MATCH(CY162,CaseData!$A$30:$A$53,0),MATCH($D175,CaseData!$B$29:$N$29,0)))</f>
        <v>0</v>
      </c>
      <c r="CZ175" s="63">
        <f>IF(CZ162=0,0,INDEX(CaseData!$B$30:$N$53,MATCH(CZ162,CaseData!$A$30:$A$53,0),MATCH($D175,CaseData!$B$29:$N$29,0)))</f>
        <v>0</v>
      </c>
      <c r="DA175" s="63">
        <f>IF(DA162=0,0,INDEX(CaseData!$B$30:$N$53,MATCH(DA162,CaseData!$A$30:$A$53,0),MATCH($D175,CaseData!$B$29:$N$29,0)))</f>
        <v>0</v>
      </c>
      <c r="DB175" s="63">
        <f>IF(DB162=0,0,INDEX(CaseData!$B$30:$N$53,MATCH(DB162,CaseData!$A$30:$A$53,0),MATCH($D175,CaseData!$B$29:$N$29,0)))</f>
        <v>0</v>
      </c>
      <c r="DC175" s="63">
        <f>IF(DC162=0,0,INDEX(CaseData!$B$30:$N$53,MATCH(DC162,CaseData!$A$30:$A$53,0),MATCH($D175,CaseData!$B$29:$N$29,0)))</f>
        <v>0</v>
      </c>
      <c r="DD175" s="63">
        <f>IF(DD162=0,0,INDEX(CaseData!$B$30:$N$53,MATCH(DD162,CaseData!$A$30:$A$53,0),MATCH($D175,CaseData!$B$29:$N$29,0)))</f>
        <v>0</v>
      </c>
      <c r="DE175" s="63">
        <f>IF(DE162=0,0,INDEX(CaseData!$B$30:$N$53,MATCH(DE162,CaseData!$A$30:$A$53,0),MATCH($D175,CaseData!$B$29:$N$29,0)))</f>
        <v>0</v>
      </c>
      <c r="DF175" s="63">
        <f>IF(DF162=0,0,INDEX(CaseData!$B$30:$N$53,MATCH(DF162,CaseData!$A$30:$A$53,0),MATCH($D175,CaseData!$B$29:$N$29,0)))</f>
        <v>0</v>
      </c>
      <c r="DG175" s="63">
        <f>IF(DG162=0,0,INDEX(CaseData!$B$30:$N$53,MATCH(DG162,CaseData!$A$30:$A$53,0),MATCH($D175,CaseData!$B$29:$N$29,0)))</f>
        <v>0</v>
      </c>
      <c r="DH175" s="63">
        <f>IF(DH162=0,0,INDEX(CaseData!$B$30:$N$53,MATCH(DH162,CaseData!$A$30:$A$53,0),MATCH($D175,CaseData!$B$29:$N$29,0)))</f>
        <v>0</v>
      </c>
      <c r="DI175" s="63">
        <f>IF(DI162=0,0,INDEX(CaseData!$B$30:$N$53,MATCH(DI162,CaseData!$A$30:$A$53,0),MATCH($D175,CaseData!$B$29:$N$29,0)))</f>
        <v>0</v>
      </c>
      <c r="DJ175" s="63">
        <f>IF(DJ162=0,0,INDEX(CaseData!$B$30:$N$53,MATCH(DJ162,CaseData!$A$30:$A$53,0),MATCH($D175,CaseData!$B$29:$N$29,0)))</f>
        <v>0</v>
      </c>
      <c r="DK175" s="63">
        <f>IF(DK162=0,0,INDEX(CaseData!$B$30:$N$53,MATCH(DK162,CaseData!$A$30:$A$53,0),MATCH($D175,CaseData!$B$29:$N$29,0)))</f>
        <v>0</v>
      </c>
      <c r="DL175" s="63">
        <f>IF(DL162=0,0,INDEX(CaseData!$B$30:$N$53,MATCH(DL162,CaseData!$A$30:$A$53,0),MATCH($D175,CaseData!$B$29:$N$29,0)))</f>
        <v>0</v>
      </c>
      <c r="DM175" s="63">
        <f>IF(DM162=0,0,INDEX(CaseData!$B$30:$N$53,MATCH(DM162,CaseData!$A$30:$A$53,0),MATCH($D175,CaseData!$B$29:$N$29,0)))</f>
        <v>0</v>
      </c>
      <c r="DN175" s="63">
        <f>IF(DN162=0,0,INDEX(CaseData!$B$30:$N$53,MATCH(DN162,CaseData!$A$30:$A$53,0),MATCH($D175,CaseData!$B$29:$N$29,0)))</f>
        <v>0</v>
      </c>
      <c r="DO175" s="63">
        <f>IF(DO162=0,0,INDEX(CaseData!$B$30:$N$53,MATCH(DO162,CaseData!$A$30:$A$53,0),MATCH($D175,CaseData!$B$29:$N$29,0)))</f>
        <v>0</v>
      </c>
      <c r="DP175" s="63">
        <f>IF(DP162=0,0,INDEX(CaseData!$B$30:$N$53,MATCH(DP162,CaseData!$A$30:$A$53,0),MATCH($D175,CaseData!$B$29:$N$29,0)))</f>
        <v>0</v>
      </c>
      <c r="DQ175" s="63">
        <f>IF(DQ162=0,0,INDEX(CaseData!$B$30:$N$53,MATCH(DQ162,CaseData!$A$30:$A$53,0),MATCH($D175,CaseData!$B$29:$N$29,0)))</f>
        <v>0</v>
      </c>
      <c r="DR175" s="63">
        <f>IF(DR162=0,0,INDEX(CaseData!$B$30:$N$53,MATCH(DR162,CaseData!$A$30:$A$53,0),MATCH($D175,CaseData!$B$29:$N$29,0)))</f>
        <v>0</v>
      </c>
      <c r="DS175" s="63">
        <f>IF(DS162=0,0,INDEX(CaseData!$B$30:$N$53,MATCH(DS162,CaseData!$A$30:$A$53,0),MATCH($D175,CaseData!$B$29:$N$29,0)))</f>
        <v>0</v>
      </c>
      <c r="DT175" s="63">
        <f>IF(DT162=0,0,INDEX(CaseData!$B$30:$N$53,MATCH(DT162,CaseData!$A$30:$A$53,0),MATCH($D175,CaseData!$B$29:$N$29,0)))</f>
        <v>0</v>
      </c>
      <c r="DU175" s="63">
        <f>IF(DU162=0,0,INDEX(CaseData!$B$30:$N$53,MATCH(DU162,CaseData!$A$30:$A$53,0),MATCH($D175,CaseData!$B$29:$N$29,0)))</f>
        <v>0</v>
      </c>
      <c r="DV175" s="63">
        <f>IF(DV162=0,0,INDEX(CaseData!$B$30:$N$53,MATCH(DV162,CaseData!$A$30:$A$53,0),MATCH($D175,CaseData!$B$29:$N$29,0)))</f>
        <v>0</v>
      </c>
    </row>
    <row r="176" spans="2:126" outlineLevel="1">
      <c r="B176" s="3"/>
      <c r="C176" s="2"/>
      <c r="D176" s="2"/>
      <c r="E176" s="35"/>
      <c r="F176" s="35"/>
      <c r="G176" s="2"/>
      <c r="H176" s="2"/>
      <c r="I176" s="3"/>
      <c r="J176" s="3"/>
      <c r="K176" s="2"/>
    </row>
    <row r="177" spans="2:126" outlineLevel="1">
      <c r="B177" s="3"/>
      <c r="C177" s="2"/>
      <c r="D177" s="2"/>
      <c r="E177" s="35"/>
      <c r="F177" s="35"/>
      <c r="G177" s="2"/>
      <c r="H177" s="2"/>
      <c r="I177" s="3"/>
      <c r="J177" s="3"/>
      <c r="K177" s="2"/>
    </row>
    <row r="178" spans="2:126" outlineLevel="1">
      <c r="B178" s="6" t="s">
        <v>92</v>
      </c>
      <c r="C178" s="2"/>
      <c r="D178" s="6" t="s">
        <v>88</v>
      </c>
      <c r="E178" s="35"/>
      <c r="F178" s="35"/>
      <c r="G178" s="2"/>
      <c r="H178" s="2"/>
      <c r="I178" s="3"/>
      <c r="J178" s="3"/>
      <c r="K178" s="2"/>
    </row>
    <row r="179" spans="2:126" outlineLevel="1">
      <c r="B179" s="3" t="str">
        <f t="shared" ref="B179:B188" si="146">B153</f>
        <v>Property F</v>
      </c>
      <c r="C179" s="2"/>
      <c r="D179" s="58">
        <f t="shared" ref="D179:D188" si="147">O127</f>
        <v>20</v>
      </c>
      <c r="E179" s="35"/>
      <c r="F179" s="35"/>
      <c r="G179" s="62">
        <f>IF($D179&lt;=G$4,1,0)+F179</f>
        <v>0</v>
      </c>
      <c r="H179" s="62">
        <f t="shared" ref="H179:BS188" si="148">IF($D179&lt;=H$4,1,0)+G179</f>
        <v>0</v>
      </c>
      <c r="I179" s="62">
        <f t="shared" si="148"/>
        <v>0</v>
      </c>
      <c r="J179" s="62">
        <f t="shared" si="148"/>
        <v>0</v>
      </c>
      <c r="K179" s="62">
        <f t="shared" si="148"/>
        <v>0</v>
      </c>
      <c r="L179" s="62">
        <f t="shared" si="148"/>
        <v>0</v>
      </c>
      <c r="M179" s="62">
        <f t="shared" si="148"/>
        <v>0</v>
      </c>
      <c r="N179" s="62">
        <f t="shared" si="148"/>
        <v>0</v>
      </c>
      <c r="O179" s="62">
        <f t="shared" si="148"/>
        <v>0</v>
      </c>
      <c r="P179" s="62">
        <f t="shared" si="148"/>
        <v>0</v>
      </c>
      <c r="Q179" s="62">
        <f t="shared" si="148"/>
        <v>0</v>
      </c>
      <c r="R179" s="62">
        <f t="shared" si="148"/>
        <v>0</v>
      </c>
      <c r="S179" s="62">
        <f t="shared" si="148"/>
        <v>0</v>
      </c>
      <c r="T179" s="62">
        <f t="shared" si="148"/>
        <v>0</v>
      </c>
      <c r="U179" s="62">
        <f t="shared" si="148"/>
        <v>0</v>
      </c>
      <c r="V179" s="62">
        <f t="shared" si="148"/>
        <v>0</v>
      </c>
      <c r="W179" s="62">
        <f t="shared" si="148"/>
        <v>0</v>
      </c>
      <c r="X179" s="62">
        <f t="shared" si="148"/>
        <v>0</v>
      </c>
      <c r="Y179" s="62">
        <f t="shared" si="148"/>
        <v>0</v>
      </c>
      <c r="Z179" s="62">
        <f t="shared" si="148"/>
        <v>1</v>
      </c>
      <c r="AA179" s="62">
        <f t="shared" si="148"/>
        <v>2</v>
      </c>
      <c r="AB179" s="62">
        <f t="shared" si="148"/>
        <v>3</v>
      </c>
      <c r="AC179" s="62">
        <f t="shared" si="148"/>
        <v>4</v>
      </c>
      <c r="AD179" s="62">
        <f t="shared" si="148"/>
        <v>5</v>
      </c>
      <c r="AE179" s="62">
        <f t="shared" si="148"/>
        <v>6</v>
      </c>
      <c r="AF179" s="62">
        <f t="shared" si="148"/>
        <v>7</v>
      </c>
      <c r="AG179" s="62">
        <f t="shared" si="148"/>
        <v>8</v>
      </c>
      <c r="AH179" s="62">
        <f t="shared" si="148"/>
        <v>9</v>
      </c>
      <c r="AI179" s="62">
        <f t="shared" si="148"/>
        <v>10</v>
      </c>
      <c r="AJ179" s="62">
        <f t="shared" si="148"/>
        <v>11</v>
      </c>
      <c r="AK179" s="62">
        <f t="shared" si="148"/>
        <v>12</v>
      </c>
      <c r="AL179" s="62">
        <f t="shared" si="148"/>
        <v>13</v>
      </c>
      <c r="AM179" s="62">
        <f t="shared" si="148"/>
        <v>14</v>
      </c>
      <c r="AN179" s="62">
        <f t="shared" si="148"/>
        <v>15</v>
      </c>
      <c r="AO179" s="62">
        <f t="shared" si="148"/>
        <v>16</v>
      </c>
      <c r="AP179" s="62">
        <f t="shared" si="148"/>
        <v>17</v>
      </c>
      <c r="AQ179" s="62">
        <f t="shared" si="148"/>
        <v>18</v>
      </c>
      <c r="AR179" s="62">
        <f t="shared" si="148"/>
        <v>19</v>
      </c>
      <c r="AS179" s="62">
        <f t="shared" si="148"/>
        <v>20</v>
      </c>
      <c r="AT179" s="62">
        <f t="shared" si="148"/>
        <v>21</v>
      </c>
      <c r="AU179" s="62">
        <f t="shared" si="148"/>
        <v>22</v>
      </c>
      <c r="AV179" s="62">
        <f t="shared" si="148"/>
        <v>23</v>
      </c>
      <c r="AW179" s="62">
        <f t="shared" si="148"/>
        <v>24</v>
      </c>
      <c r="AX179" s="62">
        <f t="shared" si="148"/>
        <v>25</v>
      </c>
      <c r="AY179" s="62">
        <f t="shared" si="148"/>
        <v>26</v>
      </c>
      <c r="AZ179" s="62">
        <f t="shared" si="148"/>
        <v>27</v>
      </c>
      <c r="BA179" s="62">
        <f t="shared" si="148"/>
        <v>28</v>
      </c>
      <c r="BB179" s="62">
        <f t="shared" si="148"/>
        <v>29</v>
      </c>
      <c r="BC179" s="62">
        <f t="shared" si="148"/>
        <v>30</v>
      </c>
      <c r="BD179" s="62">
        <f t="shared" si="148"/>
        <v>31</v>
      </c>
      <c r="BE179" s="62">
        <f t="shared" si="148"/>
        <v>32</v>
      </c>
      <c r="BF179" s="62">
        <f t="shared" si="148"/>
        <v>33</v>
      </c>
      <c r="BG179" s="62">
        <f t="shared" si="148"/>
        <v>34</v>
      </c>
      <c r="BH179" s="62">
        <f t="shared" si="148"/>
        <v>35</v>
      </c>
      <c r="BI179" s="62">
        <f t="shared" si="148"/>
        <v>36</v>
      </c>
      <c r="BJ179" s="62">
        <f t="shared" si="148"/>
        <v>37</v>
      </c>
      <c r="BK179" s="62">
        <f t="shared" si="148"/>
        <v>38</v>
      </c>
      <c r="BL179" s="62">
        <f t="shared" si="148"/>
        <v>39</v>
      </c>
      <c r="BM179" s="62">
        <f t="shared" si="148"/>
        <v>40</v>
      </c>
      <c r="BN179" s="62">
        <f t="shared" si="148"/>
        <v>41</v>
      </c>
      <c r="BO179" s="62">
        <f t="shared" si="148"/>
        <v>42</v>
      </c>
      <c r="BP179" s="62">
        <f t="shared" si="148"/>
        <v>43</v>
      </c>
      <c r="BQ179" s="62">
        <f t="shared" si="148"/>
        <v>44</v>
      </c>
      <c r="BR179" s="62">
        <f t="shared" si="148"/>
        <v>45</v>
      </c>
      <c r="BS179" s="62">
        <f t="shared" si="148"/>
        <v>46</v>
      </c>
      <c r="BT179" s="62">
        <f t="shared" ref="BT179:DV183" si="149">IF($D179&lt;=BT$4,1,0)+BS179</f>
        <v>47</v>
      </c>
      <c r="BU179" s="62">
        <f t="shared" si="149"/>
        <v>48</v>
      </c>
      <c r="BV179" s="62">
        <f t="shared" si="149"/>
        <v>49</v>
      </c>
      <c r="BW179" s="62">
        <f t="shared" si="149"/>
        <v>50</v>
      </c>
      <c r="BX179" s="62">
        <f t="shared" si="149"/>
        <v>51</v>
      </c>
      <c r="BY179" s="62">
        <f t="shared" si="149"/>
        <v>52</v>
      </c>
      <c r="BZ179" s="62">
        <f t="shared" si="149"/>
        <v>53</v>
      </c>
      <c r="CA179" s="62">
        <f t="shared" si="149"/>
        <v>54</v>
      </c>
      <c r="CB179" s="62">
        <f t="shared" si="149"/>
        <v>55</v>
      </c>
      <c r="CC179" s="62">
        <f t="shared" si="149"/>
        <v>56</v>
      </c>
      <c r="CD179" s="62">
        <f t="shared" si="149"/>
        <v>57</v>
      </c>
      <c r="CE179" s="62">
        <f t="shared" si="149"/>
        <v>58</v>
      </c>
      <c r="CF179" s="62">
        <f t="shared" si="149"/>
        <v>59</v>
      </c>
      <c r="CG179" s="62">
        <f t="shared" si="149"/>
        <v>60</v>
      </c>
      <c r="CH179" s="62">
        <f t="shared" si="149"/>
        <v>61</v>
      </c>
      <c r="CI179" s="62">
        <f t="shared" si="149"/>
        <v>62</v>
      </c>
      <c r="CJ179" s="62">
        <f t="shared" si="149"/>
        <v>63</v>
      </c>
      <c r="CK179" s="62">
        <f t="shared" si="149"/>
        <v>64</v>
      </c>
      <c r="CL179" s="62">
        <f t="shared" si="149"/>
        <v>65</v>
      </c>
      <c r="CM179" s="62">
        <f t="shared" si="149"/>
        <v>66</v>
      </c>
      <c r="CN179" s="62">
        <f t="shared" si="149"/>
        <v>67</v>
      </c>
      <c r="CO179" s="62">
        <f t="shared" si="149"/>
        <v>68</v>
      </c>
      <c r="CP179" s="62">
        <f t="shared" si="149"/>
        <v>69</v>
      </c>
      <c r="CQ179" s="62">
        <f t="shared" si="149"/>
        <v>70</v>
      </c>
      <c r="CR179" s="62">
        <f t="shared" si="149"/>
        <v>71</v>
      </c>
      <c r="CS179" s="62">
        <f t="shared" si="149"/>
        <v>72</v>
      </c>
      <c r="CT179" s="62">
        <f t="shared" si="149"/>
        <v>73</v>
      </c>
      <c r="CU179" s="62">
        <f t="shared" si="149"/>
        <v>74</v>
      </c>
      <c r="CV179" s="62">
        <f t="shared" si="149"/>
        <v>75</v>
      </c>
      <c r="CW179" s="62">
        <f t="shared" si="149"/>
        <v>76</v>
      </c>
      <c r="CX179" s="62">
        <f t="shared" si="149"/>
        <v>77</v>
      </c>
      <c r="CY179" s="62">
        <f t="shared" si="149"/>
        <v>78</v>
      </c>
      <c r="CZ179" s="62">
        <f t="shared" si="149"/>
        <v>79</v>
      </c>
      <c r="DA179" s="62">
        <f t="shared" si="149"/>
        <v>80</v>
      </c>
      <c r="DB179" s="62">
        <f t="shared" si="149"/>
        <v>81</v>
      </c>
      <c r="DC179" s="62">
        <f t="shared" si="149"/>
        <v>82</v>
      </c>
      <c r="DD179" s="62">
        <f t="shared" si="149"/>
        <v>83</v>
      </c>
      <c r="DE179" s="62">
        <f t="shared" si="149"/>
        <v>84</v>
      </c>
      <c r="DF179" s="62">
        <f t="shared" si="149"/>
        <v>85</v>
      </c>
      <c r="DG179" s="62">
        <f t="shared" si="149"/>
        <v>86</v>
      </c>
      <c r="DH179" s="62">
        <f t="shared" si="149"/>
        <v>87</v>
      </c>
      <c r="DI179" s="62">
        <f t="shared" si="149"/>
        <v>88</v>
      </c>
      <c r="DJ179" s="62">
        <f t="shared" si="149"/>
        <v>89</v>
      </c>
      <c r="DK179" s="62">
        <f t="shared" si="149"/>
        <v>90</v>
      </c>
      <c r="DL179" s="62">
        <f t="shared" si="149"/>
        <v>91</v>
      </c>
      <c r="DM179" s="62">
        <f t="shared" si="149"/>
        <v>92</v>
      </c>
      <c r="DN179" s="62">
        <f t="shared" si="149"/>
        <v>93</v>
      </c>
      <c r="DO179" s="62">
        <f t="shared" si="149"/>
        <v>94</v>
      </c>
      <c r="DP179" s="62">
        <f t="shared" si="149"/>
        <v>95</v>
      </c>
      <c r="DQ179" s="62">
        <f t="shared" si="149"/>
        <v>96</v>
      </c>
      <c r="DR179" s="62">
        <f t="shared" si="149"/>
        <v>97</v>
      </c>
      <c r="DS179" s="62">
        <f t="shared" si="149"/>
        <v>98</v>
      </c>
      <c r="DT179" s="62">
        <f t="shared" si="149"/>
        <v>99</v>
      </c>
      <c r="DU179" s="62">
        <f t="shared" si="149"/>
        <v>100</v>
      </c>
      <c r="DV179" s="62">
        <f t="shared" si="149"/>
        <v>101</v>
      </c>
    </row>
    <row r="180" spans="2:126" outlineLevel="1">
      <c r="B180" s="3" t="str">
        <f t="shared" si="146"/>
        <v>Property G</v>
      </c>
      <c r="C180" s="2"/>
      <c r="D180" s="58">
        <f t="shared" si="147"/>
        <v>21</v>
      </c>
      <c r="E180" s="35"/>
      <c r="F180" s="35"/>
      <c r="G180" s="62">
        <f t="shared" ref="G180:BR183" si="150">IF($D180&lt;=G$4,1,0)+F180</f>
        <v>0</v>
      </c>
      <c r="H180" s="62">
        <f t="shared" si="150"/>
        <v>0</v>
      </c>
      <c r="I180" s="62">
        <f t="shared" si="150"/>
        <v>0</v>
      </c>
      <c r="J180" s="62">
        <f t="shared" si="150"/>
        <v>0</v>
      </c>
      <c r="K180" s="62">
        <f t="shared" si="150"/>
        <v>0</v>
      </c>
      <c r="L180" s="62">
        <f t="shared" si="150"/>
        <v>0</v>
      </c>
      <c r="M180" s="62">
        <f t="shared" si="150"/>
        <v>0</v>
      </c>
      <c r="N180" s="62">
        <f t="shared" si="150"/>
        <v>0</v>
      </c>
      <c r="O180" s="62">
        <f t="shared" si="150"/>
        <v>0</v>
      </c>
      <c r="P180" s="62">
        <f t="shared" si="150"/>
        <v>0</v>
      </c>
      <c r="Q180" s="62">
        <f t="shared" si="150"/>
        <v>0</v>
      </c>
      <c r="R180" s="62">
        <f t="shared" si="150"/>
        <v>0</v>
      </c>
      <c r="S180" s="62">
        <f t="shared" si="150"/>
        <v>0</v>
      </c>
      <c r="T180" s="62">
        <f t="shared" si="150"/>
        <v>0</v>
      </c>
      <c r="U180" s="62">
        <f t="shared" si="150"/>
        <v>0</v>
      </c>
      <c r="V180" s="62">
        <f t="shared" si="150"/>
        <v>0</v>
      </c>
      <c r="W180" s="62">
        <f t="shared" si="150"/>
        <v>0</v>
      </c>
      <c r="X180" s="62">
        <f t="shared" si="150"/>
        <v>0</v>
      </c>
      <c r="Y180" s="62">
        <f t="shared" si="150"/>
        <v>0</v>
      </c>
      <c r="Z180" s="62">
        <f t="shared" si="150"/>
        <v>0</v>
      </c>
      <c r="AA180" s="62">
        <f t="shared" si="150"/>
        <v>1</v>
      </c>
      <c r="AB180" s="62">
        <f t="shared" si="150"/>
        <v>2</v>
      </c>
      <c r="AC180" s="62">
        <f t="shared" si="150"/>
        <v>3</v>
      </c>
      <c r="AD180" s="62">
        <f t="shared" si="150"/>
        <v>4</v>
      </c>
      <c r="AE180" s="62">
        <f t="shared" si="150"/>
        <v>5</v>
      </c>
      <c r="AF180" s="62">
        <f t="shared" si="150"/>
        <v>6</v>
      </c>
      <c r="AG180" s="62">
        <f t="shared" si="150"/>
        <v>7</v>
      </c>
      <c r="AH180" s="62">
        <f t="shared" si="150"/>
        <v>8</v>
      </c>
      <c r="AI180" s="62">
        <f t="shared" si="150"/>
        <v>9</v>
      </c>
      <c r="AJ180" s="62">
        <f t="shared" si="150"/>
        <v>10</v>
      </c>
      <c r="AK180" s="62">
        <f t="shared" si="150"/>
        <v>11</v>
      </c>
      <c r="AL180" s="62">
        <f t="shared" si="150"/>
        <v>12</v>
      </c>
      <c r="AM180" s="62">
        <f t="shared" si="150"/>
        <v>13</v>
      </c>
      <c r="AN180" s="62">
        <f t="shared" si="150"/>
        <v>14</v>
      </c>
      <c r="AO180" s="62">
        <f t="shared" si="150"/>
        <v>15</v>
      </c>
      <c r="AP180" s="62">
        <f t="shared" si="150"/>
        <v>16</v>
      </c>
      <c r="AQ180" s="62">
        <f t="shared" si="150"/>
        <v>17</v>
      </c>
      <c r="AR180" s="62">
        <f t="shared" si="150"/>
        <v>18</v>
      </c>
      <c r="AS180" s="62">
        <f t="shared" si="150"/>
        <v>19</v>
      </c>
      <c r="AT180" s="62">
        <f t="shared" si="150"/>
        <v>20</v>
      </c>
      <c r="AU180" s="62">
        <f t="shared" si="150"/>
        <v>21</v>
      </c>
      <c r="AV180" s="62">
        <f t="shared" si="150"/>
        <v>22</v>
      </c>
      <c r="AW180" s="62">
        <f t="shared" si="150"/>
        <v>23</v>
      </c>
      <c r="AX180" s="62">
        <f t="shared" si="150"/>
        <v>24</v>
      </c>
      <c r="AY180" s="62">
        <f t="shared" si="150"/>
        <v>25</v>
      </c>
      <c r="AZ180" s="62">
        <f t="shared" si="150"/>
        <v>26</v>
      </c>
      <c r="BA180" s="62">
        <f t="shared" si="150"/>
        <v>27</v>
      </c>
      <c r="BB180" s="62">
        <f t="shared" si="150"/>
        <v>28</v>
      </c>
      <c r="BC180" s="62">
        <f t="shared" si="150"/>
        <v>29</v>
      </c>
      <c r="BD180" s="62">
        <f t="shared" si="150"/>
        <v>30</v>
      </c>
      <c r="BE180" s="62">
        <f t="shared" si="150"/>
        <v>31</v>
      </c>
      <c r="BF180" s="62">
        <f t="shared" si="150"/>
        <v>32</v>
      </c>
      <c r="BG180" s="62">
        <f t="shared" si="150"/>
        <v>33</v>
      </c>
      <c r="BH180" s="62">
        <f t="shared" si="150"/>
        <v>34</v>
      </c>
      <c r="BI180" s="62">
        <f t="shared" si="150"/>
        <v>35</v>
      </c>
      <c r="BJ180" s="62">
        <f t="shared" si="150"/>
        <v>36</v>
      </c>
      <c r="BK180" s="62">
        <f t="shared" si="150"/>
        <v>37</v>
      </c>
      <c r="BL180" s="62">
        <f t="shared" si="150"/>
        <v>38</v>
      </c>
      <c r="BM180" s="62">
        <f t="shared" si="150"/>
        <v>39</v>
      </c>
      <c r="BN180" s="62">
        <f t="shared" si="150"/>
        <v>40</v>
      </c>
      <c r="BO180" s="62">
        <f t="shared" si="150"/>
        <v>41</v>
      </c>
      <c r="BP180" s="62">
        <f t="shared" si="150"/>
        <v>42</v>
      </c>
      <c r="BQ180" s="62">
        <f t="shared" si="150"/>
        <v>43</v>
      </c>
      <c r="BR180" s="62">
        <f t="shared" si="150"/>
        <v>44</v>
      </c>
      <c r="BS180" s="62">
        <f t="shared" si="148"/>
        <v>45</v>
      </c>
      <c r="BT180" s="62">
        <f t="shared" si="149"/>
        <v>46</v>
      </c>
      <c r="BU180" s="62">
        <f t="shared" si="149"/>
        <v>47</v>
      </c>
      <c r="BV180" s="62">
        <f t="shared" si="149"/>
        <v>48</v>
      </c>
      <c r="BW180" s="62">
        <f t="shared" si="149"/>
        <v>49</v>
      </c>
      <c r="BX180" s="62">
        <f t="shared" si="149"/>
        <v>50</v>
      </c>
      <c r="BY180" s="62">
        <f t="shared" si="149"/>
        <v>51</v>
      </c>
      <c r="BZ180" s="62">
        <f t="shared" si="149"/>
        <v>52</v>
      </c>
      <c r="CA180" s="62">
        <f t="shared" si="149"/>
        <v>53</v>
      </c>
      <c r="CB180" s="62">
        <f t="shared" si="149"/>
        <v>54</v>
      </c>
      <c r="CC180" s="62">
        <f t="shared" si="149"/>
        <v>55</v>
      </c>
      <c r="CD180" s="62">
        <f t="shared" si="149"/>
        <v>56</v>
      </c>
      <c r="CE180" s="62">
        <f t="shared" si="149"/>
        <v>57</v>
      </c>
      <c r="CF180" s="62">
        <f t="shared" si="149"/>
        <v>58</v>
      </c>
      <c r="CG180" s="62">
        <f t="shared" si="149"/>
        <v>59</v>
      </c>
      <c r="CH180" s="62">
        <f t="shared" si="149"/>
        <v>60</v>
      </c>
      <c r="CI180" s="62">
        <f t="shared" si="149"/>
        <v>61</v>
      </c>
      <c r="CJ180" s="62">
        <f t="shared" si="149"/>
        <v>62</v>
      </c>
      <c r="CK180" s="62">
        <f t="shared" si="149"/>
        <v>63</v>
      </c>
      <c r="CL180" s="62">
        <f t="shared" si="149"/>
        <v>64</v>
      </c>
      <c r="CM180" s="62">
        <f t="shared" si="149"/>
        <v>65</v>
      </c>
      <c r="CN180" s="62">
        <f t="shared" si="149"/>
        <v>66</v>
      </c>
      <c r="CO180" s="62">
        <f t="shared" si="149"/>
        <v>67</v>
      </c>
      <c r="CP180" s="62">
        <f t="shared" si="149"/>
        <v>68</v>
      </c>
      <c r="CQ180" s="62">
        <f t="shared" si="149"/>
        <v>69</v>
      </c>
      <c r="CR180" s="62">
        <f t="shared" si="149"/>
        <v>70</v>
      </c>
      <c r="CS180" s="62">
        <f t="shared" si="149"/>
        <v>71</v>
      </c>
      <c r="CT180" s="62">
        <f t="shared" si="149"/>
        <v>72</v>
      </c>
      <c r="CU180" s="62">
        <f t="shared" si="149"/>
        <v>73</v>
      </c>
      <c r="CV180" s="62">
        <f t="shared" si="149"/>
        <v>74</v>
      </c>
      <c r="CW180" s="62">
        <f t="shared" si="149"/>
        <v>75</v>
      </c>
      <c r="CX180" s="62">
        <f t="shared" si="149"/>
        <v>76</v>
      </c>
      <c r="CY180" s="62">
        <f t="shared" si="149"/>
        <v>77</v>
      </c>
      <c r="CZ180" s="62">
        <f t="shared" si="149"/>
        <v>78</v>
      </c>
      <c r="DA180" s="62">
        <f t="shared" si="149"/>
        <v>79</v>
      </c>
      <c r="DB180" s="62">
        <f t="shared" si="149"/>
        <v>80</v>
      </c>
      <c r="DC180" s="62">
        <f t="shared" si="149"/>
        <v>81</v>
      </c>
      <c r="DD180" s="62">
        <f t="shared" si="149"/>
        <v>82</v>
      </c>
      <c r="DE180" s="62">
        <f t="shared" si="149"/>
        <v>83</v>
      </c>
      <c r="DF180" s="62">
        <f t="shared" si="149"/>
        <v>84</v>
      </c>
      <c r="DG180" s="62">
        <f t="shared" si="149"/>
        <v>85</v>
      </c>
      <c r="DH180" s="62">
        <f t="shared" si="149"/>
        <v>86</v>
      </c>
      <c r="DI180" s="62">
        <f t="shared" si="149"/>
        <v>87</v>
      </c>
      <c r="DJ180" s="62">
        <f t="shared" si="149"/>
        <v>88</v>
      </c>
      <c r="DK180" s="62">
        <f t="shared" si="149"/>
        <v>89</v>
      </c>
      <c r="DL180" s="62">
        <f t="shared" si="149"/>
        <v>90</v>
      </c>
      <c r="DM180" s="62">
        <f t="shared" si="149"/>
        <v>91</v>
      </c>
      <c r="DN180" s="62">
        <f t="shared" si="149"/>
        <v>92</v>
      </c>
      <c r="DO180" s="62">
        <f t="shared" si="149"/>
        <v>93</v>
      </c>
      <c r="DP180" s="62">
        <f t="shared" si="149"/>
        <v>94</v>
      </c>
      <c r="DQ180" s="62">
        <f t="shared" si="149"/>
        <v>95</v>
      </c>
      <c r="DR180" s="62">
        <f t="shared" si="149"/>
        <v>96</v>
      </c>
      <c r="DS180" s="62">
        <f t="shared" si="149"/>
        <v>97</v>
      </c>
      <c r="DT180" s="62">
        <f t="shared" si="149"/>
        <v>98</v>
      </c>
      <c r="DU180" s="62">
        <f t="shared" si="149"/>
        <v>99</v>
      </c>
      <c r="DV180" s="62">
        <f t="shared" si="149"/>
        <v>100</v>
      </c>
    </row>
    <row r="181" spans="2:126" outlineLevel="1">
      <c r="B181" s="3" t="str">
        <f t="shared" si="146"/>
        <v>Property H</v>
      </c>
      <c r="C181" s="2"/>
      <c r="D181" s="58">
        <f t="shared" si="147"/>
        <v>26</v>
      </c>
      <c r="E181" s="35"/>
      <c r="F181" s="35"/>
      <c r="G181" s="62">
        <f t="shared" si="150"/>
        <v>0</v>
      </c>
      <c r="H181" s="62">
        <f t="shared" si="150"/>
        <v>0</v>
      </c>
      <c r="I181" s="62">
        <f t="shared" si="150"/>
        <v>0</v>
      </c>
      <c r="J181" s="62">
        <f t="shared" si="150"/>
        <v>0</v>
      </c>
      <c r="K181" s="62">
        <f t="shared" si="150"/>
        <v>0</v>
      </c>
      <c r="L181" s="62">
        <f t="shared" si="150"/>
        <v>0</v>
      </c>
      <c r="M181" s="62">
        <f t="shared" si="150"/>
        <v>0</v>
      </c>
      <c r="N181" s="62">
        <f t="shared" si="150"/>
        <v>0</v>
      </c>
      <c r="O181" s="62">
        <f t="shared" si="150"/>
        <v>0</v>
      </c>
      <c r="P181" s="62">
        <f t="shared" si="150"/>
        <v>0</v>
      </c>
      <c r="Q181" s="62">
        <f t="shared" si="150"/>
        <v>0</v>
      </c>
      <c r="R181" s="62">
        <f t="shared" si="150"/>
        <v>0</v>
      </c>
      <c r="S181" s="62">
        <f t="shared" si="150"/>
        <v>0</v>
      </c>
      <c r="T181" s="62">
        <f t="shared" si="150"/>
        <v>0</v>
      </c>
      <c r="U181" s="62">
        <f t="shared" si="150"/>
        <v>0</v>
      </c>
      <c r="V181" s="62">
        <f t="shared" si="150"/>
        <v>0</v>
      </c>
      <c r="W181" s="62">
        <f t="shared" si="150"/>
        <v>0</v>
      </c>
      <c r="X181" s="62">
        <f t="shared" si="150"/>
        <v>0</v>
      </c>
      <c r="Y181" s="62">
        <f t="shared" si="150"/>
        <v>0</v>
      </c>
      <c r="Z181" s="62">
        <f t="shared" si="150"/>
        <v>0</v>
      </c>
      <c r="AA181" s="62">
        <f t="shared" si="150"/>
        <v>0</v>
      </c>
      <c r="AB181" s="62">
        <f t="shared" si="150"/>
        <v>0</v>
      </c>
      <c r="AC181" s="62">
        <f t="shared" si="150"/>
        <v>0</v>
      </c>
      <c r="AD181" s="62">
        <f t="shared" si="150"/>
        <v>0</v>
      </c>
      <c r="AE181" s="62">
        <f t="shared" si="150"/>
        <v>0</v>
      </c>
      <c r="AF181" s="62">
        <f t="shared" si="150"/>
        <v>1</v>
      </c>
      <c r="AG181" s="62">
        <f t="shared" si="150"/>
        <v>2</v>
      </c>
      <c r="AH181" s="62">
        <f t="shared" si="150"/>
        <v>3</v>
      </c>
      <c r="AI181" s="62">
        <f t="shared" si="150"/>
        <v>4</v>
      </c>
      <c r="AJ181" s="62">
        <f t="shared" si="150"/>
        <v>5</v>
      </c>
      <c r="AK181" s="62">
        <f t="shared" si="150"/>
        <v>6</v>
      </c>
      <c r="AL181" s="62">
        <f t="shared" si="150"/>
        <v>7</v>
      </c>
      <c r="AM181" s="62">
        <f t="shared" si="150"/>
        <v>8</v>
      </c>
      <c r="AN181" s="62">
        <f t="shared" si="150"/>
        <v>9</v>
      </c>
      <c r="AO181" s="62">
        <f t="shared" si="150"/>
        <v>10</v>
      </c>
      <c r="AP181" s="62">
        <f t="shared" si="150"/>
        <v>11</v>
      </c>
      <c r="AQ181" s="62">
        <f t="shared" si="150"/>
        <v>12</v>
      </c>
      <c r="AR181" s="62">
        <f t="shared" si="150"/>
        <v>13</v>
      </c>
      <c r="AS181" s="62">
        <f t="shared" si="150"/>
        <v>14</v>
      </c>
      <c r="AT181" s="62">
        <f t="shared" si="150"/>
        <v>15</v>
      </c>
      <c r="AU181" s="62">
        <f t="shared" si="150"/>
        <v>16</v>
      </c>
      <c r="AV181" s="62">
        <f t="shared" si="150"/>
        <v>17</v>
      </c>
      <c r="AW181" s="62">
        <f t="shared" si="150"/>
        <v>18</v>
      </c>
      <c r="AX181" s="62">
        <f t="shared" si="150"/>
        <v>19</v>
      </c>
      <c r="AY181" s="62">
        <f t="shared" si="150"/>
        <v>20</v>
      </c>
      <c r="AZ181" s="62">
        <f t="shared" si="150"/>
        <v>21</v>
      </c>
      <c r="BA181" s="62">
        <f t="shared" si="150"/>
        <v>22</v>
      </c>
      <c r="BB181" s="62">
        <f t="shared" si="150"/>
        <v>23</v>
      </c>
      <c r="BC181" s="62">
        <f t="shared" si="150"/>
        <v>24</v>
      </c>
      <c r="BD181" s="62">
        <f t="shared" si="150"/>
        <v>25</v>
      </c>
      <c r="BE181" s="62">
        <f t="shared" si="150"/>
        <v>26</v>
      </c>
      <c r="BF181" s="62">
        <f t="shared" si="150"/>
        <v>27</v>
      </c>
      <c r="BG181" s="62">
        <f t="shared" si="150"/>
        <v>28</v>
      </c>
      <c r="BH181" s="62">
        <f t="shared" si="150"/>
        <v>29</v>
      </c>
      <c r="BI181" s="62">
        <f t="shared" si="150"/>
        <v>30</v>
      </c>
      <c r="BJ181" s="62">
        <f t="shared" si="150"/>
        <v>31</v>
      </c>
      <c r="BK181" s="62">
        <f t="shared" si="150"/>
        <v>32</v>
      </c>
      <c r="BL181" s="62">
        <f t="shared" si="150"/>
        <v>33</v>
      </c>
      <c r="BM181" s="62">
        <f t="shared" si="150"/>
        <v>34</v>
      </c>
      <c r="BN181" s="62">
        <f t="shared" si="150"/>
        <v>35</v>
      </c>
      <c r="BO181" s="62">
        <f t="shared" si="150"/>
        <v>36</v>
      </c>
      <c r="BP181" s="62">
        <f t="shared" si="150"/>
        <v>37</v>
      </c>
      <c r="BQ181" s="62">
        <f t="shared" si="150"/>
        <v>38</v>
      </c>
      <c r="BR181" s="62">
        <f t="shared" si="150"/>
        <v>39</v>
      </c>
      <c r="BS181" s="62">
        <f t="shared" si="148"/>
        <v>40</v>
      </c>
      <c r="BT181" s="62">
        <f t="shared" si="149"/>
        <v>41</v>
      </c>
      <c r="BU181" s="62">
        <f t="shared" si="149"/>
        <v>42</v>
      </c>
      <c r="BV181" s="62">
        <f t="shared" si="149"/>
        <v>43</v>
      </c>
      <c r="BW181" s="62">
        <f t="shared" si="149"/>
        <v>44</v>
      </c>
      <c r="BX181" s="62">
        <f t="shared" si="149"/>
        <v>45</v>
      </c>
      <c r="BY181" s="62">
        <f t="shared" si="149"/>
        <v>46</v>
      </c>
      <c r="BZ181" s="62">
        <f t="shared" si="149"/>
        <v>47</v>
      </c>
      <c r="CA181" s="62">
        <f t="shared" si="149"/>
        <v>48</v>
      </c>
      <c r="CB181" s="62">
        <f t="shared" si="149"/>
        <v>49</v>
      </c>
      <c r="CC181" s="62">
        <f t="shared" si="149"/>
        <v>50</v>
      </c>
      <c r="CD181" s="62">
        <f t="shared" si="149"/>
        <v>51</v>
      </c>
      <c r="CE181" s="62">
        <f t="shared" si="149"/>
        <v>52</v>
      </c>
      <c r="CF181" s="62">
        <f t="shared" si="149"/>
        <v>53</v>
      </c>
      <c r="CG181" s="62">
        <f t="shared" si="149"/>
        <v>54</v>
      </c>
      <c r="CH181" s="62">
        <f t="shared" si="149"/>
        <v>55</v>
      </c>
      <c r="CI181" s="62">
        <f t="shared" si="149"/>
        <v>56</v>
      </c>
      <c r="CJ181" s="62">
        <f t="shared" si="149"/>
        <v>57</v>
      </c>
      <c r="CK181" s="62">
        <f t="shared" si="149"/>
        <v>58</v>
      </c>
      <c r="CL181" s="62">
        <f t="shared" si="149"/>
        <v>59</v>
      </c>
      <c r="CM181" s="62">
        <f t="shared" si="149"/>
        <v>60</v>
      </c>
      <c r="CN181" s="62">
        <f t="shared" si="149"/>
        <v>61</v>
      </c>
      <c r="CO181" s="62">
        <f t="shared" si="149"/>
        <v>62</v>
      </c>
      <c r="CP181" s="62">
        <f t="shared" si="149"/>
        <v>63</v>
      </c>
      <c r="CQ181" s="62">
        <f t="shared" si="149"/>
        <v>64</v>
      </c>
      <c r="CR181" s="62">
        <f t="shared" si="149"/>
        <v>65</v>
      </c>
      <c r="CS181" s="62">
        <f t="shared" si="149"/>
        <v>66</v>
      </c>
      <c r="CT181" s="62">
        <f t="shared" si="149"/>
        <v>67</v>
      </c>
      <c r="CU181" s="62">
        <f t="shared" si="149"/>
        <v>68</v>
      </c>
      <c r="CV181" s="62">
        <f t="shared" si="149"/>
        <v>69</v>
      </c>
      <c r="CW181" s="62">
        <f t="shared" si="149"/>
        <v>70</v>
      </c>
      <c r="CX181" s="62">
        <f t="shared" si="149"/>
        <v>71</v>
      </c>
      <c r="CY181" s="62">
        <f t="shared" si="149"/>
        <v>72</v>
      </c>
      <c r="CZ181" s="62">
        <f t="shared" si="149"/>
        <v>73</v>
      </c>
      <c r="DA181" s="62">
        <f t="shared" si="149"/>
        <v>74</v>
      </c>
      <c r="DB181" s="62">
        <f t="shared" si="149"/>
        <v>75</v>
      </c>
      <c r="DC181" s="62">
        <f t="shared" si="149"/>
        <v>76</v>
      </c>
      <c r="DD181" s="62">
        <f t="shared" si="149"/>
        <v>77</v>
      </c>
      <c r="DE181" s="62">
        <f t="shared" si="149"/>
        <v>78</v>
      </c>
      <c r="DF181" s="62">
        <f t="shared" si="149"/>
        <v>79</v>
      </c>
      <c r="DG181" s="62">
        <f t="shared" si="149"/>
        <v>80</v>
      </c>
      <c r="DH181" s="62">
        <f t="shared" si="149"/>
        <v>81</v>
      </c>
      <c r="DI181" s="62">
        <f t="shared" si="149"/>
        <v>82</v>
      </c>
      <c r="DJ181" s="62">
        <f t="shared" si="149"/>
        <v>83</v>
      </c>
      <c r="DK181" s="62">
        <f t="shared" si="149"/>
        <v>84</v>
      </c>
      <c r="DL181" s="62">
        <f t="shared" si="149"/>
        <v>85</v>
      </c>
      <c r="DM181" s="62">
        <f t="shared" si="149"/>
        <v>86</v>
      </c>
      <c r="DN181" s="62">
        <f t="shared" si="149"/>
        <v>87</v>
      </c>
      <c r="DO181" s="62">
        <f t="shared" si="149"/>
        <v>88</v>
      </c>
      <c r="DP181" s="62">
        <f t="shared" si="149"/>
        <v>89</v>
      </c>
      <c r="DQ181" s="62">
        <f t="shared" si="149"/>
        <v>90</v>
      </c>
      <c r="DR181" s="62">
        <f t="shared" si="149"/>
        <v>91</v>
      </c>
      <c r="DS181" s="62">
        <f t="shared" si="149"/>
        <v>92</v>
      </c>
      <c r="DT181" s="62">
        <f t="shared" si="149"/>
        <v>93</v>
      </c>
      <c r="DU181" s="62">
        <f t="shared" si="149"/>
        <v>94</v>
      </c>
      <c r="DV181" s="62">
        <f t="shared" si="149"/>
        <v>95</v>
      </c>
    </row>
    <row r="182" spans="2:126" outlineLevel="1">
      <c r="B182" s="3" t="str">
        <f t="shared" si="146"/>
        <v>Property I</v>
      </c>
      <c r="C182" s="2"/>
      <c r="D182" s="58">
        <f t="shared" si="147"/>
        <v>34</v>
      </c>
      <c r="E182" s="35"/>
      <c r="F182" s="35"/>
      <c r="G182" s="62">
        <f t="shared" si="150"/>
        <v>0</v>
      </c>
      <c r="H182" s="62">
        <f t="shared" si="150"/>
        <v>0</v>
      </c>
      <c r="I182" s="62">
        <f t="shared" si="150"/>
        <v>0</v>
      </c>
      <c r="J182" s="62">
        <f t="shared" si="150"/>
        <v>0</v>
      </c>
      <c r="K182" s="62">
        <f t="shared" si="150"/>
        <v>0</v>
      </c>
      <c r="L182" s="62">
        <f t="shared" si="150"/>
        <v>0</v>
      </c>
      <c r="M182" s="62">
        <f t="shared" si="150"/>
        <v>0</v>
      </c>
      <c r="N182" s="62">
        <f t="shared" si="150"/>
        <v>0</v>
      </c>
      <c r="O182" s="62">
        <f t="shared" si="150"/>
        <v>0</v>
      </c>
      <c r="P182" s="62">
        <f t="shared" si="150"/>
        <v>0</v>
      </c>
      <c r="Q182" s="62">
        <f t="shared" si="150"/>
        <v>0</v>
      </c>
      <c r="R182" s="62">
        <f t="shared" si="150"/>
        <v>0</v>
      </c>
      <c r="S182" s="62">
        <f t="shared" si="150"/>
        <v>0</v>
      </c>
      <c r="T182" s="62">
        <f t="shared" si="150"/>
        <v>0</v>
      </c>
      <c r="U182" s="62">
        <f t="shared" si="150"/>
        <v>0</v>
      </c>
      <c r="V182" s="62">
        <f t="shared" si="150"/>
        <v>0</v>
      </c>
      <c r="W182" s="62">
        <f t="shared" si="150"/>
        <v>0</v>
      </c>
      <c r="X182" s="62">
        <f t="shared" si="150"/>
        <v>0</v>
      </c>
      <c r="Y182" s="62">
        <f t="shared" si="150"/>
        <v>0</v>
      </c>
      <c r="Z182" s="62">
        <f t="shared" si="150"/>
        <v>0</v>
      </c>
      <c r="AA182" s="62">
        <f t="shared" si="150"/>
        <v>0</v>
      </c>
      <c r="AB182" s="62">
        <f t="shared" si="150"/>
        <v>0</v>
      </c>
      <c r="AC182" s="62">
        <f t="shared" si="150"/>
        <v>0</v>
      </c>
      <c r="AD182" s="62">
        <f t="shared" si="150"/>
        <v>0</v>
      </c>
      <c r="AE182" s="62">
        <f t="shared" si="150"/>
        <v>0</v>
      </c>
      <c r="AF182" s="62">
        <f t="shared" si="150"/>
        <v>0</v>
      </c>
      <c r="AG182" s="62">
        <f t="shared" si="150"/>
        <v>0</v>
      </c>
      <c r="AH182" s="62">
        <f t="shared" si="150"/>
        <v>0</v>
      </c>
      <c r="AI182" s="62">
        <f t="shared" si="150"/>
        <v>0</v>
      </c>
      <c r="AJ182" s="62">
        <f t="shared" si="150"/>
        <v>0</v>
      </c>
      <c r="AK182" s="62">
        <f t="shared" si="150"/>
        <v>0</v>
      </c>
      <c r="AL182" s="62">
        <f t="shared" si="150"/>
        <v>0</v>
      </c>
      <c r="AM182" s="62">
        <f t="shared" si="150"/>
        <v>0</v>
      </c>
      <c r="AN182" s="62">
        <f t="shared" si="150"/>
        <v>1</v>
      </c>
      <c r="AO182" s="62">
        <f t="shared" si="150"/>
        <v>2</v>
      </c>
      <c r="AP182" s="62">
        <f t="shared" si="150"/>
        <v>3</v>
      </c>
      <c r="AQ182" s="62">
        <f t="shared" si="150"/>
        <v>4</v>
      </c>
      <c r="AR182" s="62">
        <f t="shared" si="150"/>
        <v>5</v>
      </c>
      <c r="AS182" s="62">
        <f t="shared" si="150"/>
        <v>6</v>
      </c>
      <c r="AT182" s="62">
        <f t="shared" si="150"/>
        <v>7</v>
      </c>
      <c r="AU182" s="62">
        <f t="shared" si="150"/>
        <v>8</v>
      </c>
      <c r="AV182" s="62">
        <f t="shared" si="150"/>
        <v>9</v>
      </c>
      <c r="AW182" s="62">
        <f t="shared" si="150"/>
        <v>10</v>
      </c>
      <c r="AX182" s="62">
        <f t="shared" si="150"/>
        <v>11</v>
      </c>
      <c r="AY182" s="62">
        <f t="shared" si="150"/>
        <v>12</v>
      </c>
      <c r="AZ182" s="62">
        <f t="shared" si="150"/>
        <v>13</v>
      </c>
      <c r="BA182" s="62">
        <f t="shared" si="150"/>
        <v>14</v>
      </c>
      <c r="BB182" s="62">
        <f t="shared" si="150"/>
        <v>15</v>
      </c>
      <c r="BC182" s="62">
        <f t="shared" si="150"/>
        <v>16</v>
      </c>
      <c r="BD182" s="62">
        <f t="shared" si="150"/>
        <v>17</v>
      </c>
      <c r="BE182" s="62">
        <f t="shared" si="150"/>
        <v>18</v>
      </c>
      <c r="BF182" s="62">
        <f t="shared" si="150"/>
        <v>19</v>
      </c>
      <c r="BG182" s="62">
        <f t="shared" si="150"/>
        <v>20</v>
      </c>
      <c r="BH182" s="62">
        <f t="shared" si="150"/>
        <v>21</v>
      </c>
      <c r="BI182" s="62">
        <f t="shared" si="150"/>
        <v>22</v>
      </c>
      <c r="BJ182" s="62">
        <f t="shared" si="150"/>
        <v>23</v>
      </c>
      <c r="BK182" s="62">
        <f t="shared" si="150"/>
        <v>24</v>
      </c>
      <c r="BL182" s="62">
        <f t="shared" si="150"/>
        <v>25</v>
      </c>
      <c r="BM182" s="62">
        <f t="shared" si="150"/>
        <v>26</v>
      </c>
      <c r="BN182" s="62">
        <f t="shared" si="150"/>
        <v>27</v>
      </c>
      <c r="BO182" s="62">
        <f t="shared" si="150"/>
        <v>28</v>
      </c>
      <c r="BP182" s="62">
        <f t="shared" si="150"/>
        <v>29</v>
      </c>
      <c r="BQ182" s="62">
        <f t="shared" si="150"/>
        <v>30</v>
      </c>
      <c r="BR182" s="62">
        <f t="shared" si="150"/>
        <v>31</v>
      </c>
      <c r="BS182" s="62">
        <f t="shared" si="148"/>
        <v>32</v>
      </c>
      <c r="BT182" s="62">
        <f t="shared" si="149"/>
        <v>33</v>
      </c>
      <c r="BU182" s="62">
        <f t="shared" si="149"/>
        <v>34</v>
      </c>
      <c r="BV182" s="62">
        <f t="shared" si="149"/>
        <v>35</v>
      </c>
      <c r="BW182" s="62">
        <f t="shared" si="149"/>
        <v>36</v>
      </c>
      <c r="BX182" s="62">
        <f t="shared" si="149"/>
        <v>37</v>
      </c>
      <c r="BY182" s="62">
        <f t="shared" si="149"/>
        <v>38</v>
      </c>
      <c r="BZ182" s="62">
        <f t="shared" si="149"/>
        <v>39</v>
      </c>
      <c r="CA182" s="62">
        <f t="shared" si="149"/>
        <v>40</v>
      </c>
      <c r="CB182" s="62">
        <f t="shared" si="149"/>
        <v>41</v>
      </c>
      <c r="CC182" s="62">
        <f t="shared" si="149"/>
        <v>42</v>
      </c>
      <c r="CD182" s="62">
        <f t="shared" si="149"/>
        <v>43</v>
      </c>
      <c r="CE182" s="62">
        <f t="shared" si="149"/>
        <v>44</v>
      </c>
      <c r="CF182" s="62">
        <f t="shared" si="149"/>
        <v>45</v>
      </c>
      <c r="CG182" s="62">
        <f t="shared" si="149"/>
        <v>46</v>
      </c>
      <c r="CH182" s="62">
        <f t="shared" si="149"/>
        <v>47</v>
      </c>
      <c r="CI182" s="62">
        <f t="shared" si="149"/>
        <v>48</v>
      </c>
      <c r="CJ182" s="62">
        <f t="shared" si="149"/>
        <v>49</v>
      </c>
      <c r="CK182" s="62">
        <f t="shared" si="149"/>
        <v>50</v>
      </c>
      <c r="CL182" s="62">
        <f t="shared" si="149"/>
        <v>51</v>
      </c>
      <c r="CM182" s="62">
        <f t="shared" si="149"/>
        <v>52</v>
      </c>
      <c r="CN182" s="62">
        <f t="shared" si="149"/>
        <v>53</v>
      </c>
      <c r="CO182" s="62">
        <f t="shared" si="149"/>
        <v>54</v>
      </c>
      <c r="CP182" s="62">
        <f t="shared" si="149"/>
        <v>55</v>
      </c>
      <c r="CQ182" s="62">
        <f t="shared" si="149"/>
        <v>56</v>
      </c>
      <c r="CR182" s="62">
        <f t="shared" si="149"/>
        <v>57</v>
      </c>
      <c r="CS182" s="62">
        <f t="shared" si="149"/>
        <v>58</v>
      </c>
      <c r="CT182" s="62">
        <f t="shared" si="149"/>
        <v>59</v>
      </c>
      <c r="CU182" s="62">
        <f t="shared" si="149"/>
        <v>60</v>
      </c>
      <c r="CV182" s="62">
        <f t="shared" si="149"/>
        <v>61</v>
      </c>
      <c r="CW182" s="62">
        <f t="shared" si="149"/>
        <v>62</v>
      </c>
      <c r="CX182" s="62">
        <f t="shared" si="149"/>
        <v>63</v>
      </c>
      <c r="CY182" s="62">
        <f t="shared" si="149"/>
        <v>64</v>
      </c>
      <c r="CZ182" s="62">
        <f t="shared" si="149"/>
        <v>65</v>
      </c>
      <c r="DA182" s="62">
        <f t="shared" si="149"/>
        <v>66</v>
      </c>
      <c r="DB182" s="62">
        <f t="shared" si="149"/>
        <v>67</v>
      </c>
      <c r="DC182" s="62">
        <f t="shared" si="149"/>
        <v>68</v>
      </c>
      <c r="DD182" s="62">
        <f t="shared" si="149"/>
        <v>69</v>
      </c>
      <c r="DE182" s="62">
        <f t="shared" si="149"/>
        <v>70</v>
      </c>
      <c r="DF182" s="62">
        <f t="shared" si="149"/>
        <v>71</v>
      </c>
      <c r="DG182" s="62">
        <f t="shared" si="149"/>
        <v>72</v>
      </c>
      <c r="DH182" s="62">
        <f t="shared" si="149"/>
        <v>73</v>
      </c>
      <c r="DI182" s="62">
        <f t="shared" si="149"/>
        <v>74</v>
      </c>
      <c r="DJ182" s="62">
        <f t="shared" si="149"/>
        <v>75</v>
      </c>
      <c r="DK182" s="62">
        <f t="shared" si="149"/>
        <v>76</v>
      </c>
      <c r="DL182" s="62">
        <f t="shared" si="149"/>
        <v>77</v>
      </c>
      <c r="DM182" s="62">
        <f t="shared" si="149"/>
        <v>78</v>
      </c>
      <c r="DN182" s="62">
        <f t="shared" si="149"/>
        <v>79</v>
      </c>
      <c r="DO182" s="62">
        <f t="shared" si="149"/>
        <v>80</v>
      </c>
      <c r="DP182" s="62">
        <f t="shared" si="149"/>
        <v>81</v>
      </c>
      <c r="DQ182" s="62">
        <f t="shared" si="149"/>
        <v>82</v>
      </c>
      <c r="DR182" s="62">
        <f t="shared" si="149"/>
        <v>83</v>
      </c>
      <c r="DS182" s="62">
        <f t="shared" si="149"/>
        <v>84</v>
      </c>
      <c r="DT182" s="62">
        <f t="shared" si="149"/>
        <v>85</v>
      </c>
      <c r="DU182" s="62">
        <f t="shared" si="149"/>
        <v>86</v>
      </c>
      <c r="DV182" s="62">
        <f t="shared" si="149"/>
        <v>87</v>
      </c>
    </row>
    <row r="183" spans="2:126" outlineLevel="1">
      <c r="B183" s="3" t="str">
        <f t="shared" si="146"/>
        <v>Property J</v>
      </c>
      <c r="C183" s="2"/>
      <c r="D183" s="58">
        <f t="shared" si="147"/>
        <v>36</v>
      </c>
      <c r="E183" s="35"/>
      <c r="F183" s="35"/>
      <c r="G183" s="62">
        <f t="shared" si="150"/>
        <v>0</v>
      </c>
      <c r="H183" s="62">
        <f t="shared" si="150"/>
        <v>0</v>
      </c>
      <c r="I183" s="62">
        <f t="shared" si="150"/>
        <v>0</v>
      </c>
      <c r="J183" s="62">
        <f t="shared" si="150"/>
        <v>0</v>
      </c>
      <c r="K183" s="62">
        <f t="shared" si="150"/>
        <v>0</v>
      </c>
      <c r="L183" s="62">
        <f t="shared" si="150"/>
        <v>0</v>
      </c>
      <c r="M183" s="62">
        <f t="shared" si="150"/>
        <v>0</v>
      </c>
      <c r="N183" s="62">
        <f t="shared" si="150"/>
        <v>0</v>
      </c>
      <c r="O183" s="62">
        <f t="shared" si="150"/>
        <v>0</v>
      </c>
      <c r="P183" s="62">
        <f t="shared" si="150"/>
        <v>0</v>
      </c>
      <c r="Q183" s="62">
        <f t="shared" si="150"/>
        <v>0</v>
      </c>
      <c r="R183" s="62">
        <f t="shared" si="150"/>
        <v>0</v>
      </c>
      <c r="S183" s="62">
        <f t="shared" si="150"/>
        <v>0</v>
      </c>
      <c r="T183" s="62">
        <f t="shared" si="150"/>
        <v>0</v>
      </c>
      <c r="U183" s="62">
        <f t="shared" si="150"/>
        <v>0</v>
      </c>
      <c r="V183" s="62">
        <f t="shared" si="150"/>
        <v>0</v>
      </c>
      <c r="W183" s="62">
        <f t="shared" si="150"/>
        <v>0</v>
      </c>
      <c r="X183" s="62">
        <f t="shared" si="150"/>
        <v>0</v>
      </c>
      <c r="Y183" s="62">
        <f t="shared" si="150"/>
        <v>0</v>
      </c>
      <c r="Z183" s="62">
        <f t="shared" si="150"/>
        <v>0</v>
      </c>
      <c r="AA183" s="62">
        <f t="shared" si="150"/>
        <v>0</v>
      </c>
      <c r="AB183" s="62">
        <f t="shared" si="150"/>
        <v>0</v>
      </c>
      <c r="AC183" s="62">
        <f t="shared" si="150"/>
        <v>0</v>
      </c>
      <c r="AD183" s="62">
        <f t="shared" si="150"/>
        <v>0</v>
      </c>
      <c r="AE183" s="62">
        <f t="shared" si="150"/>
        <v>0</v>
      </c>
      <c r="AF183" s="62">
        <f t="shared" si="150"/>
        <v>0</v>
      </c>
      <c r="AG183" s="62">
        <f t="shared" si="150"/>
        <v>0</v>
      </c>
      <c r="AH183" s="62">
        <f t="shared" si="150"/>
        <v>0</v>
      </c>
      <c r="AI183" s="62">
        <f t="shared" si="150"/>
        <v>0</v>
      </c>
      <c r="AJ183" s="62">
        <f t="shared" si="150"/>
        <v>0</v>
      </c>
      <c r="AK183" s="62">
        <f t="shared" si="150"/>
        <v>0</v>
      </c>
      <c r="AL183" s="62">
        <f t="shared" si="150"/>
        <v>0</v>
      </c>
      <c r="AM183" s="62">
        <f t="shared" si="150"/>
        <v>0</v>
      </c>
      <c r="AN183" s="62">
        <f t="shared" si="150"/>
        <v>0</v>
      </c>
      <c r="AO183" s="62">
        <f t="shared" si="150"/>
        <v>0</v>
      </c>
      <c r="AP183" s="62">
        <f t="shared" si="150"/>
        <v>1</v>
      </c>
      <c r="AQ183" s="62">
        <f t="shared" si="150"/>
        <v>2</v>
      </c>
      <c r="AR183" s="62">
        <f t="shared" si="150"/>
        <v>3</v>
      </c>
      <c r="AS183" s="62">
        <f t="shared" si="150"/>
        <v>4</v>
      </c>
      <c r="AT183" s="62">
        <f t="shared" si="150"/>
        <v>5</v>
      </c>
      <c r="AU183" s="62">
        <f t="shared" si="150"/>
        <v>6</v>
      </c>
      <c r="AV183" s="62">
        <f t="shared" si="150"/>
        <v>7</v>
      </c>
      <c r="AW183" s="62">
        <f t="shared" si="150"/>
        <v>8</v>
      </c>
      <c r="AX183" s="62">
        <f t="shared" si="150"/>
        <v>9</v>
      </c>
      <c r="AY183" s="62">
        <f t="shared" si="150"/>
        <v>10</v>
      </c>
      <c r="AZ183" s="62">
        <f t="shared" si="150"/>
        <v>11</v>
      </c>
      <c r="BA183" s="62">
        <f t="shared" si="150"/>
        <v>12</v>
      </c>
      <c r="BB183" s="62">
        <f t="shared" si="150"/>
        <v>13</v>
      </c>
      <c r="BC183" s="62">
        <f t="shared" si="150"/>
        <v>14</v>
      </c>
      <c r="BD183" s="62">
        <f t="shared" si="150"/>
        <v>15</v>
      </c>
      <c r="BE183" s="62">
        <f t="shared" si="150"/>
        <v>16</v>
      </c>
      <c r="BF183" s="62">
        <f t="shared" si="150"/>
        <v>17</v>
      </c>
      <c r="BG183" s="62">
        <f t="shared" si="150"/>
        <v>18</v>
      </c>
      <c r="BH183" s="62">
        <f t="shared" si="150"/>
        <v>19</v>
      </c>
      <c r="BI183" s="62">
        <f t="shared" si="150"/>
        <v>20</v>
      </c>
      <c r="BJ183" s="62">
        <f t="shared" si="150"/>
        <v>21</v>
      </c>
      <c r="BK183" s="62">
        <f t="shared" si="150"/>
        <v>22</v>
      </c>
      <c r="BL183" s="62">
        <f t="shared" si="150"/>
        <v>23</v>
      </c>
      <c r="BM183" s="62">
        <f t="shared" si="150"/>
        <v>24</v>
      </c>
      <c r="BN183" s="62">
        <f t="shared" si="150"/>
        <v>25</v>
      </c>
      <c r="BO183" s="62">
        <f t="shared" si="150"/>
        <v>26</v>
      </c>
      <c r="BP183" s="62">
        <f t="shared" si="150"/>
        <v>27</v>
      </c>
      <c r="BQ183" s="62">
        <f t="shared" si="150"/>
        <v>28</v>
      </c>
      <c r="BR183" s="62">
        <f t="shared" ref="BR183" si="151">IF($D183&lt;=BR$4,1,0)+BQ183</f>
        <v>29</v>
      </c>
      <c r="BS183" s="62">
        <f t="shared" si="148"/>
        <v>30</v>
      </c>
      <c r="BT183" s="62">
        <f t="shared" si="149"/>
        <v>31</v>
      </c>
      <c r="BU183" s="62">
        <f t="shared" si="149"/>
        <v>32</v>
      </c>
      <c r="BV183" s="62">
        <f t="shared" si="149"/>
        <v>33</v>
      </c>
      <c r="BW183" s="62">
        <f t="shared" si="149"/>
        <v>34</v>
      </c>
      <c r="BX183" s="62">
        <f t="shared" si="149"/>
        <v>35</v>
      </c>
      <c r="BY183" s="62">
        <f t="shared" si="149"/>
        <v>36</v>
      </c>
      <c r="BZ183" s="62">
        <f t="shared" si="149"/>
        <v>37</v>
      </c>
      <c r="CA183" s="62">
        <f t="shared" si="149"/>
        <v>38</v>
      </c>
      <c r="CB183" s="62">
        <f t="shared" si="149"/>
        <v>39</v>
      </c>
      <c r="CC183" s="62">
        <f t="shared" si="149"/>
        <v>40</v>
      </c>
      <c r="CD183" s="62">
        <f t="shared" si="149"/>
        <v>41</v>
      </c>
      <c r="CE183" s="62">
        <f t="shared" si="149"/>
        <v>42</v>
      </c>
      <c r="CF183" s="62">
        <f t="shared" si="149"/>
        <v>43</v>
      </c>
      <c r="CG183" s="62">
        <f t="shared" si="149"/>
        <v>44</v>
      </c>
      <c r="CH183" s="62">
        <f t="shared" si="149"/>
        <v>45</v>
      </c>
      <c r="CI183" s="62">
        <f t="shared" si="149"/>
        <v>46</v>
      </c>
      <c r="CJ183" s="62">
        <f t="shared" si="149"/>
        <v>47</v>
      </c>
      <c r="CK183" s="62">
        <f t="shared" si="149"/>
        <v>48</v>
      </c>
      <c r="CL183" s="62">
        <f t="shared" si="149"/>
        <v>49</v>
      </c>
      <c r="CM183" s="62">
        <f t="shared" si="149"/>
        <v>50</v>
      </c>
      <c r="CN183" s="62">
        <f t="shared" si="149"/>
        <v>51</v>
      </c>
      <c r="CO183" s="62">
        <f t="shared" si="149"/>
        <v>52</v>
      </c>
      <c r="CP183" s="62">
        <f t="shared" si="149"/>
        <v>53</v>
      </c>
      <c r="CQ183" s="62">
        <f t="shared" si="149"/>
        <v>54</v>
      </c>
      <c r="CR183" s="62">
        <f t="shared" si="149"/>
        <v>55</v>
      </c>
      <c r="CS183" s="62">
        <f t="shared" si="149"/>
        <v>56</v>
      </c>
      <c r="CT183" s="62">
        <f t="shared" si="149"/>
        <v>57</v>
      </c>
      <c r="CU183" s="62">
        <f t="shared" si="149"/>
        <v>58</v>
      </c>
      <c r="CV183" s="62">
        <f t="shared" si="149"/>
        <v>59</v>
      </c>
      <c r="CW183" s="62">
        <f t="shared" si="149"/>
        <v>60</v>
      </c>
      <c r="CX183" s="62">
        <f t="shared" si="149"/>
        <v>61</v>
      </c>
      <c r="CY183" s="62">
        <f t="shared" si="149"/>
        <v>62</v>
      </c>
      <c r="CZ183" s="62">
        <f t="shared" si="149"/>
        <v>63</v>
      </c>
      <c r="DA183" s="62">
        <f t="shared" si="149"/>
        <v>64</v>
      </c>
      <c r="DB183" s="62">
        <f t="shared" si="149"/>
        <v>65</v>
      </c>
      <c r="DC183" s="62">
        <f t="shared" ref="DC183:DV183" si="152">IF($D183&lt;=DC$4,1,0)+DB183</f>
        <v>66</v>
      </c>
      <c r="DD183" s="62">
        <f t="shared" si="152"/>
        <v>67</v>
      </c>
      <c r="DE183" s="62">
        <f t="shared" si="152"/>
        <v>68</v>
      </c>
      <c r="DF183" s="62">
        <f t="shared" si="152"/>
        <v>69</v>
      </c>
      <c r="DG183" s="62">
        <f t="shared" si="152"/>
        <v>70</v>
      </c>
      <c r="DH183" s="62">
        <f t="shared" si="152"/>
        <v>71</v>
      </c>
      <c r="DI183" s="62">
        <f t="shared" si="152"/>
        <v>72</v>
      </c>
      <c r="DJ183" s="62">
        <f t="shared" si="152"/>
        <v>73</v>
      </c>
      <c r="DK183" s="62">
        <f t="shared" si="152"/>
        <v>74</v>
      </c>
      <c r="DL183" s="62">
        <f t="shared" si="152"/>
        <v>75</v>
      </c>
      <c r="DM183" s="62">
        <f t="shared" si="152"/>
        <v>76</v>
      </c>
      <c r="DN183" s="62">
        <f t="shared" si="152"/>
        <v>77</v>
      </c>
      <c r="DO183" s="62">
        <f t="shared" si="152"/>
        <v>78</v>
      </c>
      <c r="DP183" s="62">
        <f t="shared" si="152"/>
        <v>79</v>
      </c>
      <c r="DQ183" s="62">
        <f t="shared" si="152"/>
        <v>80</v>
      </c>
      <c r="DR183" s="62">
        <f t="shared" si="152"/>
        <v>81</v>
      </c>
      <c r="DS183" s="62">
        <f t="shared" si="152"/>
        <v>82</v>
      </c>
      <c r="DT183" s="62">
        <f t="shared" si="152"/>
        <v>83</v>
      </c>
      <c r="DU183" s="62">
        <f t="shared" si="152"/>
        <v>84</v>
      </c>
      <c r="DV183" s="62">
        <f t="shared" si="152"/>
        <v>85</v>
      </c>
    </row>
    <row r="184" spans="2:126" outlineLevel="1">
      <c r="B184" s="3" t="str">
        <f t="shared" si="146"/>
        <v>Property K</v>
      </c>
      <c r="C184" s="2"/>
      <c r="D184" s="58">
        <f t="shared" si="147"/>
        <v>34</v>
      </c>
      <c r="E184" s="35"/>
      <c r="F184" s="35"/>
      <c r="G184" s="62">
        <f t="shared" ref="G184:BR187" si="153">IF($D184&lt;=G$4,1,0)+F184</f>
        <v>0</v>
      </c>
      <c r="H184" s="62">
        <f t="shared" si="153"/>
        <v>0</v>
      </c>
      <c r="I184" s="62">
        <f t="shared" si="153"/>
        <v>0</v>
      </c>
      <c r="J184" s="62">
        <f t="shared" si="153"/>
        <v>0</v>
      </c>
      <c r="K184" s="62">
        <f t="shared" si="153"/>
        <v>0</v>
      </c>
      <c r="L184" s="62">
        <f t="shared" si="153"/>
        <v>0</v>
      </c>
      <c r="M184" s="62">
        <f t="shared" si="153"/>
        <v>0</v>
      </c>
      <c r="N184" s="62">
        <f t="shared" si="153"/>
        <v>0</v>
      </c>
      <c r="O184" s="62">
        <f t="shared" si="153"/>
        <v>0</v>
      </c>
      <c r="P184" s="62">
        <f t="shared" si="153"/>
        <v>0</v>
      </c>
      <c r="Q184" s="62">
        <f t="shared" si="153"/>
        <v>0</v>
      </c>
      <c r="R184" s="62">
        <f t="shared" si="153"/>
        <v>0</v>
      </c>
      <c r="S184" s="62">
        <f t="shared" si="153"/>
        <v>0</v>
      </c>
      <c r="T184" s="62">
        <f t="shared" si="153"/>
        <v>0</v>
      </c>
      <c r="U184" s="62">
        <f t="shared" si="153"/>
        <v>0</v>
      </c>
      <c r="V184" s="62">
        <f t="shared" si="153"/>
        <v>0</v>
      </c>
      <c r="W184" s="62">
        <f t="shared" si="153"/>
        <v>0</v>
      </c>
      <c r="X184" s="62">
        <f t="shared" si="153"/>
        <v>0</v>
      </c>
      <c r="Y184" s="62">
        <f t="shared" si="153"/>
        <v>0</v>
      </c>
      <c r="Z184" s="62">
        <f t="shared" si="153"/>
        <v>0</v>
      </c>
      <c r="AA184" s="62">
        <f t="shared" si="153"/>
        <v>0</v>
      </c>
      <c r="AB184" s="62">
        <f t="shared" si="153"/>
        <v>0</v>
      </c>
      <c r="AC184" s="62">
        <f t="shared" si="153"/>
        <v>0</v>
      </c>
      <c r="AD184" s="62">
        <f t="shared" si="153"/>
        <v>0</v>
      </c>
      <c r="AE184" s="62">
        <f t="shared" si="153"/>
        <v>0</v>
      </c>
      <c r="AF184" s="62">
        <f t="shared" si="153"/>
        <v>0</v>
      </c>
      <c r="AG184" s="62">
        <f t="shared" si="153"/>
        <v>0</v>
      </c>
      <c r="AH184" s="62">
        <f t="shared" si="153"/>
        <v>0</v>
      </c>
      <c r="AI184" s="62">
        <f t="shared" si="153"/>
        <v>0</v>
      </c>
      <c r="AJ184" s="62">
        <f t="shared" si="153"/>
        <v>0</v>
      </c>
      <c r="AK184" s="62">
        <f t="shared" si="153"/>
        <v>0</v>
      </c>
      <c r="AL184" s="62">
        <f t="shared" si="153"/>
        <v>0</v>
      </c>
      <c r="AM184" s="62">
        <f t="shared" si="153"/>
        <v>0</v>
      </c>
      <c r="AN184" s="62">
        <f t="shared" si="153"/>
        <v>1</v>
      </c>
      <c r="AO184" s="62">
        <f t="shared" si="153"/>
        <v>2</v>
      </c>
      <c r="AP184" s="62">
        <f t="shared" si="153"/>
        <v>3</v>
      </c>
      <c r="AQ184" s="62">
        <f t="shared" si="153"/>
        <v>4</v>
      </c>
      <c r="AR184" s="62">
        <f t="shared" si="153"/>
        <v>5</v>
      </c>
      <c r="AS184" s="62">
        <f t="shared" si="153"/>
        <v>6</v>
      </c>
      <c r="AT184" s="62">
        <f t="shared" si="153"/>
        <v>7</v>
      </c>
      <c r="AU184" s="62">
        <f t="shared" si="153"/>
        <v>8</v>
      </c>
      <c r="AV184" s="62">
        <f t="shared" si="153"/>
        <v>9</v>
      </c>
      <c r="AW184" s="62">
        <f t="shared" si="153"/>
        <v>10</v>
      </c>
      <c r="AX184" s="62">
        <f t="shared" si="153"/>
        <v>11</v>
      </c>
      <c r="AY184" s="62">
        <f t="shared" si="153"/>
        <v>12</v>
      </c>
      <c r="AZ184" s="62">
        <f t="shared" si="153"/>
        <v>13</v>
      </c>
      <c r="BA184" s="62">
        <f t="shared" si="153"/>
        <v>14</v>
      </c>
      <c r="BB184" s="62">
        <f t="shared" si="153"/>
        <v>15</v>
      </c>
      <c r="BC184" s="62">
        <f t="shared" si="153"/>
        <v>16</v>
      </c>
      <c r="BD184" s="62">
        <f t="shared" si="153"/>
        <v>17</v>
      </c>
      <c r="BE184" s="62">
        <f t="shared" si="153"/>
        <v>18</v>
      </c>
      <c r="BF184" s="62">
        <f t="shared" si="153"/>
        <v>19</v>
      </c>
      <c r="BG184" s="62">
        <f t="shared" si="153"/>
        <v>20</v>
      </c>
      <c r="BH184" s="62">
        <f t="shared" si="153"/>
        <v>21</v>
      </c>
      <c r="BI184" s="62">
        <f t="shared" si="153"/>
        <v>22</v>
      </c>
      <c r="BJ184" s="62">
        <f t="shared" si="153"/>
        <v>23</v>
      </c>
      <c r="BK184" s="62">
        <f t="shared" si="153"/>
        <v>24</v>
      </c>
      <c r="BL184" s="62">
        <f t="shared" si="153"/>
        <v>25</v>
      </c>
      <c r="BM184" s="62">
        <f t="shared" si="153"/>
        <v>26</v>
      </c>
      <c r="BN184" s="62">
        <f t="shared" si="153"/>
        <v>27</v>
      </c>
      <c r="BO184" s="62">
        <f t="shared" si="153"/>
        <v>28</v>
      </c>
      <c r="BP184" s="62">
        <f t="shared" si="153"/>
        <v>29</v>
      </c>
      <c r="BQ184" s="62">
        <f t="shared" si="153"/>
        <v>30</v>
      </c>
      <c r="BR184" s="62">
        <f t="shared" si="153"/>
        <v>31</v>
      </c>
      <c r="BS184" s="62">
        <f t="shared" si="148"/>
        <v>32</v>
      </c>
      <c r="BT184" s="62">
        <f t="shared" ref="BT184:DV188" si="154">IF($D184&lt;=BT$4,1,0)+BS184</f>
        <v>33</v>
      </c>
      <c r="BU184" s="62">
        <f t="shared" si="154"/>
        <v>34</v>
      </c>
      <c r="BV184" s="62">
        <f t="shared" si="154"/>
        <v>35</v>
      </c>
      <c r="BW184" s="62">
        <f t="shared" si="154"/>
        <v>36</v>
      </c>
      <c r="BX184" s="62">
        <f t="shared" si="154"/>
        <v>37</v>
      </c>
      <c r="BY184" s="62">
        <f t="shared" si="154"/>
        <v>38</v>
      </c>
      <c r="BZ184" s="62">
        <f t="shared" si="154"/>
        <v>39</v>
      </c>
      <c r="CA184" s="62">
        <f t="shared" si="154"/>
        <v>40</v>
      </c>
      <c r="CB184" s="62">
        <f t="shared" si="154"/>
        <v>41</v>
      </c>
      <c r="CC184" s="62">
        <f t="shared" si="154"/>
        <v>42</v>
      </c>
      <c r="CD184" s="62">
        <f t="shared" si="154"/>
        <v>43</v>
      </c>
      <c r="CE184" s="62">
        <f t="shared" si="154"/>
        <v>44</v>
      </c>
      <c r="CF184" s="62">
        <f t="shared" si="154"/>
        <v>45</v>
      </c>
      <c r="CG184" s="62">
        <f t="shared" si="154"/>
        <v>46</v>
      </c>
      <c r="CH184" s="62">
        <f t="shared" si="154"/>
        <v>47</v>
      </c>
      <c r="CI184" s="62">
        <f t="shared" si="154"/>
        <v>48</v>
      </c>
      <c r="CJ184" s="62">
        <f t="shared" si="154"/>
        <v>49</v>
      </c>
      <c r="CK184" s="62">
        <f t="shared" si="154"/>
        <v>50</v>
      </c>
      <c r="CL184" s="62">
        <f t="shared" si="154"/>
        <v>51</v>
      </c>
      <c r="CM184" s="62">
        <f t="shared" si="154"/>
        <v>52</v>
      </c>
      <c r="CN184" s="62">
        <f t="shared" si="154"/>
        <v>53</v>
      </c>
      <c r="CO184" s="62">
        <f t="shared" si="154"/>
        <v>54</v>
      </c>
      <c r="CP184" s="62">
        <f t="shared" si="154"/>
        <v>55</v>
      </c>
      <c r="CQ184" s="62">
        <f t="shared" si="154"/>
        <v>56</v>
      </c>
      <c r="CR184" s="62">
        <f t="shared" si="154"/>
        <v>57</v>
      </c>
      <c r="CS184" s="62">
        <f t="shared" si="154"/>
        <v>58</v>
      </c>
      <c r="CT184" s="62">
        <f t="shared" si="154"/>
        <v>59</v>
      </c>
      <c r="CU184" s="62">
        <f t="shared" si="154"/>
        <v>60</v>
      </c>
      <c r="CV184" s="62">
        <f t="shared" si="154"/>
        <v>61</v>
      </c>
      <c r="CW184" s="62">
        <f t="shared" si="154"/>
        <v>62</v>
      </c>
      <c r="CX184" s="62">
        <f t="shared" si="154"/>
        <v>63</v>
      </c>
      <c r="CY184" s="62">
        <f t="shared" si="154"/>
        <v>64</v>
      </c>
      <c r="CZ184" s="62">
        <f t="shared" si="154"/>
        <v>65</v>
      </c>
      <c r="DA184" s="62">
        <f t="shared" si="154"/>
        <v>66</v>
      </c>
      <c r="DB184" s="62">
        <f t="shared" si="154"/>
        <v>67</v>
      </c>
      <c r="DC184" s="62">
        <f t="shared" si="154"/>
        <v>68</v>
      </c>
      <c r="DD184" s="62">
        <f t="shared" si="154"/>
        <v>69</v>
      </c>
      <c r="DE184" s="62">
        <f t="shared" si="154"/>
        <v>70</v>
      </c>
      <c r="DF184" s="62">
        <f t="shared" si="154"/>
        <v>71</v>
      </c>
      <c r="DG184" s="62">
        <f t="shared" si="154"/>
        <v>72</v>
      </c>
      <c r="DH184" s="62">
        <f t="shared" si="154"/>
        <v>73</v>
      </c>
      <c r="DI184" s="62">
        <f t="shared" si="154"/>
        <v>74</v>
      </c>
      <c r="DJ184" s="62">
        <f t="shared" si="154"/>
        <v>75</v>
      </c>
      <c r="DK184" s="62">
        <f t="shared" si="154"/>
        <v>76</v>
      </c>
      <c r="DL184" s="62">
        <f t="shared" si="154"/>
        <v>77</v>
      </c>
      <c r="DM184" s="62">
        <f t="shared" si="154"/>
        <v>78</v>
      </c>
      <c r="DN184" s="62">
        <f t="shared" si="154"/>
        <v>79</v>
      </c>
      <c r="DO184" s="62">
        <f t="shared" si="154"/>
        <v>80</v>
      </c>
      <c r="DP184" s="62">
        <f t="shared" si="154"/>
        <v>81</v>
      </c>
      <c r="DQ184" s="62">
        <f t="shared" si="154"/>
        <v>82</v>
      </c>
      <c r="DR184" s="62">
        <f t="shared" si="154"/>
        <v>83</v>
      </c>
      <c r="DS184" s="62">
        <f t="shared" si="154"/>
        <v>84</v>
      </c>
      <c r="DT184" s="62">
        <f t="shared" si="154"/>
        <v>85</v>
      </c>
      <c r="DU184" s="62">
        <f t="shared" si="154"/>
        <v>86</v>
      </c>
      <c r="DV184" s="62">
        <f t="shared" si="154"/>
        <v>87</v>
      </c>
    </row>
    <row r="185" spans="2:126" outlineLevel="1">
      <c r="B185" s="3" t="str">
        <f t="shared" si="146"/>
        <v>Property L</v>
      </c>
      <c r="C185" s="2"/>
      <c r="D185" s="58">
        <f t="shared" si="147"/>
        <v>51</v>
      </c>
      <c r="E185" s="35"/>
      <c r="F185" s="35"/>
      <c r="G185" s="62">
        <f t="shared" si="153"/>
        <v>0</v>
      </c>
      <c r="H185" s="62">
        <f t="shared" si="153"/>
        <v>0</v>
      </c>
      <c r="I185" s="62">
        <f t="shared" si="153"/>
        <v>0</v>
      </c>
      <c r="J185" s="62">
        <f t="shared" si="153"/>
        <v>0</v>
      </c>
      <c r="K185" s="62">
        <f t="shared" si="153"/>
        <v>0</v>
      </c>
      <c r="L185" s="62">
        <f t="shared" si="153"/>
        <v>0</v>
      </c>
      <c r="M185" s="62">
        <f t="shared" si="153"/>
        <v>0</v>
      </c>
      <c r="N185" s="62">
        <f t="shared" si="153"/>
        <v>0</v>
      </c>
      <c r="O185" s="62">
        <f t="shared" si="153"/>
        <v>0</v>
      </c>
      <c r="P185" s="62">
        <f t="shared" si="153"/>
        <v>0</v>
      </c>
      <c r="Q185" s="62">
        <f t="shared" si="153"/>
        <v>0</v>
      </c>
      <c r="R185" s="62">
        <f t="shared" si="153"/>
        <v>0</v>
      </c>
      <c r="S185" s="62">
        <f t="shared" si="153"/>
        <v>0</v>
      </c>
      <c r="T185" s="62">
        <f t="shared" si="153"/>
        <v>0</v>
      </c>
      <c r="U185" s="62">
        <f t="shared" si="153"/>
        <v>0</v>
      </c>
      <c r="V185" s="62">
        <f t="shared" si="153"/>
        <v>0</v>
      </c>
      <c r="W185" s="62">
        <f t="shared" si="153"/>
        <v>0</v>
      </c>
      <c r="X185" s="62">
        <f t="shared" si="153"/>
        <v>0</v>
      </c>
      <c r="Y185" s="62">
        <f t="shared" si="153"/>
        <v>0</v>
      </c>
      <c r="Z185" s="62">
        <f t="shared" si="153"/>
        <v>0</v>
      </c>
      <c r="AA185" s="62">
        <f t="shared" si="153"/>
        <v>0</v>
      </c>
      <c r="AB185" s="62">
        <f t="shared" si="153"/>
        <v>0</v>
      </c>
      <c r="AC185" s="62">
        <f t="shared" si="153"/>
        <v>0</v>
      </c>
      <c r="AD185" s="62">
        <f t="shared" si="153"/>
        <v>0</v>
      </c>
      <c r="AE185" s="62">
        <f t="shared" si="153"/>
        <v>0</v>
      </c>
      <c r="AF185" s="62">
        <f t="shared" si="153"/>
        <v>0</v>
      </c>
      <c r="AG185" s="62">
        <f t="shared" si="153"/>
        <v>0</v>
      </c>
      <c r="AH185" s="62">
        <f t="shared" si="153"/>
        <v>0</v>
      </c>
      <c r="AI185" s="62">
        <f t="shared" si="153"/>
        <v>0</v>
      </c>
      <c r="AJ185" s="62">
        <f t="shared" si="153"/>
        <v>0</v>
      </c>
      <c r="AK185" s="62">
        <f t="shared" si="153"/>
        <v>0</v>
      </c>
      <c r="AL185" s="62">
        <f t="shared" si="153"/>
        <v>0</v>
      </c>
      <c r="AM185" s="62">
        <f t="shared" si="153"/>
        <v>0</v>
      </c>
      <c r="AN185" s="62">
        <f t="shared" si="153"/>
        <v>0</v>
      </c>
      <c r="AO185" s="62">
        <f t="shared" si="153"/>
        <v>0</v>
      </c>
      <c r="AP185" s="62">
        <f t="shared" si="153"/>
        <v>0</v>
      </c>
      <c r="AQ185" s="62">
        <f t="shared" si="153"/>
        <v>0</v>
      </c>
      <c r="AR185" s="62">
        <f t="shared" si="153"/>
        <v>0</v>
      </c>
      <c r="AS185" s="62">
        <f t="shared" si="153"/>
        <v>0</v>
      </c>
      <c r="AT185" s="62">
        <f t="shared" si="153"/>
        <v>0</v>
      </c>
      <c r="AU185" s="62">
        <f t="shared" si="153"/>
        <v>0</v>
      </c>
      <c r="AV185" s="62">
        <f t="shared" si="153"/>
        <v>0</v>
      </c>
      <c r="AW185" s="62">
        <f t="shared" si="153"/>
        <v>0</v>
      </c>
      <c r="AX185" s="62">
        <f t="shared" si="153"/>
        <v>0</v>
      </c>
      <c r="AY185" s="62">
        <f t="shared" si="153"/>
        <v>0</v>
      </c>
      <c r="AZ185" s="62">
        <f t="shared" si="153"/>
        <v>0</v>
      </c>
      <c r="BA185" s="62">
        <f t="shared" si="153"/>
        <v>0</v>
      </c>
      <c r="BB185" s="62">
        <f t="shared" si="153"/>
        <v>0</v>
      </c>
      <c r="BC185" s="62">
        <f t="shared" si="153"/>
        <v>0</v>
      </c>
      <c r="BD185" s="62">
        <f t="shared" si="153"/>
        <v>0</v>
      </c>
      <c r="BE185" s="62">
        <f t="shared" si="153"/>
        <v>1</v>
      </c>
      <c r="BF185" s="62">
        <f t="shared" si="153"/>
        <v>2</v>
      </c>
      <c r="BG185" s="62">
        <f t="shared" si="153"/>
        <v>3</v>
      </c>
      <c r="BH185" s="62">
        <f t="shared" si="153"/>
        <v>4</v>
      </c>
      <c r="BI185" s="62">
        <f t="shared" si="153"/>
        <v>5</v>
      </c>
      <c r="BJ185" s="62">
        <f t="shared" si="153"/>
        <v>6</v>
      </c>
      <c r="BK185" s="62">
        <f t="shared" si="153"/>
        <v>7</v>
      </c>
      <c r="BL185" s="62">
        <f t="shared" si="153"/>
        <v>8</v>
      </c>
      <c r="BM185" s="62">
        <f t="shared" si="153"/>
        <v>9</v>
      </c>
      <c r="BN185" s="62">
        <f t="shared" si="153"/>
        <v>10</v>
      </c>
      <c r="BO185" s="62">
        <f t="shared" si="153"/>
        <v>11</v>
      </c>
      <c r="BP185" s="62">
        <f t="shared" si="153"/>
        <v>12</v>
      </c>
      <c r="BQ185" s="62">
        <f t="shared" si="153"/>
        <v>13</v>
      </c>
      <c r="BR185" s="62">
        <f t="shared" si="153"/>
        <v>14</v>
      </c>
      <c r="BS185" s="62">
        <f t="shared" si="148"/>
        <v>15</v>
      </c>
      <c r="BT185" s="62">
        <f t="shared" si="154"/>
        <v>16</v>
      </c>
      <c r="BU185" s="62">
        <f t="shared" si="154"/>
        <v>17</v>
      </c>
      <c r="BV185" s="62">
        <f t="shared" si="154"/>
        <v>18</v>
      </c>
      <c r="BW185" s="62">
        <f t="shared" si="154"/>
        <v>19</v>
      </c>
      <c r="BX185" s="62">
        <f t="shared" si="154"/>
        <v>20</v>
      </c>
      <c r="BY185" s="62">
        <f t="shared" si="154"/>
        <v>21</v>
      </c>
      <c r="BZ185" s="62">
        <f t="shared" si="154"/>
        <v>22</v>
      </c>
      <c r="CA185" s="62">
        <f t="shared" si="154"/>
        <v>23</v>
      </c>
      <c r="CB185" s="62">
        <f t="shared" si="154"/>
        <v>24</v>
      </c>
      <c r="CC185" s="62">
        <f t="shared" si="154"/>
        <v>25</v>
      </c>
      <c r="CD185" s="62">
        <f t="shared" si="154"/>
        <v>26</v>
      </c>
      <c r="CE185" s="62">
        <f t="shared" si="154"/>
        <v>27</v>
      </c>
      <c r="CF185" s="62">
        <f t="shared" si="154"/>
        <v>28</v>
      </c>
      <c r="CG185" s="62">
        <f t="shared" si="154"/>
        <v>29</v>
      </c>
      <c r="CH185" s="62">
        <f t="shared" si="154"/>
        <v>30</v>
      </c>
      <c r="CI185" s="62">
        <f t="shared" si="154"/>
        <v>31</v>
      </c>
      <c r="CJ185" s="62">
        <f t="shared" si="154"/>
        <v>32</v>
      </c>
      <c r="CK185" s="62">
        <f t="shared" si="154"/>
        <v>33</v>
      </c>
      <c r="CL185" s="62">
        <f t="shared" si="154"/>
        <v>34</v>
      </c>
      <c r="CM185" s="62">
        <f t="shared" si="154"/>
        <v>35</v>
      </c>
      <c r="CN185" s="62">
        <f t="shared" si="154"/>
        <v>36</v>
      </c>
      <c r="CO185" s="62">
        <f t="shared" si="154"/>
        <v>37</v>
      </c>
      <c r="CP185" s="62">
        <f t="shared" si="154"/>
        <v>38</v>
      </c>
      <c r="CQ185" s="62">
        <f t="shared" si="154"/>
        <v>39</v>
      </c>
      <c r="CR185" s="62">
        <f t="shared" si="154"/>
        <v>40</v>
      </c>
      <c r="CS185" s="62">
        <f t="shared" si="154"/>
        <v>41</v>
      </c>
      <c r="CT185" s="62">
        <f t="shared" si="154"/>
        <v>42</v>
      </c>
      <c r="CU185" s="62">
        <f t="shared" si="154"/>
        <v>43</v>
      </c>
      <c r="CV185" s="62">
        <f t="shared" si="154"/>
        <v>44</v>
      </c>
      <c r="CW185" s="62">
        <f t="shared" si="154"/>
        <v>45</v>
      </c>
      <c r="CX185" s="62">
        <f t="shared" si="154"/>
        <v>46</v>
      </c>
      <c r="CY185" s="62">
        <f t="shared" si="154"/>
        <v>47</v>
      </c>
      <c r="CZ185" s="62">
        <f t="shared" si="154"/>
        <v>48</v>
      </c>
      <c r="DA185" s="62">
        <f t="shared" si="154"/>
        <v>49</v>
      </c>
      <c r="DB185" s="62">
        <f t="shared" si="154"/>
        <v>50</v>
      </c>
      <c r="DC185" s="62">
        <f t="shared" si="154"/>
        <v>51</v>
      </c>
      <c r="DD185" s="62">
        <f t="shared" si="154"/>
        <v>52</v>
      </c>
      <c r="DE185" s="62">
        <f t="shared" si="154"/>
        <v>53</v>
      </c>
      <c r="DF185" s="62">
        <f t="shared" si="154"/>
        <v>54</v>
      </c>
      <c r="DG185" s="62">
        <f t="shared" si="154"/>
        <v>55</v>
      </c>
      <c r="DH185" s="62">
        <f t="shared" si="154"/>
        <v>56</v>
      </c>
      <c r="DI185" s="62">
        <f t="shared" si="154"/>
        <v>57</v>
      </c>
      <c r="DJ185" s="62">
        <f t="shared" si="154"/>
        <v>58</v>
      </c>
      <c r="DK185" s="62">
        <f t="shared" si="154"/>
        <v>59</v>
      </c>
      <c r="DL185" s="62">
        <f t="shared" si="154"/>
        <v>60</v>
      </c>
      <c r="DM185" s="62">
        <f t="shared" si="154"/>
        <v>61</v>
      </c>
      <c r="DN185" s="62">
        <f t="shared" si="154"/>
        <v>62</v>
      </c>
      <c r="DO185" s="62">
        <f t="shared" si="154"/>
        <v>63</v>
      </c>
      <c r="DP185" s="62">
        <f t="shared" si="154"/>
        <v>64</v>
      </c>
      <c r="DQ185" s="62">
        <f t="shared" si="154"/>
        <v>65</v>
      </c>
      <c r="DR185" s="62">
        <f t="shared" si="154"/>
        <v>66</v>
      </c>
      <c r="DS185" s="62">
        <f t="shared" si="154"/>
        <v>67</v>
      </c>
      <c r="DT185" s="62">
        <f t="shared" si="154"/>
        <v>68</v>
      </c>
      <c r="DU185" s="62">
        <f t="shared" si="154"/>
        <v>69</v>
      </c>
      <c r="DV185" s="62">
        <f t="shared" si="154"/>
        <v>70</v>
      </c>
    </row>
    <row r="186" spans="2:126" outlineLevel="1">
      <c r="B186" s="3" t="str">
        <f t="shared" si="146"/>
        <v>Property M</v>
      </c>
      <c r="C186" s="2"/>
      <c r="D186" s="58">
        <f t="shared" si="147"/>
        <v>51</v>
      </c>
      <c r="E186" s="35"/>
      <c r="F186" s="35"/>
      <c r="G186" s="62">
        <f t="shared" si="153"/>
        <v>0</v>
      </c>
      <c r="H186" s="62">
        <f t="shared" si="153"/>
        <v>0</v>
      </c>
      <c r="I186" s="62">
        <f t="shared" si="153"/>
        <v>0</v>
      </c>
      <c r="J186" s="62">
        <f t="shared" si="153"/>
        <v>0</v>
      </c>
      <c r="K186" s="62">
        <f t="shared" si="153"/>
        <v>0</v>
      </c>
      <c r="L186" s="62">
        <f t="shared" si="153"/>
        <v>0</v>
      </c>
      <c r="M186" s="62">
        <f t="shared" si="153"/>
        <v>0</v>
      </c>
      <c r="N186" s="62">
        <f t="shared" si="153"/>
        <v>0</v>
      </c>
      <c r="O186" s="62">
        <f t="shared" si="153"/>
        <v>0</v>
      </c>
      <c r="P186" s="62">
        <f t="shared" si="153"/>
        <v>0</v>
      </c>
      <c r="Q186" s="62">
        <f t="shared" si="153"/>
        <v>0</v>
      </c>
      <c r="R186" s="62">
        <f t="shared" si="153"/>
        <v>0</v>
      </c>
      <c r="S186" s="62">
        <f t="shared" si="153"/>
        <v>0</v>
      </c>
      <c r="T186" s="62">
        <f t="shared" si="153"/>
        <v>0</v>
      </c>
      <c r="U186" s="62">
        <f t="shared" si="153"/>
        <v>0</v>
      </c>
      <c r="V186" s="62">
        <f t="shared" si="153"/>
        <v>0</v>
      </c>
      <c r="W186" s="62">
        <f t="shared" si="153"/>
        <v>0</v>
      </c>
      <c r="X186" s="62">
        <f t="shared" si="153"/>
        <v>0</v>
      </c>
      <c r="Y186" s="62">
        <f t="shared" si="153"/>
        <v>0</v>
      </c>
      <c r="Z186" s="62">
        <f t="shared" si="153"/>
        <v>0</v>
      </c>
      <c r="AA186" s="62">
        <f t="shared" si="153"/>
        <v>0</v>
      </c>
      <c r="AB186" s="62">
        <f t="shared" si="153"/>
        <v>0</v>
      </c>
      <c r="AC186" s="62">
        <f t="shared" si="153"/>
        <v>0</v>
      </c>
      <c r="AD186" s="62">
        <f t="shared" si="153"/>
        <v>0</v>
      </c>
      <c r="AE186" s="62">
        <f t="shared" si="153"/>
        <v>0</v>
      </c>
      <c r="AF186" s="62">
        <f t="shared" si="153"/>
        <v>0</v>
      </c>
      <c r="AG186" s="62">
        <f t="shared" si="153"/>
        <v>0</v>
      </c>
      <c r="AH186" s="62">
        <f t="shared" si="153"/>
        <v>0</v>
      </c>
      <c r="AI186" s="62">
        <f t="shared" si="153"/>
        <v>0</v>
      </c>
      <c r="AJ186" s="62">
        <f t="shared" si="153"/>
        <v>0</v>
      </c>
      <c r="AK186" s="62">
        <f t="shared" si="153"/>
        <v>0</v>
      </c>
      <c r="AL186" s="62">
        <f t="shared" si="153"/>
        <v>0</v>
      </c>
      <c r="AM186" s="62">
        <f t="shared" si="153"/>
        <v>0</v>
      </c>
      <c r="AN186" s="62">
        <f t="shared" si="153"/>
        <v>0</v>
      </c>
      <c r="AO186" s="62">
        <f t="shared" si="153"/>
        <v>0</v>
      </c>
      <c r="AP186" s="62">
        <f t="shared" si="153"/>
        <v>0</v>
      </c>
      <c r="AQ186" s="62">
        <f t="shared" si="153"/>
        <v>0</v>
      </c>
      <c r="AR186" s="62">
        <f t="shared" si="153"/>
        <v>0</v>
      </c>
      <c r="AS186" s="62">
        <f t="shared" si="153"/>
        <v>0</v>
      </c>
      <c r="AT186" s="62">
        <f t="shared" si="153"/>
        <v>0</v>
      </c>
      <c r="AU186" s="62">
        <f t="shared" si="153"/>
        <v>0</v>
      </c>
      <c r="AV186" s="62">
        <f t="shared" si="153"/>
        <v>0</v>
      </c>
      <c r="AW186" s="62">
        <f t="shared" si="153"/>
        <v>0</v>
      </c>
      <c r="AX186" s="62">
        <f t="shared" si="153"/>
        <v>0</v>
      </c>
      <c r="AY186" s="62">
        <f t="shared" si="153"/>
        <v>0</v>
      </c>
      <c r="AZ186" s="62">
        <f t="shared" si="153"/>
        <v>0</v>
      </c>
      <c r="BA186" s="62">
        <f t="shared" si="153"/>
        <v>0</v>
      </c>
      <c r="BB186" s="62">
        <f t="shared" si="153"/>
        <v>0</v>
      </c>
      <c r="BC186" s="62">
        <f t="shared" si="153"/>
        <v>0</v>
      </c>
      <c r="BD186" s="62">
        <f t="shared" si="153"/>
        <v>0</v>
      </c>
      <c r="BE186" s="62">
        <f t="shared" si="153"/>
        <v>1</v>
      </c>
      <c r="BF186" s="62">
        <f t="shared" si="153"/>
        <v>2</v>
      </c>
      <c r="BG186" s="62">
        <f t="shared" si="153"/>
        <v>3</v>
      </c>
      <c r="BH186" s="62">
        <f t="shared" si="153"/>
        <v>4</v>
      </c>
      <c r="BI186" s="62">
        <f t="shared" si="153"/>
        <v>5</v>
      </c>
      <c r="BJ186" s="62">
        <f t="shared" si="153"/>
        <v>6</v>
      </c>
      <c r="BK186" s="62">
        <f t="shared" si="153"/>
        <v>7</v>
      </c>
      <c r="BL186" s="62">
        <f t="shared" si="153"/>
        <v>8</v>
      </c>
      <c r="BM186" s="62">
        <f t="shared" si="153"/>
        <v>9</v>
      </c>
      <c r="BN186" s="62">
        <f t="shared" si="153"/>
        <v>10</v>
      </c>
      <c r="BO186" s="62">
        <f t="shared" si="153"/>
        <v>11</v>
      </c>
      <c r="BP186" s="62">
        <f t="shared" si="153"/>
        <v>12</v>
      </c>
      <c r="BQ186" s="62">
        <f t="shared" si="153"/>
        <v>13</v>
      </c>
      <c r="BR186" s="62">
        <f t="shared" si="153"/>
        <v>14</v>
      </c>
      <c r="BS186" s="62">
        <f t="shared" si="148"/>
        <v>15</v>
      </c>
      <c r="BT186" s="62">
        <f t="shared" si="154"/>
        <v>16</v>
      </c>
      <c r="BU186" s="62">
        <f t="shared" si="154"/>
        <v>17</v>
      </c>
      <c r="BV186" s="62">
        <f t="shared" si="154"/>
        <v>18</v>
      </c>
      <c r="BW186" s="62">
        <f t="shared" si="154"/>
        <v>19</v>
      </c>
      <c r="BX186" s="62">
        <f t="shared" si="154"/>
        <v>20</v>
      </c>
      <c r="BY186" s="62">
        <f t="shared" si="154"/>
        <v>21</v>
      </c>
      <c r="BZ186" s="62">
        <f t="shared" si="154"/>
        <v>22</v>
      </c>
      <c r="CA186" s="62">
        <f t="shared" si="154"/>
        <v>23</v>
      </c>
      <c r="CB186" s="62">
        <f t="shared" si="154"/>
        <v>24</v>
      </c>
      <c r="CC186" s="62">
        <f t="shared" si="154"/>
        <v>25</v>
      </c>
      <c r="CD186" s="62">
        <f t="shared" si="154"/>
        <v>26</v>
      </c>
      <c r="CE186" s="62">
        <f t="shared" si="154"/>
        <v>27</v>
      </c>
      <c r="CF186" s="62">
        <f t="shared" si="154"/>
        <v>28</v>
      </c>
      <c r="CG186" s="62">
        <f t="shared" si="154"/>
        <v>29</v>
      </c>
      <c r="CH186" s="62">
        <f t="shared" si="154"/>
        <v>30</v>
      </c>
      <c r="CI186" s="62">
        <f t="shared" si="154"/>
        <v>31</v>
      </c>
      <c r="CJ186" s="62">
        <f t="shared" si="154"/>
        <v>32</v>
      </c>
      <c r="CK186" s="62">
        <f t="shared" si="154"/>
        <v>33</v>
      </c>
      <c r="CL186" s="62">
        <f t="shared" si="154"/>
        <v>34</v>
      </c>
      <c r="CM186" s="62">
        <f t="shared" si="154"/>
        <v>35</v>
      </c>
      <c r="CN186" s="62">
        <f t="shared" si="154"/>
        <v>36</v>
      </c>
      <c r="CO186" s="62">
        <f t="shared" si="154"/>
        <v>37</v>
      </c>
      <c r="CP186" s="62">
        <f t="shared" si="154"/>
        <v>38</v>
      </c>
      <c r="CQ186" s="62">
        <f t="shared" si="154"/>
        <v>39</v>
      </c>
      <c r="CR186" s="62">
        <f t="shared" si="154"/>
        <v>40</v>
      </c>
      <c r="CS186" s="62">
        <f t="shared" si="154"/>
        <v>41</v>
      </c>
      <c r="CT186" s="62">
        <f t="shared" si="154"/>
        <v>42</v>
      </c>
      <c r="CU186" s="62">
        <f t="shared" si="154"/>
        <v>43</v>
      </c>
      <c r="CV186" s="62">
        <f t="shared" si="154"/>
        <v>44</v>
      </c>
      <c r="CW186" s="62">
        <f t="shared" si="154"/>
        <v>45</v>
      </c>
      <c r="CX186" s="62">
        <f t="shared" si="154"/>
        <v>46</v>
      </c>
      <c r="CY186" s="62">
        <f t="shared" si="154"/>
        <v>47</v>
      </c>
      <c r="CZ186" s="62">
        <f t="shared" si="154"/>
        <v>48</v>
      </c>
      <c r="DA186" s="62">
        <f t="shared" si="154"/>
        <v>49</v>
      </c>
      <c r="DB186" s="62">
        <f t="shared" si="154"/>
        <v>50</v>
      </c>
      <c r="DC186" s="62">
        <f t="shared" si="154"/>
        <v>51</v>
      </c>
      <c r="DD186" s="62">
        <f t="shared" si="154"/>
        <v>52</v>
      </c>
      <c r="DE186" s="62">
        <f t="shared" si="154"/>
        <v>53</v>
      </c>
      <c r="DF186" s="62">
        <f t="shared" si="154"/>
        <v>54</v>
      </c>
      <c r="DG186" s="62">
        <f t="shared" si="154"/>
        <v>55</v>
      </c>
      <c r="DH186" s="62">
        <f t="shared" si="154"/>
        <v>56</v>
      </c>
      <c r="DI186" s="62">
        <f t="shared" si="154"/>
        <v>57</v>
      </c>
      <c r="DJ186" s="62">
        <f t="shared" si="154"/>
        <v>58</v>
      </c>
      <c r="DK186" s="62">
        <f t="shared" si="154"/>
        <v>59</v>
      </c>
      <c r="DL186" s="62">
        <f t="shared" si="154"/>
        <v>60</v>
      </c>
      <c r="DM186" s="62">
        <f t="shared" si="154"/>
        <v>61</v>
      </c>
      <c r="DN186" s="62">
        <f t="shared" si="154"/>
        <v>62</v>
      </c>
      <c r="DO186" s="62">
        <f t="shared" si="154"/>
        <v>63</v>
      </c>
      <c r="DP186" s="62">
        <f t="shared" si="154"/>
        <v>64</v>
      </c>
      <c r="DQ186" s="62">
        <f t="shared" si="154"/>
        <v>65</v>
      </c>
      <c r="DR186" s="62">
        <f t="shared" si="154"/>
        <v>66</v>
      </c>
      <c r="DS186" s="62">
        <f t="shared" si="154"/>
        <v>67</v>
      </c>
      <c r="DT186" s="62">
        <f t="shared" si="154"/>
        <v>68</v>
      </c>
      <c r="DU186" s="62">
        <f t="shared" si="154"/>
        <v>69</v>
      </c>
      <c r="DV186" s="62">
        <f t="shared" si="154"/>
        <v>70</v>
      </c>
    </row>
    <row r="187" spans="2:126" outlineLevel="1">
      <c r="B187" s="3" t="str">
        <f t="shared" si="146"/>
        <v>Property N</v>
      </c>
      <c r="C187" s="2"/>
      <c r="D187" s="58">
        <f t="shared" si="147"/>
        <v>64</v>
      </c>
      <c r="E187" s="35"/>
      <c r="F187" s="35"/>
      <c r="G187" s="62">
        <f t="shared" si="153"/>
        <v>0</v>
      </c>
      <c r="H187" s="62">
        <f t="shared" si="153"/>
        <v>0</v>
      </c>
      <c r="I187" s="62">
        <f t="shared" si="153"/>
        <v>0</v>
      </c>
      <c r="J187" s="62">
        <f t="shared" si="153"/>
        <v>0</v>
      </c>
      <c r="K187" s="62">
        <f t="shared" si="153"/>
        <v>0</v>
      </c>
      <c r="L187" s="62">
        <f t="shared" si="153"/>
        <v>0</v>
      </c>
      <c r="M187" s="62">
        <f t="shared" si="153"/>
        <v>0</v>
      </c>
      <c r="N187" s="62">
        <f t="shared" si="153"/>
        <v>0</v>
      </c>
      <c r="O187" s="62">
        <f t="shared" si="153"/>
        <v>0</v>
      </c>
      <c r="P187" s="62">
        <f t="shared" si="153"/>
        <v>0</v>
      </c>
      <c r="Q187" s="62">
        <f t="shared" si="153"/>
        <v>0</v>
      </c>
      <c r="R187" s="62">
        <f t="shared" si="153"/>
        <v>0</v>
      </c>
      <c r="S187" s="62">
        <f t="shared" si="153"/>
        <v>0</v>
      </c>
      <c r="T187" s="62">
        <f t="shared" si="153"/>
        <v>0</v>
      </c>
      <c r="U187" s="62">
        <f t="shared" si="153"/>
        <v>0</v>
      </c>
      <c r="V187" s="62">
        <f t="shared" si="153"/>
        <v>0</v>
      </c>
      <c r="W187" s="62">
        <f t="shared" si="153"/>
        <v>0</v>
      </c>
      <c r="X187" s="62">
        <f t="shared" si="153"/>
        <v>0</v>
      </c>
      <c r="Y187" s="62">
        <f t="shared" si="153"/>
        <v>0</v>
      </c>
      <c r="Z187" s="62">
        <f t="shared" si="153"/>
        <v>0</v>
      </c>
      <c r="AA187" s="62">
        <f t="shared" si="153"/>
        <v>0</v>
      </c>
      <c r="AB187" s="62">
        <f t="shared" si="153"/>
        <v>0</v>
      </c>
      <c r="AC187" s="62">
        <f t="shared" si="153"/>
        <v>0</v>
      </c>
      <c r="AD187" s="62">
        <f t="shared" si="153"/>
        <v>0</v>
      </c>
      <c r="AE187" s="62">
        <f t="shared" si="153"/>
        <v>0</v>
      </c>
      <c r="AF187" s="62">
        <f t="shared" si="153"/>
        <v>0</v>
      </c>
      <c r="AG187" s="62">
        <f t="shared" si="153"/>
        <v>0</v>
      </c>
      <c r="AH187" s="62">
        <f t="shared" si="153"/>
        <v>0</v>
      </c>
      <c r="AI187" s="62">
        <f t="shared" si="153"/>
        <v>0</v>
      </c>
      <c r="AJ187" s="62">
        <f t="shared" si="153"/>
        <v>0</v>
      </c>
      <c r="AK187" s="62">
        <f t="shared" si="153"/>
        <v>0</v>
      </c>
      <c r="AL187" s="62">
        <f t="shared" si="153"/>
        <v>0</v>
      </c>
      <c r="AM187" s="62">
        <f t="shared" si="153"/>
        <v>0</v>
      </c>
      <c r="AN187" s="62">
        <f t="shared" si="153"/>
        <v>0</v>
      </c>
      <c r="AO187" s="62">
        <f t="shared" si="153"/>
        <v>0</v>
      </c>
      <c r="AP187" s="62">
        <f t="shared" si="153"/>
        <v>0</v>
      </c>
      <c r="AQ187" s="62">
        <f t="shared" si="153"/>
        <v>0</v>
      </c>
      <c r="AR187" s="62">
        <f t="shared" si="153"/>
        <v>0</v>
      </c>
      <c r="AS187" s="62">
        <f t="shared" si="153"/>
        <v>0</v>
      </c>
      <c r="AT187" s="62">
        <f t="shared" si="153"/>
        <v>0</v>
      </c>
      <c r="AU187" s="62">
        <f t="shared" si="153"/>
        <v>0</v>
      </c>
      <c r="AV187" s="62">
        <f t="shared" si="153"/>
        <v>0</v>
      </c>
      <c r="AW187" s="62">
        <f t="shared" si="153"/>
        <v>0</v>
      </c>
      <c r="AX187" s="62">
        <f t="shared" si="153"/>
        <v>0</v>
      </c>
      <c r="AY187" s="62">
        <f t="shared" si="153"/>
        <v>0</v>
      </c>
      <c r="AZ187" s="62">
        <f t="shared" si="153"/>
        <v>0</v>
      </c>
      <c r="BA187" s="62">
        <f t="shared" si="153"/>
        <v>0</v>
      </c>
      <c r="BB187" s="62">
        <f t="shared" si="153"/>
        <v>0</v>
      </c>
      <c r="BC187" s="62">
        <f t="shared" si="153"/>
        <v>0</v>
      </c>
      <c r="BD187" s="62">
        <f t="shared" si="153"/>
        <v>0</v>
      </c>
      <c r="BE187" s="62">
        <f t="shared" si="153"/>
        <v>0</v>
      </c>
      <c r="BF187" s="62">
        <f t="shared" si="153"/>
        <v>0</v>
      </c>
      <c r="BG187" s="62">
        <f t="shared" si="153"/>
        <v>0</v>
      </c>
      <c r="BH187" s="62">
        <f t="shared" si="153"/>
        <v>0</v>
      </c>
      <c r="BI187" s="62">
        <f t="shared" si="153"/>
        <v>0</v>
      </c>
      <c r="BJ187" s="62">
        <f t="shared" si="153"/>
        <v>0</v>
      </c>
      <c r="BK187" s="62">
        <f t="shared" si="153"/>
        <v>0</v>
      </c>
      <c r="BL187" s="62">
        <f t="shared" si="153"/>
        <v>0</v>
      </c>
      <c r="BM187" s="62">
        <f t="shared" si="153"/>
        <v>0</v>
      </c>
      <c r="BN187" s="62">
        <f t="shared" si="153"/>
        <v>0</v>
      </c>
      <c r="BO187" s="62">
        <f t="shared" si="153"/>
        <v>0</v>
      </c>
      <c r="BP187" s="62">
        <f t="shared" si="153"/>
        <v>0</v>
      </c>
      <c r="BQ187" s="62">
        <f t="shared" si="153"/>
        <v>0</v>
      </c>
      <c r="BR187" s="62">
        <f t="shared" ref="BR187" si="155">IF($D187&lt;=BR$4,1,0)+BQ187</f>
        <v>1</v>
      </c>
      <c r="BS187" s="62">
        <f t="shared" si="148"/>
        <v>2</v>
      </c>
      <c r="BT187" s="62">
        <f t="shared" si="154"/>
        <v>3</v>
      </c>
      <c r="BU187" s="62">
        <f t="shared" si="154"/>
        <v>4</v>
      </c>
      <c r="BV187" s="62">
        <f t="shared" si="154"/>
        <v>5</v>
      </c>
      <c r="BW187" s="62">
        <f t="shared" si="154"/>
        <v>6</v>
      </c>
      <c r="BX187" s="62">
        <f t="shared" si="154"/>
        <v>7</v>
      </c>
      <c r="BY187" s="62">
        <f t="shared" si="154"/>
        <v>8</v>
      </c>
      <c r="BZ187" s="62">
        <f t="shared" si="154"/>
        <v>9</v>
      </c>
      <c r="CA187" s="62">
        <f t="shared" si="154"/>
        <v>10</v>
      </c>
      <c r="CB187" s="62">
        <f t="shared" si="154"/>
        <v>11</v>
      </c>
      <c r="CC187" s="62">
        <f t="shared" si="154"/>
        <v>12</v>
      </c>
      <c r="CD187" s="62">
        <f t="shared" si="154"/>
        <v>13</v>
      </c>
      <c r="CE187" s="62">
        <f t="shared" si="154"/>
        <v>14</v>
      </c>
      <c r="CF187" s="62">
        <f t="shared" si="154"/>
        <v>15</v>
      </c>
      <c r="CG187" s="62">
        <f t="shared" si="154"/>
        <v>16</v>
      </c>
      <c r="CH187" s="62">
        <f t="shared" si="154"/>
        <v>17</v>
      </c>
      <c r="CI187" s="62">
        <f t="shared" si="154"/>
        <v>18</v>
      </c>
      <c r="CJ187" s="62">
        <f t="shared" si="154"/>
        <v>19</v>
      </c>
      <c r="CK187" s="62">
        <f t="shared" si="154"/>
        <v>20</v>
      </c>
      <c r="CL187" s="62">
        <f t="shared" si="154"/>
        <v>21</v>
      </c>
      <c r="CM187" s="62">
        <f t="shared" si="154"/>
        <v>22</v>
      </c>
      <c r="CN187" s="62">
        <f t="shared" si="154"/>
        <v>23</v>
      </c>
      <c r="CO187" s="62">
        <f t="shared" si="154"/>
        <v>24</v>
      </c>
      <c r="CP187" s="62">
        <f t="shared" si="154"/>
        <v>25</v>
      </c>
      <c r="CQ187" s="62">
        <f t="shared" si="154"/>
        <v>26</v>
      </c>
      <c r="CR187" s="62">
        <f t="shared" si="154"/>
        <v>27</v>
      </c>
      <c r="CS187" s="62">
        <f t="shared" si="154"/>
        <v>28</v>
      </c>
      <c r="CT187" s="62">
        <f t="shared" si="154"/>
        <v>29</v>
      </c>
      <c r="CU187" s="62">
        <f t="shared" si="154"/>
        <v>30</v>
      </c>
      <c r="CV187" s="62">
        <f t="shared" si="154"/>
        <v>31</v>
      </c>
      <c r="CW187" s="62">
        <f t="shared" si="154"/>
        <v>32</v>
      </c>
      <c r="CX187" s="62">
        <f t="shared" si="154"/>
        <v>33</v>
      </c>
      <c r="CY187" s="62">
        <f t="shared" si="154"/>
        <v>34</v>
      </c>
      <c r="CZ187" s="62">
        <f t="shared" si="154"/>
        <v>35</v>
      </c>
      <c r="DA187" s="62">
        <f t="shared" si="154"/>
        <v>36</v>
      </c>
      <c r="DB187" s="62">
        <f t="shared" si="154"/>
        <v>37</v>
      </c>
      <c r="DC187" s="62">
        <f t="shared" si="154"/>
        <v>38</v>
      </c>
      <c r="DD187" s="62">
        <f t="shared" si="154"/>
        <v>39</v>
      </c>
      <c r="DE187" s="62">
        <f t="shared" si="154"/>
        <v>40</v>
      </c>
      <c r="DF187" s="62">
        <f t="shared" si="154"/>
        <v>41</v>
      </c>
      <c r="DG187" s="62">
        <f t="shared" si="154"/>
        <v>42</v>
      </c>
      <c r="DH187" s="62">
        <f t="shared" si="154"/>
        <v>43</v>
      </c>
      <c r="DI187" s="62">
        <f t="shared" si="154"/>
        <v>44</v>
      </c>
      <c r="DJ187" s="62">
        <f t="shared" si="154"/>
        <v>45</v>
      </c>
      <c r="DK187" s="62">
        <f t="shared" si="154"/>
        <v>46</v>
      </c>
      <c r="DL187" s="62">
        <f t="shared" si="154"/>
        <v>47</v>
      </c>
      <c r="DM187" s="62">
        <f t="shared" si="154"/>
        <v>48</v>
      </c>
      <c r="DN187" s="62">
        <f t="shared" si="154"/>
        <v>49</v>
      </c>
      <c r="DO187" s="62">
        <f t="shared" si="154"/>
        <v>50</v>
      </c>
      <c r="DP187" s="62">
        <f t="shared" si="154"/>
        <v>51</v>
      </c>
      <c r="DQ187" s="62">
        <f t="shared" si="154"/>
        <v>52</v>
      </c>
      <c r="DR187" s="62">
        <f t="shared" si="154"/>
        <v>53</v>
      </c>
      <c r="DS187" s="62">
        <f t="shared" si="154"/>
        <v>54</v>
      </c>
      <c r="DT187" s="62">
        <f t="shared" si="154"/>
        <v>55</v>
      </c>
      <c r="DU187" s="62">
        <f t="shared" si="154"/>
        <v>56</v>
      </c>
      <c r="DV187" s="62">
        <f t="shared" si="154"/>
        <v>57</v>
      </c>
    </row>
    <row r="188" spans="2:126" outlineLevel="1">
      <c r="B188" s="3" t="str">
        <f t="shared" si="146"/>
        <v>Property O</v>
      </c>
      <c r="C188" s="2"/>
      <c r="D188" s="58">
        <f t="shared" si="147"/>
        <v>72</v>
      </c>
      <c r="E188" s="35"/>
      <c r="F188" s="35"/>
      <c r="G188" s="62">
        <f t="shared" ref="G188:BR188" si="156">IF($D188&lt;=G$4,1,0)+F188</f>
        <v>0</v>
      </c>
      <c r="H188" s="62">
        <f t="shared" si="156"/>
        <v>0</v>
      </c>
      <c r="I188" s="62">
        <f t="shared" si="156"/>
        <v>0</v>
      </c>
      <c r="J188" s="62">
        <f t="shared" si="156"/>
        <v>0</v>
      </c>
      <c r="K188" s="62">
        <f t="shared" si="156"/>
        <v>0</v>
      </c>
      <c r="L188" s="62">
        <f t="shared" si="156"/>
        <v>0</v>
      </c>
      <c r="M188" s="62">
        <f t="shared" si="156"/>
        <v>0</v>
      </c>
      <c r="N188" s="62">
        <f t="shared" si="156"/>
        <v>0</v>
      </c>
      <c r="O188" s="62">
        <f t="shared" si="156"/>
        <v>0</v>
      </c>
      <c r="P188" s="62">
        <f t="shared" si="156"/>
        <v>0</v>
      </c>
      <c r="Q188" s="62">
        <f t="shared" si="156"/>
        <v>0</v>
      </c>
      <c r="R188" s="62">
        <f t="shared" si="156"/>
        <v>0</v>
      </c>
      <c r="S188" s="62">
        <f t="shared" si="156"/>
        <v>0</v>
      </c>
      <c r="T188" s="62">
        <f t="shared" si="156"/>
        <v>0</v>
      </c>
      <c r="U188" s="62">
        <f t="shared" si="156"/>
        <v>0</v>
      </c>
      <c r="V188" s="62">
        <f t="shared" si="156"/>
        <v>0</v>
      </c>
      <c r="W188" s="62">
        <f t="shared" si="156"/>
        <v>0</v>
      </c>
      <c r="X188" s="62">
        <f t="shared" si="156"/>
        <v>0</v>
      </c>
      <c r="Y188" s="62">
        <f t="shared" si="156"/>
        <v>0</v>
      </c>
      <c r="Z188" s="62">
        <f t="shared" si="156"/>
        <v>0</v>
      </c>
      <c r="AA188" s="62">
        <f t="shared" si="156"/>
        <v>0</v>
      </c>
      <c r="AB188" s="62">
        <f t="shared" si="156"/>
        <v>0</v>
      </c>
      <c r="AC188" s="62">
        <f t="shared" si="156"/>
        <v>0</v>
      </c>
      <c r="AD188" s="62">
        <f t="shared" si="156"/>
        <v>0</v>
      </c>
      <c r="AE188" s="62">
        <f t="shared" si="156"/>
        <v>0</v>
      </c>
      <c r="AF188" s="62">
        <f t="shared" si="156"/>
        <v>0</v>
      </c>
      <c r="AG188" s="62">
        <f t="shared" si="156"/>
        <v>0</v>
      </c>
      <c r="AH188" s="62">
        <f t="shared" si="156"/>
        <v>0</v>
      </c>
      <c r="AI188" s="62">
        <f t="shared" si="156"/>
        <v>0</v>
      </c>
      <c r="AJ188" s="62">
        <f t="shared" si="156"/>
        <v>0</v>
      </c>
      <c r="AK188" s="62">
        <f t="shared" si="156"/>
        <v>0</v>
      </c>
      <c r="AL188" s="62">
        <f t="shared" si="156"/>
        <v>0</v>
      </c>
      <c r="AM188" s="62">
        <f t="shared" si="156"/>
        <v>0</v>
      </c>
      <c r="AN188" s="62">
        <f t="shared" si="156"/>
        <v>0</v>
      </c>
      <c r="AO188" s="62">
        <f t="shared" si="156"/>
        <v>0</v>
      </c>
      <c r="AP188" s="62">
        <f t="shared" si="156"/>
        <v>0</v>
      </c>
      <c r="AQ188" s="62">
        <f t="shared" si="156"/>
        <v>0</v>
      </c>
      <c r="AR188" s="62">
        <f t="shared" si="156"/>
        <v>0</v>
      </c>
      <c r="AS188" s="62">
        <f t="shared" si="156"/>
        <v>0</v>
      </c>
      <c r="AT188" s="62">
        <f t="shared" si="156"/>
        <v>0</v>
      </c>
      <c r="AU188" s="62">
        <f t="shared" si="156"/>
        <v>0</v>
      </c>
      <c r="AV188" s="62">
        <f t="shared" si="156"/>
        <v>0</v>
      </c>
      <c r="AW188" s="62">
        <f t="shared" si="156"/>
        <v>0</v>
      </c>
      <c r="AX188" s="62">
        <f t="shared" si="156"/>
        <v>0</v>
      </c>
      <c r="AY188" s="62">
        <f t="shared" si="156"/>
        <v>0</v>
      </c>
      <c r="AZ188" s="62">
        <f t="shared" si="156"/>
        <v>0</v>
      </c>
      <c r="BA188" s="62">
        <f t="shared" si="156"/>
        <v>0</v>
      </c>
      <c r="BB188" s="62">
        <f t="shared" si="156"/>
        <v>0</v>
      </c>
      <c r="BC188" s="62">
        <f t="shared" si="156"/>
        <v>0</v>
      </c>
      <c r="BD188" s="62">
        <f t="shared" si="156"/>
        <v>0</v>
      </c>
      <c r="BE188" s="62">
        <f t="shared" si="156"/>
        <v>0</v>
      </c>
      <c r="BF188" s="62">
        <f t="shared" si="156"/>
        <v>0</v>
      </c>
      <c r="BG188" s="62">
        <f t="shared" si="156"/>
        <v>0</v>
      </c>
      <c r="BH188" s="62">
        <f t="shared" si="156"/>
        <v>0</v>
      </c>
      <c r="BI188" s="62">
        <f t="shared" si="156"/>
        <v>0</v>
      </c>
      <c r="BJ188" s="62">
        <f t="shared" si="156"/>
        <v>0</v>
      </c>
      <c r="BK188" s="62">
        <f t="shared" si="156"/>
        <v>0</v>
      </c>
      <c r="BL188" s="62">
        <f t="shared" si="156"/>
        <v>0</v>
      </c>
      <c r="BM188" s="62">
        <f t="shared" si="156"/>
        <v>0</v>
      </c>
      <c r="BN188" s="62">
        <f t="shared" si="156"/>
        <v>0</v>
      </c>
      <c r="BO188" s="62">
        <f t="shared" si="156"/>
        <v>0</v>
      </c>
      <c r="BP188" s="62">
        <f t="shared" si="156"/>
        <v>0</v>
      </c>
      <c r="BQ188" s="62">
        <f t="shared" si="156"/>
        <v>0</v>
      </c>
      <c r="BR188" s="62">
        <f t="shared" si="156"/>
        <v>0</v>
      </c>
      <c r="BS188" s="62">
        <f t="shared" si="148"/>
        <v>0</v>
      </c>
      <c r="BT188" s="62">
        <f t="shared" si="154"/>
        <v>0</v>
      </c>
      <c r="BU188" s="62">
        <f t="shared" si="154"/>
        <v>0</v>
      </c>
      <c r="BV188" s="62">
        <f t="shared" si="154"/>
        <v>0</v>
      </c>
      <c r="BW188" s="62">
        <f t="shared" si="154"/>
        <v>0</v>
      </c>
      <c r="BX188" s="62">
        <f t="shared" si="154"/>
        <v>0</v>
      </c>
      <c r="BY188" s="62">
        <f t="shared" si="154"/>
        <v>0</v>
      </c>
      <c r="BZ188" s="62">
        <f t="shared" si="154"/>
        <v>1</v>
      </c>
      <c r="CA188" s="62">
        <f t="shared" si="154"/>
        <v>2</v>
      </c>
      <c r="CB188" s="62">
        <f t="shared" si="154"/>
        <v>3</v>
      </c>
      <c r="CC188" s="62">
        <f t="shared" si="154"/>
        <v>4</v>
      </c>
      <c r="CD188" s="62">
        <f t="shared" si="154"/>
        <v>5</v>
      </c>
      <c r="CE188" s="62">
        <f t="shared" si="154"/>
        <v>6</v>
      </c>
      <c r="CF188" s="62">
        <f t="shared" si="154"/>
        <v>7</v>
      </c>
      <c r="CG188" s="62">
        <f t="shared" si="154"/>
        <v>8</v>
      </c>
      <c r="CH188" s="62">
        <f t="shared" si="154"/>
        <v>9</v>
      </c>
      <c r="CI188" s="62">
        <f t="shared" si="154"/>
        <v>10</v>
      </c>
      <c r="CJ188" s="62">
        <f t="shared" si="154"/>
        <v>11</v>
      </c>
      <c r="CK188" s="62">
        <f t="shared" si="154"/>
        <v>12</v>
      </c>
      <c r="CL188" s="62">
        <f t="shared" si="154"/>
        <v>13</v>
      </c>
      <c r="CM188" s="62">
        <f t="shared" si="154"/>
        <v>14</v>
      </c>
      <c r="CN188" s="62">
        <f t="shared" si="154"/>
        <v>15</v>
      </c>
      <c r="CO188" s="62">
        <f t="shared" si="154"/>
        <v>16</v>
      </c>
      <c r="CP188" s="62">
        <f t="shared" si="154"/>
        <v>17</v>
      </c>
      <c r="CQ188" s="62">
        <f t="shared" si="154"/>
        <v>18</v>
      </c>
      <c r="CR188" s="62">
        <f t="shared" si="154"/>
        <v>19</v>
      </c>
      <c r="CS188" s="62">
        <f t="shared" si="154"/>
        <v>20</v>
      </c>
      <c r="CT188" s="62">
        <f t="shared" si="154"/>
        <v>21</v>
      </c>
      <c r="CU188" s="62">
        <f t="shared" si="154"/>
        <v>22</v>
      </c>
      <c r="CV188" s="62">
        <f t="shared" si="154"/>
        <v>23</v>
      </c>
      <c r="CW188" s="62">
        <f t="shared" si="154"/>
        <v>24</v>
      </c>
      <c r="CX188" s="62">
        <f t="shared" si="154"/>
        <v>25</v>
      </c>
      <c r="CY188" s="62">
        <f t="shared" si="154"/>
        <v>26</v>
      </c>
      <c r="CZ188" s="62">
        <f t="shared" si="154"/>
        <v>27</v>
      </c>
      <c r="DA188" s="62">
        <f t="shared" si="154"/>
        <v>28</v>
      </c>
      <c r="DB188" s="62">
        <f t="shared" si="154"/>
        <v>29</v>
      </c>
      <c r="DC188" s="62">
        <f t="shared" ref="DC188:DV188" si="157">IF($D188&lt;=DC$4,1,0)+DB188</f>
        <v>30</v>
      </c>
      <c r="DD188" s="62">
        <f t="shared" si="157"/>
        <v>31</v>
      </c>
      <c r="DE188" s="62">
        <f t="shared" si="157"/>
        <v>32</v>
      </c>
      <c r="DF188" s="62">
        <f t="shared" si="157"/>
        <v>33</v>
      </c>
      <c r="DG188" s="62">
        <f t="shared" si="157"/>
        <v>34</v>
      </c>
      <c r="DH188" s="62">
        <f t="shared" si="157"/>
        <v>35</v>
      </c>
      <c r="DI188" s="62">
        <f t="shared" si="157"/>
        <v>36</v>
      </c>
      <c r="DJ188" s="62">
        <f t="shared" si="157"/>
        <v>37</v>
      </c>
      <c r="DK188" s="62">
        <f t="shared" si="157"/>
        <v>38</v>
      </c>
      <c r="DL188" s="62">
        <f t="shared" si="157"/>
        <v>39</v>
      </c>
      <c r="DM188" s="62">
        <f t="shared" si="157"/>
        <v>40</v>
      </c>
      <c r="DN188" s="62">
        <f t="shared" si="157"/>
        <v>41</v>
      </c>
      <c r="DO188" s="62">
        <f t="shared" si="157"/>
        <v>42</v>
      </c>
      <c r="DP188" s="62">
        <f t="shared" si="157"/>
        <v>43</v>
      </c>
      <c r="DQ188" s="62">
        <f t="shared" si="157"/>
        <v>44</v>
      </c>
      <c r="DR188" s="62">
        <f t="shared" si="157"/>
        <v>45</v>
      </c>
      <c r="DS188" s="62">
        <f t="shared" si="157"/>
        <v>46</v>
      </c>
      <c r="DT188" s="62">
        <f t="shared" si="157"/>
        <v>47</v>
      </c>
      <c r="DU188" s="62">
        <f t="shared" si="157"/>
        <v>48</v>
      </c>
      <c r="DV188" s="62">
        <f t="shared" si="157"/>
        <v>49</v>
      </c>
    </row>
    <row r="189" spans="2:126" outlineLevel="1">
      <c r="B189" s="3"/>
      <c r="C189" s="2"/>
      <c r="D189" s="2"/>
      <c r="E189" s="35"/>
      <c r="F189" s="35"/>
      <c r="G189" s="2"/>
      <c r="H189" s="2"/>
      <c r="I189" s="3"/>
      <c r="J189" s="3"/>
      <c r="K189" s="2"/>
    </row>
    <row r="190" spans="2:126" outlineLevel="1">
      <c r="B190" s="3"/>
      <c r="C190" s="2"/>
      <c r="D190" s="2"/>
      <c r="E190" s="35"/>
      <c r="F190" s="35"/>
      <c r="G190" s="2"/>
      <c r="H190" s="2"/>
      <c r="I190" s="3"/>
      <c r="J190" s="3"/>
      <c r="K190" s="2"/>
    </row>
    <row r="191" spans="2:126" outlineLevel="1">
      <c r="B191" s="6" t="s">
        <v>93</v>
      </c>
      <c r="C191" s="2"/>
      <c r="D191" s="2"/>
      <c r="E191" s="35"/>
      <c r="F191" s="35"/>
      <c r="G191" s="2"/>
      <c r="H191" s="2"/>
      <c r="I191" s="3"/>
      <c r="J191" s="3"/>
      <c r="K191" s="2"/>
    </row>
    <row r="192" spans="2:126" outlineLevel="1">
      <c r="B192" s="3" t="str">
        <f t="shared" ref="B192:B201" si="158">B179</f>
        <v>Property F</v>
      </c>
      <c r="C192" s="2"/>
      <c r="D192" s="2"/>
      <c r="E192" s="35"/>
      <c r="F192" s="35"/>
      <c r="G192" s="63" cm="1">
        <f t="array" ref="G192">IF(G179=0,0,INDEX($G$213:$DV$213,G179))</f>
        <v>0</v>
      </c>
      <c r="H192" s="63" cm="1">
        <f t="array" ref="H192">IF(H179=0,0,INDEX($G$213:$DV$213,H179))</f>
        <v>0</v>
      </c>
      <c r="I192" s="63" cm="1">
        <f t="array" ref="I192">IF(I179=0,0,INDEX($G$213:$DV$213,I179))</f>
        <v>0</v>
      </c>
      <c r="J192" s="63" cm="1">
        <f t="array" ref="J192">IF(J179=0,0,INDEX($G$213:$DV$213,J179))</f>
        <v>0</v>
      </c>
      <c r="K192" s="63" cm="1">
        <f t="array" ref="K192">IF(K179=0,0,INDEX($G$213:$DV$213,K179))</f>
        <v>0</v>
      </c>
      <c r="L192" s="63" cm="1">
        <f t="array" ref="L192">IF(L179=0,0,INDEX($G$213:$DV$213,L179))</f>
        <v>0</v>
      </c>
      <c r="M192" s="63" cm="1">
        <f t="array" ref="M192">IF(M179=0,0,INDEX($G$213:$DV$213,M179))</f>
        <v>0</v>
      </c>
      <c r="N192" s="63" cm="1">
        <f t="array" ref="N192">IF(N179=0,0,INDEX($G$213:$DV$213,N179))</f>
        <v>0</v>
      </c>
      <c r="O192" s="63" cm="1">
        <f t="array" ref="O192">IF(O179=0,0,INDEX($G$213:$DV$213,O179))</f>
        <v>0</v>
      </c>
      <c r="P192" s="63" cm="1">
        <f t="array" ref="P192">IF(P179=0,0,INDEX($G$213:$DV$213,P179))</f>
        <v>0</v>
      </c>
      <c r="Q192" s="63" cm="1">
        <f t="array" ref="Q192">IF(Q179=0,0,INDEX($G$213:$DV$213,Q179))</f>
        <v>0</v>
      </c>
      <c r="R192" s="63" cm="1">
        <f t="array" ref="R192">IF(R179=0,0,INDEX($G$213:$DV$213,R179))</f>
        <v>0</v>
      </c>
      <c r="S192" s="63" cm="1">
        <f t="array" ref="S192">IF(S179=0,0,INDEX($G$213:$DV$213,S179))</f>
        <v>0</v>
      </c>
      <c r="T192" s="63" cm="1">
        <f t="array" ref="T192">IF(T179=0,0,INDEX($G$213:$DV$213,T179))</f>
        <v>0</v>
      </c>
      <c r="U192" s="63" cm="1">
        <f t="array" ref="U192">IF(U179=0,0,INDEX($G$213:$DV$213,U179))</f>
        <v>0</v>
      </c>
      <c r="V192" s="63" cm="1">
        <f t="array" ref="V192">IF(V179=0,0,INDEX($G$213:$DV$213,V179))</f>
        <v>0</v>
      </c>
      <c r="W192" s="63" cm="1">
        <f t="array" ref="W192">IF(W179=0,0,INDEX($G$213:$DV$213,W179))</f>
        <v>0</v>
      </c>
      <c r="X192" s="63" cm="1">
        <f t="array" ref="X192">IF(X179=0,0,INDEX($G$213:$DV$213,X179))</f>
        <v>0</v>
      </c>
      <c r="Y192" s="63" cm="1">
        <f t="array" ref="Y192">IF(Y179=0,0,INDEX($G$213:$DV$213,Y179))</f>
        <v>0</v>
      </c>
      <c r="Z192" s="63" cm="1">
        <f t="array" ref="Z192">IF(Z179=0,0,INDEX($G$213:$DV$213,Z179))</f>
        <v>0.75</v>
      </c>
      <c r="AA192" s="63" cm="1">
        <f t="array" ref="AA192">IF(AA179=0,0,INDEX($G$213:$DV$213,AA179))</f>
        <v>0.65</v>
      </c>
      <c r="AB192" s="63" cm="1">
        <f t="array" ref="AB192">IF(AB179=0,0,INDEX($G$213:$DV$213,AB179))</f>
        <v>0.55000000000000004</v>
      </c>
      <c r="AC192" s="63" cm="1">
        <f t="array" ref="AC192">IF(AC179=0,0,INDEX($G$213:$DV$213,AC179))</f>
        <v>0.45000000000000007</v>
      </c>
      <c r="AD192" s="63" cm="1">
        <f t="array" ref="AD192">IF(AD179=0,0,INDEX($G$213:$DV$213,AD179))</f>
        <v>0.35000000000000009</v>
      </c>
      <c r="AE192" s="63" cm="1">
        <f t="array" ref="AE192">IF(AE179=0,0,INDEX($G$213:$DV$213,AE179))</f>
        <v>0.25</v>
      </c>
      <c r="AF192" s="63" cm="1">
        <f t="array" ref="AF192">IF(AF179=0,0,INDEX($G$213:$DV$213,AF179))</f>
        <v>0.22500000000000001</v>
      </c>
      <c r="AG192" s="63" cm="1">
        <f t="array" ref="AG192">IF(AG179=0,0,INDEX($G$213:$DV$213,AG179))</f>
        <v>0.2</v>
      </c>
      <c r="AH192" s="63" cm="1">
        <f t="array" ref="AH192">IF(AH179=0,0,INDEX($G$213:$DV$213,AH179))</f>
        <v>0.17500000000000002</v>
      </c>
      <c r="AI192" s="63" cm="1">
        <f t="array" ref="AI192">IF(AI179=0,0,INDEX($G$213:$DV$213,AI179))</f>
        <v>0.15000000000000002</v>
      </c>
      <c r="AJ192" s="63" cm="1">
        <f t="array" ref="AJ192">IF(AJ179=0,0,INDEX($G$213:$DV$213,AJ179))</f>
        <v>0.12500000000000003</v>
      </c>
      <c r="AK192" s="63" cm="1">
        <f t="array" ref="AK192">IF(AK179=0,0,INDEX($G$213:$DV$213,AK179))</f>
        <v>0.1</v>
      </c>
      <c r="AL192" s="63" cm="1">
        <f t="array" ref="AL192">IF(AL179=0,0,INDEX($G$213:$DV$213,AL179))</f>
        <v>9.583333333333334E-2</v>
      </c>
      <c r="AM192" s="63" cm="1">
        <f t="array" ref="AM192">IF(AM179=0,0,INDEX($G$213:$DV$213,AM179))</f>
        <v>9.1666666666666674E-2</v>
      </c>
      <c r="AN192" s="63" cm="1">
        <f t="array" ref="AN192">IF(AN179=0,0,INDEX($G$213:$DV$213,AN179))</f>
        <v>8.7500000000000008E-2</v>
      </c>
      <c r="AO192" s="63" cm="1">
        <f t="array" ref="AO192">IF(AO179=0,0,INDEX($G$213:$DV$213,AO179))</f>
        <v>8.3333333333333343E-2</v>
      </c>
      <c r="AP192" s="63" cm="1">
        <f t="array" ref="AP192">IF(AP179=0,0,INDEX($G$213:$DV$213,AP179))</f>
        <v>7.9166666666666677E-2</v>
      </c>
      <c r="AQ192" s="63" cm="1">
        <f t="array" ref="AQ192">IF(AQ179=0,0,INDEX($G$213:$DV$213,AQ179))</f>
        <v>7.5000000000000011E-2</v>
      </c>
      <c r="AR192" s="63" cm="1">
        <f t="array" ref="AR192">IF(AR179=0,0,INDEX($G$213:$DV$213,AR179))</f>
        <v>7.0833333333333345E-2</v>
      </c>
      <c r="AS192" s="63" cm="1">
        <f t="array" ref="AS192">IF(AS179=0,0,INDEX($G$213:$DV$213,AS179))</f>
        <v>6.666666666666668E-2</v>
      </c>
      <c r="AT192" s="63" cm="1">
        <f t="array" ref="AT192">IF(AT179=0,0,INDEX($G$213:$DV$213,AT179))</f>
        <v>6.2500000000000014E-2</v>
      </c>
      <c r="AU192" s="63" cm="1">
        <f t="array" ref="AU192">IF(AU179=0,0,INDEX($G$213:$DV$213,AU179))</f>
        <v>5.8333333333333348E-2</v>
      </c>
      <c r="AV192" s="63" cm="1">
        <f t="array" ref="AV192">IF(AV179=0,0,INDEX($G$213:$DV$213,AV179))</f>
        <v>5.4166666666666682E-2</v>
      </c>
      <c r="AW192" s="63" cm="1">
        <f t="array" ref="AW192">IF(AW179=0,0,INDEX($G$213:$DV$213,AW179))</f>
        <v>0.05</v>
      </c>
      <c r="AX192" s="63" cm="1">
        <f t="array" ref="AX192">IF(AX179=0,0,INDEX($G$213:$DV$213,AX179))</f>
        <v>0.05</v>
      </c>
      <c r="AY192" s="63" cm="1">
        <f t="array" ref="AY192">IF(AY179=0,0,INDEX($G$213:$DV$213,AY179))</f>
        <v>0.05</v>
      </c>
      <c r="AZ192" s="63" cm="1">
        <f t="array" ref="AZ192">IF(AZ179=0,0,INDEX($G$213:$DV$213,AZ179))</f>
        <v>0.05</v>
      </c>
      <c r="BA192" s="63" cm="1">
        <f t="array" ref="BA192">IF(BA179=0,0,INDEX($G$213:$DV$213,BA179))</f>
        <v>0.05</v>
      </c>
      <c r="BB192" s="63" cm="1">
        <f t="array" ref="BB192">IF(BB179=0,0,INDEX($G$213:$DV$213,BB179))</f>
        <v>0.05</v>
      </c>
      <c r="BC192" s="63" cm="1">
        <f t="array" ref="BC192">IF(BC179=0,0,INDEX($G$213:$DV$213,BC179))</f>
        <v>0.05</v>
      </c>
      <c r="BD192" s="63" cm="1">
        <f t="array" ref="BD192">IF(BD179=0,0,INDEX($G$213:$DV$213,BD179))</f>
        <v>0.05</v>
      </c>
      <c r="BE192" s="63" cm="1">
        <f t="array" ref="BE192">IF(BE179=0,0,INDEX($G$213:$DV$213,BE179))</f>
        <v>0.05</v>
      </c>
      <c r="BF192" s="63" cm="1">
        <f t="array" ref="BF192">IF(BF179=0,0,INDEX($G$213:$DV$213,BF179))</f>
        <v>0.05</v>
      </c>
      <c r="BG192" s="63" cm="1">
        <f t="array" ref="BG192">IF(BG179=0,0,INDEX($G$213:$DV$213,BG179))</f>
        <v>0.05</v>
      </c>
      <c r="BH192" s="63" cm="1">
        <f t="array" ref="BH192">IF(BH179=0,0,INDEX($G$213:$DV$213,BH179))</f>
        <v>0.05</v>
      </c>
      <c r="BI192" s="63" cm="1">
        <f t="array" ref="BI192">IF(BI179=0,0,INDEX($G$213:$DV$213,BI179))</f>
        <v>0.05</v>
      </c>
      <c r="BJ192" s="63" cm="1">
        <f t="array" ref="BJ192">IF(BJ179=0,0,INDEX($G$213:$DV$213,BJ179))</f>
        <v>0.05</v>
      </c>
      <c r="BK192" s="63" cm="1">
        <f t="array" ref="BK192">IF(BK179=0,0,INDEX($G$213:$DV$213,BK179))</f>
        <v>0.05</v>
      </c>
      <c r="BL192" s="63" cm="1">
        <f t="array" ref="BL192">IF(BL179=0,0,INDEX($G$213:$DV$213,BL179))</f>
        <v>0.05</v>
      </c>
      <c r="BM192" s="63" cm="1">
        <f t="array" ref="BM192">IF(BM179=0,0,INDEX($G$213:$DV$213,BM179))</f>
        <v>0.05</v>
      </c>
      <c r="BN192" s="63" cm="1">
        <f t="array" ref="BN192">IF(BN179=0,0,INDEX($G$213:$DV$213,BN179))</f>
        <v>0.05</v>
      </c>
      <c r="BO192" s="63" cm="1">
        <f t="array" ref="BO192">IF(BO179=0,0,INDEX($G$213:$DV$213,BO179))</f>
        <v>0.05</v>
      </c>
      <c r="BP192" s="63" cm="1">
        <f t="array" ref="BP192">IF(BP179=0,0,INDEX($G$213:$DV$213,BP179))</f>
        <v>0.05</v>
      </c>
      <c r="BQ192" s="63" cm="1">
        <f t="array" ref="BQ192">IF(BQ179=0,0,INDEX($G$213:$DV$213,BQ179))</f>
        <v>0.05</v>
      </c>
      <c r="BR192" s="63" cm="1">
        <f t="array" ref="BR192">IF(BR179=0,0,INDEX($G$213:$DV$213,BR179))</f>
        <v>0.05</v>
      </c>
      <c r="BS192" s="63" cm="1">
        <f t="array" ref="BS192">IF(BS179=0,0,INDEX($G$213:$DV$213,BS179))</f>
        <v>0.05</v>
      </c>
      <c r="BT192" s="63" cm="1">
        <f t="array" ref="BT192">IF(BT179=0,0,INDEX($G$213:$DV$213,BT179))</f>
        <v>0.05</v>
      </c>
      <c r="BU192" s="63" cm="1">
        <f t="array" ref="BU192">IF(BU179=0,0,INDEX($G$213:$DV$213,BU179))</f>
        <v>0.05</v>
      </c>
      <c r="BV192" s="63" cm="1">
        <f t="array" ref="BV192">IF(BV179=0,0,INDEX($G$213:$DV$213,BV179))</f>
        <v>0.05</v>
      </c>
      <c r="BW192" s="63" cm="1">
        <f t="array" ref="BW192">IF(BW179=0,0,INDEX($G$213:$DV$213,BW179))</f>
        <v>0.05</v>
      </c>
      <c r="BX192" s="63" cm="1">
        <f t="array" ref="BX192">IF(BX179=0,0,INDEX($G$213:$DV$213,BX179))</f>
        <v>0.05</v>
      </c>
      <c r="BY192" s="63" cm="1">
        <f t="array" ref="BY192">IF(BY179=0,0,INDEX($G$213:$DV$213,BY179))</f>
        <v>0.05</v>
      </c>
      <c r="BZ192" s="63" cm="1">
        <f t="array" ref="BZ192">IF(BZ179=0,0,INDEX($G$213:$DV$213,BZ179))</f>
        <v>0.05</v>
      </c>
      <c r="CA192" s="63" cm="1">
        <f t="array" ref="CA192">IF(CA179=0,0,INDEX($G$213:$DV$213,CA179))</f>
        <v>0.05</v>
      </c>
      <c r="CB192" s="63" cm="1">
        <f t="array" ref="CB192">IF(CB179=0,0,INDEX($G$213:$DV$213,CB179))</f>
        <v>0.05</v>
      </c>
      <c r="CC192" s="63" cm="1">
        <f t="array" ref="CC192">IF(CC179=0,0,INDEX($G$213:$DV$213,CC179))</f>
        <v>0.05</v>
      </c>
      <c r="CD192" s="63" cm="1">
        <f t="array" ref="CD192">IF(CD179=0,0,INDEX($G$213:$DV$213,CD179))</f>
        <v>0.05</v>
      </c>
      <c r="CE192" s="63" cm="1">
        <f t="array" ref="CE192">IF(CE179=0,0,INDEX($G$213:$DV$213,CE179))</f>
        <v>0.05</v>
      </c>
      <c r="CF192" s="63" cm="1">
        <f t="array" ref="CF192">IF(CF179=0,0,INDEX($G$213:$DV$213,CF179))</f>
        <v>0.05</v>
      </c>
      <c r="CG192" s="63" cm="1">
        <f t="array" ref="CG192">IF(CG179=0,0,INDEX($G$213:$DV$213,CG179))</f>
        <v>0.05</v>
      </c>
      <c r="CH192" s="63" cm="1">
        <f t="array" ref="CH192">IF(CH179=0,0,INDEX($G$213:$DV$213,CH179))</f>
        <v>0.05</v>
      </c>
      <c r="CI192" s="63" cm="1">
        <f t="array" ref="CI192">IF(CI179=0,0,INDEX($G$213:$DV$213,CI179))</f>
        <v>0.05</v>
      </c>
      <c r="CJ192" s="63" cm="1">
        <f t="array" ref="CJ192">IF(CJ179=0,0,INDEX($G$213:$DV$213,CJ179))</f>
        <v>0.05</v>
      </c>
      <c r="CK192" s="63" cm="1">
        <f t="array" ref="CK192">IF(CK179=0,0,INDEX($G$213:$DV$213,CK179))</f>
        <v>0.05</v>
      </c>
      <c r="CL192" s="63" cm="1">
        <f t="array" ref="CL192">IF(CL179=0,0,INDEX($G$213:$DV$213,CL179))</f>
        <v>0.05</v>
      </c>
      <c r="CM192" s="63" cm="1">
        <f t="array" ref="CM192">IF(CM179=0,0,INDEX($G$213:$DV$213,CM179))</f>
        <v>0.05</v>
      </c>
      <c r="CN192" s="63" cm="1">
        <f t="array" ref="CN192">IF(CN179=0,0,INDEX($G$213:$DV$213,CN179))</f>
        <v>0.05</v>
      </c>
      <c r="CO192" s="63" cm="1">
        <f t="array" ref="CO192">IF(CO179=0,0,INDEX($G$213:$DV$213,CO179))</f>
        <v>0.05</v>
      </c>
      <c r="CP192" s="63" cm="1">
        <f t="array" ref="CP192">IF(CP179=0,0,INDEX($G$213:$DV$213,CP179))</f>
        <v>0.05</v>
      </c>
      <c r="CQ192" s="63" cm="1">
        <f t="array" ref="CQ192">IF(CQ179=0,0,INDEX($G$213:$DV$213,CQ179))</f>
        <v>0.05</v>
      </c>
      <c r="CR192" s="63" cm="1">
        <f t="array" ref="CR192">IF(CR179=0,0,INDEX($G$213:$DV$213,CR179))</f>
        <v>0.05</v>
      </c>
      <c r="CS192" s="63" cm="1">
        <f t="array" ref="CS192">IF(CS179=0,0,INDEX($G$213:$DV$213,CS179))</f>
        <v>0.05</v>
      </c>
      <c r="CT192" s="63" cm="1">
        <f t="array" ref="CT192">IF(CT179=0,0,INDEX($G$213:$DV$213,CT179))</f>
        <v>0.05</v>
      </c>
      <c r="CU192" s="63" cm="1">
        <f t="array" ref="CU192">IF(CU179=0,0,INDEX($G$213:$DV$213,CU179))</f>
        <v>0.05</v>
      </c>
      <c r="CV192" s="63" cm="1">
        <f t="array" ref="CV192">IF(CV179=0,0,INDEX($G$213:$DV$213,CV179))</f>
        <v>0.05</v>
      </c>
      <c r="CW192" s="63" cm="1">
        <f t="array" ref="CW192">IF(CW179=0,0,INDEX($G$213:$DV$213,CW179))</f>
        <v>0.05</v>
      </c>
      <c r="CX192" s="63" cm="1">
        <f t="array" ref="CX192">IF(CX179=0,0,INDEX($G$213:$DV$213,CX179))</f>
        <v>0.05</v>
      </c>
      <c r="CY192" s="63" cm="1">
        <f t="array" ref="CY192">IF(CY179=0,0,INDEX($G$213:$DV$213,CY179))</f>
        <v>0.05</v>
      </c>
      <c r="CZ192" s="63" cm="1">
        <f t="array" ref="CZ192">IF(CZ179=0,0,INDEX($G$213:$DV$213,CZ179))</f>
        <v>0.05</v>
      </c>
      <c r="DA192" s="63" cm="1">
        <f t="array" ref="DA192">IF(DA179=0,0,INDEX($G$213:$DV$213,DA179))</f>
        <v>0.05</v>
      </c>
      <c r="DB192" s="63" cm="1">
        <f t="array" ref="DB192">IF(DB179=0,0,INDEX($G$213:$DV$213,DB179))</f>
        <v>0.05</v>
      </c>
      <c r="DC192" s="63" cm="1">
        <f t="array" ref="DC192">IF(DC179=0,0,INDEX($G$213:$DV$213,DC179))</f>
        <v>0.05</v>
      </c>
      <c r="DD192" s="63" cm="1">
        <f t="array" ref="DD192">IF(DD179=0,0,INDEX($G$213:$DV$213,DD179))</f>
        <v>0.05</v>
      </c>
      <c r="DE192" s="63" cm="1">
        <f t="array" ref="DE192">IF(DE179=0,0,INDEX($G$213:$DV$213,DE179))</f>
        <v>0.05</v>
      </c>
      <c r="DF192" s="63" cm="1">
        <f t="array" ref="DF192">IF(DF179=0,0,INDEX($G$213:$DV$213,DF179))</f>
        <v>0.05</v>
      </c>
      <c r="DG192" s="63" cm="1">
        <f t="array" ref="DG192">IF(DG179=0,0,INDEX($G$213:$DV$213,DG179))</f>
        <v>0.05</v>
      </c>
      <c r="DH192" s="63" cm="1">
        <f t="array" ref="DH192">IF(DH179=0,0,INDEX($G$213:$DV$213,DH179))</f>
        <v>0.05</v>
      </c>
      <c r="DI192" s="63" cm="1">
        <f t="array" ref="DI192">IF(DI179=0,0,INDEX($G$213:$DV$213,DI179))</f>
        <v>0.05</v>
      </c>
      <c r="DJ192" s="63" cm="1">
        <f t="array" ref="DJ192">IF(DJ179=0,0,INDEX($G$213:$DV$213,DJ179))</f>
        <v>0.05</v>
      </c>
      <c r="DK192" s="63" cm="1">
        <f t="array" ref="DK192">IF(DK179=0,0,INDEX($G$213:$DV$213,DK179))</f>
        <v>0.05</v>
      </c>
      <c r="DL192" s="63" cm="1">
        <f t="array" ref="DL192">IF(DL179=0,0,INDEX($G$213:$DV$213,DL179))</f>
        <v>0.05</v>
      </c>
      <c r="DM192" s="63" cm="1">
        <f t="array" ref="DM192">IF(DM179=0,0,INDEX($G$213:$DV$213,DM179))</f>
        <v>0.05</v>
      </c>
      <c r="DN192" s="63" cm="1">
        <f t="array" ref="DN192">IF(DN179=0,0,INDEX($G$213:$DV$213,DN179))</f>
        <v>0.05</v>
      </c>
      <c r="DO192" s="63" cm="1">
        <f t="array" ref="DO192">IF(DO179=0,0,INDEX($G$213:$DV$213,DO179))</f>
        <v>0.05</v>
      </c>
      <c r="DP192" s="63" cm="1">
        <f t="array" ref="DP192">IF(DP179=0,0,INDEX($G$213:$DV$213,DP179))</f>
        <v>0.05</v>
      </c>
      <c r="DQ192" s="63" cm="1">
        <f t="array" ref="DQ192">IF(DQ179=0,0,INDEX($G$213:$DV$213,DQ179))</f>
        <v>0.05</v>
      </c>
      <c r="DR192" s="63" cm="1">
        <f t="array" ref="DR192">IF(DR179=0,0,INDEX($G$213:$DV$213,DR179))</f>
        <v>0.05</v>
      </c>
      <c r="DS192" s="63" cm="1">
        <f t="array" ref="DS192">IF(DS179=0,0,INDEX($G$213:$DV$213,DS179))</f>
        <v>0.05</v>
      </c>
      <c r="DT192" s="63" cm="1">
        <f t="array" ref="DT192">IF(DT179=0,0,INDEX($G$213:$DV$213,DT179))</f>
        <v>0.05</v>
      </c>
      <c r="DU192" s="63" cm="1">
        <f t="array" ref="DU192">IF(DU179=0,0,INDEX($G$213:$DV$213,DU179))</f>
        <v>0.05</v>
      </c>
      <c r="DV192" s="63" cm="1">
        <f t="array" ref="DV192">IF(DV179=0,0,INDEX($G$213:$DV$213,DV179))</f>
        <v>0.05</v>
      </c>
    </row>
    <row r="193" spans="2:126" outlineLevel="1">
      <c r="B193" s="3" t="str">
        <f t="shared" si="158"/>
        <v>Property G</v>
      </c>
      <c r="C193" s="2"/>
      <c r="D193" s="2"/>
      <c r="E193" s="35"/>
      <c r="F193" s="35"/>
      <c r="G193" s="63" cm="1">
        <f t="array" ref="G193">IF(G180=0,0,INDEX($G$213:$DV$213,G180))</f>
        <v>0</v>
      </c>
      <c r="H193" s="63" cm="1">
        <f t="array" ref="H193">IF(H180=0,0,INDEX($G$213:$DV$213,H180))</f>
        <v>0</v>
      </c>
      <c r="I193" s="63" cm="1">
        <f t="array" ref="I193">IF(I180=0,0,INDEX($G$213:$DV$213,I180))</f>
        <v>0</v>
      </c>
      <c r="J193" s="63" cm="1">
        <f t="array" ref="J193">IF(J180=0,0,INDEX($G$213:$DV$213,J180))</f>
        <v>0</v>
      </c>
      <c r="K193" s="63" cm="1">
        <f t="array" ref="K193">IF(K180=0,0,INDEX($G$213:$DV$213,K180))</f>
        <v>0</v>
      </c>
      <c r="L193" s="63" cm="1">
        <f t="array" ref="L193">IF(L180=0,0,INDEX($G$213:$DV$213,L180))</f>
        <v>0</v>
      </c>
      <c r="M193" s="63" cm="1">
        <f t="array" ref="M193">IF(M180=0,0,INDEX($G$213:$DV$213,M180))</f>
        <v>0</v>
      </c>
      <c r="N193" s="63" cm="1">
        <f t="array" ref="N193">IF(N180=0,0,INDEX($G$213:$DV$213,N180))</f>
        <v>0</v>
      </c>
      <c r="O193" s="63" cm="1">
        <f t="array" ref="O193">IF(O180=0,0,INDEX($G$213:$DV$213,O180))</f>
        <v>0</v>
      </c>
      <c r="P193" s="63" cm="1">
        <f t="array" ref="P193">IF(P180=0,0,INDEX($G$213:$DV$213,P180))</f>
        <v>0</v>
      </c>
      <c r="Q193" s="63" cm="1">
        <f t="array" ref="Q193">IF(Q180=0,0,INDEX($G$213:$DV$213,Q180))</f>
        <v>0</v>
      </c>
      <c r="R193" s="63" cm="1">
        <f t="array" ref="R193">IF(R180=0,0,INDEX($G$213:$DV$213,R180))</f>
        <v>0</v>
      </c>
      <c r="S193" s="63" cm="1">
        <f t="array" ref="S193">IF(S180=0,0,INDEX($G$213:$DV$213,S180))</f>
        <v>0</v>
      </c>
      <c r="T193" s="63" cm="1">
        <f t="array" ref="T193">IF(T180=0,0,INDEX($G$213:$DV$213,T180))</f>
        <v>0</v>
      </c>
      <c r="U193" s="63" cm="1">
        <f t="array" ref="U193">IF(U180=0,0,INDEX($G$213:$DV$213,U180))</f>
        <v>0</v>
      </c>
      <c r="V193" s="63" cm="1">
        <f t="array" ref="V193">IF(V180=0,0,INDEX($G$213:$DV$213,V180))</f>
        <v>0</v>
      </c>
      <c r="W193" s="63" cm="1">
        <f t="array" ref="W193">IF(W180=0,0,INDEX($G$213:$DV$213,W180))</f>
        <v>0</v>
      </c>
      <c r="X193" s="63" cm="1">
        <f t="array" ref="X193">IF(X180=0,0,INDEX($G$213:$DV$213,X180))</f>
        <v>0</v>
      </c>
      <c r="Y193" s="63" cm="1">
        <f t="array" ref="Y193">IF(Y180=0,0,INDEX($G$213:$DV$213,Y180))</f>
        <v>0</v>
      </c>
      <c r="Z193" s="63" cm="1">
        <f t="array" ref="Z193">IF(Z180=0,0,INDEX($G$213:$DV$213,Z180))</f>
        <v>0</v>
      </c>
      <c r="AA193" s="63" cm="1">
        <f t="array" ref="AA193">IF(AA180=0,0,INDEX($G$213:$DV$213,AA180))</f>
        <v>0.75</v>
      </c>
      <c r="AB193" s="63" cm="1">
        <f t="array" ref="AB193">IF(AB180=0,0,INDEX($G$213:$DV$213,AB180))</f>
        <v>0.65</v>
      </c>
      <c r="AC193" s="63" cm="1">
        <f t="array" ref="AC193">IF(AC180=0,0,INDEX($G$213:$DV$213,AC180))</f>
        <v>0.55000000000000004</v>
      </c>
      <c r="AD193" s="63" cm="1">
        <f t="array" ref="AD193">IF(AD180=0,0,INDEX($G$213:$DV$213,AD180))</f>
        <v>0.45000000000000007</v>
      </c>
      <c r="AE193" s="63" cm="1">
        <f t="array" ref="AE193">IF(AE180=0,0,INDEX($G$213:$DV$213,AE180))</f>
        <v>0.35000000000000009</v>
      </c>
      <c r="AF193" s="63" cm="1">
        <f t="array" ref="AF193">IF(AF180=0,0,INDEX($G$213:$DV$213,AF180))</f>
        <v>0.25</v>
      </c>
      <c r="AG193" s="63" cm="1">
        <f t="array" ref="AG193">IF(AG180=0,0,INDEX($G$213:$DV$213,AG180))</f>
        <v>0.22500000000000001</v>
      </c>
      <c r="AH193" s="63" cm="1">
        <f t="array" ref="AH193">IF(AH180=0,0,INDEX($G$213:$DV$213,AH180))</f>
        <v>0.2</v>
      </c>
      <c r="AI193" s="63" cm="1">
        <f t="array" ref="AI193">IF(AI180=0,0,INDEX($G$213:$DV$213,AI180))</f>
        <v>0.17500000000000002</v>
      </c>
      <c r="AJ193" s="63" cm="1">
        <f t="array" ref="AJ193">IF(AJ180=0,0,INDEX($G$213:$DV$213,AJ180))</f>
        <v>0.15000000000000002</v>
      </c>
      <c r="AK193" s="63" cm="1">
        <f t="array" ref="AK193">IF(AK180=0,0,INDEX($G$213:$DV$213,AK180))</f>
        <v>0.12500000000000003</v>
      </c>
      <c r="AL193" s="63" cm="1">
        <f t="array" ref="AL193">IF(AL180=0,0,INDEX($G$213:$DV$213,AL180))</f>
        <v>0.1</v>
      </c>
      <c r="AM193" s="63" cm="1">
        <f t="array" ref="AM193">IF(AM180=0,0,INDEX($G$213:$DV$213,AM180))</f>
        <v>9.583333333333334E-2</v>
      </c>
      <c r="AN193" s="63" cm="1">
        <f t="array" ref="AN193">IF(AN180=0,0,INDEX($G$213:$DV$213,AN180))</f>
        <v>9.1666666666666674E-2</v>
      </c>
      <c r="AO193" s="63" cm="1">
        <f t="array" ref="AO193">IF(AO180=0,0,INDEX($G$213:$DV$213,AO180))</f>
        <v>8.7500000000000008E-2</v>
      </c>
      <c r="AP193" s="63" cm="1">
        <f t="array" ref="AP193">IF(AP180=0,0,INDEX($G$213:$DV$213,AP180))</f>
        <v>8.3333333333333343E-2</v>
      </c>
      <c r="AQ193" s="63" cm="1">
        <f t="array" ref="AQ193">IF(AQ180=0,0,INDEX($G$213:$DV$213,AQ180))</f>
        <v>7.9166666666666677E-2</v>
      </c>
      <c r="AR193" s="63" cm="1">
        <f t="array" ref="AR193">IF(AR180=0,0,INDEX($G$213:$DV$213,AR180))</f>
        <v>7.5000000000000011E-2</v>
      </c>
      <c r="AS193" s="63" cm="1">
        <f t="array" ref="AS193">IF(AS180=0,0,INDEX($G$213:$DV$213,AS180))</f>
        <v>7.0833333333333345E-2</v>
      </c>
      <c r="AT193" s="63" cm="1">
        <f t="array" ref="AT193">IF(AT180=0,0,INDEX($G$213:$DV$213,AT180))</f>
        <v>6.666666666666668E-2</v>
      </c>
      <c r="AU193" s="63" cm="1">
        <f t="array" ref="AU193">IF(AU180=0,0,INDEX($G$213:$DV$213,AU180))</f>
        <v>6.2500000000000014E-2</v>
      </c>
      <c r="AV193" s="63" cm="1">
        <f t="array" ref="AV193">IF(AV180=0,0,INDEX($G$213:$DV$213,AV180))</f>
        <v>5.8333333333333348E-2</v>
      </c>
      <c r="AW193" s="63" cm="1">
        <f t="array" ref="AW193">IF(AW180=0,0,INDEX($G$213:$DV$213,AW180))</f>
        <v>5.4166666666666682E-2</v>
      </c>
      <c r="AX193" s="63" cm="1">
        <f t="array" ref="AX193">IF(AX180=0,0,INDEX($G$213:$DV$213,AX180))</f>
        <v>0.05</v>
      </c>
      <c r="AY193" s="63" cm="1">
        <f t="array" ref="AY193">IF(AY180=0,0,INDEX($G$213:$DV$213,AY180))</f>
        <v>0.05</v>
      </c>
      <c r="AZ193" s="63" cm="1">
        <f t="array" ref="AZ193">IF(AZ180=0,0,INDEX($G$213:$DV$213,AZ180))</f>
        <v>0.05</v>
      </c>
      <c r="BA193" s="63" cm="1">
        <f t="array" ref="BA193">IF(BA180=0,0,INDEX($G$213:$DV$213,BA180))</f>
        <v>0.05</v>
      </c>
      <c r="BB193" s="63" cm="1">
        <f t="array" ref="BB193">IF(BB180=0,0,INDEX($G$213:$DV$213,BB180))</f>
        <v>0.05</v>
      </c>
      <c r="BC193" s="63" cm="1">
        <f t="array" ref="BC193">IF(BC180=0,0,INDEX($G$213:$DV$213,BC180))</f>
        <v>0.05</v>
      </c>
      <c r="BD193" s="63" cm="1">
        <f t="array" ref="BD193">IF(BD180=0,0,INDEX($G$213:$DV$213,BD180))</f>
        <v>0.05</v>
      </c>
      <c r="BE193" s="63" cm="1">
        <f t="array" ref="BE193">IF(BE180=0,0,INDEX($G$213:$DV$213,BE180))</f>
        <v>0.05</v>
      </c>
      <c r="BF193" s="63" cm="1">
        <f t="array" ref="BF193">IF(BF180=0,0,INDEX($G$213:$DV$213,BF180))</f>
        <v>0.05</v>
      </c>
      <c r="BG193" s="63" cm="1">
        <f t="array" ref="BG193">IF(BG180=0,0,INDEX($G$213:$DV$213,BG180))</f>
        <v>0.05</v>
      </c>
      <c r="BH193" s="63" cm="1">
        <f t="array" ref="BH193">IF(BH180=0,0,INDEX($G$213:$DV$213,BH180))</f>
        <v>0.05</v>
      </c>
      <c r="BI193" s="63" cm="1">
        <f t="array" ref="BI193">IF(BI180=0,0,INDEX($G$213:$DV$213,BI180))</f>
        <v>0.05</v>
      </c>
      <c r="BJ193" s="63" cm="1">
        <f t="array" ref="BJ193">IF(BJ180=0,0,INDEX($G$213:$DV$213,BJ180))</f>
        <v>0.05</v>
      </c>
      <c r="BK193" s="63" cm="1">
        <f t="array" ref="BK193">IF(BK180=0,0,INDEX($G$213:$DV$213,BK180))</f>
        <v>0.05</v>
      </c>
      <c r="BL193" s="63" cm="1">
        <f t="array" ref="BL193">IF(BL180=0,0,INDEX($G$213:$DV$213,BL180))</f>
        <v>0.05</v>
      </c>
      <c r="BM193" s="63" cm="1">
        <f t="array" ref="BM193">IF(BM180=0,0,INDEX($G$213:$DV$213,BM180))</f>
        <v>0.05</v>
      </c>
      <c r="BN193" s="63" cm="1">
        <f t="array" ref="BN193">IF(BN180=0,0,INDEX($G$213:$DV$213,BN180))</f>
        <v>0.05</v>
      </c>
      <c r="BO193" s="63" cm="1">
        <f t="array" ref="BO193">IF(BO180=0,0,INDEX($G$213:$DV$213,BO180))</f>
        <v>0.05</v>
      </c>
      <c r="BP193" s="63" cm="1">
        <f t="array" ref="BP193">IF(BP180=0,0,INDEX($G$213:$DV$213,BP180))</f>
        <v>0.05</v>
      </c>
      <c r="BQ193" s="63" cm="1">
        <f t="array" ref="BQ193">IF(BQ180=0,0,INDEX($G$213:$DV$213,BQ180))</f>
        <v>0.05</v>
      </c>
      <c r="BR193" s="63" cm="1">
        <f t="array" ref="BR193">IF(BR180=0,0,INDEX($G$213:$DV$213,BR180))</f>
        <v>0.05</v>
      </c>
      <c r="BS193" s="63" cm="1">
        <f t="array" ref="BS193">IF(BS180=0,0,INDEX($G$213:$DV$213,BS180))</f>
        <v>0.05</v>
      </c>
      <c r="BT193" s="63" cm="1">
        <f t="array" ref="BT193">IF(BT180=0,0,INDEX($G$213:$DV$213,BT180))</f>
        <v>0.05</v>
      </c>
      <c r="BU193" s="63" cm="1">
        <f t="array" ref="BU193">IF(BU180=0,0,INDEX($G$213:$DV$213,BU180))</f>
        <v>0.05</v>
      </c>
      <c r="BV193" s="63" cm="1">
        <f t="array" ref="BV193">IF(BV180=0,0,INDEX($G$213:$DV$213,BV180))</f>
        <v>0.05</v>
      </c>
      <c r="BW193" s="63" cm="1">
        <f t="array" ref="BW193">IF(BW180=0,0,INDEX($G$213:$DV$213,BW180))</f>
        <v>0.05</v>
      </c>
      <c r="BX193" s="63" cm="1">
        <f t="array" ref="BX193">IF(BX180=0,0,INDEX($G$213:$DV$213,BX180))</f>
        <v>0.05</v>
      </c>
      <c r="BY193" s="63" cm="1">
        <f t="array" ref="BY193">IF(BY180=0,0,INDEX($G$213:$DV$213,BY180))</f>
        <v>0.05</v>
      </c>
      <c r="BZ193" s="63" cm="1">
        <f t="array" ref="BZ193">IF(BZ180=0,0,INDEX($G$213:$DV$213,BZ180))</f>
        <v>0.05</v>
      </c>
      <c r="CA193" s="63" cm="1">
        <f t="array" ref="CA193">IF(CA180=0,0,INDEX($G$213:$DV$213,CA180))</f>
        <v>0.05</v>
      </c>
      <c r="CB193" s="63" cm="1">
        <f t="array" ref="CB193">IF(CB180=0,0,INDEX($G$213:$DV$213,CB180))</f>
        <v>0.05</v>
      </c>
      <c r="CC193" s="63" cm="1">
        <f t="array" ref="CC193">IF(CC180=0,0,INDEX($G$213:$DV$213,CC180))</f>
        <v>0.05</v>
      </c>
      <c r="CD193" s="63" cm="1">
        <f t="array" ref="CD193">IF(CD180=0,0,INDEX($G$213:$DV$213,CD180))</f>
        <v>0.05</v>
      </c>
      <c r="CE193" s="63" cm="1">
        <f t="array" ref="CE193">IF(CE180=0,0,INDEX($G$213:$DV$213,CE180))</f>
        <v>0.05</v>
      </c>
      <c r="CF193" s="63" cm="1">
        <f t="array" ref="CF193">IF(CF180=0,0,INDEX($G$213:$DV$213,CF180))</f>
        <v>0.05</v>
      </c>
      <c r="CG193" s="63" cm="1">
        <f t="array" ref="CG193">IF(CG180=0,0,INDEX($G$213:$DV$213,CG180))</f>
        <v>0.05</v>
      </c>
      <c r="CH193" s="63" cm="1">
        <f t="array" ref="CH193">IF(CH180=0,0,INDEX($G$213:$DV$213,CH180))</f>
        <v>0.05</v>
      </c>
      <c r="CI193" s="63" cm="1">
        <f t="array" ref="CI193">IF(CI180=0,0,INDEX($G$213:$DV$213,CI180))</f>
        <v>0.05</v>
      </c>
      <c r="CJ193" s="63" cm="1">
        <f t="array" ref="CJ193">IF(CJ180=0,0,INDEX($G$213:$DV$213,CJ180))</f>
        <v>0.05</v>
      </c>
      <c r="CK193" s="63" cm="1">
        <f t="array" ref="CK193">IF(CK180=0,0,INDEX($G$213:$DV$213,CK180))</f>
        <v>0.05</v>
      </c>
      <c r="CL193" s="63" cm="1">
        <f t="array" ref="CL193">IF(CL180=0,0,INDEX($G$213:$DV$213,CL180))</f>
        <v>0.05</v>
      </c>
      <c r="CM193" s="63" cm="1">
        <f t="array" ref="CM193">IF(CM180=0,0,INDEX($G$213:$DV$213,CM180))</f>
        <v>0.05</v>
      </c>
      <c r="CN193" s="63" cm="1">
        <f t="array" ref="CN193">IF(CN180=0,0,INDEX($G$213:$DV$213,CN180))</f>
        <v>0.05</v>
      </c>
      <c r="CO193" s="63" cm="1">
        <f t="array" ref="CO193">IF(CO180=0,0,INDEX($G$213:$DV$213,CO180))</f>
        <v>0.05</v>
      </c>
      <c r="CP193" s="63" cm="1">
        <f t="array" ref="CP193">IF(CP180=0,0,INDEX($G$213:$DV$213,CP180))</f>
        <v>0.05</v>
      </c>
      <c r="CQ193" s="63" cm="1">
        <f t="array" ref="CQ193">IF(CQ180=0,0,INDEX($G$213:$DV$213,CQ180))</f>
        <v>0.05</v>
      </c>
      <c r="CR193" s="63" cm="1">
        <f t="array" ref="CR193">IF(CR180=0,0,INDEX($G$213:$DV$213,CR180))</f>
        <v>0.05</v>
      </c>
      <c r="CS193" s="63" cm="1">
        <f t="array" ref="CS193">IF(CS180=0,0,INDEX($G$213:$DV$213,CS180))</f>
        <v>0.05</v>
      </c>
      <c r="CT193" s="63" cm="1">
        <f t="array" ref="CT193">IF(CT180=0,0,INDEX($G$213:$DV$213,CT180))</f>
        <v>0.05</v>
      </c>
      <c r="CU193" s="63" cm="1">
        <f t="array" ref="CU193">IF(CU180=0,0,INDEX($G$213:$DV$213,CU180))</f>
        <v>0.05</v>
      </c>
      <c r="CV193" s="63" cm="1">
        <f t="array" ref="CV193">IF(CV180=0,0,INDEX($G$213:$DV$213,CV180))</f>
        <v>0.05</v>
      </c>
      <c r="CW193" s="63" cm="1">
        <f t="array" ref="CW193">IF(CW180=0,0,INDEX($G$213:$DV$213,CW180))</f>
        <v>0.05</v>
      </c>
      <c r="CX193" s="63" cm="1">
        <f t="array" ref="CX193">IF(CX180=0,0,INDEX($G$213:$DV$213,CX180))</f>
        <v>0.05</v>
      </c>
      <c r="CY193" s="63" cm="1">
        <f t="array" ref="CY193">IF(CY180=0,0,INDEX($G$213:$DV$213,CY180))</f>
        <v>0.05</v>
      </c>
      <c r="CZ193" s="63" cm="1">
        <f t="array" ref="CZ193">IF(CZ180=0,0,INDEX($G$213:$DV$213,CZ180))</f>
        <v>0.05</v>
      </c>
      <c r="DA193" s="63" cm="1">
        <f t="array" ref="DA193">IF(DA180=0,0,INDEX($G$213:$DV$213,DA180))</f>
        <v>0.05</v>
      </c>
      <c r="DB193" s="63" cm="1">
        <f t="array" ref="DB193">IF(DB180=0,0,INDEX($G$213:$DV$213,DB180))</f>
        <v>0.05</v>
      </c>
      <c r="DC193" s="63" cm="1">
        <f t="array" ref="DC193">IF(DC180=0,0,INDEX($G$213:$DV$213,DC180))</f>
        <v>0.05</v>
      </c>
      <c r="DD193" s="63" cm="1">
        <f t="array" ref="DD193">IF(DD180=0,0,INDEX($G$213:$DV$213,DD180))</f>
        <v>0.05</v>
      </c>
      <c r="DE193" s="63" cm="1">
        <f t="array" ref="DE193">IF(DE180=0,0,INDEX($G$213:$DV$213,DE180))</f>
        <v>0.05</v>
      </c>
      <c r="DF193" s="63" cm="1">
        <f t="array" ref="DF193">IF(DF180=0,0,INDEX($G$213:$DV$213,DF180))</f>
        <v>0.05</v>
      </c>
      <c r="DG193" s="63" cm="1">
        <f t="array" ref="DG193">IF(DG180=0,0,INDEX($G$213:$DV$213,DG180))</f>
        <v>0.05</v>
      </c>
      <c r="DH193" s="63" cm="1">
        <f t="array" ref="DH193">IF(DH180=0,0,INDEX($G$213:$DV$213,DH180))</f>
        <v>0.05</v>
      </c>
      <c r="DI193" s="63" cm="1">
        <f t="array" ref="DI193">IF(DI180=0,0,INDEX($G$213:$DV$213,DI180))</f>
        <v>0.05</v>
      </c>
      <c r="DJ193" s="63" cm="1">
        <f t="array" ref="DJ193">IF(DJ180=0,0,INDEX($G$213:$DV$213,DJ180))</f>
        <v>0.05</v>
      </c>
      <c r="DK193" s="63" cm="1">
        <f t="array" ref="DK193">IF(DK180=0,0,INDEX($G$213:$DV$213,DK180))</f>
        <v>0.05</v>
      </c>
      <c r="DL193" s="63" cm="1">
        <f t="array" ref="DL193">IF(DL180=0,0,INDEX($G$213:$DV$213,DL180))</f>
        <v>0.05</v>
      </c>
      <c r="DM193" s="63" cm="1">
        <f t="array" ref="DM193">IF(DM180=0,0,INDEX($G$213:$DV$213,DM180))</f>
        <v>0.05</v>
      </c>
      <c r="DN193" s="63" cm="1">
        <f t="array" ref="DN193">IF(DN180=0,0,INDEX($G$213:$DV$213,DN180))</f>
        <v>0.05</v>
      </c>
      <c r="DO193" s="63" cm="1">
        <f t="array" ref="DO193">IF(DO180=0,0,INDEX($G$213:$DV$213,DO180))</f>
        <v>0.05</v>
      </c>
      <c r="DP193" s="63" cm="1">
        <f t="array" ref="DP193">IF(DP180=0,0,INDEX($G$213:$DV$213,DP180))</f>
        <v>0.05</v>
      </c>
      <c r="DQ193" s="63" cm="1">
        <f t="array" ref="DQ193">IF(DQ180=0,0,INDEX($G$213:$DV$213,DQ180))</f>
        <v>0.05</v>
      </c>
      <c r="DR193" s="63" cm="1">
        <f t="array" ref="DR193">IF(DR180=0,0,INDEX($G$213:$DV$213,DR180))</f>
        <v>0.05</v>
      </c>
      <c r="DS193" s="63" cm="1">
        <f t="array" ref="DS193">IF(DS180=0,0,INDEX($G$213:$DV$213,DS180))</f>
        <v>0.05</v>
      </c>
      <c r="DT193" s="63" cm="1">
        <f t="array" ref="DT193">IF(DT180=0,0,INDEX($G$213:$DV$213,DT180))</f>
        <v>0.05</v>
      </c>
      <c r="DU193" s="63" cm="1">
        <f t="array" ref="DU193">IF(DU180=0,0,INDEX($G$213:$DV$213,DU180))</f>
        <v>0.05</v>
      </c>
      <c r="DV193" s="63" cm="1">
        <f t="array" ref="DV193">IF(DV180=0,0,INDEX($G$213:$DV$213,DV180))</f>
        <v>0.05</v>
      </c>
    </row>
    <row r="194" spans="2:126" outlineLevel="1">
      <c r="B194" s="3" t="str">
        <f t="shared" si="158"/>
        <v>Property H</v>
      </c>
      <c r="C194" s="2"/>
      <c r="D194" s="2"/>
      <c r="E194" s="35"/>
      <c r="F194" s="35"/>
      <c r="G194" s="63" cm="1">
        <f t="array" ref="G194">IF(G181=0,0,INDEX($G$213:$DV$213,G181))</f>
        <v>0</v>
      </c>
      <c r="H194" s="63" cm="1">
        <f t="array" ref="H194">IF(H181=0,0,INDEX($G$213:$DV$213,H181))</f>
        <v>0</v>
      </c>
      <c r="I194" s="63" cm="1">
        <f t="array" ref="I194">IF(I181=0,0,INDEX($G$213:$DV$213,I181))</f>
        <v>0</v>
      </c>
      <c r="J194" s="63" cm="1">
        <f t="array" ref="J194">IF(J181=0,0,INDEX($G$213:$DV$213,J181))</f>
        <v>0</v>
      </c>
      <c r="K194" s="63" cm="1">
        <f t="array" ref="K194">IF(K181=0,0,INDEX($G$213:$DV$213,K181))</f>
        <v>0</v>
      </c>
      <c r="L194" s="63" cm="1">
        <f t="array" ref="L194">IF(L181=0,0,INDEX($G$213:$DV$213,L181))</f>
        <v>0</v>
      </c>
      <c r="M194" s="63" cm="1">
        <f t="array" ref="M194">IF(M181=0,0,INDEX($G$213:$DV$213,M181))</f>
        <v>0</v>
      </c>
      <c r="N194" s="63" cm="1">
        <f t="array" ref="N194">IF(N181=0,0,INDEX($G$213:$DV$213,N181))</f>
        <v>0</v>
      </c>
      <c r="O194" s="63" cm="1">
        <f t="array" ref="O194">IF(O181=0,0,INDEX($G$213:$DV$213,O181))</f>
        <v>0</v>
      </c>
      <c r="P194" s="63" cm="1">
        <f t="array" ref="P194">IF(P181=0,0,INDEX($G$213:$DV$213,P181))</f>
        <v>0</v>
      </c>
      <c r="Q194" s="63" cm="1">
        <f t="array" ref="Q194">IF(Q181=0,0,INDEX($G$213:$DV$213,Q181))</f>
        <v>0</v>
      </c>
      <c r="R194" s="63" cm="1">
        <f t="array" ref="R194">IF(R181=0,0,INDEX($G$213:$DV$213,R181))</f>
        <v>0</v>
      </c>
      <c r="S194" s="63" cm="1">
        <f t="array" ref="S194">IF(S181=0,0,INDEX($G$213:$DV$213,S181))</f>
        <v>0</v>
      </c>
      <c r="T194" s="63" cm="1">
        <f t="array" ref="T194">IF(T181=0,0,INDEX($G$213:$DV$213,T181))</f>
        <v>0</v>
      </c>
      <c r="U194" s="63" cm="1">
        <f t="array" ref="U194">IF(U181=0,0,INDEX($G$213:$DV$213,U181))</f>
        <v>0</v>
      </c>
      <c r="V194" s="63" cm="1">
        <f t="array" ref="V194">IF(V181=0,0,INDEX($G$213:$DV$213,V181))</f>
        <v>0</v>
      </c>
      <c r="W194" s="63" cm="1">
        <f t="array" ref="W194">IF(W181=0,0,INDEX($G$213:$DV$213,W181))</f>
        <v>0</v>
      </c>
      <c r="X194" s="63" cm="1">
        <f t="array" ref="X194">IF(X181=0,0,INDEX($G$213:$DV$213,X181))</f>
        <v>0</v>
      </c>
      <c r="Y194" s="63" cm="1">
        <f t="array" ref="Y194">IF(Y181=0,0,INDEX($G$213:$DV$213,Y181))</f>
        <v>0</v>
      </c>
      <c r="Z194" s="63" cm="1">
        <f t="array" ref="Z194">IF(Z181=0,0,INDEX($G$213:$DV$213,Z181))</f>
        <v>0</v>
      </c>
      <c r="AA194" s="63" cm="1">
        <f t="array" ref="AA194">IF(AA181=0,0,INDEX($G$213:$DV$213,AA181))</f>
        <v>0</v>
      </c>
      <c r="AB194" s="63" cm="1">
        <f t="array" ref="AB194">IF(AB181=0,0,INDEX($G$213:$DV$213,AB181))</f>
        <v>0</v>
      </c>
      <c r="AC194" s="63" cm="1">
        <f t="array" ref="AC194">IF(AC181=0,0,INDEX($G$213:$DV$213,AC181))</f>
        <v>0</v>
      </c>
      <c r="AD194" s="63" cm="1">
        <f t="array" ref="AD194">IF(AD181=0,0,INDEX($G$213:$DV$213,AD181))</f>
        <v>0</v>
      </c>
      <c r="AE194" s="63" cm="1">
        <f t="array" ref="AE194">IF(AE181=0,0,INDEX($G$213:$DV$213,AE181))</f>
        <v>0</v>
      </c>
      <c r="AF194" s="63" cm="1">
        <f t="array" ref="AF194">IF(AF181=0,0,INDEX($G$213:$DV$213,AF181))</f>
        <v>0.75</v>
      </c>
      <c r="AG194" s="63" cm="1">
        <f t="array" ref="AG194">IF(AG181=0,0,INDEX($G$213:$DV$213,AG181))</f>
        <v>0.65</v>
      </c>
      <c r="AH194" s="63" cm="1">
        <f t="array" ref="AH194">IF(AH181=0,0,INDEX($G$213:$DV$213,AH181))</f>
        <v>0.55000000000000004</v>
      </c>
      <c r="AI194" s="63" cm="1">
        <f t="array" ref="AI194">IF(AI181=0,0,INDEX($G$213:$DV$213,AI181))</f>
        <v>0.45000000000000007</v>
      </c>
      <c r="AJ194" s="63" cm="1">
        <f t="array" ref="AJ194">IF(AJ181=0,0,INDEX($G$213:$DV$213,AJ181))</f>
        <v>0.35000000000000009</v>
      </c>
      <c r="AK194" s="63" cm="1">
        <f t="array" ref="AK194">IF(AK181=0,0,INDEX($G$213:$DV$213,AK181))</f>
        <v>0.25</v>
      </c>
      <c r="AL194" s="63" cm="1">
        <f t="array" ref="AL194">IF(AL181=0,0,INDEX($G$213:$DV$213,AL181))</f>
        <v>0.22500000000000001</v>
      </c>
      <c r="AM194" s="63" cm="1">
        <f t="array" ref="AM194">IF(AM181=0,0,INDEX($G$213:$DV$213,AM181))</f>
        <v>0.2</v>
      </c>
      <c r="AN194" s="63" cm="1">
        <f t="array" ref="AN194">IF(AN181=0,0,INDEX($G$213:$DV$213,AN181))</f>
        <v>0.17500000000000002</v>
      </c>
      <c r="AO194" s="63" cm="1">
        <f t="array" ref="AO194">IF(AO181=0,0,INDEX($G$213:$DV$213,AO181))</f>
        <v>0.15000000000000002</v>
      </c>
      <c r="AP194" s="63" cm="1">
        <f t="array" ref="AP194">IF(AP181=0,0,INDEX($G$213:$DV$213,AP181))</f>
        <v>0.12500000000000003</v>
      </c>
      <c r="AQ194" s="63" cm="1">
        <f t="array" ref="AQ194">IF(AQ181=0,0,INDEX($G$213:$DV$213,AQ181))</f>
        <v>0.1</v>
      </c>
      <c r="AR194" s="63" cm="1">
        <f t="array" ref="AR194">IF(AR181=0,0,INDEX($G$213:$DV$213,AR181))</f>
        <v>9.583333333333334E-2</v>
      </c>
      <c r="AS194" s="63" cm="1">
        <f t="array" ref="AS194">IF(AS181=0,0,INDEX($G$213:$DV$213,AS181))</f>
        <v>9.1666666666666674E-2</v>
      </c>
      <c r="AT194" s="63" cm="1">
        <f t="array" ref="AT194">IF(AT181=0,0,INDEX($G$213:$DV$213,AT181))</f>
        <v>8.7500000000000008E-2</v>
      </c>
      <c r="AU194" s="63" cm="1">
        <f t="array" ref="AU194">IF(AU181=0,0,INDEX($G$213:$DV$213,AU181))</f>
        <v>8.3333333333333343E-2</v>
      </c>
      <c r="AV194" s="63" cm="1">
        <f t="array" ref="AV194">IF(AV181=0,0,INDEX($G$213:$DV$213,AV181))</f>
        <v>7.9166666666666677E-2</v>
      </c>
      <c r="AW194" s="63" cm="1">
        <f t="array" ref="AW194">IF(AW181=0,0,INDEX($G$213:$DV$213,AW181))</f>
        <v>7.5000000000000011E-2</v>
      </c>
      <c r="AX194" s="63" cm="1">
        <f t="array" ref="AX194">IF(AX181=0,0,INDEX($G$213:$DV$213,AX181))</f>
        <v>7.0833333333333345E-2</v>
      </c>
      <c r="AY194" s="63" cm="1">
        <f t="array" ref="AY194">IF(AY181=0,0,INDEX($G$213:$DV$213,AY181))</f>
        <v>6.666666666666668E-2</v>
      </c>
      <c r="AZ194" s="63" cm="1">
        <f t="array" ref="AZ194">IF(AZ181=0,0,INDEX($G$213:$DV$213,AZ181))</f>
        <v>6.2500000000000014E-2</v>
      </c>
      <c r="BA194" s="63" cm="1">
        <f t="array" ref="BA194">IF(BA181=0,0,INDEX($G$213:$DV$213,BA181))</f>
        <v>5.8333333333333348E-2</v>
      </c>
      <c r="BB194" s="63" cm="1">
        <f t="array" ref="BB194">IF(BB181=0,0,INDEX($G$213:$DV$213,BB181))</f>
        <v>5.4166666666666682E-2</v>
      </c>
      <c r="BC194" s="63" cm="1">
        <f t="array" ref="BC194">IF(BC181=0,0,INDEX($G$213:$DV$213,BC181))</f>
        <v>0.05</v>
      </c>
      <c r="BD194" s="63" cm="1">
        <f t="array" ref="BD194">IF(BD181=0,0,INDEX($G$213:$DV$213,BD181))</f>
        <v>0.05</v>
      </c>
      <c r="BE194" s="63" cm="1">
        <f t="array" ref="BE194">IF(BE181=0,0,INDEX($G$213:$DV$213,BE181))</f>
        <v>0.05</v>
      </c>
      <c r="BF194" s="63" cm="1">
        <f t="array" ref="BF194">IF(BF181=0,0,INDEX($G$213:$DV$213,BF181))</f>
        <v>0.05</v>
      </c>
      <c r="BG194" s="63" cm="1">
        <f t="array" ref="BG194">IF(BG181=0,0,INDEX($G$213:$DV$213,BG181))</f>
        <v>0.05</v>
      </c>
      <c r="BH194" s="63" cm="1">
        <f t="array" ref="BH194">IF(BH181=0,0,INDEX($G$213:$DV$213,BH181))</f>
        <v>0.05</v>
      </c>
      <c r="BI194" s="63" cm="1">
        <f t="array" ref="BI194">IF(BI181=0,0,INDEX($G$213:$DV$213,BI181))</f>
        <v>0.05</v>
      </c>
      <c r="BJ194" s="63" cm="1">
        <f t="array" ref="BJ194">IF(BJ181=0,0,INDEX($G$213:$DV$213,BJ181))</f>
        <v>0.05</v>
      </c>
      <c r="BK194" s="63" cm="1">
        <f t="array" ref="BK194">IF(BK181=0,0,INDEX($G$213:$DV$213,BK181))</f>
        <v>0.05</v>
      </c>
      <c r="BL194" s="63" cm="1">
        <f t="array" ref="BL194">IF(BL181=0,0,INDEX($G$213:$DV$213,BL181))</f>
        <v>0.05</v>
      </c>
      <c r="BM194" s="63" cm="1">
        <f t="array" ref="BM194">IF(BM181=0,0,INDEX($G$213:$DV$213,BM181))</f>
        <v>0.05</v>
      </c>
      <c r="BN194" s="63" cm="1">
        <f t="array" ref="BN194">IF(BN181=0,0,INDEX($G$213:$DV$213,BN181))</f>
        <v>0.05</v>
      </c>
      <c r="BO194" s="63" cm="1">
        <f t="array" ref="BO194">IF(BO181=0,0,INDEX($G$213:$DV$213,BO181))</f>
        <v>0.05</v>
      </c>
      <c r="BP194" s="63" cm="1">
        <f t="array" ref="BP194">IF(BP181=0,0,INDEX($G$213:$DV$213,BP181))</f>
        <v>0.05</v>
      </c>
      <c r="BQ194" s="63" cm="1">
        <f t="array" ref="BQ194">IF(BQ181=0,0,INDEX($G$213:$DV$213,BQ181))</f>
        <v>0.05</v>
      </c>
      <c r="BR194" s="63" cm="1">
        <f t="array" ref="BR194">IF(BR181=0,0,INDEX($G$213:$DV$213,BR181))</f>
        <v>0.05</v>
      </c>
      <c r="BS194" s="63" cm="1">
        <f t="array" ref="BS194">IF(BS181=0,0,INDEX($G$213:$DV$213,BS181))</f>
        <v>0.05</v>
      </c>
      <c r="BT194" s="63" cm="1">
        <f t="array" ref="BT194">IF(BT181=0,0,INDEX($G$213:$DV$213,BT181))</f>
        <v>0.05</v>
      </c>
      <c r="BU194" s="63" cm="1">
        <f t="array" ref="BU194">IF(BU181=0,0,INDEX($G$213:$DV$213,BU181))</f>
        <v>0.05</v>
      </c>
      <c r="BV194" s="63" cm="1">
        <f t="array" ref="BV194">IF(BV181=0,0,INDEX($G$213:$DV$213,BV181))</f>
        <v>0.05</v>
      </c>
      <c r="BW194" s="63" cm="1">
        <f t="array" ref="BW194">IF(BW181=0,0,INDEX($G$213:$DV$213,BW181))</f>
        <v>0.05</v>
      </c>
      <c r="BX194" s="63" cm="1">
        <f t="array" ref="BX194">IF(BX181=0,0,INDEX($G$213:$DV$213,BX181))</f>
        <v>0.05</v>
      </c>
      <c r="BY194" s="63" cm="1">
        <f t="array" ref="BY194">IF(BY181=0,0,INDEX($G$213:$DV$213,BY181))</f>
        <v>0.05</v>
      </c>
      <c r="BZ194" s="63" cm="1">
        <f t="array" ref="BZ194">IF(BZ181=0,0,INDEX($G$213:$DV$213,BZ181))</f>
        <v>0.05</v>
      </c>
      <c r="CA194" s="63" cm="1">
        <f t="array" ref="CA194">IF(CA181=0,0,INDEX($G$213:$DV$213,CA181))</f>
        <v>0.05</v>
      </c>
      <c r="CB194" s="63" cm="1">
        <f t="array" ref="CB194">IF(CB181=0,0,INDEX($G$213:$DV$213,CB181))</f>
        <v>0.05</v>
      </c>
      <c r="CC194" s="63" cm="1">
        <f t="array" ref="CC194">IF(CC181=0,0,INDEX($G$213:$DV$213,CC181))</f>
        <v>0.05</v>
      </c>
      <c r="CD194" s="63" cm="1">
        <f t="array" ref="CD194">IF(CD181=0,0,INDEX($G$213:$DV$213,CD181))</f>
        <v>0.05</v>
      </c>
      <c r="CE194" s="63" cm="1">
        <f t="array" ref="CE194">IF(CE181=0,0,INDEX($G$213:$DV$213,CE181))</f>
        <v>0.05</v>
      </c>
      <c r="CF194" s="63" cm="1">
        <f t="array" ref="CF194">IF(CF181=0,0,INDEX($G$213:$DV$213,CF181))</f>
        <v>0.05</v>
      </c>
      <c r="CG194" s="63" cm="1">
        <f t="array" ref="CG194">IF(CG181=0,0,INDEX($G$213:$DV$213,CG181))</f>
        <v>0.05</v>
      </c>
      <c r="CH194" s="63" cm="1">
        <f t="array" ref="CH194">IF(CH181=0,0,INDEX($G$213:$DV$213,CH181))</f>
        <v>0.05</v>
      </c>
      <c r="CI194" s="63" cm="1">
        <f t="array" ref="CI194">IF(CI181=0,0,INDEX($G$213:$DV$213,CI181))</f>
        <v>0.05</v>
      </c>
      <c r="CJ194" s="63" cm="1">
        <f t="array" ref="CJ194">IF(CJ181=0,0,INDEX($G$213:$DV$213,CJ181))</f>
        <v>0.05</v>
      </c>
      <c r="CK194" s="63" cm="1">
        <f t="array" ref="CK194">IF(CK181=0,0,INDEX($G$213:$DV$213,CK181))</f>
        <v>0.05</v>
      </c>
      <c r="CL194" s="63" cm="1">
        <f t="array" ref="CL194">IF(CL181=0,0,INDEX($G$213:$DV$213,CL181))</f>
        <v>0.05</v>
      </c>
      <c r="CM194" s="63" cm="1">
        <f t="array" ref="CM194">IF(CM181=0,0,INDEX($G$213:$DV$213,CM181))</f>
        <v>0.05</v>
      </c>
      <c r="CN194" s="63" cm="1">
        <f t="array" ref="CN194">IF(CN181=0,0,INDEX($G$213:$DV$213,CN181))</f>
        <v>0.05</v>
      </c>
      <c r="CO194" s="63" cm="1">
        <f t="array" ref="CO194">IF(CO181=0,0,INDEX($G$213:$DV$213,CO181))</f>
        <v>0.05</v>
      </c>
      <c r="CP194" s="63" cm="1">
        <f t="array" ref="CP194">IF(CP181=0,0,INDEX($G$213:$DV$213,CP181))</f>
        <v>0.05</v>
      </c>
      <c r="CQ194" s="63" cm="1">
        <f t="array" ref="CQ194">IF(CQ181=0,0,INDEX($G$213:$DV$213,CQ181))</f>
        <v>0.05</v>
      </c>
      <c r="CR194" s="63" cm="1">
        <f t="array" ref="CR194">IF(CR181=0,0,INDEX($G$213:$DV$213,CR181))</f>
        <v>0.05</v>
      </c>
      <c r="CS194" s="63" cm="1">
        <f t="array" ref="CS194">IF(CS181=0,0,INDEX($G$213:$DV$213,CS181))</f>
        <v>0.05</v>
      </c>
      <c r="CT194" s="63" cm="1">
        <f t="array" ref="CT194">IF(CT181=0,0,INDEX($G$213:$DV$213,CT181))</f>
        <v>0.05</v>
      </c>
      <c r="CU194" s="63" cm="1">
        <f t="array" ref="CU194">IF(CU181=0,0,INDEX($G$213:$DV$213,CU181))</f>
        <v>0.05</v>
      </c>
      <c r="CV194" s="63" cm="1">
        <f t="array" ref="CV194">IF(CV181=0,0,INDEX($G$213:$DV$213,CV181))</f>
        <v>0.05</v>
      </c>
      <c r="CW194" s="63" cm="1">
        <f t="array" ref="CW194">IF(CW181=0,0,INDEX($G$213:$DV$213,CW181))</f>
        <v>0.05</v>
      </c>
      <c r="CX194" s="63" cm="1">
        <f t="array" ref="CX194">IF(CX181=0,0,INDEX($G$213:$DV$213,CX181))</f>
        <v>0.05</v>
      </c>
      <c r="CY194" s="63" cm="1">
        <f t="array" ref="CY194">IF(CY181=0,0,INDEX($G$213:$DV$213,CY181))</f>
        <v>0.05</v>
      </c>
      <c r="CZ194" s="63" cm="1">
        <f t="array" ref="CZ194">IF(CZ181=0,0,INDEX($G$213:$DV$213,CZ181))</f>
        <v>0.05</v>
      </c>
      <c r="DA194" s="63" cm="1">
        <f t="array" ref="DA194">IF(DA181=0,0,INDEX($G$213:$DV$213,DA181))</f>
        <v>0.05</v>
      </c>
      <c r="DB194" s="63" cm="1">
        <f t="array" ref="DB194">IF(DB181=0,0,INDEX($G$213:$DV$213,DB181))</f>
        <v>0.05</v>
      </c>
      <c r="DC194" s="63" cm="1">
        <f t="array" ref="DC194">IF(DC181=0,0,INDEX($G$213:$DV$213,DC181))</f>
        <v>0.05</v>
      </c>
      <c r="DD194" s="63" cm="1">
        <f t="array" ref="DD194">IF(DD181=0,0,INDEX($G$213:$DV$213,DD181))</f>
        <v>0.05</v>
      </c>
      <c r="DE194" s="63" cm="1">
        <f t="array" ref="DE194">IF(DE181=0,0,INDEX($G$213:$DV$213,DE181))</f>
        <v>0.05</v>
      </c>
      <c r="DF194" s="63" cm="1">
        <f t="array" ref="DF194">IF(DF181=0,0,INDEX($G$213:$DV$213,DF181))</f>
        <v>0.05</v>
      </c>
      <c r="DG194" s="63" cm="1">
        <f t="array" ref="DG194">IF(DG181=0,0,INDEX($G$213:$DV$213,DG181))</f>
        <v>0.05</v>
      </c>
      <c r="DH194" s="63" cm="1">
        <f t="array" ref="DH194">IF(DH181=0,0,INDEX($G$213:$DV$213,DH181))</f>
        <v>0.05</v>
      </c>
      <c r="DI194" s="63" cm="1">
        <f t="array" ref="DI194">IF(DI181=0,0,INDEX($G$213:$DV$213,DI181))</f>
        <v>0.05</v>
      </c>
      <c r="DJ194" s="63" cm="1">
        <f t="array" ref="DJ194">IF(DJ181=0,0,INDEX($G$213:$DV$213,DJ181))</f>
        <v>0.05</v>
      </c>
      <c r="DK194" s="63" cm="1">
        <f t="array" ref="DK194">IF(DK181=0,0,INDEX($G$213:$DV$213,DK181))</f>
        <v>0.05</v>
      </c>
      <c r="DL194" s="63" cm="1">
        <f t="array" ref="DL194">IF(DL181=0,0,INDEX($G$213:$DV$213,DL181))</f>
        <v>0.05</v>
      </c>
      <c r="DM194" s="63" cm="1">
        <f t="array" ref="DM194">IF(DM181=0,0,INDEX($G$213:$DV$213,DM181))</f>
        <v>0.05</v>
      </c>
      <c r="DN194" s="63" cm="1">
        <f t="array" ref="DN194">IF(DN181=0,0,INDEX($G$213:$DV$213,DN181))</f>
        <v>0.05</v>
      </c>
      <c r="DO194" s="63" cm="1">
        <f t="array" ref="DO194">IF(DO181=0,0,INDEX($G$213:$DV$213,DO181))</f>
        <v>0.05</v>
      </c>
      <c r="DP194" s="63" cm="1">
        <f t="array" ref="DP194">IF(DP181=0,0,INDEX($G$213:$DV$213,DP181))</f>
        <v>0.05</v>
      </c>
      <c r="DQ194" s="63" cm="1">
        <f t="array" ref="DQ194">IF(DQ181=0,0,INDEX($G$213:$DV$213,DQ181))</f>
        <v>0.05</v>
      </c>
      <c r="DR194" s="63" cm="1">
        <f t="array" ref="DR194">IF(DR181=0,0,INDEX($G$213:$DV$213,DR181))</f>
        <v>0.05</v>
      </c>
      <c r="DS194" s="63" cm="1">
        <f t="array" ref="DS194">IF(DS181=0,0,INDEX($G$213:$DV$213,DS181))</f>
        <v>0.05</v>
      </c>
      <c r="DT194" s="63" cm="1">
        <f t="array" ref="DT194">IF(DT181=0,0,INDEX($G$213:$DV$213,DT181))</f>
        <v>0.05</v>
      </c>
      <c r="DU194" s="63" cm="1">
        <f t="array" ref="DU194">IF(DU181=0,0,INDEX($G$213:$DV$213,DU181))</f>
        <v>0.05</v>
      </c>
      <c r="DV194" s="63" cm="1">
        <f t="array" ref="DV194">IF(DV181=0,0,INDEX($G$213:$DV$213,DV181))</f>
        <v>0.05</v>
      </c>
    </row>
    <row r="195" spans="2:126" outlineLevel="1">
      <c r="B195" s="3" t="str">
        <f t="shared" si="158"/>
        <v>Property I</v>
      </c>
      <c r="C195" s="2"/>
      <c r="D195" s="2"/>
      <c r="E195" s="35"/>
      <c r="F195" s="35"/>
      <c r="G195" s="63" cm="1">
        <f t="array" ref="G195">IF(G182=0,0,INDEX($G$213:$DV$213,G182))</f>
        <v>0</v>
      </c>
      <c r="H195" s="63" cm="1">
        <f t="array" ref="H195">IF(H182=0,0,INDEX($G$213:$DV$213,H182))</f>
        <v>0</v>
      </c>
      <c r="I195" s="63" cm="1">
        <f t="array" ref="I195">IF(I182=0,0,INDEX($G$213:$DV$213,I182))</f>
        <v>0</v>
      </c>
      <c r="J195" s="63" cm="1">
        <f t="array" ref="J195">IF(J182=0,0,INDEX($G$213:$DV$213,J182))</f>
        <v>0</v>
      </c>
      <c r="K195" s="63" cm="1">
        <f t="array" ref="K195">IF(K182=0,0,INDEX($G$213:$DV$213,K182))</f>
        <v>0</v>
      </c>
      <c r="L195" s="63" cm="1">
        <f t="array" ref="L195">IF(L182=0,0,INDEX($G$213:$DV$213,L182))</f>
        <v>0</v>
      </c>
      <c r="M195" s="63" cm="1">
        <f t="array" ref="M195">IF(M182=0,0,INDEX($G$213:$DV$213,M182))</f>
        <v>0</v>
      </c>
      <c r="N195" s="63" cm="1">
        <f t="array" ref="N195">IF(N182=0,0,INDEX($G$213:$DV$213,N182))</f>
        <v>0</v>
      </c>
      <c r="O195" s="63" cm="1">
        <f t="array" ref="O195">IF(O182=0,0,INDEX($G$213:$DV$213,O182))</f>
        <v>0</v>
      </c>
      <c r="P195" s="63" cm="1">
        <f t="array" ref="P195">IF(P182=0,0,INDEX($G$213:$DV$213,P182))</f>
        <v>0</v>
      </c>
      <c r="Q195" s="63" cm="1">
        <f t="array" ref="Q195">IF(Q182=0,0,INDEX($G$213:$DV$213,Q182))</f>
        <v>0</v>
      </c>
      <c r="R195" s="63" cm="1">
        <f t="array" ref="R195">IF(R182=0,0,INDEX($G$213:$DV$213,R182))</f>
        <v>0</v>
      </c>
      <c r="S195" s="63" cm="1">
        <f t="array" ref="S195">IF(S182=0,0,INDEX($G$213:$DV$213,S182))</f>
        <v>0</v>
      </c>
      <c r="T195" s="63" cm="1">
        <f t="array" ref="T195">IF(T182=0,0,INDEX($G$213:$DV$213,T182))</f>
        <v>0</v>
      </c>
      <c r="U195" s="63" cm="1">
        <f t="array" ref="U195">IF(U182=0,0,INDEX($G$213:$DV$213,U182))</f>
        <v>0</v>
      </c>
      <c r="V195" s="63" cm="1">
        <f t="array" ref="V195">IF(V182=0,0,INDEX($G$213:$DV$213,V182))</f>
        <v>0</v>
      </c>
      <c r="W195" s="63" cm="1">
        <f t="array" ref="W195">IF(W182=0,0,INDEX($G$213:$DV$213,W182))</f>
        <v>0</v>
      </c>
      <c r="X195" s="63" cm="1">
        <f t="array" ref="X195">IF(X182=0,0,INDEX($G$213:$DV$213,X182))</f>
        <v>0</v>
      </c>
      <c r="Y195" s="63" cm="1">
        <f t="array" ref="Y195">IF(Y182=0,0,INDEX($G$213:$DV$213,Y182))</f>
        <v>0</v>
      </c>
      <c r="Z195" s="63" cm="1">
        <f t="array" ref="Z195">IF(Z182=0,0,INDEX($G$213:$DV$213,Z182))</f>
        <v>0</v>
      </c>
      <c r="AA195" s="63" cm="1">
        <f t="array" ref="AA195">IF(AA182=0,0,INDEX($G$213:$DV$213,AA182))</f>
        <v>0</v>
      </c>
      <c r="AB195" s="63" cm="1">
        <f t="array" ref="AB195">IF(AB182=0,0,INDEX($G$213:$DV$213,AB182))</f>
        <v>0</v>
      </c>
      <c r="AC195" s="63" cm="1">
        <f t="array" ref="AC195">IF(AC182=0,0,INDEX($G$213:$DV$213,AC182))</f>
        <v>0</v>
      </c>
      <c r="AD195" s="63" cm="1">
        <f t="array" ref="AD195">IF(AD182=0,0,INDEX($G$213:$DV$213,AD182))</f>
        <v>0</v>
      </c>
      <c r="AE195" s="63" cm="1">
        <f t="array" ref="AE195">IF(AE182=0,0,INDEX($G$213:$DV$213,AE182))</f>
        <v>0</v>
      </c>
      <c r="AF195" s="63" cm="1">
        <f t="array" ref="AF195">IF(AF182=0,0,INDEX($G$213:$DV$213,AF182))</f>
        <v>0</v>
      </c>
      <c r="AG195" s="63" cm="1">
        <f t="array" ref="AG195">IF(AG182=0,0,INDEX($G$213:$DV$213,AG182))</f>
        <v>0</v>
      </c>
      <c r="AH195" s="63" cm="1">
        <f t="array" ref="AH195">IF(AH182=0,0,INDEX($G$213:$DV$213,AH182))</f>
        <v>0</v>
      </c>
      <c r="AI195" s="63" cm="1">
        <f t="array" ref="AI195">IF(AI182=0,0,INDEX($G$213:$DV$213,AI182))</f>
        <v>0</v>
      </c>
      <c r="AJ195" s="63" cm="1">
        <f t="array" ref="AJ195">IF(AJ182=0,0,INDEX($G$213:$DV$213,AJ182))</f>
        <v>0</v>
      </c>
      <c r="AK195" s="63" cm="1">
        <f t="array" ref="AK195">IF(AK182=0,0,INDEX($G$213:$DV$213,AK182))</f>
        <v>0</v>
      </c>
      <c r="AL195" s="63" cm="1">
        <f t="array" ref="AL195">IF(AL182=0,0,INDEX($G$213:$DV$213,AL182))</f>
        <v>0</v>
      </c>
      <c r="AM195" s="63" cm="1">
        <f t="array" ref="AM195">IF(AM182=0,0,INDEX($G$213:$DV$213,AM182))</f>
        <v>0</v>
      </c>
      <c r="AN195" s="63" cm="1">
        <f t="array" ref="AN195">IF(AN182=0,0,INDEX($G$213:$DV$213,AN182))</f>
        <v>0.75</v>
      </c>
      <c r="AO195" s="63" cm="1">
        <f t="array" ref="AO195">IF(AO182=0,0,INDEX($G$213:$DV$213,AO182))</f>
        <v>0.65</v>
      </c>
      <c r="AP195" s="63" cm="1">
        <f t="array" ref="AP195">IF(AP182=0,0,INDEX($G$213:$DV$213,AP182))</f>
        <v>0.55000000000000004</v>
      </c>
      <c r="AQ195" s="63" cm="1">
        <f t="array" ref="AQ195">IF(AQ182=0,0,INDEX($G$213:$DV$213,AQ182))</f>
        <v>0.45000000000000007</v>
      </c>
      <c r="AR195" s="63" cm="1">
        <f t="array" ref="AR195">IF(AR182=0,0,INDEX($G$213:$DV$213,AR182))</f>
        <v>0.35000000000000009</v>
      </c>
      <c r="AS195" s="63" cm="1">
        <f t="array" ref="AS195">IF(AS182=0,0,INDEX($G$213:$DV$213,AS182))</f>
        <v>0.25</v>
      </c>
      <c r="AT195" s="63" cm="1">
        <f t="array" ref="AT195">IF(AT182=0,0,INDEX($G$213:$DV$213,AT182))</f>
        <v>0.22500000000000001</v>
      </c>
      <c r="AU195" s="63" cm="1">
        <f t="array" ref="AU195">IF(AU182=0,0,INDEX($G$213:$DV$213,AU182))</f>
        <v>0.2</v>
      </c>
      <c r="AV195" s="63" cm="1">
        <f t="array" ref="AV195">IF(AV182=0,0,INDEX($G$213:$DV$213,AV182))</f>
        <v>0.17500000000000002</v>
      </c>
      <c r="AW195" s="63" cm="1">
        <f t="array" ref="AW195">IF(AW182=0,0,INDEX($G$213:$DV$213,AW182))</f>
        <v>0.15000000000000002</v>
      </c>
      <c r="AX195" s="63" cm="1">
        <f t="array" ref="AX195">IF(AX182=0,0,INDEX($G$213:$DV$213,AX182))</f>
        <v>0.12500000000000003</v>
      </c>
      <c r="AY195" s="63" cm="1">
        <f t="array" ref="AY195">IF(AY182=0,0,INDEX($G$213:$DV$213,AY182))</f>
        <v>0.1</v>
      </c>
      <c r="AZ195" s="63" cm="1">
        <f t="array" ref="AZ195">IF(AZ182=0,0,INDEX($G$213:$DV$213,AZ182))</f>
        <v>9.583333333333334E-2</v>
      </c>
      <c r="BA195" s="63" cm="1">
        <f t="array" ref="BA195">IF(BA182=0,0,INDEX($G$213:$DV$213,BA182))</f>
        <v>9.1666666666666674E-2</v>
      </c>
      <c r="BB195" s="63" cm="1">
        <f t="array" ref="BB195">IF(BB182=0,0,INDEX($G$213:$DV$213,BB182))</f>
        <v>8.7500000000000008E-2</v>
      </c>
      <c r="BC195" s="63" cm="1">
        <f t="array" ref="BC195">IF(BC182=0,0,INDEX($G$213:$DV$213,BC182))</f>
        <v>8.3333333333333343E-2</v>
      </c>
      <c r="BD195" s="63" cm="1">
        <f t="array" ref="BD195">IF(BD182=0,0,INDEX($G$213:$DV$213,BD182))</f>
        <v>7.9166666666666677E-2</v>
      </c>
      <c r="BE195" s="63" cm="1">
        <f t="array" ref="BE195">IF(BE182=0,0,INDEX($G$213:$DV$213,BE182))</f>
        <v>7.5000000000000011E-2</v>
      </c>
      <c r="BF195" s="63" cm="1">
        <f t="array" ref="BF195">IF(BF182=0,0,INDEX($G$213:$DV$213,BF182))</f>
        <v>7.0833333333333345E-2</v>
      </c>
      <c r="BG195" s="63" cm="1">
        <f t="array" ref="BG195">IF(BG182=0,0,INDEX($G$213:$DV$213,BG182))</f>
        <v>6.666666666666668E-2</v>
      </c>
      <c r="BH195" s="63" cm="1">
        <f t="array" ref="BH195">IF(BH182=0,0,INDEX($G$213:$DV$213,BH182))</f>
        <v>6.2500000000000014E-2</v>
      </c>
      <c r="BI195" s="63" cm="1">
        <f t="array" ref="BI195">IF(BI182=0,0,INDEX($G$213:$DV$213,BI182))</f>
        <v>5.8333333333333348E-2</v>
      </c>
      <c r="BJ195" s="63" cm="1">
        <f t="array" ref="BJ195">IF(BJ182=0,0,INDEX($G$213:$DV$213,BJ182))</f>
        <v>5.4166666666666682E-2</v>
      </c>
      <c r="BK195" s="63" cm="1">
        <f t="array" ref="BK195">IF(BK182=0,0,INDEX($G$213:$DV$213,BK182))</f>
        <v>0.05</v>
      </c>
      <c r="BL195" s="63" cm="1">
        <f t="array" ref="BL195">IF(BL182=0,0,INDEX($G$213:$DV$213,BL182))</f>
        <v>0.05</v>
      </c>
      <c r="BM195" s="63" cm="1">
        <f t="array" ref="BM195">IF(BM182=0,0,INDEX($G$213:$DV$213,BM182))</f>
        <v>0.05</v>
      </c>
      <c r="BN195" s="63" cm="1">
        <f t="array" ref="BN195">IF(BN182=0,0,INDEX($G$213:$DV$213,BN182))</f>
        <v>0.05</v>
      </c>
      <c r="BO195" s="63" cm="1">
        <f t="array" ref="BO195">IF(BO182=0,0,INDEX($G$213:$DV$213,BO182))</f>
        <v>0.05</v>
      </c>
      <c r="BP195" s="63" cm="1">
        <f t="array" ref="BP195">IF(BP182=0,0,INDEX($G$213:$DV$213,BP182))</f>
        <v>0.05</v>
      </c>
      <c r="BQ195" s="63" cm="1">
        <f t="array" ref="BQ195">IF(BQ182=0,0,INDEX($G$213:$DV$213,BQ182))</f>
        <v>0.05</v>
      </c>
      <c r="BR195" s="63" cm="1">
        <f t="array" ref="BR195">IF(BR182=0,0,INDEX($G$213:$DV$213,BR182))</f>
        <v>0.05</v>
      </c>
      <c r="BS195" s="63" cm="1">
        <f t="array" ref="BS195">IF(BS182=0,0,INDEX($G$213:$DV$213,BS182))</f>
        <v>0.05</v>
      </c>
      <c r="BT195" s="63" cm="1">
        <f t="array" ref="BT195">IF(BT182=0,0,INDEX($G$213:$DV$213,BT182))</f>
        <v>0.05</v>
      </c>
      <c r="BU195" s="63" cm="1">
        <f t="array" ref="BU195">IF(BU182=0,0,INDEX($G$213:$DV$213,BU182))</f>
        <v>0.05</v>
      </c>
      <c r="BV195" s="63" cm="1">
        <f t="array" ref="BV195">IF(BV182=0,0,INDEX($G$213:$DV$213,BV182))</f>
        <v>0.05</v>
      </c>
      <c r="BW195" s="63" cm="1">
        <f t="array" ref="BW195">IF(BW182=0,0,INDEX($G$213:$DV$213,BW182))</f>
        <v>0.05</v>
      </c>
      <c r="BX195" s="63" cm="1">
        <f t="array" ref="BX195">IF(BX182=0,0,INDEX($G$213:$DV$213,BX182))</f>
        <v>0.05</v>
      </c>
      <c r="BY195" s="63" cm="1">
        <f t="array" ref="BY195">IF(BY182=0,0,INDEX($G$213:$DV$213,BY182))</f>
        <v>0.05</v>
      </c>
      <c r="BZ195" s="63" cm="1">
        <f t="array" ref="BZ195">IF(BZ182=0,0,INDEX($G$213:$DV$213,BZ182))</f>
        <v>0.05</v>
      </c>
      <c r="CA195" s="63" cm="1">
        <f t="array" ref="CA195">IF(CA182=0,0,INDEX($G$213:$DV$213,CA182))</f>
        <v>0.05</v>
      </c>
      <c r="CB195" s="63" cm="1">
        <f t="array" ref="CB195">IF(CB182=0,0,INDEX($G$213:$DV$213,CB182))</f>
        <v>0.05</v>
      </c>
      <c r="CC195" s="63" cm="1">
        <f t="array" ref="CC195">IF(CC182=0,0,INDEX($G$213:$DV$213,CC182))</f>
        <v>0.05</v>
      </c>
      <c r="CD195" s="63" cm="1">
        <f t="array" ref="CD195">IF(CD182=0,0,INDEX($G$213:$DV$213,CD182))</f>
        <v>0.05</v>
      </c>
      <c r="CE195" s="63" cm="1">
        <f t="array" ref="CE195">IF(CE182=0,0,INDEX($G$213:$DV$213,CE182))</f>
        <v>0.05</v>
      </c>
      <c r="CF195" s="63" cm="1">
        <f t="array" ref="CF195">IF(CF182=0,0,INDEX($G$213:$DV$213,CF182))</f>
        <v>0.05</v>
      </c>
      <c r="CG195" s="63" cm="1">
        <f t="array" ref="CG195">IF(CG182=0,0,INDEX($G$213:$DV$213,CG182))</f>
        <v>0.05</v>
      </c>
      <c r="CH195" s="63" cm="1">
        <f t="array" ref="CH195">IF(CH182=0,0,INDEX($G$213:$DV$213,CH182))</f>
        <v>0.05</v>
      </c>
      <c r="CI195" s="63" cm="1">
        <f t="array" ref="CI195">IF(CI182=0,0,INDEX($G$213:$DV$213,CI182))</f>
        <v>0.05</v>
      </c>
      <c r="CJ195" s="63" cm="1">
        <f t="array" ref="CJ195">IF(CJ182=0,0,INDEX($G$213:$DV$213,CJ182))</f>
        <v>0.05</v>
      </c>
      <c r="CK195" s="63" cm="1">
        <f t="array" ref="CK195">IF(CK182=0,0,INDEX($G$213:$DV$213,CK182))</f>
        <v>0.05</v>
      </c>
      <c r="CL195" s="63" cm="1">
        <f t="array" ref="CL195">IF(CL182=0,0,INDEX($G$213:$DV$213,CL182))</f>
        <v>0.05</v>
      </c>
      <c r="CM195" s="63" cm="1">
        <f t="array" ref="CM195">IF(CM182=0,0,INDEX($G$213:$DV$213,CM182))</f>
        <v>0.05</v>
      </c>
      <c r="CN195" s="63" cm="1">
        <f t="array" ref="CN195">IF(CN182=0,0,INDEX($G$213:$DV$213,CN182))</f>
        <v>0.05</v>
      </c>
      <c r="CO195" s="63" cm="1">
        <f t="array" ref="CO195">IF(CO182=0,0,INDEX($G$213:$DV$213,CO182))</f>
        <v>0.05</v>
      </c>
      <c r="CP195" s="63" cm="1">
        <f t="array" ref="CP195">IF(CP182=0,0,INDEX($G$213:$DV$213,CP182))</f>
        <v>0.05</v>
      </c>
      <c r="CQ195" s="63" cm="1">
        <f t="array" ref="CQ195">IF(CQ182=0,0,INDEX($G$213:$DV$213,CQ182))</f>
        <v>0.05</v>
      </c>
      <c r="CR195" s="63" cm="1">
        <f t="array" ref="CR195">IF(CR182=0,0,INDEX($G$213:$DV$213,CR182))</f>
        <v>0.05</v>
      </c>
      <c r="CS195" s="63" cm="1">
        <f t="array" ref="CS195">IF(CS182=0,0,INDEX($G$213:$DV$213,CS182))</f>
        <v>0.05</v>
      </c>
      <c r="CT195" s="63" cm="1">
        <f t="array" ref="CT195">IF(CT182=0,0,INDEX($G$213:$DV$213,CT182))</f>
        <v>0.05</v>
      </c>
      <c r="CU195" s="63" cm="1">
        <f t="array" ref="CU195">IF(CU182=0,0,INDEX($G$213:$DV$213,CU182))</f>
        <v>0.05</v>
      </c>
      <c r="CV195" s="63" cm="1">
        <f t="array" ref="CV195">IF(CV182=0,0,INDEX($G$213:$DV$213,CV182))</f>
        <v>0.05</v>
      </c>
      <c r="CW195" s="63" cm="1">
        <f t="array" ref="CW195">IF(CW182=0,0,INDEX($G$213:$DV$213,CW182))</f>
        <v>0.05</v>
      </c>
      <c r="CX195" s="63" cm="1">
        <f t="array" ref="CX195">IF(CX182=0,0,INDEX($G$213:$DV$213,CX182))</f>
        <v>0.05</v>
      </c>
      <c r="CY195" s="63" cm="1">
        <f t="array" ref="CY195">IF(CY182=0,0,INDEX($G$213:$DV$213,CY182))</f>
        <v>0.05</v>
      </c>
      <c r="CZ195" s="63" cm="1">
        <f t="array" ref="CZ195">IF(CZ182=0,0,INDEX($G$213:$DV$213,CZ182))</f>
        <v>0.05</v>
      </c>
      <c r="DA195" s="63" cm="1">
        <f t="array" ref="DA195">IF(DA182=0,0,INDEX($G$213:$DV$213,DA182))</f>
        <v>0.05</v>
      </c>
      <c r="DB195" s="63" cm="1">
        <f t="array" ref="DB195">IF(DB182=0,0,INDEX($G$213:$DV$213,DB182))</f>
        <v>0.05</v>
      </c>
      <c r="DC195" s="63" cm="1">
        <f t="array" ref="DC195">IF(DC182=0,0,INDEX($G$213:$DV$213,DC182))</f>
        <v>0.05</v>
      </c>
      <c r="DD195" s="63" cm="1">
        <f t="array" ref="DD195">IF(DD182=0,0,INDEX($G$213:$DV$213,DD182))</f>
        <v>0.05</v>
      </c>
      <c r="DE195" s="63" cm="1">
        <f t="array" ref="DE195">IF(DE182=0,0,INDEX($G$213:$DV$213,DE182))</f>
        <v>0.05</v>
      </c>
      <c r="DF195" s="63" cm="1">
        <f t="array" ref="DF195">IF(DF182=0,0,INDEX($G$213:$DV$213,DF182))</f>
        <v>0.05</v>
      </c>
      <c r="DG195" s="63" cm="1">
        <f t="array" ref="DG195">IF(DG182=0,0,INDEX($G$213:$DV$213,DG182))</f>
        <v>0.05</v>
      </c>
      <c r="DH195" s="63" cm="1">
        <f t="array" ref="DH195">IF(DH182=0,0,INDEX($G$213:$DV$213,DH182))</f>
        <v>0.05</v>
      </c>
      <c r="DI195" s="63" cm="1">
        <f t="array" ref="DI195">IF(DI182=0,0,INDEX($G$213:$DV$213,DI182))</f>
        <v>0.05</v>
      </c>
      <c r="DJ195" s="63" cm="1">
        <f t="array" ref="DJ195">IF(DJ182=0,0,INDEX($G$213:$DV$213,DJ182))</f>
        <v>0.05</v>
      </c>
      <c r="DK195" s="63" cm="1">
        <f t="array" ref="DK195">IF(DK182=0,0,INDEX($G$213:$DV$213,DK182))</f>
        <v>0.05</v>
      </c>
      <c r="DL195" s="63" cm="1">
        <f t="array" ref="DL195">IF(DL182=0,0,INDEX($G$213:$DV$213,DL182))</f>
        <v>0.05</v>
      </c>
      <c r="DM195" s="63" cm="1">
        <f t="array" ref="DM195">IF(DM182=0,0,INDEX($G$213:$DV$213,DM182))</f>
        <v>0.05</v>
      </c>
      <c r="DN195" s="63" cm="1">
        <f t="array" ref="DN195">IF(DN182=0,0,INDEX($G$213:$DV$213,DN182))</f>
        <v>0.05</v>
      </c>
      <c r="DO195" s="63" cm="1">
        <f t="array" ref="DO195">IF(DO182=0,0,INDEX($G$213:$DV$213,DO182))</f>
        <v>0.05</v>
      </c>
      <c r="DP195" s="63" cm="1">
        <f t="array" ref="DP195">IF(DP182=0,0,INDEX($G$213:$DV$213,DP182))</f>
        <v>0.05</v>
      </c>
      <c r="DQ195" s="63" cm="1">
        <f t="array" ref="DQ195">IF(DQ182=0,0,INDEX($G$213:$DV$213,DQ182))</f>
        <v>0.05</v>
      </c>
      <c r="DR195" s="63" cm="1">
        <f t="array" ref="DR195">IF(DR182=0,0,INDEX($G$213:$DV$213,DR182))</f>
        <v>0.05</v>
      </c>
      <c r="DS195" s="63" cm="1">
        <f t="array" ref="DS195">IF(DS182=0,0,INDEX($G$213:$DV$213,DS182))</f>
        <v>0.05</v>
      </c>
      <c r="DT195" s="63" cm="1">
        <f t="array" ref="DT195">IF(DT182=0,0,INDEX($G$213:$DV$213,DT182))</f>
        <v>0.05</v>
      </c>
      <c r="DU195" s="63" cm="1">
        <f t="array" ref="DU195">IF(DU182=0,0,INDEX($G$213:$DV$213,DU182))</f>
        <v>0.05</v>
      </c>
      <c r="DV195" s="63" cm="1">
        <f t="array" ref="DV195">IF(DV182=0,0,INDEX($G$213:$DV$213,DV182))</f>
        <v>0.05</v>
      </c>
    </row>
    <row r="196" spans="2:126" outlineLevel="1">
      <c r="B196" s="3" t="str">
        <f t="shared" si="158"/>
        <v>Property J</v>
      </c>
      <c r="C196" s="2"/>
      <c r="D196" s="2"/>
      <c r="E196" s="35"/>
      <c r="F196" s="35"/>
      <c r="G196" s="63" cm="1">
        <f t="array" ref="G196">IF(G183=0,0,INDEX($G$213:$DV$213,G183))</f>
        <v>0</v>
      </c>
      <c r="H196" s="63" cm="1">
        <f t="array" ref="H196">IF(H183=0,0,INDEX($G$213:$DV$213,H183))</f>
        <v>0</v>
      </c>
      <c r="I196" s="63" cm="1">
        <f t="array" ref="I196">IF(I183=0,0,INDEX($G$213:$DV$213,I183))</f>
        <v>0</v>
      </c>
      <c r="J196" s="63" cm="1">
        <f t="array" ref="J196">IF(J183=0,0,INDEX($G$213:$DV$213,J183))</f>
        <v>0</v>
      </c>
      <c r="K196" s="63" cm="1">
        <f t="array" ref="K196">IF(K183=0,0,INDEX($G$213:$DV$213,K183))</f>
        <v>0</v>
      </c>
      <c r="L196" s="63" cm="1">
        <f t="array" ref="L196">IF(L183=0,0,INDEX($G$213:$DV$213,L183))</f>
        <v>0</v>
      </c>
      <c r="M196" s="63" cm="1">
        <f t="array" ref="M196">IF(M183=0,0,INDEX($G$213:$DV$213,M183))</f>
        <v>0</v>
      </c>
      <c r="N196" s="63" cm="1">
        <f t="array" ref="N196">IF(N183=0,0,INDEX($G$213:$DV$213,N183))</f>
        <v>0</v>
      </c>
      <c r="O196" s="63" cm="1">
        <f t="array" ref="O196">IF(O183=0,0,INDEX($G$213:$DV$213,O183))</f>
        <v>0</v>
      </c>
      <c r="P196" s="63" cm="1">
        <f t="array" ref="P196">IF(P183=0,0,INDEX($G$213:$DV$213,P183))</f>
        <v>0</v>
      </c>
      <c r="Q196" s="63" cm="1">
        <f t="array" ref="Q196">IF(Q183=0,0,INDEX($G$213:$DV$213,Q183))</f>
        <v>0</v>
      </c>
      <c r="R196" s="63" cm="1">
        <f t="array" ref="R196">IF(R183=0,0,INDEX($G$213:$DV$213,R183))</f>
        <v>0</v>
      </c>
      <c r="S196" s="63" cm="1">
        <f t="array" ref="S196">IF(S183=0,0,INDEX($G$213:$DV$213,S183))</f>
        <v>0</v>
      </c>
      <c r="T196" s="63" cm="1">
        <f t="array" ref="T196">IF(T183=0,0,INDEX($G$213:$DV$213,T183))</f>
        <v>0</v>
      </c>
      <c r="U196" s="63" cm="1">
        <f t="array" ref="U196">IF(U183=0,0,INDEX($G$213:$DV$213,U183))</f>
        <v>0</v>
      </c>
      <c r="V196" s="63" cm="1">
        <f t="array" ref="V196">IF(V183=0,0,INDEX($G$213:$DV$213,V183))</f>
        <v>0</v>
      </c>
      <c r="W196" s="63" cm="1">
        <f t="array" ref="W196">IF(W183=0,0,INDEX($G$213:$DV$213,W183))</f>
        <v>0</v>
      </c>
      <c r="X196" s="63" cm="1">
        <f t="array" ref="X196">IF(X183=0,0,INDEX($G$213:$DV$213,X183))</f>
        <v>0</v>
      </c>
      <c r="Y196" s="63" cm="1">
        <f t="array" ref="Y196">IF(Y183=0,0,INDEX($G$213:$DV$213,Y183))</f>
        <v>0</v>
      </c>
      <c r="Z196" s="63" cm="1">
        <f t="array" ref="Z196">IF(Z183=0,0,INDEX($G$213:$DV$213,Z183))</f>
        <v>0</v>
      </c>
      <c r="AA196" s="63" cm="1">
        <f t="array" ref="AA196">IF(AA183=0,0,INDEX($G$213:$DV$213,AA183))</f>
        <v>0</v>
      </c>
      <c r="AB196" s="63" cm="1">
        <f t="array" ref="AB196">IF(AB183=0,0,INDEX($G$213:$DV$213,AB183))</f>
        <v>0</v>
      </c>
      <c r="AC196" s="63" cm="1">
        <f t="array" ref="AC196">IF(AC183=0,0,INDEX($G$213:$DV$213,AC183))</f>
        <v>0</v>
      </c>
      <c r="AD196" s="63" cm="1">
        <f t="array" ref="AD196">IF(AD183=0,0,INDEX($G$213:$DV$213,AD183))</f>
        <v>0</v>
      </c>
      <c r="AE196" s="63" cm="1">
        <f t="array" ref="AE196">IF(AE183=0,0,INDEX($G$213:$DV$213,AE183))</f>
        <v>0</v>
      </c>
      <c r="AF196" s="63" cm="1">
        <f t="array" ref="AF196">IF(AF183=0,0,INDEX($G$213:$DV$213,AF183))</f>
        <v>0</v>
      </c>
      <c r="AG196" s="63" cm="1">
        <f t="array" ref="AG196">IF(AG183=0,0,INDEX($G$213:$DV$213,AG183))</f>
        <v>0</v>
      </c>
      <c r="AH196" s="63" cm="1">
        <f t="array" ref="AH196">IF(AH183=0,0,INDEX($G$213:$DV$213,AH183))</f>
        <v>0</v>
      </c>
      <c r="AI196" s="63" cm="1">
        <f t="array" ref="AI196">IF(AI183=0,0,INDEX($G$213:$DV$213,AI183))</f>
        <v>0</v>
      </c>
      <c r="AJ196" s="63" cm="1">
        <f t="array" ref="AJ196">IF(AJ183=0,0,INDEX($G$213:$DV$213,AJ183))</f>
        <v>0</v>
      </c>
      <c r="AK196" s="63" cm="1">
        <f t="array" ref="AK196">IF(AK183=0,0,INDEX($G$213:$DV$213,AK183))</f>
        <v>0</v>
      </c>
      <c r="AL196" s="63" cm="1">
        <f t="array" ref="AL196">IF(AL183=0,0,INDEX($G$213:$DV$213,AL183))</f>
        <v>0</v>
      </c>
      <c r="AM196" s="63" cm="1">
        <f t="array" ref="AM196">IF(AM183=0,0,INDEX($G$213:$DV$213,AM183))</f>
        <v>0</v>
      </c>
      <c r="AN196" s="63" cm="1">
        <f t="array" ref="AN196">IF(AN183=0,0,INDEX($G$213:$DV$213,AN183))</f>
        <v>0</v>
      </c>
      <c r="AO196" s="63" cm="1">
        <f t="array" ref="AO196">IF(AO183=0,0,INDEX($G$213:$DV$213,AO183))</f>
        <v>0</v>
      </c>
      <c r="AP196" s="63" cm="1">
        <f t="array" ref="AP196">IF(AP183=0,0,INDEX($G$213:$DV$213,AP183))</f>
        <v>0.75</v>
      </c>
      <c r="AQ196" s="63" cm="1">
        <f t="array" ref="AQ196">IF(AQ183=0,0,INDEX($G$213:$DV$213,AQ183))</f>
        <v>0.65</v>
      </c>
      <c r="AR196" s="63" cm="1">
        <f t="array" ref="AR196">IF(AR183=0,0,INDEX($G$213:$DV$213,AR183))</f>
        <v>0.55000000000000004</v>
      </c>
      <c r="AS196" s="63" cm="1">
        <f t="array" ref="AS196">IF(AS183=0,0,INDEX($G$213:$DV$213,AS183))</f>
        <v>0.45000000000000007</v>
      </c>
      <c r="AT196" s="63" cm="1">
        <f t="array" ref="AT196">IF(AT183=0,0,INDEX($G$213:$DV$213,AT183))</f>
        <v>0.35000000000000009</v>
      </c>
      <c r="AU196" s="63" cm="1">
        <f t="array" ref="AU196">IF(AU183=0,0,INDEX($G$213:$DV$213,AU183))</f>
        <v>0.25</v>
      </c>
      <c r="AV196" s="63" cm="1">
        <f t="array" ref="AV196">IF(AV183=0,0,INDEX($G$213:$DV$213,AV183))</f>
        <v>0.22500000000000001</v>
      </c>
      <c r="AW196" s="63" cm="1">
        <f t="array" ref="AW196">IF(AW183=0,0,INDEX($G$213:$DV$213,AW183))</f>
        <v>0.2</v>
      </c>
      <c r="AX196" s="63" cm="1">
        <f t="array" ref="AX196">IF(AX183=0,0,INDEX($G$213:$DV$213,AX183))</f>
        <v>0.17500000000000002</v>
      </c>
      <c r="AY196" s="63" cm="1">
        <f t="array" ref="AY196">IF(AY183=0,0,INDEX($G$213:$DV$213,AY183))</f>
        <v>0.15000000000000002</v>
      </c>
      <c r="AZ196" s="63" cm="1">
        <f t="array" ref="AZ196">IF(AZ183=0,0,INDEX($G$213:$DV$213,AZ183))</f>
        <v>0.12500000000000003</v>
      </c>
      <c r="BA196" s="63" cm="1">
        <f t="array" ref="BA196">IF(BA183=0,0,INDEX($G$213:$DV$213,BA183))</f>
        <v>0.1</v>
      </c>
      <c r="BB196" s="63" cm="1">
        <f t="array" ref="BB196">IF(BB183=0,0,INDEX($G$213:$DV$213,BB183))</f>
        <v>9.583333333333334E-2</v>
      </c>
      <c r="BC196" s="63" cm="1">
        <f t="array" ref="BC196">IF(BC183=0,0,INDEX($G$213:$DV$213,BC183))</f>
        <v>9.1666666666666674E-2</v>
      </c>
      <c r="BD196" s="63" cm="1">
        <f t="array" ref="BD196">IF(BD183=0,0,INDEX($G$213:$DV$213,BD183))</f>
        <v>8.7500000000000008E-2</v>
      </c>
      <c r="BE196" s="63" cm="1">
        <f t="array" ref="BE196">IF(BE183=0,0,INDEX($G$213:$DV$213,BE183))</f>
        <v>8.3333333333333343E-2</v>
      </c>
      <c r="BF196" s="63" cm="1">
        <f t="array" ref="BF196">IF(BF183=0,0,INDEX($G$213:$DV$213,BF183))</f>
        <v>7.9166666666666677E-2</v>
      </c>
      <c r="BG196" s="63" cm="1">
        <f t="array" ref="BG196">IF(BG183=0,0,INDEX($G$213:$DV$213,BG183))</f>
        <v>7.5000000000000011E-2</v>
      </c>
      <c r="BH196" s="63" cm="1">
        <f t="array" ref="BH196">IF(BH183=0,0,INDEX($G$213:$DV$213,BH183))</f>
        <v>7.0833333333333345E-2</v>
      </c>
      <c r="BI196" s="63" cm="1">
        <f t="array" ref="BI196">IF(BI183=0,0,INDEX($G$213:$DV$213,BI183))</f>
        <v>6.666666666666668E-2</v>
      </c>
      <c r="BJ196" s="63" cm="1">
        <f t="array" ref="BJ196">IF(BJ183=0,0,INDEX($G$213:$DV$213,BJ183))</f>
        <v>6.2500000000000014E-2</v>
      </c>
      <c r="BK196" s="63" cm="1">
        <f t="array" ref="BK196">IF(BK183=0,0,INDEX($G$213:$DV$213,BK183))</f>
        <v>5.8333333333333348E-2</v>
      </c>
      <c r="BL196" s="63" cm="1">
        <f t="array" ref="BL196">IF(BL183=0,0,INDEX($G$213:$DV$213,BL183))</f>
        <v>5.4166666666666682E-2</v>
      </c>
      <c r="BM196" s="63" cm="1">
        <f t="array" ref="BM196">IF(BM183=0,0,INDEX($G$213:$DV$213,BM183))</f>
        <v>0.05</v>
      </c>
      <c r="BN196" s="63" cm="1">
        <f t="array" ref="BN196">IF(BN183=0,0,INDEX($G$213:$DV$213,BN183))</f>
        <v>0.05</v>
      </c>
      <c r="BO196" s="63" cm="1">
        <f t="array" ref="BO196">IF(BO183=0,0,INDEX($G$213:$DV$213,BO183))</f>
        <v>0.05</v>
      </c>
      <c r="BP196" s="63" cm="1">
        <f t="array" ref="BP196">IF(BP183=0,0,INDEX($G$213:$DV$213,BP183))</f>
        <v>0.05</v>
      </c>
      <c r="BQ196" s="63" cm="1">
        <f t="array" ref="BQ196">IF(BQ183=0,0,INDEX($G$213:$DV$213,BQ183))</f>
        <v>0.05</v>
      </c>
      <c r="BR196" s="63" cm="1">
        <f t="array" ref="BR196">IF(BR183=0,0,INDEX($G$213:$DV$213,BR183))</f>
        <v>0.05</v>
      </c>
      <c r="BS196" s="63" cm="1">
        <f t="array" ref="BS196">IF(BS183=0,0,INDEX($G$213:$DV$213,BS183))</f>
        <v>0.05</v>
      </c>
      <c r="BT196" s="63" cm="1">
        <f t="array" ref="BT196">IF(BT183=0,0,INDEX($G$213:$DV$213,BT183))</f>
        <v>0.05</v>
      </c>
      <c r="BU196" s="63" cm="1">
        <f t="array" ref="BU196">IF(BU183=0,0,INDEX($G$213:$DV$213,BU183))</f>
        <v>0.05</v>
      </c>
      <c r="BV196" s="63" cm="1">
        <f t="array" ref="BV196">IF(BV183=0,0,INDEX($G$213:$DV$213,BV183))</f>
        <v>0.05</v>
      </c>
      <c r="BW196" s="63" cm="1">
        <f t="array" ref="BW196">IF(BW183=0,0,INDEX($G$213:$DV$213,BW183))</f>
        <v>0.05</v>
      </c>
      <c r="BX196" s="63" cm="1">
        <f t="array" ref="BX196">IF(BX183=0,0,INDEX($G$213:$DV$213,BX183))</f>
        <v>0.05</v>
      </c>
      <c r="BY196" s="63" cm="1">
        <f t="array" ref="BY196">IF(BY183=0,0,INDEX($G$213:$DV$213,BY183))</f>
        <v>0.05</v>
      </c>
      <c r="BZ196" s="63" cm="1">
        <f t="array" ref="BZ196">IF(BZ183=0,0,INDEX($G$213:$DV$213,BZ183))</f>
        <v>0.05</v>
      </c>
      <c r="CA196" s="63" cm="1">
        <f t="array" ref="CA196">IF(CA183=0,0,INDEX($G$213:$DV$213,CA183))</f>
        <v>0.05</v>
      </c>
      <c r="CB196" s="63" cm="1">
        <f t="array" ref="CB196">IF(CB183=0,0,INDEX($G$213:$DV$213,CB183))</f>
        <v>0.05</v>
      </c>
      <c r="CC196" s="63" cm="1">
        <f t="array" ref="CC196">IF(CC183=0,0,INDEX($G$213:$DV$213,CC183))</f>
        <v>0.05</v>
      </c>
      <c r="CD196" s="63" cm="1">
        <f t="array" ref="CD196">IF(CD183=0,0,INDEX($G$213:$DV$213,CD183))</f>
        <v>0.05</v>
      </c>
      <c r="CE196" s="63" cm="1">
        <f t="array" ref="CE196">IF(CE183=0,0,INDEX($G$213:$DV$213,CE183))</f>
        <v>0.05</v>
      </c>
      <c r="CF196" s="63" cm="1">
        <f t="array" ref="CF196">IF(CF183=0,0,INDEX($G$213:$DV$213,CF183))</f>
        <v>0.05</v>
      </c>
      <c r="CG196" s="63" cm="1">
        <f t="array" ref="CG196">IF(CG183=0,0,INDEX($G$213:$DV$213,CG183))</f>
        <v>0.05</v>
      </c>
      <c r="CH196" s="63" cm="1">
        <f t="array" ref="CH196">IF(CH183=0,0,INDEX($G$213:$DV$213,CH183))</f>
        <v>0.05</v>
      </c>
      <c r="CI196" s="63" cm="1">
        <f t="array" ref="CI196">IF(CI183=0,0,INDEX($G$213:$DV$213,CI183))</f>
        <v>0.05</v>
      </c>
      <c r="CJ196" s="63" cm="1">
        <f t="array" ref="CJ196">IF(CJ183=0,0,INDEX($G$213:$DV$213,CJ183))</f>
        <v>0.05</v>
      </c>
      <c r="CK196" s="63" cm="1">
        <f t="array" ref="CK196">IF(CK183=0,0,INDEX($G$213:$DV$213,CK183))</f>
        <v>0.05</v>
      </c>
      <c r="CL196" s="63" cm="1">
        <f t="array" ref="CL196">IF(CL183=0,0,INDEX($G$213:$DV$213,CL183))</f>
        <v>0.05</v>
      </c>
      <c r="CM196" s="63" cm="1">
        <f t="array" ref="CM196">IF(CM183=0,0,INDEX($G$213:$DV$213,CM183))</f>
        <v>0.05</v>
      </c>
      <c r="CN196" s="63" cm="1">
        <f t="array" ref="CN196">IF(CN183=0,0,INDEX($G$213:$DV$213,CN183))</f>
        <v>0.05</v>
      </c>
      <c r="CO196" s="63" cm="1">
        <f t="array" ref="CO196">IF(CO183=0,0,INDEX($G$213:$DV$213,CO183))</f>
        <v>0.05</v>
      </c>
      <c r="CP196" s="63" cm="1">
        <f t="array" ref="CP196">IF(CP183=0,0,INDEX($G$213:$DV$213,CP183))</f>
        <v>0.05</v>
      </c>
      <c r="CQ196" s="63" cm="1">
        <f t="array" ref="CQ196">IF(CQ183=0,0,INDEX($G$213:$DV$213,CQ183))</f>
        <v>0.05</v>
      </c>
      <c r="CR196" s="63" cm="1">
        <f t="array" ref="CR196">IF(CR183=0,0,INDEX($G$213:$DV$213,CR183))</f>
        <v>0.05</v>
      </c>
      <c r="CS196" s="63" cm="1">
        <f t="array" ref="CS196">IF(CS183=0,0,INDEX($G$213:$DV$213,CS183))</f>
        <v>0.05</v>
      </c>
      <c r="CT196" s="63" cm="1">
        <f t="array" ref="CT196">IF(CT183=0,0,INDEX($G$213:$DV$213,CT183))</f>
        <v>0.05</v>
      </c>
      <c r="CU196" s="63" cm="1">
        <f t="array" ref="CU196">IF(CU183=0,0,INDEX($G$213:$DV$213,CU183))</f>
        <v>0.05</v>
      </c>
      <c r="CV196" s="63" cm="1">
        <f t="array" ref="CV196">IF(CV183=0,0,INDEX($G$213:$DV$213,CV183))</f>
        <v>0.05</v>
      </c>
      <c r="CW196" s="63" cm="1">
        <f t="array" ref="CW196">IF(CW183=0,0,INDEX($G$213:$DV$213,CW183))</f>
        <v>0.05</v>
      </c>
      <c r="CX196" s="63" cm="1">
        <f t="array" ref="CX196">IF(CX183=0,0,INDEX($G$213:$DV$213,CX183))</f>
        <v>0.05</v>
      </c>
      <c r="CY196" s="63" cm="1">
        <f t="array" ref="CY196">IF(CY183=0,0,INDEX($G$213:$DV$213,CY183))</f>
        <v>0.05</v>
      </c>
      <c r="CZ196" s="63" cm="1">
        <f t="array" ref="CZ196">IF(CZ183=0,0,INDEX($G$213:$DV$213,CZ183))</f>
        <v>0.05</v>
      </c>
      <c r="DA196" s="63" cm="1">
        <f t="array" ref="DA196">IF(DA183=0,0,INDEX($G$213:$DV$213,DA183))</f>
        <v>0.05</v>
      </c>
      <c r="DB196" s="63" cm="1">
        <f t="array" ref="DB196">IF(DB183=0,0,INDEX($G$213:$DV$213,DB183))</f>
        <v>0.05</v>
      </c>
      <c r="DC196" s="63" cm="1">
        <f t="array" ref="DC196">IF(DC183=0,0,INDEX($G$213:$DV$213,DC183))</f>
        <v>0.05</v>
      </c>
      <c r="DD196" s="63" cm="1">
        <f t="array" ref="DD196">IF(DD183=0,0,INDEX($G$213:$DV$213,DD183))</f>
        <v>0.05</v>
      </c>
      <c r="DE196" s="63" cm="1">
        <f t="array" ref="DE196">IF(DE183=0,0,INDEX($G$213:$DV$213,DE183))</f>
        <v>0.05</v>
      </c>
      <c r="DF196" s="63" cm="1">
        <f t="array" ref="DF196">IF(DF183=0,0,INDEX($G$213:$DV$213,DF183))</f>
        <v>0.05</v>
      </c>
      <c r="DG196" s="63" cm="1">
        <f t="array" ref="DG196">IF(DG183=0,0,INDEX($G$213:$DV$213,DG183))</f>
        <v>0.05</v>
      </c>
      <c r="DH196" s="63" cm="1">
        <f t="array" ref="DH196">IF(DH183=0,0,INDEX($G$213:$DV$213,DH183))</f>
        <v>0.05</v>
      </c>
      <c r="DI196" s="63" cm="1">
        <f t="array" ref="DI196">IF(DI183=0,0,INDEX($G$213:$DV$213,DI183))</f>
        <v>0.05</v>
      </c>
      <c r="DJ196" s="63" cm="1">
        <f t="array" ref="DJ196">IF(DJ183=0,0,INDEX($G$213:$DV$213,DJ183))</f>
        <v>0.05</v>
      </c>
      <c r="DK196" s="63" cm="1">
        <f t="array" ref="DK196">IF(DK183=0,0,INDEX($G$213:$DV$213,DK183))</f>
        <v>0.05</v>
      </c>
      <c r="DL196" s="63" cm="1">
        <f t="array" ref="DL196">IF(DL183=0,0,INDEX($G$213:$DV$213,DL183))</f>
        <v>0.05</v>
      </c>
      <c r="DM196" s="63" cm="1">
        <f t="array" ref="DM196">IF(DM183=0,0,INDEX($G$213:$DV$213,DM183))</f>
        <v>0.05</v>
      </c>
      <c r="DN196" s="63" cm="1">
        <f t="array" ref="DN196">IF(DN183=0,0,INDEX($G$213:$DV$213,DN183))</f>
        <v>0.05</v>
      </c>
      <c r="DO196" s="63" cm="1">
        <f t="array" ref="DO196">IF(DO183=0,0,INDEX($G$213:$DV$213,DO183))</f>
        <v>0.05</v>
      </c>
      <c r="DP196" s="63" cm="1">
        <f t="array" ref="DP196">IF(DP183=0,0,INDEX($G$213:$DV$213,DP183))</f>
        <v>0.05</v>
      </c>
      <c r="DQ196" s="63" cm="1">
        <f t="array" ref="DQ196">IF(DQ183=0,0,INDEX($G$213:$DV$213,DQ183))</f>
        <v>0.05</v>
      </c>
      <c r="DR196" s="63" cm="1">
        <f t="array" ref="DR196">IF(DR183=0,0,INDEX($G$213:$DV$213,DR183))</f>
        <v>0.05</v>
      </c>
      <c r="DS196" s="63" cm="1">
        <f t="array" ref="DS196">IF(DS183=0,0,INDEX($G$213:$DV$213,DS183))</f>
        <v>0.05</v>
      </c>
      <c r="DT196" s="63" cm="1">
        <f t="array" ref="DT196">IF(DT183=0,0,INDEX($G$213:$DV$213,DT183))</f>
        <v>0.05</v>
      </c>
      <c r="DU196" s="63" cm="1">
        <f t="array" ref="DU196">IF(DU183=0,0,INDEX($G$213:$DV$213,DU183))</f>
        <v>0.05</v>
      </c>
      <c r="DV196" s="63" cm="1">
        <f t="array" ref="DV196">IF(DV183=0,0,INDEX($G$213:$DV$213,DV183))</f>
        <v>0.05</v>
      </c>
    </row>
    <row r="197" spans="2:126" outlineLevel="1">
      <c r="B197" s="3" t="str">
        <f t="shared" si="158"/>
        <v>Property K</v>
      </c>
      <c r="C197" s="2"/>
      <c r="D197" s="2"/>
      <c r="E197" s="35"/>
      <c r="F197" s="35"/>
      <c r="G197" s="63" cm="1">
        <f t="array" ref="G197">IF(G184=0,0,INDEX($G$213:$DV$213,G184))</f>
        <v>0</v>
      </c>
      <c r="H197" s="63" cm="1">
        <f t="array" ref="H197">IF(H184=0,0,INDEX($G$213:$DV$213,H184))</f>
        <v>0</v>
      </c>
      <c r="I197" s="63" cm="1">
        <f t="array" ref="I197">IF(I184=0,0,INDEX($G$213:$DV$213,I184))</f>
        <v>0</v>
      </c>
      <c r="J197" s="63" cm="1">
        <f t="array" ref="J197">IF(J184=0,0,INDEX($G$213:$DV$213,J184))</f>
        <v>0</v>
      </c>
      <c r="K197" s="63" cm="1">
        <f t="array" ref="K197">IF(K184=0,0,INDEX($G$213:$DV$213,K184))</f>
        <v>0</v>
      </c>
      <c r="L197" s="63" cm="1">
        <f t="array" ref="L197">IF(L184=0,0,INDEX($G$213:$DV$213,L184))</f>
        <v>0</v>
      </c>
      <c r="M197" s="63" cm="1">
        <f t="array" ref="M197">IF(M184=0,0,INDEX($G$213:$DV$213,M184))</f>
        <v>0</v>
      </c>
      <c r="N197" s="63" cm="1">
        <f t="array" ref="N197">IF(N184=0,0,INDEX($G$213:$DV$213,N184))</f>
        <v>0</v>
      </c>
      <c r="O197" s="63" cm="1">
        <f t="array" ref="O197">IF(O184=0,0,INDEX($G$213:$DV$213,O184))</f>
        <v>0</v>
      </c>
      <c r="P197" s="63" cm="1">
        <f t="array" ref="P197">IF(P184=0,0,INDEX($G$213:$DV$213,P184))</f>
        <v>0</v>
      </c>
      <c r="Q197" s="63" cm="1">
        <f t="array" ref="Q197">IF(Q184=0,0,INDEX($G$213:$DV$213,Q184))</f>
        <v>0</v>
      </c>
      <c r="R197" s="63" cm="1">
        <f t="array" ref="R197">IF(R184=0,0,INDEX($G$213:$DV$213,R184))</f>
        <v>0</v>
      </c>
      <c r="S197" s="63" cm="1">
        <f t="array" ref="S197">IF(S184=0,0,INDEX($G$213:$DV$213,S184))</f>
        <v>0</v>
      </c>
      <c r="T197" s="63" cm="1">
        <f t="array" ref="T197">IF(T184=0,0,INDEX($G$213:$DV$213,T184))</f>
        <v>0</v>
      </c>
      <c r="U197" s="63" cm="1">
        <f t="array" ref="U197">IF(U184=0,0,INDEX($G$213:$DV$213,U184))</f>
        <v>0</v>
      </c>
      <c r="V197" s="63" cm="1">
        <f t="array" ref="V197">IF(V184=0,0,INDEX($G$213:$DV$213,V184))</f>
        <v>0</v>
      </c>
      <c r="W197" s="63" cm="1">
        <f t="array" ref="W197">IF(W184=0,0,INDEX($G$213:$DV$213,W184))</f>
        <v>0</v>
      </c>
      <c r="X197" s="63" cm="1">
        <f t="array" ref="X197">IF(X184=0,0,INDEX($G$213:$DV$213,X184))</f>
        <v>0</v>
      </c>
      <c r="Y197" s="63" cm="1">
        <f t="array" ref="Y197">IF(Y184=0,0,INDEX($G$213:$DV$213,Y184))</f>
        <v>0</v>
      </c>
      <c r="Z197" s="63" cm="1">
        <f t="array" ref="Z197">IF(Z184=0,0,INDEX($G$213:$DV$213,Z184))</f>
        <v>0</v>
      </c>
      <c r="AA197" s="63" cm="1">
        <f t="array" ref="AA197">IF(AA184=0,0,INDEX($G$213:$DV$213,AA184))</f>
        <v>0</v>
      </c>
      <c r="AB197" s="63" cm="1">
        <f t="array" ref="AB197">IF(AB184=0,0,INDEX($G$213:$DV$213,AB184))</f>
        <v>0</v>
      </c>
      <c r="AC197" s="63" cm="1">
        <f t="array" ref="AC197">IF(AC184=0,0,INDEX($G$213:$DV$213,AC184))</f>
        <v>0</v>
      </c>
      <c r="AD197" s="63" cm="1">
        <f t="array" ref="AD197">IF(AD184=0,0,INDEX($G$213:$DV$213,AD184))</f>
        <v>0</v>
      </c>
      <c r="AE197" s="63" cm="1">
        <f t="array" ref="AE197">IF(AE184=0,0,INDEX($G$213:$DV$213,AE184))</f>
        <v>0</v>
      </c>
      <c r="AF197" s="63" cm="1">
        <f t="array" ref="AF197">IF(AF184=0,0,INDEX($G$213:$DV$213,AF184))</f>
        <v>0</v>
      </c>
      <c r="AG197" s="63" cm="1">
        <f t="array" ref="AG197">IF(AG184=0,0,INDEX($G$213:$DV$213,AG184))</f>
        <v>0</v>
      </c>
      <c r="AH197" s="63" cm="1">
        <f t="array" ref="AH197">IF(AH184=0,0,INDEX($G$213:$DV$213,AH184))</f>
        <v>0</v>
      </c>
      <c r="AI197" s="63" cm="1">
        <f t="array" ref="AI197">IF(AI184=0,0,INDEX($G$213:$DV$213,AI184))</f>
        <v>0</v>
      </c>
      <c r="AJ197" s="63" cm="1">
        <f t="array" ref="AJ197">IF(AJ184=0,0,INDEX($G$213:$DV$213,AJ184))</f>
        <v>0</v>
      </c>
      <c r="AK197" s="63" cm="1">
        <f t="array" ref="AK197">IF(AK184=0,0,INDEX($G$213:$DV$213,AK184))</f>
        <v>0</v>
      </c>
      <c r="AL197" s="63" cm="1">
        <f t="array" ref="AL197">IF(AL184=0,0,INDEX($G$213:$DV$213,AL184))</f>
        <v>0</v>
      </c>
      <c r="AM197" s="63" cm="1">
        <f t="array" ref="AM197">IF(AM184=0,0,INDEX($G$213:$DV$213,AM184))</f>
        <v>0</v>
      </c>
      <c r="AN197" s="63" cm="1">
        <f t="array" ref="AN197">IF(AN184=0,0,INDEX($G$213:$DV$213,AN184))</f>
        <v>0.75</v>
      </c>
      <c r="AO197" s="63" cm="1">
        <f t="array" ref="AO197">IF(AO184=0,0,INDEX($G$213:$DV$213,AO184))</f>
        <v>0.65</v>
      </c>
      <c r="AP197" s="63" cm="1">
        <f t="array" ref="AP197">IF(AP184=0,0,INDEX($G$213:$DV$213,AP184))</f>
        <v>0.55000000000000004</v>
      </c>
      <c r="AQ197" s="63" cm="1">
        <f t="array" ref="AQ197">IF(AQ184=0,0,INDEX($G$213:$DV$213,AQ184))</f>
        <v>0.45000000000000007</v>
      </c>
      <c r="AR197" s="63" cm="1">
        <f t="array" ref="AR197">IF(AR184=0,0,INDEX($G$213:$DV$213,AR184))</f>
        <v>0.35000000000000009</v>
      </c>
      <c r="AS197" s="63" cm="1">
        <f t="array" ref="AS197">IF(AS184=0,0,INDEX($G$213:$DV$213,AS184))</f>
        <v>0.25</v>
      </c>
      <c r="AT197" s="63" cm="1">
        <f t="array" ref="AT197">IF(AT184=0,0,INDEX($G$213:$DV$213,AT184))</f>
        <v>0.22500000000000001</v>
      </c>
      <c r="AU197" s="63" cm="1">
        <f t="array" ref="AU197">IF(AU184=0,0,INDEX($G$213:$DV$213,AU184))</f>
        <v>0.2</v>
      </c>
      <c r="AV197" s="63" cm="1">
        <f t="array" ref="AV197">IF(AV184=0,0,INDEX($G$213:$DV$213,AV184))</f>
        <v>0.17500000000000002</v>
      </c>
      <c r="AW197" s="63" cm="1">
        <f t="array" ref="AW197">IF(AW184=0,0,INDEX($G$213:$DV$213,AW184))</f>
        <v>0.15000000000000002</v>
      </c>
      <c r="AX197" s="63" cm="1">
        <f t="array" ref="AX197">IF(AX184=0,0,INDEX($G$213:$DV$213,AX184))</f>
        <v>0.12500000000000003</v>
      </c>
      <c r="AY197" s="63" cm="1">
        <f t="array" ref="AY197">IF(AY184=0,0,INDEX($G$213:$DV$213,AY184))</f>
        <v>0.1</v>
      </c>
      <c r="AZ197" s="63" cm="1">
        <f t="array" ref="AZ197">IF(AZ184=0,0,INDEX($G$213:$DV$213,AZ184))</f>
        <v>9.583333333333334E-2</v>
      </c>
      <c r="BA197" s="63" cm="1">
        <f t="array" ref="BA197">IF(BA184=0,0,INDEX($G$213:$DV$213,BA184))</f>
        <v>9.1666666666666674E-2</v>
      </c>
      <c r="BB197" s="63" cm="1">
        <f t="array" ref="BB197">IF(BB184=0,0,INDEX($G$213:$DV$213,BB184))</f>
        <v>8.7500000000000008E-2</v>
      </c>
      <c r="BC197" s="63" cm="1">
        <f t="array" ref="BC197">IF(BC184=0,0,INDEX($G$213:$DV$213,BC184))</f>
        <v>8.3333333333333343E-2</v>
      </c>
      <c r="BD197" s="63" cm="1">
        <f t="array" ref="BD197">IF(BD184=0,0,INDEX($G$213:$DV$213,BD184))</f>
        <v>7.9166666666666677E-2</v>
      </c>
      <c r="BE197" s="63" cm="1">
        <f t="array" ref="BE197">IF(BE184=0,0,INDEX($G$213:$DV$213,BE184))</f>
        <v>7.5000000000000011E-2</v>
      </c>
      <c r="BF197" s="63" cm="1">
        <f t="array" ref="BF197">IF(BF184=0,0,INDEX($G$213:$DV$213,BF184))</f>
        <v>7.0833333333333345E-2</v>
      </c>
      <c r="BG197" s="63" cm="1">
        <f t="array" ref="BG197">IF(BG184=0,0,INDEX($G$213:$DV$213,BG184))</f>
        <v>6.666666666666668E-2</v>
      </c>
      <c r="BH197" s="63" cm="1">
        <f t="array" ref="BH197">IF(BH184=0,0,INDEX($G$213:$DV$213,BH184))</f>
        <v>6.2500000000000014E-2</v>
      </c>
      <c r="BI197" s="63" cm="1">
        <f t="array" ref="BI197">IF(BI184=0,0,INDEX($G$213:$DV$213,BI184))</f>
        <v>5.8333333333333348E-2</v>
      </c>
      <c r="BJ197" s="63" cm="1">
        <f t="array" ref="BJ197">IF(BJ184=0,0,INDEX($G$213:$DV$213,BJ184))</f>
        <v>5.4166666666666682E-2</v>
      </c>
      <c r="BK197" s="63" cm="1">
        <f t="array" ref="BK197">IF(BK184=0,0,INDEX($G$213:$DV$213,BK184))</f>
        <v>0.05</v>
      </c>
      <c r="BL197" s="63" cm="1">
        <f t="array" ref="BL197">IF(BL184=0,0,INDEX($G$213:$DV$213,BL184))</f>
        <v>0.05</v>
      </c>
      <c r="BM197" s="63" cm="1">
        <f t="array" ref="BM197">IF(BM184=0,0,INDEX($G$213:$DV$213,BM184))</f>
        <v>0.05</v>
      </c>
      <c r="BN197" s="63" cm="1">
        <f t="array" ref="BN197">IF(BN184=0,0,INDEX($G$213:$DV$213,BN184))</f>
        <v>0.05</v>
      </c>
      <c r="BO197" s="63" cm="1">
        <f t="array" ref="BO197">IF(BO184=0,0,INDEX($G$213:$DV$213,BO184))</f>
        <v>0.05</v>
      </c>
      <c r="BP197" s="63" cm="1">
        <f t="array" ref="BP197">IF(BP184=0,0,INDEX($G$213:$DV$213,BP184))</f>
        <v>0.05</v>
      </c>
      <c r="BQ197" s="63" cm="1">
        <f t="array" ref="BQ197">IF(BQ184=0,0,INDEX($G$213:$DV$213,BQ184))</f>
        <v>0.05</v>
      </c>
      <c r="BR197" s="63" cm="1">
        <f t="array" ref="BR197">IF(BR184=0,0,INDEX($G$213:$DV$213,BR184))</f>
        <v>0.05</v>
      </c>
      <c r="BS197" s="63" cm="1">
        <f t="array" ref="BS197">IF(BS184=0,0,INDEX($G$213:$DV$213,BS184))</f>
        <v>0.05</v>
      </c>
      <c r="BT197" s="63" cm="1">
        <f t="array" ref="BT197">IF(BT184=0,0,INDEX($G$213:$DV$213,BT184))</f>
        <v>0.05</v>
      </c>
      <c r="BU197" s="63" cm="1">
        <f t="array" ref="BU197">IF(BU184=0,0,INDEX($G$213:$DV$213,BU184))</f>
        <v>0.05</v>
      </c>
      <c r="BV197" s="63" cm="1">
        <f t="array" ref="BV197">IF(BV184=0,0,INDEX($G$213:$DV$213,BV184))</f>
        <v>0.05</v>
      </c>
      <c r="BW197" s="63" cm="1">
        <f t="array" ref="BW197">IF(BW184=0,0,INDEX($G$213:$DV$213,BW184))</f>
        <v>0.05</v>
      </c>
      <c r="BX197" s="63" cm="1">
        <f t="array" ref="BX197">IF(BX184=0,0,INDEX($G$213:$DV$213,BX184))</f>
        <v>0.05</v>
      </c>
      <c r="BY197" s="63" cm="1">
        <f t="array" ref="BY197">IF(BY184=0,0,INDEX($G$213:$DV$213,BY184))</f>
        <v>0.05</v>
      </c>
      <c r="BZ197" s="63" cm="1">
        <f t="array" ref="BZ197">IF(BZ184=0,0,INDEX($G$213:$DV$213,BZ184))</f>
        <v>0.05</v>
      </c>
      <c r="CA197" s="63" cm="1">
        <f t="array" ref="CA197">IF(CA184=0,0,INDEX($G$213:$DV$213,CA184))</f>
        <v>0.05</v>
      </c>
      <c r="CB197" s="63" cm="1">
        <f t="array" ref="CB197">IF(CB184=0,0,INDEX($G$213:$DV$213,CB184))</f>
        <v>0.05</v>
      </c>
      <c r="CC197" s="63" cm="1">
        <f t="array" ref="CC197">IF(CC184=0,0,INDEX($G$213:$DV$213,CC184))</f>
        <v>0.05</v>
      </c>
      <c r="CD197" s="63" cm="1">
        <f t="array" ref="CD197">IF(CD184=0,0,INDEX($G$213:$DV$213,CD184))</f>
        <v>0.05</v>
      </c>
      <c r="CE197" s="63" cm="1">
        <f t="array" ref="CE197">IF(CE184=0,0,INDEX($G$213:$DV$213,CE184))</f>
        <v>0.05</v>
      </c>
      <c r="CF197" s="63" cm="1">
        <f t="array" ref="CF197">IF(CF184=0,0,INDEX($G$213:$DV$213,CF184))</f>
        <v>0.05</v>
      </c>
      <c r="CG197" s="63" cm="1">
        <f t="array" ref="CG197">IF(CG184=0,0,INDEX($G$213:$DV$213,CG184))</f>
        <v>0.05</v>
      </c>
      <c r="CH197" s="63" cm="1">
        <f t="array" ref="CH197">IF(CH184=0,0,INDEX($G$213:$DV$213,CH184))</f>
        <v>0.05</v>
      </c>
      <c r="CI197" s="63" cm="1">
        <f t="array" ref="CI197">IF(CI184=0,0,INDEX($G$213:$DV$213,CI184))</f>
        <v>0.05</v>
      </c>
      <c r="CJ197" s="63" cm="1">
        <f t="array" ref="CJ197">IF(CJ184=0,0,INDEX($G$213:$DV$213,CJ184))</f>
        <v>0.05</v>
      </c>
      <c r="CK197" s="63" cm="1">
        <f t="array" ref="CK197">IF(CK184=0,0,INDEX($G$213:$DV$213,CK184))</f>
        <v>0.05</v>
      </c>
      <c r="CL197" s="63" cm="1">
        <f t="array" ref="CL197">IF(CL184=0,0,INDEX($G$213:$DV$213,CL184))</f>
        <v>0.05</v>
      </c>
      <c r="CM197" s="63" cm="1">
        <f t="array" ref="CM197">IF(CM184=0,0,INDEX($G$213:$DV$213,CM184))</f>
        <v>0.05</v>
      </c>
      <c r="CN197" s="63" cm="1">
        <f t="array" ref="CN197">IF(CN184=0,0,INDEX($G$213:$DV$213,CN184))</f>
        <v>0.05</v>
      </c>
      <c r="CO197" s="63" cm="1">
        <f t="array" ref="CO197">IF(CO184=0,0,INDEX($G$213:$DV$213,CO184))</f>
        <v>0.05</v>
      </c>
      <c r="CP197" s="63" cm="1">
        <f t="array" ref="CP197">IF(CP184=0,0,INDEX($G$213:$DV$213,CP184))</f>
        <v>0.05</v>
      </c>
      <c r="CQ197" s="63" cm="1">
        <f t="array" ref="CQ197">IF(CQ184=0,0,INDEX($G$213:$DV$213,CQ184))</f>
        <v>0.05</v>
      </c>
      <c r="CR197" s="63" cm="1">
        <f t="array" ref="CR197">IF(CR184=0,0,INDEX($G$213:$DV$213,CR184))</f>
        <v>0.05</v>
      </c>
      <c r="CS197" s="63" cm="1">
        <f t="array" ref="CS197">IF(CS184=0,0,INDEX($G$213:$DV$213,CS184))</f>
        <v>0.05</v>
      </c>
      <c r="CT197" s="63" cm="1">
        <f t="array" ref="CT197">IF(CT184=0,0,INDEX($G$213:$DV$213,CT184))</f>
        <v>0.05</v>
      </c>
      <c r="CU197" s="63" cm="1">
        <f t="array" ref="CU197">IF(CU184=0,0,INDEX($G$213:$DV$213,CU184))</f>
        <v>0.05</v>
      </c>
      <c r="CV197" s="63" cm="1">
        <f t="array" ref="CV197">IF(CV184=0,0,INDEX($G$213:$DV$213,CV184))</f>
        <v>0.05</v>
      </c>
      <c r="CW197" s="63" cm="1">
        <f t="array" ref="CW197">IF(CW184=0,0,INDEX($G$213:$DV$213,CW184))</f>
        <v>0.05</v>
      </c>
      <c r="CX197" s="63" cm="1">
        <f t="array" ref="CX197">IF(CX184=0,0,INDEX($G$213:$DV$213,CX184))</f>
        <v>0.05</v>
      </c>
      <c r="CY197" s="63" cm="1">
        <f t="array" ref="CY197">IF(CY184=0,0,INDEX($G$213:$DV$213,CY184))</f>
        <v>0.05</v>
      </c>
      <c r="CZ197" s="63" cm="1">
        <f t="array" ref="CZ197">IF(CZ184=0,0,INDEX($G$213:$DV$213,CZ184))</f>
        <v>0.05</v>
      </c>
      <c r="DA197" s="63" cm="1">
        <f t="array" ref="DA197">IF(DA184=0,0,INDEX($G$213:$DV$213,DA184))</f>
        <v>0.05</v>
      </c>
      <c r="DB197" s="63" cm="1">
        <f t="array" ref="DB197">IF(DB184=0,0,INDEX($G$213:$DV$213,DB184))</f>
        <v>0.05</v>
      </c>
      <c r="DC197" s="63" cm="1">
        <f t="array" ref="DC197">IF(DC184=0,0,INDEX($G$213:$DV$213,DC184))</f>
        <v>0.05</v>
      </c>
      <c r="DD197" s="63" cm="1">
        <f t="array" ref="DD197">IF(DD184=0,0,INDEX($G$213:$DV$213,DD184))</f>
        <v>0.05</v>
      </c>
      <c r="DE197" s="63" cm="1">
        <f t="array" ref="DE197">IF(DE184=0,0,INDEX($G$213:$DV$213,DE184))</f>
        <v>0.05</v>
      </c>
      <c r="DF197" s="63" cm="1">
        <f t="array" ref="DF197">IF(DF184=0,0,INDEX($G$213:$DV$213,DF184))</f>
        <v>0.05</v>
      </c>
      <c r="DG197" s="63" cm="1">
        <f t="array" ref="DG197">IF(DG184=0,0,INDEX($G$213:$DV$213,DG184))</f>
        <v>0.05</v>
      </c>
      <c r="DH197" s="63" cm="1">
        <f t="array" ref="DH197">IF(DH184=0,0,INDEX($G$213:$DV$213,DH184))</f>
        <v>0.05</v>
      </c>
      <c r="DI197" s="63" cm="1">
        <f t="array" ref="DI197">IF(DI184=0,0,INDEX($G$213:$DV$213,DI184))</f>
        <v>0.05</v>
      </c>
      <c r="DJ197" s="63" cm="1">
        <f t="array" ref="DJ197">IF(DJ184=0,0,INDEX($G$213:$DV$213,DJ184))</f>
        <v>0.05</v>
      </c>
      <c r="DK197" s="63" cm="1">
        <f t="array" ref="DK197">IF(DK184=0,0,INDEX($G$213:$DV$213,DK184))</f>
        <v>0.05</v>
      </c>
      <c r="DL197" s="63" cm="1">
        <f t="array" ref="DL197">IF(DL184=0,0,INDEX($G$213:$DV$213,DL184))</f>
        <v>0.05</v>
      </c>
      <c r="DM197" s="63" cm="1">
        <f t="array" ref="DM197">IF(DM184=0,0,INDEX($G$213:$DV$213,DM184))</f>
        <v>0.05</v>
      </c>
      <c r="DN197" s="63" cm="1">
        <f t="array" ref="DN197">IF(DN184=0,0,INDEX($G$213:$DV$213,DN184))</f>
        <v>0.05</v>
      </c>
      <c r="DO197" s="63" cm="1">
        <f t="array" ref="DO197">IF(DO184=0,0,INDEX($G$213:$DV$213,DO184))</f>
        <v>0.05</v>
      </c>
      <c r="DP197" s="63" cm="1">
        <f t="array" ref="DP197">IF(DP184=0,0,INDEX($G$213:$DV$213,DP184))</f>
        <v>0.05</v>
      </c>
      <c r="DQ197" s="63" cm="1">
        <f t="array" ref="DQ197">IF(DQ184=0,0,INDEX($G$213:$DV$213,DQ184))</f>
        <v>0.05</v>
      </c>
      <c r="DR197" s="63" cm="1">
        <f t="array" ref="DR197">IF(DR184=0,0,INDEX($G$213:$DV$213,DR184))</f>
        <v>0.05</v>
      </c>
      <c r="DS197" s="63" cm="1">
        <f t="array" ref="DS197">IF(DS184=0,0,INDEX($G$213:$DV$213,DS184))</f>
        <v>0.05</v>
      </c>
      <c r="DT197" s="63" cm="1">
        <f t="array" ref="DT197">IF(DT184=0,0,INDEX($G$213:$DV$213,DT184))</f>
        <v>0.05</v>
      </c>
      <c r="DU197" s="63" cm="1">
        <f t="array" ref="DU197">IF(DU184=0,0,INDEX($G$213:$DV$213,DU184))</f>
        <v>0.05</v>
      </c>
      <c r="DV197" s="63" cm="1">
        <f t="array" ref="DV197">IF(DV184=0,0,INDEX($G$213:$DV$213,DV184))</f>
        <v>0.05</v>
      </c>
    </row>
    <row r="198" spans="2:126" outlineLevel="1">
      <c r="B198" s="3" t="str">
        <f t="shared" si="158"/>
        <v>Property L</v>
      </c>
      <c r="C198" s="2"/>
      <c r="D198" s="2"/>
      <c r="E198" s="35"/>
      <c r="F198" s="35"/>
      <c r="G198" s="63" cm="1">
        <f t="array" ref="G198">IF(G185=0,0,INDEX($G$213:$DV$213,G185))</f>
        <v>0</v>
      </c>
      <c r="H198" s="63" cm="1">
        <f t="array" ref="H198">IF(H185=0,0,INDEX($G$213:$DV$213,H185))</f>
        <v>0</v>
      </c>
      <c r="I198" s="63" cm="1">
        <f t="array" ref="I198">IF(I185=0,0,INDEX($G$213:$DV$213,I185))</f>
        <v>0</v>
      </c>
      <c r="J198" s="63" cm="1">
        <f t="array" ref="J198">IF(J185=0,0,INDEX($G$213:$DV$213,J185))</f>
        <v>0</v>
      </c>
      <c r="K198" s="63" cm="1">
        <f t="array" ref="K198">IF(K185=0,0,INDEX($G$213:$DV$213,K185))</f>
        <v>0</v>
      </c>
      <c r="L198" s="63" cm="1">
        <f t="array" ref="L198">IF(L185=0,0,INDEX($G$213:$DV$213,L185))</f>
        <v>0</v>
      </c>
      <c r="M198" s="63" cm="1">
        <f t="array" ref="M198">IF(M185=0,0,INDEX($G$213:$DV$213,M185))</f>
        <v>0</v>
      </c>
      <c r="N198" s="63" cm="1">
        <f t="array" ref="N198">IF(N185=0,0,INDEX($G$213:$DV$213,N185))</f>
        <v>0</v>
      </c>
      <c r="O198" s="63" cm="1">
        <f t="array" ref="O198">IF(O185=0,0,INDEX($G$213:$DV$213,O185))</f>
        <v>0</v>
      </c>
      <c r="P198" s="63" cm="1">
        <f t="array" ref="P198">IF(P185=0,0,INDEX($G$213:$DV$213,P185))</f>
        <v>0</v>
      </c>
      <c r="Q198" s="63" cm="1">
        <f t="array" ref="Q198">IF(Q185=0,0,INDEX($G$213:$DV$213,Q185))</f>
        <v>0</v>
      </c>
      <c r="R198" s="63" cm="1">
        <f t="array" ref="R198">IF(R185=0,0,INDEX($G$213:$DV$213,R185))</f>
        <v>0</v>
      </c>
      <c r="S198" s="63" cm="1">
        <f t="array" ref="S198">IF(S185=0,0,INDEX($G$213:$DV$213,S185))</f>
        <v>0</v>
      </c>
      <c r="T198" s="63" cm="1">
        <f t="array" ref="T198">IF(T185=0,0,INDEX($G$213:$DV$213,T185))</f>
        <v>0</v>
      </c>
      <c r="U198" s="63" cm="1">
        <f t="array" ref="U198">IF(U185=0,0,INDEX($G$213:$DV$213,U185))</f>
        <v>0</v>
      </c>
      <c r="V198" s="63" cm="1">
        <f t="array" ref="V198">IF(V185=0,0,INDEX($G$213:$DV$213,V185))</f>
        <v>0</v>
      </c>
      <c r="W198" s="63" cm="1">
        <f t="array" ref="W198">IF(W185=0,0,INDEX($G$213:$DV$213,W185))</f>
        <v>0</v>
      </c>
      <c r="X198" s="63" cm="1">
        <f t="array" ref="X198">IF(X185=0,0,INDEX($G$213:$DV$213,X185))</f>
        <v>0</v>
      </c>
      <c r="Y198" s="63" cm="1">
        <f t="array" ref="Y198">IF(Y185=0,0,INDEX($G$213:$DV$213,Y185))</f>
        <v>0</v>
      </c>
      <c r="Z198" s="63" cm="1">
        <f t="array" ref="Z198">IF(Z185=0,0,INDEX($G$213:$DV$213,Z185))</f>
        <v>0</v>
      </c>
      <c r="AA198" s="63" cm="1">
        <f t="array" ref="AA198">IF(AA185=0,0,INDEX($G$213:$DV$213,AA185))</f>
        <v>0</v>
      </c>
      <c r="AB198" s="63" cm="1">
        <f t="array" ref="AB198">IF(AB185=0,0,INDEX($G$213:$DV$213,AB185))</f>
        <v>0</v>
      </c>
      <c r="AC198" s="63" cm="1">
        <f t="array" ref="AC198">IF(AC185=0,0,INDEX($G$213:$DV$213,AC185))</f>
        <v>0</v>
      </c>
      <c r="AD198" s="63" cm="1">
        <f t="array" ref="AD198">IF(AD185=0,0,INDEX($G$213:$DV$213,AD185))</f>
        <v>0</v>
      </c>
      <c r="AE198" s="63" cm="1">
        <f t="array" ref="AE198">IF(AE185=0,0,INDEX($G$213:$DV$213,AE185))</f>
        <v>0</v>
      </c>
      <c r="AF198" s="63" cm="1">
        <f t="array" ref="AF198">IF(AF185=0,0,INDEX($G$213:$DV$213,AF185))</f>
        <v>0</v>
      </c>
      <c r="AG198" s="63" cm="1">
        <f t="array" ref="AG198">IF(AG185=0,0,INDEX($G$213:$DV$213,AG185))</f>
        <v>0</v>
      </c>
      <c r="AH198" s="63" cm="1">
        <f t="array" ref="AH198">IF(AH185=0,0,INDEX($G$213:$DV$213,AH185))</f>
        <v>0</v>
      </c>
      <c r="AI198" s="63" cm="1">
        <f t="array" ref="AI198">IF(AI185=0,0,INDEX($G$213:$DV$213,AI185))</f>
        <v>0</v>
      </c>
      <c r="AJ198" s="63" cm="1">
        <f t="array" ref="AJ198">IF(AJ185=0,0,INDEX($G$213:$DV$213,AJ185))</f>
        <v>0</v>
      </c>
      <c r="AK198" s="63" cm="1">
        <f t="array" ref="AK198">IF(AK185=0,0,INDEX($G$213:$DV$213,AK185))</f>
        <v>0</v>
      </c>
      <c r="AL198" s="63" cm="1">
        <f t="array" ref="AL198">IF(AL185=0,0,INDEX($G$213:$DV$213,AL185))</f>
        <v>0</v>
      </c>
      <c r="AM198" s="63" cm="1">
        <f t="array" ref="AM198">IF(AM185=0,0,INDEX($G$213:$DV$213,AM185))</f>
        <v>0</v>
      </c>
      <c r="AN198" s="63" cm="1">
        <f t="array" ref="AN198">IF(AN185=0,0,INDEX($G$213:$DV$213,AN185))</f>
        <v>0</v>
      </c>
      <c r="AO198" s="63" cm="1">
        <f t="array" ref="AO198">IF(AO185=0,0,INDEX($G$213:$DV$213,AO185))</f>
        <v>0</v>
      </c>
      <c r="AP198" s="63" cm="1">
        <f t="array" ref="AP198">IF(AP185=0,0,INDEX($G$213:$DV$213,AP185))</f>
        <v>0</v>
      </c>
      <c r="AQ198" s="63" cm="1">
        <f t="array" ref="AQ198">IF(AQ185=0,0,INDEX($G$213:$DV$213,AQ185))</f>
        <v>0</v>
      </c>
      <c r="AR198" s="63" cm="1">
        <f t="array" ref="AR198">IF(AR185=0,0,INDEX($G$213:$DV$213,AR185))</f>
        <v>0</v>
      </c>
      <c r="AS198" s="63" cm="1">
        <f t="array" ref="AS198">IF(AS185=0,0,INDEX($G$213:$DV$213,AS185))</f>
        <v>0</v>
      </c>
      <c r="AT198" s="63" cm="1">
        <f t="array" ref="AT198">IF(AT185=0,0,INDEX($G$213:$DV$213,AT185))</f>
        <v>0</v>
      </c>
      <c r="AU198" s="63" cm="1">
        <f t="array" ref="AU198">IF(AU185=0,0,INDEX($G$213:$DV$213,AU185))</f>
        <v>0</v>
      </c>
      <c r="AV198" s="63" cm="1">
        <f t="array" ref="AV198">IF(AV185=0,0,INDEX($G$213:$DV$213,AV185))</f>
        <v>0</v>
      </c>
      <c r="AW198" s="63" cm="1">
        <f t="array" ref="AW198">IF(AW185=0,0,INDEX($G$213:$DV$213,AW185))</f>
        <v>0</v>
      </c>
      <c r="AX198" s="63" cm="1">
        <f t="array" ref="AX198">IF(AX185=0,0,INDEX($G$213:$DV$213,AX185))</f>
        <v>0</v>
      </c>
      <c r="AY198" s="63" cm="1">
        <f t="array" ref="AY198">IF(AY185=0,0,INDEX($G$213:$DV$213,AY185))</f>
        <v>0</v>
      </c>
      <c r="AZ198" s="63" cm="1">
        <f t="array" ref="AZ198">IF(AZ185=0,0,INDEX($G$213:$DV$213,AZ185))</f>
        <v>0</v>
      </c>
      <c r="BA198" s="63" cm="1">
        <f t="array" ref="BA198">IF(BA185=0,0,INDEX($G$213:$DV$213,BA185))</f>
        <v>0</v>
      </c>
      <c r="BB198" s="63" cm="1">
        <f t="array" ref="BB198">IF(BB185=0,0,INDEX($G$213:$DV$213,BB185))</f>
        <v>0</v>
      </c>
      <c r="BC198" s="63" cm="1">
        <f t="array" ref="BC198">IF(BC185=0,0,INDEX($G$213:$DV$213,BC185))</f>
        <v>0</v>
      </c>
      <c r="BD198" s="63" cm="1">
        <f t="array" ref="BD198">IF(BD185=0,0,INDEX($G$213:$DV$213,BD185))</f>
        <v>0</v>
      </c>
      <c r="BE198" s="63" cm="1">
        <f t="array" ref="BE198">IF(BE185=0,0,INDEX($G$213:$DV$213,BE185))</f>
        <v>0.75</v>
      </c>
      <c r="BF198" s="63" cm="1">
        <f t="array" ref="BF198">IF(BF185=0,0,INDEX($G$213:$DV$213,BF185))</f>
        <v>0.65</v>
      </c>
      <c r="BG198" s="63" cm="1">
        <f t="array" ref="BG198">IF(BG185=0,0,INDEX($G$213:$DV$213,BG185))</f>
        <v>0.55000000000000004</v>
      </c>
      <c r="BH198" s="63" cm="1">
        <f t="array" ref="BH198">IF(BH185=0,0,INDEX($G$213:$DV$213,BH185))</f>
        <v>0.45000000000000007</v>
      </c>
      <c r="BI198" s="63" cm="1">
        <f t="array" ref="BI198">IF(BI185=0,0,INDEX($G$213:$DV$213,BI185))</f>
        <v>0.35000000000000009</v>
      </c>
      <c r="BJ198" s="63" cm="1">
        <f t="array" ref="BJ198">IF(BJ185=0,0,INDEX($G$213:$DV$213,BJ185))</f>
        <v>0.25</v>
      </c>
      <c r="BK198" s="63" cm="1">
        <f t="array" ref="BK198">IF(BK185=0,0,INDEX($G$213:$DV$213,BK185))</f>
        <v>0.22500000000000001</v>
      </c>
      <c r="BL198" s="63" cm="1">
        <f t="array" ref="BL198">IF(BL185=0,0,INDEX($G$213:$DV$213,BL185))</f>
        <v>0.2</v>
      </c>
      <c r="BM198" s="63" cm="1">
        <f t="array" ref="BM198">IF(BM185=0,0,INDEX($G$213:$DV$213,BM185))</f>
        <v>0.17500000000000002</v>
      </c>
      <c r="BN198" s="63" cm="1">
        <f t="array" ref="BN198">IF(BN185=0,0,INDEX($G$213:$DV$213,BN185))</f>
        <v>0.15000000000000002</v>
      </c>
      <c r="BO198" s="63" cm="1">
        <f t="array" ref="BO198">IF(BO185=0,0,INDEX($G$213:$DV$213,BO185))</f>
        <v>0.12500000000000003</v>
      </c>
      <c r="BP198" s="63" cm="1">
        <f t="array" ref="BP198">IF(BP185=0,0,INDEX($G$213:$DV$213,BP185))</f>
        <v>0.1</v>
      </c>
      <c r="BQ198" s="63" cm="1">
        <f t="array" ref="BQ198">IF(BQ185=0,0,INDEX($G$213:$DV$213,BQ185))</f>
        <v>9.583333333333334E-2</v>
      </c>
      <c r="BR198" s="63" cm="1">
        <f t="array" ref="BR198">IF(BR185=0,0,INDEX($G$213:$DV$213,BR185))</f>
        <v>9.1666666666666674E-2</v>
      </c>
      <c r="BS198" s="63" cm="1">
        <f t="array" ref="BS198">IF(BS185=0,0,INDEX($G$213:$DV$213,BS185))</f>
        <v>8.7500000000000008E-2</v>
      </c>
      <c r="BT198" s="63" cm="1">
        <f t="array" ref="BT198">IF(BT185=0,0,INDEX($G$213:$DV$213,BT185))</f>
        <v>8.3333333333333343E-2</v>
      </c>
      <c r="BU198" s="63" cm="1">
        <f t="array" ref="BU198">IF(BU185=0,0,INDEX($G$213:$DV$213,BU185))</f>
        <v>7.9166666666666677E-2</v>
      </c>
      <c r="BV198" s="63" cm="1">
        <f t="array" ref="BV198">IF(BV185=0,0,INDEX($G$213:$DV$213,BV185))</f>
        <v>7.5000000000000011E-2</v>
      </c>
      <c r="BW198" s="63" cm="1">
        <f t="array" ref="BW198">IF(BW185=0,0,INDEX($G$213:$DV$213,BW185))</f>
        <v>7.0833333333333345E-2</v>
      </c>
      <c r="BX198" s="63" cm="1">
        <f t="array" ref="BX198">IF(BX185=0,0,INDEX($G$213:$DV$213,BX185))</f>
        <v>6.666666666666668E-2</v>
      </c>
      <c r="BY198" s="63" cm="1">
        <f t="array" ref="BY198">IF(BY185=0,0,INDEX($G$213:$DV$213,BY185))</f>
        <v>6.2500000000000014E-2</v>
      </c>
      <c r="BZ198" s="63" cm="1">
        <f t="array" ref="BZ198">IF(BZ185=0,0,INDEX($G$213:$DV$213,BZ185))</f>
        <v>5.8333333333333348E-2</v>
      </c>
      <c r="CA198" s="63" cm="1">
        <f t="array" ref="CA198">IF(CA185=0,0,INDEX($G$213:$DV$213,CA185))</f>
        <v>5.4166666666666682E-2</v>
      </c>
      <c r="CB198" s="63" cm="1">
        <f t="array" ref="CB198">IF(CB185=0,0,INDEX($G$213:$DV$213,CB185))</f>
        <v>0.05</v>
      </c>
      <c r="CC198" s="63" cm="1">
        <f t="array" ref="CC198">IF(CC185=0,0,INDEX($G$213:$DV$213,CC185))</f>
        <v>0.05</v>
      </c>
      <c r="CD198" s="63" cm="1">
        <f t="array" ref="CD198">IF(CD185=0,0,INDEX($G$213:$DV$213,CD185))</f>
        <v>0.05</v>
      </c>
      <c r="CE198" s="63" cm="1">
        <f t="array" ref="CE198">IF(CE185=0,0,INDEX($G$213:$DV$213,CE185))</f>
        <v>0.05</v>
      </c>
      <c r="CF198" s="63" cm="1">
        <f t="array" ref="CF198">IF(CF185=0,0,INDEX($G$213:$DV$213,CF185))</f>
        <v>0.05</v>
      </c>
      <c r="CG198" s="63" cm="1">
        <f t="array" ref="CG198">IF(CG185=0,0,INDEX($G$213:$DV$213,CG185))</f>
        <v>0.05</v>
      </c>
      <c r="CH198" s="63" cm="1">
        <f t="array" ref="CH198">IF(CH185=0,0,INDEX($G$213:$DV$213,CH185))</f>
        <v>0.05</v>
      </c>
      <c r="CI198" s="63" cm="1">
        <f t="array" ref="CI198">IF(CI185=0,0,INDEX($G$213:$DV$213,CI185))</f>
        <v>0.05</v>
      </c>
      <c r="CJ198" s="63" cm="1">
        <f t="array" ref="CJ198">IF(CJ185=0,0,INDEX($G$213:$DV$213,CJ185))</f>
        <v>0.05</v>
      </c>
      <c r="CK198" s="63" cm="1">
        <f t="array" ref="CK198">IF(CK185=0,0,INDEX($G$213:$DV$213,CK185))</f>
        <v>0.05</v>
      </c>
      <c r="CL198" s="63" cm="1">
        <f t="array" ref="CL198">IF(CL185=0,0,INDEX($G$213:$DV$213,CL185))</f>
        <v>0.05</v>
      </c>
      <c r="CM198" s="63" cm="1">
        <f t="array" ref="CM198">IF(CM185=0,0,INDEX($G$213:$DV$213,CM185))</f>
        <v>0.05</v>
      </c>
      <c r="CN198" s="63" cm="1">
        <f t="array" ref="CN198">IF(CN185=0,0,INDEX($G$213:$DV$213,CN185))</f>
        <v>0.05</v>
      </c>
      <c r="CO198" s="63" cm="1">
        <f t="array" ref="CO198">IF(CO185=0,0,INDEX($G$213:$DV$213,CO185))</f>
        <v>0.05</v>
      </c>
      <c r="CP198" s="63" cm="1">
        <f t="array" ref="CP198">IF(CP185=0,0,INDEX($G$213:$DV$213,CP185))</f>
        <v>0.05</v>
      </c>
      <c r="CQ198" s="63" cm="1">
        <f t="array" ref="CQ198">IF(CQ185=0,0,INDEX($G$213:$DV$213,CQ185))</f>
        <v>0.05</v>
      </c>
      <c r="CR198" s="63" cm="1">
        <f t="array" ref="CR198">IF(CR185=0,0,INDEX($G$213:$DV$213,CR185))</f>
        <v>0.05</v>
      </c>
      <c r="CS198" s="63" cm="1">
        <f t="array" ref="CS198">IF(CS185=0,0,INDEX($G$213:$DV$213,CS185))</f>
        <v>0.05</v>
      </c>
      <c r="CT198" s="63" cm="1">
        <f t="array" ref="CT198">IF(CT185=0,0,INDEX($G$213:$DV$213,CT185))</f>
        <v>0.05</v>
      </c>
      <c r="CU198" s="63" cm="1">
        <f t="array" ref="CU198">IF(CU185=0,0,INDEX($G$213:$DV$213,CU185))</f>
        <v>0.05</v>
      </c>
      <c r="CV198" s="63" cm="1">
        <f t="array" ref="CV198">IF(CV185=0,0,INDEX($G$213:$DV$213,CV185))</f>
        <v>0.05</v>
      </c>
      <c r="CW198" s="63" cm="1">
        <f t="array" ref="CW198">IF(CW185=0,0,INDEX($G$213:$DV$213,CW185))</f>
        <v>0.05</v>
      </c>
      <c r="CX198" s="63" cm="1">
        <f t="array" ref="CX198">IF(CX185=0,0,INDEX($G$213:$DV$213,CX185))</f>
        <v>0.05</v>
      </c>
      <c r="CY198" s="63" cm="1">
        <f t="array" ref="CY198">IF(CY185=0,0,INDEX($G$213:$DV$213,CY185))</f>
        <v>0.05</v>
      </c>
      <c r="CZ198" s="63" cm="1">
        <f t="array" ref="CZ198">IF(CZ185=0,0,INDEX($G$213:$DV$213,CZ185))</f>
        <v>0.05</v>
      </c>
      <c r="DA198" s="63" cm="1">
        <f t="array" ref="DA198">IF(DA185=0,0,INDEX($G$213:$DV$213,DA185))</f>
        <v>0.05</v>
      </c>
      <c r="DB198" s="63" cm="1">
        <f t="array" ref="DB198">IF(DB185=0,0,INDEX($G$213:$DV$213,DB185))</f>
        <v>0.05</v>
      </c>
      <c r="DC198" s="63" cm="1">
        <f t="array" ref="DC198">IF(DC185=0,0,INDEX($G$213:$DV$213,DC185))</f>
        <v>0.05</v>
      </c>
      <c r="DD198" s="63" cm="1">
        <f t="array" ref="DD198">IF(DD185=0,0,INDEX($G$213:$DV$213,DD185))</f>
        <v>0.05</v>
      </c>
      <c r="DE198" s="63" cm="1">
        <f t="array" ref="DE198">IF(DE185=0,0,INDEX($G$213:$DV$213,DE185))</f>
        <v>0.05</v>
      </c>
      <c r="DF198" s="63" cm="1">
        <f t="array" ref="DF198">IF(DF185=0,0,INDEX($G$213:$DV$213,DF185))</f>
        <v>0.05</v>
      </c>
      <c r="DG198" s="63" cm="1">
        <f t="array" ref="DG198">IF(DG185=0,0,INDEX($G$213:$DV$213,DG185))</f>
        <v>0.05</v>
      </c>
      <c r="DH198" s="63" cm="1">
        <f t="array" ref="DH198">IF(DH185=0,0,INDEX($G$213:$DV$213,DH185))</f>
        <v>0.05</v>
      </c>
      <c r="DI198" s="63" cm="1">
        <f t="array" ref="DI198">IF(DI185=0,0,INDEX($G$213:$DV$213,DI185))</f>
        <v>0.05</v>
      </c>
      <c r="DJ198" s="63" cm="1">
        <f t="array" ref="DJ198">IF(DJ185=0,0,INDEX($G$213:$DV$213,DJ185))</f>
        <v>0.05</v>
      </c>
      <c r="DK198" s="63" cm="1">
        <f t="array" ref="DK198">IF(DK185=0,0,INDEX($G$213:$DV$213,DK185))</f>
        <v>0.05</v>
      </c>
      <c r="DL198" s="63" cm="1">
        <f t="array" ref="DL198">IF(DL185=0,0,INDEX($G$213:$DV$213,DL185))</f>
        <v>0.05</v>
      </c>
      <c r="DM198" s="63" cm="1">
        <f t="array" ref="DM198">IF(DM185=0,0,INDEX($G$213:$DV$213,DM185))</f>
        <v>0.05</v>
      </c>
      <c r="DN198" s="63" cm="1">
        <f t="array" ref="DN198">IF(DN185=0,0,INDEX($G$213:$DV$213,DN185))</f>
        <v>0.05</v>
      </c>
      <c r="DO198" s="63" cm="1">
        <f t="array" ref="DO198">IF(DO185=0,0,INDEX($G$213:$DV$213,DO185))</f>
        <v>0.05</v>
      </c>
      <c r="DP198" s="63" cm="1">
        <f t="array" ref="DP198">IF(DP185=0,0,INDEX($G$213:$DV$213,DP185))</f>
        <v>0.05</v>
      </c>
      <c r="DQ198" s="63" cm="1">
        <f t="array" ref="DQ198">IF(DQ185=0,0,INDEX($G$213:$DV$213,DQ185))</f>
        <v>0.05</v>
      </c>
      <c r="DR198" s="63" cm="1">
        <f t="array" ref="DR198">IF(DR185=0,0,INDEX($G$213:$DV$213,DR185))</f>
        <v>0.05</v>
      </c>
      <c r="DS198" s="63" cm="1">
        <f t="array" ref="DS198">IF(DS185=0,0,INDEX($G$213:$DV$213,DS185))</f>
        <v>0.05</v>
      </c>
      <c r="DT198" s="63" cm="1">
        <f t="array" ref="DT198">IF(DT185=0,0,INDEX($G$213:$DV$213,DT185))</f>
        <v>0.05</v>
      </c>
      <c r="DU198" s="63" cm="1">
        <f t="array" ref="DU198">IF(DU185=0,0,INDEX($G$213:$DV$213,DU185))</f>
        <v>0.05</v>
      </c>
      <c r="DV198" s="63" cm="1">
        <f t="array" ref="DV198">IF(DV185=0,0,INDEX($G$213:$DV$213,DV185))</f>
        <v>0.05</v>
      </c>
    </row>
    <row r="199" spans="2:126" outlineLevel="1">
      <c r="B199" s="3" t="str">
        <f t="shared" si="158"/>
        <v>Property M</v>
      </c>
      <c r="C199" s="2"/>
      <c r="D199" s="2"/>
      <c r="E199" s="35"/>
      <c r="F199" s="35"/>
      <c r="G199" s="63" cm="1">
        <f t="array" ref="G199">IF(G186=0,0,INDEX($G$213:$DV$213,G186))</f>
        <v>0</v>
      </c>
      <c r="H199" s="63" cm="1">
        <f t="array" ref="H199">IF(H186=0,0,INDEX($G$213:$DV$213,H186))</f>
        <v>0</v>
      </c>
      <c r="I199" s="63" cm="1">
        <f t="array" ref="I199">IF(I186=0,0,INDEX($G$213:$DV$213,I186))</f>
        <v>0</v>
      </c>
      <c r="J199" s="63" cm="1">
        <f t="array" ref="J199">IF(J186=0,0,INDEX($G$213:$DV$213,J186))</f>
        <v>0</v>
      </c>
      <c r="K199" s="63" cm="1">
        <f t="array" ref="K199">IF(K186=0,0,INDEX($G$213:$DV$213,K186))</f>
        <v>0</v>
      </c>
      <c r="L199" s="63" cm="1">
        <f t="array" ref="L199">IF(L186=0,0,INDEX($G$213:$DV$213,L186))</f>
        <v>0</v>
      </c>
      <c r="M199" s="63" cm="1">
        <f t="array" ref="M199">IF(M186=0,0,INDEX($G$213:$DV$213,M186))</f>
        <v>0</v>
      </c>
      <c r="N199" s="63" cm="1">
        <f t="array" ref="N199">IF(N186=0,0,INDEX($G$213:$DV$213,N186))</f>
        <v>0</v>
      </c>
      <c r="O199" s="63" cm="1">
        <f t="array" ref="O199">IF(O186=0,0,INDEX($G$213:$DV$213,O186))</f>
        <v>0</v>
      </c>
      <c r="P199" s="63" cm="1">
        <f t="array" ref="P199">IF(P186=0,0,INDEX($G$213:$DV$213,P186))</f>
        <v>0</v>
      </c>
      <c r="Q199" s="63" cm="1">
        <f t="array" ref="Q199">IF(Q186=0,0,INDEX($G$213:$DV$213,Q186))</f>
        <v>0</v>
      </c>
      <c r="R199" s="63" cm="1">
        <f t="array" ref="R199">IF(R186=0,0,INDEX($G$213:$DV$213,R186))</f>
        <v>0</v>
      </c>
      <c r="S199" s="63" cm="1">
        <f t="array" ref="S199">IF(S186=0,0,INDEX($G$213:$DV$213,S186))</f>
        <v>0</v>
      </c>
      <c r="T199" s="63" cm="1">
        <f t="array" ref="T199">IF(T186=0,0,INDEX($G$213:$DV$213,T186))</f>
        <v>0</v>
      </c>
      <c r="U199" s="63" cm="1">
        <f t="array" ref="U199">IF(U186=0,0,INDEX($G$213:$DV$213,U186))</f>
        <v>0</v>
      </c>
      <c r="V199" s="63" cm="1">
        <f t="array" ref="V199">IF(V186=0,0,INDEX($G$213:$DV$213,V186))</f>
        <v>0</v>
      </c>
      <c r="W199" s="63" cm="1">
        <f t="array" ref="W199">IF(W186=0,0,INDEX($G$213:$DV$213,W186))</f>
        <v>0</v>
      </c>
      <c r="X199" s="63" cm="1">
        <f t="array" ref="X199">IF(X186=0,0,INDEX($G$213:$DV$213,X186))</f>
        <v>0</v>
      </c>
      <c r="Y199" s="63" cm="1">
        <f t="array" ref="Y199">IF(Y186=0,0,INDEX($G$213:$DV$213,Y186))</f>
        <v>0</v>
      </c>
      <c r="Z199" s="63" cm="1">
        <f t="array" ref="Z199">IF(Z186=0,0,INDEX($G$213:$DV$213,Z186))</f>
        <v>0</v>
      </c>
      <c r="AA199" s="63" cm="1">
        <f t="array" ref="AA199">IF(AA186=0,0,INDEX($G$213:$DV$213,AA186))</f>
        <v>0</v>
      </c>
      <c r="AB199" s="63" cm="1">
        <f t="array" ref="AB199">IF(AB186=0,0,INDEX($G$213:$DV$213,AB186))</f>
        <v>0</v>
      </c>
      <c r="AC199" s="63" cm="1">
        <f t="array" ref="AC199">IF(AC186=0,0,INDEX($G$213:$DV$213,AC186))</f>
        <v>0</v>
      </c>
      <c r="AD199" s="63" cm="1">
        <f t="array" ref="AD199">IF(AD186=0,0,INDEX($G$213:$DV$213,AD186))</f>
        <v>0</v>
      </c>
      <c r="AE199" s="63" cm="1">
        <f t="array" ref="AE199">IF(AE186=0,0,INDEX($G$213:$DV$213,AE186))</f>
        <v>0</v>
      </c>
      <c r="AF199" s="63" cm="1">
        <f t="array" ref="AF199">IF(AF186=0,0,INDEX($G$213:$DV$213,AF186))</f>
        <v>0</v>
      </c>
      <c r="AG199" s="63" cm="1">
        <f t="array" ref="AG199">IF(AG186=0,0,INDEX($G$213:$DV$213,AG186))</f>
        <v>0</v>
      </c>
      <c r="AH199" s="63" cm="1">
        <f t="array" ref="AH199">IF(AH186=0,0,INDEX($G$213:$DV$213,AH186))</f>
        <v>0</v>
      </c>
      <c r="AI199" s="63" cm="1">
        <f t="array" ref="AI199">IF(AI186=0,0,INDEX($G$213:$DV$213,AI186))</f>
        <v>0</v>
      </c>
      <c r="AJ199" s="63" cm="1">
        <f t="array" ref="AJ199">IF(AJ186=0,0,INDEX($G$213:$DV$213,AJ186))</f>
        <v>0</v>
      </c>
      <c r="AK199" s="63" cm="1">
        <f t="array" ref="AK199">IF(AK186=0,0,INDEX($G$213:$DV$213,AK186))</f>
        <v>0</v>
      </c>
      <c r="AL199" s="63" cm="1">
        <f t="array" ref="AL199">IF(AL186=0,0,INDEX($G$213:$DV$213,AL186))</f>
        <v>0</v>
      </c>
      <c r="AM199" s="63" cm="1">
        <f t="array" ref="AM199">IF(AM186=0,0,INDEX($G$213:$DV$213,AM186))</f>
        <v>0</v>
      </c>
      <c r="AN199" s="63" cm="1">
        <f t="array" ref="AN199">IF(AN186=0,0,INDEX($G$213:$DV$213,AN186))</f>
        <v>0</v>
      </c>
      <c r="AO199" s="63" cm="1">
        <f t="array" ref="AO199">IF(AO186=0,0,INDEX($G$213:$DV$213,AO186))</f>
        <v>0</v>
      </c>
      <c r="AP199" s="63" cm="1">
        <f t="array" ref="AP199">IF(AP186=0,0,INDEX($G$213:$DV$213,AP186))</f>
        <v>0</v>
      </c>
      <c r="AQ199" s="63" cm="1">
        <f t="array" ref="AQ199">IF(AQ186=0,0,INDEX($G$213:$DV$213,AQ186))</f>
        <v>0</v>
      </c>
      <c r="AR199" s="63" cm="1">
        <f t="array" ref="AR199">IF(AR186=0,0,INDEX($G$213:$DV$213,AR186))</f>
        <v>0</v>
      </c>
      <c r="AS199" s="63" cm="1">
        <f t="array" ref="AS199">IF(AS186=0,0,INDEX($G$213:$DV$213,AS186))</f>
        <v>0</v>
      </c>
      <c r="AT199" s="63" cm="1">
        <f t="array" ref="AT199">IF(AT186=0,0,INDEX($G$213:$DV$213,AT186))</f>
        <v>0</v>
      </c>
      <c r="AU199" s="63" cm="1">
        <f t="array" ref="AU199">IF(AU186=0,0,INDEX($G$213:$DV$213,AU186))</f>
        <v>0</v>
      </c>
      <c r="AV199" s="63" cm="1">
        <f t="array" ref="AV199">IF(AV186=0,0,INDEX($G$213:$DV$213,AV186))</f>
        <v>0</v>
      </c>
      <c r="AW199" s="63" cm="1">
        <f t="array" ref="AW199">IF(AW186=0,0,INDEX($G$213:$DV$213,AW186))</f>
        <v>0</v>
      </c>
      <c r="AX199" s="63" cm="1">
        <f t="array" ref="AX199">IF(AX186=0,0,INDEX($G$213:$DV$213,AX186))</f>
        <v>0</v>
      </c>
      <c r="AY199" s="63" cm="1">
        <f t="array" ref="AY199">IF(AY186=0,0,INDEX($G$213:$DV$213,AY186))</f>
        <v>0</v>
      </c>
      <c r="AZ199" s="63" cm="1">
        <f t="array" ref="AZ199">IF(AZ186=0,0,INDEX($G$213:$DV$213,AZ186))</f>
        <v>0</v>
      </c>
      <c r="BA199" s="63" cm="1">
        <f t="array" ref="BA199">IF(BA186=0,0,INDEX($G$213:$DV$213,BA186))</f>
        <v>0</v>
      </c>
      <c r="BB199" s="63" cm="1">
        <f t="array" ref="BB199">IF(BB186=0,0,INDEX($G$213:$DV$213,BB186))</f>
        <v>0</v>
      </c>
      <c r="BC199" s="63" cm="1">
        <f t="array" ref="BC199">IF(BC186=0,0,INDEX($G$213:$DV$213,BC186))</f>
        <v>0</v>
      </c>
      <c r="BD199" s="63" cm="1">
        <f t="array" ref="BD199">IF(BD186=0,0,INDEX($G$213:$DV$213,BD186))</f>
        <v>0</v>
      </c>
      <c r="BE199" s="63" cm="1">
        <f t="array" ref="BE199">IF(BE186=0,0,INDEX($G$213:$DV$213,BE186))</f>
        <v>0.75</v>
      </c>
      <c r="BF199" s="63" cm="1">
        <f t="array" ref="BF199">IF(BF186=0,0,INDEX($G$213:$DV$213,BF186))</f>
        <v>0.65</v>
      </c>
      <c r="BG199" s="63" cm="1">
        <f t="array" ref="BG199">IF(BG186=0,0,INDEX($G$213:$DV$213,BG186))</f>
        <v>0.55000000000000004</v>
      </c>
      <c r="BH199" s="63" cm="1">
        <f t="array" ref="BH199">IF(BH186=0,0,INDEX($G$213:$DV$213,BH186))</f>
        <v>0.45000000000000007</v>
      </c>
      <c r="BI199" s="63" cm="1">
        <f t="array" ref="BI199">IF(BI186=0,0,INDEX($G$213:$DV$213,BI186))</f>
        <v>0.35000000000000009</v>
      </c>
      <c r="BJ199" s="63" cm="1">
        <f t="array" ref="BJ199">IF(BJ186=0,0,INDEX($G$213:$DV$213,BJ186))</f>
        <v>0.25</v>
      </c>
      <c r="BK199" s="63" cm="1">
        <f t="array" ref="BK199">IF(BK186=0,0,INDEX($G$213:$DV$213,BK186))</f>
        <v>0.22500000000000001</v>
      </c>
      <c r="BL199" s="63" cm="1">
        <f t="array" ref="BL199">IF(BL186=0,0,INDEX($G$213:$DV$213,BL186))</f>
        <v>0.2</v>
      </c>
      <c r="BM199" s="63" cm="1">
        <f t="array" ref="BM199">IF(BM186=0,0,INDEX($G$213:$DV$213,BM186))</f>
        <v>0.17500000000000002</v>
      </c>
      <c r="BN199" s="63" cm="1">
        <f t="array" ref="BN199">IF(BN186=0,0,INDEX($G$213:$DV$213,BN186))</f>
        <v>0.15000000000000002</v>
      </c>
      <c r="BO199" s="63" cm="1">
        <f t="array" ref="BO199">IF(BO186=0,0,INDEX($G$213:$DV$213,BO186))</f>
        <v>0.12500000000000003</v>
      </c>
      <c r="BP199" s="63" cm="1">
        <f t="array" ref="BP199">IF(BP186=0,0,INDEX($G$213:$DV$213,BP186))</f>
        <v>0.1</v>
      </c>
      <c r="BQ199" s="63" cm="1">
        <f t="array" ref="BQ199">IF(BQ186=0,0,INDEX($G$213:$DV$213,BQ186))</f>
        <v>9.583333333333334E-2</v>
      </c>
      <c r="BR199" s="63" cm="1">
        <f t="array" ref="BR199">IF(BR186=0,0,INDEX($G$213:$DV$213,BR186))</f>
        <v>9.1666666666666674E-2</v>
      </c>
      <c r="BS199" s="63" cm="1">
        <f t="array" ref="BS199">IF(BS186=0,0,INDEX($G$213:$DV$213,BS186))</f>
        <v>8.7500000000000008E-2</v>
      </c>
      <c r="BT199" s="63" cm="1">
        <f t="array" ref="BT199">IF(BT186=0,0,INDEX($G$213:$DV$213,BT186))</f>
        <v>8.3333333333333343E-2</v>
      </c>
      <c r="BU199" s="63" cm="1">
        <f t="array" ref="BU199">IF(BU186=0,0,INDEX($G$213:$DV$213,BU186))</f>
        <v>7.9166666666666677E-2</v>
      </c>
      <c r="BV199" s="63" cm="1">
        <f t="array" ref="BV199">IF(BV186=0,0,INDEX($G$213:$DV$213,BV186))</f>
        <v>7.5000000000000011E-2</v>
      </c>
      <c r="BW199" s="63" cm="1">
        <f t="array" ref="BW199">IF(BW186=0,0,INDEX($G$213:$DV$213,BW186))</f>
        <v>7.0833333333333345E-2</v>
      </c>
      <c r="BX199" s="63" cm="1">
        <f t="array" ref="BX199">IF(BX186=0,0,INDEX($G$213:$DV$213,BX186))</f>
        <v>6.666666666666668E-2</v>
      </c>
      <c r="BY199" s="63" cm="1">
        <f t="array" ref="BY199">IF(BY186=0,0,INDEX($G$213:$DV$213,BY186))</f>
        <v>6.2500000000000014E-2</v>
      </c>
      <c r="BZ199" s="63" cm="1">
        <f t="array" ref="BZ199">IF(BZ186=0,0,INDEX($G$213:$DV$213,BZ186))</f>
        <v>5.8333333333333348E-2</v>
      </c>
      <c r="CA199" s="63" cm="1">
        <f t="array" ref="CA199">IF(CA186=0,0,INDEX($G$213:$DV$213,CA186))</f>
        <v>5.4166666666666682E-2</v>
      </c>
      <c r="CB199" s="63" cm="1">
        <f t="array" ref="CB199">IF(CB186=0,0,INDEX($G$213:$DV$213,CB186))</f>
        <v>0.05</v>
      </c>
      <c r="CC199" s="63" cm="1">
        <f t="array" ref="CC199">IF(CC186=0,0,INDEX($G$213:$DV$213,CC186))</f>
        <v>0.05</v>
      </c>
      <c r="CD199" s="63" cm="1">
        <f t="array" ref="CD199">IF(CD186=0,0,INDEX($G$213:$DV$213,CD186))</f>
        <v>0.05</v>
      </c>
      <c r="CE199" s="63" cm="1">
        <f t="array" ref="CE199">IF(CE186=0,0,INDEX($G$213:$DV$213,CE186))</f>
        <v>0.05</v>
      </c>
      <c r="CF199" s="63" cm="1">
        <f t="array" ref="CF199">IF(CF186=0,0,INDEX($G$213:$DV$213,CF186))</f>
        <v>0.05</v>
      </c>
      <c r="CG199" s="63" cm="1">
        <f t="array" ref="CG199">IF(CG186=0,0,INDEX($G$213:$DV$213,CG186))</f>
        <v>0.05</v>
      </c>
      <c r="CH199" s="63" cm="1">
        <f t="array" ref="CH199">IF(CH186=0,0,INDEX($G$213:$DV$213,CH186))</f>
        <v>0.05</v>
      </c>
      <c r="CI199" s="63" cm="1">
        <f t="array" ref="CI199">IF(CI186=0,0,INDEX($G$213:$DV$213,CI186))</f>
        <v>0.05</v>
      </c>
      <c r="CJ199" s="63" cm="1">
        <f t="array" ref="CJ199">IF(CJ186=0,0,INDEX($G$213:$DV$213,CJ186))</f>
        <v>0.05</v>
      </c>
      <c r="CK199" s="63" cm="1">
        <f t="array" ref="CK199">IF(CK186=0,0,INDEX($G$213:$DV$213,CK186))</f>
        <v>0.05</v>
      </c>
      <c r="CL199" s="63" cm="1">
        <f t="array" ref="CL199">IF(CL186=0,0,INDEX($G$213:$DV$213,CL186))</f>
        <v>0.05</v>
      </c>
      <c r="CM199" s="63" cm="1">
        <f t="array" ref="CM199">IF(CM186=0,0,INDEX($G$213:$DV$213,CM186))</f>
        <v>0.05</v>
      </c>
      <c r="CN199" s="63" cm="1">
        <f t="array" ref="CN199">IF(CN186=0,0,INDEX($G$213:$DV$213,CN186))</f>
        <v>0.05</v>
      </c>
      <c r="CO199" s="63" cm="1">
        <f t="array" ref="CO199">IF(CO186=0,0,INDEX($G$213:$DV$213,CO186))</f>
        <v>0.05</v>
      </c>
      <c r="CP199" s="63" cm="1">
        <f t="array" ref="CP199">IF(CP186=0,0,INDEX($G$213:$DV$213,CP186))</f>
        <v>0.05</v>
      </c>
      <c r="CQ199" s="63" cm="1">
        <f t="array" ref="CQ199">IF(CQ186=0,0,INDEX($G$213:$DV$213,CQ186))</f>
        <v>0.05</v>
      </c>
      <c r="CR199" s="63" cm="1">
        <f t="array" ref="CR199">IF(CR186=0,0,INDEX($G$213:$DV$213,CR186))</f>
        <v>0.05</v>
      </c>
      <c r="CS199" s="63" cm="1">
        <f t="array" ref="CS199">IF(CS186=0,0,INDEX($G$213:$DV$213,CS186))</f>
        <v>0.05</v>
      </c>
      <c r="CT199" s="63" cm="1">
        <f t="array" ref="CT199">IF(CT186=0,0,INDEX($G$213:$DV$213,CT186))</f>
        <v>0.05</v>
      </c>
      <c r="CU199" s="63" cm="1">
        <f t="array" ref="CU199">IF(CU186=0,0,INDEX($G$213:$DV$213,CU186))</f>
        <v>0.05</v>
      </c>
      <c r="CV199" s="63" cm="1">
        <f t="array" ref="CV199">IF(CV186=0,0,INDEX($G$213:$DV$213,CV186))</f>
        <v>0.05</v>
      </c>
      <c r="CW199" s="63" cm="1">
        <f t="array" ref="CW199">IF(CW186=0,0,INDEX($G$213:$DV$213,CW186))</f>
        <v>0.05</v>
      </c>
      <c r="CX199" s="63" cm="1">
        <f t="array" ref="CX199">IF(CX186=0,0,INDEX($G$213:$DV$213,CX186))</f>
        <v>0.05</v>
      </c>
      <c r="CY199" s="63" cm="1">
        <f t="array" ref="CY199">IF(CY186=0,0,INDEX($G$213:$DV$213,CY186))</f>
        <v>0.05</v>
      </c>
      <c r="CZ199" s="63" cm="1">
        <f t="array" ref="CZ199">IF(CZ186=0,0,INDEX($G$213:$DV$213,CZ186))</f>
        <v>0.05</v>
      </c>
      <c r="DA199" s="63" cm="1">
        <f t="array" ref="DA199">IF(DA186=0,0,INDEX($G$213:$DV$213,DA186))</f>
        <v>0.05</v>
      </c>
      <c r="DB199" s="63" cm="1">
        <f t="array" ref="DB199">IF(DB186=0,0,INDEX($G$213:$DV$213,DB186))</f>
        <v>0.05</v>
      </c>
      <c r="DC199" s="63" cm="1">
        <f t="array" ref="DC199">IF(DC186=0,0,INDEX($G$213:$DV$213,DC186))</f>
        <v>0.05</v>
      </c>
      <c r="DD199" s="63" cm="1">
        <f t="array" ref="DD199">IF(DD186=0,0,INDEX($G$213:$DV$213,DD186))</f>
        <v>0.05</v>
      </c>
      <c r="DE199" s="63" cm="1">
        <f t="array" ref="DE199">IF(DE186=0,0,INDEX($G$213:$DV$213,DE186))</f>
        <v>0.05</v>
      </c>
      <c r="DF199" s="63" cm="1">
        <f t="array" ref="DF199">IF(DF186=0,0,INDEX($G$213:$DV$213,DF186))</f>
        <v>0.05</v>
      </c>
      <c r="DG199" s="63" cm="1">
        <f t="array" ref="DG199">IF(DG186=0,0,INDEX($G$213:$DV$213,DG186))</f>
        <v>0.05</v>
      </c>
      <c r="DH199" s="63" cm="1">
        <f t="array" ref="DH199">IF(DH186=0,0,INDEX($G$213:$DV$213,DH186))</f>
        <v>0.05</v>
      </c>
      <c r="DI199" s="63" cm="1">
        <f t="array" ref="DI199">IF(DI186=0,0,INDEX($G$213:$DV$213,DI186))</f>
        <v>0.05</v>
      </c>
      <c r="DJ199" s="63" cm="1">
        <f t="array" ref="DJ199">IF(DJ186=0,0,INDEX($G$213:$DV$213,DJ186))</f>
        <v>0.05</v>
      </c>
      <c r="DK199" s="63" cm="1">
        <f t="array" ref="DK199">IF(DK186=0,0,INDEX($G$213:$DV$213,DK186))</f>
        <v>0.05</v>
      </c>
      <c r="DL199" s="63" cm="1">
        <f t="array" ref="DL199">IF(DL186=0,0,INDEX($G$213:$DV$213,DL186))</f>
        <v>0.05</v>
      </c>
      <c r="DM199" s="63" cm="1">
        <f t="array" ref="DM199">IF(DM186=0,0,INDEX($G$213:$DV$213,DM186))</f>
        <v>0.05</v>
      </c>
      <c r="DN199" s="63" cm="1">
        <f t="array" ref="DN199">IF(DN186=0,0,INDEX($G$213:$DV$213,DN186))</f>
        <v>0.05</v>
      </c>
      <c r="DO199" s="63" cm="1">
        <f t="array" ref="DO199">IF(DO186=0,0,INDEX($G$213:$DV$213,DO186))</f>
        <v>0.05</v>
      </c>
      <c r="DP199" s="63" cm="1">
        <f t="array" ref="DP199">IF(DP186=0,0,INDEX($G$213:$DV$213,DP186))</f>
        <v>0.05</v>
      </c>
      <c r="DQ199" s="63" cm="1">
        <f t="array" ref="DQ199">IF(DQ186=0,0,INDEX($G$213:$DV$213,DQ186))</f>
        <v>0.05</v>
      </c>
      <c r="DR199" s="63" cm="1">
        <f t="array" ref="DR199">IF(DR186=0,0,INDEX($G$213:$DV$213,DR186))</f>
        <v>0.05</v>
      </c>
      <c r="DS199" s="63" cm="1">
        <f t="array" ref="DS199">IF(DS186=0,0,INDEX($G$213:$DV$213,DS186))</f>
        <v>0.05</v>
      </c>
      <c r="DT199" s="63" cm="1">
        <f t="array" ref="DT199">IF(DT186=0,0,INDEX($G$213:$DV$213,DT186))</f>
        <v>0.05</v>
      </c>
      <c r="DU199" s="63" cm="1">
        <f t="array" ref="DU199">IF(DU186=0,0,INDEX($G$213:$DV$213,DU186))</f>
        <v>0.05</v>
      </c>
      <c r="DV199" s="63" cm="1">
        <f t="array" ref="DV199">IF(DV186=0,0,INDEX($G$213:$DV$213,DV186))</f>
        <v>0.05</v>
      </c>
    </row>
    <row r="200" spans="2:126" outlineLevel="1">
      <c r="B200" s="3" t="str">
        <f t="shared" si="158"/>
        <v>Property N</v>
      </c>
      <c r="C200" s="2"/>
      <c r="D200" s="2"/>
      <c r="E200" s="35"/>
      <c r="F200" s="35"/>
      <c r="G200" s="63" cm="1">
        <f t="array" ref="G200">IF(G187=0,0,INDEX($G$213:$DV$213,G187))</f>
        <v>0</v>
      </c>
      <c r="H200" s="63" cm="1">
        <f t="array" ref="H200">IF(H187=0,0,INDEX($G$213:$DV$213,H187))</f>
        <v>0</v>
      </c>
      <c r="I200" s="63" cm="1">
        <f t="array" ref="I200">IF(I187=0,0,INDEX($G$213:$DV$213,I187))</f>
        <v>0</v>
      </c>
      <c r="J200" s="63" cm="1">
        <f t="array" ref="J200">IF(J187=0,0,INDEX($G$213:$DV$213,J187))</f>
        <v>0</v>
      </c>
      <c r="K200" s="63" cm="1">
        <f t="array" ref="K200">IF(K187=0,0,INDEX($G$213:$DV$213,K187))</f>
        <v>0</v>
      </c>
      <c r="L200" s="63" cm="1">
        <f t="array" ref="L200">IF(L187=0,0,INDEX($G$213:$DV$213,L187))</f>
        <v>0</v>
      </c>
      <c r="M200" s="63" cm="1">
        <f t="array" ref="M200">IF(M187=0,0,INDEX($G$213:$DV$213,M187))</f>
        <v>0</v>
      </c>
      <c r="N200" s="63" cm="1">
        <f t="array" ref="N200">IF(N187=0,0,INDEX($G$213:$DV$213,N187))</f>
        <v>0</v>
      </c>
      <c r="O200" s="63" cm="1">
        <f t="array" ref="O200">IF(O187=0,0,INDEX($G$213:$DV$213,O187))</f>
        <v>0</v>
      </c>
      <c r="P200" s="63" cm="1">
        <f t="array" ref="P200">IF(P187=0,0,INDEX($G$213:$DV$213,P187))</f>
        <v>0</v>
      </c>
      <c r="Q200" s="63" cm="1">
        <f t="array" ref="Q200">IF(Q187=0,0,INDEX($G$213:$DV$213,Q187))</f>
        <v>0</v>
      </c>
      <c r="R200" s="63" cm="1">
        <f t="array" ref="R200">IF(R187=0,0,INDEX($G$213:$DV$213,R187))</f>
        <v>0</v>
      </c>
      <c r="S200" s="63" cm="1">
        <f t="array" ref="S200">IF(S187=0,0,INDEX($G$213:$DV$213,S187))</f>
        <v>0</v>
      </c>
      <c r="T200" s="63" cm="1">
        <f t="array" ref="T200">IF(T187=0,0,INDEX($G$213:$DV$213,T187))</f>
        <v>0</v>
      </c>
      <c r="U200" s="63" cm="1">
        <f t="array" ref="U200">IF(U187=0,0,INDEX($G$213:$DV$213,U187))</f>
        <v>0</v>
      </c>
      <c r="V200" s="63" cm="1">
        <f t="array" ref="V200">IF(V187=0,0,INDEX($G$213:$DV$213,V187))</f>
        <v>0</v>
      </c>
      <c r="W200" s="63" cm="1">
        <f t="array" ref="W200">IF(W187=0,0,INDEX($G$213:$DV$213,W187))</f>
        <v>0</v>
      </c>
      <c r="X200" s="63" cm="1">
        <f t="array" ref="X200">IF(X187=0,0,INDEX($G$213:$DV$213,X187))</f>
        <v>0</v>
      </c>
      <c r="Y200" s="63" cm="1">
        <f t="array" ref="Y200">IF(Y187=0,0,INDEX($G$213:$DV$213,Y187))</f>
        <v>0</v>
      </c>
      <c r="Z200" s="63" cm="1">
        <f t="array" ref="Z200">IF(Z187=0,0,INDEX($G$213:$DV$213,Z187))</f>
        <v>0</v>
      </c>
      <c r="AA200" s="63" cm="1">
        <f t="array" ref="AA200">IF(AA187=0,0,INDEX($G$213:$DV$213,AA187))</f>
        <v>0</v>
      </c>
      <c r="AB200" s="63" cm="1">
        <f t="array" ref="AB200">IF(AB187=0,0,INDEX($G$213:$DV$213,AB187))</f>
        <v>0</v>
      </c>
      <c r="AC200" s="63" cm="1">
        <f t="array" ref="AC200">IF(AC187=0,0,INDEX($G$213:$DV$213,AC187))</f>
        <v>0</v>
      </c>
      <c r="AD200" s="63" cm="1">
        <f t="array" ref="AD200">IF(AD187=0,0,INDEX($G$213:$DV$213,AD187))</f>
        <v>0</v>
      </c>
      <c r="AE200" s="63" cm="1">
        <f t="array" ref="AE200">IF(AE187=0,0,INDEX($G$213:$DV$213,AE187))</f>
        <v>0</v>
      </c>
      <c r="AF200" s="63" cm="1">
        <f t="array" ref="AF200">IF(AF187=0,0,INDEX($G$213:$DV$213,AF187))</f>
        <v>0</v>
      </c>
      <c r="AG200" s="63" cm="1">
        <f t="array" ref="AG200">IF(AG187=0,0,INDEX($G$213:$DV$213,AG187))</f>
        <v>0</v>
      </c>
      <c r="AH200" s="63" cm="1">
        <f t="array" ref="AH200">IF(AH187=0,0,INDEX($G$213:$DV$213,AH187))</f>
        <v>0</v>
      </c>
      <c r="AI200" s="63" cm="1">
        <f t="array" ref="AI200">IF(AI187=0,0,INDEX($G$213:$DV$213,AI187))</f>
        <v>0</v>
      </c>
      <c r="AJ200" s="63" cm="1">
        <f t="array" ref="AJ200">IF(AJ187=0,0,INDEX($G$213:$DV$213,AJ187))</f>
        <v>0</v>
      </c>
      <c r="AK200" s="63" cm="1">
        <f t="array" ref="AK200">IF(AK187=0,0,INDEX($G$213:$DV$213,AK187))</f>
        <v>0</v>
      </c>
      <c r="AL200" s="63" cm="1">
        <f t="array" ref="AL200">IF(AL187=0,0,INDEX($G$213:$DV$213,AL187))</f>
        <v>0</v>
      </c>
      <c r="AM200" s="63" cm="1">
        <f t="array" ref="AM200">IF(AM187=0,0,INDEX($G$213:$DV$213,AM187))</f>
        <v>0</v>
      </c>
      <c r="AN200" s="63" cm="1">
        <f t="array" ref="AN200">IF(AN187=0,0,INDEX($G$213:$DV$213,AN187))</f>
        <v>0</v>
      </c>
      <c r="AO200" s="63" cm="1">
        <f t="array" ref="AO200">IF(AO187=0,0,INDEX($G$213:$DV$213,AO187))</f>
        <v>0</v>
      </c>
      <c r="AP200" s="63" cm="1">
        <f t="array" ref="AP200">IF(AP187=0,0,INDEX($G$213:$DV$213,AP187))</f>
        <v>0</v>
      </c>
      <c r="AQ200" s="63" cm="1">
        <f t="array" ref="AQ200">IF(AQ187=0,0,INDEX($G$213:$DV$213,AQ187))</f>
        <v>0</v>
      </c>
      <c r="AR200" s="63" cm="1">
        <f t="array" ref="AR200">IF(AR187=0,0,INDEX($G$213:$DV$213,AR187))</f>
        <v>0</v>
      </c>
      <c r="AS200" s="63" cm="1">
        <f t="array" ref="AS200">IF(AS187=0,0,INDEX($G$213:$DV$213,AS187))</f>
        <v>0</v>
      </c>
      <c r="AT200" s="63" cm="1">
        <f t="array" ref="AT200">IF(AT187=0,0,INDEX($G$213:$DV$213,AT187))</f>
        <v>0</v>
      </c>
      <c r="AU200" s="63" cm="1">
        <f t="array" ref="AU200">IF(AU187=0,0,INDEX($G$213:$DV$213,AU187))</f>
        <v>0</v>
      </c>
      <c r="AV200" s="63" cm="1">
        <f t="array" ref="AV200">IF(AV187=0,0,INDEX($G$213:$DV$213,AV187))</f>
        <v>0</v>
      </c>
      <c r="AW200" s="63" cm="1">
        <f t="array" ref="AW200">IF(AW187=0,0,INDEX($G$213:$DV$213,AW187))</f>
        <v>0</v>
      </c>
      <c r="AX200" s="63" cm="1">
        <f t="array" ref="AX200">IF(AX187=0,0,INDEX($G$213:$DV$213,AX187))</f>
        <v>0</v>
      </c>
      <c r="AY200" s="63" cm="1">
        <f t="array" ref="AY200">IF(AY187=0,0,INDEX($G$213:$DV$213,AY187))</f>
        <v>0</v>
      </c>
      <c r="AZ200" s="63" cm="1">
        <f t="array" ref="AZ200">IF(AZ187=0,0,INDEX($G$213:$DV$213,AZ187))</f>
        <v>0</v>
      </c>
      <c r="BA200" s="63" cm="1">
        <f t="array" ref="BA200">IF(BA187=0,0,INDEX($G$213:$DV$213,BA187))</f>
        <v>0</v>
      </c>
      <c r="BB200" s="63" cm="1">
        <f t="array" ref="BB200">IF(BB187=0,0,INDEX($G$213:$DV$213,BB187))</f>
        <v>0</v>
      </c>
      <c r="BC200" s="63" cm="1">
        <f t="array" ref="BC200">IF(BC187=0,0,INDEX($G$213:$DV$213,BC187))</f>
        <v>0</v>
      </c>
      <c r="BD200" s="63" cm="1">
        <f t="array" ref="BD200">IF(BD187=0,0,INDEX($G$213:$DV$213,BD187))</f>
        <v>0</v>
      </c>
      <c r="BE200" s="63" cm="1">
        <f t="array" ref="BE200">IF(BE187=0,0,INDEX($G$213:$DV$213,BE187))</f>
        <v>0</v>
      </c>
      <c r="BF200" s="63" cm="1">
        <f t="array" ref="BF200">IF(BF187=0,0,INDEX($G$213:$DV$213,BF187))</f>
        <v>0</v>
      </c>
      <c r="BG200" s="63" cm="1">
        <f t="array" ref="BG200">IF(BG187=0,0,INDEX($G$213:$DV$213,BG187))</f>
        <v>0</v>
      </c>
      <c r="BH200" s="63" cm="1">
        <f t="array" ref="BH200">IF(BH187=0,0,INDEX($G$213:$DV$213,BH187))</f>
        <v>0</v>
      </c>
      <c r="BI200" s="63" cm="1">
        <f t="array" ref="BI200">IF(BI187=0,0,INDEX($G$213:$DV$213,BI187))</f>
        <v>0</v>
      </c>
      <c r="BJ200" s="63" cm="1">
        <f t="array" ref="BJ200">IF(BJ187=0,0,INDEX($G$213:$DV$213,BJ187))</f>
        <v>0</v>
      </c>
      <c r="BK200" s="63" cm="1">
        <f t="array" ref="BK200">IF(BK187=0,0,INDEX($G$213:$DV$213,BK187))</f>
        <v>0</v>
      </c>
      <c r="BL200" s="63" cm="1">
        <f t="array" ref="BL200">IF(BL187=0,0,INDEX($G$213:$DV$213,BL187))</f>
        <v>0</v>
      </c>
      <c r="BM200" s="63" cm="1">
        <f t="array" ref="BM200">IF(BM187=0,0,INDEX($G$213:$DV$213,BM187))</f>
        <v>0</v>
      </c>
      <c r="BN200" s="63" cm="1">
        <f t="array" ref="BN200">IF(BN187=0,0,INDEX($G$213:$DV$213,BN187))</f>
        <v>0</v>
      </c>
      <c r="BO200" s="63" cm="1">
        <f t="array" ref="BO200">IF(BO187=0,0,INDEX($G$213:$DV$213,BO187))</f>
        <v>0</v>
      </c>
      <c r="BP200" s="63" cm="1">
        <f t="array" ref="BP200">IF(BP187=0,0,INDEX($G$213:$DV$213,BP187))</f>
        <v>0</v>
      </c>
      <c r="BQ200" s="63" cm="1">
        <f t="array" ref="BQ200">IF(BQ187=0,0,INDEX($G$213:$DV$213,BQ187))</f>
        <v>0</v>
      </c>
      <c r="BR200" s="63" cm="1">
        <f t="array" ref="BR200">IF(BR187=0,0,INDEX($G$213:$DV$213,BR187))</f>
        <v>0.75</v>
      </c>
      <c r="BS200" s="63" cm="1">
        <f t="array" ref="BS200">IF(BS187=0,0,INDEX($G$213:$DV$213,BS187))</f>
        <v>0.65</v>
      </c>
      <c r="BT200" s="63" cm="1">
        <f t="array" ref="BT200">IF(BT187=0,0,INDEX($G$213:$DV$213,BT187))</f>
        <v>0.55000000000000004</v>
      </c>
      <c r="BU200" s="63" cm="1">
        <f t="array" ref="BU200">IF(BU187=0,0,INDEX($G$213:$DV$213,BU187))</f>
        <v>0.45000000000000007</v>
      </c>
      <c r="BV200" s="63" cm="1">
        <f t="array" ref="BV200">IF(BV187=0,0,INDEX($G$213:$DV$213,BV187))</f>
        <v>0.35000000000000009</v>
      </c>
      <c r="BW200" s="63" cm="1">
        <f t="array" ref="BW200">IF(BW187=0,0,INDEX($G$213:$DV$213,BW187))</f>
        <v>0.25</v>
      </c>
      <c r="BX200" s="63" cm="1">
        <f t="array" ref="BX200">IF(BX187=0,0,INDEX($G$213:$DV$213,BX187))</f>
        <v>0.22500000000000001</v>
      </c>
      <c r="BY200" s="63" cm="1">
        <f t="array" ref="BY200">IF(BY187=0,0,INDEX($G$213:$DV$213,BY187))</f>
        <v>0.2</v>
      </c>
      <c r="BZ200" s="63" cm="1">
        <f t="array" ref="BZ200">IF(BZ187=0,0,INDEX($G$213:$DV$213,BZ187))</f>
        <v>0.17500000000000002</v>
      </c>
      <c r="CA200" s="63" cm="1">
        <f t="array" ref="CA200">IF(CA187=0,0,INDEX($G$213:$DV$213,CA187))</f>
        <v>0.15000000000000002</v>
      </c>
      <c r="CB200" s="63" cm="1">
        <f t="array" ref="CB200">IF(CB187=0,0,INDEX($G$213:$DV$213,CB187))</f>
        <v>0.12500000000000003</v>
      </c>
      <c r="CC200" s="63" cm="1">
        <f t="array" ref="CC200">IF(CC187=0,0,INDEX($G$213:$DV$213,CC187))</f>
        <v>0.1</v>
      </c>
      <c r="CD200" s="63" cm="1">
        <f t="array" ref="CD200">IF(CD187=0,0,INDEX($G$213:$DV$213,CD187))</f>
        <v>9.583333333333334E-2</v>
      </c>
      <c r="CE200" s="63" cm="1">
        <f t="array" ref="CE200">IF(CE187=0,0,INDEX($G$213:$DV$213,CE187))</f>
        <v>9.1666666666666674E-2</v>
      </c>
      <c r="CF200" s="63" cm="1">
        <f t="array" ref="CF200">IF(CF187=0,0,INDEX($G$213:$DV$213,CF187))</f>
        <v>8.7500000000000008E-2</v>
      </c>
      <c r="CG200" s="63" cm="1">
        <f t="array" ref="CG200">IF(CG187=0,0,INDEX($G$213:$DV$213,CG187))</f>
        <v>8.3333333333333343E-2</v>
      </c>
      <c r="CH200" s="63" cm="1">
        <f t="array" ref="CH200">IF(CH187=0,0,INDEX($G$213:$DV$213,CH187))</f>
        <v>7.9166666666666677E-2</v>
      </c>
      <c r="CI200" s="63" cm="1">
        <f t="array" ref="CI200">IF(CI187=0,0,INDEX($G$213:$DV$213,CI187))</f>
        <v>7.5000000000000011E-2</v>
      </c>
      <c r="CJ200" s="63" cm="1">
        <f t="array" ref="CJ200">IF(CJ187=0,0,INDEX($G$213:$DV$213,CJ187))</f>
        <v>7.0833333333333345E-2</v>
      </c>
      <c r="CK200" s="63" cm="1">
        <f t="array" ref="CK200">IF(CK187=0,0,INDEX($G$213:$DV$213,CK187))</f>
        <v>6.666666666666668E-2</v>
      </c>
      <c r="CL200" s="63" cm="1">
        <f t="array" ref="CL200">IF(CL187=0,0,INDEX($G$213:$DV$213,CL187))</f>
        <v>6.2500000000000014E-2</v>
      </c>
      <c r="CM200" s="63" cm="1">
        <f t="array" ref="CM200">IF(CM187=0,0,INDEX($G$213:$DV$213,CM187))</f>
        <v>5.8333333333333348E-2</v>
      </c>
      <c r="CN200" s="63" cm="1">
        <f t="array" ref="CN200">IF(CN187=0,0,INDEX($G$213:$DV$213,CN187))</f>
        <v>5.4166666666666682E-2</v>
      </c>
      <c r="CO200" s="63" cm="1">
        <f t="array" ref="CO200">IF(CO187=0,0,INDEX($G$213:$DV$213,CO187))</f>
        <v>0.05</v>
      </c>
      <c r="CP200" s="63" cm="1">
        <f t="array" ref="CP200">IF(CP187=0,0,INDEX($G$213:$DV$213,CP187))</f>
        <v>0.05</v>
      </c>
      <c r="CQ200" s="63" cm="1">
        <f t="array" ref="CQ200">IF(CQ187=0,0,INDEX($G$213:$DV$213,CQ187))</f>
        <v>0.05</v>
      </c>
      <c r="CR200" s="63" cm="1">
        <f t="array" ref="CR200">IF(CR187=0,0,INDEX($G$213:$DV$213,CR187))</f>
        <v>0.05</v>
      </c>
      <c r="CS200" s="63" cm="1">
        <f t="array" ref="CS200">IF(CS187=0,0,INDEX($G$213:$DV$213,CS187))</f>
        <v>0.05</v>
      </c>
      <c r="CT200" s="63" cm="1">
        <f t="array" ref="CT200">IF(CT187=0,0,INDEX($G$213:$DV$213,CT187))</f>
        <v>0.05</v>
      </c>
      <c r="CU200" s="63" cm="1">
        <f t="array" ref="CU200">IF(CU187=0,0,INDEX($G$213:$DV$213,CU187))</f>
        <v>0.05</v>
      </c>
      <c r="CV200" s="63" cm="1">
        <f t="array" ref="CV200">IF(CV187=0,0,INDEX($G$213:$DV$213,CV187))</f>
        <v>0.05</v>
      </c>
      <c r="CW200" s="63" cm="1">
        <f t="array" ref="CW200">IF(CW187=0,0,INDEX($G$213:$DV$213,CW187))</f>
        <v>0.05</v>
      </c>
      <c r="CX200" s="63" cm="1">
        <f t="array" ref="CX200">IF(CX187=0,0,INDEX($G$213:$DV$213,CX187))</f>
        <v>0.05</v>
      </c>
      <c r="CY200" s="63" cm="1">
        <f t="array" ref="CY200">IF(CY187=0,0,INDEX($G$213:$DV$213,CY187))</f>
        <v>0.05</v>
      </c>
      <c r="CZ200" s="63" cm="1">
        <f t="array" ref="CZ200">IF(CZ187=0,0,INDEX($G$213:$DV$213,CZ187))</f>
        <v>0.05</v>
      </c>
      <c r="DA200" s="63" cm="1">
        <f t="array" ref="DA200">IF(DA187=0,0,INDEX($G$213:$DV$213,DA187))</f>
        <v>0.05</v>
      </c>
      <c r="DB200" s="63" cm="1">
        <f t="array" ref="DB200">IF(DB187=0,0,INDEX($G$213:$DV$213,DB187))</f>
        <v>0.05</v>
      </c>
      <c r="DC200" s="63" cm="1">
        <f t="array" ref="DC200">IF(DC187=0,0,INDEX($G$213:$DV$213,DC187))</f>
        <v>0.05</v>
      </c>
      <c r="DD200" s="63" cm="1">
        <f t="array" ref="DD200">IF(DD187=0,0,INDEX($G$213:$DV$213,DD187))</f>
        <v>0.05</v>
      </c>
      <c r="DE200" s="63" cm="1">
        <f t="array" ref="DE200">IF(DE187=0,0,INDEX($G$213:$DV$213,DE187))</f>
        <v>0.05</v>
      </c>
      <c r="DF200" s="63" cm="1">
        <f t="array" ref="DF200">IF(DF187=0,0,INDEX($G$213:$DV$213,DF187))</f>
        <v>0.05</v>
      </c>
      <c r="DG200" s="63" cm="1">
        <f t="array" ref="DG200">IF(DG187=0,0,INDEX($G$213:$DV$213,DG187))</f>
        <v>0.05</v>
      </c>
      <c r="DH200" s="63" cm="1">
        <f t="array" ref="DH200">IF(DH187=0,0,INDEX($G$213:$DV$213,DH187))</f>
        <v>0.05</v>
      </c>
      <c r="DI200" s="63" cm="1">
        <f t="array" ref="DI200">IF(DI187=0,0,INDEX($G$213:$DV$213,DI187))</f>
        <v>0.05</v>
      </c>
      <c r="DJ200" s="63" cm="1">
        <f t="array" ref="DJ200">IF(DJ187=0,0,INDEX($G$213:$DV$213,DJ187))</f>
        <v>0.05</v>
      </c>
      <c r="DK200" s="63" cm="1">
        <f t="array" ref="DK200">IF(DK187=0,0,INDEX($G$213:$DV$213,DK187))</f>
        <v>0.05</v>
      </c>
      <c r="DL200" s="63" cm="1">
        <f t="array" ref="DL200">IF(DL187=0,0,INDEX($G$213:$DV$213,DL187))</f>
        <v>0.05</v>
      </c>
      <c r="DM200" s="63" cm="1">
        <f t="array" ref="DM200">IF(DM187=0,0,INDEX($G$213:$DV$213,DM187))</f>
        <v>0.05</v>
      </c>
      <c r="DN200" s="63" cm="1">
        <f t="array" ref="DN200">IF(DN187=0,0,INDEX($G$213:$DV$213,DN187))</f>
        <v>0.05</v>
      </c>
      <c r="DO200" s="63" cm="1">
        <f t="array" ref="DO200">IF(DO187=0,0,INDEX($G$213:$DV$213,DO187))</f>
        <v>0.05</v>
      </c>
      <c r="DP200" s="63" cm="1">
        <f t="array" ref="DP200">IF(DP187=0,0,INDEX($G$213:$DV$213,DP187))</f>
        <v>0.05</v>
      </c>
      <c r="DQ200" s="63" cm="1">
        <f t="array" ref="DQ200">IF(DQ187=0,0,INDEX($G$213:$DV$213,DQ187))</f>
        <v>0.05</v>
      </c>
      <c r="DR200" s="63" cm="1">
        <f t="array" ref="DR200">IF(DR187=0,0,INDEX($G$213:$DV$213,DR187))</f>
        <v>0.05</v>
      </c>
      <c r="DS200" s="63" cm="1">
        <f t="array" ref="DS200">IF(DS187=0,0,INDEX($G$213:$DV$213,DS187))</f>
        <v>0.05</v>
      </c>
      <c r="DT200" s="63" cm="1">
        <f t="array" ref="DT200">IF(DT187=0,0,INDEX($G$213:$DV$213,DT187))</f>
        <v>0.05</v>
      </c>
      <c r="DU200" s="63" cm="1">
        <f t="array" ref="DU200">IF(DU187=0,0,INDEX($G$213:$DV$213,DU187))</f>
        <v>0.05</v>
      </c>
      <c r="DV200" s="63" cm="1">
        <f t="array" ref="DV200">IF(DV187=0,0,INDEX($G$213:$DV$213,DV187))</f>
        <v>0.05</v>
      </c>
    </row>
    <row r="201" spans="2:126" outlineLevel="1">
      <c r="B201" s="3" t="str">
        <f t="shared" si="158"/>
        <v>Property O</v>
      </c>
      <c r="C201" s="2"/>
      <c r="D201" s="2"/>
      <c r="E201" s="35"/>
      <c r="F201" s="35"/>
      <c r="G201" s="63" cm="1">
        <f t="array" ref="G201">IF(G188=0,0,INDEX($G$213:$DV$213,G188))</f>
        <v>0</v>
      </c>
      <c r="H201" s="63" cm="1">
        <f t="array" ref="H201">IF(H188=0,0,INDEX($G$213:$DV$213,H188))</f>
        <v>0</v>
      </c>
      <c r="I201" s="63" cm="1">
        <f t="array" ref="I201">IF(I188=0,0,INDEX($G$213:$DV$213,I188))</f>
        <v>0</v>
      </c>
      <c r="J201" s="63" cm="1">
        <f t="array" ref="J201">IF(J188=0,0,INDEX($G$213:$DV$213,J188))</f>
        <v>0</v>
      </c>
      <c r="K201" s="63" cm="1">
        <f t="array" ref="K201">IF(K188=0,0,INDEX($G$213:$DV$213,K188))</f>
        <v>0</v>
      </c>
      <c r="L201" s="63" cm="1">
        <f t="array" ref="L201">IF(L188=0,0,INDEX($G$213:$DV$213,L188))</f>
        <v>0</v>
      </c>
      <c r="M201" s="63" cm="1">
        <f t="array" ref="M201">IF(M188=0,0,INDEX($G$213:$DV$213,M188))</f>
        <v>0</v>
      </c>
      <c r="N201" s="63" cm="1">
        <f t="array" ref="N201">IF(N188=0,0,INDEX($G$213:$DV$213,N188))</f>
        <v>0</v>
      </c>
      <c r="O201" s="63" cm="1">
        <f t="array" ref="O201">IF(O188=0,0,INDEX($G$213:$DV$213,O188))</f>
        <v>0</v>
      </c>
      <c r="P201" s="63" cm="1">
        <f t="array" ref="P201">IF(P188=0,0,INDEX($G$213:$DV$213,P188))</f>
        <v>0</v>
      </c>
      <c r="Q201" s="63" cm="1">
        <f t="array" ref="Q201">IF(Q188=0,0,INDEX($G$213:$DV$213,Q188))</f>
        <v>0</v>
      </c>
      <c r="R201" s="63" cm="1">
        <f t="array" ref="R201">IF(R188=0,0,INDEX($G$213:$DV$213,R188))</f>
        <v>0</v>
      </c>
      <c r="S201" s="63" cm="1">
        <f t="array" ref="S201">IF(S188=0,0,INDEX($G$213:$DV$213,S188))</f>
        <v>0</v>
      </c>
      <c r="T201" s="63" cm="1">
        <f t="array" ref="T201">IF(T188=0,0,INDEX($G$213:$DV$213,T188))</f>
        <v>0</v>
      </c>
      <c r="U201" s="63" cm="1">
        <f t="array" ref="U201">IF(U188=0,0,INDEX($G$213:$DV$213,U188))</f>
        <v>0</v>
      </c>
      <c r="V201" s="63" cm="1">
        <f t="array" ref="V201">IF(V188=0,0,INDEX($G$213:$DV$213,V188))</f>
        <v>0</v>
      </c>
      <c r="W201" s="63" cm="1">
        <f t="array" ref="W201">IF(W188=0,0,INDEX($G$213:$DV$213,W188))</f>
        <v>0</v>
      </c>
      <c r="X201" s="63" cm="1">
        <f t="array" ref="X201">IF(X188=0,0,INDEX($G$213:$DV$213,X188))</f>
        <v>0</v>
      </c>
      <c r="Y201" s="63" cm="1">
        <f t="array" ref="Y201">IF(Y188=0,0,INDEX($G$213:$DV$213,Y188))</f>
        <v>0</v>
      </c>
      <c r="Z201" s="63" cm="1">
        <f t="array" ref="Z201">IF(Z188=0,0,INDEX($G$213:$DV$213,Z188))</f>
        <v>0</v>
      </c>
      <c r="AA201" s="63" cm="1">
        <f t="array" ref="AA201">IF(AA188=0,0,INDEX($G$213:$DV$213,AA188))</f>
        <v>0</v>
      </c>
      <c r="AB201" s="63" cm="1">
        <f t="array" ref="AB201">IF(AB188=0,0,INDEX($G$213:$DV$213,AB188))</f>
        <v>0</v>
      </c>
      <c r="AC201" s="63" cm="1">
        <f t="array" ref="AC201">IF(AC188=0,0,INDEX($G$213:$DV$213,AC188))</f>
        <v>0</v>
      </c>
      <c r="AD201" s="63" cm="1">
        <f t="array" ref="AD201">IF(AD188=0,0,INDEX($G$213:$DV$213,AD188))</f>
        <v>0</v>
      </c>
      <c r="AE201" s="63" cm="1">
        <f t="array" ref="AE201">IF(AE188=0,0,INDEX($G$213:$DV$213,AE188))</f>
        <v>0</v>
      </c>
      <c r="AF201" s="63" cm="1">
        <f t="array" ref="AF201">IF(AF188=0,0,INDEX($G$213:$DV$213,AF188))</f>
        <v>0</v>
      </c>
      <c r="AG201" s="63" cm="1">
        <f t="array" ref="AG201">IF(AG188=0,0,INDEX($G$213:$DV$213,AG188))</f>
        <v>0</v>
      </c>
      <c r="AH201" s="63" cm="1">
        <f t="array" ref="AH201">IF(AH188=0,0,INDEX($G$213:$DV$213,AH188))</f>
        <v>0</v>
      </c>
      <c r="AI201" s="63" cm="1">
        <f t="array" ref="AI201">IF(AI188=0,0,INDEX($G$213:$DV$213,AI188))</f>
        <v>0</v>
      </c>
      <c r="AJ201" s="63" cm="1">
        <f t="array" ref="AJ201">IF(AJ188=0,0,INDEX($G$213:$DV$213,AJ188))</f>
        <v>0</v>
      </c>
      <c r="AK201" s="63" cm="1">
        <f t="array" ref="AK201">IF(AK188=0,0,INDEX($G$213:$DV$213,AK188))</f>
        <v>0</v>
      </c>
      <c r="AL201" s="63" cm="1">
        <f t="array" ref="AL201">IF(AL188=0,0,INDEX($G$213:$DV$213,AL188))</f>
        <v>0</v>
      </c>
      <c r="AM201" s="63" cm="1">
        <f t="array" ref="AM201">IF(AM188=0,0,INDEX($G$213:$DV$213,AM188))</f>
        <v>0</v>
      </c>
      <c r="AN201" s="63" cm="1">
        <f t="array" ref="AN201">IF(AN188=0,0,INDEX($G$213:$DV$213,AN188))</f>
        <v>0</v>
      </c>
      <c r="AO201" s="63" cm="1">
        <f t="array" ref="AO201">IF(AO188=0,0,INDEX($G$213:$DV$213,AO188))</f>
        <v>0</v>
      </c>
      <c r="AP201" s="63" cm="1">
        <f t="array" ref="AP201">IF(AP188=0,0,INDEX($G$213:$DV$213,AP188))</f>
        <v>0</v>
      </c>
      <c r="AQ201" s="63" cm="1">
        <f t="array" ref="AQ201">IF(AQ188=0,0,INDEX($G$213:$DV$213,AQ188))</f>
        <v>0</v>
      </c>
      <c r="AR201" s="63" cm="1">
        <f t="array" ref="AR201">IF(AR188=0,0,INDEX($G$213:$DV$213,AR188))</f>
        <v>0</v>
      </c>
      <c r="AS201" s="63" cm="1">
        <f t="array" ref="AS201">IF(AS188=0,0,INDEX($G$213:$DV$213,AS188))</f>
        <v>0</v>
      </c>
      <c r="AT201" s="63" cm="1">
        <f t="array" ref="AT201">IF(AT188=0,0,INDEX($G$213:$DV$213,AT188))</f>
        <v>0</v>
      </c>
      <c r="AU201" s="63" cm="1">
        <f t="array" ref="AU201">IF(AU188=0,0,INDEX($G$213:$DV$213,AU188))</f>
        <v>0</v>
      </c>
      <c r="AV201" s="63" cm="1">
        <f t="array" ref="AV201">IF(AV188=0,0,INDEX($G$213:$DV$213,AV188))</f>
        <v>0</v>
      </c>
      <c r="AW201" s="63" cm="1">
        <f t="array" ref="AW201">IF(AW188=0,0,INDEX($G$213:$DV$213,AW188))</f>
        <v>0</v>
      </c>
      <c r="AX201" s="63" cm="1">
        <f t="array" ref="AX201">IF(AX188=0,0,INDEX($G$213:$DV$213,AX188))</f>
        <v>0</v>
      </c>
      <c r="AY201" s="63" cm="1">
        <f t="array" ref="AY201">IF(AY188=0,0,INDEX($G$213:$DV$213,AY188))</f>
        <v>0</v>
      </c>
      <c r="AZ201" s="63" cm="1">
        <f t="array" ref="AZ201">IF(AZ188=0,0,INDEX($G$213:$DV$213,AZ188))</f>
        <v>0</v>
      </c>
      <c r="BA201" s="63" cm="1">
        <f t="array" ref="BA201">IF(BA188=0,0,INDEX($G$213:$DV$213,BA188))</f>
        <v>0</v>
      </c>
      <c r="BB201" s="63" cm="1">
        <f t="array" ref="BB201">IF(BB188=0,0,INDEX($G$213:$DV$213,BB188))</f>
        <v>0</v>
      </c>
      <c r="BC201" s="63" cm="1">
        <f t="array" ref="BC201">IF(BC188=0,0,INDEX($G$213:$DV$213,BC188))</f>
        <v>0</v>
      </c>
      <c r="BD201" s="63" cm="1">
        <f t="array" ref="BD201">IF(BD188=0,0,INDEX($G$213:$DV$213,BD188))</f>
        <v>0</v>
      </c>
      <c r="BE201" s="63" cm="1">
        <f t="array" ref="BE201">IF(BE188=0,0,INDEX($G$213:$DV$213,BE188))</f>
        <v>0</v>
      </c>
      <c r="BF201" s="63" cm="1">
        <f t="array" ref="BF201">IF(BF188=0,0,INDEX($G$213:$DV$213,BF188))</f>
        <v>0</v>
      </c>
      <c r="BG201" s="63" cm="1">
        <f t="array" ref="BG201">IF(BG188=0,0,INDEX($G$213:$DV$213,BG188))</f>
        <v>0</v>
      </c>
      <c r="BH201" s="63" cm="1">
        <f t="array" ref="BH201">IF(BH188=0,0,INDEX($G$213:$DV$213,BH188))</f>
        <v>0</v>
      </c>
      <c r="BI201" s="63" cm="1">
        <f t="array" ref="BI201">IF(BI188=0,0,INDEX($G$213:$DV$213,BI188))</f>
        <v>0</v>
      </c>
      <c r="BJ201" s="63" cm="1">
        <f t="array" ref="BJ201">IF(BJ188=0,0,INDEX($G$213:$DV$213,BJ188))</f>
        <v>0</v>
      </c>
      <c r="BK201" s="63" cm="1">
        <f t="array" ref="BK201">IF(BK188=0,0,INDEX($G$213:$DV$213,BK188))</f>
        <v>0</v>
      </c>
      <c r="BL201" s="63" cm="1">
        <f t="array" ref="BL201">IF(BL188=0,0,INDEX($G$213:$DV$213,BL188))</f>
        <v>0</v>
      </c>
      <c r="BM201" s="63" cm="1">
        <f t="array" ref="BM201">IF(BM188=0,0,INDEX($G$213:$DV$213,BM188))</f>
        <v>0</v>
      </c>
      <c r="BN201" s="63" cm="1">
        <f t="array" ref="BN201">IF(BN188=0,0,INDEX($G$213:$DV$213,BN188))</f>
        <v>0</v>
      </c>
      <c r="BO201" s="63" cm="1">
        <f t="array" ref="BO201">IF(BO188=0,0,INDEX($G$213:$DV$213,BO188))</f>
        <v>0</v>
      </c>
      <c r="BP201" s="63" cm="1">
        <f t="array" ref="BP201">IF(BP188=0,0,INDEX($G$213:$DV$213,BP188))</f>
        <v>0</v>
      </c>
      <c r="BQ201" s="63" cm="1">
        <f t="array" ref="BQ201">IF(BQ188=0,0,INDEX($G$213:$DV$213,BQ188))</f>
        <v>0</v>
      </c>
      <c r="BR201" s="63" cm="1">
        <f t="array" ref="BR201">IF(BR188=0,0,INDEX($G$213:$DV$213,BR188))</f>
        <v>0</v>
      </c>
      <c r="BS201" s="63" cm="1">
        <f t="array" ref="BS201">IF(BS188=0,0,INDEX($G$213:$DV$213,BS188))</f>
        <v>0</v>
      </c>
      <c r="BT201" s="63" cm="1">
        <f t="array" ref="BT201">IF(BT188=0,0,INDEX($G$213:$DV$213,BT188))</f>
        <v>0</v>
      </c>
      <c r="BU201" s="63" cm="1">
        <f t="array" ref="BU201">IF(BU188=0,0,INDEX($G$213:$DV$213,BU188))</f>
        <v>0</v>
      </c>
      <c r="BV201" s="63" cm="1">
        <f t="array" ref="BV201">IF(BV188=0,0,INDEX($G$213:$DV$213,BV188))</f>
        <v>0</v>
      </c>
      <c r="BW201" s="63" cm="1">
        <f t="array" ref="BW201">IF(BW188=0,0,INDEX($G$213:$DV$213,BW188))</f>
        <v>0</v>
      </c>
      <c r="BX201" s="63" cm="1">
        <f t="array" ref="BX201">IF(BX188=0,0,INDEX($G$213:$DV$213,BX188))</f>
        <v>0</v>
      </c>
      <c r="BY201" s="63" cm="1">
        <f t="array" ref="BY201">IF(BY188=0,0,INDEX($G$213:$DV$213,BY188))</f>
        <v>0</v>
      </c>
      <c r="BZ201" s="63" cm="1">
        <f t="array" ref="BZ201">IF(BZ188=0,0,INDEX($G$213:$DV$213,BZ188))</f>
        <v>0.75</v>
      </c>
      <c r="CA201" s="63" cm="1">
        <f t="array" ref="CA201">IF(CA188=0,0,INDEX($G$213:$DV$213,CA188))</f>
        <v>0.65</v>
      </c>
      <c r="CB201" s="63" cm="1">
        <f t="array" ref="CB201">IF(CB188=0,0,INDEX($G$213:$DV$213,CB188))</f>
        <v>0.55000000000000004</v>
      </c>
      <c r="CC201" s="63" cm="1">
        <f t="array" ref="CC201">IF(CC188=0,0,INDEX($G$213:$DV$213,CC188))</f>
        <v>0.45000000000000007</v>
      </c>
      <c r="CD201" s="63" cm="1">
        <f t="array" ref="CD201">IF(CD188=0,0,INDEX($G$213:$DV$213,CD188))</f>
        <v>0.35000000000000009</v>
      </c>
      <c r="CE201" s="63" cm="1">
        <f t="array" ref="CE201">IF(CE188=0,0,INDEX($G$213:$DV$213,CE188))</f>
        <v>0.25</v>
      </c>
      <c r="CF201" s="63" cm="1">
        <f t="array" ref="CF201">IF(CF188=0,0,INDEX($G$213:$DV$213,CF188))</f>
        <v>0.22500000000000001</v>
      </c>
      <c r="CG201" s="63" cm="1">
        <f t="array" ref="CG201">IF(CG188=0,0,INDEX($G$213:$DV$213,CG188))</f>
        <v>0.2</v>
      </c>
      <c r="CH201" s="63" cm="1">
        <f t="array" ref="CH201">IF(CH188=0,0,INDEX($G$213:$DV$213,CH188))</f>
        <v>0.17500000000000002</v>
      </c>
      <c r="CI201" s="63" cm="1">
        <f t="array" ref="CI201">IF(CI188=0,0,INDEX($G$213:$DV$213,CI188))</f>
        <v>0.15000000000000002</v>
      </c>
      <c r="CJ201" s="63" cm="1">
        <f t="array" ref="CJ201">IF(CJ188=0,0,INDEX($G$213:$DV$213,CJ188))</f>
        <v>0.12500000000000003</v>
      </c>
      <c r="CK201" s="63" cm="1">
        <f t="array" ref="CK201">IF(CK188=0,0,INDEX($G$213:$DV$213,CK188))</f>
        <v>0.1</v>
      </c>
      <c r="CL201" s="63" cm="1">
        <f t="array" ref="CL201">IF(CL188=0,0,INDEX($G$213:$DV$213,CL188))</f>
        <v>9.583333333333334E-2</v>
      </c>
      <c r="CM201" s="63" cm="1">
        <f t="array" ref="CM201">IF(CM188=0,0,INDEX($G$213:$DV$213,CM188))</f>
        <v>9.1666666666666674E-2</v>
      </c>
      <c r="CN201" s="63" cm="1">
        <f t="array" ref="CN201">IF(CN188=0,0,INDEX($G$213:$DV$213,CN188))</f>
        <v>8.7500000000000008E-2</v>
      </c>
      <c r="CO201" s="63" cm="1">
        <f t="array" ref="CO201">IF(CO188=0,0,INDEX($G$213:$DV$213,CO188))</f>
        <v>8.3333333333333343E-2</v>
      </c>
      <c r="CP201" s="63" cm="1">
        <f t="array" ref="CP201">IF(CP188=0,0,INDEX($G$213:$DV$213,CP188))</f>
        <v>7.9166666666666677E-2</v>
      </c>
      <c r="CQ201" s="63" cm="1">
        <f t="array" ref="CQ201">IF(CQ188=0,0,INDEX($G$213:$DV$213,CQ188))</f>
        <v>7.5000000000000011E-2</v>
      </c>
      <c r="CR201" s="63" cm="1">
        <f t="array" ref="CR201">IF(CR188=0,0,INDEX($G$213:$DV$213,CR188))</f>
        <v>7.0833333333333345E-2</v>
      </c>
      <c r="CS201" s="63" cm="1">
        <f t="array" ref="CS201">IF(CS188=0,0,INDEX($G$213:$DV$213,CS188))</f>
        <v>6.666666666666668E-2</v>
      </c>
      <c r="CT201" s="63" cm="1">
        <f t="array" ref="CT201">IF(CT188=0,0,INDEX($G$213:$DV$213,CT188))</f>
        <v>6.2500000000000014E-2</v>
      </c>
      <c r="CU201" s="63" cm="1">
        <f t="array" ref="CU201">IF(CU188=0,0,INDEX($G$213:$DV$213,CU188))</f>
        <v>5.8333333333333348E-2</v>
      </c>
      <c r="CV201" s="63" cm="1">
        <f t="array" ref="CV201">IF(CV188=0,0,INDEX($G$213:$DV$213,CV188))</f>
        <v>5.4166666666666682E-2</v>
      </c>
      <c r="CW201" s="63" cm="1">
        <f t="array" ref="CW201">IF(CW188=0,0,INDEX($G$213:$DV$213,CW188))</f>
        <v>0.05</v>
      </c>
      <c r="CX201" s="63" cm="1">
        <f t="array" ref="CX201">IF(CX188=0,0,INDEX($G$213:$DV$213,CX188))</f>
        <v>0.05</v>
      </c>
      <c r="CY201" s="63" cm="1">
        <f t="array" ref="CY201">IF(CY188=0,0,INDEX($G$213:$DV$213,CY188))</f>
        <v>0.05</v>
      </c>
      <c r="CZ201" s="63" cm="1">
        <f t="array" ref="CZ201">IF(CZ188=0,0,INDEX($G$213:$DV$213,CZ188))</f>
        <v>0.05</v>
      </c>
      <c r="DA201" s="63" cm="1">
        <f t="array" ref="DA201">IF(DA188=0,0,INDEX($G$213:$DV$213,DA188))</f>
        <v>0.05</v>
      </c>
      <c r="DB201" s="63" cm="1">
        <f t="array" ref="DB201">IF(DB188=0,0,INDEX($G$213:$DV$213,DB188))</f>
        <v>0.05</v>
      </c>
      <c r="DC201" s="63" cm="1">
        <f t="array" ref="DC201">IF(DC188=0,0,INDEX($G$213:$DV$213,DC188))</f>
        <v>0.05</v>
      </c>
      <c r="DD201" s="63" cm="1">
        <f t="array" ref="DD201">IF(DD188=0,0,INDEX($G$213:$DV$213,DD188))</f>
        <v>0.05</v>
      </c>
      <c r="DE201" s="63" cm="1">
        <f t="array" ref="DE201">IF(DE188=0,0,INDEX($G$213:$DV$213,DE188))</f>
        <v>0.05</v>
      </c>
      <c r="DF201" s="63" cm="1">
        <f t="array" ref="DF201">IF(DF188=0,0,INDEX($G$213:$DV$213,DF188))</f>
        <v>0.05</v>
      </c>
      <c r="DG201" s="63" cm="1">
        <f t="array" ref="DG201">IF(DG188=0,0,INDEX($G$213:$DV$213,DG188))</f>
        <v>0.05</v>
      </c>
      <c r="DH201" s="63" cm="1">
        <f t="array" ref="DH201">IF(DH188=0,0,INDEX($G$213:$DV$213,DH188))</f>
        <v>0.05</v>
      </c>
      <c r="DI201" s="63" cm="1">
        <f t="array" ref="DI201">IF(DI188=0,0,INDEX($G$213:$DV$213,DI188))</f>
        <v>0.05</v>
      </c>
      <c r="DJ201" s="63" cm="1">
        <f t="array" ref="DJ201">IF(DJ188=0,0,INDEX($G$213:$DV$213,DJ188))</f>
        <v>0.05</v>
      </c>
      <c r="DK201" s="63" cm="1">
        <f t="array" ref="DK201">IF(DK188=0,0,INDEX($G$213:$DV$213,DK188))</f>
        <v>0.05</v>
      </c>
      <c r="DL201" s="63" cm="1">
        <f t="array" ref="DL201">IF(DL188=0,0,INDEX($G$213:$DV$213,DL188))</f>
        <v>0.05</v>
      </c>
      <c r="DM201" s="63" cm="1">
        <f t="array" ref="DM201">IF(DM188=0,0,INDEX($G$213:$DV$213,DM188))</f>
        <v>0.05</v>
      </c>
      <c r="DN201" s="63" cm="1">
        <f t="array" ref="DN201">IF(DN188=0,0,INDEX($G$213:$DV$213,DN188))</f>
        <v>0.05</v>
      </c>
      <c r="DO201" s="63" cm="1">
        <f t="array" ref="DO201">IF(DO188=0,0,INDEX($G$213:$DV$213,DO188))</f>
        <v>0.05</v>
      </c>
      <c r="DP201" s="63" cm="1">
        <f t="array" ref="DP201">IF(DP188=0,0,INDEX($G$213:$DV$213,DP188))</f>
        <v>0.05</v>
      </c>
      <c r="DQ201" s="63" cm="1">
        <f t="array" ref="DQ201">IF(DQ188=0,0,INDEX($G$213:$DV$213,DQ188))</f>
        <v>0.05</v>
      </c>
      <c r="DR201" s="63" cm="1">
        <f t="array" ref="DR201">IF(DR188=0,0,INDEX($G$213:$DV$213,DR188))</f>
        <v>0.05</v>
      </c>
      <c r="DS201" s="63" cm="1">
        <f t="array" ref="DS201">IF(DS188=0,0,INDEX($G$213:$DV$213,DS188))</f>
        <v>0.05</v>
      </c>
      <c r="DT201" s="63" cm="1">
        <f t="array" ref="DT201">IF(DT188=0,0,INDEX($G$213:$DV$213,DT188))</f>
        <v>0.05</v>
      </c>
      <c r="DU201" s="63" cm="1">
        <f t="array" ref="DU201">IF(DU188=0,0,INDEX($G$213:$DV$213,DU188))</f>
        <v>0.05</v>
      </c>
      <c r="DV201" s="63" cm="1">
        <f t="array" ref="DV201">IF(DV188=0,0,INDEX($G$213:$DV$213,DV188))</f>
        <v>0.05</v>
      </c>
    </row>
    <row r="202" spans="2:126" outlineLevel="1"/>
    <row r="203" spans="2:126" outlineLevel="1"/>
    <row r="204" spans="2:126" outlineLevel="1">
      <c r="B204" s="6" t="s">
        <v>94</v>
      </c>
    </row>
    <row r="205" spans="2:126" outlineLevel="1">
      <c r="B205" s="3" t="s">
        <v>29</v>
      </c>
      <c r="E205" s="35" t="s">
        <v>95</v>
      </c>
      <c r="G205" s="64">
        <f t="shared" ref="G205:BR205" si="159">YEAR(G3)</f>
        <v>2022</v>
      </c>
      <c r="H205" s="64">
        <f t="shared" si="159"/>
        <v>2022</v>
      </c>
      <c r="I205" s="64">
        <f t="shared" si="159"/>
        <v>2022</v>
      </c>
      <c r="J205" s="64">
        <f t="shared" si="159"/>
        <v>2022</v>
      </c>
      <c r="K205" s="64">
        <f t="shared" si="159"/>
        <v>2022</v>
      </c>
      <c r="L205" s="64">
        <f t="shared" si="159"/>
        <v>2022</v>
      </c>
      <c r="M205" s="64">
        <f t="shared" si="159"/>
        <v>2022</v>
      </c>
      <c r="N205" s="64">
        <f t="shared" si="159"/>
        <v>2022</v>
      </c>
      <c r="O205" s="64">
        <f t="shared" si="159"/>
        <v>2022</v>
      </c>
      <c r="P205" s="64">
        <f t="shared" si="159"/>
        <v>2022</v>
      </c>
      <c r="Q205" s="64">
        <f t="shared" si="159"/>
        <v>2022</v>
      </c>
      <c r="R205" s="64">
        <f t="shared" si="159"/>
        <v>2022</v>
      </c>
      <c r="S205" s="64">
        <f t="shared" si="159"/>
        <v>2023</v>
      </c>
      <c r="T205" s="64">
        <f t="shared" si="159"/>
        <v>2023</v>
      </c>
      <c r="U205" s="64">
        <f t="shared" si="159"/>
        <v>2023</v>
      </c>
      <c r="V205" s="64">
        <f t="shared" si="159"/>
        <v>2023</v>
      </c>
      <c r="W205" s="64">
        <f t="shared" si="159"/>
        <v>2023</v>
      </c>
      <c r="X205" s="64">
        <f t="shared" si="159"/>
        <v>2023</v>
      </c>
      <c r="Y205" s="64">
        <f t="shared" si="159"/>
        <v>2023</v>
      </c>
      <c r="Z205" s="64">
        <f t="shared" si="159"/>
        <v>2023</v>
      </c>
      <c r="AA205" s="64">
        <f t="shared" si="159"/>
        <v>2023</v>
      </c>
      <c r="AB205" s="64">
        <f t="shared" si="159"/>
        <v>2023</v>
      </c>
      <c r="AC205" s="64">
        <f t="shared" si="159"/>
        <v>2023</v>
      </c>
      <c r="AD205" s="64">
        <f t="shared" si="159"/>
        <v>2023</v>
      </c>
      <c r="AE205" s="64">
        <f t="shared" si="159"/>
        <v>2024</v>
      </c>
      <c r="AF205" s="64">
        <f t="shared" si="159"/>
        <v>2024</v>
      </c>
      <c r="AG205" s="64">
        <f t="shared" si="159"/>
        <v>2024</v>
      </c>
      <c r="AH205" s="64">
        <f t="shared" si="159"/>
        <v>2024</v>
      </c>
      <c r="AI205" s="64">
        <f t="shared" si="159"/>
        <v>2024</v>
      </c>
      <c r="AJ205" s="64">
        <f t="shared" si="159"/>
        <v>2024</v>
      </c>
      <c r="AK205" s="64">
        <f t="shared" si="159"/>
        <v>2024</v>
      </c>
      <c r="AL205" s="64">
        <f t="shared" si="159"/>
        <v>2024</v>
      </c>
      <c r="AM205" s="64">
        <f t="shared" si="159"/>
        <v>2024</v>
      </c>
      <c r="AN205" s="64">
        <f t="shared" si="159"/>
        <v>2024</v>
      </c>
      <c r="AO205" s="64">
        <f t="shared" si="159"/>
        <v>2024</v>
      </c>
      <c r="AP205" s="64">
        <f t="shared" si="159"/>
        <v>2024</v>
      </c>
      <c r="AQ205" s="64">
        <f t="shared" si="159"/>
        <v>2025</v>
      </c>
      <c r="AR205" s="64">
        <f t="shared" si="159"/>
        <v>2025</v>
      </c>
      <c r="AS205" s="64">
        <f t="shared" si="159"/>
        <v>2025</v>
      </c>
      <c r="AT205" s="64">
        <f t="shared" si="159"/>
        <v>2025</v>
      </c>
      <c r="AU205" s="64">
        <f t="shared" si="159"/>
        <v>2025</v>
      </c>
      <c r="AV205" s="64">
        <f t="shared" si="159"/>
        <v>2025</v>
      </c>
      <c r="AW205" s="64">
        <f t="shared" si="159"/>
        <v>2025</v>
      </c>
      <c r="AX205" s="64">
        <f t="shared" si="159"/>
        <v>2025</v>
      </c>
      <c r="AY205" s="64">
        <f t="shared" si="159"/>
        <v>2025</v>
      </c>
      <c r="AZ205" s="64">
        <f t="shared" si="159"/>
        <v>2025</v>
      </c>
      <c r="BA205" s="64">
        <f t="shared" si="159"/>
        <v>2025</v>
      </c>
      <c r="BB205" s="64">
        <f t="shared" si="159"/>
        <v>2025</v>
      </c>
      <c r="BC205" s="64">
        <f t="shared" si="159"/>
        <v>2026</v>
      </c>
      <c r="BD205" s="64">
        <f t="shared" si="159"/>
        <v>2026</v>
      </c>
      <c r="BE205" s="64">
        <f t="shared" si="159"/>
        <v>2026</v>
      </c>
      <c r="BF205" s="64">
        <f t="shared" si="159"/>
        <v>2026</v>
      </c>
      <c r="BG205" s="64">
        <f t="shared" si="159"/>
        <v>2026</v>
      </c>
      <c r="BH205" s="64">
        <f t="shared" si="159"/>
        <v>2026</v>
      </c>
      <c r="BI205" s="64">
        <f t="shared" si="159"/>
        <v>2026</v>
      </c>
      <c r="BJ205" s="64">
        <f t="shared" si="159"/>
        <v>2026</v>
      </c>
      <c r="BK205" s="64">
        <f t="shared" si="159"/>
        <v>2026</v>
      </c>
      <c r="BL205" s="64">
        <f t="shared" si="159"/>
        <v>2026</v>
      </c>
      <c r="BM205" s="64">
        <f t="shared" si="159"/>
        <v>2026</v>
      </c>
      <c r="BN205" s="64">
        <f t="shared" si="159"/>
        <v>2026</v>
      </c>
      <c r="BO205" s="64">
        <f t="shared" si="159"/>
        <v>2027</v>
      </c>
      <c r="BP205" s="64">
        <f t="shared" si="159"/>
        <v>2027</v>
      </c>
      <c r="BQ205" s="64">
        <f t="shared" si="159"/>
        <v>2027</v>
      </c>
      <c r="BR205" s="64">
        <f t="shared" si="159"/>
        <v>2027</v>
      </c>
      <c r="BS205" s="64">
        <f t="shared" ref="BS205:DV205" si="160">YEAR(BS3)</f>
        <v>2027</v>
      </c>
      <c r="BT205" s="64">
        <f t="shared" si="160"/>
        <v>2027</v>
      </c>
      <c r="BU205" s="64">
        <f t="shared" si="160"/>
        <v>2027</v>
      </c>
      <c r="BV205" s="64">
        <f t="shared" si="160"/>
        <v>2027</v>
      </c>
      <c r="BW205" s="64">
        <f t="shared" si="160"/>
        <v>2027</v>
      </c>
      <c r="BX205" s="64">
        <f t="shared" si="160"/>
        <v>2027</v>
      </c>
      <c r="BY205" s="64">
        <f t="shared" si="160"/>
        <v>2027</v>
      </c>
      <c r="BZ205" s="64">
        <f t="shared" si="160"/>
        <v>2027</v>
      </c>
      <c r="CA205" s="64">
        <f t="shared" si="160"/>
        <v>2028</v>
      </c>
      <c r="CB205" s="64">
        <f t="shared" si="160"/>
        <v>2028</v>
      </c>
      <c r="CC205" s="64">
        <f t="shared" si="160"/>
        <v>2028</v>
      </c>
      <c r="CD205" s="64">
        <f t="shared" si="160"/>
        <v>2028</v>
      </c>
      <c r="CE205" s="64">
        <f t="shared" si="160"/>
        <v>2028</v>
      </c>
      <c r="CF205" s="64">
        <f t="shared" si="160"/>
        <v>2028</v>
      </c>
      <c r="CG205" s="64">
        <f t="shared" si="160"/>
        <v>2028</v>
      </c>
      <c r="CH205" s="64">
        <f t="shared" si="160"/>
        <v>2028</v>
      </c>
      <c r="CI205" s="64">
        <f t="shared" si="160"/>
        <v>2028</v>
      </c>
      <c r="CJ205" s="64">
        <f t="shared" si="160"/>
        <v>2028</v>
      </c>
      <c r="CK205" s="64">
        <f t="shared" si="160"/>
        <v>2028</v>
      </c>
      <c r="CL205" s="64">
        <f t="shared" si="160"/>
        <v>2028</v>
      </c>
      <c r="CM205" s="64">
        <f t="shared" si="160"/>
        <v>2029</v>
      </c>
      <c r="CN205" s="64">
        <f t="shared" si="160"/>
        <v>2029</v>
      </c>
      <c r="CO205" s="64">
        <f t="shared" si="160"/>
        <v>2029</v>
      </c>
      <c r="CP205" s="64">
        <f t="shared" si="160"/>
        <v>2029</v>
      </c>
      <c r="CQ205" s="64">
        <f t="shared" si="160"/>
        <v>2029</v>
      </c>
      <c r="CR205" s="64">
        <f t="shared" si="160"/>
        <v>2029</v>
      </c>
      <c r="CS205" s="64">
        <f t="shared" si="160"/>
        <v>2029</v>
      </c>
      <c r="CT205" s="64">
        <f t="shared" si="160"/>
        <v>2029</v>
      </c>
      <c r="CU205" s="64">
        <f t="shared" si="160"/>
        <v>2029</v>
      </c>
      <c r="CV205" s="64">
        <f t="shared" si="160"/>
        <v>2029</v>
      </c>
      <c r="CW205" s="64">
        <f t="shared" si="160"/>
        <v>2029</v>
      </c>
      <c r="CX205" s="64">
        <f t="shared" si="160"/>
        <v>2029</v>
      </c>
      <c r="CY205" s="64">
        <f t="shared" si="160"/>
        <v>2030</v>
      </c>
      <c r="CZ205" s="64">
        <f t="shared" si="160"/>
        <v>2030</v>
      </c>
      <c r="DA205" s="64">
        <f t="shared" si="160"/>
        <v>2030</v>
      </c>
      <c r="DB205" s="64">
        <f t="shared" si="160"/>
        <v>2030</v>
      </c>
      <c r="DC205" s="64">
        <f t="shared" si="160"/>
        <v>2030</v>
      </c>
      <c r="DD205" s="64">
        <f t="shared" si="160"/>
        <v>2030</v>
      </c>
      <c r="DE205" s="64">
        <f t="shared" si="160"/>
        <v>2030</v>
      </c>
      <c r="DF205" s="64">
        <f t="shared" si="160"/>
        <v>2030</v>
      </c>
      <c r="DG205" s="64">
        <f t="shared" si="160"/>
        <v>2030</v>
      </c>
      <c r="DH205" s="64">
        <f t="shared" si="160"/>
        <v>2030</v>
      </c>
      <c r="DI205" s="64">
        <f t="shared" si="160"/>
        <v>2030</v>
      </c>
      <c r="DJ205" s="64">
        <f t="shared" si="160"/>
        <v>2030</v>
      </c>
      <c r="DK205" s="64">
        <f t="shared" si="160"/>
        <v>2031</v>
      </c>
      <c r="DL205" s="64">
        <f t="shared" si="160"/>
        <v>2031</v>
      </c>
      <c r="DM205" s="64">
        <f t="shared" si="160"/>
        <v>2031</v>
      </c>
      <c r="DN205" s="64">
        <f t="shared" si="160"/>
        <v>2031</v>
      </c>
      <c r="DO205" s="64">
        <f t="shared" si="160"/>
        <v>2031</v>
      </c>
      <c r="DP205" s="64">
        <f t="shared" si="160"/>
        <v>2031</v>
      </c>
      <c r="DQ205" s="64">
        <f t="shared" si="160"/>
        <v>2031</v>
      </c>
      <c r="DR205" s="64">
        <f t="shared" si="160"/>
        <v>2031</v>
      </c>
      <c r="DS205" s="64">
        <f t="shared" si="160"/>
        <v>2031</v>
      </c>
      <c r="DT205" s="64">
        <f t="shared" si="160"/>
        <v>2031</v>
      </c>
      <c r="DU205" s="64">
        <f t="shared" si="160"/>
        <v>2031</v>
      </c>
      <c r="DV205" s="64">
        <f t="shared" si="160"/>
        <v>2031</v>
      </c>
    </row>
    <row r="206" spans="2:126" outlineLevel="1">
      <c r="B206" s="3" t="s">
        <v>30</v>
      </c>
      <c r="E206" s="35" t="s">
        <v>2</v>
      </c>
      <c r="G206" s="65">
        <f>INDEX(CaseData!$K$15:$M$24,MATCH(G$205,CaseData!$J$15:$J$24,0),MATCH($B206,CaseData!$K$14:$M$14,0))</f>
        <v>0.05</v>
      </c>
      <c r="H206" s="65">
        <f>INDEX(CaseData!$K$15:$M$24,MATCH(H$205,CaseData!$J$15:$J$24,0),MATCH($B206,CaseData!$K$14:$M$14,0))</f>
        <v>0.05</v>
      </c>
      <c r="I206" s="65">
        <f>INDEX(CaseData!$K$15:$M$24,MATCH(I$205,CaseData!$J$15:$J$24,0),MATCH($B206,CaseData!$K$14:$M$14,0))</f>
        <v>0.05</v>
      </c>
      <c r="J206" s="65">
        <f>INDEX(CaseData!$K$15:$M$24,MATCH(J$205,CaseData!$J$15:$J$24,0),MATCH($B206,CaseData!$K$14:$M$14,0))</f>
        <v>0.05</v>
      </c>
      <c r="K206" s="65">
        <f>INDEX(CaseData!$K$15:$M$24,MATCH(K$205,CaseData!$J$15:$J$24,0),MATCH($B206,CaseData!$K$14:$M$14,0))</f>
        <v>0.05</v>
      </c>
      <c r="L206" s="65">
        <f>INDEX(CaseData!$K$15:$M$24,MATCH(L$205,CaseData!$J$15:$J$24,0),MATCH($B206,CaseData!$K$14:$M$14,0))</f>
        <v>0.05</v>
      </c>
      <c r="M206" s="65">
        <f>INDEX(CaseData!$K$15:$M$24,MATCH(M$205,CaseData!$J$15:$J$24,0),MATCH($B206,CaseData!$K$14:$M$14,0))</f>
        <v>0.05</v>
      </c>
      <c r="N206" s="65">
        <f>INDEX(CaseData!$K$15:$M$24,MATCH(N$205,CaseData!$J$15:$J$24,0),MATCH($B206,CaseData!$K$14:$M$14,0))</f>
        <v>0.05</v>
      </c>
      <c r="O206" s="65">
        <f>INDEX(CaseData!$K$15:$M$24,MATCH(O$205,CaseData!$J$15:$J$24,0),MATCH($B206,CaseData!$K$14:$M$14,0))</f>
        <v>0.05</v>
      </c>
      <c r="P206" s="65">
        <f>INDEX(CaseData!$K$15:$M$24,MATCH(P$205,CaseData!$J$15:$J$24,0),MATCH($B206,CaseData!$K$14:$M$14,0))</f>
        <v>0.05</v>
      </c>
      <c r="Q206" s="65">
        <f>INDEX(CaseData!$K$15:$M$24,MATCH(Q$205,CaseData!$J$15:$J$24,0),MATCH($B206,CaseData!$K$14:$M$14,0))</f>
        <v>0.05</v>
      </c>
      <c r="R206" s="65">
        <f>INDEX(CaseData!$K$15:$M$24,MATCH(R$205,CaseData!$J$15:$J$24,0),MATCH($B206,CaseData!$K$14:$M$14,0))</f>
        <v>0.05</v>
      </c>
      <c r="S206" s="65">
        <f>INDEX(CaseData!$K$15:$M$24,MATCH(S$205,CaseData!$J$15:$J$24,0),MATCH($B206,CaseData!$K$14:$M$14,0))</f>
        <v>4.4999999999999998E-2</v>
      </c>
      <c r="T206" s="65">
        <f>INDEX(CaseData!$K$15:$M$24,MATCH(T$205,CaseData!$J$15:$J$24,0),MATCH($B206,CaseData!$K$14:$M$14,0))</f>
        <v>4.4999999999999998E-2</v>
      </c>
      <c r="U206" s="65">
        <f>INDEX(CaseData!$K$15:$M$24,MATCH(U$205,CaseData!$J$15:$J$24,0),MATCH($B206,CaseData!$K$14:$M$14,0))</f>
        <v>4.4999999999999998E-2</v>
      </c>
      <c r="V206" s="65">
        <f>INDEX(CaseData!$K$15:$M$24,MATCH(V$205,CaseData!$J$15:$J$24,0),MATCH($B206,CaseData!$K$14:$M$14,0))</f>
        <v>4.4999999999999998E-2</v>
      </c>
      <c r="W206" s="65">
        <f>INDEX(CaseData!$K$15:$M$24,MATCH(W$205,CaseData!$J$15:$J$24,0),MATCH($B206,CaseData!$K$14:$M$14,0))</f>
        <v>4.4999999999999998E-2</v>
      </c>
      <c r="X206" s="65">
        <f>INDEX(CaseData!$K$15:$M$24,MATCH(X$205,CaseData!$J$15:$J$24,0),MATCH($B206,CaseData!$K$14:$M$14,0))</f>
        <v>4.4999999999999998E-2</v>
      </c>
      <c r="Y206" s="65">
        <f>INDEX(CaseData!$K$15:$M$24,MATCH(Y$205,CaseData!$J$15:$J$24,0),MATCH($B206,CaseData!$K$14:$M$14,0))</f>
        <v>4.4999999999999998E-2</v>
      </c>
      <c r="Z206" s="65">
        <f>INDEX(CaseData!$K$15:$M$24,MATCH(Z$205,CaseData!$J$15:$J$24,0),MATCH($B206,CaseData!$K$14:$M$14,0))</f>
        <v>4.4999999999999998E-2</v>
      </c>
      <c r="AA206" s="65">
        <f>INDEX(CaseData!$K$15:$M$24,MATCH(AA$205,CaseData!$J$15:$J$24,0),MATCH($B206,CaseData!$K$14:$M$14,0))</f>
        <v>4.4999999999999998E-2</v>
      </c>
      <c r="AB206" s="65">
        <f>INDEX(CaseData!$K$15:$M$24,MATCH(AB$205,CaseData!$J$15:$J$24,0),MATCH($B206,CaseData!$K$14:$M$14,0))</f>
        <v>4.4999999999999998E-2</v>
      </c>
      <c r="AC206" s="65">
        <f>INDEX(CaseData!$K$15:$M$24,MATCH(AC$205,CaseData!$J$15:$J$24,0),MATCH($B206,CaseData!$K$14:$M$14,0))</f>
        <v>4.4999999999999998E-2</v>
      </c>
      <c r="AD206" s="65">
        <f>INDEX(CaseData!$K$15:$M$24,MATCH(AD$205,CaseData!$J$15:$J$24,0),MATCH($B206,CaseData!$K$14:$M$14,0))</f>
        <v>4.4999999999999998E-2</v>
      </c>
      <c r="AE206" s="65">
        <f>INDEX(CaseData!$K$15:$M$24,MATCH(AE$205,CaseData!$J$15:$J$24,0),MATCH($B206,CaseData!$K$14:$M$14,0))</f>
        <v>0.04</v>
      </c>
      <c r="AF206" s="65">
        <f>INDEX(CaseData!$K$15:$M$24,MATCH(AF$205,CaseData!$J$15:$J$24,0),MATCH($B206,CaseData!$K$14:$M$14,0))</f>
        <v>0.04</v>
      </c>
      <c r="AG206" s="65">
        <f>INDEX(CaseData!$K$15:$M$24,MATCH(AG$205,CaseData!$J$15:$J$24,0),MATCH($B206,CaseData!$K$14:$M$14,0))</f>
        <v>0.04</v>
      </c>
      <c r="AH206" s="65">
        <f>INDEX(CaseData!$K$15:$M$24,MATCH(AH$205,CaseData!$J$15:$J$24,0),MATCH($B206,CaseData!$K$14:$M$14,0))</f>
        <v>0.04</v>
      </c>
      <c r="AI206" s="65">
        <f>INDEX(CaseData!$K$15:$M$24,MATCH(AI$205,CaseData!$J$15:$J$24,0),MATCH($B206,CaseData!$K$14:$M$14,0))</f>
        <v>0.04</v>
      </c>
      <c r="AJ206" s="65">
        <f>INDEX(CaseData!$K$15:$M$24,MATCH(AJ$205,CaseData!$J$15:$J$24,0),MATCH($B206,CaseData!$K$14:$M$14,0))</f>
        <v>0.04</v>
      </c>
      <c r="AK206" s="65">
        <f>INDEX(CaseData!$K$15:$M$24,MATCH(AK$205,CaseData!$J$15:$J$24,0),MATCH($B206,CaseData!$K$14:$M$14,0))</f>
        <v>0.04</v>
      </c>
      <c r="AL206" s="65">
        <f>INDEX(CaseData!$K$15:$M$24,MATCH(AL$205,CaseData!$J$15:$J$24,0),MATCH($B206,CaseData!$K$14:$M$14,0))</f>
        <v>0.04</v>
      </c>
      <c r="AM206" s="65">
        <f>INDEX(CaseData!$K$15:$M$24,MATCH(AM$205,CaseData!$J$15:$J$24,0),MATCH($B206,CaseData!$K$14:$M$14,0))</f>
        <v>0.04</v>
      </c>
      <c r="AN206" s="65">
        <f>INDEX(CaseData!$K$15:$M$24,MATCH(AN$205,CaseData!$J$15:$J$24,0),MATCH($B206,CaseData!$K$14:$M$14,0))</f>
        <v>0.04</v>
      </c>
      <c r="AO206" s="65">
        <f>INDEX(CaseData!$K$15:$M$24,MATCH(AO$205,CaseData!$J$15:$J$24,0),MATCH($B206,CaseData!$K$14:$M$14,0))</f>
        <v>0.04</v>
      </c>
      <c r="AP206" s="65">
        <f>INDEX(CaseData!$K$15:$M$24,MATCH(AP$205,CaseData!$J$15:$J$24,0),MATCH($B206,CaseData!$K$14:$M$14,0))</f>
        <v>0.04</v>
      </c>
      <c r="AQ206" s="65">
        <f>INDEX(CaseData!$K$15:$M$24,MATCH(AQ$205,CaseData!$J$15:$J$24,0),MATCH($B206,CaseData!$K$14:$M$14,0))</f>
        <v>3.5000000000000003E-2</v>
      </c>
      <c r="AR206" s="65">
        <f>INDEX(CaseData!$K$15:$M$24,MATCH(AR$205,CaseData!$J$15:$J$24,0),MATCH($B206,CaseData!$K$14:$M$14,0))</f>
        <v>3.5000000000000003E-2</v>
      </c>
      <c r="AS206" s="65">
        <f>INDEX(CaseData!$K$15:$M$24,MATCH(AS$205,CaseData!$J$15:$J$24,0),MATCH($B206,CaseData!$K$14:$M$14,0))</f>
        <v>3.5000000000000003E-2</v>
      </c>
      <c r="AT206" s="65">
        <f>INDEX(CaseData!$K$15:$M$24,MATCH(AT$205,CaseData!$J$15:$J$24,0),MATCH($B206,CaseData!$K$14:$M$14,0))</f>
        <v>3.5000000000000003E-2</v>
      </c>
      <c r="AU206" s="65">
        <f>INDEX(CaseData!$K$15:$M$24,MATCH(AU$205,CaseData!$J$15:$J$24,0),MATCH($B206,CaseData!$K$14:$M$14,0))</f>
        <v>3.5000000000000003E-2</v>
      </c>
      <c r="AV206" s="65">
        <f>INDEX(CaseData!$K$15:$M$24,MATCH(AV$205,CaseData!$J$15:$J$24,0),MATCH($B206,CaseData!$K$14:$M$14,0))</f>
        <v>3.5000000000000003E-2</v>
      </c>
      <c r="AW206" s="65">
        <f>INDEX(CaseData!$K$15:$M$24,MATCH(AW$205,CaseData!$J$15:$J$24,0),MATCH($B206,CaseData!$K$14:$M$14,0))</f>
        <v>3.5000000000000003E-2</v>
      </c>
      <c r="AX206" s="65">
        <f>INDEX(CaseData!$K$15:$M$24,MATCH(AX$205,CaseData!$J$15:$J$24,0),MATCH($B206,CaseData!$K$14:$M$14,0))</f>
        <v>3.5000000000000003E-2</v>
      </c>
      <c r="AY206" s="65">
        <f>INDEX(CaseData!$K$15:$M$24,MATCH(AY$205,CaseData!$J$15:$J$24,0),MATCH($B206,CaseData!$K$14:$M$14,0))</f>
        <v>3.5000000000000003E-2</v>
      </c>
      <c r="AZ206" s="65">
        <f>INDEX(CaseData!$K$15:$M$24,MATCH(AZ$205,CaseData!$J$15:$J$24,0),MATCH($B206,CaseData!$K$14:$M$14,0))</f>
        <v>3.5000000000000003E-2</v>
      </c>
      <c r="BA206" s="65">
        <f>INDEX(CaseData!$K$15:$M$24,MATCH(BA$205,CaseData!$J$15:$J$24,0),MATCH($B206,CaseData!$K$14:$M$14,0))</f>
        <v>3.5000000000000003E-2</v>
      </c>
      <c r="BB206" s="65">
        <f>INDEX(CaseData!$K$15:$M$24,MATCH(BB$205,CaseData!$J$15:$J$24,0),MATCH($B206,CaseData!$K$14:$M$14,0))</f>
        <v>3.5000000000000003E-2</v>
      </c>
      <c r="BC206" s="65">
        <f>INDEX(CaseData!$K$15:$M$24,MATCH(BC$205,CaseData!$J$15:$J$24,0),MATCH($B206,CaseData!$K$14:$M$14,0))</f>
        <v>0.03</v>
      </c>
      <c r="BD206" s="65">
        <f>INDEX(CaseData!$K$15:$M$24,MATCH(BD$205,CaseData!$J$15:$J$24,0),MATCH($B206,CaseData!$K$14:$M$14,0))</f>
        <v>0.03</v>
      </c>
      <c r="BE206" s="65">
        <f>INDEX(CaseData!$K$15:$M$24,MATCH(BE$205,CaseData!$J$15:$J$24,0),MATCH($B206,CaseData!$K$14:$M$14,0))</f>
        <v>0.03</v>
      </c>
      <c r="BF206" s="65">
        <f>INDEX(CaseData!$K$15:$M$24,MATCH(BF$205,CaseData!$J$15:$J$24,0),MATCH($B206,CaseData!$K$14:$M$14,0))</f>
        <v>0.03</v>
      </c>
      <c r="BG206" s="65">
        <f>INDEX(CaseData!$K$15:$M$24,MATCH(BG$205,CaseData!$J$15:$J$24,0),MATCH($B206,CaseData!$K$14:$M$14,0))</f>
        <v>0.03</v>
      </c>
      <c r="BH206" s="65">
        <f>INDEX(CaseData!$K$15:$M$24,MATCH(BH$205,CaseData!$J$15:$J$24,0),MATCH($B206,CaseData!$K$14:$M$14,0))</f>
        <v>0.03</v>
      </c>
      <c r="BI206" s="65">
        <f>INDEX(CaseData!$K$15:$M$24,MATCH(BI$205,CaseData!$J$15:$J$24,0),MATCH($B206,CaseData!$K$14:$M$14,0))</f>
        <v>0.03</v>
      </c>
      <c r="BJ206" s="65">
        <f>INDEX(CaseData!$K$15:$M$24,MATCH(BJ$205,CaseData!$J$15:$J$24,0),MATCH($B206,CaseData!$K$14:$M$14,0))</f>
        <v>0.03</v>
      </c>
      <c r="BK206" s="65">
        <f>INDEX(CaseData!$K$15:$M$24,MATCH(BK$205,CaseData!$J$15:$J$24,0),MATCH($B206,CaseData!$K$14:$M$14,0))</f>
        <v>0.03</v>
      </c>
      <c r="BL206" s="65">
        <f>INDEX(CaseData!$K$15:$M$24,MATCH(BL$205,CaseData!$J$15:$J$24,0),MATCH($B206,CaseData!$K$14:$M$14,0))</f>
        <v>0.03</v>
      </c>
      <c r="BM206" s="65">
        <f>INDEX(CaseData!$K$15:$M$24,MATCH(BM$205,CaseData!$J$15:$J$24,0),MATCH($B206,CaseData!$K$14:$M$14,0))</f>
        <v>0.03</v>
      </c>
      <c r="BN206" s="65">
        <f>INDEX(CaseData!$K$15:$M$24,MATCH(BN$205,CaseData!$J$15:$J$24,0),MATCH($B206,CaseData!$K$14:$M$14,0))</f>
        <v>0.03</v>
      </c>
      <c r="BO206" s="65">
        <f>INDEX(CaseData!$K$15:$M$24,MATCH(BO$205,CaseData!$J$15:$J$24,0),MATCH($B206,CaseData!$K$14:$M$14,0))</f>
        <v>2.5000000000000001E-2</v>
      </c>
      <c r="BP206" s="65">
        <f>INDEX(CaseData!$K$15:$M$24,MATCH(BP$205,CaseData!$J$15:$J$24,0),MATCH($B206,CaseData!$K$14:$M$14,0))</f>
        <v>2.5000000000000001E-2</v>
      </c>
      <c r="BQ206" s="65">
        <f>INDEX(CaseData!$K$15:$M$24,MATCH(BQ$205,CaseData!$J$15:$J$24,0),MATCH($B206,CaseData!$K$14:$M$14,0))</f>
        <v>2.5000000000000001E-2</v>
      </c>
      <c r="BR206" s="65">
        <f>INDEX(CaseData!$K$15:$M$24,MATCH(BR$205,CaseData!$J$15:$J$24,0),MATCH($B206,CaseData!$K$14:$M$14,0))</f>
        <v>2.5000000000000001E-2</v>
      </c>
      <c r="BS206" s="65">
        <f>INDEX(CaseData!$K$15:$M$24,MATCH(BS$205,CaseData!$J$15:$J$24,0),MATCH($B206,CaseData!$K$14:$M$14,0))</f>
        <v>2.5000000000000001E-2</v>
      </c>
      <c r="BT206" s="65">
        <f>INDEX(CaseData!$K$15:$M$24,MATCH(BT$205,CaseData!$J$15:$J$24,0),MATCH($B206,CaseData!$K$14:$M$14,0))</f>
        <v>2.5000000000000001E-2</v>
      </c>
      <c r="BU206" s="65">
        <f>INDEX(CaseData!$K$15:$M$24,MATCH(BU$205,CaseData!$J$15:$J$24,0),MATCH($B206,CaseData!$K$14:$M$14,0))</f>
        <v>2.5000000000000001E-2</v>
      </c>
      <c r="BV206" s="65">
        <f>INDEX(CaseData!$K$15:$M$24,MATCH(BV$205,CaseData!$J$15:$J$24,0),MATCH($B206,CaseData!$K$14:$M$14,0))</f>
        <v>2.5000000000000001E-2</v>
      </c>
      <c r="BW206" s="65">
        <f>INDEX(CaseData!$K$15:$M$24,MATCH(BW$205,CaseData!$J$15:$J$24,0),MATCH($B206,CaseData!$K$14:$M$14,0))</f>
        <v>2.5000000000000001E-2</v>
      </c>
      <c r="BX206" s="65">
        <f>INDEX(CaseData!$K$15:$M$24,MATCH(BX$205,CaseData!$J$15:$J$24,0),MATCH($B206,CaseData!$K$14:$M$14,0))</f>
        <v>2.5000000000000001E-2</v>
      </c>
      <c r="BY206" s="65">
        <f>INDEX(CaseData!$K$15:$M$24,MATCH(BY$205,CaseData!$J$15:$J$24,0),MATCH($B206,CaseData!$K$14:$M$14,0))</f>
        <v>2.5000000000000001E-2</v>
      </c>
      <c r="BZ206" s="65">
        <f>INDEX(CaseData!$K$15:$M$24,MATCH(BZ$205,CaseData!$J$15:$J$24,0),MATCH($B206,CaseData!$K$14:$M$14,0))</f>
        <v>2.5000000000000001E-2</v>
      </c>
      <c r="CA206" s="65">
        <f>INDEX(CaseData!$K$15:$M$24,MATCH(CA$205,CaseData!$J$15:$J$24,0),MATCH($B206,CaseData!$K$14:$M$14,0))</f>
        <v>2.5000000000000001E-2</v>
      </c>
      <c r="CB206" s="65">
        <f>INDEX(CaseData!$K$15:$M$24,MATCH(CB$205,CaseData!$J$15:$J$24,0),MATCH($B206,CaseData!$K$14:$M$14,0))</f>
        <v>2.5000000000000001E-2</v>
      </c>
      <c r="CC206" s="65">
        <f>INDEX(CaseData!$K$15:$M$24,MATCH(CC$205,CaseData!$J$15:$J$24,0),MATCH($B206,CaseData!$K$14:$M$14,0))</f>
        <v>2.5000000000000001E-2</v>
      </c>
      <c r="CD206" s="65">
        <f>INDEX(CaseData!$K$15:$M$24,MATCH(CD$205,CaseData!$J$15:$J$24,0),MATCH($B206,CaseData!$K$14:$M$14,0))</f>
        <v>2.5000000000000001E-2</v>
      </c>
      <c r="CE206" s="65">
        <f>INDEX(CaseData!$K$15:$M$24,MATCH(CE$205,CaseData!$J$15:$J$24,0),MATCH($B206,CaseData!$K$14:$M$14,0))</f>
        <v>2.5000000000000001E-2</v>
      </c>
      <c r="CF206" s="65">
        <f>INDEX(CaseData!$K$15:$M$24,MATCH(CF$205,CaseData!$J$15:$J$24,0),MATCH($B206,CaseData!$K$14:$M$14,0))</f>
        <v>2.5000000000000001E-2</v>
      </c>
      <c r="CG206" s="65">
        <f>INDEX(CaseData!$K$15:$M$24,MATCH(CG$205,CaseData!$J$15:$J$24,0),MATCH($B206,CaseData!$K$14:$M$14,0))</f>
        <v>2.5000000000000001E-2</v>
      </c>
      <c r="CH206" s="65">
        <f>INDEX(CaseData!$K$15:$M$24,MATCH(CH$205,CaseData!$J$15:$J$24,0),MATCH($B206,CaseData!$K$14:$M$14,0))</f>
        <v>2.5000000000000001E-2</v>
      </c>
      <c r="CI206" s="65">
        <f>INDEX(CaseData!$K$15:$M$24,MATCH(CI$205,CaseData!$J$15:$J$24,0),MATCH($B206,CaseData!$K$14:$M$14,0))</f>
        <v>2.5000000000000001E-2</v>
      </c>
      <c r="CJ206" s="65">
        <f>INDEX(CaseData!$K$15:$M$24,MATCH(CJ$205,CaseData!$J$15:$J$24,0),MATCH($B206,CaseData!$K$14:$M$14,0))</f>
        <v>2.5000000000000001E-2</v>
      </c>
      <c r="CK206" s="65">
        <f>INDEX(CaseData!$K$15:$M$24,MATCH(CK$205,CaseData!$J$15:$J$24,0),MATCH($B206,CaseData!$K$14:$M$14,0))</f>
        <v>2.5000000000000001E-2</v>
      </c>
      <c r="CL206" s="65">
        <f>INDEX(CaseData!$K$15:$M$24,MATCH(CL$205,CaseData!$J$15:$J$24,0),MATCH($B206,CaseData!$K$14:$M$14,0))</f>
        <v>2.5000000000000001E-2</v>
      </c>
      <c r="CM206" s="65">
        <f>INDEX(CaseData!$K$15:$M$24,MATCH(CM$205,CaseData!$J$15:$J$24,0),MATCH($B206,CaseData!$K$14:$M$14,0))</f>
        <v>2.5000000000000001E-2</v>
      </c>
      <c r="CN206" s="65">
        <f>INDEX(CaseData!$K$15:$M$24,MATCH(CN$205,CaseData!$J$15:$J$24,0),MATCH($B206,CaseData!$K$14:$M$14,0))</f>
        <v>2.5000000000000001E-2</v>
      </c>
      <c r="CO206" s="65">
        <f>INDEX(CaseData!$K$15:$M$24,MATCH(CO$205,CaseData!$J$15:$J$24,0),MATCH($B206,CaseData!$K$14:$M$14,0))</f>
        <v>2.5000000000000001E-2</v>
      </c>
      <c r="CP206" s="65">
        <f>INDEX(CaseData!$K$15:$M$24,MATCH(CP$205,CaseData!$J$15:$J$24,0),MATCH($B206,CaseData!$K$14:$M$14,0))</f>
        <v>2.5000000000000001E-2</v>
      </c>
      <c r="CQ206" s="65">
        <f>INDEX(CaseData!$K$15:$M$24,MATCH(CQ$205,CaseData!$J$15:$J$24,0),MATCH($B206,CaseData!$K$14:$M$14,0))</f>
        <v>2.5000000000000001E-2</v>
      </c>
      <c r="CR206" s="65">
        <f>INDEX(CaseData!$K$15:$M$24,MATCH(CR$205,CaseData!$J$15:$J$24,0),MATCH($B206,CaseData!$K$14:$M$14,0))</f>
        <v>2.5000000000000001E-2</v>
      </c>
      <c r="CS206" s="65">
        <f>INDEX(CaseData!$K$15:$M$24,MATCH(CS$205,CaseData!$J$15:$J$24,0),MATCH($B206,CaseData!$K$14:$M$14,0))</f>
        <v>2.5000000000000001E-2</v>
      </c>
      <c r="CT206" s="65">
        <f>INDEX(CaseData!$K$15:$M$24,MATCH(CT$205,CaseData!$J$15:$J$24,0),MATCH($B206,CaseData!$K$14:$M$14,0))</f>
        <v>2.5000000000000001E-2</v>
      </c>
      <c r="CU206" s="65">
        <f>INDEX(CaseData!$K$15:$M$24,MATCH(CU$205,CaseData!$J$15:$J$24,0),MATCH($B206,CaseData!$K$14:$M$14,0))</f>
        <v>2.5000000000000001E-2</v>
      </c>
      <c r="CV206" s="65">
        <f>INDEX(CaseData!$K$15:$M$24,MATCH(CV$205,CaseData!$J$15:$J$24,0),MATCH($B206,CaseData!$K$14:$M$14,0))</f>
        <v>2.5000000000000001E-2</v>
      </c>
      <c r="CW206" s="65">
        <f>INDEX(CaseData!$K$15:$M$24,MATCH(CW$205,CaseData!$J$15:$J$24,0),MATCH($B206,CaseData!$K$14:$M$14,0))</f>
        <v>2.5000000000000001E-2</v>
      </c>
      <c r="CX206" s="65">
        <f>INDEX(CaseData!$K$15:$M$24,MATCH(CX$205,CaseData!$J$15:$J$24,0),MATCH($B206,CaseData!$K$14:$M$14,0))</f>
        <v>2.5000000000000001E-2</v>
      </c>
      <c r="CY206" s="65">
        <f>INDEX(CaseData!$K$15:$M$24,MATCH(CY$205,CaseData!$J$15:$J$24,0),MATCH($B206,CaseData!$K$14:$M$14,0))</f>
        <v>2.5000000000000001E-2</v>
      </c>
      <c r="CZ206" s="65">
        <f>INDEX(CaseData!$K$15:$M$24,MATCH(CZ$205,CaseData!$J$15:$J$24,0),MATCH($B206,CaseData!$K$14:$M$14,0))</f>
        <v>2.5000000000000001E-2</v>
      </c>
      <c r="DA206" s="65">
        <f>INDEX(CaseData!$K$15:$M$24,MATCH(DA$205,CaseData!$J$15:$J$24,0),MATCH($B206,CaseData!$K$14:$M$14,0))</f>
        <v>2.5000000000000001E-2</v>
      </c>
      <c r="DB206" s="65">
        <f>INDEX(CaseData!$K$15:$M$24,MATCH(DB$205,CaseData!$J$15:$J$24,0),MATCH($B206,CaseData!$K$14:$M$14,0))</f>
        <v>2.5000000000000001E-2</v>
      </c>
      <c r="DC206" s="65">
        <f>INDEX(CaseData!$K$15:$M$24,MATCH(DC$205,CaseData!$J$15:$J$24,0),MATCH($B206,CaseData!$K$14:$M$14,0))</f>
        <v>2.5000000000000001E-2</v>
      </c>
      <c r="DD206" s="65">
        <f>INDEX(CaseData!$K$15:$M$24,MATCH(DD$205,CaseData!$J$15:$J$24,0),MATCH($B206,CaseData!$K$14:$M$14,0))</f>
        <v>2.5000000000000001E-2</v>
      </c>
      <c r="DE206" s="65">
        <f>INDEX(CaseData!$K$15:$M$24,MATCH(DE$205,CaseData!$J$15:$J$24,0),MATCH($B206,CaseData!$K$14:$M$14,0))</f>
        <v>2.5000000000000001E-2</v>
      </c>
      <c r="DF206" s="65">
        <f>INDEX(CaseData!$K$15:$M$24,MATCH(DF$205,CaseData!$J$15:$J$24,0),MATCH($B206,CaseData!$K$14:$M$14,0))</f>
        <v>2.5000000000000001E-2</v>
      </c>
      <c r="DG206" s="65">
        <f>INDEX(CaseData!$K$15:$M$24,MATCH(DG$205,CaseData!$J$15:$J$24,0),MATCH($B206,CaseData!$K$14:$M$14,0))</f>
        <v>2.5000000000000001E-2</v>
      </c>
      <c r="DH206" s="65">
        <f>INDEX(CaseData!$K$15:$M$24,MATCH(DH$205,CaseData!$J$15:$J$24,0),MATCH($B206,CaseData!$K$14:$M$14,0))</f>
        <v>2.5000000000000001E-2</v>
      </c>
      <c r="DI206" s="65">
        <f>INDEX(CaseData!$K$15:$M$24,MATCH(DI$205,CaseData!$J$15:$J$24,0),MATCH($B206,CaseData!$K$14:$M$14,0))</f>
        <v>2.5000000000000001E-2</v>
      </c>
      <c r="DJ206" s="65">
        <f>INDEX(CaseData!$K$15:$M$24,MATCH(DJ$205,CaseData!$J$15:$J$24,0),MATCH($B206,CaseData!$K$14:$M$14,0))</f>
        <v>2.5000000000000001E-2</v>
      </c>
      <c r="DK206" s="65">
        <f>INDEX(CaseData!$K$15:$M$24,MATCH(DK$205,CaseData!$J$15:$J$24,0),MATCH($B206,CaseData!$K$14:$M$14,0))</f>
        <v>2.5000000000000001E-2</v>
      </c>
      <c r="DL206" s="65">
        <f>INDEX(CaseData!$K$15:$M$24,MATCH(DL$205,CaseData!$J$15:$J$24,0),MATCH($B206,CaseData!$K$14:$M$14,0))</f>
        <v>2.5000000000000001E-2</v>
      </c>
      <c r="DM206" s="65">
        <f>INDEX(CaseData!$K$15:$M$24,MATCH(DM$205,CaseData!$J$15:$J$24,0),MATCH($B206,CaseData!$K$14:$M$14,0))</f>
        <v>2.5000000000000001E-2</v>
      </c>
      <c r="DN206" s="65">
        <f>INDEX(CaseData!$K$15:$M$24,MATCH(DN$205,CaseData!$J$15:$J$24,0),MATCH($B206,CaseData!$K$14:$M$14,0))</f>
        <v>2.5000000000000001E-2</v>
      </c>
      <c r="DO206" s="65">
        <f>INDEX(CaseData!$K$15:$M$24,MATCH(DO$205,CaseData!$J$15:$J$24,0),MATCH($B206,CaseData!$K$14:$M$14,0))</f>
        <v>2.5000000000000001E-2</v>
      </c>
      <c r="DP206" s="65">
        <f>INDEX(CaseData!$K$15:$M$24,MATCH(DP$205,CaseData!$J$15:$J$24,0),MATCH($B206,CaseData!$K$14:$M$14,0))</f>
        <v>2.5000000000000001E-2</v>
      </c>
      <c r="DQ206" s="65">
        <f>INDEX(CaseData!$K$15:$M$24,MATCH(DQ$205,CaseData!$J$15:$J$24,0),MATCH($B206,CaseData!$K$14:$M$14,0))</f>
        <v>2.5000000000000001E-2</v>
      </c>
      <c r="DR206" s="65">
        <f>INDEX(CaseData!$K$15:$M$24,MATCH(DR$205,CaseData!$J$15:$J$24,0),MATCH($B206,CaseData!$K$14:$M$14,0))</f>
        <v>2.5000000000000001E-2</v>
      </c>
      <c r="DS206" s="65">
        <f>INDEX(CaseData!$K$15:$M$24,MATCH(DS$205,CaseData!$J$15:$J$24,0),MATCH($B206,CaseData!$K$14:$M$14,0))</f>
        <v>2.5000000000000001E-2</v>
      </c>
      <c r="DT206" s="65">
        <f>INDEX(CaseData!$K$15:$M$24,MATCH(DT$205,CaseData!$J$15:$J$24,0),MATCH($B206,CaseData!$K$14:$M$14,0))</f>
        <v>2.5000000000000001E-2</v>
      </c>
      <c r="DU206" s="65">
        <f>INDEX(CaseData!$K$15:$M$24,MATCH(DU$205,CaseData!$J$15:$J$24,0),MATCH($B206,CaseData!$K$14:$M$14,0))</f>
        <v>2.5000000000000001E-2</v>
      </c>
      <c r="DV206" s="65">
        <f>INDEX(CaseData!$K$15:$M$24,MATCH(DV$205,CaseData!$J$15:$J$24,0),MATCH($B206,CaseData!$K$14:$M$14,0))</f>
        <v>2.5000000000000001E-2</v>
      </c>
    </row>
    <row r="207" spans="2:126" outlineLevel="1">
      <c r="B207" s="3" t="s">
        <v>31</v>
      </c>
      <c r="E207" s="35" t="s">
        <v>2</v>
      </c>
      <c r="G207" s="65">
        <f>INDEX(CaseData!$K$15:$M$24,MATCH(G$205,CaseData!$J$15:$J$24,0),MATCH($B207,CaseData!$K$14:$M$14,0))</f>
        <v>2.5000000000000001E-2</v>
      </c>
      <c r="H207" s="65">
        <f>INDEX(CaseData!$K$15:$M$24,MATCH(H$205,CaseData!$J$15:$J$24,0),MATCH($B207,CaseData!$K$14:$M$14,0))</f>
        <v>2.5000000000000001E-2</v>
      </c>
      <c r="I207" s="65">
        <f>INDEX(CaseData!$K$15:$M$24,MATCH(I$205,CaseData!$J$15:$J$24,0),MATCH($B207,CaseData!$K$14:$M$14,0))</f>
        <v>2.5000000000000001E-2</v>
      </c>
      <c r="J207" s="65">
        <f>INDEX(CaseData!$K$15:$M$24,MATCH(J$205,CaseData!$J$15:$J$24,0),MATCH($B207,CaseData!$K$14:$M$14,0))</f>
        <v>2.5000000000000001E-2</v>
      </c>
      <c r="K207" s="65">
        <f>INDEX(CaseData!$K$15:$M$24,MATCH(K$205,CaseData!$J$15:$J$24,0),MATCH($B207,CaseData!$K$14:$M$14,0))</f>
        <v>2.5000000000000001E-2</v>
      </c>
      <c r="L207" s="65">
        <f>INDEX(CaseData!$K$15:$M$24,MATCH(L$205,CaseData!$J$15:$J$24,0),MATCH($B207,CaseData!$K$14:$M$14,0))</f>
        <v>2.5000000000000001E-2</v>
      </c>
      <c r="M207" s="65">
        <f>INDEX(CaseData!$K$15:$M$24,MATCH(M$205,CaseData!$J$15:$J$24,0),MATCH($B207,CaseData!$K$14:$M$14,0))</f>
        <v>2.5000000000000001E-2</v>
      </c>
      <c r="N207" s="65">
        <f>INDEX(CaseData!$K$15:$M$24,MATCH(N$205,CaseData!$J$15:$J$24,0),MATCH($B207,CaseData!$K$14:$M$14,0))</f>
        <v>2.5000000000000001E-2</v>
      </c>
      <c r="O207" s="65">
        <f>INDEX(CaseData!$K$15:$M$24,MATCH(O$205,CaseData!$J$15:$J$24,0),MATCH($B207,CaseData!$K$14:$M$14,0))</f>
        <v>2.5000000000000001E-2</v>
      </c>
      <c r="P207" s="65">
        <f>INDEX(CaseData!$K$15:$M$24,MATCH(P$205,CaseData!$J$15:$J$24,0),MATCH($B207,CaseData!$K$14:$M$14,0))</f>
        <v>2.5000000000000001E-2</v>
      </c>
      <c r="Q207" s="65">
        <f>INDEX(CaseData!$K$15:$M$24,MATCH(Q$205,CaseData!$J$15:$J$24,0),MATCH($B207,CaseData!$K$14:$M$14,0))</f>
        <v>2.5000000000000001E-2</v>
      </c>
      <c r="R207" s="65">
        <f>INDEX(CaseData!$K$15:$M$24,MATCH(R$205,CaseData!$J$15:$J$24,0),MATCH($B207,CaseData!$K$14:$M$14,0))</f>
        <v>2.5000000000000001E-2</v>
      </c>
      <c r="S207" s="65">
        <f>INDEX(CaseData!$K$15:$M$24,MATCH(S$205,CaseData!$J$15:$J$24,0),MATCH($B207,CaseData!$K$14:$M$14,0))</f>
        <v>2.5000000000000001E-2</v>
      </c>
      <c r="T207" s="65">
        <f>INDEX(CaseData!$K$15:$M$24,MATCH(T$205,CaseData!$J$15:$J$24,0),MATCH($B207,CaseData!$K$14:$M$14,0))</f>
        <v>2.5000000000000001E-2</v>
      </c>
      <c r="U207" s="65">
        <f>INDEX(CaseData!$K$15:$M$24,MATCH(U$205,CaseData!$J$15:$J$24,0),MATCH($B207,CaseData!$K$14:$M$14,0))</f>
        <v>2.5000000000000001E-2</v>
      </c>
      <c r="V207" s="65">
        <f>INDEX(CaseData!$K$15:$M$24,MATCH(V$205,CaseData!$J$15:$J$24,0),MATCH($B207,CaseData!$K$14:$M$14,0))</f>
        <v>2.5000000000000001E-2</v>
      </c>
      <c r="W207" s="65">
        <f>INDEX(CaseData!$K$15:$M$24,MATCH(W$205,CaseData!$J$15:$J$24,0),MATCH($B207,CaseData!$K$14:$M$14,0))</f>
        <v>2.5000000000000001E-2</v>
      </c>
      <c r="X207" s="65">
        <f>INDEX(CaseData!$K$15:$M$24,MATCH(X$205,CaseData!$J$15:$J$24,0),MATCH($B207,CaseData!$K$14:$M$14,0))</f>
        <v>2.5000000000000001E-2</v>
      </c>
      <c r="Y207" s="65">
        <f>INDEX(CaseData!$K$15:$M$24,MATCH(Y$205,CaseData!$J$15:$J$24,0),MATCH($B207,CaseData!$K$14:$M$14,0))</f>
        <v>2.5000000000000001E-2</v>
      </c>
      <c r="Z207" s="65">
        <f>INDEX(CaseData!$K$15:$M$24,MATCH(Z$205,CaseData!$J$15:$J$24,0),MATCH($B207,CaseData!$K$14:$M$14,0))</f>
        <v>2.5000000000000001E-2</v>
      </c>
      <c r="AA207" s="65">
        <f>INDEX(CaseData!$K$15:$M$24,MATCH(AA$205,CaseData!$J$15:$J$24,0),MATCH($B207,CaseData!$K$14:$M$14,0))</f>
        <v>2.5000000000000001E-2</v>
      </c>
      <c r="AB207" s="65">
        <f>INDEX(CaseData!$K$15:$M$24,MATCH(AB$205,CaseData!$J$15:$J$24,0),MATCH($B207,CaseData!$K$14:$M$14,0))</f>
        <v>2.5000000000000001E-2</v>
      </c>
      <c r="AC207" s="65">
        <f>INDEX(CaseData!$K$15:$M$24,MATCH(AC$205,CaseData!$J$15:$J$24,0),MATCH($B207,CaseData!$K$14:$M$14,0))</f>
        <v>2.5000000000000001E-2</v>
      </c>
      <c r="AD207" s="65">
        <f>INDEX(CaseData!$K$15:$M$24,MATCH(AD$205,CaseData!$J$15:$J$24,0),MATCH($B207,CaseData!$K$14:$M$14,0))</f>
        <v>2.5000000000000001E-2</v>
      </c>
      <c r="AE207" s="65">
        <f>INDEX(CaseData!$K$15:$M$24,MATCH(AE$205,CaseData!$J$15:$J$24,0),MATCH($B207,CaseData!$K$14:$M$14,0))</f>
        <v>2.5000000000000001E-2</v>
      </c>
      <c r="AF207" s="65">
        <f>INDEX(CaseData!$K$15:$M$24,MATCH(AF$205,CaseData!$J$15:$J$24,0),MATCH($B207,CaseData!$K$14:$M$14,0))</f>
        <v>2.5000000000000001E-2</v>
      </c>
      <c r="AG207" s="65">
        <f>INDEX(CaseData!$K$15:$M$24,MATCH(AG$205,CaseData!$J$15:$J$24,0),MATCH($B207,CaseData!$K$14:$M$14,0))</f>
        <v>2.5000000000000001E-2</v>
      </c>
      <c r="AH207" s="65">
        <f>INDEX(CaseData!$K$15:$M$24,MATCH(AH$205,CaseData!$J$15:$J$24,0),MATCH($B207,CaseData!$K$14:$M$14,0))</f>
        <v>2.5000000000000001E-2</v>
      </c>
      <c r="AI207" s="65">
        <f>INDEX(CaseData!$K$15:$M$24,MATCH(AI$205,CaseData!$J$15:$J$24,0),MATCH($B207,CaseData!$K$14:$M$14,0))</f>
        <v>2.5000000000000001E-2</v>
      </c>
      <c r="AJ207" s="65">
        <f>INDEX(CaseData!$K$15:$M$24,MATCH(AJ$205,CaseData!$J$15:$J$24,0),MATCH($B207,CaseData!$K$14:$M$14,0))</f>
        <v>2.5000000000000001E-2</v>
      </c>
      <c r="AK207" s="65">
        <f>INDEX(CaseData!$K$15:$M$24,MATCH(AK$205,CaseData!$J$15:$J$24,0),MATCH($B207,CaseData!$K$14:$M$14,0))</f>
        <v>2.5000000000000001E-2</v>
      </c>
      <c r="AL207" s="65">
        <f>INDEX(CaseData!$K$15:$M$24,MATCH(AL$205,CaseData!$J$15:$J$24,0),MATCH($B207,CaseData!$K$14:$M$14,0))</f>
        <v>2.5000000000000001E-2</v>
      </c>
      <c r="AM207" s="65">
        <f>INDEX(CaseData!$K$15:$M$24,MATCH(AM$205,CaseData!$J$15:$J$24,0),MATCH($B207,CaseData!$K$14:$M$14,0))</f>
        <v>2.5000000000000001E-2</v>
      </c>
      <c r="AN207" s="65">
        <f>INDEX(CaseData!$K$15:$M$24,MATCH(AN$205,CaseData!$J$15:$J$24,0),MATCH($B207,CaseData!$K$14:$M$14,0))</f>
        <v>2.5000000000000001E-2</v>
      </c>
      <c r="AO207" s="65">
        <f>INDEX(CaseData!$K$15:$M$24,MATCH(AO$205,CaseData!$J$15:$J$24,0),MATCH($B207,CaseData!$K$14:$M$14,0))</f>
        <v>2.5000000000000001E-2</v>
      </c>
      <c r="AP207" s="65">
        <f>INDEX(CaseData!$K$15:$M$24,MATCH(AP$205,CaseData!$J$15:$J$24,0),MATCH($B207,CaseData!$K$14:$M$14,0))</f>
        <v>2.5000000000000001E-2</v>
      </c>
      <c r="AQ207" s="65">
        <f>INDEX(CaseData!$K$15:$M$24,MATCH(AQ$205,CaseData!$J$15:$J$24,0),MATCH($B207,CaseData!$K$14:$M$14,0))</f>
        <v>2.5000000000000001E-2</v>
      </c>
      <c r="AR207" s="65">
        <f>INDEX(CaseData!$K$15:$M$24,MATCH(AR$205,CaseData!$J$15:$J$24,0),MATCH($B207,CaseData!$K$14:$M$14,0))</f>
        <v>2.5000000000000001E-2</v>
      </c>
      <c r="AS207" s="65">
        <f>INDEX(CaseData!$K$15:$M$24,MATCH(AS$205,CaseData!$J$15:$J$24,0),MATCH($B207,CaseData!$K$14:$M$14,0))</f>
        <v>2.5000000000000001E-2</v>
      </c>
      <c r="AT207" s="65">
        <f>INDEX(CaseData!$K$15:$M$24,MATCH(AT$205,CaseData!$J$15:$J$24,0),MATCH($B207,CaseData!$K$14:$M$14,0))</f>
        <v>2.5000000000000001E-2</v>
      </c>
      <c r="AU207" s="65">
        <f>INDEX(CaseData!$K$15:$M$24,MATCH(AU$205,CaseData!$J$15:$J$24,0),MATCH($B207,CaseData!$K$14:$M$14,0))</f>
        <v>2.5000000000000001E-2</v>
      </c>
      <c r="AV207" s="65">
        <f>INDEX(CaseData!$K$15:$M$24,MATCH(AV$205,CaseData!$J$15:$J$24,0),MATCH($B207,CaseData!$K$14:$M$14,0))</f>
        <v>2.5000000000000001E-2</v>
      </c>
      <c r="AW207" s="65">
        <f>INDEX(CaseData!$K$15:$M$24,MATCH(AW$205,CaseData!$J$15:$J$24,0),MATCH($B207,CaseData!$K$14:$M$14,0))</f>
        <v>2.5000000000000001E-2</v>
      </c>
      <c r="AX207" s="65">
        <f>INDEX(CaseData!$K$15:$M$24,MATCH(AX$205,CaseData!$J$15:$J$24,0),MATCH($B207,CaseData!$K$14:$M$14,0))</f>
        <v>2.5000000000000001E-2</v>
      </c>
      <c r="AY207" s="65">
        <f>INDEX(CaseData!$K$15:$M$24,MATCH(AY$205,CaseData!$J$15:$J$24,0),MATCH($B207,CaseData!$K$14:$M$14,0))</f>
        <v>2.5000000000000001E-2</v>
      </c>
      <c r="AZ207" s="65">
        <f>INDEX(CaseData!$K$15:$M$24,MATCH(AZ$205,CaseData!$J$15:$J$24,0),MATCH($B207,CaseData!$K$14:$M$14,0))</f>
        <v>2.5000000000000001E-2</v>
      </c>
      <c r="BA207" s="65">
        <f>INDEX(CaseData!$K$15:$M$24,MATCH(BA$205,CaseData!$J$15:$J$24,0),MATCH($B207,CaseData!$K$14:$M$14,0))</f>
        <v>2.5000000000000001E-2</v>
      </c>
      <c r="BB207" s="65">
        <f>INDEX(CaseData!$K$15:$M$24,MATCH(BB$205,CaseData!$J$15:$J$24,0),MATCH($B207,CaseData!$K$14:$M$14,0))</f>
        <v>2.5000000000000001E-2</v>
      </c>
      <c r="BC207" s="65">
        <f>INDEX(CaseData!$K$15:$M$24,MATCH(BC$205,CaseData!$J$15:$J$24,0),MATCH($B207,CaseData!$K$14:$M$14,0))</f>
        <v>2.5000000000000001E-2</v>
      </c>
      <c r="BD207" s="65">
        <f>INDEX(CaseData!$K$15:$M$24,MATCH(BD$205,CaseData!$J$15:$J$24,0),MATCH($B207,CaseData!$K$14:$M$14,0))</f>
        <v>2.5000000000000001E-2</v>
      </c>
      <c r="BE207" s="65">
        <f>INDEX(CaseData!$K$15:$M$24,MATCH(BE$205,CaseData!$J$15:$J$24,0),MATCH($B207,CaseData!$K$14:$M$14,0))</f>
        <v>2.5000000000000001E-2</v>
      </c>
      <c r="BF207" s="65">
        <f>INDEX(CaseData!$K$15:$M$24,MATCH(BF$205,CaseData!$J$15:$J$24,0),MATCH($B207,CaseData!$K$14:$M$14,0))</f>
        <v>2.5000000000000001E-2</v>
      </c>
      <c r="BG207" s="65">
        <f>INDEX(CaseData!$K$15:$M$24,MATCH(BG$205,CaseData!$J$15:$J$24,0),MATCH($B207,CaseData!$K$14:$M$14,0))</f>
        <v>2.5000000000000001E-2</v>
      </c>
      <c r="BH207" s="65">
        <f>INDEX(CaseData!$K$15:$M$24,MATCH(BH$205,CaseData!$J$15:$J$24,0),MATCH($B207,CaseData!$K$14:$M$14,0))</f>
        <v>2.5000000000000001E-2</v>
      </c>
      <c r="BI207" s="65">
        <f>INDEX(CaseData!$K$15:$M$24,MATCH(BI$205,CaseData!$J$15:$J$24,0),MATCH($B207,CaseData!$K$14:$M$14,0))</f>
        <v>2.5000000000000001E-2</v>
      </c>
      <c r="BJ207" s="65">
        <f>INDEX(CaseData!$K$15:$M$24,MATCH(BJ$205,CaseData!$J$15:$J$24,0),MATCH($B207,CaseData!$K$14:$M$14,0))</f>
        <v>2.5000000000000001E-2</v>
      </c>
      <c r="BK207" s="65">
        <f>INDEX(CaseData!$K$15:$M$24,MATCH(BK$205,CaseData!$J$15:$J$24,0),MATCH($B207,CaseData!$K$14:$M$14,0))</f>
        <v>2.5000000000000001E-2</v>
      </c>
      <c r="BL207" s="65">
        <f>INDEX(CaseData!$K$15:$M$24,MATCH(BL$205,CaseData!$J$15:$J$24,0),MATCH($B207,CaseData!$K$14:$M$14,0))</f>
        <v>2.5000000000000001E-2</v>
      </c>
      <c r="BM207" s="65">
        <f>INDEX(CaseData!$K$15:$M$24,MATCH(BM$205,CaseData!$J$15:$J$24,0),MATCH($B207,CaseData!$K$14:$M$14,0))</f>
        <v>2.5000000000000001E-2</v>
      </c>
      <c r="BN207" s="65">
        <f>INDEX(CaseData!$K$15:$M$24,MATCH(BN$205,CaseData!$J$15:$J$24,0),MATCH($B207,CaseData!$K$14:$M$14,0))</f>
        <v>2.5000000000000001E-2</v>
      </c>
      <c r="BO207" s="65">
        <f>INDEX(CaseData!$K$15:$M$24,MATCH(BO$205,CaseData!$J$15:$J$24,0),MATCH($B207,CaseData!$K$14:$M$14,0))</f>
        <v>2.5000000000000001E-2</v>
      </c>
      <c r="BP207" s="65">
        <f>INDEX(CaseData!$K$15:$M$24,MATCH(BP$205,CaseData!$J$15:$J$24,0),MATCH($B207,CaseData!$K$14:$M$14,0))</f>
        <v>2.5000000000000001E-2</v>
      </c>
      <c r="BQ207" s="65">
        <f>INDEX(CaseData!$K$15:$M$24,MATCH(BQ$205,CaseData!$J$15:$J$24,0),MATCH($B207,CaseData!$K$14:$M$14,0))</f>
        <v>2.5000000000000001E-2</v>
      </c>
      <c r="BR207" s="65">
        <f>INDEX(CaseData!$K$15:$M$24,MATCH(BR$205,CaseData!$J$15:$J$24,0),MATCH($B207,CaseData!$K$14:$M$14,0))</f>
        <v>2.5000000000000001E-2</v>
      </c>
      <c r="BS207" s="65">
        <f>INDEX(CaseData!$K$15:$M$24,MATCH(BS$205,CaseData!$J$15:$J$24,0),MATCH($B207,CaseData!$K$14:$M$14,0))</f>
        <v>2.5000000000000001E-2</v>
      </c>
      <c r="BT207" s="65">
        <f>INDEX(CaseData!$K$15:$M$24,MATCH(BT$205,CaseData!$J$15:$J$24,0),MATCH($B207,CaseData!$K$14:$M$14,0))</f>
        <v>2.5000000000000001E-2</v>
      </c>
      <c r="BU207" s="65">
        <f>INDEX(CaseData!$K$15:$M$24,MATCH(BU$205,CaseData!$J$15:$J$24,0),MATCH($B207,CaseData!$K$14:$M$14,0))</f>
        <v>2.5000000000000001E-2</v>
      </c>
      <c r="BV207" s="65">
        <f>INDEX(CaseData!$K$15:$M$24,MATCH(BV$205,CaseData!$J$15:$J$24,0),MATCH($B207,CaseData!$K$14:$M$14,0))</f>
        <v>2.5000000000000001E-2</v>
      </c>
      <c r="BW207" s="65">
        <f>INDEX(CaseData!$K$15:$M$24,MATCH(BW$205,CaseData!$J$15:$J$24,0),MATCH($B207,CaseData!$K$14:$M$14,0))</f>
        <v>2.5000000000000001E-2</v>
      </c>
      <c r="BX207" s="65">
        <f>INDEX(CaseData!$K$15:$M$24,MATCH(BX$205,CaseData!$J$15:$J$24,0),MATCH($B207,CaseData!$K$14:$M$14,0))</f>
        <v>2.5000000000000001E-2</v>
      </c>
      <c r="BY207" s="65">
        <f>INDEX(CaseData!$K$15:$M$24,MATCH(BY$205,CaseData!$J$15:$J$24,0),MATCH($B207,CaseData!$K$14:$M$14,0))</f>
        <v>2.5000000000000001E-2</v>
      </c>
      <c r="BZ207" s="65">
        <f>INDEX(CaseData!$K$15:$M$24,MATCH(BZ$205,CaseData!$J$15:$J$24,0),MATCH($B207,CaseData!$K$14:$M$14,0))</f>
        <v>2.5000000000000001E-2</v>
      </c>
      <c r="CA207" s="65">
        <f>INDEX(CaseData!$K$15:$M$24,MATCH(CA$205,CaseData!$J$15:$J$24,0),MATCH($B207,CaseData!$K$14:$M$14,0))</f>
        <v>2.5000000000000001E-2</v>
      </c>
      <c r="CB207" s="65">
        <f>INDEX(CaseData!$K$15:$M$24,MATCH(CB$205,CaseData!$J$15:$J$24,0),MATCH($B207,CaseData!$K$14:$M$14,0))</f>
        <v>2.5000000000000001E-2</v>
      </c>
      <c r="CC207" s="65">
        <f>INDEX(CaseData!$K$15:$M$24,MATCH(CC$205,CaseData!$J$15:$J$24,0),MATCH($B207,CaseData!$K$14:$M$14,0))</f>
        <v>2.5000000000000001E-2</v>
      </c>
      <c r="CD207" s="65">
        <f>INDEX(CaseData!$K$15:$M$24,MATCH(CD$205,CaseData!$J$15:$J$24,0),MATCH($B207,CaseData!$K$14:$M$14,0))</f>
        <v>2.5000000000000001E-2</v>
      </c>
      <c r="CE207" s="65">
        <f>INDEX(CaseData!$K$15:$M$24,MATCH(CE$205,CaseData!$J$15:$J$24,0),MATCH($B207,CaseData!$K$14:$M$14,0))</f>
        <v>2.5000000000000001E-2</v>
      </c>
      <c r="CF207" s="65">
        <f>INDEX(CaseData!$K$15:$M$24,MATCH(CF$205,CaseData!$J$15:$J$24,0),MATCH($B207,CaseData!$K$14:$M$14,0))</f>
        <v>2.5000000000000001E-2</v>
      </c>
      <c r="CG207" s="65">
        <f>INDEX(CaseData!$K$15:$M$24,MATCH(CG$205,CaseData!$J$15:$J$24,0),MATCH($B207,CaseData!$K$14:$M$14,0))</f>
        <v>2.5000000000000001E-2</v>
      </c>
      <c r="CH207" s="65">
        <f>INDEX(CaseData!$K$15:$M$24,MATCH(CH$205,CaseData!$J$15:$J$24,0),MATCH($B207,CaseData!$K$14:$M$14,0))</f>
        <v>2.5000000000000001E-2</v>
      </c>
      <c r="CI207" s="65">
        <f>INDEX(CaseData!$K$15:$M$24,MATCH(CI$205,CaseData!$J$15:$J$24,0),MATCH($B207,CaseData!$K$14:$M$14,0))</f>
        <v>2.5000000000000001E-2</v>
      </c>
      <c r="CJ207" s="65">
        <f>INDEX(CaseData!$K$15:$M$24,MATCH(CJ$205,CaseData!$J$15:$J$24,0),MATCH($B207,CaseData!$K$14:$M$14,0))</f>
        <v>2.5000000000000001E-2</v>
      </c>
      <c r="CK207" s="65">
        <f>INDEX(CaseData!$K$15:$M$24,MATCH(CK$205,CaseData!$J$15:$J$24,0),MATCH($B207,CaseData!$K$14:$M$14,0))</f>
        <v>2.5000000000000001E-2</v>
      </c>
      <c r="CL207" s="65">
        <f>INDEX(CaseData!$K$15:$M$24,MATCH(CL$205,CaseData!$J$15:$J$24,0),MATCH($B207,CaseData!$K$14:$M$14,0))</f>
        <v>2.5000000000000001E-2</v>
      </c>
      <c r="CM207" s="65">
        <f>INDEX(CaseData!$K$15:$M$24,MATCH(CM$205,CaseData!$J$15:$J$24,0),MATCH($B207,CaseData!$K$14:$M$14,0))</f>
        <v>2.5000000000000001E-2</v>
      </c>
      <c r="CN207" s="65">
        <f>INDEX(CaseData!$K$15:$M$24,MATCH(CN$205,CaseData!$J$15:$J$24,0),MATCH($B207,CaseData!$K$14:$M$14,0))</f>
        <v>2.5000000000000001E-2</v>
      </c>
      <c r="CO207" s="65">
        <f>INDEX(CaseData!$K$15:$M$24,MATCH(CO$205,CaseData!$J$15:$J$24,0),MATCH($B207,CaseData!$K$14:$M$14,0))</f>
        <v>2.5000000000000001E-2</v>
      </c>
      <c r="CP207" s="65">
        <f>INDEX(CaseData!$K$15:$M$24,MATCH(CP$205,CaseData!$J$15:$J$24,0),MATCH($B207,CaseData!$K$14:$M$14,0))</f>
        <v>2.5000000000000001E-2</v>
      </c>
      <c r="CQ207" s="65">
        <f>INDEX(CaseData!$K$15:$M$24,MATCH(CQ$205,CaseData!$J$15:$J$24,0),MATCH($B207,CaseData!$K$14:$M$14,0))</f>
        <v>2.5000000000000001E-2</v>
      </c>
      <c r="CR207" s="65">
        <f>INDEX(CaseData!$K$15:$M$24,MATCH(CR$205,CaseData!$J$15:$J$24,0),MATCH($B207,CaseData!$K$14:$M$14,0))</f>
        <v>2.5000000000000001E-2</v>
      </c>
      <c r="CS207" s="65">
        <f>INDEX(CaseData!$K$15:$M$24,MATCH(CS$205,CaseData!$J$15:$J$24,0),MATCH($B207,CaseData!$K$14:$M$14,0))</f>
        <v>2.5000000000000001E-2</v>
      </c>
      <c r="CT207" s="65">
        <f>INDEX(CaseData!$K$15:$M$24,MATCH(CT$205,CaseData!$J$15:$J$24,0),MATCH($B207,CaseData!$K$14:$M$14,0))</f>
        <v>2.5000000000000001E-2</v>
      </c>
      <c r="CU207" s="65">
        <f>INDEX(CaseData!$K$15:$M$24,MATCH(CU$205,CaseData!$J$15:$J$24,0),MATCH($B207,CaseData!$K$14:$M$14,0))</f>
        <v>2.5000000000000001E-2</v>
      </c>
      <c r="CV207" s="65">
        <f>INDEX(CaseData!$K$15:$M$24,MATCH(CV$205,CaseData!$J$15:$J$24,0),MATCH($B207,CaseData!$K$14:$M$14,0))</f>
        <v>2.5000000000000001E-2</v>
      </c>
      <c r="CW207" s="65">
        <f>INDEX(CaseData!$K$15:$M$24,MATCH(CW$205,CaseData!$J$15:$J$24,0),MATCH($B207,CaseData!$K$14:$M$14,0))</f>
        <v>2.5000000000000001E-2</v>
      </c>
      <c r="CX207" s="65">
        <f>INDEX(CaseData!$K$15:$M$24,MATCH(CX$205,CaseData!$J$15:$J$24,0),MATCH($B207,CaseData!$K$14:$M$14,0))</f>
        <v>2.5000000000000001E-2</v>
      </c>
      <c r="CY207" s="65">
        <f>INDEX(CaseData!$K$15:$M$24,MATCH(CY$205,CaseData!$J$15:$J$24,0),MATCH($B207,CaseData!$K$14:$M$14,0))</f>
        <v>2.5000000000000001E-2</v>
      </c>
      <c r="CZ207" s="65">
        <f>INDEX(CaseData!$K$15:$M$24,MATCH(CZ$205,CaseData!$J$15:$J$24,0),MATCH($B207,CaseData!$K$14:$M$14,0))</f>
        <v>2.5000000000000001E-2</v>
      </c>
      <c r="DA207" s="65">
        <f>INDEX(CaseData!$K$15:$M$24,MATCH(DA$205,CaseData!$J$15:$J$24,0),MATCH($B207,CaseData!$K$14:$M$14,0))</f>
        <v>2.5000000000000001E-2</v>
      </c>
      <c r="DB207" s="65">
        <f>INDEX(CaseData!$K$15:$M$24,MATCH(DB$205,CaseData!$J$15:$J$24,0),MATCH($B207,CaseData!$K$14:$M$14,0))</f>
        <v>2.5000000000000001E-2</v>
      </c>
      <c r="DC207" s="65">
        <f>INDEX(CaseData!$K$15:$M$24,MATCH(DC$205,CaseData!$J$15:$J$24,0),MATCH($B207,CaseData!$K$14:$M$14,0))</f>
        <v>2.5000000000000001E-2</v>
      </c>
      <c r="DD207" s="65">
        <f>INDEX(CaseData!$K$15:$M$24,MATCH(DD$205,CaseData!$J$15:$J$24,0),MATCH($B207,CaseData!$K$14:$M$14,0))</f>
        <v>2.5000000000000001E-2</v>
      </c>
      <c r="DE207" s="65">
        <f>INDEX(CaseData!$K$15:$M$24,MATCH(DE$205,CaseData!$J$15:$J$24,0),MATCH($B207,CaseData!$K$14:$M$14,0))</f>
        <v>2.5000000000000001E-2</v>
      </c>
      <c r="DF207" s="65">
        <f>INDEX(CaseData!$K$15:$M$24,MATCH(DF$205,CaseData!$J$15:$J$24,0),MATCH($B207,CaseData!$K$14:$M$14,0))</f>
        <v>2.5000000000000001E-2</v>
      </c>
      <c r="DG207" s="65">
        <f>INDEX(CaseData!$K$15:$M$24,MATCH(DG$205,CaseData!$J$15:$J$24,0),MATCH($B207,CaseData!$K$14:$M$14,0))</f>
        <v>2.5000000000000001E-2</v>
      </c>
      <c r="DH207" s="65">
        <f>INDEX(CaseData!$K$15:$M$24,MATCH(DH$205,CaseData!$J$15:$J$24,0),MATCH($B207,CaseData!$K$14:$M$14,0))</f>
        <v>2.5000000000000001E-2</v>
      </c>
      <c r="DI207" s="65">
        <f>INDEX(CaseData!$K$15:$M$24,MATCH(DI$205,CaseData!$J$15:$J$24,0),MATCH($B207,CaseData!$K$14:$M$14,0))</f>
        <v>2.5000000000000001E-2</v>
      </c>
      <c r="DJ207" s="65">
        <f>INDEX(CaseData!$K$15:$M$24,MATCH(DJ$205,CaseData!$J$15:$J$24,0),MATCH($B207,CaseData!$K$14:$M$14,0))</f>
        <v>2.5000000000000001E-2</v>
      </c>
      <c r="DK207" s="65">
        <f>INDEX(CaseData!$K$15:$M$24,MATCH(DK$205,CaseData!$J$15:$J$24,0),MATCH($B207,CaseData!$K$14:$M$14,0))</f>
        <v>2.5000000000000001E-2</v>
      </c>
      <c r="DL207" s="65">
        <f>INDEX(CaseData!$K$15:$M$24,MATCH(DL$205,CaseData!$J$15:$J$24,0),MATCH($B207,CaseData!$K$14:$M$14,0))</f>
        <v>2.5000000000000001E-2</v>
      </c>
      <c r="DM207" s="65">
        <f>INDEX(CaseData!$K$15:$M$24,MATCH(DM$205,CaseData!$J$15:$J$24,0),MATCH($B207,CaseData!$K$14:$M$14,0))</f>
        <v>2.5000000000000001E-2</v>
      </c>
      <c r="DN207" s="65">
        <f>INDEX(CaseData!$K$15:$M$24,MATCH(DN$205,CaseData!$J$15:$J$24,0),MATCH($B207,CaseData!$K$14:$M$14,0))</f>
        <v>2.5000000000000001E-2</v>
      </c>
      <c r="DO207" s="65">
        <f>INDEX(CaseData!$K$15:$M$24,MATCH(DO$205,CaseData!$J$15:$J$24,0),MATCH($B207,CaseData!$K$14:$M$14,0))</f>
        <v>2.5000000000000001E-2</v>
      </c>
      <c r="DP207" s="65">
        <f>INDEX(CaseData!$K$15:$M$24,MATCH(DP$205,CaseData!$J$15:$J$24,0),MATCH($B207,CaseData!$K$14:$M$14,0))</f>
        <v>2.5000000000000001E-2</v>
      </c>
      <c r="DQ207" s="65">
        <f>INDEX(CaseData!$K$15:$M$24,MATCH(DQ$205,CaseData!$J$15:$J$24,0),MATCH($B207,CaseData!$K$14:$M$14,0))</f>
        <v>2.5000000000000001E-2</v>
      </c>
      <c r="DR207" s="65">
        <f>INDEX(CaseData!$K$15:$M$24,MATCH(DR$205,CaseData!$J$15:$J$24,0),MATCH($B207,CaseData!$K$14:$M$14,0))</f>
        <v>2.5000000000000001E-2</v>
      </c>
      <c r="DS207" s="65">
        <f>INDEX(CaseData!$K$15:$M$24,MATCH(DS$205,CaseData!$J$15:$J$24,0),MATCH($B207,CaseData!$K$14:$M$14,0))</f>
        <v>2.5000000000000001E-2</v>
      </c>
      <c r="DT207" s="65">
        <f>INDEX(CaseData!$K$15:$M$24,MATCH(DT$205,CaseData!$J$15:$J$24,0),MATCH($B207,CaseData!$K$14:$M$14,0))</f>
        <v>2.5000000000000001E-2</v>
      </c>
      <c r="DU207" s="65">
        <f>INDEX(CaseData!$K$15:$M$24,MATCH(DU$205,CaseData!$J$15:$J$24,0),MATCH($B207,CaseData!$K$14:$M$14,0))</f>
        <v>2.5000000000000001E-2</v>
      </c>
      <c r="DV207" s="65">
        <f>INDEX(CaseData!$K$15:$M$24,MATCH(DV$205,CaseData!$J$15:$J$24,0),MATCH($B207,CaseData!$K$14:$M$14,0))</f>
        <v>2.5000000000000001E-2</v>
      </c>
    </row>
    <row r="208" spans="2:126" outlineLevel="1">
      <c r="B208" s="3" t="s">
        <v>32</v>
      </c>
      <c r="E208" s="35" t="s">
        <v>2</v>
      </c>
      <c r="G208" s="65">
        <f>INDEX(CaseData!$K$15:$M$24,MATCH(G$205,CaseData!$J$15:$J$24,0),MATCH($B208,CaseData!$K$14:$M$14,0))</f>
        <v>0.05</v>
      </c>
      <c r="H208" s="65">
        <f>INDEX(CaseData!$K$15:$M$24,MATCH(H$205,CaseData!$J$15:$J$24,0),MATCH($B208,CaseData!$K$14:$M$14,0))</f>
        <v>0.05</v>
      </c>
      <c r="I208" s="65">
        <f>INDEX(CaseData!$K$15:$M$24,MATCH(I$205,CaseData!$J$15:$J$24,0),MATCH($B208,CaseData!$K$14:$M$14,0))</f>
        <v>0.05</v>
      </c>
      <c r="J208" s="65">
        <f>INDEX(CaseData!$K$15:$M$24,MATCH(J$205,CaseData!$J$15:$J$24,0),MATCH($B208,CaseData!$K$14:$M$14,0))</f>
        <v>0.05</v>
      </c>
      <c r="K208" s="65">
        <f>INDEX(CaseData!$K$15:$M$24,MATCH(K$205,CaseData!$J$15:$J$24,0),MATCH($B208,CaseData!$K$14:$M$14,0))</f>
        <v>0.05</v>
      </c>
      <c r="L208" s="65">
        <f>INDEX(CaseData!$K$15:$M$24,MATCH(L$205,CaseData!$J$15:$J$24,0),MATCH($B208,CaseData!$K$14:$M$14,0))</f>
        <v>0.05</v>
      </c>
      <c r="M208" s="65">
        <f>INDEX(CaseData!$K$15:$M$24,MATCH(M$205,CaseData!$J$15:$J$24,0),MATCH($B208,CaseData!$K$14:$M$14,0))</f>
        <v>0.05</v>
      </c>
      <c r="N208" s="65">
        <f>INDEX(CaseData!$K$15:$M$24,MATCH(N$205,CaseData!$J$15:$J$24,0),MATCH($B208,CaseData!$K$14:$M$14,0))</f>
        <v>0.05</v>
      </c>
      <c r="O208" s="65">
        <f>INDEX(CaseData!$K$15:$M$24,MATCH(O$205,CaseData!$J$15:$J$24,0),MATCH($B208,CaseData!$K$14:$M$14,0))</f>
        <v>0.05</v>
      </c>
      <c r="P208" s="65">
        <f>INDEX(CaseData!$K$15:$M$24,MATCH(P$205,CaseData!$J$15:$J$24,0),MATCH($B208,CaseData!$K$14:$M$14,0))</f>
        <v>0.05</v>
      </c>
      <c r="Q208" s="65">
        <f>INDEX(CaseData!$K$15:$M$24,MATCH(Q$205,CaseData!$J$15:$J$24,0),MATCH($B208,CaseData!$K$14:$M$14,0))</f>
        <v>0.05</v>
      </c>
      <c r="R208" s="65">
        <f>INDEX(CaseData!$K$15:$M$24,MATCH(R$205,CaseData!$J$15:$J$24,0),MATCH($B208,CaseData!$K$14:$M$14,0))</f>
        <v>0.05</v>
      </c>
      <c r="S208" s="65">
        <f>INDEX(CaseData!$K$15:$M$24,MATCH(S$205,CaseData!$J$15:$J$24,0),MATCH($B208,CaseData!$K$14:$M$14,0))</f>
        <v>4.4999999999999998E-2</v>
      </c>
      <c r="T208" s="65">
        <f>INDEX(CaseData!$K$15:$M$24,MATCH(T$205,CaseData!$J$15:$J$24,0),MATCH($B208,CaseData!$K$14:$M$14,0))</f>
        <v>4.4999999999999998E-2</v>
      </c>
      <c r="U208" s="65">
        <f>INDEX(CaseData!$K$15:$M$24,MATCH(U$205,CaseData!$J$15:$J$24,0),MATCH($B208,CaseData!$K$14:$M$14,0))</f>
        <v>4.4999999999999998E-2</v>
      </c>
      <c r="V208" s="65">
        <f>INDEX(CaseData!$K$15:$M$24,MATCH(V$205,CaseData!$J$15:$J$24,0),MATCH($B208,CaseData!$K$14:$M$14,0))</f>
        <v>4.4999999999999998E-2</v>
      </c>
      <c r="W208" s="65">
        <f>INDEX(CaseData!$K$15:$M$24,MATCH(W$205,CaseData!$J$15:$J$24,0),MATCH($B208,CaseData!$K$14:$M$14,0))</f>
        <v>4.4999999999999998E-2</v>
      </c>
      <c r="X208" s="65">
        <f>INDEX(CaseData!$K$15:$M$24,MATCH(X$205,CaseData!$J$15:$J$24,0),MATCH($B208,CaseData!$K$14:$M$14,0))</f>
        <v>4.4999999999999998E-2</v>
      </c>
      <c r="Y208" s="65">
        <f>INDEX(CaseData!$K$15:$M$24,MATCH(Y$205,CaseData!$J$15:$J$24,0),MATCH($B208,CaseData!$K$14:$M$14,0))</f>
        <v>4.4999999999999998E-2</v>
      </c>
      <c r="Z208" s="65">
        <f>INDEX(CaseData!$K$15:$M$24,MATCH(Z$205,CaseData!$J$15:$J$24,0),MATCH($B208,CaseData!$K$14:$M$14,0))</f>
        <v>4.4999999999999998E-2</v>
      </c>
      <c r="AA208" s="65">
        <f>INDEX(CaseData!$K$15:$M$24,MATCH(AA$205,CaseData!$J$15:$J$24,0),MATCH($B208,CaseData!$K$14:$M$14,0))</f>
        <v>4.4999999999999998E-2</v>
      </c>
      <c r="AB208" s="65">
        <f>INDEX(CaseData!$K$15:$M$24,MATCH(AB$205,CaseData!$J$15:$J$24,0),MATCH($B208,CaseData!$K$14:$M$14,0))</f>
        <v>4.4999999999999998E-2</v>
      </c>
      <c r="AC208" s="65">
        <f>INDEX(CaseData!$K$15:$M$24,MATCH(AC$205,CaseData!$J$15:$J$24,0),MATCH($B208,CaseData!$K$14:$M$14,0))</f>
        <v>4.4999999999999998E-2</v>
      </c>
      <c r="AD208" s="65">
        <f>INDEX(CaseData!$K$15:$M$24,MATCH(AD$205,CaseData!$J$15:$J$24,0),MATCH($B208,CaseData!$K$14:$M$14,0))</f>
        <v>4.4999999999999998E-2</v>
      </c>
      <c r="AE208" s="65">
        <f>INDEX(CaseData!$K$15:$M$24,MATCH(AE$205,CaseData!$J$15:$J$24,0),MATCH($B208,CaseData!$K$14:$M$14,0))</f>
        <v>0.04</v>
      </c>
      <c r="AF208" s="65">
        <f>INDEX(CaseData!$K$15:$M$24,MATCH(AF$205,CaseData!$J$15:$J$24,0),MATCH($B208,CaseData!$K$14:$M$14,0))</f>
        <v>0.04</v>
      </c>
      <c r="AG208" s="65">
        <f>INDEX(CaseData!$K$15:$M$24,MATCH(AG$205,CaseData!$J$15:$J$24,0),MATCH($B208,CaseData!$K$14:$M$14,0))</f>
        <v>0.04</v>
      </c>
      <c r="AH208" s="65">
        <f>INDEX(CaseData!$K$15:$M$24,MATCH(AH$205,CaseData!$J$15:$J$24,0),MATCH($B208,CaseData!$K$14:$M$14,0))</f>
        <v>0.04</v>
      </c>
      <c r="AI208" s="65">
        <f>INDEX(CaseData!$K$15:$M$24,MATCH(AI$205,CaseData!$J$15:$J$24,0),MATCH($B208,CaseData!$K$14:$M$14,0))</f>
        <v>0.04</v>
      </c>
      <c r="AJ208" s="65">
        <f>INDEX(CaseData!$K$15:$M$24,MATCH(AJ$205,CaseData!$J$15:$J$24,0),MATCH($B208,CaseData!$K$14:$M$14,0))</f>
        <v>0.04</v>
      </c>
      <c r="AK208" s="65">
        <f>INDEX(CaseData!$K$15:$M$24,MATCH(AK$205,CaseData!$J$15:$J$24,0),MATCH($B208,CaseData!$K$14:$M$14,0))</f>
        <v>0.04</v>
      </c>
      <c r="AL208" s="65">
        <f>INDEX(CaseData!$K$15:$M$24,MATCH(AL$205,CaseData!$J$15:$J$24,0),MATCH($B208,CaseData!$K$14:$M$14,0))</f>
        <v>0.04</v>
      </c>
      <c r="AM208" s="65">
        <f>INDEX(CaseData!$K$15:$M$24,MATCH(AM$205,CaseData!$J$15:$J$24,0),MATCH($B208,CaseData!$K$14:$M$14,0))</f>
        <v>0.04</v>
      </c>
      <c r="AN208" s="65">
        <f>INDEX(CaseData!$K$15:$M$24,MATCH(AN$205,CaseData!$J$15:$J$24,0),MATCH($B208,CaseData!$K$14:$M$14,0))</f>
        <v>0.04</v>
      </c>
      <c r="AO208" s="65">
        <f>INDEX(CaseData!$K$15:$M$24,MATCH(AO$205,CaseData!$J$15:$J$24,0),MATCH($B208,CaseData!$K$14:$M$14,0))</f>
        <v>0.04</v>
      </c>
      <c r="AP208" s="65">
        <f>INDEX(CaseData!$K$15:$M$24,MATCH(AP$205,CaseData!$J$15:$J$24,0),MATCH($B208,CaseData!$K$14:$M$14,0))</f>
        <v>0.04</v>
      </c>
      <c r="AQ208" s="65">
        <f>INDEX(CaseData!$K$15:$M$24,MATCH(AQ$205,CaseData!$J$15:$J$24,0),MATCH($B208,CaseData!$K$14:$M$14,0))</f>
        <v>3.5000000000000003E-2</v>
      </c>
      <c r="AR208" s="65">
        <f>INDEX(CaseData!$K$15:$M$24,MATCH(AR$205,CaseData!$J$15:$J$24,0),MATCH($B208,CaseData!$K$14:$M$14,0))</f>
        <v>3.5000000000000003E-2</v>
      </c>
      <c r="AS208" s="65">
        <f>INDEX(CaseData!$K$15:$M$24,MATCH(AS$205,CaseData!$J$15:$J$24,0),MATCH($B208,CaseData!$K$14:$M$14,0))</f>
        <v>3.5000000000000003E-2</v>
      </c>
      <c r="AT208" s="65">
        <f>INDEX(CaseData!$K$15:$M$24,MATCH(AT$205,CaseData!$J$15:$J$24,0),MATCH($B208,CaseData!$K$14:$M$14,0))</f>
        <v>3.5000000000000003E-2</v>
      </c>
      <c r="AU208" s="65">
        <f>INDEX(CaseData!$K$15:$M$24,MATCH(AU$205,CaseData!$J$15:$J$24,0),MATCH($B208,CaseData!$K$14:$M$14,0))</f>
        <v>3.5000000000000003E-2</v>
      </c>
      <c r="AV208" s="65">
        <f>INDEX(CaseData!$K$15:$M$24,MATCH(AV$205,CaseData!$J$15:$J$24,0),MATCH($B208,CaseData!$K$14:$M$14,0))</f>
        <v>3.5000000000000003E-2</v>
      </c>
      <c r="AW208" s="65">
        <f>INDEX(CaseData!$K$15:$M$24,MATCH(AW$205,CaseData!$J$15:$J$24,0),MATCH($B208,CaseData!$K$14:$M$14,0))</f>
        <v>3.5000000000000003E-2</v>
      </c>
      <c r="AX208" s="65">
        <f>INDEX(CaseData!$K$15:$M$24,MATCH(AX$205,CaseData!$J$15:$J$24,0),MATCH($B208,CaseData!$K$14:$M$14,0))</f>
        <v>3.5000000000000003E-2</v>
      </c>
      <c r="AY208" s="65">
        <f>INDEX(CaseData!$K$15:$M$24,MATCH(AY$205,CaseData!$J$15:$J$24,0),MATCH($B208,CaseData!$K$14:$M$14,0))</f>
        <v>3.5000000000000003E-2</v>
      </c>
      <c r="AZ208" s="65">
        <f>INDEX(CaseData!$K$15:$M$24,MATCH(AZ$205,CaseData!$J$15:$J$24,0),MATCH($B208,CaseData!$K$14:$M$14,0))</f>
        <v>3.5000000000000003E-2</v>
      </c>
      <c r="BA208" s="65">
        <f>INDEX(CaseData!$K$15:$M$24,MATCH(BA$205,CaseData!$J$15:$J$24,0),MATCH($B208,CaseData!$K$14:$M$14,0))</f>
        <v>3.5000000000000003E-2</v>
      </c>
      <c r="BB208" s="65">
        <f>INDEX(CaseData!$K$15:$M$24,MATCH(BB$205,CaseData!$J$15:$J$24,0),MATCH($B208,CaseData!$K$14:$M$14,0))</f>
        <v>3.5000000000000003E-2</v>
      </c>
      <c r="BC208" s="65">
        <f>INDEX(CaseData!$K$15:$M$24,MATCH(BC$205,CaseData!$J$15:$J$24,0),MATCH($B208,CaseData!$K$14:$M$14,0))</f>
        <v>0.03</v>
      </c>
      <c r="BD208" s="65">
        <f>INDEX(CaseData!$K$15:$M$24,MATCH(BD$205,CaseData!$J$15:$J$24,0),MATCH($B208,CaseData!$K$14:$M$14,0))</f>
        <v>0.03</v>
      </c>
      <c r="BE208" s="65">
        <f>INDEX(CaseData!$K$15:$M$24,MATCH(BE$205,CaseData!$J$15:$J$24,0),MATCH($B208,CaseData!$K$14:$M$14,0))</f>
        <v>0.03</v>
      </c>
      <c r="BF208" s="65">
        <f>INDEX(CaseData!$K$15:$M$24,MATCH(BF$205,CaseData!$J$15:$J$24,0),MATCH($B208,CaseData!$K$14:$M$14,0))</f>
        <v>0.03</v>
      </c>
      <c r="BG208" s="65">
        <f>INDEX(CaseData!$K$15:$M$24,MATCH(BG$205,CaseData!$J$15:$J$24,0),MATCH($B208,CaseData!$K$14:$M$14,0))</f>
        <v>0.03</v>
      </c>
      <c r="BH208" s="65">
        <f>INDEX(CaseData!$K$15:$M$24,MATCH(BH$205,CaseData!$J$15:$J$24,0),MATCH($B208,CaseData!$K$14:$M$14,0))</f>
        <v>0.03</v>
      </c>
      <c r="BI208" s="65">
        <f>INDEX(CaseData!$K$15:$M$24,MATCH(BI$205,CaseData!$J$15:$J$24,0),MATCH($B208,CaseData!$K$14:$M$14,0))</f>
        <v>0.03</v>
      </c>
      <c r="BJ208" s="65">
        <f>INDEX(CaseData!$K$15:$M$24,MATCH(BJ$205,CaseData!$J$15:$J$24,0),MATCH($B208,CaseData!$K$14:$M$14,0))</f>
        <v>0.03</v>
      </c>
      <c r="BK208" s="65">
        <f>INDEX(CaseData!$K$15:$M$24,MATCH(BK$205,CaseData!$J$15:$J$24,0),MATCH($B208,CaseData!$K$14:$M$14,0))</f>
        <v>0.03</v>
      </c>
      <c r="BL208" s="65">
        <f>INDEX(CaseData!$K$15:$M$24,MATCH(BL$205,CaseData!$J$15:$J$24,0),MATCH($B208,CaseData!$K$14:$M$14,0))</f>
        <v>0.03</v>
      </c>
      <c r="BM208" s="65">
        <f>INDEX(CaseData!$K$15:$M$24,MATCH(BM$205,CaseData!$J$15:$J$24,0),MATCH($B208,CaseData!$K$14:$M$14,0))</f>
        <v>0.03</v>
      </c>
      <c r="BN208" s="65">
        <f>INDEX(CaseData!$K$15:$M$24,MATCH(BN$205,CaseData!$J$15:$J$24,0),MATCH($B208,CaseData!$K$14:$M$14,0))</f>
        <v>0.03</v>
      </c>
      <c r="BO208" s="65">
        <f>INDEX(CaseData!$K$15:$M$24,MATCH(BO$205,CaseData!$J$15:$J$24,0),MATCH($B208,CaseData!$K$14:$M$14,0))</f>
        <v>2.5000000000000001E-2</v>
      </c>
      <c r="BP208" s="65">
        <f>INDEX(CaseData!$K$15:$M$24,MATCH(BP$205,CaseData!$J$15:$J$24,0),MATCH($B208,CaseData!$K$14:$M$14,0))</f>
        <v>2.5000000000000001E-2</v>
      </c>
      <c r="BQ208" s="65">
        <f>INDEX(CaseData!$K$15:$M$24,MATCH(BQ$205,CaseData!$J$15:$J$24,0),MATCH($B208,CaseData!$K$14:$M$14,0))</f>
        <v>2.5000000000000001E-2</v>
      </c>
      <c r="BR208" s="65">
        <f>INDEX(CaseData!$K$15:$M$24,MATCH(BR$205,CaseData!$J$15:$J$24,0),MATCH($B208,CaseData!$K$14:$M$14,0))</f>
        <v>2.5000000000000001E-2</v>
      </c>
      <c r="BS208" s="65">
        <f>INDEX(CaseData!$K$15:$M$24,MATCH(BS$205,CaseData!$J$15:$J$24,0),MATCH($B208,CaseData!$K$14:$M$14,0))</f>
        <v>2.5000000000000001E-2</v>
      </c>
      <c r="BT208" s="65">
        <f>INDEX(CaseData!$K$15:$M$24,MATCH(BT$205,CaseData!$J$15:$J$24,0),MATCH($B208,CaseData!$K$14:$M$14,0))</f>
        <v>2.5000000000000001E-2</v>
      </c>
      <c r="BU208" s="65">
        <f>INDEX(CaseData!$K$15:$M$24,MATCH(BU$205,CaseData!$J$15:$J$24,0),MATCH($B208,CaseData!$K$14:$M$14,0))</f>
        <v>2.5000000000000001E-2</v>
      </c>
      <c r="BV208" s="65">
        <f>INDEX(CaseData!$K$15:$M$24,MATCH(BV$205,CaseData!$J$15:$J$24,0),MATCH($B208,CaseData!$K$14:$M$14,0))</f>
        <v>2.5000000000000001E-2</v>
      </c>
      <c r="BW208" s="65">
        <f>INDEX(CaseData!$K$15:$M$24,MATCH(BW$205,CaseData!$J$15:$J$24,0),MATCH($B208,CaseData!$K$14:$M$14,0))</f>
        <v>2.5000000000000001E-2</v>
      </c>
      <c r="BX208" s="65">
        <f>INDEX(CaseData!$K$15:$M$24,MATCH(BX$205,CaseData!$J$15:$J$24,0),MATCH($B208,CaseData!$K$14:$M$14,0))</f>
        <v>2.5000000000000001E-2</v>
      </c>
      <c r="BY208" s="65">
        <f>INDEX(CaseData!$K$15:$M$24,MATCH(BY$205,CaseData!$J$15:$J$24,0),MATCH($B208,CaseData!$K$14:$M$14,0))</f>
        <v>2.5000000000000001E-2</v>
      </c>
      <c r="BZ208" s="65">
        <f>INDEX(CaseData!$K$15:$M$24,MATCH(BZ$205,CaseData!$J$15:$J$24,0),MATCH($B208,CaseData!$K$14:$M$14,0))</f>
        <v>2.5000000000000001E-2</v>
      </c>
      <c r="CA208" s="65">
        <f>INDEX(CaseData!$K$15:$M$24,MATCH(CA$205,CaseData!$J$15:$J$24,0),MATCH($B208,CaseData!$K$14:$M$14,0))</f>
        <v>2.5000000000000001E-2</v>
      </c>
      <c r="CB208" s="65">
        <f>INDEX(CaseData!$K$15:$M$24,MATCH(CB$205,CaseData!$J$15:$J$24,0),MATCH($B208,CaseData!$K$14:$M$14,0))</f>
        <v>2.5000000000000001E-2</v>
      </c>
      <c r="CC208" s="65">
        <f>INDEX(CaseData!$K$15:$M$24,MATCH(CC$205,CaseData!$J$15:$J$24,0),MATCH($B208,CaseData!$K$14:$M$14,0))</f>
        <v>2.5000000000000001E-2</v>
      </c>
      <c r="CD208" s="65">
        <f>INDEX(CaseData!$K$15:$M$24,MATCH(CD$205,CaseData!$J$15:$J$24,0),MATCH($B208,CaseData!$K$14:$M$14,0))</f>
        <v>2.5000000000000001E-2</v>
      </c>
      <c r="CE208" s="65">
        <f>INDEX(CaseData!$K$15:$M$24,MATCH(CE$205,CaseData!$J$15:$J$24,0),MATCH($B208,CaseData!$K$14:$M$14,0))</f>
        <v>2.5000000000000001E-2</v>
      </c>
      <c r="CF208" s="65">
        <f>INDEX(CaseData!$K$15:$M$24,MATCH(CF$205,CaseData!$J$15:$J$24,0),MATCH($B208,CaseData!$K$14:$M$14,0))</f>
        <v>2.5000000000000001E-2</v>
      </c>
      <c r="CG208" s="65">
        <f>INDEX(CaseData!$K$15:$M$24,MATCH(CG$205,CaseData!$J$15:$J$24,0),MATCH($B208,CaseData!$K$14:$M$14,0))</f>
        <v>2.5000000000000001E-2</v>
      </c>
      <c r="CH208" s="65">
        <f>INDEX(CaseData!$K$15:$M$24,MATCH(CH$205,CaseData!$J$15:$J$24,0),MATCH($B208,CaseData!$K$14:$M$14,0))</f>
        <v>2.5000000000000001E-2</v>
      </c>
      <c r="CI208" s="65">
        <f>INDEX(CaseData!$K$15:$M$24,MATCH(CI$205,CaseData!$J$15:$J$24,0),MATCH($B208,CaseData!$K$14:$M$14,0))</f>
        <v>2.5000000000000001E-2</v>
      </c>
      <c r="CJ208" s="65">
        <f>INDEX(CaseData!$K$15:$M$24,MATCH(CJ$205,CaseData!$J$15:$J$24,0),MATCH($B208,CaseData!$K$14:$M$14,0))</f>
        <v>2.5000000000000001E-2</v>
      </c>
      <c r="CK208" s="65">
        <f>INDEX(CaseData!$K$15:$M$24,MATCH(CK$205,CaseData!$J$15:$J$24,0),MATCH($B208,CaseData!$K$14:$M$14,0))</f>
        <v>2.5000000000000001E-2</v>
      </c>
      <c r="CL208" s="65">
        <f>INDEX(CaseData!$K$15:$M$24,MATCH(CL$205,CaseData!$J$15:$J$24,0),MATCH($B208,CaseData!$K$14:$M$14,0))</f>
        <v>2.5000000000000001E-2</v>
      </c>
      <c r="CM208" s="65">
        <f>INDEX(CaseData!$K$15:$M$24,MATCH(CM$205,CaseData!$J$15:$J$24,0),MATCH($B208,CaseData!$K$14:$M$14,0))</f>
        <v>2.5000000000000001E-2</v>
      </c>
      <c r="CN208" s="65">
        <f>INDEX(CaseData!$K$15:$M$24,MATCH(CN$205,CaseData!$J$15:$J$24,0),MATCH($B208,CaseData!$K$14:$M$14,0))</f>
        <v>2.5000000000000001E-2</v>
      </c>
      <c r="CO208" s="65">
        <f>INDEX(CaseData!$K$15:$M$24,MATCH(CO$205,CaseData!$J$15:$J$24,0),MATCH($B208,CaseData!$K$14:$M$14,0))</f>
        <v>2.5000000000000001E-2</v>
      </c>
      <c r="CP208" s="65">
        <f>INDEX(CaseData!$K$15:$M$24,MATCH(CP$205,CaseData!$J$15:$J$24,0),MATCH($B208,CaseData!$K$14:$M$14,0))</f>
        <v>2.5000000000000001E-2</v>
      </c>
      <c r="CQ208" s="65">
        <f>INDEX(CaseData!$K$15:$M$24,MATCH(CQ$205,CaseData!$J$15:$J$24,0),MATCH($B208,CaseData!$K$14:$M$14,0))</f>
        <v>2.5000000000000001E-2</v>
      </c>
      <c r="CR208" s="65">
        <f>INDEX(CaseData!$K$15:$M$24,MATCH(CR$205,CaseData!$J$15:$J$24,0),MATCH($B208,CaseData!$K$14:$M$14,0))</f>
        <v>2.5000000000000001E-2</v>
      </c>
      <c r="CS208" s="65">
        <f>INDEX(CaseData!$K$15:$M$24,MATCH(CS$205,CaseData!$J$15:$J$24,0),MATCH($B208,CaseData!$K$14:$M$14,0))</f>
        <v>2.5000000000000001E-2</v>
      </c>
      <c r="CT208" s="65">
        <f>INDEX(CaseData!$K$15:$M$24,MATCH(CT$205,CaseData!$J$15:$J$24,0),MATCH($B208,CaseData!$K$14:$M$14,0))</f>
        <v>2.5000000000000001E-2</v>
      </c>
      <c r="CU208" s="65">
        <f>INDEX(CaseData!$K$15:$M$24,MATCH(CU$205,CaseData!$J$15:$J$24,0),MATCH($B208,CaseData!$K$14:$M$14,0))</f>
        <v>2.5000000000000001E-2</v>
      </c>
      <c r="CV208" s="65">
        <f>INDEX(CaseData!$K$15:$M$24,MATCH(CV$205,CaseData!$J$15:$J$24,0),MATCH($B208,CaseData!$K$14:$M$14,0))</f>
        <v>2.5000000000000001E-2</v>
      </c>
      <c r="CW208" s="65">
        <f>INDEX(CaseData!$K$15:$M$24,MATCH(CW$205,CaseData!$J$15:$J$24,0),MATCH($B208,CaseData!$K$14:$M$14,0))</f>
        <v>2.5000000000000001E-2</v>
      </c>
      <c r="CX208" s="65">
        <f>INDEX(CaseData!$K$15:$M$24,MATCH(CX$205,CaseData!$J$15:$J$24,0),MATCH($B208,CaseData!$K$14:$M$14,0))</f>
        <v>2.5000000000000001E-2</v>
      </c>
      <c r="CY208" s="65">
        <f>INDEX(CaseData!$K$15:$M$24,MATCH(CY$205,CaseData!$J$15:$J$24,0),MATCH($B208,CaseData!$K$14:$M$14,0))</f>
        <v>2.5000000000000001E-2</v>
      </c>
      <c r="CZ208" s="65">
        <f>INDEX(CaseData!$K$15:$M$24,MATCH(CZ$205,CaseData!$J$15:$J$24,0),MATCH($B208,CaseData!$K$14:$M$14,0))</f>
        <v>2.5000000000000001E-2</v>
      </c>
      <c r="DA208" s="65">
        <f>INDEX(CaseData!$K$15:$M$24,MATCH(DA$205,CaseData!$J$15:$J$24,0),MATCH($B208,CaseData!$K$14:$M$14,0))</f>
        <v>2.5000000000000001E-2</v>
      </c>
      <c r="DB208" s="65">
        <f>INDEX(CaseData!$K$15:$M$24,MATCH(DB$205,CaseData!$J$15:$J$24,0),MATCH($B208,CaseData!$K$14:$M$14,0))</f>
        <v>2.5000000000000001E-2</v>
      </c>
      <c r="DC208" s="65">
        <f>INDEX(CaseData!$K$15:$M$24,MATCH(DC$205,CaseData!$J$15:$J$24,0),MATCH($B208,CaseData!$K$14:$M$14,0))</f>
        <v>2.5000000000000001E-2</v>
      </c>
      <c r="DD208" s="65">
        <f>INDEX(CaseData!$K$15:$M$24,MATCH(DD$205,CaseData!$J$15:$J$24,0),MATCH($B208,CaseData!$K$14:$M$14,0))</f>
        <v>2.5000000000000001E-2</v>
      </c>
      <c r="DE208" s="65">
        <f>INDEX(CaseData!$K$15:$M$24,MATCH(DE$205,CaseData!$J$15:$J$24,0),MATCH($B208,CaseData!$K$14:$M$14,0))</f>
        <v>2.5000000000000001E-2</v>
      </c>
      <c r="DF208" s="65">
        <f>INDEX(CaseData!$K$15:$M$24,MATCH(DF$205,CaseData!$J$15:$J$24,0),MATCH($B208,CaseData!$K$14:$M$14,0))</f>
        <v>2.5000000000000001E-2</v>
      </c>
      <c r="DG208" s="65">
        <f>INDEX(CaseData!$K$15:$M$24,MATCH(DG$205,CaseData!$J$15:$J$24,0),MATCH($B208,CaseData!$K$14:$M$14,0))</f>
        <v>2.5000000000000001E-2</v>
      </c>
      <c r="DH208" s="65">
        <f>INDEX(CaseData!$K$15:$M$24,MATCH(DH$205,CaseData!$J$15:$J$24,0),MATCH($B208,CaseData!$K$14:$M$14,0))</f>
        <v>2.5000000000000001E-2</v>
      </c>
      <c r="DI208" s="65">
        <f>INDEX(CaseData!$K$15:$M$24,MATCH(DI$205,CaseData!$J$15:$J$24,0),MATCH($B208,CaseData!$K$14:$M$14,0))</f>
        <v>2.5000000000000001E-2</v>
      </c>
      <c r="DJ208" s="65">
        <f>INDEX(CaseData!$K$15:$M$24,MATCH(DJ$205,CaseData!$J$15:$J$24,0),MATCH($B208,CaseData!$K$14:$M$14,0))</f>
        <v>2.5000000000000001E-2</v>
      </c>
      <c r="DK208" s="65">
        <f>INDEX(CaseData!$K$15:$M$24,MATCH(DK$205,CaseData!$J$15:$J$24,0),MATCH($B208,CaseData!$K$14:$M$14,0))</f>
        <v>2.5000000000000001E-2</v>
      </c>
      <c r="DL208" s="65">
        <f>INDEX(CaseData!$K$15:$M$24,MATCH(DL$205,CaseData!$J$15:$J$24,0),MATCH($B208,CaseData!$K$14:$M$14,0))</f>
        <v>2.5000000000000001E-2</v>
      </c>
      <c r="DM208" s="65">
        <f>INDEX(CaseData!$K$15:$M$24,MATCH(DM$205,CaseData!$J$15:$J$24,0),MATCH($B208,CaseData!$K$14:$M$14,0))</f>
        <v>2.5000000000000001E-2</v>
      </c>
      <c r="DN208" s="65">
        <f>INDEX(CaseData!$K$15:$M$24,MATCH(DN$205,CaseData!$J$15:$J$24,0),MATCH($B208,CaseData!$K$14:$M$14,0))</f>
        <v>2.5000000000000001E-2</v>
      </c>
      <c r="DO208" s="65">
        <f>INDEX(CaseData!$K$15:$M$24,MATCH(DO$205,CaseData!$J$15:$J$24,0),MATCH($B208,CaseData!$K$14:$M$14,0))</f>
        <v>2.5000000000000001E-2</v>
      </c>
      <c r="DP208" s="65">
        <f>INDEX(CaseData!$K$15:$M$24,MATCH(DP$205,CaseData!$J$15:$J$24,0),MATCH($B208,CaseData!$K$14:$M$14,0))</f>
        <v>2.5000000000000001E-2</v>
      </c>
      <c r="DQ208" s="65">
        <f>INDEX(CaseData!$K$15:$M$24,MATCH(DQ$205,CaseData!$J$15:$J$24,0),MATCH($B208,CaseData!$K$14:$M$14,0))</f>
        <v>2.5000000000000001E-2</v>
      </c>
      <c r="DR208" s="65">
        <f>INDEX(CaseData!$K$15:$M$24,MATCH(DR$205,CaseData!$J$15:$J$24,0),MATCH($B208,CaseData!$K$14:$M$14,0))</f>
        <v>2.5000000000000001E-2</v>
      </c>
      <c r="DS208" s="65">
        <f>INDEX(CaseData!$K$15:$M$24,MATCH(DS$205,CaseData!$J$15:$J$24,0),MATCH($B208,CaseData!$K$14:$M$14,0))</f>
        <v>2.5000000000000001E-2</v>
      </c>
      <c r="DT208" s="65">
        <f>INDEX(CaseData!$K$15:$M$24,MATCH(DT$205,CaseData!$J$15:$J$24,0),MATCH($B208,CaseData!$K$14:$M$14,0))</f>
        <v>2.5000000000000001E-2</v>
      </c>
      <c r="DU208" s="65">
        <f>INDEX(CaseData!$K$15:$M$24,MATCH(DU$205,CaseData!$J$15:$J$24,0),MATCH($B208,CaseData!$K$14:$M$14,0))</f>
        <v>2.5000000000000001E-2</v>
      </c>
      <c r="DV208" s="65">
        <f>INDEX(CaseData!$K$15:$M$24,MATCH(DV$205,CaseData!$J$15:$J$24,0),MATCH($B208,CaseData!$K$14:$M$14,0))</f>
        <v>2.5000000000000001E-2</v>
      </c>
    </row>
    <row r="209" spans="2:126" outlineLevel="1">
      <c r="B209" s="3" t="s">
        <v>96</v>
      </c>
      <c r="E209" s="35" t="s">
        <v>97</v>
      </c>
      <c r="G209" s="66">
        <f t="shared" ref="G209:BR209" si="161">IF(MONTH(G2)=1,1,0)</f>
        <v>1</v>
      </c>
      <c r="H209" s="66">
        <f t="shared" si="161"/>
        <v>0</v>
      </c>
      <c r="I209" s="66">
        <f t="shared" si="161"/>
        <v>0</v>
      </c>
      <c r="J209" s="66">
        <f t="shared" si="161"/>
        <v>0</v>
      </c>
      <c r="K209" s="66">
        <f t="shared" si="161"/>
        <v>0</v>
      </c>
      <c r="L209" s="66">
        <f t="shared" si="161"/>
        <v>0</v>
      </c>
      <c r="M209" s="66">
        <f t="shared" si="161"/>
        <v>0</v>
      </c>
      <c r="N209" s="66">
        <f t="shared" si="161"/>
        <v>0</v>
      </c>
      <c r="O209" s="66">
        <f t="shared" si="161"/>
        <v>0</v>
      </c>
      <c r="P209" s="66">
        <f t="shared" si="161"/>
        <v>0</v>
      </c>
      <c r="Q209" s="66">
        <f t="shared" si="161"/>
        <v>0</v>
      </c>
      <c r="R209" s="66">
        <f t="shared" si="161"/>
        <v>0</v>
      </c>
      <c r="S209" s="66">
        <f t="shared" si="161"/>
        <v>1</v>
      </c>
      <c r="T209" s="66">
        <f t="shared" si="161"/>
        <v>0</v>
      </c>
      <c r="U209" s="66">
        <f t="shared" si="161"/>
        <v>0</v>
      </c>
      <c r="V209" s="66">
        <f t="shared" si="161"/>
        <v>0</v>
      </c>
      <c r="W209" s="66">
        <f t="shared" si="161"/>
        <v>0</v>
      </c>
      <c r="X209" s="66">
        <f t="shared" si="161"/>
        <v>0</v>
      </c>
      <c r="Y209" s="66">
        <f t="shared" si="161"/>
        <v>0</v>
      </c>
      <c r="Z209" s="66">
        <f t="shared" si="161"/>
        <v>0</v>
      </c>
      <c r="AA209" s="66">
        <f t="shared" si="161"/>
        <v>0</v>
      </c>
      <c r="AB209" s="66">
        <f t="shared" si="161"/>
        <v>0</v>
      </c>
      <c r="AC209" s="66">
        <f t="shared" si="161"/>
        <v>0</v>
      </c>
      <c r="AD209" s="66">
        <f t="shared" si="161"/>
        <v>0</v>
      </c>
      <c r="AE209" s="66">
        <f t="shared" si="161"/>
        <v>1</v>
      </c>
      <c r="AF209" s="66">
        <f t="shared" si="161"/>
        <v>0</v>
      </c>
      <c r="AG209" s="66">
        <f t="shared" si="161"/>
        <v>0</v>
      </c>
      <c r="AH209" s="66">
        <f t="shared" si="161"/>
        <v>0</v>
      </c>
      <c r="AI209" s="66">
        <f t="shared" si="161"/>
        <v>0</v>
      </c>
      <c r="AJ209" s="66">
        <f t="shared" si="161"/>
        <v>0</v>
      </c>
      <c r="AK209" s="66">
        <f t="shared" si="161"/>
        <v>0</v>
      </c>
      <c r="AL209" s="66">
        <f t="shared" si="161"/>
        <v>0</v>
      </c>
      <c r="AM209" s="66">
        <f t="shared" si="161"/>
        <v>0</v>
      </c>
      <c r="AN209" s="66">
        <f t="shared" si="161"/>
        <v>0</v>
      </c>
      <c r="AO209" s="66">
        <f t="shared" si="161"/>
        <v>0</v>
      </c>
      <c r="AP209" s="66">
        <f t="shared" si="161"/>
        <v>0</v>
      </c>
      <c r="AQ209" s="66">
        <f t="shared" si="161"/>
        <v>1</v>
      </c>
      <c r="AR209" s="66">
        <f t="shared" si="161"/>
        <v>0</v>
      </c>
      <c r="AS209" s="66">
        <f t="shared" si="161"/>
        <v>0</v>
      </c>
      <c r="AT209" s="66">
        <f t="shared" si="161"/>
        <v>0</v>
      </c>
      <c r="AU209" s="66">
        <f t="shared" si="161"/>
        <v>0</v>
      </c>
      <c r="AV209" s="66">
        <f t="shared" si="161"/>
        <v>0</v>
      </c>
      <c r="AW209" s="66">
        <f t="shared" si="161"/>
        <v>0</v>
      </c>
      <c r="AX209" s="66">
        <f t="shared" si="161"/>
        <v>0</v>
      </c>
      <c r="AY209" s="66">
        <f t="shared" si="161"/>
        <v>0</v>
      </c>
      <c r="AZ209" s="66">
        <f t="shared" si="161"/>
        <v>0</v>
      </c>
      <c r="BA209" s="66">
        <f t="shared" si="161"/>
        <v>0</v>
      </c>
      <c r="BB209" s="66">
        <f t="shared" si="161"/>
        <v>0</v>
      </c>
      <c r="BC209" s="66">
        <f t="shared" si="161"/>
        <v>1</v>
      </c>
      <c r="BD209" s="66">
        <f t="shared" si="161"/>
        <v>0</v>
      </c>
      <c r="BE209" s="66">
        <f t="shared" si="161"/>
        <v>0</v>
      </c>
      <c r="BF209" s="66">
        <f t="shared" si="161"/>
        <v>0</v>
      </c>
      <c r="BG209" s="66">
        <f t="shared" si="161"/>
        <v>0</v>
      </c>
      <c r="BH209" s="66">
        <f t="shared" si="161"/>
        <v>0</v>
      </c>
      <c r="BI209" s="66">
        <f t="shared" si="161"/>
        <v>0</v>
      </c>
      <c r="BJ209" s="66">
        <f t="shared" si="161"/>
        <v>0</v>
      </c>
      <c r="BK209" s="66">
        <f t="shared" si="161"/>
        <v>0</v>
      </c>
      <c r="BL209" s="66">
        <f t="shared" si="161"/>
        <v>0</v>
      </c>
      <c r="BM209" s="66">
        <f t="shared" si="161"/>
        <v>0</v>
      </c>
      <c r="BN209" s="66">
        <f t="shared" si="161"/>
        <v>0</v>
      </c>
      <c r="BO209" s="66">
        <f t="shared" si="161"/>
        <v>1</v>
      </c>
      <c r="BP209" s="66">
        <f t="shared" si="161"/>
        <v>0</v>
      </c>
      <c r="BQ209" s="66">
        <f t="shared" si="161"/>
        <v>0</v>
      </c>
      <c r="BR209" s="66">
        <f t="shared" si="161"/>
        <v>0</v>
      </c>
      <c r="BS209" s="66">
        <f t="shared" ref="BS209:DV209" si="162">IF(MONTH(BS2)=1,1,0)</f>
        <v>0</v>
      </c>
      <c r="BT209" s="66">
        <f t="shared" si="162"/>
        <v>0</v>
      </c>
      <c r="BU209" s="66">
        <f t="shared" si="162"/>
        <v>0</v>
      </c>
      <c r="BV209" s="66">
        <f t="shared" si="162"/>
        <v>0</v>
      </c>
      <c r="BW209" s="66">
        <f t="shared" si="162"/>
        <v>0</v>
      </c>
      <c r="BX209" s="66">
        <f t="shared" si="162"/>
        <v>0</v>
      </c>
      <c r="BY209" s="66">
        <f t="shared" si="162"/>
        <v>0</v>
      </c>
      <c r="BZ209" s="66">
        <f t="shared" si="162"/>
        <v>0</v>
      </c>
      <c r="CA209" s="66">
        <f t="shared" si="162"/>
        <v>1</v>
      </c>
      <c r="CB209" s="66">
        <f t="shared" si="162"/>
        <v>0</v>
      </c>
      <c r="CC209" s="66">
        <f t="shared" si="162"/>
        <v>0</v>
      </c>
      <c r="CD209" s="66">
        <f t="shared" si="162"/>
        <v>0</v>
      </c>
      <c r="CE209" s="66">
        <f t="shared" si="162"/>
        <v>0</v>
      </c>
      <c r="CF209" s="66">
        <f t="shared" si="162"/>
        <v>0</v>
      </c>
      <c r="CG209" s="66">
        <f t="shared" si="162"/>
        <v>0</v>
      </c>
      <c r="CH209" s="66">
        <f t="shared" si="162"/>
        <v>0</v>
      </c>
      <c r="CI209" s="66">
        <f t="shared" si="162"/>
        <v>0</v>
      </c>
      <c r="CJ209" s="66">
        <f t="shared" si="162"/>
        <v>0</v>
      </c>
      <c r="CK209" s="66">
        <f t="shared" si="162"/>
        <v>0</v>
      </c>
      <c r="CL209" s="66">
        <f t="shared" si="162"/>
        <v>0</v>
      </c>
      <c r="CM209" s="66">
        <f t="shared" si="162"/>
        <v>1</v>
      </c>
      <c r="CN209" s="66">
        <f t="shared" si="162"/>
        <v>0</v>
      </c>
      <c r="CO209" s="66">
        <f t="shared" si="162"/>
        <v>0</v>
      </c>
      <c r="CP209" s="66">
        <f t="shared" si="162"/>
        <v>0</v>
      </c>
      <c r="CQ209" s="66">
        <f t="shared" si="162"/>
        <v>0</v>
      </c>
      <c r="CR209" s="66">
        <f t="shared" si="162"/>
        <v>0</v>
      </c>
      <c r="CS209" s="66">
        <f t="shared" si="162"/>
        <v>0</v>
      </c>
      <c r="CT209" s="66">
        <f t="shared" si="162"/>
        <v>0</v>
      </c>
      <c r="CU209" s="66">
        <f t="shared" si="162"/>
        <v>0</v>
      </c>
      <c r="CV209" s="66">
        <f t="shared" si="162"/>
        <v>0</v>
      </c>
      <c r="CW209" s="66">
        <f t="shared" si="162"/>
        <v>0</v>
      </c>
      <c r="CX209" s="66">
        <f t="shared" si="162"/>
        <v>0</v>
      </c>
      <c r="CY209" s="66">
        <f t="shared" si="162"/>
        <v>1</v>
      </c>
      <c r="CZ209" s="66">
        <f t="shared" si="162"/>
        <v>0</v>
      </c>
      <c r="DA209" s="66">
        <f t="shared" si="162"/>
        <v>0</v>
      </c>
      <c r="DB209" s="66">
        <f t="shared" si="162"/>
        <v>0</v>
      </c>
      <c r="DC209" s="66">
        <f t="shared" si="162"/>
        <v>0</v>
      </c>
      <c r="DD209" s="66">
        <f t="shared" si="162"/>
        <v>0</v>
      </c>
      <c r="DE209" s="66">
        <f t="shared" si="162"/>
        <v>0</v>
      </c>
      <c r="DF209" s="66">
        <f t="shared" si="162"/>
        <v>0</v>
      </c>
      <c r="DG209" s="66">
        <f t="shared" si="162"/>
        <v>0</v>
      </c>
      <c r="DH209" s="66">
        <f t="shared" si="162"/>
        <v>0</v>
      </c>
      <c r="DI209" s="66">
        <f t="shared" si="162"/>
        <v>0</v>
      </c>
      <c r="DJ209" s="66">
        <f t="shared" si="162"/>
        <v>0</v>
      </c>
      <c r="DK209" s="66">
        <f t="shared" si="162"/>
        <v>1</v>
      </c>
      <c r="DL209" s="66">
        <f t="shared" si="162"/>
        <v>0</v>
      </c>
      <c r="DM209" s="66">
        <f t="shared" si="162"/>
        <v>0</v>
      </c>
      <c r="DN209" s="66">
        <f t="shared" si="162"/>
        <v>0</v>
      </c>
      <c r="DO209" s="66">
        <f t="shared" si="162"/>
        <v>0</v>
      </c>
      <c r="DP209" s="66">
        <f t="shared" si="162"/>
        <v>0</v>
      </c>
      <c r="DQ209" s="66">
        <f t="shared" si="162"/>
        <v>0</v>
      </c>
      <c r="DR209" s="66">
        <f t="shared" si="162"/>
        <v>0</v>
      </c>
      <c r="DS209" s="66">
        <f t="shared" si="162"/>
        <v>0</v>
      </c>
      <c r="DT209" s="66">
        <f t="shared" si="162"/>
        <v>0</v>
      </c>
      <c r="DU209" s="66">
        <f t="shared" si="162"/>
        <v>0</v>
      </c>
      <c r="DV209" s="66">
        <f t="shared" si="162"/>
        <v>0</v>
      </c>
    </row>
    <row r="210" spans="2:126" outlineLevel="1">
      <c r="B210" s="3" t="s">
        <v>98</v>
      </c>
      <c r="E210" s="35" t="s">
        <v>99</v>
      </c>
      <c r="F210" s="67">
        <v>1</v>
      </c>
      <c r="G210" s="68">
        <f>F210*(1+G206*G$209)</f>
        <v>1.05</v>
      </c>
      <c r="H210" s="68">
        <f t="shared" ref="H210:BS212" si="163">G210*(1+H206*H$209)</f>
        <v>1.05</v>
      </c>
      <c r="I210" s="68">
        <f t="shared" si="163"/>
        <v>1.05</v>
      </c>
      <c r="J210" s="68">
        <f t="shared" si="163"/>
        <v>1.05</v>
      </c>
      <c r="K210" s="68">
        <f t="shared" si="163"/>
        <v>1.05</v>
      </c>
      <c r="L210" s="68">
        <f t="shared" si="163"/>
        <v>1.05</v>
      </c>
      <c r="M210" s="68">
        <f t="shared" si="163"/>
        <v>1.05</v>
      </c>
      <c r="N210" s="68">
        <f t="shared" si="163"/>
        <v>1.05</v>
      </c>
      <c r="O210" s="68">
        <f t="shared" si="163"/>
        <v>1.05</v>
      </c>
      <c r="P210" s="68">
        <f t="shared" si="163"/>
        <v>1.05</v>
      </c>
      <c r="Q210" s="68">
        <f t="shared" si="163"/>
        <v>1.05</v>
      </c>
      <c r="R210" s="68">
        <f t="shared" si="163"/>
        <v>1.05</v>
      </c>
      <c r="S210" s="68">
        <f t="shared" si="163"/>
        <v>1.0972500000000001</v>
      </c>
      <c r="T210" s="68">
        <f t="shared" si="163"/>
        <v>1.0972500000000001</v>
      </c>
      <c r="U210" s="68">
        <f t="shared" si="163"/>
        <v>1.0972500000000001</v>
      </c>
      <c r="V210" s="68">
        <f t="shared" si="163"/>
        <v>1.0972500000000001</v>
      </c>
      <c r="W210" s="68">
        <f t="shared" si="163"/>
        <v>1.0972500000000001</v>
      </c>
      <c r="X210" s="68">
        <f t="shared" si="163"/>
        <v>1.0972500000000001</v>
      </c>
      <c r="Y210" s="68">
        <f t="shared" si="163"/>
        <v>1.0972500000000001</v>
      </c>
      <c r="Z210" s="68">
        <f t="shared" si="163"/>
        <v>1.0972500000000001</v>
      </c>
      <c r="AA210" s="68">
        <f t="shared" si="163"/>
        <v>1.0972500000000001</v>
      </c>
      <c r="AB210" s="68">
        <f t="shared" si="163"/>
        <v>1.0972500000000001</v>
      </c>
      <c r="AC210" s="68">
        <f t="shared" si="163"/>
        <v>1.0972500000000001</v>
      </c>
      <c r="AD210" s="68">
        <f t="shared" si="163"/>
        <v>1.0972500000000001</v>
      </c>
      <c r="AE210" s="68">
        <f t="shared" si="163"/>
        <v>1.14114</v>
      </c>
      <c r="AF210" s="68">
        <f t="shared" si="163"/>
        <v>1.14114</v>
      </c>
      <c r="AG210" s="68">
        <f t="shared" si="163"/>
        <v>1.14114</v>
      </c>
      <c r="AH210" s="68">
        <f t="shared" si="163"/>
        <v>1.14114</v>
      </c>
      <c r="AI210" s="68">
        <f t="shared" si="163"/>
        <v>1.14114</v>
      </c>
      <c r="AJ210" s="68">
        <f t="shared" si="163"/>
        <v>1.14114</v>
      </c>
      <c r="AK210" s="68">
        <f t="shared" si="163"/>
        <v>1.14114</v>
      </c>
      <c r="AL210" s="68">
        <f t="shared" si="163"/>
        <v>1.14114</v>
      </c>
      <c r="AM210" s="68">
        <f t="shared" si="163"/>
        <v>1.14114</v>
      </c>
      <c r="AN210" s="68">
        <f t="shared" si="163"/>
        <v>1.14114</v>
      </c>
      <c r="AO210" s="68">
        <f t="shared" si="163"/>
        <v>1.14114</v>
      </c>
      <c r="AP210" s="68">
        <f t="shared" si="163"/>
        <v>1.14114</v>
      </c>
      <c r="AQ210" s="68">
        <f t="shared" si="163"/>
        <v>1.1810798999999998</v>
      </c>
      <c r="AR210" s="68">
        <f t="shared" si="163"/>
        <v>1.1810798999999998</v>
      </c>
      <c r="AS210" s="68">
        <f t="shared" si="163"/>
        <v>1.1810798999999998</v>
      </c>
      <c r="AT210" s="68">
        <f t="shared" si="163"/>
        <v>1.1810798999999998</v>
      </c>
      <c r="AU210" s="68">
        <f t="shared" si="163"/>
        <v>1.1810798999999998</v>
      </c>
      <c r="AV210" s="68">
        <f t="shared" si="163"/>
        <v>1.1810798999999998</v>
      </c>
      <c r="AW210" s="68">
        <f t="shared" si="163"/>
        <v>1.1810798999999998</v>
      </c>
      <c r="AX210" s="68">
        <f t="shared" si="163"/>
        <v>1.1810798999999998</v>
      </c>
      <c r="AY210" s="68">
        <f t="shared" si="163"/>
        <v>1.1810798999999998</v>
      </c>
      <c r="AZ210" s="68">
        <f t="shared" si="163"/>
        <v>1.1810798999999998</v>
      </c>
      <c r="BA210" s="68">
        <f t="shared" si="163"/>
        <v>1.1810798999999998</v>
      </c>
      <c r="BB210" s="68">
        <f t="shared" si="163"/>
        <v>1.1810798999999998</v>
      </c>
      <c r="BC210" s="68">
        <f t="shared" si="163"/>
        <v>1.216512297</v>
      </c>
      <c r="BD210" s="68">
        <f t="shared" si="163"/>
        <v>1.216512297</v>
      </c>
      <c r="BE210" s="68">
        <f t="shared" si="163"/>
        <v>1.216512297</v>
      </c>
      <c r="BF210" s="68">
        <f t="shared" si="163"/>
        <v>1.216512297</v>
      </c>
      <c r="BG210" s="68">
        <f t="shared" si="163"/>
        <v>1.216512297</v>
      </c>
      <c r="BH210" s="68">
        <f t="shared" si="163"/>
        <v>1.216512297</v>
      </c>
      <c r="BI210" s="68">
        <f t="shared" si="163"/>
        <v>1.216512297</v>
      </c>
      <c r="BJ210" s="68">
        <f t="shared" si="163"/>
        <v>1.216512297</v>
      </c>
      <c r="BK210" s="68">
        <f t="shared" si="163"/>
        <v>1.216512297</v>
      </c>
      <c r="BL210" s="68">
        <f t="shared" si="163"/>
        <v>1.216512297</v>
      </c>
      <c r="BM210" s="68">
        <f t="shared" si="163"/>
        <v>1.216512297</v>
      </c>
      <c r="BN210" s="68">
        <f t="shared" si="163"/>
        <v>1.216512297</v>
      </c>
      <c r="BO210" s="68">
        <f t="shared" si="163"/>
        <v>1.2469251044249998</v>
      </c>
      <c r="BP210" s="68">
        <f t="shared" si="163"/>
        <v>1.2469251044249998</v>
      </c>
      <c r="BQ210" s="68">
        <f t="shared" si="163"/>
        <v>1.2469251044249998</v>
      </c>
      <c r="BR210" s="68">
        <f t="shared" si="163"/>
        <v>1.2469251044249998</v>
      </c>
      <c r="BS210" s="68">
        <f t="shared" si="163"/>
        <v>1.2469251044249998</v>
      </c>
      <c r="BT210" s="68">
        <f t="shared" ref="BT210:DV212" si="164">BS210*(1+BT206*BT$209)</f>
        <v>1.2469251044249998</v>
      </c>
      <c r="BU210" s="68">
        <f t="shared" si="164"/>
        <v>1.2469251044249998</v>
      </c>
      <c r="BV210" s="68">
        <f t="shared" si="164"/>
        <v>1.2469251044249998</v>
      </c>
      <c r="BW210" s="68">
        <f t="shared" si="164"/>
        <v>1.2469251044249998</v>
      </c>
      <c r="BX210" s="68">
        <f t="shared" si="164"/>
        <v>1.2469251044249998</v>
      </c>
      <c r="BY210" s="68">
        <f t="shared" si="164"/>
        <v>1.2469251044249998</v>
      </c>
      <c r="BZ210" s="68">
        <f t="shared" si="164"/>
        <v>1.2469251044249998</v>
      </c>
      <c r="CA210" s="68">
        <f t="shared" si="164"/>
        <v>1.2780982320356247</v>
      </c>
      <c r="CB210" s="68">
        <f t="shared" si="164"/>
        <v>1.2780982320356247</v>
      </c>
      <c r="CC210" s="68">
        <f t="shared" si="164"/>
        <v>1.2780982320356247</v>
      </c>
      <c r="CD210" s="68">
        <f t="shared" si="164"/>
        <v>1.2780982320356247</v>
      </c>
      <c r="CE210" s="68">
        <f t="shared" si="164"/>
        <v>1.2780982320356247</v>
      </c>
      <c r="CF210" s="68">
        <f t="shared" si="164"/>
        <v>1.2780982320356247</v>
      </c>
      <c r="CG210" s="68">
        <f t="shared" si="164"/>
        <v>1.2780982320356247</v>
      </c>
      <c r="CH210" s="68">
        <f t="shared" si="164"/>
        <v>1.2780982320356247</v>
      </c>
      <c r="CI210" s="68">
        <f t="shared" si="164"/>
        <v>1.2780982320356247</v>
      </c>
      <c r="CJ210" s="68">
        <f t="shared" si="164"/>
        <v>1.2780982320356247</v>
      </c>
      <c r="CK210" s="68">
        <f t="shared" si="164"/>
        <v>1.2780982320356247</v>
      </c>
      <c r="CL210" s="68">
        <f t="shared" si="164"/>
        <v>1.2780982320356247</v>
      </c>
      <c r="CM210" s="68">
        <f t="shared" si="164"/>
        <v>1.3100506878365152</v>
      </c>
      <c r="CN210" s="68">
        <f t="shared" si="164"/>
        <v>1.3100506878365152</v>
      </c>
      <c r="CO210" s="68">
        <f t="shared" si="164"/>
        <v>1.3100506878365152</v>
      </c>
      <c r="CP210" s="68">
        <f t="shared" si="164"/>
        <v>1.3100506878365152</v>
      </c>
      <c r="CQ210" s="68">
        <f t="shared" si="164"/>
        <v>1.3100506878365152</v>
      </c>
      <c r="CR210" s="68">
        <f t="shared" si="164"/>
        <v>1.3100506878365152</v>
      </c>
      <c r="CS210" s="68">
        <f t="shared" si="164"/>
        <v>1.3100506878365152</v>
      </c>
      <c r="CT210" s="68">
        <f t="shared" si="164"/>
        <v>1.3100506878365152</v>
      </c>
      <c r="CU210" s="68">
        <f t="shared" si="164"/>
        <v>1.3100506878365152</v>
      </c>
      <c r="CV210" s="68">
        <f t="shared" si="164"/>
        <v>1.3100506878365152</v>
      </c>
      <c r="CW210" s="68">
        <f t="shared" si="164"/>
        <v>1.3100506878365152</v>
      </c>
      <c r="CX210" s="68">
        <f t="shared" si="164"/>
        <v>1.3100506878365152</v>
      </c>
      <c r="CY210" s="68">
        <f t="shared" si="164"/>
        <v>1.3428019550324279</v>
      </c>
      <c r="CZ210" s="68">
        <f t="shared" si="164"/>
        <v>1.3428019550324279</v>
      </c>
      <c r="DA210" s="68">
        <f t="shared" si="164"/>
        <v>1.3428019550324279</v>
      </c>
      <c r="DB210" s="68">
        <f t="shared" si="164"/>
        <v>1.3428019550324279</v>
      </c>
      <c r="DC210" s="68">
        <f t="shared" si="164"/>
        <v>1.3428019550324279</v>
      </c>
      <c r="DD210" s="68">
        <f t="shared" si="164"/>
        <v>1.3428019550324279</v>
      </c>
      <c r="DE210" s="68">
        <f t="shared" si="164"/>
        <v>1.3428019550324279</v>
      </c>
      <c r="DF210" s="68">
        <f t="shared" si="164"/>
        <v>1.3428019550324279</v>
      </c>
      <c r="DG210" s="68">
        <f t="shared" si="164"/>
        <v>1.3428019550324279</v>
      </c>
      <c r="DH210" s="68">
        <f t="shared" si="164"/>
        <v>1.3428019550324279</v>
      </c>
      <c r="DI210" s="68">
        <f t="shared" si="164"/>
        <v>1.3428019550324279</v>
      </c>
      <c r="DJ210" s="68">
        <f t="shared" si="164"/>
        <v>1.3428019550324279</v>
      </c>
      <c r="DK210" s="68">
        <f t="shared" si="164"/>
        <v>1.3763720039082386</v>
      </c>
      <c r="DL210" s="68">
        <f t="shared" si="164"/>
        <v>1.3763720039082386</v>
      </c>
      <c r="DM210" s="68">
        <f t="shared" si="164"/>
        <v>1.3763720039082386</v>
      </c>
      <c r="DN210" s="68">
        <f t="shared" si="164"/>
        <v>1.3763720039082386</v>
      </c>
      <c r="DO210" s="68">
        <f t="shared" si="164"/>
        <v>1.3763720039082386</v>
      </c>
      <c r="DP210" s="68">
        <f t="shared" si="164"/>
        <v>1.3763720039082386</v>
      </c>
      <c r="DQ210" s="68">
        <f t="shared" si="164"/>
        <v>1.3763720039082386</v>
      </c>
      <c r="DR210" s="68">
        <f t="shared" si="164"/>
        <v>1.3763720039082386</v>
      </c>
      <c r="DS210" s="68">
        <f t="shared" si="164"/>
        <v>1.3763720039082386</v>
      </c>
      <c r="DT210" s="68">
        <f t="shared" si="164"/>
        <v>1.3763720039082386</v>
      </c>
      <c r="DU210" s="68">
        <f t="shared" si="164"/>
        <v>1.3763720039082386</v>
      </c>
      <c r="DV210" s="68">
        <f t="shared" si="164"/>
        <v>1.3763720039082386</v>
      </c>
    </row>
    <row r="211" spans="2:126" outlineLevel="1">
      <c r="B211" s="3" t="s">
        <v>100</v>
      </c>
      <c r="E211" s="35" t="s">
        <v>99</v>
      </c>
      <c r="F211" s="67">
        <v>1</v>
      </c>
      <c r="G211" s="68">
        <f t="shared" ref="G211:BR212" si="165">F211*(1+G207*G$209)</f>
        <v>1.0249999999999999</v>
      </c>
      <c r="H211" s="68">
        <f t="shared" si="165"/>
        <v>1.0249999999999999</v>
      </c>
      <c r="I211" s="68">
        <f t="shared" si="165"/>
        <v>1.0249999999999999</v>
      </c>
      <c r="J211" s="68">
        <f t="shared" si="165"/>
        <v>1.0249999999999999</v>
      </c>
      <c r="K211" s="68">
        <f t="shared" si="165"/>
        <v>1.0249999999999999</v>
      </c>
      <c r="L211" s="68">
        <f t="shared" si="165"/>
        <v>1.0249999999999999</v>
      </c>
      <c r="M211" s="68">
        <f t="shared" si="165"/>
        <v>1.0249999999999999</v>
      </c>
      <c r="N211" s="68">
        <f t="shared" si="165"/>
        <v>1.0249999999999999</v>
      </c>
      <c r="O211" s="68">
        <f t="shared" si="165"/>
        <v>1.0249999999999999</v>
      </c>
      <c r="P211" s="68">
        <f t="shared" si="165"/>
        <v>1.0249999999999999</v>
      </c>
      <c r="Q211" s="68">
        <f t="shared" si="165"/>
        <v>1.0249999999999999</v>
      </c>
      <c r="R211" s="68">
        <f t="shared" si="165"/>
        <v>1.0249999999999999</v>
      </c>
      <c r="S211" s="68">
        <f t="shared" si="165"/>
        <v>1.0506249999999999</v>
      </c>
      <c r="T211" s="68">
        <f t="shared" si="165"/>
        <v>1.0506249999999999</v>
      </c>
      <c r="U211" s="68">
        <f t="shared" si="165"/>
        <v>1.0506249999999999</v>
      </c>
      <c r="V211" s="68">
        <f t="shared" si="165"/>
        <v>1.0506249999999999</v>
      </c>
      <c r="W211" s="68">
        <f t="shared" si="165"/>
        <v>1.0506249999999999</v>
      </c>
      <c r="X211" s="68">
        <f t="shared" si="165"/>
        <v>1.0506249999999999</v>
      </c>
      <c r="Y211" s="68">
        <f t="shared" si="165"/>
        <v>1.0506249999999999</v>
      </c>
      <c r="Z211" s="68">
        <f t="shared" si="165"/>
        <v>1.0506249999999999</v>
      </c>
      <c r="AA211" s="68">
        <f t="shared" si="165"/>
        <v>1.0506249999999999</v>
      </c>
      <c r="AB211" s="68">
        <f t="shared" si="165"/>
        <v>1.0506249999999999</v>
      </c>
      <c r="AC211" s="68">
        <f t="shared" si="165"/>
        <v>1.0506249999999999</v>
      </c>
      <c r="AD211" s="68">
        <f t="shared" si="165"/>
        <v>1.0506249999999999</v>
      </c>
      <c r="AE211" s="68">
        <f t="shared" si="165"/>
        <v>1.0768906249999999</v>
      </c>
      <c r="AF211" s="68">
        <f t="shared" si="165"/>
        <v>1.0768906249999999</v>
      </c>
      <c r="AG211" s="68">
        <f t="shared" si="165"/>
        <v>1.0768906249999999</v>
      </c>
      <c r="AH211" s="68">
        <f t="shared" si="165"/>
        <v>1.0768906249999999</v>
      </c>
      <c r="AI211" s="68">
        <f t="shared" si="165"/>
        <v>1.0768906249999999</v>
      </c>
      <c r="AJ211" s="68">
        <f t="shared" si="165"/>
        <v>1.0768906249999999</v>
      </c>
      <c r="AK211" s="68">
        <f t="shared" si="165"/>
        <v>1.0768906249999999</v>
      </c>
      <c r="AL211" s="68">
        <f t="shared" si="165"/>
        <v>1.0768906249999999</v>
      </c>
      <c r="AM211" s="68">
        <f t="shared" si="165"/>
        <v>1.0768906249999999</v>
      </c>
      <c r="AN211" s="68">
        <f t="shared" si="165"/>
        <v>1.0768906249999999</v>
      </c>
      <c r="AO211" s="68">
        <f t="shared" si="165"/>
        <v>1.0768906249999999</v>
      </c>
      <c r="AP211" s="68">
        <f t="shared" si="165"/>
        <v>1.0768906249999999</v>
      </c>
      <c r="AQ211" s="68">
        <f t="shared" si="165"/>
        <v>1.1038128906249998</v>
      </c>
      <c r="AR211" s="68">
        <f t="shared" si="165"/>
        <v>1.1038128906249998</v>
      </c>
      <c r="AS211" s="68">
        <f t="shared" si="165"/>
        <v>1.1038128906249998</v>
      </c>
      <c r="AT211" s="68">
        <f t="shared" si="165"/>
        <v>1.1038128906249998</v>
      </c>
      <c r="AU211" s="68">
        <f t="shared" si="165"/>
        <v>1.1038128906249998</v>
      </c>
      <c r="AV211" s="68">
        <f t="shared" si="165"/>
        <v>1.1038128906249998</v>
      </c>
      <c r="AW211" s="68">
        <f t="shared" si="165"/>
        <v>1.1038128906249998</v>
      </c>
      <c r="AX211" s="68">
        <f t="shared" si="165"/>
        <v>1.1038128906249998</v>
      </c>
      <c r="AY211" s="68">
        <f t="shared" si="165"/>
        <v>1.1038128906249998</v>
      </c>
      <c r="AZ211" s="68">
        <f t="shared" si="165"/>
        <v>1.1038128906249998</v>
      </c>
      <c r="BA211" s="68">
        <f t="shared" si="165"/>
        <v>1.1038128906249998</v>
      </c>
      <c r="BB211" s="68">
        <f t="shared" si="165"/>
        <v>1.1038128906249998</v>
      </c>
      <c r="BC211" s="68">
        <f t="shared" si="165"/>
        <v>1.1314082128906247</v>
      </c>
      <c r="BD211" s="68">
        <f t="shared" si="165"/>
        <v>1.1314082128906247</v>
      </c>
      <c r="BE211" s="68">
        <f t="shared" si="165"/>
        <v>1.1314082128906247</v>
      </c>
      <c r="BF211" s="68">
        <f t="shared" si="165"/>
        <v>1.1314082128906247</v>
      </c>
      <c r="BG211" s="68">
        <f t="shared" si="165"/>
        <v>1.1314082128906247</v>
      </c>
      <c r="BH211" s="68">
        <f t="shared" si="165"/>
        <v>1.1314082128906247</v>
      </c>
      <c r="BI211" s="68">
        <f t="shared" si="165"/>
        <v>1.1314082128906247</v>
      </c>
      <c r="BJ211" s="68">
        <f t="shared" si="165"/>
        <v>1.1314082128906247</v>
      </c>
      <c r="BK211" s="68">
        <f t="shared" si="165"/>
        <v>1.1314082128906247</v>
      </c>
      <c r="BL211" s="68">
        <f t="shared" si="165"/>
        <v>1.1314082128906247</v>
      </c>
      <c r="BM211" s="68">
        <f t="shared" si="165"/>
        <v>1.1314082128906247</v>
      </c>
      <c r="BN211" s="68">
        <f t="shared" si="165"/>
        <v>1.1314082128906247</v>
      </c>
      <c r="BO211" s="68">
        <f t="shared" si="165"/>
        <v>1.1596934182128902</v>
      </c>
      <c r="BP211" s="68">
        <f t="shared" si="165"/>
        <v>1.1596934182128902</v>
      </c>
      <c r="BQ211" s="68">
        <f t="shared" si="165"/>
        <v>1.1596934182128902</v>
      </c>
      <c r="BR211" s="68">
        <f t="shared" si="165"/>
        <v>1.1596934182128902</v>
      </c>
      <c r="BS211" s="68">
        <f t="shared" si="163"/>
        <v>1.1596934182128902</v>
      </c>
      <c r="BT211" s="68">
        <f t="shared" si="164"/>
        <v>1.1596934182128902</v>
      </c>
      <c r="BU211" s="68">
        <f t="shared" si="164"/>
        <v>1.1596934182128902</v>
      </c>
      <c r="BV211" s="68">
        <f t="shared" si="164"/>
        <v>1.1596934182128902</v>
      </c>
      <c r="BW211" s="68">
        <f t="shared" si="164"/>
        <v>1.1596934182128902</v>
      </c>
      <c r="BX211" s="68">
        <f t="shared" si="164"/>
        <v>1.1596934182128902</v>
      </c>
      <c r="BY211" s="68">
        <f t="shared" si="164"/>
        <v>1.1596934182128902</v>
      </c>
      <c r="BZ211" s="68">
        <f t="shared" si="164"/>
        <v>1.1596934182128902</v>
      </c>
      <c r="CA211" s="68">
        <f t="shared" si="164"/>
        <v>1.1886857536682123</v>
      </c>
      <c r="CB211" s="68">
        <f t="shared" si="164"/>
        <v>1.1886857536682123</v>
      </c>
      <c r="CC211" s="68">
        <f t="shared" si="164"/>
        <v>1.1886857536682123</v>
      </c>
      <c r="CD211" s="68">
        <f t="shared" si="164"/>
        <v>1.1886857536682123</v>
      </c>
      <c r="CE211" s="68">
        <f t="shared" si="164"/>
        <v>1.1886857536682123</v>
      </c>
      <c r="CF211" s="68">
        <f t="shared" si="164"/>
        <v>1.1886857536682123</v>
      </c>
      <c r="CG211" s="68">
        <f t="shared" si="164"/>
        <v>1.1886857536682123</v>
      </c>
      <c r="CH211" s="68">
        <f t="shared" si="164"/>
        <v>1.1886857536682123</v>
      </c>
      <c r="CI211" s="68">
        <f t="shared" si="164"/>
        <v>1.1886857536682123</v>
      </c>
      <c r="CJ211" s="68">
        <f t="shared" si="164"/>
        <v>1.1886857536682123</v>
      </c>
      <c r="CK211" s="68">
        <f t="shared" si="164"/>
        <v>1.1886857536682123</v>
      </c>
      <c r="CL211" s="68">
        <f t="shared" si="164"/>
        <v>1.1886857536682123</v>
      </c>
      <c r="CM211" s="68">
        <f t="shared" si="164"/>
        <v>1.2184028975099175</v>
      </c>
      <c r="CN211" s="68">
        <f t="shared" si="164"/>
        <v>1.2184028975099175</v>
      </c>
      <c r="CO211" s="68">
        <f t="shared" si="164"/>
        <v>1.2184028975099175</v>
      </c>
      <c r="CP211" s="68">
        <f t="shared" si="164"/>
        <v>1.2184028975099175</v>
      </c>
      <c r="CQ211" s="68">
        <f t="shared" si="164"/>
        <v>1.2184028975099175</v>
      </c>
      <c r="CR211" s="68">
        <f t="shared" si="164"/>
        <v>1.2184028975099175</v>
      </c>
      <c r="CS211" s="68">
        <f t="shared" si="164"/>
        <v>1.2184028975099175</v>
      </c>
      <c r="CT211" s="68">
        <f t="shared" si="164"/>
        <v>1.2184028975099175</v>
      </c>
      <c r="CU211" s="68">
        <f t="shared" si="164"/>
        <v>1.2184028975099175</v>
      </c>
      <c r="CV211" s="68">
        <f t="shared" si="164"/>
        <v>1.2184028975099175</v>
      </c>
      <c r="CW211" s="68">
        <f t="shared" si="164"/>
        <v>1.2184028975099175</v>
      </c>
      <c r="CX211" s="68">
        <f t="shared" si="164"/>
        <v>1.2184028975099175</v>
      </c>
      <c r="CY211" s="68">
        <f t="shared" si="164"/>
        <v>1.2488629699476652</v>
      </c>
      <c r="CZ211" s="68">
        <f t="shared" si="164"/>
        <v>1.2488629699476652</v>
      </c>
      <c r="DA211" s="68">
        <f t="shared" si="164"/>
        <v>1.2488629699476652</v>
      </c>
      <c r="DB211" s="68">
        <f t="shared" si="164"/>
        <v>1.2488629699476652</v>
      </c>
      <c r="DC211" s="68">
        <f t="shared" si="164"/>
        <v>1.2488629699476652</v>
      </c>
      <c r="DD211" s="68">
        <f t="shared" si="164"/>
        <v>1.2488629699476652</v>
      </c>
      <c r="DE211" s="68">
        <f t="shared" si="164"/>
        <v>1.2488629699476652</v>
      </c>
      <c r="DF211" s="68">
        <f t="shared" si="164"/>
        <v>1.2488629699476652</v>
      </c>
      <c r="DG211" s="68">
        <f t="shared" si="164"/>
        <v>1.2488629699476652</v>
      </c>
      <c r="DH211" s="68">
        <f t="shared" si="164"/>
        <v>1.2488629699476652</v>
      </c>
      <c r="DI211" s="68">
        <f t="shared" si="164"/>
        <v>1.2488629699476652</v>
      </c>
      <c r="DJ211" s="68">
        <f t="shared" si="164"/>
        <v>1.2488629699476652</v>
      </c>
      <c r="DK211" s="68">
        <f t="shared" si="164"/>
        <v>1.2800845441963566</v>
      </c>
      <c r="DL211" s="68">
        <f t="shared" si="164"/>
        <v>1.2800845441963566</v>
      </c>
      <c r="DM211" s="68">
        <f t="shared" si="164"/>
        <v>1.2800845441963566</v>
      </c>
      <c r="DN211" s="68">
        <f t="shared" si="164"/>
        <v>1.2800845441963566</v>
      </c>
      <c r="DO211" s="68">
        <f t="shared" si="164"/>
        <v>1.2800845441963566</v>
      </c>
      <c r="DP211" s="68">
        <f t="shared" si="164"/>
        <v>1.2800845441963566</v>
      </c>
      <c r="DQ211" s="68">
        <f t="shared" si="164"/>
        <v>1.2800845441963566</v>
      </c>
      <c r="DR211" s="68">
        <f t="shared" si="164"/>
        <v>1.2800845441963566</v>
      </c>
      <c r="DS211" s="68">
        <f t="shared" si="164"/>
        <v>1.2800845441963566</v>
      </c>
      <c r="DT211" s="68">
        <f t="shared" si="164"/>
        <v>1.2800845441963566</v>
      </c>
      <c r="DU211" s="68">
        <f t="shared" si="164"/>
        <v>1.2800845441963566</v>
      </c>
      <c r="DV211" s="68">
        <f t="shared" si="164"/>
        <v>1.2800845441963566</v>
      </c>
    </row>
    <row r="212" spans="2:126" outlineLevel="1">
      <c r="B212" s="3" t="s">
        <v>101</v>
      </c>
      <c r="E212" s="35" t="s">
        <v>99</v>
      </c>
      <c r="F212" s="67">
        <v>1</v>
      </c>
      <c r="G212" s="68">
        <f t="shared" si="165"/>
        <v>1.05</v>
      </c>
      <c r="H212" s="68">
        <f t="shared" si="165"/>
        <v>1.05</v>
      </c>
      <c r="I212" s="68">
        <f t="shared" si="165"/>
        <v>1.05</v>
      </c>
      <c r="J212" s="68">
        <f t="shared" si="165"/>
        <v>1.05</v>
      </c>
      <c r="K212" s="68">
        <f t="shared" si="165"/>
        <v>1.05</v>
      </c>
      <c r="L212" s="68">
        <f t="shared" si="165"/>
        <v>1.05</v>
      </c>
      <c r="M212" s="68">
        <f t="shared" si="165"/>
        <v>1.05</v>
      </c>
      <c r="N212" s="68">
        <f t="shared" si="165"/>
        <v>1.05</v>
      </c>
      <c r="O212" s="68">
        <f t="shared" si="165"/>
        <v>1.05</v>
      </c>
      <c r="P212" s="68">
        <f t="shared" si="165"/>
        <v>1.05</v>
      </c>
      <c r="Q212" s="68">
        <f t="shared" si="165"/>
        <v>1.05</v>
      </c>
      <c r="R212" s="68">
        <f t="shared" si="165"/>
        <v>1.05</v>
      </c>
      <c r="S212" s="68">
        <f t="shared" si="165"/>
        <v>1.0972500000000001</v>
      </c>
      <c r="T212" s="68">
        <f t="shared" si="165"/>
        <v>1.0972500000000001</v>
      </c>
      <c r="U212" s="68">
        <f t="shared" si="165"/>
        <v>1.0972500000000001</v>
      </c>
      <c r="V212" s="68">
        <f t="shared" si="165"/>
        <v>1.0972500000000001</v>
      </c>
      <c r="W212" s="68">
        <f t="shared" si="165"/>
        <v>1.0972500000000001</v>
      </c>
      <c r="X212" s="68">
        <f t="shared" si="165"/>
        <v>1.0972500000000001</v>
      </c>
      <c r="Y212" s="68">
        <f t="shared" si="165"/>
        <v>1.0972500000000001</v>
      </c>
      <c r="Z212" s="68">
        <f t="shared" si="165"/>
        <v>1.0972500000000001</v>
      </c>
      <c r="AA212" s="68">
        <f t="shared" si="165"/>
        <v>1.0972500000000001</v>
      </c>
      <c r="AB212" s="68">
        <f t="shared" si="165"/>
        <v>1.0972500000000001</v>
      </c>
      <c r="AC212" s="68">
        <f t="shared" si="165"/>
        <v>1.0972500000000001</v>
      </c>
      <c r="AD212" s="68">
        <f t="shared" si="165"/>
        <v>1.0972500000000001</v>
      </c>
      <c r="AE212" s="68">
        <f t="shared" si="165"/>
        <v>1.14114</v>
      </c>
      <c r="AF212" s="68">
        <f t="shared" si="165"/>
        <v>1.14114</v>
      </c>
      <c r="AG212" s="68">
        <f t="shared" si="165"/>
        <v>1.14114</v>
      </c>
      <c r="AH212" s="68">
        <f t="shared" si="165"/>
        <v>1.14114</v>
      </c>
      <c r="AI212" s="68">
        <f t="shared" si="165"/>
        <v>1.14114</v>
      </c>
      <c r="AJ212" s="68">
        <f t="shared" si="165"/>
        <v>1.14114</v>
      </c>
      <c r="AK212" s="68">
        <f t="shared" si="165"/>
        <v>1.14114</v>
      </c>
      <c r="AL212" s="68">
        <f t="shared" si="165"/>
        <v>1.14114</v>
      </c>
      <c r="AM212" s="68">
        <f t="shared" si="165"/>
        <v>1.14114</v>
      </c>
      <c r="AN212" s="68">
        <f t="shared" si="165"/>
        <v>1.14114</v>
      </c>
      <c r="AO212" s="68">
        <f t="shared" si="165"/>
        <v>1.14114</v>
      </c>
      <c r="AP212" s="68">
        <f t="shared" si="165"/>
        <v>1.14114</v>
      </c>
      <c r="AQ212" s="68">
        <f t="shared" si="165"/>
        <v>1.1810798999999998</v>
      </c>
      <c r="AR212" s="68">
        <f t="shared" si="165"/>
        <v>1.1810798999999998</v>
      </c>
      <c r="AS212" s="68">
        <f t="shared" si="165"/>
        <v>1.1810798999999998</v>
      </c>
      <c r="AT212" s="68">
        <f t="shared" si="165"/>
        <v>1.1810798999999998</v>
      </c>
      <c r="AU212" s="68">
        <f t="shared" si="165"/>
        <v>1.1810798999999998</v>
      </c>
      <c r="AV212" s="68">
        <f t="shared" si="165"/>
        <v>1.1810798999999998</v>
      </c>
      <c r="AW212" s="68">
        <f t="shared" si="165"/>
        <v>1.1810798999999998</v>
      </c>
      <c r="AX212" s="68">
        <f t="shared" si="165"/>
        <v>1.1810798999999998</v>
      </c>
      <c r="AY212" s="68">
        <f t="shared" si="165"/>
        <v>1.1810798999999998</v>
      </c>
      <c r="AZ212" s="68">
        <f t="shared" si="165"/>
        <v>1.1810798999999998</v>
      </c>
      <c r="BA212" s="68">
        <f t="shared" si="165"/>
        <v>1.1810798999999998</v>
      </c>
      <c r="BB212" s="68">
        <f t="shared" si="165"/>
        <v>1.1810798999999998</v>
      </c>
      <c r="BC212" s="68">
        <f t="shared" si="165"/>
        <v>1.216512297</v>
      </c>
      <c r="BD212" s="68">
        <f t="shared" si="165"/>
        <v>1.216512297</v>
      </c>
      <c r="BE212" s="68">
        <f t="shared" si="165"/>
        <v>1.216512297</v>
      </c>
      <c r="BF212" s="68">
        <f t="shared" si="165"/>
        <v>1.216512297</v>
      </c>
      <c r="BG212" s="68">
        <f t="shared" si="165"/>
        <v>1.216512297</v>
      </c>
      <c r="BH212" s="68">
        <f t="shared" si="165"/>
        <v>1.216512297</v>
      </c>
      <c r="BI212" s="68">
        <f t="shared" si="165"/>
        <v>1.216512297</v>
      </c>
      <c r="BJ212" s="68">
        <f t="shared" si="165"/>
        <v>1.216512297</v>
      </c>
      <c r="BK212" s="68">
        <f t="shared" si="165"/>
        <v>1.216512297</v>
      </c>
      <c r="BL212" s="68">
        <f t="shared" si="165"/>
        <v>1.216512297</v>
      </c>
      <c r="BM212" s="68">
        <f t="shared" si="165"/>
        <v>1.216512297</v>
      </c>
      <c r="BN212" s="68">
        <f t="shared" si="165"/>
        <v>1.216512297</v>
      </c>
      <c r="BO212" s="68">
        <f t="shared" si="165"/>
        <v>1.2469251044249998</v>
      </c>
      <c r="BP212" s="68">
        <f t="shared" si="165"/>
        <v>1.2469251044249998</v>
      </c>
      <c r="BQ212" s="68">
        <f t="shared" si="165"/>
        <v>1.2469251044249998</v>
      </c>
      <c r="BR212" s="68">
        <f t="shared" si="165"/>
        <v>1.2469251044249998</v>
      </c>
      <c r="BS212" s="68">
        <f t="shared" si="163"/>
        <v>1.2469251044249998</v>
      </c>
      <c r="BT212" s="68">
        <f t="shared" si="164"/>
        <v>1.2469251044249998</v>
      </c>
      <c r="BU212" s="68">
        <f t="shared" si="164"/>
        <v>1.2469251044249998</v>
      </c>
      <c r="BV212" s="68">
        <f t="shared" si="164"/>
        <v>1.2469251044249998</v>
      </c>
      <c r="BW212" s="68">
        <f t="shared" si="164"/>
        <v>1.2469251044249998</v>
      </c>
      <c r="BX212" s="68">
        <f t="shared" si="164"/>
        <v>1.2469251044249998</v>
      </c>
      <c r="BY212" s="68">
        <f t="shared" si="164"/>
        <v>1.2469251044249998</v>
      </c>
      <c r="BZ212" s="68">
        <f t="shared" si="164"/>
        <v>1.2469251044249998</v>
      </c>
      <c r="CA212" s="68">
        <f t="shared" si="164"/>
        <v>1.2780982320356247</v>
      </c>
      <c r="CB212" s="68">
        <f t="shared" si="164"/>
        <v>1.2780982320356247</v>
      </c>
      <c r="CC212" s="68">
        <f t="shared" si="164"/>
        <v>1.2780982320356247</v>
      </c>
      <c r="CD212" s="68">
        <f t="shared" si="164"/>
        <v>1.2780982320356247</v>
      </c>
      <c r="CE212" s="68">
        <f t="shared" si="164"/>
        <v>1.2780982320356247</v>
      </c>
      <c r="CF212" s="68">
        <f t="shared" si="164"/>
        <v>1.2780982320356247</v>
      </c>
      <c r="CG212" s="68">
        <f t="shared" si="164"/>
        <v>1.2780982320356247</v>
      </c>
      <c r="CH212" s="68">
        <f t="shared" si="164"/>
        <v>1.2780982320356247</v>
      </c>
      <c r="CI212" s="68">
        <f t="shared" si="164"/>
        <v>1.2780982320356247</v>
      </c>
      <c r="CJ212" s="68">
        <f t="shared" si="164"/>
        <v>1.2780982320356247</v>
      </c>
      <c r="CK212" s="68">
        <f t="shared" si="164"/>
        <v>1.2780982320356247</v>
      </c>
      <c r="CL212" s="68">
        <f t="shared" si="164"/>
        <v>1.2780982320356247</v>
      </c>
      <c r="CM212" s="68">
        <f t="shared" si="164"/>
        <v>1.3100506878365152</v>
      </c>
      <c r="CN212" s="68">
        <f t="shared" si="164"/>
        <v>1.3100506878365152</v>
      </c>
      <c r="CO212" s="68">
        <f t="shared" si="164"/>
        <v>1.3100506878365152</v>
      </c>
      <c r="CP212" s="68">
        <f t="shared" si="164"/>
        <v>1.3100506878365152</v>
      </c>
      <c r="CQ212" s="68">
        <f t="shared" si="164"/>
        <v>1.3100506878365152</v>
      </c>
      <c r="CR212" s="68">
        <f t="shared" si="164"/>
        <v>1.3100506878365152</v>
      </c>
      <c r="CS212" s="68">
        <f t="shared" si="164"/>
        <v>1.3100506878365152</v>
      </c>
      <c r="CT212" s="68">
        <f t="shared" si="164"/>
        <v>1.3100506878365152</v>
      </c>
      <c r="CU212" s="68">
        <f t="shared" si="164"/>
        <v>1.3100506878365152</v>
      </c>
      <c r="CV212" s="68">
        <f t="shared" si="164"/>
        <v>1.3100506878365152</v>
      </c>
      <c r="CW212" s="68">
        <f t="shared" si="164"/>
        <v>1.3100506878365152</v>
      </c>
      <c r="CX212" s="68">
        <f t="shared" si="164"/>
        <v>1.3100506878365152</v>
      </c>
      <c r="CY212" s="68">
        <f t="shared" si="164"/>
        <v>1.3428019550324279</v>
      </c>
      <c r="CZ212" s="68">
        <f t="shared" si="164"/>
        <v>1.3428019550324279</v>
      </c>
      <c r="DA212" s="68">
        <f t="shared" si="164"/>
        <v>1.3428019550324279</v>
      </c>
      <c r="DB212" s="68">
        <f t="shared" si="164"/>
        <v>1.3428019550324279</v>
      </c>
      <c r="DC212" s="68">
        <f t="shared" si="164"/>
        <v>1.3428019550324279</v>
      </c>
      <c r="DD212" s="68">
        <f t="shared" si="164"/>
        <v>1.3428019550324279</v>
      </c>
      <c r="DE212" s="68">
        <f t="shared" si="164"/>
        <v>1.3428019550324279</v>
      </c>
      <c r="DF212" s="68">
        <f t="shared" si="164"/>
        <v>1.3428019550324279</v>
      </c>
      <c r="DG212" s="68">
        <f t="shared" si="164"/>
        <v>1.3428019550324279</v>
      </c>
      <c r="DH212" s="68">
        <f t="shared" si="164"/>
        <v>1.3428019550324279</v>
      </c>
      <c r="DI212" s="68">
        <f t="shared" si="164"/>
        <v>1.3428019550324279</v>
      </c>
      <c r="DJ212" s="68">
        <f t="shared" si="164"/>
        <v>1.3428019550324279</v>
      </c>
      <c r="DK212" s="68">
        <f t="shared" si="164"/>
        <v>1.3763720039082386</v>
      </c>
      <c r="DL212" s="68">
        <f t="shared" si="164"/>
        <v>1.3763720039082386</v>
      </c>
      <c r="DM212" s="68">
        <f t="shared" si="164"/>
        <v>1.3763720039082386</v>
      </c>
      <c r="DN212" s="68">
        <f t="shared" si="164"/>
        <v>1.3763720039082386</v>
      </c>
      <c r="DO212" s="68">
        <f t="shared" si="164"/>
        <v>1.3763720039082386</v>
      </c>
      <c r="DP212" s="68">
        <f t="shared" si="164"/>
        <v>1.3763720039082386</v>
      </c>
      <c r="DQ212" s="68">
        <f t="shared" si="164"/>
        <v>1.3763720039082386</v>
      </c>
      <c r="DR212" s="68">
        <f t="shared" si="164"/>
        <v>1.3763720039082386</v>
      </c>
      <c r="DS212" s="68">
        <f t="shared" si="164"/>
        <v>1.3763720039082386</v>
      </c>
      <c r="DT212" s="68">
        <f t="shared" si="164"/>
        <v>1.3763720039082386</v>
      </c>
      <c r="DU212" s="68">
        <f t="shared" si="164"/>
        <v>1.3763720039082386</v>
      </c>
      <c r="DV212" s="68">
        <f t="shared" si="164"/>
        <v>1.3763720039082386</v>
      </c>
    </row>
    <row r="213" spans="2:126" outlineLevel="1">
      <c r="B213" s="3" t="s">
        <v>102</v>
      </c>
      <c r="E213" s="35" t="s">
        <v>2</v>
      </c>
      <c r="G213" s="69">
        <f>CaseData!$H$6</f>
        <v>0.75</v>
      </c>
      <c r="H213" s="65">
        <f>G213-($G$213-$L$213)/($L$4-$G$4)</f>
        <v>0.65</v>
      </c>
      <c r="I213" s="65">
        <f>H213-($G$213-$L$213)/($L$4-$G$4)</f>
        <v>0.55000000000000004</v>
      </c>
      <c r="J213" s="65">
        <f>I213-($G$213-$L$213)/($L$4-$G$4)</f>
        <v>0.45000000000000007</v>
      </c>
      <c r="K213" s="65">
        <f>J213-($G$213-$L$213)/($L$4-$G$4)</f>
        <v>0.35000000000000009</v>
      </c>
      <c r="L213" s="69">
        <f>CaseData!$H$7</f>
        <v>0.25</v>
      </c>
      <c r="M213" s="65">
        <f>L213-($L$213-$R$213)/($R$4-$L$4)</f>
        <v>0.22500000000000001</v>
      </c>
      <c r="N213" s="65">
        <f>M213-($L$213-$R$213)/($R$4-$L$4)</f>
        <v>0.2</v>
      </c>
      <c r="O213" s="65">
        <f>N213-($L$213-$R$213)/($R$4-$L$4)</f>
        <v>0.17500000000000002</v>
      </c>
      <c r="P213" s="65">
        <f>O213-($L$213-$R$213)/($R$4-$L$4)</f>
        <v>0.15000000000000002</v>
      </c>
      <c r="Q213" s="65">
        <f>P213-($L$213-$R$213)/($R$4-$L$4)</f>
        <v>0.12500000000000003</v>
      </c>
      <c r="R213" s="69">
        <f>CaseData!$H$8</f>
        <v>0.1</v>
      </c>
      <c r="S213" s="65">
        <f t="shared" ref="S213:AC213" si="166">R213-($R$213-$AD$213)/($AD$4-$R$4)</f>
        <v>9.583333333333334E-2</v>
      </c>
      <c r="T213" s="65">
        <f t="shared" si="166"/>
        <v>9.1666666666666674E-2</v>
      </c>
      <c r="U213" s="65">
        <f t="shared" si="166"/>
        <v>8.7500000000000008E-2</v>
      </c>
      <c r="V213" s="65">
        <f t="shared" si="166"/>
        <v>8.3333333333333343E-2</v>
      </c>
      <c r="W213" s="65">
        <f t="shared" si="166"/>
        <v>7.9166666666666677E-2</v>
      </c>
      <c r="X213" s="65">
        <f t="shared" si="166"/>
        <v>7.5000000000000011E-2</v>
      </c>
      <c r="Y213" s="65">
        <f t="shared" si="166"/>
        <v>7.0833333333333345E-2</v>
      </c>
      <c r="Z213" s="65">
        <f t="shared" si="166"/>
        <v>6.666666666666668E-2</v>
      </c>
      <c r="AA213" s="65">
        <f t="shared" si="166"/>
        <v>6.2500000000000014E-2</v>
      </c>
      <c r="AB213" s="65">
        <f t="shared" si="166"/>
        <v>5.8333333333333348E-2</v>
      </c>
      <c r="AC213" s="65">
        <f t="shared" si="166"/>
        <v>5.4166666666666682E-2</v>
      </c>
      <c r="AD213" s="69">
        <f>CaseData!$H$9</f>
        <v>0.05</v>
      </c>
      <c r="AE213" s="65">
        <f>AD213</f>
        <v>0.05</v>
      </c>
      <c r="AF213" s="65">
        <f t="shared" ref="AF213:CQ213" si="167">AE213</f>
        <v>0.05</v>
      </c>
      <c r="AG213" s="65">
        <f t="shared" si="167"/>
        <v>0.05</v>
      </c>
      <c r="AH213" s="65">
        <f t="shared" si="167"/>
        <v>0.05</v>
      </c>
      <c r="AI213" s="65">
        <f t="shared" si="167"/>
        <v>0.05</v>
      </c>
      <c r="AJ213" s="65">
        <f t="shared" si="167"/>
        <v>0.05</v>
      </c>
      <c r="AK213" s="65">
        <f t="shared" si="167"/>
        <v>0.05</v>
      </c>
      <c r="AL213" s="65">
        <f t="shared" si="167"/>
        <v>0.05</v>
      </c>
      <c r="AM213" s="65">
        <f t="shared" si="167"/>
        <v>0.05</v>
      </c>
      <c r="AN213" s="65">
        <f t="shared" si="167"/>
        <v>0.05</v>
      </c>
      <c r="AO213" s="65">
        <f t="shared" si="167"/>
        <v>0.05</v>
      </c>
      <c r="AP213" s="65">
        <f t="shared" si="167"/>
        <v>0.05</v>
      </c>
      <c r="AQ213" s="65">
        <f t="shared" si="167"/>
        <v>0.05</v>
      </c>
      <c r="AR213" s="65">
        <f t="shared" si="167"/>
        <v>0.05</v>
      </c>
      <c r="AS213" s="65">
        <f t="shared" si="167"/>
        <v>0.05</v>
      </c>
      <c r="AT213" s="65">
        <f t="shared" si="167"/>
        <v>0.05</v>
      </c>
      <c r="AU213" s="65">
        <f t="shared" si="167"/>
        <v>0.05</v>
      </c>
      <c r="AV213" s="65">
        <f t="shared" si="167"/>
        <v>0.05</v>
      </c>
      <c r="AW213" s="65">
        <f t="shared" si="167"/>
        <v>0.05</v>
      </c>
      <c r="AX213" s="65">
        <f t="shared" si="167"/>
        <v>0.05</v>
      </c>
      <c r="AY213" s="65">
        <f t="shared" si="167"/>
        <v>0.05</v>
      </c>
      <c r="AZ213" s="65">
        <f t="shared" si="167"/>
        <v>0.05</v>
      </c>
      <c r="BA213" s="65">
        <f t="shared" si="167"/>
        <v>0.05</v>
      </c>
      <c r="BB213" s="65">
        <f t="shared" si="167"/>
        <v>0.05</v>
      </c>
      <c r="BC213" s="65">
        <f t="shared" si="167"/>
        <v>0.05</v>
      </c>
      <c r="BD213" s="65">
        <f t="shared" si="167"/>
        <v>0.05</v>
      </c>
      <c r="BE213" s="65">
        <f t="shared" si="167"/>
        <v>0.05</v>
      </c>
      <c r="BF213" s="65">
        <f t="shared" si="167"/>
        <v>0.05</v>
      </c>
      <c r="BG213" s="65">
        <f t="shared" si="167"/>
        <v>0.05</v>
      </c>
      <c r="BH213" s="65">
        <f t="shared" si="167"/>
        <v>0.05</v>
      </c>
      <c r="BI213" s="65">
        <f t="shared" si="167"/>
        <v>0.05</v>
      </c>
      <c r="BJ213" s="65">
        <f t="shared" si="167"/>
        <v>0.05</v>
      </c>
      <c r="BK213" s="65">
        <f t="shared" si="167"/>
        <v>0.05</v>
      </c>
      <c r="BL213" s="65">
        <f t="shared" si="167"/>
        <v>0.05</v>
      </c>
      <c r="BM213" s="65">
        <f t="shared" si="167"/>
        <v>0.05</v>
      </c>
      <c r="BN213" s="65">
        <f t="shared" si="167"/>
        <v>0.05</v>
      </c>
      <c r="BO213" s="65">
        <f t="shared" si="167"/>
        <v>0.05</v>
      </c>
      <c r="BP213" s="65">
        <f t="shared" si="167"/>
        <v>0.05</v>
      </c>
      <c r="BQ213" s="65">
        <f t="shared" si="167"/>
        <v>0.05</v>
      </c>
      <c r="BR213" s="65">
        <f t="shared" si="167"/>
        <v>0.05</v>
      </c>
      <c r="BS213" s="65">
        <f t="shared" si="167"/>
        <v>0.05</v>
      </c>
      <c r="BT213" s="65">
        <f t="shared" si="167"/>
        <v>0.05</v>
      </c>
      <c r="BU213" s="65">
        <f t="shared" si="167"/>
        <v>0.05</v>
      </c>
      <c r="BV213" s="65">
        <f t="shared" si="167"/>
        <v>0.05</v>
      </c>
      <c r="BW213" s="65">
        <f t="shared" si="167"/>
        <v>0.05</v>
      </c>
      <c r="BX213" s="65">
        <f t="shared" si="167"/>
        <v>0.05</v>
      </c>
      <c r="BY213" s="65">
        <f t="shared" si="167"/>
        <v>0.05</v>
      </c>
      <c r="BZ213" s="65">
        <f t="shared" si="167"/>
        <v>0.05</v>
      </c>
      <c r="CA213" s="65">
        <f t="shared" si="167"/>
        <v>0.05</v>
      </c>
      <c r="CB213" s="65">
        <f t="shared" si="167"/>
        <v>0.05</v>
      </c>
      <c r="CC213" s="65">
        <f t="shared" si="167"/>
        <v>0.05</v>
      </c>
      <c r="CD213" s="65">
        <f t="shared" si="167"/>
        <v>0.05</v>
      </c>
      <c r="CE213" s="65">
        <f t="shared" si="167"/>
        <v>0.05</v>
      </c>
      <c r="CF213" s="65">
        <f t="shared" si="167"/>
        <v>0.05</v>
      </c>
      <c r="CG213" s="65">
        <f t="shared" si="167"/>
        <v>0.05</v>
      </c>
      <c r="CH213" s="65">
        <f t="shared" si="167"/>
        <v>0.05</v>
      </c>
      <c r="CI213" s="65">
        <f t="shared" si="167"/>
        <v>0.05</v>
      </c>
      <c r="CJ213" s="65">
        <f t="shared" si="167"/>
        <v>0.05</v>
      </c>
      <c r="CK213" s="65">
        <f t="shared" si="167"/>
        <v>0.05</v>
      </c>
      <c r="CL213" s="65">
        <f t="shared" si="167"/>
        <v>0.05</v>
      </c>
      <c r="CM213" s="65">
        <f t="shared" si="167"/>
        <v>0.05</v>
      </c>
      <c r="CN213" s="65">
        <f t="shared" si="167"/>
        <v>0.05</v>
      </c>
      <c r="CO213" s="65">
        <f t="shared" si="167"/>
        <v>0.05</v>
      </c>
      <c r="CP213" s="65">
        <f t="shared" si="167"/>
        <v>0.05</v>
      </c>
      <c r="CQ213" s="65">
        <f t="shared" si="167"/>
        <v>0.05</v>
      </c>
      <c r="CR213" s="65">
        <f t="shared" ref="CR213:DV213" si="168">CQ213</f>
        <v>0.05</v>
      </c>
      <c r="CS213" s="65">
        <f t="shared" si="168"/>
        <v>0.05</v>
      </c>
      <c r="CT213" s="65">
        <f t="shared" si="168"/>
        <v>0.05</v>
      </c>
      <c r="CU213" s="65">
        <f t="shared" si="168"/>
        <v>0.05</v>
      </c>
      <c r="CV213" s="65">
        <f t="shared" si="168"/>
        <v>0.05</v>
      </c>
      <c r="CW213" s="65">
        <f t="shared" si="168"/>
        <v>0.05</v>
      </c>
      <c r="CX213" s="65">
        <f t="shared" si="168"/>
        <v>0.05</v>
      </c>
      <c r="CY213" s="65">
        <f t="shared" si="168"/>
        <v>0.05</v>
      </c>
      <c r="CZ213" s="65">
        <f t="shared" si="168"/>
        <v>0.05</v>
      </c>
      <c r="DA213" s="65">
        <f t="shared" si="168"/>
        <v>0.05</v>
      </c>
      <c r="DB213" s="65">
        <f t="shared" si="168"/>
        <v>0.05</v>
      </c>
      <c r="DC213" s="65">
        <f t="shared" si="168"/>
        <v>0.05</v>
      </c>
      <c r="DD213" s="65">
        <f t="shared" si="168"/>
        <v>0.05</v>
      </c>
      <c r="DE213" s="65">
        <f t="shared" si="168"/>
        <v>0.05</v>
      </c>
      <c r="DF213" s="65">
        <f t="shared" si="168"/>
        <v>0.05</v>
      </c>
      <c r="DG213" s="65">
        <f t="shared" si="168"/>
        <v>0.05</v>
      </c>
      <c r="DH213" s="65">
        <f t="shared" si="168"/>
        <v>0.05</v>
      </c>
      <c r="DI213" s="65">
        <f t="shared" si="168"/>
        <v>0.05</v>
      </c>
      <c r="DJ213" s="65">
        <f t="shared" si="168"/>
        <v>0.05</v>
      </c>
      <c r="DK213" s="65">
        <f t="shared" si="168"/>
        <v>0.05</v>
      </c>
      <c r="DL213" s="65">
        <f t="shared" si="168"/>
        <v>0.05</v>
      </c>
      <c r="DM213" s="65">
        <f t="shared" si="168"/>
        <v>0.05</v>
      </c>
      <c r="DN213" s="65">
        <f t="shared" si="168"/>
        <v>0.05</v>
      </c>
      <c r="DO213" s="65">
        <f t="shared" si="168"/>
        <v>0.05</v>
      </c>
      <c r="DP213" s="65">
        <f t="shared" si="168"/>
        <v>0.05</v>
      </c>
      <c r="DQ213" s="65">
        <f t="shared" si="168"/>
        <v>0.05</v>
      </c>
      <c r="DR213" s="65">
        <f t="shared" si="168"/>
        <v>0.05</v>
      </c>
      <c r="DS213" s="65">
        <f t="shared" si="168"/>
        <v>0.05</v>
      </c>
      <c r="DT213" s="65">
        <f t="shared" si="168"/>
        <v>0.05</v>
      </c>
      <c r="DU213" s="65">
        <f t="shared" si="168"/>
        <v>0.05</v>
      </c>
      <c r="DV213" s="65">
        <f t="shared" si="168"/>
        <v>0.05</v>
      </c>
    </row>
    <row r="214" spans="2:126" outlineLevel="1"/>
    <row r="215" spans="2:126" outlineLevel="1"/>
    <row r="216" spans="2:126">
      <c r="B216" s="1" t="s">
        <v>103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</row>
    <row r="217" spans="2:126" outlineLevel="1"/>
    <row r="218" spans="2:126" outlineLevel="1">
      <c r="B218" s="12" t="s">
        <v>104</v>
      </c>
      <c r="E218" s="41" t="s">
        <v>0</v>
      </c>
      <c r="F218" s="70">
        <f>X16</f>
        <v>-74219829.979999989</v>
      </c>
    </row>
    <row r="219" spans="2:126" outlineLevel="1">
      <c r="B219" s="12" t="s">
        <v>105</v>
      </c>
      <c r="E219" s="41" t="s">
        <v>0</v>
      </c>
      <c r="F219" s="70">
        <f>DV8</f>
        <v>8037216.8712581415</v>
      </c>
    </row>
    <row r="220" spans="2:126" outlineLevel="1">
      <c r="B220" s="12" t="s">
        <v>106</v>
      </c>
      <c r="E220" s="41" t="s">
        <v>0</v>
      </c>
      <c r="F220" s="70">
        <f>-MIN(G16:DV16)</f>
        <v>305021569.91428775</v>
      </c>
    </row>
    <row r="221" spans="2:126" outlineLevel="1">
      <c r="B221" s="12" t="s">
        <v>107</v>
      </c>
      <c r="E221" s="41" t="s">
        <v>0</v>
      </c>
      <c r="F221" s="74">
        <v>284511208.65043372</v>
      </c>
    </row>
    <row r="222" spans="2:126" outlineLevel="1">
      <c r="B222" s="12" t="s">
        <v>108</v>
      </c>
      <c r="C222" s="71">
        <f>CaseData!N6</f>
        <v>20</v>
      </c>
      <c r="D222" s="59">
        <f>CaseData!N7</f>
        <v>48213</v>
      </c>
      <c r="E222" s="41" t="s">
        <v>0</v>
      </c>
      <c r="F222" s="70">
        <f ca="1">SUM(OFFSET(INDEX(G17:DV17,MATCH(D222,G3:DV3,0)),0,0,3,-12))*C222</f>
        <v>1928932049.1019537</v>
      </c>
      <c r="H222">
        <f xml:space="preserve"> 75 -( 75 - 25 ) / ( 6 - 1 )</f>
        <v>65</v>
      </c>
    </row>
    <row r="223" spans="2:126">
      <c r="B223" s="12"/>
      <c r="E223" s="41"/>
      <c r="F223" s="41"/>
    </row>
    <row r="224" spans="2:126" ht="14.4">
      <c r="B224" s="12"/>
      <c r="D224" s="76">
        <v>0</v>
      </c>
      <c r="E224" s="41"/>
      <c r="F224" s="41"/>
    </row>
    <row r="225" spans="2:6" ht="14.4">
      <c r="B225" s="75" t="s">
        <v>111</v>
      </c>
      <c r="C225" s="18" t="s">
        <v>26</v>
      </c>
      <c r="D225" s="28" t="s">
        <v>109</v>
      </c>
      <c r="E225" s="41"/>
      <c r="F225" s="41"/>
    </row>
    <row r="226" spans="2:6">
      <c r="B226" s="3" t="s">
        <v>33</v>
      </c>
      <c r="C226" s="25">
        <v>44562</v>
      </c>
      <c r="D226" s="73">
        <f>EDATE(C226,$D$224*12)</f>
        <v>44562</v>
      </c>
    </row>
    <row r="227" spans="2:6">
      <c r="B227" s="3" t="s">
        <v>34</v>
      </c>
      <c r="C227" s="25">
        <v>44652</v>
      </c>
      <c r="D227" s="73">
        <f t="shared" ref="D227:D235" si="169">EDATE(C227,$D$224*12)</f>
        <v>44652</v>
      </c>
    </row>
    <row r="228" spans="2:6">
      <c r="B228" s="3" t="s">
        <v>35</v>
      </c>
      <c r="C228" s="25">
        <v>44743</v>
      </c>
      <c r="D228" s="73">
        <f t="shared" si="169"/>
        <v>44743</v>
      </c>
    </row>
    <row r="229" spans="2:6">
      <c r="B229" s="3" t="s">
        <v>36</v>
      </c>
      <c r="C229" s="25">
        <v>44835</v>
      </c>
      <c r="D229" s="73">
        <f t="shared" si="169"/>
        <v>44835</v>
      </c>
    </row>
    <row r="230" spans="2:6">
      <c r="B230" s="3" t="s">
        <v>37</v>
      </c>
      <c r="C230" s="25">
        <v>44927</v>
      </c>
      <c r="D230" s="73">
        <f t="shared" si="169"/>
        <v>44927</v>
      </c>
    </row>
    <row r="231" spans="2:6">
      <c r="B231" s="3" t="s">
        <v>38</v>
      </c>
      <c r="C231" s="25">
        <v>45017</v>
      </c>
      <c r="D231" s="73">
        <f t="shared" si="169"/>
        <v>45017</v>
      </c>
    </row>
    <row r="232" spans="2:6">
      <c r="B232" s="3" t="s">
        <v>39</v>
      </c>
      <c r="C232" s="25">
        <v>45292</v>
      </c>
      <c r="D232" s="73">
        <f t="shared" si="169"/>
        <v>45292</v>
      </c>
    </row>
    <row r="233" spans="2:6">
      <c r="B233" s="3" t="s">
        <v>40</v>
      </c>
      <c r="C233" s="25">
        <v>45383</v>
      </c>
      <c r="D233" s="73">
        <f t="shared" si="169"/>
        <v>45383</v>
      </c>
    </row>
    <row r="234" spans="2:6">
      <c r="B234" s="3" t="s">
        <v>41</v>
      </c>
      <c r="C234" s="25">
        <v>45658</v>
      </c>
      <c r="D234" s="73">
        <f t="shared" si="169"/>
        <v>45658</v>
      </c>
    </row>
    <row r="235" spans="2:6">
      <c r="B235" s="3" t="s">
        <v>42</v>
      </c>
      <c r="C235" s="25">
        <v>45839</v>
      </c>
      <c r="D235" s="73">
        <f t="shared" si="169"/>
        <v>45839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Calculations</vt:lpstr>
      <vt:lpstr>CaseData</vt:lpstr>
      <vt:lpstr>CaseSolution</vt:lpstr>
      <vt:lpstr>company</vt:lpstr>
      <vt:lpstr>end_date</vt:lpstr>
      <vt:lpstr>months</vt:lpstr>
      <vt:lpstr>Calculations!Print_Area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2026-10-05T12:55:25Z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2026-10-02T14:13:58Z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aece7345-1479-45bf-b888-e7b45747d511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