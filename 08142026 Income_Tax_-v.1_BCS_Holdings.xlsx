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5. Income Tax/5.2 BCS Holdings Inc/"/>
    </mc:Choice>
  </mc:AlternateContent>
  <xr:revisionPtr revIDLastSave="340" documentId="8_{4E5E69E0-0217-482F-B128-CD9E77D0565B}" xr6:coauthVersionLast="47" xr6:coauthVersionMax="47" xr10:uidLastSave="{6AA1681F-CE29-48A8-9F16-01BA764EBA45}"/>
  <bookViews>
    <workbookView xWindow="28680" yWindow="-120" windowWidth="29040" windowHeight="16440" xr2:uid="{DEEC8C0C-30E3-4712-AF94-AB5F5BA06B4F}"/>
  </bookViews>
  <sheets>
    <sheet name="Calculations" sheetId="4" r:id="rId1"/>
    <sheet name="CaseData" sheetId="1" r:id="rId2"/>
    <sheet name="CaseSolution" sheetId="3" r:id="rId3"/>
  </sheets>
  <definedNames>
    <definedName name="company">CaseData!$B$2</definedName>
    <definedName name="periods">CaseData!$C$70</definedName>
    <definedName name="_xlnm.Print_Area" localSheetId="0">Calculations!$A$1:$N$81</definedName>
    <definedName name="_xlnm.Print_Titles" localSheetId="0">Calculations!$1:$4</definedName>
    <definedName name="start_date">CaseData!$C$69</definedName>
    <definedName name="topic">"CFM Topic: " &amp; CaseData!$C$68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3" i="4" l="1" a="1"/>
  <c r="J9" i="4" a="1"/>
  <c r="J10" i="4" a="1"/>
  <c r="N11" i="4"/>
  <c r="N26" i="4"/>
  <c r="N76" i="4"/>
  <c r="M11" i="4"/>
  <c r="M26" i="4"/>
  <c r="M76" i="4"/>
  <c r="L11" i="4"/>
  <c r="L26" i="4"/>
  <c r="L76" i="4"/>
  <c r="K11" i="4"/>
  <c r="K26" i="4"/>
  <c r="K76" i="4"/>
  <c r="J11" i="4"/>
  <c r="J26" i="4"/>
  <c r="J76" i="4"/>
  <c r="I77" i="4" a="1"/>
  <c r="I71" i="4" a="1"/>
  <c r="J3" i="4" a="1"/>
  <c r="J13" i="4" a="1"/>
  <c r="F32" i="4" a="1"/>
  <c r="J30" i="4" a="1"/>
  <c r="J31" i="4" a="1"/>
  <c r="J32" i="4"/>
  <c r="J33" i="4"/>
  <c r="K30" i="4"/>
  <c r="K32" i="4"/>
  <c r="K33" i="4"/>
  <c r="L30" i="4"/>
  <c r="L32" i="4"/>
  <c r="L33" i="4"/>
  <c r="M30" i="4"/>
  <c r="M32" i="4"/>
  <c r="M33" i="4"/>
  <c r="N30" i="4"/>
  <c r="N32" i="4"/>
  <c r="N14" i="4"/>
  <c r="J15" i="4" a="1"/>
  <c r="F39" i="4" a="1"/>
  <c r="J37" i="4" a="1"/>
  <c r="F38" i="4" a="1"/>
  <c r="N38" i="4"/>
  <c r="N39" i="4"/>
  <c r="N16" i="4"/>
  <c r="N17" i="4"/>
  <c r="I54" i="4" a="1"/>
  <c r="I59" i="4" a="1"/>
  <c r="J14" i="4"/>
  <c r="J38" i="4"/>
  <c r="J39" i="4"/>
  <c r="J16" i="4"/>
  <c r="J17" i="4"/>
  <c r="J43" i="4"/>
  <c r="J44" i="4"/>
  <c r="J52" i="4" a="1"/>
  <c r="J54" i="4"/>
  <c r="J45" i="4"/>
  <c r="J55" i="4"/>
  <c r="J46" i="4"/>
  <c r="J56" i="4"/>
  <c r="J47" i="4"/>
  <c r="J57" i="4"/>
  <c r="J48" i="4"/>
  <c r="J58" i="4"/>
  <c r="K14" i="4"/>
  <c r="K38" i="4"/>
  <c r="K39" i="4"/>
  <c r="K16" i="4"/>
  <c r="K17" i="4"/>
  <c r="K43" i="4"/>
  <c r="K44" i="4"/>
  <c r="K54" i="4"/>
  <c r="K45" i="4"/>
  <c r="K55" i="4"/>
  <c r="K46" i="4"/>
  <c r="K56" i="4"/>
  <c r="K47" i="4"/>
  <c r="K57" i="4"/>
  <c r="K48" i="4"/>
  <c r="K58" i="4"/>
  <c r="L14" i="4"/>
  <c r="L38" i="4"/>
  <c r="L39" i="4"/>
  <c r="L16" i="4"/>
  <c r="L17" i="4"/>
  <c r="L43" i="4"/>
  <c r="L44" i="4"/>
  <c r="L54" i="4"/>
  <c r="L45" i="4"/>
  <c r="L55" i="4"/>
  <c r="L46" i="4"/>
  <c r="L56" i="4"/>
  <c r="L47" i="4"/>
  <c r="L57" i="4"/>
  <c r="L48" i="4"/>
  <c r="L58" i="4"/>
  <c r="M14" i="4"/>
  <c r="M38" i="4"/>
  <c r="M39" i="4"/>
  <c r="M16" i="4"/>
  <c r="M17" i="4"/>
  <c r="M43" i="4"/>
  <c r="M44" i="4"/>
  <c r="M54" i="4"/>
  <c r="M45" i="4"/>
  <c r="M55" i="4"/>
  <c r="M46" i="4"/>
  <c r="M56" i="4"/>
  <c r="M47" i="4"/>
  <c r="M57" i="4"/>
  <c r="M48" i="4"/>
  <c r="M58" i="4"/>
  <c r="N43" i="4"/>
  <c r="N19" i="4"/>
  <c r="N20" i="4"/>
  <c r="N24" i="4"/>
  <c r="N25" i="4"/>
  <c r="N70" i="4"/>
  <c r="M19" i="4"/>
  <c r="M20" i="4"/>
  <c r="M24" i="4"/>
  <c r="M25" i="4"/>
  <c r="M70" i="4"/>
  <c r="L19" i="4"/>
  <c r="L20" i="4"/>
  <c r="L24" i="4"/>
  <c r="L25" i="4"/>
  <c r="L70" i="4"/>
  <c r="K19" i="4"/>
  <c r="K20" i="4"/>
  <c r="K24" i="4"/>
  <c r="K25" i="4"/>
  <c r="K70" i="4"/>
  <c r="J19" i="4"/>
  <c r="J20" i="4"/>
  <c r="J24" i="4"/>
  <c r="J25" i="4"/>
  <c r="J70" i="4"/>
  <c r="I65" i="4" a="1"/>
  <c r="N64" i="4"/>
  <c r="M64" i="4"/>
  <c r="L64" i="4"/>
  <c r="K64" i="4"/>
  <c r="J64" i="4"/>
  <c r="N44" i="4"/>
  <c r="N45" i="4"/>
  <c r="N46" i="4"/>
  <c r="M49" i="4"/>
  <c r="L49" i="4"/>
  <c r="K49" i="4"/>
  <c r="J49" i="4"/>
  <c r="N56" i="4"/>
  <c r="N55" i="4"/>
  <c r="N54" i="4"/>
  <c r="G39" i="4" a="1"/>
  <c r="G37" i="4" a="1"/>
  <c r="N33" i="4"/>
  <c r="G30" i="4" a="1"/>
  <c r="G13" i="4" a="1"/>
  <c r="G11" i="4" a="1"/>
  <c r="G10" i="4" a="1"/>
  <c r="A2" i="4" a="1"/>
  <c r="A1" i="4" a="1"/>
  <c r="B220" i="3"/>
  <c r="B226" i="3"/>
  <c r="B232" i="3"/>
  <c r="B238" i="3"/>
  <c r="B219" i="3"/>
  <c r="B225" i="3"/>
  <c r="B231" i="3"/>
  <c r="B237" i="3"/>
  <c r="B218" i="3"/>
  <c r="B224" i="3"/>
  <c r="B230" i="3"/>
  <c r="B236" i="3"/>
  <c r="F215" i="3"/>
  <c r="G215" i="3"/>
  <c r="H215" i="3"/>
  <c r="I215" i="3"/>
  <c r="J215" i="3"/>
  <c r="F214" i="3"/>
  <c r="G214" i="3"/>
  <c r="H214" i="3"/>
  <c r="I214" i="3"/>
  <c r="J214" i="3"/>
  <c r="F213" i="3"/>
  <c r="G213" i="3"/>
  <c r="H213" i="3"/>
  <c r="I213" i="3"/>
  <c r="J213" i="3"/>
  <c r="B206" i="3"/>
  <c r="E197" i="3"/>
  <c r="E206" i="3"/>
  <c r="E196" i="3"/>
  <c r="E205" i="3"/>
  <c r="E195" i="3"/>
  <c r="E204" i="3"/>
  <c r="E194" i="3"/>
  <c r="E203" i="3"/>
  <c r="E193" i="3"/>
  <c r="E202" i="3"/>
  <c r="E192" i="3"/>
  <c r="E201" i="3"/>
  <c r="J178" i="3"/>
  <c r="J181" i="3"/>
  <c r="I178" i="3"/>
  <c r="I181" i="3"/>
  <c r="H178" i="3"/>
  <c r="H181" i="3"/>
  <c r="G178" i="3"/>
  <c r="G181" i="3"/>
  <c r="F178" i="3"/>
  <c r="F181" i="3"/>
  <c r="J177" i="3"/>
  <c r="I177" i="3"/>
  <c r="H177" i="3"/>
  <c r="G177" i="3"/>
  <c r="F177" i="3"/>
  <c r="E172" i="3"/>
  <c r="F169" i="3"/>
  <c r="E168" i="3"/>
  <c r="E147" i="3"/>
  <c r="B143" i="3"/>
  <c r="E134" i="3"/>
  <c r="E143" i="3"/>
  <c r="E133" i="3"/>
  <c r="E142" i="3"/>
  <c r="E132" i="3"/>
  <c r="E141" i="3"/>
  <c r="E131" i="3"/>
  <c r="E140" i="3"/>
  <c r="E130" i="3"/>
  <c r="E139" i="3"/>
  <c r="E129" i="3"/>
  <c r="E138" i="3"/>
  <c r="J115" i="3"/>
  <c r="J118" i="3"/>
  <c r="I115" i="3"/>
  <c r="I118" i="3"/>
  <c r="H115" i="3"/>
  <c r="H118" i="3"/>
  <c r="G115" i="3"/>
  <c r="G118" i="3"/>
  <c r="F115" i="3"/>
  <c r="F118" i="3"/>
  <c r="J114" i="3"/>
  <c r="I114" i="3"/>
  <c r="H114" i="3"/>
  <c r="G114" i="3"/>
  <c r="F114" i="3"/>
  <c r="E109" i="3"/>
  <c r="F106" i="3"/>
  <c r="E105" i="3"/>
  <c r="E84" i="3"/>
  <c r="B80" i="3"/>
  <c r="E71" i="3"/>
  <c r="E80" i="3"/>
  <c r="E70" i="3"/>
  <c r="E79" i="3"/>
  <c r="E69" i="3"/>
  <c r="E78" i="3"/>
  <c r="E68" i="3"/>
  <c r="E77" i="3"/>
  <c r="E67" i="3"/>
  <c r="E76" i="3"/>
  <c r="E66" i="3"/>
  <c r="E75" i="3"/>
  <c r="J52" i="3"/>
  <c r="J55" i="3"/>
  <c r="I52" i="3"/>
  <c r="I55" i="3"/>
  <c r="H52" i="3"/>
  <c r="H55" i="3"/>
  <c r="G52" i="3"/>
  <c r="G55" i="3"/>
  <c r="F52" i="3"/>
  <c r="F55" i="3"/>
  <c r="J51" i="3"/>
  <c r="I51" i="3"/>
  <c r="H51" i="3"/>
  <c r="G51" i="3"/>
  <c r="F51" i="3"/>
  <c r="E46" i="3"/>
  <c r="F43" i="3"/>
  <c r="E42" i="3"/>
  <c r="E21" i="3"/>
  <c r="J20" i="3"/>
  <c r="J155" i="3"/>
  <c r="I20" i="3"/>
  <c r="I170" i="3"/>
  <c r="H20" i="3"/>
  <c r="H50" i="3"/>
  <c r="G20" i="3"/>
  <c r="G149" i="3"/>
  <c r="F20" i="3"/>
  <c r="F23" i="3"/>
  <c r="B3" i="3"/>
  <c r="B2" i="3"/>
  <c r="I87" i="3"/>
  <c r="J87" i="3"/>
  <c r="H176" i="3"/>
  <c r="H180" i="3"/>
  <c r="I29" i="3"/>
  <c r="I44" i="3"/>
  <c r="H87" i="3"/>
  <c r="G176" i="3"/>
  <c r="G180" i="3"/>
  <c r="G182" i="3"/>
  <c r="G156" i="3"/>
  <c r="I176" i="3"/>
  <c r="I180" i="3"/>
  <c r="I182" i="3"/>
  <c r="I156" i="3"/>
  <c r="J176" i="3"/>
  <c r="J180" i="3"/>
  <c r="J182" i="3"/>
  <c r="J156" i="3"/>
  <c r="H182" i="3"/>
  <c r="H156" i="3"/>
  <c r="J29" i="3"/>
  <c r="H44" i="3"/>
  <c r="J44" i="3"/>
  <c r="F90" i="3"/>
  <c r="H23" i="3"/>
  <c r="H236" i="3"/>
  <c r="H107" i="3"/>
  <c r="G24" i="3"/>
  <c r="I107" i="3"/>
  <c r="H24" i="3"/>
  <c r="J107" i="3"/>
  <c r="I24" i="3"/>
  <c r="J24" i="3"/>
  <c r="F113" i="3"/>
  <c r="F117" i="3"/>
  <c r="F119" i="3"/>
  <c r="F93" i="3"/>
  <c r="H54" i="3"/>
  <c r="H56" i="3"/>
  <c r="H30" i="3"/>
  <c r="G90" i="3"/>
  <c r="G29" i="3"/>
  <c r="J113" i="3"/>
  <c r="J117" i="3"/>
  <c r="J119" i="3"/>
  <c r="J93" i="3"/>
  <c r="F150" i="3"/>
  <c r="G92" i="3"/>
  <c r="G150" i="3"/>
  <c r="G151" i="3"/>
  <c r="G165" i="3"/>
  <c r="H150" i="3"/>
  <c r="F92" i="3"/>
  <c r="I92" i="3"/>
  <c r="H90" i="3"/>
  <c r="J92" i="3"/>
  <c r="J150" i="3"/>
  <c r="F50" i="3"/>
  <c r="F54" i="3"/>
  <c r="F56" i="3"/>
  <c r="F30" i="3"/>
  <c r="I50" i="3"/>
  <c r="I54" i="3"/>
  <c r="I56" i="3"/>
  <c r="I30" i="3"/>
  <c r="I155" i="3"/>
  <c r="H92" i="3"/>
  <c r="G50" i="3"/>
  <c r="G54" i="3"/>
  <c r="G56" i="3"/>
  <c r="G30" i="3"/>
  <c r="I150" i="3"/>
  <c r="F21" i="3"/>
  <c r="G21" i="3"/>
  <c r="J50" i="3"/>
  <c r="J54" i="3"/>
  <c r="J56" i="3"/>
  <c r="J30" i="3"/>
  <c r="I21" i="3"/>
  <c r="F107" i="3"/>
  <c r="F108" i="3"/>
  <c r="G23" i="3"/>
  <c r="G236" i="3"/>
  <c r="G107" i="3"/>
  <c r="F29" i="3"/>
  <c r="F24" i="3"/>
  <c r="F149" i="3"/>
  <c r="F170" i="3"/>
  <c r="F171" i="3"/>
  <c r="F154" i="3"/>
  <c r="G238" i="3"/>
  <c r="F27" i="3"/>
  <c r="F86" i="3"/>
  <c r="G170" i="3"/>
  <c r="H149" i="3"/>
  <c r="H86" i="3"/>
  <c r="H153" i="3"/>
  <c r="G27" i="3"/>
  <c r="G86" i="3"/>
  <c r="F153" i="3"/>
  <c r="H27" i="3"/>
  <c r="F44" i="3"/>
  <c r="G153" i="3"/>
  <c r="H170" i="3"/>
  <c r="I149" i="3"/>
  <c r="I86" i="3"/>
  <c r="I23" i="3"/>
  <c r="I153" i="3"/>
  <c r="I90" i="3"/>
  <c r="F87" i="3"/>
  <c r="J86" i="3"/>
  <c r="J23" i="3"/>
  <c r="J90" i="3"/>
  <c r="J27" i="3"/>
  <c r="J21" i="3"/>
  <c r="I27" i="3"/>
  <c r="G44" i="3"/>
  <c r="G87" i="3"/>
  <c r="J153" i="3"/>
  <c r="J170" i="3"/>
  <c r="G113" i="3"/>
  <c r="G117" i="3"/>
  <c r="G119" i="3"/>
  <c r="G93" i="3"/>
  <c r="F155" i="3"/>
  <c r="G155" i="3"/>
  <c r="H113" i="3"/>
  <c r="H117" i="3"/>
  <c r="H119" i="3"/>
  <c r="H93" i="3"/>
  <c r="H21" i="3"/>
  <c r="H29" i="3"/>
  <c r="I113" i="3"/>
  <c r="I117" i="3"/>
  <c r="I119" i="3"/>
  <c r="I93" i="3"/>
  <c r="H155" i="3"/>
  <c r="J149" i="3"/>
  <c r="F176" i="3"/>
  <c r="F180" i="3"/>
  <c r="F182" i="3"/>
  <c r="F156" i="3"/>
  <c r="H25" i="3"/>
  <c r="H39" i="3"/>
  <c r="I84" i="3"/>
  <c r="I147" i="3"/>
  <c r="F212" i="3"/>
  <c r="G212" i="3"/>
  <c r="G25" i="3"/>
  <c r="G39" i="3"/>
  <c r="F91" i="3"/>
  <c r="F109" i="3"/>
  <c r="G106" i="3"/>
  <c r="G108" i="3"/>
  <c r="G91" i="3"/>
  <c r="G84" i="3"/>
  <c r="G147" i="3"/>
  <c r="I212" i="3"/>
  <c r="B69" i="3"/>
  <c r="B78" i="3"/>
  <c r="F84" i="3"/>
  <c r="F147" i="3"/>
  <c r="B66" i="3"/>
  <c r="B75" i="3"/>
  <c r="B67" i="3"/>
  <c r="B76" i="3"/>
  <c r="H237" i="3"/>
  <c r="H88" i="3"/>
  <c r="F237" i="3"/>
  <c r="F88" i="3"/>
  <c r="F238" i="3"/>
  <c r="F151" i="3"/>
  <c r="H212" i="3"/>
  <c r="H84" i="3"/>
  <c r="H147" i="3"/>
  <c r="B68" i="3"/>
  <c r="B77" i="3"/>
  <c r="H238" i="3"/>
  <c r="H151" i="3"/>
  <c r="J236" i="3"/>
  <c r="J25" i="3"/>
  <c r="J237" i="3"/>
  <c r="J88" i="3"/>
  <c r="F236" i="3"/>
  <c r="F25" i="3"/>
  <c r="F45" i="3"/>
  <c r="F28" i="3"/>
  <c r="J84" i="3"/>
  <c r="J147" i="3"/>
  <c r="B70" i="3"/>
  <c r="B79" i="3"/>
  <c r="J212" i="3"/>
  <c r="I236" i="3"/>
  <c r="I25" i="3"/>
  <c r="I237" i="3"/>
  <c r="I88" i="3"/>
  <c r="I238" i="3"/>
  <c r="I151" i="3"/>
  <c r="F172" i="3"/>
  <c r="G169" i="3"/>
  <c r="J238" i="3"/>
  <c r="J151" i="3"/>
  <c r="G237" i="3"/>
  <c r="G239" i="3"/>
  <c r="G88" i="3"/>
  <c r="J79" i="3"/>
  <c r="G76" i="3"/>
  <c r="H76" i="3"/>
  <c r="I76" i="3"/>
  <c r="J76" i="3"/>
  <c r="F75" i="3"/>
  <c r="H75" i="3"/>
  <c r="G75" i="3"/>
  <c r="I75" i="3"/>
  <c r="J75" i="3"/>
  <c r="I78" i="3"/>
  <c r="J78" i="3"/>
  <c r="H77" i="3"/>
  <c r="I77" i="3"/>
  <c r="J77" i="3"/>
  <c r="B130" i="3"/>
  <c r="B139" i="3"/>
  <c r="H139" i="3"/>
  <c r="B129" i="3"/>
  <c r="B138" i="3"/>
  <c r="B192" i="3"/>
  <c r="B201" i="3"/>
  <c r="B132" i="3"/>
  <c r="B141" i="3"/>
  <c r="B195" i="3"/>
  <c r="B204" i="3"/>
  <c r="J239" i="3"/>
  <c r="B133" i="3"/>
  <c r="B142" i="3"/>
  <c r="J165" i="3"/>
  <c r="G109" i="3"/>
  <c r="H106" i="3"/>
  <c r="I102" i="3"/>
  <c r="I239" i="3"/>
  <c r="H102" i="3"/>
  <c r="H165" i="3"/>
  <c r="B131" i="3"/>
  <c r="B140" i="3"/>
  <c r="G94" i="3"/>
  <c r="G102" i="3"/>
  <c r="F157" i="3"/>
  <c r="F186" i="3"/>
  <c r="F165" i="3"/>
  <c r="I165" i="3"/>
  <c r="F94" i="3"/>
  <c r="F123" i="3"/>
  <c r="F102" i="3"/>
  <c r="H239" i="3"/>
  <c r="G171" i="3"/>
  <c r="G154" i="3"/>
  <c r="G157" i="3"/>
  <c r="G186" i="3"/>
  <c r="G188" i="3"/>
  <c r="G189" i="3"/>
  <c r="I39" i="3"/>
  <c r="F31" i="3"/>
  <c r="F60" i="3"/>
  <c r="F39" i="3"/>
  <c r="F239" i="3"/>
  <c r="J102" i="3"/>
  <c r="J39" i="3"/>
  <c r="F46" i="3"/>
  <c r="G43" i="3"/>
  <c r="I139" i="3"/>
  <c r="J139" i="3"/>
  <c r="B193" i="3"/>
  <c r="B202" i="3"/>
  <c r="G139" i="3"/>
  <c r="F125" i="3"/>
  <c r="F126" i="3"/>
  <c r="F129" i="3"/>
  <c r="F130" i="3"/>
  <c r="F131" i="3"/>
  <c r="F188" i="3"/>
  <c r="F189" i="3"/>
  <c r="F192" i="3"/>
  <c r="F193" i="3"/>
  <c r="F194" i="3"/>
  <c r="F62" i="3"/>
  <c r="F66" i="3"/>
  <c r="F67" i="3"/>
  <c r="F76" i="3"/>
  <c r="I141" i="3"/>
  <c r="J138" i="3"/>
  <c r="J141" i="3"/>
  <c r="F138" i="3"/>
  <c r="G138" i="3"/>
  <c r="H138" i="3"/>
  <c r="I138" i="3"/>
  <c r="J142" i="3"/>
  <c r="B196" i="3"/>
  <c r="B205" i="3"/>
  <c r="B194" i="3"/>
  <c r="B203" i="3"/>
  <c r="I140" i="3"/>
  <c r="H140" i="3"/>
  <c r="J140" i="3"/>
  <c r="G123" i="3"/>
  <c r="G125" i="3"/>
  <c r="G126" i="3"/>
  <c r="G172" i="3"/>
  <c r="H169" i="3"/>
  <c r="G45" i="3"/>
  <c r="G28" i="3"/>
  <c r="G31" i="3"/>
  <c r="G60" i="3"/>
  <c r="G62" i="3"/>
  <c r="I202" i="3"/>
  <c r="J202" i="3"/>
  <c r="G202" i="3"/>
  <c r="H202" i="3"/>
  <c r="J201" i="3"/>
  <c r="I201" i="3"/>
  <c r="H201" i="3"/>
  <c r="F201" i="3"/>
  <c r="G192" i="3"/>
  <c r="G201" i="3"/>
  <c r="H108" i="3"/>
  <c r="H91" i="3"/>
  <c r="H94" i="3"/>
  <c r="I204" i="3"/>
  <c r="J204" i="3"/>
  <c r="F195" i="3"/>
  <c r="F196" i="3"/>
  <c r="F197" i="3"/>
  <c r="F206" i="3"/>
  <c r="F132" i="3"/>
  <c r="F133" i="3"/>
  <c r="F134" i="3"/>
  <c r="G129" i="3"/>
  <c r="F68" i="3"/>
  <c r="F77" i="3"/>
  <c r="G66" i="3"/>
  <c r="H109" i="3"/>
  <c r="I106" i="3"/>
  <c r="I108" i="3"/>
  <c r="I91" i="3"/>
  <c r="I94" i="3"/>
  <c r="J203" i="3"/>
  <c r="I203" i="3"/>
  <c r="H203" i="3"/>
  <c r="J205" i="3"/>
  <c r="F139" i="3"/>
  <c r="H171" i="3"/>
  <c r="H154" i="3"/>
  <c r="H157" i="3"/>
  <c r="F202" i="3"/>
  <c r="G193" i="3"/>
  <c r="G46" i="3"/>
  <c r="H43" i="3"/>
  <c r="H123" i="3"/>
  <c r="H125" i="3"/>
  <c r="H126" i="3"/>
  <c r="G130" i="3"/>
  <c r="G67" i="3"/>
  <c r="H129" i="3"/>
  <c r="H130" i="3"/>
  <c r="G68" i="3"/>
  <c r="G77" i="3"/>
  <c r="F69" i="3"/>
  <c r="F78" i="3"/>
  <c r="F203" i="3"/>
  <c r="G194" i="3"/>
  <c r="I123" i="3"/>
  <c r="I109" i="3"/>
  <c r="J106" i="3"/>
  <c r="H186" i="3"/>
  <c r="H172" i="3"/>
  <c r="I169" i="3"/>
  <c r="H45" i="3"/>
  <c r="H28" i="3"/>
  <c r="H31" i="3"/>
  <c r="H188" i="3"/>
  <c r="H189" i="3"/>
  <c r="H192" i="3"/>
  <c r="H193" i="3"/>
  <c r="I125" i="3"/>
  <c r="I126" i="3"/>
  <c r="I129" i="3"/>
  <c r="I130" i="3"/>
  <c r="I131" i="3"/>
  <c r="F70" i="3"/>
  <c r="F79" i="3"/>
  <c r="G69" i="3"/>
  <c r="G78" i="3"/>
  <c r="F140" i="3"/>
  <c r="G131" i="3"/>
  <c r="H60" i="3"/>
  <c r="H46" i="3"/>
  <c r="I43" i="3"/>
  <c r="G203" i="3"/>
  <c r="I171" i="3"/>
  <c r="I154" i="3"/>
  <c r="I157" i="3"/>
  <c r="J108" i="3"/>
  <c r="J91" i="3"/>
  <c r="J94" i="3"/>
  <c r="F71" i="3"/>
  <c r="F80" i="3"/>
  <c r="H194" i="3"/>
  <c r="H62" i="3"/>
  <c r="H66" i="3"/>
  <c r="H67" i="3"/>
  <c r="I172" i="3"/>
  <c r="J169" i="3"/>
  <c r="F204" i="3"/>
  <c r="G195" i="3"/>
  <c r="J123" i="3"/>
  <c r="J109" i="3"/>
  <c r="I186" i="3"/>
  <c r="F141" i="3"/>
  <c r="G132" i="3"/>
  <c r="F143" i="3"/>
  <c r="G140" i="3"/>
  <c r="H131" i="3"/>
  <c r="F205" i="3"/>
  <c r="G70" i="3"/>
  <c r="G79" i="3"/>
  <c r="I45" i="3"/>
  <c r="I28" i="3"/>
  <c r="I31" i="3"/>
  <c r="I188" i="3"/>
  <c r="I189" i="3"/>
  <c r="I192" i="3"/>
  <c r="I193" i="3"/>
  <c r="I194" i="3"/>
  <c r="G196" i="3"/>
  <c r="J125" i="3"/>
  <c r="J126" i="3"/>
  <c r="J129" i="3"/>
  <c r="J130" i="3"/>
  <c r="J131" i="3"/>
  <c r="J132" i="3"/>
  <c r="H68" i="3"/>
  <c r="H69" i="3"/>
  <c r="H78" i="3"/>
  <c r="G71" i="3"/>
  <c r="G80" i="3"/>
  <c r="F142" i="3"/>
  <c r="G133" i="3"/>
  <c r="G134" i="3"/>
  <c r="F135" i="3"/>
  <c r="F96" i="3"/>
  <c r="F97" i="3"/>
  <c r="F100" i="3"/>
  <c r="I60" i="3"/>
  <c r="I46" i="3"/>
  <c r="J43" i="3"/>
  <c r="J171" i="3"/>
  <c r="J154" i="3"/>
  <c r="J157" i="3"/>
  <c r="G204" i="3"/>
  <c r="H195" i="3"/>
  <c r="F81" i="3"/>
  <c r="F72" i="3"/>
  <c r="F33" i="3"/>
  <c r="F34" i="3"/>
  <c r="F37" i="3"/>
  <c r="I62" i="3"/>
  <c r="I66" i="3"/>
  <c r="I67" i="3"/>
  <c r="I68" i="3"/>
  <c r="G141" i="3"/>
  <c r="H132" i="3"/>
  <c r="G72" i="3"/>
  <c r="G33" i="3"/>
  <c r="G34" i="3"/>
  <c r="G37" i="3"/>
  <c r="G218" i="3"/>
  <c r="F218" i="3"/>
  <c r="F38" i="3"/>
  <c r="F224" i="3"/>
  <c r="H141" i="3"/>
  <c r="I132" i="3"/>
  <c r="G142" i="3"/>
  <c r="J45" i="3"/>
  <c r="J28" i="3"/>
  <c r="J31" i="3"/>
  <c r="H204" i="3"/>
  <c r="I195" i="3"/>
  <c r="F198" i="3"/>
  <c r="F159" i="3"/>
  <c r="F160" i="3"/>
  <c r="F163" i="3"/>
  <c r="F219" i="3"/>
  <c r="F101" i="3"/>
  <c r="F225" i="3"/>
  <c r="G205" i="3"/>
  <c r="H196" i="3"/>
  <c r="G81" i="3"/>
  <c r="J186" i="3"/>
  <c r="J172" i="3"/>
  <c r="F144" i="3"/>
  <c r="J188" i="3"/>
  <c r="J189" i="3"/>
  <c r="J192" i="3"/>
  <c r="J193" i="3"/>
  <c r="J194" i="3"/>
  <c r="J195" i="3"/>
  <c r="G197" i="3"/>
  <c r="H133" i="3"/>
  <c r="G143" i="3"/>
  <c r="G144" i="3"/>
  <c r="G38" i="3"/>
  <c r="G224" i="3"/>
  <c r="G230" i="3"/>
  <c r="H70" i="3"/>
  <c r="H79" i="3"/>
  <c r="J46" i="3"/>
  <c r="F207" i="3"/>
  <c r="F230" i="3"/>
  <c r="G135" i="3"/>
  <c r="G96" i="3"/>
  <c r="G97" i="3"/>
  <c r="G100" i="3"/>
  <c r="I69" i="3"/>
  <c r="F231" i="3"/>
  <c r="F220" i="3"/>
  <c r="F221" i="3"/>
  <c r="F164" i="3"/>
  <c r="F226" i="3"/>
  <c r="F227" i="3"/>
  <c r="J60" i="3"/>
  <c r="H205" i="3"/>
  <c r="I196" i="3"/>
  <c r="G198" i="3"/>
  <c r="G159" i="3"/>
  <c r="G160" i="3"/>
  <c r="G163" i="3"/>
  <c r="G220" i="3"/>
  <c r="G206" i="3"/>
  <c r="H197" i="3"/>
  <c r="H134" i="3"/>
  <c r="H143" i="3"/>
  <c r="J62" i="3"/>
  <c r="J66" i="3"/>
  <c r="J67" i="3"/>
  <c r="J68" i="3"/>
  <c r="J69" i="3"/>
  <c r="H71" i="3"/>
  <c r="H80" i="3"/>
  <c r="I70" i="3"/>
  <c r="I79" i="3"/>
  <c r="H135" i="3"/>
  <c r="H96" i="3"/>
  <c r="H97" i="3"/>
  <c r="H100" i="3"/>
  <c r="H142" i="3"/>
  <c r="I133" i="3"/>
  <c r="F232" i="3"/>
  <c r="F233" i="3"/>
  <c r="F241" i="3"/>
  <c r="G219" i="3"/>
  <c r="G101" i="3"/>
  <c r="G225" i="3"/>
  <c r="I134" i="3"/>
  <c r="G164" i="3"/>
  <c r="G226" i="3"/>
  <c r="G232" i="3"/>
  <c r="G227" i="3"/>
  <c r="G207" i="3"/>
  <c r="H198" i="3"/>
  <c r="H159" i="3"/>
  <c r="H160" i="3"/>
  <c r="H163" i="3"/>
  <c r="H206" i="3"/>
  <c r="H207" i="3"/>
  <c r="H81" i="3"/>
  <c r="I71" i="3"/>
  <c r="I80" i="3"/>
  <c r="H72" i="3"/>
  <c r="H33" i="3"/>
  <c r="H34" i="3"/>
  <c r="H37" i="3"/>
  <c r="I205" i="3"/>
  <c r="J70" i="3"/>
  <c r="H144" i="3"/>
  <c r="I142" i="3"/>
  <c r="J133" i="3"/>
  <c r="G231" i="3"/>
  <c r="G221" i="3"/>
  <c r="H219" i="3"/>
  <c r="H101" i="3"/>
  <c r="H225" i="3"/>
  <c r="G233" i="3"/>
  <c r="G241" i="3"/>
  <c r="I197" i="3"/>
  <c r="I198" i="3"/>
  <c r="I159" i="3"/>
  <c r="I160" i="3"/>
  <c r="I163" i="3"/>
  <c r="I220" i="3"/>
  <c r="H220" i="3"/>
  <c r="H164" i="3"/>
  <c r="H226" i="3"/>
  <c r="J196" i="3"/>
  <c r="H218" i="3"/>
  <c r="H38" i="3"/>
  <c r="H224" i="3"/>
  <c r="H231" i="3"/>
  <c r="J71" i="3"/>
  <c r="J80" i="3"/>
  <c r="I143" i="3"/>
  <c r="J134" i="3"/>
  <c r="H227" i="3"/>
  <c r="I164" i="3"/>
  <c r="I226" i="3"/>
  <c r="I232" i="3"/>
  <c r="H232" i="3"/>
  <c r="I206" i="3"/>
  <c r="H230" i="3"/>
  <c r="H221" i="3"/>
  <c r="I135" i="3"/>
  <c r="I96" i="3"/>
  <c r="I97" i="3"/>
  <c r="I100" i="3"/>
  <c r="I144" i="3"/>
  <c r="I72" i="3"/>
  <c r="I33" i="3"/>
  <c r="I34" i="3"/>
  <c r="I37" i="3"/>
  <c r="B10" i="3"/>
  <c r="I81" i="3"/>
  <c r="J135" i="3"/>
  <c r="J96" i="3"/>
  <c r="J97" i="3"/>
  <c r="J100" i="3"/>
  <c r="H233" i="3"/>
  <c r="H241" i="3"/>
  <c r="B12" i="3"/>
  <c r="I207" i="3"/>
  <c r="J197" i="3"/>
  <c r="J198" i="3"/>
  <c r="J159" i="3"/>
  <c r="J160" i="3"/>
  <c r="J163" i="3"/>
  <c r="J143" i="3"/>
  <c r="J144" i="3"/>
  <c r="J219" i="3"/>
  <c r="J101" i="3"/>
  <c r="J225" i="3"/>
  <c r="I218" i="3"/>
  <c r="I38" i="3"/>
  <c r="I224" i="3"/>
  <c r="J81" i="3"/>
  <c r="C10" i="3"/>
  <c r="I219" i="3"/>
  <c r="I101" i="3"/>
  <c r="I225" i="3"/>
  <c r="J72" i="3"/>
  <c r="J33" i="3"/>
  <c r="J34" i="3"/>
  <c r="J37" i="3"/>
  <c r="J164" i="3"/>
  <c r="J226" i="3"/>
  <c r="J220" i="3"/>
  <c r="J206" i="3"/>
  <c r="J207" i="3"/>
  <c r="J218" i="3"/>
  <c r="J38" i="3"/>
  <c r="J224" i="3"/>
  <c r="I231" i="3"/>
  <c r="I230" i="3"/>
  <c r="I233" i="3"/>
  <c r="I221" i="3"/>
  <c r="J231" i="3"/>
  <c r="I227" i="3"/>
  <c r="J232" i="3"/>
  <c r="J227" i="3"/>
  <c r="B16" i="3"/>
  <c r="I241" i="3"/>
  <c r="B14" i="3"/>
  <c r="J221" i="3"/>
  <c r="J230" i="3"/>
  <c r="J233" i="3"/>
  <c r="J241" i="3"/>
  <c r="F63" i="3"/>
  <c r="G63" i="3"/>
  <c r="H63" i="3"/>
  <c r="I63" i="3"/>
  <c r="J63" i="3"/>
  <c r="N47" i="4"/>
  <c r="N48" i="4"/>
  <c r="N49" i="4"/>
  <c r="N58" i="4"/>
  <c r="N5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Paul Smith</author>
  </authors>
  <commentList>
    <comment ref="B31" authorId="0" shapeId="0" xr:uid="{B950724D-9F8B-4E16-8C5D-D409C8F943C2}">
      <text>
        <r>
          <rPr>
            <sz val="9"/>
            <color indexed="81"/>
            <rFont val="Tahoma"/>
            <family val="2"/>
          </rPr>
          <t>Remaining amount of assets that can be depreciated for tax purposes.</t>
        </r>
      </text>
    </comment>
    <comment ref="B33" authorId="0" shapeId="0" xr:uid="{34135083-3C84-4E85-B8A9-F2B68FC4B1D4}">
      <text>
        <r>
          <rPr>
            <sz val="9"/>
            <color indexed="81"/>
            <rFont val="Tahoma"/>
            <family val="2"/>
          </rPr>
          <t>This percentage is multiplied by the beginning tax basis plus the current period's additions to fixed assets to determine the amount of tax depreciation allowed in the period.</t>
        </r>
      </text>
    </comment>
    <comment ref="B36" authorId="0" shapeId="0" xr:uid="{F48F4763-F8B9-4808-8D7C-AB42CCA666F6}">
      <text>
        <r>
          <rPr>
            <sz val="9"/>
            <color indexed="81"/>
            <rFont val="Tahoma"/>
            <family val="2"/>
          </rPr>
          <t xml:space="preserve">Not deductible for accounting or government purposes.  </t>
        </r>
      </text>
    </comment>
    <comment ref="B43" authorId="0" shapeId="0" xr:uid="{24CA171C-405C-4870-9E7C-A39358F7EDEB}">
      <text>
        <r>
          <rPr>
            <sz val="9"/>
            <color indexed="81"/>
            <rFont val="Tahoma"/>
            <family val="2"/>
          </rPr>
          <t xml:space="preserve">Deductible in addition to qualifying expenses.  </t>
        </r>
      </text>
    </comment>
    <comment ref="B60" authorId="1" shapeId="0" xr:uid="{0EE991E8-7321-434A-A5FF-596527B55093}">
      <text>
        <r>
          <rPr>
            <sz val="9"/>
            <color indexed="81"/>
            <rFont val="Tahoma"/>
            <family val="2"/>
          </rPr>
          <t>Any new Tax Losses are assumed to Expire Thereafter, with no set Expiry date.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<sst xmlns="http://schemas.openxmlformats.org/spreadsheetml/2006/main" count="290" uniqueCount="139">
  <si>
    <t>(in thousands, local currency as indicated)</t>
  </si>
  <si>
    <t>U.S.</t>
  </si>
  <si>
    <t>Canada</t>
  </si>
  <si>
    <t>(USD)</t>
  </si>
  <si>
    <t>(CAD)</t>
  </si>
  <si>
    <t>(EUR)</t>
  </si>
  <si>
    <t>Corporate Tax Rate</t>
  </si>
  <si>
    <t>Exchange Rate (per USD)</t>
  </si>
  <si>
    <t>Projected Accounting Pre-tax Income:</t>
  </si>
  <si>
    <t>Fiscal 2023</t>
  </si>
  <si>
    <t>Additions to Fixed Assets:</t>
  </si>
  <si>
    <t>Accounting Depreciation:</t>
  </si>
  <si>
    <t>Tax Basis in Depreciable Assets</t>
  </si>
  <si>
    <t>Blended Tax Depreciation Rate</t>
  </si>
  <si>
    <t>(% of beginning basis + additions to fixed assets)</t>
  </si>
  <si>
    <t>Expenses Not Deductible:</t>
  </si>
  <si>
    <t>Incremental Deductions for Tax Purposes:</t>
  </si>
  <si>
    <t>Expiring in Fiscal 2023</t>
  </si>
  <si>
    <t>Expiring Thereafter</t>
  </si>
  <si>
    <t>Tax Schedules</t>
  </si>
  <si>
    <t>UNITED STATES (USD)</t>
  </si>
  <si>
    <t>Tax Rate</t>
  </si>
  <si>
    <t>Tax Calculation:</t>
  </si>
  <si>
    <t>Projected Accounting Pre-tax Income</t>
  </si>
  <si>
    <t>Plus: Non-Deductible Expenses</t>
  </si>
  <si>
    <t>Taxable Income for Accounting Purposes (A)</t>
  </si>
  <si>
    <t>Plus: Accounting Depreciation</t>
  </si>
  <si>
    <t>Less: Tax Depreciation</t>
  </si>
  <si>
    <t>Less: Incremental Deductions for Tax Purposes</t>
  </si>
  <si>
    <t>Tax Summary:</t>
  </si>
  <si>
    <t>Current Tax Expense (Rate * B)</t>
  </si>
  <si>
    <t>Deferred Tax Expense</t>
  </si>
  <si>
    <t>Total Tax Expense (Rate * A)</t>
  </si>
  <si>
    <t>Tax Depreciation Schedule:</t>
  </si>
  <si>
    <t>Tax Dep'n Rate</t>
  </si>
  <si>
    <t>Opening Tax Basis in Depreciable Assets</t>
  </si>
  <si>
    <t>Plus: Additions to Fixed Assets</t>
  </si>
  <si>
    <t>Less: Tax Depreciation Claimed</t>
  </si>
  <si>
    <t>Closing Tax Basis in Depreciable Assets</t>
  </si>
  <si>
    <t>TLCF Schedule:</t>
  </si>
  <si>
    <t>TLCFs Used</t>
  </si>
  <si>
    <t>Total TLCFs Used</t>
  </si>
  <si>
    <t>TLCFs Remaining</t>
  </si>
  <si>
    <t>Total TLCFs Remaining</t>
  </si>
  <si>
    <t>CANADA (CAD)</t>
  </si>
  <si>
    <t>Consolidated Tax Calculations</t>
  </si>
  <si>
    <t>Exchange Rates (per USD)</t>
  </si>
  <si>
    <t>USD</t>
  </si>
  <si>
    <t>CAD</t>
  </si>
  <si>
    <t>EUR</t>
  </si>
  <si>
    <t>Current Taxes (in USD)</t>
  </si>
  <si>
    <t>Total</t>
  </si>
  <si>
    <t>Deferred Taxes (in USD)</t>
  </si>
  <si>
    <t>Income Tax Expense (in USD)</t>
  </si>
  <si>
    <t>Effective Tax Rate</t>
  </si>
  <si>
    <t>BCS Holdings Inc.</t>
  </si>
  <si>
    <t>Italy</t>
  </si>
  <si>
    <t>Fiscal 2024</t>
  </si>
  <si>
    <t>Fiscal 2025</t>
  </si>
  <si>
    <t>Fiscal 2026</t>
  </si>
  <si>
    <t>Fiscal 2027</t>
  </si>
  <si>
    <t>No limit</t>
  </si>
  <si>
    <t>Expiring in Fiscal 2024</t>
  </si>
  <si>
    <t>Expiring in Fiscal 2025</t>
  </si>
  <si>
    <t>Expiring in Fiscal 2026</t>
  </si>
  <si>
    <t>Expiring in Fiscal 2027</t>
  </si>
  <si>
    <t>ITALY (EUR)</t>
  </si>
  <si>
    <t xml:space="preserve"> % of Expenditure Deductible</t>
  </si>
  <si>
    <t>Maximum Dollar Deductible</t>
  </si>
  <si>
    <t xml:space="preserve"> % of Expenditure Deductible Amount</t>
  </si>
  <si>
    <t>Maximum Dollar Deductible Amount</t>
  </si>
  <si>
    <t>Actual Deduction Amount</t>
  </si>
  <si>
    <t>Tasks to Complete / Questions:</t>
  </si>
  <si>
    <t>a)</t>
  </si>
  <si>
    <t>See below</t>
  </si>
  <si>
    <t>b)</t>
  </si>
  <si>
    <t>c)</t>
  </si>
  <si>
    <t>d)</t>
  </si>
  <si>
    <t>e)</t>
  </si>
  <si>
    <t>Use all US tax losses?</t>
  </si>
  <si>
    <t>If so, when?</t>
  </si>
  <si>
    <t>Effective tax rate in 2025:</t>
  </si>
  <si>
    <t>Deferred income tax expense in 2027:</t>
  </si>
  <si>
    <t>Total income tax expense in 2026:</t>
  </si>
  <si>
    <t>Answer Table</t>
  </si>
  <si>
    <t>Qualifying Expenses: % of Expenditure Deductible</t>
  </si>
  <si>
    <t>Qualifying Expenses: Maximum Dollar Deductible</t>
  </si>
  <si>
    <t>Qualifying Expenses</t>
  </si>
  <si>
    <t>Accumulated Tax Losses:</t>
  </si>
  <si>
    <t>Taxable Income for Gov't Purposes before Acc. Losses</t>
  </si>
  <si>
    <t>Less: Acc. Losses Used</t>
  </si>
  <si>
    <t>Taxable Income for Gov't Purposes After Acc. Losses (B)</t>
  </si>
  <si>
    <t>Qualifying Expense Schedule:</t>
  </si>
  <si>
    <t>Less: Qualifying Expense Deductions</t>
  </si>
  <si>
    <t>Projected Accounting Pre-tax Income (in USD)</t>
  </si>
  <si>
    <t>Total TLCFs Added</t>
  </si>
  <si>
    <t>TLCFs Added</t>
  </si>
  <si>
    <t>Constant</t>
  </si>
  <si>
    <t>Unit</t>
  </si>
  <si>
    <t>End of schedule</t>
  </si>
  <si>
    <t>Topic</t>
  </si>
  <si>
    <t>Income Tax</t>
  </si>
  <si>
    <t>text</t>
  </si>
  <si>
    <t>Start date</t>
  </si>
  <si>
    <t>date</t>
  </si>
  <si>
    <t>Periods</t>
  </si>
  <si>
    <t>years</t>
  </si>
  <si>
    <t xml:space="preserve"> </t>
  </si>
  <si>
    <t>CALCULATIONS SCHEDULE</t>
  </si>
  <si>
    <t>Country</t>
  </si>
  <si>
    <t>Tax schedule</t>
  </si>
  <si>
    <t>USD m</t>
  </si>
  <si>
    <t>plus</t>
  </si>
  <si>
    <t>Non deductible expenses</t>
  </si>
  <si>
    <t>Accounting depreciation</t>
  </si>
  <si>
    <t>minus</t>
  </si>
  <si>
    <t>Taxable depreciation</t>
  </si>
  <si>
    <t>Incremental deduction for tax purposes</t>
  </si>
  <si>
    <t>Taxable Income for Tax Purposes before NOL</t>
  </si>
  <si>
    <t>Utilization of Tax Loss Carry Forwards</t>
  </si>
  <si>
    <t>Taxable Income for Tax Purposes after NOL</t>
  </si>
  <si>
    <t>Current corporate tax rate</t>
  </si>
  <si>
    <t>Current tax</t>
  </si>
  <si>
    <t>Deferred tax</t>
  </si>
  <si>
    <t>Tax</t>
  </si>
  <si>
    <t>Tax Basis in Depreciable Assets opening balance</t>
  </si>
  <si>
    <t>Addition to fixed assets</t>
  </si>
  <si>
    <t>Taxable Depreciation at blended rate</t>
  </si>
  <si>
    <t>Tax Basis in Depreciable Assets closing balance</t>
  </si>
  <si>
    <t>Tax Loss Carry Forward</t>
  </si>
  <si>
    <t>Qualifying expenses</t>
  </si>
  <si>
    <t>Qualifying expenses (not capped)</t>
  </si>
  <si>
    <t>%</t>
  </si>
  <si>
    <t>Expiring thereafter</t>
  </si>
  <si>
    <t>Tax Loss Carry Forwards Ending Balances</t>
  </si>
  <si>
    <t>Consolidation</t>
  </si>
  <si>
    <t>Current Tax in USD &gt;&gt;</t>
  </si>
  <si>
    <t>Deferred Tax in USD &gt;&gt;</t>
  </si>
  <si>
    <t>Total Tax in USD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</si>
</sst>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$&quot;#,##0_);\(&quot;$&quot;#,##0\)"/>
    <numFmt numFmtId="165" formatCode="&quot;$&quot;#,##0.00_);\(&quot;$&quot;#,##0.00\)"/>
    <numFmt numFmtId="166" formatCode="0.0%"/>
    <numFmt numFmtId="167" formatCode="&quot;Expiring In &quot;0"/>
    <numFmt numFmtId="168" formatCode="&quot;$&quot;#,##0.00"/>
    <numFmt numFmtId="169" formatCode="[$€-2]\ #,##0.0"/>
    <numFmt numFmtId="170" formatCode="\€\ #,##0_);\(\€\ #,##0\)"/>
    <numFmt numFmtId="171" formatCode="[$€-2]\ #,##0_);\([$€-2]\ #,##0\)"/>
    <numFmt numFmtId="172" formatCode="#,##0_);\(#,##0\);&quot;-  &quot;;&quot; &quot;@"/>
    <numFmt numFmtId="173" formatCode="###0_);\(###0\);&quot;-  &quot;;&quot; &quot;@&quot; &quot;"/>
    <numFmt numFmtId="174" formatCode="dd\ mmm\ yy_);\(###0\);&quot;-  &quot;;&quot; &quot;@&quot; &quot;"/>
    <numFmt numFmtId="175" formatCode="0.00%\ ;\-0.00%\ _);&quot;-  &quot;;&quot; &quot;@&quot; &quot;"/>
    <numFmt numFmtId="176" formatCode="#,##0.0000_);\(#,##0.0000\);&quot;-  &quot;;&quot; &quot;@&quot; &quot;"/>
    <numFmt numFmtId="177" formatCode="dd\ mmm\ yyyy_);\(###0\);&quot;-  &quot;;&quot; &quot;@&quot; &quot;"/>
    <numFmt numFmtId="180" formatCode="&quot;Expiring in Fiscal&quot;\ yyyy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u/>
      <sz val="10"/>
      <color rgb="FF0000FF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sz val="9"/>
      <color indexed="81"/>
      <name val="Tahoma"/>
      <family val="2"/>
    </font>
    <font>
      <b/>
      <u/>
      <sz val="8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6600"/>
      <name val="Calibri"/>
      <family val="2"/>
      <scheme val="minor"/>
    </font>
    <font>
      <b/>
      <sz val="8"/>
      <color rgb="FF006600"/>
      <name val="Calibri"/>
      <family val="2"/>
      <scheme val="minor"/>
    </font>
    <font>
      <b/>
      <sz val="12"/>
      <color rgb="FF006600"/>
      <name val="Calibri"/>
      <family val="2"/>
      <scheme val="minor"/>
    </font>
    <font>
      <i/>
      <sz val="8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rgb="FF0000FF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172" fontId="0" fillId="0" borderId="0" applyFont="0" applyFill="0" applyBorder="0" applyProtection="0">
      <alignment vertical="top"/>
    </xf>
    <xf numFmtId="175" fontId="21" fillId="0" borderId="0" applyFont="0" applyFill="0" applyBorder="0" applyProtection="0">
      <alignment vertical="top"/>
    </xf>
    <xf numFmtId="172" fontId="22" fillId="0" borderId="0" applyFill="0" applyBorder="0" applyProtection="0">
      <alignment vertical="top"/>
    </xf>
    <xf numFmtId="173" fontId="22" fillId="0" borderId="0" applyFont="0" applyFill="0" applyBorder="0" applyProtection="0">
      <alignment vertical="top"/>
    </xf>
    <xf numFmtId="174" fontId="22" fillId="0" borderId="0" applyFont="0" applyFill="0" applyBorder="0" applyProtection="0">
      <alignment vertical="top"/>
    </xf>
    <xf numFmtId="176" fontId="21" fillId="0" borderId="0" applyFont="0" applyFill="0" applyBorder="0" applyProtection="0">
      <alignment vertical="top"/>
    </xf>
    <xf numFmtId="177" fontId="21" fillId="0" borderId="0" applyFont="0" applyFill="0" applyBorder="0" applyProtection="0">
      <alignment vertical="top"/>
    </xf>
  </cellStyleXfs>
  <cellXfs count="131">
    <xf numFmtId="172" fontId="0" fillId="0" borderId="0" xfId="0">
      <alignment vertical="top"/>
    </xf>
    <xf numFmtId="172" fontId="2" fillId="0" borderId="0" xfId="0" applyFont="1">
      <alignment vertical="top"/>
    </xf>
    <xf numFmtId="172" fontId="3" fillId="0" borderId="0" xfId="0" applyFont="1">
      <alignment vertical="top"/>
    </xf>
    <xf numFmtId="172" fontId="4" fillId="0" borderId="0" xfId="0" applyFont="1" applyAlignment="1">
      <alignment horizontal="right"/>
    </xf>
    <xf numFmtId="172" fontId="5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72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/>
    </xf>
    <xf numFmtId="172" fontId="2" fillId="0" borderId="0" xfId="0" applyFont="1" applyAlignment="1">
      <alignment horizontal="left" indent="1"/>
    </xf>
    <xf numFmtId="164" fontId="6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72" fontId="2" fillId="0" borderId="0" xfId="0" applyFont="1" applyAlignment="1">
      <alignment horizontal="right"/>
    </xf>
    <xf numFmtId="168" fontId="0" fillId="0" borderId="0" xfId="0" applyNumberFormat="1">
      <alignment vertical="top"/>
    </xf>
    <xf numFmtId="169" fontId="0" fillId="0" borderId="0" xfId="0" applyNumberFormat="1">
      <alignment vertical="top"/>
    </xf>
    <xf numFmtId="172" fontId="16" fillId="0" borderId="0" xfId="0" applyFont="1">
      <alignment vertical="top"/>
    </xf>
    <xf numFmtId="171" fontId="2" fillId="0" borderId="0" xfId="0" applyNumberFormat="1" applyFont="1" applyAlignment="1">
      <alignment horizontal="right"/>
    </xf>
    <xf numFmtId="172" fontId="14" fillId="0" borderId="0" xfId="0" applyFont="1">
      <alignment vertical="top"/>
    </xf>
    <xf numFmtId="172" fontId="2" fillId="0" borderId="0" xfId="0" applyFont="1" applyAlignment="1">
      <alignment horizontal="right" indent="1"/>
    </xf>
    <xf numFmtId="172" fontId="15" fillId="0" borderId="1" xfId="0" applyFont="1" applyBorder="1">
      <alignment vertical="top"/>
    </xf>
    <xf numFmtId="172" fontId="0" fillId="0" borderId="2" xfId="0" applyBorder="1">
      <alignment vertical="top"/>
    </xf>
    <xf numFmtId="172" fontId="2" fillId="0" borderId="12" xfId="0" applyFont="1" applyBorder="1" applyAlignment="1">
      <alignment horizontal="right"/>
    </xf>
    <xf numFmtId="172" fontId="2" fillId="0" borderId="1" xfId="0" applyFont="1" applyBorder="1">
      <alignment vertical="top"/>
    </xf>
    <xf numFmtId="172" fontId="2" fillId="0" borderId="13" xfId="0" applyFont="1" applyBorder="1" applyAlignment="1">
      <alignment horizontal="right"/>
    </xf>
    <xf numFmtId="172" fontId="2" fillId="0" borderId="13" xfId="0" applyFont="1" applyBorder="1" applyAlignment="1">
      <alignment horizontal="left"/>
    </xf>
    <xf numFmtId="172" fontId="2" fillId="0" borderId="14" xfId="0" applyFont="1" applyBorder="1" applyAlignment="1">
      <alignment horizontal="right"/>
    </xf>
    <xf numFmtId="172" fontId="2" fillId="0" borderId="14" xfId="0" applyFont="1" applyBorder="1" applyAlignment="1">
      <alignment horizontal="left"/>
    </xf>
    <xf numFmtId="172" fontId="2" fillId="0" borderId="6" xfId="0" applyFont="1" applyBorder="1">
      <alignment vertical="top"/>
    </xf>
    <xf numFmtId="172" fontId="0" fillId="0" borderId="7" xfId="0" applyBorder="1">
      <alignment vertical="top"/>
    </xf>
    <xf numFmtId="172" fontId="0" fillId="0" borderId="10" xfId="0" applyBorder="1">
      <alignment vertical="top"/>
    </xf>
    <xf numFmtId="164" fontId="2" fillId="0" borderId="3" xfId="0" applyNumberFormat="1" applyFont="1" applyBorder="1" applyAlignment="1">
      <alignment horizontal="left"/>
    </xf>
    <xf numFmtId="172" fontId="7" fillId="0" borderId="0" xfId="0" applyFont="1">
      <alignment vertical="top"/>
    </xf>
    <xf numFmtId="172" fontId="8" fillId="0" borderId="0" xfId="0" applyFont="1">
      <alignment vertical="top"/>
    </xf>
    <xf numFmtId="172" fontId="4" fillId="0" borderId="1" xfId="0" applyFont="1" applyBorder="1" applyAlignment="1">
      <alignment horizontal="right"/>
    </xf>
    <xf numFmtId="172" fontId="13" fillId="0" borderId="0" xfId="0" applyFont="1" applyAlignment="1">
      <alignment horizontal="right"/>
    </xf>
    <xf numFmtId="172" fontId="9" fillId="0" borderId="0" xfId="0" applyFont="1" applyAlignment="1">
      <alignment horizontal="right"/>
    </xf>
    <xf numFmtId="172" fontId="9" fillId="0" borderId="0" xfId="0" applyFont="1">
      <alignment vertical="top"/>
    </xf>
    <xf numFmtId="164" fontId="6" fillId="0" borderId="3" xfId="0" applyNumberFormat="1" applyFont="1" applyBorder="1" applyAlignment="1">
      <alignment horizontal="right"/>
    </xf>
    <xf numFmtId="172" fontId="4" fillId="0" borderId="0" xfId="0" applyFont="1">
      <alignment vertical="top"/>
    </xf>
    <xf numFmtId="164" fontId="10" fillId="0" borderId="0" xfId="0" applyNumberFormat="1" applyFont="1" applyAlignment="1">
      <alignment horizontal="right"/>
    </xf>
    <xf numFmtId="172" fontId="0" fillId="0" borderId="3" xfId="0" applyBorder="1">
      <alignment vertical="top"/>
    </xf>
    <xf numFmtId="172" fontId="1" fillId="0" borderId="0" xfId="0" applyFont="1">
      <alignment vertical="top"/>
    </xf>
    <xf numFmtId="167" fontId="9" fillId="0" borderId="0" xfId="0" applyNumberFormat="1" applyFont="1" applyAlignment="1">
      <alignment horizontal="left" indent="1"/>
    </xf>
    <xf numFmtId="172" fontId="1" fillId="0" borderId="6" xfId="0" applyFont="1" applyBorder="1">
      <alignment vertical="top"/>
    </xf>
    <xf numFmtId="164" fontId="10" fillId="0" borderId="7" xfId="0" applyNumberFormat="1" applyFont="1" applyBorder="1" applyAlignment="1">
      <alignment horizontal="right"/>
    </xf>
    <xf numFmtId="164" fontId="10" fillId="0" borderId="8" xfId="0" applyNumberFormat="1" applyFont="1" applyBorder="1" applyAlignment="1">
      <alignment horizontal="right"/>
    </xf>
    <xf numFmtId="172" fontId="4" fillId="0" borderId="9" xfId="0" applyFont="1" applyBorder="1" applyAlignment="1">
      <alignment horizontal="left" indent="1"/>
    </xf>
    <xf numFmtId="172" fontId="1" fillId="0" borderId="3" xfId="0" applyFont="1" applyBorder="1">
      <alignment vertical="top"/>
    </xf>
    <xf numFmtId="164" fontId="10" fillId="0" borderId="10" xfId="0" applyNumberFormat="1" applyFont="1" applyBorder="1" applyAlignment="1">
      <alignment horizontal="right"/>
    </xf>
    <xf numFmtId="172" fontId="4" fillId="0" borderId="0" xfId="0" applyFont="1" applyAlignment="1">
      <alignment horizontal="left" indent="1"/>
    </xf>
    <xf numFmtId="164" fontId="6" fillId="0" borderId="9" xfId="0" applyNumberFormat="1" applyFont="1" applyBorder="1" applyAlignment="1">
      <alignment horizontal="right"/>
    </xf>
    <xf numFmtId="172" fontId="11" fillId="0" borderId="0" xfId="0" applyFont="1" applyAlignment="1">
      <alignment horizontal="right"/>
    </xf>
    <xf numFmtId="170" fontId="6" fillId="0" borderId="0" xfId="0" applyNumberFormat="1" applyFont="1" applyAlignment="1">
      <alignment horizontal="right"/>
    </xf>
    <xf numFmtId="170" fontId="6" fillId="0" borderId="3" xfId="0" applyNumberFormat="1" applyFont="1" applyBorder="1" applyAlignment="1">
      <alignment horizontal="right"/>
    </xf>
    <xf numFmtId="170" fontId="10" fillId="0" borderId="0" xfId="0" applyNumberFormat="1" applyFont="1" applyAlignment="1">
      <alignment horizontal="right"/>
    </xf>
    <xf numFmtId="170" fontId="0" fillId="0" borderId="0" xfId="0" applyNumberFormat="1">
      <alignment vertical="top"/>
    </xf>
    <xf numFmtId="170" fontId="10" fillId="0" borderId="7" xfId="0" applyNumberFormat="1" applyFont="1" applyBorder="1" applyAlignment="1">
      <alignment horizontal="right"/>
    </xf>
    <xf numFmtId="170" fontId="10" fillId="0" borderId="8" xfId="0" applyNumberFormat="1" applyFont="1" applyBorder="1" applyAlignment="1">
      <alignment horizontal="right"/>
    </xf>
    <xf numFmtId="170" fontId="10" fillId="0" borderId="10" xfId="0" applyNumberFormat="1" applyFont="1" applyBorder="1" applyAlignment="1">
      <alignment horizontal="right"/>
    </xf>
    <xf numFmtId="170" fontId="6" fillId="0" borderId="9" xfId="0" applyNumberFormat="1" applyFont="1" applyBorder="1" applyAlignment="1">
      <alignment horizontal="right"/>
    </xf>
    <xf numFmtId="172" fontId="9" fillId="0" borderId="0" xfId="0" applyFont="1" applyAlignment="1">
      <alignment horizontal="left"/>
    </xf>
    <xf numFmtId="172" fontId="2" fillId="0" borderId="0" xfId="0" applyFont="1" applyAlignment="1">
      <alignment horizontal="left"/>
    </xf>
    <xf numFmtId="172" fontId="4" fillId="0" borderId="0" xfId="0" applyFont="1" applyAlignment="1">
      <alignment horizontal="left"/>
    </xf>
    <xf numFmtId="172" fontId="4" fillId="0" borderId="1" xfId="0" applyFont="1" applyBorder="1" applyAlignment="1">
      <alignment horizontal="left"/>
    </xf>
    <xf numFmtId="172" fontId="0" fillId="0" borderId="11" xfId="0" applyBorder="1">
      <alignment vertical="top"/>
    </xf>
    <xf numFmtId="166" fontId="4" fillId="0" borderId="11" xfId="0" applyNumberFormat="1" applyFont="1" applyBorder="1" applyAlignment="1">
      <alignment horizontal="right"/>
    </xf>
    <xf numFmtId="166" fontId="4" fillId="0" borderId="2" xfId="0" applyNumberFormat="1" applyFont="1" applyBorder="1" applyAlignment="1">
      <alignment horizontal="right"/>
    </xf>
    <xf numFmtId="164" fontId="17" fillId="0" borderId="0" xfId="0" applyNumberFormat="1" applyFont="1" applyAlignment="1">
      <alignment horizontal="right"/>
    </xf>
    <xf numFmtId="164" fontId="17" fillId="0" borderId="3" xfId="0" applyNumberFormat="1" applyFont="1" applyBorder="1" applyAlignment="1">
      <alignment horizontal="right"/>
    </xf>
    <xf numFmtId="166" fontId="18" fillId="0" borderId="2" xfId="0" applyNumberFormat="1" applyFont="1" applyBorder="1" applyAlignment="1">
      <alignment horizontal="center"/>
    </xf>
    <xf numFmtId="172" fontId="19" fillId="0" borderId="0" xfId="0" applyFont="1">
      <alignment vertical="top"/>
    </xf>
    <xf numFmtId="172" fontId="20" fillId="0" borderId="0" xfId="0" applyFont="1">
      <alignment vertical="top"/>
    </xf>
    <xf numFmtId="164" fontId="18" fillId="0" borderId="0" xfId="0" applyNumberFormat="1" applyFont="1" applyAlignment="1">
      <alignment horizontal="right"/>
    </xf>
    <xf numFmtId="166" fontId="17" fillId="0" borderId="0" xfId="0" applyNumberFormat="1" applyFont="1" applyAlignment="1">
      <alignment horizontal="right"/>
    </xf>
    <xf numFmtId="164" fontId="18" fillId="0" borderId="7" xfId="0" applyNumberFormat="1" applyFont="1" applyBorder="1" applyAlignment="1">
      <alignment horizontal="right"/>
    </xf>
    <xf numFmtId="164" fontId="18" fillId="0" borderId="8" xfId="0" applyNumberFormat="1" applyFont="1" applyBorder="1" applyAlignment="1">
      <alignment horizontal="right"/>
    </xf>
    <xf numFmtId="164" fontId="18" fillId="0" borderId="10" xfId="0" applyNumberFormat="1" applyFont="1" applyBorder="1" applyAlignment="1">
      <alignment horizontal="right"/>
    </xf>
    <xf numFmtId="170" fontId="17" fillId="0" borderId="0" xfId="0" applyNumberFormat="1" applyFont="1" applyAlignment="1">
      <alignment horizontal="right"/>
    </xf>
    <xf numFmtId="170" fontId="17" fillId="0" borderId="3" xfId="0" applyNumberFormat="1" applyFont="1" applyBorder="1" applyAlignment="1">
      <alignment horizontal="right"/>
    </xf>
    <xf numFmtId="170" fontId="18" fillId="0" borderId="0" xfId="0" applyNumberFormat="1" applyFont="1" applyAlignment="1">
      <alignment horizontal="right"/>
    </xf>
    <xf numFmtId="170" fontId="18" fillId="0" borderId="7" xfId="0" applyNumberFormat="1" applyFont="1" applyBorder="1" applyAlignment="1">
      <alignment horizontal="right"/>
    </xf>
    <xf numFmtId="170" fontId="18" fillId="0" borderId="8" xfId="0" applyNumberFormat="1" applyFont="1" applyBorder="1" applyAlignment="1">
      <alignment horizontal="right"/>
    </xf>
    <xf numFmtId="170" fontId="18" fillId="0" borderId="10" xfId="0" applyNumberFormat="1" applyFont="1" applyBorder="1" applyAlignment="1">
      <alignment horizontal="right"/>
    </xf>
    <xf numFmtId="2" fontId="17" fillId="0" borderId="0" xfId="0" applyNumberFormat="1" applyFont="1" applyAlignment="1">
      <alignment horizontal="right"/>
    </xf>
    <xf numFmtId="172" fontId="17" fillId="0" borderId="0" xfId="0" applyFont="1" applyAlignment="1">
      <alignment horizontal="left"/>
    </xf>
    <xf numFmtId="172" fontId="17" fillId="0" borderId="0" xfId="0" applyFont="1" applyAlignment="1">
      <alignment horizontal="center"/>
    </xf>
    <xf numFmtId="172" fontId="2" fillId="0" borderId="9" xfId="0" applyFont="1" applyBorder="1" applyAlignment="1">
      <alignment horizontal="left" indent="1"/>
    </xf>
    <xf numFmtId="167" fontId="2" fillId="0" borderId="4" xfId="0" applyNumberFormat="1" applyFont="1" applyBorder="1" applyAlignment="1">
      <alignment horizontal="left" indent="1"/>
    </xf>
    <xf numFmtId="167" fontId="2" fillId="0" borderId="5" xfId="0" applyNumberFormat="1" applyFont="1" applyBorder="1" applyAlignment="1">
      <alignment horizontal="left" indent="1"/>
    </xf>
    <xf numFmtId="10" fontId="2" fillId="0" borderId="3" xfId="0" applyNumberFormat="1" applyFont="1" applyBorder="1" applyAlignment="1">
      <alignment horizontal="left"/>
    </xf>
    <xf numFmtId="164" fontId="0" fillId="0" borderId="0" xfId="0" applyNumberFormat="1">
      <alignment vertical="top"/>
    </xf>
    <xf numFmtId="164" fontId="6" fillId="0" borderId="6" xfId="0" applyNumberFormat="1" applyFont="1" applyBorder="1" applyAlignment="1">
      <alignment horizontal="right"/>
    </xf>
    <xf numFmtId="172" fontId="2" fillId="0" borderId="1" xfId="0" applyFont="1" applyBorder="1" applyAlignment="1">
      <alignment horizontal="left" indent="1"/>
    </xf>
    <xf numFmtId="172" fontId="1" fillId="0" borderId="11" xfId="0" applyFont="1" applyBorder="1">
      <alignment vertical="top"/>
    </xf>
    <xf numFmtId="164" fontId="10" fillId="0" borderId="2" xfId="0" applyNumberFormat="1" applyFont="1" applyBorder="1" applyAlignment="1">
      <alignment horizontal="right"/>
    </xf>
    <xf numFmtId="172" fontId="23" fillId="2" borderId="0" xfId="2" applyFont="1" applyFill="1">
      <alignment vertical="top"/>
    </xf>
    <xf numFmtId="172" fontId="24" fillId="3" borderId="15" xfId="0" applyFont="1" applyFill="1" applyBorder="1" applyAlignment="1">
      <alignment vertical="top"/>
    </xf>
    <xf numFmtId="172" fontId="0" fillId="0" borderId="0" xfId="0" applyAlignment="1">
      <alignment vertical="top"/>
    </xf>
    <xf numFmtId="172" fontId="24" fillId="3" borderId="16" xfId="0" applyFont="1" applyFill="1" applyBorder="1" applyAlignment="1">
      <alignment vertical="top"/>
    </xf>
    <xf numFmtId="177" fontId="24" fillId="3" borderId="15" xfId="6" applyFont="1" applyFill="1" applyBorder="1">
      <alignment vertical="top"/>
    </xf>
    <xf numFmtId="172" fontId="25" fillId="4" borderId="0" xfId="2" applyFont="1" applyFill="1">
      <alignment vertical="top"/>
    </xf>
    <xf numFmtId="172" fontId="26" fillId="4" borderId="0" xfId="2" applyFont="1" applyFill="1">
      <alignment vertical="top"/>
    </xf>
    <xf numFmtId="173" fontId="25" fillId="4" borderId="0" xfId="3" applyNumberFormat="1" applyFont="1" applyFill="1">
      <alignment vertical="top"/>
    </xf>
    <xf numFmtId="172" fontId="27" fillId="0" borderId="0" xfId="0" applyFont="1" applyAlignment="1">
      <alignment horizontal="right" vertical="top"/>
    </xf>
    <xf numFmtId="172" fontId="23" fillId="0" borderId="0" xfId="0" applyFont="1">
      <alignment vertical="top"/>
    </xf>
    <xf numFmtId="175" fontId="28" fillId="0" borderId="0" xfId="1" applyFont="1">
      <alignment vertical="top"/>
    </xf>
    <xf numFmtId="172" fontId="22" fillId="0" borderId="0" xfId="2" applyFont="1">
      <alignment vertical="top"/>
    </xf>
    <xf numFmtId="172" fontId="22" fillId="3" borderId="16" xfId="2" applyFont="1" applyFill="1" applyBorder="1">
      <alignment vertical="top"/>
    </xf>
    <xf numFmtId="172" fontId="22" fillId="2" borderId="0" xfId="2" applyFont="1" applyFill="1">
      <alignment vertical="top"/>
    </xf>
    <xf numFmtId="172" fontId="22" fillId="0" borderId="0" xfId="0" applyFont="1">
      <alignment vertical="top"/>
    </xf>
    <xf numFmtId="172" fontId="22" fillId="0" borderId="3" xfId="0" applyFont="1" applyBorder="1" applyAlignment="1">
      <alignment horizontal="left" vertical="top" indent="1"/>
    </xf>
    <xf numFmtId="172" fontId="22" fillId="0" borderId="3" xfId="0" applyFont="1" applyBorder="1">
      <alignment vertical="top"/>
    </xf>
    <xf numFmtId="172" fontId="22" fillId="0" borderId="0" xfId="0" applyFont="1" applyAlignment="1">
      <alignment horizontal="left" vertical="top" indent="1"/>
    </xf>
    <xf numFmtId="172" fontId="23" fillId="0" borderId="0" xfId="2" applyFont="1">
      <alignment vertical="top"/>
    </xf>
    <xf numFmtId="172" fontId="22" fillId="0" borderId="3" xfId="2" applyFont="1" applyBorder="1">
      <alignment vertical="top"/>
    </xf>
    <xf numFmtId="172" fontId="22" fillId="0" borderId="0" xfId="2" applyFont="1" applyBorder="1">
      <alignment vertical="top"/>
    </xf>
    <xf numFmtId="172" fontId="23" fillId="2" borderId="0" xfId="0" applyFont="1" applyFill="1">
      <alignment vertical="top"/>
    </xf>
    <xf numFmtId="172" fontId="0" fillId="2" borderId="0" xfId="0" applyFill="1">
      <alignment vertical="top"/>
    </xf>
    <xf numFmtId="175" fontId="28" fillId="0" borderId="3" xfId="1" applyFont="1" applyBorder="1">
      <alignment vertical="top"/>
    </xf>
    <xf numFmtId="172" fontId="22" fillId="2" borderId="0" xfId="0" applyFont="1" applyFill="1">
      <alignment vertical="top"/>
    </xf>
    <xf numFmtId="172" fontId="22" fillId="5" borderId="0" xfId="2" applyFont="1" applyFill="1">
      <alignment vertical="top"/>
    </xf>
    <xf numFmtId="172" fontId="22" fillId="0" borderId="0" xfId="0" applyFont="1" applyBorder="1" applyAlignment="1">
      <alignment horizontal="left" vertical="top" indent="1"/>
    </xf>
    <xf numFmtId="172" fontId="22" fillId="0" borderId="0" xfId="0" applyFont="1" applyBorder="1">
      <alignment vertical="top"/>
    </xf>
    <xf numFmtId="172" fontId="28" fillId="0" borderId="0" xfId="0" applyFont="1">
      <alignment vertical="top"/>
    </xf>
    <xf numFmtId="180" fontId="0" fillId="0" borderId="0" xfId="0" applyNumberFormat="1" applyAlignment="1">
      <alignment horizontal="left" vertical="top" indent="1"/>
    </xf>
    <xf numFmtId="180" fontId="22" fillId="0" borderId="0" xfId="0" applyNumberFormat="1" applyFont="1" applyAlignment="1">
      <alignment horizontal="left" vertical="top" indent="1"/>
    </xf>
    <xf numFmtId="167" fontId="22" fillId="0" borderId="0" xfId="0" applyNumberFormat="1" applyFont="1" applyAlignment="1">
      <alignment horizontal="left" vertical="top" indent="1"/>
    </xf>
    <xf numFmtId="173" fontId="23" fillId="0" borderId="3" xfId="3" applyFont="1" applyBorder="1">
      <alignment vertical="top"/>
    </xf>
    <xf numFmtId="172" fontId="29" fillId="0" borderId="0" xfId="0" applyFont="1">
      <alignment vertical="top"/>
    </xf>
    <xf numFmtId="172" fontId="22" fillId="0" borderId="0" xfId="2" applyFont="1" applyAlignment="1">
      <alignment horizontal="right" vertical="top"/>
    </xf>
    <xf numFmtId="172" fontId="26" fillId="0" borderId="0" xfId="2" applyFont="1">
      <alignment vertical="top"/>
    </xf>
  </cellXfs>
  <cellStyles count="7">
    <cellStyle name="DateLong" xfId="6" xr:uid="{CC8F2BA0-9242-429D-A3AF-EF0009087C4C}"/>
    <cellStyle name="DateShort" xfId="4" xr:uid="{46876E2D-BFDC-426F-869B-6C16149B0DC3}"/>
    <cellStyle name="Factor" xfId="5" xr:uid="{5407A9C4-BFD4-4EA0-9A26-42D7B9A51FCF}"/>
    <cellStyle name="Normal" xfId="0" builtinId="0" customBuiltin="1"/>
    <cellStyle name="Normal 2" xfId="2" xr:uid="{B9BBCE30-1E36-465F-A544-C8AB41F29C35}"/>
    <cellStyle name="Percent" xfId="1" builtinId="5" customBuiltin="1"/>
    <cellStyle name="Year" xfId="3" xr:uid="{44ACF601-CA1B-4645-9C67-42A01E09629F}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8279F8-3542-4547-B14C-D59FB919B5C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36f4998-2562-4215-b499-dd8057d032f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538C-62BA-4D17-BBFE-5E4AAA473421}">
  <sheetPr>
    <pageSetUpPr autoPageBreaks="0" fitToPage="1"/>
  </sheetPr>
  <dimension ref="A1:N81"/>
  <sheetViews>
    <sheetView tabSelected="1" zoomScale="85" zoomScaleNormal="85" workbookViewId="0">
      <pane xSplit="9" ySplit="3" topLeftCell="J41" activePane="bottomRight" state="frozen"/>
      <selection pane="topRight" activeCell="J1" sqref="J1"/>
      <selection pane="bottomLeft" activeCell="A4" sqref="A4"/>
      <selection pane="bottomRight" activeCell="J58" sqref="J58"/>
    </sheetView>
  </sheetViews>
  <sheetFormatPr defaultRowHeight="13.8" x14ac:dyDescent="0.3"/>
  <cols>
    <col min="1" max="1" width="1.77734375" style="106" customWidth="1"/>
    <col min="2" max="4" width="1.6640625" style="106" customWidth="1"/>
    <col min="5" max="5" width="45.77734375" style="106" customWidth="1"/>
    <col min="6" max="7" width="10.44140625" style="106" customWidth="1"/>
    <col min="8" max="8" width="5.77734375" style="106" customWidth="1"/>
    <col min="9" max="9" width="1.77734375" style="106" customWidth="1"/>
    <col min="10" max="14" width="12.77734375" style="106" customWidth="1"/>
    <col min="15" max="16384" width="8.88671875" style="106"/>
  </cols>
  <sheetData>
    <row r="1" spans="1:14" s="101" customFormat="1" x14ac:dyDescent="0.3">
      <c r="A1" s="100" t="str" cm="1">
        <f t="array" ref="A1">company</f>
        <v>BCS Holdings Inc.</v>
      </c>
    </row>
    <row r="2" spans="1:14" s="101" customFormat="1" x14ac:dyDescent="0.3">
      <c r="A2" s="100" t="str" cm="1">
        <f t="array" ref="A2">topic</f>
        <v>CFM Topic: Income Tax</v>
      </c>
    </row>
    <row r="3" spans="1:14" s="101" customFormat="1" x14ac:dyDescent="0.3">
      <c r="A3" s="100" t="s">
        <v>108</v>
      </c>
      <c r="F3" s="100" t="s">
        <v>97</v>
      </c>
      <c r="G3" s="100" t="s">
        <v>98</v>
      </c>
      <c r="H3" s="100" t="s">
        <v>51</v>
      </c>
      <c r="J3" s="102" cm="1">
        <f t="array" ref="J3:N3" xml:space="preserve"> YEAR( EOMONTH( start_date, _xlfn.SEQUENCE( 1, periods, 0, 12 ) ) )</f>
        <v>2023</v>
      </c>
      <c r="K3" s="102">
        <v>2024</v>
      </c>
      <c r="L3" s="102">
        <v>2025</v>
      </c>
      <c r="M3" s="102">
        <v>2026</v>
      </c>
      <c r="N3" s="102">
        <v>2027</v>
      </c>
    </row>
    <row r="5" spans="1:14" x14ac:dyDescent="0.3">
      <c r="E5" s="106" t="s">
        <v>109</v>
      </c>
      <c r="F5" s="107" t="s">
        <v>1</v>
      </c>
    </row>
    <row r="7" spans="1:14" s="108" customFormat="1" x14ac:dyDescent="0.3">
      <c r="A7" s="95" t="s">
        <v>110</v>
      </c>
    </row>
    <row r="9" spans="1:14" x14ac:dyDescent="0.3">
      <c r="D9" s="109"/>
      <c r="E9" s="109" t="s">
        <v>23</v>
      </c>
      <c r="F9" s="109"/>
      <c r="G9" s="109" t="s">
        <v>111</v>
      </c>
      <c r="H9" s="109"/>
      <c r="I9" s="109"/>
      <c r="J9" s="106" cm="1">
        <f t="array" ref="J9:N9" xml:space="preserve"> _xlfn.LET(
      _xlpm.values,           CaseData!$F$11:$H$15,
      _xlpm.years,            VALUE( RIGHT( CaseData!$B$11:$B$15, 4 ) ),
      _xlpm.countries,        CaseData!$F$4:$I$4,
      _xlpm.current_year,_xlfn.ANCHORARRAY(     $J$3),
      _xlpm.current_country,  $F$5,
      _xlpm.fx_rate,          INDEX( CaseData!$F$8:$I$8, 1, MATCH( _xlpm.current_country, _xlpm.countries, 0 ) ),
      _xlpm.projected,        INDEX( _xlpm.values, MATCH( _xlpm.current_year, _xlpm.years, 0 ), MATCH( _xlpm.current_country, _xlpm.countries, 0  ) ),
      _xlpm.projected / _xlpm.fx_rate )</f>
        <v>26760</v>
      </c>
      <c r="K9" s="106">
        <v>25593</v>
      </c>
      <c r="L9" s="106">
        <v>28960.5</v>
      </c>
      <c r="M9" s="106">
        <v>25971</v>
      </c>
      <c r="N9" s="106">
        <v>21864</v>
      </c>
    </row>
    <row r="10" spans="1:14" x14ac:dyDescent="0.3">
      <c r="D10" s="103" t="s">
        <v>112</v>
      </c>
      <c r="E10" s="110" t="s">
        <v>113</v>
      </c>
      <c r="F10" s="111"/>
      <c r="G10" s="111" t="str" cm="1">
        <f t="array" ref="G10" xml:space="preserve"> $G$9:$G$9</f>
        <v>USD m</v>
      </c>
      <c r="H10" s="111"/>
      <c r="I10" s="111"/>
      <c r="J10" s="114" cm="1">
        <f t="array" ref="J10:N10" xml:space="preserve"> _xlfn.LET(
      _xlpm.values,           CaseData!$F$37:$H$41,
      _xlpm.years,            VALUE( RIGHT( CaseData!$B$11:$B$15, 4 ) ),
      _xlpm.countries,        CaseData!$F$4:$I$4,
      _xlpm.current_year,_xlfn.ANCHORARRAY(     $J$3),
      _xlpm.current_country,  $F$5,
      _xlpm.fx_rate,          INDEX( CaseData!$F$8:$I$8, 1, MATCH( _xlpm.current_country, _xlpm.countries, 0 ) ),
      _xlpm.projected,        INDEX( _xlpm.values, MATCH( _xlpm.current_year, _xlpm.years, 0 ), MATCH( _xlpm.current_country, _xlpm.countries, 0  ) ),
      _xlpm.projected / _xlpm.fx_rate )</f>
        <v>10113</v>
      </c>
      <c r="K10" s="114">
        <v>0</v>
      </c>
      <c r="L10" s="114">
        <v>0</v>
      </c>
      <c r="M10" s="114">
        <v>0</v>
      </c>
      <c r="N10" s="114">
        <v>0</v>
      </c>
    </row>
    <row r="11" spans="1:14" x14ac:dyDescent="0.3">
      <c r="D11" s="109"/>
      <c r="E11" s="104" t="s">
        <v>25</v>
      </c>
      <c r="F11" s="109"/>
      <c r="G11" s="104" t="str" cm="1">
        <f t="array" ref="G11" xml:space="preserve"> $G$9:$G$9</f>
        <v>USD m</v>
      </c>
      <c r="H11" s="104"/>
      <c r="I11" s="104"/>
      <c r="J11" s="113">
        <f>SUM(J9:J10)</f>
        <v>36873</v>
      </c>
      <c r="K11" s="113">
        <f t="shared" ref="K11:N11" si="0">SUM(K9:K10)</f>
        <v>25593</v>
      </c>
      <c r="L11" s="113">
        <f t="shared" si="0"/>
        <v>28960.5</v>
      </c>
      <c r="M11" s="113">
        <f t="shared" si="0"/>
        <v>25971</v>
      </c>
      <c r="N11" s="113">
        <f t="shared" si="0"/>
        <v>21864</v>
      </c>
    </row>
    <row r="12" spans="1:14" x14ac:dyDescent="0.3">
      <c r="D12" s="109"/>
      <c r="E12" s="109"/>
      <c r="F12" s="109"/>
      <c r="G12" s="109"/>
      <c r="H12" s="109"/>
      <c r="I12" s="109"/>
    </row>
    <row r="13" spans="1:14" x14ac:dyDescent="0.3">
      <c r="D13" s="103" t="s">
        <v>112</v>
      </c>
      <c r="E13" s="112" t="s">
        <v>114</v>
      </c>
      <c r="F13" s="109"/>
      <c r="G13" s="109" t="str" cm="1">
        <f t="array" ref="G13" xml:space="preserve"> $G$9:$G$9</f>
        <v>USD m</v>
      </c>
      <c r="H13" s="109"/>
      <c r="I13" s="109"/>
      <c r="J13" s="115" cm="1">
        <f t="array" ref="J13:N13" xml:space="preserve"> _xlfn.LET(
      _xlpm.values,           CaseData!$F$25:$H$29,
      _xlpm.years,            VALUE( RIGHT( CaseData!$B$11:$B$15, 4 ) ),
      _xlpm.countries,        CaseData!$F$4:$I$4,
      _xlpm.current_year,_xlfn.ANCHORARRAY(     $J$3),
      _xlpm.current_country,  $F$5,
      _xlpm.fx_rate,          INDEX( CaseData!$F$8:$I$8, 1, MATCH( _xlpm.current_country, _xlpm.countries, 0 ) ),
      _xlpm.projected,        INDEX( _xlpm.values, MATCH( _xlpm.current_year, _xlpm.years, 0 ), MATCH( _xlpm.current_country, _xlpm.countries, 0  ) ),
      _xlpm.projected / _xlpm.fx_rate )</f>
        <v>8148</v>
      </c>
      <c r="K13" s="106">
        <v>8392.5</v>
      </c>
      <c r="L13" s="106">
        <v>8812.5</v>
      </c>
      <c r="M13" s="106">
        <v>9253.5</v>
      </c>
      <c r="N13" s="106">
        <v>9624</v>
      </c>
    </row>
    <row r="14" spans="1:14" x14ac:dyDescent="0.3">
      <c r="D14" s="103" t="s">
        <v>115</v>
      </c>
      <c r="E14" s="112" t="s">
        <v>116</v>
      </c>
      <c r="F14" s="109"/>
      <c r="G14" s="109" t="s">
        <v>111</v>
      </c>
      <c r="H14" s="109"/>
      <c r="I14" s="109"/>
      <c r="J14" s="106">
        <f xml:space="preserve"> J32</f>
        <v>13238.613000000001</v>
      </c>
      <c r="K14" s="106">
        <f t="shared" ref="K14:N14" si="1" xml:space="preserve"> K32</f>
        <v>12604.349601000002</v>
      </c>
      <c r="L14" s="106">
        <f t="shared" si="1"/>
        <v>12478.908100077</v>
      </c>
      <c r="M14" s="106">
        <f t="shared" si="1"/>
        <v>12186.24090376753</v>
      </c>
      <c r="N14" s="106">
        <f t="shared" si="1"/>
        <v>11395.075272604125</v>
      </c>
    </row>
    <row r="15" spans="1:14" x14ac:dyDescent="0.3">
      <c r="D15" s="103" t="s">
        <v>115</v>
      </c>
      <c r="E15" s="121" t="s">
        <v>117</v>
      </c>
      <c r="F15" s="122"/>
      <c r="G15" s="122" t="s">
        <v>111</v>
      </c>
      <c r="H15" s="122"/>
      <c r="I15" s="122"/>
      <c r="J15" s="115" cm="1">
        <f t="array" ref="J15:N15" xml:space="preserve"> _xlfn.LET(
      _xlpm.values,           CaseData!$F$44:$H$48,
      _xlpm.years,            VALUE( RIGHT( CaseData!$B$11:$B$15, 4 ) ),
      _xlpm.countries,        CaseData!$F$4:$I$4,
      _xlpm.current_year,_xlfn.ANCHORARRAY(     $J$3),
      _xlpm.current_country,  $F$5,
      _xlpm.fx_rate,          INDEX( CaseData!$F$8:$I$8, 1, MATCH( _xlpm.current_country, _xlpm.countries, 0 ) ),
      _xlpm.projected,        INDEX( _xlpm.values, MATCH( _xlpm.current_year, _xlpm.years, 0 ), MATCH( _xlpm.current_country, _xlpm.countries, 0  ) ),
      _xlpm.projected / _xlpm.fx_rate )</f>
        <v>8563.5</v>
      </c>
      <c r="K15" s="115">
        <v>8958</v>
      </c>
      <c r="L15" s="115">
        <v>3475.5</v>
      </c>
      <c r="M15" s="115">
        <v>5713.5</v>
      </c>
      <c r="N15" s="115">
        <v>5685</v>
      </c>
    </row>
    <row r="16" spans="1:14" x14ac:dyDescent="0.3">
      <c r="D16" s="103" t="s">
        <v>115</v>
      </c>
      <c r="E16" s="110" t="s">
        <v>87</v>
      </c>
      <c r="F16" s="111"/>
      <c r="G16" s="111" t="s">
        <v>111</v>
      </c>
      <c r="H16" s="111"/>
      <c r="I16" s="111"/>
      <c r="J16" s="114">
        <f>J39</f>
        <v>3500</v>
      </c>
      <c r="K16" s="114">
        <f t="shared" ref="K16:N16" si="2">K39</f>
        <v>3780.0000000000005</v>
      </c>
      <c r="L16" s="114">
        <f t="shared" si="2"/>
        <v>4082.5</v>
      </c>
      <c r="M16" s="114">
        <f t="shared" si="2"/>
        <v>4409</v>
      </c>
      <c r="N16" s="114">
        <f t="shared" si="2"/>
        <v>4761.5</v>
      </c>
    </row>
    <row r="17" spans="1:14" x14ac:dyDescent="0.3">
      <c r="D17" s="109"/>
      <c r="E17" s="104" t="s">
        <v>118</v>
      </c>
      <c r="F17" s="109"/>
      <c r="G17" s="104" t="s">
        <v>111</v>
      </c>
      <c r="H17" s="104"/>
      <c r="I17" s="104"/>
      <c r="J17" s="113">
        <f xml:space="preserve"> J11 + J13 - J14 - J15 - J16</f>
        <v>19718.886999999999</v>
      </c>
      <c r="K17" s="113">
        <f t="shared" ref="K17:N17" si="3" xml:space="preserve"> K11 + K13 - K14 - K15 - K16</f>
        <v>8643.1503989999983</v>
      </c>
      <c r="L17" s="113">
        <f t="shared" si="3"/>
        <v>17736.091899922998</v>
      </c>
      <c r="M17" s="113">
        <f t="shared" si="3"/>
        <v>12915.759096232468</v>
      </c>
      <c r="N17" s="113">
        <f t="shared" si="3"/>
        <v>9646.4247273958754</v>
      </c>
    </row>
    <row r="18" spans="1:14" x14ac:dyDescent="0.3">
      <c r="D18" s="109"/>
      <c r="E18" s="109"/>
      <c r="F18" s="109"/>
      <c r="G18" s="109"/>
      <c r="H18" s="109"/>
      <c r="I18" s="109"/>
    </row>
    <row r="19" spans="1:14" x14ac:dyDescent="0.3">
      <c r="D19" s="103" t="s">
        <v>115</v>
      </c>
      <c r="E19" s="111" t="s">
        <v>119</v>
      </c>
      <c r="F19" s="111"/>
      <c r="G19" s="111" t="s">
        <v>111</v>
      </c>
      <c r="H19" s="111"/>
      <c r="I19" s="111"/>
      <c r="J19" s="114">
        <f>J43</f>
        <v>19718.886999999999</v>
      </c>
      <c r="K19" s="114">
        <f t="shared" ref="K19:N19" si="4">K43</f>
        <v>8643.1503989999983</v>
      </c>
      <c r="L19" s="114">
        <f t="shared" si="4"/>
        <v>17736.091899922998</v>
      </c>
      <c r="M19" s="114">
        <f t="shared" si="4"/>
        <v>12915.759096232468</v>
      </c>
      <c r="N19" s="114">
        <f t="shared" si="4"/>
        <v>6600</v>
      </c>
    </row>
    <row r="20" spans="1:14" x14ac:dyDescent="0.3">
      <c r="D20" s="109"/>
      <c r="E20" s="104" t="s">
        <v>120</v>
      </c>
      <c r="F20" s="109"/>
      <c r="G20" s="104" t="s">
        <v>111</v>
      </c>
      <c r="H20" s="109"/>
      <c r="I20" s="109"/>
      <c r="J20" s="106">
        <f xml:space="preserve"> J17 - J19</f>
        <v>0</v>
      </c>
      <c r="K20" s="106">
        <f t="shared" ref="K20:N20" si="5" xml:space="preserve"> K17 - K19</f>
        <v>0</v>
      </c>
      <c r="L20" s="106">
        <f t="shared" si="5"/>
        <v>0</v>
      </c>
      <c r="M20" s="106">
        <f t="shared" si="5"/>
        <v>0</v>
      </c>
      <c r="N20" s="106">
        <f t="shared" si="5"/>
        <v>3046.4247273958754</v>
      </c>
    </row>
    <row r="21" spans="1:14" x14ac:dyDescent="0.3">
      <c r="D21" s="109"/>
      <c r="E21" s="109"/>
      <c r="F21" s="109"/>
      <c r="G21" s="109"/>
      <c r="H21" s="109"/>
      <c r="I21" s="109"/>
    </row>
    <row r="22" spans="1:14" x14ac:dyDescent="0.3">
      <c r="D22" s="109"/>
      <c r="E22" s="109"/>
      <c r="F22" s="109"/>
      <c r="G22" s="109"/>
      <c r="H22" s="109"/>
      <c r="I22" s="109"/>
    </row>
    <row r="23" spans="1:14" x14ac:dyDescent="0.3">
      <c r="D23" s="109"/>
      <c r="E23" s="109" t="s">
        <v>121</v>
      </c>
      <c r="F23" s="105" cm="1">
        <f t="array" ref="F23" xml:space="preserve"> _xlfn.LET(
      _xlpm.countries,         CaseData!$F$4:$H$4,
      _xlpm.current_country,   $F$5,
      _xlfn.XLOOKUP( _xlpm.current_country, _xlpm.countries, CaseData!$F$6:$H$6, 0, 0 ) )</f>
        <v>0.21</v>
      </c>
      <c r="G23" s="109"/>
      <c r="H23" s="109"/>
      <c r="I23" s="109"/>
    </row>
    <row r="24" spans="1:14" x14ac:dyDescent="0.3">
      <c r="D24" s="109"/>
      <c r="E24" s="109" t="s">
        <v>122</v>
      </c>
      <c r="F24" s="109"/>
      <c r="G24" s="109" t="s">
        <v>111</v>
      </c>
      <c r="H24" s="109"/>
      <c r="I24" s="109"/>
      <c r="J24" s="106">
        <f xml:space="preserve"> $F$23 * J20</f>
        <v>0</v>
      </c>
      <c r="K24" s="106">
        <f t="shared" ref="K24:N24" si="6" xml:space="preserve"> $F$23 * K20</f>
        <v>0</v>
      </c>
      <c r="L24" s="106">
        <f t="shared" si="6"/>
        <v>0</v>
      </c>
      <c r="M24" s="106">
        <f t="shared" si="6"/>
        <v>0</v>
      </c>
      <c r="N24" s="106">
        <f t="shared" si="6"/>
        <v>639.7491927531338</v>
      </c>
    </row>
    <row r="25" spans="1:14" x14ac:dyDescent="0.3">
      <c r="D25" s="109"/>
      <c r="E25" s="111" t="s">
        <v>123</v>
      </c>
      <c r="F25" s="111"/>
      <c r="G25" s="111" t="s">
        <v>111</v>
      </c>
      <c r="H25" s="111"/>
      <c r="I25" s="111"/>
      <c r="J25" s="114">
        <f xml:space="preserve"> J26 - J24</f>
        <v>7743.33</v>
      </c>
      <c r="K25" s="114">
        <f t="shared" ref="K25:N25" si="7" xml:space="preserve"> K26 - K24</f>
        <v>5374.53</v>
      </c>
      <c r="L25" s="114">
        <f t="shared" si="7"/>
        <v>6081.7049999999999</v>
      </c>
      <c r="M25" s="114">
        <f t="shared" si="7"/>
        <v>5453.91</v>
      </c>
      <c r="N25" s="114">
        <f t="shared" si="7"/>
        <v>3951.6908072468659</v>
      </c>
    </row>
    <row r="26" spans="1:14" x14ac:dyDescent="0.3">
      <c r="D26" s="109"/>
      <c r="E26" s="104" t="s">
        <v>124</v>
      </c>
      <c r="F26" s="104"/>
      <c r="G26" s="104" t="s">
        <v>111</v>
      </c>
      <c r="H26" s="104"/>
      <c r="I26" s="104"/>
      <c r="J26" s="113">
        <f xml:space="preserve"> $F$23 * J11</f>
        <v>7743.33</v>
      </c>
      <c r="K26" s="113">
        <f t="shared" ref="K26:N26" si="8" xml:space="preserve"> $F$23 * K11</f>
        <v>5374.53</v>
      </c>
      <c r="L26" s="113">
        <f t="shared" si="8"/>
        <v>6081.7049999999999</v>
      </c>
      <c r="M26" s="113">
        <f t="shared" si="8"/>
        <v>5453.91</v>
      </c>
      <c r="N26" s="113">
        <f t="shared" si="8"/>
        <v>4591.4399999999996</v>
      </c>
    </row>
    <row r="28" spans="1:14" s="117" customFormat="1" ht="14.4" x14ac:dyDescent="0.3">
      <c r="A28" s="116" t="s">
        <v>116</v>
      </c>
      <c r="E28" s="119"/>
      <c r="F28" s="119"/>
      <c r="G28" s="119"/>
      <c r="H28" s="119"/>
      <c r="I28" s="119"/>
    </row>
    <row r="30" spans="1:14" ht="14.4" x14ac:dyDescent="0.3">
      <c r="D30"/>
      <c r="E30" s="109" t="s">
        <v>125</v>
      </c>
      <c r="F30" s="109"/>
      <c r="G30" s="109" t="str" cm="1">
        <f t="array" ref="G30" xml:space="preserve"> $G$9:$G$9</f>
        <v>USD m</v>
      </c>
      <c r="H30" s="109"/>
      <c r="I30" s="109"/>
      <c r="J30" s="120" cm="1">
        <f t="array" ref="J30" xml:space="preserve"> _xlfn.LET(
      _xlpm.countries,         CaseData!$F$4:$H$4,
      _xlpm.current_country,   $F$5,
      _xlfn.XLOOKUP( _xlpm.current_country, _xlpm.countries, CaseData!$F$31:$H$31, 0, 0 ) )</f>
        <v>98265</v>
      </c>
      <c r="K30" s="106">
        <f>J33</f>
        <v>94392.387000000002</v>
      </c>
      <c r="L30" s="106">
        <f t="shared" ref="L30:N30" si="9">K33</f>
        <v>89870.037398999993</v>
      </c>
      <c r="M30" s="106">
        <f t="shared" si="9"/>
        <v>88975.629298922999</v>
      </c>
      <c r="N30" s="106">
        <f t="shared" si="9"/>
        <v>86888.888395155474</v>
      </c>
    </row>
    <row r="31" spans="1:14" x14ac:dyDescent="0.3">
      <c r="D31" s="103" t="s">
        <v>112</v>
      </c>
      <c r="E31" s="112" t="s">
        <v>126</v>
      </c>
      <c r="F31" s="109"/>
      <c r="G31" s="109" t="s">
        <v>111</v>
      </c>
      <c r="H31" s="109" t="s">
        <v>107</v>
      </c>
      <c r="I31" s="109"/>
      <c r="J31" s="115" cm="1">
        <f t="array" ref="J31:N31" xml:space="preserve"> _xlfn.LET(
      _xlpm.values,           CaseData!$F$18:$H$22,
      _xlpm.years,            VALUE( RIGHT( CaseData!$B$11:$B$15, 4 ) ),
      _xlpm.countries,        CaseData!$F$4:$I$4,
      _xlpm.current_year,_xlfn.ANCHORARRAY(     $J$3),
      _xlpm.current_country,  $F$5,
      _xlpm.fx_rate,          INDEX( CaseData!$F$8:$I$8, 1, MATCH( _xlpm.current_country, _xlpm.countries, 0 ) ),
      _xlpm.projected,        INDEX( _xlpm.values, MATCH( _xlpm.current_year, _xlpm.years, 0 ), MATCH( _xlpm.current_country, _xlpm.countries, 0  ) ),
      _xlpm.projected / _xlpm.fx_rate )</f>
        <v>9366</v>
      </c>
      <c r="K31" s="106">
        <v>8082</v>
      </c>
      <c r="L31" s="106">
        <v>11584.5</v>
      </c>
      <c r="M31" s="106">
        <v>10099.5</v>
      </c>
      <c r="N31" s="106">
        <v>5754</v>
      </c>
    </row>
    <row r="32" spans="1:14" x14ac:dyDescent="0.3">
      <c r="D32" s="103" t="s">
        <v>115</v>
      </c>
      <c r="E32" s="110" t="s">
        <v>127</v>
      </c>
      <c r="F32" s="118" cm="1">
        <f t="array" ref="F32" xml:space="preserve"> _xlfn.LET(
      _xlpm.countries,         CaseData!$F$4:$H$4,
      _xlpm.current_country,   $F$5,
      _xlfn.XLOOKUP( _xlpm.current_country, _xlpm.countries, CaseData!$F$33:$H$33, 0, 0 ) )</f>
        <v>0.12300000000000001</v>
      </c>
      <c r="G32" s="111" t="s">
        <v>111</v>
      </c>
      <c r="H32" s="111"/>
      <c r="I32" s="111"/>
      <c r="J32" s="114">
        <f xml:space="preserve"> $F$32 * SUM( J30:J31 )</f>
        <v>13238.613000000001</v>
      </c>
      <c r="K32" s="114">
        <f t="shared" ref="K32:N32" si="10" xml:space="preserve"> $F$32 * SUM( K30:K31 )</f>
        <v>12604.349601000002</v>
      </c>
      <c r="L32" s="114">
        <f t="shared" si="10"/>
        <v>12478.908100077</v>
      </c>
      <c r="M32" s="114">
        <f t="shared" si="10"/>
        <v>12186.24090376753</v>
      </c>
      <c r="N32" s="114">
        <f t="shared" si="10"/>
        <v>11395.075272604125</v>
      </c>
    </row>
    <row r="33" spans="1:14" ht="14.4" x14ac:dyDescent="0.3">
      <c r="D33"/>
      <c r="E33" s="104" t="s">
        <v>128</v>
      </c>
      <c r="F33" s="104"/>
      <c r="G33" s="104" t="s">
        <v>111</v>
      </c>
      <c r="H33" s="104"/>
      <c r="I33" s="104"/>
      <c r="J33" s="113">
        <f xml:space="preserve"> J30 + J31 - J32</f>
        <v>94392.387000000002</v>
      </c>
      <c r="K33" s="113">
        <f t="shared" ref="K33:N33" si="11" xml:space="preserve"> K30 + K31 - K32</f>
        <v>89870.037398999993</v>
      </c>
      <c r="L33" s="113">
        <f t="shared" si="11"/>
        <v>88975.629298922999</v>
      </c>
      <c r="M33" s="113">
        <f t="shared" si="11"/>
        <v>86888.888395155474</v>
      </c>
      <c r="N33" s="113">
        <f t="shared" si="11"/>
        <v>81247.81312255135</v>
      </c>
    </row>
    <row r="35" spans="1:14" s="117" customFormat="1" ht="14.4" x14ac:dyDescent="0.3">
      <c r="A35" s="116" t="s">
        <v>130</v>
      </c>
    </row>
    <row r="37" spans="1:14" x14ac:dyDescent="0.3">
      <c r="E37" s="106" t="s">
        <v>131</v>
      </c>
      <c r="G37" s="109" t="str" cm="1">
        <f t="array" ref="G37" xml:space="preserve"> $G$9:$G$9</f>
        <v>USD m</v>
      </c>
      <c r="J37" s="115" cm="1">
        <f t="array" ref="J37:N37" xml:space="preserve"> _xlfn.LET(
      _xlpm.values,           CaseData!$F$54:$H$58,
      _xlpm.years,            VALUE( RIGHT( CaseData!$B$11:$B$15, 4 ) ),
      _xlpm.countries,        CaseData!$F$4:$I$4,
      _xlpm.current_year,_xlfn.ANCHORARRAY(     $J$3),
      _xlpm.current_country,  $F$5,
      _xlpm.fx_rate,          INDEX( CaseData!$F$8:$I$8, 1, MATCH( _xlpm.current_country, _xlpm.countries, 0 ) ),
      _xlpm.projected,        INDEX( _xlpm.values, MATCH( _xlpm.current_year, _xlpm.years, 0 ), MATCH( _xlpm.current_country, _xlpm.countries, 0  ) ),
      _xlpm.projected / _xlpm.fx_rate )</f>
        <v>3500</v>
      </c>
      <c r="K37" s="106">
        <v>3780.0000000000005</v>
      </c>
      <c r="L37" s="106">
        <v>4082.5</v>
      </c>
      <c r="M37" s="106">
        <v>4409</v>
      </c>
      <c r="N37" s="106">
        <v>4761.5</v>
      </c>
    </row>
    <row r="38" spans="1:14" x14ac:dyDescent="0.3">
      <c r="E38" s="106" t="s">
        <v>85</v>
      </c>
      <c r="F38" s="105" cm="1">
        <f t="array" ref="F38" xml:space="preserve"> _xlfn.LET(
      _xlpm.countries,         CaseData!$F$4:$H$4,
      _xlpm.current_country,   $F$5,
      _xlfn.XLOOKUP( _xlpm.current_country, _xlpm.countries, CaseData!$F$50:$H$50, 0, 0 ) )</f>
        <v>1</v>
      </c>
      <c r="G38" s="106" t="s">
        <v>132</v>
      </c>
      <c r="J38" s="115">
        <f xml:space="preserve"> J37 * $F$38</f>
        <v>3500</v>
      </c>
      <c r="K38" s="115">
        <f t="shared" ref="K38:N38" si="12" xml:space="preserve"> K37 * $F$38</f>
        <v>3780.0000000000005</v>
      </c>
      <c r="L38" s="115">
        <f t="shared" si="12"/>
        <v>4082.5</v>
      </c>
      <c r="M38" s="115">
        <f t="shared" si="12"/>
        <v>4409</v>
      </c>
      <c r="N38" s="115">
        <f t="shared" si="12"/>
        <v>4761.5</v>
      </c>
    </row>
    <row r="39" spans="1:14" x14ac:dyDescent="0.3">
      <c r="E39" s="106" t="s">
        <v>86</v>
      </c>
      <c r="F39" s="123" t="str" cm="1">
        <f t="array" ref="F39" xml:space="preserve"> _xlfn.LET(
      _xlpm.countries,         CaseData!$F$4:$H$4,
      _xlpm.current_country,   $F$5,
      _xlfn.XLOOKUP( _xlpm.current_country, _xlpm.countries, CaseData!$F$51:$H$51, 0, 0 ) )</f>
        <v>No limit</v>
      </c>
      <c r="G39" s="109" t="str" cm="1">
        <f t="array" ref="G39" xml:space="preserve"> $G$9:$G$9</f>
        <v>USD m</v>
      </c>
      <c r="J39" s="106">
        <f xml:space="preserve"> IF( $F$39 = "No limit", J$38, MIN( J38, $F$39 ) )</f>
        <v>3500</v>
      </c>
      <c r="K39" s="106">
        <f t="shared" ref="K39:N39" si="13" xml:space="preserve"> IF( $F$39 = "No limit", K$38, MIN( K38, $F$39 ) )</f>
        <v>3780.0000000000005</v>
      </c>
      <c r="L39" s="106">
        <f t="shared" si="13"/>
        <v>4082.5</v>
      </c>
      <c r="M39" s="106">
        <f t="shared" si="13"/>
        <v>4409</v>
      </c>
      <c r="N39" s="106">
        <f t="shared" si="13"/>
        <v>4761.5</v>
      </c>
    </row>
    <row r="41" spans="1:14" s="108" customFormat="1" x14ac:dyDescent="0.3">
      <c r="A41" s="116" t="s">
        <v>129</v>
      </c>
    </row>
    <row r="43" spans="1:14" x14ac:dyDescent="0.3">
      <c r="E43" s="104" t="s">
        <v>119</v>
      </c>
      <c r="G43" s="104" t="s">
        <v>111</v>
      </c>
      <c r="J43" s="113">
        <f xml:space="preserve"> MIN( J17, SUM( I54:I59 ) )</f>
        <v>19718.886999999999</v>
      </c>
      <c r="K43" s="113">
        <f t="shared" ref="K43:N43" si="14" xml:space="preserve"> MIN( K17, SUM( J54:J59 ) )</f>
        <v>8643.1503989999983</v>
      </c>
      <c r="L43" s="113">
        <f t="shared" si="14"/>
        <v>17736.091899922998</v>
      </c>
      <c r="M43" s="113">
        <f t="shared" si="14"/>
        <v>12915.759096232468</v>
      </c>
      <c r="N43" s="113">
        <f t="shared" si="14"/>
        <v>6600</v>
      </c>
    </row>
    <row r="44" spans="1:14" x14ac:dyDescent="0.3">
      <c r="E44" s="125">
        <v>45291</v>
      </c>
      <c r="G44" s="109" t="s">
        <v>111</v>
      </c>
      <c r="J44" s="106">
        <f xml:space="preserve"> MIN( J43, I54 )</f>
        <v>5137.5</v>
      </c>
      <c r="K44" s="106">
        <f t="shared" ref="K44:N44" si="15" xml:space="preserve"> MIN( K43, J54 )</f>
        <v>0</v>
      </c>
      <c r="L44" s="106">
        <f t="shared" si="15"/>
        <v>0</v>
      </c>
      <c r="M44" s="106">
        <f t="shared" si="15"/>
        <v>0</v>
      </c>
      <c r="N44" s="106">
        <f t="shared" si="15"/>
        <v>0</v>
      </c>
    </row>
    <row r="45" spans="1:14" x14ac:dyDescent="0.3">
      <c r="E45" s="125">
        <v>45657</v>
      </c>
      <c r="G45" s="109" t="s">
        <v>111</v>
      </c>
      <c r="J45" s="120">
        <f xml:space="preserve"> MIN( I55, J$43 - SUM( J$44:J44 ) )</f>
        <v>14581.386999999999</v>
      </c>
      <c r="K45" s="106">
        <f xml:space="preserve"> MIN( J55, K$43 - SUM( K$44:K44 ) )</f>
        <v>6600.1130000000012</v>
      </c>
      <c r="L45" s="106">
        <f xml:space="preserve"> MIN( K55, L$43 - SUM( L$44:L44 ) )</f>
        <v>0</v>
      </c>
      <c r="M45" s="106">
        <f xml:space="preserve"> MIN( L55, M$43 - SUM( M$44:M44 ) )</f>
        <v>0</v>
      </c>
      <c r="N45" s="106">
        <f xml:space="preserve"> MIN( M55, N$43 - SUM( N$44:N44 ) )</f>
        <v>0</v>
      </c>
    </row>
    <row r="46" spans="1:14" x14ac:dyDescent="0.3">
      <c r="E46" s="125">
        <v>46022</v>
      </c>
      <c r="G46" s="109" t="s">
        <v>111</v>
      </c>
      <c r="J46" s="106">
        <f xml:space="preserve"> MIN( I56, J$43 - SUM( J$44:J45 ) )</f>
        <v>0</v>
      </c>
      <c r="K46" s="106">
        <f xml:space="preserve"> MIN( J56, K$43 - SUM( K$44:K45 ) )</f>
        <v>0</v>
      </c>
      <c r="L46" s="106">
        <f xml:space="preserve"> MIN( K56, L$43 - SUM( L$44:L45 ) )</f>
        <v>0</v>
      </c>
      <c r="M46" s="106">
        <f xml:space="preserve"> MIN( L56, M$43 - SUM( M$44:M45 ) )</f>
        <v>0</v>
      </c>
      <c r="N46" s="106">
        <f xml:space="preserve"> MIN( M56, N$43 - SUM( N$44:N45 ) )</f>
        <v>0</v>
      </c>
    </row>
    <row r="47" spans="1:14" x14ac:dyDescent="0.3">
      <c r="E47" s="125">
        <v>46387</v>
      </c>
      <c r="G47" s="109" t="s">
        <v>111</v>
      </c>
      <c r="J47" s="106">
        <f xml:space="preserve"> MIN( I57, J$43 - SUM( J$44:J46 ) )</f>
        <v>0</v>
      </c>
      <c r="K47" s="106">
        <f xml:space="preserve"> MIN( J57, K$43 - SUM( K$44:K46 ) )</f>
        <v>2043.0373989999971</v>
      </c>
      <c r="L47" s="106">
        <f xml:space="preserve"> MIN( K57, L$43 - SUM( L$44:L46 ) )</f>
        <v>16438.462601000003</v>
      </c>
      <c r="M47" s="106">
        <f xml:space="preserve"> MIN( L57, M$43 - SUM( M$44:M46 ) )</f>
        <v>0</v>
      </c>
      <c r="N47" s="106">
        <f xml:space="preserve"> MIN( M57, N$43 - SUM( N$44:N46 ) )</f>
        <v>0</v>
      </c>
    </row>
    <row r="48" spans="1:14" x14ac:dyDescent="0.3">
      <c r="E48" s="125">
        <v>46752</v>
      </c>
      <c r="G48" s="109" t="s">
        <v>111</v>
      </c>
      <c r="J48" s="106">
        <f xml:space="preserve"> MIN( I58, J$43 - SUM( J$44:J47 ) )</f>
        <v>0</v>
      </c>
      <c r="K48" s="106">
        <f xml:space="preserve"> MIN( J58, K$43 - SUM( K$44:K47 ) )</f>
        <v>0</v>
      </c>
      <c r="L48" s="106">
        <f xml:space="preserve"> MIN( K58, L$43 - SUM( L$44:L47 ) )</f>
        <v>1297.6292989229951</v>
      </c>
      <c r="M48" s="106">
        <f xml:space="preserve"> MIN( L58, M$43 - SUM( M$44:M47 ) )</f>
        <v>12422.870701077005</v>
      </c>
      <c r="N48" s="106">
        <f xml:space="preserve"> MIN( M58, N$43 - SUM( N$44:N47 ) )</f>
        <v>0</v>
      </c>
    </row>
    <row r="49" spans="1:14" x14ac:dyDescent="0.3">
      <c r="E49" s="126" t="s">
        <v>133</v>
      </c>
      <c r="G49" s="109" t="s">
        <v>111</v>
      </c>
      <c r="J49" s="106">
        <f xml:space="preserve"> MIN( I59, J$43 - SUM( J$44:J48 ) )</f>
        <v>0</v>
      </c>
      <c r="K49" s="106">
        <f xml:space="preserve"> MIN( J59, K$43 - SUM( K$44:K48 ) )</f>
        <v>0</v>
      </c>
      <c r="L49" s="106">
        <f xml:space="preserve"> MIN( K59, L$43 - SUM( L$44:L48 ) )</f>
        <v>0</v>
      </c>
      <c r="M49" s="106">
        <f xml:space="preserve"> MIN( L59, M$43 - SUM( M$44:M48 ) )</f>
        <v>492.88839515546351</v>
      </c>
      <c r="N49" s="106">
        <f xml:space="preserve"> MIN( M59, N$43 - SUM( N$44:N48 ) )</f>
        <v>6600</v>
      </c>
    </row>
    <row r="52" spans="1:14" x14ac:dyDescent="0.3">
      <c r="J52" s="127" cm="1">
        <f t="array" ref="J52:N52" xml:space="preserve"> YEAR( EOMONTH( start_date, _xlfn.SEQUENCE( 1, periods, 0, 12 ) ) )</f>
        <v>2023</v>
      </c>
      <c r="K52" s="127">
        <v>2024</v>
      </c>
      <c r="L52" s="127">
        <v>2025</v>
      </c>
      <c r="M52" s="127">
        <v>2026</v>
      </c>
      <c r="N52" s="127">
        <v>2027</v>
      </c>
    </row>
    <row r="53" spans="1:14" x14ac:dyDescent="0.3">
      <c r="E53" s="104" t="s">
        <v>134</v>
      </c>
    </row>
    <row r="54" spans="1:14" x14ac:dyDescent="0.3">
      <c r="E54" s="125">
        <v>45291</v>
      </c>
      <c r="G54" s="109" t="s">
        <v>111</v>
      </c>
      <c r="I54" s="108" cm="1">
        <f t="array" ref="I54:I58" xml:space="preserve"> _xlfn.LET(
      _xlpm.values,           CaseData!$F$61:$H$66,
      _xlpm.years,            VALUE( RIGHT( CaseData!$B$11:$B$15, 4 ) ),
      _xlpm.countries,        CaseData!$F$4:$H$4,
      _xlpm.current_year,_xlfn.ANCHORARRAY(     $J$3),
      _xlpm.current_country,  $F$5,
      _xlpm.fx_rate,          INDEX( CaseData!$F$8:$H$8, 1, MATCH( _xlpm.current_country, _xlpm.countries, 0 ) ),
      _xlpm.projected,        INDEX( _xlpm.values, MATCH( _xlpm.current_year, _xlpm.years, 0 ), MATCH( _xlpm.current_country, _xlpm.countries, 0  ) ),
      TRANSPOSE( _xlpm.projected / _xlpm.fx_rate ) )</f>
        <v>5137.5</v>
      </c>
      <c r="J54" s="120">
        <f xml:space="preserve"> IF( J$52 &lt; $E54, I54 - J44, 0 )</f>
        <v>0</v>
      </c>
      <c r="K54" s="106">
        <f t="shared" ref="K54:N54" si="16" xml:space="preserve"> IF( K$52 &lt; $E54, J54 - K44, 0 )</f>
        <v>0</v>
      </c>
      <c r="L54" s="106">
        <f t="shared" si="16"/>
        <v>0</v>
      </c>
      <c r="M54" s="106">
        <f t="shared" si="16"/>
        <v>0</v>
      </c>
      <c r="N54" s="106">
        <f t="shared" si="16"/>
        <v>0</v>
      </c>
    </row>
    <row r="55" spans="1:14" x14ac:dyDescent="0.3">
      <c r="E55" s="125">
        <v>45657</v>
      </c>
      <c r="G55" s="109" t="s">
        <v>111</v>
      </c>
      <c r="I55" s="108">
        <v>21181.5</v>
      </c>
      <c r="J55" s="106">
        <f xml:space="preserve"> IF( J$52 &lt; $E55, I55 - J45, 0 )</f>
        <v>6600.1130000000012</v>
      </c>
      <c r="K55" s="106">
        <f t="shared" ref="K55:N55" si="17" xml:space="preserve"> IF( K$52 &lt; $E55, J55 - K45, 0 )</f>
        <v>0</v>
      </c>
      <c r="L55" s="106">
        <f t="shared" si="17"/>
        <v>0</v>
      </c>
      <c r="M55" s="106">
        <f t="shared" si="17"/>
        <v>0</v>
      </c>
      <c r="N55" s="106">
        <f t="shared" si="17"/>
        <v>0</v>
      </c>
    </row>
    <row r="56" spans="1:14" x14ac:dyDescent="0.3">
      <c r="E56" s="125">
        <v>46022</v>
      </c>
      <c r="G56" s="109" t="s">
        <v>111</v>
      </c>
      <c r="I56" s="108">
        <v>0</v>
      </c>
      <c r="J56" s="106">
        <f t="shared" ref="J56:N58" si="18" xml:space="preserve"> IF( J$52 &lt; $E56, I56 - J46, 0 )</f>
        <v>0</v>
      </c>
      <c r="K56" s="106">
        <f t="shared" si="18"/>
        <v>0</v>
      </c>
      <c r="L56" s="106">
        <f t="shared" si="18"/>
        <v>0</v>
      </c>
      <c r="M56" s="106">
        <f t="shared" si="18"/>
        <v>0</v>
      </c>
      <c r="N56" s="106">
        <f t="shared" si="18"/>
        <v>0</v>
      </c>
    </row>
    <row r="57" spans="1:14" x14ac:dyDescent="0.3">
      <c r="E57" s="125">
        <v>46387</v>
      </c>
      <c r="G57" s="109" t="s">
        <v>111</v>
      </c>
      <c r="I57" s="108">
        <v>18481.5</v>
      </c>
      <c r="J57" s="106">
        <f t="shared" si="18"/>
        <v>18481.5</v>
      </c>
      <c r="K57" s="106">
        <f t="shared" si="18"/>
        <v>16438.462601000003</v>
      </c>
      <c r="L57" s="106">
        <f t="shared" si="18"/>
        <v>0</v>
      </c>
      <c r="M57" s="106">
        <f t="shared" si="18"/>
        <v>0</v>
      </c>
      <c r="N57" s="106">
        <f t="shared" si="18"/>
        <v>0</v>
      </c>
    </row>
    <row r="58" spans="1:14" x14ac:dyDescent="0.3">
      <c r="E58" s="125">
        <v>46752</v>
      </c>
      <c r="G58" s="109" t="s">
        <v>111</v>
      </c>
      <c r="I58" s="108">
        <v>13720.5</v>
      </c>
      <c r="J58" s="106">
        <f t="shared" si="18"/>
        <v>13720.5</v>
      </c>
      <c r="K58" s="106">
        <f t="shared" si="18"/>
        <v>13720.5</v>
      </c>
      <c r="L58" s="106">
        <f t="shared" si="18"/>
        <v>12422.870701077005</v>
      </c>
      <c r="M58" s="106">
        <f t="shared" si="18"/>
        <v>0</v>
      </c>
      <c r="N58" s="106">
        <f t="shared" si="18"/>
        <v>0</v>
      </c>
    </row>
    <row r="59" spans="1:14" x14ac:dyDescent="0.3">
      <c r="E59" s="126" t="s">
        <v>133</v>
      </c>
      <c r="G59" s="109" t="s">
        <v>111</v>
      </c>
      <c r="I59" s="108" cm="1">
        <f t="array" ref="I59:N59" xml:space="preserve"> _xlfn.LET(
      _xlpm.countries,         CaseData!$F$4:$H$4,
      _xlpm.current_country,   $F$5,
      _xlpm.expiring_after,    _xlfn.XLOOKUP( _xlpm.current_country, _xlpm.countries, CaseData!$F$66:$H$66, 0, 0 ),
      _xlpm.fx_rate,           _xlfn.XLOOKUP( _xlpm.current_country, _xlpm.countries, CaseData!$F$8:$H$8, 0, 0 ),
      _xlfn.SEQUENCE( 1, periods + 1, _xlpm.expiring_after / _xlpm.fx_rate, 0 ) )</f>
        <v>6600</v>
      </c>
      <c r="J59" s="106">
        <v>6600</v>
      </c>
      <c r="K59" s="106">
        <v>6600</v>
      </c>
      <c r="L59" s="106">
        <v>6600</v>
      </c>
      <c r="M59" s="106">
        <v>6600</v>
      </c>
      <c r="N59" s="106">
        <v>6600</v>
      </c>
    </row>
    <row r="60" spans="1:14" ht="14.4" x14ac:dyDescent="0.3">
      <c r="E60" s="124"/>
    </row>
    <row r="62" spans="1:14" s="108" customFormat="1" x14ac:dyDescent="0.3">
      <c r="A62" s="95" t="s">
        <v>135</v>
      </c>
    </row>
    <row r="64" spans="1:14" x14ac:dyDescent="0.3">
      <c r="E64" s="128" t="s">
        <v>136</v>
      </c>
      <c r="J64" s="130">
        <f xml:space="preserve"> J24</f>
        <v>0</v>
      </c>
      <c r="K64" s="130">
        <f t="shared" ref="K64:N64" si="19" xml:space="preserve"> K24</f>
        <v>0</v>
      </c>
      <c r="L64" s="130">
        <f t="shared" si="19"/>
        <v>0</v>
      </c>
      <c r="M64" s="130">
        <f t="shared" si="19"/>
        <v>0</v>
      </c>
      <c r="N64" s="130">
        <f t="shared" si="19"/>
        <v>639.7491927531338</v>
      </c>
    </row>
    <row r="65" spans="5:14" ht="14.4" x14ac:dyDescent="0.3">
      <c r="E65"/>
      <c r="I65" s="129" t="str" cm="1">
        <f t="array" ref="I65:I67">TRANSPOSE( CaseData!$F$4:$H$4 )</f>
        <v>U.S.</v>
      </c>
      <c r="J65" s="106">
        <f t="dataTable" ref="J65:N67" dt2D="0" dtr="0" r1="F5" ca="1"/>
        <v>0</v>
      </c>
      <c r="K65" s="106">
        <v>0</v>
      </c>
      <c r="L65" s="106">
        <v>0</v>
      </c>
      <c r="M65" s="106">
        <v>0</v>
      </c>
      <c r="N65" s="106">
        <v>639.7491927531338</v>
      </c>
    </row>
    <row r="66" spans="5:14" ht="14.4" x14ac:dyDescent="0.3">
      <c r="E66"/>
      <c r="I66" s="129" t="str">
        <v>Canada</v>
      </c>
      <c r="J66" s="106">
        <v>0</v>
      </c>
      <c r="K66" s="106">
        <v>0</v>
      </c>
      <c r="L66" s="106">
        <v>0</v>
      </c>
      <c r="M66" s="106">
        <v>0</v>
      </c>
      <c r="N66" s="106">
        <v>0</v>
      </c>
    </row>
    <row r="67" spans="5:14" ht="14.4" x14ac:dyDescent="0.3">
      <c r="E67"/>
      <c r="I67" s="129" t="str">
        <v>Italy</v>
      </c>
      <c r="J67" s="106">
        <v>0</v>
      </c>
      <c r="K67" s="106">
        <v>0</v>
      </c>
      <c r="L67" s="106">
        <v>0</v>
      </c>
      <c r="M67" s="106">
        <v>0</v>
      </c>
      <c r="N67" s="106">
        <v>0</v>
      </c>
    </row>
    <row r="68" spans="5:14" ht="14.4" x14ac:dyDescent="0.3">
      <c r="E68"/>
    </row>
    <row r="69" spans="5:14" ht="14.4" x14ac:dyDescent="0.3">
      <c r="E69"/>
    </row>
    <row r="70" spans="5:14" x14ac:dyDescent="0.3">
      <c r="E70" s="128" t="s">
        <v>137</v>
      </c>
      <c r="J70" s="130">
        <f>J25</f>
        <v>7743.33</v>
      </c>
      <c r="K70" s="130">
        <f t="shared" ref="K70:N70" si="20">K25</f>
        <v>5374.53</v>
      </c>
      <c r="L70" s="130">
        <f t="shared" si="20"/>
        <v>6081.7049999999999</v>
      </c>
      <c r="M70" s="130">
        <f t="shared" si="20"/>
        <v>5453.91</v>
      </c>
      <c r="N70" s="130">
        <f t="shared" si="20"/>
        <v>3951.6908072468659</v>
      </c>
    </row>
    <row r="71" spans="5:14" ht="14.4" x14ac:dyDescent="0.3">
      <c r="E71"/>
      <c r="I71" s="129" t="str" cm="1">
        <f t="array" ref="I71:I73">TRANSPOSE( CaseData!$F$4:$H$4 )</f>
        <v>U.S.</v>
      </c>
      <c r="J71" s="106">
        <f t="dataTable" ref="J71:N73" dt2D="0" dtr="0" r1="F5"/>
        <v>7743.33</v>
      </c>
      <c r="K71" s="106">
        <v>5374.53</v>
      </c>
      <c r="L71" s="106">
        <v>6081.7049999999999</v>
      </c>
      <c r="M71" s="106">
        <v>5453.91</v>
      </c>
      <c r="N71" s="106">
        <v>3951.6908072468659</v>
      </c>
    </row>
    <row r="72" spans="5:14" ht="14.4" x14ac:dyDescent="0.3">
      <c r="E72"/>
      <c r="I72" s="129" t="str">
        <v>Canada</v>
      </c>
      <c r="J72" s="106">
        <v>8662.32</v>
      </c>
      <c r="K72" s="106">
        <v>8297.8919999999998</v>
      </c>
      <c r="L72" s="106">
        <v>8787.93</v>
      </c>
      <c r="M72" s="106">
        <v>7726.1280000000006</v>
      </c>
      <c r="N72" s="106">
        <v>9495.7979999999989</v>
      </c>
    </row>
    <row r="73" spans="5:14" ht="14.4" x14ac:dyDescent="0.3">
      <c r="E73"/>
      <c r="I73" s="129" t="str">
        <v>Italy</v>
      </c>
      <c r="J73" s="106">
        <v>14437.8</v>
      </c>
      <c r="K73" s="106">
        <v>10874.16</v>
      </c>
      <c r="L73" s="106">
        <v>16327.08</v>
      </c>
      <c r="M73" s="106">
        <v>11396.88</v>
      </c>
      <c r="N73" s="106">
        <v>10476.359999999999</v>
      </c>
    </row>
    <row r="74" spans="5:14" ht="14.4" x14ac:dyDescent="0.3">
      <c r="E74"/>
    </row>
    <row r="75" spans="5:14" ht="14.4" x14ac:dyDescent="0.3">
      <c r="E75"/>
    </row>
    <row r="76" spans="5:14" x14ac:dyDescent="0.3">
      <c r="E76" s="128" t="s">
        <v>138</v>
      </c>
      <c r="J76" s="130">
        <f xml:space="preserve"> J26</f>
        <v>7743.33</v>
      </c>
      <c r="K76" s="130">
        <f t="shared" ref="K76:N76" si="21" xml:space="preserve"> K26</f>
        <v>5374.53</v>
      </c>
      <c r="L76" s="130">
        <f t="shared" si="21"/>
        <v>6081.7049999999999</v>
      </c>
      <c r="M76" s="130">
        <f t="shared" si="21"/>
        <v>5453.91</v>
      </c>
      <c r="N76" s="130">
        <f t="shared" si="21"/>
        <v>4591.4399999999996</v>
      </c>
    </row>
    <row r="77" spans="5:14" x14ac:dyDescent="0.3">
      <c r="I77" s="129" t="str" cm="1">
        <f t="array" ref="I77:I79">TRANSPOSE( CaseData!$F$4:$H$4 )</f>
        <v>U.S.</v>
      </c>
      <c r="J77" s="106">
        <f t="dataTable" ref="J77:N79" dt2D="0" dtr="0" r1="F5" ca="1"/>
        <v>7743.33</v>
      </c>
      <c r="K77" s="106">
        <v>5374.53</v>
      </c>
      <c r="L77" s="106">
        <v>6081.7049999999999</v>
      </c>
      <c r="M77" s="106">
        <v>5453.91</v>
      </c>
      <c r="N77" s="106">
        <v>4591.4399999999996</v>
      </c>
    </row>
    <row r="78" spans="5:14" x14ac:dyDescent="0.3">
      <c r="I78" s="129" t="str">
        <v>Canada</v>
      </c>
      <c r="J78" s="106">
        <v>8662.32</v>
      </c>
      <c r="K78" s="106">
        <v>8297.8919999999998</v>
      </c>
      <c r="L78" s="106">
        <v>8787.93</v>
      </c>
      <c r="M78" s="106">
        <v>7726.1280000000006</v>
      </c>
      <c r="N78" s="106">
        <v>9495.7979999999989</v>
      </c>
    </row>
    <row r="79" spans="5:14" x14ac:dyDescent="0.3">
      <c r="I79" s="129" t="str">
        <v>Italy</v>
      </c>
      <c r="J79" s="106">
        <v>14437.8</v>
      </c>
      <c r="K79" s="106">
        <v>10874.16</v>
      </c>
      <c r="L79" s="106">
        <v>16327.08</v>
      </c>
      <c r="M79" s="106">
        <v>11396.88</v>
      </c>
      <c r="N79" s="106">
        <v>10476.359999999999</v>
      </c>
    </row>
    <row r="81" spans="1:1" s="108" customFormat="1" x14ac:dyDescent="0.3">
      <c r="A81" s="95" t="s">
        <v>99</v>
      </c>
    </row>
  </sheetData>
  <printOptions horizontalCentered="1"/>
  <pageMargins left="0.15748031496062992" right="0.15748031496062992" top="0.15748031496062992" bottom="0.39370078740157483" header="0.15748031496062992" footer="0.15748031496062992"/>
  <pageSetup paperSize="9" scale="69" fitToHeight="0" orientation="portrait" r:id="rId1"/>
  <headerFooter>
    <oddFooter>&amp;L&amp;"Arial,Regular"Financial Modeling Institute
CFM October 2026&amp;C&amp;"Arial,Regular"Page &amp;P of &amp;N&amp;R&amp;"Arial,Regular"&amp;D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D1FB061-8FFE-43D7-BCC6-C7D40788EC6C}">
          <x14:formula1>
            <xm:f>CaseData!$F$4:$H$4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4C7E-90CF-4924-B6FC-604E57F269F3}">
  <sheetPr>
    <pageSetUpPr fitToPage="1"/>
  </sheetPr>
  <dimension ref="B2:L70"/>
  <sheetViews>
    <sheetView showGridLines="0" zoomScale="115" zoomScaleNormal="115" workbookViewId="0">
      <selection activeCell="F45" sqref="F45"/>
    </sheetView>
  </sheetViews>
  <sheetFormatPr defaultRowHeight="14.4" x14ac:dyDescent="0.3"/>
  <cols>
    <col min="1" max="1" width="2.77734375" customWidth="1"/>
    <col min="2" max="2" width="12.21875" customWidth="1"/>
    <col min="3" max="5" width="9.77734375" customWidth="1"/>
    <col min="6" max="8" width="12.77734375" customWidth="1"/>
    <col min="9" max="13" width="9.77734375" customWidth="1"/>
  </cols>
  <sheetData>
    <row r="2" spans="2:11" ht="15.6" x14ac:dyDescent="0.3">
      <c r="B2" s="15" t="s">
        <v>55</v>
      </c>
      <c r="C2" s="1"/>
      <c r="D2" s="1"/>
      <c r="E2" s="1"/>
      <c r="F2" s="1"/>
      <c r="G2" s="1"/>
      <c r="H2" s="1"/>
    </row>
    <row r="3" spans="2:11" x14ac:dyDescent="0.3">
      <c r="B3" s="2" t="s">
        <v>0</v>
      </c>
      <c r="C3" s="1"/>
      <c r="D3" s="1"/>
      <c r="E3" s="1"/>
      <c r="F3" s="1"/>
      <c r="G3" s="1"/>
      <c r="H3" s="1"/>
    </row>
    <row r="4" spans="2:11" x14ac:dyDescent="0.3">
      <c r="F4" s="3" t="s">
        <v>1</v>
      </c>
      <c r="G4" s="3" t="s">
        <v>2</v>
      </c>
      <c r="H4" s="3" t="s">
        <v>56</v>
      </c>
      <c r="K4" s="17"/>
    </row>
    <row r="5" spans="2:11" ht="15" x14ac:dyDescent="0.35">
      <c r="F5" s="4" t="s">
        <v>3</v>
      </c>
      <c r="G5" s="4" t="s">
        <v>4</v>
      </c>
      <c r="H5" s="4" t="s">
        <v>5</v>
      </c>
    </row>
    <row r="6" spans="2:11" x14ac:dyDescent="0.3">
      <c r="B6" s="1" t="s">
        <v>6</v>
      </c>
      <c r="C6" s="1"/>
      <c r="F6" s="5">
        <v>0.21</v>
      </c>
      <c r="G6" s="5">
        <v>0.26500000000000001</v>
      </c>
      <c r="H6" s="5">
        <v>0.24</v>
      </c>
    </row>
    <row r="7" spans="2:11" x14ac:dyDescent="0.3">
      <c r="B7" s="1"/>
      <c r="C7" s="1"/>
      <c r="D7" s="6"/>
      <c r="E7" s="6"/>
      <c r="F7" s="6"/>
      <c r="G7" s="6"/>
    </row>
    <row r="8" spans="2:11" x14ac:dyDescent="0.3">
      <c r="B8" s="1" t="s">
        <v>7</v>
      </c>
      <c r="C8" s="1"/>
      <c r="D8" s="6"/>
      <c r="E8" s="6"/>
      <c r="F8" s="7">
        <v>1</v>
      </c>
      <c r="G8" s="12">
        <v>1.25</v>
      </c>
      <c r="H8" s="7">
        <v>1</v>
      </c>
    </row>
    <row r="9" spans="2:11" x14ac:dyDescent="0.3">
      <c r="B9" s="1"/>
      <c r="C9" s="1"/>
      <c r="D9" s="6"/>
      <c r="E9" s="6"/>
      <c r="F9" s="7"/>
      <c r="G9" s="12"/>
      <c r="H9" s="7"/>
    </row>
    <row r="10" spans="2:11" x14ac:dyDescent="0.3">
      <c r="B10" s="1" t="s">
        <v>8</v>
      </c>
      <c r="C10" s="1"/>
      <c r="D10" s="6"/>
      <c r="E10" s="6"/>
      <c r="F10" s="6"/>
      <c r="G10" s="6"/>
    </row>
    <row r="11" spans="2:11" x14ac:dyDescent="0.3">
      <c r="B11" s="8" t="s">
        <v>9</v>
      </c>
      <c r="C11" s="1"/>
      <c r="D11" s="6"/>
      <c r="E11" s="6"/>
      <c r="F11" s="9">
        <v>26760</v>
      </c>
      <c r="G11" s="9">
        <v>40860</v>
      </c>
      <c r="H11" s="16">
        <v>44643</v>
      </c>
      <c r="K11" s="18"/>
    </row>
    <row r="12" spans="2:11" x14ac:dyDescent="0.3">
      <c r="B12" s="8" t="s">
        <v>57</v>
      </c>
      <c r="C12" s="1"/>
      <c r="D12" s="6"/>
      <c r="E12" s="6"/>
      <c r="F12" s="9">
        <v>25593</v>
      </c>
      <c r="G12" s="9">
        <v>39141</v>
      </c>
      <c r="H12" s="16">
        <v>45309</v>
      </c>
      <c r="K12" s="18"/>
    </row>
    <row r="13" spans="2:11" x14ac:dyDescent="0.3">
      <c r="B13" s="8" t="s">
        <v>58</v>
      </c>
      <c r="C13" s="1"/>
      <c r="D13" s="1"/>
      <c r="E13" s="1"/>
      <c r="F13" s="9">
        <v>28960.5</v>
      </c>
      <c r="G13" s="9">
        <v>41452.5</v>
      </c>
      <c r="H13" s="16">
        <v>49378.5</v>
      </c>
      <c r="K13" s="18"/>
    </row>
    <row r="14" spans="2:11" x14ac:dyDescent="0.3">
      <c r="B14" s="8" t="s">
        <v>59</v>
      </c>
      <c r="C14" s="1"/>
      <c r="D14" s="1"/>
      <c r="E14" s="1"/>
      <c r="F14" s="9">
        <v>25971</v>
      </c>
      <c r="G14" s="9">
        <v>36444</v>
      </c>
      <c r="H14" s="16">
        <v>47487</v>
      </c>
      <c r="K14" s="18"/>
    </row>
    <row r="15" spans="2:11" x14ac:dyDescent="0.3">
      <c r="B15" s="8" t="s">
        <v>60</v>
      </c>
      <c r="C15" s="1"/>
      <c r="D15" s="1"/>
      <c r="E15" s="1"/>
      <c r="F15" s="9">
        <v>21864</v>
      </c>
      <c r="G15" s="9">
        <v>44791.5</v>
      </c>
      <c r="H15" s="16">
        <v>43651.5</v>
      </c>
      <c r="K15" s="18"/>
    </row>
    <row r="16" spans="2:11" x14ac:dyDescent="0.3">
      <c r="B16" s="1"/>
      <c r="C16" s="1"/>
      <c r="D16" s="1"/>
      <c r="E16" s="1"/>
      <c r="F16" s="10"/>
      <c r="G16" s="10"/>
      <c r="H16" s="10"/>
    </row>
    <row r="17" spans="2:11" x14ac:dyDescent="0.3">
      <c r="B17" s="1" t="s">
        <v>10</v>
      </c>
      <c r="C17" s="1"/>
      <c r="D17" s="1"/>
      <c r="E17" s="1"/>
      <c r="F17" s="10"/>
      <c r="G17" s="10"/>
      <c r="H17" s="10"/>
    </row>
    <row r="18" spans="2:11" x14ac:dyDescent="0.3">
      <c r="B18" s="8" t="s">
        <v>9</v>
      </c>
      <c r="C18" s="1"/>
      <c r="D18" s="1"/>
      <c r="E18" s="1"/>
      <c r="F18" s="9">
        <v>9366</v>
      </c>
      <c r="G18" s="9">
        <v>14593.5</v>
      </c>
      <c r="H18" s="16">
        <v>24961.5</v>
      </c>
      <c r="K18" s="18"/>
    </row>
    <row r="19" spans="2:11" x14ac:dyDescent="0.3">
      <c r="B19" s="8" t="s">
        <v>57</v>
      </c>
      <c r="C19" s="1"/>
      <c r="D19" s="1"/>
      <c r="E19" s="1"/>
      <c r="F19" s="9">
        <v>8082</v>
      </c>
      <c r="G19" s="9">
        <v>24907.5</v>
      </c>
      <c r="H19" s="16">
        <v>12730.5</v>
      </c>
      <c r="K19" s="18"/>
    </row>
    <row r="20" spans="2:11" x14ac:dyDescent="0.3">
      <c r="B20" s="8" t="s">
        <v>58</v>
      </c>
      <c r="F20" s="9">
        <v>11584.5</v>
      </c>
      <c r="G20" s="9">
        <v>13818</v>
      </c>
      <c r="H20" s="16">
        <v>14715</v>
      </c>
      <c r="K20" s="18"/>
    </row>
    <row r="21" spans="2:11" x14ac:dyDescent="0.3">
      <c r="B21" s="8" t="s">
        <v>59</v>
      </c>
      <c r="F21" s="9">
        <v>10099.5</v>
      </c>
      <c r="G21" s="9">
        <v>14577</v>
      </c>
      <c r="H21" s="16">
        <v>29883</v>
      </c>
      <c r="K21" s="18"/>
    </row>
    <row r="22" spans="2:11" x14ac:dyDescent="0.3">
      <c r="B22" s="8" t="s">
        <v>60</v>
      </c>
      <c r="F22" s="9">
        <v>5754</v>
      </c>
      <c r="G22" s="9">
        <v>24432</v>
      </c>
      <c r="H22" s="16">
        <v>24451.5</v>
      </c>
      <c r="K22" s="18"/>
    </row>
    <row r="23" spans="2:11" x14ac:dyDescent="0.3">
      <c r="F23" s="10"/>
      <c r="G23" s="10"/>
      <c r="H23" s="10"/>
    </row>
    <row r="24" spans="2:11" x14ac:dyDescent="0.3">
      <c r="B24" s="1" t="s">
        <v>11</v>
      </c>
      <c r="C24" s="1"/>
      <c r="F24" s="10"/>
      <c r="G24" s="10"/>
      <c r="H24" s="10"/>
    </row>
    <row r="25" spans="2:11" x14ac:dyDescent="0.3">
      <c r="B25" s="8" t="s">
        <v>9</v>
      </c>
      <c r="C25" s="1"/>
      <c r="F25" s="9">
        <v>8148</v>
      </c>
      <c r="G25" s="9">
        <v>11091</v>
      </c>
      <c r="H25" s="16">
        <v>21466.5</v>
      </c>
      <c r="K25" s="18"/>
    </row>
    <row r="26" spans="2:11" x14ac:dyDescent="0.3">
      <c r="B26" s="8" t="s">
        <v>57</v>
      </c>
      <c r="C26" s="1"/>
      <c r="F26" s="9">
        <v>8392.5</v>
      </c>
      <c r="G26" s="9">
        <v>11535</v>
      </c>
      <c r="H26" s="16">
        <v>22110</v>
      </c>
      <c r="K26" s="18"/>
    </row>
    <row r="27" spans="2:11" x14ac:dyDescent="0.3">
      <c r="B27" s="8" t="s">
        <v>58</v>
      </c>
      <c r="F27" s="9">
        <v>8812.5</v>
      </c>
      <c r="G27" s="9">
        <v>11997</v>
      </c>
      <c r="H27" s="16">
        <v>23436</v>
      </c>
      <c r="K27" s="18"/>
    </row>
    <row r="28" spans="2:11" x14ac:dyDescent="0.3">
      <c r="B28" s="8" t="s">
        <v>59</v>
      </c>
      <c r="F28" s="9">
        <v>9253.5</v>
      </c>
      <c r="G28" s="9">
        <v>12717</v>
      </c>
      <c r="H28" s="16">
        <v>24607.5</v>
      </c>
      <c r="K28" s="18"/>
    </row>
    <row r="29" spans="2:11" x14ac:dyDescent="0.3">
      <c r="B29" s="8" t="s">
        <v>60</v>
      </c>
      <c r="F29" s="9">
        <v>9624</v>
      </c>
      <c r="G29" s="9">
        <v>13225.5</v>
      </c>
      <c r="H29" s="16">
        <v>25345.5</v>
      </c>
      <c r="K29" s="18"/>
    </row>
    <row r="31" spans="2:11" x14ac:dyDescent="0.3">
      <c r="B31" s="1" t="s">
        <v>12</v>
      </c>
      <c r="F31" s="9">
        <v>98265</v>
      </c>
      <c r="G31" s="9">
        <v>128544</v>
      </c>
      <c r="H31" s="16">
        <v>244503</v>
      </c>
    </row>
    <row r="32" spans="2:11" x14ac:dyDescent="0.3">
      <c r="B32" s="1"/>
    </row>
    <row r="33" spans="2:11" x14ac:dyDescent="0.3">
      <c r="B33" s="1" t="s">
        <v>13</v>
      </c>
      <c r="F33" s="11">
        <v>0.12300000000000001</v>
      </c>
      <c r="G33" s="11">
        <v>0.14199999999999999</v>
      </c>
      <c r="H33" s="11">
        <v>0.156</v>
      </c>
    </row>
    <row r="34" spans="2:11" x14ac:dyDescent="0.3">
      <c r="B34" s="1" t="s">
        <v>14</v>
      </c>
    </row>
    <row r="35" spans="2:11" x14ac:dyDescent="0.3">
      <c r="B35" s="1"/>
    </row>
    <row r="36" spans="2:11" x14ac:dyDescent="0.3">
      <c r="B36" s="1" t="s">
        <v>15</v>
      </c>
    </row>
    <row r="37" spans="2:11" x14ac:dyDescent="0.3">
      <c r="B37" s="8" t="s">
        <v>9</v>
      </c>
      <c r="F37" s="9">
        <v>10113</v>
      </c>
      <c r="G37" s="9">
        <v>0</v>
      </c>
      <c r="H37" s="16">
        <v>15514.5</v>
      </c>
      <c r="K37" s="18"/>
    </row>
    <row r="38" spans="2:11" x14ac:dyDescent="0.3">
      <c r="B38" s="8" t="s">
        <v>57</v>
      </c>
      <c r="F38" s="9">
        <v>0</v>
      </c>
      <c r="G38" s="9">
        <v>0</v>
      </c>
      <c r="H38" s="16">
        <v>0</v>
      </c>
      <c r="K38" s="18"/>
    </row>
    <row r="39" spans="2:11" x14ac:dyDescent="0.3">
      <c r="B39" s="8" t="s">
        <v>58</v>
      </c>
      <c r="F39" s="9">
        <v>0</v>
      </c>
      <c r="G39" s="9">
        <v>0</v>
      </c>
      <c r="H39" s="16">
        <v>18651</v>
      </c>
      <c r="K39" s="18"/>
    </row>
    <row r="40" spans="2:11" x14ac:dyDescent="0.3">
      <c r="B40" s="8" t="s">
        <v>59</v>
      </c>
      <c r="F40" s="9">
        <v>0</v>
      </c>
      <c r="G40" s="9">
        <v>0</v>
      </c>
      <c r="H40" s="16">
        <v>0</v>
      </c>
      <c r="K40" s="18"/>
    </row>
    <row r="41" spans="2:11" x14ac:dyDescent="0.3">
      <c r="B41" s="8" t="s">
        <v>60</v>
      </c>
      <c r="F41" s="9">
        <v>0</v>
      </c>
      <c r="G41" s="9">
        <v>0</v>
      </c>
      <c r="H41" s="16">
        <v>0</v>
      </c>
      <c r="K41" s="18"/>
    </row>
    <row r="42" spans="2:11" x14ac:dyDescent="0.3">
      <c r="B42" s="1"/>
    </row>
    <row r="43" spans="2:11" x14ac:dyDescent="0.3">
      <c r="B43" s="1" t="s">
        <v>16</v>
      </c>
    </row>
    <row r="44" spans="2:11" x14ac:dyDescent="0.3">
      <c r="B44" s="8" t="s">
        <v>9</v>
      </c>
      <c r="F44" s="9">
        <v>8563.5</v>
      </c>
      <c r="G44" s="9">
        <v>11032.5</v>
      </c>
      <c r="H44" s="16">
        <v>9054</v>
      </c>
      <c r="K44" s="18"/>
    </row>
    <row r="45" spans="2:11" x14ac:dyDescent="0.3">
      <c r="B45" s="8" t="s">
        <v>57</v>
      </c>
      <c r="F45" s="9">
        <v>8958</v>
      </c>
      <c r="G45" s="9">
        <v>12525</v>
      </c>
      <c r="H45" s="16">
        <v>5326.5</v>
      </c>
      <c r="K45" s="18"/>
    </row>
    <row r="46" spans="2:11" x14ac:dyDescent="0.3">
      <c r="B46" s="8" t="s">
        <v>58</v>
      </c>
      <c r="F46" s="9">
        <v>3475.5</v>
      </c>
      <c r="G46" s="9">
        <v>9120</v>
      </c>
      <c r="H46" s="16">
        <v>15805.5</v>
      </c>
      <c r="K46" s="18"/>
    </row>
    <row r="47" spans="2:11" x14ac:dyDescent="0.3">
      <c r="B47" s="8" t="s">
        <v>59</v>
      </c>
      <c r="F47" s="9">
        <v>5713.5</v>
      </c>
      <c r="G47" s="9">
        <v>6559.5</v>
      </c>
      <c r="H47" s="16">
        <v>10455</v>
      </c>
      <c r="K47" s="18"/>
    </row>
    <row r="48" spans="2:11" x14ac:dyDescent="0.3">
      <c r="B48" s="8" t="s">
        <v>60</v>
      </c>
      <c r="F48" s="9">
        <v>5685</v>
      </c>
      <c r="G48" s="9">
        <v>14781</v>
      </c>
      <c r="H48" s="16">
        <v>14463</v>
      </c>
      <c r="K48" s="18"/>
    </row>
    <row r="49" spans="2:12" x14ac:dyDescent="0.3">
      <c r="B49" s="1"/>
    </row>
    <row r="50" spans="2:12" x14ac:dyDescent="0.3">
      <c r="B50" s="1" t="s">
        <v>85</v>
      </c>
      <c r="F50" s="11">
        <v>1</v>
      </c>
      <c r="G50" s="11">
        <v>0.35</v>
      </c>
      <c r="H50" s="11">
        <v>0.2</v>
      </c>
    </row>
    <row r="51" spans="2:12" x14ac:dyDescent="0.3">
      <c r="B51" s="1" t="s">
        <v>86</v>
      </c>
      <c r="F51" s="9" t="s">
        <v>61</v>
      </c>
      <c r="G51" s="9">
        <v>3000</v>
      </c>
      <c r="H51" s="16">
        <v>4000</v>
      </c>
    </row>
    <row r="52" spans="2:12" x14ac:dyDescent="0.3">
      <c r="B52" s="1"/>
    </row>
    <row r="53" spans="2:12" x14ac:dyDescent="0.3">
      <c r="B53" s="1" t="s">
        <v>87</v>
      </c>
    </row>
    <row r="54" spans="2:12" x14ac:dyDescent="0.3">
      <c r="B54" s="8" t="s">
        <v>9</v>
      </c>
      <c r="F54" s="9">
        <v>3500</v>
      </c>
      <c r="G54" s="9">
        <v>7500</v>
      </c>
      <c r="H54" s="16">
        <v>16750</v>
      </c>
      <c r="I54" s="13"/>
      <c r="J54" s="13"/>
      <c r="K54" s="18"/>
      <c r="L54" s="14"/>
    </row>
    <row r="55" spans="2:12" x14ac:dyDescent="0.3">
      <c r="B55" s="8" t="s">
        <v>57</v>
      </c>
      <c r="F55" s="9">
        <v>3780.0000000000005</v>
      </c>
      <c r="G55" s="9">
        <v>8100.0000000000009</v>
      </c>
      <c r="H55" s="16">
        <v>18090</v>
      </c>
      <c r="I55" s="13"/>
      <c r="J55" s="13"/>
      <c r="K55" s="18"/>
      <c r="L55" s="14"/>
    </row>
    <row r="56" spans="2:12" x14ac:dyDescent="0.3">
      <c r="B56" s="8" t="s">
        <v>58</v>
      </c>
      <c r="F56" s="9">
        <v>4082.5</v>
      </c>
      <c r="G56" s="9">
        <v>8748.0000000000018</v>
      </c>
      <c r="H56" s="16">
        <v>19537</v>
      </c>
      <c r="I56" s="13"/>
      <c r="J56" s="13"/>
      <c r="K56" s="18"/>
      <c r="L56" s="14"/>
    </row>
    <row r="57" spans="2:12" x14ac:dyDescent="0.3">
      <c r="B57" s="8" t="s">
        <v>59</v>
      </c>
      <c r="F57" s="9">
        <v>4409</v>
      </c>
      <c r="G57" s="9">
        <v>9447</v>
      </c>
      <c r="H57" s="16">
        <v>21100</v>
      </c>
      <c r="I57" s="13"/>
      <c r="J57" s="13"/>
      <c r="K57" s="18"/>
      <c r="L57" s="14"/>
    </row>
    <row r="58" spans="2:12" x14ac:dyDescent="0.3">
      <c r="B58" s="8" t="s">
        <v>60</v>
      </c>
      <c r="F58" s="9">
        <v>4761.5</v>
      </c>
      <c r="G58" s="9">
        <v>10203.5</v>
      </c>
      <c r="H58" s="16">
        <v>22788.5</v>
      </c>
      <c r="I58" s="13"/>
      <c r="J58" s="13"/>
      <c r="K58" s="18"/>
      <c r="L58" s="14"/>
    </row>
    <row r="60" spans="2:12" x14ac:dyDescent="0.3">
      <c r="B60" s="1" t="s">
        <v>88</v>
      </c>
    </row>
    <row r="61" spans="2:12" x14ac:dyDescent="0.3">
      <c r="B61" s="8" t="s">
        <v>17</v>
      </c>
      <c r="F61" s="9">
        <v>5137.5</v>
      </c>
      <c r="G61" s="9">
        <v>36540</v>
      </c>
      <c r="H61" s="16">
        <v>0</v>
      </c>
    </row>
    <row r="62" spans="2:12" x14ac:dyDescent="0.3">
      <c r="B62" s="8" t="s">
        <v>62</v>
      </c>
      <c r="F62" s="9">
        <v>21181.5</v>
      </c>
      <c r="G62" s="9">
        <v>11262</v>
      </c>
      <c r="H62" s="16">
        <v>0</v>
      </c>
    </row>
    <row r="63" spans="2:12" x14ac:dyDescent="0.3">
      <c r="B63" s="8" t="s">
        <v>63</v>
      </c>
      <c r="F63" s="9">
        <v>0</v>
      </c>
      <c r="G63" s="9">
        <v>8085</v>
      </c>
      <c r="H63" s="16">
        <v>147484.5</v>
      </c>
    </row>
    <row r="64" spans="2:12" x14ac:dyDescent="0.3">
      <c r="B64" s="8" t="s">
        <v>64</v>
      </c>
      <c r="F64" s="9">
        <v>18481.5</v>
      </c>
      <c r="G64" s="9">
        <v>14482.5</v>
      </c>
      <c r="H64" s="16">
        <v>0</v>
      </c>
    </row>
    <row r="65" spans="2:8" x14ac:dyDescent="0.3">
      <c r="B65" s="8" t="s">
        <v>65</v>
      </c>
      <c r="F65" s="9">
        <v>13720.5</v>
      </c>
      <c r="G65" s="9">
        <v>25345.5</v>
      </c>
      <c r="H65" s="16">
        <v>0</v>
      </c>
    </row>
    <row r="66" spans="2:8" x14ac:dyDescent="0.3">
      <c r="B66" s="8" t="s">
        <v>18</v>
      </c>
      <c r="F66" s="9">
        <v>6600</v>
      </c>
      <c r="G66" s="9">
        <v>32116.5</v>
      </c>
      <c r="H66" s="16">
        <v>0</v>
      </c>
    </row>
    <row r="68" spans="2:8" x14ac:dyDescent="0.3">
      <c r="B68" s="8" t="s">
        <v>100</v>
      </c>
      <c r="C68" s="96" t="s">
        <v>101</v>
      </c>
      <c r="D68" s="97" t="s">
        <v>102</v>
      </c>
    </row>
    <row r="69" spans="2:8" x14ac:dyDescent="0.3">
      <c r="B69" s="8" t="s">
        <v>103</v>
      </c>
      <c r="C69" s="99">
        <v>45291</v>
      </c>
      <c r="D69" s="97" t="s">
        <v>104</v>
      </c>
    </row>
    <row r="70" spans="2:8" x14ac:dyDescent="0.3">
      <c r="B70" s="8" t="s">
        <v>105</v>
      </c>
      <c r="C70" s="98">
        <v>5</v>
      </c>
      <c r="D70" s="97" t="s">
        <v>106</v>
      </c>
    </row>
  </sheetData>
  <pageMargins left="0.7" right="0.7" top="0.75" bottom="0.75" header="0.3" footer="0.3"/>
  <pageSetup scale="16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AB98-46DF-4B06-8DF8-6C5D4C765EF6}">
  <dimension ref="A2:J241"/>
  <sheetViews>
    <sheetView showGridLines="0" topLeftCell="A59" zoomScaleNormal="100" workbookViewId="0">
      <selection activeCell="F60" sqref="F60"/>
    </sheetView>
  </sheetViews>
  <sheetFormatPr defaultRowHeight="14.4" x14ac:dyDescent="0.3"/>
  <cols>
    <col min="1" max="1" width="2.77734375" customWidth="1"/>
    <col min="2" max="2" width="13.21875" bestFit="1" customWidth="1"/>
    <col min="3" max="5" width="9.77734375" customWidth="1"/>
    <col min="6" max="10" width="12.77734375" customWidth="1"/>
    <col min="11" max="12" width="9.77734375" customWidth="1"/>
  </cols>
  <sheetData>
    <row r="2" spans="1:3" ht="15.6" x14ac:dyDescent="0.3">
      <c r="B2" s="70" t="str">
        <f>CaseData!B2</f>
        <v>BCS Holdings Inc.</v>
      </c>
    </row>
    <row r="3" spans="1:3" x14ac:dyDescent="0.3">
      <c r="B3" s="71" t="str">
        <f>CaseData!B3</f>
        <v>(in thousands, local currency as indicated)</v>
      </c>
    </row>
    <row r="5" spans="1:3" x14ac:dyDescent="0.3">
      <c r="B5" s="31" t="s">
        <v>84</v>
      </c>
    </row>
    <row r="7" spans="1:3" x14ac:dyDescent="0.3">
      <c r="B7" s="19" t="s">
        <v>72</v>
      </c>
      <c r="C7" s="20"/>
    </row>
    <row r="8" spans="1:3" x14ac:dyDescent="0.3">
      <c r="A8" s="21" t="s">
        <v>73</v>
      </c>
      <c r="B8" s="22" t="s">
        <v>74</v>
      </c>
      <c r="C8" s="20"/>
    </row>
    <row r="9" spans="1:3" x14ac:dyDescent="0.3">
      <c r="A9" s="23" t="s">
        <v>75</v>
      </c>
      <c r="B9" s="24" t="s">
        <v>79</v>
      </c>
      <c r="C9" s="24" t="s">
        <v>80</v>
      </c>
    </row>
    <row r="10" spans="1:3" x14ac:dyDescent="0.3">
      <c r="A10" s="25"/>
      <c r="B10" s="26" t="str">
        <f>IF(SUM(E66:E71)=SUM(F66:J71)=TRUE,"Yes","No")</f>
        <v>Yes</v>
      </c>
      <c r="C10" s="26">
        <f>IF(B10="Yes",INDEX($F$21:$J$21,MATCH(0,$F$81:$J$81,0)),"N/A")</f>
        <v>2027</v>
      </c>
    </row>
    <row r="11" spans="1:3" x14ac:dyDescent="0.3">
      <c r="A11" s="23" t="s">
        <v>76</v>
      </c>
      <c r="B11" s="27" t="s">
        <v>81</v>
      </c>
      <c r="C11" s="28"/>
    </row>
    <row r="12" spans="1:3" x14ac:dyDescent="0.3">
      <c r="A12" s="25"/>
      <c r="B12" s="89">
        <f>H241</f>
        <v>0.27978865660397667</v>
      </c>
      <c r="C12" s="29"/>
    </row>
    <row r="13" spans="1:3" x14ac:dyDescent="0.3">
      <c r="A13" s="23" t="s">
        <v>77</v>
      </c>
      <c r="B13" s="27" t="s">
        <v>83</v>
      </c>
      <c r="C13" s="28"/>
    </row>
    <row r="14" spans="1:3" x14ac:dyDescent="0.3">
      <c r="A14" s="25"/>
      <c r="B14" s="30">
        <f>I233</f>
        <v>24576.917999999998</v>
      </c>
      <c r="C14" s="29"/>
    </row>
    <row r="15" spans="1:3" x14ac:dyDescent="0.3">
      <c r="A15" s="23" t="s">
        <v>78</v>
      </c>
      <c r="B15" s="27" t="s">
        <v>82</v>
      </c>
      <c r="C15" s="28"/>
    </row>
    <row r="16" spans="1:3" x14ac:dyDescent="0.3">
      <c r="A16" s="25"/>
      <c r="B16" s="30">
        <f>J227</f>
        <v>19350.192465066197</v>
      </c>
      <c r="C16" s="29"/>
    </row>
    <row r="17" spans="1:10" x14ac:dyDescent="0.3">
      <c r="A17" s="12"/>
      <c r="B17" s="1"/>
    </row>
    <row r="19" spans="1:10" x14ac:dyDescent="0.3">
      <c r="B19" s="31" t="s">
        <v>19</v>
      </c>
    </row>
    <row r="20" spans="1:10" x14ac:dyDescent="0.3">
      <c r="F20" s="85" t="str">
        <f>CaseData!B11</f>
        <v>Fiscal 2023</v>
      </c>
      <c r="G20" s="85" t="str">
        <f>CaseData!B12</f>
        <v>Fiscal 2024</v>
      </c>
      <c r="H20" s="85" t="str">
        <f>CaseData!B13</f>
        <v>Fiscal 2025</v>
      </c>
      <c r="I20" s="85" t="str">
        <f>CaseData!B14</f>
        <v>Fiscal 2026</v>
      </c>
      <c r="J20" s="85" t="str">
        <f>CaseData!B15</f>
        <v>Fiscal 2027</v>
      </c>
    </row>
    <row r="21" spans="1:10" x14ac:dyDescent="0.3">
      <c r="B21" s="32" t="s">
        <v>20</v>
      </c>
      <c r="D21" s="33" t="s">
        <v>21</v>
      </c>
      <c r="E21" s="69">
        <f>CaseData!F6</f>
        <v>0.21</v>
      </c>
      <c r="F21" s="51">
        <f t="shared" ref="F21:I21" si="0">_xlfn.NUMBERVALUE(RIGHT(F20,4))</f>
        <v>2023</v>
      </c>
      <c r="G21" s="51">
        <f t="shared" si="0"/>
        <v>2024</v>
      </c>
      <c r="H21" s="51">
        <f t="shared" si="0"/>
        <v>2025</v>
      </c>
      <c r="I21" s="51">
        <f t="shared" si="0"/>
        <v>2026</v>
      </c>
      <c r="J21" s="51">
        <f>_xlfn.NUMBERVALUE(RIGHT(J20,4))</f>
        <v>2027</v>
      </c>
    </row>
    <row r="22" spans="1:10" x14ac:dyDescent="0.3">
      <c r="B22" s="36" t="s">
        <v>22</v>
      </c>
    </row>
    <row r="23" spans="1:10" x14ac:dyDescent="0.3">
      <c r="B23" s="1" t="s">
        <v>23</v>
      </c>
      <c r="F23" s="67">
        <f>INDEX(CaseData!$F$11:$F$15,MATCH(F$20,CaseData!$B$11:$B$15,0))</f>
        <v>26760</v>
      </c>
      <c r="G23" s="67">
        <f>INDEX(CaseData!$F$11:$F$15,MATCH(G$20,CaseData!$B$11:$B$15,0))</f>
        <v>25593</v>
      </c>
      <c r="H23" s="67">
        <f>INDEX(CaseData!$F$11:$F$15,MATCH(H$20,CaseData!$B$11:$B$15,0))</f>
        <v>28960.5</v>
      </c>
      <c r="I23" s="67">
        <f>INDEX(CaseData!$F$11:$F$15,MATCH(I$20,CaseData!$B$11:$B$15,0))</f>
        <v>25971</v>
      </c>
      <c r="J23" s="67">
        <f>INDEX(CaseData!$F$11:$F$15,MATCH(J$20,CaseData!$B$11:$B$15,0))</f>
        <v>21864</v>
      </c>
    </row>
    <row r="24" spans="1:10" x14ac:dyDescent="0.3">
      <c r="B24" s="1" t="s">
        <v>24</v>
      </c>
      <c r="F24" s="68">
        <f>INDEX(CaseData!$F$37:$F$41,MATCH(F$20,CaseData!$B$37:$B$41,0))</f>
        <v>10113</v>
      </c>
      <c r="G24" s="68">
        <f>INDEX(CaseData!$F$37:$F$41,MATCH(G$20,CaseData!$B$37:$B$41,0))</f>
        <v>0</v>
      </c>
      <c r="H24" s="68">
        <f>INDEX(CaseData!$F$37:$F$41,MATCH(H$20,CaseData!$B$37:$B$41,0))</f>
        <v>0</v>
      </c>
      <c r="I24" s="68">
        <f>INDEX(CaseData!$F$37:$F$41,MATCH(I$20,CaseData!$B$37:$B$41,0))</f>
        <v>0</v>
      </c>
      <c r="J24" s="68">
        <f>INDEX(CaseData!$F$37:$F$41,MATCH(J$20,CaseData!$B$37:$B$41,0))</f>
        <v>0</v>
      </c>
    </row>
    <row r="25" spans="1:10" x14ac:dyDescent="0.3">
      <c r="B25" s="38" t="s">
        <v>25</v>
      </c>
      <c r="F25" s="39">
        <f>SUM(F23:F24)</f>
        <v>36873</v>
      </c>
      <c r="G25" s="39">
        <f>SUM(G23:G24)</f>
        <v>25593</v>
      </c>
      <c r="H25" s="39">
        <f>SUM(H23:H24)</f>
        <v>28960.5</v>
      </c>
      <c r="I25" s="39">
        <f>SUM(I23:I24)</f>
        <v>25971</v>
      </c>
      <c r="J25" s="39">
        <f>SUM(J23:J24)</f>
        <v>21864</v>
      </c>
    </row>
    <row r="27" spans="1:10" x14ac:dyDescent="0.3">
      <c r="B27" s="1" t="s">
        <v>26</v>
      </c>
      <c r="F27" s="67">
        <f>INDEX(CaseData!$F$25:$F$29,MATCH(F$20,CaseData!$B$25:$B$29,0))</f>
        <v>8148</v>
      </c>
      <c r="G27" s="67">
        <f>INDEX(CaseData!$F$25:$F$29,MATCH(G$20,CaseData!$B$25:$B$29,0))</f>
        <v>8392.5</v>
      </c>
      <c r="H27" s="67">
        <f>INDEX(CaseData!$F$25:$F$29,MATCH(H$20,CaseData!$B$25:$B$29,0))</f>
        <v>8812.5</v>
      </c>
      <c r="I27" s="67">
        <f>INDEX(CaseData!$F$25:$F$29,MATCH(I$20,CaseData!$B$25:$B$29,0))</f>
        <v>9253.5</v>
      </c>
      <c r="J27" s="67">
        <f>INDEX(CaseData!$F$25:$F$29,MATCH(J$20,CaseData!$B$25:$B$29,0))</f>
        <v>9624</v>
      </c>
    </row>
    <row r="28" spans="1:10" x14ac:dyDescent="0.3">
      <c r="B28" s="1" t="s">
        <v>27</v>
      </c>
      <c r="F28" s="9">
        <f>F45</f>
        <v>-13238.613000000001</v>
      </c>
      <c r="G28" s="9">
        <f>G45</f>
        <v>-12604.349601000002</v>
      </c>
      <c r="H28" s="9">
        <f>H45</f>
        <v>-12478.908100077</v>
      </c>
      <c r="I28" s="9">
        <f>I45</f>
        <v>-12186.24090376753</v>
      </c>
      <c r="J28" s="9">
        <f>J45</f>
        <v>-11395.075272604125</v>
      </c>
    </row>
    <row r="29" spans="1:10" x14ac:dyDescent="0.3">
      <c r="B29" s="1" t="s">
        <v>28</v>
      </c>
      <c r="F29" s="67">
        <f>-INDEX(CaseData!$F$44:$F$48,MATCH(F$20,CaseData!$B$44:$B$48,0))</f>
        <v>-8563.5</v>
      </c>
      <c r="G29" s="67">
        <f>-INDEX(CaseData!$F$44:$F$48,MATCH(G$20,CaseData!$B$44:$B$48,0))</f>
        <v>-8958</v>
      </c>
      <c r="H29" s="67">
        <f>-INDEX(CaseData!$F$44:$F$48,MATCH(H$20,CaseData!$B$44:$B$48,0))</f>
        <v>-3475.5</v>
      </c>
      <c r="I29" s="67">
        <f>-INDEX(CaseData!$F$44:$F$48,MATCH(I$20,CaseData!$B$44:$B$48,0))</f>
        <v>-5713.5</v>
      </c>
      <c r="J29" s="67">
        <f>-INDEX(CaseData!$F$44:$F$48,MATCH(J$20,CaseData!$B$44:$B$48,0))</f>
        <v>-5685</v>
      </c>
    </row>
    <row r="30" spans="1:10" x14ac:dyDescent="0.3">
      <c r="B30" s="1" t="s">
        <v>93</v>
      </c>
      <c r="F30" s="37">
        <f>-F56</f>
        <v>-3500</v>
      </c>
      <c r="G30" s="37">
        <f>-G56</f>
        <v>-3780.0000000000005</v>
      </c>
      <c r="H30" s="37">
        <f>-H56</f>
        <v>-4082.5</v>
      </c>
      <c r="I30" s="37">
        <f>-I56</f>
        <v>-4409</v>
      </c>
      <c r="J30" s="37">
        <f>-J56</f>
        <v>-4761.5</v>
      </c>
    </row>
    <row r="31" spans="1:10" x14ac:dyDescent="0.3">
      <c r="B31" s="38" t="s">
        <v>89</v>
      </c>
      <c r="F31" s="39">
        <f>SUM(F25:F30)</f>
        <v>19718.886999999999</v>
      </c>
      <c r="G31" s="39">
        <f>SUM(G25:G30)</f>
        <v>8643.1503989999983</v>
      </c>
      <c r="H31" s="39">
        <f>SUM(H25:H30)</f>
        <v>17736.091899922998</v>
      </c>
      <c r="I31" s="39">
        <f>SUM(I25:I30)</f>
        <v>12915.759096232468</v>
      </c>
      <c r="J31" s="39">
        <f>SUM(J25:J30)</f>
        <v>9646.4247273958754</v>
      </c>
    </row>
    <row r="33" spans="2:10" x14ac:dyDescent="0.3">
      <c r="B33" s="1" t="s">
        <v>90</v>
      </c>
      <c r="F33" s="37">
        <f>-F72</f>
        <v>-19718.886999999999</v>
      </c>
      <c r="G33" s="37">
        <f>-G72</f>
        <v>-8643.1503989999983</v>
      </c>
      <c r="H33" s="37">
        <f>-H72</f>
        <v>-17736.091899922998</v>
      </c>
      <c r="I33" s="37">
        <f>-I72</f>
        <v>-12915.759096232468</v>
      </c>
      <c r="J33" s="37">
        <f>-J72</f>
        <v>-6107.1116048445365</v>
      </c>
    </row>
    <row r="34" spans="2:10" x14ac:dyDescent="0.3">
      <c r="B34" s="38" t="s">
        <v>91</v>
      </c>
      <c r="F34" s="39">
        <f>SUM(F31:F33)</f>
        <v>0</v>
      </c>
      <c r="G34" s="39">
        <f>SUM(G31:G33)</f>
        <v>0</v>
      </c>
      <c r="H34" s="39">
        <f>SUM(H31:H33)</f>
        <v>0</v>
      </c>
      <c r="I34" s="39">
        <f>SUM(I31:I33)</f>
        <v>0</v>
      </c>
      <c r="J34" s="39">
        <f>SUM(J31:J33)</f>
        <v>3539.3131225513389</v>
      </c>
    </row>
    <row r="36" spans="2:10" x14ac:dyDescent="0.3">
      <c r="B36" s="36" t="s">
        <v>29</v>
      </c>
    </row>
    <row r="37" spans="2:10" x14ac:dyDescent="0.3">
      <c r="B37" s="1" t="s">
        <v>30</v>
      </c>
      <c r="F37" s="9">
        <f>$E$21*F34</f>
        <v>0</v>
      </c>
      <c r="G37" s="9">
        <f>$E$21*G34</f>
        <v>0</v>
      </c>
      <c r="H37" s="9">
        <f>$E$21*H34</f>
        <v>0</v>
      </c>
      <c r="I37" s="9">
        <f>$E$21*I34</f>
        <v>0</v>
      </c>
      <c r="J37" s="9">
        <f>$E$21*J34</f>
        <v>743.25575573578112</v>
      </c>
    </row>
    <row r="38" spans="2:10" x14ac:dyDescent="0.3">
      <c r="B38" s="1" t="s">
        <v>31</v>
      </c>
      <c r="F38" s="37">
        <f>F39-F37</f>
        <v>7743.33</v>
      </c>
      <c r="G38" s="37">
        <f>G39-G37</f>
        <v>5374.53</v>
      </c>
      <c r="H38" s="37">
        <f>H39-H37</f>
        <v>6081.7049999999999</v>
      </c>
      <c r="I38" s="37">
        <f>I39-I37</f>
        <v>5453.91</v>
      </c>
      <c r="J38" s="37">
        <f>J39-J37</f>
        <v>3848.1842442642183</v>
      </c>
    </row>
    <row r="39" spans="2:10" x14ac:dyDescent="0.3">
      <c r="B39" s="38" t="s">
        <v>32</v>
      </c>
      <c r="F39" s="39">
        <f>$E$21*F25</f>
        <v>7743.33</v>
      </c>
      <c r="G39" s="39">
        <f>$E$21*G25</f>
        <v>5374.53</v>
      </c>
      <c r="H39" s="39">
        <f>$E$21*H25</f>
        <v>6081.7049999999999</v>
      </c>
      <c r="I39" s="39">
        <f>$E$21*I25</f>
        <v>5453.91</v>
      </c>
      <c r="J39" s="39">
        <f>$E$21*J25</f>
        <v>4591.4399999999996</v>
      </c>
    </row>
    <row r="42" spans="2:10" x14ac:dyDescent="0.3">
      <c r="B42" s="36" t="s">
        <v>33</v>
      </c>
      <c r="D42" s="33" t="s">
        <v>34</v>
      </c>
      <c r="E42" s="69">
        <f>CaseData!F33</f>
        <v>0.12300000000000001</v>
      </c>
    </row>
    <row r="43" spans="2:10" x14ac:dyDescent="0.3">
      <c r="B43" s="1" t="s">
        <v>35</v>
      </c>
      <c r="F43" s="9">
        <f>E46</f>
        <v>98265</v>
      </c>
      <c r="G43" s="9">
        <f>F46</f>
        <v>94392.387000000002</v>
      </c>
      <c r="H43" s="9">
        <f>G46</f>
        <v>89870.037398999993</v>
      </c>
      <c r="I43" s="9">
        <f>H46</f>
        <v>88975.629298922999</v>
      </c>
      <c r="J43" s="9">
        <f>I46</f>
        <v>86888.888395155474</v>
      </c>
    </row>
    <row r="44" spans="2:10" x14ac:dyDescent="0.3">
      <c r="B44" s="1" t="s">
        <v>36</v>
      </c>
      <c r="F44" s="67">
        <f>INDEX(CaseData!$F$18:$F$22,MATCH(F$20,CaseData!$B$18:$B$22,0))</f>
        <v>9366</v>
      </c>
      <c r="G44" s="67">
        <f>INDEX(CaseData!$F$18:$F$22,MATCH(G$20,CaseData!$B$18:$B$22,0))</f>
        <v>8082</v>
      </c>
      <c r="H44" s="67">
        <f>INDEX(CaseData!$F$18:$F$22,MATCH(H$20,CaseData!$B$18:$B$22,0))</f>
        <v>11584.5</v>
      </c>
      <c r="I44" s="67">
        <f>INDEX(CaseData!$F$18:$F$22,MATCH(I$20,CaseData!$B$18:$B$22,0))</f>
        <v>10099.5</v>
      </c>
      <c r="J44" s="67">
        <f>INDEX(CaseData!$F$18:$F$22,MATCH(J$20,CaseData!$B$18:$B$22,0))</f>
        <v>5754</v>
      </c>
    </row>
    <row r="45" spans="2:10" x14ac:dyDescent="0.3">
      <c r="B45" s="1" t="s">
        <v>37</v>
      </c>
      <c r="E45" s="40"/>
      <c r="F45" s="37">
        <f>-$E$42*SUM(F43:F44)</f>
        <v>-13238.613000000001</v>
      </c>
      <c r="G45" s="37">
        <f>-$E$42*SUM(G43:G44)</f>
        <v>-12604.349601000002</v>
      </c>
      <c r="H45" s="37">
        <f>-$E$42*SUM(H43:H44)</f>
        <v>-12478.908100077</v>
      </c>
      <c r="I45" s="37">
        <f>-$E$42*SUM(I43:I44)</f>
        <v>-12186.24090376753</v>
      </c>
      <c r="J45" s="37">
        <f>-$E$42*SUM(J43:J44)</f>
        <v>-11395.075272604125</v>
      </c>
    </row>
    <row r="46" spans="2:10" x14ac:dyDescent="0.3">
      <c r="B46" s="38" t="s">
        <v>38</v>
      </c>
      <c r="E46" s="72">
        <f>CaseData!F31</f>
        <v>98265</v>
      </c>
      <c r="F46" s="39">
        <f>SUM(F43:F45)</f>
        <v>94392.387000000002</v>
      </c>
      <c r="G46" s="39">
        <f>SUM(G43:G45)</f>
        <v>89870.037398999993</v>
      </c>
      <c r="H46" s="39">
        <f>SUM(H43:H45)</f>
        <v>88975.629298922999</v>
      </c>
      <c r="I46" s="39">
        <f>SUM(I43:I45)</f>
        <v>86888.888395155474</v>
      </c>
      <c r="J46" s="39">
        <f>SUM(J43:J45)</f>
        <v>81247.81312255135</v>
      </c>
    </row>
    <row r="49" spans="2:10" x14ac:dyDescent="0.3">
      <c r="B49" s="36" t="s">
        <v>92</v>
      </c>
    </row>
    <row r="50" spans="2:10" x14ac:dyDescent="0.3">
      <c r="B50" s="1" t="s">
        <v>87</v>
      </c>
      <c r="F50" s="67">
        <f>INDEX(CaseData!$F$54:$F$58,MATCH(F$20,CaseData!$B$54:$B$58,0))</f>
        <v>3500</v>
      </c>
      <c r="G50" s="67">
        <f>INDEX(CaseData!$F$54:$F$58,MATCH(G$20,CaseData!$B$54:$B$58,0))</f>
        <v>3780.0000000000005</v>
      </c>
      <c r="H50" s="67">
        <f>INDEX(CaseData!$F$54:$F$58,MATCH(H$20,CaseData!$B$54:$B$58,0))</f>
        <v>4082.5</v>
      </c>
      <c r="I50" s="67">
        <f>INDEX(CaseData!$F$54:$F$58,MATCH(I$20,CaseData!$B$54:$B$58,0))</f>
        <v>4409</v>
      </c>
      <c r="J50" s="67">
        <f>INDEX(CaseData!$F$54:$F$58,MATCH(J$20,CaseData!$B$54:$B$58,0))</f>
        <v>4761.5</v>
      </c>
    </row>
    <row r="51" spans="2:10" x14ac:dyDescent="0.3">
      <c r="B51" s="1" t="s">
        <v>67</v>
      </c>
      <c r="F51" s="73">
        <f>CaseData!$F$50</f>
        <v>1</v>
      </c>
      <c r="G51" s="73">
        <f>CaseData!$F$50</f>
        <v>1</v>
      </c>
      <c r="H51" s="73">
        <f>CaseData!$F$50</f>
        <v>1</v>
      </c>
      <c r="I51" s="73">
        <f>CaseData!$F$50</f>
        <v>1</v>
      </c>
      <c r="J51" s="73">
        <f>CaseData!$F$50</f>
        <v>1</v>
      </c>
    </row>
    <row r="52" spans="2:10" x14ac:dyDescent="0.3">
      <c r="B52" s="1" t="s">
        <v>68</v>
      </c>
      <c r="F52" s="67" t="str">
        <f>CaseData!$F$51</f>
        <v>No limit</v>
      </c>
      <c r="G52" s="67" t="str">
        <f>CaseData!$F$51</f>
        <v>No limit</v>
      </c>
      <c r="H52" s="67" t="str">
        <f>CaseData!$F$51</f>
        <v>No limit</v>
      </c>
      <c r="I52" s="67" t="str">
        <f>CaseData!$F$51</f>
        <v>No limit</v>
      </c>
      <c r="J52" s="67" t="str">
        <f>CaseData!$F$51</f>
        <v>No limit</v>
      </c>
    </row>
    <row r="53" spans="2:10" x14ac:dyDescent="0.3">
      <c r="B53" s="1"/>
      <c r="F53" s="9"/>
      <c r="G53" s="9"/>
      <c r="H53" s="9"/>
      <c r="I53" s="9"/>
      <c r="J53" s="9"/>
    </row>
    <row r="54" spans="2:10" x14ac:dyDescent="0.3">
      <c r="B54" s="1" t="s">
        <v>69</v>
      </c>
      <c r="F54" s="9">
        <f>F50*F51</f>
        <v>3500</v>
      </c>
      <c r="G54" s="9">
        <f>G50*G51</f>
        <v>3780.0000000000005</v>
      </c>
      <c r="H54" s="9">
        <f>H50*H51</f>
        <v>4082.5</v>
      </c>
      <c r="I54" s="9">
        <f>I50*I51</f>
        <v>4409</v>
      </c>
      <c r="J54" s="9">
        <f>J50*J51</f>
        <v>4761.5</v>
      </c>
    </row>
    <row r="55" spans="2:10" x14ac:dyDescent="0.3">
      <c r="B55" s="1" t="s">
        <v>70</v>
      </c>
      <c r="F55" s="37" t="str">
        <f>F52</f>
        <v>No limit</v>
      </c>
      <c r="G55" s="37" t="str">
        <f>G52</f>
        <v>No limit</v>
      </c>
      <c r="H55" s="37" t="str">
        <f>H52</f>
        <v>No limit</v>
      </c>
      <c r="I55" s="37" t="str">
        <f>I52</f>
        <v>No limit</v>
      </c>
      <c r="J55" s="37" t="str">
        <f>J52</f>
        <v>No limit</v>
      </c>
    </row>
    <row r="56" spans="2:10" x14ac:dyDescent="0.3">
      <c r="B56" s="38" t="s">
        <v>71</v>
      </c>
      <c r="C56" s="41"/>
      <c r="D56" s="41"/>
      <c r="E56" s="41"/>
      <c r="F56" s="39">
        <f>MIN(F54,F55)</f>
        <v>3500</v>
      </c>
      <c r="G56" s="39">
        <f>MIN(G54,G55)</f>
        <v>3780.0000000000005</v>
      </c>
      <c r="H56" s="39">
        <f>MIN(H54,H55)</f>
        <v>4082.5</v>
      </c>
      <c r="I56" s="39">
        <f>MIN(I54,I55)</f>
        <v>4409</v>
      </c>
      <c r="J56" s="39">
        <f>MIN(J54,J55)</f>
        <v>4761.5</v>
      </c>
    </row>
    <row r="57" spans="2:10" x14ac:dyDescent="0.3">
      <c r="B57" s="1"/>
      <c r="F57" s="9"/>
      <c r="G57" s="9"/>
      <c r="H57" s="9"/>
      <c r="I57" s="9"/>
      <c r="J57" s="9"/>
    </row>
    <row r="59" spans="2:10" x14ac:dyDescent="0.3">
      <c r="B59" s="36" t="s">
        <v>39</v>
      </c>
    </row>
    <row r="60" spans="2:10" x14ac:dyDescent="0.3">
      <c r="B60" s="38" t="s">
        <v>89</v>
      </c>
      <c r="F60" s="39">
        <f t="shared" ref="F60:G60" si="1">F31</f>
        <v>19718.886999999999</v>
      </c>
      <c r="G60" s="39">
        <f t="shared" si="1"/>
        <v>8643.1503989999983</v>
      </c>
      <c r="H60" s="39">
        <f>H31</f>
        <v>17736.091899922998</v>
      </c>
      <c r="I60" s="39">
        <f>I31</f>
        <v>12915.759096232468</v>
      </c>
      <c r="J60" s="39">
        <f>J31</f>
        <v>9646.4247273958754</v>
      </c>
    </row>
    <row r="61" spans="2:10" x14ac:dyDescent="0.3">
      <c r="B61" s="42" t="s">
        <v>96</v>
      </c>
      <c r="E61" s="49"/>
    </row>
    <row r="62" spans="2:10" x14ac:dyDescent="0.3">
      <c r="B62" s="92" t="s">
        <v>18</v>
      </c>
      <c r="C62" s="93"/>
      <c r="D62" s="93"/>
      <c r="E62" s="94"/>
      <c r="F62" s="50">
        <f>IF(F60&lt;0,-F60,0)</f>
        <v>0</v>
      </c>
      <c r="G62" s="37">
        <f>IF(G60&lt;0,-G60,0)</f>
        <v>0</v>
      </c>
      <c r="H62" s="37">
        <f>IF(H60&lt;0,-H60,0)</f>
        <v>0</v>
      </c>
      <c r="I62" s="37">
        <f>IF(I60&lt;0,-I60,0)</f>
        <v>0</v>
      </c>
      <c r="J62" s="37">
        <f>IF(J60&lt;0,-J60,0)</f>
        <v>0</v>
      </c>
    </row>
    <row r="63" spans="2:10" x14ac:dyDescent="0.3">
      <c r="B63" s="49" t="s">
        <v>95</v>
      </c>
      <c r="E63" s="39"/>
      <c r="F63" s="39">
        <f>SUM(F62:F62)</f>
        <v>0</v>
      </c>
      <c r="G63" s="39">
        <f>SUM(G62:G62)</f>
        <v>0</v>
      </c>
      <c r="H63" s="39">
        <f>SUM(H62:H62)</f>
        <v>0</v>
      </c>
      <c r="I63" s="39">
        <f>SUM(I62:I62)</f>
        <v>0</v>
      </c>
      <c r="J63" s="39">
        <f>SUM(J62:J62)</f>
        <v>0</v>
      </c>
    </row>
    <row r="64" spans="2:10" x14ac:dyDescent="0.3">
      <c r="B64" s="38"/>
      <c r="F64" s="39"/>
      <c r="G64" s="39"/>
      <c r="H64" s="39"/>
      <c r="I64" s="39"/>
      <c r="J64" s="39"/>
    </row>
    <row r="65" spans="2:10" x14ac:dyDescent="0.3">
      <c r="B65" s="42" t="s">
        <v>40</v>
      </c>
      <c r="E65" s="49"/>
    </row>
    <row r="66" spans="2:10" x14ac:dyDescent="0.3">
      <c r="B66" s="87">
        <f>$F$21</f>
        <v>2023</v>
      </c>
      <c r="C66" s="43"/>
      <c r="D66" s="43"/>
      <c r="E66" s="74">
        <f>CaseData!F61</f>
        <v>5137.5</v>
      </c>
      <c r="F66" s="9">
        <f>MAX(MIN(E75,F$60-SUM(F$65:F65)),0)</f>
        <v>5137.5</v>
      </c>
      <c r="G66" s="9">
        <f>MAX(MIN(F75,G$60-SUM(G$65:G65)),0)</f>
        <v>0</v>
      </c>
      <c r="H66" s="9">
        <f>MAX(MIN(G75,H$60-SUM(H$65:H65)),0)</f>
        <v>0</v>
      </c>
      <c r="I66" s="9">
        <f>MAX(MIN(H75,I$60-SUM(I$65:I65)),0)</f>
        <v>0</v>
      </c>
      <c r="J66" s="9">
        <f>MAX(MIN(I75,J$60-SUM(J$65:J65)),0)</f>
        <v>0</v>
      </c>
    </row>
    <row r="67" spans="2:10" x14ac:dyDescent="0.3">
      <c r="B67" s="88">
        <f>$G$21</f>
        <v>2024</v>
      </c>
      <c r="C67" s="41"/>
      <c r="D67" s="41"/>
      <c r="E67" s="75">
        <f>CaseData!F62</f>
        <v>21181.5</v>
      </c>
      <c r="F67" s="9">
        <f>MAX(MIN(E76,F$60-SUM(F$65:F66)),0)</f>
        <v>14581.386999999999</v>
      </c>
      <c r="G67" s="9">
        <f>MAX(MIN(F76,G$60-SUM(G$65:G66)),0)</f>
        <v>6600.1130000000012</v>
      </c>
      <c r="H67" s="9">
        <f>MAX(MIN(G76,H$60-SUM(H$65:H66)),0)</f>
        <v>0</v>
      </c>
      <c r="I67" s="9">
        <f>MAX(MIN(H76,I$60-SUM(I$65:I66)),0)</f>
        <v>0</v>
      </c>
      <c r="J67" s="9">
        <f>MAX(MIN(I76,J$60-SUM(J$65:J66)),0)</f>
        <v>0</v>
      </c>
    </row>
    <row r="68" spans="2:10" x14ac:dyDescent="0.3">
      <c r="B68" s="88">
        <f>$H$21</f>
        <v>2025</v>
      </c>
      <c r="C68" s="41"/>
      <c r="D68" s="41"/>
      <c r="E68" s="75">
        <f>CaseData!F63</f>
        <v>0</v>
      </c>
      <c r="F68" s="9">
        <f>MAX(MIN(E77,F$60-SUM(F$65:F67)),0)</f>
        <v>0</v>
      </c>
      <c r="G68" s="9">
        <f>MAX(MIN(F77,G$60-SUM(G$65:G67)),0)</f>
        <v>0</v>
      </c>
      <c r="H68" s="9">
        <f>MAX(MIN(G77,H$60-SUM(H$65:H67)),0)</f>
        <v>0</v>
      </c>
      <c r="I68" s="9">
        <f>MAX(MIN(H77,I$60-SUM(I$65:I67)),0)</f>
        <v>0</v>
      </c>
      <c r="J68" s="9">
        <f>MAX(MIN(I77,J$60-SUM(J$65:J67)),0)</f>
        <v>0</v>
      </c>
    </row>
    <row r="69" spans="2:10" x14ac:dyDescent="0.3">
      <c r="B69" s="88">
        <f>$I$21</f>
        <v>2026</v>
      </c>
      <c r="C69" s="41"/>
      <c r="D69" s="41"/>
      <c r="E69" s="75">
        <f>CaseData!F64</f>
        <v>18481.5</v>
      </c>
      <c r="F69" s="9">
        <f>MAX(MIN(E78,F$60-SUM(F$65:F68)),0)</f>
        <v>0</v>
      </c>
      <c r="G69" s="9">
        <f>MAX(MIN(F78,G$60-SUM(G$65:G68)),0)</f>
        <v>2043.0373989999971</v>
      </c>
      <c r="H69" s="9">
        <f>MAX(MIN(G78,H$60-SUM(H$65:H68)),0)</f>
        <v>16438.462601000003</v>
      </c>
      <c r="I69" s="9">
        <f>MAX(MIN(H78,I$60-SUM(I$65:I68)),0)</f>
        <v>0</v>
      </c>
      <c r="J69" s="9">
        <f>MAX(MIN(I78,J$60-SUM(J$65:J68)),0)</f>
        <v>0</v>
      </c>
    </row>
    <row r="70" spans="2:10" x14ac:dyDescent="0.3">
      <c r="B70" s="88">
        <f>$J$21</f>
        <v>2027</v>
      </c>
      <c r="C70" s="41"/>
      <c r="D70" s="41"/>
      <c r="E70" s="75">
        <f>CaseData!F65</f>
        <v>13720.5</v>
      </c>
      <c r="F70" s="9">
        <f>MAX(MIN(E79,F$60-SUM(F$65:F69)),0)</f>
        <v>0</v>
      </c>
      <c r="G70" s="9">
        <f>MAX(MIN(F79,G$60-SUM(G$65:G69)),0)</f>
        <v>0</v>
      </c>
      <c r="H70" s="9">
        <f>MAX(MIN(G79,H$60-SUM(H$65:H69)),0)</f>
        <v>1297.6292989229951</v>
      </c>
      <c r="I70" s="9">
        <f>MAX(MIN(H79,I$60-SUM(I$65:I69)),0)</f>
        <v>12422.870701077005</v>
      </c>
      <c r="J70" s="9">
        <f>MAX(MIN(I79,J$60-SUM(J$65:J69)),0)</f>
        <v>0</v>
      </c>
    </row>
    <row r="71" spans="2:10" x14ac:dyDescent="0.3">
      <c r="B71" s="86" t="s">
        <v>18</v>
      </c>
      <c r="C71" s="47"/>
      <c r="D71" s="47"/>
      <c r="E71" s="76">
        <f>CaseData!F66</f>
        <v>6600</v>
      </c>
      <c r="F71" s="50">
        <f>MAX(MIN(E80,F$60-SUM(F$65:F70)),0)</f>
        <v>0</v>
      </c>
      <c r="G71" s="37">
        <f>MAX(MIN(F80,G$60-SUM(G$65:G70)),0)</f>
        <v>0</v>
      </c>
      <c r="H71" s="37">
        <f>MAX(MIN(G80,H$60-SUM(H$65:H70)),0)</f>
        <v>0</v>
      </c>
      <c r="I71" s="37">
        <f>MAX(MIN(H80,I$60-SUM(I$65:I70)),0)</f>
        <v>492.88839515546351</v>
      </c>
      <c r="J71" s="37">
        <f>MAX(MIN(I80,J$60-SUM(J$65:J70)),0)</f>
        <v>6107.1116048445365</v>
      </c>
    </row>
    <row r="72" spans="2:10" x14ac:dyDescent="0.3">
      <c r="B72" s="49" t="s">
        <v>41</v>
      </c>
      <c r="E72" s="39"/>
      <c r="F72" s="39">
        <f>SUM(F66:F71)</f>
        <v>19718.886999999999</v>
      </c>
      <c r="G72" s="39">
        <f>SUM(G66:G71)</f>
        <v>8643.1503989999983</v>
      </c>
      <c r="H72" s="39">
        <f>SUM(H66:H71)</f>
        <v>17736.091899922998</v>
      </c>
      <c r="I72" s="39">
        <f>SUM(I66:I71)</f>
        <v>12915.759096232468</v>
      </c>
      <c r="J72" s="39">
        <f>SUM(J66:J71)</f>
        <v>6107.1116048445365</v>
      </c>
    </row>
    <row r="74" spans="2:10" x14ac:dyDescent="0.3">
      <c r="B74" s="42" t="s">
        <v>42</v>
      </c>
      <c r="E74" s="49"/>
    </row>
    <row r="75" spans="2:10" x14ac:dyDescent="0.3">
      <c r="B75" s="87">
        <f t="shared" ref="B75:B80" si="2">B66</f>
        <v>2023</v>
      </c>
      <c r="C75" s="43"/>
      <c r="D75" s="91"/>
      <c r="E75" s="44">
        <f t="shared" ref="E75:E80" si="3">E66</f>
        <v>5137.5</v>
      </c>
      <c r="F75" s="9">
        <f>IF($B75&lt;=F$21,0,E75-F66)</f>
        <v>0</v>
      </c>
      <c r="G75" s="9">
        <f t="shared" ref="G75:J75" si="4">IF($B75&lt;=G$21,0,F75-G66)</f>
        <v>0</v>
      </c>
      <c r="H75" s="9">
        <f t="shared" si="4"/>
        <v>0</v>
      </c>
      <c r="I75" s="9">
        <f t="shared" si="4"/>
        <v>0</v>
      </c>
      <c r="J75" s="9">
        <f t="shared" si="4"/>
        <v>0</v>
      </c>
    </row>
    <row r="76" spans="2:10" x14ac:dyDescent="0.3">
      <c r="B76" s="88">
        <f t="shared" si="2"/>
        <v>2024</v>
      </c>
      <c r="C76" s="41"/>
      <c r="D76" s="9"/>
      <c r="E76" s="45">
        <f t="shared" si="3"/>
        <v>21181.5</v>
      </c>
      <c r="F76" s="9">
        <f t="shared" ref="F76:J79" si="5">IF($B76&lt;=F$21,0,E76-F67)</f>
        <v>6600.1130000000012</v>
      </c>
      <c r="G76" s="9">
        <f t="shared" si="5"/>
        <v>0</v>
      </c>
      <c r="H76" s="9">
        <f t="shared" si="5"/>
        <v>0</v>
      </c>
      <c r="I76" s="9">
        <f t="shared" si="5"/>
        <v>0</v>
      </c>
      <c r="J76" s="9">
        <f t="shared" si="5"/>
        <v>0</v>
      </c>
    </row>
    <row r="77" spans="2:10" x14ac:dyDescent="0.3">
      <c r="B77" s="88">
        <f t="shared" si="2"/>
        <v>2025</v>
      </c>
      <c r="C77" s="41"/>
      <c r="D77" s="9"/>
      <c r="E77" s="45">
        <f t="shared" si="3"/>
        <v>0</v>
      </c>
      <c r="F77" s="9">
        <f t="shared" si="5"/>
        <v>0</v>
      </c>
      <c r="G77" s="9">
        <f t="shared" si="5"/>
        <v>0</v>
      </c>
      <c r="H77" s="9">
        <f t="shared" si="5"/>
        <v>0</v>
      </c>
      <c r="I77" s="9">
        <f t="shared" si="5"/>
        <v>0</v>
      </c>
      <c r="J77" s="9">
        <f t="shared" si="5"/>
        <v>0</v>
      </c>
    </row>
    <row r="78" spans="2:10" x14ac:dyDescent="0.3">
      <c r="B78" s="88">
        <f t="shared" si="2"/>
        <v>2026</v>
      </c>
      <c r="C78" s="41"/>
      <c r="D78" s="9"/>
      <c r="E78" s="45">
        <f t="shared" si="3"/>
        <v>18481.5</v>
      </c>
      <c r="F78" s="9">
        <f t="shared" si="5"/>
        <v>18481.5</v>
      </c>
      <c r="G78" s="9">
        <f t="shared" si="5"/>
        <v>16438.462601000003</v>
      </c>
      <c r="H78" s="9">
        <f t="shared" si="5"/>
        <v>0</v>
      </c>
      <c r="I78" s="9">
        <f t="shared" si="5"/>
        <v>0</v>
      </c>
      <c r="J78" s="9">
        <f t="shared" si="5"/>
        <v>0</v>
      </c>
    </row>
    <row r="79" spans="2:10" x14ac:dyDescent="0.3">
      <c r="B79" s="88">
        <f t="shared" si="2"/>
        <v>2027</v>
      </c>
      <c r="C79" s="41"/>
      <c r="D79" s="9"/>
      <c r="E79" s="45">
        <f t="shared" si="3"/>
        <v>13720.5</v>
      </c>
      <c r="F79" s="9">
        <f t="shared" si="5"/>
        <v>13720.5</v>
      </c>
      <c r="G79" s="9">
        <f t="shared" si="5"/>
        <v>13720.5</v>
      </c>
      <c r="H79" s="9">
        <f t="shared" si="5"/>
        <v>12422.870701077005</v>
      </c>
      <c r="I79" s="9">
        <f t="shared" si="5"/>
        <v>0</v>
      </c>
      <c r="J79" s="9">
        <f t="shared" si="5"/>
        <v>0</v>
      </c>
    </row>
    <row r="80" spans="2:10" x14ac:dyDescent="0.3">
      <c r="B80" s="86" t="str">
        <f t="shared" si="2"/>
        <v>Expiring Thereafter</v>
      </c>
      <c r="C80" s="47"/>
      <c r="D80" s="37"/>
      <c r="E80" s="48">
        <f t="shared" si="3"/>
        <v>6600</v>
      </c>
      <c r="F80" s="50">
        <f t="shared" ref="F80:J80" si="6">IF($B80&lt;=F$21,0,E80+F62-F71)</f>
        <v>6600</v>
      </c>
      <c r="G80" s="37">
        <f t="shared" si="6"/>
        <v>6600</v>
      </c>
      <c r="H80" s="37">
        <f t="shared" si="6"/>
        <v>6600</v>
      </c>
      <c r="I80" s="37">
        <f t="shared" si="6"/>
        <v>6107.1116048445365</v>
      </c>
      <c r="J80" s="37">
        <f t="shared" si="6"/>
        <v>0</v>
      </c>
    </row>
    <row r="81" spans="2:10" x14ac:dyDescent="0.3">
      <c r="B81" s="49" t="s">
        <v>43</v>
      </c>
      <c r="E81" s="39"/>
      <c r="F81" s="39">
        <f>SUM(F75:F80)</f>
        <v>45402.112999999998</v>
      </c>
      <c r="G81" s="39">
        <f>SUM(G75:G80)</f>
        <v>36758.962601000007</v>
      </c>
      <c r="H81" s="39">
        <f>SUM(H75:H80)</f>
        <v>19022.870701077005</v>
      </c>
      <c r="I81" s="39">
        <f>SUM(I75:I80)</f>
        <v>6107.1116048445365</v>
      </c>
      <c r="J81" s="39">
        <f>SUM(J75:J80)</f>
        <v>0</v>
      </c>
    </row>
    <row r="82" spans="2:10" x14ac:dyDescent="0.3">
      <c r="F82" s="90"/>
      <c r="G82" s="90"/>
      <c r="H82" s="90"/>
      <c r="I82" s="90"/>
      <c r="J82" s="90"/>
    </row>
    <row r="84" spans="2:10" x14ac:dyDescent="0.3">
      <c r="B84" s="32" t="s">
        <v>44</v>
      </c>
      <c r="D84" s="33" t="s">
        <v>21</v>
      </c>
      <c r="E84" s="69">
        <f>CaseData!G6</f>
        <v>0.26500000000000001</v>
      </c>
      <c r="F84" s="51">
        <f>F21</f>
        <v>2023</v>
      </c>
      <c r="G84" s="35">
        <f>G21</f>
        <v>2024</v>
      </c>
      <c r="H84" s="35">
        <f>H21</f>
        <v>2025</v>
      </c>
      <c r="I84" s="35">
        <f>I21</f>
        <v>2026</v>
      </c>
      <c r="J84" s="35">
        <f>J21</f>
        <v>2027</v>
      </c>
    </row>
    <row r="85" spans="2:10" x14ac:dyDescent="0.3">
      <c r="B85" s="36" t="s">
        <v>22</v>
      </c>
    </row>
    <row r="86" spans="2:10" x14ac:dyDescent="0.3">
      <c r="B86" s="1" t="s">
        <v>23</v>
      </c>
      <c r="F86" s="67">
        <f>INDEX(CaseData!$G$11:$G$15,MATCH(F$20,CaseData!$B$11:$B$15,0))</f>
        <v>40860</v>
      </c>
      <c r="G86" s="67">
        <f>INDEX(CaseData!$G$11:$G$15,MATCH(G$20,CaseData!$B$11:$B$15,0))</f>
        <v>39141</v>
      </c>
      <c r="H86" s="67">
        <f>INDEX(CaseData!$G$11:$G$15,MATCH(H$20,CaseData!$B$11:$B$15,0))</f>
        <v>41452.5</v>
      </c>
      <c r="I86" s="67">
        <f>INDEX(CaseData!$G$11:$G$15,MATCH(I$20,CaseData!$B$11:$B$15,0))</f>
        <v>36444</v>
      </c>
      <c r="J86" s="67">
        <f>INDEX(CaseData!$G$11:$G$15,MATCH(J$20,CaseData!$B$11:$B$15,0))</f>
        <v>44791.5</v>
      </c>
    </row>
    <row r="87" spans="2:10" x14ac:dyDescent="0.3">
      <c r="B87" s="1" t="s">
        <v>24</v>
      </c>
      <c r="F87" s="68">
        <f>INDEX(CaseData!$G$37:$G$41,MATCH(F$20,CaseData!$B$37:$B$41,0))</f>
        <v>0</v>
      </c>
      <c r="G87" s="68">
        <f>INDEX(CaseData!$G$37:$G$41,MATCH(G$20,CaseData!$B$37:$B$41,0))</f>
        <v>0</v>
      </c>
      <c r="H87" s="68">
        <f>INDEX(CaseData!$G$37:$G$41,MATCH(H$20,CaseData!$B$37:$B$41,0))</f>
        <v>0</v>
      </c>
      <c r="I87" s="68">
        <f>INDEX(CaseData!$G$37:$G$41,MATCH(I$20,CaseData!$B$37:$B$41,0))</f>
        <v>0</v>
      </c>
      <c r="J87" s="68">
        <f>INDEX(CaseData!$G$37:$G$41,MATCH(J$20,CaseData!$B$37:$B$41,0))</f>
        <v>0</v>
      </c>
    </row>
    <row r="88" spans="2:10" x14ac:dyDescent="0.3">
      <c r="B88" s="38" t="s">
        <v>25</v>
      </c>
      <c r="F88" s="39">
        <f>SUM(F86:F87)</f>
        <v>40860</v>
      </c>
      <c r="G88" s="39">
        <f>SUM(G86:G87)</f>
        <v>39141</v>
      </c>
      <c r="H88" s="39">
        <f>SUM(H86:H87)</f>
        <v>41452.5</v>
      </c>
      <c r="I88" s="39">
        <f>SUM(I86:I87)</f>
        <v>36444</v>
      </c>
      <c r="J88" s="39">
        <f>SUM(J86:J87)</f>
        <v>44791.5</v>
      </c>
    </row>
    <row r="90" spans="2:10" x14ac:dyDescent="0.3">
      <c r="B90" s="1" t="s">
        <v>26</v>
      </c>
      <c r="F90" s="67">
        <f>INDEX(CaseData!$G$25:$G$29,MATCH(F$20,CaseData!$B$25:$B$29,0))</f>
        <v>11091</v>
      </c>
      <c r="G90" s="67">
        <f>INDEX(CaseData!$G$25:$G$29,MATCH(G$20,CaseData!$B$25:$B$29,0))</f>
        <v>11535</v>
      </c>
      <c r="H90" s="67">
        <f>INDEX(CaseData!$G$25:$G$29,MATCH(H$20,CaseData!$B$25:$B$29,0))</f>
        <v>11997</v>
      </c>
      <c r="I90" s="67">
        <f>INDEX(CaseData!$G$25:$G$29,MATCH(I$20,CaseData!$B$25:$B$29,0))</f>
        <v>12717</v>
      </c>
      <c r="J90" s="67">
        <f>INDEX(CaseData!$G$25:$G$29,MATCH(J$20,CaseData!$B$25:$B$29,0))</f>
        <v>13225.5</v>
      </c>
    </row>
    <row r="91" spans="2:10" x14ac:dyDescent="0.3">
      <c r="B91" s="1" t="s">
        <v>27</v>
      </c>
      <c r="F91" s="9">
        <f>F108</f>
        <v>-20325.524999999998</v>
      </c>
      <c r="G91" s="9">
        <f>G108</f>
        <v>-20976.16545</v>
      </c>
      <c r="H91" s="9">
        <f>H108</f>
        <v>-19959.705956099999</v>
      </c>
      <c r="I91" s="9">
        <f>I108</f>
        <v>-19195.3617103338</v>
      </c>
      <c r="J91" s="9">
        <f>J108</f>
        <v>-19938.964347466397</v>
      </c>
    </row>
    <row r="92" spans="2:10" x14ac:dyDescent="0.3">
      <c r="B92" s="1" t="s">
        <v>28</v>
      </c>
      <c r="F92" s="67">
        <f>-INDEX(CaseData!$G$44:$G$48,MATCH(F$20,CaseData!$B$44:$B$48,0))</f>
        <v>-11032.5</v>
      </c>
      <c r="G92" s="67">
        <f>-INDEX(CaseData!$G$44:$G$48,MATCH(G$20,CaseData!$B$44:$B$48,0))</f>
        <v>-12525</v>
      </c>
      <c r="H92" s="67">
        <f>-INDEX(CaseData!$G$44:$G$48,MATCH(H$20,CaseData!$B$44:$B$48,0))</f>
        <v>-9120</v>
      </c>
      <c r="I92" s="67">
        <f>-INDEX(CaseData!$G$44:$G$48,MATCH(I$20,CaseData!$B$44:$B$48,0))</f>
        <v>-6559.5</v>
      </c>
      <c r="J92" s="67">
        <f>-INDEX(CaseData!$G$44:$G$48,MATCH(J$20,CaseData!$B$44:$B$48,0))</f>
        <v>-14781</v>
      </c>
    </row>
    <row r="93" spans="2:10" x14ac:dyDescent="0.3">
      <c r="B93" s="1" t="s">
        <v>93</v>
      </c>
      <c r="F93" s="37">
        <f>-F119</f>
        <v>-2625</v>
      </c>
      <c r="G93" s="37">
        <f>-G119</f>
        <v>-2835</v>
      </c>
      <c r="H93" s="37">
        <f>-H119</f>
        <v>-3000</v>
      </c>
      <c r="I93" s="37">
        <f>-I119</f>
        <v>-3000</v>
      </c>
      <c r="J93" s="37">
        <f>-J119</f>
        <v>-3000</v>
      </c>
    </row>
    <row r="94" spans="2:10" x14ac:dyDescent="0.3">
      <c r="B94" s="38" t="s">
        <v>89</v>
      </c>
      <c r="F94" s="39">
        <f>SUM(F88:F93)</f>
        <v>17967.975000000002</v>
      </c>
      <c r="G94" s="39">
        <f>SUM(G88:G93)</f>
        <v>14339.83455</v>
      </c>
      <c r="H94" s="39">
        <f>SUM(H88:H93)</f>
        <v>21369.794043900001</v>
      </c>
      <c r="I94" s="39">
        <f>SUM(I88:I93)</f>
        <v>20406.1382896662</v>
      </c>
      <c r="J94" s="39">
        <f>SUM(J88:J93)</f>
        <v>20297.035652533603</v>
      </c>
    </row>
    <row r="96" spans="2:10" x14ac:dyDescent="0.3">
      <c r="B96" s="1" t="s">
        <v>90</v>
      </c>
      <c r="F96" s="37">
        <f>-F135</f>
        <v>-17967.975000000002</v>
      </c>
      <c r="G96" s="37">
        <f>-G135</f>
        <v>-14339.83455</v>
      </c>
      <c r="H96" s="37">
        <f>-H135</f>
        <v>-21369.794043900001</v>
      </c>
      <c r="I96" s="37">
        <f>-I135</f>
        <v>-20406.1382896662</v>
      </c>
      <c r="J96" s="37">
        <f>-J135</f>
        <v>-20297.035652533603</v>
      </c>
    </row>
    <row r="97" spans="2:10" x14ac:dyDescent="0.3">
      <c r="B97" s="38" t="s">
        <v>91</v>
      </c>
      <c r="F97" s="39">
        <f>SUM(F94:F96)</f>
        <v>0</v>
      </c>
      <c r="G97" s="39">
        <f>SUM(G94:G96)</f>
        <v>0</v>
      </c>
      <c r="H97" s="39">
        <f>SUM(H94:H96)</f>
        <v>0</v>
      </c>
      <c r="I97" s="39">
        <f>SUM(I94:I96)</f>
        <v>0</v>
      </c>
      <c r="J97" s="39">
        <f>SUM(J94:J96)</f>
        <v>0</v>
      </c>
    </row>
    <row r="99" spans="2:10" x14ac:dyDescent="0.3">
      <c r="B99" s="36" t="s">
        <v>29</v>
      </c>
    </row>
    <row r="100" spans="2:10" x14ac:dyDescent="0.3">
      <c r="B100" s="1" t="s">
        <v>30</v>
      </c>
      <c r="F100" s="9">
        <f>$E$84*F97</f>
        <v>0</v>
      </c>
      <c r="G100" s="9">
        <f>$E$84*G97</f>
        <v>0</v>
      </c>
      <c r="H100" s="9">
        <f>$E$84*H97</f>
        <v>0</v>
      </c>
      <c r="I100" s="9">
        <f>$E$84*I97</f>
        <v>0</v>
      </c>
      <c r="J100" s="9">
        <f>$E$84*J97</f>
        <v>0</v>
      </c>
    </row>
    <row r="101" spans="2:10" x14ac:dyDescent="0.3">
      <c r="B101" s="1" t="s">
        <v>31</v>
      </c>
      <c r="F101" s="37">
        <f>F102-F100</f>
        <v>10827.9</v>
      </c>
      <c r="G101" s="37">
        <f>G102-G100</f>
        <v>10372.365</v>
      </c>
      <c r="H101" s="37">
        <f>H102-H100</f>
        <v>10984.9125</v>
      </c>
      <c r="I101" s="37">
        <f>I102-I100</f>
        <v>9657.66</v>
      </c>
      <c r="J101" s="37">
        <f>J102-J100</f>
        <v>11869.747500000001</v>
      </c>
    </row>
    <row r="102" spans="2:10" x14ac:dyDescent="0.3">
      <c r="B102" s="38" t="s">
        <v>32</v>
      </c>
      <c r="F102" s="39">
        <f>$E$84*F88</f>
        <v>10827.9</v>
      </c>
      <c r="G102" s="39">
        <f>$E$84*G88</f>
        <v>10372.365</v>
      </c>
      <c r="H102" s="39">
        <f>$E$84*H88</f>
        <v>10984.9125</v>
      </c>
      <c r="I102" s="39">
        <f>$E$84*I88</f>
        <v>9657.66</v>
      </c>
      <c r="J102" s="39">
        <f>$E$84*J88</f>
        <v>11869.747500000001</v>
      </c>
    </row>
    <row r="105" spans="2:10" x14ac:dyDescent="0.3">
      <c r="B105" s="36" t="s">
        <v>33</v>
      </c>
      <c r="D105" s="33" t="s">
        <v>34</v>
      </c>
      <c r="E105" s="69">
        <f>CaseData!G33</f>
        <v>0.14199999999999999</v>
      </c>
    </row>
    <row r="106" spans="2:10" x14ac:dyDescent="0.3">
      <c r="B106" s="1" t="s">
        <v>35</v>
      </c>
      <c r="F106" s="9">
        <f>E109</f>
        <v>128544</v>
      </c>
      <c r="G106" s="9">
        <f>F109</f>
        <v>122811.97500000001</v>
      </c>
      <c r="H106" s="9">
        <f>G109</f>
        <v>126743.30955000001</v>
      </c>
      <c r="I106" s="9">
        <f>H109</f>
        <v>120601.60359390001</v>
      </c>
      <c r="J106" s="9">
        <f>I109</f>
        <v>115983.24188356621</v>
      </c>
    </row>
    <row r="107" spans="2:10" x14ac:dyDescent="0.3">
      <c r="B107" s="1" t="s">
        <v>36</v>
      </c>
      <c r="F107" s="67">
        <f>INDEX(CaseData!$G$18:$G$22,MATCH(F$20,CaseData!$B$18:$B$22,0))</f>
        <v>14593.5</v>
      </c>
      <c r="G107" s="67">
        <f>INDEX(CaseData!$G$18:$G$22,MATCH(G$20,CaseData!$B$18:$B$22,0))</f>
        <v>24907.5</v>
      </c>
      <c r="H107" s="67">
        <f>INDEX(CaseData!$G$18:$G$22,MATCH(H$20,CaseData!$B$18:$B$22,0))</f>
        <v>13818</v>
      </c>
      <c r="I107" s="67">
        <f>INDEX(CaseData!$G$18:$G$22,MATCH(I$20,CaseData!$B$18:$B$22,0))</f>
        <v>14577</v>
      </c>
      <c r="J107" s="67">
        <f>INDEX(CaseData!$G$18:$G$22,MATCH(J$20,CaseData!$B$18:$B$22,0))</f>
        <v>24432</v>
      </c>
    </row>
    <row r="108" spans="2:10" x14ac:dyDescent="0.3">
      <c r="B108" s="1" t="s">
        <v>37</v>
      </c>
      <c r="E108" s="40"/>
      <c r="F108" s="37">
        <f>-$E$105*SUM(F106:F107)</f>
        <v>-20325.524999999998</v>
      </c>
      <c r="G108" s="37">
        <f>-$E$105*SUM(G106:G107)</f>
        <v>-20976.16545</v>
      </c>
      <c r="H108" s="37">
        <f>-$E$105*SUM(H106:H107)</f>
        <v>-19959.705956099999</v>
      </c>
      <c r="I108" s="37">
        <f>-$E$105*SUM(I106:I107)</f>
        <v>-19195.3617103338</v>
      </c>
      <c r="J108" s="37">
        <f>-$E$105*SUM(J106:J107)</f>
        <v>-19938.964347466397</v>
      </c>
    </row>
    <row r="109" spans="2:10" x14ac:dyDescent="0.3">
      <c r="B109" s="38" t="s">
        <v>38</v>
      </c>
      <c r="E109" s="72">
        <f>CaseData!G31</f>
        <v>128544</v>
      </c>
      <c r="F109" s="39">
        <f>SUM(F106:F108)</f>
        <v>122811.97500000001</v>
      </c>
      <c r="G109" s="39">
        <f>SUM(G106:G108)</f>
        <v>126743.30955000001</v>
      </c>
      <c r="H109" s="39">
        <f>SUM(H106:H108)</f>
        <v>120601.60359390001</v>
      </c>
      <c r="I109" s="39">
        <f>SUM(I106:I108)</f>
        <v>115983.24188356621</v>
      </c>
      <c r="J109" s="39">
        <f>SUM(J106:J108)</f>
        <v>120476.27753609981</v>
      </c>
    </row>
    <row r="112" spans="2:10" x14ac:dyDescent="0.3">
      <c r="B112" s="36" t="s">
        <v>92</v>
      </c>
    </row>
    <row r="113" spans="2:10" x14ac:dyDescent="0.3">
      <c r="B113" s="1" t="s">
        <v>87</v>
      </c>
      <c r="F113" s="67">
        <f>INDEX(CaseData!$G$54:$G$58,MATCH(F$20,CaseData!$B$54:$B$58,0))</f>
        <v>7500</v>
      </c>
      <c r="G113" s="67">
        <f>INDEX(CaseData!$G$54:$G$58,MATCH(G$20,CaseData!$B$54:$B$58,0))</f>
        <v>8100.0000000000009</v>
      </c>
      <c r="H113" s="67">
        <f>INDEX(CaseData!$G$54:$G$58,MATCH(H$20,CaseData!$B$54:$B$58,0))</f>
        <v>8748.0000000000018</v>
      </c>
      <c r="I113" s="67">
        <f>INDEX(CaseData!$G$54:$G$58,MATCH(I$20,CaseData!$B$54:$B$58,0))</f>
        <v>9447</v>
      </c>
      <c r="J113" s="67">
        <f>INDEX(CaseData!$G$54:$G$58,MATCH(J$20,CaseData!$B$54:$B$58,0))</f>
        <v>10203.5</v>
      </c>
    </row>
    <row r="114" spans="2:10" x14ac:dyDescent="0.3">
      <c r="B114" s="1" t="s">
        <v>67</v>
      </c>
      <c r="F114" s="73">
        <f>CaseData!$G$50</f>
        <v>0.35</v>
      </c>
      <c r="G114" s="73">
        <f>CaseData!$G$50</f>
        <v>0.35</v>
      </c>
      <c r="H114" s="73">
        <f>CaseData!$G$50</f>
        <v>0.35</v>
      </c>
      <c r="I114" s="73">
        <f>CaseData!$G$50</f>
        <v>0.35</v>
      </c>
      <c r="J114" s="73">
        <f>CaseData!$G$50</f>
        <v>0.35</v>
      </c>
    </row>
    <row r="115" spans="2:10" x14ac:dyDescent="0.3">
      <c r="B115" s="1" t="s">
        <v>68</v>
      </c>
      <c r="F115" s="67">
        <f>CaseData!$G$51</f>
        <v>3000</v>
      </c>
      <c r="G115" s="67">
        <f>CaseData!$G$51</f>
        <v>3000</v>
      </c>
      <c r="H115" s="67">
        <f>CaseData!$G$51</f>
        <v>3000</v>
      </c>
      <c r="I115" s="67">
        <f>CaseData!$G$51</f>
        <v>3000</v>
      </c>
      <c r="J115" s="67">
        <f>CaseData!$G$51</f>
        <v>3000</v>
      </c>
    </row>
    <row r="116" spans="2:10" x14ac:dyDescent="0.3">
      <c r="B116" s="1"/>
      <c r="F116" s="9"/>
      <c r="G116" s="9"/>
      <c r="H116" s="9"/>
      <c r="I116" s="9"/>
      <c r="J116" s="9"/>
    </row>
    <row r="117" spans="2:10" x14ac:dyDescent="0.3">
      <c r="B117" s="1" t="s">
        <v>69</v>
      </c>
      <c r="F117" s="9">
        <f>F113*F114</f>
        <v>2625</v>
      </c>
      <c r="G117" s="9">
        <f>G113*G114</f>
        <v>2835</v>
      </c>
      <c r="H117" s="9">
        <f>H113*H114</f>
        <v>3061.8000000000006</v>
      </c>
      <c r="I117" s="9">
        <f>I113*I114</f>
        <v>3306.45</v>
      </c>
      <c r="J117" s="9">
        <f>J113*J114</f>
        <v>3571.2249999999999</v>
      </c>
    </row>
    <row r="118" spans="2:10" x14ac:dyDescent="0.3">
      <c r="B118" s="1" t="s">
        <v>70</v>
      </c>
      <c r="F118" s="37">
        <f>F115</f>
        <v>3000</v>
      </c>
      <c r="G118" s="37">
        <f>G115</f>
        <v>3000</v>
      </c>
      <c r="H118" s="37">
        <f>H115</f>
        <v>3000</v>
      </c>
      <c r="I118" s="37">
        <f>I115</f>
        <v>3000</v>
      </c>
      <c r="J118" s="37">
        <f>J115</f>
        <v>3000</v>
      </c>
    </row>
    <row r="119" spans="2:10" x14ac:dyDescent="0.3">
      <c r="B119" s="38" t="s">
        <v>71</v>
      </c>
      <c r="C119" s="41"/>
      <c r="D119" s="41"/>
      <c r="E119" s="41"/>
      <c r="F119" s="39">
        <f>MIN(F117,F118)</f>
        <v>2625</v>
      </c>
      <c r="G119" s="39">
        <f>MIN(G117,G118)</f>
        <v>2835</v>
      </c>
      <c r="H119" s="39">
        <f>MIN(H117,H118)</f>
        <v>3000</v>
      </c>
      <c r="I119" s="39">
        <f>MIN(I117,I118)</f>
        <v>3000</v>
      </c>
      <c r="J119" s="39">
        <f>MIN(J117,J118)</f>
        <v>3000</v>
      </c>
    </row>
    <row r="122" spans="2:10" x14ac:dyDescent="0.3">
      <c r="B122" s="36" t="s">
        <v>39</v>
      </c>
    </row>
    <row r="123" spans="2:10" x14ac:dyDescent="0.3">
      <c r="B123" s="38" t="s">
        <v>89</v>
      </c>
      <c r="F123" s="39">
        <f>F94</f>
        <v>17967.975000000002</v>
      </c>
      <c r="G123" s="39">
        <f>G94</f>
        <v>14339.83455</v>
      </c>
      <c r="H123" s="39">
        <f>H94</f>
        <v>21369.794043900001</v>
      </c>
      <c r="I123" s="39">
        <f>I94</f>
        <v>20406.1382896662</v>
      </c>
      <c r="J123" s="39">
        <f>J94</f>
        <v>20297.035652533603</v>
      </c>
    </row>
    <row r="124" spans="2:10" x14ac:dyDescent="0.3">
      <c r="B124" s="42" t="s">
        <v>96</v>
      </c>
      <c r="E124" s="49"/>
    </row>
    <row r="125" spans="2:10" x14ac:dyDescent="0.3">
      <c r="B125" s="92" t="s">
        <v>18</v>
      </c>
      <c r="C125" s="93"/>
      <c r="D125" s="93"/>
      <c r="E125" s="94"/>
      <c r="F125" s="50">
        <f>IF(F123&lt;0,-F123,0)</f>
        <v>0</v>
      </c>
      <c r="G125" s="37">
        <f>IF(G123&lt;0,-G123,0)</f>
        <v>0</v>
      </c>
      <c r="H125" s="37">
        <f>IF(H123&lt;0,-H123,0)</f>
        <v>0</v>
      </c>
      <c r="I125" s="37">
        <f>IF(I123&lt;0,-I123,0)</f>
        <v>0</v>
      </c>
      <c r="J125" s="37">
        <f>IF(J123&lt;0,-J123,0)</f>
        <v>0</v>
      </c>
    </row>
    <row r="126" spans="2:10" x14ac:dyDescent="0.3">
      <c r="B126" s="49" t="s">
        <v>95</v>
      </c>
      <c r="E126" s="39"/>
      <c r="F126" s="39">
        <f>SUM(F125:F125)</f>
        <v>0</v>
      </c>
      <c r="G126" s="39">
        <f>SUM(G125:G125)</f>
        <v>0</v>
      </c>
      <c r="H126" s="39">
        <f>SUM(H125:H125)</f>
        <v>0</v>
      </c>
      <c r="I126" s="39">
        <f>SUM(I125:I125)</f>
        <v>0</v>
      </c>
      <c r="J126" s="39">
        <f>SUM(J125:J125)</f>
        <v>0</v>
      </c>
    </row>
    <row r="127" spans="2:10" x14ac:dyDescent="0.3">
      <c r="B127" s="38"/>
      <c r="F127" s="39"/>
      <c r="G127" s="39"/>
      <c r="H127" s="39"/>
      <c r="I127" s="39"/>
      <c r="J127" s="39"/>
    </row>
    <row r="128" spans="2:10" x14ac:dyDescent="0.3">
      <c r="B128" s="42" t="s">
        <v>40</v>
      </c>
      <c r="E128" s="49"/>
    </row>
    <row r="129" spans="2:10" x14ac:dyDescent="0.3">
      <c r="B129" s="87">
        <f>B75</f>
        <v>2023</v>
      </c>
      <c r="C129" s="43"/>
      <c r="D129" s="43"/>
      <c r="E129" s="74">
        <f>CaseData!G61</f>
        <v>36540</v>
      </c>
      <c r="F129" s="9">
        <f>MAX(MIN(E138,F$123-SUM(F$128:F128)),0)</f>
        <v>17967.975000000002</v>
      </c>
      <c r="G129" s="9">
        <f>MAX(MIN(F138,G$123-SUM(G$128:G128)),0)</f>
        <v>0</v>
      </c>
      <c r="H129" s="9">
        <f>MAX(MIN(G138,H$123-SUM(H$128:H128)),0)</f>
        <v>0</v>
      </c>
      <c r="I129" s="9">
        <f>MAX(MIN(H138,I$123-SUM(I$128:I128)),0)</f>
        <v>0</v>
      </c>
      <c r="J129" s="9">
        <f>MAX(MIN(I138,J$123-SUM(J$128:J128)),0)</f>
        <v>0</v>
      </c>
    </row>
    <row r="130" spans="2:10" x14ac:dyDescent="0.3">
      <c r="B130" s="88">
        <f>B76</f>
        <v>2024</v>
      </c>
      <c r="C130" s="41"/>
      <c r="D130" s="41"/>
      <c r="E130" s="75">
        <f>CaseData!G62</f>
        <v>11262</v>
      </c>
      <c r="F130" s="9">
        <f>MAX(MIN(E139,F$123-SUM(F$128:F129)),0)</f>
        <v>0</v>
      </c>
      <c r="G130" s="9">
        <f>MAX(MIN(F139,G$123-SUM(G$128:G129)),0)</f>
        <v>11262</v>
      </c>
      <c r="H130" s="9">
        <f>MAX(MIN(G139,H$123-SUM(H$128:H129)),0)</f>
        <v>0</v>
      </c>
      <c r="I130" s="9">
        <f>MAX(MIN(H139,I$123-SUM(I$128:I129)),0)</f>
        <v>0</v>
      </c>
      <c r="J130" s="9">
        <f>MAX(MIN(I139,J$123-SUM(J$128:J129)),0)</f>
        <v>0</v>
      </c>
    </row>
    <row r="131" spans="2:10" x14ac:dyDescent="0.3">
      <c r="B131" s="88">
        <f>B77</f>
        <v>2025</v>
      </c>
      <c r="C131" s="41"/>
      <c r="D131" s="41"/>
      <c r="E131" s="75">
        <f>CaseData!G63</f>
        <v>8085</v>
      </c>
      <c r="F131" s="9">
        <f>MAX(MIN(E140,F$123-SUM(F$128:F130)),0)</f>
        <v>0</v>
      </c>
      <c r="G131" s="9">
        <f>MAX(MIN(F140,G$123-SUM(G$128:G130)),0)</f>
        <v>3077.8345499999996</v>
      </c>
      <c r="H131" s="9">
        <f>MAX(MIN(G140,H$123-SUM(H$128:H130)),0)</f>
        <v>5007.1654500000004</v>
      </c>
      <c r="I131" s="9">
        <f>MAX(MIN(H140,I$123-SUM(I$128:I130)),0)</f>
        <v>0</v>
      </c>
      <c r="J131" s="9">
        <f>MAX(MIN(I140,J$123-SUM(J$128:J130)),0)</f>
        <v>0</v>
      </c>
    </row>
    <row r="132" spans="2:10" x14ac:dyDescent="0.3">
      <c r="B132" s="88">
        <f>B78</f>
        <v>2026</v>
      </c>
      <c r="C132" s="41"/>
      <c r="D132" s="41"/>
      <c r="E132" s="75">
        <f>CaseData!G64</f>
        <v>14482.5</v>
      </c>
      <c r="F132" s="9">
        <f>MAX(MIN(E141,F$123-SUM(F$128:F131)),0)</f>
        <v>0</v>
      </c>
      <c r="G132" s="9">
        <f>MAX(MIN(F141,G$123-SUM(G$128:G131)),0)</f>
        <v>0</v>
      </c>
      <c r="H132" s="9">
        <f>MAX(MIN(G141,H$123-SUM(H$128:H131)),0)</f>
        <v>14482.5</v>
      </c>
      <c r="I132" s="9">
        <f>MAX(MIN(H141,I$123-SUM(I$128:I131)),0)</f>
        <v>0</v>
      </c>
      <c r="J132" s="9">
        <f>MAX(MIN(I141,J$123-SUM(J$128:J131)),0)</f>
        <v>0</v>
      </c>
    </row>
    <row r="133" spans="2:10" x14ac:dyDescent="0.3">
      <c r="B133" s="88">
        <f>B79</f>
        <v>2027</v>
      </c>
      <c r="C133" s="41"/>
      <c r="D133" s="41"/>
      <c r="E133" s="75">
        <f>CaseData!G65</f>
        <v>25345.5</v>
      </c>
      <c r="F133" s="9">
        <f>MAX(MIN(E142,F$123-SUM(F$128:F132)),0)</f>
        <v>0</v>
      </c>
      <c r="G133" s="9">
        <f>MAX(MIN(F142,G$123-SUM(G$128:G132)),0)</f>
        <v>0</v>
      </c>
      <c r="H133" s="9">
        <f>MAX(MIN(G142,H$123-SUM(H$128:H132)),0)</f>
        <v>1880.1285939000009</v>
      </c>
      <c r="I133" s="9">
        <f>MAX(MIN(H142,I$123-SUM(I$128:I132)),0)</f>
        <v>20406.1382896662</v>
      </c>
      <c r="J133" s="9">
        <f>MAX(MIN(I142,J$123-SUM(J$128:J132)),0)</f>
        <v>3059.2331164337993</v>
      </c>
    </row>
    <row r="134" spans="2:10" x14ac:dyDescent="0.3">
      <c r="B134" s="86" t="s">
        <v>18</v>
      </c>
      <c r="C134" s="47"/>
      <c r="D134" s="47"/>
      <c r="E134" s="76">
        <f>CaseData!G66</f>
        <v>32116.5</v>
      </c>
      <c r="F134" s="37">
        <f>MAX(MIN(E143,F$123-SUM(F$128:F133)),0)</f>
        <v>0</v>
      </c>
      <c r="G134" s="37">
        <f>MAX(MIN(F143,G$123-SUM(G$128:G133)),0)</f>
        <v>0</v>
      </c>
      <c r="H134" s="37">
        <f>MAX(MIN(G143,H$123-SUM(H$128:H133)),0)</f>
        <v>0</v>
      </c>
      <c r="I134" s="37">
        <f>MAX(MIN(H143,I$123-SUM(I$128:I133)),0)</f>
        <v>0</v>
      </c>
      <c r="J134" s="37">
        <f>MAX(MIN(I143,J$123-SUM(J$128:J133)),0)</f>
        <v>17237.802536099804</v>
      </c>
    </row>
    <row r="135" spans="2:10" x14ac:dyDescent="0.3">
      <c r="B135" s="49" t="s">
        <v>41</v>
      </c>
      <c r="E135" s="9"/>
      <c r="F135" s="39">
        <f>SUM(F129:F134)</f>
        <v>17967.975000000002</v>
      </c>
      <c r="G135" s="39">
        <f>SUM(G129:G134)</f>
        <v>14339.83455</v>
      </c>
      <c r="H135" s="39">
        <f>SUM(H129:H134)</f>
        <v>21369.794043900001</v>
      </c>
      <c r="I135" s="39">
        <f>SUM(I129:I134)</f>
        <v>20406.1382896662</v>
      </c>
      <c r="J135" s="39">
        <f>SUM(J129:J134)</f>
        <v>20297.035652533603</v>
      </c>
    </row>
    <row r="137" spans="2:10" x14ac:dyDescent="0.3">
      <c r="B137" s="42" t="s">
        <v>42</v>
      </c>
      <c r="E137" s="49"/>
    </row>
    <row r="138" spans="2:10" x14ac:dyDescent="0.3">
      <c r="B138" s="87">
        <f t="shared" ref="B138:B143" si="7">B129</f>
        <v>2023</v>
      </c>
      <c r="C138" s="43"/>
      <c r="D138" s="43"/>
      <c r="E138" s="44">
        <f t="shared" ref="E138:E143" si="8">E129</f>
        <v>36540</v>
      </c>
      <c r="F138" s="9">
        <f>IF($B138&lt;=F$21,0,E138-F129)</f>
        <v>0</v>
      </c>
      <c r="G138" s="9">
        <f t="shared" ref="G138:J138" si="9">IF($B138&lt;=G$21,0,F138-G129)</f>
        <v>0</v>
      </c>
      <c r="H138" s="9">
        <f t="shared" si="9"/>
        <v>0</v>
      </c>
      <c r="I138" s="9">
        <f t="shared" si="9"/>
        <v>0</v>
      </c>
      <c r="J138" s="9">
        <f t="shared" si="9"/>
        <v>0</v>
      </c>
    </row>
    <row r="139" spans="2:10" x14ac:dyDescent="0.3">
      <c r="B139" s="88">
        <f t="shared" si="7"/>
        <v>2024</v>
      </c>
      <c r="C139" s="41"/>
      <c r="D139" s="41"/>
      <c r="E139" s="45">
        <f t="shared" si="8"/>
        <v>11262</v>
      </c>
      <c r="F139" s="9">
        <f t="shared" ref="F139:J142" si="10">IF($B139&lt;=F$21,0,E139-F130)</f>
        <v>11262</v>
      </c>
      <c r="G139" s="9">
        <f t="shared" si="10"/>
        <v>0</v>
      </c>
      <c r="H139" s="9">
        <f t="shared" si="10"/>
        <v>0</v>
      </c>
      <c r="I139" s="9">
        <f t="shared" si="10"/>
        <v>0</v>
      </c>
      <c r="J139" s="9">
        <f t="shared" si="10"/>
        <v>0</v>
      </c>
    </row>
    <row r="140" spans="2:10" x14ac:dyDescent="0.3">
      <c r="B140" s="88">
        <f t="shared" si="7"/>
        <v>2025</v>
      </c>
      <c r="C140" s="41"/>
      <c r="D140" s="41"/>
      <c r="E140" s="45">
        <f t="shared" si="8"/>
        <v>8085</v>
      </c>
      <c r="F140" s="9">
        <f t="shared" si="10"/>
        <v>8085</v>
      </c>
      <c r="G140" s="9">
        <f t="shared" si="10"/>
        <v>5007.1654500000004</v>
      </c>
      <c r="H140" s="9">
        <f t="shared" si="10"/>
        <v>0</v>
      </c>
      <c r="I140" s="9">
        <f t="shared" si="10"/>
        <v>0</v>
      </c>
      <c r="J140" s="9">
        <f t="shared" si="10"/>
        <v>0</v>
      </c>
    </row>
    <row r="141" spans="2:10" x14ac:dyDescent="0.3">
      <c r="B141" s="88">
        <f t="shared" si="7"/>
        <v>2026</v>
      </c>
      <c r="C141" s="41"/>
      <c r="D141" s="41"/>
      <c r="E141" s="45">
        <f t="shared" si="8"/>
        <v>14482.5</v>
      </c>
      <c r="F141" s="9">
        <f t="shared" si="10"/>
        <v>14482.5</v>
      </c>
      <c r="G141" s="9">
        <f t="shared" si="10"/>
        <v>14482.5</v>
      </c>
      <c r="H141" s="9">
        <f t="shared" si="10"/>
        <v>0</v>
      </c>
      <c r="I141" s="9">
        <f t="shared" si="10"/>
        <v>0</v>
      </c>
      <c r="J141" s="9">
        <f t="shared" si="10"/>
        <v>0</v>
      </c>
    </row>
    <row r="142" spans="2:10" x14ac:dyDescent="0.3">
      <c r="B142" s="88">
        <f t="shared" si="7"/>
        <v>2027</v>
      </c>
      <c r="C142" s="41"/>
      <c r="D142" s="41"/>
      <c r="E142" s="45">
        <f t="shared" si="8"/>
        <v>25345.5</v>
      </c>
      <c r="F142" s="9">
        <f t="shared" si="10"/>
        <v>25345.5</v>
      </c>
      <c r="G142" s="9">
        <f t="shared" si="10"/>
        <v>25345.5</v>
      </c>
      <c r="H142" s="9">
        <f t="shared" si="10"/>
        <v>23465.371406099999</v>
      </c>
      <c r="I142" s="9">
        <f t="shared" si="10"/>
        <v>3059.2331164337993</v>
      </c>
      <c r="J142" s="9">
        <f t="shared" si="10"/>
        <v>0</v>
      </c>
    </row>
    <row r="143" spans="2:10" x14ac:dyDescent="0.3">
      <c r="B143" s="46" t="str">
        <f t="shared" si="7"/>
        <v>Expiring Thereafter</v>
      </c>
      <c r="C143" s="47"/>
      <c r="D143" s="47"/>
      <c r="E143" s="48">
        <f t="shared" si="8"/>
        <v>32116.5</v>
      </c>
      <c r="F143" s="37">
        <f>IF($B143&lt;=F$21,0,E143+F125-F134)</f>
        <v>32116.5</v>
      </c>
      <c r="G143" s="37">
        <f t="shared" ref="G143:J143" si="11">IF($B143&lt;=G$21,0,F143+G125-G134)</f>
        <v>32116.5</v>
      </c>
      <c r="H143" s="37">
        <f t="shared" si="11"/>
        <v>32116.5</v>
      </c>
      <c r="I143" s="37">
        <f t="shared" si="11"/>
        <v>32116.5</v>
      </c>
      <c r="J143" s="37">
        <f t="shared" si="11"/>
        <v>14878.697463900196</v>
      </c>
    </row>
    <row r="144" spans="2:10" x14ac:dyDescent="0.3">
      <c r="B144" s="49" t="s">
        <v>43</v>
      </c>
      <c r="F144" s="39">
        <f>SUM(F138:F143)</f>
        <v>91291.5</v>
      </c>
      <c r="G144" s="39">
        <f>SUM(G138:G143)</f>
        <v>76951.66545</v>
      </c>
      <c r="H144" s="39">
        <f>SUM(H138:H143)</f>
        <v>55581.871406099999</v>
      </c>
      <c r="I144" s="39">
        <f>SUM(I138:I143)</f>
        <v>35175.733116433796</v>
      </c>
      <c r="J144" s="39">
        <f>SUM(J138:J143)</f>
        <v>14878.697463900196</v>
      </c>
    </row>
    <row r="147" spans="2:10" x14ac:dyDescent="0.3">
      <c r="B147" s="32" t="s">
        <v>66</v>
      </c>
      <c r="D147" s="33" t="s">
        <v>21</v>
      </c>
      <c r="E147" s="69">
        <f>CaseData!H6</f>
        <v>0.24</v>
      </c>
      <c r="F147" s="51">
        <f>F84</f>
        <v>2023</v>
      </c>
      <c r="G147" s="35">
        <f>G84</f>
        <v>2024</v>
      </c>
      <c r="H147" s="35">
        <f>H84</f>
        <v>2025</v>
      </c>
      <c r="I147" s="35">
        <f>I84</f>
        <v>2026</v>
      </c>
      <c r="J147" s="35">
        <f>J84</f>
        <v>2027</v>
      </c>
    </row>
    <row r="148" spans="2:10" x14ac:dyDescent="0.3">
      <c r="B148" s="36" t="s">
        <v>22</v>
      </c>
    </row>
    <row r="149" spans="2:10" x14ac:dyDescent="0.3">
      <c r="B149" s="1" t="s">
        <v>23</v>
      </c>
      <c r="F149" s="77">
        <f>INDEX(CaseData!$H$11:$H$15,MATCH(F$20,CaseData!$B$11:$B$15,0))</f>
        <v>44643</v>
      </c>
      <c r="G149" s="77">
        <f>INDEX(CaseData!$H$11:$H$15,MATCH(G$20,CaseData!$B$11:$B$15,0))</f>
        <v>45309</v>
      </c>
      <c r="H149" s="77">
        <f>INDEX(CaseData!$H$11:$H$15,MATCH(H$20,CaseData!$B$11:$B$15,0))</f>
        <v>49378.5</v>
      </c>
      <c r="I149" s="77">
        <f>INDEX(CaseData!$H$11:$H$15,MATCH(I$20,CaseData!$B$11:$B$15,0))</f>
        <v>47487</v>
      </c>
      <c r="J149" s="77">
        <f>INDEX(CaseData!$H$11:$H$15,MATCH(J$20,CaseData!$B$11:$B$15,0))</f>
        <v>43651.5</v>
      </c>
    </row>
    <row r="150" spans="2:10" x14ac:dyDescent="0.3">
      <c r="B150" s="1" t="s">
        <v>24</v>
      </c>
      <c r="F150" s="78">
        <f>INDEX(CaseData!$H$37:$H$41,MATCH(F$20,CaseData!$B$37:$B$41,0))</f>
        <v>15514.5</v>
      </c>
      <c r="G150" s="78">
        <f>INDEX(CaseData!$H$37:$H$41,MATCH(G$20,CaseData!$B$37:$B$41,0))</f>
        <v>0</v>
      </c>
      <c r="H150" s="78">
        <f>INDEX(CaseData!$H$37:$H$41,MATCH(H$20,CaseData!$B$37:$B$41,0))</f>
        <v>18651</v>
      </c>
      <c r="I150" s="78">
        <f>INDEX(CaseData!$H$37:$H$41,MATCH(I$20,CaseData!$B$37:$B$41,0))</f>
        <v>0</v>
      </c>
      <c r="J150" s="78">
        <f>INDEX(CaseData!$H$37:$H$41,MATCH(J$20,CaseData!$B$37:$B$41,0))</f>
        <v>0</v>
      </c>
    </row>
    <row r="151" spans="2:10" x14ac:dyDescent="0.3">
      <c r="B151" s="38" t="s">
        <v>25</v>
      </c>
      <c r="F151" s="54">
        <f>SUM(F149:F150)</f>
        <v>60157.5</v>
      </c>
      <c r="G151" s="54">
        <f>SUM(G149:G150)</f>
        <v>45309</v>
      </c>
      <c r="H151" s="54">
        <f>SUM(H149:H150)</f>
        <v>68029.5</v>
      </c>
      <c r="I151" s="54">
        <f>SUM(I149:I150)</f>
        <v>47487</v>
      </c>
      <c r="J151" s="54">
        <f>SUM(J149:J150)</f>
        <v>43651.5</v>
      </c>
    </row>
    <row r="152" spans="2:10" x14ac:dyDescent="0.3">
      <c r="F152" s="55"/>
      <c r="G152" s="55"/>
      <c r="H152" s="55"/>
      <c r="I152" s="55"/>
      <c r="J152" s="55"/>
    </row>
    <row r="153" spans="2:10" x14ac:dyDescent="0.3">
      <c r="B153" s="1" t="s">
        <v>26</v>
      </c>
      <c r="F153" s="77">
        <f>INDEX(CaseData!$H$25:$H$29,MATCH(F$20,CaseData!$B$25:$B$29,0))</f>
        <v>21466.5</v>
      </c>
      <c r="G153" s="77">
        <f>INDEX(CaseData!$H$25:$H$29,MATCH(G$20,CaseData!$B$25:$B$29,0))</f>
        <v>22110</v>
      </c>
      <c r="H153" s="77">
        <f>INDEX(CaseData!$H$25:$H$29,MATCH(H$20,CaseData!$B$25:$B$29,0))</f>
        <v>23436</v>
      </c>
      <c r="I153" s="77">
        <f>INDEX(CaseData!$H$25:$H$29,MATCH(I$20,CaseData!$B$25:$B$29,0))</f>
        <v>24607.5</v>
      </c>
      <c r="J153" s="77">
        <f>INDEX(CaseData!$H$25:$H$29,MATCH(J$20,CaseData!$B$25:$B$29,0))</f>
        <v>25345.5</v>
      </c>
    </row>
    <row r="154" spans="2:10" x14ac:dyDescent="0.3">
      <c r="B154" s="1" t="s">
        <v>27</v>
      </c>
      <c r="F154" s="52">
        <f>F171</f>
        <v>-42036.462</v>
      </c>
      <c r="G154" s="52">
        <f>G171</f>
        <v>-37464.731928000001</v>
      </c>
      <c r="H154" s="52">
        <f>H171</f>
        <v>-33915.773747232</v>
      </c>
      <c r="I154" s="52">
        <f>I171</f>
        <v>-33286.661042663814</v>
      </c>
      <c r="J154" s="52">
        <f>J171</f>
        <v>-31908.375920008257</v>
      </c>
    </row>
    <row r="155" spans="2:10" x14ac:dyDescent="0.3">
      <c r="B155" s="1" t="s">
        <v>28</v>
      </c>
      <c r="F155" s="77">
        <f>-INDEX(CaseData!$H$44:$H$48,MATCH(F$20,CaseData!$B$44:$B$48,0))</f>
        <v>-9054</v>
      </c>
      <c r="G155" s="77">
        <f>-INDEX(CaseData!$H$44:$H$48,MATCH(G$20,CaseData!$B$44:$B$48,0))</f>
        <v>-5326.5</v>
      </c>
      <c r="H155" s="77">
        <f>-INDEX(CaseData!$H$44:$H$48,MATCH(H$20,CaseData!$B$44:$B$48,0))</f>
        <v>-15805.5</v>
      </c>
      <c r="I155" s="77">
        <f>-INDEX(CaseData!$H$44:$H$48,MATCH(I$20,CaseData!$B$44:$B$48,0))</f>
        <v>-10455</v>
      </c>
      <c r="J155" s="77">
        <f>-INDEX(CaseData!$H$44:$H$48,MATCH(J$20,CaseData!$B$44:$B$48,0))</f>
        <v>-14463</v>
      </c>
    </row>
    <row r="156" spans="2:10" x14ac:dyDescent="0.3">
      <c r="B156" s="1" t="s">
        <v>93</v>
      </c>
      <c r="F156" s="53">
        <f>-F182</f>
        <v>-3350</v>
      </c>
      <c r="G156" s="53">
        <f>-G182</f>
        <v>-3618</v>
      </c>
      <c r="H156" s="53">
        <f>-H182</f>
        <v>-3907.4</v>
      </c>
      <c r="I156" s="53">
        <f>-I182</f>
        <v>-4000</v>
      </c>
      <c r="J156" s="53">
        <f>-J182</f>
        <v>-4000</v>
      </c>
    </row>
    <row r="157" spans="2:10" x14ac:dyDescent="0.3">
      <c r="B157" s="38" t="s">
        <v>89</v>
      </c>
      <c r="F157" s="54">
        <f>SUM(F151:F156)</f>
        <v>27183.538</v>
      </c>
      <c r="G157" s="54">
        <f>SUM(G151:G156)</f>
        <v>21009.768071999999</v>
      </c>
      <c r="H157" s="54">
        <f>SUM(H151:H156)</f>
        <v>37836.826252767998</v>
      </c>
      <c r="I157" s="54">
        <f>SUM(I151:I156)</f>
        <v>24352.838957336186</v>
      </c>
      <c r="J157" s="54">
        <f>SUM(J151:J156)</f>
        <v>18625.624079991743</v>
      </c>
    </row>
    <row r="158" spans="2:10" x14ac:dyDescent="0.3">
      <c r="F158" s="55"/>
      <c r="G158" s="55"/>
      <c r="H158" s="55"/>
      <c r="I158" s="55"/>
      <c r="J158" s="55"/>
    </row>
    <row r="159" spans="2:10" x14ac:dyDescent="0.3">
      <c r="B159" s="1" t="s">
        <v>90</v>
      </c>
      <c r="F159" s="53">
        <f>-F198</f>
        <v>-27183.538</v>
      </c>
      <c r="G159" s="53">
        <f>-G198</f>
        <v>-21009.768071999999</v>
      </c>
      <c r="H159" s="53">
        <f>-H198</f>
        <v>-37836.826252767998</v>
      </c>
      <c r="I159" s="53">
        <f>-I198</f>
        <v>0</v>
      </c>
      <c r="J159" s="53">
        <f>-J198</f>
        <v>0</v>
      </c>
    </row>
    <row r="160" spans="2:10" x14ac:dyDescent="0.3">
      <c r="B160" s="38" t="s">
        <v>91</v>
      </c>
      <c r="F160" s="54">
        <f>SUM(F157:F159)</f>
        <v>0</v>
      </c>
      <c r="G160" s="54">
        <f>SUM(G157:G159)</f>
        <v>0</v>
      </c>
      <c r="H160" s="54">
        <f>SUM(H157:H159)</f>
        <v>0</v>
      </c>
      <c r="I160" s="54">
        <f>SUM(I157:I159)</f>
        <v>24352.838957336186</v>
      </c>
      <c r="J160" s="54">
        <f>SUM(J157:J159)</f>
        <v>18625.624079991743</v>
      </c>
    </row>
    <row r="161" spans="2:10" x14ac:dyDescent="0.3">
      <c r="F161" s="55"/>
      <c r="G161" s="55"/>
      <c r="H161" s="55"/>
      <c r="I161" s="55"/>
      <c r="J161" s="55"/>
    </row>
    <row r="162" spans="2:10" x14ac:dyDescent="0.3">
      <c r="B162" s="36" t="s">
        <v>29</v>
      </c>
      <c r="F162" s="55"/>
      <c r="G162" s="55"/>
      <c r="H162" s="55"/>
      <c r="I162" s="55"/>
      <c r="J162" s="55"/>
    </row>
    <row r="163" spans="2:10" x14ac:dyDescent="0.3">
      <c r="B163" s="1" t="s">
        <v>30</v>
      </c>
      <c r="F163" s="52">
        <f>$E$147*F160</f>
        <v>0</v>
      </c>
      <c r="G163" s="52">
        <f>$E$147*G160</f>
        <v>0</v>
      </c>
      <c r="H163" s="52">
        <f>$E$147*H160</f>
        <v>0</v>
      </c>
      <c r="I163" s="52">
        <f>$E$147*I160</f>
        <v>5844.6813497606845</v>
      </c>
      <c r="J163" s="52">
        <f>$E$147*J160</f>
        <v>4470.1497791980182</v>
      </c>
    </row>
    <row r="164" spans="2:10" x14ac:dyDescent="0.3">
      <c r="B164" s="1" t="s">
        <v>31</v>
      </c>
      <c r="F164" s="53">
        <f>F165-F163</f>
        <v>14437.8</v>
      </c>
      <c r="G164" s="53">
        <f>G165-G163</f>
        <v>10874.16</v>
      </c>
      <c r="H164" s="53">
        <f>H165-H163</f>
        <v>16327.08</v>
      </c>
      <c r="I164" s="53">
        <f>I165-I163</f>
        <v>5552.1986502393147</v>
      </c>
      <c r="J164" s="53">
        <f>J165-J163</f>
        <v>6006.2102208019805</v>
      </c>
    </row>
    <row r="165" spans="2:10" x14ac:dyDescent="0.3">
      <c r="B165" s="38" t="s">
        <v>32</v>
      </c>
      <c r="F165" s="54">
        <f>$E$147*F151</f>
        <v>14437.8</v>
      </c>
      <c r="G165" s="54">
        <f>$E$147*G151</f>
        <v>10874.16</v>
      </c>
      <c r="H165" s="54">
        <f>$E$147*H151</f>
        <v>16327.08</v>
      </c>
      <c r="I165" s="54">
        <f>$E$147*I151</f>
        <v>11396.88</v>
      </c>
      <c r="J165" s="54">
        <f>$E$147*J151</f>
        <v>10476.359999999999</v>
      </c>
    </row>
    <row r="166" spans="2:10" x14ac:dyDescent="0.3">
      <c r="F166" s="55"/>
      <c r="G166" s="55"/>
      <c r="H166" s="55"/>
      <c r="I166" s="55"/>
      <c r="J166" s="55"/>
    </row>
    <row r="167" spans="2:10" x14ac:dyDescent="0.3">
      <c r="F167" s="55"/>
      <c r="G167" s="55"/>
      <c r="H167" s="55"/>
      <c r="I167" s="55"/>
      <c r="J167" s="55"/>
    </row>
    <row r="168" spans="2:10" x14ac:dyDescent="0.3">
      <c r="B168" s="36" t="s">
        <v>33</v>
      </c>
      <c r="D168" s="33" t="s">
        <v>34</v>
      </c>
      <c r="E168" s="69">
        <f>CaseData!H33</f>
        <v>0.156</v>
      </c>
      <c r="F168" s="55"/>
      <c r="G168" s="55"/>
      <c r="H168" s="55"/>
      <c r="I168" s="55"/>
      <c r="J168" s="55"/>
    </row>
    <row r="169" spans="2:10" x14ac:dyDescent="0.3">
      <c r="B169" s="1" t="s">
        <v>35</v>
      </c>
      <c r="F169" s="52">
        <f>E172</f>
        <v>244503</v>
      </c>
      <c r="G169" s="52">
        <f>F172</f>
        <v>227428.038</v>
      </c>
      <c r="H169" s="52">
        <f>G172</f>
        <v>202693.80607200001</v>
      </c>
      <c r="I169" s="52">
        <f>H172</f>
        <v>183493.03232476802</v>
      </c>
      <c r="J169" s="52">
        <f>I172</f>
        <v>180089.3712821042</v>
      </c>
    </row>
    <row r="170" spans="2:10" x14ac:dyDescent="0.3">
      <c r="B170" s="1" t="s">
        <v>36</v>
      </c>
      <c r="F170" s="77">
        <f>INDEX(CaseData!$H$18:$H$22,MATCH(F$20,CaseData!$B$18:$B$22,0))</f>
        <v>24961.5</v>
      </c>
      <c r="G170" s="77">
        <f>INDEX(CaseData!$H$18:$H$22,MATCH(G$20,CaseData!$B$18:$B$22,0))</f>
        <v>12730.5</v>
      </c>
      <c r="H170" s="77">
        <f>INDEX(CaseData!$H$18:$H$22,MATCH(H$20,CaseData!$B$18:$B$22,0))</f>
        <v>14715</v>
      </c>
      <c r="I170" s="77">
        <f>INDEX(CaseData!$H$18:$H$22,MATCH(I$20,CaseData!$B$18:$B$22,0))</f>
        <v>29883</v>
      </c>
      <c r="J170" s="77">
        <f>INDEX(CaseData!$H$18:$H$22,MATCH(J$20,CaseData!$B$18:$B$22,0))</f>
        <v>24451.5</v>
      </c>
    </row>
    <row r="171" spans="2:10" x14ac:dyDescent="0.3">
      <c r="B171" s="1" t="s">
        <v>37</v>
      </c>
      <c r="E171" s="40"/>
      <c r="F171" s="53">
        <f>-$E$168*SUM(F169:F170)</f>
        <v>-42036.462</v>
      </c>
      <c r="G171" s="53">
        <f>-$E$168*SUM(G169:G170)</f>
        <v>-37464.731928000001</v>
      </c>
      <c r="H171" s="53">
        <f>-$E$168*SUM(H169:H170)</f>
        <v>-33915.773747232</v>
      </c>
      <c r="I171" s="53">
        <f>-$E$168*SUM(I169:I170)</f>
        <v>-33286.661042663814</v>
      </c>
      <c r="J171" s="53">
        <f>-$E$168*SUM(J169:J170)</f>
        <v>-31908.375920008257</v>
      </c>
    </row>
    <row r="172" spans="2:10" x14ac:dyDescent="0.3">
      <c r="B172" s="38" t="s">
        <v>38</v>
      </c>
      <c r="E172" s="79">
        <f>CaseData!H31</f>
        <v>244503</v>
      </c>
      <c r="F172" s="54">
        <f>SUM(F169:F171)</f>
        <v>227428.038</v>
      </c>
      <c r="G172" s="54">
        <f>SUM(G169:G171)</f>
        <v>202693.80607200001</v>
      </c>
      <c r="H172" s="54">
        <f>SUM(H169:H171)</f>
        <v>183493.03232476802</v>
      </c>
      <c r="I172" s="54">
        <f>SUM(I169:I171)</f>
        <v>180089.3712821042</v>
      </c>
      <c r="J172" s="54">
        <f>SUM(J169:J171)</f>
        <v>172632.49536209594</v>
      </c>
    </row>
    <row r="175" spans="2:10" x14ac:dyDescent="0.3">
      <c r="B175" s="36" t="s">
        <v>92</v>
      </c>
    </row>
    <row r="176" spans="2:10" x14ac:dyDescent="0.3">
      <c r="B176" s="1" t="s">
        <v>87</v>
      </c>
      <c r="F176" s="77">
        <f>INDEX(CaseData!$H$54:$H$58,MATCH(F$20,CaseData!$B$54:$B$58,0))</f>
        <v>16750</v>
      </c>
      <c r="G176" s="77">
        <f>INDEX(CaseData!$H$54:$H$58,MATCH(G$20,CaseData!$B$54:$B$58,0))</f>
        <v>18090</v>
      </c>
      <c r="H176" s="77">
        <f>INDEX(CaseData!$H$54:$H$58,MATCH(H$20,CaseData!$B$54:$B$58,0))</f>
        <v>19537</v>
      </c>
      <c r="I176" s="77">
        <f>INDEX(CaseData!$H$54:$H$58,MATCH(I$20,CaseData!$B$54:$B$58,0))</f>
        <v>21100</v>
      </c>
      <c r="J176" s="77">
        <f>INDEX(CaseData!$H$54:$H$58,MATCH(J$20,CaseData!$B$54:$B$58,0))</f>
        <v>22788.5</v>
      </c>
    </row>
    <row r="177" spans="2:10" x14ac:dyDescent="0.3">
      <c r="B177" s="1" t="s">
        <v>67</v>
      </c>
      <c r="F177" s="73">
        <f>CaseData!$H$50</f>
        <v>0.2</v>
      </c>
      <c r="G177" s="73">
        <f>CaseData!$H$50</f>
        <v>0.2</v>
      </c>
      <c r="H177" s="73">
        <f>CaseData!$H$50</f>
        <v>0.2</v>
      </c>
      <c r="I177" s="73">
        <f>CaseData!$H$50</f>
        <v>0.2</v>
      </c>
      <c r="J177" s="73">
        <f>CaseData!$H$50</f>
        <v>0.2</v>
      </c>
    </row>
    <row r="178" spans="2:10" x14ac:dyDescent="0.3">
      <c r="B178" s="1" t="s">
        <v>68</v>
      </c>
      <c r="F178" s="77">
        <f>CaseData!$H$51</f>
        <v>4000</v>
      </c>
      <c r="G178" s="77">
        <f>CaseData!$H$51</f>
        <v>4000</v>
      </c>
      <c r="H178" s="77">
        <f>CaseData!$H$51</f>
        <v>4000</v>
      </c>
      <c r="I178" s="77">
        <f>CaseData!$H$51</f>
        <v>4000</v>
      </c>
      <c r="J178" s="77">
        <f>CaseData!$H$51</f>
        <v>4000</v>
      </c>
    </row>
    <row r="179" spans="2:10" x14ac:dyDescent="0.3">
      <c r="B179" s="1"/>
      <c r="F179" s="52"/>
      <c r="G179" s="52"/>
      <c r="H179" s="52"/>
      <c r="I179" s="52"/>
      <c r="J179" s="52"/>
    </row>
    <row r="180" spans="2:10" x14ac:dyDescent="0.3">
      <c r="B180" s="1" t="s">
        <v>69</v>
      </c>
      <c r="F180" s="52">
        <f>F176*F177</f>
        <v>3350</v>
      </c>
      <c r="G180" s="52">
        <f>G176*G177</f>
        <v>3618</v>
      </c>
      <c r="H180" s="52">
        <f>H176*H177</f>
        <v>3907.4</v>
      </c>
      <c r="I180" s="52">
        <f>I176*I177</f>
        <v>4220</v>
      </c>
      <c r="J180" s="52">
        <f>J176*J177</f>
        <v>4557.7</v>
      </c>
    </row>
    <row r="181" spans="2:10" x14ac:dyDescent="0.3">
      <c r="B181" s="1" t="s">
        <v>70</v>
      </c>
      <c r="F181" s="53">
        <f>F178</f>
        <v>4000</v>
      </c>
      <c r="G181" s="53">
        <f>G178</f>
        <v>4000</v>
      </c>
      <c r="H181" s="53">
        <f>H178</f>
        <v>4000</v>
      </c>
      <c r="I181" s="53">
        <f>I178</f>
        <v>4000</v>
      </c>
      <c r="J181" s="53">
        <f>J178</f>
        <v>4000</v>
      </c>
    </row>
    <row r="182" spans="2:10" x14ac:dyDescent="0.3">
      <c r="B182" s="38" t="s">
        <v>71</v>
      </c>
      <c r="C182" s="41"/>
      <c r="D182" s="41"/>
      <c r="E182" s="41"/>
      <c r="F182" s="54">
        <f>MIN(F180,F181)</f>
        <v>3350</v>
      </c>
      <c r="G182" s="54">
        <f>MIN(G180,G181)</f>
        <v>3618</v>
      </c>
      <c r="H182" s="54">
        <f>MIN(H180,H181)</f>
        <v>3907.4</v>
      </c>
      <c r="I182" s="54">
        <f>MIN(I180,I181)</f>
        <v>4000</v>
      </c>
      <c r="J182" s="54">
        <f>MIN(J180,J181)</f>
        <v>4000</v>
      </c>
    </row>
    <row r="183" spans="2:10" x14ac:dyDescent="0.3">
      <c r="F183" s="55"/>
      <c r="G183" s="55"/>
      <c r="H183" s="55"/>
      <c r="I183" s="55"/>
      <c r="J183" s="55"/>
    </row>
    <row r="184" spans="2:10" x14ac:dyDescent="0.3">
      <c r="F184" s="55"/>
      <c r="G184" s="55"/>
      <c r="H184" s="55"/>
      <c r="I184" s="55"/>
      <c r="J184" s="55"/>
    </row>
    <row r="185" spans="2:10" x14ac:dyDescent="0.3">
      <c r="B185" s="36" t="s">
        <v>39</v>
      </c>
      <c r="F185" s="55"/>
      <c r="G185" s="55"/>
      <c r="H185" s="55"/>
      <c r="I185" s="55"/>
      <c r="J185" s="55"/>
    </row>
    <row r="186" spans="2:10" x14ac:dyDescent="0.3">
      <c r="B186" s="38" t="s">
        <v>89</v>
      </c>
      <c r="F186" s="54">
        <f>F157</f>
        <v>27183.538</v>
      </c>
      <c r="G186" s="54">
        <f>G157</f>
        <v>21009.768071999999</v>
      </c>
      <c r="H186" s="54">
        <f>H157</f>
        <v>37836.826252767998</v>
      </c>
      <c r="I186" s="54">
        <f>I157</f>
        <v>24352.838957336186</v>
      </c>
      <c r="J186" s="54">
        <f>J157</f>
        <v>18625.624079991743</v>
      </c>
    </row>
    <row r="187" spans="2:10" x14ac:dyDescent="0.3">
      <c r="B187" s="42" t="s">
        <v>96</v>
      </c>
      <c r="E187" s="49"/>
    </row>
    <row r="188" spans="2:10" x14ac:dyDescent="0.3">
      <c r="B188" s="92" t="s">
        <v>18</v>
      </c>
      <c r="C188" s="93"/>
      <c r="D188" s="93"/>
      <c r="E188" s="94"/>
      <c r="F188" s="50">
        <f>IF(F186&lt;0,-F186,0)</f>
        <v>0</v>
      </c>
      <c r="G188" s="37">
        <f>IF(G186&lt;0,-G186,0)</f>
        <v>0</v>
      </c>
      <c r="H188" s="37">
        <f>IF(H186&lt;0,-H186,0)</f>
        <v>0</v>
      </c>
      <c r="I188" s="37">
        <f>IF(I186&lt;0,-I186,0)</f>
        <v>0</v>
      </c>
      <c r="J188" s="37">
        <f>IF(J186&lt;0,-J186,0)</f>
        <v>0</v>
      </c>
    </row>
    <row r="189" spans="2:10" x14ac:dyDescent="0.3">
      <c r="B189" s="49" t="s">
        <v>95</v>
      </c>
      <c r="E189" s="39"/>
      <c r="F189" s="39">
        <f>SUM(F188:F188)</f>
        <v>0</v>
      </c>
      <c r="G189" s="39">
        <f>SUM(G188:G188)</f>
        <v>0</v>
      </c>
      <c r="H189" s="39">
        <f>SUM(H188:H188)</f>
        <v>0</v>
      </c>
      <c r="I189" s="39">
        <f>SUM(I188:I188)</f>
        <v>0</v>
      </c>
      <c r="J189" s="39">
        <f>SUM(J188:J188)</f>
        <v>0</v>
      </c>
    </row>
    <row r="190" spans="2:10" x14ac:dyDescent="0.3">
      <c r="B190" s="38"/>
      <c r="F190" s="54"/>
      <c r="G190" s="54"/>
      <c r="H190" s="54"/>
      <c r="I190" s="54"/>
      <c r="J190" s="54"/>
    </row>
    <row r="191" spans="2:10" x14ac:dyDescent="0.3">
      <c r="B191" s="42" t="s">
        <v>40</v>
      </c>
      <c r="E191" s="49"/>
      <c r="F191" s="55"/>
      <c r="G191" s="55"/>
      <c r="H191" s="55"/>
      <c r="I191" s="55"/>
      <c r="J191" s="55"/>
    </row>
    <row r="192" spans="2:10" x14ac:dyDescent="0.3">
      <c r="B192" s="87">
        <f>B138</f>
        <v>2023</v>
      </c>
      <c r="C192" s="43"/>
      <c r="D192" s="43"/>
      <c r="E192" s="80">
        <f>CaseData!H61</f>
        <v>0</v>
      </c>
      <c r="F192" s="52">
        <f>MAX(MIN(E201,F$186-SUM(F$191:F191)),0)</f>
        <v>0</v>
      </c>
      <c r="G192" s="52">
        <f>MAX(MIN(F201,G$186-SUM(G$191:G191)),0)</f>
        <v>0</v>
      </c>
      <c r="H192" s="52">
        <f>MAX(MIN(G201,H$186-SUM(H$191:H191)),0)</f>
        <v>0</v>
      </c>
      <c r="I192" s="52">
        <f>MAX(MIN(H201,I$186-SUM(I$191:I191)),0)</f>
        <v>0</v>
      </c>
      <c r="J192" s="52">
        <f>MAX(MIN(I201,J$186-SUM(J$191:J191)),0)</f>
        <v>0</v>
      </c>
    </row>
    <row r="193" spans="2:10" x14ac:dyDescent="0.3">
      <c r="B193" s="88">
        <f>B139</f>
        <v>2024</v>
      </c>
      <c r="C193" s="41"/>
      <c r="D193" s="41"/>
      <c r="E193" s="81">
        <f>CaseData!H62</f>
        <v>0</v>
      </c>
      <c r="F193" s="52">
        <f>MAX(MIN(E202,F$186-SUM(F$191:F192)),0)</f>
        <v>0</v>
      </c>
      <c r="G193" s="52">
        <f>MAX(MIN(F202,G$186-SUM(G$191:G192)),0)</f>
        <v>0</v>
      </c>
      <c r="H193" s="52">
        <f>MAX(MIN(G202,H$186-SUM(H$191:H192)),0)</f>
        <v>0</v>
      </c>
      <c r="I193" s="52">
        <f>MAX(MIN(H202,I$186-SUM(I$191:I192)),0)</f>
        <v>0</v>
      </c>
      <c r="J193" s="52">
        <f>MAX(MIN(I202,J$186-SUM(J$191:J192)),0)</f>
        <v>0</v>
      </c>
    </row>
    <row r="194" spans="2:10" x14ac:dyDescent="0.3">
      <c r="B194" s="88">
        <f>B140</f>
        <v>2025</v>
      </c>
      <c r="C194" s="41"/>
      <c r="D194" s="41"/>
      <c r="E194" s="81">
        <f>CaseData!H63</f>
        <v>147484.5</v>
      </c>
      <c r="F194" s="52">
        <f>MAX(MIN(E203,F$186-SUM(F$191:F193)),0)</f>
        <v>27183.538</v>
      </c>
      <c r="G194" s="52">
        <f>MAX(MIN(F203,G$186-SUM(G$191:G193)),0)</f>
        <v>21009.768071999999</v>
      </c>
      <c r="H194" s="52">
        <f>MAX(MIN(G203,H$186-SUM(H$191:H193)),0)</f>
        <v>37836.826252767998</v>
      </c>
      <c r="I194" s="52">
        <f>MAX(MIN(H203,I$186-SUM(I$191:I193)),0)</f>
        <v>0</v>
      </c>
      <c r="J194" s="52">
        <f>MAX(MIN(I203,J$186-SUM(J$191:J193)),0)</f>
        <v>0</v>
      </c>
    </row>
    <row r="195" spans="2:10" x14ac:dyDescent="0.3">
      <c r="B195" s="88">
        <f>B141</f>
        <v>2026</v>
      </c>
      <c r="C195" s="41"/>
      <c r="D195" s="41"/>
      <c r="E195" s="81">
        <f>CaseData!H64</f>
        <v>0</v>
      </c>
      <c r="F195" s="52">
        <f>MAX(MIN(E204,F$186-SUM(F$191:F194)),0)</f>
        <v>0</v>
      </c>
      <c r="G195" s="52">
        <f>MAX(MIN(F204,G$186-SUM(G$191:G194)),0)</f>
        <v>0</v>
      </c>
      <c r="H195" s="52">
        <f>MAX(MIN(G204,H$186-SUM(H$191:H194)),0)</f>
        <v>0</v>
      </c>
      <c r="I195" s="52">
        <f>MAX(MIN(H204,I$186-SUM(I$191:I194)),0)</f>
        <v>0</v>
      </c>
      <c r="J195" s="52">
        <f>MAX(MIN(I204,J$186-SUM(J$191:J194)),0)</f>
        <v>0</v>
      </c>
    </row>
    <row r="196" spans="2:10" x14ac:dyDescent="0.3">
      <c r="B196" s="88">
        <f>B142</f>
        <v>2027</v>
      </c>
      <c r="C196" s="41"/>
      <c r="D196" s="41"/>
      <c r="E196" s="81">
        <f>CaseData!H65</f>
        <v>0</v>
      </c>
      <c r="F196" s="52">
        <f>MAX(MIN(E205,F$186-SUM(F$191:F195)),0)</f>
        <v>0</v>
      </c>
      <c r="G196" s="52">
        <f>MAX(MIN(F205,G$186-SUM(G$191:G195)),0)</f>
        <v>0</v>
      </c>
      <c r="H196" s="52">
        <f>MAX(MIN(G205,H$186-SUM(H$191:H195)),0)</f>
        <v>0</v>
      </c>
      <c r="I196" s="52">
        <f>MAX(MIN(H205,I$186-SUM(I$191:I195)),0)</f>
        <v>0</v>
      </c>
      <c r="J196" s="52">
        <f>MAX(MIN(I205,J$186-SUM(J$191:J195)),0)</f>
        <v>0</v>
      </c>
    </row>
    <row r="197" spans="2:10" x14ac:dyDescent="0.3">
      <c r="B197" s="86" t="s">
        <v>18</v>
      </c>
      <c r="C197" s="47"/>
      <c r="D197" s="47"/>
      <c r="E197" s="82">
        <f>CaseData!H66</f>
        <v>0</v>
      </c>
      <c r="F197" s="59">
        <f>MAX(MIN(E206,F$186-SUM(F$191:F196)),0)</f>
        <v>0</v>
      </c>
      <c r="G197" s="53">
        <f>MAX(MIN(F206,G$186-SUM(G$191:G196)),0)</f>
        <v>0</v>
      </c>
      <c r="H197" s="53">
        <f>MAX(MIN(G206,H$186-SUM(H$191:H196)),0)</f>
        <v>0</v>
      </c>
      <c r="I197" s="53">
        <f>MAX(MIN(H206,I$186-SUM(I$191:I196)),0)</f>
        <v>0</v>
      </c>
      <c r="J197" s="53">
        <f>MAX(MIN(I206,J$186-SUM(J$191:J196)),0)</f>
        <v>0</v>
      </c>
    </row>
    <row r="198" spans="2:10" x14ac:dyDescent="0.3">
      <c r="B198" s="49" t="s">
        <v>41</v>
      </c>
      <c r="E198" s="9"/>
      <c r="F198" s="54">
        <f>SUM(F192:F197)</f>
        <v>27183.538</v>
      </c>
      <c r="G198" s="54">
        <f>SUM(G192:G197)</f>
        <v>21009.768071999999</v>
      </c>
      <c r="H198" s="54">
        <f>SUM(H192:H197)</f>
        <v>37836.826252767998</v>
      </c>
      <c r="I198" s="54">
        <f>SUM(I192:I197)</f>
        <v>0</v>
      </c>
      <c r="J198" s="54">
        <f>SUM(J192:J197)</f>
        <v>0</v>
      </c>
    </row>
    <row r="199" spans="2:10" x14ac:dyDescent="0.3">
      <c r="F199" s="55"/>
      <c r="G199" s="55"/>
      <c r="H199" s="55"/>
      <c r="I199" s="55"/>
      <c r="J199" s="55"/>
    </row>
    <row r="200" spans="2:10" x14ac:dyDescent="0.3">
      <c r="B200" s="42" t="s">
        <v>42</v>
      </c>
      <c r="E200" s="49"/>
      <c r="F200" s="55"/>
      <c r="G200" s="55"/>
      <c r="H200" s="55"/>
      <c r="I200" s="55"/>
      <c r="J200" s="55"/>
    </row>
    <row r="201" spans="2:10" x14ac:dyDescent="0.3">
      <c r="B201" s="87">
        <f t="shared" ref="B201:B206" si="12">B192</f>
        <v>2023</v>
      </c>
      <c r="C201" s="43"/>
      <c r="D201" s="43"/>
      <c r="E201" s="56">
        <f t="shared" ref="E201:E206" si="13">E192</f>
        <v>0</v>
      </c>
      <c r="F201" s="52">
        <f>IF($B201&lt;=F$21,0,E201-F192)</f>
        <v>0</v>
      </c>
      <c r="G201" s="52">
        <f t="shared" ref="G201:J201" si="14">IF($B201&lt;=G$21,0,F201-G192)</f>
        <v>0</v>
      </c>
      <c r="H201" s="52">
        <f t="shared" si="14"/>
        <v>0</v>
      </c>
      <c r="I201" s="52">
        <f t="shared" si="14"/>
        <v>0</v>
      </c>
      <c r="J201" s="52">
        <f t="shared" si="14"/>
        <v>0</v>
      </c>
    </row>
    <row r="202" spans="2:10" x14ac:dyDescent="0.3">
      <c r="B202" s="88">
        <f t="shared" si="12"/>
        <v>2024</v>
      </c>
      <c r="C202" s="41"/>
      <c r="D202" s="41"/>
      <c r="E202" s="57">
        <f t="shared" si="13"/>
        <v>0</v>
      </c>
      <c r="F202" s="52">
        <f t="shared" ref="F202:J205" si="15">IF($B202&lt;=F$21,0,E202-F193)</f>
        <v>0</v>
      </c>
      <c r="G202" s="52">
        <f t="shared" si="15"/>
        <v>0</v>
      </c>
      <c r="H202" s="52">
        <f t="shared" si="15"/>
        <v>0</v>
      </c>
      <c r="I202" s="52">
        <f t="shared" si="15"/>
        <v>0</v>
      </c>
      <c r="J202" s="52">
        <f t="shared" si="15"/>
        <v>0</v>
      </c>
    </row>
    <row r="203" spans="2:10" x14ac:dyDescent="0.3">
      <c r="B203" s="88">
        <f t="shared" si="12"/>
        <v>2025</v>
      </c>
      <c r="C203" s="41"/>
      <c r="D203" s="41"/>
      <c r="E203" s="57">
        <f t="shared" si="13"/>
        <v>147484.5</v>
      </c>
      <c r="F203" s="52">
        <f t="shared" si="15"/>
        <v>120300.962</v>
      </c>
      <c r="G203" s="52">
        <f t="shared" si="15"/>
        <v>99291.193927999993</v>
      </c>
      <c r="H203" s="52">
        <f t="shared" si="15"/>
        <v>0</v>
      </c>
      <c r="I203" s="52">
        <f t="shared" si="15"/>
        <v>0</v>
      </c>
      <c r="J203" s="52">
        <f t="shared" si="15"/>
        <v>0</v>
      </c>
    </row>
    <row r="204" spans="2:10" x14ac:dyDescent="0.3">
      <c r="B204" s="88">
        <f t="shared" si="12"/>
        <v>2026</v>
      </c>
      <c r="C204" s="41"/>
      <c r="D204" s="41"/>
      <c r="E204" s="57">
        <f t="shared" si="13"/>
        <v>0</v>
      </c>
      <c r="F204" s="52">
        <f t="shared" si="15"/>
        <v>0</v>
      </c>
      <c r="G204" s="52">
        <f t="shared" si="15"/>
        <v>0</v>
      </c>
      <c r="H204" s="52">
        <f t="shared" si="15"/>
        <v>0</v>
      </c>
      <c r="I204" s="52">
        <f t="shared" si="15"/>
        <v>0</v>
      </c>
      <c r="J204" s="52">
        <f t="shared" si="15"/>
        <v>0</v>
      </c>
    </row>
    <row r="205" spans="2:10" x14ac:dyDescent="0.3">
      <c r="B205" s="88">
        <f t="shared" si="12"/>
        <v>2027</v>
      </c>
      <c r="C205" s="41"/>
      <c r="D205" s="41"/>
      <c r="E205" s="57">
        <f t="shared" si="13"/>
        <v>0</v>
      </c>
      <c r="F205" s="52">
        <f t="shared" si="15"/>
        <v>0</v>
      </c>
      <c r="G205" s="52">
        <f t="shared" si="15"/>
        <v>0</v>
      </c>
      <c r="H205" s="52">
        <f t="shared" si="15"/>
        <v>0</v>
      </c>
      <c r="I205" s="52">
        <f t="shared" si="15"/>
        <v>0</v>
      </c>
      <c r="J205" s="52">
        <f t="shared" si="15"/>
        <v>0</v>
      </c>
    </row>
    <row r="206" spans="2:10" x14ac:dyDescent="0.3">
      <c r="B206" s="86" t="str">
        <f t="shared" si="12"/>
        <v>Expiring Thereafter</v>
      </c>
      <c r="C206" s="47"/>
      <c r="D206" s="47"/>
      <c r="E206" s="58">
        <f t="shared" si="13"/>
        <v>0</v>
      </c>
      <c r="F206" s="59">
        <f>IF($B206&lt;=F$21,0,E206+F188-F197)</f>
        <v>0</v>
      </c>
      <c r="G206" s="53">
        <f t="shared" ref="G206:J206" si="16">IF($B206&lt;=G$21,0,F206+G188-G197)</f>
        <v>0</v>
      </c>
      <c r="H206" s="53">
        <f t="shared" si="16"/>
        <v>0</v>
      </c>
      <c r="I206" s="53">
        <f t="shared" si="16"/>
        <v>0</v>
      </c>
      <c r="J206" s="53">
        <f t="shared" si="16"/>
        <v>0</v>
      </c>
    </row>
    <row r="207" spans="2:10" x14ac:dyDescent="0.3">
      <c r="B207" s="49" t="s">
        <v>43</v>
      </c>
      <c r="F207" s="54">
        <f>SUM(F201:F206)</f>
        <v>120300.962</v>
      </c>
      <c r="G207" s="54">
        <f>SUM(G201:G206)</f>
        <v>99291.193927999993</v>
      </c>
      <c r="H207" s="54">
        <f>SUM(H201:H206)</f>
        <v>0</v>
      </c>
      <c r="I207" s="54">
        <f>SUM(I201:I206)</f>
        <v>0</v>
      </c>
      <c r="J207" s="54">
        <f>SUM(J201:J206)</f>
        <v>0</v>
      </c>
    </row>
    <row r="210" spans="2:10" x14ac:dyDescent="0.3">
      <c r="B210" s="31" t="s">
        <v>45</v>
      </c>
    </row>
    <row r="212" spans="2:10" x14ac:dyDescent="0.3">
      <c r="B212" s="60" t="s">
        <v>46</v>
      </c>
      <c r="F212" s="34">
        <f>F21</f>
        <v>2023</v>
      </c>
      <c r="G212" s="35">
        <f>G21</f>
        <v>2024</v>
      </c>
      <c r="H212" s="35">
        <f>H21</f>
        <v>2025</v>
      </c>
      <c r="I212" s="35">
        <f>I21</f>
        <v>2026</v>
      </c>
      <c r="J212" s="35">
        <f>J21</f>
        <v>2027</v>
      </c>
    </row>
    <row r="213" spans="2:10" x14ac:dyDescent="0.3">
      <c r="B213" s="61" t="s">
        <v>47</v>
      </c>
      <c r="F213" s="83">
        <f>CaseData!F8</f>
        <v>1</v>
      </c>
      <c r="G213" s="7">
        <f t="shared" ref="G213:J215" si="17">F213</f>
        <v>1</v>
      </c>
      <c r="H213" s="7">
        <f t="shared" si="17"/>
        <v>1</v>
      </c>
      <c r="I213" s="7">
        <f t="shared" si="17"/>
        <v>1</v>
      </c>
      <c r="J213" s="7">
        <f t="shared" si="17"/>
        <v>1</v>
      </c>
    </row>
    <row r="214" spans="2:10" x14ac:dyDescent="0.3">
      <c r="B214" s="61" t="s">
        <v>48</v>
      </c>
      <c r="F214" s="83">
        <f>CaseData!G8</f>
        <v>1.25</v>
      </c>
      <c r="G214" s="7">
        <f t="shared" si="17"/>
        <v>1.25</v>
      </c>
      <c r="H214" s="7">
        <f t="shared" si="17"/>
        <v>1.25</v>
      </c>
      <c r="I214" s="7">
        <f t="shared" si="17"/>
        <v>1.25</v>
      </c>
      <c r="J214" s="7">
        <f t="shared" si="17"/>
        <v>1.25</v>
      </c>
    </row>
    <row r="215" spans="2:10" x14ac:dyDescent="0.3">
      <c r="B215" s="61" t="s">
        <v>49</v>
      </c>
      <c r="F215" s="83">
        <f>CaseData!H8</f>
        <v>1</v>
      </c>
      <c r="G215" s="7">
        <f t="shared" si="17"/>
        <v>1</v>
      </c>
      <c r="H215" s="7">
        <f t="shared" si="17"/>
        <v>1</v>
      </c>
      <c r="I215" s="7">
        <f t="shared" si="17"/>
        <v>1</v>
      </c>
      <c r="J215" s="7">
        <f t="shared" si="17"/>
        <v>1</v>
      </c>
    </row>
    <row r="217" spans="2:10" x14ac:dyDescent="0.3">
      <c r="B217" s="60" t="s">
        <v>50</v>
      </c>
    </row>
    <row r="218" spans="2:10" x14ac:dyDescent="0.3">
      <c r="B218" s="84" t="str">
        <f>CaseData!F4</f>
        <v>U.S.</v>
      </c>
      <c r="F218" s="9">
        <f>F37</f>
        <v>0</v>
      </c>
      <c r="G218" s="9">
        <f>G37</f>
        <v>0</v>
      </c>
      <c r="H218" s="9">
        <f>H37</f>
        <v>0</v>
      </c>
      <c r="I218" s="9">
        <f>I37</f>
        <v>0</v>
      </c>
      <c r="J218" s="9">
        <f>J37</f>
        <v>743.25575573578112</v>
      </c>
    </row>
    <row r="219" spans="2:10" x14ac:dyDescent="0.3">
      <c r="B219" s="84" t="str">
        <f>CaseData!G4</f>
        <v>Canada</v>
      </c>
      <c r="F219" s="9">
        <f>F100/F$214</f>
        <v>0</v>
      </c>
      <c r="G219" s="9">
        <f>G100/G$214</f>
        <v>0</v>
      </c>
      <c r="H219" s="9">
        <f>H100/H$214</f>
        <v>0</v>
      </c>
      <c r="I219" s="9">
        <f>I100/I$214</f>
        <v>0</v>
      </c>
      <c r="J219" s="9">
        <f>J100/J$214</f>
        <v>0</v>
      </c>
    </row>
    <row r="220" spans="2:10" x14ac:dyDescent="0.3">
      <c r="B220" s="84" t="str">
        <f>CaseData!H4</f>
        <v>Italy</v>
      </c>
      <c r="F220" s="37">
        <f>F163/F$215</f>
        <v>0</v>
      </c>
      <c r="G220" s="37">
        <f>G163/G$215</f>
        <v>0</v>
      </c>
      <c r="H220" s="37">
        <f>H163/H$215</f>
        <v>0</v>
      </c>
      <c r="I220" s="37">
        <f>I163/I$215</f>
        <v>5844.6813497606845</v>
      </c>
      <c r="J220" s="37">
        <f>J163/J$215</f>
        <v>4470.1497791980182</v>
      </c>
    </row>
    <row r="221" spans="2:10" x14ac:dyDescent="0.3">
      <c r="B221" s="62" t="s">
        <v>51</v>
      </c>
      <c r="F221" s="39">
        <f>SUM(F218:F220)</f>
        <v>0</v>
      </c>
      <c r="G221" s="39">
        <f>SUM(G218:G220)</f>
        <v>0</v>
      </c>
      <c r="H221" s="39">
        <f>SUM(H218:H220)</f>
        <v>0</v>
      </c>
      <c r="I221" s="39">
        <f>SUM(I218:I220)</f>
        <v>5844.6813497606845</v>
      </c>
      <c r="J221" s="39">
        <f>SUM(J218:J220)</f>
        <v>5213.4055349337996</v>
      </c>
    </row>
    <row r="223" spans="2:10" x14ac:dyDescent="0.3">
      <c r="B223" s="60" t="s">
        <v>52</v>
      </c>
    </row>
    <row r="224" spans="2:10" x14ac:dyDescent="0.3">
      <c r="B224" s="61" t="str">
        <f>B218</f>
        <v>U.S.</v>
      </c>
      <c r="F224" s="9">
        <f>F38</f>
        <v>7743.33</v>
      </c>
      <c r="G224" s="9">
        <f>G38</f>
        <v>5374.53</v>
      </c>
      <c r="H224" s="9">
        <f>H38</f>
        <v>6081.7049999999999</v>
      </c>
      <c r="I224" s="9">
        <f>I38</f>
        <v>5453.91</v>
      </c>
      <c r="J224" s="9">
        <f>J38</f>
        <v>3848.1842442642183</v>
      </c>
    </row>
    <row r="225" spans="2:10" x14ac:dyDescent="0.3">
      <c r="B225" s="61" t="str">
        <f>B219</f>
        <v>Canada</v>
      </c>
      <c r="F225" s="9">
        <f>F101/F$214</f>
        <v>8662.32</v>
      </c>
      <c r="G225" s="9">
        <f>G101/G$214</f>
        <v>8297.8919999999998</v>
      </c>
      <c r="H225" s="9">
        <f>H101/H$214</f>
        <v>8787.93</v>
      </c>
      <c r="I225" s="9">
        <f>I101/I$214</f>
        <v>7726.1279999999997</v>
      </c>
      <c r="J225" s="9">
        <f>J101/J$214</f>
        <v>9495.7980000000007</v>
      </c>
    </row>
    <row r="226" spans="2:10" x14ac:dyDescent="0.3">
      <c r="B226" s="61" t="str">
        <f>B220</f>
        <v>Italy</v>
      </c>
      <c r="F226" s="37">
        <f>F164/F$215</f>
        <v>14437.8</v>
      </c>
      <c r="G226" s="37">
        <f>G164/G$215</f>
        <v>10874.16</v>
      </c>
      <c r="H226" s="37">
        <f>H164/H$215</f>
        <v>16327.08</v>
      </c>
      <c r="I226" s="37">
        <f>I164/I$215</f>
        <v>5552.1986502393147</v>
      </c>
      <c r="J226" s="37">
        <f>J164/J$215</f>
        <v>6006.2102208019805</v>
      </c>
    </row>
    <row r="227" spans="2:10" x14ac:dyDescent="0.3">
      <c r="B227" s="62" t="s">
        <v>51</v>
      </c>
      <c r="F227" s="39">
        <f>SUM(F224:F226)</f>
        <v>30843.45</v>
      </c>
      <c r="G227" s="39">
        <f>SUM(G224:G226)</f>
        <v>24546.581999999999</v>
      </c>
      <c r="H227" s="39">
        <f>SUM(H224:H226)</f>
        <v>31196.715</v>
      </c>
      <c r="I227" s="39">
        <f>SUM(I224:I226)</f>
        <v>18732.236650239316</v>
      </c>
      <c r="J227" s="39">
        <f>SUM(J224:J226)</f>
        <v>19350.192465066197</v>
      </c>
    </row>
    <row r="229" spans="2:10" x14ac:dyDescent="0.3">
      <c r="B229" s="60" t="s">
        <v>53</v>
      </c>
    </row>
    <row r="230" spans="2:10" x14ac:dyDescent="0.3">
      <c r="B230" s="61" t="str">
        <f>B224</f>
        <v>U.S.</v>
      </c>
      <c r="F230" s="9">
        <f t="shared" ref="F230:J232" si="18">F218+F224</f>
        <v>7743.33</v>
      </c>
      <c r="G230" s="9">
        <f t="shared" si="18"/>
        <v>5374.53</v>
      </c>
      <c r="H230" s="9">
        <f t="shared" si="18"/>
        <v>6081.7049999999999</v>
      </c>
      <c r="I230" s="9">
        <f t="shared" si="18"/>
        <v>5453.91</v>
      </c>
      <c r="J230" s="9">
        <f t="shared" si="18"/>
        <v>4591.4399999999996</v>
      </c>
    </row>
    <row r="231" spans="2:10" x14ac:dyDescent="0.3">
      <c r="B231" s="61" t="str">
        <f>B225</f>
        <v>Canada</v>
      </c>
      <c r="F231" s="9">
        <f t="shared" si="18"/>
        <v>8662.32</v>
      </c>
      <c r="G231" s="9">
        <f t="shared" si="18"/>
        <v>8297.8919999999998</v>
      </c>
      <c r="H231" s="9">
        <f t="shared" si="18"/>
        <v>8787.93</v>
      </c>
      <c r="I231" s="9">
        <f t="shared" si="18"/>
        <v>7726.1279999999997</v>
      </c>
      <c r="J231" s="9">
        <f t="shared" si="18"/>
        <v>9495.7980000000007</v>
      </c>
    </row>
    <row r="232" spans="2:10" x14ac:dyDescent="0.3">
      <c r="B232" s="61" t="str">
        <f>B226</f>
        <v>Italy</v>
      </c>
      <c r="F232" s="37">
        <f t="shared" si="18"/>
        <v>14437.8</v>
      </c>
      <c r="G232" s="37">
        <f t="shared" si="18"/>
        <v>10874.16</v>
      </c>
      <c r="H232" s="37">
        <f t="shared" si="18"/>
        <v>16327.08</v>
      </c>
      <c r="I232" s="37">
        <f t="shared" si="18"/>
        <v>11396.88</v>
      </c>
      <c r="J232" s="37">
        <f t="shared" si="18"/>
        <v>10476.359999999999</v>
      </c>
    </row>
    <row r="233" spans="2:10" x14ac:dyDescent="0.3">
      <c r="B233" s="62" t="s">
        <v>51</v>
      </c>
      <c r="F233" s="39">
        <f>SUM(F230:F232)</f>
        <v>30843.45</v>
      </c>
      <c r="G233" s="39">
        <f>SUM(G230:G232)</f>
        <v>24546.581999999999</v>
      </c>
      <c r="H233" s="39">
        <f>SUM(H230:H232)</f>
        <v>31196.715</v>
      </c>
      <c r="I233" s="39">
        <f>SUM(I230:I232)</f>
        <v>24576.917999999998</v>
      </c>
      <c r="J233" s="39">
        <f>SUM(J230:J232)</f>
        <v>24563.597999999998</v>
      </c>
    </row>
    <row r="235" spans="2:10" x14ac:dyDescent="0.3">
      <c r="B235" s="38" t="s">
        <v>94</v>
      </c>
    </row>
    <row r="236" spans="2:10" x14ac:dyDescent="0.3">
      <c r="B236" s="61" t="str">
        <f>B230</f>
        <v>U.S.</v>
      </c>
      <c r="F236" s="9">
        <f>F23</f>
        <v>26760</v>
      </c>
      <c r="G236" s="9">
        <f>G23</f>
        <v>25593</v>
      </c>
      <c r="H236" s="9">
        <f>H23</f>
        <v>28960.5</v>
      </c>
      <c r="I236" s="9">
        <f>I23</f>
        <v>25971</v>
      </c>
      <c r="J236" s="9">
        <f>J23</f>
        <v>21864</v>
      </c>
    </row>
    <row r="237" spans="2:10" x14ac:dyDescent="0.3">
      <c r="B237" s="61" t="str">
        <f>B231</f>
        <v>Canada</v>
      </c>
      <c r="F237" s="9">
        <f>F86/F$214</f>
        <v>32688</v>
      </c>
      <c r="G237" s="9">
        <f>G86/G$214</f>
        <v>31312.799999999999</v>
      </c>
      <c r="H237" s="9">
        <f>H86/H$214</f>
        <v>33162</v>
      </c>
      <c r="I237" s="9">
        <f>I86/I$214</f>
        <v>29155.200000000001</v>
      </c>
      <c r="J237" s="9">
        <f>J86/J$214</f>
        <v>35833.199999999997</v>
      </c>
    </row>
    <row r="238" spans="2:10" x14ac:dyDescent="0.3">
      <c r="B238" s="61" t="str">
        <f>B232</f>
        <v>Italy</v>
      </c>
      <c r="F238" s="37">
        <f>F149/F$215</f>
        <v>44643</v>
      </c>
      <c r="G238" s="37">
        <f>G149/G$215</f>
        <v>45309</v>
      </c>
      <c r="H238" s="37">
        <f>H149/H$215</f>
        <v>49378.5</v>
      </c>
      <c r="I238" s="37">
        <f>I149/I$215</f>
        <v>47487</v>
      </c>
      <c r="J238" s="37">
        <f>J149/J$215</f>
        <v>43651.5</v>
      </c>
    </row>
    <row r="239" spans="2:10" x14ac:dyDescent="0.3">
      <c r="B239" s="62" t="s">
        <v>51</v>
      </c>
      <c r="F239" s="39">
        <f>SUM(F236:F238)</f>
        <v>104091</v>
      </c>
      <c r="G239" s="39">
        <f>SUM(G236:G238)</f>
        <v>102214.8</v>
      </c>
      <c r="H239" s="39">
        <f>SUM(H236:H238)</f>
        <v>111501</v>
      </c>
      <c r="I239" s="39">
        <f>SUM(I236:I238)</f>
        <v>102613.2</v>
      </c>
      <c r="J239" s="39">
        <f>SUM(J236:J238)</f>
        <v>101348.7</v>
      </c>
    </row>
    <row r="241" spans="2:10" x14ac:dyDescent="0.3">
      <c r="B241" s="63" t="s">
        <v>54</v>
      </c>
      <c r="C241" s="64"/>
      <c r="D241" s="64"/>
      <c r="E241" s="64"/>
      <c r="F241" s="65">
        <f>F233/F239</f>
        <v>0.29631236129924776</v>
      </c>
      <c r="G241" s="65">
        <f>G233/G239</f>
        <v>0.24014704328531677</v>
      </c>
      <c r="H241" s="65">
        <f>H233/H239</f>
        <v>0.27978865660397667</v>
      </c>
      <c r="I241" s="65">
        <f>I233/I239</f>
        <v>0.23951029692086398</v>
      </c>
      <c r="J241" s="66">
        <f>J233/J239</f>
        <v>0.24236717392526988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Calculations</vt:lpstr>
      <vt:lpstr>CaseData</vt:lpstr>
      <vt:lpstr>CaseSolution</vt:lpstr>
      <vt:lpstr>company</vt:lpstr>
      <vt:lpstr>periods</vt:lpstr>
      <vt:lpstr>Calculations!Print_Area</vt:lpstr>
      <vt:lpstr>Calculations!Print_Titles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Stephenson</dc:creator>
  <cp:lastModifiedBy>Luc Nicod</cp:lastModifiedBy>
  <cp:lastPrinted>2026-08-14T07:01:52Z</cp:lastPrinted>
  <dcterms:created xsi:type="dcterms:W3CDTF">2020-02-18T20:25:13Z</dcterms:created>
  <dcterms:modified xsi:type="dcterms:W3CDTF">2026-08-14T07:02:39Z</dcterms:modified>
</cp:coreProperties>
</file>