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6. Debt/6.2 Blackrat SPV ^N1/"/>
    </mc:Choice>
  </mc:AlternateContent>
  <xr:revisionPtr revIDLastSave="1283" documentId="13_ncr:1_{A0BDBB47-2E1F-41D2-B74B-C5B18733EE72}" xr6:coauthVersionLast="47" xr6:coauthVersionMax="47" xr10:uidLastSave="{D3208D3F-43DE-4D2F-98E2-2A4FA2A56548}"/>
  <bookViews>
    <workbookView xWindow="28680" yWindow="-120" windowWidth="29040" windowHeight="16440" xr2:uid="{00000000-000D-0000-FFFF-FFFF00000000}"/>
  </bookViews>
  <sheets>
    <sheet name="Debt" sheetId="4" r:id="rId1"/>
    <sheet name="Case1Data" sheetId="1" r:id="rId2"/>
    <sheet name="Case1Solution" sheetId="2" r:id="rId3"/>
  </sheets>
  <definedNames>
    <definedName name="company">Case1Data!$A$1</definedName>
    <definedName name="EBIDTA_scenarios">Case1Data!$E$108:$E$111</definedName>
    <definedName name="EBIDTA_selector">Debt!$F$15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Case1Data!$H$41</definedName>
    <definedName name="sculpting_scenarios">Case1Data!$E$104:$E$106</definedName>
    <definedName name="sculpting_selector">Debt!$F$8</definedName>
    <definedName name="start_date">Case1Data!$H$39</definedName>
    <definedName name="topic">"CFM Topic: " &amp; Case1Data!$E$96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4" l="1" a="1"/>
  <c r="J77" i="4"/>
  <c r="J39" i="4"/>
  <c r="F11" i="4"/>
  <c r="J35" i="4" a="1"/>
  <c r="J42" i="4"/>
  <c r="F12" i="4"/>
  <c r="F28" i="4"/>
  <c r="J29" i="4"/>
  <c r="J43" i="4"/>
  <c r="J44" i="4"/>
  <c r="J23" i="4"/>
  <c r="J24" i="4"/>
  <c r="J53" i="4"/>
  <c r="J79" i="4"/>
  <c r="J80" i="4"/>
  <c r="J81" i="4"/>
  <c r="J84" i="4"/>
  <c r="J88" i="4"/>
  <c r="K77" i="4"/>
  <c r="J54" i="4"/>
  <c r="K52" i="4"/>
  <c r="K57" i="4"/>
  <c r="K78" i="4"/>
  <c r="K22" i="4"/>
  <c r="K38" i="4"/>
  <c r="K39" i="4"/>
  <c r="K42" i="4"/>
  <c r="K29" i="4"/>
  <c r="K43" i="4"/>
  <c r="K44" i="4"/>
  <c r="K23" i="4"/>
  <c r="K24" i="4"/>
  <c r="K53" i="4"/>
  <c r="K79" i="4"/>
  <c r="K80" i="4"/>
  <c r="K81" i="4"/>
  <c r="K84" i="4"/>
  <c r="K88" i="4"/>
  <c r="L77" i="4"/>
  <c r="K54" i="4"/>
  <c r="L52" i="4"/>
  <c r="L57" i="4"/>
  <c r="L78" i="4"/>
  <c r="L22" i="4"/>
  <c r="L38" i="4"/>
  <c r="L39" i="4"/>
  <c r="L42" i="4"/>
  <c r="L29" i="4"/>
  <c r="L43" i="4"/>
  <c r="L44" i="4"/>
  <c r="L23" i="4"/>
  <c r="L24" i="4"/>
  <c r="L53" i="4"/>
  <c r="L79" i="4"/>
  <c r="L80" i="4"/>
  <c r="L81" i="4"/>
  <c r="L84" i="4"/>
  <c r="L88" i="4"/>
  <c r="M77" i="4"/>
  <c r="L54" i="4"/>
  <c r="M52" i="4"/>
  <c r="M57" i="4"/>
  <c r="M78" i="4"/>
  <c r="M22" i="4"/>
  <c r="M38" i="4"/>
  <c r="M39" i="4"/>
  <c r="M42" i="4"/>
  <c r="M29" i="4"/>
  <c r="M43" i="4"/>
  <c r="M44" i="4"/>
  <c r="M23" i="4"/>
  <c r="M24" i="4"/>
  <c r="M53" i="4"/>
  <c r="M79" i="4"/>
  <c r="M80" i="4"/>
  <c r="M81" i="4"/>
  <c r="M84" i="4"/>
  <c r="M88" i="4"/>
  <c r="AW77" i="4"/>
  <c r="M54" i="4"/>
  <c r="N52" i="4"/>
  <c r="N22" i="4"/>
  <c r="N57" i="4"/>
  <c r="N38" i="4"/>
  <c r="N39" i="4"/>
  <c r="N42" i="4"/>
  <c r="N29" i="4"/>
  <c r="N43" i="4"/>
  <c r="N44" i="4"/>
  <c r="N23" i="4"/>
  <c r="N24" i="4"/>
  <c r="N53" i="4"/>
  <c r="N54" i="4"/>
  <c r="O52" i="4"/>
  <c r="O22" i="4"/>
  <c r="O57" i="4"/>
  <c r="O38" i="4"/>
  <c r="O39" i="4"/>
  <c r="O42" i="4"/>
  <c r="O29" i="4"/>
  <c r="O43" i="4"/>
  <c r="O44" i="4"/>
  <c r="O23" i="4"/>
  <c r="O24" i="4"/>
  <c r="O53" i="4"/>
  <c r="O54" i="4"/>
  <c r="P52" i="4"/>
  <c r="P22" i="4"/>
  <c r="P57" i="4"/>
  <c r="P38" i="4"/>
  <c r="P39" i="4"/>
  <c r="P42" i="4"/>
  <c r="P29" i="4"/>
  <c r="P43" i="4"/>
  <c r="P44" i="4"/>
  <c r="P23" i="4"/>
  <c r="P24" i="4"/>
  <c r="P53" i="4"/>
  <c r="P54" i="4"/>
  <c r="Q52" i="4"/>
  <c r="Q22" i="4"/>
  <c r="Q57" i="4"/>
  <c r="Q38" i="4"/>
  <c r="Q39" i="4"/>
  <c r="Q42" i="4"/>
  <c r="Q29" i="4"/>
  <c r="Q43" i="4"/>
  <c r="Q44" i="4"/>
  <c r="Q23" i="4"/>
  <c r="Q24" i="4"/>
  <c r="Q53" i="4"/>
  <c r="Q54" i="4"/>
  <c r="R52" i="4"/>
  <c r="R22" i="4"/>
  <c r="R57" i="4"/>
  <c r="R38" i="4"/>
  <c r="R39" i="4"/>
  <c r="R42" i="4"/>
  <c r="R29" i="4"/>
  <c r="R43" i="4"/>
  <c r="R44" i="4"/>
  <c r="R23" i="4"/>
  <c r="R24" i="4"/>
  <c r="R53" i="4"/>
  <c r="R54" i="4"/>
  <c r="S52" i="4"/>
  <c r="S22" i="4"/>
  <c r="S57" i="4"/>
  <c r="S38" i="4"/>
  <c r="S39" i="4"/>
  <c r="S42" i="4"/>
  <c r="S29" i="4"/>
  <c r="S43" i="4"/>
  <c r="S44" i="4"/>
  <c r="S23" i="4"/>
  <c r="S24" i="4"/>
  <c r="S53" i="4"/>
  <c r="S54" i="4"/>
  <c r="T52" i="4"/>
  <c r="T22" i="4"/>
  <c r="T57" i="4"/>
  <c r="T38" i="4"/>
  <c r="T39" i="4"/>
  <c r="T42" i="4"/>
  <c r="T29" i="4"/>
  <c r="T43" i="4"/>
  <c r="T44" i="4"/>
  <c r="T23" i="4"/>
  <c r="T24" i="4"/>
  <c r="T53" i="4"/>
  <c r="T54" i="4"/>
  <c r="U52" i="4"/>
  <c r="U22" i="4"/>
  <c r="U57" i="4"/>
  <c r="U38" i="4"/>
  <c r="U39" i="4"/>
  <c r="U42" i="4"/>
  <c r="U29" i="4"/>
  <c r="U43" i="4"/>
  <c r="U44" i="4"/>
  <c r="U23" i="4"/>
  <c r="U24" i="4"/>
  <c r="U53" i="4"/>
  <c r="U54" i="4"/>
  <c r="V52" i="4"/>
  <c r="V22" i="4"/>
  <c r="V57" i="4"/>
  <c r="V38" i="4"/>
  <c r="V39" i="4"/>
  <c r="V42" i="4"/>
  <c r="V29" i="4"/>
  <c r="V43" i="4"/>
  <c r="V44" i="4"/>
  <c r="V23" i="4"/>
  <c r="V24" i="4"/>
  <c r="V53" i="4"/>
  <c r="V54" i="4"/>
  <c r="W52" i="4"/>
  <c r="W22" i="4"/>
  <c r="W57" i="4"/>
  <c r="W38" i="4"/>
  <c r="W39" i="4"/>
  <c r="W42" i="4"/>
  <c r="W29" i="4"/>
  <c r="W43" i="4"/>
  <c r="W44" i="4"/>
  <c r="W23" i="4"/>
  <c r="W24" i="4"/>
  <c r="W53" i="4"/>
  <c r="W54" i="4"/>
  <c r="X52" i="4"/>
  <c r="X22" i="4"/>
  <c r="X57" i="4"/>
  <c r="X38" i="4"/>
  <c r="X39" i="4"/>
  <c r="X42" i="4"/>
  <c r="X29" i="4"/>
  <c r="X43" i="4"/>
  <c r="X44" i="4"/>
  <c r="X23" i="4"/>
  <c r="X24" i="4"/>
  <c r="X53" i="4"/>
  <c r="X54" i="4"/>
  <c r="Y52" i="4"/>
  <c r="Y22" i="4"/>
  <c r="Y57" i="4"/>
  <c r="Y38" i="4"/>
  <c r="Y39" i="4"/>
  <c r="Y42" i="4"/>
  <c r="Y29" i="4"/>
  <c r="Y43" i="4"/>
  <c r="Y44" i="4"/>
  <c r="Y23" i="4"/>
  <c r="Y24" i="4"/>
  <c r="Y53" i="4"/>
  <c r="Y54" i="4"/>
  <c r="Z52" i="4"/>
  <c r="Z22" i="4"/>
  <c r="Z57" i="4"/>
  <c r="Z38" i="4"/>
  <c r="Z39" i="4"/>
  <c r="Z42" i="4"/>
  <c r="Z29" i="4"/>
  <c r="Z43" i="4"/>
  <c r="Z44" i="4"/>
  <c r="Z23" i="4"/>
  <c r="Z24" i="4"/>
  <c r="Z53" i="4"/>
  <c r="Z54" i="4"/>
  <c r="AA52" i="4"/>
  <c r="AA22" i="4"/>
  <c r="AA57" i="4"/>
  <c r="AA38" i="4"/>
  <c r="AA39" i="4"/>
  <c r="AA42" i="4"/>
  <c r="AA29" i="4"/>
  <c r="AA43" i="4"/>
  <c r="AA44" i="4"/>
  <c r="AA23" i="4"/>
  <c r="AA24" i="4"/>
  <c r="AA53" i="4"/>
  <c r="AA54" i="4"/>
  <c r="AB52" i="4"/>
  <c r="AB22" i="4"/>
  <c r="AB57" i="4"/>
  <c r="AB38" i="4"/>
  <c r="AB39" i="4"/>
  <c r="AB42" i="4"/>
  <c r="AB29" i="4"/>
  <c r="AB43" i="4"/>
  <c r="AB44" i="4"/>
  <c r="AB23" i="4"/>
  <c r="AB24" i="4"/>
  <c r="AB53" i="4"/>
  <c r="AB54" i="4"/>
  <c r="AC52" i="4"/>
  <c r="AC22" i="4"/>
  <c r="AC57" i="4"/>
  <c r="AC38" i="4"/>
  <c r="AC39" i="4"/>
  <c r="AC42" i="4"/>
  <c r="AC29" i="4"/>
  <c r="AC43" i="4"/>
  <c r="AC44" i="4"/>
  <c r="AC23" i="4"/>
  <c r="AC24" i="4"/>
  <c r="AC53" i="4"/>
  <c r="AC54" i="4"/>
  <c r="AD52" i="4"/>
  <c r="AD22" i="4"/>
  <c r="AD57" i="4"/>
  <c r="AD38" i="4"/>
  <c r="AD39" i="4"/>
  <c r="AD42" i="4"/>
  <c r="AD29" i="4"/>
  <c r="AD43" i="4"/>
  <c r="AD44" i="4"/>
  <c r="AD23" i="4"/>
  <c r="AD24" i="4"/>
  <c r="AD53" i="4"/>
  <c r="AD54" i="4"/>
  <c r="AE52" i="4"/>
  <c r="AE22" i="4"/>
  <c r="AE57" i="4"/>
  <c r="AE38" i="4"/>
  <c r="AE39" i="4"/>
  <c r="AE42" i="4"/>
  <c r="AE29" i="4"/>
  <c r="AE43" i="4"/>
  <c r="AE44" i="4"/>
  <c r="AE23" i="4"/>
  <c r="AE24" i="4"/>
  <c r="AE53" i="4"/>
  <c r="AE54" i="4"/>
  <c r="AF52" i="4"/>
  <c r="AF22" i="4"/>
  <c r="AF57" i="4"/>
  <c r="AF38" i="4"/>
  <c r="AF39" i="4"/>
  <c r="AF42" i="4"/>
  <c r="AF29" i="4"/>
  <c r="AF43" i="4"/>
  <c r="AF44" i="4"/>
  <c r="AF23" i="4"/>
  <c r="AF24" i="4"/>
  <c r="AF53" i="4"/>
  <c r="AF54" i="4"/>
  <c r="AG52" i="4"/>
  <c r="AG22" i="4"/>
  <c r="AG57" i="4"/>
  <c r="AG38" i="4"/>
  <c r="AG39" i="4"/>
  <c r="AG42" i="4"/>
  <c r="AG29" i="4"/>
  <c r="AG43" i="4"/>
  <c r="AG44" i="4"/>
  <c r="AG23" i="4"/>
  <c r="AG24" i="4"/>
  <c r="AG53" i="4"/>
  <c r="AG54" i="4"/>
  <c r="AH52" i="4"/>
  <c r="AH22" i="4"/>
  <c r="AH57" i="4"/>
  <c r="AH38" i="4"/>
  <c r="AH39" i="4"/>
  <c r="AH42" i="4"/>
  <c r="AH29" i="4"/>
  <c r="AH43" i="4"/>
  <c r="AH44" i="4"/>
  <c r="AH23" i="4"/>
  <c r="AH24" i="4"/>
  <c r="AH53" i="4"/>
  <c r="AH54" i="4"/>
  <c r="AI52" i="4"/>
  <c r="AI22" i="4"/>
  <c r="AI57" i="4"/>
  <c r="AI38" i="4"/>
  <c r="AI39" i="4"/>
  <c r="AI42" i="4"/>
  <c r="AI29" i="4"/>
  <c r="AI43" i="4"/>
  <c r="AI44" i="4"/>
  <c r="AI23" i="4"/>
  <c r="AI24" i="4"/>
  <c r="AI53" i="4"/>
  <c r="AI54" i="4"/>
  <c r="AJ52" i="4"/>
  <c r="AJ22" i="4"/>
  <c r="AJ57" i="4"/>
  <c r="AJ38" i="4"/>
  <c r="AJ39" i="4"/>
  <c r="AJ42" i="4"/>
  <c r="AJ29" i="4"/>
  <c r="AJ43" i="4"/>
  <c r="AJ44" i="4"/>
  <c r="AJ23" i="4"/>
  <c r="AJ24" i="4"/>
  <c r="AJ53" i="4"/>
  <c r="AJ54" i="4"/>
  <c r="AK52" i="4"/>
  <c r="AK22" i="4"/>
  <c r="AK57" i="4"/>
  <c r="AK38" i="4"/>
  <c r="AK39" i="4"/>
  <c r="AK42" i="4"/>
  <c r="AK29" i="4"/>
  <c r="AK43" i="4"/>
  <c r="AK44" i="4"/>
  <c r="AK23" i="4"/>
  <c r="AK24" i="4"/>
  <c r="AK53" i="4"/>
  <c r="AK54" i="4"/>
  <c r="AL52" i="4"/>
  <c r="AL22" i="4"/>
  <c r="AL57" i="4"/>
  <c r="AL38" i="4"/>
  <c r="AL39" i="4"/>
  <c r="AL42" i="4"/>
  <c r="AL29" i="4"/>
  <c r="AL43" i="4"/>
  <c r="AL44" i="4"/>
  <c r="AL23" i="4"/>
  <c r="AL24" i="4"/>
  <c r="AL53" i="4"/>
  <c r="AL54" i="4"/>
  <c r="AM52" i="4"/>
  <c r="AM22" i="4"/>
  <c r="AM57" i="4"/>
  <c r="AM38" i="4"/>
  <c r="AM39" i="4"/>
  <c r="AM42" i="4"/>
  <c r="AM29" i="4"/>
  <c r="AM43" i="4"/>
  <c r="AM44" i="4"/>
  <c r="AM23" i="4"/>
  <c r="AM24" i="4"/>
  <c r="AM53" i="4"/>
  <c r="AM54" i="4"/>
  <c r="AN52" i="4"/>
  <c r="AN22" i="4"/>
  <c r="AN57" i="4"/>
  <c r="AN38" i="4"/>
  <c r="AN39" i="4"/>
  <c r="AN42" i="4"/>
  <c r="AN29" i="4"/>
  <c r="AN43" i="4"/>
  <c r="AN44" i="4"/>
  <c r="AN23" i="4"/>
  <c r="AN24" i="4"/>
  <c r="AN53" i="4"/>
  <c r="AN54" i="4"/>
  <c r="AO52" i="4"/>
  <c r="AO22" i="4"/>
  <c r="AO57" i="4"/>
  <c r="AO38" i="4"/>
  <c r="AO39" i="4"/>
  <c r="AO42" i="4"/>
  <c r="AO29" i="4"/>
  <c r="AO43" i="4"/>
  <c r="AO44" i="4"/>
  <c r="AO23" i="4"/>
  <c r="AO24" i="4"/>
  <c r="AO53" i="4"/>
  <c r="AO54" i="4"/>
  <c r="AP52" i="4"/>
  <c r="AP22" i="4"/>
  <c r="AP57" i="4"/>
  <c r="AP38" i="4"/>
  <c r="AP39" i="4"/>
  <c r="AP42" i="4"/>
  <c r="AP29" i="4"/>
  <c r="AP43" i="4"/>
  <c r="AP44" i="4"/>
  <c r="AP23" i="4"/>
  <c r="AP24" i="4"/>
  <c r="AP53" i="4"/>
  <c r="AP54" i="4"/>
  <c r="AQ52" i="4"/>
  <c r="AQ22" i="4"/>
  <c r="AQ57" i="4"/>
  <c r="AQ38" i="4"/>
  <c r="AQ39" i="4"/>
  <c r="AQ42" i="4"/>
  <c r="AQ29" i="4"/>
  <c r="AQ43" i="4"/>
  <c r="AQ44" i="4"/>
  <c r="AQ23" i="4"/>
  <c r="AQ24" i="4"/>
  <c r="AQ53" i="4"/>
  <c r="AQ54" i="4"/>
  <c r="AR52" i="4"/>
  <c r="AR22" i="4"/>
  <c r="AR57" i="4"/>
  <c r="AR38" i="4"/>
  <c r="AR39" i="4"/>
  <c r="AR42" i="4"/>
  <c r="AR29" i="4"/>
  <c r="AR43" i="4"/>
  <c r="AR44" i="4"/>
  <c r="AR23" i="4"/>
  <c r="AR24" i="4"/>
  <c r="AR53" i="4"/>
  <c r="AR54" i="4"/>
  <c r="AS52" i="4"/>
  <c r="AS22" i="4"/>
  <c r="AS57" i="4"/>
  <c r="AS38" i="4"/>
  <c r="AS39" i="4"/>
  <c r="AS42" i="4"/>
  <c r="AS29" i="4"/>
  <c r="AS43" i="4"/>
  <c r="AS44" i="4"/>
  <c r="AS23" i="4"/>
  <c r="AS24" i="4"/>
  <c r="AS53" i="4"/>
  <c r="AS54" i="4"/>
  <c r="AT52" i="4"/>
  <c r="AT22" i="4"/>
  <c r="AT57" i="4"/>
  <c r="AT38" i="4"/>
  <c r="AT39" i="4"/>
  <c r="AT42" i="4"/>
  <c r="AT29" i="4"/>
  <c r="AT43" i="4"/>
  <c r="AT44" i="4"/>
  <c r="AT23" i="4"/>
  <c r="AT24" i="4"/>
  <c r="AT53" i="4"/>
  <c r="AT54" i="4"/>
  <c r="AU52" i="4"/>
  <c r="AU22" i="4"/>
  <c r="AU57" i="4"/>
  <c r="AU38" i="4"/>
  <c r="AU39" i="4"/>
  <c r="AU42" i="4"/>
  <c r="AU29" i="4"/>
  <c r="AU43" i="4"/>
  <c r="AU44" i="4"/>
  <c r="AU23" i="4"/>
  <c r="AU24" i="4"/>
  <c r="AU53" i="4"/>
  <c r="AU54" i="4"/>
  <c r="AV52" i="4"/>
  <c r="AV22" i="4"/>
  <c r="AV57" i="4"/>
  <c r="AV38" i="4"/>
  <c r="AV39" i="4"/>
  <c r="AV42" i="4"/>
  <c r="AV29" i="4"/>
  <c r="AV43" i="4"/>
  <c r="AV44" i="4"/>
  <c r="AV23" i="4"/>
  <c r="AV24" i="4"/>
  <c r="AV53" i="4"/>
  <c r="AV54" i="4"/>
  <c r="AW52" i="4"/>
  <c r="AW57" i="4"/>
  <c r="AW78" i="4"/>
  <c r="AW22" i="4"/>
  <c r="AW38" i="4"/>
  <c r="AW39" i="4"/>
  <c r="AW42" i="4"/>
  <c r="AW29" i="4"/>
  <c r="AW43" i="4"/>
  <c r="AW44" i="4"/>
  <c r="AW23" i="4"/>
  <c r="AW24" i="4"/>
  <c r="AW53" i="4"/>
  <c r="AW79" i="4"/>
  <c r="AW80" i="4"/>
  <c r="AW81" i="4"/>
  <c r="AW84" i="4"/>
  <c r="AW88" i="4"/>
  <c r="AV77" i="4"/>
  <c r="AV78" i="4"/>
  <c r="AV79" i="4"/>
  <c r="AV80" i="4"/>
  <c r="AV81" i="4"/>
  <c r="AV84" i="4"/>
  <c r="AV88" i="4"/>
  <c r="AU77" i="4"/>
  <c r="AU78" i="4"/>
  <c r="AU79" i="4"/>
  <c r="AU80" i="4"/>
  <c r="AU81" i="4"/>
  <c r="AU84" i="4"/>
  <c r="AU88" i="4"/>
  <c r="AT77" i="4"/>
  <c r="AT78" i="4"/>
  <c r="AT79" i="4"/>
  <c r="AT80" i="4"/>
  <c r="AT81" i="4"/>
  <c r="AT84" i="4"/>
  <c r="AT88" i="4"/>
  <c r="AS77" i="4"/>
  <c r="AS78" i="4"/>
  <c r="AS79" i="4"/>
  <c r="AS80" i="4"/>
  <c r="AS81" i="4"/>
  <c r="AS84" i="4"/>
  <c r="AS88" i="4"/>
  <c r="AR77" i="4"/>
  <c r="AR78" i="4"/>
  <c r="AR79" i="4"/>
  <c r="AR80" i="4"/>
  <c r="AR81" i="4"/>
  <c r="AR84" i="4"/>
  <c r="AR88" i="4"/>
  <c r="AQ77" i="4"/>
  <c r="AQ78" i="4"/>
  <c r="AQ79" i="4"/>
  <c r="AQ80" i="4"/>
  <c r="AQ81" i="4"/>
  <c r="AQ84" i="4"/>
  <c r="AQ88" i="4"/>
  <c r="AP77" i="4"/>
  <c r="AP78" i="4"/>
  <c r="AP79" i="4"/>
  <c r="AP80" i="4"/>
  <c r="AP81" i="4"/>
  <c r="AP84" i="4"/>
  <c r="AP88" i="4"/>
  <c r="AO77" i="4"/>
  <c r="AO78" i="4"/>
  <c r="AO79" i="4"/>
  <c r="AO80" i="4"/>
  <c r="AO81" i="4"/>
  <c r="AO84" i="4"/>
  <c r="AO88" i="4"/>
  <c r="AN77" i="4"/>
  <c r="AN78" i="4"/>
  <c r="AN79" i="4"/>
  <c r="AN80" i="4"/>
  <c r="AN81" i="4"/>
  <c r="AN84" i="4"/>
  <c r="AN88" i="4"/>
  <c r="AM77" i="4"/>
  <c r="AM78" i="4"/>
  <c r="AM79" i="4"/>
  <c r="AM80" i="4"/>
  <c r="AM81" i="4"/>
  <c r="AM84" i="4"/>
  <c r="AM88" i="4"/>
  <c r="AL77" i="4"/>
  <c r="AL78" i="4"/>
  <c r="AL79" i="4"/>
  <c r="AL80" i="4"/>
  <c r="AL81" i="4"/>
  <c r="AL84" i="4"/>
  <c r="AL88" i="4"/>
  <c r="AK77" i="4"/>
  <c r="AK78" i="4"/>
  <c r="AK79" i="4"/>
  <c r="AK80" i="4"/>
  <c r="AK81" i="4"/>
  <c r="AK84" i="4"/>
  <c r="AK88" i="4"/>
  <c r="AJ77" i="4"/>
  <c r="AJ78" i="4"/>
  <c r="AJ79" i="4"/>
  <c r="AJ80" i="4"/>
  <c r="AJ81" i="4"/>
  <c r="AJ84" i="4"/>
  <c r="AJ88" i="4"/>
  <c r="AI77" i="4"/>
  <c r="AI78" i="4"/>
  <c r="AI79" i="4"/>
  <c r="AI80" i="4"/>
  <c r="AI81" i="4"/>
  <c r="AI84" i="4"/>
  <c r="AI88" i="4"/>
  <c r="AH77" i="4"/>
  <c r="AH78" i="4"/>
  <c r="AH79" i="4"/>
  <c r="AH80" i="4"/>
  <c r="AH81" i="4"/>
  <c r="AH84" i="4"/>
  <c r="AH88" i="4"/>
  <c r="AG77" i="4"/>
  <c r="AG78" i="4"/>
  <c r="AG79" i="4"/>
  <c r="AG80" i="4"/>
  <c r="AG81" i="4"/>
  <c r="AG84" i="4"/>
  <c r="AG88" i="4"/>
  <c r="AF77" i="4"/>
  <c r="AF78" i="4"/>
  <c r="AF79" i="4"/>
  <c r="AF80" i="4"/>
  <c r="AF81" i="4"/>
  <c r="AF84" i="4"/>
  <c r="AF88" i="4"/>
  <c r="AE77" i="4"/>
  <c r="AE78" i="4"/>
  <c r="AE79" i="4"/>
  <c r="AE80" i="4"/>
  <c r="AE81" i="4"/>
  <c r="AE84" i="4"/>
  <c r="AE88" i="4"/>
  <c r="AD77" i="4"/>
  <c r="AD78" i="4"/>
  <c r="AD79" i="4"/>
  <c r="AD80" i="4"/>
  <c r="AD81" i="4"/>
  <c r="AD84" i="4"/>
  <c r="AD88" i="4"/>
  <c r="AC77" i="4"/>
  <c r="AC78" i="4"/>
  <c r="AC79" i="4"/>
  <c r="AC80" i="4"/>
  <c r="AC81" i="4"/>
  <c r="AC84" i="4"/>
  <c r="AC88" i="4"/>
  <c r="AB77" i="4"/>
  <c r="AB78" i="4"/>
  <c r="AB79" i="4"/>
  <c r="AB80" i="4"/>
  <c r="AB81" i="4"/>
  <c r="AB84" i="4"/>
  <c r="AB88" i="4"/>
  <c r="AA77" i="4"/>
  <c r="AA78" i="4"/>
  <c r="AA79" i="4"/>
  <c r="AA80" i="4"/>
  <c r="AA81" i="4"/>
  <c r="AA84" i="4"/>
  <c r="AA88" i="4"/>
  <c r="Z77" i="4"/>
  <c r="Z78" i="4"/>
  <c r="Z79" i="4"/>
  <c r="Z80" i="4"/>
  <c r="Z81" i="4"/>
  <c r="Z84" i="4"/>
  <c r="Z88" i="4"/>
  <c r="Y77" i="4"/>
  <c r="Y78" i="4"/>
  <c r="Y79" i="4"/>
  <c r="Y80" i="4"/>
  <c r="Y81" i="4"/>
  <c r="Y84" i="4"/>
  <c r="Y88" i="4"/>
  <c r="X77" i="4"/>
  <c r="X78" i="4"/>
  <c r="X79" i="4"/>
  <c r="X80" i="4"/>
  <c r="X81" i="4"/>
  <c r="X84" i="4"/>
  <c r="X88" i="4"/>
  <c r="W77" i="4"/>
  <c r="W78" i="4"/>
  <c r="W79" i="4"/>
  <c r="W80" i="4"/>
  <c r="W81" i="4"/>
  <c r="W84" i="4"/>
  <c r="W88" i="4"/>
  <c r="V77" i="4"/>
  <c r="V78" i="4"/>
  <c r="V79" i="4"/>
  <c r="V80" i="4"/>
  <c r="V81" i="4"/>
  <c r="V84" i="4"/>
  <c r="V88" i="4"/>
  <c r="U77" i="4"/>
  <c r="U78" i="4"/>
  <c r="U79" i="4"/>
  <c r="U80" i="4"/>
  <c r="U81" i="4"/>
  <c r="U84" i="4"/>
  <c r="U88" i="4"/>
  <c r="T77" i="4"/>
  <c r="T78" i="4"/>
  <c r="T79" i="4"/>
  <c r="T80" i="4"/>
  <c r="T81" i="4"/>
  <c r="T84" i="4"/>
  <c r="T88" i="4"/>
  <c r="S77" i="4"/>
  <c r="S78" i="4"/>
  <c r="S79" i="4"/>
  <c r="S80" i="4"/>
  <c r="S81" i="4"/>
  <c r="S84" i="4"/>
  <c r="S88" i="4"/>
  <c r="R77" i="4"/>
  <c r="R78" i="4"/>
  <c r="R79" i="4"/>
  <c r="R80" i="4"/>
  <c r="R81" i="4"/>
  <c r="R84" i="4"/>
  <c r="R88" i="4"/>
  <c r="Q77" i="4"/>
  <c r="Q78" i="4"/>
  <c r="Q79" i="4"/>
  <c r="Q80" i="4"/>
  <c r="Q81" i="4"/>
  <c r="Q84" i="4"/>
  <c r="Q88" i="4"/>
  <c r="P77" i="4"/>
  <c r="P78" i="4"/>
  <c r="P79" i="4"/>
  <c r="P80" i="4"/>
  <c r="P81" i="4"/>
  <c r="P84" i="4"/>
  <c r="P88" i="4"/>
  <c r="O77" i="4"/>
  <c r="O78" i="4"/>
  <c r="O79" i="4"/>
  <c r="O80" i="4"/>
  <c r="O81" i="4"/>
  <c r="O84" i="4"/>
  <c r="O88" i="4"/>
  <c r="N77" i="4"/>
  <c r="N78" i="4"/>
  <c r="N79" i="4"/>
  <c r="N80" i="4"/>
  <c r="N81" i="4"/>
  <c r="N84" i="4"/>
  <c r="N88" i="4"/>
  <c r="F91" i="4"/>
  <c r="I114" i="4"/>
  <c r="H115" i="4" a="1"/>
  <c r="F90" i="4"/>
  <c r="J113" i="4" a="1"/>
  <c r="J3" i="4" a="1"/>
  <c r="I54" i="4"/>
  <c r="J52" i="4"/>
  <c r="F56" i="4"/>
  <c r="J57" i="4"/>
  <c r="J38" i="4"/>
  <c r="I24" i="4"/>
  <c r="J22" i="4"/>
  <c r="J78" i="4"/>
  <c r="I65" i="4"/>
  <c r="J63" i="4"/>
  <c r="J64" i="4"/>
  <c r="J82" i="4"/>
  <c r="F69" i="4"/>
  <c r="J70" i="4"/>
  <c r="J83" i="4"/>
  <c r="J87" i="4" a="1"/>
  <c r="J65" i="4"/>
  <c r="K63" i="4"/>
  <c r="K64" i="4"/>
  <c r="K82" i="4"/>
  <c r="K70" i="4"/>
  <c r="K83" i="4"/>
  <c r="K65" i="4"/>
  <c r="L63" i="4"/>
  <c r="L64" i="4"/>
  <c r="L82" i="4"/>
  <c r="L70" i="4"/>
  <c r="L83" i="4"/>
  <c r="L65" i="4"/>
  <c r="M63" i="4"/>
  <c r="M64" i="4"/>
  <c r="M82" i="4"/>
  <c r="M70" i="4"/>
  <c r="M83" i="4"/>
  <c r="M65" i="4"/>
  <c r="N63" i="4"/>
  <c r="N64" i="4"/>
  <c r="N65" i="4"/>
  <c r="O63" i="4"/>
  <c r="O64" i="4"/>
  <c r="O65" i="4"/>
  <c r="P63" i="4"/>
  <c r="P64" i="4"/>
  <c r="P65" i="4"/>
  <c r="Q63" i="4"/>
  <c r="Q64" i="4"/>
  <c r="Q65" i="4"/>
  <c r="R63" i="4"/>
  <c r="R64" i="4"/>
  <c r="R65" i="4"/>
  <c r="S63" i="4"/>
  <c r="S64" i="4"/>
  <c r="S65" i="4"/>
  <c r="T63" i="4"/>
  <c r="T64" i="4"/>
  <c r="T65" i="4"/>
  <c r="U63" i="4"/>
  <c r="U64" i="4"/>
  <c r="U65" i="4"/>
  <c r="V63" i="4"/>
  <c r="V64" i="4"/>
  <c r="V65" i="4"/>
  <c r="W63" i="4"/>
  <c r="W64" i="4"/>
  <c r="W65" i="4"/>
  <c r="X63" i="4"/>
  <c r="X64" i="4"/>
  <c r="X65" i="4"/>
  <c r="Y63" i="4"/>
  <c r="Y64" i="4"/>
  <c r="Y65" i="4"/>
  <c r="Z63" i="4"/>
  <c r="Z64" i="4"/>
  <c r="Z65" i="4"/>
  <c r="AA63" i="4"/>
  <c r="AA64" i="4"/>
  <c r="AA65" i="4"/>
  <c r="AB63" i="4"/>
  <c r="AB64" i="4"/>
  <c r="AB65" i="4"/>
  <c r="AC63" i="4"/>
  <c r="AC64" i="4"/>
  <c r="AC65" i="4"/>
  <c r="AD63" i="4"/>
  <c r="AD64" i="4"/>
  <c r="AD65" i="4"/>
  <c r="AE63" i="4"/>
  <c r="AE64" i="4"/>
  <c r="AE65" i="4"/>
  <c r="AF63" i="4"/>
  <c r="AF64" i="4"/>
  <c r="AF65" i="4"/>
  <c r="AG63" i="4"/>
  <c r="AG64" i="4"/>
  <c r="AG65" i="4"/>
  <c r="AH63" i="4"/>
  <c r="AH64" i="4"/>
  <c r="AH65" i="4"/>
  <c r="AI63" i="4"/>
  <c r="AI64" i="4"/>
  <c r="AI65" i="4"/>
  <c r="AJ63" i="4"/>
  <c r="AJ64" i="4"/>
  <c r="AJ65" i="4"/>
  <c r="AK63" i="4"/>
  <c r="AK64" i="4"/>
  <c r="AK65" i="4"/>
  <c r="AL63" i="4"/>
  <c r="AL64" i="4"/>
  <c r="AL65" i="4"/>
  <c r="AM63" i="4"/>
  <c r="AM64" i="4"/>
  <c r="AM65" i="4"/>
  <c r="AN63" i="4"/>
  <c r="AN64" i="4"/>
  <c r="AN65" i="4"/>
  <c r="AO63" i="4"/>
  <c r="AO64" i="4"/>
  <c r="AO65" i="4"/>
  <c r="AP63" i="4"/>
  <c r="AP64" i="4"/>
  <c r="AP65" i="4"/>
  <c r="AQ63" i="4"/>
  <c r="AQ64" i="4"/>
  <c r="AQ65" i="4"/>
  <c r="AR63" i="4"/>
  <c r="AR64" i="4"/>
  <c r="AR65" i="4"/>
  <c r="AS63" i="4"/>
  <c r="AS64" i="4"/>
  <c r="AS65" i="4"/>
  <c r="AT63" i="4"/>
  <c r="AT64" i="4"/>
  <c r="AT65" i="4"/>
  <c r="AU63" i="4"/>
  <c r="AU64" i="4"/>
  <c r="AU65" i="4"/>
  <c r="AV63" i="4"/>
  <c r="AV64" i="4"/>
  <c r="AV65" i="4"/>
  <c r="AW63" i="4"/>
  <c r="AW64" i="4"/>
  <c r="AW82" i="4"/>
  <c r="AW70" i="4"/>
  <c r="AW83" i="4"/>
  <c r="AV82" i="4"/>
  <c r="AV70" i="4"/>
  <c r="AV83" i="4"/>
  <c r="AU82" i="4"/>
  <c r="AU70" i="4"/>
  <c r="AU83" i="4"/>
  <c r="AT82" i="4"/>
  <c r="AT70" i="4"/>
  <c r="AT83" i="4"/>
  <c r="AS82" i="4"/>
  <c r="AS70" i="4"/>
  <c r="AS83" i="4"/>
  <c r="AR82" i="4"/>
  <c r="AR70" i="4"/>
  <c r="AR83" i="4"/>
  <c r="AQ82" i="4"/>
  <c r="AQ70" i="4"/>
  <c r="AQ83" i="4"/>
  <c r="AP82" i="4"/>
  <c r="AP70" i="4"/>
  <c r="AP83" i="4"/>
  <c r="AO82" i="4"/>
  <c r="AO70" i="4"/>
  <c r="AO83" i="4"/>
  <c r="AN82" i="4"/>
  <c r="AN70" i="4"/>
  <c r="AN83" i="4"/>
  <c r="AM82" i="4"/>
  <c r="AM70" i="4"/>
  <c r="AM83" i="4"/>
  <c r="AL82" i="4"/>
  <c r="AL70" i="4"/>
  <c r="AL83" i="4"/>
  <c r="AK82" i="4"/>
  <c r="AK70" i="4"/>
  <c r="AK83" i="4"/>
  <c r="AJ82" i="4"/>
  <c r="AJ70" i="4"/>
  <c r="AJ83" i="4"/>
  <c r="AI82" i="4"/>
  <c r="AI70" i="4"/>
  <c r="AI83" i="4"/>
  <c r="AH82" i="4"/>
  <c r="AH70" i="4"/>
  <c r="AH83" i="4"/>
  <c r="AG82" i="4"/>
  <c r="AG70" i="4"/>
  <c r="AG83" i="4"/>
  <c r="AF82" i="4"/>
  <c r="AF70" i="4"/>
  <c r="AF83" i="4"/>
  <c r="AE82" i="4"/>
  <c r="AE70" i="4"/>
  <c r="AE83" i="4"/>
  <c r="AD82" i="4"/>
  <c r="AD70" i="4"/>
  <c r="AD83" i="4"/>
  <c r="AC82" i="4"/>
  <c r="AC70" i="4"/>
  <c r="AC83" i="4"/>
  <c r="AB82" i="4"/>
  <c r="AB70" i="4"/>
  <c r="AB83" i="4"/>
  <c r="AA82" i="4"/>
  <c r="AA70" i="4"/>
  <c r="AA83" i="4"/>
  <c r="Z82" i="4"/>
  <c r="Z70" i="4"/>
  <c r="Z83" i="4"/>
  <c r="Y82" i="4"/>
  <c r="Y70" i="4"/>
  <c r="Y83" i="4"/>
  <c r="X82" i="4"/>
  <c r="X70" i="4"/>
  <c r="X83" i="4"/>
  <c r="W82" i="4"/>
  <c r="W70" i="4"/>
  <c r="W83" i="4"/>
  <c r="V82" i="4"/>
  <c r="V70" i="4"/>
  <c r="V83" i="4"/>
  <c r="U82" i="4"/>
  <c r="U70" i="4"/>
  <c r="U83" i="4"/>
  <c r="T82" i="4"/>
  <c r="T70" i="4"/>
  <c r="T83" i="4"/>
  <c r="S82" i="4"/>
  <c r="S70" i="4"/>
  <c r="S83" i="4"/>
  <c r="R82" i="4"/>
  <c r="R70" i="4"/>
  <c r="R83" i="4"/>
  <c r="Q82" i="4"/>
  <c r="Q70" i="4"/>
  <c r="Q83" i="4"/>
  <c r="P82" i="4"/>
  <c r="P70" i="4"/>
  <c r="P83" i="4"/>
  <c r="O82" i="4"/>
  <c r="O70" i="4"/>
  <c r="O83" i="4"/>
  <c r="N82" i="4"/>
  <c r="N70" i="4"/>
  <c r="N83" i="4"/>
  <c r="F87" i="4"/>
  <c r="I107" i="4"/>
  <c r="H108" i="4" a="1"/>
  <c r="H101" i="4" a="1"/>
  <c r="J106" i="4" a="1"/>
  <c r="J99" i="4" a="1"/>
  <c r="I100" i="4"/>
  <c r="M50" i="1" a="1"/>
  <c r="G77" i="4"/>
  <c r="E77" i="4"/>
  <c r="F86" i="4"/>
  <c r="I83" i="4"/>
  <c r="G83" i="4"/>
  <c r="E83" i="4"/>
  <c r="I82" i="4"/>
  <c r="G82" i="4"/>
  <c r="E82" i="4"/>
  <c r="G79" i="4"/>
  <c r="I78" i="4"/>
  <c r="G78" i="4"/>
  <c r="E78" i="4"/>
  <c r="I77" i="4"/>
  <c r="I81" i="4"/>
  <c r="G81" i="4"/>
  <c r="E81" i="4"/>
  <c r="I80" i="4"/>
  <c r="G80" i="4"/>
  <c r="E80" i="4"/>
  <c r="G45" i="2"/>
  <c r="G97" i="2"/>
  <c r="G62" i="2"/>
  <c r="G64" i="2"/>
  <c r="E40" i="2"/>
  <c r="E60" i="2"/>
  <c r="G60" i="2"/>
  <c r="G66" i="2"/>
  <c r="E41" i="2"/>
  <c r="E53" i="2"/>
  <c r="G53" i="2"/>
  <c r="G54" i="2"/>
  <c r="G67" i="2"/>
  <c r="G68" i="2"/>
  <c r="G50" i="2"/>
  <c r="G51" i="2"/>
  <c r="G76" i="2"/>
  <c r="G99" i="2"/>
  <c r="G100" i="2"/>
  <c r="G101" i="2"/>
  <c r="E84" i="2"/>
  <c r="E87" i="2"/>
  <c r="G87" i="2"/>
  <c r="G102" i="2"/>
  <c r="G104" i="2"/>
  <c r="H45" i="2"/>
  <c r="H97" i="2"/>
  <c r="G77" i="2"/>
  <c r="H75" i="2"/>
  <c r="H80" i="2"/>
  <c r="H98" i="2"/>
  <c r="H49" i="2"/>
  <c r="H62" i="2"/>
  <c r="H63" i="2"/>
  <c r="H64" i="2"/>
  <c r="H60" i="2"/>
  <c r="H66" i="2"/>
  <c r="H53" i="2"/>
  <c r="H54" i="2"/>
  <c r="H67" i="2"/>
  <c r="H68" i="2"/>
  <c r="H50" i="2"/>
  <c r="H51" i="2"/>
  <c r="H76" i="2"/>
  <c r="H99" i="2"/>
  <c r="H100" i="2"/>
  <c r="H101" i="2"/>
  <c r="G88" i="2"/>
  <c r="H86" i="2"/>
  <c r="H87" i="2"/>
  <c r="H102" i="2"/>
  <c r="H91" i="2"/>
  <c r="H103" i="2"/>
  <c r="H104" i="2"/>
  <c r="I45" i="2"/>
  <c r="I97" i="2"/>
  <c r="H77" i="2"/>
  <c r="I75" i="2"/>
  <c r="I80" i="2"/>
  <c r="I98" i="2"/>
  <c r="I49" i="2"/>
  <c r="I62" i="2"/>
  <c r="I63" i="2"/>
  <c r="I64" i="2"/>
  <c r="I60" i="2"/>
  <c r="I66" i="2"/>
  <c r="I53" i="2"/>
  <c r="I54" i="2"/>
  <c r="I67" i="2"/>
  <c r="I68" i="2"/>
  <c r="I50" i="2"/>
  <c r="I51" i="2"/>
  <c r="I76" i="2"/>
  <c r="I99" i="2"/>
  <c r="I100" i="2"/>
  <c r="I101" i="2"/>
  <c r="H88" i="2"/>
  <c r="I86" i="2"/>
  <c r="I87" i="2"/>
  <c r="I102" i="2"/>
  <c r="I91" i="2"/>
  <c r="I103" i="2"/>
  <c r="I104" i="2"/>
  <c r="J45" i="2"/>
  <c r="J97" i="2"/>
  <c r="I77" i="2"/>
  <c r="J75" i="2"/>
  <c r="J80" i="2"/>
  <c r="J98" i="2"/>
  <c r="J49" i="2"/>
  <c r="J62" i="2"/>
  <c r="J63" i="2"/>
  <c r="J64" i="2"/>
  <c r="J60" i="2"/>
  <c r="J66" i="2"/>
  <c r="J53" i="2"/>
  <c r="J54" i="2"/>
  <c r="J67" i="2"/>
  <c r="J68" i="2"/>
  <c r="J50" i="2"/>
  <c r="J51" i="2"/>
  <c r="J76" i="2"/>
  <c r="J99" i="2"/>
  <c r="J100" i="2"/>
  <c r="J101" i="2"/>
  <c r="I88" i="2"/>
  <c r="J86" i="2"/>
  <c r="J87" i="2"/>
  <c r="J102" i="2"/>
  <c r="J91" i="2"/>
  <c r="J103" i="2"/>
  <c r="J104" i="2"/>
  <c r="AT45" i="2"/>
  <c r="AT97" i="2"/>
  <c r="J77" i="2"/>
  <c r="K75" i="2"/>
  <c r="K49" i="2"/>
  <c r="K45" i="2"/>
  <c r="K62" i="2"/>
  <c r="K80" i="2"/>
  <c r="K63" i="2"/>
  <c r="K64" i="2"/>
  <c r="K60" i="2"/>
  <c r="K66" i="2"/>
  <c r="K53" i="2"/>
  <c r="K54" i="2"/>
  <c r="K67" i="2"/>
  <c r="K68" i="2"/>
  <c r="K50" i="2"/>
  <c r="K51" i="2"/>
  <c r="K76" i="2"/>
  <c r="K77" i="2"/>
  <c r="L75" i="2"/>
  <c r="L49" i="2"/>
  <c r="L45" i="2"/>
  <c r="L62" i="2"/>
  <c r="L80" i="2"/>
  <c r="L63" i="2"/>
  <c r="L64" i="2"/>
  <c r="L60" i="2"/>
  <c r="L66" i="2"/>
  <c r="L53" i="2"/>
  <c r="L54" i="2"/>
  <c r="L67" i="2"/>
  <c r="L68" i="2"/>
  <c r="L50" i="2"/>
  <c r="L51" i="2"/>
  <c r="L76" i="2"/>
  <c r="L77" i="2"/>
  <c r="M75" i="2"/>
  <c r="M49" i="2"/>
  <c r="M45" i="2"/>
  <c r="M62" i="2"/>
  <c r="M80" i="2"/>
  <c r="M63" i="2"/>
  <c r="M64" i="2"/>
  <c r="M60" i="2"/>
  <c r="M66" i="2"/>
  <c r="M53" i="2"/>
  <c r="M54" i="2"/>
  <c r="M67" i="2"/>
  <c r="M68" i="2"/>
  <c r="M50" i="2"/>
  <c r="M51" i="2"/>
  <c r="M76" i="2"/>
  <c r="M77" i="2"/>
  <c r="N75" i="2"/>
  <c r="N49" i="2"/>
  <c r="N45" i="2"/>
  <c r="N62" i="2"/>
  <c r="N80" i="2"/>
  <c r="N63" i="2"/>
  <c r="N64" i="2"/>
  <c r="N60" i="2"/>
  <c r="N66" i="2"/>
  <c r="N53" i="2"/>
  <c r="N54" i="2"/>
  <c r="N67" i="2"/>
  <c r="N68" i="2"/>
  <c r="N50" i="2"/>
  <c r="N51" i="2"/>
  <c r="N76" i="2"/>
  <c r="N77" i="2"/>
  <c r="O75" i="2"/>
  <c r="O49" i="2"/>
  <c r="O45" i="2"/>
  <c r="O62" i="2"/>
  <c r="O80" i="2"/>
  <c r="O63" i="2"/>
  <c r="O64" i="2"/>
  <c r="O60" i="2"/>
  <c r="O66" i="2"/>
  <c r="O53" i="2"/>
  <c r="O54" i="2"/>
  <c r="O67" i="2"/>
  <c r="O68" i="2"/>
  <c r="O50" i="2"/>
  <c r="O51" i="2"/>
  <c r="O76" i="2"/>
  <c r="O77" i="2"/>
  <c r="P75" i="2"/>
  <c r="P49" i="2"/>
  <c r="P45" i="2"/>
  <c r="P62" i="2"/>
  <c r="P80" i="2"/>
  <c r="P63" i="2"/>
  <c r="P64" i="2"/>
  <c r="P60" i="2"/>
  <c r="P66" i="2"/>
  <c r="P53" i="2"/>
  <c r="P54" i="2"/>
  <c r="P67" i="2"/>
  <c r="P68" i="2"/>
  <c r="P50" i="2"/>
  <c r="P51" i="2"/>
  <c r="P76" i="2"/>
  <c r="P77" i="2"/>
  <c r="Q75" i="2"/>
  <c r="Q49" i="2"/>
  <c r="Q45" i="2"/>
  <c r="Q62" i="2"/>
  <c r="Q80" i="2"/>
  <c r="Q63" i="2"/>
  <c r="Q64" i="2"/>
  <c r="Q60" i="2"/>
  <c r="Q66" i="2"/>
  <c r="Q53" i="2"/>
  <c r="Q54" i="2"/>
  <c r="Q67" i="2"/>
  <c r="Q68" i="2"/>
  <c r="Q50" i="2"/>
  <c r="Q51" i="2"/>
  <c r="Q76" i="2"/>
  <c r="Q77" i="2"/>
  <c r="R75" i="2"/>
  <c r="R49" i="2"/>
  <c r="R45" i="2"/>
  <c r="R62" i="2"/>
  <c r="R80" i="2"/>
  <c r="R63" i="2"/>
  <c r="R64" i="2"/>
  <c r="R60" i="2"/>
  <c r="R66" i="2"/>
  <c r="R53" i="2"/>
  <c r="R54" i="2"/>
  <c r="R67" i="2"/>
  <c r="R68" i="2"/>
  <c r="R50" i="2"/>
  <c r="R51" i="2"/>
  <c r="R76" i="2"/>
  <c r="R77" i="2"/>
  <c r="S75" i="2"/>
  <c r="S49" i="2"/>
  <c r="S45" i="2"/>
  <c r="S62" i="2"/>
  <c r="S80" i="2"/>
  <c r="S63" i="2"/>
  <c r="S64" i="2"/>
  <c r="S60" i="2"/>
  <c r="S66" i="2"/>
  <c r="S53" i="2"/>
  <c r="S54" i="2"/>
  <c r="S67" i="2"/>
  <c r="S68" i="2"/>
  <c r="S50" i="2"/>
  <c r="S51" i="2"/>
  <c r="S76" i="2"/>
  <c r="S77" i="2"/>
  <c r="T75" i="2"/>
  <c r="T49" i="2"/>
  <c r="T45" i="2"/>
  <c r="T62" i="2"/>
  <c r="T80" i="2"/>
  <c r="T63" i="2"/>
  <c r="T64" i="2"/>
  <c r="T60" i="2"/>
  <c r="T66" i="2"/>
  <c r="T53" i="2"/>
  <c r="T54" i="2"/>
  <c r="T67" i="2"/>
  <c r="T68" i="2"/>
  <c r="T50" i="2"/>
  <c r="T51" i="2"/>
  <c r="T76" i="2"/>
  <c r="T77" i="2"/>
  <c r="U75" i="2"/>
  <c r="U49" i="2"/>
  <c r="U45" i="2"/>
  <c r="U62" i="2"/>
  <c r="U80" i="2"/>
  <c r="U63" i="2"/>
  <c r="U64" i="2"/>
  <c r="U60" i="2"/>
  <c r="U66" i="2"/>
  <c r="U53" i="2"/>
  <c r="U54" i="2"/>
  <c r="U67" i="2"/>
  <c r="U68" i="2"/>
  <c r="U50" i="2"/>
  <c r="U51" i="2"/>
  <c r="U76" i="2"/>
  <c r="U77" i="2"/>
  <c r="V75" i="2"/>
  <c r="V49" i="2"/>
  <c r="V45" i="2"/>
  <c r="V62" i="2"/>
  <c r="V80" i="2"/>
  <c r="V63" i="2"/>
  <c r="V64" i="2"/>
  <c r="V60" i="2"/>
  <c r="V66" i="2"/>
  <c r="V53" i="2"/>
  <c r="V54" i="2"/>
  <c r="V67" i="2"/>
  <c r="V68" i="2"/>
  <c r="V50" i="2"/>
  <c r="V51" i="2"/>
  <c r="V76" i="2"/>
  <c r="V77" i="2"/>
  <c r="W75" i="2"/>
  <c r="W49" i="2"/>
  <c r="W45" i="2"/>
  <c r="W62" i="2"/>
  <c r="W80" i="2"/>
  <c r="W63" i="2"/>
  <c r="W64" i="2"/>
  <c r="W60" i="2"/>
  <c r="W66" i="2"/>
  <c r="W53" i="2"/>
  <c r="W54" i="2"/>
  <c r="W67" i="2"/>
  <c r="W68" i="2"/>
  <c r="W50" i="2"/>
  <c r="W51" i="2"/>
  <c r="W76" i="2"/>
  <c r="W77" i="2"/>
  <c r="X75" i="2"/>
  <c r="X49" i="2"/>
  <c r="X45" i="2"/>
  <c r="X62" i="2"/>
  <c r="X80" i="2"/>
  <c r="X63" i="2"/>
  <c r="X64" i="2"/>
  <c r="X60" i="2"/>
  <c r="X66" i="2"/>
  <c r="X53" i="2"/>
  <c r="X54" i="2"/>
  <c r="X67" i="2"/>
  <c r="X68" i="2"/>
  <c r="X50" i="2"/>
  <c r="X51" i="2"/>
  <c r="X76" i="2"/>
  <c r="X77" i="2"/>
  <c r="Y75" i="2"/>
  <c r="Y49" i="2"/>
  <c r="Y45" i="2"/>
  <c r="Y62" i="2"/>
  <c r="Y80" i="2"/>
  <c r="Y63" i="2"/>
  <c r="Y64" i="2"/>
  <c r="Y60" i="2"/>
  <c r="Y66" i="2"/>
  <c r="Y53" i="2"/>
  <c r="Y54" i="2"/>
  <c r="Y67" i="2"/>
  <c r="Y68" i="2"/>
  <c r="Y50" i="2"/>
  <c r="Y51" i="2"/>
  <c r="Y76" i="2"/>
  <c r="Y77" i="2"/>
  <c r="Z75" i="2"/>
  <c r="Z49" i="2"/>
  <c r="Z45" i="2"/>
  <c r="Z62" i="2"/>
  <c r="Z80" i="2"/>
  <c r="Z63" i="2"/>
  <c r="Z64" i="2"/>
  <c r="Z60" i="2"/>
  <c r="Z66" i="2"/>
  <c r="Z53" i="2"/>
  <c r="Z54" i="2"/>
  <c r="Z67" i="2"/>
  <c r="Z68" i="2"/>
  <c r="Z50" i="2"/>
  <c r="Z51" i="2"/>
  <c r="Z76" i="2"/>
  <c r="Z77" i="2"/>
  <c r="AA75" i="2"/>
  <c r="AA49" i="2"/>
  <c r="AA45" i="2"/>
  <c r="AA62" i="2"/>
  <c r="AA80" i="2"/>
  <c r="AA63" i="2"/>
  <c r="AA64" i="2"/>
  <c r="AA60" i="2"/>
  <c r="AA66" i="2"/>
  <c r="AA53" i="2"/>
  <c r="AA54" i="2"/>
  <c r="AA67" i="2"/>
  <c r="AA68" i="2"/>
  <c r="AA50" i="2"/>
  <c r="AA51" i="2"/>
  <c r="AA76" i="2"/>
  <c r="AA77" i="2"/>
  <c r="AB75" i="2"/>
  <c r="AB49" i="2"/>
  <c r="AB45" i="2"/>
  <c r="AB62" i="2"/>
  <c r="AB80" i="2"/>
  <c r="AB63" i="2"/>
  <c r="AB64" i="2"/>
  <c r="AB60" i="2"/>
  <c r="AB66" i="2"/>
  <c r="AB53" i="2"/>
  <c r="AB54" i="2"/>
  <c r="AB67" i="2"/>
  <c r="AB68" i="2"/>
  <c r="AB50" i="2"/>
  <c r="AB51" i="2"/>
  <c r="AB76" i="2"/>
  <c r="AB77" i="2"/>
  <c r="AC75" i="2"/>
  <c r="AC49" i="2"/>
  <c r="AC45" i="2"/>
  <c r="AC62" i="2"/>
  <c r="AC80" i="2"/>
  <c r="AC63" i="2"/>
  <c r="AC64" i="2"/>
  <c r="AC60" i="2"/>
  <c r="AC66" i="2"/>
  <c r="AC53" i="2"/>
  <c r="AC54" i="2"/>
  <c r="AC67" i="2"/>
  <c r="AC68" i="2"/>
  <c r="AC50" i="2"/>
  <c r="AC51" i="2"/>
  <c r="AC76" i="2"/>
  <c r="AC77" i="2"/>
  <c r="AD75" i="2"/>
  <c r="AD49" i="2"/>
  <c r="AD45" i="2"/>
  <c r="AD62" i="2"/>
  <c r="AD80" i="2"/>
  <c r="AD63" i="2"/>
  <c r="AD64" i="2"/>
  <c r="AD60" i="2"/>
  <c r="AD66" i="2"/>
  <c r="AD53" i="2"/>
  <c r="AD54" i="2"/>
  <c r="AD67" i="2"/>
  <c r="AD68" i="2"/>
  <c r="AD50" i="2"/>
  <c r="AD51" i="2"/>
  <c r="AD76" i="2"/>
  <c r="AD77" i="2"/>
  <c r="AE75" i="2"/>
  <c r="AE49" i="2"/>
  <c r="AE45" i="2"/>
  <c r="AE62" i="2"/>
  <c r="AE80" i="2"/>
  <c r="AE63" i="2"/>
  <c r="AE64" i="2"/>
  <c r="AE60" i="2"/>
  <c r="AE66" i="2"/>
  <c r="AE53" i="2"/>
  <c r="AE54" i="2"/>
  <c r="AE67" i="2"/>
  <c r="AE68" i="2"/>
  <c r="AE50" i="2"/>
  <c r="AE51" i="2"/>
  <c r="AE76" i="2"/>
  <c r="AE77" i="2"/>
  <c r="AF75" i="2"/>
  <c r="AF49" i="2"/>
  <c r="AF45" i="2"/>
  <c r="AF62" i="2"/>
  <c r="AF80" i="2"/>
  <c r="AF63" i="2"/>
  <c r="AF64" i="2"/>
  <c r="AF60" i="2"/>
  <c r="AF66" i="2"/>
  <c r="AF53" i="2"/>
  <c r="AF54" i="2"/>
  <c r="AF67" i="2"/>
  <c r="AF68" i="2"/>
  <c r="AF50" i="2"/>
  <c r="AF51" i="2"/>
  <c r="AF76" i="2"/>
  <c r="AF77" i="2"/>
  <c r="AG75" i="2"/>
  <c r="AG49" i="2"/>
  <c r="AG45" i="2"/>
  <c r="AG62" i="2"/>
  <c r="AG80" i="2"/>
  <c r="AG63" i="2"/>
  <c r="AG64" i="2"/>
  <c r="AG60" i="2"/>
  <c r="AG66" i="2"/>
  <c r="AG53" i="2"/>
  <c r="AG54" i="2"/>
  <c r="AG67" i="2"/>
  <c r="AG68" i="2"/>
  <c r="AG50" i="2"/>
  <c r="AG51" i="2"/>
  <c r="AG76" i="2"/>
  <c r="AG77" i="2"/>
  <c r="AH75" i="2"/>
  <c r="AH49" i="2"/>
  <c r="AH45" i="2"/>
  <c r="AH62" i="2"/>
  <c r="AH80" i="2"/>
  <c r="AH63" i="2"/>
  <c r="AH64" i="2"/>
  <c r="AH60" i="2"/>
  <c r="AH66" i="2"/>
  <c r="AH53" i="2"/>
  <c r="AH54" i="2"/>
  <c r="AH67" i="2"/>
  <c r="AH68" i="2"/>
  <c r="AH50" i="2"/>
  <c r="AH51" i="2"/>
  <c r="AH76" i="2"/>
  <c r="AH77" i="2"/>
  <c r="AI75" i="2"/>
  <c r="AI49" i="2"/>
  <c r="AI45" i="2"/>
  <c r="AI62" i="2"/>
  <c r="AI80" i="2"/>
  <c r="AI63" i="2"/>
  <c r="AI64" i="2"/>
  <c r="AI60" i="2"/>
  <c r="AI66" i="2"/>
  <c r="AI53" i="2"/>
  <c r="AI54" i="2"/>
  <c r="AI67" i="2"/>
  <c r="AI68" i="2"/>
  <c r="AI50" i="2"/>
  <c r="AI51" i="2"/>
  <c r="AI76" i="2"/>
  <c r="AI77" i="2"/>
  <c r="AJ75" i="2"/>
  <c r="AJ49" i="2"/>
  <c r="AJ45" i="2"/>
  <c r="AJ62" i="2"/>
  <c r="AJ80" i="2"/>
  <c r="AJ63" i="2"/>
  <c r="AJ64" i="2"/>
  <c r="AJ60" i="2"/>
  <c r="AJ66" i="2"/>
  <c r="AJ53" i="2"/>
  <c r="AJ54" i="2"/>
  <c r="AJ67" i="2"/>
  <c r="AJ68" i="2"/>
  <c r="AJ50" i="2"/>
  <c r="AJ51" i="2"/>
  <c r="AJ76" i="2"/>
  <c r="AJ77" i="2"/>
  <c r="AK75" i="2"/>
  <c r="AK49" i="2"/>
  <c r="AK45" i="2"/>
  <c r="AK62" i="2"/>
  <c r="AK80" i="2"/>
  <c r="AK63" i="2"/>
  <c r="AK64" i="2"/>
  <c r="AK60" i="2"/>
  <c r="AK66" i="2"/>
  <c r="AK53" i="2"/>
  <c r="AK54" i="2"/>
  <c r="AK67" i="2"/>
  <c r="AK68" i="2"/>
  <c r="AK50" i="2"/>
  <c r="AK51" i="2"/>
  <c r="AK76" i="2"/>
  <c r="AK77" i="2"/>
  <c r="AL75" i="2"/>
  <c r="AL49" i="2"/>
  <c r="AL45" i="2"/>
  <c r="AL62" i="2"/>
  <c r="AL80" i="2"/>
  <c r="AL63" i="2"/>
  <c r="AL64" i="2"/>
  <c r="AL60" i="2"/>
  <c r="AL66" i="2"/>
  <c r="AL53" i="2"/>
  <c r="AL54" i="2"/>
  <c r="AL67" i="2"/>
  <c r="AL68" i="2"/>
  <c r="AL50" i="2"/>
  <c r="AL51" i="2"/>
  <c r="AL76" i="2"/>
  <c r="AL77" i="2"/>
  <c r="AM75" i="2"/>
  <c r="AM49" i="2"/>
  <c r="AM45" i="2"/>
  <c r="AM62" i="2"/>
  <c r="AM80" i="2"/>
  <c r="AM63" i="2"/>
  <c r="AM64" i="2"/>
  <c r="AM60" i="2"/>
  <c r="AM66" i="2"/>
  <c r="AM53" i="2"/>
  <c r="AM54" i="2"/>
  <c r="AM67" i="2"/>
  <c r="AM68" i="2"/>
  <c r="AM50" i="2"/>
  <c r="AM51" i="2"/>
  <c r="AM76" i="2"/>
  <c r="AM77" i="2"/>
  <c r="AN75" i="2"/>
  <c r="AN49" i="2"/>
  <c r="AN45" i="2"/>
  <c r="AN62" i="2"/>
  <c r="AN80" i="2"/>
  <c r="AN63" i="2"/>
  <c r="AN64" i="2"/>
  <c r="AN60" i="2"/>
  <c r="AN66" i="2"/>
  <c r="AN53" i="2"/>
  <c r="AN54" i="2"/>
  <c r="AN67" i="2"/>
  <c r="AN68" i="2"/>
  <c r="AN50" i="2"/>
  <c r="AN51" i="2"/>
  <c r="AN76" i="2"/>
  <c r="AN77" i="2"/>
  <c r="AO75" i="2"/>
  <c r="AO49" i="2"/>
  <c r="AO45" i="2"/>
  <c r="AO62" i="2"/>
  <c r="AO80" i="2"/>
  <c r="AO63" i="2"/>
  <c r="AO64" i="2"/>
  <c r="AO60" i="2"/>
  <c r="AO66" i="2"/>
  <c r="AO53" i="2"/>
  <c r="AO54" i="2"/>
  <c r="AO67" i="2"/>
  <c r="AO68" i="2"/>
  <c r="AO50" i="2"/>
  <c r="AO51" i="2"/>
  <c r="AO76" i="2"/>
  <c r="AO77" i="2"/>
  <c r="AP75" i="2"/>
  <c r="AP49" i="2"/>
  <c r="AP45" i="2"/>
  <c r="AP62" i="2"/>
  <c r="AP80" i="2"/>
  <c r="AP63" i="2"/>
  <c r="AP64" i="2"/>
  <c r="AP60" i="2"/>
  <c r="AP66" i="2"/>
  <c r="AP53" i="2"/>
  <c r="AP54" i="2"/>
  <c r="AP67" i="2"/>
  <c r="AP68" i="2"/>
  <c r="AP50" i="2"/>
  <c r="AP51" i="2"/>
  <c r="AP76" i="2"/>
  <c r="AP77" i="2"/>
  <c r="AQ75" i="2"/>
  <c r="AQ49" i="2"/>
  <c r="AQ45" i="2"/>
  <c r="AQ62" i="2"/>
  <c r="AQ80" i="2"/>
  <c r="AQ63" i="2"/>
  <c r="AQ64" i="2"/>
  <c r="AQ60" i="2"/>
  <c r="AQ66" i="2"/>
  <c r="AQ53" i="2"/>
  <c r="AQ54" i="2"/>
  <c r="AQ67" i="2"/>
  <c r="AQ68" i="2"/>
  <c r="AQ50" i="2"/>
  <c r="AQ51" i="2"/>
  <c r="AQ76" i="2"/>
  <c r="AQ77" i="2"/>
  <c r="AR75" i="2"/>
  <c r="AR49" i="2"/>
  <c r="AR45" i="2"/>
  <c r="AR62" i="2"/>
  <c r="AR80" i="2"/>
  <c r="AR63" i="2"/>
  <c r="AR64" i="2"/>
  <c r="AR60" i="2"/>
  <c r="AR66" i="2"/>
  <c r="AR53" i="2"/>
  <c r="AR54" i="2"/>
  <c r="AR67" i="2"/>
  <c r="AR68" i="2"/>
  <c r="AR50" i="2"/>
  <c r="AR51" i="2"/>
  <c r="AR76" i="2"/>
  <c r="AR77" i="2"/>
  <c r="AS75" i="2"/>
  <c r="AS49" i="2"/>
  <c r="AS45" i="2"/>
  <c r="AS62" i="2"/>
  <c r="AS80" i="2"/>
  <c r="AS63" i="2"/>
  <c r="AS64" i="2"/>
  <c r="AS60" i="2"/>
  <c r="AS66" i="2"/>
  <c r="AS53" i="2"/>
  <c r="AS54" i="2"/>
  <c r="AS67" i="2"/>
  <c r="AS68" i="2"/>
  <c r="AS50" i="2"/>
  <c r="AS51" i="2"/>
  <c r="AS76" i="2"/>
  <c r="AS77" i="2"/>
  <c r="AT75" i="2"/>
  <c r="AT80" i="2"/>
  <c r="AT98" i="2"/>
  <c r="AT49" i="2"/>
  <c r="AT62" i="2"/>
  <c r="AT63" i="2"/>
  <c r="AT64" i="2"/>
  <c r="AT60" i="2"/>
  <c r="AT66" i="2"/>
  <c r="AT53" i="2"/>
  <c r="AT54" i="2"/>
  <c r="AT67" i="2"/>
  <c r="AT68" i="2"/>
  <c r="AT50" i="2"/>
  <c r="AT51" i="2"/>
  <c r="AT76" i="2"/>
  <c r="AT99" i="2"/>
  <c r="AT100" i="2"/>
  <c r="AT101" i="2"/>
  <c r="J88" i="2"/>
  <c r="K86" i="2"/>
  <c r="K87" i="2"/>
  <c r="K88" i="2"/>
  <c r="L86" i="2"/>
  <c r="L87" i="2"/>
  <c r="L88" i="2"/>
  <c r="M86" i="2"/>
  <c r="M87" i="2"/>
  <c r="M88" i="2"/>
  <c r="N86" i="2"/>
  <c r="N87" i="2"/>
  <c r="N88" i="2"/>
  <c r="O86" i="2"/>
  <c r="O87" i="2"/>
  <c r="O88" i="2"/>
  <c r="P86" i="2"/>
  <c r="P87" i="2"/>
  <c r="P88" i="2"/>
  <c r="Q86" i="2"/>
  <c r="Q87" i="2"/>
  <c r="Q88" i="2"/>
  <c r="R86" i="2"/>
  <c r="R87" i="2"/>
  <c r="R88" i="2"/>
  <c r="S86" i="2"/>
  <c r="S87" i="2"/>
  <c r="S88" i="2"/>
  <c r="T86" i="2"/>
  <c r="T87" i="2"/>
  <c r="T88" i="2"/>
  <c r="U86" i="2"/>
  <c r="U87" i="2"/>
  <c r="U88" i="2"/>
  <c r="V86" i="2"/>
  <c r="V87" i="2"/>
  <c r="V88" i="2"/>
  <c r="W86" i="2"/>
  <c r="W87" i="2"/>
  <c r="W88" i="2"/>
  <c r="X86" i="2"/>
  <c r="X87" i="2"/>
  <c r="X88" i="2"/>
  <c r="Y86" i="2"/>
  <c r="Y87" i="2"/>
  <c r="Y88" i="2"/>
  <c r="Z86" i="2"/>
  <c r="Z87" i="2"/>
  <c r="Z88" i="2"/>
  <c r="AA86" i="2"/>
  <c r="AA87" i="2"/>
  <c r="AA88" i="2"/>
  <c r="AB86" i="2"/>
  <c r="AB87" i="2"/>
  <c r="AB88" i="2"/>
  <c r="AC86" i="2"/>
  <c r="AC87" i="2"/>
  <c r="AC88" i="2"/>
  <c r="AD86" i="2"/>
  <c r="AD87" i="2"/>
  <c r="AD88" i="2"/>
  <c r="AE86" i="2"/>
  <c r="AE87" i="2"/>
  <c r="AE88" i="2"/>
  <c r="AF86" i="2"/>
  <c r="AF87" i="2"/>
  <c r="AF88" i="2"/>
  <c r="AG86" i="2"/>
  <c r="AG87" i="2"/>
  <c r="AG88" i="2"/>
  <c r="AH86" i="2"/>
  <c r="AH87" i="2"/>
  <c r="AH88" i="2"/>
  <c r="AI86" i="2"/>
  <c r="AI87" i="2"/>
  <c r="AI88" i="2"/>
  <c r="AJ86" i="2"/>
  <c r="AJ87" i="2"/>
  <c r="AJ88" i="2"/>
  <c r="AK86" i="2"/>
  <c r="AK87" i="2"/>
  <c r="AK88" i="2"/>
  <c r="AL86" i="2"/>
  <c r="AL87" i="2"/>
  <c r="AL88" i="2"/>
  <c r="AM86" i="2"/>
  <c r="AM87" i="2"/>
  <c r="AM88" i="2"/>
  <c r="AN86" i="2"/>
  <c r="AN87" i="2"/>
  <c r="AN88" i="2"/>
  <c r="AO86" i="2"/>
  <c r="AO87" i="2"/>
  <c r="AO88" i="2"/>
  <c r="AP86" i="2"/>
  <c r="AP87" i="2"/>
  <c r="AP88" i="2"/>
  <c r="AQ86" i="2"/>
  <c r="AQ87" i="2"/>
  <c r="AQ88" i="2"/>
  <c r="AR86" i="2"/>
  <c r="AR87" i="2"/>
  <c r="AR88" i="2"/>
  <c r="AS86" i="2"/>
  <c r="AS87" i="2"/>
  <c r="AS88" i="2"/>
  <c r="AT86" i="2"/>
  <c r="AT87" i="2"/>
  <c r="AT102" i="2"/>
  <c r="AT91" i="2"/>
  <c r="AT103" i="2"/>
  <c r="AT104" i="2"/>
  <c r="AS97" i="2"/>
  <c r="AS98" i="2"/>
  <c r="AS99" i="2"/>
  <c r="AS100" i="2"/>
  <c r="AS101" i="2"/>
  <c r="AS102" i="2"/>
  <c r="AS91" i="2"/>
  <c r="AS103" i="2"/>
  <c r="AS104" i="2"/>
  <c r="AR97" i="2"/>
  <c r="AR98" i="2"/>
  <c r="AR99" i="2"/>
  <c r="AR100" i="2"/>
  <c r="AR101" i="2"/>
  <c r="AR102" i="2"/>
  <c r="AR91" i="2"/>
  <c r="AR103" i="2"/>
  <c r="AR104" i="2"/>
  <c r="AQ97" i="2"/>
  <c r="AQ98" i="2"/>
  <c r="AQ99" i="2"/>
  <c r="AQ100" i="2"/>
  <c r="AQ101" i="2"/>
  <c r="AQ102" i="2"/>
  <c r="AQ91" i="2"/>
  <c r="AQ103" i="2"/>
  <c r="AQ104" i="2"/>
  <c r="AP97" i="2"/>
  <c r="AP98" i="2"/>
  <c r="AP99" i="2"/>
  <c r="AP100" i="2"/>
  <c r="AP101" i="2"/>
  <c r="AP102" i="2"/>
  <c r="AP91" i="2"/>
  <c r="AP103" i="2"/>
  <c r="AP104" i="2"/>
  <c r="AO97" i="2"/>
  <c r="AO98" i="2"/>
  <c r="AO99" i="2"/>
  <c r="AO100" i="2"/>
  <c r="AO101" i="2"/>
  <c r="AO102" i="2"/>
  <c r="AO91" i="2"/>
  <c r="AO103" i="2"/>
  <c r="AO104" i="2"/>
  <c r="AN97" i="2"/>
  <c r="AN98" i="2"/>
  <c r="AN99" i="2"/>
  <c r="AN100" i="2"/>
  <c r="AN101" i="2"/>
  <c r="AN102" i="2"/>
  <c r="AN91" i="2"/>
  <c r="AN103" i="2"/>
  <c r="AN104" i="2"/>
  <c r="AM97" i="2"/>
  <c r="AM98" i="2"/>
  <c r="AM99" i="2"/>
  <c r="AM100" i="2"/>
  <c r="AM101" i="2"/>
  <c r="AM102" i="2"/>
  <c r="AM91" i="2"/>
  <c r="AM103" i="2"/>
  <c r="AM104" i="2"/>
  <c r="AL97" i="2"/>
  <c r="AL98" i="2"/>
  <c r="AL99" i="2"/>
  <c r="AL100" i="2"/>
  <c r="AL101" i="2"/>
  <c r="AL102" i="2"/>
  <c r="AL91" i="2"/>
  <c r="AL103" i="2"/>
  <c r="AL104" i="2"/>
  <c r="AK97" i="2"/>
  <c r="AK98" i="2"/>
  <c r="AK99" i="2"/>
  <c r="AK100" i="2"/>
  <c r="AK101" i="2"/>
  <c r="AK102" i="2"/>
  <c r="AK91" i="2"/>
  <c r="AK103" i="2"/>
  <c r="AK104" i="2"/>
  <c r="AJ97" i="2"/>
  <c r="AJ98" i="2"/>
  <c r="AJ99" i="2"/>
  <c r="AJ100" i="2"/>
  <c r="AJ101" i="2"/>
  <c r="AJ102" i="2"/>
  <c r="AJ91" i="2"/>
  <c r="AJ103" i="2"/>
  <c r="AJ104" i="2"/>
  <c r="AI97" i="2"/>
  <c r="AI98" i="2"/>
  <c r="AI99" i="2"/>
  <c r="AI100" i="2"/>
  <c r="AI101" i="2"/>
  <c r="AI102" i="2"/>
  <c r="AI91" i="2"/>
  <c r="AI103" i="2"/>
  <c r="AI104" i="2"/>
  <c r="AH97" i="2"/>
  <c r="AH98" i="2"/>
  <c r="AH99" i="2"/>
  <c r="AH100" i="2"/>
  <c r="AH101" i="2"/>
  <c r="AH102" i="2"/>
  <c r="AH91" i="2"/>
  <c r="AH103" i="2"/>
  <c r="AH104" i="2"/>
  <c r="AG97" i="2"/>
  <c r="AG98" i="2"/>
  <c r="AG99" i="2"/>
  <c r="AG100" i="2"/>
  <c r="AG101" i="2"/>
  <c r="AG102" i="2"/>
  <c r="AG91" i="2"/>
  <c r="AG103" i="2"/>
  <c r="AG104" i="2"/>
  <c r="AF97" i="2"/>
  <c r="AF98" i="2"/>
  <c r="AF99" i="2"/>
  <c r="AF100" i="2"/>
  <c r="AF101" i="2"/>
  <c r="AF102" i="2"/>
  <c r="AF91" i="2"/>
  <c r="AF103" i="2"/>
  <c r="AF104" i="2"/>
  <c r="AE97" i="2"/>
  <c r="AE98" i="2"/>
  <c r="AE99" i="2"/>
  <c r="AE100" i="2"/>
  <c r="AE101" i="2"/>
  <c r="AE102" i="2"/>
  <c r="AE91" i="2"/>
  <c r="AE103" i="2"/>
  <c r="AE104" i="2"/>
  <c r="AD97" i="2"/>
  <c r="AD98" i="2"/>
  <c r="AD99" i="2"/>
  <c r="AD100" i="2"/>
  <c r="AD101" i="2"/>
  <c r="AD102" i="2"/>
  <c r="AD91" i="2"/>
  <c r="AD103" i="2"/>
  <c r="AD104" i="2"/>
  <c r="AC97" i="2"/>
  <c r="AC98" i="2"/>
  <c r="AC99" i="2"/>
  <c r="AC100" i="2"/>
  <c r="AC101" i="2"/>
  <c r="AC102" i="2"/>
  <c r="AC91" i="2"/>
  <c r="AC103" i="2"/>
  <c r="AC104" i="2"/>
  <c r="AB97" i="2"/>
  <c r="AB98" i="2"/>
  <c r="AB99" i="2"/>
  <c r="AB100" i="2"/>
  <c r="AB101" i="2"/>
  <c r="AB102" i="2"/>
  <c r="AB91" i="2"/>
  <c r="AB103" i="2"/>
  <c r="AB104" i="2"/>
  <c r="AA97" i="2"/>
  <c r="AA98" i="2"/>
  <c r="AA99" i="2"/>
  <c r="AA100" i="2"/>
  <c r="AA101" i="2"/>
  <c r="AA102" i="2"/>
  <c r="AA91" i="2"/>
  <c r="AA103" i="2"/>
  <c r="AA104" i="2"/>
  <c r="Z97" i="2"/>
  <c r="Z98" i="2"/>
  <c r="Z99" i="2"/>
  <c r="Z100" i="2"/>
  <c r="Z101" i="2"/>
  <c r="Z102" i="2"/>
  <c r="Z91" i="2"/>
  <c r="Z103" i="2"/>
  <c r="Z104" i="2"/>
  <c r="Y97" i="2"/>
  <c r="Y98" i="2"/>
  <c r="Y99" i="2"/>
  <c r="Y100" i="2"/>
  <c r="Y101" i="2"/>
  <c r="Y102" i="2"/>
  <c r="Y91" i="2"/>
  <c r="Y103" i="2"/>
  <c r="Y104" i="2"/>
  <c r="X97" i="2"/>
  <c r="X98" i="2"/>
  <c r="X99" i="2"/>
  <c r="X100" i="2"/>
  <c r="X101" i="2"/>
  <c r="X102" i="2"/>
  <c r="X91" i="2"/>
  <c r="X103" i="2"/>
  <c r="X104" i="2"/>
  <c r="W97" i="2"/>
  <c r="W98" i="2"/>
  <c r="W99" i="2"/>
  <c r="W100" i="2"/>
  <c r="W101" i="2"/>
  <c r="W102" i="2"/>
  <c r="W91" i="2"/>
  <c r="W103" i="2"/>
  <c r="W104" i="2"/>
  <c r="V97" i="2"/>
  <c r="V98" i="2"/>
  <c r="V99" i="2"/>
  <c r="V100" i="2"/>
  <c r="V101" i="2"/>
  <c r="V102" i="2"/>
  <c r="V91" i="2"/>
  <c r="V103" i="2"/>
  <c r="V104" i="2"/>
  <c r="U97" i="2"/>
  <c r="U98" i="2"/>
  <c r="U99" i="2"/>
  <c r="U100" i="2"/>
  <c r="U101" i="2"/>
  <c r="U102" i="2"/>
  <c r="U91" i="2"/>
  <c r="U103" i="2"/>
  <c r="U104" i="2"/>
  <c r="T97" i="2"/>
  <c r="T98" i="2"/>
  <c r="T99" i="2"/>
  <c r="T100" i="2"/>
  <c r="T101" i="2"/>
  <c r="T102" i="2"/>
  <c r="T91" i="2"/>
  <c r="T103" i="2"/>
  <c r="T104" i="2"/>
  <c r="S97" i="2"/>
  <c r="S98" i="2"/>
  <c r="S99" i="2"/>
  <c r="S100" i="2"/>
  <c r="S101" i="2"/>
  <c r="S102" i="2"/>
  <c r="S91" i="2"/>
  <c r="S103" i="2"/>
  <c r="S104" i="2"/>
  <c r="R97" i="2"/>
  <c r="R98" i="2"/>
  <c r="R99" i="2"/>
  <c r="R100" i="2"/>
  <c r="R101" i="2"/>
  <c r="R102" i="2"/>
  <c r="R91" i="2"/>
  <c r="R103" i="2"/>
  <c r="R104" i="2"/>
  <c r="Q97" i="2"/>
  <c r="Q98" i="2"/>
  <c r="Q99" i="2"/>
  <c r="Q100" i="2"/>
  <c r="Q101" i="2"/>
  <c r="Q102" i="2"/>
  <c r="Q91" i="2"/>
  <c r="Q103" i="2"/>
  <c r="Q104" i="2"/>
  <c r="P97" i="2"/>
  <c r="P98" i="2"/>
  <c r="P99" i="2"/>
  <c r="P100" i="2"/>
  <c r="P101" i="2"/>
  <c r="P102" i="2"/>
  <c r="P91" i="2"/>
  <c r="P103" i="2"/>
  <c r="P104" i="2"/>
  <c r="O97" i="2"/>
  <c r="O98" i="2"/>
  <c r="O99" i="2"/>
  <c r="O100" i="2"/>
  <c r="O101" i="2"/>
  <c r="O102" i="2"/>
  <c r="O91" i="2"/>
  <c r="O103" i="2"/>
  <c r="O104" i="2"/>
  <c r="N97" i="2"/>
  <c r="N98" i="2"/>
  <c r="N99" i="2"/>
  <c r="N100" i="2"/>
  <c r="N101" i="2"/>
  <c r="N102" i="2"/>
  <c r="N91" i="2"/>
  <c r="N103" i="2"/>
  <c r="N104" i="2"/>
  <c r="M97" i="2"/>
  <c r="M98" i="2"/>
  <c r="M99" i="2"/>
  <c r="M100" i="2"/>
  <c r="M101" i="2"/>
  <c r="M102" i="2"/>
  <c r="M91" i="2"/>
  <c r="M103" i="2"/>
  <c r="M104" i="2"/>
  <c r="L97" i="2"/>
  <c r="L98" i="2"/>
  <c r="L99" i="2"/>
  <c r="L100" i="2"/>
  <c r="L101" i="2"/>
  <c r="L102" i="2"/>
  <c r="L91" i="2"/>
  <c r="L103" i="2"/>
  <c r="L104" i="2"/>
  <c r="K97" i="2"/>
  <c r="K98" i="2"/>
  <c r="K99" i="2"/>
  <c r="K100" i="2"/>
  <c r="K101" i="2"/>
  <c r="K102" i="2"/>
  <c r="K91" i="2"/>
  <c r="K103" i="2"/>
  <c r="K104" i="2"/>
  <c r="AW65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F41" i="4"/>
  <c r="AW54" i="4"/>
  <c r="H40" i="1"/>
  <c r="E52" i="1"/>
  <c r="E53" i="1"/>
  <c r="E54" i="1"/>
  <c r="E55" i="1"/>
  <c r="G43" i="4"/>
  <c r="E43" i="4"/>
  <c r="G38" i="4"/>
  <c r="E38" i="4"/>
  <c r="J124" i="4" a="1"/>
  <c r="J123" i="4" a="1"/>
  <c r="J2" i="4" a="1"/>
  <c r="F10" i="4"/>
  <c r="E108" i="1" a="1"/>
  <c r="E104" i="1" a="1"/>
  <c r="J100" i="1" a="1"/>
  <c r="J101" i="1" a="1"/>
  <c r="J98" i="1" a="1"/>
  <c r="J99" i="1" a="1"/>
  <c r="A2" i="4" a="1"/>
  <c r="A1" i="4" a="1"/>
  <c r="Q23" i="2"/>
  <c r="P23" i="2"/>
  <c r="O23" i="2"/>
  <c r="Q30" i="2"/>
  <c r="P30" i="2"/>
  <c r="O30" i="2"/>
  <c r="I30" i="2"/>
  <c r="H30" i="2"/>
  <c r="G30" i="2"/>
  <c r="I23" i="2"/>
  <c r="H23" i="2"/>
  <c r="G23" i="2"/>
  <c r="E18" i="2"/>
  <c r="N31" i="2"/>
  <c r="N32" i="2"/>
  <c r="N33" i="2"/>
  <c r="N34" i="2"/>
  <c r="E16" i="2"/>
  <c r="N27" i="2"/>
  <c r="N26" i="2"/>
  <c r="N25" i="2"/>
  <c r="N24" i="2"/>
  <c r="F34" i="2"/>
  <c r="F33" i="2"/>
  <c r="F32" i="2"/>
  <c r="F31" i="2"/>
  <c r="F27" i="2"/>
  <c r="F26" i="2"/>
  <c r="F25" i="2"/>
  <c r="F24" i="2"/>
  <c r="A12" i="2"/>
  <c r="E113" i="2"/>
  <c r="F106" i="2"/>
  <c r="F107" i="2"/>
  <c r="E79" i="2"/>
  <c r="F77" i="2"/>
  <c r="E90" i="2"/>
  <c r="F88" i="2"/>
  <c r="F51" i="2"/>
  <c r="G4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F9" i="2"/>
  <c r="H42" i="1"/>
  <c r="H31" i="1"/>
  <c r="A10" i="1"/>
  <c r="A36" i="2"/>
  <c r="AT90" i="2"/>
  <c r="AH90" i="2"/>
  <c r="V90" i="2"/>
  <c r="J90" i="2"/>
  <c r="AS90" i="2"/>
  <c r="AG90" i="2"/>
  <c r="U90" i="2"/>
  <c r="I90" i="2"/>
  <c r="AR90" i="2"/>
  <c r="AF90" i="2"/>
  <c r="T90" i="2"/>
  <c r="H90" i="2"/>
  <c r="AQ90" i="2"/>
  <c r="AE90" i="2"/>
  <c r="S90" i="2"/>
  <c r="G90" i="2"/>
  <c r="AD90" i="2"/>
  <c r="R90" i="2"/>
  <c r="AP90" i="2"/>
  <c r="AO90" i="2"/>
  <c r="AC90" i="2"/>
  <c r="Q90" i="2"/>
  <c r="AN90" i="2"/>
  <c r="AB90" i="2"/>
  <c r="P90" i="2"/>
  <c r="AA90" i="2"/>
  <c r="O90" i="2"/>
  <c r="AL90" i="2"/>
  <c r="N90" i="2"/>
  <c r="AK90" i="2"/>
  <c r="AM90" i="2"/>
  <c r="Y90" i="2"/>
  <c r="AJ90" i="2"/>
  <c r="X90" i="2"/>
  <c r="L90" i="2"/>
  <c r="W90" i="2"/>
  <c r="Z90" i="2"/>
  <c r="M90" i="2"/>
  <c r="AI90" i="2"/>
  <c r="K90" i="2"/>
  <c r="P79" i="2"/>
  <c r="AB79" i="2"/>
  <c r="AN79" i="2"/>
  <c r="Q79" i="2"/>
  <c r="AC79" i="2"/>
  <c r="AO79" i="2"/>
  <c r="R79" i="2"/>
  <c r="AD79" i="2"/>
  <c r="AP79" i="2"/>
  <c r="AE79" i="2"/>
  <c r="AQ79" i="2"/>
  <c r="T79" i="2"/>
  <c r="AF79" i="2"/>
  <c r="AR79" i="2"/>
  <c r="S79" i="2"/>
  <c r="H79" i="2"/>
  <c r="I79" i="2"/>
  <c r="U79" i="2"/>
  <c r="AG79" i="2"/>
  <c r="AS79" i="2"/>
  <c r="X79" i="2"/>
  <c r="J79" i="2"/>
  <c r="V79" i="2"/>
  <c r="AH79" i="2"/>
  <c r="AT79" i="2"/>
  <c r="K79" i="2"/>
  <c r="W79" i="2"/>
  <c r="AI79" i="2"/>
  <c r="G79" i="2"/>
  <c r="L79" i="2"/>
  <c r="AJ79" i="2"/>
  <c r="M79" i="2"/>
  <c r="Y79" i="2"/>
  <c r="AK79" i="2"/>
  <c r="N79" i="2"/>
  <c r="Z79" i="2"/>
  <c r="O79" i="2"/>
  <c r="AL79" i="2"/>
  <c r="AA79" i="2"/>
  <c r="AM79" i="2"/>
  <c r="E20" i="2"/>
  <c r="E19" i="2"/>
  <c r="G9" i="2"/>
  <c r="F109" i="2"/>
  <c r="G75" i="2"/>
  <c r="G86" i="2"/>
  <c r="A47" i="2"/>
  <c r="A58" i="2"/>
  <c r="A72" i="2"/>
  <c r="H9" i="2"/>
  <c r="G109" i="2"/>
  <c r="G80" i="2"/>
  <c r="G91" i="2"/>
  <c r="G103" i="2"/>
  <c r="G63" i="2"/>
  <c r="G98" i="2"/>
  <c r="I9" i="2"/>
  <c r="H109" i="2"/>
  <c r="A82" i="2"/>
  <c r="A93" i="2"/>
  <c r="J9" i="2"/>
  <c r="I109" i="2"/>
  <c r="G70" i="2"/>
  <c r="K9" i="2"/>
  <c r="J109" i="2"/>
  <c r="G107" i="2"/>
  <c r="L9" i="2"/>
  <c r="K109" i="2"/>
  <c r="M9" i="2"/>
  <c r="L109" i="2"/>
  <c r="H70" i="2"/>
  <c r="N9" i="2"/>
  <c r="M109" i="2"/>
  <c r="H107" i="2"/>
  <c r="I70" i="2"/>
  <c r="O9" i="2"/>
  <c r="N109" i="2"/>
  <c r="P9" i="2"/>
  <c r="O109" i="2"/>
  <c r="Q9" i="2"/>
  <c r="P109" i="2"/>
  <c r="I107" i="2"/>
  <c r="R9" i="2"/>
  <c r="Q109" i="2"/>
  <c r="S9" i="2"/>
  <c r="R109" i="2"/>
  <c r="J70" i="2"/>
  <c r="T9" i="2"/>
  <c r="S109" i="2"/>
  <c r="U9" i="2"/>
  <c r="T109" i="2"/>
  <c r="V9" i="2"/>
  <c r="U109" i="2"/>
  <c r="J107" i="2"/>
  <c r="W9" i="2"/>
  <c r="V109" i="2"/>
  <c r="X9" i="2"/>
  <c r="W109" i="2"/>
  <c r="Y9" i="2"/>
  <c r="X109" i="2"/>
  <c r="Z9" i="2"/>
  <c r="Y109" i="2"/>
  <c r="AA9" i="2"/>
  <c r="Z109" i="2"/>
  <c r="AB9" i="2"/>
  <c r="AA109" i="2"/>
  <c r="AC9" i="2"/>
  <c r="AB109" i="2"/>
  <c r="AD9" i="2"/>
  <c r="AC109" i="2"/>
  <c r="AE9" i="2"/>
  <c r="AD109" i="2"/>
  <c r="AF9" i="2"/>
  <c r="AE109" i="2"/>
  <c r="AG9" i="2"/>
  <c r="AF109" i="2"/>
  <c r="AH9" i="2"/>
  <c r="AG109" i="2"/>
  <c r="AI9" i="2"/>
  <c r="AH109" i="2"/>
  <c r="AJ9" i="2"/>
  <c r="AI109" i="2"/>
  <c r="AK9" i="2"/>
  <c r="AJ109" i="2"/>
  <c r="AL9" i="2"/>
  <c r="AK109" i="2"/>
  <c r="AM9" i="2"/>
  <c r="AL109" i="2"/>
  <c r="AN9" i="2"/>
  <c r="AM109" i="2"/>
  <c r="AO9" i="2"/>
  <c r="AN109" i="2"/>
  <c r="AP9" i="2"/>
  <c r="AO109" i="2"/>
  <c r="AQ9" i="2"/>
  <c r="AP109" i="2"/>
  <c r="AR9" i="2"/>
  <c r="AQ109" i="2"/>
  <c r="AS9" i="2"/>
  <c r="AR109" i="2"/>
  <c r="AT9" i="2"/>
  <c r="AS109" i="2"/>
  <c r="AT109" i="2"/>
  <c r="E17" i="2"/>
  <c r="AT88" i="2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K70" i="2"/>
  <c r="K107" i="2"/>
  <c r="N30" i="2"/>
  <c r="L70" i="2"/>
  <c r="L107" i="2"/>
  <c r="M70" i="2"/>
  <c r="M107" i="2"/>
  <c r="N70" i="2"/>
  <c r="N107" i="2"/>
  <c r="O70" i="2"/>
  <c r="O107" i="2"/>
  <c r="P70" i="2"/>
  <c r="P107" i="2"/>
  <c r="Q70" i="2"/>
  <c r="Q107" i="2"/>
  <c r="R70" i="2"/>
  <c r="R107" i="2"/>
  <c r="S70" i="2"/>
  <c r="S107" i="2"/>
  <c r="T70" i="2"/>
  <c r="T107" i="2"/>
  <c r="U70" i="2"/>
  <c r="U107" i="2"/>
  <c r="V70" i="2"/>
  <c r="V107" i="2"/>
  <c r="W70" i="2"/>
  <c r="W107" i="2"/>
  <c r="X70" i="2"/>
  <c r="X107" i="2"/>
  <c r="Y70" i="2"/>
  <c r="Y107" i="2"/>
  <c r="Z70" i="2"/>
  <c r="Z107" i="2"/>
  <c r="AA70" i="2"/>
  <c r="AA107" i="2"/>
  <c r="AB70" i="2"/>
  <c r="AB107" i="2"/>
  <c r="AC70" i="2"/>
  <c r="AC107" i="2"/>
  <c r="AD70" i="2"/>
  <c r="AD107" i="2"/>
  <c r="AE70" i="2"/>
  <c r="AE107" i="2"/>
  <c r="AF70" i="2"/>
  <c r="AF107" i="2"/>
  <c r="AG70" i="2"/>
  <c r="AG107" i="2"/>
  <c r="AH70" i="2"/>
  <c r="AH107" i="2"/>
  <c r="AI70" i="2"/>
  <c r="AI107" i="2"/>
  <c r="AJ70" i="2"/>
  <c r="AJ107" i="2"/>
  <c r="AK70" i="2"/>
  <c r="AK107" i="2"/>
  <c r="AL70" i="2"/>
  <c r="AL107" i="2"/>
  <c r="AM70" i="2"/>
  <c r="AM107" i="2"/>
  <c r="AN70" i="2"/>
  <c r="AN107" i="2"/>
  <c r="AO70" i="2"/>
  <c r="AO107" i="2"/>
  <c r="AP70" i="2"/>
  <c r="AP107" i="2"/>
  <c r="AQ70" i="2"/>
  <c r="AQ107" i="2"/>
  <c r="AR70" i="2"/>
  <c r="AR107" i="2"/>
  <c r="AS70" i="2"/>
  <c r="AS107" i="2"/>
  <c r="AT70" i="2"/>
  <c r="AT107" i="2"/>
  <c r="E56" i="2"/>
  <c r="N23" i="2"/>
  <c r="AT77" i="2"/>
  <c r="E112" i="2"/>
  <c r="F30" i="2"/>
  <c r="E111" i="2"/>
  <c r="F23" i="2"/>
  <c r="H77" i="4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<sst xmlns="http://schemas.openxmlformats.org/spreadsheetml/2006/main" count="262" uniqueCount="162">
  <si>
    <t>Blackrat SPV Pty Ltd</t>
  </si>
  <si>
    <t>Assumptions</t>
  </si>
  <si>
    <t>Senior Facility</t>
  </si>
  <si>
    <t>Facility balance at model start date</t>
  </si>
  <si>
    <t>[$]</t>
  </si>
  <si>
    <t>Sculpting and interest rate scenarios</t>
  </si>
  <si>
    <t>Scenario number</t>
  </si>
  <si>
    <t>[#]</t>
  </si>
  <si>
    <t>Scenario name</t>
  </si>
  <si>
    <t>[text]</t>
  </si>
  <si>
    <t>Passive</t>
  </si>
  <si>
    <t>Neutral</t>
  </si>
  <si>
    <t>Aggressive</t>
  </si>
  <si>
    <t>Sculpted senior DSCR</t>
  </si>
  <si>
    <t>[x]</t>
  </si>
  <si>
    <t>Annual interest rate</t>
  </si>
  <si>
    <t>[% p.a.]</t>
  </si>
  <si>
    <t>Debt Service Reserve Account</t>
  </si>
  <si>
    <t>Initial balance at project start (already funded)</t>
  </si>
  <si>
    <t>Required minimum balance during term of Senior Facility</t>
  </si>
  <si>
    <t>Interest rate earned on account balance</t>
  </si>
  <si>
    <t>Junior Facility</t>
  </si>
  <si>
    <t>Amortisation quarters</t>
  </si>
  <si>
    <t>Scheduled final payment date</t>
  </si>
  <si>
    <t>[date]</t>
  </si>
  <si>
    <t>Equity</t>
  </si>
  <si>
    <t>Contribution amount at model start date</t>
  </si>
  <si>
    <t>Discount rate for Net Present Value calculations</t>
  </si>
  <si>
    <t>Other Assumptions</t>
  </si>
  <si>
    <t>Model start date (Project start date)</t>
  </si>
  <si>
    <t>Initial quarter end date</t>
  </si>
  <si>
    <t>Number of quarters in project</t>
  </si>
  <si>
    <t>[# qtrs]</t>
  </si>
  <si>
    <t>Final quarter end date (Project end date)</t>
  </si>
  <si>
    <t>Interest rate earned on cash account balance</t>
  </si>
  <si>
    <t>EBITDA Profiles ($)</t>
  </si>
  <si>
    <t>Profile number --&gt;</t>
  </si>
  <si>
    <t>Profile name --&gt;</t>
  </si>
  <si>
    <t>Base Case</t>
  </si>
  <si>
    <t>Case 2</t>
  </si>
  <si>
    <t>Case 3</t>
  </si>
  <si>
    <t>Case 4</t>
  </si>
  <si>
    <t>Quarter Ending</t>
  </si>
  <si>
    <t>End Sheet</t>
  </si>
  <si>
    <t>Solution</t>
  </si>
  <si>
    <t>DSRA</t>
  </si>
  <si>
    <t>DSCR</t>
  </si>
  <si>
    <t>Returns &amp; Value</t>
  </si>
  <si>
    <t>Date</t>
  </si>
  <si>
    <t>Quarter</t>
  </si>
  <si>
    <t>Opening Balance</t>
  </si>
  <si>
    <t>Issuance / (Repayment)</t>
  </si>
  <si>
    <t>Closing Balance</t>
  </si>
  <si>
    <t>Interest Rate</t>
  </si>
  <si>
    <t>Interest Expense</t>
  </si>
  <si>
    <t>Amortization Quarters</t>
  </si>
  <si>
    <t>Target DSCR</t>
  </si>
  <si>
    <t>EBITDA</t>
  </si>
  <si>
    <t>Interest Income</t>
  </si>
  <si>
    <t>Cash Available for Debt Service</t>
  </si>
  <si>
    <t>Target Sr. Debt Service</t>
  </si>
  <si>
    <t>Scenarios</t>
  </si>
  <si>
    <t>Selected Case</t>
  </si>
  <si>
    <t>Less: Sr. Debt Interest Expense</t>
  </si>
  <si>
    <t>Target Debt Repayment</t>
  </si>
  <si>
    <t>Actual DSCR</t>
  </si>
  <si>
    <t>Equity Cash Flows</t>
  </si>
  <si>
    <t>DSRA Release</t>
  </si>
  <si>
    <t>Sr. Debt Repayment</t>
  </si>
  <si>
    <t>Sr. Debt Interest Expense</t>
  </si>
  <si>
    <t>Junior Debt Repayment</t>
  </si>
  <si>
    <t>Junior Debt Interest Expense</t>
  </si>
  <si>
    <t>Equity Investment</t>
  </si>
  <si>
    <t>Cash Flow Date</t>
  </si>
  <si>
    <t>IRR</t>
  </si>
  <si>
    <t>NPV</t>
  </si>
  <si>
    <t>Discount Rate</t>
  </si>
  <si>
    <t>Answers</t>
  </si>
  <si>
    <t>a)</t>
  </si>
  <si>
    <t>b)</t>
  </si>
  <si>
    <t>c)</t>
  </si>
  <si>
    <t>d)</t>
  </si>
  <si>
    <t>e)</t>
  </si>
  <si>
    <t>f)</t>
  </si>
  <si>
    <t>g)</t>
  </si>
  <si>
    <t>See below</t>
  </si>
  <si>
    <t>Total Jr. Facility Interest</t>
  </si>
  <si>
    <t>Schedules</t>
  </si>
  <si>
    <t>Aggressive / Case 2, Equity Distribution in Mar 2020</t>
  </si>
  <si>
    <t>Repayment Period</t>
  </si>
  <si>
    <t>Profiles</t>
  </si>
  <si>
    <t>IRR Sensitivity</t>
  </si>
  <si>
    <t>NPV Sensitivity</t>
  </si>
  <si>
    <t>Neutral / Base Case Sr. Debt Repaid</t>
  </si>
  <si>
    <t>Situation with Highest IRR</t>
  </si>
  <si>
    <t>Situation with Lowest NPV</t>
  </si>
  <si>
    <t>Equity Distribution</t>
  </si>
  <si>
    <t>Sr. Debt Repayment Date</t>
  </si>
  <si>
    <t>Mar 2020 Equity Distribution</t>
  </si>
  <si>
    <t>NB: It was not required to make this section any more complicated / dynamic</t>
  </si>
  <si>
    <t>CFM Topic</t>
  </si>
  <si>
    <t>Debt</t>
  </si>
  <si>
    <t>Model timeline</t>
  </si>
  <si>
    <t>date</t>
  </si>
  <si>
    <t>Constant</t>
  </si>
  <si>
    <t>Unit</t>
  </si>
  <si>
    <t>Total</t>
  </si>
  <si>
    <t>Model period beginning</t>
  </si>
  <si>
    <t>Model period ending</t>
  </si>
  <si>
    <t>DEBT SCHEDULE</t>
  </si>
  <si>
    <t>Senior Debt</t>
  </si>
  <si>
    <t>Junior Debt</t>
  </si>
  <si>
    <t>Model first period flag</t>
  </si>
  <si>
    <t>flag</t>
  </si>
  <si>
    <t>Model period counter</t>
  </si>
  <si>
    <t>counter</t>
  </si>
  <si>
    <t>Senior Debt BEG</t>
  </si>
  <si>
    <t>Senior Debt addition / (repayment)</t>
  </si>
  <si>
    <t>Model technical inputs</t>
  </si>
  <si>
    <t>Sculpting scenarios</t>
  </si>
  <si>
    <t>EBIDTA scenarios</t>
  </si>
  <si>
    <t>Debt sculpting scenarios</t>
  </si>
  <si>
    <t>USD</t>
  </si>
  <si>
    <t>quarter</t>
  </si>
  <si>
    <t>Year</t>
  </si>
  <si>
    <t>year</t>
  </si>
  <si>
    <t>Selected EBIDTA scenario</t>
  </si>
  <si>
    <t>EBIDTA</t>
  </si>
  <si>
    <t>Senior Debt interest</t>
  </si>
  <si>
    <t>%</t>
  </si>
  <si>
    <t>Debt Service Reserve Account ("DSCA") BEG</t>
  </si>
  <si>
    <t>Debt Service Reserve Account ("DSCA")</t>
  </si>
  <si>
    <t>Interest rate on "DSRA"</t>
  </si>
  <si>
    <t>Debt Service Coverage Ratio ("DSCR")</t>
  </si>
  <si>
    <t>Debt Service Reserve Account ("DSRA") interest income</t>
  </si>
  <si>
    <t>Cash available for debt service</t>
  </si>
  <si>
    <t>plus</t>
  </si>
  <si>
    <t>factor</t>
  </si>
  <si>
    <t>Target Senior Debt Service</t>
  </si>
  <si>
    <t>less</t>
  </si>
  <si>
    <t>Junior Debt BEG</t>
  </si>
  <si>
    <t>Junior Debt addition / (repayment)</t>
  </si>
  <si>
    <t>Junior Debt interest</t>
  </si>
  <si>
    <t>Annual interest rate on Senior Debt</t>
  </si>
  <si>
    <t>Annual interest rate on Junior Debt</t>
  </si>
  <si>
    <t>Returns and value</t>
  </si>
  <si>
    <t>Equity Cashflow</t>
  </si>
  <si>
    <t>Equity investment</t>
  </si>
  <si>
    <t>Senior Debt interest expenses</t>
  </si>
  <si>
    <t>Junior Debt interest expenses</t>
  </si>
  <si>
    <t>Debt Service Reserve Account ("DSCA") addition / (release)</t>
  </si>
  <si>
    <t>Date of investment</t>
  </si>
  <si>
    <t xml:space="preserve">c) </t>
  </si>
  <si>
    <t>Q1 2027</t>
  </si>
  <si>
    <t xml:space="preserve">d) </t>
  </si>
  <si>
    <t>Equity cashflow</t>
  </si>
  <si>
    <t>Debt Service Reserve Account ("DSRA") (addition) / release</t>
  </si>
  <si>
    <t>Distribution of equity on 31/3/2020 under Aggressive sculpting scenario and EBIDTA 2</t>
  </si>
  <si>
    <t>Under which scenario combination the IRR is the highest</t>
  </si>
  <si>
    <t>Under which scenario combination the NPV the lowest</t>
  </si>
  <si>
    <t>Passive / EBIDTA 2</t>
  </si>
  <si>
    <t>Aggressive / 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</si>
</sst>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#,##0.00_);[Red]\(&quot;$&quot;#,##0.00\)"/>
    <numFmt numFmtId="165" formatCode="_(* #,##0.00_);_(* \(#,##0.00\);_(* &quot;-&quot;??_);_(@_)"/>
    <numFmt numFmtId="166" formatCode="#,##0_);\(#,##0\);\-"/>
    <numFmt numFmtId="167" formatCode="#,##0_);\(#,##0\);\-_)"/>
    <numFmt numFmtId="168" formatCode="#,##0.;\-#,##0.;\-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_-* #,##0_-;\-* #,##0_-;_-* &quot;-&quot;??_-;_-@_-"/>
    <numFmt numFmtId="176" formatCode="#,##0_);\(#,##0\);&quot;-  &quot;;&quot; &quot;@"/>
    <numFmt numFmtId="177" formatCode="0.00%\ ;\-0.00%\ _);&quot;-  &quot;;&quot; &quot;@&quot; &quot;"/>
    <numFmt numFmtId="178" formatCode="#,##0.0000_);\(#,##0.0000\);&quot;-  &quot;;&quot; &quot;@&quot; &quot;"/>
    <numFmt numFmtId="179" formatCode="dd\ mmm\ yyyy_);\(###0\);&quot;-  &quot;;&quot; &quot;@&quot; &quot;"/>
    <numFmt numFmtId="180" formatCode="dd\ mmm\ yy_);\(###0\);&quot;-  &quot;;&quot; &quot;@&quot; &quot;"/>
    <numFmt numFmtId="181" formatCode="###0_);\(###0\);&quot;-  &quot;;&quot; &quot;@&quot; &quot;"/>
    <numFmt numFmtId="182" formatCode="#,##0.00_);\(#,##0.00\);&quot;-  &quot;;&quot; &quot;@&quot; &quot;"/>
    <numFmt numFmtId="183" formatCode="\Q#"/>
    <numFmt numFmtId="184" formatCode="#,##0.0_);\(#,##0.0\);&quot;-  &quot;;&quot; &quot;@"/>
    <numFmt numFmtId="185" formatCode="#,##0.0_);\(#,##0.0\);&quot;-  &quot;;&quot; &quot;@&quot; &quot;"/>
  </numFmts>
  <fonts count="37"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i/>
      <sz val="10"/>
      <color rgb="FFFF0000"/>
      <name val="Arial"/>
      <family val="2"/>
    </font>
    <font>
      <sz val="10"/>
      <name val="Book Antiqua"/>
      <family val="1"/>
    </font>
    <font>
      <sz val="10"/>
      <name val="Aldine401 BT"/>
    </font>
    <font>
      <sz val="11"/>
      <color indexed="12"/>
      <name val="Book Antiqua"/>
      <family val="1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sz val="10"/>
      <name val="Arial"/>
      <family val="2"/>
    </font>
    <font>
      <sz val="22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0"/>
      <color rgb="FF00B050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0">
    <xf numFmtId="176" fontId="0" fillId="0" borderId="0" applyFont="0" applyFill="0" applyBorder="0" applyProtection="0">
      <alignment vertical="top"/>
    </xf>
    <xf numFmtId="0" fontId="6" fillId="3" borderId="0" applyNumberFormat="0" applyAlignment="0"/>
    <xf numFmtId="167" fontId="2" fillId="0" borderId="0" applyBorder="0"/>
    <xf numFmtId="4" fontId="3" fillId="4" borderId="3">
      <alignment horizontal="left"/>
    </xf>
    <xf numFmtId="166" fontId="9" fillId="0" borderId="0" applyFill="0" applyBorder="0"/>
    <xf numFmtId="167" fontId="5" fillId="0" borderId="0" applyBorder="0"/>
    <xf numFmtId="0" fontId="10" fillId="0" borderId="0" applyNumberFormat="0" applyFill="0" applyBorder="0">
      <alignment horizontal="right"/>
    </xf>
    <xf numFmtId="167" fontId="10" fillId="5" borderId="4">
      <protection locked="0"/>
    </xf>
    <xf numFmtId="169" fontId="10" fillId="5" borderId="4">
      <protection locked="0"/>
    </xf>
    <xf numFmtId="170" fontId="10" fillId="5" borderId="4">
      <protection locked="0"/>
    </xf>
    <xf numFmtId="171" fontId="2" fillId="0" borderId="0" applyBorder="0"/>
    <xf numFmtId="171" fontId="10" fillId="5" borderId="4">
      <protection locked="0"/>
    </xf>
    <xf numFmtId="167" fontId="10" fillId="0" borderId="4"/>
    <xf numFmtId="15" fontId="4" fillId="0" borderId="0" applyFill="0" applyBorder="0" applyAlignment="0"/>
    <xf numFmtId="0" fontId="12" fillId="0" borderId="0" applyNumberFormat="0" applyFont="0" applyFill="0" applyBorder="0" applyProtection="0">
      <alignment horizontal="centerContinuous"/>
    </xf>
    <xf numFmtId="0" fontId="12" fillId="0" borderId="5" applyNumberFormat="0" applyFont="0" applyFill="0" applyAlignment="0" applyProtection="0"/>
    <xf numFmtId="0" fontId="12" fillId="0" borderId="0" applyNumberFormat="0" applyFont="0" applyFill="0" applyBorder="0" applyProtection="0">
      <alignment horizontal="center"/>
    </xf>
    <xf numFmtId="165" fontId="13" fillId="0" borderId="0" applyFont="0" applyFill="0" applyBorder="0" applyAlignment="0" applyProtection="0"/>
    <xf numFmtId="164" fontId="14" fillId="0" borderId="6">
      <protection locked="0"/>
    </xf>
    <xf numFmtId="0" fontId="12" fillId="0" borderId="7" applyNumberFormat="0" applyFont="0" applyFill="0" applyAlignment="0" applyProtection="0"/>
    <xf numFmtId="172" fontId="15" fillId="0" borderId="8">
      <alignment horizontal="center"/>
    </xf>
    <xf numFmtId="167" fontId="16" fillId="6" borderId="0" applyBorder="0" applyAlignment="0"/>
    <xf numFmtId="172" fontId="17" fillId="7" borderId="9">
      <alignment horizontal="center"/>
    </xf>
    <xf numFmtId="0" fontId="18" fillId="0" borderId="0" applyNumberFormat="0" applyFill="0" applyBorder="0" applyAlignment="0"/>
    <xf numFmtId="0" fontId="19" fillId="0" borderId="0" applyNumberFormat="0" applyFill="0" applyBorder="0" applyAlignment="0"/>
    <xf numFmtId="166" fontId="20" fillId="8" borderId="4" applyNumberFormat="0" applyAlignment="0">
      <protection locked="0"/>
    </xf>
    <xf numFmtId="173" fontId="21" fillId="5" borderId="4">
      <alignment horizontal="center"/>
      <protection locked="0"/>
    </xf>
    <xf numFmtId="174" fontId="21" fillId="5" borderId="4">
      <alignment horizontal="center"/>
      <protection locked="0"/>
    </xf>
    <xf numFmtId="169" fontId="2" fillId="0" borderId="0" applyBorder="0"/>
    <xf numFmtId="174" fontId="22" fillId="0" borderId="10" applyFill="0">
      <alignment horizontal="center"/>
    </xf>
    <xf numFmtId="173" fontId="21" fillId="0" borderId="10">
      <alignment horizontal="center"/>
    </xf>
    <xf numFmtId="170" fontId="23" fillId="0" borderId="0" applyFill="0" applyBorder="0" applyAlignment="0"/>
    <xf numFmtId="0" fontId="24" fillId="2" borderId="2" applyFill="0" applyAlignment="0" applyProtection="0"/>
    <xf numFmtId="167" fontId="2" fillId="9" borderId="10"/>
    <xf numFmtId="0" fontId="25" fillId="0" borderId="1" applyNumberFormat="0" applyFill="0" applyAlignment="0" applyProtection="0"/>
    <xf numFmtId="0" fontId="24" fillId="2" borderId="2" applyNumberFormat="0" applyAlignment="0" applyProtection="0"/>
    <xf numFmtId="0" fontId="23" fillId="0" borderId="0"/>
    <xf numFmtId="0" fontId="26" fillId="0" borderId="0"/>
    <xf numFmtId="0" fontId="27" fillId="0" borderId="0"/>
    <xf numFmtId="0" fontId="2" fillId="0" borderId="0"/>
    <xf numFmtId="0" fontId="28" fillId="0" borderId="0" applyNumberFormat="0" applyFill="0" applyBorder="0" applyAlignment="0" applyProtection="0"/>
    <xf numFmtId="175" fontId="13" fillId="0" borderId="0" applyNumberFormat="0" applyFill="0" applyBorder="0" applyAlignment="0" applyProtection="0"/>
    <xf numFmtId="0" fontId="12" fillId="0" borderId="11" applyNumberFormat="0" applyFont="0" applyFill="0" applyAlignment="0" applyProtection="0"/>
    <xf numFmtId="9" fontId="23" fillId="0" borderId="0" applyFont="0" applyFill="0" applyBorder="0" applyAlignment="0" applyProtection="0"/>
    <xf numFmtId="177" fontId="2" fillId="0" borderId="0" applyFont="0" applyFill="0" applyBorder="0" applyProtection="0">
      <alignment vertical="top"/>
    </xf>
    <xf numFmtId="0" fontId="30" fillId="14" borderId="0" applyNumberFormat="0" applyBorder="0" applyAlignment="0" applyProtection="0"/>
    <xf numFmtId="178" fontId="2" fillId="0" borderId="0" applyFont="0" applyFill="0" applyBorder="0" applyProtection="0">
      <alignment vertical="top"/>
    </xf>
    <xf numFmtId="179" fontId="2" fillId="0" borderId="0" applyFont="0" applyFill="0" applyBorder="0" applyProtection="0">
      <alignment vertical="top"/>
    </xf>
    <xf numFmtId="180" fontId="2" fillId="0" borderId="0" applyFont="0" applyFill="0" applyBorder="0" applyProtection="0">
      <alignment vertical="top"/>
    </xf>
    <xf numFmtId="181" fontId="2" fillId="0" borderId="0" applyFont="0" applyFill="0" applyBorder="0" applyProtection="0">
      <alignment vertical="top"/>
    </xf>
  </cellStyleXfs>
  <cellXfs count="157">
    <xf numFmtId="176" fontId="0" fillId="0" borderId="0" xfId="0">
      <alignment vertical="top"/>
    </xf>
    <xf numFmtId="166" fontId="7" fillId="3" borderId="0" xfId="1" applyNumberFormat="1" applyFont="1"/>
    <xf numFmtId="166" fontId="6" fillId="3" borderId="0" xfId="1" applyNumberFormat="1"/>
    <xf numFmtId="167" fontId="2" fillId="0" borderId="0" xfId="2"/>
    <xf numFmtId="168" fontId="6" fillId="3" borderId="0" xfId="1" applyNumberFormat="1"/>
    <xf numFmtId="166" fontId="8" fillId="3" borderId="0" xfId="1" applyNumberFormat="1" applyFont="1"/>
    <xf numFmtId="167" fontId="0" fillId="0" borderId="0" xfId="2" applyFont="1"/>
    <xf numFmtId="4" fontId="3" fillId="4" borderId="3" xfId="3">
      <alignment horizontal="left"/>
    </xf>
    <xf numFmtId="166" fontId="9" fillId="0" borderId="0" xfId="4"/>
    <xf numFmtId="167" fontId="5" fillId="0" borderId="0" xfId="5"/>
    <xf numFmtId="167" fontId="10" fillId="0" borderId="0" xfId="6" applyNumberFormat="1">
      <alignment horizontal="right"/>
    </xf>
    <xf numFmtId="167" fontId="10" fillId="5" borderId="4" xfId="7">
      <protection locked="0"/>
    </xf>
    <xf numFmtId="167" fontId="10" fillId="5" borderId="4" xfId="7" applyAlignment="1">
      <alignment horizontal="right"/>
      <protection locked="0"/>
    </xf>
    <xf numFmtId="169" fontId="10" fillId="5" borderId="4" xfId="8">
      <protection locked="0"/>
    </xf>
    <xf numFmtId="170" fontId="10" fillId="5" borderId="4" xfId="9">
      <protection locked="0"/>
    </xf>
    <xf numFmtId="171" fontId="2" fillId="0" borderId="0" xfId="10"/>
    <xf numFmtId="171" fontId="10" fillId="0" borderId="4" xfId="11" applyFill="1">
      <protection locked="0"/>
    </xf>
    <xf numFmtId="167" fontId="10" fillId="0" borderId="4" xfId="12"/>
    <xf numFmtId="167" fontId="11" fillId="0" borderId="0" xfId="2" applyFont="1"/>
    <xf numFmtId="167" fontId="0" fillId="0" borderId="5" xfId="2" applyFont="1" applyBorder="1"/>
    <xf numFmtId="15" fontId="4" fillId="0" borderId="0" xfId="13"/>
    <xf numFmtId="171" fontId="29" fillId="0" borderId="0" xfId="10" applyFont="1"/>
    <xf numFmtId="171" fontId="23" fillId="0" borderId="0" xfId="10" applyFont="1"/>
    <xf numFmtId="167" fontId="29" fillId="0" borderId="0" xfId="2" applyFont="1"/>
    <xf numFmtId="167" fontId="29" fillId="0" borderId="12" xfId="2" applyFont="1" applyBorder="1"/>
    <xf numFmtId="167" fontId="2" fillId="0" borderId="12" xfId="2" applyBorder="1"/>
    <xf numFmtId="170" fontId="23" fillId="0" borderId="0" xfId="9" applyFont="1" applyFill="1" applyBorder="1">
      <protection locked="0"/>
    </xf>
    <xf numFmtId="170" fontId="29" fillId="0" borderId="0" xfId="9" applyFont="1" applyFill="1" applyBorder="1">
      <protection locked="0"/>
    </xf>
    <xf numFmtId="169" fontId="29" fillId="0" borderId="0" xfId="8" applyFont="1" applyFill="1" applyBorder="1">
      <protection locked="0"/>
    </xf>
    <xf numFmtId="169" fontId="23" fillId="0" borderId="0" xfId="8" applyFont="1" applyFill="1" applyBorder="1">
      <protection locked="0"/>
    </xf>
    <xf numFmtId="167" fontId="10" fillId="0" borderId="0" xfId="7" applyFill="1" applyBorder="1" applyAlignment="1">
      <alignment horizontal="center"/>
      <protection locked="0"/>
    </xf>
    <xf numFmtId="167" fontId="5" fillId="0" borderId="0" xfId="2" applyFont="1"/>
    <xf numFmtId="167" fontId="10" fillId="0" borderId="0" xfId="7" applyFill="1" applyBorder="1">
      <protection locked="0"/>
    </xf>
    <xf numFmtId="167" fontId="5" fillId="0" borderId="12" xfId="2" applyFont="1" applyBorder="1"/>
    <xf numFmtId="167" fontId="2" fillId="0" borderId="0" xfId="2" applyAlignment="1">
      <alignment horizontal="centerContinuous"/>
    </xf>
    <xf numFmtId="167" fontId="2" fillId="0" borderId="13" xfId="2" applyBorder="1"/>
    <xf numFmtId="170" fontId="23" fillId="0" borderId="14" xfId="9" applyFont="1" applyFill="1" applyBorder="1">
      <protection locked="0"/>
    </xf>
    <xf numFmtId="170" fontId="23" fillId="0" borderId="12" xfId="9" applyFont="1" applyFill="1" applyBorder="1">
      <protection locked="0"/>
    </xf>
    <xf numFmtId="170" fontId="23" fillId="0" borderId="15" xfId="9" applyFont="1" applyFill="1" applyBorder="1">
      <protection locked="0"/>
    </xf>
    <xf numFmtId="170" fontId="23" fillId="0" borderId="16" xfId="9" applyFont="1" applyFill="1" applyBorder="1">
      <protection locked="0"/>
    </xf>
    <xf numFmtId="170" fontId="23" fillId="0" borderId="13" xfId="9" applyFont="1" applyFill="1" applyBorder="1">
      <protection locked="0"/>
    </xf>
    <xf numFmtId="170" fontId="23" fillId="0" borderId="17" xfId="9" applyFont="1" applyFill="1" applyBorder="1">
      <protection locked="0"/>
    </xf>
    <xf numFmtId="170" fontId="23" fillId="0" borderId="5" xfId="9" applyFont="1" applyFill="1" applyBorder="1">
      <protection locked="0"/>
    </xf>
    <xf numFmtId="170" fontId="23" fillId="0" borderId="18" xfId="9" applyFont="1" applyFill="1" applyBorder="1">
      <protection locked="0"/>
    </xf>
    <xf numFmtId="167" fontId="2" fillId="0" borderId="14" xfId="2" applyBorder="1"/>
    <xf numFmtId="167" fontId="2" fillId="0" borderId="15" xfId="2" applyBorder="1"/>
    <xf numFmtId="167" fontId="2" fillId="0" borderId="16" xfId="2" applyBorder="1"/>
    <xf numFmtId="167" fontId="2" fillId="0" borderId="0" xfId="2" applyBorder="1"/>
    <xf numFmtId="167" fontId="2" fillId="0" borderId="17" xfId="2" applyBorder="1"/>
    <xf numFmtId="167" fontId="2" fillId="0" borderId="5" xfId="2" applyBorder="1"/>
    <xf numFmtId="167" fontId="2" fillId="0" borderId="18" xfId="2" applyBorder="1"/>
    <xf numFmtId="171" fontId="23" fillId="0" borderId="14" xfId="10" applyFont="1" applyBorder="1"/>
    <xf numFmtId="171" fontId="23" fillId="0" borderId="15" xfId="10" applyFont="1" applyBorder="1"/>
    <xf numFmtId="171" fontId="23" fillId="0" borderId="16" xfId="10" applyFont="1" applyBorder="1"/>
    <xf numFmtId="171" fontId="23" fillId="0" borderId="0" xfId="10" applyFont="1" applyBorder="1"/>
    <xf numFmtId="171" fontId="23" fillId="0" borderId="13" xfId="10" applyFont="1" applyBorder="1"/>
    <xf numFmtId="171" fontId="23" fillId="0" borderId="17" xfId="10" applyFont="1" applyBorder="1"/>
    <xf numFmtId="171" fontId="23" fillId="0" borderId="5" xfId="10" applyFont="1" applyBorder="1"/>
    <xf numFmtId="171" fontId="23" fillId="0" borderId="18" xfId="10" applyFont="1" applyBorder="1"/>
    <xf numFmtId="171" fontId="23" fillId="10" borderId="12" xfId="10" applyFont="1" applyFill="1" applyBorder="1"/>
    <xf numFmtId="167" fontId="2" fillId="10" borderId="13" xfId="2" applyFill="1" applyBorder="1"/>
    <xf numFmtId="167" fontId="29" fillId="0" borderId="13" xfId="2" applyFont="1" applyBorder="1"/>
    <xf numFmtId="167" fontId="29" fillId="0" borderId="5" xfId="2" applyFont="1" applyBorder="1" applyAlignment="1">
      <alignment horizontal="center"/>
    </xf>
    <xf numFmtId="167" fontId="23" fillId="0" borderId="0" xfId="2" applyFont="1"/>
    <xf numFmtId="167" fontId="4" fillId="0" borderId="0" xfId="2" applyFont="1"/>
    <xf numFmtId="176" fontId="30" fillId="11" borderId="0" xfId="0" applyFont="1" applyFill="1">
      <alignment vertical="top"/>
    </xf>
    <xf numFmtId="167" fontId="10" fillId="12" borderId="19" xfId="2" applyFont="1" applyFill="1" applyBorder="1"/>
    <xf numFmtId="180" fontId="30" fillId="11" borderId="0" xfId="48" applyFont="1" applyFill="1">
      <alignment vertical="top"/>
    </xf>
    <xf numFmtId="167" fontId="2" fillId="13" borderId="0" xfId="2" applyFill="1"/>
    <xf numFmtId="171" fontId="2" fillId="13" borderId="0" xfId="10" applyFill="1"/>
    <xf numFmtId="167" fontId="5" fillId="13" borderId="0" xfId="2" applyFont="1" applyFill="1"/>
    <xf numFmtId="179" fontId="2" fillId="0" borderId="0" xfId="47">
      <alignment vertical="top"/>
    </xf>
    <xf numFmtId="0" fontId="30" fillId="11" borderId="0" xfId="0" applyNumberFormat="1" applyFont="1" applyFill="1">
      <alignment vertical="top"/>
    </xf>
    <xf numFmtId="176" fontId="31" fillId="0" borderId="0" xfId="0" applyFont="1" applyFill="1">
      <alignment vertical="top"/>
    </xf>
    <xf numFmtId="0" fontId="31" fillId="0" borderId="0" xfId="0" applyNumberFormat="1" applyFont="1" applyFill="1">
      <alignment vertical="top"/>
    </xf>
    <xf numFmtId="180" fontId="31" fillId="0" borderId="0" xfId="48" applyFont="1" applyFill="1">
      <alignment vertical="top"/>
    </xf>
    <xf numFmtId="0" fontId="32" fillId="0" borderId="0" xfId="0" applyNumberFormat="1" applyFont="1" applyFill="1">
      <alignment vertical="top"/>
    </xf>
    <xf numFmtId="176" fontId="32" fillId="0" borderId="0" xfId="0" applyFont="1" applyFill="1">
      <alignment vertical="top"/>
    </xf>
    <xf numFmtId="183" fontId="32" fillId="0" borderId="0" xfId="0" applyNumberFormat="1" applyFont="1" applyFill="1">
      <alignment vertical="top"/>
    </xf>
    <xf numFmtId="176" fontId="31" fillId="13" borderId="0" xfId="0" applyFont="1" applyFill="1">
      <alignment vertical="top"/>
    </xf>
    <xf numFmtId="0" fontId="31" fillId="13" borderId="0" xfId="0" applyNumberFormat="1" applyFont="1" applyFill="1">
      <alignment vertical="top"/>
    </xf>
    <xf numFmtId="180" fontId="31" fillId="13" borderId="0" xfId="48" applyFont="1" applyFill="1">
      <alignment vertical="top"/>
    </xf>
    <xf numFmtId="181" fontId="32" fillId="0" borderId="0" xfId="49" applyFont="1" applyFill="1">
      <alignment vertical="top"/>
    </xf>
    <xf numFmtId="176" fontId="34" fillId="13" borderId="0" xfId="0" applyFont="1" applyFill="1">
      <alignment vertical="top"/>
    </xf>
    <xf numFmtId="176" fontId="1" fillId="13" borderId="0" xfId="0" applyFont="1" applyFill="1">
      <alignment vertical="top"/>
    </xf>
    <xf numFmtId="0" fontId="1" fillId="13" borderId="0" xfId="0" applyNumberFormat="1" applyFont="1" applyFill="1">
      <alignment vertical="top"/>
    </xf>
    <xf numFmtId="176" fontId="34" fillId="0" borderId="0" xfId="0" applyFont="1" applyFill="1">
      <alignment vertical="top"/>
    </xf>
    <xf numFmtId="176" fontId="1" fillId="0" borderId="0" xfId="0" applyFont="1" applyFill="1">
      <alignment vertical="top"/>
    </xf>
    <xf numFmtId="0" fontId="1" fillId="0" borderId="0" xfId="0" applyNumberFormat="1" applyFont="1" applyFill="1">
      <alignment vertical="top"/>
    </xf>
    <xf numFmtId="176" fontId="34" fillId="0" borderId="0" xfId="0" applyFont="1">
      <alignment vertical="top"/>
    </xf>
    <xf numFmtId="176" fontId="1" fillId="0" borderId="0" xfId="0" applyFont="1">
      <alignment vertical="top"/>
    </xf>
    <xf numFmtId="0" fontId="1" fillId="0" borderId="0" xfId="0" applyNumberFormat="1" applyFont="1">
      <alignment vertical="top"/>
    </xf>
    <xf numFmtId="167" fontId="34" fillId="0" borderId="0" xfId="5" applyFont="1"/>
    <xf numFmtId="0" fontId="34" fillId="0" borderId="0" xfId="0" applyNumberFormat="1" applyFont="1">
      <alignment vertical="top"/>
    </xf>
    <xf numFmtId="167" fontId="32" fillId="0" borderId="0" xfId="7" applyFont="1" applyFill="1" applyBorder="1" applyAlignment="1">
      <alignment horizontal="right"/>
      <protection locked="0"/>
    </xf>
    <xf numFmtId="167" fontId="1" fillId="0" borderId="0" xfId="2" applyFont="1"/>
    <xf numFmtId="176" fontId="33" fillId="13" borderId="0" xfId="0" applyFont="1" applyFill="1">
      <alignment vertical="top"/>
    </xf>
    <xf numFmtId="0" fontId="1" fillId="0" borderId="0" xfId="2" applyNumberFormat="1" applyFont="1"/>
    <xf numFmtId="182" fontId="33" fillId="13" borderId="0" xfId="46" applyNumberFormat="1" applyFont="1" applyFill="1">
      <alignment vertical="top"/>
    </xf>
    <xf numFmtId="177" fontId="33" fillId="13" borderId="0" xfId="44" applyFont="1" applyFill="1">
      <alignment vertical="top"/>
    </xf>
    <xf numFmtId="0" fontId="1" fillId="0" borderId="0" xfId="0" applyNumberFormat="1" applyFont="1" applyBorder="1">
      <alignment vertical="top"/>
    </xf>
    <xf numFmtId="176" fontId="1" fillId="0" borderId="0" xfId="0" applyFont="1" applyBorder="1">
      <alignment vertical="top"/>
    </xf>
    <xf numFmtId="0" fontId="1" fillId="0" borderId="20" xfId="0" applyNumberFormat="1" applyFont="1" applyBorder="1">
      <alignment vertical="top"/>
    </xf>
    <xf numFmtId="176" fontId="1" fillId="0" borderId="20" xfId="0" applyFont="1" applyBorder="1">
      <alignment vertical="top"/>
    </xf>
    <xf numFmtId="0" fontId="1" fillId="0" borderId="21" xfId="0" applyNumberFormat="1" applyFont="1" applyBorder="1">
      <alignment vertical="top"/>
    </xf>
    <xf numFmtId="176" fontId="1" fillId="0" borderId="21" xfId="0" applyFont="1" applyBorder="1">
      <alignment vertical="top"/>
    </xf>
    <xf numFmtId="176" fontId="33" fillId="13" borderId="21" xfId="0" applyFont="1" applyFill="1" applyBorder="1">
      <alignment vertical="top"/>
    </xf>
    <xf numFmtId="176" fontId="35" fillId="0" borderId="0" xfId="0" applyFont="1">
      <alignment vertical="top"/>
    </xf>
    <xf numFmtId="176" fontId="35" fillId="0" borderId="0" xfId="0" applyFont="1" applyFill="1">
      <alignment vertical="top"/>
    </xf>
    <xf numFmtId="184" fontId="1" fillId="0" borderId="0" xfId="0" applyNumberFormat="1" applyFont="1" applyFill="1">
      <alignment vertical="top"/>
    </xf>
    <xf numFmtId="176" fontId="1" fillId="0" borderId="0" xfId="0" applyFont="1" applyAlignment="1">
      <alignment horizontal="left" vertical="top"/>
    </xf>
    <xf numFmtId="176" fontId="1" fillId="0" borderId="0" xfId="0" applyFont="1" applyAlignment="1">
      <alignment horizontal="right" vertical="top"/>
    </xf>
    <xf numFmtId="0" fontId="1" fillId="0" borderId="5" xfId="0" applyNumberFormat="1" applyFont="1" applyBorder="1">
      <alignment vertical="top"/>
    </xf>
    <xf numFmtId="176" fontId="1" fillId="0" borderId="5" xfId="0" applyFont="1" applyBorder="1">
      <alignment vertical="top"/>
    </xf>
    <xf numFmtId="182" fontId="33" fillId="13" borderId="0" xfId="0" applyNumberFormat="1" applyFont="1" applyFill="1">
      <alignment vertical="top"/>
    </xf>
    <xf numFmtId="185" fontId="1" fillId="0" borderId="0" xfId="46" applyNumberFormat="1" applyFont="1">
      <alignment vertical="top"/>
    </xf>
    <xf numFmtId="176" fontId="33" fillId="0" borderId="21" xfId="0" applyFont="1" applyBorder="1">
      <alignment vertical="top"/>
    </xf>
    <xf numFmtId="167" fontId="1" fillId="0" borderId="5" xfId="2" applyFont="1" applyBorder="1"/>
    <xf numFmtId="167" fontId="34" fillId="0" borderId="0" xfId="2" applyFont="1"/>
    <xf numFmtId="180" fontId="33" fillId="13" borderId="0" xfId="48" applyFont="1" applyFill="1">
      <alignment vertical="top"/>
    </xf>
    <xf numFmtId="176" fontId="33" fillId="13" borderId="5" xfId="0" applyFont="1" applyFill="1" applyBorder="1">
      <alignment vertical="top"/>
    </xf>
    <xf numFmtId="167" fontId="34" fillId="0" borderId="0" xfId="2" applyFont="1" applyBorder="1"/>
    <xf numFmtId="177" fontId="1" fillId="0" borderId="0" xfId="44" applyFont="1">
      <alignment vertical="top"/>
    </xf>
    <xf numFmtId="0" fontId="1" fillId="0" borderId="0" xfId="0" applyNumberFormat="1" applyFont="1" applyAlignment="1">
      <alignment horizontal="right" vertical="top"/>
    </xf>
    <xf numFmtId="176" fontId="31" fillId="0" borderId="0" xfId="0" applyFont="1">
      <alignment vertical="top"/>
    </xf>
    <xf numFmtId="176" fontId="32" fillId="0" borderId="0" xfId="0" applyFont="1">
      <alignment vertical="top"/>
    </xf>
    <xf numFmtId="0" fontId="32" fillId="0" borderId="0" xfId="0" applyNumberFormat="1" applyFont="1">
      <alignment vertical="top"/>
    </xf>
    <xf numFmtId="176" fontId="33" fillId="0" borderId="0" xfId="0" applyFont="1">
      <alignment vertical="top"/>
    </xf>
    <xf numFmtId="176" fontId="1" fillId="15" borderId="0" xfId="0" applyFont="1" applyFill="1" applyBorder="1">
      <alignment vertical="top"/>
    </xf>
    <xf numFmtId="176" fontId="34" fillId="0" borderId="0" xfId="0" applyFont="1" applyBorder="1">
      <alignment vertical="top"/>
    </xf>
    <xf numFmtId="176" fontId="34" fillId="0" borderId="0" xfId="0" applyFont="1" applyAlignment="1">
      <alignment horizontal="right" vertical="top"/>
    </xf>
    <xf numFmtId="176" fontId="36" fillId="0" borderId="0" xfId="0" applyFont="1" applyAlignment="1">
      <alignment horizontal="right" vertical="top"/>
    </xf>
    <xf numFmtId="177" fontId="36" fillId="0" borderId="0" xfId="44" applyFont="1">
      <alignment vertical="top"/>
    </xf>
    <xf numFmtId="176" fontId="1" fillId="0" borderId="14" xfId="0" applyFont="1" applyBorder="1">
      <alignment vertical="top"/>
    </xf>
    <xf numFmtId="167" fontId="1" fillId="0" borderId="12" xfId="2" applyFont="1" applyBorder="1"/>
    <xf numFmtId="176" fontId="1" fillId="0" borderId="15" xfId="0" applyFont="1" applyBorder="1">
      <alignment vertical="top"/>
    </xf>
    <xf numFmtId="176" fontId="1" fillId="0" borderId="16" xfId="0" applyFont="1" applyBorder="1">
      <alignment vertical="top"/>
    </xf>
    <xf numFmtId="167" fontId="1" fillId="0" borderId="0" xfId="2" applyFont="1" applyBorder="1"/>
    <xf numFmtId="176" fontId="1" fillId="15" borderId="13" xfId="0" applyFont="1" applyFill="1" applyBorder="1">
      <alignment vertical="top"/>
    </xf>
    <xf numFmtId="176" fontId="1" fillId="0" borderId="13" xfId="0" applyFont="1" applyBorder="1">
      <alignment vertical="top"/>
    </xf>
    <xf numFmtId="176" fontId="1" fillId="0" borderId="17" xfId="0" applyFont="1" applyBorder="1">
      <alignment vertical="top"/>
    </xf>
    <xf numFmtId="176" fontId="1" fillId="0" borderId="18" xfId="0" applyFont="1" applyBorder="1">
      <alignment vertical="top"/>
    </xf>
    <xf numFmtId="177" fontId="1" fillId="0" borderId="14" xfId="44" applyFont="1" applyBorder="1">
      <alignment vertical="top"/>
    </xf>
    <xf numFmtId="177" fontId="1" fillId="0" borderId="12" xfId="44" applyFont="1" applyBorder="1">
      <alignment vertical="top"/>
    </xf>
    <xf numFmtId="177" fontId="1" fillId="0" borderId="15" xfId="44" applyFont="1" applyBorder="1">
      <alignment vertical="top"/>
    </xf>
    <xf numFmtId="177" fontId="1" fillId="0" borderId="0" xfId="44" applyFont="1" applyBorder="1">
      <alignment vertical="top"/>
    </xf>
    <xf numFmtId="177" fontId="1" fillId="0" borderId="13" xfId="44" applyFont="1" applyFill="1" applyBorder="1">
      <alignment vertical="top"/>
    </xf>
    <xf numFmtId="177" fontId="1" fillId="0" borderId="16" xfId="44" applyFont="1" applyBorder="1">
      <alignment vertical="top"/>
    </xf>
    <xf numFmtId="177" fontId="1" fillId="0" borderId="13" xfId="44" applyFont="1" applyBorder="1">
      <alignment vertical="top"/>
    </xf>
    <xf numFmtId="177" fontId="1" fillId="0" borderId="17" xfId="44" applyFont="1" applyBorder="1">
      <alignment vertical="top"/>
    </xf>
    <xf numFmtId="177" fontId="1" fillId="0" borderId="5" xfId="44" applyFont="1" applyBorder="1">
      <alignment vertical="top"/>
    </xf>
    <xf numFmtId="177" fontId="1" fillId="0" borderId="18" xfId="44" applyFont="1" applyBorder="1">
      <alignment vertical="top"/>
    </xf>
    <xf numFmtId="176" fontId="1" fillId="0" borderId="12" xfId="0" applyFont="1" applyBorder="1">
      <alignment vertical="top"/>
    </xf>
    <xf numFmtId="176" fontId="1" fillId="0" borderId="16" xfId="0" applyFont="1" applyFill="1" applyBorder="1">
      <alignment vertical="top"/>
    </xf>
    <xf numFmtId="176" fontId="1" fillId="0" borderId="13" xfId="0" applyFont="1" applyFill="1" applyBorder="1">
      <alignment vertical="top"/>
    </xf>
    <xf numFmtId="177" fontId="1" fillId="0" borderId="16" xfId="44" applyFont="1" applyFill="1" applyBorder="1">
      <alignment vertical="top"/>
    </xf>
    <xf numFmtId="176" fontId="1" fillId="0" borderId="15" xfId="0" applyFont="1" applyFill="1" applyBorder="1">
      <alignment vertical="top"/>
    </xf>
  </cellXfs>
  <cellStyles count="50">
    <cellStyle name="Accent1" xfId="45" builtinId="29" customBuiltin="1"/>
    <cellStyle name="Across" xfId="14" xr:uid="{00000000-0005-0000-0000-000000000000}"/>
    <cellStyle name="Bottom" xfId="15" xr:uid="{00000000-0005-0000-0000-000001000000}"/>
    <cellStyle name="Center" xfId="16" xr:uid="{00000000-0005-0000-0000-000002000000}"/>
    <cellStyle name="Comma 2" xfId="17" xr:uid="{00000000-0005-0000-0000-000003000000}"/>
    <cellStyle name="Currency [2]" xfId="18" xr:uid="{00000000-0005-0000-0000-000004000000}"/>
    <cellStyle name="DateLong" xfId="47" xr:uid="{3A37342A-2B8E-4590-A232-7E7B0AD29571}"/>
    <cellStyle name="DateShort" xfId="48" xr:uid="{1BA93A1F-A699-47A1-84D6-9D4082DECD87}"/>
    <cellStyle name="Double" xfId="19" xr:uid="{00000000-0005-0000-0000-000005000000}"/>
    <cellStyle name="F Check NonZero" xfId="20" xr:uid="{00000000-0005-0000-0000-000006000000}"/>
    <cellStyle name="F Date(U)" xfId="13" xr:uid="{00000000-0005-0000-0000-000007000000}"/>
    <cellStyle name="F Grey-Grey" xfId="21" xr:uid="{00000000-0005-0000-0000-000008000000}"/>
    <cellStyle name="F Header" xfId="4" xr:uid="{00000000-0005-0000-0000-000009000000}"/>
    <cellStyle name="F Integrity" xfId="22" xr:uid="{00000000-0005-0000-0000-00000A000000}"/>
    <cellStyle name="F range" xfId="23" xr:uid="{00000000-0005-0000-0000-00000B000000}"/>
    <cellStyle name="F Section Header" xfId="3" xr:uid="{00000000-0005-0000-0000-00000C000000}"/>
    <cellStyle name="F TopHeader" xfId="1" xr:uid="{00000000-0005-0000-0000-00000D000000}"/>
    <cellStyle name="F Units" xfId="6" xr:uid="{00000000-0005-0000-0000-00000E000000}"/>
    <cellStyle name="F Wkg text" xfId="24" xr:uid="{00000000-0005-0000-0000-00000F000000}"/>
    <cellStyle name="F-A 0dp" xfId="7" xr:uid="{00000000-0005-0000-0000-000010000000}"/>
    <cellStyle name="F-A 2dp" xfId="8" xr:uid="{00000000-0005-0000-0000-000011000000}"/>
    <cellStyle name="F-A Date" xfId="11" xr:uid="{00000000-0005-0000-0000-000012000000}"/>
    <cellStyle name="F-A Fixed 0dp" xfId="12" xr:uid="{00000000-0005-0000-0000-000013000000}"/>
    <cellStyle name="F-A LinkInput" xfId="25" xr:uid="{00000000-0005-0000-0000-000014000000}"/>
    <cellStyle name="F-A OnOff" xfId="26" xr:uid="{00000000-0005-0000-0000-000015000000}"/>
    <cellStyle name="F-A Pct2dp" xfId="9" xr:uid="{00000000-0005-0000-0000-000016000000}"/>
    <cellStyle name="F-A YesNo" xfId="27" xr:uid="{00000000-0005-0000-0000-000017000000}"/>
    <cellStyle name="Factor" xfId="46" xr:uid="{07CDA6B9-DE8C-4F8D-A520-DEBEDF8FD248}"/>
    <cellStyle name="F-C 0dp Num" xfId="2" xr:uid="{00000000-0005-0000-0000-000018000000}"/>
    <cellStyle name="F-C 2dp Num" xfId="28" xr:uid="{00000000-0005-0000-0000-000019000000}"/>
    <cellStyle name="F-C Bld 0dp" xfId="5" xr:uid="{00000000-0005-0000-0000-00001A000000}"/>
    <cellStyle name="F-C Date" xfId="10" xr:uid="{00000000-0005-0000-0000-00001B000000}"/>
    <cellStyle name="F-C NoYes" xfId="29" xr:uid="{00000000-0005-0000-0000-00001C000000}"/>
    <cellStyle name="F-C OnOff" xfId="30" xr:uid="{00000000-0005-0000-0000-00001D000000}"/>
    <cellStyle name="F-C Pct 2DP" xfId="31" xr:uid="{00000000-0005-0000-0000-00001E000000}"/>
    <cellStyle name="Fixed input" xfId="32" xr:uid="{00000000-0005-0000-0000-00001F000000}"/>
    <cellStyle name="F-RowSum 0dp" xfId="33" xr:uid="{00000000-0005-0000-0000-000020000000}"/>
    <cellStyle name="Heading 1 2" xfId="34" xr:uid="{00000000-0005-0000-0000-000021000000}"/>
    <cellStyle name="Input 2" xfId="35" xr:uid="{00000000-0005-0000-0000-000022000000}"/>
    <cellStyle name="Normal" xfId="0" builtinId="0" customBuiltin="1"/>
    <cellStyle name="Normal 2" xfId="36" xr:uid="{00000000-0005-0000-0000-000024000000}"/>
    <cellStyle name="Normal 2 2" xfId="37" xr:uid="{00000000-0005-0000-0000-000025000000}"/>
    <cellStyle name="Normal 3" xfId="38" xr:uid="{00000000-0005-0000-0000-000026000000}"/>
    <cellStyle name="Normal 4" xfId="39" xr:uid="{00000000-0005-0000-0000-000027000000}"/>
    <cellStyle name="Numbers" xfId="40" xr:uid="{00000000-0005-0000-0000-000028000000}"/>
    <cellStyle name="Numbers - Bold - Italic" xfId="41" xr:uid="{00000000-0005-0000-0000-000029000000}"/>
    <cellStyle name="Outline" xfId="42" xr:uid="{00000000-0005-0000-0000-00002A000000}"/>
    <cellStyle name="Percent" xfId="44" builtinId="5" customBuiltin="1"/>
    <cellStyle name="Percent 2" xfId="43" xr:uid="{00000000-0005-0000-0000-00002B000000}"/>
    <cellStyle name="Year" xfId="49" xr:uid="{EF422CC6-EDB9-433A-BB7A-A0C7D929427B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6" fmlaLink="sculpting_selector" fmlaRange="sculpting_scenarios" noThreeD="1" sel="1" val="0"/>
</file>

<file path=xl/ctrlProps/ctrlProp2.xml><?xml version="1.0" encoding="utf-8"?>
<formControlPr xmlns="http://schemas.microsoft.com/office/spreadsheetml/2009/9/main" objectType="Drop" dropStyle="combo" dx="26" fmlaLink="EBIDTA_selector" fmlaRange="EBIDTA_scenarios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3108960</xdr:colOff>
          <xdr:row>7</xdr:row>
          <xdr:rowOff>0</xdr:rowOff>
        </xdr:from>
        <xdr:to>
          <xdr:col>6</xdr:col>
          <xdr:colOff>171450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3093720</xdr:colOff>
          <xdr:row>13</xdr:row>
          <xdr:rowOff>152400</xdr:rowOff>
        </xdr:from>
        <xdr:to>
          <xdr:col>6</xdr:col>
          <xdr:colOff>209550</xdr:colOff>
          <xdr:row>15</xdr:row>
          <xdr:rowOff>19050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86BE5B-EBA8-4474-8962-605BAB9F6A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59e1c27-ed22-45e8-a876-9ed857b1926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E538-666F-42BB-B735-804999C44C62}">
  <sheetPr>
    <pageSetUpPr autoPageBreaks="0"/>
  </sheetPr>
  <dimension ref="A1:AW126"/>
  <sheetViews>
    <sheetView showGridLines="0" tabSelected="1" zoomScale="85" zoomScaleNormal="85" workbookViewId="0">
      <pane xSplit="9" ySplit="17" topLeftCell="J18" activePane="bottomRight" state="frozen"/>
      <selection pane="topRight" activeCell="J1" sqref="J1"/>
      <selection pane="bottomLeft" activeCell="A18" sqref="A18"/>
      <selection pane="bottomRight" activeCell="E23" sqref="E23:E24"/>
    </sheetView>
  </sheetViews>
  <sheetFormatPr defaultRowHeight="13.8"/>
  <cols>
    <col min="1" max="1" width="1.6640625" style="89" customWidth="1"/>
    <col min="2" max="4" width="1.6640625" style="90" customWidth="1"/>
    <col min="5" max="5" width="45.77734375" style="91" customWidth="1"/>
    <col min="6" max="6" width="12.6640625" style="90" customWidth="1"/>
    <col min="7" max="7" width="12.6640625" style="91" customWidth="1"/>
    <col min="8" max="8" width="12.6640625" style="90" customWidth="1"/>
    <col min="9" max="9" width="2.77734375" style="90" customWidth="1"/>
    <col min="10" max="49" width="12.77734375" style="90" customWidth="1"/>
    <col min="50" max="16384" width="8.88671875" style="90"/>
  </cols>
  <sheetData>
    <row r="1" spans="1:49" s="65" customFormat="1">
      <c r="A1" s="65" t="str" cm="1">
        <f t="array" ref="A1">company</f>
        <v>Blackrat SPV Pty Ltd</v>
      </c>
      <c r="E1" s="72"/>
      <c r="G1" s="72"/>
    </row>
    <row r="2" spans="1:49" s="65" customFormat="1">
      <c r="A2" s="65" t="str" cm="1">
        <f t="array" ref="A2">topic</f>
        <v>CFM Topic: Debt</v>
      </c>
      <c r="E2" s="72"/>
      <c r="G2" s="72"/>
      <c r="J2" s="67" cm="1">
        <f t="array" ref="J2:AW2" xml:space="preserve"> EDATE( start_date + 1, _xlfn.SEQUENCE(1, periods, 0, 3 ) )</f>
        <v>43466</v>
      </c>
      <c r="K2" s="67">
        <v>43556</v>
      </c>
      <c r="L2" s="67">
        <v>43647</v>
      </c>
      <c r="M2" s="67">
        <v>43739</v>
      </c>
      <c r="N2" s="67">
        <v>43831</v>
      </c>
      <c r="O2" s="67">
        <v>43922</v>
      </c>
      <c r="P2" s="67">
        <v>44013</v>
      </c>
      <c r="Q2" s="67">
        <v>44105</v>
      </c>
      <c r="R2" s="67">
        <v>44197</v>
      </c>
      <c r="S2" s="67">
        <v>44287</v>
      </c>
      <c r="T2" s="67">
        <v>44378</v>
      </c>
      <c r="U2" s="67">
        <v>44470</v>
      </c>
      <c r="V2" s="67">
        <v>44562</v>
      </c>
      <c r="W2" s="67">
        <v>44652</v>
      </c>
      <c r="X2" s="67">
        <v>44743</v>
      </c>
      <c r="Y2" s="67">
        <v>44835</v>
      </c>
      <c r="Z2" s="67">
        <v>44927</v>
      </c>
      <c r="AA2" s="67">
        <v>45017</v>
      </c>
      <c r="AB2" s="67">
        <v>45108</v>
      </c>
      <c r="AC2" s="67">
        <v>45200</v>
      </c>
      <c r="AD2" s="67">
        <v>45292</v>
      </c>
      <c r="AE2" s="67">
        <v>45383</v>
      </c>
      <c r="AF2" s="67">
        <v>45474</v>
      </c>
      <c r="AG2" s="67">
        <v>45566</v>
      </c>
      <c r="AH2" s="67">
        <v>45658</v>
      </c>
      <c r="AI2" s="67">
        <v>45748</v>
      </c>
      <c r="AJ2" s="67">
        <v>45839</v>
      </c>
      <c r="AK2" s="67">
        <v>45931</v>
      </c>
      <c r="AL2" s="67">
        <v>46023</v>
      </c>
      <c r="AM2" s="67">
        <v>46113</v>
      </c>
      <c r="AN2" s="67">
        <v>46204</v>
      </c>
      <c r="AO2" s="67">
        <v>46296</v>
      </c>
      <c r="AP2" s="67">
        <v>46388</v>
      </c>
      <c r="AQ2" s="67">
        <v>46478</v>
      </c>
      <c r="AR2" s="67">
        <v>46569</v>
      </c>
      <c r="AS2" s="67">
        <v>46661</v>
      </c>
      <c r="AT2" s="67">
        <v>46753</v>
      </c>
      <c r="AU2" s="67">
        <v>46844</v>
      </c>
      <c r="AV2" s="67">
        <v>46935</v>
      </c>
      <c r="AW2" s="67">
        <v>47027</v>
      </c>
    </row>
    <row r="3" spans="1:49" s="65" customFormat="1">
      <c r="A3" s="65" t="s">
        <v>109</v>
      </c>
      <c r="E3" s="72"/>
      <c r="F3" s="65" t="s">
        <v>104</v>
      </c>
      <c r="G3" s="72" t="s">
        <v>105</v>
      </c>
      <c r="H3" s="65" t="s">
        <v>106</v>
      </c>
      <c r="J3" s="67" cm="1">
        <f t="array" ref="J3:AW3" xml:space="preserve"> EOMONTH( start_date, _xlfn.SEQUENCE( 1, periods, 3, 3 ) )</f>
        <v>43555</v>
      </c>
      <c r="K3" s="67">
        <v>43646</v>
      </c>
      <c r="L3" s="67">
        <v>43738</v>
      </c>
      <c r="M3" s="67">
        <v>43830</v>
      </c>
      <c r="N3" s="67">
        <v>43921</v>
      </c>
      <c r="O3" s="67">
        <v>44012</v>
      </c>
      <c r="P3" s="67">
        <v>44104</v>
      </c>
      <c r="Q3" s="67">
        <v>44196</v>
      </c>
      <c r="R3" s="67">
        <v>44286</v>
      </c>
      <c r="S3" s="67">
        <v>44377</v>
      </c>
      <c r="T3" s="67">
        <v>44469</v>
      </c>
      <c r="U3" s="67">
        <v>44561</v>
      </c>
      <c r="V3" s="67">
        <v>44651</v>
      </c>
      <c r="W3" s="67">
        <v>44742</v>
      </c>
      <c r="X3" s="67">
        <v>44834</v>
      </c>
      <c r="Y3" s="67">
        <v>44926</v>
      </c>
      <c r="Z3" s="67">
        <v>45016</v>
      </c>
      <c r="AA3" s="67">
        <v>45107</v>
      </c>
      <c r="AB3" s="67">
        <v>45199</v>
      </c>
      <c r="AC3" s="67">
        <v>45291</v>
      </c>
      <c r="AD3" s="67">
        <v>45382</v>
      </c>
      <c r="AE3" s="67">
        <v>45473</v>
      </c>
      <c r="AF3" s="67">
        <v>45565</v>
      </c>
      <c r="AG3" s="67">
        <v>45657</v>
      </c>
      <c r="AH3" s="67">
        <v>45747</v>
      </c>
      <c r="AI3" s="67">
        <v>45838</v>
      </c>
      <c r="AJ3" s="67">
        <v>45930</v>
      </c>
      <c r="AK3" s="67">
        <v>46022</v>
      </c>
      <c r="AL3" s="67">
        <v>46112</v>
      </c>
      <c r="AM3" s="67">
        <v>46203</v>
      </c>
      <c r="AN3" s="67">
        <v>46295</v>
      </c>
      <c r="AO3" s="67">
        <v>46387</v>
      </c>
      <c r="AP3" s="67">
        <v>46477</v>
      </c>
      <c r="AQ3" s="67">
        <v>46568</v>
      </c>
      <c r="AR3" s="67">
        <v>46660</v>
      </c>
      <c r="AS3" s="67">
        <v>46752</v>
      </c>
      <c r="AT3" s="67">
        <v>46843</v>
      </c>
      <c r="AU3" s="67">
        <v>46934</v>
      </c>
      <c r="AV3" s="67">
        <v>47026</v>
      </c>
      <c r="AW3" s="67">
        <v>47118</v>
      </c>
    </row>
    <row r="4" spans="1:49" s="73" customFormat="1">
      <c r="E4" s="74"/>
      <c r="G4" s="74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</row>
    <row r="5" spans="1:49" s="84" customFormat="1">
      <c r="A5" s="83" t="s">
        <v>61</v>
      </c>
      <c r="E5" s="85"/>
      <c r="G5" s="85"/>
    </row>
    <row r="6" spans="1:49" s="87" customFormat="1">
      <c r="A6" s="86"/>
      <c r="E6" s="88"/>
      <c r="G6" s="88"/>
    </row>
    <row r="7" spans="1:49">
      <c r="L7" s="92"/>
      <c r="M7" s="92"/>
      <c r="N7" s="92"/>
    </row>
    <row r="8" spans="1:49">
      <c r="E8" s="93" t="s">
        <v>121</v>
      </c>
      <c r="F8" s="83">
        <v>1</v>
      </c>
    </row>
    <row r="10" spans="1:49">
      <c r="E10" s="91" t="s">
        <v>8</v>
      </c>
      <c r="F10" s="96" t="str">
        <f xml:space="preserve"> INDEX( Case1Data!$G$17:$I$19, MATCH( Debt!$E10, Case1Data!$D$17:$D$19, 0 ), MATCH( sculpting_selector, Case1Data!$G$16:$I$16, 0 ) )</f>
        <v>Passive</v>
      </c>
    </row>
    <row r="11" spans="1:49">
      <c r="E11" s="97" t="s">
        <v>13</v>
      </c>
      <c r="F11" s="98">
        <f xml:space="preserve"> INDEX( Case1Data!$G$17:$I$19, MATCH( Debt!$E11, Case1Data!$D$17:$D$19, 0 ), MATCH( sculpting_selector, Case1Data!$G$16:$I$16, 0 ) )</f>
        <v>2</v>
      </c>
    </row>
    <row r="12" spans="1:49">
      <c r="E12" s="97" t="s">
        <v>15</v>
      </c>
      <c r="F12" s="99">
        <f xml:space="preserve"> INDEX( Case1Data!$G$17:$I$19, MATCH( Debt!$E12, Case1Data!$D$17:$D$19, 0 ), MATCH( sculpting_selector, Case1Data!$G$16:$I$16, 0 ) )</f>
        <v>4.4999999999999998E-2</v>
      </c>
    </row>
    <row r="15" spans="1:49">
      <c r="E15" s="93" t="s">
        <v>126</v>
      </c>
      <c r="F15" s="83">
        <v>1</v>
      </c>
    </row>
    <row r="16" spans="1:49">
      <c r="E16" s="93"/>
      <c r="F16" s="86"/>
    </row>
    <row r="17" spans="1:49">
      <c r="F17" s="86"/>
      <c r="G17" s="90"/>
    </row>
    <row r="19" spans="1:49" s="84" customFormat="1">
      <c r="A19" s="83" t="s">
        <v>110</v>
      </c>
      <c r="E19" s="85"/>
      <c r="G19" s="85"/>
    </row>
    <row r="20" spans="1:49">
      <c r="A20" s="90"/>
    </row>
    <row r="21" spans="1:49">
      <c r="E21" s="100"/>
      <c r="F21" s="101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</row>
    <row r="22" spans="1:49">
      <c r="E22" s="102" t="s">
        <v>116</v>
      </c>
      <c r="F22" s="103"/>
      <c r="G22" s="102" t="s">
        <v>122</v>
      </c>
      <c r="H22" s="103"/>
      <c r="I22" s="103"/>
      <c r="J22" s="103">
        <f>I24</f>
        <v>10000000</v>
      </c>
      <c r="K22" s="103">
        <f t="shared" ref="K22:AW22" si="0">J24</f>
        <v>9771868.5</v>
      </c>
      <c r="L22" s="103">
        <f t="shared" si="0"/>
        <v>9544849.5206250008</v>
      </c>
      <c r="M22" s="103">
        <f t="shared" si="0"/>
        <v>9318438.0777320322</v>
      </c>
      <c r="N22" s="103">
        <f t="shared" si="0"/>
        <v>9090564.0061065182</v>
      </c>
      <c r="O22" s="103">
        <f t="shared" si="0"/>
        <v>8859628.851175217</v>
      </c>
      <c r="P22" s="103">
        <f t="shared" si="0"/>
        <v>8633291.6757509373</v>
      </c>
      <c r="Q22" s="103">
        <f t="shared" si="0"/>
        <v>8404698.7071031351</v>
      </c>
      <c r="R22" s="103">
        <f t="shared" si="0"/>
        <v>8175785.0675580455</v>
      </c>
      <c r="S22" s="103">
        <f t="shared" si="0"/>
        <v>7928376.1495680735</v>
      </c>
      <c r="T22" s="103">
        <f t="shared" si="0"/>
        <v>7695487.881250714</v>
      </c>
      <c r="U22" s="103">
        <f t="shared" si="0"/>
        <v>7454754.1199147841</v>
      </c>
      <c r="V22" s="103">
        <f t="shared" si="0"/>
        <v>7215700.6037638253</v>
      </c>
      <c r="W22" s="103">
        <f t="shared" si="0"/>
        <v>6974793.7355561685</v>
      </c>
      <c r="X22" s="103">
        <f t="shared" si="0"/>
        <v>6716435.165081175</v>
      </c>
      <c r="Y22" s="103">
        <f t="shared" si="0"/>
        <v>6453758.0606883382</v>
      </c>
      <c r="Z22" s="103">
        <f t="shared" si="0"/>
        <v>6182788.3388710823</v>
      </c>
      <c r="AA22" s="103">
        <f t="shared" si="0"/>
        <v>5921263.7076833816</v>
      </c>
      <c r="AB22" s="103">
        <f t="shared" si="0"/>
        <v>5648343.9243948199</v>
      </c>
      <c r="AC22" s="103">
        <f t="shared" si="0"/>
        <v>5367296.7935442617</v>
      </c>
      <c r="AD22" s="103">
        <f t="shared" si="0"/>
        <v>5077104.382471635</v>
      </c>
      <c r="AE22" s="103">
        <f t="shared" si="0"/>
        <v>4773666.3067744412</v>
      </c>
      <c r="AF22" s="103">
        <f t="shared" si="0"/>
        <v>4479769.5527256541</v>
      </c>
      <c r="AG22" s="103">
        <f t="shared" si="0"/>
        <v>4172657.9601938175</v>
      </c>
      <c r="AH22" s="103">
        <f t="shared" si="0"/>
        <v>3869480.3622459979</v>
      </c>
      <c r="AI22" s="103">
        <f t="shared" si="0"/>
        <v>3562343.5163212651</v>
      </c>
      <c r="AJ22" s="103">
        <f t="shared" si="0"/>
        <v>3248310.3808798795</v>
      </c>
      <c r="AK22" s="103">
        <f t="shared" si="0"/>
        <v>2914645.872664778</v>
      </c>
      <c r="AL22" s="103">
        <f t="shared" si="0"/>
        <v>2593276.6387322568</v>
      </c>
      <c r="AM22" s="103">
        <f t="shared" si="0"/>
        <v>2273141.5009179949</v>
      </c>
      <c r="AN22" s="103">
        <f t="shared" si="0"/>
        <v>1940458.8428033222</v>
      </c>
      <c r="AO22" s="103">
        <f t="shared" si="0"/>
        <v>1583523.5047848597</v>
      </c>
      <c r="AP22" s="103">
        <f t="shared" si="0"/>
        <v>1225226.6442136895</v>
      </c>
      <c r="AQ22" s="103">
        <f t="shared" si="0"/>
        <v>867791.44396109344</v>
      </c>
      <c r="AR22" s="103">
        <f t="shared" si="0"/>
        <v>510990.09770565573</v>
      </c>
      <c r="AS22" s="103">
        <f t="shared" si="0"/>
        <v>138129.23630484438</v>
      </c>
      <c r="AT22" s="103">
        <f t="shared" si="0"/>
        <v>0</v>
      </c>
      <c r="AU22" s="103">
        <f t="shared" si="0"/>
        <v>0</v>
      </c>
      <c r="AV22" s="103">
        <f t="shared" si="0"/>
        <v>0</v>
      </c>
      <c r="AW22" s="103">
        <f t="shared" si="0"/>
        <v>0</v>
      </c>
    </row>
    <row r="23" spans="1:49">
      <c r="E23" s="100" t="s">
        <v>117</v>
      </c>
      <c r="F23" s="101"/>
      <c r="G23" s="100" t="s">
        <v>122</v>
      </c>
      <c r="H23" s="101"/>
      <c r="I23" s="101"/>
      <c r="J23" s="101">
        <f t="shared" ref="J23:AW23" si="1" xml:space="preserve"> - MIN( J$22, J$44 )</f>
        <v>-228131.5</v>
      </c>
      <c r="K23" s="101">
        <f t="shared" si="1"/>
        <v>-227018.979375</v>
      </c>
      <c r="L23" s="101">
        <f t="shared" si="1"/>
        <v>-226411.44289296874</v>
      </c>
      <c r="M23" s="101">
        <f t="shared" si="1"/>
        <v>-227874.07162551465</v>
      </c>
      <c r="N23" s="101">
        <f t="shared" si="1"/>
        <v>-230935.15493130166</v>
      </c>
      <c r="O23" s="101">
        <f t="shared" si="1"/>
        <v>-226337.17542427883</v>
      </c>
      <c r="P23" s="101">
        <f t="shared" si="1"/>
        <v>-228592.96864780196</v>
      </c>
      <c r="Q23" s="101">
        <f t="shared" si="1"/>
        <v>-228913.63954508974</v>
      </c>
      <c r="R23" s="101">
        <f t="shared" si="1"/>
        <v>-247408.91798997199</v>
      </c>
      <c r="S23" s="101">
        <f t="shared" si="1"/>
        <v>-232888.26831735918</v>
      </c>
      <c r="T23" s="101">
        <f t="shared" si="1"/>
        <v>-240733.76133592948</v>
      </c>
      <c r="U23" s="101">
        <f t="shared" si="1"/>
        <v>-239053.51615095866</v>
      </c>
      <c r="V23" s="101">
        <f t="shared" si="1"/>
        <v>-240906.86820765695</v>
      </c>
      <c r="W23" s="101">
        <f t="shared" si="1"/>
        <v>-258358.57047499309</v>
      </c>
      <c r="X23" s="101">
        <f t="shared" si="1"/>
        <v>-262677.1043928368</v>
      </c>
      <c r="Y23" s="101">
        <f t="shared" si="1"/>
        <v>-270969.72181725618</v>
      </c>
      <c r="Z23" s="101">
        <f t="shared" si="1"/>
        <v>-261524.63118770032</v>
      </c>
      <c r="AA23" s="101">
        <f t="shared" si="1"/>
        <v>-272919.78328856197</v>
      </c>
      <c r="AB23" s="101">
        <f t="shared" si="1"/>
        <v>-281047.13085055829</v>
      </c>
      <c r="AC23" s="101">
        <f t="shared" si="1"/>
        <v>-290192.41107262706</v>
      </c>
      <c r="AD23" s="101">
        <f t="shared" si="1"/>
        <v>-303438.07569719409</v>
      </c>
      <c r="AE23" s="101">
        <f t="shared" si="1"/>
        <v>-293896.75404878752</v>
      </c>
      <c r="AF23" s="101">
        <f t="shared" si="1"/>
        <v>-307111.59253183642</v>
      </c>
      <c r="AG23" s="101">
        <f t="shared" si="1"/>
        <v>-303177.59794781957</v>
      </c>
      <c r="AH23" s="101">
        <f t="shared" si="1"/>
        <v>-307136.84592473251</v>
      </c>
      <c r="AI23" s="101">
        <f t="shared" si="1"/>
        <v>-314033.13544138579</v>
      </c>
      <c r="AJ23" s="101">
        <f t="shared" si="1"/>
        <v>-333664.50821510138</v>
      </c>
      <c r="AK23" s="101">
        <f t="shared" si="1"/>
        <v>-321369.23393252125</v>
      </c>
      <c r="AL23" s="101">
        <f t="shared" si="1"/>
        <v>-320135.13781426213</v>
      </c>
      <c r="AM23" s="101">
        <f t="shared" si="1"/>
        <v>-332682.65811467258</v>
      </c>
      <c r="AN23" s="101">
        <f t="shared" si="1"/>
        <v>-356935.33801846264</v>
      </c>
      <c r="AO23" s="101">
        <f t="shared" si="1"/>
        <v>-358296.86057117034</v>
      </c>
      <c r="AP23" s="101">
        <f t="shared" si="1"/>
        <v>-357435.200252596</v>
      </c>
      <c r="AQ23" s="101">
        <f t="shared" si="1"/>
        <v>-356801.3462554377</v>
      </c>
      <c r="AR23" s="101">
        <f t="shared" si="1"/>
        <v>-372860.86140081135</v>
      </c>
      <c r="AS23" s="101">
        <f t="shared" si="1"/>
        <v>-138129.23630484438</v>
      </c>
      <c r="AT23" s="101">
        <f t="shared" si="1"/>
        <v>0</v>
      </c>
      <c r="AU23" s="101">
        <f t="shared" si="1"/>
        <v>0</v>
      </c>
      <c r="AV23" s="101">
        <f t="shared" si="1"/>
        <v>0</v>
      </c>
      <c r="AW23" s="101">
        <f t="shared" si="1"/>
        <v>0</v>
      </c>
    </row>
    <row r="24" spans="1:49">
      <c r="E24" s="104" t="s">
        <v>110</v>
      </c>
      <c r="F24" s="105"/>
      <c r="G24" s="104" t="s">
        <v>122</v>
      </c>
      <c r="H24" s="105"/>
      <c r="I24" s="106">
        <f>Case1Data!H$13</f>
        <v>10000000</v>
      </c>
      <c r="J24" s="105">
        <f xml:space="preserve"> SUM( J22:J23 )</f>
        <v>9771868.5</v>
      </c>
      <c r="K24" s="105">
        <f t="shared" ref="K24:AW24" si="2" xml:space="preserve"> SUM( K22:K23 )</f>
        <v>9544849.5206250008</v>
      </c>
      <c r="L24" s="105">
        <f t="shared" si="2"/>
        <v>9318438.0777320322</v>
      </c>
      <c r="M24" s="105">
        <f t="shared" si="2"/>
        <v>9090564.0061065182</v>
      </c>
      <c r="N24" s="105">
        <f t="shared" si="2"/>
        <v>8859628.851175217</v>
      </c>
      <c r="O24" s="105">
        <f t="shared" si="2"/>
        <v>8633291.6757509373</v>
      </c>
      <c r="P24" s="105">
        <f t="shared" si="2"/>
        <v>8404698.7071031351</v>
      </c>
      <c r="Q24" s="105">
        <f t="shared" si="2"/>
        <v>8175785.0675580455</v>
      </c>
      <c r="R24" s="105">
        <f t="shared" si="2"/>
        <v>7928376.1495680735</v>
      </c>
      <c r="S24" s="105">
        <f t="shared" si="2"/>
        <v>7695487.881250714</v>
      </c>
      <c r="T24" s="105">
        <f t="shared" si="2"/>
        <v>7454754.1199147841</v>
      </c>
      <c r="U24" s="105">
        <f t="shared" si="2"/>
        <v>7215700.6037638253</v>
      </c>
      <c r="V24" s="105">
        <f t="shared" si="2"/>
        <v>6974793.7355561685</v>
      </c>
      <c r="W24" s="105">
        <f t="shared" si="2"/>
        <v>6716435.165081175</v>
      </c>
      <c r="X24" s="105">
        <f t="shared" si="2"/>
        <v>6453758.0606883382</v>
      </c>
      <c r="Y24" s="105">
        <f t="shared" si="2"/>
        <v>6182788.3388710823</v>
      </c>
      <c r="Z24" s="105">
        <f t="shared" si="2"/>
        <v>5921263.7076833816</v>
      </c>
      <c r="AA24" s="105">
        <f t="shared" si="2"/>
        <v>5648343.9243948199</v>
      </c>
      <c r="AB24" s="105">
        <f t="shared" si="2"/>
        <v>5367296.7935442617</v>
      </c>
      <c r="AC24" s="105">
        <f t="shared" si="2"/>
        <v>5077104.382471635</v>
      </c>
      <c r="AD24" s="105">
        <f t="shared" si="2"/>
        <v>4773666.3067744412</v>
      </c>
      <c r="AE24" s="105">
        <f t="shared" si="2"/>
        <v>4479769.5527256541</v>
      </c>
      <c r="AF24" s="105">
        <f t="shared" si="2"/>
        <v>4172657.9601938175</v>
      </c>
      <c r="AG24" s="105">
        <f t="shared" si="2"/>
        <v>3869480.3622459979</v>
      </c>
      <c r="AH24" s="105">
        <f t="shared" si="2"/>
        <v>3562343.5163212651</v>
      </c>
      <c r="AI24" s="105">
        <f t="shared" si="2"/>
        <v>3248310.3808798795</v>
      </c>
      <c r="AJ24" s="105">
        <f t="shared" si="2"/>
        <v>2914645.872664778</v>
      </c>
      <c r="AK24" s="105">
        <f t="shared" si="2"/>
        <v>2593276.6387322568</v>
      </c>
      <c r="AL24" s="105">
        <f t="shared" si="2"/>
        <v>2273141.5009179949</v>
      </c>
      <c r="AM24" s="105">
        <f t="shared" si="2"/>
        <v>1940458.8428033222</v>
      </c>
      <c r="AN24" s="105">
        <f t="shared" si="2"/>
        <v>1583523.5047848597</v>
      </c>
      <c r="AO24" s="105">
        <f t="shared" si="2"/>
        <v>1225226.6442136895</v>
      </c>
      <c r="AP24" s="105">
        <f t="shared" si="2"/>
        <v>867791.44396109344</v>
      </c>
      <c r="AQ24" s="105">
        <f t="shared" si="2"/>
        <v>510990.09770565573</v>
      </c>
      <c r="AR24" s="105">
        <f t="shared" si="2"/>
        <v>138129.23630484438</v>
      </c>
      <c r="AS24" s="105">
        <f t="shared" si="2"/>
        <v>0</v>
      </c>
      <c r="AT24" s="105">
        <f t="shared" si="2"/>
        <v>0</v>
      </c>
      <c r="AU24" s="105">
        <f t="shared" si="2"/>
        <v>0</v>
      </c>
      <c r="AV24" s="105">
        <f t="shared" si="2"/>
        <v>0</v>
      </c>
      <c r="AW24" s="105">
        <f t="shared" si="2"/>
        <v>0</v>
      </c>
    </row>
    <row r="25" spans="1:49">
      <c r="A25" s="90"/>
    </row>
    <row r="26" spans="1:49">
      <c r="A26" s="90"/>
    </row>
    <row r="27" spans="1:49">
      <c r="A27" s="90"/>
      <c r="C27" s="107" t="s">
        <v>128</v>
      </c>
    </row>
    <row r="28" spans="1:49">
      <c r="A28" s="90"/>
      <c r="E28" s="91" t="s">
        <v>143</v>
      </c>
      <c r="F28" s="99">
        <f xml:space="preserve"> $F$12</f>
        <v>4.4999999999999998E-2</v>
      </c>
      <c r="G28" s="91" t="s">
        <v>129</v>
      </c>
    </row>
    <row r="29" spans="1:49">
      <c r="A29" s="90"/>
      <c r="E29" s="93" t="s">
        <v>148</v>
      </c>
      <c r="F29" s="89"/>
      <c r="G29" s="93" t="s">
        <v>122</v>
      </c>
      <c r="H29" s="89"/>
      <c r="I29" s="89"/>
      <c r="J29" s="89">
        <f xml:space="preserve"> J22 * $F$28 / 4</f>
        <v>112500</v>
      </c>
      <c r="K29" s="89">
        <f t="shared" ref="K29:AW29" si="3" xml:space="preserve"> K22 * $F$28 / 4</f>
        <v>109933.52062499999</v>
      </c>
      <c r="L29" s="89">
        <f t="shared" si="3"/>
        <v>107379.55710703126</v>
      </c>
      <c r="M29" s="89">
        <f t="shared" si="3"/>
        <v>104832.42837448536</v>
      </c>
      <c r="N29" s="89">
        <f t="shared" si="3"/>
        <v>102268.84506869833</v>
      </c>
      <c r="O29" s="89">
        <f t="shared" si="3"/>
        <v>99670.824575721184</v>
      </c>
      <c r="P29" s="89">
        <f t="shared" si="3"/>
        <v>97124.531352198042</v>
      </c>
      <c r="Q29" s="89">
        <f t="shared" si="3"/>
        <v>94552.86045491026</v>
      </c>
      <c r="R29" s="89">
        <f t="shared" si="3"/>
        <v>91977.582010028011</v>
      </c>
      <c r="S29" s="89">
        <f t="shared" si="3"/>
        <v>89194.231682640821</v>
      </c>
      <c r="T29" s="89">
        <f t="shared" si="3"/>
        <v>86574.238664070523</v>
      </c>
      <c r="U29" s="89">
        <f t="shared" si="3"/>
        <v>83865.983849041324</v>
      </c>
      <c r="V29" s="89">
        <f t="shared" si="3"/>
        <v>81176.631792343032</v>
      </c>
      <c r="W29" s="89">
        <f t="shared" si="3"/>
        <v>78466.429525006897</v>
      </c>
      <c r="X29" s="89">
        <f t="shared" si="3"/>
        <v>75559.895607163213</v>
      </c>
      <c r="Y29" s="89">
        <f t="shared" si="3"/>
        <v>72604.778182743801</v>
      </c>
      <c r="Z29" s="89">
        <f t="shared" si="3"/>
        <v>69556.368812299668</v>
      </c>
      <c r="AA29" s="89">
        <f t="shared" si="3"/>
        <v>66614.216711438043</v>
      </c>
      <c r="AB29" s="89">
        <f t="shared" si="3"/>
        <v>63543.869149441722</v>
      </c>
      <c r="AC29" s="89">
        <f t="shared" si="3"/>
        <v>60382.088927372941</v>
      </c>
      <c r="AD29" s="89">
        <f t="shared" si="3"/>
        <v>57117.424302805892</v>
      </c>
      <c r="AE29" s="89">
        <f t="shared" si="3"/>
        <v>53703.745951212462</v>
      </c>
      <c r="AF29" s="89">
        <f t="shared" si="3"/>
        <v>50397.407468163605</v>
      </c>
      <c r="AG29" s="89">
        <f t="shared" si="3"/>
        <v>46942.402052180449</v>
      </c>
      <c r="AH29" s="89">
        <f t="shared" si="3"/>
        <v>43531.654075267477</v>
      </c>
      <c r="AI29" s="89">
        <f t="shared" si="3"/>
        <v>40076.36455861423</v>
      </c>
      <c r="AJ29" s="89">
        <f t="shared" si="3"/>
        <v>36543.491784898644</v>
      </c>
      <c r="AK29" s="89">
        <f t="shared" si="3"/>
        <v>32789.766067478755</v>
      </c>
      <c r="AL29" s="89">
        <f t="shared" si="3"/>
        <v>29174.362185737889</v>
      </c>
      <c r="AM29" s="89">
        <f t="shared" si="3"/>
        <v>25572.841885327442</v>
      </c>
      <c r="AN29" s="89">
        <f t="shared" si="3"/>
        <v>21830.161981537374</v>
      </c>
      <c r="AO29" s="89">
        <f t="shared" si="3"/>
        <v>17814.639428829672</v>
      </c>
      <c r="AP29" s="89">
        <f t="shared" si="3"/>
        <v>13783.799747404006</v>
      </c>
      <c r="AQ29" s="89">
        <f t="shared" si="3"/>
        <v>9762.6537445623017</v>
      </c>
      <c r="AR29" s="89">
        <f t="shared" si="3"/>
        <v>5748.6385991886264</v>
      </c>
      <c r="AS29" s="89">
        <f t="shared" si="3"/>
        <v>1553.9539084294993</v>
      </c>
      <c r="AT29" s="89">
        <f t="shared" si="3"/>
        <v>0</v>
      </c>
      <c r="AU29" s="89">
        <f t="shared" si="3"/>
        <v>0</v>
      </c>
      <c r="AV29" s="89">
        <f t="shared" si="3"/>
        <v>0</v>
      </c>
      <c r="AW29" s="89">
        <f t="shared" si="3"/>
        <v>0</v>
      </c>
    </row>
    <row r="30" spans="1:49">
      <c r="A30" s="90"/>
    </row>
    <row r="31" spans="1:49">
      <c r="A31" s="90"/>
    </row>
    <row r="32" spans="1:49" s="84" customFormat="1">
      <c r="A32" s="83" t="s">
        <v>133</v>
      </c>
      <c r="E32" s="85"/>
      <c r="G32" s="85"/>
    </row>
    <row r="33" spans="1:49" s="87" customFormat="1">
      <c r="A33" s="86"/>
      <c r="C33" s="108"/>
      <c r="E33" s="88"/>
      <c r="G33" s="88"/>
    </row>
    <row r="34" spans="1:49" s="87" customFormat="1">
      <c r="A34" s="86"/>
      <c r="C34" s="108"/>
      <c r="E34" s="88"/>
      <c r="G34" s="88"/>
    </row>
    <row r="35" spans="1:49" s="87" customFormat="1">
      <c r="A35" s="86"/>
      <c r="C35" s="108"/>
      <c r="E35" s="88" t="s">
        <v>56</v>
      </c>
      <c r="G35" s="88" t="s">
        <v>137</v>
      </c>
      <c r="J35" s="109" cm="1">
        <f t="array" ref="J35:AW35" xml:space="preserve"> _xlfn.SEQUENCE( 1, periods, Debt!$F$11, 0 )</f>
        <v>2</v>
      </c>
      <c r="K35" s="109">
        <v>2</v>
      </c>
      <c r="L35" s="109">
        <v>2</v>
      </c>
      <c r="M35" s="109">
        <v>2</v>
      </c>
      <c r="N35" s="109">
        <v>2</v>
      </c>
      <c r="O35" s="109">
        <v>2</v>
      </c>
      <c r="P35" s="109">
        <v>2</v>
      </c>
      <c r="Q35" s="109">
        <v>2</v>
      </c>
      <c r="R35" s="109">
        <v>2</v>
      </c>
      <c r="S35" s="109">
        <v>2</v>
      </c>
      <c r="T35" s="109">
        <v>2</v>
      </c>
      <c r="U35" s="109">
        <v>2</v>
      </c>
      <c r="V35" s="109">
        <v>2</v>
      </c>
      <c r="W35" s="109">
        <v>2</v>
      </c>
      <c r="X35" s="109">
        <v>2</v>
      </c>
      <c r="Y35" s="109">
        <v>2</v>
      </c>
      <c r="Z35" s="109">
        <v>2</v>
      </c>
      <c r="AA35" s="109">
        <v>2</v>
      </c>
      <c r="AB35" s="109">
        <v>2</v>
      </c>
      <c r="AC35" s="109">
        <v>2</v>
      </c>
      <c r="AD35" s="109">
        <v>2</v>
      </c>
      <c r="AE35" s="109">
        <v>2</v>
      </c>
      <c r="AF35" s="109">
        <v>2</v>
      </c>
      <c r="AG35" s="109">
        <v>2</v>
      </c>
      <c r="AH35" s="109">
        <v>2</v>
      </c>
      <c r="AI35" s="109">
        <v>2</v>
      </c>
      <c r="AJ35" s="109">
        <v>2</v>
      </c>
      <c r="AK35" s="109">
        <v>2</v>
      </c>
      <c r="AL35" s="109">
        <v>2</v>
      </c>
      <c r="AM35" s="109">
        <v>2</v>
      </c>
      <c r="AN35" s="109">
        <v>2</v>
      </c>
      <c r="AO35" s="109">
        <v>2</v>
      </c>
      <c r="AP35" s="109">
        <v>2</v>
      </c>
      <c r="AQ35" s="109">
        <v>2</v>
      </c>
      <c r="AR35" s="109">
        <v>2</v>
      </c>
      <c r="AS35" s="109">
        <v>2</v>
      </c>
      <c r="AT35" s="109">
        <v>2</v>
      </c>
      <c r="AU35" s="109">
        <v>2</v>
      </c>
      <c r="AV35" s="109">
        <v>2</v>
      </c>
      <c r="AW35" s="109">
        <v>2</v>
      </c>
    </row>
    <row r="37" spans="1:49">
      <c r="D37" s="110"/>
      <c r="E37" s="91" t="s">
        <v>127</v>
      </c>
      <c r="G37" s="91" t="s">
        <v>122</v>
      </c>
      <c r="J37" s="127" cm="1">
        <f t="array" ref="J37:AW37" xml:space="preserve"> INDEX( Case1Data!$G$52:$J$91, MATCH(_xlfn.ANCHORARRAY( Debt!J3), Case1Data!$E$52:$E$91, 0 ), MATCH( EBIDTA_selector, Case1Data!$G$49:$J$49, 0 ) )</f>
        <v>679388</v>
      </c>
      <c r="K37" s="127">
        <v>672030</v>
      </c>
      <c r="L37" s="127">
        <v>665707</v>
      </c>
      <c r="M37" s="127">
        <v>663538</v>
      </c>
      <c r="N37" s="127">
        <v>664533</v>
      </c>
      <c r="O37" s="127">
        <v>650141</v>
      </c>
      <c r="P37" s="127">
        <v>649560</v>
      </c>
      <c r="Q37" s="127">
        <v>645058</v>
      </c>
      <c r="R37" s="127">
        <v>676898</v>
      </c>
      <c r="S37" s="127">
        <v>642290</v>
      </c>
      <c r="T37" s="127">
        <v>652741</v>
      </c>
      <c r="U37" s="127">
        <v>643964</v>
      </c>
      <c r="V37" s="127">
        <v>642292</v>
      </c>
      <c r="W37" s="127">
        <v>671775</v>
      </c>
      <c r="X37" s="127">
        <v>674599</v>
      </c>
      <c r="Y37" s="127">
        <v>685274</v>
      </c>
      <c r="Z37" s="127">
        <v>660287</v>
      </c>
      <c r="AA37" s="127">
        <v>677193</v>
      </c>
      <c r="AB37" s="127">
        <v>687307</v>
      </c>
      <c r="AC37" s="127">
        <v>699274</v>
      </c>
      <c r="AD37" s="127">
        <v>719236</v>
      </c>
      <c r="AE37" s="127">
        <v>693326</v>
      </c>
      <c r="AF37" s="127">
        <v>713143</v>
      </c>
      <c r="AG37" s="127">
        <v>698365</v>
      </c>
      <c r="AH37" s="127">
        <v>699462</v>
      </c>
      <c r="AI37" s="127">
        <v>706344</v>
      </c>
      <c r="AJ37" s="127">
        <v>738541</v>
      </c>
      <c r="AK37" s="127">
        <v>706443</v>
      </c>
      <c r="AL37" s="127">
        <v>696744</v>
      </c>
      <c r="AM37" s="127">
        <v>714636</v>
      </c>
      <c r="AN37" s="127">
        <v>755656</v>
      </c>
      <c r="AO37" s="127">
        <v>750348</v>
      </c>
      <c r="AP37" s="127">
        <v>740563</v>
      </c>
      <c r="AQ37" s="127">
        <v>731253</v>
      </c>
      <c r="AR37" s="127">
        <v>755344</v>
      </c>
      <c r="AS37" s="127">
        <v>768793</v>
      </c>
      <c r="AT37" s="127">
        <v>764348</v>
      </c>
      <c r="AU37" s="127">
        <v>758728</v>
      </c>
      <c r="AV37" s="127">
        <v>771909</v>
      </c>
      <c r="AW37" s="127">
        <v>772307</v>
      </c>
    </row>
    <row r="38" spans="1:49">
      <c r="D38" s="111" t="s">
        <v>136</v>
      </c>
      <c r="E38" s="112" t="str">
        <f>E$57</f>
        <v>Debt Service Reserve Account ("DSRA") interest income</v>
      </c>
      <c r="F38" s="112"/>
      <c r="G38" s="112" t="str">
        <f>G$57</f>
        <v>USD</v>
      </c>
      <c r="H38" s="113"/>
      <c r="I38" s="113"/>
      <c r="J38" s="113">
        <f t="shared" ref="J38:AW38" si="4" xml:space="preserve"> J$57</f>
        <v>1875</v>
      </c>
      <c r="K38" s="113">
        <f t="shared" si="4"/>
        <v>1875</v>
      </c>
      <c r="L38" s="113">
        <f t="shared" si="4"/>
        <v>1875</v>
      </c>
      <c r="M38" s="113">
        <f t="shared" si="4"/>
        <v>1875</v>
      </c>
      <c r="N38" s="113">
        <f t="shared" si="4"/>
        <v>1875</v>
      </c>
      <c r="O38" s="113">
        <f t="shared" si="4"/>
        <v>1875</v>
      </c>
      <c r="P38" s="113">
        <f t="shared" si="4"/>
        <v>1875</v>
      </c>
      <c r="Q38" s="113">
        <f t="shared" si="4"/>
        <v>1875</v>
      </c>
      <c r="R38" s="113">
        <f t="shared" si="4"/>
        <v>1875</v>
      </c>
      <c r="S38" s="113">
        <f t="shared" si="4"/>
        <v>1875</v>
      </c>
      <c r="T38" s="113">
        <f t="shared" si="4"/>
        <v>1875</v>
      </c>
      <c r="U38" s="113">
        <f t="shared" si="4"/>
        <v>1875</v>
      </c>
      <c r="V38" s="113">
        <f t="shared" si="4"/>
        <v>1875</v>
      </c>
      <c r="W38" s="113">
        <f t="shared" si="4"/>
        <v>1875</v>
      </c>
      <c r="X38" s="113">
        <f t="shared" si="4"/>
        <v>1875</v>
      </c>
      <c r="Y38" s="113">
        <f t="shared" si="4"/>
        <v>1875</v>
      </c>
      <c r="Z38" s="113">
        <f t="shared" si="4"/>
        <v>1875</v>
      </c>
      <c r="AA38" s="113">
        <f t="shared" si="4"/>
        <v>1875</v>
      </c>
      <c r="AB38" s="113">
        <f t="shared" si="4"/>
        <v>1875</v>
      </c>
      <c r="AC38" s="113">
        <f t="shared" si="4"/>
        <v>1875</v>
      </c>
      <c r="AD38" s="113">
        <f t="shared" si="4"/>
        <v>1875</v>
      </c>
      <c r="AE38" s="113">
        <f t="shared" si="4"/>
        <v>1875</v>
      </c>
      <c r="AF38" s="113">
        <f t="shared" si="4"/>
        <v>1875</v>
      </c>
      <c r="AG38" s="113">
        <f t="shared" si="4"/>
        <v>1875</v>
      </c>
      <c r="AH38" s="113">
        <f t="shared" si="4"/>
        <v>1875</v>
      </c>
      <c r="AI38" s="113">
        <f t="shared" si="4"/>
        <v>1875</v>
      </c>
      <c r="AJ38" s="113">
        <f t="shared" si="4"/>
        <v>1875</v>
      </c>
      <c r="AK38" s="113">
        <f t="shared" si="4"/>
        <v>1875</v>
      </c>
      <c r="AL38" s="113">
        <f t="shared" si="4"/>
        <v>1875</v>
      </c>
      <c r="AM38" s="113">
        <f t="shared" si="4"/>
        <v>1875</v>
      </c>
      <c r="AN38" s="113">
        <f t="shared" si="4"/>
        <v>1875</v>
      </c>
      <c r="AO38" s="113">
        <f t="shared" si="4"/>
        <v>1875</v>
      </c>
      <c r="AP38" s="113">
        <f t="shared" si="4"/>
        <v>1875</v>
      </c>
      <c r="AQ38" s="113">
        <f t="shared" si="4"/>
        <v>1875</v>
      </c>
      <c r="AR38" s="113">
        <f t="shared" si="4"/>
        <v>1875</v>
      </c>
      <c r="AS38" s="113">
        <f t="shared" si="4"/>
        <v>1875</v>
      </c>
      <c r="AT38" s="113">
        <f t="shared" si="4"/>
        <v>0</v>
      </c>
      <c r="AU38" s="113">
        <f t="shared" si="4"/>
        <v>0</v>
      </c>
      <c r="AV38" s="113">
        <f t="shared" si="4"/>
        <v>0</v>
      </c>
      <c r="AW38" s="113">
        <f t="shared" si="4"/>
        <v>0</v>
      </c>
    </row>
    <row r="39" spans="1:49">
      <c r="E39" s="91" t="s">
        <v>135</v>
      </c>
      <c r="F39" s="91"/>
      <c r="G39" s="91" t="s">
        <v>122</v>
      </c>
      <c r="J39" s="90">
        <f>SUM(J37:J38)</f>
        <v>681263</v>
      </c>
      <c r="K39" s="90">
        <f t="shared" ref="K39:AW39" si="5">SUM(K37:K38)</f>
        <v>673905</v>
      </c>
      <c r="L39" s="90">
        <f t="shared" si="5"/>
        <v>667582</v>
      </c>
      <c r="M39" s="90">
        <f t="shared" si="5"/>
        <v>665413</v>
      </c>
      <c r="N39" s="90">
        <f t="shared" si="5"/>
        <v>666408</v>
      </c>
      <c r="O39" s="90">
        <f t="shared" si="5"/>
        <v>652016</v>
      </c>
      <c r="P39" s="90">
        <f t="shared" si="5"/>
        <v>651435</v>
      </c>
      <c r="Q39" s="90">
        <f t="shared" si="5"/>
        <v>646933</v>
      </c>
      <c r="R39" s="90">
        <f t="shared" si="5"/>
        <v>678773</v>
      </c>
      <c r="S39" s="90">
        <f t="shared" si="5"/>
        <v>644165</v>
      </c>
      <c r="T39" s="90">
        <f t="shared" si="5"/>
        <v>654616</v>
      </c>
      <c r="U39" s="90">
        <f t="shared" si="5"/>
        <v>645839</v>
      </c>
      <c r="V39" s="90">
        <f t="shared" si="5"/>
        <v>644167</v>
      </c>
      <c r="W39" s="90">
        <f t="shared" si="5"/>
        <v>673650</v>
      </c>
      <c r="X39" s="90">
        <f t="shared" si="5"/>
        <v>676474</v>
      </c>
      <c r="Y39" s="90">
        <f t="shared" si="5"/>
        <v>687149</v>
      </c>
      <c r="Z39" s="90">
        <f t="shared" si="5"/>
        <v>662162</v>
      </c>
      <c r="AA39" s="90">
        <f t="shared" si="5"/>
        <v>679068</v>
      </c>
      <c r="AB39" s="90">
        <f t="shared" si="5"/>
        <v>689182</v>
      </c>
      <c r="AC39" s="90">
        <f t="shared" si="5"/>
        <v>701149</v>
      </c>
      <c r="AD39" s="90">
        <f t="shared" si="5"/>
        <v>721111</v>
      </c>
      <c r="AE39" s="90">
        <f t="shared" si="5"/>
        <v>695201</v>
      </c>
      <c r="AF39" s="90">
        <f t="shared" si="5"/>
        <v>715018</v>
      </c>
      <c r="AG39" s="90">
        <f t="shared" si="5"/>
        <v>700240</v>
      </c>
      <c r="AH39" s="90">
        <f t="shared" si="5"/>
        <v>701337</v>
      </c>
      <c r="AI39" s="90">
        <f t="shared" si="5"/>
        <v>708219</v>
      </c>
      <c r="AJ39" s="90">
        <f t="shared" si="5"/>
        <v>740416</v>
      </c>
      <c r="AK39" s="90">
        <f t="shared" si="5"/>
        <v>708318</v>
      </c>
      <c r="AL39" s="90">
        <f t="shared" si="5"/>
        <v>698619</v>
      </c>
      <c r="AM39" s="90">
        <f t="shared" si="5"/>
        <v>716511</v>
      </c>
      <c r="AN39" s="90">
        <f t="shared" si="5"/>
        <v>757531</v>
      </c>
      <c r="AO39" s="90">
        <f t="shared" si="5"/>
        <v>752223</v>
      </c>
      <c r="AP39" s="90">
        <f t="shared" si="5"/>
        <v>742438</v>
      </c>
      <c r="AQ39" s="90">
        <f t="shared" si="5"/>
        <v>733128</v>
      </c>
      <c r="AR39" s="90">
        <f t="shared" si="5"/>
        <v>757219</v>
      </c>
      <c r="AS39" s="90">
        <f t="shared" si="5"/>
        <v>770668</v>
      </c>
      <c r="AT39" s="90">
        <f t="shared" si="5"/>
        <v>764348</v>
      </c>
      <c r="AU39" s="90">
        <f t="shared" si="5"/>
        <v>758728</v>
      </c>
      <c r="AV39" s="90">
        <f t="shared" si="5"/>
        <v>771909</v>
      </c>
      <c r="AW39" s="90">
        <f t="shared" si="5"/>
        <v>772307</v>
      </c>
    </row>
    <row r="40" spans="1:49">
      <c r="F40" s="91"/>
    </row>
    <row r="41" spans="1:49">
      <c r="E41" s="91" t="s">
        <v>56</v>
      </c>
      <c r="F41" s="114">
        <f>$F$11</f>
        <v>2</v>
      </c>
      <c r="G41" s="91" t="s">
        <v>137</v>
      </c>
    </row>
    <row r="42" spans="1:49">
      <c r="E42" s="91" t="s">
        <v>138</v>
      </c>
      <c r="F42" s="91"/>
      <c r="G42" s="91" t="s">
        <v>122</v>
      </c>
      <c r="J42" s="90">
        <f xml:space="preserve"> J$39 / J$35</f>
        <v>340631.5</v>
      </c>
      <c r="K42" s="90">
        <f t="shared" ref="K42:AW42" si="6" xml:space="preserve"> K$39 / K$35</f>
        <v>336952.5</v>
      </c>
      <c r="L42" s="90">
        <f t="shared" si="6"/>
        <v>333791</v>
      </c>
      <c r="M42" s="90">
        <f t="shared" si="6"/>
        <v>332706.5</v>
      </c>
      <c r="N42" s="90">
        <f t="shared" si="6"/>
        <v>333204</v>
      </c>
      <c r="O42" s="90">
        <f t="shared" si="6"/>
        <v>326008</v>
      </c>
      <c r="P42" s="90">
        <f t="shared" si="6"/>
        <v>325717.5</v>
      </c>
      <c r="Q42" s="90">
        <f t="shared" si="6"/>
        <v>323466.5</v>
      </c>
      <c r="R42" s="90">
        <f t="shared" si="6"/>
        <v>339386.5</v>
      </c>
      <c r="S42" s="90">
        <f t="shared" si="6"/>
        <v>322082.5</v>
      </c>
      <c r="T42" s="90">
        <f t="shared" si="6"/>
        <v>327308</v>
      </c>
      <c r="U42" s="90">
        <f t="shared" si="6"/>
        <v>322919.5</v>
      </c>
      <c r="V42" s="90">
        <f t="shared" si="6"/>
        <v>322083.5</v>
      </c>
      <c r="W42" s="90">
        <f t="shared" si="6"/>
        <v>336825</v>
      </c>
      <c r="X42" s="90">
        <f t="shared" si="6"/>
        <v>338237</v>
      </c>
      <c r="Y42" s="90">
        <f t="shared" si="6"/>
        <v>343574.5</v>
      </c>
      <c r="Z42" s="90">
        <f t="shared" si="6"/>
        <v>331081</v>
      </c>
      <c r="AA42" s="90">
        <f t="shared" si="6"/>
        <v>339534</v>
      </c>
      <c r="AB42" s="90">
        <f t="shared" si="6"/>
        <v>344591</v>
      </c>
      <c r="AC42" s="90">
        <f t="shared" si="6"/>
        <v>350574.5</v>
      </c>
      <c r="AD42" s="90">
        <f t="shared" si="6"/>
        <v>360555.5</v>
      </c>
      <c r="AE42" s="90">
        <f t="shared" si="6"/>
        <v>347600.5</v>
      </c>
      <c r="AF42" s="90">
        <f t="shared" si="6"/>
        <v>357509</v>
      </c>
      <c r="AG42" s="90">
        <f t="shared" si="6"/>
        <v>350120</v>
      </c>
      <c r="AH42" s="90">
        <f t="shared" si="6"/>
        <v>350668.5</v>
      </c>
      <c r="AI42" s="90">
        <f t="shared" si="6"/>
        <v>354109.5</v>
      </c>
      <c r="AJ42" s="90">
        <f t="shared" si="6"/>
        <v>370208</v>
      </c>
      <c r="AK42" s="90">
        <f t="shared" si="6"/>
        <v>354159</v>
      </c>
      <c r="AL42" s="90">
        <f t="shared" si="6"/>
        <v>349309.5</v>
      </c>
      <c r="AM42" s="90">
        <f t="shared" si="6"/>
        <v>358255.5</v>
      </c>
      <c r="AN42" s="90">
        <f t="shared" si="6"/>
        <v>378765.5</v>
      </c>
      <c r="AO42" s="90">
        <f t="shared" si="6"/>
        <v>376111.5</v>
      </c>
      <c r="AP42" s="90">
        <f t="shared" si="6"/>
        <v>371219</v>
      </c>
      <c r="AQ42" s="90">
        <f t="shared" si="6"/>
        <v>366564</v>
      </c>
      <c r="AR42" s="90">
        <f t="shared" si="6"/>
        <v>378609.5</v>
      </c>
      <c r="AS42" s="90">
        <f t="shared" si="6"/>
        <v>385334</v>
      </c>
      <c r="AT42" s="90">
        <f t="shared" si="6"/>
        <v>382174</v>
      </c>
      <c r="AU42" s="90">
        <f t="shared" si="6"/>
        <v>379364</v>
      </c>
      <c r="AV42" s="90">
        <f t="shared" si="6"/>
        <v>385954.5</v>
      </c>
      <c r="AW42" s="90">
        <f t="shared" si="6"/>
        <v>386153.5</v>
      </c>
    </row>
    <row r="43" spans="1:49">
      <c r="D43" s="111" t="s">
        <v>139</v>
      </c>
      <c r="E43" s="112" t="str">
        <f>E$29</f>
        <v>Senior Debt interest expenses</v>
      </c>
      <c r="F43" s="112"/>
      <c r="G43" s="112" t="str">
        <f t="shared" ref="G43" si="7">G$29</f>
        <v>USD</v>
      </c>
      <c r="H43" s="113"/>
      <c r="I43" s="113"/>
      <c r="J43" s="113">
        <f xml:space="preserve"> J$29 * - 1</f>
        <v>-112500</v>
      </c>
      <c r="K43" s="113">
        <f t="shared" ref="K43:AW43" si="8" xml:space="preserve"> K$29 * - 1</f>
        <v>-109933.52062499999</v>
      </c>
      <c r="L43" s="113">
        <f t="shared" si="8"/>
        <v>-107379.55710703126</v>
      </c>
      <c r="M43" s="113">
        <f t="shared" si="8"/>
        <v>-104832.42837448536</v>
      </c>
      <c r="N43" s="113">
        <f t="shared" si="8"/>
        <v>-102268.84506869833</v>
      </c>
      <c r="O43" s="113">
        <f t="shared" si="8"/>
        <v>-99670.824575721184</v>
      </c>
      <c r="P43" s="113">
        <f t="shared" si="8"/>
        <v>-97124.531352198042</v>
      </c>
      <c r="Q43" s="113">
        <f t="shared" si="8"/>
        <v>-94552.86045491026</v>
      </c>
      <c r="R43" s="113">
        <f t="shared" si="8"/>
        <v>-91977.582010028011</v>
      </c>
      <c r="S43" s="113">
        <f t="shared" si="8"/>
        <v>-89194.231682640821</v>
      </c>
      <c r="T43" s="113">
        <f t="shared" si="8"/>
        <v>-86574.238664070523</v>
      </c>
      <c r="U43" s="113">
        <f t="shared" si="8"/>
        <v>-83865.983849041324</v>
      </c>
      <c r="V43" s="113">
        <f t="shared" si="8"/>
        <v>-81176.631792343032</v>
      </c>
      <c r="W43" s="113">
        <f t="shared" si="8"/>
        <v>-78466.429525006897</v>
      </c>
      <c r="X43" s="113">
        <f t="shared" si="8"/>
        <v>-75559.895607163213</v>
      </c>
      <c r="Y43" s="113">
        <f t="shared" si="8"/>
        <v>-72604.778182743801</v>
      </c>
      <c r="Z43" s="113">
        <f t="shared" si="8"/>
        <v>-69556.368812299668</v>
      </c>
      <c r="AA43" s="113">
        <f t="shared" si="8"/>
        <v>-66614.216711438043</v>
      </c>
      <c r="AB43" s="113">
        <f t="shared" si="8"/>
        <v>-63543.869149441722</v>
      </c>
      <c r="AC43" s="113">
        <f t="shared" si="8"/>
        <v>-60382.088927372941</v>
      </c>
      <c r="AD43" s="113">
        <f t="shared" si="8"/>
        <v>-57117.424302805892</v>
      </c>
      <c r="AE43" s="113">
        <f t="shared" si="8"/>
        <v>-53703.745951212462</v>
      </c>
      <c r="AF43" s="113">
        <f t="shared" si="8"/>
        <v>-50397.407468163605</v>
      </c>
      <c r="AG43" s="113">
        <f t="shared" si="8"/>
        <v>-46942.402052180449</v>
      </c>
      <c r="AH43" s="113">
        <f t="shared" si="8"/>
        <v>-43531.654075267477</v>
      </c>
      <c r="AI43" s="113">
        <f t="shared" si="8"/>
        <v>-40076.36455861423</v>
      </c>
      <c r="AJ43" s="113">
        <f t="shared" si="8"/>
        <v>-36543.491784898644</v>
      </c>
      <c r="AK43" s="113">
        <f t="shared" si="8"/>
        <v>-32789.766067478755</v>
      </c>
      <c r="AL43" s="113">
        <f t="shared" si="8"/>
        <v>-29174.362185737889</v>
      </c>
      <c r="AM43" s="113">
        <f t="shared" si="8"/>
        <v>-25572.841885327442</v>
      </c>
      <c r="AN43" s="113">
        <f t="shared" si="8"/>
        <v>-21830.161981537374</v>
      </c>
      <c r="AO43" s="113">
        <f t="shared" si="8"/>
        <v>-17814.639428829672</v>
      </c>
      <c r="AP43" s="113">
        <f t="shared" si="8"/>
        <v>-13783.799747404006</v>
      </c>
      <c r="AQ43" s="113">
        <f t="shared" si="8"/>
        <v>-9762.6537445623017</v>
      </c>
      <c r="AR43" s="113">
        <f t="shared" si="8"/>
        <v>-5748.6385991886264</v>
      </c>
      <c r="AS43" s="113">
        <f t="shared" si="8"/>
        <v>-1553.9539084294993</v>
      </c>
      <c r="AT43" s="113">
        <f t="shared" si="8"/>
        <v>0</v>
      </c>
      <c r="AU43" s="113">
        <f t="shared" si="8"/>
        <v>0</v>
      </c>
      <c r="AV43" s="113">
        <f t="shared" si="8"/>
        <v>0</v>
      </c>
      <c r="AW43" s="113">
        <f t="shared" si="8"/>
        <v>0</v>
      </c>
    </row>
    <row r="44" spans="1:49">
      <c r="E44" s="93" t="s">
        <v>64</v>
      </c>
      <c r="F44" s="93"/>
      <c r="G44" s="93" t="s">
        <v>122</v>
      </c>
      <c r="H44" s="89"/>
      <c r="I44" s="89"/>
      <c r="J44" s="89">
        <f>SUM(J42:J43)</f>
        <v>228131.5</v>
      </c>
      <c r="K44" s="89">
        <f t="shared" ref="K44:AW44" si="9">SUM(K42:K43)</f>
        <v>227018.979375</v>
      </c>
      <c r="L44" s="89">
        <f t="shared" si="9"/>
        <v>226411.44289296874</v>
      </c>
      <c r="M44" s="89">
        <f t="shared" si="9"/>
        <v>227874.07162551465</v>
      </c>
      <c r="N44" s="89">
        <f t="shared" si="9"/>
        <v>230935.15493130166</v>
      </c>
      <c r="O44" s="89">
        <f t="shared" si="9"/>
        <v>226337.17542427883</v>
      </c>
      <c r="P44" s="89">
        <f t="shared" si="9"/>
        <v>228592.96864780196</v>
      </c>
      <c r="Q44" s="89">
        <f t="shared" si="9"/>
        <v>228913.63954508974</v>
      </c>
      <c r="R44" s="89">
        <f t="shared" si="9"/>
        <v>247408.91798997199</v>
      </c>
      <c r="S44" s="89">
        <f t="shared" si="9"/>
        <v>232888.26831735918</v>
      </c>
      <c r="T44" s="89">
        <f t="shared" si="9"/>
        <v>240733.76133592948</v>
      </c>
      <c r="U44" s="89">
        <f t="shared" si="9"/>
        <v>239053.51615095866</v>
      </c>
      <c r="V44" s="89">
        <f t="shared" si="9"/>
        <v>240906.86820765695</v>
      </c>
      <c r="W44" s="89">
        <f t="shared" si="9"/>
        <v>258358.57047499309</v>
      </c>
      <c r="X44" s="89">
        <f t="shared" si="9"/>
        <v>262677.1043928368</v>
      </c>
      <c r="Y44" s="89">
        <f t="shared" si="9"/>
        <v>270969.72181725618</v>
      </c>
      <c r="Z44" s="89">
        <f t="shared" si="9"/>
        <v>261524.63118770032</v>
      </c>
      <c r="AA44" s="89">
        <f t="shared" si="9"/>
        <v>272919.78328856197</v>
      </c>
      <c r="AB44" s="89">
        <f t="shared" si="9"/>
        <v>281047.13085055829</v>
      </c>
      <c r="AC44" s="89">
        <f t="shared" si="9"/>
        <v>290192.41107262706</v>
      </c>
      <c r="AD44" s="89">
        <f t="shared" si="9"/>
        <v>303438.07569719409</v>
      </c>
      <c r="AE44" s="89">
        <f t="shared" si="9"/>
        <v>293896.75404878752</v>
      </c>
      <c r="AF44" s="89">
        <f t="shared" si="9"/>
        <v>307111.59253183642</v>
      </c>
      <c r="AG44" s="89">
        <f t="shared" si="9"/>
        <v>303177.59794781957</v>
      </c>
      <c r="AH44" s="89">
        <f t="shared" si="9"/>
        <v>307136.84592473251</v>
      </c>
      <c r="AI44" s="89">
        <f t="shared" si="9"/>
        <v>314033.13544138579</v>
      </c>
      <c r="AJ44" s="89">
        <f t="shared" si="9"/>
        <v>333664.50821510138</v>
      </c>
      <c r="AK44" s="89">
        <f t="shared" si="9"/>
        <v>321369.23393252125</v>
      </c>
      <c r="AL44" s="89">
        <f t="shared" si="9"/>
        <v>320135.13781426213</v>
      </c>
      <c r="AM44" s="89">
        <f t="shared" si="9"/>
        <v>332682.65811467258</v>
      </c>
      <c r="AN44" s="89">
        <f t="shared" si="9"/>
        <v>356935.33801846264</v>
      </c>
      <c r="AO44" s="89">
        <f t="shared" si="9"/>
        <v>358296.86057117034</v>
      </c>
      <c r="AP44" s="89">
        <f t="shared" si="9"/>
        <v>357435.200252596</v>
      </c>
      <c r="AQ44" s="89">
        <f t="shared" si="9"/>
        <v>356801.3462554377</v>
      </c>
      <c r="AR44" s="89">
        <f t="shared" si="9"/>
        <v>372860.86140081135</v>
      </c>
      <c r="AS44" s="89">
        <f t="shared" si="9"/>
        <v>383780.04609157052</v>
      </c>
      <c r="AT44" s="89">
        <f t="shared" si="9"/>
        <v>382174</v>
      </c>
      <c r="AU44" s="89">
        <f t="shared" si="9"/>
        <v>379364</v>
      </c>
      <c r="AV44" s="89">
        <f t="shared" si="9"/>
        <v>385954.5</v>
      </c>
      <c r="AW44" s="89">
        <f t="shared" si="9"/>
        <v>386153.5</v>
      </c>
    </row>
    <row r="45" spans="1:49">
      <c r="F45" s="91"/>
    </row>
    <row r="46" spans="1:49">
      <c r="E46" s="91" t="s">
        <v>65</v>
      </c>
      <c r="F46" s="91"/>
      <c r="G46" s="91" t="s">
        <v>137</v>
      </c>
      <c r="J46" s="115">
        <f t="shared" ref="J46:AW46" si="10" xml:space="preserve"> IFERROR( J$39 / ( J29 - J23 ), 0 )</f>
        <v>2</v>
      </c>
      <c r="K46" s="115">
        <f t="shared" si="10"/>
        <v>2</v>
      </c>
      <c r="L46" s="115">
        <f t="shared" si="10"/>
        <v>2</v>
      </c>
      <c r="M46" s="115">
        <f t="shared" si="10"/>
        <v>2</v>
      </c>
      <c r="N46" s="115">
        <f t="shared" si="10"/>
        <v>2</v>
      </c>
      <c r="O46" s="115">
        <f t="shared" si="10"/>
        <v>2</v>
      </c>
      <c r="P46" s="115">
        <f t="shared" si="10"/>
        <v>2</v>
      </c>
      <c r="Q46" s="115">
        <f t="shared" si="10"/>
        <v>2</v>
      </c>
      <c r="R46" s="115">
        <f t="shared" si="10"/>
        <v>2</v>
      </c>
      <c r="S46" s="115">
        <f t="shared" si="10"/>
        <v>2</v>
      </c>
      <c r="T46" s="115">
        <f t="shared" si="10"/>
        <v>2</v>
      </c>
      <c r="U46" s="115">
        <f t="shared" si="10"/>
        <v>2</v>
      </c>
      <c r="V46" s="115">
        <f t="shared" si="10"/>
        <v>2</v>
      </c>
      <c r="W46" s="115">
        <f t="shared" si="10"/>
        <v>2</v>
      </c>
      <c r="X46" s="115">
        <f t="shared" si="10"/>
        <v>2</v>
      </c>
      <c r="Y46" s="115">
        <f t="shared" si="10"/>
        <v>2</v>
      </c>
      <c r="Z46" s="115">
        <f t="shared" si="10"/>
        <v>2</v>
      </c>
      <c r="AA46" s="115">
        <f t="shared" si="10"/>
        <v>2</v>
      </c>
      <c r="AB46" s="115">
        <f t="shared" si="10"/>
        <v>2</v>
      </c>
      <c r="AC46" s="115">
        <f t="shared" si="10"/>
        <v>2</v>
      </c>
      <c r="AD46" s="115">
        <f t="shared" si="10"/>
        <v>2</v>
      </c>
      <c r="AE46" s="115">
        <f t="shared" si="10"/>
        <v>2</v>
      </c>
      <c r="AF46" s="115">
        <f t="shared" si="10"/>
        <v>2</v>
      </c>
      <c r="AG46" s="115">
        <f t="shared" si="10"/>
        <v>2</v>
      </c>
      <c r="AH46" s="115">
        <f t="shared" si="10"/>
        <v>2</v>
      </c>
      <c r="AI46" s="115">
        <f t="shared" si="10"/>
        <v>2</v>
      </c>
      <c r="AJ46" s="115">
        <f t="shared" si="10"/>
        <v>2</v>
      </c>
      <c r="AK46" s="115">
        <f t="shared" si="10"/>
        <v>2</v>
      </c>
      <c r="AL46" s="115">
        <f t="shared" si="10"/>
        <v>2</v>
      </c>
      <c r="AM46" s="115">
        <f t="shared" si="10"/>
        <v>2</v>
      </c>
      <c r="AN46" s="115">
        <f t="shared" si="10"/>
        <v>2</v>
      </c>
      <c r="AO46" s="115">
        <f t="shared" si="10"/>
        <v>2</v>
      </c>
      <c r="AP46" s="115">
        <f t="shared" si="10"/>
        <v>2</v>
      </c>
      <c r="AQ46" s="115">
        <f t="shared" si="10"/>
        <v>2</v>
      </c>
      <c r="AR46" s="115">
        <f t="shared" si="10"/>
        <v>2</v>
      </c>
      <c r="AS46" s="115">
        <f t="shared" si="10"/>
        <v>5.5172565777121303</v>
      </c>
      <c r="AT46" s="115">
        <f t="shared" si="10"/>
        <v>0</v>
      </c>
      <c r="AU46" s="115">
        <f t="shared" si="10"/>
        <v>0</v>
      </c>
      <c r="AV46" s="115">
        <f t="shared" si="10"/>
        <v>0</v>
      </c>
      <c r="AW46" s="115">
        <f t="shared" si="10"/>
        <v>0</v>
      </c>
    </row>
    <row r="47" spans="1:49">
      <c r="F47" s="91"/>
    </row>
    <row r="49" spans="1:49" s="84" customFormat="1">
      <c r="A49" s="83" t="s">
        <v>134</v>
      </c>
      <c r="E49" s="85"/>
      <c r="G49" s="85"/>
    </row>
    <row r="50" spans="1:49" s="87" customFormat="1">
      <c r="A50" s="86"/>
      <c r="E50" s="88"/>
      <c r="G50" s="88"/>
    </row>
    <row r="52" spans="1:49">
      <c r="E52" s="102" t="s">
        <v>130</v>
      </c>
      <c r="F52" s="103"/>
      <c r="G52" s="102" t="s">
        <v>122</v>
      </c>
      <c r="H52" s="103"/>
      <c r="I52" s="103"/>
      <c r="J52" s="103">
        <f xml:space="preserve"> I54</f>
        <v>500000</v>
      </c>
      <c r="K52" s="103">
        <f t="shared" ref="K52:AW52" si="11" xml:space="preserve"> J54</f>
        <v>500000</v>
      </c>
      <c r="L52" s="103">
        <f t="shared" si="11"/>
        <v>500000</v>
      </c>
      <c r="M52" s="103">
        <f t="shared" si="11"/>
        <v>500000</v>
      </c>
      <c r="N52" s="103">
        <f t="shared" si="11"/>
        <v>500000</v>
      </c>
      <c r="O52" s="103">
        <f t="shared" si="11"/>
        <v>500000</v>
      </c>
      <c r="P52" s="103">
        <f t="shared" si="11"/>
        <v>500000</v>
      </c>
      <c r="Q52" s="103">
        <f t="shared" si="11"/>
        <v>500000</v>
      </c>
      <c r="R52" s="103">
        <f t="shared" si="11"/>
        <v>500000</v>
      </c>
      <c r="S52" s="103">
        <f t="shared" si="11"/>
        <v>500000</v>
      </c>
      <c r="T52" s="103">
        <f t="shared" si="11"/>
        <v>500000</v>
      </c>
      <c r="U52" s="103">
        <f t="shared" si="11"/>
        <v>500000</v>
      </c>
      <c r="V52" s="103">
        <f t="shared" si="11"/>
        <v>500000</v>
      </c>
      <c r="W52" s="103">
        <f t="shared" si="11"/>
        <v>500000</v>
      </c>
      <c r="X52" s="103">
        <f t="shared" si="11"/>
        <v>500000</v>
      </c>
      <c r="Y52" s="103">
        <f t="shared" si="11"/>
        <v>500000</v>
      </c>
      <c r="Z52" s="103">
        <f t="shared" si="11"/>
        <v>500000</v>
      </c>
      <c r="AA52" s="103">
        <f t="shared" si="11"/>
        <v>500000</v>
      </c>
      <c r="AB52" s="103">
        <f t="shared" si="11"/>
        <v>500000</v>
      </c>
      <c r="AC52" s="103">
        <f t="shared" si="11"/>
        <v>500000</v>
      </c>
      <c r="AD52" s="103">
        <f t="shared" si="11"/>
        <v>500000</v>
      </c>
      <c r="AE52" s="103">
        <f t="shared" si="11"/>
        <v>500000</v>
      </c>
      <c r="AF52" s="103">
        <f t="shared" si="11"/>
        <v>500000</v>
      </c>
      <c r="AG52" s="103">
        <f t="shared" si="11"/>
        <v>500000</v>
      </c>
      <c r="AH52" s="103">
        <f t="shared" si="11"/>
        <v>500000</v>
      </c>
      <c r="AI52" s="103">
        <f t="shared" si="11"/>
        <v>500000</v>
      </c>
      <c r="AJ52" s="103">
        <f t="shared" si="11"/>
        <v>500000</v>
      </c>
      <c r="AK52" s="103">
        <f t="shared" si="11"/>
        <v>500000</v>
      </c>
      <c r="AL52" s="103">
        <f t="shared" si="11"/>
        <v>500000</v>
      </c>
      <c r="AM52" s="103">
        <f t="shared" si="11"/>
        <v>500000</v>
      </c>
      <c r="AN52" s="103">
        <f t="shared" si="11"/>
        <v>500000</v>
      </c>
      <c r="AO52" s="103">
        <f t="shared" si="11"/>
        <v>500000</v>
      </c>
      <c r="AP52" s="103">
        <f t="shared" si="11"/>
        <v>500000</v>
      </c>
      <c r="AQ52" s="103">
        <f t="shared" si="11"/>
        <v>500000</v>
      </c>
      <c r="AR52" s="103">
        <f t="shared" si="11"/>
        <v>500000</v>
      </c>
      <c r="AS52" s="103">
        <f t="shared" si="11"/>
        <v>500000</v>
      </c>
      <c r="AT52" s="103">
        <f t="shared" si="11"/>
        <v>0</v>
      </c>
      <c r="AU52" s="103">
        <f t="shared" si="11"/>
        <v>0</v>
      </c>
      <c r="AV52" s="103">
        <f t="shared" si="11"/>
        <v>0</v>
      </c>
      <c r="AW52" s="103">
        <f t="shared" si="11"/>
        <v>0</v>
      </c>
    </row>
    <row r="53" spans="1:49">
      <c r="E53" s="100" t="s">
        <v>150</v>
      </c>
      <c r="F53" s="101"/>
      <c r="G53" s="100" t="s">
        <v>122</v>
      </c>
      <c r="H53" s="101"/>
      <c r="I53" s="101"/>
      <c r="J53" s="90">
        <f t="shared" ref="J53:AW53" si="12" xml:space="preserve"> IF( J$24 = 0, - J$52, 0 )</f>
        <v>0</v>
      </c>
      <c r="K53" s="90">
        <f t="shared" si="12"/>
        <v>0</v>
      </c>
      <c r="L53" s="90">
        <f t="shared" si="12"/>
        <v>0</v>
      </c>
      <c r="M53" s="90">
        <f t="shared" si="12"/>
        <v>0</v>
      </c>
      <c r="N53" s="90">
        <f t="shared" si="12"/>
        <v>0</v>
      </c>
      <c r="O53" s="90">
        <f t="shared" si="12"/>
        <v>0</v>
      </c>
      <c r="P53" s="90">
        <f t="shared" si="12"/>
        <v>0</v>
      </c>
      <c r="Q53" s="90">
        <f t="shared" si="12"/>
        <v>0</v>
      </c>
      <c r="R53" s="90">
        <f t="shared" si="12"/>
        <v>0</v>
      </c>
      <c r="S53" s="90">
        <f t="shared" si="12"/>
        <v>0</v>
      </c>
      <c r="T53" s="90">
        <f t="shared" si="12"/>
        <v>0</v>
      </c>
      <c r="U53" s="90">
        <f t="shared" si="12"/>
        <v>0</v>
      </c>
      <c r="V53" s="90">
        <f t="shared" si="12"/>
        <v>0</v>
      </c>
      <c r="W53" s="90">
        <f t="shared" si="12"/>
        <v>0</v>
      </c>
      <c r="X53" s="90">
        <f t="shared" si="12"/>
        <v>0</v>
      </c>
      <c r="Y53" s="90">
        <f t="shared" si="12"/>
        <v>0</v>
      </c>
      <c r="Z53" s="90">
        <f t="shared" si="12"/>
        <v>0</v>
      </c>
      <c r="AA53" s="90">
        <f t="shared" si="12"/>
        <v>0</v>
      </c>
      <c r="AB53" s="90">
        <f t="shared" si="12"/>
        <v>0</v>
      </c>
      <c r="AC53" s="90">
        <f t="shared" si="12"/>
        <v>0</v>
      </c>
      <c r="AD53" s="90">
        <f t="shared" si="12"/>
        <v>0</v>
      </c>
      <c r="AE53" s="90">
        <f t="shared" si="12"/>
        <v>0</v>
      </c>
      <c r="AF53" s="90">
        <f t="shared" si="12"/>
        <v>0</v>
      </c>
      <c r="AG53" s="90">
        <f t="shared" si="12"/>
        <v>0</v>
      </c>
      <c r="AH53" s="90">
        <f t="shared" si="12"/>
        <v>0</v>
      </c>
      <c r="AI53" s="90">
        <f t="shared" si="12"/>
        <v>0</v>
      </c>
      <c r="AJ53" s="90">
        <f t="shared" si="12"/>
        <v>0</v>
      </c>
      <c r="AK53" s="90">
        <f t="shared" si="12"/>
        <v>0</v>
      </c>
      <c r="AL53" s="90">
        <f t="shared" si="12"/>
        <v>0</v>
      </c>
      <c r="AM53" s="90">
        <f t="shared" si="12"/>
        <v>0</v>
      </c>
      <c r="AN53" s="90">
        <f t="shared" si="12"/>
        <v>0</v>
      </c>
      <c r="AO53" s="90">
        <f t="shared" si="12"/>
        <v>0</v>
      </c>
      <c r="AP53" s="90">
        <f t="shared" si="12"/>
        <v>0</v>
      </c>
      <c r="AQ53" s="90">
        <f t="shared" si="12"/>
        <v>0</v>
      </c>
      <c r="AR53" s="90">
        <f t="shared" si="12"/>
        <v>0</v>
      </c>
      <c r="AS53" s="90">
        <f t="shared" si="12"/>
        <v>-500000</v>
      </c>
      <c r="AT53" s="90">
        <f t="shared" si="12"/>
        <v>0</v>
      </c>
      <c r="AU53" s="90">
        <f t="shared" si="12"/>
        <v>0</v>
      </c>
      <c r="AV53" s="90">
        <f t="shared" si="12"/>
        <v>0</v>
      </c>
      <c r="AW53" s="90">
        <f t="shared" si="12"/>
        <v>0</v>
      </c>
    </row>
    <row r="54" spans="1:49">
      <c r="E54" s="104" t="s">
        <v>131</v>
      </c>
      <c r="F54" s="105"/>
      <c r="G54" s="104" t="s">
        <v>122</v>
      </c>
      <c r="H54" s="105"/>
      <c r="I54" s="106">
        <f>Case1Data!$H$23</f>
        <v>500000</v>
      </c>
      <c r="J54" s="105">
        <f>SUM(J52:J53)</f>
        <v>500000</v>
      </c>
      <c r="K54" s="105">
        <f t="shared" ref="K54:AW54" si="13">SUM(K52:K53)</f>
        <v>500000</v>
      </c>
      <c r="L54" s="105">
        <f t="shared" si="13"/>
        <v>500000</v>
      </c>
      <c r="M54" s="105">
        <f t="shared" si="13"/>
        <v>500000</v>
      </c>
      <c r="N54" s="105">
        <f t="shared" si="13"/>
        <v>500000</v>
      </c>
      <c r="O54" s="105">
        <f t="shared" si="13"/>
        <v>500000</v>
      </c>
      <c r="P54" s="105">
        <f t="shared" si="13"/>
        <v>500000</v>
      </c>
      <c r="Q54" s="105">
        <f t="shared" si="13"/>
        <v>500000</v>
      </c>
      <c r="R54" s="105">
        <f t="shared" si="13"/>
        <v>500000</v>
      </c>
      <c r="S54" s="105">
        <f t="shared" si="13"/>
        <v>500000</v>
      </c>
      <c r="T54" s="105">
        <f t="shared" si="13"/>
        <v>500000</v>
      </c>
      <c r="U54" s="105">
        <f t="shared" si="13"/>
        <v>500000</v>
      </c>
      <c r="V54" s="105">
        <f t="shared" si="13"/>
        <v>500000</v>
      </c>
      <c r="W54" s="105">
        <f t="shared" si="13"/>
        <v>500000</v>
      </c>
      <c r="X54" s="105">
        <f t="shared" si="13"/>
        <v>500000</v>
      </c>
      <c r="Y54" s="105">
        <f t="shared" si="13"/>
        <v>500000</v>
      </c>
      <c r="Z54" s="105">
        <f t="shared" si="13"/>
        <v>500000</v>
      </c>
      <c r="AA54" s="105">
        <f t="shared" si="13"/>
        <v>500000</v>
      </c>
      <c r="AB54" s="105">
        <f t="shared" si="13"/>
        <v>500000</v>
      </c>
      <c r="AC54" s="105">
        <f t="shared" si="13"/>
        <v>500000</v>
      </c>
      <c r="AD54" s="105">
        <f t="shared" si="13"/>
        <v>500000</v>
      </c>
      <c r="AE54" s="105">
        <f t="shared" si="13"/>
        <v>500000</v>
      </c>
      <c r="AF54" s="105">
        <f t="shared" si="13"/>
        <v>500000</v>
      </c>
      <c r="AG54" s="105">
        <f t="shared" si="13"/>
        <v>500000</v>
      </c>
      <c r="AH54" s="105">
        <f t="shared" si="13"/>
        <v>500000</v>
      </c>
      <c r="AI54" s="105">
        <f t="shared" si="13"/>
        <v>500000</v>
      </c>
      <c r="AJ54" s="105">
        <f t="shared" si="13"/>
        <v>500000</v>
      </c>
      <c r="AK54" s="105">
        <f t="shared" si="13"/>
        <v>500000</v>
      </c>
      <c r="AL54" s="105">
        <f t="shared" si="13"/>
        <v>500000</v>
      </c>
      <c r="AM54" s="105">
        <f t="shared" si="13"/>
        <v>500000</v>
      </c>
      <c r="AN54" s="105">
        <f t="shared" si="13"/>
        <v>500000</v>
      </c>
      <c r="AO54" s="105">
        <f t="shared" si="13"/>
        <v>500000</v>
      </c>
      <c r="AP54" s="105">
        <f t="shared" si="13"/>
        <v>500000</v>
      </c>
      <c r="AQ54" s="105">
        <f t="shared" si="13"/>
        <v>500000</v>
      </c>
      <c r="AR54" s="105">
        <f t="shared" si="13"/>
        <v>500000</v>
      </c>
      <c r="AS54" s="105">
        <f t="shared" si="13"/>
        <v>0</v>
      </c>
      <c r="AT54" s="105">
        <f t="shared" si="13"/>
        <v>0</v>
      </c>
      <c r="AU54" s="105">
        <f t="shared" si="13"/>
        <v>0</v>
      </c>
      <c r="AV54" s="105">
        <f t="shared" si="13"/>
        <v>0</v>
      </c>
      <c r="AW54" s="105">
        <f t="shared" si="13"/>
        <v>0</v>
      </c>
    </row>
    <row r="56" spans="1:49">
      <c r="E56" s="91" t="s">
        <v>132</v>
      </c>
      <c r="F56" s="99">
        <f>Case1Data!$H$25</f>
        <v>1.4999999999999999E-2</v>
      </c>
      <c r="G56" s="91" t="s">
        <v>129</v>
      </c>
    </row>
    <row r="57" spans="1:49">
      <c r="E57" s="93" t="s">
        <v>134</v>
      </c>
      <c r="F57" s="89"/>
      <c r="G57" s="93" t="s">
        <v>122</v>
      </c>
      <c r="H57" s="89"/>
      <c r="I57" s="89"/>
      <c r="J57" s="89">
        <f t="shared" ref="J57:AW57" si="14" xml:space="preserve"> J$52 * $F$56 / 4</f>
        <v>1875</v>
      </c>
      <c r="K57" s="89">
        <f t="shared" si="14"/>
        <v>1875</v>
      </c>
      <c r="L57" s="89">
        <f t="shared" si="14"/>
        <v>1875</v>
      </c>
      <c r="M57" s="89">
        <f t="shared" si="14"/>
        <v>1875</v>
      </c>
      <c r="N57" s="89">
        <f t="shared" si="14"/>
        <v>1875</v>
      </c>
      <c r="O57" s="89">
        <f t="shared" si="14"/>
        <v>1875</v>
      </c>
      <c r="P57" s="89">
        <f t="shared" si="14"/>
        <v>1875</v>
      </c>
      <c r="Q57" s="89">
        <f t="shared" si="14"/>
        <v>1875</v>
      </c>
      <c r="R57" s="89">
        <f t="shared" si="14"/>
        <v>1875</v>
      </c>
      <c r="S57" s="89">
        <f t="shared" si="14"/>
        <v>1875</v>
      </c>
      <c r="T57" s="89">
        <f t="shared" si="14"/>
        <v>1875</v>
      </c>
      <c r="U57" s="89">
        <f t="shared" si="14"/>
        <v>1875</v>
      </c>
      <c r="V57" s="89">
        <f t="shared" si="14"/>
        <v>1875</v>
      </c>
      <c r="W57" s="89">
        <f t="shared" si="14"/>
        <v>1875</v>
      </c>
      <c r="X57" s="89">
        <f t="shared" si="14"/>
        <v>1875</v>
      </c>
      <c r="Y57" s="89">
        <f t="shared" si="14"/>
        <v>1875</v>
      </c>
      <c r="Z57" s="89">
        <f t="shared" si="14"/>
        <v>1875</v>
      </c>
      <c r="AA57" s="89">
        <f t="shared" si="14"/>
        <v>1875</v>
      </c>
      <c r="AB57" s="89">
        <f t="shared" si="14"/>
        <v>1875</v>
      </c>
      <c r="AC57" s="89">
        <f t="shared" si="14"/>
        <v>1875</v>
      </c>
      <c r="AD57" s="89">
        <f t="shared" si="14"/>
        <v>1875</v>
      </c>
      <c r="AE57" s="89">
        <f t="shared" si="14"/>
        <v>1875</v>
      </c>
      <c r="AF57" s="89">
        <f t="shared" si="14"/>
        <v>1875</v>
      </c>
      <c r="AG57" s="89">
        <f t="shared" si="14"/>
        <v>1875</v>
      </c>
      <c r="AH57" s="89">
        <f t="shared" si="14"/>
        <v>1875</v>
      </c>
      <c r="AI57" s="89">
        <f t="shared" si="14"/>
        <v>1875</v>
      </c>
      <c r="AJ57" s="89">
        <f t="shared" si="14"/>
        <v>1875</v>
      </c>
      <c r="AK57" s="89">
        <f t="shared" si="14"/>
        <v>1875</v>
      </c>
      <c r="AL57" s="89">
        <f t="shared" si="14"/>
        <v>1875</v>
      </c>
      <c r="AM57" s="89">
        <f t="shared" si="14"/>
        <v>1875</v>
      </c>
      <c r="AN57" s="89">
        <f t="shared" si="14"/>
        <v>1875</v>
      </c>
      <c r="AO57" s="89">
        <f t="shared" si="14"/>
        <v>1875</v>
      </c>
      <c r="AP57" s="89">
        <f t="shared" si="14"/>
        <v>1875</v>
      </c>
      <c r="AQ57" s="89">
        <f t="shared" si="14"/>
        <v>1875</v>
      </c>
      <c r="AR57" s="89">
        <f t="shared" si="14"/>
        <v>1875</v>
      </c>
      <c r="AS57" s="89">
        <f t="shared" si="14"/>
        <v>1875</v>
      </c>
      <c r="AT57" s="89">
        <f t="shared" si="14"/>
        <v>0</v>
      </c>
      <c r="AU57" s="89">
        <f t="shared" si="14"/>
        <v>0</v>
      </c>
      <c r="AV57" s="89">
        <f t="shared" si="14"/>
        <v>0</v>
      </c>
      <c r="AW57" s="89">
        <f t="shared" si="14"/>
        <v>0</v>
      </c>
    </row>
    <row r="60" spans="1:49" s="84" customFormat="1">
      <c r="A60" s="83" t="s">
        <v>111</v>
      </c>
      <c r="E60" s="85"/>
      <c r="G60" s="85"/>
    </row>
    <row r="63" spans="1:49">
      <c r="E63" s="102" t="s">
        <v>140</v>
      </c>
      <c r="F63" s="103"/>
      <c r="G63" s="102" t="s">
        <v>122</v>
      </c>
      <c r="H63" s="103"/>
      <c r="I63" s="103"/>
      <c r="J63" s="103">
        <f xml:space="preserve"> I$65</f>
        <v>6000000</v>
      </c>
      <c r="K63" s="103">
        <f t="shared" ref="K63:AW63" si="15" xml:space="preserve"> J$65</f>
        <v>5850000</v>
      </c>
      <c r="L63" s="103">
        <f t="shared" si="15"/>
        <v>5700000</v>
      </c>
      <c r="M63" s="103">
        <f t="shared" si="15"/>
        <v>5550000</v>
      </c>
      <c r="N63" s="103">
        <f t="shared" si="15"/>
        <v>5400000</v>
      </c>
      <c r="O63" s="103">
        <f t="shared" si="15"/>
        <v>5250000</v>
      </c>
      <c r="P63" s="103">
        <f t="shared" si="15"/>
        <v>5100000</v>
      </c>
      <c r="Q63" s="103">
        <f t="shared" si="15"/>
        <v>4950000</v>
      </c>
      <c r="R63" s="103">
        <f t="shared" si="15"/>
        <v>4800000</v>
      </c>
      <c r="S63" s="103">
        <f t="shared" si="15"/>
        <v>4650000</v>
      </c>
      <c r="T63" s="103">
        <f t="shared" si="15"/>
        <v>4500000</v>
      </c>
      <c r="U63" s="103">
        <f t="shared" si="15"/>
        <v>4350000</v>
      </c>
      <c r="V63" s="103">
        <f t="shared" si="15"/>
        <v>4200000</v>
      </c>
      <c r="W63" s="103">
        <f t="shared" si="15"/>
        <v>4050000</v>
      </c>
      <c r="X63" s="103">
        <f t="shared" si="15"/>
        <v>3900000</v>
      </c>
      <c r="Y63" s="103">
        <f t="shared" si="15"/>
        <v>3750000</v>
      </c>
      <c r="Z63" s="103">
        <f t="shared" si="15"/>
        <v>3600000</v>
      </c>
      <c r="AA63" s="103">
        <f t="shared" si="15"/>
        <v>3450000</v>
      </c>
      <c r="AB63" s="103">
        <f t="shared" si="15"/>
        <v>3300000</v>
      </c>
      <c r="AC63" s="103">
        <f t="shared" si="15"/>
        <v>3150000</v>
      </c>
      <c r="AD63" s="103">
        <f t="shared" si="15"/>
        <v>3000000</v>
      </c>
      <c r="AE63" s="103">
        <f t="shared" si="15"/>
        <v>2850000</v>
      </c>
      <c r="AF63" s="103">
        <f t="shared" si="15"/>
        <v>2700000</v>
      </c>
      <c r="AG63" s="103">
        <f t="shared" si="15"/>
        <v>2550000</v>
      </c>
      <c r="AH63" s="103">
        <f t="shared" si="15"/>
        <v>2400000</v>
      </c>
      <c r="AI63" s="103">
        <f t="shared" si="15"/>
        <v>2250000</v>
      </c>
      <c r="AJ63" s="103">
        <f t="shared" si="15"/>
        <v>2100000</v>
      </c>
      <c r="AK63" s="103">
        <f t="shared" si="15"/>
        <v>1950000</v>
      </c>
      <c r="AL63" s="103">
        <f t="shared" si="15"/>
        <v>1800000</v>
      </c>
      <c r="AM63" s="103">
        <f t="shared" si="15"/>
        <v>1650000</v>
      </c>
      <c r="AN63" s="103">
        <f t="shared" si="15"/>
        <v>1500000</v>
      </c>
      <c r="AO63" s="103">
        <f t="shared" si="15"/>
        <v>1350000</v>
      </c>
      <c r="AP63" s="103">
        <f t="shared" si="15"/>
        <v>1200000</v>
      </c>
      <c r="AQ63" s="103">
        <f t="shared" si="15"/>
        <v>1050000</v>
      </c>
      <c r="AR63" s="103">
        <f t="shared" si="15"/>
        <v>900000</v>
      </c>
      <c r="AS63" s="103">
        <f t="shared" si="15"/>
        <v>750000</v>
      </c>
      <c r="AT63" s="103">
        <f t="shared" si="15"/>
        <v>600000</v>
      </c>
      <c r="AU63" s="103">
        <f t="shared" si="15"/>
        <v>450000</v>
      </c>
      <c r="AV63" s="103">
        <f t="shared" si="15"/>
        <v>300000</v>
      </c>
      <c r="AW63" s="103">
        <f t="shared" si="15"/>
        <v>150000</v>
      </c>
    </row>
    <row r="64" spans="1:49">
      <c r="A64" s="90"/>
      <c r="E64" s="100" t="s">
        <v>141</v>
      </c>
      <c r="F64" s="101"/>
      <c r="G64" s="100" t="s">
        <v>122</v>
      </c>
      <c r="H64" s="101"/>
      <c r="I64" s="101"/>
      <c r="J64" s="128">
        <f xml:space="preserve"> MIN( $I$65 / Case1Data!$H$30, J$63 ) * - 1</f>
        <v>-150000</v>
      </c>
      <c r="K64" s="101">
        <f xml:space="preserve"> MIN( $I$65 / Case1Data!$H$30, K$63 ) * - 1</f>
        <v>-150000</v>
      </c>
      <c r="L64" s="101">
        <f xml:space="preserve"> MIN( $I$65 / Case1Data!$H$30, L$63 ) * - 1</f>
        <v>-150000</v>
      </c>
      <c r="M64" s="101">
        <f xml:space="preserve"> MIN( $I$65 / Case1Data!$H$30, M$63 ) * - 1</f>
        <v>-150000</v>
      </c>
      <c r="N64" s="101">
        <f xml:space="preserve"> MIN( $I$65 / Case1Data!$H$30, N$63 ) * - 1</f>
        <v>-150000</v>
      </c>
      <c r="O64" s="101">
        <f xml:space="preserve"> MIN( $I$65 / Case1Data!$H$30, O$63 ) * - 1</f>
        <v>-150000</v>
      </c>
      <c r="P64" s="101">
        <f xml:space="preserve"> MIN( $I$65 / Case1Data!$H$30, P$63 ) * - 1</f>
        <v>-150000</v>
      </c>
      <c r="Q64" s="101">
        <f xml:space="preserve"> MIN( $I$65 / Case1Data!$H$30, Q$63 ) * - 1</f>
        <v>-150000</v>
      </c>
      <c r="R64" s="101">
        <f xml:space="preserve"> MIN( $I$65 / Case1Data!$H$30, R$63 ) * - 1</f>
        <v>-150000</v>
      </c>
      <c r="S64" s="101">
        <f xml:space="preserve"> MIN( $I$65 / Case1Data!$H$30, S$63 ) * - 1</f>
        <v>-150000</v>
      </c>
      <c r="T64" s="101">
        <f xml:space="preserve"> MIN( $I$65 / Case1Data!$H$30, T$63 ) * - 1</f>
        <v>-150000</v>
      </c>
      <c r="U64" s="101">
        <f xml:space="preserve"> MIN( $I$65 / Case1Data!$H$30, U$63 ) * - 1</f>
        <v>-150000</v>
      </c>
      <c r="V64" s="101">
        <f xml:space="preserve"> MIN( $I$65 / Case1Data!$H$30, V$63 ) * - 1</f>
        <v>-150000</v>
      </c>
      <c r="W64" s="101">
        <f xml:space="preserve"> MIN( $I$65 / Case1Data!$H$30, W$63 ) * - 1</f>
        <v>-150000</v>
      </c>
      <c r="X64" s="101">
        <f xml:space="preserve"> MIN( $I$65 / Case1Data!$H$30, X$63 ) * - 1</f>
        <v>-150000</v>
      </c>
      <c r="Y64" s="101">
        <f xml:space="preserve"> MIN( $I$65 / Case1Data!$H$30, Y$63 ) * - 1</f>
        <v>-150000</v>
      </c>
      <c r="Z64" s="101">
        <f xml:space="preserve"> MIN( $I$65 / Case1Data!$H$30, Z$63 ) * - 1</f>
        <v>-150000</v>
      </c>
      <c r="AA64" s="101">
        <f xml:space="preserve"> MIN( $I$65 / Case1Data!$H$30, AA$63 ) * - 1</f>
        <v>-150000</v>
      </c>
      <c r="AB64" s="101">
        <f xml:space="preserve"> MIN( $I$65 / Case1Data!$H$30, AB$63 ) * - 1</f>
        <v>-150000</v>
      </c>
      <c r="AC64" s="101">
        <f xml:space="preserve"> MIN( $I$65 / Case1Data!$H$30, AC$63 ) * - 1</f>
        <v>-150000</v>
      </c>
      <c r="AD64" s="101">
        <f xml:space="preserve"> MIN( $I$65 / Case1Data!$H$30, AD$63 ) * - 1</f>
        <v>-150000</v>
      </c>
      <c r="AE64" s="101">
        <f xml:space="preserve"> MIN( $I$65 / Case1Data!$H$30, AE$63 ) * - 1</f>
        <v>-150000</v>
      </c>
      <c r="AF64" s="101">
        <f xml:space="preserve"> MIN( $I$65 / Case1Data!$H$30, AF$63 ) * - 1</f>
        <v>-150000</v>
      </c>
      <c r="AG64" s="101">
        <f xml:space="preserve"> MIN( $I$65 / Case1Data!$H$30, AG$63 ) * - 1</f>
        <v>-150000</v>
      </c>
      <c r="AH64" s="101">
        <f xml:space="preserve"> MIN( $I$65 / Case1Data!$H$30, AH$63 ) * - 1</f>
        <v>-150000</v>
      </c>
      <c r="AI64" s="101">
        <f xml:space="preserve"> MIN( $I$65 / Case1Data!$H$30, AI$63 ) * - 1</f>
        <v>-150000</v>
      </c>
      <c r="AJ64" s="101">
        <f xml:space="preserve"> MIN( $I$65 / Case1Data!$H$30, AJ$63 ) * - 1</f>
        <v>-150000</v>
      </c>
      <c r="AK64" s="101">
        <f xml:space="preserve"> MIN( $I$65 / Case1Data!$H$30, AK$63 ) * - 1</f>
        <v>-150000</v>
      </c>
      <c r="AL64" s="101">
        <f xml:space="preserve"> MIN( $I$65 / Case1Data!$H$30, AL$63 ) * - 1</f>
        <v>-150000</v>
      </c>
      <c r="AM64" s="101">
        <f xml:space="preserve"> MIN( $I$65 / Case1Data!$H$30, AM$63 ) * - 1</f>
        <v>-150000</v>
      </c>
      <c r="AN64" s="101">
        <f xml:space="preserve"> MIN( $I$65 / Case1Data!$H$30, AN$63 ) * - 1</f>
        <v>-150000</v>
      </c>
      <c r="AO64" s="101">
        <f xml:space="preserve"> MIN( $I$65 / Case1Data!$H$30, AO$63 ) * - 1</f>
        <v>-150000</v>
      </c>
      <c r="AP64" s="101">
        <f xml:space="preserve"> MIN( $I$65 / Case1Data!$H$30, AP$63 ) * - 1</f>
        <v>-150000</v>
      </c>
      <c r="AQ64" s="101">
        <f xml:space="preserve"> MIN( $I$65 / Case1Data!$H$30, AQ$63 ) * - 1</f>
        <v>-150000</v>
      </c>
      <c r="AR64" s="101">
        <f xml:space="preserve"> MIN( $I$65 / Case1Data!$H$30, AR$63 ) * - 1</f>
        <v>-150000</v>
      </c>
      <c r="AS64" s="101">
        <f xml:space="preserve"> MIN( $I$65 / Case1Data!$H$30, AS$63 ) * - 1</f>
        <v>-150000</v>
      </c>
      <c r="AT64" s="101">
        <f xml:space="preserve"> MIN( $I$65 / Case1Data!$H$30, AT$63 ) * - 1</f>
        <v>-150000</v>
      </c>
      <c r="AU64" s="101">
        <f xml:space="preserve"> MIN( $I$65 / Case1Data!$H$30, AU$63 ) * - 1</f>
        <v>-150000</v>
      </c>
      <c r="AV64" s="101">
        <f xml:space="preserve"> MIN( $I$65 / Case1Data!$H$30, AV$63 ) * - 1</f>
        <v>-150000</v>
      </c>
      <c r="AW64" s="101">
        <f xml:space="preserve"> MIN( $I$65 / Case1Data!$H$30, AW$63 ) * - 1</f>
        <v>-150000</v>
      </c>
    </row>
    <row r="65" spans="1:49">
      <c r="A65" s="90"/>
      <c r="E65" s="104" t="s">
        <v>111</v>
      </c>
      <c r="F65" s="105"/>
      <c r="G65" s="104" t="s">
        <v>122</v>
      </c>
      <c r="H65" s="116"/>
      <c r="I65" s="106">
        <f>Case1Data!$H$28</f>
        <v>6000000</v>
      </c>
      <c r="J65" s="105">
        <f>SUM(J63:J64)</f>
        <v>5850000</v>
      </c>
      <c r="K65" s="105">
        <f t="shared" ref="K65:AW65" si="16">SUM(K63:K64)</f>
        <v>5700000</v>
      </c>
      <c r="L65" s="105">
        <f t="shared" si="16"/>
        <v>5550000</v>
      </c>
      <c r="M65" s="105">
        <f t="shared" si="16"/>
        <v>5400000</v>
      </c>
      <c r="N65" s="105">
        <f t="shared" si="16"/>
        <v>5250000</v>
      </c>
      <c r="O65" s="105">
        <f t="shared" si="16"/>
        <v>5100000</v>
      </c>
      <c r="P65" s="105">
        <f t="shared" si="16"/>
        <v>4950000</v>
      </c>
      <c r="Q65" s="105">
        <f t="shared" si="16"/>
        <v>4800000</v>
      </c>
      <c r="R65" s="105">
        <f t="shared" si="16"/>
        <v>4650000</v>
      </c>
      <c r="S65" s="105">
        <f t="shared" si="16"/>
        <v>4500000</v>
      </c>
      <c r="T65" s="105">
        <f t="shared" si="16"/>
        <v>4350000</v>
      </c>
      <c r="U65" s="105">
        <f t="shared" si="16"/>
        <v>4200000</v>
      </c>
      <c r="V65" s="105">
        <f t="shared" si="16"/>
        <v>4050000</v>
      </c>
      <c r="W65" s="105">
        <f t="shared" si="16"/>
        <v>3900000</v>
      </c>
      <c r="X65" s="105">
        <f t="shared" si="16"/>
        <v>3750000</v>
      </c>
      <c r="Y65" s="105">
        <f t="shared" si="16"/>
        <v>3600000</v>
      </c>
      <c r="Z65" s="105">
        <f t="shared" si="16"/>
        <v>3450000</v>
      </c>
      <c r="AA65" s="105">
        <f t="shared" si="16"/>
        <v>3300000</v>
      </c>
      <c r="AB65" s="105">
        <f t="shared" si="16"/>
        <v>3150000</v>
      </c>
      <c r="AC65" s="105">
        <f t="shared" si="16"/>
        <v>3000000</v>
      </c>
      <c r="AD65" s="105">
        <f t="shared" si="16"/>
        <v>2850000</v>
      </c>
      <c r="AE65" s="105">
        <f t="shared" si="16"/>
        <v>2700000</v>
      </c>
      <c r="AF65" s="105">
        <f t="shared" si="16"/>
        <v>2550000</v>
      </c>
      <c r="AG65" s="105">
        <f t="shared" si="16"/>
        <v>2400000</v>
      </c>
      <c r="AH65" s="105">
        <f t="shared" si="16"/>
        <v>2250000</v>
      </c>
      <c r="AI65" s="105">
        <f t="shared" si="16"/>
        <v>2100000</v>
      </c>
      <c r="AJ65" s="105">
        <f t="shared" si="16"/>
        <v>1950000</v>
      </c>
      <c r="AK65" s="105">
        <f t="shared" si="16"/>
        <v>1800000</v>
      </c>
      <c r="AL65" s="105">
        <f t="shared" si="16"/>
        <v>1650000</v>
      </c>
      <c r="AM65" s="105">
        <f t="shared" si="16"/>
        <v>1500000</v>
      </c>
      <c r="AN65" s="105">
        <f t="shared" si="16"/>
        <v>1350000</v>
      </c>
      <c r="AO65" s="105">
        <f t="shared" si="16"/>
        <v>1200000</v>
      </c>
      <c r="AP65" s="105">
        <f t="shared" si="16"/>
        <v>1050000</v>
      </c>
      <c r="AQ65" s="105">
        <f t="shared" si="16"/>
        <v>900000</v>
      </c>
      <c r="AR65" s="105">
        <f t="shared" si="16"/>
        <v>750000</v>
      </c>
      <c r="AS65" s="105">
        <f t="shared" si="16"/>
        <v>600000</v>
      </c>
      <c r="AT65" s="105">
        <f t="shared" si="16"/>
        <v>450000</v>
      </c>
      <c r="AU65" s="105">
        <f t="shared" si="16"/>
        <v>300000</v>
      </c>
      <c r="AV65" s="105">
        <f t="shared" si="16"/>
        <v>150000</v>
      </c>
      <c r="AW65" s="105">
        <f t="shared" si="16"/>
        <v>0</v>
      </c>
    </row>
    <row r="66" spans="1:49">
      <c r="A66" s="90"/>
    </row>
    <row r="67" spans="1:49">
      <c r="A67" s="90"/>
    </row>
    <row r="68" spans="1:49">
      <c r="A68" s="90"/>
      <c r="C68" s="107" t="s">
        <v>142</v>
      </c>
    </row>
    <row r="69" spans="1:49">
      <c r="A69" s="90"/>
      <c r="E69" s="91" t="s">
        <v>144</v>
      </c>
      <c r="F69" s="99">
        <f>Case1Data!$H$29</f>
        <v>7.0000000000000007E-2</v>
      </c>
      <c r="G69" s="91" t="s">
        <v>129</v>
      </c>
    </row>
    <row r="70" spans="1:49">
      <c r="E70" s="93" t="s">
        <v>149</v>
      </c>
      <c r="F70" s="89"/>
      <c r="G70" s="93" t="s">
        <v>122</v>
      </c>
      <c r="H70" s="89"/>
      <c r="I70" s="89"/>
      <c r="J70" s="89">
        <f xml:space="preserve"> J$63 * $F$69 / 4</f>
        <v>105000.00000000001</v>
      </c>
      <c r="K70" s="89">
        <f t="shared" ref="K70:AW70" si="17" xml:space="preserve"> K$63 * $F$69 / 4</f>
        <v>102375.00000000001</v>
      </c>
      <c r="L70" s="89">
        <f t="shared" si="17"/>
        <v>99750.000000000015</v>
      </c>
      <c r="M70" s="89">
        <f t="shared" si="17"/>
        <v>97125.000000000015</v>
      </c>
      <c r="N70" s="89">
        <f t="shared" si="17"/>
        <v>94500.000000000015</v>
      </c>
      <c r="O70" s="89">
        <f t="shared" si="17"/>
        <v>91875.000000000015</v>
      </c>
      <c r="P70" s="89">
        <f t="shared" si="17"/>
        <v>89250.000000000015</v>
      </c>
      <c r="Q70" s="89">
        <f t="shared" si="17"/>
        <v>86625.000000000015</v>
      </c>
      <c r="R70" s="89">
        <f t="shared" si="17"/>
        <v>84000.000000000015</v>
      </c>
      <c r="S70" s="89">
        <f t="shared" si="17"/>
        <v>81375.000000000015</v>
      </c>
      <c r="T70" s="89">
        <f t="shared" si="17"/>
        <v>78750.000000000015</v>
      </c>
      <c r="U70" s="89">
        <f t="shared" si="17"/>
        <v>76125</v>
      </c>
      <c r="V70" s="89">
        <f t="shared" si="17"/>
        <v>73500</v>
      </c>
      <c r="W70" s="89">
        <f t="shared" si="17"/>
        <v>70875</v>
      </c>
      <c r="X70" s="89">
        <f t="shared" si="17"/>
        <v>68250</v>
      </c>
      <c r="Y70" s="89">
        <f t="shared" si="17"/>
        <v>65625</v>
      </c>
      <c r="Z70" s="89">
        <f t="shared" si="17"/>
        <v>63000.000000000007</v>
      </c>
      <c r="AA70" s="89">
        <f t="shared" si="17"/>
        <v>60375.000000000007</v>
      </c>
      <c r="AB70" s="89">
        <f t="shared" si="17"/>
        <v>57750.000000000007</v>
      </c>
      <c r="AC70" s="89">
        <f t="shared" si="17"/>
        <v>55125.000000000007</v>
      </c>
      <c r="AD70" s="89">
        <f t="shared" si="17"/>
        <v>52500.000000000007</v>
      </c>
      <c r="AE70" s="89">
        <f t="shared" si="17"/>
        <v>49875.000000000007</v>
      </c>
      <c r="AF70" s="89">
        <f t="shared" si="17"/>
        <v>47250.000000000007</v>
      </c>
      <c r="AG70" s="89">
        <f t="shared" si="17"/>
        <v>44625.000000000007</v>
      </c>
      <c r="AH70" s="89">
        <f t="shared" si="17"/>
        <v>42000.000000000007</v>
      </c>
      <c r="AI70" s="89">
        <f t="shared" si="17"/>
        <v>39375.000000000007</v>
      </c>
      <c r="AJ70" s="89">
        <f t="shared" si="17"/>
        <v>36750</v>
      </c>
      <c r="AK70" s="89">
        <f t="shared" si="17"/>
        <v>34125</v>
      </c>
      <c r="AL70" s="89">
        <f t="shared" si="17"/>
        <v>31500.000000000004</v>
      </c>
      <c r="AM70" s="89">
        <f t="shared" si="17"/>
        <v>28875.000000000004</v>
      </c>
      <c r="AN70" s="89">
        <f t="shared" si="17"/>
        <v>26250.000000000004</v>
      </c>
      <c r="AO70" s="89">
        <f t="shared" si="17"/>
        <v>23625.000000000004</v>
      </c>
      <c r="AP70" s="89">
        <f t="shared" si="17"/>
        <v>21000.000000000004</v>
      </c>
      <c r="AQ70" s="89">
        <f t="shared" si="17"/>
        <v>18375</v>
      </c>
      <c r="AR70" s="89">
        <f t="shared" si="17"/>
        <v>15750.000000000002</v>
      </c>
      <c r="AS70" s="89">
        <f t="shared" si="17"/>
        <v>13125.000000000002</v>
      </c>
      <c r="AT70" s="89">
        <f t="shared" si="17"/>
        <v>10500.000000000002</v>
      </c>
      <c r="AU70" s="89">
        <f t="shared" si="17"/>
        <v>7875.0000000000009</v>
      </c>
      <c r="AV70" s="89">
        <f t="shared" si="17"/>
        <v>5250.0000000000009</v>
      </c>
      <c r="AW70" s="89">
        <f t="shared" si="17"/>
        <v>2625.0000000000005</v>
      </c>
    </row>
    <row r="73" spans="1:49" s="84" customFormat="1">
      <c r="A73" s="83" t="s">
        <v>145</v>
      </c>
      <c r="E73" s="85"/>
      <c r="G73" s="85"/>
    </row>
    <row r="76" spans="1:49">
      <c r="C76" s="107" t="s">
        <v>146</v>
      </c>
    </row>
    <row r="77" spans="1:49">
      <c r="E77" s="95" t="str">
        <f>E$37</f>
        <v>EBIDTA</v>
      </c>
      <c r="F77" s="95"/>
      <c r="G77" s="95" t="str">
        <f>G$37</f>
        <v>USD</v>
      </c>
      <c r="H77" s="95" cm="1">
        <f t="array" ref="H77:H84">_xlfn.BYROW( J77:AW84, _xleta.SUM )</f>
        <v>27959338</v>
      </c>
      <c r="I77" s="95">
        <f t="shared" ref="I77" si="18">I$17</f>
        <v>0</v>
      </c>
      <c r="J77" s="95">
        <f>J$37</f>
        <v>679388</v>
      </c>
      <c r="K77" s="95">
        <f t="shared" ref="K77:AW77" si="19">K$37</f>
        <v>672030</v>
      </c>
      <c r="L77" s="95">
        <f t="shared" si="19"/>
        <v>665707</v>
      </c>
      <c r="M77" s="95">
        <f t="shared" si="19"/>
        <v>663538</v>
      </c>
      <c r="N77" s="95">
        <f t="shared" si="19"/>
        <v>664533</v>
      </c>
      <c r="O77" s="95">
        <f t="shared" si="19"/>
        <v>650141</v>
      </c>
      <c r="P77" s="95">
        <f t="shared" si="19"/>
        <v>649560</v>
      </c>
      <c r="Q77" s="95">
        <f t="shared" si="19"/>
        <v>645058</v>
      </c>
      <c r="R77" s="95">
        <f t="shared" si="19"/>
        <v>676898</v>
      </c>
      <c r="S77" s="95">
        <f t="shared" si="19"/>
        <v>642290</v>
      </c>
      <c r="T77" s="95">
        <f t="shared" si="19"/>
        <v>652741</v>
      </c>
      <c r="U77" s="95">
        <f t="shared" si="19"/>
        <v>643964</v>
      </c>
      <c r="V77" s="95">
        <f t="shared" si="19"/>
        <v>642292</v>
      </c>
      <c r="W77" s="95">
        <f t="shared" si="19"/>
        <v>671775</v>
      </c>
      <c r="X77" s="95">
        <f t="shared" si="19"/>
        <v>674599</v>
      </c>
      <c r="Y77" s="95">
        <f t="shared" si="19"/>
        <v>685274</v>
      </c>
      <c r="Z77" s="95">
        <f t="shared" si="19"/>
        <v>660287</v>
      </c>
      <c r="AA77" s="95">
        <f t="shared" si="19"/>
        <v>677193</v>
      </c>
      <c r="AB77" s="95">
        <f t="shared" si="19"/>
        <v>687307</v>
      </c>
      <c r="AC77" s="95">
        <f t="shared" si="19"/>
        <v>699274</v>
      </c>
      <c r="AD77" s="95">
        <f t="shared" si="19"/>
        <v>719236</v>
      </c>
      <c r="AE77" s="95">
        <f t="shared" si="19"/>
        <v>693326</v>
      </c>
      <c r="AF77" s="95">
        <f t="shared" si="19"/>
        <v>713143</v>
      </c>
      <c r="AG77" s="95">
        <f t="shared" si="19"/>
        <v>698365</v>
      </c>
      <c r="AH77" s="95">
        <f t="shared" si="19"/>
        <v>699462</v>
      </c>
      <c r="AI77" s="95">
        <f t="shared" si="19"/>
        <v>706344</v>
      </c>
      <c r="AJ77" s="95">
        <f t="shared" si="19"/>
        <v>738541</v>
      </c>
      <c r="AK77" s="95">
        <f t="shared" si="19"/>
        <v>706443</v>
      </c>
      <c r="AL77" s="95">
        <f t="shared" si="19"/>
        <v>696744</v>
      </c>
      <c r="AM77" s="95">
        <f t="shared" si="19"/>
        <v>714636</v>
      </c>
      <c r="AN77" s="95">
        <f t="shared" si="19"/>
        <v>755656</v>
      </c>
      <c r="AO77" s="95">
        <f t="shared" si="19"/>
        <v>750348</v>
      </c>
      <c r="AP77" s="95">
        <f t="shared" si="19"/>
        <v>740563</v>
      </c>
      <c r="AQ77" s="95">
        <f t="shared" si="19"/>
        <v>731253</v>
      </c>
      <c r="AR77" s="95">
        <f t="shared" si="19"/>
        <v>755344</v>
      </c>
      <c r="AS77" s="95">
        <f t="shared" si="19"/>
        <v>768793</v>
      </c>
      <c r="AT77" s="95">
        <f t="shared" si="19"/>
        <v>764348</v>
      </c>
      <c r="AU77" s="95">
        <f t="shared" si="19"/>
        <v>758728</v>
      </c>
      <c r="AV77" s="95">
        <f t="shared" si="19"/>
        <v>771909</v>
      </c>
      <c r="AW77" s="95">
        <f t="shared" si="19"/>
        <v>772307</v>
      </c>
    </row>
    <row r="78" spans="1:49">
      <c r="E78" s="95" t="str">
        <f>E$57</f>
        <v>Debt Service Reserve Account ("DSRA") interest income</v>
      </c>
      <c r="F78" s="95"/>
      <c r="G78" s="95" t="str">
        <f t="shared" ref="G78:AW78" si="20">G$57</f>
        <v>USD</v>
      </c>
      <c r="H78" s="95">
        <v>67500</v>
      </c>
      <c r="I78" s="95">
        <f t="shared" si="20"/>
        <v>0</v>
      </c>
      <c r="J78" s="95">
        <f t="shared" si="20"/>
        <v>1875</v>
      </c>
      <c r="K78" s="95">
        <f t="shared" si="20"/>
        <v>1875</v>
      </c>
      <c r="L78" s="95">
        <f t="shared" si="20"/>
        <v>1875</v>
      </c>
      <c r="M78" s="95">
        <f t="shared" si="20"/>
        <v>1875</v>
      </c>
      <c r="N78" s="95">
        <f t="shared" si="20"/>
        <v>1875</v>
      </c>
      <c r="O78" s="95">
        <f t="shared" si="20"/>
        <v>1875</v>
      </c>
      <c r="P78" s="95">
        <f t="shared" si="20"/>
        <v>1875</v>
      </c>
      <c r="Q78" s="95">
        <f t="shared" si="20"/>
        <v>1875</v>
      </c>
      <c r="R78" s="95">
        <f t="shared" si="20"/>
        <v>1875</v>
      </c>
      <c r="S78" s="95">
        <f t="shared" si="20"/>
        <v>1875</v>
      </c>
      <c r="T78" s="95">
        <f t="shared" si="20"/>
        <v>1875</v>
      </c>
      <c r="U78" s="95">
        <f t="shared" si="20"/>
        <v>1875</v>
      </c>
      <c r="V78" s="95">
        <f t="shared" si="20"/>
        <v>1875</v>
      </c>
      <c r="W78" s="95">
        <f t="shared" si="20"/>
        <v>1875</v>
      </c>
      <c r="X78" s="95">
        <f t="shared" si="20"/>
        <v>1875</v>
      </c>
      <c r="Y78" s="95">
        <f t="shared" si="20"/>
        <v>1875</v>
      </c>
      <c r="Z78" s="95">
        <f t="shared" si="20"/>
        <v>1875</v>
      </c>
      <c r="AA78" s="95">
        <f t="shared" si="20"/>
        <v>1875</v>
      </c>
      <c r="AB78" s="95">
        <f t="shared" si="20"/>
        <v>1875</v>
      </c>
      <c r="AC78" s="95">
        <f t="shared" si="20"/>
        <v>1875</v>
      </c>
      <c r="AD78" s="95">
        <f t="shared" si="20"/>
        <v>1875</v>
      </c>
      <c r="AE78" s="95">
        <f t="shared" si="20"/>
        <v>1875</v>
      </c>
      <c r="AF78" s="95">
        <f t="shared" si="20"/>
        <v>1875</v>
      </c>
      <c r="AG78" s="95">
        <f t="shared" si="20"/>
        <v>1875</v>
      </c>
      <c r="AH78" s="95">
        <f t="shared" si="20"/>
        <v>1875</v>
      </c>
      <c r="AI78" s="95">
        <f t="shared" si="20"/>
        <v>1875</v>
      </c>
      <c r="AJ78" s="95">
        <f t="shared" si="20"/>
        <v>1875</v>
      </c>
      <c r="AK78" s="95">
        <f t="shared" si="20"/>
        <v>1875</v>
      </c>
      <c r="AL78" s="95">
        <f t="shared" si="20"/>
        <v>1875</v>
      </c>
      <c r="AM78" s="95">
        <f t="shared" si="20"/>
        <v>1875</v>
      </c>
      <c r="AN78" s="95">
        <f t="shared" si="20"/>
        <v>1875</v>
      </c>
      <c r="AO78" s="95">
        <f t="shared" si="20"/>
        <v>1875</v>
      </c>
      <c r="AP78" s="95">
        <f t="shared" si="20"/>
        <v>1875</v>
      </c>
      <c r="AQ78" s="95">
        <f t="shared" si="20"/>
        <v>1875</v>
      </c>
      <c r="AR78" s="95">
        <f t="shared" si="20"/>
        <v>1875</v>
      </c>
      <c r="AS78" s="95">
        <f t="shared" si="20"/>
        <v>1875</v>
      </c>
      <c r="AT78" s="95">
        <f t="shared" si="20"/>
        <v>0</v>
      </c>
      <c r="AU78" s="95">
        <f t="shared" si="20"/>
        <v>0</v>
      </c>
      <c r="AV78" s="95">
        <f t="shared" si="20"/>
        <v>0</v>
      </c>
      <c r="AW78" s="95">
        <f t="shared" si="20"/>
        <v>0</v>
      </c>
    </row>
    <row r="79" spans="1:49">
      <c r="E79" s="95" t="s">
        <v>156</v>
      </c>
      <c r="G79" s="91" t="str">
        <f>G$53</f>
        <v>USD</v>
      </c>
      <c r="H79" s="90">
        <v>500000</v>
      </c>
      <c r="J79" s="90">
        <f>J$53 * - 1</f>
        <v>0</v>
      </c>
      <c r="K79" s="90">
        <f t="shared" ref="K79:AW79" si="21">K$53 * - 1</f>
        <v>0</v>
      </c>
      <c r="L79" s="90">
        <f t="shared" si="21"/>
        <v>0</v>
      </c>
      <c r="M79" s="90">
        <f t="shared" si="21"/>
        <v>0</v>
      </c>
      <c r="N79" s="90">
        <f t="shared" si="21"/>
        <v>0</v>
      </c>
      <c r="O79" s="90">
        <f t="shared" si="21"/>
        <v>0</v>
      </c>
      <c r="P79" s="90">
        <f t="shared" si="21"/>
        <v>0</v>
      </c>
      <c r="Q79" s="90">
        <f t="shared" si="21"/>
        <v>0</v>
      </c>
      <c r="R79" s="90">
        <f t="shared" si="21"/>
        <v>0</v>
      </c>
      <c r="S79" s="90">
        <f t="shared" si="21"/>
        <v>0</v>
      </c>
      <c r="T79" s="90">
        <f t="shared" si="21"/>
        <v>0</v>
      </c>
      <c r="U79" s="90">
        <f t="shared" si="21"/>
        <v>0</v>
      </c>
      <c r="V79" s="90">
        <f t="shared" si="21"/>
        <v>0</v>
      </c>
      <c r="W79" s="90">
        <f t="shared" si="21"/>
        <v>0</v>
      </c>
      <c r="X79" s="90">
        <f t="shared" si="21"/>
        <v>0</v>
      </c>
      <c r="Y79" s="90">
        <f t="shared" si="21"/>
        <v>0</v>
      </c>
      <c r="Z79" s="90">
        <f t="shared" si="21"/>
        <v>0</v>
      </c>
      <c r="AA79" s="90">
        <f t="shared" si="21"/>
        <v>0</v>
      </c>
      <c r="AB79" s="90">
        <f t="shared" si="21"/>
        <v>0</v>
      </c>
      <c r="AC79" s="90">
        <f t="shared" si="21"/>
        <v>0</v>
      </c>
      <c r="AD79" s="90">
        <f t="shared" si="21"/>
        <v>0</v>
      </c>
      <c r="AE79" s="90">
        <f t="shared" si="21"/>
        <v>0</v>
      </c>
      <c r="AF79" s="90">
        <f t="shared" si="21"/>
        <v>0</v>
      </c>
      <c r="AG79" s="90">
        <f t="shared" si="21"/>
        <v>0</v>
      </c>
      <c r="AH79" s="90">
        <f t="shared" si="21"/>
        <v>0</v>
      </c>
      <c r="AI79" s="90">
        <f t="shared" si="21"/>
        <v>0</v>
      </c>
      <c r="AJ79" s="90">
        <f t="shared" si="21"/>
        <v>0</v>
      </c>
      <c r="AK79" s="90">
        <f t="shared" si="21"/>
        <v>0</v>
      </c>
      <c r="AL79" s="90">
        <f t="shared" si="21"/>
        <v>0</v>
      </c>
      <c r="AM79" s="90">
        <f t="shared" si="21"/>
        <v>0</v>
      </c>
      <c r="AN79" s="90">
        <f t="shared" si="21"/>
        <v>0</v>
      </c>
      <c r="AO79" s="90">
        <f t="shared" si="21"/>
        <v>0</v>
      </c>
      <c r="AP79" s="90">
        <f t="shared" si="21"/>
        <v>0</v>
      </c>
      <c r="AQ79" s="90">
        <f t="shared" si="21"/>
        <v>0</v>
      </c>
      <c r="AR79" s="90">
        <f t="shared" si="21"/>
        <v>0</v>
      </c>
      <c r="AS79" s="90">
        <f t="shared" si="21"/>
        <v>500000</v>
      </c>
      <c r="AT79" s="90">
        <f t="shared" si="21"/>
        <v>0</v>
      </c>
      <c r="AU79" s="90">
        <f t="shared" si="21"/>
        <v>0</v>
      </c>
      <c r="AV79" s="90">
        <f t="shared" si="21"/>
        <v>0</v>
      </c>
      <c r="AW79" s="90">
        <f t="shared" si="21"/>
        <v>0</v>
      </c>
    </row>
    <row r="80" spans="1:49">
      <c r="E80" s="95" t="str">
        <f>E$23</f>
        <v>Senior Debt addition / (repayment)</v>
      </c>
      <c r="F80" s="95"/>
      <c r="G80" s="95" t="str">
        <f t="shared" ref="G80:AW80" si="22">G$23</f>
        <v>USD</v>
      </c>
      <c r="H80" s="95">
        <v>-10000000</v>
      </c>
      <c r="I80" s="95">
        <f t="shared" si="22"/>
        <v>0</v>
      </c>
      <c r="J80" s="95">
        <f t="shared" si="22"/>
        <v>-228131.5</v>
      </c>
      <c r="K80" s="95">
        <f t="shared" si="22"/>
        <v>-227018.979375</v>
      </c>
      <c r="L80" s="95">
        <f t="shared" si="22"/>
        <v>-226411.44289296874</v>
      </c>
      <c r="M80" s="95">
        <f t="shared" si="22"/>
        <v>-227874.07162551465</v>
      </c>
      <c r="N80" s="95">
        <f t="shared" si="22"/>
        <v>-230935.15493130166</v>
      </c>
      <c r="O80" s="95">
        <f t="shared" si="22"/>
        <v>-226337.17542427883</v>
      </c>
      <c r="P80" s="95">
        <f t="shared" si="22"/>
        <v>-228592.96864780196</v>
      </c>
      <c r="Q80" s="95">
        <f t="shared" si="22"/>
        <v>-228913.63954508974</v>
      </c>
      <c r="R80" s="95">
        <f t="shared" si="22"/>
        <v>-247408.91798997199</v>
      </c>
      <c r="S80" s="95">
        <f t="shared" si="22"/>
        <v>-232888.26831735918</v>
      </c>
      <c r="T80" s="95">
        <f t="shared" si="22"/>
        <v>-240733.76133592948</v>
      </c>
      <c r="U80" s="95">
        <f t="shared" si="22"/>
        <v>-239053.51615095866</v>
      </c>
      <c r="V80" s="95">
        <f t="shared" si="22"/>
        <v>-240906.86820765695</v>
      </c>
      <c r="W80" s="95">
        <f t="shared" si="22"/>
        <v>-258358.57047499309</v>
      </c>
      <c r="X80" s="95">
        <f t="shared" si="22"/>
        <v>-262677.1043928368</v>
      </c>
      <c r="Y80" s="95">
        <f t="shared" si="22"/>
        <v>-270969.72181725618</v>
      </c>
      <c r="Z80" s="95">
        <f t="shared" si="22"/>
        <v>-261524.63118770032</v>
      </c>
      <c r="AA80" s="95">
        <f t="shared" si="22"/>
        <v>-272919.78328856197</v>
      </c>
      <c r="AB80" s="95">
        <f t="shared" si="22"/>
        <v>-281047.13085055829</v>
      </c>
      <c r="AC80" s="95">
        <f t="shared" si="22"/>
        <v>-290192.41107262706</v>
      </c>
      <c r="AD80" s="95">
        <f t="shared" si="22"/>
        <v>-303438.07569719409</v>
      </c>
      <c r="AE80" s="95">
        <f t="shared" si="22"/>
        <v>-293896.75404878752</v>
      </c>
      <c r="AF80" s="95">
        <f t="shared" si="22"/>
        <v>-307111.59253183642</v>
      </c>
      <c r="AG80" s="95">
        <f t="shared" si="22"/>
        <v>-303177.59794781957</v>
      </c>
      <c r="AH80" s="95">
        <f t="shared" si="22"/>
        <v>-307136.84592473251</v>
      </c>
      <c r="AI80" s="95">
        <f t="shared" si="22"/>
        <v>-314033.13544138579</v>
      </c>
      <c r="AJ80" s="95">
        <f t="shared" si="22"/>
        <v>-333664.50821510138</v>
      </c>
      <c r="AK80" s="95">
        <f t="shared" si="22"/>
        <v>-321369.23393252125</v>
      </c>
      <c r="AL80" s="95">
        <f t="shared" si="22"/>
        <v>-320135.13781426213</v>
      </c>
      <c r="AM80" s="95">
        <f t="shared" si="22"/>
        <v>-332682.65811467258</v>
      </c>
      <c r="AN80" s="95">
        <f t="shared" si="22"/>
        <v>-356935.33801846264</v>
      </c>
      <c r="AO80" s="95">
        <f t="shared" si="22"/>
        <v>-358296.86057117034</v>
      </c>
      <c r="AP80" s="95">
        <f t="shared" si="22"/>
        <v>-357435.200252596</v>
      </c>
      <c r="AQ80" s="95">
        <f t="shared" si="22"/>
        <v>-356801.3462554377</v>
      </c>
      <c r="AR80" s="95">
        <f t="shared" si="22"/>
        <v>-372860.86140081135</v>
      </c>
      <c r="AS80" s="95">
        <f t="shared" si="22"/>
        <v>-138129.23630484438</v>
      </c>
      <c r="AT80" s="95">
        <f t="shared" si="22"/>
        <v>0</v>
      </c>
      <c r="AU80" s="95">
        <f t="shared" si="22"/>
        <v>0</v>
      </c>
      <c r="AV80" s="95">
        <f t="shared" si="22"/>
        <v>0</v>
      </c>
      <c r="AW80" s="95">
        <f t="shared" si="22"/>
        <v>0</v>
      </c>
    </row>
    <row r="81" spans="1:49">
      <c r="E81" s="95" t="str">
        <f>E$29</f>
        <v>Senior Debt interest expenses</v>
      </c>
      <c r="F81" s="95"/>
      <c r="G81" s="95" t="str">
        <f t="shared" ref="G81:I81" si="23">G$29</f>
        <v>USD</v>
      </c>
      <c r="H81" s="95">
        <v>-2234122.1902132728</v>
      </c>
      <c r="I81" s="95">
        <f t="shared" si="23"/>
        <v>0</v>
      </c>
      <c r="J81" s="95">
        <f>J$29 * - 1</f>
        <v>-112500</v>
      </c>
      <c r="K81" s="95">
        <f t="shared" ref="K81:AW81" si="24">K$29 * - 1</f>
        <v>-109933.52062499999</v>
      </c>
      <c r="L81" s="95">
        <f t="shared" si="24"/>
        <v>-107379.55710703126</v>
      </c>
      <c r="M81" s="95">
        <f t="shared" si="24"/>
        <v>-104832.42837448536</v>
      </c>
      <c r="N81" s="95">
        <f t="shared" si="24"/>
        <v>-102268.84506869833</v>
      </c>
      <c r="O81" s="95">
        <f t="shared" si="24"/>
        <v>-99670.824575721184</v>
      </c>
      <c r="P81" s="95">
        <f t="shared" si="24"/>
        <v>-97124.531352198042</v>
      </c>
      <c r="Q81" s="95">
        <f t="shared" si="24"/>
        <v>-94552.86045491026</v>
      </c>
      <c r="R81" s="95">
        <f t="shared" si="24"/>
        <v>-91977.582010028011</v>
      </c>
      <c r="S81" s="95">
        <f t="shared" si="24"/>
        <v>-89194.231682640821</v>
      </c>
      <c r="T81" s="95">
        <f t="shared" si="24"/>
        <v>-86574.238664070523</v>
      </c>
      <c r="U81" s="95">
        <f t="shared" si="24"/>
        <v>-83865.983849041324</v>
      </c>
      <c r="V81" s="95">
        <f t="shared" si="24"/>
        <v>-81176.631792343032</v>
      </c>
      <c r="W81" s="95">
        <f t="shared" si="24"/>
        <v>-78466.429525006897</v>
      </c>
      <c r="X81" s="95">
        <f t="shared" si="24"/>
        <v>-75559.895607163213</v>
      </c>
      <c r="Y81" s="95">
        <f t="shared" si="24"/>
        <v>-72604.778182743801</v>
      </c>
      <c r="Z81" s="95">
        <f t="shared" si="24"/>
        <v>-69556.368812299668</v>
      </c>
      <c r="AA81" s="95">
        <f t="shared" si="24"/>
        <v>-66614.216711438043</v>
      </c>
      <c r="AB81" s="95">
        <f t="shared" si="24"/>
        <v>-63543.869149441722</v>
      </c>
      <c r="AC81" s="95">
        <f t="shared" si="24"/>
        <v>-60382.088927372941</v>
      </c>
      <c r="AD81" s="95">
        <f t="shared" si="24"/>
        <v>-57117.424302805892</v>
      </c>
      <c r="AE81" s="95">
        <f t="shared" si="24"/>
        <v>-53703.745951212462</v>
      </c>
      <c r="AF81" s="95">
        <f t="shared" si="24"/>
        <v>-50397.407468163605</v>
      </c>
      <c r="AG81" s="95">
        <f t="shared" si="24"/>
        <v>-46942.402052180449</v>
      </c>
      <c r="AH81" s="95">
        <f t="shared" si="24"/>
        <v>-43531.654075267477</v>
      </c>
      <c r="AI81" s="95">
        <f t="shared" si="24"/>
        <v>-40076.36455861423</v>
      </c>
      <c r="AJ81" s="95">
        <f t="shared" si="24"/>
        <v>-36543.491784898644</v>
      </c>
      <c r="AK81" s="95">
        <f t="shared" si="24"/>
        <v>-32789.766067478755</v>
      </c>
      <c r="AL81" s="95">
        <f t="shared" si="24"/>
        <v>-29174.362185737889</v>
      </c>
      <c r="AM81" s="95">
        <f t="shared" si="24"/>
        <v>-25572.841885327442</v>
      </c>
      <c r="AN81" s="95">
        <f t="shared" si="24"/>
        <v>-21830.161981537374</v>
      </c>
      <c r="AO81" s="95">
        <f t="shared" si="24"/>
        <v>-17814.639428829672</v>
      </c>
      <c r="AP81" s="95">
        <f t="shared" si="24"/>
        <v>-13783.799747404006</v>
      </c>
      <c r="AQ81" s="95">
        <f t="shared" si="24"/>
        <v>-9762.6537445623017</v>
      </c>
      <c r="AR81" s="95">
        <f t="shared" si="24"/>
        <v>-5748.6385991886264</v>
      </c>
      <c r="AS81" s="95">
        <f t="shared" si="24"/>
        <v>-1553.9539084294993</v>
      </c>
      <c r="AT81" s="95">
        <f t="shared" si="24"/>
        <v>0</v>
      </c>
      <c r="AU81" s="95">
        <f t="shared" si="24"/>
        <v>0</v>
      </c>
      <c r="AV81" s="95">
        <f t="shared" si="24"/>
        <v>0</v>
      </c>
      <c r="AW81" s="95">
        <f t="shared" si="24"/>
        <v>0</v>
      </c>
    </row>
    <row r="82" spans="1:49" s="87" customFormat="1">
      <c r="A82" s="86"/>
      <c r="B82" s="86"/>
      <c r="E82" s="95" t="str">
        <f>E$64</f>
        <v>Junior Debt addition / (repayment)</v>
      </c>
      <c r="F82" s="95"/>
      <c r="G82" s="95" t="str">
        <f t="shared" ref="G82:AW82" si="25">G$64</f>
        <v>USD</v>
      </c>
      <c r="H82" s="95">
        <v>-6000000</v>
      </c>
      <c r="I82" s="95">
        <f t="shared" si="25"/>
        <v>0</v>
      </c>
      <c r="J82" s="95">
        <f t="shared" si="25"/>
        <v>-150000</v>
      </c>
      <c r="K82" s="95">
        <f t="shared" si="25"/>
        <v>-150000</v>
      </c>
      <c r="L82" s="95">
        <f t="shared" si="25"/>
        <v>-150000</v>
      </c>
      <c r="M82" s="95">
        <f t="shared" si="25"/>
        <v>-150000</v>
      </c>
      <c r="N82" s="95">
        <f t="shared" si="25"/>
        <v>-150000</v>
      </c>
      <c r="O82" s="95">
        <f t="shared" si="25"/>
        <v>-150000</v>
      </c>
      <c r="P82" s="95">
        <f t="shared" si="25"/>
        <v>-150000</v>
      </c>
      <c r="Q82" s="95">
        <f t="shared" si="25"/>
        <v>-150000</v>
      </c>
      <c r="R82" s="95">
        <f t="shared" si="25"/>
        <v>-150000</v>
      </c>
      <c r="S82" s="95">
        <f t="shared" si="25"/>
        <v>-150000</v>
      </c>
      <c r="T82" s="95">
        <f t="shared" si="25"/>
        <v>-150000</v>
      </c>
      <c r="U82" s="95">
        <f t="shared" si="25"/>
        <v>-150000</v>
      </c>
      <c r="V82" s="95">
        <f t="shared" si="25"/>
        <v>-150000</v>
      </c>
      <c r="W82" s="95">
        <f t="shared" si="25"/>
        <v>-150000</v>
      </c>
      <c r="X82" s="95">
        <f t="shared" si="25"/>
        <v>-150000</v>
      </c>
      <c r="Y82" s="95">
        <f t="shared" si="25"/>
        <v>-150000</v>
      </c>
      <c r="Z82" s="95">
        <f t="shared" si="25"/>
        <v>-150000</v>
      </c>
      <c r="AA82" s="95">
        <f t="shared" si="25"/>
        <v>-150000</v>
      </c>
      <c r="AB82" s="95">
        <f t="shared" si="25"/>
        <v>-150000</v>
      </c>
      <c r="AC82" s="95">
        <f t="shared" si="25"/>
        <v>-150000</v>
      </c>
      <c r="AD82" s="95">
        <f t="shared" si="25"/>
        <v>-150000</v>
      </c>
      <c r="AE82" s="95">
        <f t="shared" si="25"/>
        <v>-150000</v>
      </c>
      <c r="AF82" s="95">
        <f t="shared" si="25"/>
        <v>-150000</v>
      </c>
      <c r="AG82" s="95">
        <f t="shared" si="25"/>
        <v>-150000</v>
      </c>
      <c r="AH82" s="95">
        <f t="shared" si="25"/>
        <v>-150000</v>
      </c>
      <c r="AI82" s="95">
        <f t="shared" si="25"/>
        <v>-150000</v>
      </c>
      <c r="AJ82" s="95">
        <f t="shared" si="25"/>
        <v>-150000</v>
      </c>
      <c r="AK82" s="95">
        <f t="shared" si="25"/>
        <v>-150000</v>
      </c>
      <c r="AL82" s="95">
        <f t="shared" si="25"/>
        <v>-150000</v>
      </c>
      <c r="AM82" s="95">
        <f t="shared" si="25"/>
        <v>-150000</v>
      </c>
      <c r="AN82" s="95">
        <f t="shared" si="25"/>
        <v>-150000</v>
      </c>
      <c r="AO82" s="95">
        <f t="shared" si="25"/>
        <v>-150000</v>
      </c>
      <c r="AP82" s="95">
        <f t="shared" si="25"/>
        <v>-150000</v>
      </c>
      <c r="AQ82" s="95">
        <f t="shared" si="25"/>
        <v>-150000</v>
      </c>
      <c r="AR82" s="95">
        <f t="shared" si="25"/>
        <v>-150000</v>
      </c>
      <c r="AS82" s="95">
        <f t="shared" si="25"/>
        <v>-150000</v>
      </c>
      <c r="AT82" s="95">
        <f t="shared" si="25"/>
        <v>-150000</v>
      </c>
      <c r="AU82" s="95">
        <f t="shared" si="25"/>
        <v>-150000</v>
      </c>
      <c r="AV82" s="95">
        <f t="shared" si="25"/>
        <v>-150000</v>
      </c>
      <c r="AW82" s="95">
        <f t="shared" si="25"/>
        <v>-150000</v>
      </c>
    </row>
    <row r="83" spans="1:49">
      <c r="E83" s="117" t="str">
        <f>E$70</f>
        <v>Junior Debt interest expenses</v>
      </c>
      <c r="F83" s="117"/>
      <c r="G83" s="117" t="str">
        <f t="shared" ref="G83:I83" si="26">G$70</f>
        <v>USD</v>
      </c>
      <c r="H83" s="117">
        <v>-2152500</v>
      </c>
      <c r="I83" s="117">
        <f t="shared" si="26"/>
        <v>0</v>
      </c>
      <c r="J83" s="117">
        <f>J$70 * - 1</f>
        <v>-105000.00000000001</v>
      </c>
      <c r="K83" s="117">
        <f t="shared" ref="K83:AW83" si="27">K$70 * - 1</f>
        <v>-102375.00000000001</v>
      </c>
      <c r="L83" s="117">
        <f t="shared" si="27"/>
        <v>-99750.000000000015</v>
      </c>
      <c r="M83" s="117">
        <f t="shared" si="27"/>
        <v>-97125.000000000015</v>
      </c>
      <c r="N83" s="117">
        <f t="shared" si="27"/>
        <v>-94500.000000000015</v>
      </c>
      <c r="O83" s="117">
        <f t="shared" si="27"/>
        <v>-91875.000000000015</v>
      </c>
      <c r="P83" s="117">
        <f t="shared" si="27"/>
        <v>-89250.000000000015</v>
      </c>
      <c r="Q83" s="117">
        <f t="shared" si="27"/>
        <v>-86625.000000000015</v>
      </c>
      <c r="R83" s="117">
        <f t="shared" si="27"/>
        <v>-84000.000000000015</v>
      </c>
      <c r="S83" s="117">
        <f t="shared" si="27"/>
        <v>-81375.000000000015</v>
      </c>
      <c r="T83" s="117">
        <f t="shared" si="27"/>
        <v>-78750.000000000015</v>
      </c>
      <c r="U83" s="117">
        <f t="shared" si="27"/>
        <v>-76125</v>
      </c>
      <c r="V83" s="117">
        <f t="shared" si="27"/>
        <v>-73500</v>
      </c>
      <c r="W83" s="117">
        <f t="shared" si="27"/>
        <v>-70875</v>
      </c>
      <c r="X83" s="117">
        <f t="shared" si="27"/>
        <v>-68250</v>
      </c>
      <c r="Y83" s="117">
        <f t="shared" si="27"/>
        <v>-65625</v>
      </c>
      <c r="Z83" s="117">
        <f t="shared" si="27"/>
        <v>-63000.000000000007</v>
      </c>
      <c r="AA83" s="117">
        <f t="shared" si="27"/>
        <v>-60375.000000000007</v>
      </c>
      <c r="AB83" s="117">
        <f t="shared" si="27"/>
        <v>-57750.000000000007</v>
      </c>
      <c r="AC83" s="117">
        <f t="shared" si="27"/>
        <v>-55125.000000000007</v>
      </c>
      <c r="AD83" s="117">
        <f t="shared" si="27"/>
        <v>-52500.000000000007</v>
      </c>
      <c r="AE83" s="117">
        <f t="shared" si="27"/>
        <v>-49875.000000000007</v>
      </c>
      <c r="AF83" s="117">
        <f t="shared" si="27"/>
        <v>-47250.000000000007</v>
      </c>
      <c r="AG83" s="117">
        <f t="shared" si="27"/>
        <v>-44625.000000000007</v>
      </c>
      <c r="AH83" s="117">
        <f t="shared" si="27"/>
        <v>-42000.000000000007</v>
      </c>
      <c r="AI83" s="117">
        <f t="shared" si="27"/>
        <v>-39375.000000000007</v>
      </c>
      <c r="AJ83" s="117">
        <f t="shared" si="27"/>
        <v>-36750</v>
      </c>
      <c r="AK83" s="117">
        <f t="shared" si="27"/>
        <v>-34125</v>
      </c>
      <c r="AL83" s="117">
        <f t="shared" si="27"/>
        <v>-31500.000000000004</v>
      </c>
      <c r="AM83" s="117">
        <f t="shared" si="27"/>
        <v>-28875.000000000004</v>
      </c>
      <c r="AN83" s="117">
        <f t="shared" si="27"/>
        <v>-26250.000000000004</v>
      </c>
      <c r="AO83" s="117">
        <f t="shared" si="27"/>
        <v>-23625.000000000004</v>
      </c>
      <c r="AP83" s="117">
        <f t="shared" si="27"/>
        <v>-21000.000000000004</v>
      </c>
      <c r="AQ83" s="117">
        <f t="shared" si="27"/>
        <v>-18375</v>
      </c>
      <c r="AR83" s="117">
        <f t="shared" si="27"/>
        <v>-15750.000000000002</v>
      </c>
      <c r="AS83" s="117">
        <f t="shared" si="27"/>
        <v>-13125.000000000002</v>
      </c>
      <c r="AT83" s="117">
        <f t="shared" si="27"/>
        <v>-10500.000000000002</v>
      </c>
      <c r="AU83" s="117">
        <f t="shared" si="27"/>
        <v>-7875.0000000000009</v>
      </c>
      <c r="AV83" s="117">
        <f t="shared" si="27"/>
        <v>-5250.0000000000009</v>
      </c>
      <c r="AW83" s="117">
        <f t="shared" si="27"/>
        <v>-2625.0000000000005</v>
      </c>
    </row>
    <row r="84" spans="1:49">
      <c r="E84" s="118" t="s">
        <v>96</v>
      </c>
      <c r="F84" s="89"/>
      <c r="G84" s="93" t="s">
        <v>122</v>
      </c>
      <c r="H84" s="89">
        <v>8140215.8097867258</v>
      </c>
      <c r="I84" s="89"/>
      <c r="J84" s="89">
        <f>SUM(J77:J83)</f>
        <v>85631.499999999985</v>
      </c>
      <c r="K84" s="89">
        <f t="shared" ref="K84:AW84" si="28">SUM(K77:K83)</f>
        <v>84577.499999999985</v>
      </c>
      <c r="L84" s="89">
        <f t="shared" si="28"/>
        <v>84040.999999999985</v>
      </c>
      <c r="M84" s="89">
        <f t="shared" si="28"/>
        <v>85581.499999999985</v>
      </c>
      <c r="N84" s="89">
        <f t="shared" si="28"/>
        <v>88703.999999999985</v>
      </c>
      <c r="O84" s="89">
        <f t="shared" si="28"/>
        <v>84132.999999999985</v>
      </c>
      <c r="P84" s="89">
        <f t="shared" si="28"/>
        <v>86467.499999999985</v>
      </c>
      <c r="Q84" s="89">
        <f t="shared" si="28"/>
        <v>86841.499999999985</v>
      </c>
      <c r="R84" s="89">
        <f t="shared" si="28"/>
        <v>105386.49999999999</v>
      </c>
      <c r="S84" s="89">
        <f t="shared" si="28"/>
        <v>90707.499999999985</v>
      </c>
      <c r="T84" s="89">
        <f t="shared" si="28"/>
        <v>98557.999999999985</v>
      </c>
      <c r="U84" s="89">
        <f t="shared" si="28"/>
        <v>96794.5</v>
      </c>
      <c r="V84" s="89">
        <f t="shared" si="28"/>
        <v>98583.5</v>
      </c>
      <c r="W84" s="89">
        <f t="shared" si="28"/>
        <v>115950</v>
      </c>
      <c r="X84" s="89">
        <f t="shared" si="28"/>
        <v>119987</v>
      </c>
      <c r="Y84" s="89">
        <f t="shared" si="28"/>
        <v>127949.5</v>
      </c>
      <c r="Z84" s="89">
        <f t="shared" si="28"/>
        <v>118081</v>
      </c>
      <c r="AA84" s="89">
        <f t="shared" si="28"/>
        <v>129159</v>
      </c>
      <c r="AB84" s="89">
        <f t="shared" si="28"/>
        <v>136841</v>
      </c>
      <c r="AC84" s="89">
        <f t="shared" si="28"/>
        <v>145449.5</v>
      </c>
      <c r="AD84" s="89">
        <f t="shared" si="28"/>
        <v>158055.5</v>
      </c>
      <c r="AE84" s="89">
        <f t="shared" si="28"/>
        <v>147725.5</v>
      </c>
      <c r="AF84" s="89">
        <f t="shared" si="28"/>
        <v>160259</v>
      </c>
      <c r="AG84" s="89">
        <f t="shared" si="28"/>
        <v>155495</v>
      </c>
      <c r="AH84" s="89">
        <f t="shared" si="28"/>
        <v>158668.5</v>
      </c>
      <c r="AI84" s="89">
        <f t="shared" si="28"/>
        <v>164734.5</v>
      </c>
      <c r="AJ84" s="89">
        <f t="shared" si="28"/>
        <v>183458</v>
      </c>
      <c r="AK84" s="89">
        <f t="shared" si="28"/>
        <v>170034</v>
      </c>
      <c r="AL84" s="89">
        <f t="shared" si="28"/>
        <v>167809.5</v>
      </c>
      <c r="AM84" s="89">
        <f t="shared" si="28"/>
        <v>179380.5</v>
      </c>
      <c r="AN84" s="89">
        <f t="shared" si="28"/>
        <v>202515.5</v>
      </c>
      <c r="AO84" s="89">
        <f t="shared" si="28"/>
        <v>202486.5</v>
      </c>
      <c r="AP84" s="89">
        <f t="shared" si="28"/>
        <v>200219</v>
      </c>
      <c r="AQ84" s="89">
        <f t="shared" si="28"/>
        <v>198189</v>
      </c>
      <c r="AR84" s="89">
        <f t="shared" si="28"/>
        <v>212859.5</v>
      </c>
      <c r="AS84" s="89">
        <f t="shared" si="28"/>
        <v>967859.80978672625</v>
      </c>
      <c r="AT84" s="89">
        <f t="shared" si="28"/>
        <v>603848</v>
      </c>
      <c r="AU84" s="89">
        <f t="shared" si="28"/>
        <v>600853</v>
      </c>
      <c r="AV84" s="89">
        <f t="shared" si="28"/>
        <v>616659</v>
      </c>
      <c r="AW84" s="89">
        <f t="shared" si="28"/>
        <v>619682</v>
      </c>
    </row>
    <row r="86" spans="1:49">
      <c r="E86" s="91" t="s">
        <v>151</v>
      </c>
      <c r="F86" s="119">
        <f>start_date</f>
        <v>43465</v>
      </c>
    </row>
    <row r="87" spans="1:49">
      <c r="C87" s="107"/>
      <c r="E87" s="117" t="s">
        <v>147</v>
      </c>
      <c r="F87" s="120">
        <f>Case1Data!$H$34 * - 1</f>
        <v>-4000000</v>
      </c>
      <c r="G87" s="112" t="s">
        <v>122</v>
      </c>
      <c r="H87" s="113"/>
      <c r="I87" s="113"/>
      <c r="J87" s="113" cm="1">
        <f t="array" ref="J87:AW87" xml:space="preserve"> _xlfn.SEQUENCE( 1, periods, 0, 0 )</f>
        <v>0</v>
      </c>
      <c r="K87" s="113">
        <v>0</v>
      </c>
      <c r="L87" s="113">
        <v>0</v>
      </c>
      <c r="M87" s="113">
        <v>0</v>
      </c>
      <c r="N87" s="113">
        <v>0</v>
      </c>
      <c r="O87" s="113">
        <v>0</v>
      </c>
      <c r="P87" s="113">
        <v>0</v>
      </c>
      <c r="Q87" s="113">
        <v>0</v>
      </c>
      <c r="R87" s="113">
        <v>0</v>
      </c>
      <c r="S87" s="113">
        <v>0</v>
      </c>
      <c r="T87" s="113">
        <v>0</v>
      </c>
      <c r="U87" s="113">
        <v>0</v>
      </c>
      <c r="V87" s="113">
        <v>0</v>
      </c>
      <c r="W87" s="113">
        <v>0</v>
      </c>
      <c r="X87" s="113">
        <v>0</v>
      </c>
      <c r="Y87" s="113">
        <v>0</v>
      </c>
      <c r="Z87" s="113">
        <v>0</v>
      </c>
      <c r="AA87" s="113">
        <v>0</v>
      </c>
      <c r="AB87" s="113">
        <v>0</v>
      </c>
      <c r="AC87" s="113">
        <v>0</v>
      </c>
      <c r="AD87" s="113">
        <v>0</v>
      </c>
      <c r="AE87" s="113">
        <v>0</v>
      </c>
      <c r="AF87" s="113">
        <v>0</v>
      </c>
      <c r="AG87" s="113">
        <v>0</v>
      </c>
      <c r="AH87" s="113">
        <v>0</v>
      </c>
      <c r="AI87" s="113">
        <v>0</v>
      </c>
      <c r="AJ87" s="113">
        <v>0</v>
      </c>
      <c r="AK87" s="113">
        <v>0</v>
      </c>
      <c r="AL87" s="113">
        <v>0</v>
      </c>
      <c r="AM87" s="113">
        <v>0</v>
      </c>
      <c r="AN87" s="113">
        <v>0</v>
      </c>
      <c r="AO87" s="113">
        <v>0</v>
      </c>
      <c r="AP87" s="113">
        <v>0</v>
      </c>
      <c r="AQ87" s="113">
        <v>0</v>
      </c>
      <c r="AR87" s="113">
        <v>0</v>
      </c>
      <c r="AS87" s="113">
        <v>0</v>
      </c>
      <c r="AT87" s="113">
        <v>0</v>
      </c>
      <c r="AU87" s="113">
        <v>0</v>
      </c>
      <c r="AV87" s="113">
        <v>0</v>
      </c>
      <c r="AW87" s="113">
        <v>0</v>
      </c>
    </row>
    <row r="88" spans="1:49">
      <c r="E88" s="121" t="s">
        <v>155</v>
      </c>
      <c r="F88" s="89"/>
      <c r="G88" s="93" t="s">
        <v>122</v>
      </c>
      <c r="H88" s="89"/>
      <c r="I88" s="89"/>
      <c r="J88" s="129">
        <f xml:space="preserve"> J84 + J87</f>
        <v>85631.499999999985</v>
      </c>
      <c r="K88" s="89">
        <f t="shared" ref="K88:AW88" si="29" xml:space="preserve"> K84 + K87</f>
        <v>84577.499999999985</v>
      </c>
      <c r="L88" s="89">
        <f t="shared" si="29"/>
        <v>84040.999999999985</v>
      </c>
      <c r="M88" s="89">
        <f t="shared" si="29"/>
        <v>85581.499999999985</v>
      </c>
      <c r="N88" s="89">
        <f t="shared" si="29"/>
        <v>88703.999999999985</v>
      </c>
      <c r="O88" s="89">
        <f t="shared" si="29"/>
        <v>84132.999999999985</v>
      </c>
      <c r="P88" s="89">
        <f t="shared" si="29"/>
        <v>86467.499999999985</v>
      </c>
      <c r="Q88" s="89">
        <f t="shared" si="29"/>
        <v>86841.499999999985</v>
      </c>
      <c r="R88" s="89">
        <f t="shared" si="29"/>
        <v>105386.49999999999</v>
      </c>
      <c r="S88" s="89">
        <f t="shared" si="29"/>
        <v>90707.499999999985</v>
      </c>
      <c r="T88" s="89">
        <f t="shared" si="29"/>
        <v>98557.999999999985</v>
      </c>
      <c r="U88" s="89">
        <f t="shared" si="29"/>
        <v>96794.5</v>
      </c>
      <c r="V88" s="89">
        <f t="shared" si="29"/>
        <v>98583.5</v>
      </c>
      <c r="W88" s="89">
        <f t="shared" si="29"/>
        <v>115950</v>
      </c>
      <c r="X88" s="89">
        <f t="shared" si="29"/>
        <v>119987</v>
      </c>
      <c r="Y88" s="89">
        <f t="shared" si="29"/>
        <v>127949.5</v>
      </c>
      <c r="Z88" s="89">
        <f t="shared" si="29"/>
        <v>118081</v>
      </c>
      <c r="AA88" s="89">
        <f t="shared" si="29"/>
        <v>129159</v>
      </c>
      <c r="AB88" s="89">
        <f t="shared" si="29"/>
        <v>136841</v>
      </c>
      <c r="AC88" s="89">
        <f t="shared" si="29"/>
        <v>145449.5</v>
      </c>
      <c r="AD88" s="89">
        <f t="shared" si="29"/>
        <v>158055.5</v>
      </c>
      <c r="AE88" s="89">
        <f t="shared" si="29"/>
        <v>147725.5</v>
      </c>
      <c r="AF88" s="89">
        <f t="shared" si="29"/>
        <v>160259</v>
      </c>
      <c r="AG88" s="89">
        <f t="shared" si="29"/>
        <v>155495</v>
      </c>
      <c r="AH88" s="89">
        <f t="shared" si="29"/>
        <v>158668.5</v>
      </c>
      <c r="AI88" s="89">
        <f t="shared" si="29"/>
        <v>164734.5</v>
      </c>
      <c r="AJ88" s="89">
        <f t="shared" si="29"/>
        <v>183458</v>
      </c>
      <c r="AK88" s="89">
        <f t="shared" si="29"/>
        <v>170034</v>
      </c>
      <c r="AL88" s="89">
        <f t="shared" si="29"/>
        <v>167809.5</v>
      </c>
      <c r="AM88" s="89">
        <f t="shared" si="29"/>
        <v>179380.5</v>
      </c>
      <c r="AN88" s="89">
        <f t="shared" si="29"/>
        <v>202515.5</v>
      </c>
      <c r="AO88" s="89">
        <f t="shared" si="29"/>
        <v>202486.5</v>
      </c>
      <c r="AP88" s="89">
        <f t="shared" si="29"/>
        <v>200219</v>
      </c>
      <c r="AQ88" s="89">
        <f t="shared" si="29"/>
        <v>198189</v>
      </c>
      <c r="AR88" s="89">
        <f t="shared" si="29"/>
        <v>212859.5</v>
      </c>
      <c r="AS88" s="89">
        <f t="shared" si="29"/>
        <v>967859.80978672625</v>
      </c>
      <c r="AT88" s="89">
        <f t="shared" si="29"/>
        <v>603848</v>
      </c>
      <c r="AU88" s="89">
        <f t="shared" si="29"/>
        <v>600853</v>
      </c>
      <c r="AV88" s="89">
        <f t="shared" si="29"/>
        <v>616659</v>
      </c>
      <c r="AW88" s="89">
        <f t="shared" si="29"/>
        <v>619682</v>
      </c>
    </row>
    <row r="90" spans="1:49">
      <c r="E90" s="91" t="s">
        <v>74</v>
      </c>
      <c r="F90" s="122">
        <f>XIRR( _xlfn.HSTACK( $F$87, $J$88:$AW$88 ), _xlfn.HSTACK( start_date,_xlfn.ANCHORARRAY( J3) ) )</f>
        <v>0.1143954932689667</v>
      </c>
      <c r="G90" s="91" t="s">
        <v>129</v>
      </c>
    </row>
    <row r="91" spans="1:49">
      <c r="E91" s="91" t="s">
        <v>75</v>
      </c>
      <c r="F91" s="90">
        <f>XNPV( Case1Data!$H$35, _xlfn.HSTACK( Debt!$F$87, Debt!$J$88:$AW$88 ), _xlfn.HSTACK( start_date,_xlfn.ANCHORARRAY( J3) ) )</f>
        <v>456463.88492540253</v>
      </c>
      <c r="G91" s="91" t="s">
        <v>122</v>
      </c>
    </row>
    <row r="94" spans="1:49" s="84" customFormat="1">
      <c r="A94" s="83" t="s">
        <v>77</v>
      </c>
      <c r="E94" s="85"/>
      <c r="G94" s="85"/>
    </row>
    <row r="96" spans="1:49">
      <c r="C96" s="90" t="s">
        <v>152</v>
      </c>
      <c r="E96" s="123" t="s">
        <v>153</v>
      </c>
      <c r="L96" s="94"/>
      <c r="M96" s="94"/>
      <c r="N96" s="94"/>
    </row>
    <row r="97" spans="3:12">
      <c r="C97" s="90" t="s">
        <v>154</v>
      </c>
      <c r="E97" s="90">
        <v>2152500</v>
      </c>
    </row>
    <row r="98" spans="3:12">
      <c r="E98" s="90"/>
    </row>
    <row r="99" spans="3:12">
      <c r="C99" s="90" t="s">
        <v>82</v>
      </c>
      <c r="I99" s="130" t="s">
        <v>157</v>
      </c>
      <c r="J99" s="90" t="str" cm="1">
        <f t="array" ref="J99:L99">Case1Data!$G$17:$I$17</f>
        <v>Passive</v>
      </c>
      <c r="K99" s="95" t="str">
        <v>Neutral</v>
      </c>
      <c r="L99" s="90" t="str">
        <v>Aggressive</v>
      </c>
    </row>
    <row r="100" spans="3:12">
      <c r="H100" s="111"/>
      <c r="I100" s="131">
        <f>N88</f>
        <v>88703.999999999985</v>
      </c>
      <c r="J100" s="90">
        <v>1</v>
      </c>
      <c r="K100" s="95">
        <v>2</v>
      </c>
      <c r="L100" s="90">
        <v>3</v>
      </c>
    </row>
    <row r="101" spans="3:12">
      <c r="H101" s="90" t="str" cm="1">
        <f t="array" ref="H101:H104">TRANSPOSE( Case1Data!$G$50:$J$50)</f>
        <v>Base Case</v>
      </c>
      <c r="I101" s="125">
        <v>1</v>
      </c>
      <c r="J101" s="133">
        <f t="dataTable" ref="J101:L104" dt2D="1" dtr="1" r1="F8" r2="F15"/>
        <v>88703.999999999985</v>
      </c>
      <c r="K101" s="134">
        <v>51681.333333333299</v>
      </c>
      <c r="L101" s="135">
        <v>29903.294117646976</v>
      </c>
    </row>
    <row r="102" spans="3:12">
      <c r="H102" s="90" t="str">
        <v>Case 2</v>
      </c>
      <c r="I102" s="125">
        <v>2</v>
      </c>
      <c r="J102" s="136">
        <v>167128.5</v>
      </c>
      <c r="K102" s="137">
        <v>121391.99999999999</v>
      </c>
      <c r="L102" s="138">
        <v>94488.17647058818</v>
      </c>
    </row>
    <row r="103" spans="3:12">
      <c r="H103" s="90" t="str">
        <v>Case 3</v>
      </c>
      <c r="I103" s="125">
        <v>3</v>
      </c>
      <c r="J103" s="136">
        <v>120498.99999999999</v>
      </c>
      <c r="K103" s="101">
        <v>79943.555555555547</v>
      </c>
      <c r="L103" s="139">
        <v>56087.411764705772</v>
      </c>
    </row>
    <row r="104" spans="3:12">
      <c r="H104" s="90" t="str">
        <v>Case 4</v>
      </c>
      <c r="I104" s="125">
        <v>4</v>
      </c>
      <c r="J104" s="140">
        <v>102093.49999999999</v>
      </c>
      <c r="K104" s="113">
        <v>63583.111111111109</v>
      </c>
      <c r="L104" s="141">
        <v>40929.941176470587</v>
      </c>
    </row>
    <row r="106" spans="3:12">
      <c r="C106" s="90" t="s">
        <v>83</v>
      </c>
      <c r="I106" s="130" t="s">
        <v>158</v>
      </c>
      <c r="J106" s="90" t="str" cm="1">
        <f t="array" ref="J106:L106">Case1Data!$G$17:$I$17</f>
        <v>Passive</v>
      </c>
      <c r="K106" s="90" t="str">
        <v>Neutral</v>
      </c>
      <c r="L106" s="90" t="str">
        <v>Aggressive</v>
      </c>
    </row>
    <row r="107" spans="3:12">
      <c r="I107" s="132">
        <f>$F$90</f>
        <v>0.1143954932689667</v>
      </c>
      <c r="J107" s="90">
        <v>1</v>
      </c>
      <c r="K107" s="95">
        <v>2</v>
      </c>
      <c r="L107" s="90">
        <v>3</v>
      </c>
    </row>
    <row r="108" spans="3:12">
      <c r="E108" s="91" t="s">
        <v>160</v>
      </c>
      <c r="H108" s="90" t="str" cm="1">
        <f t="array" ref="H108:H111">TRANSPOSE( Case1Data!$G$50:$J$50)</f>
        <v>Base Case</v>
      </c>
      <c r="I108" s="125">
        <v>1</v>
      </c>
      <c r="J108" s="142">
        <f t="dataTable" ref="J108:L111" dt2D="1" dtr="1" r1="F8" r2="F15" ca="1"/>
        <v>0.1143954932689667</v>
      </c>
      <c r="K108" s="143">
        <v>0.10151299834251404</v>
      </c>
      <c r="L108" s="144">
        <v>9.368950426578522E-2</v>
      </c>
    </row>
    <row r="109" spans="3:12">
      <c r="H109" s="90" t="str">
        <v>Case 2</v>
      </c>
      <c r="I109" s="125">
        <v>2</v>
      </c>
      <c r="J109" s="155">
        <v>0.18833821415901186</v>
      </c>
      <c r="K109" s="145">
        <v>0.17128327488899228</v>
      </c>
      <c r="L109" s="146">
        <v>0.1616652309894562</v>
      </c>
    </row>
    <row r="110" spans="3:12">
      <c r="H110" s="90" t="str">
        <v>Case 3</v>
      </c>
      <c r="I110" s="125">
        <v>3</v>
      </c>
      <c r="J110" s="147">
        <v>0.12684517502784728</v>
      </c>
      <c r="K110" s="145">
        <v>0.11314749121665954</v>
      </c>
      <c r="L110" s="148">
        <v>0.10482313036918642</v>
      </c>
    </row>
    <row r="111" spans="3:12">
      <c r="H111" s="90" t="str">
        <v>Case 4</v>
      </c>
      <c r="I111" s="125">
        <v>4</v>
      </c>
      <c r="J111" s="149">
        <v>0.14833983778953555</v>
      </c>
      <c r="K111" s="150">
        <v>0.13353438973426821</v>
      </c>
      <c r="L111" s="151">
        <v>0.12480724453926087</v>
      </c>
    </row>
    <row r="112" spans="3:12">
      <c r="I112" s="125"/>
      <c r="J112" s="122"/>
      <c r="K112" s="122"/>
      <c r="L112" s="122"/>
    </row>
    <row r="113" spans="1:49">
      <c r="C113" s="90" t="s">
        <v>84</v>
      </c>
      <c r="I113" s="130" t="s">
        <v>159</v>
      </c>
      <c r="J113" s="90" t="str" cm="1">
        <f t="array" ref="J113:L113">Case1Data!$G$17:$I$17</f>
        <v>Passive</v>
      </c>
      <c r="K113" s="90" t="str">
        <v>Neutral</v>
      </c>
      <c r="L113" s="90" t="str">
        <v>Aggressive</v>
      </c>
    </row>
    <row r="114" spans="1:49">
      <c r="I114" s="132">
        <f>$F$91</f>
        <v>456463.88492540253</v>
      </c>
      <c r="J114" s="90">
        <v>1</v>
      </c>
      <c r="K114" s="95">
        <v>2</v>
      </c>
      <c r="L114" s="90">
        <v>3</v>
      </c>
    </row>
    <row r="115" spans="1:49">
      <c r="E115" s="91" t="s">
        <v>161</v>
      </c>
      <c r="H115" s="90" t="str" cm="1">
        <f t="array" ref="H115:H118">TRANSPOSE( Case1Data!$G$50:$J$50)</f>
        <v>Base Case</v>
      </c>
      <c r="I115" s="125">
        <v>1</v>
      </c>
      <c r="J115" s="133">
        <f t="dataTable" ref="J115:L118" dt2D="1" dtr="1" r1="F8" r2="F15" ca="1"/>
        <v>456463.88492540253</v>
      </c>
      <c r="K115" s="152">
        <v>169615.06486068072</v>
      </c>
      <c r="L115" s="156">
        <v>-35704.706237584265</v>
      </c>
    </row>
    <row r="116" spans="1:49">
      <c r="H116" s="90" t="str">
        <v>Case 2</v>
      </c>
      <c r="I116" s="125">
        <v>2</v>
      </c>
      <c r="J116" s="153">
        <v>2430210.1940214327</v>
      </c>
      <c r="K116" s="101">
        <v>2169637.0744364941</v>
      </c>
      <c r="L116" s="154">
        <v>1979546.5120497986</v>
      </c>
    </row>
    <row r="117" spans="1:49">
      <c r="H117" s="90" t="str">
        <v>Case 3</v>
      </c>
      <c r="I117" s="125">
        <v>3</v>
      </c>
      <c r="J117" s="136">
        <v>756919.36471966258</v>
      </c>
      <c r="K117" s="101">
        <v>476044.9988123154</v>
      </c>
      <c r="L117" s="139">
        <v>269899.4407393476</v>
      </c>
    </row>
    <row r="118" spans="1:49">
      <c r="H118" s="90" t="str">
        <v>Case 4</v>
      </c>
      <c r="I118" s="125">
        <v>4</v>
      </c>
      <c r="J118" s="140">
        <v>1325222.4875859041</v>
      </c>
      <c r="K118" s="113">
        <v>1050944.8095221939</v>
      </c>
      <c r="L118" s="141">
        <v>849944.61129514535</v>
      </c>
    </row>
    <row r="119" spans="1:49">
      <c r="I119" s="125"/>
      <c r="J119" s="122"/>
      <c r="K119" s="122"/>
      <c r="L119" s="122"/>
    </row>
    <row r="121" spans="1:49" s="79" customFormat="1">
      <c r="A121" s="79" t="s">
        <v>102</v>
      </c>
      <c r="E121" s="80"/>
      <c r="G121" s="80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</row>
    <row r="122" spans="1:49" s="73" customFormat="1">
      <c r="E122" s="74"/>
      <c r="G122" s="74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</row>
    <row r="123" spans="1:49" s="77" customFormat="1">
      <c r="E123" s="76" t="s">
        <v>49</v>
      </c>
      <c r="G123" s="76" t="s">
        <v>123</v>
      </c>
      <c r="J123" s="78" cm="1">
        <f t="array" ref="J123:AW123" xml:space="preserve"> MONTH(_xlfn.ANCHORARRAY( J3) ) / 3</f>
        <v>1</v>
      </c>
      <c r="K123" s="78">
        <v>2</v>
      </c>
      <c r="L123" s="78">
        <v>3</v>
      </c>
      <c r="M123" s="78">
        <v>4</v>
      </c>
      <c r="N123" s="78">
        <v>1</v>
      </c>
      <c r="O123" s="78">
        <v>2</v>
      </c>
      <c r="P123" s="78">
        <v>3</v>
      </c>
      <c r="Q123" s="78">
        <v>4</v>
      </c>
      <c r="R123" s="78">
        <v>1</v>
      </c>
      <c r="S123" s="78">
        <v>2</v>
      </c>
      <c r="T123" s="78">
        <v>3</v>
      </c>
      <c r="U123" s="78">
        <v>4</v>
      </c>
      <c r="V123" s="78">
        <v>1</v>
      </c>
      <c r="W123" s="78">
        <v>2</v>
      </c>
      <c r="X123" s="78">
        <v>3</v>
      </c>
      <c r="Y123" s="78">
        <v>4</v>
      </c>
      <c r="Z123" s="78">
        <v>1</v>
      </c>
      <c r="AA123" s="78">
        <v>2</v>
      </c>
      <c r="AB123" s="78">
        <v>3</v>
      </c>
      <c r="AC123" s="78">
        <v>4</v>
      </c>
      <c r="AD123" s="78">
        <v>1</v>
      </c>
      <c r="AE123" s="78">
        <v>2</v>
      </c>
      <c r="AF123" s="78">
        <v>3</v>
      </c>
      <c r="AG123" s="78">
        <v>4</v>
      </c>
      <c r="AH123" s="78">
        <v>1</v>
      </c>
      <c r="AI123" s="78">
        <v>2</v>
      </c>
      <c r="AJ123" s="78">
        <v>3</v>
      </c>
      <c r="AK123" s="78">
        <v>4</v>
      </c>
      <c r="AL123" s="78">
        <v>1</v>
      </c>
      <c r="AM123" s="78">
        <v>2</v>
      </c>
      <c r="AN123" s="78">
        <v>3</v>
      </c>
      <c r="AO123" s="78">
        <v>4</v>
      </c>
      <c r="AP123" s="78">
        <v>1</v>
      </c>
      <c r="AQ123" s="78">
        <v>2</v>
      </c>
      <c r="AR123" s="78">
        <v>3</v>
      </c>
      <c r="AS123" s="78">
        <v>4</v>
      </c>
      <c r="AT123" s="78">
        <v>1</v>
      </c>
      <c r="AU123" s="78">
        <v>2</v>
      </c>
      <c r="AV123" s="78">
        <v>3</v>
      </c>
      <c r="AW123" s="78">
        <v>4</v>
      </c>
    </row>
    <row r="124" spans="1:49" s="77" customFormat="1">
      <c r="E124" s="76" t="s">
        <v>124</v>
      </c>
      <c r="G124" s="76" t="s">
        <v>125</v>
      </c>
      <c r="J124" s="82" cm="1">
        <f t="array" ref="J124:AW124" xml:space="preserve"> YEAR(_xlfn.ANCHORARRAY( J3) )</f>
        <v>2019</v>
      </c>
      <c r="K124" s="82">
        <v>2019</v>
      </c>
      <c r="L124" s="82">
        <v>2019</v>
      </c>
      <c r="M124" s="82">
        <v>2019</v>
      </c>
      <c r="N124" s="82">
        <v>2020</v>
      </c>
      <c r="O124" s="82">
        <v>2020</v>
      </c>
      <c r="P124" s="82">
        <v>2020</v>
      </c>
      <c r="Q124" s="82">
        <v>2020</v>
      </c>
      <c r="R124" s="82">
        <v>2021</v>
      </c>
      <c r="S124" s="82">
        <v>2021</v>
      </c>
      <c r="T124" s="82">
        <v>2021</v>
      </c>
      <c r="U124" s="82">
        <v>2021</v>
      </c>
      <c r="V124" s="82">
        <v>2022</v>
      </c>
      <c r="W124" s="82">
        <v>2022</v>
      </c>
      <c r="X124" s="82">
        <v>2022</v>
      </c>
      <c r="Y124" s="82">
        <v>2022</v>
      </c>
      <c r="Z124" s="82">
        <v>2023</v>
      </c>
      <c r="AA124" s="82">
        <v>2023</v>
      </c>
      <c r="AB124" s="82">
        <v>2023</v>
      </c>
      <c r="AC124" s="82">
        <v>2023</v>
      </c>
      <c r="AD124" s="82">
        <v>2024</v>
      </c>
      <c r="AE124" s="82">
        <v>2024</v>
      </c>
      <c r="AF124" s="82">
        <v>2024</v>
      </c>
      <c r="AG124" s="82">
        <v>2024</v>
      </c>
      <c r="AH124" s="82">
        <v>2025</v>
      </c>
      <c r="AI124" s="82">
        <v>2025</v>
      </c>
      <c r="AJ124" s="82">
        <v>2025</v>
      </c>
      <c r="AK124" s="82">
        <v>2025</v>
      </c>
      <c r="AL124" s="82">
        <v>2026</v>
      </c>
      <c r="AM124" s="82">
        <v>2026</v>
      </c>
      <c r="AN124" s="82">
        <v>2026</v>
      </c>
      <c r="AO124" s="82">
        <v>2026</v>
      </c>
      <c r="AP124" s="82">
        <v>2027</v>
      </c>
      <c r="AQ124" s="82">
        <v>2027</v>
      </c>
      <c r="AR124" s="82">
        <v>2027</v>
      </c>
      <c r="AS124" s="82">
        <v>2027</v>
      </c>
      <c r="AT124" s="82">
        <v>2028</v>
      </c>
      <c r="AU124" s="82">
        <v>2028</v>
      </c>
      <c r="AV124" s="82">
        <v>2028</v>
      </c>
      <c r="AW124" s="82">
        <v>2028</v>
      </c>
    </row>
    <row r="125" spans="1:49" s="73" customFormat="1">
      <c r="E125" s="74"/>
      <c r="G125" s="74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</row>
    <row r="126" spans="1:49" s="125" customFormat="1">
      <c r="A126" s="124"/>
      <c r="E126" s="126"/>
      <c r="G126" s="126"/>
    </row>
  </sheetData>
  <conditionalFormatting sqref="J108:L111">
    <cfRule type="top10" dxfId="3" priority="2" rank="1"/>
  </conditionalFormatting>
  <conditionalFormatting sqref="J115:L118">
    <cfRule type="top10" dxfId="2" priority="1" bottom="1" rank="1"/>
  </conditionalFormatting>
  <pageMargins left="0.70866141732283472" right="0.70866141732283472" top="0.74803149606299213" bottom="0.74803149606299213" header="0.31496062992125984" footer="0.31496062992125984"/>
  <pageSetup scale="40" fitToWidth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4</xdr:col>
                    <xdr:colOff>3108960</xdr:colOff>
                    <xdr:row>7</xdr:row>
                    <xdr:rowOff>0</xdr:rowOff>
                  </from>
                  <to>
                    <xdr:col>6</xdr:col>
                    <xdr:colOff>175260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4</xdr:col>
                    <xdr:colOff>3093720</xdr:colOff>
                    <xdr:row>13</xdr:row>
                    <xdr:rowOff>152400</xdr:rowOff>
                  </from>
                  <to>
                    <xdr:col>6</xdr:col>
                    <xdr:colOff>213360</xdr:colOff>
                    <xdr:row>15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116"/>
  <sheetViews>
    <sheetView showGridLines="0" topLeftCell="A14" zoomScale="90" zoomScaleNormal="90" workbookViewId="0">
      <selection activeCell="G52" sqref="G52"/>
    </sheetView>
  </sheetViews>
  <sheetFormatPr defaultColWidth="12.6640625" defaultRowHeight="13.2"/>
  <cols>
    <col min="1" max="1" width="5.6640625" style="3" customWidth="1"/>
    <col min="2" max="3" width="3.6640625" style="3" customWidth="1"/>
    <col min="4" max="4" width="48.6640625" style="3" customWidth="1"/>
    <col min="5" max="5" width="12.5546875" style="3" customWidth="1"/>
    <col min="6" max="8" width="12.6640625" style="3"/>
    <col min="9" max="9" width="12.6640625" style="3" customWidth="1"/>
    <col min="10" max="16384" width="12.6640625" style="3"/>
  </cols>
  <sheetData>
    <row r="1" spans="1:12" ht="17.39999999999999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4">
        <v>1</v>
      </c>
      <c r="B3" s="2"/>
      <c r="C3" s="2" t="s">
        <v>1</v>
      </c>
      <c r="D3" s="2"/>
      <c r="E3" s="2"/>
      <c r="F3" s="2"/>
      <c r="G3" s="2"/>
      <c r="H3" s="2"/>
      <c r="I3" s="2"/>
      <c r="J3" s="2"/>
      <c r="K3" s="2"/>
      <c r="L3" s="2"/>
    </row>
    <row r="4" spans="1:12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9" spans="1:12">
      <c r="H9" s="6"/>
      <c r="I9" s="6"/>
    </row>
    <row r="10" spans="1:12">
      <c r="A10" s="7">
        <f>MAX(A$3:A9)+0.01</f>
        <v>1.01</v>
      </c>
      <c r="B10" s="7"/>
      <c r="C10" s="7" t="s">
        <v>1</v>
      </c>
      <c r="D10" s="7"/>
      <c r="E10" s="7"/>
      <c r="F10" s="7"/>
      <c r="G10" s="7"/>
      <c r="H10" s="7"/>
      <c r="I10" s="7"/>
      <c r="J10" s="7"/>
      <c r="K10" s="7"/>
      <c r="L10" s="7"/>
    </row>
    <row r="12" spans="1:12" ht="15.6">
      <c r="B12" s="8" t="s">
        <v>2</v>
      </c>
    </row>
    <row r="13" spans="1:12">
      <c r="C13" s="9"/>
      <c r="D13" s="6" t="s">
        <v>3</v>
      </c>
      <c r="F13" s="10" t="s">
        <v>4</v>
      </c>
      <c r="H13" s="11">
        <v>10000000</v>
      </c>
    </row>
    <row r="14" spans="1:12">
      <c r="C14" s="9"/>
      <c r="D14" s="9"/>
    </row>
    <row r="15" spans="1:12">
      <c r="C15" s="9" t="s">
        <v>5</v>
      </c>
      <c r="D15" s="9"/>
    </row>
    <row r="16" spans="1:12">
      <c r="D16" s="6" t="s">
        <v>6</v>
      </c>
      <c r="F16" s="10" t="s">
        <v>7</v>
      </c>
      <c r="G16" s="9">
        <v>1</v>
      </c>
      <c r="H16" s="9">
        <v>2</v>
      </c>
      <c r="I16" s="9">
        <v>3</v>
      </c>
    </row>
    <row r="17" spans="2:9">
      <c r="D17" s="6" t="s">
        <v>8</v>
      </c>
      <c r="F17" s="10" t="s">
        <v>9</v>
      </c>
      <c r="G17" s="12" t="s">
        <v>10</v>
      </c>
      <c r="H17" s="12" t="s">
        <v>11</v>
      </c>
      <c r="I17" s="12" t="s">
        <v>12</v>
      </c>
    </row>
    <row r="18" spans="2:9">
      <c r="D18" s="6" t="s">
        <v>13</v>
      </c>
      <c r="F18" s="10" t="s">
        <v>14</v>
      </c>
      <c r="G18" s="13">
        <v>2</v>
      </c>
      <c r="H18" s="13">
        <v>1.8</v>
      </c>
      <c r="I18" s="13">
        <v>1.7</v>
      </c>
    </row>
    <row r="19" spans="2:9">
      <c r="D19" s="6" t="s">
        <v>15</v>
      </c>
      <c r="F19" s="10" t="s">
        <v>16</v>
      </c>
      <c r="G19" s="14">
        <v>4.4999999999999998E-2</v>
      </c>
      <c r="H19" s="14">
        <v>0.05</v>
      </c>
      <c r="I19" s="14">
        <v>5.5E-2</v>
      </c>
    </row>
    <row r="22" spans="2:9" ht="15.6">
      <c r="B22" s="8" t="s">
        <v>17</v>
      </c>
    </row>
    <row r="23" spans="2:9">
      <c r="D23" s="6" t="s">
        <v>18</v>
      </c>
      <c r="F23" s="10" t="s">
        <v>4</v>
      </c>
      <c r="H23" s="11">
        <v>500000</v>
      </c>
    </row>
    <row r="24" spans="2:9">
      <c r="D24" s="6" t="s">
        <v>19</v>
      </c>
      <c r="F24" s="10" t="s">
        <v>4</v>
      </c>
      <c r="H24" s="11">
        <v>500000</v>
      </c>
    </row>
    <row r="25" spans="2:9">
      <c r="D25" s="6" t="s">
        <v>20</v>
      </c>
      <c r="F25" s="10" t="s">
        <v>16</v>
      </c>
      <c r="H25" s="14">
        <v>1.4999999999999999E-2</v>
      </c>
    </row>
    <row r="27" spans="2:9" ht="15.6">
      <c r="B27" s="8" t="s">
        <v>21</v>
      </c>
    </row>
    <row r="28" spans="2:9">
      <c r="D28" s="6" t="s">
        <v>3</v>
      </c>
      <c r="F28" s="10" t="s">
        <v>4</v>
      </c>
      <c r="H28" s="11">
        <v>6000000</v>
      </c>
    </row>
    <row r="29" spans="2:9">
      <c r="D29" s="6" t="s">
        <v>15</v>
      </c>
      <c r="F29" s="10" t="s">
        <v>16</v>
      </c>
      <c r="H29" s="14">
        <v>7.0000000000000007E-2</v>
      </c>
    </row>
    <row r="30" spans="2:9">
      <c r="D30" s="6" t="s">
        <v>22</v>
      </c>
      <c r="F30" s="10" t="s">
        <v>7</v>
      </c>
      <c r="H30" s="11">
        <v>40</v>
      </c>
    </row>
    <row r="31" spans="2:9">
      <c r="D31" s="6" t="s">
        <v>23</v>
      </c>
      <c r="F31" s="10" t="s">
        <v>24</v>
      </c>
      <c r="H31" s="15">
        <f>EOMONTH(H39,3*H30)</f>
        <v>47118</v>
      </c>
    </row>
    <row r="32" spans="2:9">
      <c r="D32" s="6"/>
    </row>
    <row r="33" spans="2:8" ht="15.6">
      <c r="B33" s="8" t="s">
        <v>25</v>
      </c>
    </row>
    <row r="34" spans="2:8">
      <c r="D34" s="6" t="s">
        <v>26</v>
      </c>
      <c r="F34" s="10" t="s">
        <v>4</v>
      </c>
      <c r="H34" s="11">
        <v>4000000</v>
      </c>
    </row>
    <row r="35" spans="2:8">
      <c r="D35" s="6" t="s">
        <v>27</v>
      </c>
      <c r="F35" s="10" t="s">
        <v>16</v>
      </c>
      <c r="H35" s="14">
        <v>9.5000000000000001E-2</v>
      </c>
    </row>
    <row r="38" spans="2:8" ht="15.6">
      <c r="B38" s="8" t="s">
        <v>28</v>
      </c>
    </row>
    <row r="39" spans="2:8">
      <c r="D39" s="6" t="s">
        <v>29</v>
      </c>
      <c r="F39" s="10" t="s">
        <v>24</v>
      </c>
      <c r="H39" s="16">
        <v>43465</v>
      </c>
    </row>
    <row r="40" spans="2:8">
      <c r="D40" s="6" t="s">
        <v>30</v>
      </c>
      <c r="F40" s="10" t="s">
        <v>24</v>
      </c>
      <c r="H40" s="15">
        <f>EOMONTH(H39,3)</f>
        <v>43555</v>
      </c>
    </row>
    <row r="41" spans="2:8">
      <c r="D41" s="6" t="s">
        <v>31</v>
      </c>
      <c r="F41" s="10" t="s">
        <v>32</v>
      </c>
      <c r="H41" s="17">
        <v>40</v>
      </c>
    </row>
    <row r="42" spans="2:8">
      <c r="D42" s="6" t="s">
        <v>33</v>
      </c>
      <c r="F42" s="10" t="s">
        <v>24</v>
      </c>
      <c r="H42" s="15">
        <f>EOMONTH(H39,H41*3)</f>
        <v>47118</v>
      </c>
    </row>
    <row r="44" spans="2:8">
      <c r="D44" s="6" t="s">
        <v>34</v>
      </c>
      <c r="F44" s="10" t="s">
        <v>16</v>
      </c>
      <c r="H44" s="14">
        <v>1.4999999999999999E-2</v>
      </c>
    </row>
    <row r="47" spans="2:8">
      <c r="C47" s="9" t="s">
        <v>35</v>
      </c>
    </row>
    <row r="48" spans="2:8">
      <c r="C48" s="9"/>
      <c r="D48" s="18"/>
    </row>
    <row r="49" spans="4:13">
      <c r="D49" s="6"/>
      <c r="E49" s="9" t="s">
        <v>36</v>
      </c>
      <c r="F49" s="9"/>
      <c r="G49" s="9">
        <v>1</v>
      </c>
      <c r="H49" s="9">
        <v>2</v>
      </c>
      <c r="I49" s="9">
        <v>3</v>
      </c>
      <c r="J49" s="9">
        <v>4</v>
      </c>
    </row>
    <row r="50" spans="4:13">
      <c r="D50" s="6"/>
      <c r="E50" s="9" t="s">
        <v>37</v>
      </c>
      <c r="F50" s="9"/>
      <c r="G50" s="12" t="s">
        <v>38</v>
      </c>
      <c r="H50" s="12" t="s">
        <v>39</v>
      </c>
      <c r="I50" s="12" t="s">
        <v>40</v>
      </c>
      <c r="J50" s="12" t="s">
        <v>41</v>
      </c>
      <c r="M50" s="3" t="str" cm="1">
        <f t="array" ref="M50:M53">TRANSPOSE(G50:J50)</f>
        <v>Base Case</v>
      </c>
    </row>
    <row r="51" spans="4:13">
      <c r="E51" s="19" t="s">
        <v>42</v>
      </c>
      <c r="G51" s="10" t="s">
        <v>4</v>
      </c>
      <c r="H51" s="10" t="s">
        <v>4</v>
      </c>
      <c r="I51" s="10" t="s">
        <v>4</v>
      </c>
      <c r="J51" s="10" t="s">
        <v>4</v>
      </c>
      <c r="M51" s="3" t="str">
        <v>Case 2</v>
      </c>
    </row>
    <row r="52" spans="4:13">
      <c r="E52" s="20">
        <f>$H$40</f>
        <v>43555</v>
      </c>
      <c r="G52" s="11">
        <v>679388</v>
      </c>
      <c r="H52" s="11">
        <v>812279</v>
      </c>
      <c r="I52" s="11">
        <v>629617</v>
      </c>
      <c r="J52" s="11">
        <v>722459</v>
      </c>
      <c r="M52" s="3" t="str">
        <v>Case 3</v>
      </c>
    </row>
    <row r="53" spans="4:13">
      <c r="E53" s="15">
        <f t="shared" ref="E53:E91" si="0">EOMONTH(E52,3)</f>
        <v>43646</v>
      </c>
      <c r="G53" s="11">
        <v>672030</v>
      </c>
      <c r="H53" s="11">
        <v>706344</v>
      </c>
      <c r="I53" s="11">
        <v>803471</v>
      </c>
      <c r="J53" s="11">
        <v>685565</v>
      </c>
      <c r="M53" s="3" t="str">
        <v>Case 4</v>
      </c>
    </row>
    <row r="54" spans="4:13">
      <c r="E54" s="15">
        <f t="shared" si="0"/>
        <v>43738</v>
      </c>
      <c r="G54" s="11">
        <v>665707</v>
      </c>
      <c r="H54" s="11">
        <v>770727</v>
      </c>
      <c r="I54" s="11">
        <v>676023</v>
      </c>
      <c r="J54" s="11">
        <v>715368</v>
      </c>
    </row>
    <row r="55" spans="4:13">
      <c r="E55" s="15">
        <f t="shared" si="0"/>
        <v>43830</v>
      </c>
      <c r="G55" s="11">
        <v>663538</v>
      </c>
      <c r="H55" s="11">
        <v>789594</v>
      </c>
      <c r="I55" s="11">
        <v>727805</v>
      </c>
      <c r="J55" s="11">
        <v>696176</v>
      </c>
    </row>
    <row r="56" spans="4:13">
      <c r="E56" s="15">
        <f t="shared" si="0"/>
        <v>43921</v>
      </c>
      <c r="G56" s="11">
        <v>664533</v>
      </c>
      <c r="H56" s="11">
        <v>821382</v>
      </c>
      <c r="I56" s="11">
        <v>728123</v>
      </c>
      <c r="J56" s="11">
        <v>691312</v>
      </c>
    </row>
    <row r="57" spans="4:13">
      <c r="E57" s="15">
        <f t="shared" si="0"/>
        <v>44012</v>
      </c>
      <c r="G57" s="11">
        <v>650141</v>
      </c>
      <c r="H57" s="11">
        <v>713913</v>
      </c>
      <c r="I57" s="11">
        <v>691525</v>
      </c>
      <c r="J57" s="11">
        <v>708600</v>
      </c>
    </row>
    <row r="58" spans="4:13">
      <c r="E58" s="15">
        <f t="shared" si="0"/>
        <v>44104</v>
      </c>
      <c r="G58" s="11">
        <v>649560</v>
      </c>
      <c r="H58" s="11">
        <v>673308</v>
      </c>
      <c r="I58" s="11">
        <v>595978</v>
      </c>
      <c r="J58" s="11">
        <v>677140</v>
      </c>
    </row>
    <row r="59" spans="4:13">
      <c r="E59" s="15">
        <f t="shared" si="0"/>
        <v>44196</v>
      </c>
      <c r="G59" s="11">
        <v>645058</v>
      </c>
      <c r="H59" s="11">
        <v>677950</v>
      </c>
      <c r="I59" s="11">
        <v>616922</v>
      </c>
      <c r="J59" s="11">
        <v>702624</v>
      </c>
    </row>
    <row r="60" spans="4:13">
      <c r="E60" s="15">
        <f t="shared" si="0"/>
        <v>44286</v>
      </c>
      <c r="G60" s="11">
        <v>676898</v>
      </c>
      <c r="H60" s="11">
        <v>648728</v>
      </c>
      <c r="I60" s="11">
        <v>707559</v>
      </c>
      <c r="J60" s="11">
        <v>677462</v>
      </c>
    </row>
    <row r="61" spans="4:13">
      <c r="E61" s="15">
        <f t="shared" si="0"/>
        <v>44377</v>
      </c>
      <c r="G61" s="11">
        <v>642290</v>
      </c>
      <c r="H61" s="11">
        <v>809610</v>
      </c>
      <c r="I61" s="11">
        <v>590734</v>
      </c>
      <c r="J61" s="11">
        <v>708052</v>
      </c>
    </row>
    <row r="62" spans="4:13">
      <c r="E62" s="15">
        <f t="shared" si="0"/>
        <v>44469</v>
      </c>
      <c r="G62" s="11">
        <v>652741</v>
      </c>
      <c r="H62" s="11">
        <v>773370</v>
      </c>
      <c r="I62" s="11">
        <v>663876</v>
      </c>
      <c r="J62" s="11">
        <v>672161</v>
      </c>
    </row>
    <row r="63" spans="4:13">
      <c r="E63" s="15">
        <f t="shared" si="0"/>
        <v>44561</v>
      </c>
      <c r="G63" s="11">
        <v>643964</v>
      </c>
      <c r="H63" s="11">
        <v>805384</v>
      </c>
      <c r="I63" s="11">
        <v>726276</v>
      </c>
      <c r="J63" s="11">
        <v>638978</v>
      </c>
    </row>
    <row r="64" spans="4:13">
      <c r="E64" s="15">
        <f t="shared" si="0"/>
        <v>44651</v>
      </c>
      <c r="G64" s="11">
        <v>642292</v>
      </c>
      <c r="H64" s="11">
        <v>713333</v>
      </c>
      <c r="I64" s="11">
        <v>647828</v>
      </c>
      <c r="J64" s="11">
        <v>695189</v>
      </c>
    </row>
    <row r="65" spans="5:10">
      <c r="E65" s="15">
        <f t="shared" si="0"/>
        <v>44742</v>
      </c>
      <c r="G65" s="11">
        <v>671775</v>
      </c>
      <c r="H65" s="11">
        <v>737873</v>
      </c>
      <c r="I65" s="11">
        <v>708470</v>
      </c>
      <c r="J65" s="11">
        <v>724269</v>
      </c>
    </row>
    <row r="66" spans="5:10">
      <c r="E66" s="15">
        <f t="shared" si="0"/>
        <v>44834</v>
      </c>
      <c r="G66" s="11">
        <v>674599</v>
      </c>
      <c r="H66" s="11">
        <v>726173</v>
      </c>
      <c r="I66" s="11">
        <v>654281</v>
      </c>
      <c r="J66" s="11">
        <v>742650</v>
      </c>
    </row>
    <row r="67" spans="5:10">
      <c r="E67" s="15">
        <f t="shared" si="0"/>
        <v>44926</v>
      </c>
      <c r="G67" s="11">
        <v>685274</v>
      </c>
      <c r="H67" s="11">
        <v>902127</v>
      </c>
      <c r="I67" s="11">
        <v>644588</v>
      </c>
      <c r="J67" s="11">
        <v>726930</v>
      </c>
    </row>
    <row r="68" spans="5:10">
      <c r="E68" s="15">
        <f t="shared" si="0"/>
        <v>45016</v>
      </c>
      <c r="G68" s="11">
        <v>660287</v>
      </c>
      <c r="H68" s="11">
        <v>805698</v>
      </c>
      <c r="I68" s="11">
        <v>591997</v>
      </c>
      <c r="J68" s="11">
        <v>684152</v>
      </c>
    </row>
    <row r="69" spans="5:10">
      <c r="E69" s="15">
        <f t="shared" si="0"/>
        <v>45107</v>
      </c>
      <c r="G69" s="11">
        <v>677193</v>
      </c>
      <c r="H69" s="11">
        <v>731166</v>
      </c>
      <c r="I69" s="11">
        <v>682106</v>
      </c>
      <c r="J69" s="11">
        <v>745818</v>
      </c>
    </row>
    <row r="70" spans="5:10">
      <c r="E70" s="15">
        <f t="shared" si="0"/>
        <v>45199</v>
      </c>
      <c r="G70" s="11">
        <v>687307</v>
      </c>
      <c r="H70" s="11">
        <v>661835</v>
      </c>
      <c r="I70" s="11">
        <v>701494</v>
      </c>
      <c r="J70" s="11">
        <v>744388</v>
      </c>
    </row>
    <row r="71" spans="5:10">
      <c r="E71" s="15">
        <f t="shared" si="0"/>
        <v>45291</v>
      </c>
      <c r="G71" s="11">
        <v>699274</v>
      </c>
      <c r="H71" s="11">
        <v>691669</v>
      </c>
      <c r="I71" s="11">
        <v>714775</v>
      </c>
      <c r="J71" s="11">
        <v>703240</v>
      </c>
    </row>
    <row r="72" spans="5:10">
      <c r="E72" s="15">
        <f t="shared" si="0"/>
        <v>45382</v>
      </c>
      <c r="G72" s="11">
        <v>719236</v>
      </c>
      <c r="H72" s="11">
        <v>803768</v>
      </c>
      <c r="I72" s="11">
        <v>717299</v>
      </c>
      <c r="J72" s="11">
        <v>749886</v>
      </c>
    </row>
    <row r="73" spans="5:10">
      <c r="E73" s="15">
        <f t="shared" si="0"/>
        <v>45473</v>
      </c>
      <c r="G73" s="11">
        <v>693326</v>
      </c>
      <c r="H73" s="11">
        <v>705657</v>
      </c>
      <c r="I73" s="11">
        <v>745415</v>
      </c>
      <c r="J73" s="11">
        <v>737567</v>
      </c>
    </row>
    <row r="74" spans="5:10">
      <c r="E74" s="15">
        <f t="shared" si="0"/>
        <v>45565</v>
      </c>
      <c r="G74" s="11">
        <v>713143</v>
      </c>
      <c r="H74" s="11">
        <v>924016</v>
      </c>
      <c r="I74" s="11">
        <v>818631</v>
      </c>
      <c r="J74" s="11">
        <v>735280</v>
      </c>
    </row>
    <row r="75" spans="5:10">
      <c r="E75" s="15">
        <f t="shared" si="0"/>
        <v>45657</v>
      </c>
      <c r="G75" s="11">
        <v>698365</v>
      </c>
      <c r="H75" s="11">
        <v>805065</v>
      </c>
      <c r="I75" s="11">
        <v>725212</v>
      </c>
      <c r="J75" s="11">
        <v>757752</v>
      </c>
    </row>
    <row r="76" spans="5:10">
      <c r="E76" s="15">
        <f t="shared" si="0"/>
        <v>45747</v>
      </c>
      <c r="G76" s="11">
        <v>699462</v>
      </c>
      <c r="H76" s="11">
        <v>650887</v>
      </c>
      <c r="I76" s="11">
        <v>667361</v>
      </c>
      <c r="J76" s="11">
        <v>705717</v>
      </c>
    </row>
    <row r="77" spans="5:10">
      <c r="E77" s="15">
        <f t="shared" si="0"/>
        <v>45838</v>
      </c>
      <c r="G77" s="11">
        <v>706344</v>
      </c>
      <c r="H77" s="11">
        <v>828434</v>
      </c>
      <c r="I77" s="11">
        <v>700538</v>
      </c>
      <c r="J77" s="11">
        <v>701426</v>
      </c>
    </row>
    <row r="78" spans="5:10">
      <c r="E78" s="15">
        <f t="shared" si="0"/>
        <v>45930</v>
      </c>
      <c r="G78" s="11">
        <v>738541</v>
      </c>
      <c r="H78" s="11">
        <v>729241</v>
      </c>
      <c r="I78" s="11">
        <v>655253</v>
      </c>
      <c r="J78" s="11">
        <v>775650</v>
      </c>
    </row>
    <row r="79" spans="5:10">
      <c r="E79" s="15">
        <f t="shared" si="0"/>
        <v>46022</v>
      </c>
      <c r="G79" s="11">
        <v>706443</v>
      </c>
      <c r="H79" s="11">
        <v>867082</v>
      </c>
      <c r="I79" s="11">
        <v>703729</v>
      </c>
      <c r="J79" s="11">
        <v>754268</v>
      </c>
    </row>
    <row r="80" spans="5:10">
      <c r="E80" s="15">
        <f t="shared" si="0"/>
        <v>46112</v>
      </c>
      <c r="G80" s="11">
        <v>696744</v>
      </c>
      <c r="H80" s="11">
        <v>717415</v>
      </c>
      <c r="I80" s="11">
        <v>732938</v>
      </c>
      <c r="J80" s="11">
        <v>737208</v>
      </c>
    </row>
    <row r="81" spans="1:12">
      <c r="E81" s="15">
        <f t="shared" si="0"/>
        <v>46203</v>
      </c>
      <c r="G81" s="11">
        <v>714636</v>
      </c>
      <c r="H81" s="11">
        <v>704505</v>
      </c>
      <c r="I81" s="11">
        <v>823653</v>
      </c>
      <c r="J81" s="11">
        <v>777864</v>
      </c>
    </row>
    <row r="82" spans="1:12">
      <c r="E82" s="15">
        <f t="shared" si="0"/>
        <v>46295</v>
      </c>
      <c r="G82" s="11">
        <v>755656</v>
      </c>
      <c r="H82" s="11">
        <v>864444</v>
      </c>
      <c r="I82" s="11">
        <v>864872</v>
      </c>
      <c r="J82" s="11">
        <v>792269</v>
      </c>
    </row>
    <row r="83" spans="1:12">
      <c r="E83" s="15">
        <f t="shared" si="0"/>
        <v>46387</v>
      </c>
      <c r="G83" s="11">
        <v>750348</v>
      </c>
      <c r="H83" s="11">
        <v>836858</v>
      </c>
      <c r="I83" s="11">
        <v>820643</v>
      </c>
      <c r="J83" s="11">
        <v>786361</v>
      </c>
    </row>
    <row r="84" spans="1:12">
      <c r="E84" s="15">
        <f t="shared" si="0"/>
        <v>46477</v>
      </c>
      <c r="G84" s="11">
        <v>740563</v>
      </c>
      <c r="H84" s="11">
        <v>897764</v>
      </c>
      <c r="I84" s="11">
        <v>690866</v>
      </c>
      <c r="J84" s="11">
        <v>766948</v>
      </c>
    </row>
    <row r="85" spans="1:12">
      <c r="E85" s="15">
        <f t="shared" si="0"/>
        <v>46568</v>
      </c>
      <c r="G85" s="11">
        <v>731253</v>
      </c>
      <c r="H85" s="11">
        <v>720079</v>
      </c>
      <c r="I85" s="11">
        <v>843455</v>
      </c>
      <c r="J85" s="11">
        <v>753824</v>
      </c>
    </row>
    <row r="86" spans="1:12">
      <c r="E86" s="15">
        <f t="shared" si="0"/>
        <v>46660</v>
      </c>
      <c r="G86" s="11">
        <v>755344</v>
      </c>
      <c r="H86" s="11">
        <v>844464</v>
      </c>
      <c r="I86" s="11">
        <v>680818</v>
      </c>
      <c r="J86" s="11">
        <v>755751</v>
      </c>
    </row>
    <row r="87" spans="1:12">
      <c r="E87" s="15">
        <f t="shared" si="0"/>
        <v>46752</v>
      </c>
      <c r="G87" s="11">
        <v>768793</v>
      </c>
      <c r="H87" s="11">
        <v>906888</v>
      </c>
      <c r="I87" s="11">
        <v>696525</v>
      </c>
      <c r="J87" s="11">
        <v>845378</v>
      </c>
    </row>
    <row r="88" spans="1:12">
      <c r="E88" s="15">
        <f t="shared" si="0"/>
        <v>46843</v>
      </c>
      <c r="G88" s="11">
        <v>764348</v>
      </c>
      <c r="H88" s="11">
        <v>872575</v>
      </c>
      <c r="I88" s="11">
        <v>826554</v>
      </c>
      <c r="J88" s="11">
        <v>782266</v>
      </c>
    </row>
    <row r="89" spans="1:12">
      <c r="E89" s="15">
        <f t="shared" si="0"/>
        <v>46934</v>
      </c>
      <c r="G89" s="11">
        <v>758728</v>
      </c>
      <c r="H89" s="11">
        <v>855966</v>
      </c>
      <c r="I89" s="11">
        <v>678038</v>
      </c>
      <c r="J89" s="11">
        <v>813367</v>
      </c>
    </row>
    <row r="90" spans="1:12">
      <c r="E90" s="15">
        <f t="shared" si="0"/>
        <v>47026</v>
      </c>
      <c r="G90" s="11">
        <v>771909</v>
      </c>
      <c r="H90" s="11">
        <v>907143</v>
      </c>
      <c r="I90" s="11">
        <v>805340</v>
      </c>
      <c r="J90" s="11">
        <v>845319</v>
      </c>
    </row>
    <row r="91" spans="1:12">
      <c r="E91" s="15">
        <f t="shared" si="0"/>
        <v>47118</v>
      </c>
      <c r="G91" s="11">
        <v>772307</v>
      </c>
      <c r="H91" s="11">
        <v>800839</v>
      </c>
      <c r="I91" s="11">
        <v>707446</v>
      </c>
      <c r="J91" s="11">
        <v>771585</v>
      </c>
    </row>
    <row r="92" spans="1:12">
      <c r="E92" s="15"/>
    </row>
    <row r="93" spans="1:12">
      <c r="A93" s="70" t="s">
        <v>118</v>
      </c>
      <c r="B93" s="68"/>
      <c r="C93" s="68"/>
      <c r="D93" s="68"/>
      <c r="E93" s="69"/>
      <c r="F93" s="68"/>
      <c r="G93" s="68"/>
      <c r="H93" s="68"/>
      <c r="I93" s="68"/>
      <c r="J93" s="68"/>
      <c r="K93" s="68"/>
      <c r="L93" s="68"/>
    </row>
    <row r="94" spans="1:12">
      <c r="E94" s="15"/>
    </row>
    <row r="96" spans="1:12">
      <c r="D96" s="3" t="s">
        <v>100</v>
      </c>
      <c r="E96" s="66" t="s">
        <v>101</v>
      </c>
    </row>
    <row r="98" spans="4:49">
      <c r="D98" s="3" t="s">
        <v>107</v>
      </c>
      <c r="F98" s="3" t="s">
        <v>103</v>
      </c>
      <c r="J98" s="71" cm="1">
        <f t="array" ref="J98:AW98">EDATE(start_date + 1,_xlfn.SEQUENCE(1,periods,0,3))</f>
        <v>43466</v>
      </c>
      <c r="K98" s="71">
        <v>43556</v>
      </c>
      <c r="L98" s="71">
        <v>43647</v>
      </c>
      <c r="M98" s="71">
        <v>43739</v>
      </c>
      <c r="N98" s="71">
        <v>43831</v>
      </c>
      <c r="O98" s="71">
        <v>43922</v>
      </c>
      <c r="P98" s="71">
        <v>44013</v>
      </c>
      <c r="Q98" s="71">
        <v>44105</v>
      </c>
      <c r="R98" s="71">
        <v>44197</v>
      </c>
      <c r="S98" s="71">
        <v>44287</v>
      </c>
      <c r="T98" s="71">
        <v>44378</v>
      </c>
      <c r="U98" s="71">
        <v>44470</v>
      </c>
      <c r="V98" s="71">
        <v>44562</v>
      </c>
      <c r="W98" s="71">
        <v>44652</v>
      </c>
      <c r="X98" s="71">
        <v>44743</v>
      </c>
      <c r="Y98" s="71">
        <v>44835</v>
      </c>
      <c r="Z98" s="71">
        <v>44927</v>
      </c>
      <c r="AA98" s="71">
        <v>45017</v>
      </c>
      <c r="AB98" s="71">
        <v>45108</v>
      </c>
      <c r="AC98" s="71">
        <v>45200</v>
      </c>
      <c r="AD98" s="71">
        <v>45292</v>
      </c>
      <c r="AE98" s="71">
        <v>45383</v>
      </c>
      <c r="AF98" s="71">
        <v>45474</v>
      </c>
      <c r="AG98" s="71">
        <v>45566</v>
      </c>
      <c r="AH98" s="71">
        <v>45658</v>
      </c>
      <c r="AI98" s="71">
        <v>45748</v>
      </c>
      <c r="AJ98" s="71">
        <v>45839</v>
      </c>
      <c r="AK98" s="71">
        <v>45931</v>
      </c>
      <c r="AL98" s="71">
        <v>46023</v>
      </c>
      <c r="AM98" s="71">
        <v>46113</v>
      </c>
      <c r="AN98" s="71">
        <v>46204</v>
      </c>
      <c r="AO98" s="71">
        <v>46296</v>
      </c>
      <c r="AP98" s="71">
        <v>46388</v>
      </c>
      <c r="AQ98" s="71">
        <v>46478</v>
      </c>
      <c r="AR98" s="71">
        <v>46569</v>
      </c>
      <c r="AS98" s="71">
        <v>46661</v>
      </c>
      <c r="AT98" s="71">
        <v>46753</v>
      </c>
      <c r="AU98" s="71">
        <v>46844</v>
      </c>
      <c r="AV98" s="71">
        <v>46935</v>
      </c>
      <c r="AW98" s="71">
        <v>47027</v>
      </c>
    </row>
    <row r="99" spans="4:49">
      <c r="D99" s="3" t="s">
        <v>108</v>
      </c>
      <c r="F99" s="3" t="s">
        <v>103</v>
      </c>
      <c r="J99" s="71" cm="1">
        <f t="array" ref="J99:AW99">EOMONTH( start_date, _xlfn.SEQUENCE( 1, periods, 3, 3 ) )</f>
        <v>43555</v>
      </c>
      <c r="K99" s="71">
        <v>43646</v>
      </c>
      <c r="L99" s="71">
        <v>43738</v>
      </c>
      <c r="M99" s="71">
        <v>43830</v>
      </c>
      <c r="N99" s="71">
        <v>43921</v>
      </c>
      <c r="O99" s="71">
        <v>44012</v>
      </c>
      <c r="P99" s="71">
        <v>44104</v>
      </c>
      <c r="Q99" s="71">
        <v>44196</v>
      </c>
      <c r="R99" s="71">
        <v>44286</v>
      </c>
      <c r="S99" s="71">
        <v>44377</v>
      </c>
      <c r="T99" s="71">
        <v>44469</v>
      </c>
      <c r="U99" s="71">
        <v>44561</v>
      </c>
      <c r="V99" s="71">
        <v>44651</v>
      </c>
      <c r="W99" s="71">
        <v>44742</v>
      </c>
      <c r="X99" s="71">
        <v>44834</v>
      </c>
      <c r="Y99" s="71">
        <v>44926</v>
      </c>
      <c r="Z99" s="71">
        <v>45016</v>
      </c>
      <c r="AA99" s="71">
        <v>45107</v>
      </c>
      <c r="AB99" s="71">
        <v>45199</v>
      </c>
      <c r="AC99" s="71">
        <v>45291</v>
      </c>
      <c r="AD99" s="71">
        <v>45382</v>
      </c>
      <c r="AE99" s="71">
        <v>45473</v>
      </c>
      <c r="AF99" s="71">
        <v>45565</v>
      </c>
      <c r="AG99" s="71">
        <v>45657</v>
      </c>
      <c r="AH99" s="71">
        <v>45747</v>
      </c>
      <c r="AI99" s="71">
        <v>45838</v>
      </c>
      <c r="AJ99" s="71">
        <v>45930</v>
      </c>
      <c r="AK99" s="71">
        <v>46022</v>
      </c>
      <c r="AL99" s="71">
        <v>46112</v>
      </c>
      <c r="AM99" s="71">
        <v>46203</v>
      </c>
      <c r="AN99" s="71">
        <v>46295</v>
      </c>
      <c r="AO99" s="71">
        <v>46387</v>
      </c>
      <c r="AP99" s="71">
        <v>46477</v>
      </c>
      <c r="AQ99" s="71">
        <v>46568</v>
      </c>
      <c r="AR99" s="71">
        <v>46660</v>
      </c>
      <c r="AS99" s="71">
        <v>46752</v>
      </c>
      <c r="AT99" s="71">
        <v>46843</v>
      </c>
      <c r="AU99" s="71">
        <v>46934</v>
      </c>
      <c r="AV99" s="71">
        <v>47026</v>
      </c>
      <c r="AW99" s="71">
        <v>47118</v>
      </c>
    </row>
    <row r="100" spans="4:49">
      <c r="D100" s="3" t="s">
        <v>114</v>
      </c>
      <c r="F100" s="3" t="s">
        <v>115</v>
      </c>
      <c r="J100" s="3" cm="1">
        <f t="array" ref="J100:AW100" xml:space="preserve"> _xlfn.SEQUENCE( 1, periods, 1, 1 )</f>
        <v>1</v>
      </c>
      <c r="K100" s="3">
        <v>2</v>
      </c>
      <c r="L100" s="3">
        <v>3</v>
      </c>
      <c r="M100" s="3">
        <v>4</v>
      </c>
      <c r="N100" s="3">
        <v>5</v>
      </c>
      <c r="O100" s="3">
        <v>6</v>
      </c>
      <c r="P100" s="3">
        <v>7</v>
      </c>
      <c r="Q100" s="3">
        <v>8</v>
      </c>
      <c r="R100" s="3">
        <v>9</v>
      </c>
      <c r="S100" s="3">
        <v>10</v>
      </c>
      <c r="T100" s="3">
        <v>11</v>
      </c>
      <c r="U100" s="3">
        <v>12</v>
      </c>
      <c r="V100" s="3">
        <v>13</v>
      </c>
      <c r="W100" s="3">
        <v>14</v>
      </c>
      <c r="X100" s="3">
        <v>15</v>
      </c>
      <c r="Y100" s="3">
        <v>16</v>
      </c>
      <c r="Z100" s="3">
        <v>17</v>
      </c>
      <c r="AA100" s="3">
        <v>18</v>
      </c>
      <c r="AB100" s="3">
        <v>19</v>
      </c>
      <c r="AC100" s="3">
        <v>20</v>
      </c>
      <c r="AD100" s="3">
        <v>21</v>
      </c>
      <c r="AE100" s="3">
        <v>22</v>
      </c>
      <c r="AF100" s="3">
        <v>23</v>
      </c>
      <c r="AG100" s="3">
        <v>24</v>
      </c>
      <c r="AH100" s="3">
        <v>25</v>
      </c>
      <c r="AI100" s="3">
        <v>26</v>
      </c>
      <c r="AJ100" s="3">
        <v>27</v>
      </c>
      <c r="AK100" s="3">
        <v>28</v>
      </c>
      <c r="AL100" s="3">
        <v>29</v>
      </c>
      <c r="AM100" s="3">
        <v>30</v>
      </c>
      <c r="AN100" s="3">
        <v>31</v>
      </c>
      <c r="AO100" s="3">
        <v>32</v>
      </c>
      <c r="AP100" s="3">
        <v>33</v>
      </c>
      <c r="AQ100" s="3">
        <v>34</v>
      </c>
      <c r="AR100" s="3">
        <v>35</v>
      </c>
      <c r="AS100" s="3">
        <v>36</v>
      </c>
      <c r="AT100" s="3">
        <v>37</v>
      </c>
      <c r="AU100" s="3">
        <v>38</v>
      </c>
      <c r="AV100" s="3">
        <v>39</v>
      </c>
      <c r="AW100" s="3">
        <v>40</v>
      </c>
    </row>
    <row r="101" spans="4:49">
      <c r="D101" s="3" t="s">
        <v>112</v>
      </c>
      <c r="F101" s="3" t="s">
        <v>113</v>
      </c>
      <c r="J101" s="3" cm="1">
        <f t="array" ref="J101:AW101" xml:space="preserve"> IF(_xlfn.ANCHORARRAY( J100) = 1, 1, 0 )</f>
        <v>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</row>
    <row r="104" spans="4:49">
      <c r="D104" s="3" t="s">
        <v>119</v>
      </c>
      <c r="E104" s="68" t="str" cm="1">
        <f t="array" ref="E104:E106">TRANSPOSE($G$17:$I$17 )</f>
        <v>Passive</v>
      </c>
    </row>
    <row r="105" spans="4:49">
      <c r="E105" s="68" t="str">
        <v>Neutral</v>
      </c>
    </row>
    <row r="106" spans="4:49">
      <c r="E106" s="68" t="str">
        <v>Aggressive</v>
      </c>
    </row>
    <row r="108" spans="4:49">
      <c r="D108" s="3" t="s">
        <v>120</v>
      </c>
      <c r="E108" s="68" t="str" cm="1">
        <f t="array" ref="E108:E111">TRANSPOSE( $G$50:$J$50 )</f>
        <v>Base Case</v>
      </c>
    </row>
    <row r="109" spans="4:49">
      <c r="E109" s="68" t="str">
        <v>Case 2</v>
      </c>
    </row>
    <row r="110" spans="4:49">
      <c r="E110" s="68" t="str">
        <v>Case 3</v>
      </c>
    </row>
    <row r="111" spans="4:49">
      <c r="E111" s="68" t="str">
        <v>Case 4</v>
      </c>
    </row>
    <row r="116" spans="1:12">
      <c r="A116" s="7"/>
      <c r="B116" s="7"/>
      <c r="C116" s="7" t="s">
        <v>43</v>
      </c>
      <c r="D116" s="7"/>
      <c r="E116" s="7"/>
      <c r="F116" s="7"/>
      <c r="G116" s="7"/>
      <c r="H116" s="7"/>
      <c r="I116" s="7"/>
      <c r="J116" s="7"/>
      <c r="K116" s="7"/>
      <c r="L116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T113"/>
  <sheetViews>
    <sheetView showGridLines="0" zoomScale="85" zoomScaleNormal="85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F24" sqref="F24"/>
    </sheetView>
  </sheetViews>
  <sheetFormatPr defaultColWidth="12.6640625" defaultRowHeight="13.2"/>
  <cols>
    <col min="1" max="1" width="5.6640625" style="3" customWidth="1"/>
    <col min="2" max="3" width="3.6640625" style="3" customWidth="1"/>
    <col min="4" max="4" width="48.6640625" style="3" customWidth="1"/>
    <col min="5" max="9" width="12.6640625" style="3"/>
    <col min="10" max="10" width="12.6640625" style="3" customWidth="1"/>
    <col min="11" max="16384" width="12.6640625" style="3"/>
  </cols>
  <sheetData>
    <row r="1" spans="1:46" ht="17.39999999999999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5.6">
      <c r="A3" s="4">
        <v>2</v>
      </c>
      <c r="B3" s="2"/>
      <c r="C3" s="2" t="s">
        <v>44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 ht="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spans="1:46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>
      <c r="I8" s="6"/>
      <c r="J8" s="6"/>
    </row>
    <row r="9" spans="1:46">
      <c r="C9" s="3" t="s">
        <v>48</v>
      </c>
      <c r="F9" s="21">
        <f>Case1Data!H39</f>
        <v>43465</v>
      </c>
      <c r="G9" s="22">
        <f>EOMONTH(F9,3)</f>
        <v>43555</v>
      </c>
      <c r="H9" s="22">
        <f t="shared" ref="H9:M9" si="0">EOMONTH(G9,3)</f>
        <v>43646</v>
      </c>
      <c r="I9" s="22">
        <f t="shared" si="0"/>
        <v>43738</v>
      </c>
      <c r="J9" s="22">
        <f t="shared" si="0"/>
        <v>43830</v>
      </c>
      <c r="K9" s="22">
        <f t="shared" si="0"/>
        <v>43921</v>
      </c>
      <c r="L9" s="22">
        <f t="shared" si="0"/>
        <v>44012</v>
      </c>
      <c r="M9" s="22">
        <f t="shared" si="0"/>
        <v>44104</v>
      </c>
      <c r="N9" s="22">
        <f t="shared" ref="N9:AI9" si="1">EOMONTH(M9,3)</f>
        <v>44196</v>
      </c>
      <c r="O9" s="22">
        <f t="shared" si="1"/>
        <v>44286</v>
      </c>
      <c r="P9" s="22">
        <f t="shared" si="1"/>
        <v>44377</v>
      </c>
      <c r="Q9" s="22">
        <f t="shared" si="1"/>
        <v>44469</v>
      </c>
      <c r="R9" s="22">
        <f t="shared" si="1"/>
        <v>44561</v>
      </c>
      <c r="S9" s="22">
        <f t="shared" si="1"/>
        <v>44651</v>
      </c>
      <c r="T9" s="22">
        <f t="shared" si="1"/>
        <v>44742</v>
      </c>
      <c r="U9" s="22">
        <f t="shared" si="1"/>
        <v>44834</v>
      </c>
      <c r="V9" s="22">
        <f t="shared" si="1"/>
        <v>44926</v>
      </c>
      <c r="W9" s="22">
        <f t="shared" si="1"/>
        <v>45016</v>
      </c>
      <c r="X9" s="22">
        <f t="shared" si="1"/>
        <v>45107</v>
      </c>
      <c r="Y9" s="22">
        <f t="shared" si="1"/>
        <v>45199</v>
      </c>
      <c r="Z9" s="22">
        <f t="shared" si="1"/>
        <v>45291</v>
      </c>
      <c r="AA9" s="22">
        <f t="shared" si="1"/>
        <v>45382</v>
      </c>
      <c r="AB9" s="22">
        <f t="shared" si="1"/>
        <v>45473</v>
      </c>
      <c r="AC9" s="22">
        <f t="shared" si="1"/>
        <v>45565</v>
      </c>
      <c r="AD9" s="22">
        <f t="shared" si="1"/>
        <v>45657</v>
      </c>
      <c r="AE9" s="22">
        <f t="shared" si="1"/>
        <v>45747</v>
      </c>
      <c r="AF9" s="22">
        <f t="shared" si="1"/>
        <v>45838</v>
      </c>
      <c r="AG9" s="22">
        <f t="shared" si="1"/>
        <v>45930</v>
      </c>
      <c r="AH9" s="22">
        <f t="shared" si="1"/>
        <v>46022</v>
      </c>
      <c r="AI9" s="22">
        <f t="shared" si="1"/>
        <v>46112</v>
      </c>
      <c r="AJ9" s="22">
        <f t="shared" ref="AJ9:AT9" si="2">EOMONTH(AI9,3)</f>
        <v>46203</v>
      </c>
      <c r="AK9" s="22">
        <f t="shared" si="2"/>
        <v>46295</v>
      </c>
      <c r="AL9" s="22">
        <f t="shared" si="2"/>
        <v>46387</v>
      </c>
      <c r="AM9" s="22">
        <f t="shared" si="2"/>
        <v>46477</v>
      </c>
      <c r="AN9" s="22">
        <f t="shared" si="2"/>
        <v>46568</v>
      </c>
      <c r="AO9" s="22">
        <f t="shared" si="2"/>
        <v>46660</v>
      </c>
      <c r="AP9" s="22">
        <f t="shared" si="2"/>
        <v>46752</v>
      </c>
      <c r="AQ9" s="22">
        <f t="shared" si="2"/>
        <v>46843</v>
      </c>
      <c r="AR9" s="22">
        <f t="shared" si="2"/>
        <v>46934</v>
      </c>
      <c r="AS9" s="22">
        <f t="shared" si="2"/>
        <v>47026</v>
      </c>
      <c r="AT9" s="22">
        <f t="shared" si="2"/>
        <v>47118</v>
      </c>
    </row>
    <row r="10" spans="1:46">
      <c r="C10" s="3" t="s">
        <v>49</v>
      </c>
      <c r="G10" s="3">
        <f>F10+1</f>
        <v>1</v>
      </c>
      <c r="H10" s="3">
        <f t="shared" ref="H10:M10" si="3">G10+1</f>
        <v>2</v>
      </c>
      <c r="I10" s="3">
        <f t="shared" si="3"/>
        <v>3</v>
      </c>
      <c r="J10" s="3">
        <f t="shared" si="3"/>
        <v>4</v>
      </c>
      <c r="K10" s="3">
        <f t="shared" si="3"/>
        <v>5</v>
      </c>
      <c r="L10" s="3">
        <f t="shared" si="3"/>
        <v>6</v>
      </c>
      <c r="M10" s="3">
        <f t="shared" si="3"/>
        <v>7</v>
      </c>
      <c r="N10" s="3">
        <f t="shared" ref="N10:AI10" si="4">M10+1</f>
        <v>8</v>
      </c>
      <c r="O10" s="3">
        <f t="shared" si="4"/>
        <v>9</v>
      </c>
      <c r="P10" s="3">
        <f t="shared" si="4"/>
        <v>10</v>
      </c>
      <c r="Q10" s="3">
        <f t="shared" si="4"/>
        <v>11</v>
      </c>
      <c r="R10" s="3">
        <f t="shared" si="4"/>
        <v>12</v>
      </c>
      <c r="S10" s="3">
        <f t="shared" si="4"/>
        <v>13</v>
      </c>
      <c r="T10" s="3">
        <f t="shared" si="4"/>
        <v>14</v>
      </c>
      <c r="U10" s="3">
        <f t="shared" si="4"/>
        <v>15</v>
      </c>
      <c r="V10" s="3">
        <f t="shared" si="4"/>
        <v>16</v>
      </c>
      <c r="W10" s="3">
        <f t="shared" si="4"/>
        <v>17</v>
      </c>
      <c r="X10" s="3">
        <f t="shared" si="4"/>
        <v>18</v>
      </c>
      <c r="Y10" s="3">
        <f t="shared" si="4"/>
        <v>19</v>
      </c>
      <c r="Z10" s="3">
        <f t="shared" si="4"/>
        <v>20</v>
      </c>
      <c r="AA10" s="3">
        <f t="shared" si="4"/>
        <v>21</v>
      </c>
      <c r="AB10" s="3">
        <f t="shared" si="4"/>
        <v>22</v>
      </c>
      <c r="AC10" s="3">
        <f t="shared" si="4"/>
        <v>23</v>
      </c>
      <c r="AD10" s="3">
        <f t="shared" si="4"/>
        <v>24</v>
      </c>
      <c r="AE10" s="3">
        <f t="shared" si="4"/>
        <v>25</v>
      </c>
      <c r="AF10" s="3">
        <f t="shared" si="4"/>
        <v>26</v>
      </c>
      <c r="AG10" s="3">
        <f t="shared" si="4"/>
        <v>27</v>
      </c>
      <c r="AH10" s="3">
        <f t="shared" si="4"/>
        <v>28</v>
      </c>
      <c r="AI10" s="3">
        <f t="shared" si="4"/>
        <v>29</v>
      </c>
      <c r="AJ10" s="3">
        <f t="shared" ref="AJ10:AT10" si="5">AI10+1</f>
        <v>30</v>
      </c>
      <c r="AK10" s="3">
        <f t="shared" si="5"/>
        <v>31</v>
      </c>
      <c r="AL10" s="3">
        <f t="shared" si="5"/>
        <v>32</v>
      </c>
      <c r="AM10" s="3">
        <f t="shared" si="5"/>
        <v>33</v>
      </c>
      <c r="AN10" s="3">
        <f t="shared" si="5"/>
        <v>34</v>
      </c>
      <c r="AO10" s="3">
        <f t="shared" si="5"/>
        <v>35</v>
      </c>
      <c r="AP10" s="3">
        <f t="shared" si="5"/>
        <v>36</v>
      </c>
      <c r="AQ10" s="3">
        <f t="shared" si="5"/>
        <v>37</v>
      </c>
      <c r="AR10" s="3">
        <f t="shared" si="5"/>
        <v>38</v>
      </c>
      <c r="AS10" s="3">
        <f t="shared" si="5"/>
        <v>39</v>
      </c>
      <c r="AT10" s="3">
        <f t="shared" si="5"/>
        <v>40</v>
      </c>
    </row>
    <row r="11" spans="1:46">
      <c r="I11" s="6"/>
      <c r="J11" s="6"/>
    </row>
    <row r="12" spans="1:46">
      <c r="A12" s="7">
        <f>MAX(A$2:A11)+0.01</f>
        <v>2.0099999999999998</v>
      </c>
      <c r="B12" s="7"/>
      <c r="C12" s="7" t="s">
        <v>77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>
      <c r="I13" s="6"/>
      <c r="J13" s="6"/>
    </row>
    <row r="14" spans="1:46">
      <c r="C14" s="3" t="s">
        <v>78</v>
      </c>
      <c r="D14" s="3" t="s">
        <v>87</v>
      </c>
      <c r="E14" s="3" t="s">
        <v>85</v>
      </c>
      <c r="I14" s="6"/>
      <c r="J14" s="6"/>
    </row>
    <row r="15" spans="1:46">
      <c r="C15" s="3" t="s">
        <v>79</v>
      </c>
      <c r="D15" s="3" t="s">
        <v>61</v>
      </c>
      <c r="E15" s="3" t="s">
        <v>85</v>
      </c>
      <c r="I15" s="6"/>
      <c r="J15" s="6"/>
    </row>
    <row r="16" spans="1:46">
      <c r="C16" s="3" t="s">
        <v>80</v>
      </c>
      <c r="D16" s="3" t="s">
        <v>93</v>
      </c>
      <c r="E16" s="22">
        <f>P24</f>
        <v>46477</v>
      </c>
      <c r="I16" s="6"/>
      <c r="J16" s="6"/>
    </row>
    <row r="17" spans="3:17">
      <c r="C17" s="3" t="s">
        <v>81</v>
      </c>
      <c r="D17" s="3" t="s">
        <v>86</v>
      </c>
      <c r="E17" s="3">
        <f>SUM(G91:AT91)</f>
        <v>2152500</v>
      </c>
      <c r="I17" s="6"/>
      <c r="J17" s="6"/>
    </row>
    <row r="18" spans="3:17">
      <c r="C18" s="3" t="s">
        <v>82</v>
      </c>
      <c r="D18" s="3" t="s">
        <v>88</v>
      </c>
      <c r="E18" s="3">
        <f>$Q$32</f>
        <v>94488.17647058818</v>
      </c>
      <c r="I18" s="6"/>
      <c r="J18" s="6"/>
    </row>
    <row r="19" spans="3:17">
      <c r="C19" s="3" t="s">
        <v>83</v>
      </c>
      <c r="D19" s="3" t="s">
        <v>94</v>
      </c>
      <c r="E19" s="3" t="str">
        <f>G23&amp;" / "&amp;F25</f>
        <v>Passive / Case 2</v>
      </c>
      <c r="F19" s="26"/>
      <c r="I19" s="6"/>
      <c r="J19" s="6"/>
    </row>
    <row r="20" spans="3:17">
      <c r="C20" s="3" t="s">
        <v>84</v>
      </c>
      <c r="D20" s="3" t="s">
        <v>95</v>
      </c>
      <c r="E20" s="3" t="str">
        <f>I30&amp;" / "&amp;F31</f>
        <v>Aggressive / Base Case</v>
      </c>
      <c r="I20" s="6"/>
      <c r="J20" s="6"/>
    </row>
    <row r="21" spans="3:17">
      <c r="I21" s="6"/>
      <c r="J21" s="6"/>
    </row>
    <row r="22" spans="3:17">
      <c r="D22" s="31" t="s">
        <v>91</v>
      </c>
      <c r="G22" s="34" t="s">
        <v>5</v>
      </c>
      <c r="H22" s="34"/>
      <c r="I22" s="34"/>
      <c r="K22" s="31" t="s">
        <v>97</v>
      </c>
      <c r="O22" s="34" t="s">
        <v>5</v>
      </c>
      <c r="P22" s="34"/>
      <c r="Q22" s="34"/>
    </row>
    <row r="23" spans="3:17">
      <c r="F23" s="26">
        <f>E111</f>
        <v>0.1616652309894562</v>
      </c>
      <c r="G23" s="62" t="str">
        <f>Case1Data!$G$17</f>
        <v>Passive</v>
      </c>
      <c r="H23" s="62" t="str">
        <f>Case1Data!$H$17</f>
        <v>Neutral</v>
      </c>
      <c r="I23" s="62" t="str">
        <f>Case1Data!$I$17</f>
        <v>Aggressive</v>
      </c>
      <c r="N23" s="22">
        <f>E56</f>
        <v>46022</v>
      </c>
      <c r="O23" s="62" t="str">
        <f>Case1Data!$G$17</f>
        <v>Passive</v>
      </c>
      <c r="P23" s="62" t="str">
        <f>Case1Data!$H$17</f>
        <v>Neutral</v>
      </c>
      <c r="Q23" s="62" t="str">
        <f>Case1Data!$I$17</f>
        <v>Aggressive</v>
      </c>
    </row>
    <row r="24" spans="3:17">
      <c r="E24" s="3" t="s">
        <v>57</v>
      </c>
      <c r="F24" s="23" t="str">
        <f>Case1Data!$G$50</f>
        <v>Base Case</v>
      </c>
      <c r="G24" s="36">
        <f t="dataTable" ref="G24:I27" dt2D="1" dtr="1" r1="E39" r2="E44" ca="1"/>
        <v>0.1143954932689667</v>
      </c>
      <c r="H24" s="37">
        <v>0.10151299834251404</v>
      </c>
      <c r="I24" s="38">
        <v>9.368950426578522E-2</v>
      </c>
      <c r="M24" s="3" t="s">
        <v>57</v>
      </c>
      <c r="N24" s="61" t="str">
        <f>Case1Data!$G$50</f>
        <v>Base Case</v>
      </c>
      <c r="O24" s="51">
        <f t="dataTable" ref="O24:Q27" dt2D="1" dtr="1" r1="E39" r2="E44"/>
        <v>46752</v>
      </c>
      <c r="P24" s="59">
        <v>46477</v>
      </c>
      <c r="Q24" s="52">
        <v>46295</v>
      </c>
    </row>
    <row r="25" spans="3:17">
      <c r="E25" s="3" t="s">
        <v>90</v>
      </c>
      <c r="F25" s="23" t="str">
        <f>Case1Data!$H$50</f>
        <v>Case 2</v>
      </c>
      <c r="G25" s="39">
        <v>0.18833821415901186</v>
      </c>
      <c r="H25" s="26">
        <v>0.17128327488899228</v>
      </c>
      <c r="I25" s="40">
        <v>0.1616652309894562</v>
      </c>
      <c r="M25" s="3" t="s">
        <v>90</v>
      </c>
      <c r="N25" s="61" t="str">
        <f>Case1Data!$H$50</f>
        <v>Case 2</v>
      </c>
      <c r="O25" s="53">
        <v>46387</v>
      </c>
      <c r="P25" s="54">
        <v>46112</v>
      </c>
      <c r="Q25" s="55">
        <v>46022</v>
      </c>
    </row>
    <row r="26" spans="3:17">
      <c r="F26" s="23" t="str">
        <f>Case1Data!$I$50</f>
        <v>Case 3</v>
      </c>
      <c r="G26" s="39">
        <v>0.12684517502784728</v>
      </c>
      <c r="H26" s="26">
        <v>0.11314749121665954</v>
      </c>
      <c r="I26" s="40">
        <v>0.10482313036918642</v>
      </c>
      <c r="N26" s="61" t="str">
        <f>Case1Data!$I$50</f>
        <v>Case 3</v>
      </c>
      <c r="O26" s="53">
        <v>46660</v>
      </c>
      <c r="P26" s="54">
        <v>46387</v>
      </c>
      <c r="Q26" s="55">
        <v>46295</v>
      </c>
    </row>
    <row r="27" spans="3:17">
      <c r="F27" s="23" t="str">
        <f>Case1Data!$J$50</f>
        <v>Case 4</v>
      </c>
      <c r="G27" s="41">
        <v>0.14833983778953555</v>
      </c>
      <c r="H27" s="42">
        <v>0.13353438973426821</v>
      </c>
      <c r="I27" s="43">
        <v>0.12480724453926087</v>
      </c>
      <c r="N27" s="61" t="str">
        <f>Case1Data!$J$50</f>
        <v>Case 4</v>
      </c>
      <c r="O27" s="56">
        <v>46568</v>
      </c>
      <c r="P27" s="57">
        <v>46295</v>
      </c>
      <c r="Q27" s="58">
        <v>46203</v>
      </c>
    </row>
    <row r="28" spans="3:17">
      <c r="I28" s="6"/>
      <c r="J28" s="6"/>
    </row>
    <row r="29" spans="3:17">
      <c r="D29" s="31" t="s">
        <v>92</v>
      </c>
      <c r="G29" s="34" t="s">
        <v>5</v>
      </c>
      <c r="H29" s="34"/>
      <c r="I29" s="34"/>
      <c r="K29" s="31" t="s">
        <v>98</v>
      </c>
      <c r="O29" s="34" t="s">
        <v>5</v>
      </c>
      <c r="P29" s="34"/>
      <c r="Q29" s="34"/>
    </row>
    <row r="30" spans="3:17">
      <c r="F30" s="63">
        <f>$E$112</f>
        <v>1979546.5120497986</v>
      </c>
      <c r="G30" s="62" t="str">
        <f>Case1Data!$G$17</f>
        <v>Passive</v>
      </c>
      <c r="H30" s="62" t="str">
        <f>Case1Data!$H$17</f>
        <v>Neutral</v>
      </c>
      <c r="I30" s="62" t="str">
        <f>Case1Data!$I$17</f>
        <v>Aggressive</v>
      </c>
      <c r="N30" s="63">
        <f>K104</f>
        <v>94488.17647058818</v>
      </c>
      <c r="O30" s="62" t="str">
        <f>Case1Data!$G$17</f>
        <v>Passive</v>
      </c>
      <c r="P30" s="62" t="str">
        <f>Case1Data!$H$17</f>
        <v>Neutral</v>
      </c>
      <c r="Q30" s="62" t="str">
        <f>Case1Data!$I$17</f>
        <v>Aggressive</v>
      </c>
    </row>
    <row r="31" spans="3:17">
      <c r="E31" s="3" t="s">
        <v>57</v>
      </c>
      <c r="F31" s="61" t="str">
        <f>Case1Data!$G$50</f>
        <v>Base Case</v>
      </c>
      <c r="G31" s="44">
        <f t="dataTable" ref="G31:I34" dt2D="1" dtr="1" r1="E39" r2="E44" ca="1"/>
        <v>456463.88492540253</v>
      </c>
      <c r="H31" s="25">
        <v>169615.06486068072</v>
      </c>
      <c r="I31" s="45">
        <v>-35704.706237584265</v>
      </c>
      <c r="M31" s="3" t="s">
        <v>57</v>
      </c>
      <c r="N31" s="61" t="str">
        <f>Case1Data!$G$50</f>
        <v>Base Case</v>
      </c>
      <c r="O31" s="44">
        <f t="dataTable" ref="O31:Q34" dt2D="1" dtr="1" r1="E39" r2="E44" ca="1"/>
        <v>88703.999999999985</v>
      </c>
      <c r="P31" s="25">
        <v>51681.333333333299</v>
      </c>
      <c r="Q31" s="45">
        <v>29903.294117646976</v>
      </c>
    </row>
    <row r="32" spans="3:17">
      <c r="E32" s="3" t="s">
        <v>90</v>
      </c>
      <c r="F32" s="61" t="str">
        <f>Case1Data!$H$50</f>
        <v>Case 2</v>
      </c>
      <c r="G32" s="46">
        <v>2430210.1940214327</v>
      </c>
      <c r="H32" s="47">
        <v>2169637.0744364941</v>
      </c>
      <c r="I32" s="35">
        <v>1979546.5120497986</v>
      </c>
      <c r="M32" s="3" t="s">
        <v>90</v>
      </c>
      <c r="N32" s="61" t="str">
        <f>Case1Data!$H$50</f>
        <v>Case 2</v>
      </c>
      <c r="O32" s="46">
        <v>167128.5</v>
      </c>
      <c r="P32" s="47">
        <v>121391.99999999999</v>
      </c>
      <c r="Q32" s="60">
        <v>94488.17647058818</v>
      </c>
    </row>
    <row r="33" spans="1:46">
      <c r="F33" s="61" t="str">
        <f>Case1Data!$I$50</f>
        <v>Case 3</v>
      </c>
      <c r="G33" s="46">
        <v>756919.36471966258</v>
      </c>
      <c r="H33" s="47">
        <v>476044.9988123154</v>
      </c>
      <c r="I33" s="35">
        <v>269899.4407393476</v>
      </c>
      <c r="N33" s="61" t="str">
        <f>Case1Data!$I$50</f>
        <v>Case 3</v>
      </c>
      <c r="O33" s="46">
        <v>120498.99999999999</v>
      </c>
      <c r="P33" s="47">
        <v>79943.555555555547</v>
      </c>
      <c r="Q33" s="35">
        <v>56087.411764705772</v>
      </c>
    </row>
    <row r="34" spans="1:46">
      <c r="F34" s="61" t="str">
        <f>Case1Data!$J$50</f>
        <v>Case 4</v>
      </c>
      <c r="G34" s="48">
        <v>1325222.4875859041</v>
      </c>
      <c r="H34" s="49">
        <v>1050944.8095221939</v>
      </c>
      <c r="I34" s="50">
        <v>849944.61129514535</v>
      </c>
      <c r="N34" s="61" t="str">
        <f>Case1Data!$J$50</f>
        <v>Case 4</v>
      </c>
      <c r="O34" s="48">
        <v>102093.49999999999</v>
      </c>
      <c r="P34" s="49">
        <v>63583.111111111109</v>
      </c>
      <c r="Q34" s="50">
        <v>40929.941176470587</v>
      </c>
    </row>
    <row r="35" spans="1:46">
      <c r="I35" s="6"/>
      <c r="J35" s="6"/>
    </row>
    <row r="36" spans="1:46">
      <c r="A36" s="7">
        <f>MAX(A$2:A35)+0.01</f>
        <v>2.0199999999999996</v>
      </c>
      <c r="B36" s="7"/>
      <c r="C36" s="7" t="s">
        <v>61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>
      <c r="I37" s="6"/>
      <c r="J37" s="6"/>
    </row>
    <row r="38" spans="1:46">
      <c r="C38" s="31" t="s">
        <v>5</v>
      </c>
      <c r="I38" s="6"/>
      <c r="J38" s="6"/>
    </row>
    <row r="39" spans="1:46">
      <c r="D39" s="3" t="s">
        <v>62</v>
      </c>
      <c r="E39" s="30" t="s">
        <v>12</v>
      </c>
      <c r="I39" s="6"/>
      <c r="J39" s="6"/>
    </row>
    <row r="40" spans="1:46">
      <c r="D40" s="6" t="s">
        <v>13</v>
      </c>
      <c r="E40" s="28">
        <f>INDEX(Case1Data!$G$18:$I$18,MATCH(E$39,Case1Data!$G$17:$I$17,0))</f>
        <v>1.7</v>
      </c>
      <c r="I40" s="6"/>
      <c r="J40" s="6"/>
    </row>
    <row r="41" spans="1:46">
      <c r="D41" s="6" t="s">
        <v>15</v>
      </c>
      <c r="E41" s="27">
        <f>INDEX(Case1Data!$G$19:$I$19,MATCH(E$39,Case1Data!$G$17:$I$17,0))</f>
        <v>5.5E-2</v>
      </c>
      <c r="I41" s="6"/>
      <c r="J41" s="6"/>
    </row>
    <row r="42" spans="1:46">
      <c r="I42" s="6"/>
      <c r="J42" s="6"/>
    </row>
    <row r="43" spans="1:46">
      <c r="C43" s="31" t="s">
        <v>35</v>
      </c>
      <c r="I43" s="6"/>
      <c r="J43" s="6"/>
    </row>
    <row r="44" spans="1:46">
      <c r="D44" s="3" t="s">
        <v>62</v>
      </c>
      <c r="E44" s="30" t="s">
        <v>39</v>
      </c>
      <c r="I44" s="6"/>
      <c r="J44" s="6"/>
    </row>
    <row r="45" spans="1:46">
      <c r="D45" s="3" t="s">
        <v>57</v>
      </c>
      <c r="G45" s="23">
        <f>INDEX(Case1Data!$G$52:$J$91,MATCH(G$9,Case1Data!$E$52:$E$91,0),MATCH($E44,Case1Data!$G$50:$J$50,0))</f>
        <v>812279</v>
      </c>
      <c r="H45" s="23">
        <f>INDEX(Case1Data!$G$52:$J$91,MATCH(H$9,Case1Data!$E$52:$E$91,0),MATCH($E44,Case1Data!$G$50:$J$50,0))</f>
        <v>706344</v>
      </c>
      <c r="I45" s="23">
        <f>INDEX(Case1Data!$G$52:$J$91,MATCH(I$9,Case1Data!$E$52:$E$91,0),MATCH($E44,Case1Data!$G$50:$J$50,0))</f>
        <v>770727</v>
      </c>
      <c r="J45" s="23">
        <f>INDEX(Case1Data!$G$52:$J$91,MATCH(J$9,Case1Data!$E$52:$E$91,0),MATCH($E44,Case1Data!$G$50:$J$50,0))</f>
        <v>789594</v>
      </c>
      <c r="K45" s="23">
        <f>INDEX(Case1Data!$G$52:$J$91,MATCH(K$9,Case1Data!$E$52:$E$91,0),MATCH($E44,Case1Data!$G$50:$J$50,0))</f>
        <v>821382</v>
      </c>
      <c r="L45" s="23">
        <f>INDEX(Case1Data!$G$52:$J$91,MATCH(L$9,Case1Data!$E$52:$E$91,0),MATCH($E44,Case1Data!$G$50:$J$50,0))</f>
        <v>713913</v>
      </c>
      <c r="M45" s="23">
        <f>INDEX(Case1Data!$G$52:$J$91,MATCH(M$9,Case1Data!$E$52:$E$91,0),MATCH($E44,Case1Data!$G$50:$J$50,0))</f>
        <v>673308</v>
      </c>
      <c r="N45" s="23">
        <f>INDEX(Case1Data!$G$52:$J$91,MATCH(N$9,Case1Data!$E$52:$E$91,0),MATCH($E44,Case1Data!$G$50:$J$50,0))</f>
        <v>677950</v>
      </c>
      <c r="O45" s="23">
        <f>INDEX(Case1Data!$G$52:$J$91,MATCH(O$9,Case1Data!$E$52:$E$91,0),MATCH($E44,Case1Data!$G$50:$J$50,0))</f>
        <v>648728</v>
      </c>
      <c r="P45" s="23">
        <f>INDEX(Case1Data!$G$52:$J$91,MATCH(P$9,Case1Data!$E$52:$E$91,0),MATCH($E44,Case1Data!$G$50:$J$50,0))</f>
        <v>809610</v>
      </c>
      <c r="Q45" s="23">
        <f>INDEX(Case1Data!$G$52:$J$91,MATCH(Q$9,Case1Data!$E$52:$E$91,0),MATCH($E44,Case1Data!$G$50:$J$50,0))</f>
        <v>773370</v>
      </c>
      <c r="R45" s="23">
        <f>INDEX(Case1Data!$G$52:$J$91,MATCH(R$9,Case1Data!$E$52:$E$91,0),MATCH($E44,Case1Data!$G$50:$J$50,0))</f>
        <v>805384</v>
      </c>
      <c r="S45" s="23">
        <f>INDEX(Case1Data!$G$52:$J$91,MATCH(S$9,Case1Data!$E$52:$E$91,0),MATCH($E44,Case1Data!$G$50:$J$50,0))</f>
        <v>713333</v>
      </c>
      <c r="T45" s="23">
        <f>INDEX(Case1Data!$G$52:$J$91,MATCH(T$9,Case1Data!$E$52:$E$91,0),MATCH($E44,Case1Data!$G$50:$J$50,0))</f>
        <v>737873</v>
      </c>
      <c r="U45" s="23">
        <f>INDEX(Case1Data!$G$52:$J$91,MATCH(U$9,Case1Data!$E$52:$E$91,0),MATCH($E44,Case1Data!$G$50:$J$50,0))</f>
        <v>726173</v>
      </c>
      <c r="V45" s="23">
        <f>INDEX(Case1Data!$G$52:$J$91,MATCH(V$9,Case1Data!$E$52:$E$91,0),MATCH($E44,Case1Data!$G$50:$J$50,0))</f>
        <v>902127</v>
      </c>
      <c r="W45" s="23">
        <f>INDEX(Case1Data!$G$52:$J$91,MATCH(W$9,Case1Data!$E$52:$E$91,0),MATCH($E44,Case1Data!$G$50:$J$50,0))</f>
        <v>805698</v>
      </c>
      <c r="X45" s="23">
        <f>INDEX(Case1Data!$G$52:$J$91,MATCH(X$9,Case1Data!$E$52:$E$91,0),MATCH($E44,Case1Data!$G$50:$J$50,0))</f>
        <v>731166</v>
      </c>
      <c r="Y45" s="23">
        <f>INDEX(Case1Data!$G$52:$J$91,MATCH(Y$9,Case1Data!$E$52:$E$91,0),MATCH($E44,Case1Data!$G$50:$J$50,0))</f>
        <v>661835</v>
      </c>
      <c r="Z45" s="23">
        <f>INDEX(Case1Data!$G$52:$J$91,MATCH(Z$9,Case1Data!$E$52:$E$91,0),MATCH($E44,Case1Data!$G$50:$J$50,0))</f>
        <v>691669</v>
      </c>
      <c r="AA45" s="23">
        <f>INDEX(Case1Data!$G$52:$J$91,MATCH(AA$9,Case1Data!$E$52:$E$91,0),MATCH($E44,Case1Data!$G$50:$J$50,0))</f>
        <v>803768</v>
      </c>
      <c r="AB45" s="23">
        <f>INDEX(Case1Data!$G$52:$J$91,MATCH(AB$9,Case1Data!$E$52:$E$91,0),MATCH($E44,Case1Data!$G$50:$J$50,0))</f>
        <v>705657</v>
      </c>
      <c r="AC45" s="23">
        <f>INDEX(Case1Data!$G$52:$J$91,MATCH(AC$9,Case1Data!$E$52:$E$91,0),MATCH($E44,Case1Data!$G$50:$J$50,0))</f>
        <v>924016</v>
      </c>
      <c r="AD45" s="23">
        <f>INDEX(Case1Data!$G$52:$J$91,MATCH(AD$9,Case1Data!$E$52:$E$91,0),MATCH($E44,Case1Data!$G$50:$J$50,0))</f>
        <v>805065</v>
      </c>
      <c r="AE45" s="23">
        <f>INDEX(Case1Data!$G$52:$J$91,MATCH(AE$9,Case1Data!$E$52:$E$91,0),MATCH($E44,Case1Data!$G$50:$J$50,0))</f>
        <v>650887</v>
      </c>
      <c r="AF45" s="23">
        <f>INDEX(Case1Data!$G$52:$J$91,MATCH(AF$9,Case1Data!$E$52:$E$91,0),MATCH($E44,Case1Data!$G$50:$J$50,0))</f>
        <v>828434</v>
      </c>
      <c r="AG45" s="23">
        <f>INDEX(Case1Data!$G$52:$J$91,MATCH(AG$9,Case1Data!$E$52:$E$91,0),MATCH($E44,Case1Data!$G$50:$J$50,0))</f>
        <v>729241</v>
      </c>
      <c r="AH45" s="23">
        <f>INDEX(Case1Data!$G$52:$J$91,MATCH(AH$9,Case1Data!$E$52:$E$91,0),MATCH($E44,Case1Data!$G$50:$J$50,0))</f>
        <v>867082</v>
      </c>
      <c r="AI45" s="23">
        <f>INDEX(Case1Data!$G$52:$J$91,MATCH(AI$9,Case1Data!$E$52:$E$91,0),MATCH($E44,Case1Data!$G$50:$J$50,0))</f>
        <v>717415</v>
      </c>
      <c r="AJ45" s="23">
        <f>INDEX(Case1Data!$G$52:$J$91,MATCH(AJ$9,Case1Data!$E$52:$E$91,0),MATCH($E44,Case1Data!$G$50:$J$50,0))</f>
        <v>704505</v>
      </c>
      <c r="AK45" s="23">
        <f>INDEX(Case1Data!$G$52:$J$91,MATCH(AK$9,Case1Data!$E$52:$E$91,0),MATCH($E44,Case1Data!$G$50:$J$50,0))</f>
        <v>864444</v>
      </c>
      <c r="AL45" s="23">
        <f>INDEX(Case1Data!$G$52:$J$91,MATCH(AL$9,Case1Data!$E$52:$E$91,0),MATCH($E44,Case1Data!$G$50:$J$50,0))</f>
        <v>836858</v>
      </c>
      <c r="AM45" s="23">
        <f>INDEX(Case1Data!$G$52:$J$91,MATCH(AM$9,Case1Data!$E$52:$E$91,0),MATCH($E44,Case1Data!$G$50:$J$50,0))</f>
        <v>897764</v>
      </c>
      <c r="AN45" s="23">
        <f>INDEX(Case1Data!$G$52:$J$91,MATCH(AN$9,Case1Data!$E$52:$E$91,0),MATCH($E44,Case1Data!$G$50:$J$50,0))</f>
        <v>720079</v>
      </c>
      <c r="AO45" s="23">
        <f>INDEX(Case1Data!$G$52:$J$91,MATCH(AO$9,Case1Data!$E$52:$E$91,0),MATCH($E44,Case1Data!$G$50:$J$50,0))</f>
        <v>844464</v>
      </c>
      <c r="AP45" s="23">
        <f>INDEX(Case1Data!$G$52:$J$91,MATCH(AP$9,Case1Data!$E$52:$E$91,0),MATCH($E44,Case1Data!$G$50:$J$50,0))</f>
        <v>906888</v>
      </c>
      <c r="AQ45" s="23">
        <f>INDEX(Case1Data!$G$52:$J$91,MATCH(AQ$9,Case1Data!$E$52:$E$91,0),MATCH($E44,Case1Data!$G$50:$J$50,0))</f>
        <v>872575</v>
      </c>
      <c r="AR45" s="23">
        <f>INDEX(Case1Data!$G$52:$J$91,MATCH(AR$9,Case1Data!$E$52:$E$91,0),MATCH($E44,Case1Data!$G$50:$J$50,0))</f>
        <v>855966</v>
      </c>
      <c r="AS45" s="23">
        <f>INDEX(Case1Data!$G$52:$J$91,MATCH(AS$9,Case1Data!$E$52:$E$91,0),MATCH($E44,Case1Data!$G$50:$J$50,0))</f>
        <v>907143</v>
      </c>
      <c r="AT45" s="23">
        <f>INDEX(Case1Data!$G$52:$J$91,MATCH(AT$9,Case1Data!$E$52:$E$91,0),MATCH($E44,Case1Data!$G$50:$J$50,0))</f>
        <v>800839</v>
      </c>
    </row>
    <row r="46" spans="1:46">
      <c r="I46" s="6"/>
      <c r="J46" s="6"/>
    </row>
    <row r="47" spans="1:46">
      <c r="A47" s="7">
        <f>MAX(A$2:A46)+0.01</f>
        <v>2.0299999999999994</v>
      </c>
      <c r="B47" s="7"/>
      <c r="C47" s="7" t="s">
        <v>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9" spans="1:46">
      <c r="C49" s="3" t="s">
        <v>50</v>
      </c>
      <c r="G49" s="3">
        <f>F51</f>
        <v>10000000</v>
      </c>
      <c r="H49" s="3">
        <f t="shared" ref="H49:AT49" si="6">G51</f>
        <v>9658585.8823529407</v>
      </c>
      <c r="I49" s="3">
        <f t="shared" si="6"/>
        <v>9374792.0264705885</v>
      </c>
      <c r="J49" s="3">
        <f t="shared" si="6"/>
        <v>9049223.652128676</v>
      </c>
      <c r="K49" s="3">
        <f t="shared" si="6"/>
        <v>8708080.4773454461</v>
      </c>
      <c r="L49" s="3">
        <f t="shared" si="6"/>
        <v>8343547.7603795342</v>
      </c>
      <c r="M49" s="3">
        <f t="shared" si="6"/>
        <v>8037219.7773788702</v>
      </c>
      <c r="N49" s="3">
        <f t="shared" si="6"/>
        <v>7750565.0787295941</v>
      </c>
      <c r="O49" s="3">
        <f t="shared" si="6"/>
        <v>7457238.2897385964</v>
      </c>
      <c r="P49" s="3">
        <f t="shared" si="6"/>
        <v>7177067.6691636788</v>
      </c>
      <c r="Q49" s="3">
        <f t="shared" si="6"/>
        <v>6798408.2319676206</v>
      </c>
      <c r="R49" s="3">
        <f t="shared" si="6"/>
        <v>6435859.8745689401</v>
      </c>
      <c r="S49" s="3">
        <f t="shared" si="6"/>
        <v>6049494.7125501456</v>
      </c>
      <c r="T49" s="3">
        <f t="shared" si="6"/>
        <v>5711964.6766124163</v>
      </c>
      <c r="U49" s="3">
        <f t="shared" si="6"/>
        <v>5355358.3085628962</v>
      </c>
      <c r="V49" s="3">
        <f t="shared" si="6"/>
        <v>5000730.9558938714</v>
      </c>
      <c r="W49" s="3">
        <f t="shared" si="6"/>
        <v>4537725.1241844706</v>
      </c>
      <c r="X49" s="3">
        <f t="shared" si="6"/>
        <v>4125075.9034655364</v>
      </c>
      <c r="Y49" s="3">
        <f t="shared" si="6"/>
        <v>3750595.1089028935</v>
      </c>
      <c r="Z49" s="3">
        <f t="shared" si="6"/>
        <v>3411748.1445914847</v>
      </c>
      <c r="AA49" s="3">
        <f t="shared" si="6"/>
        <v>3050692.6227560882</v>
      </c>
      <c r="AB49" s="3">
        <f t="shared" si="6"/>
        <v>2618731.9992601611</v>
      </c>
      <c r="AC49" s="3">
        <f t="shared" si="6"/>
        <v>2238544.2701323414</v>
      </c>
      <c r="AD49" s="3">
        <f t="shared" si="6"/>
        <v>1724682.4891407788</v>
      </c>
      <c r="AE49" s="3">
        <f t="shared" si="6"/>
        <v>1273726.2851311704</v>
      </c>
      <c r="AF49" s="3">
        <f t="shared" si="6"/>
        <v>907262.37449290045</v>
      </c>
      <c r="AG49" s="3">
        <f t="shared" si="6"/>
        <v>431320.17331864842</v>
      </c>
      <c r="AH49" s="3">
        <f t="shared" si="6"/>
        <v>7182.5904076622101</v>
      </c>
      <c r="AI49" s="3">
        <f t="shared" si="6"/>
        <v>0</v>
      </c>
      <c r="AJ49" s="3">
        <f t="shared" si="6"/>
        <v>0</v>
      </c>
      <c r="AK49" s="3">
        <f t="shared" si="6"/>
        <v>0</v>
      </c>
      <c r="AL49" s="3">
        <f t="shared" si="6"/>
        <v>0</v>
      </c>
      <c r="AM49" s="3">
        <f t="shared" si="6"/>
        <v>0</v>
      </c>
      <c r="AN49" s="3">
        <f t="shared" si="6"/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3">
        <f t="shared" si="6"/>
        <v>0</v>
      </c>
      <c r="AS49" s="3">
        <f t="shared" si="6"/>
        <v>0</v>
      </c>
      <c r="AT49" s="3">
        <f t="shared" si="6"/>
        <v>0</v>
      </c>
    </row>
    <row r="50" spans="1:46">
      <c r="C50" s="3" t="s">
        <v>51</v>
      </c>
      <c r="G50" s="3">
        <f>-MIN(G49,G68)</f>
        <v>-341414.11764705885</v>
      </c>
      <c r="H50" s="3">
        <f t="shared" ref="H50:AT50" si="7">-MIN(H49,H68)</f>
        <v>-283793.85588235297</v>
      </c>
      <c r="I50" s="3">
        <f t="shared" si="7"/>
        <v>-325568.37434191175</v>
      </c>
      <c r="J50" s="3">
        <f t="shared" si="7"/>
        <v>-341143.1747832307</v>
      </c>
      <c r="K50" s="3">
        <f t="shared" si="7"/>
        <v>-364532.71696591191</v>
      </c>
      <c r="L50" s="3">
        <f t="shared" si="7"/>
        <v>-306327.98300066375</v>
      </c>
      <c r="M50" s="3">
        <f t="shared" si="7"/>
        <v>-286654.69864927582</v>
      </c>
      <c r="N50" s="3">
        <f t="shared" si="7"/>
        <v>-293326.78899099748</v>
      </c>
      <c r="O50" s="3">
        <f t="shared" si="7"/>
        <v>-280170.62057491788</v>
      </c>
      <c r="P50" s="3">
        <f t="shared" si="7"/>
        <v>-378659.43719605828</v>
      </c>
      <c r="Q50" s="3">
        <f t="shared" si="7"/>
        <v>-362548.35739868053</v>
      </c>
      <c r="R50" s="3">
        <f t="shared" si="7"/>
        <v>-386365.16201879474</v>
      </c>
      <c r="S50" s="3">
        <f t="shared" si="7"/>
        <v>-337530.03593772964</v>
      </c>
      <c r="T50" s="3">
        <f t="shared" si="7"/>
        <v>-356606.36804952048</v>
      </c>
      <c r="U50" s="3">
        <f t="shared" si="7"/>
        <v>-354627.35266902484</v>
      </c>
      <c r="V50" s="3">
        <f t="shared" si="7"/>
        <v>-463005.83170940046</v>
      </c>
      <c r="W50" s="3">
        <f t="shared" si="7"/>
        <v>-412649.22071893414</v>
      </c>
      <c r="X50" s="3">
        <f t="shared" si="7"/>
        <v>-374480.79456264304</v>
      </c>
      <c r="Y50" s="3">
        <f t="shared" si="7"/>
        <v>-338846.96431140875</v>
      </c>
      <c r="Z50" s="3">
        <f t="shared" si="7"/>
        <v>-361055.52183539647</v>
      </c>
      <c r="AA50" s="3">
        <f t="shared" si="7"/>
        <v>-431960.62349592731</v>
      </c>
      <c r="AB50" s="3">
        <f t="shared" si="7"/>
        <v>-380187.72912781982</v>
      </c>
      <c r="AC50" s="3">
        <f t="shared" si="7"/>
        <v>-513861.7809915627</v>
      </c>
      <c r="AD50" s="3">
        <f t="shared" si="7"/>
        <v>-450956.20400960842</v>
      </c>
      <c r="AE50" s="3">
        <f t="shared" si="7"/>
        <v>-366463.91063826997</v>
      </c>
      <c r="AF50" s="3">
        <f t="shared" si="7"/>
        <v>-475942.20117425203</v>
      </c>
      <c r="AG50" s="3">
        <f t="shared" si="7"/>
        <v>-424137.58291098621</v>
      </c>
      <c r="AH50" s="3">
        <f t="shared" si="7"/>
        <v>-7182.5904076622101</v>
      </c>
      <c r="AI50" s="3">
        <f t="shared" si="7"/>
        <v>0</v>
      </c>
      <c r="AJ50" s="3">
        <f t="shared" si="7"/>
        <v>0</v>
      </c>
      <c r="AK50" s="3">
        <f t="shared" si="7"/>
        <v>0</v>
      </c>
      <c r="AL50" s="3">
        <f t="shared" si="7"/>
        <v>0</v>
      </c>
      <c r="AM50" s="3">
        <f t="shared" si="7"/>
        <v>0</v>
      </c>
      <c r="AN50" s="3">
        <f t="shared" si="7"/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3">
        <f t="shared" si="7"/>
        <v>0</v>
      </c>
      <c r="AS50" s="3">
        <f t="shared" si="7"/>
        <v>0</v>
      </c>
      <c r="AT50" s="3">
        <f t="shared" si="7"/>
        <v>0</v>
      </c>
    </row>
    <row r="51" spans="1:46">
      <c r="C51" s="3" t="s">
        <v>52</v>
      </c>
      <c r="F51" s="24">
        <f>Case1Data!H13</f>
        <v>10000000</v>
      </c>
      <c r="G51" s="25">
        <f>SUM(G49:G50)</f>
        <v>9658585.8823529407</v>
      </c>
      <c r="H51" s="25">
        <f t="shared" ref="H51:AT51" si="8">SUM(H49:H50)</f>
        <v>9374792.0264705885</v>
      </c>
      <c r="I51" s="25">
        <f t="shared" si="8"/>
        <v>9049223.652128676</v>
      </c>
      <c r="J51" s="25">
        <f t="shared" si="8"/>
        <v>8708080.4773454461</v>
      </c>
      <c r="K51" s="25">
        <f t="shared" si="8"/>
        <v>8343547.7603795342</v>
      </c>
      <c r="L51" s="25">
        <f t="shared" si="8"/>
        <v>8037219.7773788702</v>
      </c>
      <c r="M51" s="25">
        <f t="shared" si="8"/>
        <v>7750565.0787295941</v>
      </c>
      <c r="N51" s="25">
        <f t="shared" si="8"/>
        <v>7457238.2897385964</v>
      </c>
      <c r="O51" s="25">
        <f t="shared" si="8"/>
        <v>7177067.6691636788</v>
      </c>
      <c r="P51" s="25">
        <f t="shared" si="8"/>
        <v>6798408.2319676206</v>
      </c>
      <c r="Q51" s="25">
        <f t="shared" si="8"/>
        <v>6435859.8745689401</v>
      </c>
      <c r="R51" s="25">
        <f t="shared" si="8"/>
        <v>6049494.7125501456</v>
      </c>
      <c r="S51" s="25">
        <f t="shared" si="8"/>
        <v>5711964.6766124163</v>
      </c>
      <c r="T51" s="25">
        <f t="shared" si="8"/>
        <v>5355358.3085628962</v>
      </c>
      <c r="U51" s="25">
        <f t="shared" si="8"/>
        <v>5000730.9558938714</v>
      </c>
      <c r="V51" s="25">
        <f t="shared" si="8"/>
        <v>4537725.1241844706</v>
      </c>
      <c r="W51" s="25">
        <f t="shared" si="8"/>
        <v>4125075.9034655364</v>
      </c>
      <c r="X51" s="25">
        <f t="shared" si="8"/>
        <v>3750595.1089028935</v>
      </c>
      <c r="Y51" s="25">
        <f t="shared" si="8"/>
        <v>3411748.1445914847</v>
      </c>
      <c r="Z51" s="25">
        <f t="shared" si="8"/>
        <v>3050692.6227560882</v>
      </c>
      <c r="AA51" s="25">
        <f t="shared" si="8"/>
        <v>2618731.9992601611</v>
      </c>
      <c r="AB51" s="25">
        <f t="shared" si="8"/>
        <v>2238544.2701323414</v>
      </c>
      <c r="AC51" s="25">
        <f t="shared" si="8"/>
        <v>1724682.4891407788</v>
      </c>
      <c r="AD51" s="25">
        <f t="shared" si="8"/>
        <v>1273726.2851311704</v>
      </c>
      <c r="AE51" s="25">
        <f t="shared" si="8"/>
        <v>907262.37449290045</v>
      </c>
      <c r="AF51" s="25">
        <f t="shared" si="8"/>
        <v>431320.17331864842</v>
      </c>
      <c r="AG51" s="25">
        <f t="shared" si="8"/>
        <v>7182.5904076622101</v>
      </c>
      <c r="AH51" s="25">
        <f t="shared" si="8"/>
        <v>0</v>
      </c>
      <c r="AI51" s="25">
        <f t="shared" si="8"/>
        <v>0</v>
      </c>
      <c r="AJ51" s="25">
        <f t="shared" si="8"/>
        <v>0</v>
      </c>
      <c r="AK51" s="25">
        <f t="shared" si="8"/>
        <v>0</v>
      </c>
      <c r="AL51" s="25">
        <f t="shared" si="8"/>
        <v>0</v>
      </c>
      <c r="AM51" s="25">
        <f t="shared" si="8"/>
        <v>0</v>
      </c>
      <c r="AN51" s="25">
        <f t="shared" si="8"/>
        <v>0</v>
      </c>
      <c r="AO51" s="25">
        <f t="shared" si="8"/>
        <v>0</v>
      </c>
      <c r="AP51" s="25">
        <f t="shared" si="8"/>
        <v>0</v>
      </c>
      <c r="AQ51" s="25">
        <f t="shared" si="8"/>
        <v>0</v>
      </c>
      <c r="AR51" s="25">
        <f t="shared" si="8"/>
        <v>0</v>
      </c>
      <c r="AS51" s="25">
        <f t="shared" si="8"/>
        <v>0</v>
      </c>
      <c r="AT51" s="25">
        <f t="shared" si="8"/>
        <v>0</v>
      </c>
    </row>
    <row r="53" spans="1:46">
      <c r="C53" s="3" t="s">
        <v>53</v>
      </c>
      <c r="E53" s="27">
        <f>E41</f>
        <v>5.5E-2</v>
      </c>
      <c r="G53" s="26">
        <f>$E53</f>
        <v>5.5E-2</v>
      </c>
      <c r="H53" s="26">
        <f t="shared" ref="H53:AT53" si="9">$E53</f>
        <v>5.5E-2</v>
      </c>
      <c r="I53" s="26">
        <f t="shared" si="9"/>
        <v>5.5E-2</v>
      </c>
      <c r="J53" s="26">
        <f t="shared" si="9"/>
        <v>5.5E-2</v>
      </c>
      <c r="K53" s="26">
        <f t="shared" si="9"/>
        <v>5.5E-2</v>
      </c>
      <c r="L53" s="26">
        <f t="shared" si="9"/>
        <v>5.5E-2</v>
      </c>
      <c r="M53" s="26">
        <f t="shared" si="9"/>
        <v>5.5E-2</v>
      </c>
      <c r="N53" s="26">
        <f t="shared" si="9"/>
        <v>5.5E-2</v>
      </c>
      <c r="O53" s="26">
        <f t="shared" si="9"/>
        <v>5.5E-2</v>
      </c>
      <c r="P53" s="26">
        <f t="shared" si="9"/>
        <v>5.5E-2</v>
      </c>
      <c r="Q53" s="26">
        <f t="shared" si="9"/>
        <v>5.5E-2</v>
      </c>
      <c r="R53" s="26">
        <f t="shared" si="9"/>
        <v>5.5E-2</v>
      </c>
      <c r="S53" s="26">
        <f t="shared" si="9"/>
        <v>5.5E-2</v>
      </c>
      <c r="T53" s="26">
        <f t="shared" si="9"/>
        <v>5.5E-2</v>
      </c>
      <c r="U53" s="26">
        <f t="shared" si="9"/>
        <v>5.5E-2</v>
      </c>
      <c r="V53" s="26">
        <f t="shared" si="9"/>
        <v>5.5E-2</v>
      </c>
      <c r="W53" s="26">
        <f t="shared" si="9"/>
        <v>5.5E-2</v>
      </c>
      <c r="X53" s="26">
        <f t="shared" si="9"/>
        <v>5.5E-2</v>
      </c>
      <c r="Y53" s="26">
        <f t="shared" si="9"/>
        <v>5.5E-2</v>
      </c>
      <c r="Z53" s="26">
        <f t="shared" si="9"/>
        <v>5.5E-2</v>
      </c>
      <c r="AA53" s="26">
        <f t="shared" si="9"/>
        <v>5.5E-2</v>
      </c>
      <c r="AB53" s="26">
        <f t="shared" si="9"/>
        <v>5.5E-2</v>
      </c>
      <c r="AC53" s="26">
        <f t="shared" si="9"/>
        <v>5.5E-2</v>
      </c>
      <c r="AD53" s="26">
        <f t="shared" si="9"/>
        <v>5.5E-2</v>
      </c>
      <c r="AE53" s="26">
        <f t="shared" si="9"/>
        <v>5.5E-2</v>
      </c>
      <c r="AF53" s="26">
        <f t="shared" si="9"/>
        <v>5.5E-2</v>
      </c>
      <c r="AG53" s="26">
        <f t="shared" si="9"/>
        <v>5.5E-2</v>
      </c>
      <c r="AH53" s="26">
        <f t="shared" si="9"/>
        <v>5.5E-2</v>
      </c>
      <c r="AI53" s="26">
        <f t="shared" si="9"/>
        <v>5.5E-2</v>
      </c>
      <c r="AJ53" s="26">
        <f t="shared" si="9"/>
        <v>5.5E-2</v>
      </c>
      <c r="AK53" s="26">
        <f t="shared" si="9"/>
        <v>5.5E-2</v>
      </c>
      <c r="AL53" s="26">
        <f t="shared" si="9"/>
        <v>5.5E-2</v>
      </c>
      <c r="AM53" s="26">
        <f t="shared" si="9"/>
        <v>5.5E-2</v>
      </c>
      <c r="AN53" s="26">
        <f t="shared" si="9"/>
        <v>5.5E-2</v>
      </c>
      <c r="AO53" s="26">
        <f t="shared" si="9"/>
        <v>5.5E-2</v>
      </c>
      <c r="AP53" s="26">
        <f t="shared" si="9"/>
        <v>5.5E-2</v>
      </c>
      <c r="AQ53" s="26">
        <f t="shared" si="9"/>
        <v>5.5E-2</v>
      </c>
      <c r="AR53" s="26">
        <f t="shared" si="9"/>
        <v>5.5E-2</v>
      </c>
      <c r="AS53" s="26">
        <f t="shared" si="9"/>
        <v>5.5E-2</v>
      </c>
      <c r="AT53" s="26">
        <f t="shared" si="9"/>
        <v>5.5E-2</v>
      </c>
    </row>
    <row r="54" spans="1:46">
      <c r="C54" s="3" t="s">
        <v>54</v>
      </c>
      <c r="G54" s="3">
        <f t="shared" ref="G54:AT54" si="10">G49*G53/4</f>
        <v>137500</v>
      </c>
      <c r="H54" s="3">
        <f t="shared" si="10"/>
        <v>132805.55588235293</v>
      </c>
      <c r="I54" s="3">
        <f t="shared" si="10"/>
        <v>128903.3903639706</v>
      </c>
      <c r="J54" s="3">
        <f t="shared" si="10"/>
        <v>124426.8252167693</v>
      </c>
      <c r="K54" s="3">
        <f t="shared" si="10"/>
        <v>119736.10656349988</v>
      </c>
      <c r="L54" s="3">
        <f t="shared" si="10"/>
        <v>114723.7817052186</v>
      </c>
      <c r="M54" s="3">
        <f t="shared" si="10"/>
        <v>110511.77193895947</v>
      </c>
      <c r="N54" s="3">
        <f t="shared" si="10"/>
        <v>106570.26983253192</v>
      </c>
      <c r="O54" s="3">
        <f t="shared" si="10"/>
        <v>102537.02648390571</v>
      </c>
      <c r="P54" s="3">
        <f t="shared" si="10"/>
        <v>98684.68045100059</v>
      </c>
      <c r="Q54" s="3">
        <f t="shared" si="10"/>
        <v>93478.113189554788</v>
      </c>
      <c r="R54" s="3">
        <f t="shared" si="10"/>
        <v>88493.073275322924</v>
      </c>
      <c r="S54" s="3">
        <f t="shared" si="10"/>
        <v>83180.5522975645</v>
      </c>
      <c r="T54" s="3">
        <f t="shared" si="10"/>
        <v>78539.514303420729</v>
      </c>
      <c r="U54" s="3">
        <f t="shared" si="10"/>
        <v>73636.17674273983</v>
      </c>
      <c r="V54" s="3">
        <f t="shared" si="10"/>
        <v>68760.05064354073</v>
      </c>
      <c r="W54" s="3">
        <f t="shared" si="10"/>
        <v>62393.720457536474</v>
      </c>
      <c r="X54" s="3">
        <f t="shared" si="10"/>
        <v>56719.793672651125</v>
      </c>
      <c r="Y54" s="3">
        <f t="shared" si="10"/>
        <v>51570.682747414787</v>
      </c>
      <c r="Z54" s="3">
        <f t="shared" si="10"/>
        <v>46911.536988132917</v>
      </c>
      <c r="AA54" s="3">
        <f t="shared" si="10"/>
        <v>41947.023562896211</v>
      </c>
      <c r="AB54" s="3">
        <f t="shared" si="10"/>
        <v>36007.564989827217</v>
      </c>
      <c r="AC54" s="3">
        <f t="shared" si="10"/>
        <v>30779.983714319696</v>
      </c>
      <c r="AD54" s="3">
        <f t="shared" si="10"/>
        <v>23714.38422568571</v>
      </c>
      <c r="AE54" s="3">
        <f t="shared" si="10"/>
        <v>17513.736420553592</v>
      </c>
      <c r="AF54" s="3">
        <f t="shared" si="10"/>
        <v>12474.857649277381</v>
      </c>
      <c r="AG54" s="3">
        <f t="shared" si="10"/>
        <v>5930.6523831314162</v>
      </c>
      <c r="AH54" s="3">
        <f t="shared" si="10"/>
        <v>98.760618105355391</v>
      </c>
      <c r="AI54" s="3">
        <f t="shared" si="10"/>
        <v>0</v>
      </c>
      <c r="AJ54" s="3">
        <f t="shared" si="10"/>
        <v>0</v>
      </c>
      <c r="AK54" s="3">
        <f t="shared" si="10"/>
        <v>0</v>
      </c>
      <c r="AL54" s="3">
        <f t="shared" si="10"/>
        <v>0</v>
      </c>
      <c r="AM54" s="3">
        <f t="shared" si="10"/>
        <v>0</v>
      </c>
      <c r="AN54" s="3">
        <f t="shared" si="10"/>
        <v>0</v>
      </c>
      <c r="AO54" s="3">
        <f t="shared" si="10"/>
        <v>0</v>
      </c>
      <c r="AP54" s="3">
        <f t="shared" si="10"/>
        <v>0</v>
      </c>
      <c r="AQ54" s="3">
        <f t="shared" si="10"/>
        <v>0</v>
      </c>
      <c r="AR54" s="3">
        <f t="shared" si="10"/>
        <v>0</v>
      </c>
      <c r="AS54" s="3">
        <f t="shared" si="10"/>
        <v>0</v>
      </c>
      <c r="AT54" s="3">
        <f t="shared" si="10"/>
        <v>0</v>
      </c>
    </row>
    <row r="56" spans="1:46">
      <c r="C56" s="3" t="s">
        <v>89</v>
      </c>
      <c r="E56" s="22">
        <f>INDEX(F9:AT9,MATCH(0,F51:AT51,0))</f>
        <v>46022</v>
      </c>
    </row>
    <row r="58" spans="1:46">
      <c r="A58" s="7">
        <f>MAX(A$2:A57)+0.01</f>
        <v>2.0399999999999991</v>
      </c>
      <c r="B58" s="7"/>
      <c r="C58" s="7" t="s">
        <v>46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60" spans="1:46">
      <c r="C60" s="3" t="s">
        <v>56</v>
      </c>
      <c r="E60" s="28">
        <f>E40</f>
        <v>1.7</v>
      </c>
      <c r="G60" s="29">
        <f>$E60</f>
        <v>1.7</v>
      </c>
      <c r="H60" s="29">
        <f t="shared" ref="H60:AT60" si="11">$E60</f>
        <v>1.7</v>
      </c>
      <c r="I60" s="29">
        <f t="shared" si="11"/>
        <v>1.7</v>
      </c>
      <c r="J60" s="29">
        <f t="shared" si="11"/>
        <v>1.7</v>
      </c>
      <c r="K60" s="29">
        <f t="shared" si="11"/>
        <v>1.7</v>
      </c>
      <c r="L60" s="29">
        <f t="shared" si="11"/>
        <v>1.7</v>
      </c>
      <c r="M60" s="29">
        <f t="shared" si="11"/>
        <v>1.7</v>
      </c>
      <c r="N60" s="29">
        <f t="shared" si="11"/>
        <v>1.7</v>
      </c>
      <c r="O60" s="29">
        <f t="shared" si="11"/>
        <v>1.7</v>
      </c>
      <c r="P60" s="29">
        <f t="shared" si="11"/>
        <v>1.7</v>
      </c>
      <c r="Q60" s="29">
        <f t="shared" si="11"/>
        <v>1.7</v>
      </c>
      <c r="R60" s="29">
        <f t="shared" si="11"/>
        <v>1.7</v>
      </c>
      <c r="S60" s="29">
        <f t="shared" si="11"/>
        <v>1.7</v>
      </c>
      <c r="T60" s="29">
        <f t="shared" si="11"/>
        <v>1.7</v>
      </c>
      <c r="U60" s="29">
        <f t="shared" si="11"/>
        <v>1.7</v>
      </c>
      <c r="V60" s="29">
        <f t="shared" si="11"/>
        <v>1.7</v>
      </c>
      <c r="W60" s="29">
        <f t="shared" si="11"/>
        <v>1.7</v>
      </c>
      <c r="X60" s="29">
        <f t="shared" si="11"/>
        <v>1.7</v>
      </c>
      <c r="Y60" s="29">
        <f t="shared" si="11"/>
        <v>1.7</v>
      </c>
      <c r="Z60" s="29">
        <f t="shared" si="11"/>
        <v>1.7</v>
      </c>
      <c r="AA60" s="29">
        <f t="shared" si="11"/>
        <v>1.7</v>
      </c>
      <c r="AB60" s="29">
        <f t="shared" si="11"/>
        <v>1.7</v>
      </c>
      <c r="AC60" s="29">
        <f t="shared" si="11"/>
        <v>1.7</v>
      </c>
      <c r="AD60" s="29">
        <f t="shared" si="11"/>
        <v>1.7</v>
      </c>
      <c r="AE60" s="29">
        <f t="shared" si="11"/>
        <v>1.7</v>
      </c>
      <c r="AF60" s="29">
        <f t="shared" si="11"/>
        <v>1.7</v>
      </c>
      <c r="AG60" s="29">
        <f t="shared" si="11"/>
        <v>1.7</v>
      </c>
      <c r="AH60" s="29">
        <f t="shared" si="11"/>
        <v>1.7</v>
      </c>
      <c r="AI60" s="29">
        <f t="shared" si="11"/>
        <v>1.7</v>
      </c>
      <c r="AJ60" s="29">
        <f t="shared" si="11"/>
        <v>1.7</v>
      </c>
      <c r="AK60" s="29">
        <f t="shared" si="11"/>
        <v>1.7</v>
      </c>
      <c r="AL60" s="29">
        <f t="shared" si="11"/>
        <v>1.7</v>
      </c>
      <c r="AM60" s="29">
        <f t="shared" si="11"/>
        <v>1.7</v>
      </c>
      <c r="AN60" s="29">
        <f t="shared" si="11"/>
        <v>1.7</v>
      </c>
      <c r="AO60" s="29">
        <f t="shared" si="11"/>
        <v>1.7</v>
      </c>
      <c r="AP60" s="29">
        <f t="shared" si="11"/>
        <v>1.7</v>
      </c>
      <c r="AQ60" s="29">
        <f t="shared" si="11"/>
        <v>1.7</v>
      </c>
      <c r="AR60" s="29">
        <f t="shared" si="11"/>
        <v>1.7</v>
      </c>
      <c r="AS60" s="29">
        <f t="shared" si="11"/>
        <v>1.7</v>
      </c>
      <c r="AT60" s="29">
        <f t="shared" si="11"/>
        <v>1.7</v>
      </c>
    </row>
    <row r="62" spans="1:46">
      <c r="C62" s="3" t="s">
        <v>57</v>
      </c>
      <c r="G62" s="3">
        <f t="shared" ref="G62:AT62" si="12">G$45</f>
        <v>812279</v>
      </c>
      <c r="H62" s="3">
        <f t="shared" si="12"/>
        <v>706344</v>
      </c>
      <c r="I62" s="3">
        <f t="shared" si="12"/>
        <v>770727</v>
      </c>
      <c r="J62" s="3">
        <f t="shared" si="12"/>
        <v>789594</v>
      </c>
      <c r="K62" s="3">
        <f t="shared" si="12"/>
        <v>821382</v>
      </c>
      <c r="L62" s="3">
        <f t="shared" si="12"/>
        <v>713913</v>
      </c>
      <c r="M62" s="3">
        <f t="shared" si="12"/>
        <v>673308</v>
      </c>
      <c r="N62" s="3">
        <f t="shared" si="12"/>
        <v>677950</v>
      </c>
      <c r="O62" s="3">
        <f t="shared" si="12"/>
        <v>648728</v>
      </c>
      <c r="P62" s="3">
        <f t="shared" si="12"/>
        <v>809610</v>
      </c>
      <c r="Q62" s="3">
        <f t="shared" si="12"/>
        <v>773370</v>
      </c>
      <c r="R62" s="3">
        <f t="shared" si="12"/>
        <v>805384</v>
      </c>
      <c r="S62" s="3">
        <f t="shared" si="12"/>
        <v>713333</v>
      </c>
      <c r="T62" s="3">
        <f t="shared" si="12"/>
        <v>737873</v>
      </c>
      <c r="U62" s="3">
        <f t="shared" si="12"/>
        <v>726173</v>
      </c>
      <c r="V62" s="3">
        <f t="shared" si="12"/>
        <v>902127</v>
      </c>
      <c r="W62" s="3">
        <f t="shared" si="12"/>
        <v>805698</v>
      </c>
      <c r="X62" s="3">
        <f t="shared" si="12"/>
        <v>731166</v>
      </c>
      <c r="Y62" s="3">
        <f t="shared" si="12"/>
        <v>661835</v>
      </c>
      <c r="Z62" s="3">
        <f t="shared" si="12"/>
        <v>691669</v>
      </c>
      <c r="AA62" s="3">
        <f t="shared" si="12"/>
        <v>803768</v>
      </c>
      <c r="AB62" s="3">
        <f t="shared" si="12"/>
        <v>705657</v>
      </c>
      <c r="AC62" s="3">
        <f t="shared" si="12"/>
        <v>924016</v>
      </c>
      <c r="AD62" s="3">
        <f t="shared" si="12"/>
        <v>805065</v>
      </c>
      <c r="AE62" s="3">
        <f t="shared" si="12"/>
        <v>650887</v>
      </c>
      <c r="AF62" s="3">
        <f t="shared" si="12"/>
        <v>828434</v>
      </c>
      <c r="AG62" s="3">
        <f t="shared" si="12"/>
        <v>729241</v>
      </c>
      <c r="AH62" s="3">
        <f t="shared" si="12"/>
        <v>867082</v>
      </c>
      <c r="AI62" s="3">
        <f t="shared" si="12"/>
        <v>717415</v>
      </c>
      <c r="AJ62" s="3">
        <f t="shared" si="12"/>
        <v>704505</v>
      </c>
      <c r="AK62" s="3">
        <f t="shared" si="12"/>
        <v>864444</v>
      </c>
      <c r="AL62" s="3">
        <f t="shared" si="12"/>
        <v>836858</v>
      </c>
      <c r="AM62" s="3">
        <f t="shared" si="12"/>
        <v>897764</v>
      </c>
      <c r="AN62" s="3">
        <f t="shared" si="12"/>
        <v>720079</v>
      </c>
      <c r="AO62" s="3">
        <f t="shared" si="12"/>
        <v>844464</v>
      </c>
      <c r="AP62" s="3">
        <f t="shared" si="12"/>
        <v>906888</v>
      </c>
      <c r="AQ62" s="3">
        <f t="shared" si="12"/>
        <v>872575</v>
      </c>
      <c r="AR62" s="3">
        <f t="shared" si="12"/>
        <v>855966</v>
      </c>
      <c r="AS62" s="3">
        <f t="shared" si="12"/>
        <v>907143</v>
      </c>
      <c r="AT62" s="3">
        <f t="shared" si="12"/>
        <v>800839</v>
      </c>
    </row>
    <row r="63" spans="1:46">
      <c r="C63" s="3" t="s">
        <v>58</v>
      </c>
      <c r="G63" s="3">
        <f>G80</f>
        <v>1875</v>
      </c>
      <c r="H63" s="3">
        <f t="shared" ref="H63:AT63" si="13">H80</f>
        <v>1875</v>
      </c>
      <c r="I63" s="3">
        <f t="shared" si="13"/>
        <v>1875</v>
      </c>
      <c r="J63" s="3">
        <f t="shared" si="13"/>
        <v>1875</v>
      </c>
      <c r="K63" s="3">
        <f t="shared" si="13"/>
        <v>1875</v>
      </c>
      <c r="L63" s="3">
        <f t="shared" si="13"/>
        <v>1875</v>
      </c>
      <c r="M63" s="3">
        <f t="shared" si="13"/>
        <v>1875</v>
      </c>
      <c r="N63" s="3">
        <f t="shared" si="13"/>
        <v>1875</v>
      </c>
      <c r="O63" s="3">
        <f t="shared" si="13"/>
        <v>1875</v>
      </c>
      <c r="P63" s="3">
        <f t="shared" si="13"/>
        <v>1875</v>
      </c>
      <c r="Q63" s="3">
        <f t="shared" si="13"/>
        <v>1875</v>
      </c>
      <c r="R63" s="3">
        <f t="shared" si="13"/>
        <v>1875</v>
      </c>
      <c r="S63" s="3">
        <f t="shared" si="13"/>
        <v>1875</v>
      </c>
      <c r="T63" s="3">
        <f t="shared" si="13"/>
        <v>1875</v>
      </c>
      <c r="U63" s="3">
        <f t="shared" si="13"/>
        <v>1875</v>
      </c>
      <c r="V63" s="3">
        <f t="shared" si="13"/>
        <v>1875</v>
      </c>
      <c r="W63" s="3">
        <f t="shared" si="13"/>
        <v>1875</v>
      </c>
      <c r="X63" s="3">
        <f t="shared" si="13"/>
        <v>1875</v>
      </c>
      <c r="Y63" s="3">
        <f t="shared" si="13"/>
        <v>1875</v>
      </c>
      <c r="Z63" s="3">
        <f t="shared" si="13"/>
        <v>1875</v>
      </c>
      <c r="AA63" s="3">
        <f t="shared" si="13"/>
        <v>1875</v>
      </c>
      <c r="AB63" s="3">
        <f t="shared" si="13"/>
        <v>1875</v>
      </c>
      <c r="AC63" s="3">
        <f t="shared" si="13"/>
        <v>1875</v>
      </c>
      <c r="AD63" s="3">
        <f t="shared" si="13"/>
        <v>1875</v>
      </c>
      <c r="AE63" s="3">
        <f t="shared" si="13"/>
        <v>1875</v>
      </c>
      <c r="AF63" s="3">
        <f t="shared" si="13"/>
        <v>1875</v>
      </c>
      <c r="AG63" s="3">
        <f t="shared" si="13"/>
        <v>1875</v>
      </c>
      <c r="AH63" s="3">
        <f t="shared" si="13"/>
        <v>1875</v>
      </c>
      <c r="AI63" s="3">
        <f t="shared" si="13"/>
        <v>0</v>
      </c>
      <c r="AJ63" s="3">
        <f t="shared" si="13"/>
        <v>0</v>
      </c>
      <c r="AK63" s="3">
        <f t="shared" si="13"/>
        <v>0</v>
      </c>
      <c r="AL63" s="3">
        <f t="shared" si="13"/>
        <v>0</v>
      </c>
      <c r="AM63" s="3">
        <f t="shared" si="13"/>
        <v>0</v>
      </c>
      <c r="AN63" s="3">
        <f t="shared" si="13"/>
        <v>0</v>
      </c>
      <c r="AO63" s="3">
        <f t="shared" si="13"/>
        <v>0</v>
      </c>
      <c r="AP63" s="3">
        <f t="shared" si="13"/>
        <v>0</v>
      </c>
      <c r="AQ63" s="3">
        <f t="shared" si="13"/>
        <v>0</v>
      </c>
      <c r="AR63" s="3">
        <f t="shared" si="13"/>
        <v>0</v>
      </c>
      <c r="AS63" s="3">
        <f t="shared" si="13"/>
        <v>0</v>
      </c>
      <c r="AT63" s="3">
        <f t="shared" si="13"/>
        <v>0</v>
      </c>
    </row>
    <row r="64" spans="1:46">
      <c r="C64" s="3" t="s">
        <v>59</v>
      </c>
      <c r="G64" s="25">
        <f>SUM(G62:G63)</f>
        <v>814154</v>
      </c>
      <c r="H64" s="25">
        <f t="shared" ref="H64:AT64" si="14">SUM(H62:H63)</f>
        <v>708219</v>
      </c>
      <c r="I64" s="25">
        <f t="shared" si="14"/>
        <v>772602</v>
      </c>
      <c r="J64" s="25">
        <f t="shared" si="14"/>
        <v>791469</v>
      </c>
      <c r="K64" s="25">
        <f t="shared" si="14"/>
        <v>823257</v>
      </c>
      <c r="L64" s="25">
        <f t="shared" si="14"/>
        <v>715788</v>
      </c>
      <c r="M64" s="25">
        <f t="shared" si="14"/>
        <v>675183</v>
      </c>
      <c r="N64" s="25">
        <f t="shared" si="14"/>
        <v>679825</v>
      </c>
      <c r="O64" s="25">
        <f t="shared" si="14"/>
        <v>650603</v>
      </c>
      <c r="P64" s="25">
        <f t="shared" si="14"/>
        <v>811485</v>
      </c>
      <c r="Q64" s="25">
        <f t="shared" si="14"/>
        <v>775245</v>
      </c>
      <c r="R64" s="25">
        <f t="shared" si="14"/>
        <v>807259</v>
      </c>
      <c r="S64" s="25">
        <f t="shared" si="14"/>
        <v>715208</v>
      </c>
      <c r="T64" s="25">
        <f t="shared" si="14"/>
        <v>739748</v>
      </c>
      <c r="U64" s="25">
        <f t="shared" si="14"/>
        <v>728048</v>
      </c>
      <c r="V64" s="25">
        <f t="shared" si="14"/>
        <v>904002</v>
      </c>
      <c r="W64" s="25">
        <f t="shared" si="14"/>
        <v>807573</v>
      </c>
      <c r="X64" s="25">
        <f t="shared" si="14"/>
        <v>733041</v>
      </c>
      <c r="Y64" s="25">
        <f t="shared" si="14"/>
        <v>663710</v>
      </c>
      <c r="Z64" s="25">
        <f t="shared" si="14"/>
        <v>693544</v>
      </c>
      <c r="AA64" s="25">
        <f t="shared" si="14"/>
        <v>805643</v>
      </c>
      <c r="AB64" s="25">
        <f t="shared" si="14"/>
        <v>707532</v>
      </c>
      <c r="AC64" s="25">
        <f t="shared" si="14"/>
        <v>925891</v>
      </c>
      <c r="AD64" s="25">
        <f t="shared" si="14"/>
        <v>806940</v>
      </c>
      <c r="AE64" s="25">
        <f t="shared" si="14"/>
        <v>652762</v>
      </c>
      <c r="AF64" s="25">
        <f t="shared" si="14"/>
        <v>830309</v>
      </c>
      <c r="AG64" s="25">
        <f t="shared" si="14"/>
        <v>731116</v>
      </c>
      <c r="AH64" s="25">
        <f t="shared" si="14"/>
        <v>868957</v>
      </c>
      <c r="AI64" s="25">
        <f t="shared" si="14"/>
        <v>717415</v>
      </c>
      <c r="AJ64" s="25">
        <f t="shared" si="14"/>
        <v>704505</v>
      </c>
      <c r="AK64" s="25">
        <f t="shared" si="14"/>
        <v>864444</v>
      </c>
      <c r="AL64" s="25">
        <f t="shared" si="14"/>
        <v>836858</v>
      </c>
      <c r="AM64" s="25">
        <f t="shared" si="14"/>
        <v>897764</v>
      </c>
      <c r="AN64" s="25">
        <f t="shared" si="14"/>
        <v>720079</v>
      </c>
      <c r="AO64" s="25">
        <f t="shared" si="14"/>
        <v>844464</v>
      </c>
      <c r="AP64" s="25">
        <f t="shared" si="14"/>
        <v>906888</v>
      </c>
      <c r="AQ64" s="25">
        <f t="shared" si="14"/>
        <v>872575</v>
      </c>
      <c r="AR64" s="25">
        <f t="shared" si="14"/>
        <v>855966</v>
      </c>
      <c r="AS64" s="25">
        <f t="shared" si="14"/>
        <v>907143</v>
      </c>
      <c r="AT64" s="25">
        <f t="shared" si="14"/>
        <v>800839</v>
      </c>
    </row>
    <row r="66" spans="1:46">
      <c r="C66" s="3" t="s">
        <v>60</v>
      </c>
      <c r="G66" s="3">
        <f>G64/G60</f>
        <v>478914.11764705885</v>
      </c>
      <c r="H66" s="3">
        <f t="shared" ref="H66:AT66" si="15">H64/H60</f>
        <v>416599.4117647059</v>
      </c>
      <c r="I66" s="3">
        <f t="shared" si="15"/>
        <v>454471.76470588235</v>
      </c>
      <c r="J66" s="3">
        <f t="shared" si="15"/>
        <v>465570</v>
      </c>
      <c r="K66" s="3">
        <f t="shared" si="15"/>
        <v>484268.82352941181</v>
      </c>
      <c r="L66" s="3">
        <f t="shared" si="15"/>
        <v>421051.76470588235</v>
      </c>
      <c r="M66" s="3">
        <f t="shared" si="15"/>
        <v>397166.4705882353</v>
      </c>
      <c r="N66" s="3">
        <f t="shared" si="15"/>
        <v>399897.0588235294</v>
      </c>
      <c r="O66" s="3">
        <f t="shared" si="15"/>
        <v>382707.64705882355</v>
      </c>
      <c r="P66" s="3">
        <f t="shared" si="15"/>
        <v>477344.11764705885</v>
      </c>
      <c r="Q66" s="3">
        <f t="shared" si="15"/>
        <v>456026.4705882353</v>
      </c>
      <c r="R66" s="3">
        <f t="shared" si="15"/>
        <v>474858.23529411765</v>
      </c>
      <c r="S66" s="3">
        <f t="shared" si="15"/>
        <v>420710.58823529416</v>
      </c>
      <c r="T66" s="3">
        <f t="shared" si="15"/>
        <v>435145.8823529412</v>
      </c>
      <c r="U66" s="3">
        <f t="shared" si="15"/>
        <v>428263.5294117647</v>
      </c>
      <c r="V66" s="3">
        <f t="shared" si="15"/>
        <v>531765.8823529412</v>
      </c>
      <c r="W66" s="3">
        <f t="shared" si="15"/>
        <v>475042.9411764706</v>
      </c>
      <c r="X66" s="3">
        <f t="shared" si="15"/>
        <v>431200.58823529416</v>
      </c>
      <c r="Y66" s="3">
        <f t="shared" si="15"/>
        <v>390417.64705882355</v>
      </c>
      <c r="Z66" s="3">
        <f t="shared" si="15"/>
        <v>407967.0588235294</v>
      </c>
      <c r="AA66" s="3">
        <f t="shared" si="15"/>
        <v>473907.64705882355</v>
      </c>
      <c r="AB66" s="3">
        <f t="shared" si="15"/>
        <v>416195.29411764705</v>
      </c>
      <c r="AC66" s="3">
        <f t="shared" si="15"/>
        <v>544641.76470588241</v>
      </c>
      <c r="AD66" s="3">
        <f t="shared" si="15"/>
        <v>474670.58823529416</v>
      </c>
      <c r="AE66" s="3">
        <f t="shared" si="15"/>
        <v>383977.64705882355</v>
      </c>
      <c r="AF66" s="3">
        <f t="shared" si="15"/>
        <v>488417.0588235294</v>
      </c>
      <c r="AG66" s="3">
        <f t="shared" si="15"/>
        <v>430068.23529411765</v>
      </c>
      <c r="AH66" s="3">
        <f t="shared" si="15"/>
        <v>511151.17647058825</v>
      </c>
      <c r="AI66" s="3">
        <f t="shared" si="15"/>
        <v>422008.82352941175</v>
      </c>
      <c r="AJ66" s="3">
        <f t="shared" si="15"/>
        <v>414414.70588235295</v>
      </c>
      <c r="AK66" s="3">
        <f t="shared" si="15"/>
        <v>508496.4705882353</v>
      </c>
      <c r="AL66" s="3">
        <f t="shared" si="15"/>
        <v>492269.4117647059</v>
      </c>
      <c r="AM66" s="3">
        <f t="shared" si="15"/>
        <v>528096.4705882353</v>
      </c>
      <c r="AN66" s="3">
        <f t="shared" si="15"/>
        <v>423575.8823529412</v>
      </c>
      <c r="AO66" s="3">
        <f t="shared" si="15"/>
        <v>496743.5294117647</v>
      </c>
      <c r="AP66" s="3">
        <f t="shared" si="15"/>
        <v>533463.5294117647</v>
      </c>
      <c r="AQ66" s="3">
        <f t="shared" si="15"/>
        <v>513279.4117647059</v>
      </c>
      <c r="AR66" s="3">
        <f t="shared" si="15"/>
        <v>503509.4117647059</v>
      </c>
      <c r="AS66" s="3">
        <f t="shared" si="15"/>
        <v>533613.5294117647</v>
      </c>
      <c r="AT66" s="3">
        <f t="shared" si="15"/>
        <v>471081.76470588235</v>
      </c>
    </row>
    <row r="67" spans="1:46">
      <c r="C67" s="3" t="s">
        <v>63</v>
      </c>
      <c r="G67" s="3">
        <f>-G54</f>
        <v>-137500</v>
      </c>
      <c r="H67" s="3">
        <f t="shared" ref="H67:AT67" si="16">-H54</f>
        <v>-132805.55588235293</v>
      </c>
      <c r="I67" s="3">
        <f t="shared" si="16"/>
        <v>-128903.3903639706</v>
      </c>
      <c r="J67" s="3">
        <f t="shared" si="16"/>
        <v>-124426.8252167693</v>
      </c>
      <c r="K67" s="3">
        <f t="shared" si="16"/>
        <v>-119736.10656349988</v>
      </c>
      <c r="L67" s="3">
        <f t="shared" si="16"/>
        <v>-114723.7817052186</v>
      </c>
      <c r="M67" s="3">
        <f t="shared" si="16"/>
        <v>-110511.77193895947</v>
      </c>
      <c r="N67" s="3">
        <f t="shared" si="16"/>
        <v>-106570.26983253192</v>
      </c>
      <c r="O67" s="3">
        <f t="shared" si="16"/>
        <v>-102537.02648390571</v>
      </c>
      <c r="P67" s="3">
        <f t="shared" si="16"/>
        <v>-98684.68045100059</v>
      </c>
      <c r="Q67" s="3">
        <f t="shared" si="16"/>
        <v>-93478.113189554788</v>
      </c>
      <c r="R67" s="3">
        <f t="shared" si="16"/>
        <v>-88493.073275322924</v>
      </c>
      <c r="S67" s="3">
        <f t="shared" si="16"/>
        <v>-83180.5522975645</v>
      </c>
      <c r="T67" s="3">
        <f t="shared" si="16"/>
        <v>-78539.514303420729</v>
      </c>
      <c r="U67" s="3">
        <f t="shared" si="16"/>
        <v>-73636.17674273983</v>
      </c>
      <c r="V67" s="3">
        <f t="shared" si="16"/>
        <v>-68760.05064354073</v>
      </c>
      <c r="W67" s="3">
        <f t="shared" si="16"/>
        <v>-62393.720457536474</v>
      </c>
      <c r="X67" s="3">
        <f t="shared" si="16"/>
        <v>-56719.793672651125</v>
      </c>
      <c r="Y67" s="3">
        <f t="shared" si="16"/>
        <v>-51570.682747414787</v>
      </c>
      <c r="Z67" s="3">
        <f t="shared" si="16"/>
        <v>-46911.536988132917</v>
      </c>
      <c r="AA67" s="3">
        <f t="shared" si="16"/>
        <v>-41947.023562896211</v>
      </c>
      <c r="AB67" s="3">
        <f t="shared" si="16"/>
        <v>-36007.564989827217</v>
      </c>
      <c r="AC67" s="3">
        <f t="shared" si="16"/>
        <v>-30779.983714319696</v>
      </c>
      <c r="AD67" s="3">
        <f t="shared" si="16"/>
        <v>-23714.38422568571</v>
      </c>
      <c r="AE67" s="3">
        <f t="shared" si="16"/>
        <v>-17513.736420553592</v>
      </c>
      <c r="AF67" s="3">
        <f t="shared" si="16"/>
        <v>-12474.857649277381</v>
      </c>
      <c r="AG67" s="3">
        <f t="shared" si="16"/>
        <v>-5930.6523831314162</v>
      </c>
      <c r="AH67" s="3">
        <f t="shared" si="16"/>
        <v>-98.760618105355391</v>
      </c>
      <c r="AI67" s="3">
        <f t="shared" si="16"/>
        <v>0</v>
      </c>
      <c r="AJ67" s="3">
        <f t="shared" si="16"/>
        <v>0</v>
      </c>
      <c r="AK67" s="3">
        <f t="shared" si="16"/>
        <v>0</v>
      </c>
      <c r="AL67" s="3">
        <f t="shared" si="16"/>
        <v>0</v>
      </c>
      <c r="AM67" s="3">
        <f t="shared" si="16"/>
        <v>0</v>
      </c>
      <c r="AN67" s="3">
        <f t="shared" si="16"/>
        <v>0</v>
      </c>
      <c r="AO67" s="3">
        <f t="shared" si="16"/>
        <v>0</v>
      </c>
      <c r="AP67" s="3">
        <f t="shared" si="16"/>
        <v>0</v>
      </c>
      <c r="AQ67" s="3">
        <f t="shared" si="16"/>
        <v>0</v>
      </c>
      <c r="AR67" s="3">
        <f t="shared" si="16"/>
        <v>0</v>
      </c>
      <c r="AS67" s="3">
        <f t="shared" si="16"/>
        <v>0</v>
      </c>
      <c r="AT67" s="3">
        <f t="shared" si="16"/>
        <v>0</v>
      </c>
    </row>
    <row r="68" spans="1:46">
      <c r="C68" s="3" t="s">
        <v>64</v>
      </c>
      <c r="G68" s="25">
        <f>SUM(G66:G67)</f>
        <v>341414.11764705885</v>
      </c>
      <c r="H68" s="25">
        <f t="shared" ref="H68:AT68" si="17">SUM(H66:H67)</f>
        <v>283793.85588235297</v>
      </c>
      <c r="I68" s="25">
        <f t="shared" si="17"/>
        <v>325568.37434191175</v>
      </c>
      <c r="J68" s="25">
        <f t="shared" si="17"/>
        <v>341143.1747832307</v>
      </c>
      <c r="K68" s="25">
        <f t="shared" si="17"/>
        <v>364532.71696591191</v>
      </c>
      <c r="L68" s="25">
        <f t="shared" si="17"/>
        <v>306327.98300066375</v>
      </c>
      <c r="M68" s="25">
        <f t="shared" si="17"/>
        <v>286654.69864927582</v>
      </c>
      <c r="N68" s="25">
        <f t="shared" si="17"/>
        <v>293326.78899099748</v>
      </c>
      <c r="O68" s="25">
        <f t="shared" si="17"/>
        <v>280170.62057491788</v>
      </c>
      <c r="P68" s="25">
        <f t="shared" si="17"/>
        <v>378659.43719605828</v>
      </c>
      <c r="Q68" s="25">
        <f t="shared" si="17"/>
        <v>362548.35739868053</v>
      </c>
      <c r="R68" s="25">
        <f t="shared" si="17"/>
        <v>386365.16201879474</v>
      </c>
      <c r="S68" s="25">
        <f t="shared" si="17"/>
        <v>337530.03593772964</v>
      </c>
      <c r="T68" s="25">
        <f t="shared" si="17"/>
        <v>356606.36804952048</v>
      </c>
      <c r="U68" s="25">
        <f t="shared" si="17"/>
        <v>354627.35266902484</v>
      </c>
      <c r="V68" s="25">
        <f t="shared" si="17"/>
        <v>463005.83170940046</v>
      </c>
      <c r="W68" s="25">
        <f t="shared" si="17"/>
        <v>412649.22071893414</v>
      </c>
      <c r="X68" s="25">
        <f t="shared" si="17"/>
        <v>374480.79456264304</v>
      </c>
      <c r="Y68" s="25">
        <f t="shared" si="17"/>
        <v>338846.96431140875</v>
      </c>
      <c r="Z68" s="25">
        <f t="shared" si="17"/>
        <v>361055.52183539647</v>
      </c>
      <c r="AA68" s="25">
        <f t="shared" si="17"/>
        <v>431960.62349592731</v>
      </c>
      <c r="AB68" s="25">
        <f t="shared" si="17"/>
        <v>380187.72912781982</v>
      </c>
      <c r="AC68" s="25">
        <f t="shared" si="17"/>
        <v>513861.7809915627</v>
      </c>
      <c r="AD68" s="25">
        <f t="shared" si="17"/>
        <v>450956.20400960842</v>
      </c>
      <c r="AE68" s="25">
        <f t="shared" si="17"/>
        <v>366463.91063826997</v>
      </c>
      <c r="AF68" s="25">
        <f t="shared" si="17"/>
        <v>475942.20117425203</v>
      </c>
      <c r="AG68" s="25">
        <f t="shared" si="17"/>
        <v>424137.58291098621</v>
      </c>
      <c r="AH68" s="25">
        <f t="shared" si="17"/>
        <v>511052.4158524829</v>
      </c>
      <c r="AI68" s="25">
        <f t="shared" si="17"/>
        <v>422008.82352941175</v>
      </c>
      <c r="AJ68" s="25">
        <f t="shared" si="17"/>
        <v>414414.70588235295</v>
      </c>
      <c r="AK68" s="25">
        <f t="shared" si="17"/>
        <v>508496.4705882353</v>
      </c>
      <c r="AL68" s="25">
        <f t="shared" si="17"/>
        <v>492269.4117647059</v>
      </c>
      <c r="AM68" s="25">
        <f t="shared" si="17"/>
        <v>528096.4705882353</v>
      </c>
      <c r="AN68" s="25">
        <f t="shared" si="17"/>
        <v>423575.8823529412</v>
      </c>
      <c r="AO68" s="25">
        <f t="shared" si="17"/>
        <v>496743.5294117647</v>
      </c>
      <c r="AP68" s="25">
        <f t="shared" si="17"/>
        <v>533463.5294117647</v>
      </c>
      <c r="AQ68" s="25">
        <f t="shared" si="17"/>
        <v>513279.4117647059</v>
      </c>
      <c r="AR68" s="25">
        <f t="shared" si="17"/>
        <v>503509.4117647059</v>
      </c>
      <c r="AS68" s="25">
        <f t="shared" si="17"/>
        <v>533613.5294117647</v>
      </c>
      <c r="AT68" s="25">
        <f t="shared" si="17"/>
        <v>471081.76470588235</v>
      </c>
    </row>
    <row r="70" spans="1:46">
      <c r="C70" s="3" t="s">
        <v>65</v>
      </c>
      <c r="G70" s="29">
        <f>IFERROR(G64/(G54-G50),0)</f>
        <v>1.7</v>
      </c>
      <c r="H70" s="29">
        <f t="shared" ref="H70:AT70" si="18">IFERROR(H64/(H54-H50),0)</f>
        <v>1.7</v>
      </c>
      <c r="I70" s="29">
        <f t="shared" si="18"/>
        <v>1.7</v>
      </c>
      <c r="J70" s="29">
        <f t="shared" si="18"/>
        <v>1.7</v>
      </c>
      <c r="K70" s="29">
        <f t="shared" si="18"/>
        <v>1.7</v>
      </c>
      <c r="L70" s="29">
        <f t="shared" si="18"/>
        <v>1.7</v>
      </c>
      <c r="M70" s="29">
        <f t="shared" si="18"/>
        <v>1.7</v>
      </c>
      <c r="N70" s="29">
        <f t="shared" si="18"/>
        <v>1.7</v>
      </c>
      <c r="O70" s="29">
        <f t="shared" si="18"/>
        <v>1.6999999999999997</v>
      </c>
      <c r="P70" s="29">
        <f t="shared" si="18"/>
        <v>1.7</v>
      </c>
      <c r="Q70" s="29">
        <f t="shared" si="18"/>
        <v>1.7</v>
      </c>
      <c r="R70" s="29">
        <f t="shared" si="18"/>
        <v>1.7</v>
      </c>
      <c r="S70" s="29">
        <f t="shared" si="18"/>
        <v>1.7</v>
      </c>
      <c r="T70" s="29">
        <f t="shared" si="18"/>
        <v>1.7</v>
      </c>
      <c r="U70" s="29">
        <f t="shared" si="18"/>
        <v>1.7</v>
      </c>
      <c r="V70" s="29">
        <f t="shared" si="18"/>
        <v>1.7</v>
      </c>
      <c r="W70" s="29">
        <f t="shared" si="18"/>
        <v>1.7</v>
      </c>
      <c r="X70" s="29">
        <f t="shared" si="18"/>
        <v>1.7</v>
      </c>
      <c r="Y70" s="29">
        <f t="shared" si="18"/>
        <v>1.7</v>
      </c>
      <c r="Z70" s="29">
        <f t="shared" si="18"/>
        <v>1.7</v>
      </c>
      <c r="AA70" s="29">
        <f t="shared" si="18"/>
        <v>1.7000000000000002</v>
      </c>
      <c r="AB70" s="29">
        <f t="shared" si="18"/>
        <v>1.7</v>
      </c>
      <c r="AC70" s="29">
        <f t="shared" si="18"/>
        <v>1.6999999999999997</v>
      </c>
      <c r="AD70" s="29">
        <f t="shared" si="18"/>
        <v>1.7</v>
      </c>
      <c r="AE70" s="29">
        <f t="shared" si="18"/>
        <v>1.7</v>
      </c>
      <c r="AF70" s="29">
        <f t="shared" si="18"/>
        <v>1.7</v>
      </c>
      <c r="AG70" s="29">
        <f t="shared" si="18"/>
        <v>1.7</v>
      </c>
      <c r="AH70" s="29">
        <f t="shared" si="18"/>
        <v>119.34007808782968</v>
      </c>
      <c r="AI70" s="29">
        <f t="shared" si="18"/>
        <v>0</v>
      </c>
      <c r="AJ70" s="29">
        <f t="shared" si="18"/>
        <v>0</v>
      </c>
      <c r="AK70" s="29">
        <f t="shared" si="18"/>
        <v>0</v>
      </c>
      <c r="AL70" s="29">
        <f t="shared" si="18"/>
        <v>0</v>
      </c>
      <c r="AM70" s="29">
        <f t="shared" si="18"/>
        <v>0</v>
      </c>
      <c r="AN70" s="29">
        <f t="shared" si="18"/>
        <v>0</v>
      </c>
      <c r="AO70" s="29">
        <f t="shared" si="18"/>
        <v>0</v>
      </c>
      <c r="AP70" s="29">
        <f t="shared" si="18"/>
        <v>0</v>
      </c>
      <c r="AQ70" s="29">
        <f t="shared" si="18"/>
        <v>0</v>
      </c>
      <c r="AR70" s="29">
        <f t="shared" si="18"/>
        <v>0</v>
      </c>
      <c r="AS70" s="29">
        <f t="shared" si="18"/>
        <v>0</v>
      </c>
      <c r="AT70" s="29">
        <f t="shared" si="18"/>
        <v>0</v>
      </c>
    </row>
    <row r="72" spans="1:46">
      <c r="A72" s="7">
        <f>MAX(A$2:A71)+0.01</f>
        <v>2.0499999999999989</v>
      </c>
      <c r="B72" s="7"/>
      <c r="C72" s="7" t="s">
        <v>45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4" spans="1:46">
      <c r="C74" s="64" t="s">
        <v>99</v>
      </c>
    </row>
    <row r="75" spans="1:46">
      <c r="C75" s="3" t="s">
        <v>50</v>
      </c>
      <c r="G75" s="3">
        <f>F77</f>
        <v>500000</v>
      </c>
      <c r="H75" s="3">
        <f t="shared" ref="H75:AT75" si="19">G77</f>
        <v>500000</v>
      </c>
      <c r="I75" s="3">
        <f t="shared" si="19"/>
        <v>500000</v>
      </c>
      <c r="J75" s="3">
        <f t="shared" si="19"/>
        <v>500000</v>
      </c>
      <c r="K75" s="3">
        <f t="shared" si="19"/>
        <v>500000</v>
      </c>
      <c r="L75" s="3">
        <f t="shared" si="19"/>
        <v>500000</v>
      </c>
      <c r="M75" s="3">
        <f t="shared" si="19"/>
        <v>500000</v>
      </c>
      <c r="N75" s="3">
        <f t="shared" si="19"/>
        <v>500000</v>
      </c>
      <c r="O75" s="3">
        <f t="shared" si="19"/>
        <v>500000</v>
      </c>
      <c r="P75" s="3">
        <f t="shared" si="19"/>
        <v>500000</v>
      </c>
      <c r="Q75" s="3">
        <f t="shared" si="19"/>
        <v>500000</v>
      </c>
      <c r="R75" s="3">
        <f t="shared" si="19"/>
        <v>500000</v>
      </c>
      <c r="S75" s="3">
        <f t="shared" si="19"/>
        <v>500000</v>
      </c>
      <c r="T75" s="3">
        <f t="shared" si="19"/>
        <v>500000</v>
      </c>
      <c r="U75" s="3">
        <f t="shared" si="19"/>
        <v>500000</v>
      </c>
      <c r="V75" s="3">
        <f t="shared" si="19"/>
        <v>500000</v>
      </c>
      <c r="W75" s="3">
        <f t="shared" si="19"/>
        <v>500000</v>
      </c>
      <c r="X75" s="3">
        <f t="shared" si="19"/>
        <v>500000</v>
      </c>
      <c r="Y75" s="3">
        <f t="shared" si="19"/>
        <v>500000</v>
      </c>
      <c r="Z75" s="3">
        <f t="shared" si="19"/>
        <v>500000</v>
      </c>
      <c r="AA75" s="3">
        <f t="shared" si="19"/>
        <v>500000</v>
      </c>
      <c r="AB75" s="3">
        <f t="shared" si="19"/>
        <v>500000</v>
      </c>
      <c r="AC75" s="3">
        <f t="shared" si="19"/>
        <v>500000</v>
      </c>
      <c r="AD75" s="3">
        <f t="shared" si="19"/>
        <v>500000</v>
      </c>
      <c r="AE75" s="3">
        <f t="shared" si="19"/>
        <v>500000</v>
      </c>
      <c r="AF75" s="3">
        <f t="shared" si="19"/>
        <v>500000</v>
      </c>
      <c r="AG75" s="3">
        <f t="shared" si="19"/>
        <v>500000</v>
      </c>
      <c r="AH75" s="3">
        <f t="shared" si="19"/>
        <v>500000</v>
      </c>
      <c r="AI75" s="3">
        <f t="shared" si="19"/>
        <v>0</v>
      </c>
      <c r="AJ75" s="3">
        <f t="shared" si="19"/>
        <v>0</v>
      </c>
      <c r="AK75" s="3">
        <f t="shared" si="19"/>
        <v>0</v>
      </c>
      <c r="AL75" s="3">
        <f t="shared" si="19"/>
        <v>0</v>
      </c>
      <c r="AM75" s="3">
        <f t="shared" si="19"/>
        <v>0</v>
      </c>
      <c r="AN75" s="3">
        <f t="shared" si="19"/>
        <v>0</v>
      </c>
      <c r="AO75" s="3">
        <f t="shared" si="19"/>
        <v>0</v>
      </c>
      <c r="AP75" s="3">
        <f t="shared" si="19"/>
        <v>0</v>
      </c>
      <c r="AQ75" s="3">
        <f t="shared" si="19"/>
        <v>0</v>
      </c>
      <c r="AR75" s="3">
        <f t="shared" si="19"/>
        <v>0</v>
      </c>
      <c r="AS75" s="3">
        <f t="shared" si="19"/>
        <v>0</v>
      </c>
      <c r="AT75" s="3">
        <f t="shared" si="19"/>
        <v>0</v>
      </c>
    </row>
    <row r="76" spans="1:46">
      <c r="C76" s="3" t="s">
        <v>51</v>
      </c>
      <c r="G76" s="3">
        <f t="shared" ref="G76:AT76" si="20">IF(G51=0,-G75,0)</f>
        <v>0</v>
      </c>
      <c r="H76" s="3">
        <f t="shared" si="20"/>
        <v>0</v>
      </c>
      <c r="I76" s="3">
        <f t="shared" si="20"/>
        <v>0</v>
      </c>
      <c r="J76" s="3">
        <f t="shared" si="20"/>
        <v>0</v>
      </c>
      <c r="K76" s="3">
        <f t="shared" si="20"/>
        <v>0</v>
      </c>
      <c r="L76" s="3">
        <f t="shared" si="20"/>
        <v>0</v>
      </c>
      <c r="M76" s="3">
        <f t="shared" si="20"/>
        <v>0</v>
      </c>
      <c r="N76" s="3">
        <f t="shared" si="20"/>
        <v>0</v>
      </c>
      <c r="O76" s="3">
        <f t="shared" si="20"/>
        <v>0</v>
      </c>
      <c r="P76" s="3">
        <f t="shared" si="20"/>
        <v>0</v>
      </c>
      <c r="Q76" s="3">
        <f t="shared" si="20"/>
        <v>0</v>
      </c>
      <c r="R76" s="3">
        <f t="shared" si="20"/>
        <v>0</v>
      </c>
      <c r="S76" s="3">
        <f t="shared" si="20"/>
        <v>0</v>
      </c>
      <c r="T76" s="3">
        <f t="shared" si="20"/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3">
        <f t="shared" si="20"/>
        <v>0</v>
      </c>
      <c r="Y76" s="3">
        <f t="shared" si="20"/>
        <v>0</v>
      </c>
      <c r="Z76" s="3">
        <f t="shared" si="20"/>
        <v>0</v>
      </c>
      <c r="AA76" s="3">
        <f t="shared" si="20"/>
        <v>0</v>
      </c>
      <c r="AB76" s="3">
        <f t="shared" si="20"/>
        <v>0</v>
      </c>
      <c r="AC76" s="3">
        <f t="shared" si="20"/>
        <v>0</v>
      </c>
      <c r="AD76" s="3">
        <f t="shared" si="20"/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3">
        <f t="shared" si="20"/>
        <v>-500000</v>
      </c>
      <c r="AI76" s="3">
        <f t="shared" si="20"/>
        <v>0</v>
      </c>
      <c r="AJ76" s="3">
        <f t="shared" si="20"/>
        <v>0</v>
      </c>
      <c r="AK76" s="3">
        <f t="shared" si="20"/>
        <v>0</v>
      </c>
      <c r="AL76" s="3">
        <f t="shared" si="20"/>
        <v>0</v>
      </c>
      <c r="AM76" s="3">
        <f t="shared" si="20"/>
        <v>0</v>
      </c>
      <c r="AN76" s="3">
        <f t="shared" si="20"/>
        <v>0</v>
      </c>
      <c r="AO76" s="3">
        <f t="shared" si="20"/>
        <v>0</v>
      </c>
      <c r="AP76" s="3">
        <f t="shared" si="20"/>
        <v>0</v>
      </c>
      <c r="AQ76" s="3">
        <f t="shared" si="20"/>
        <v>0</v>
      </c>
      <c r="AR76" s="3">
        <f t="shared" si="20"/>
        <v>0</v>
      </c>
      <c r="AS76" s="3">
        <f t="shared" si="20"/>
        <v>0</v>
      </c>
      <c r="AT76" s="3">
        <f t="shared" si="20"/>
        <v>0</v>
      </c>
    </row>
    <row r="77" spans="1:46">
      <c r="C77" s="3" t="s">
        <v>52</v>
      </c>
      <c r="F77" s="24">
        <f>Case1Data!H23</f>
        <v>500000</v>
      </c>
      <c r="G77" s="25">
        <f>SUM(G75:G76)</f>
        <v>500000</v>
      </c>
      <c r="H77" s="25">
        <f t="shared" ref="H77" si="21">SUM(H75:H76)</f>
        <v>500000</v>
      </c>
      <c r="I77" s="25">
        <f t="shared" ref="I77" si="22">SUM(I75:I76)</f>
        <v>500000</v>
      </c>
      <c r="J77" s="25">
        <f t="shared" ref="J77" si="23">SUM(J75:J76)</f>
        <v>500000</v>
      </c>
      <c r="K77" s="25">
        <f t="shared" ref="K77" si="24">SUM(K75:K76)</f>
        <v>500000</v>
      </c>
      <c r="L77" s="25">
        <f t="shared" ref="L77" si="25">SUM(L75:L76)</f>
        <v>500000</v>
      </c>
      <c r="M77" s="25">
        <f t="shared" ref="M77" si="26">SUM(M75:M76)</f>
        <v>500000</v>
      </c>
      <c r="N77" s="25">
        <f t="shared" ref="N77" si="27">SUM(N75:N76)</f>
        <v>500000</v>
      </c>
      <c r="O77" s="25">
        <f t="shared" ref="O77" si="28">SUM(O75:O76)</f>
        <v>500000</v>
      </c>
      <c r="P77" s="25">
        <f t="shared" ref="P77" si="29">SUM(P75:P76)</f>
        <v>500000</v>
      </c>
      <c r="Q77" s="25">
        <f t="shared" ref="Q77" si="30">SUM(Q75:Q76)</f>
        <v>500000</v>
      </c>
      <c r="R77" s="25">
        <f t="shared" ref="R77" si="31">SUM(R75:R76)</f>
        <v>500000</v>
      </c>
      <c r="S77" s="25">
        <f t="shared" ref="S77" si="32">SUM(S75:S76)</f>
        <v>500000</v>
      </c>
      <c r="T77" s="25">
        <f t="shared" ref="T77" si="33">SUM(T75:T76)</f>
        <v>500000</v>
      </c>
      <c r="U77" s="25">
        <f t="shared" ref="U77" si="34">SUM(U75:U76)</f>
        <v>500000</v>
      </c>
      <c r="V77" s="25">
        <f t="shared" ref="V77" si="35">SUM(V75:V76)</f>
        <v>500000</v>
      </c>
      <c r="W77" s="25">
        <f t="shared" ref="W77" si="36">SUM(W75:W76)</f>
        <v>500000</v>
      </c>
      <c r="X77" s="25">
        <f t="shared" ref="X77" si="37">SUM(X75:X76)</f>
        <v>500000</v>
      </c>
      <c r="Y77" s="25">
        <f t="shared" ref="Y77" si="38">SUM(Y75:Y76)</f>
        <v>500000</v>
      </c>
      <c r="Z77" s="25">
        <f t="shared" ref="Z77" si="39">SUM(Z75:Z76)</f>
        <v>500000</v>
      </c>
      <c r="AA77" s="25">
        <f t="shared" ref="AA77" si="40">SUM(AA75:AA76)</f>
        <v>500000</v>
      </c>
      <c r="AB77" s="25">
        <f t="shared" ref="AB77" si="41">SUM(AB75:AB76)</f>
        <v>500000</v>
      </c>
      <c r="AC77" s="25">
        <f t="shared" ref="AC77" si="42">SUM(AC75:AC76)</f>
        <v>500000</v>
      </c>
      <c r="AD77" s="25">
        <f t="shared" ref="AD77" si="43">SUM(AD75:AD76)</f>
        <v>500000</v>
      </c>
      <c r="AE77" s="25">
        <f t="shared" ref="AE77" si="44">SUM(AE75:AE76)</f>
        <v>500000</v>
      </c>
      <c r="AF77" s="25">
        <f t="shared" ref="AF77" si="45">SUM(AF75:AF76)</f>
        <v>500000</v>
      </c>
      <c r="AG77" s="25">
        <f t="shared" ref="AG77" si="46">SUM(AG75:AG76)</f>
        <v>500000</v>
      </c>
      <c r="AH77" s="25">
        <f t="shared" ref="AH77" si="47">SUM(AH75:AH76)</f>
        <v>0</v>
      </c>
      <c r="AI77" s="25">
        <f t="shared" ref="AI77" si="48">SUM(AI75:AI76)</f>
        <v>0</v>
      </c>
      <c r="AJ77" s="25">
        <f t="shared" ref="AJ77" si="49">SUM(AJ75:AJ76)</f>
        <v>0</v>
      </c>
      <c r="AK77" s="25">
        <f t="shared" ref="AK77" si="50">SUM(AK75:AK76)</f>
        <v>0</v>
      </c>
      <c r="AL77" s="25">
        <f t="shared" ref="AL77" si="51">SUM(AL75:AL76)</f>
        <v>0</v>
      </c>
      <c r="AM77" s="25">
        <f t="shared" ref="AM77" si="52">SUM(AM75:AM76)</f>
        <v>0</v>
      </c>
      <c r="AN77" s="25">
        <f t="shared" ref="AN77" si="53">SUM(AN75:AN76)</f>
        <v>0</v>
      </c>
      <c r="AO77" s="25">
        <f t="shared" ref="AO77" si="54">SUM(AO75:AO76)</f>
        <v>0</v>
      </c>
      <c r="AP77" s="25">
        <f t="shared" ref="AP77" si="55">SUM(AP75:AP76)</f>
        <v>0</v>
      </c>
      <c r="AQ77" s="25">
        <f t="shared" ref="AQ77" si="56">SUM(AQ75:AQ76)</f>
        <v>0</v>
      </c>
      <c r="AR77" s="25">
        <f t="shared" ref="AR77" si="57">SUM(AR75:AR76)</f>
        <v>0</v>
      </c>
      <c r="AS77" s="25">
        <f t="shared" ref="AS77" si="58">SUM(AS75:AS76)</f>
        <v>0</v>
      </c>
      <c r="AT77" s="25">
        <f t="shared" ref="AT77" si="59">SUM(AT75:AT76)</f>
        <v>0</v>
      </c>
    </row>
    <row r="79" spans="1:46">
      <c r="C79" s="3" t="s">
        <v>53</v>
      </c>
      <c r="E79" s="27">
        <f>Case1Data!H25</f>
        <v>1.4999999999999999E-2</v>
      </c>
      <c r="G79" s="26">
        <f>$E79</f>
        <v>1.4999999999999999E-2</v>
      </c>
      <c r="H79" s="26">
        <f t="shared" ref="H79:AT79" si="60">$E79</f>
        <v>1.4999999999999999E-2</v>
      </c>
      <c r="I79" s="26">
        <f t="shared" si="60"/>
        <v>1.4999999999999999E-2</v>
      </c>
      <c r="J79" s="26">
        <f t="shared" si="60"/>
        <v>1.4999999999999999E-2</v>
      </c>
      <c r="K79" s="26">
        <f t="shared" si="60"/>
        <v>1.4999999999999999E-2</v>
      </c>
      <c r="L79" s="26">
        <f t="shared" si="60"/>
        <v>1.4999999999999999E-2</v>
      </c>
      <c r="M79" s="26">
        <f t="shared" si="60"/>
        <v>1.4999999999999999E-2</v>
      </c>
      <c r="N79" s="26">
        <f t="shared" si="60"/>
        <v>1.4999999999999999E-2</v>
      </c>
      <c r="O79" s="26">
        <f t="shared" si="60"/>
        <v>1.4999999999999999E-2</v>
      </c>
      <c r="P79" s="26">
        <f t="shared" si="60"/>
        <v>1.4999999999999999E-2</v>
      </c>
      <c r="Q79" s="26">
        <f t="shared" si="60"/>
        <v>1.4999999999999999E-2</v>
      </c>
      <c r="R79" s="26">
        <f t="shared" si="60"/>
        <v>1.4999999999999999E-2</v>
      </c>
      <c r="S79" s="26">
        <f t="shared" si="60"/>
        <v>1.4999999999999999E-2</v>
      </c>
      <c r="T79" s="26">
        <f t="shared" si="60"/>
        <v>1.4999999999999999E-2</v>
      </c>
      <c r="U79" s="26">
        <f t="shared" si="60"/>
        <v>1.4999999999999999E-2</v>
      </c>
      <c r="V79" s="26">
        <f t="shared" si="60"/>
        <v>1.4999999999999999E-2</v>
      </c>
      <c r="W79" s="26">
        <f t="shared" si="60"/>
        <v>1.4999999999999999E-2</v>
      </c>
      <c r="X79" s="26">
        <f t="shared" si="60"/>
        <v>1.4999999999999999E-2</v>
      </c>
      <c r="Y79" s="26">
        <f t="shared" si="60"/>
        <v>1.4999999999999999E-2</v>
      </c>
      <c r="Z79" s="26">
        <f t="shared" si="60"/>
        <v>1.4999999999999999E-2</v>
      </c>
      <c r="AA79" s="26">
        <f t="shared" si="60"/>
        <v>1.4999999999999999E-2</v>
      </c>
      <c r="AB79" s="26">
        <f t="shared" si="60"/>
        <v>1.4999999999999999E-2</v>
      </c>
      <c r="AC79" s="26">
        <f t="shared" si="60"/>
        <v>1.4999999999999999E-2</v>
      </c>
      <c r="AD79" s="26">
        <f t="shared" si="60"/>
        <v>1.4999999999999999E-2</v>
      </c>
      <c r="AE79" s="26">
        <f t="shared" si="60"/>
        <v>1.4999999999999999E-2</v>
      </c>
      <c r="AF79" s="26">
        <f t="shared" si="60"/>
        <v>1.4999999999999999E-2</v>
      </c>
      <c r="AG79" s="26">
        <f t="shared" si="60"/>
        <v>1.4999999999999999E-2</v>
      </c>
      <c r="AH79" s="26">
        <f t="shared" si="60"/>
        <v>1.4999999999999999E-2</v>
      </c>
      <c r="AI79" s="26">
        <f t="shared" si="60"/>
        <v>1.4999999999999999E-2</v>
      </c>
      <c r="AJ79" s="26">
        <f t="shared" si="60"/>
        <v>1.4999999999999999E-2</v>
      </c>
      <c r="AK79" s="26">
        <f t="shared" si="60"/>
        <v>1.4999999999999999E-2</v>
      </c>
      <c r="AL79" s="26">
        <f t="shared" si="60"/>
        <v>1.4999999999999999E-2</v>
      </c>
      <c r="AM79" s="26">
        <f t="shared" si="60"/>
        <v>1.4999999999999999E-2</v>
      </c>
      <c r="AN79" s="26">
        <f t="shared" si="60"/>
        <v>1.4999999999999999E-2</v>
      </c>
      <c r="AO79" s="26">
        <f t="shared" si="60"/>
        <v>1.4999999999999999E-2</v>
      </c>
      <c r="AP79" s="26">
        <f t="shared" si="60"/>
        <v>1.4999999999999999E-2</v>
      </c>
      <c r="AQ79" s="26">
        <f t="shared" si="60"/>
        <v>1.4999999999999999E-2</v>
      </c>
      <c r="AR79" s="26">
        <f t="shared" si="60"/>
        <v>1.4999999999999999E-2</v>
      </c>
      <c r="AS79" s="26">
        <f t="shared" si="60"/>
        <v>1.4999999999999999E-2</v>
      </c>
      <c r="AT79" s="26">
        <f t="shared" si="60"/>
        <v>1.4999999999999999E-2</v>
      </c>
    </row>
    <row r="80" spans="1:46">
      <c r="C80" s="3" t="s">
        <v>58</v>
      </c>
      <c r="G80" s="3">
        <f t="shared" ref="G80:AT80" si="61">G75*G79/4</f>
        <v>1875</v>
      </c>
      <c r="H80" s="3">
        <f t="shared" si="61"/>
        <v>1875</v>
      </c>
      <c r="I80" s="3">
        <f t="shared" si="61"/>
        <v>1875</v>
      </c>
      <c r="J80" s="3">
        <f t="shared" si="61"/>
        <v>1875</v>
      </c>
      <c r="K80" s="3">
        <f t="shared" si="61"/>
        <v>1875</v>
      </c>
      <c r="L80" s="3">
        <f t="shared" si="61"/>
        <v>1875</v>
      </c>
      <c r="M80" s="3">
        <f t="shared" si="61"/>
        <v>1875</v>
      </c>
      <c r="N80" s="3">
        <f t="shared" si="61"/>
        <v>1875</v>
      </c>
      <c r="O80" s="3">
        <f t="shared" si="61"/>
        <v>1875</v>
      </c>
      <c r="P80" s="3">
        <f t="shared" si="61"/>
        <v>1875</v>
      </c>
      <c r="Q80" s="3">
        <f t="shared" si="61"/>
        <v>1875</v>
      </c>
      <c r="R80" s="3">
        <f t="shared" si="61"/>
        <v>1875</v>
      </c>
      <c r="S80" s="3">
        <f t="shared" si="61"/>
        <v>1875</v>
      </c>
      <c r="T80" s="3">
        <f t="shared" si="61"/>
        <v>1875</v>
      </c>
      <c r="U80" s="3">
        <f t="shared" si="61"/>
        <v>1875</v>
      </c>
      <c r="V80" s="3">
        <f t="shared" si="61"/>
        <v>1875</v>
      </c>
      <c r="W80" s="3">
        <f t="shared" si="61"/>
        <v>1875</v>
      </c>
      <c r="X80" s="3">
        <f t="shared" si="61"/>
        <v>1875</v>
      </c>
      <c r="Y80" s="3">
        <f t="shared" si="61"/>
        <v>1875</v>
      </c>
      <c r="Z80" s="3">
        <f t="shared" si="61"/>
        <v>1875</v>
      </c>
      <c r="AA80" s="3">
        <f t="shared" si="61"/>
        <v>1875</v>
      </c>
      <c r="AB80" s="3">
        <f t="shared" si="61"/>
        <v>1875</v>
      </c>
      <c r="AC80" s="3">
        <f t="shared" si="61"/>
        <v>1875</v>
      </c>
      <c r="AD80" s="3">
        <f t="shared" si="61"/>
        <v>1875</v>
      </c>
      <c r="AE80" s="3">
        <f t="shared" si="61"/>
        <v>1875</v>
      </c>
      <c r="AF80" s="3">
        <f t="shared" si="61"/>
        <v>1875</v>
      </c>
      <c r="AG80" s="3">
        <f t="shared" si="61"/>
        <v>1875</v>
      </c>
      <c r="AH80" s="3">
        <f t="shared" si="61"/>
        <v>1875</v>
      </c>
      <c r="AI80" s="3">
        <f t="shared" si="61"/>
        <v>0</v>
      </c>
      <c r="AJ80" s="3">
        <f t="shared" si="61"/>
        <v>0</v>
      </c>
      <c r="AK80" s="3">
        <f t="shared" si="61"/>
        <v>0</v>
      </c>
      <c r="AL80" s="3">
        <f t="shared" si="61"/>
        <v>0</v>
      </c>
      <c r="AM80" s="3">
        <f t="shared" si="61"/>
        <v>0</v>
      </c>
      <c r="AN80" s="3">
        <f t="shared" si="61"/>
        <v>0</v>
      </c>
      <c r="AO80" s="3">
        <f t="shared" si="61"/>
        <v>0</v>
      </c>
      <c r="AP80" s="3">
        <f t="shared" si="61"/>
        <v>0</v>
      </c>
      <c r="AQ80" s="3">
        <f t="shared" si="61"/>
        <v>0</v>
      </c>
      <c r="AR80" s="3">
        <f t="shared" si="61"/>
        <v>0</v>
      </c>
      <c r="AS80" s="3">
        <f t="shared" si="61"/>
        <v>0</v>
      </c>
      <c r="AT80" s="3">
        <f t="shared" si="61"/>
        <v>0</v>
      </c>
    </row>
    <row r="82" spans="1:46">
      <c r="A82" s="7">
        <f>MAX(A$2:A81)+0.01</f>
        <v>2.0599999999999987</v>
      </c>
      <c r="B82" s="7"/>
      <c r="C82" s="7" t="s">
        <v>21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4" spans="1:46">
      <c r="C84" s="3" t="s">
        <v>55</v>
      </c>
      <c r="E84" s="23">
        <f>Case1Data!H30</f>
        <v>40</v>
      </c>
    </row>
    <row r="86" spans="1:46">
      <c r="C86" s="3" t="s">
        <v>50</v>
      </c>
      <c r="G86" s="3">
        <f>F88</f>
        <v>6000000</v>
      </c>
      <c r="H86" s="3">
        <f t="shared" ref="H86:AT86" si="62">G88</f>
        <v>5850000</v>
      </c>
      <c r="I86" s="3">
        <f t="shared" si="62"/>
        <v>5700000</v>
      </c>
      <c r="J86" s="3">
        <f t="shared" si="62"/>
        <v>5550000</v>
      </c>
      <c r="K86" s="3">
        <f t="shared" si="62"/>
        <v>5400000</v>
      </c>
      <c r="L86" s="3">
        <f t="shared" si="62"/>
        <v>5250000</v>
      </c>
      <c r="M86" s="3">
        <f t="shared" si="62"/>
        <v>5100000</v>
      </c>
      <c r="N86" s="3">
        <f t="shared" si="62"/>
        <v>4950000</v>
      </c>
      <c r="O86" s="3">
        <f t="shared" si="62"/>
        <v>4800000</v>
      </c>
      <c r="P86" s="3">
        <f t="shared" si="62"/>
        <v>4650000</v>
      </c>
      <c r="Q86" s="3">
        <f t="shared" si="62"/>
        <v>4500000</v>
      </c>
      <c r="R86" s="3">
        <f t="shared" si="62"/>
        <v>4350000</v>
      </c>
      <c r="S86" s="3">
        <f t="shared" si="62"/>
        <v>4200000</v>
      </c>
      <c r="T86" s="3">
        <f t="shared" si="62"/>
        <v>4050000</v>
      </c>
      <c r="U86" s="3">
        <f t="shared" si="62"/>
        <v>3900000</v>
      </c>
      <c r="V86" s="3">
        <f t="shared" si="62"/>
        <v>3750000</v>
      </c>
      <c r="W86" s="3">
        <f t="shared" si="62"/>
        <v>3600000</v>
      </c>
      <c r="X86" s="3">
        <f t="shared" si="62"/>
        <v>3450000</v>
      </c>
      <c r="Y86" s="3">
        <f t="shared" si="62"/>
        <v>3300000</v>
      </c>
      <c r="Z86" s="3">
        <f t="shared" si="62"/>
        <v>3150000</v>
      </c>
      <c r="AA86" s="3">
        <f t="shared" si="62"/>
        <v>3000000</v>
      </c>
      <c r="AB86" s="3">
        <f t="shared" si="62"/>
        <v>2850000</v>
      </c>
      <c r="AC86" s="3">
        <f t="shared" si="62"/>
        <v>2700000</v>
      </c>
      <c r="AD86" s="3">
        <f t="shared" si="62"/>
        <v>2550000</v>
      </c>
      <c r="AE86" s="3">
        <f t="shared" si="62"/>
        <v>2400000</v>
      </c>
      <c r="AF86" s="3">
        <f t="shared" si="62"/>
        <v>2250000</v>
      </c>
      <c r="AG86" s="3">
        <f t="shared" si="62"/>
        <v>2100000</v>
      </c>
      <c r="AH86" s="3">
        <f t="shared" si="62"/>
        <v>1950000</v>
      </c>
      <c r="AI86" s="3">
        <f t="shared" si="62"/>
        <v>1800000</v>
      </c>
      <c r="AJ86" s="3">
        <f t="shared" si="62"/>
        <v>1650000</v>
      </c>
      <c r="AK86" s="3">
        <f t="shared" si="62"/>
        <v>1500000</v>
      </c>
      <c r="AL86" s="3">
        <f t="shared" si="62"/>
        <v>1350000</v>
      </c>
      <c r="AM86" s="3">
        <f t="shared" si="62"/>
        <v>1200000</v>
      </c>
      <c r="AN86" s="3">
        <f t="shared" si="62"/>
        <v>1050000</v>
      </c>
      <c r="AO86" s="3">
        <f t="shared" si="62"/>
        <v>900000</v>
      </c>
      <c r="AP86" s="3">
        <f t="shared" si="62"/>
        <v>750000</v>
      </c>
      <c r="AQ86" s="3">
        <f t="shared" si="62"/>
        <v>600000</v>
      </c>
      <c r="AR86" s="3">
        <f t="shared" si="62"/>
        <v>450000</v>
      </c>
      <c r="AS86" s="3">
        <f t="shared" si="62"/>
        <v>300000</v>
      </c>
      <c r="AT86" s="3">
        <f t="shared" si="62"/>
        <v>150000</v>
      </c>
    </row>
    <row r="87" spans="1:46">
      <c r="C87" s="3" t="s">
        <v>51</v>
      </c>
      <c r="E87" s="3">
        <f>F88/E84</f>
        <v>150000</v>
      </c>
      <c r="G87" s="3">
        <f>-MIN(G86,$E87)</f>
        <v>-150000</v>
      </c>
      <c r="H87" s="3">
        <f t="shared" ref="H87:AT87" si="63">-MIN(H86,$E87)</f>
        <v>-150000</v>
      </c>
      <c r="I87" s="3">
        <f t="shared" si="63"/>
        <v>-150000</v>
      </c>
      <c r="J87" s="3">
        <f t="shared" si="63"/>
        <v>-150000</v>
      </c>
      <c r="K87" s="3">
        <f t="shared" si="63"/>
        <v>-150000</v>
      </c>
      <c r="L87" s="3">
        <f t="shared" si="63"/>
        <v>-150000</v>
      </c>
      <c r="M87" s="3">
        <f t="shared" si="63"/>
        <v>-150000</v>
      </c>
      <c r="N87" s="3">
        <f t="shared" si="63"/>
        <v>-150000</v>
      </c>
      <c r="O87" s="3">
        <f t="shared" si="63"/>
        <v>-150000</v>
      </c>
      <c r="P87" s="3">
        <f t="shared" si="63"/>
        <v>-150000</v>
      </c>
      <c r="Q87" s="3">
        <f t="shared" si="63"/>
        <v>-150000</v>
      </c>
      <c r="R87" s="3">
        <f t="shared" si="63"/>
        <v>-150000</v>
      </c>
      <c r="S87" s="3">
        <f t="shared" si="63"/>
        <v>-150000</v>
      </c>
      <c r="T87" s="3">
        <f t="shared" si="63"/>
        <v>-150000</v>
      </c>
      <c r="U87" s="3">
        <f t="shared" si="63"/>
        <v>-150000</v>
      </c>
      <c r="V87" s="3">
        <f t="shared" si="63"/>
        <v>-150000</v>
      </c>
      <c r="W87" s="3">
        <f t="shared" si="63"/>
        <v>-150000</v>
      </c>
      <c r="X87" s="3">
        <f t="shared" si="63"/>
        <v>-150000</v>
      </c>
      <c r="Y87" s="3">
        <f t="shared" si="63"/>
        <v>-150000</v>
      </c>
      <c r="Z87" s="3">
        <f t="shared" si="63"/>
        <v>-150000</v>
      </c>
      <c r="AA87" s="3">
        <f t="shared" si="63"/>
        <v>-150000</v>
      </c>
      <c r="AB87" s="3">
        <f t="shared" si="63"/>
        <v>-150000</v>
      </c>
      <c r="AC87" s="3">
        <f t="shared" si="63"/>
        <v>-150000</v>
      </c>
      <c r="AD87" s="3">
        <f t="shared" si="63"/>
        <v>-150000</v>
      </c>
      <c r="AE87" s="3">
        <f t="shared" si="63"/>
        <v>-150000</v>
      </c>
      <c r="AF87" s="3">
        <f t="shared" si="63"/>
        <v>-150000</v>
      </c>
      <c r="AG87" s="3">
        <f t="shared" si="63"/>
        <v>-150000</v>
      </c>
      <c r="AH87" s="3">
        <f t="shared" si="63"/>
        <v>-150000</v>
      </c>
      <c r="AI87" s="3">
        <f t="shared" si="63"/>
        <v>-150000</v>
      </c>
      <c r="AJ87" s="3">
        <f t="shared" si="63"/>
        <v>-150000</v>
      </c>
      <c r="AK87" s="3">
        <f t="shared" si="63"/>
        <v>-150000</v>
      </c>
      <c r="AL87" s="3">
        <f t="shared" si="63"/>
        <v>-150000</v>
      </c>
      <c r="AM87" s="3">
        <f t="shared" si="63"/>
        <v>-150000</v>
      </c>
      <c r="AN87" s="3">
        <f t="shared" si="63"/>
        <v>-150000</v>
      </c>
      <c r="AO87" s="3">
        <f t="shared" si="63"/>
        <v>-150000</v>
      </c>
      <c r="AP87" s="3">
        <f t="shared" si="63"/>
        <v>-150000</v>
      </c>
      <c r="AQ87" s="3">
        <f t="shared" si="63"/>
        <v>-150000</v>
      </c>
      <c r="AR87" s="3">
        <f t="shared" si="63"/>
        <v>-150000</v>
      </c>
      <c r="AS87" s="3">
        <f t="shared" si="63"/>
        <v>-150000</v>
      </c>
      <c r="AT87" s="3">
        <f t="shared" si="63"/>
        <v>-150000</v>
      </c>
    </row>
    <row r="88" spans="1:46">
      <c r="C88" s="3" t="s">
        <v>52</v>
      </c>
      <c r="F88" s="24">
        <f>Case1Data!$H$28</f>
        <v>6000000</v>
      </c>
      <c r="G88" s="25">
        <f>SUM(G86:G87)</f>
        <v>5850000</v>
      </c>
      <c r="H88" s="25">
        <f t="shared" ref="H88" si="64">SUM(H86:H87)</f>
        <v>5700000</v>
      </c>
      <c r="I88" s="25">
        <f t="shared" ref="I88" si="65">SUM(I86:I87)</f>
        <v>5550000</v>
      </c>
      <c r="J88" s="25">
        <f t="shared" ref="J88" si="66">SUM(J86:J87)</f>
        <v>5400000</v>
      </c>
      <c r="K88" s="25">
        <f t="shared" ref="K88" si="67">SUM(K86:K87)</f>
        <v>5250000</v>
      </c>
      <c r="L88" s="25">
        <f t="shared" ref="L88" si="68">SUM(L86:L87)</f>
        <v>5100000</v>
      </c>
      <c r="M88" s="25">
        <f t="shared" ref="M88" si="69">SUM(M86:M87)</f>
        <v>4950000</v>
      </c>
      <c r="N88" s="25">
        <f t="shared" ref="N88" si="70">SUM(N86:N87)</f>
        <v>4800000</v>
      </c>
      <c r="O88" s="25">
        <f t="shared" ref="O88" si="71">SUM(O86:O87)</f>
        <v>4650000</v>
      </c>
      <c r="P88" s="25">
        <f t="shared" ref="P88" si="72">SUM(P86:P87)</f>
        <v>4500000</v>
      </c>
      <c r="Q88" s="25">
        <f t="shared" ref="Q88" si="73">SUM(Q86:Q87)</f>
        <v>4350000</v>
      </c>
      <c r="R88" s="25">
        <f t="shared" ref="R88" si="74">SUM(R86:R87)</f>
        <v>4200000</v>
      </c>
      <c r="S88" s="25">
        <f t="shared" ref="S88" si="75">SUM(S86:S87)</f>
        <v>4050000</v>
      </c>
      <c r="T88" s="25">
        <f t="shared" ref="T88" si="76">SUM(T86:T87)</f>
        <v>3900000</v>
      </c>
      <c r="U88" s="25">
        <f t="shared" ref="U88" si="77">SUM(U86:U87)</f>
        <v>3750000</v>
      </c>
      <c r="V88" s="25">
        <f t="shared" ref="V88" si="78">SUM(V86:V87)</f>
        <v>3600000</v>
      </c>
      <c r="W88" s="25">
        <f t="shared" ref="W88" si="79">SUM(W86:W87)</f>
        <v>3450000</v>
      </c>
      <c r="X88" s="25">
        <f t="shared" ref="X88" si="80">SUM(X86:X87)</f>
        <v>3300000</v>
      </c>
      <c r="Y88" s="25">
        <f t="shared" ref="Y88" si="81">SUM(Y86:Y87)</f>
        <v>3150000</v>
      </c>
      <c r="Z88" s="25">
        <f t="shared" ref="Z88" si="82">SUM(Z86:Z87)</f>
        <v>3000000</v>
      </c>
      <c r="AA88" s="25">
        <f t="shared" ref="AA88" si="83">SUM(AA86:AA87)</f>
        <v>2850000</v>
      </c>
      <c r="AB88" s="25">
        <f t="shared" ref="AB88" si="84">SUM(AB86:AB87)</f>
        <v>2700000</v>
      </c>
      <c r="AC88" s="25">
        <f t="shared" ref="AC88" si="85">SUM(AC86:AC87)</f>
        <v>2550000</v>
      </c>
      <c r="AD88" s="25">
        <f t="shared" ref="AD88" si="86">SUM(AD86:AD87)</f>
        <v>2400000</v>
      </c>
      <c r="AE88" s="25">
        <f t="shared" ref="AE88" si="87">SUM(AE86:AE87)</f>
        <v>2250000</v>
      </c>
      <c r="AF88" s="25">
        <f t="shared" ref="AF88" si="88">SUM(AF86:AF87)</f>
        <v>2100000</v>
      </c>
      <c r="AG88" s="25">
        <f t="shared" ref="AG88" si="89">SUM(AG86:AG87)</f>
        <v>1950000</v>
      </c>
      <c r="AH88" s="25">
        <f t="shared" ref="AH88" si="90">SUM(AH86:AH87)</f>
        <v>1800000</v>
      </c>
      <c r="AI88" s="25">
        <f t="shared" ref="AI88" si="91">SUM(AI86:AI87)</f>
        <v>1650000</v>
      </c>
      <c r="AJ88" s="25">
        <f t="shared" ref="AJ88" si="92">SUM(AJ86:AJ87)</f>
        <v>1500000</v>
      </c>
      <c r="AK88" s="25">
        <f t="shared" ref="AK88" si="93">SUM(AK86:AK87)</f>
        <v>1350000</v>
      </c>
      <c r="AL88" s="25">
        <f t="shared" ref="AL88" si="94">SUM(AL86:AL87)</f>
        <v>1200000</v>
      </c>
      <c r="AM88" s="25">
        <f t="shared" ref="AM88" si="95">SUM(AM86:AM87)</f>
        <v>1050000</v>
      </c>
      <c r="AN88" s="25">
        <f t="shared" ref="AN88" si="96">SUM(AN86:AN87)</f>
        <v>900000</v>
      </c>
      <c r="AO88" s="25">
        <f t="shared" ref="AO88" si="97">SUM(AO86:AO87)</f>
        <v>750000</v>
      </c>
      <c r="AP88" s="25">
        <f t="shared" ref="AP88" si="98">SUM(AP86:AP87)</f>
        <v>600000</v>
      </c>
      <c r="AQ88" s="25">
        <f t="shared" ref="AQ88" si="99">SUM(AQ86:AQ87)</f>
        <v>450000</v>
      </c>
      <c r="AR88" s="25">
        <f t="shared" ref="AR88" si="100">SUM(AR86:AR87)</f>
        <v>300000</v>
      </c>
      <c r="AS88" s="25">
        <f t="shared" ref="AS88" si="101">SUM(AS86:AS87)</f>
        <v>150000</v>
      </c>
      <c r="AT88" s="25">
        <f t="shared" ref="AT88" si="102">SUM(AT86:AT87)</f>
        <v>0</v>
      </c>
    </row>
    <row r="90" spans="1:46">
      <c r="C90" s="3" t="s">
        <v>53</v>
      </c>
      <c r="E90" s="27">
        <f>Case1Data!H29</f>
        <v>7.0000000000000007E-2</v>
      </c>
      <c r="G90" s="26">
        <f>$E90</f>
        <v>7.0000000000000007E-2</v>
      </c>
      <c r="H90" s="26">
        <f t="shared" ref="H90:AT90" si="103">$E90</f>
        <v>7.0000000000000007E-2</v>
      </c>
      <c r="I90" s="26">
        <f t="shared" si="103"/>
        <v>7.0000000000000007E-2</v>
      </c>
      <c r="J90" s="26">
        <f t="shared" si="103"/>
        <v>7.0000000000000007E-2</v>
      </c>
      <c r="K90" s="26">
        <f t="shared" si="103"/>
        <v>7.0000000000000007E-2</v>
      </c>
      <c r="L90" s="26">
        <f t="shared" si="103"/>
        <v>7.0000000000000007E-2</v>
      </c>
      <c r="M90" s="26">
        <f t="shared" si="103"/>
        <v>7.0000000000000007E-2</v>
      </c>
      <c r="N90" s="26">
        <f t="shared" si="103"/>
        <v>7.0000000000000007E-2</v>
      </c>
      <c r="O90" s="26">
        <f t="shared" si="103"/>
        <v>7.0000000000000007E-2</v>
      </c>
      <c r="P90" s="26">
        <f t="shared" si="103"/>
        <v>7.0000000000000007E-2</v>
      </c>
      <c r="Q90" s="26">
        <f t="shared" si="103"/>
        <v>7.0000000000000007E-2</v>
      </c>
      <c r="R90" s="26">
        <f t="shared" si="103"/>
        <v>7.0000000000000007E-2</v>
      </c>
      <c r="S90" s="26">
        <f t="shared" si="103"/>
        <v>7.0000000000000007E-2</v>
      </c>
      <c r="T90" s="26">
        <f t="shared" si="103"/>
        <v>7.0000000000000007E-2</v>
      </c>
      <c r="U90" s="26">
        <f t="shared" si="103"/>
        <v>7.0000000000000007E-2</v>
      </c>
      <c r="V90" s="26">
        <f t="shared" si="103"/>
        <v>7.0000000000000007E-2</v>
      </c>
      <c r="W90" s="26">
        <f t="shared" si="103"/>
        <v>7.0000000000000007E-2</v>
      </c>
      <c r="X90" s="26">
        <f t="shared" si="103"/>
        <v>7.0000000000000007E-2</v>
      </c>
      <c r="Y90" s="26">
        <f t="shared" si="103"/>
        <v>7.0000000000000007E-2</v>
      </c>
      <c r="Z90" s="26">
        <f t="shared" si="103"/>
        <v>7.0000000000000007E-2</v>
      </c>
      <c r="AA90" s="26">
        <f t="shared" si="103"/>
        <v>7.0000000000000007E-2</v>
      </c>
      <c r="AB90" s="26">
        <f t="shared" si="103"/>
        <v>7.0000000000000007E-2</v>
      </c>
      <c r="AC90" s="26">
        <f t="shared" si="103"/>
        <v>7.0000000000000007E-2</v>
      </c>
      <c r="AD90" s="26">
        <f t="shared" si="103"/>
        <v>7.0000000000000007E-2</v>
      </c>
      <c r="AE90" s="26">
        <f t="shared" si="103"/>
        <v>7.0000000000000007E-2</v>
      </c>
      <c r="AF90" s="26">
        <f t="shared" si="103"/>
        <v>7.0000000000000007E-2</v>
      </c>
      <c r="AG90" s="26">
        <f t="shared" si="103"/>
        <v>7.0000000000000007E-2</v>
      </c>
      <c r="AH90" s="26">
        <f t="shared" si="103"/>
        <v>7.0000000000000007E-2</v>
      </c>
      <c r="AI90" s="26">
        <f t="shared" si="103"/>
        <v>7.0000000000000007E-2</v>
      </c>
      <c r="AJ90" s="26">
        <f t="shared" si="103"/>
        <v>7.0000000000000007E-2</v>
      </c>
      <c r="AK90" s="26">
        <f t="shared" si="103"/>
        <v>7.0000000000000007E-2</v>
      </c>
      <c r="AL90" s="26">
        <f t="shared" si="103"/>
        <v>7.0000000000000007E-2</v>
      </c>
      <c r="AM90" s="26">
        <f t="shared" si="103"/>
        <v>7.0000000000000007E-2</v>
      </c>
      <c r="AN90" s="26">
        <f t="shared" si="103"/>
        <v>7.0000000000000007E-2</v>
      </c>
      <c r="AO90" s="26">
        <f t="shared" si="103"/>
        <v>7.0000000000000007E-2</v>
      </c>
      <c r="AP90" s="26">
        <f t="shared" si="103"/>
        <v>7.0000000000000007E-2</v>
      </c>
      <c r="AQ90" s="26">
        <f t="shared" si="103"/>
        <v>7.0000000000000007E-2</v>
      </c>
      <c r="AR90" s="26">
        <f t="shared" si="103"/>
        <v>7.0000000000000007E-2</v>
      </c>
      <c r="AS90" s="26">
        <f t="shared" si="103"/>
        <v>7.0000000000000007E-2</v>
      </c>
      <c r="AT90" s="26">
        <f t="shared" si="103"/>
        <v>7.0000000000000007E-2</v>
      </c>
    </row>
    <row r="91" spans="1:46">
      <c r="C91" s="3" t="s">
        <v>54</v>
      </c>
      <c r="G91" s="3">
        <f t="shared" ref="G91:AT91" si="104">G86*G90/4</f>
        <v>105000.00000000001</v>
      </c>
      <c r="H91" s="3">
        <f t="shared" si="104"/>
        <v>102375.00000000001</v>
      </c>
      <c r="I91" s="3">
        <f t="shared" si="104"/>
        <v>99750.000000000015</v>
      </c>
      <c r="J91" s="3">
        <f t="shared" si="104"/>
        <v>97125.000000000015</v>
      </c>
      <c r="K91" s="3">
        <f t="shared" si="104"/>
        <v>94500.000000000015</v>
      </c>
      <c r="L91" s="3">
        <f t="shared" si="104"/>
        <v>91875.000000000015</v>
      </c>
      <c r="M91" s="3">
        <f t="shared" si="104"/>
        <v>89250.000000000015</v>
      </c>
      <c r="N91" s="3">
        <f t="shared" si="104"/>
        <v>86625.000000000015</v>
      </c>
      <c r="O91" s="3">
        <f t="shared" si="104"/>
        <v>84000.000000000015</v>
      </c>
      <c r="P91" s="3">
        <f t="shared" si="104"/>
        <v>81375.000000000015</v>
      </c>
      <c r="Q91" s="3">
        <f t="shared" si="104"/>
        <v>78750.000000000015</v>
      </c>
      <c r="R91" s="3">
        <f t="shared" si="104"/>
        <v>76125</v>
      </c>
      <c r="S91" s="3">
        <f t="shared" si="104"/>
        <v>73500</v>
      </c>
      <c r="T91" s="3">
        <f t="shared" si="104"/>
        <v>70875</v>
      </c>
      <c r="U91" s="3">
        <f t="shared" si="104"/>
        <v>68250</v>
      </c>
      <c r="V91" s="3">
        <f t="shared" si="104"/>
        <v>65625</v>
      </c>
      <c r="W91" s="3">
        <f t="shared" si="104"/>
        <v>63000.000000000007</v>
      </c>
      <c r="X91" s="3">
        <f t="shared" si="104"/>
        <v>60375.000000000007</v>
      </c>
      <c r="Y91" s="3">
        <f t="shared" si="104"/>
        <v>57750.000000000007</v>
      </c>
      <c r="Z91" s="3">
        <f t="shared" si="104"/>
        <v>55125.000000000007</v>
      </c>
      <c r="AA91" s="3">
        <f t="shared" si="104"/>
        <v>52500.000000000007</v>
      </c>
      <c r="AB91" s="3">
        <f t="shared" si="104"/>
        <v>49875.000000000007</v>
      </c>
      <c r="AC91" s="3">
        <f t="shared" si="104"/>
        <v>47250.000000000007</v>
      </c>
      <c r="AD91" s="3">
        <f t="shared" si="104"/>
        <v>44625.000000000007</v>
      </c>
      <c r="AE91" s="3">
        <f t="shared" si="104"/>
        <v>42000.000000000007</v>
      </c>
      <c r="AF91" s="3">
        <f t="shared" si="104"/>
        <v>39375.000000000007</v>
      </c>
      <c r="AG91" s="3">
        <f t="shared" si="104"/>
        <v>36750</v>
      </c>
      <c r="AH91" s="3">
        <f t="shared" si="104"/>
        <v>34125</v>
      </c>
      <c r="AI91" s="3">
        <f t="shared" si="104"/>
        <v>31500.000000000004</v>
      </c>
      <c r="AJ91" s="3">
        <f t="shared" si="104"/>
        <v>28875.000000000004</v>
      </c>
      <c r="AK91" s="3">
        <f t="shared" si="104"/>
        <v>26250.000000000004</v>
      </c>
      <c r="AL91" s="3">
        <f t="shared" si="104"/>
        <v>23625.000000000004</v>
      </c>
      <c r="AM91" s="3">
        <f t="shared" si="104"/>
        <v>21000.000000000004</v>
      </c>
      <c r="AN91" s="3">
        <f t="shared" si="104"/>
        <v>18375</v>
      </c>
      <c r="AO91" s="3">
        <f t="shared" si="104"/>
        <v>15750.000000000002</v>
      </c>
      <c r="AP91" s="3">
        <f t="shared" si="104"/>
        <v>13125.000000000002</v>
      </c>
      <c r="AQ91" s="3">
        <f t="shared" si="104"/>
        <v>10500.000000000002</v>
      </c>
      <c r="AR91" s="3">
        <f t="shared" si="104"/>
        <v>7875.0000000000009</v>
      </c>
      <c r="AS91" s="3">
        <f t="shared" si="104"/>
        <v>5250.0000000000009</v>
      </c>
      <c r="AT91" s="3">
        <f t="shared" si="104"/>
        <v>2625.0000000000005</v>
      </c>
    </row>
    <row r="93" spans="1:46">
      <c r="A93" s="7">
        <f>MAX(A$2:A92)+0.01</f>
        <v>2.0699999999999985</v>
      </c>
      <c r="B93" s="7"/>
      <c r="C93" s="7" t="s">
        <v>47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5" spans="1:46">
      <c r="C95" s="3" t="s">
        <v>66</v>
      </c>
    </row>
    <row r="97" spans="3:46">
      <c r="C97" s="3" t="s">
        <v>57</v>
      </c>
      <c r="G97" s="3">
        <f>G45</f>
        <v>812279</v>
      </c>
      <c r="H97" s="3">
        <f t="shared" ref="H97:AT97" si="105">H45</f>
        <v>706344</v>
      </c>
      <c r="I97" s="3">
        <f t="shared" si="105"/>
        <v>770727</v>
      </c>
      <c r="J97" s="3">
        <f t="shared" si="105"/>
        <v>789594</v>
      </c>
      <c r="K97" s="3">
        <f t="shared" si="105"/>
        <v>821382</v>
      </c>
      <c r="L97" s="3">
        <f t="shared" si="105"/>
        <v>713913</v>
      </c>
      <c r="M97" s="3">
        <f t="shared" si="105"/>
        <v>673308</v>
      </c>
      <c r="N97" s="3">
        <f t="shared" si="105"/>
        <v>677950</v>
      </c>
      <c r="O97" s="3">
        <f t="shared" si="105"/>
        <v>648728</v>
      </c>
      <c r="P97" s="3">
        <f t="shared" si="105"/>
        <v>809610</v>
      </c>
      <c r="Q97" s="3">
        <f t="shared" si="105"/>
        <v>773370</v>
      </c>
      <c r="R97" s="3">
        <f t="shared" si="105"/>
        <v>805384</v>
      </c>
      <c r="S97" s="3">
        <f t="shared" si="105"/>
        <v>713333</v>
      </c>
      <c r="T97" s="3">
        <f t="shared" si="105"/>
        <v>737873</v>
      </c>
      <c r="U97" s="3">
        <f t="shared" si="105"/>
        <v>726173</v>
      </c>
      <c r="V97" s="3">
        <f t="shared" si="105"/>
        <v>902127</v>
      </c>
      <c r="W97" s="3">
        <f t="shared" si="105"/>
        <v>805698</v>
      </c>
      <c r="X97" s="3">
        <f t="shared" si="105"/>
        <v>731166</v>
      </c>
      <c r="Y97" s="3">
        <f t="shared" si="105"/>
        <v>661835</v>
      </c>
      <c r="Z97" s="3">
        <f t="shared" si="105"/>
        <v>691669</v>
      </c>
      <c r="AA97" s="3">
        <f t="shared" si="105"/>
        <v>803768</v>
      </c>
      <c r="AB97" s="3">
        <f t="shared" si="105"/>
        <v>705657</v>
      </c>
      <c r="AC97" s="3">
        <f t="shared" si="105"/>
        <v>924016</v>
      </c>
      <c r="AD97" s="3">
        <f t="shared" si="105"/>
        <v>805065</v>
      </c>
      <c r="AE97" s="3">
        <f t="shared" si="105"/>
        <v>650887</v>
      </c>
      <c r="AF97" s="3">
        <f t="shared" si="105"/>
        <v>828434</v>
      </c>
      <c r="AG97" s="3">
        <f t="shared" si="105"/>
        <v>729241</v>
      </c>
      <c r="AH97" s="3">
        <f t="shared" si="105"/>
        <v>867082</v>
      </c>
      <c r="AI97" s="3">
        <f t="shared" si="105"/>
        <v>717415</v>
      </c>
      <c r="AJ97" s="3">
        <f t="shared" si="105"/>
        <v>704505</v>
      </c>
      <c r="AK97" s="3">
        <f t="shared" si="105"/>
        <v>864444</v>
      </c>
      <c r="AL97" s="3">
        <f t="shared" si="105"/>
        <v>836858</v>
      </c>
      <c r="AM97" s="3">
        <f t="shared" si="105"/>
        <v>897764</v>
      </c>
      <c r="AN97" s="3">
        <f t="shared" si="105"/>
        <v>720079</v>
      </c>
      <c r="AO97" s="3">
        <f t="shared" si="105"/>
        <v>844464</v>
      </c>
      <c r="AP97" s="3">
        <f t="shared" si="105"/>
        <v>906888</v>
      </c>
      <c r="AQ97" s="3">
        <f t="shared" si="105"/>
        <v>872575</v>
      </c>
      <c r="AR97" s="3">
        <f t="shared" si="105"/>
        <v>855966</v>
      </c>
      <c r="AS97" s="3">
        <f t="shared" si="105"/>
        <v>907143</v>
      </c>
      <c r="AT97" s="3">
        <f t="shared" si="105"/>
        <v>800839</v>
      </c>
    </row>
    <row r="98" spans="3:46">
      <c r="C98" s="3" t="s">
        <v>58</v>
      </c>
      <c r="G98" s="3">
        <f>G80</f>
        <v>1875</v>
      </c>
      <c r="H98" s="3">
        <f t="shared" ref="H98:AT98" si="106">H80</f>
        <v>1875</v>
      </c>
      <c r="I98" s="3">
        <f t="shared" si="106"/>
        <v>1875</v>
      </c>
      <c r="J98" s="3">
        <f t="shared" si="106"/>
        <v>1875</v>
      </c>
      <c r="K98" s="3">
        <f t="shared" si="106"/>
        <v>1875</v>
      </c>
      <c r="L98" s="3">
        <f t="shared" si="106"/>
        <v>1875</v>
      </c>
      <c r="M98" s="3">
        <f t="shared" si="106"/>
        <v>1875</v>
      </c>
      <c r="N98" s="3">
        <f t="shared" si="106"/>
        <v>1875</v>
      </c>
      <c r="O98" s="3">
        <f t="shared" si="106"/>
        <v>1875</v>
      </c>
      <c r="P98" s="3">
        <f t="shared" si="106"/>
        <v>1875</v>
      </c>
      <c r="Q98" s="3">
        <f t="shared" si="106"/>
        <v>1875</v>
      </c>
      <c r="R98" s="3">
        <f t="shared" si="106"/>
        <v>1875</v>
      </c>
      <c r="S98" s="3">
        <f t="shared" si="106"/>
        <v>1875</v>
      </c>
      <c r="T98" s="3">
        <f t="shared" si="106"/>
        <v>1875</v>
      </c>
      <c r="U98" s="3">
        <f t="shared" si="106"/>
        <v>1875</v>
      </c>
      <c r="V98" s="3">
        <f t="shared" si="106"/>
        <v>1875</v>
      </c>
      <c r="W98" s="3">
        <f t="shared" si="106"/>
        <v>1875</v>
      </c>
      <c r="X98" s="3">
        <f t="shared" si="106"/>
        <v>1875</v>
      </c>
      <c r="Y98" s="3">
        <f t="shared" si="106"/>
        <v>1875</v>
      </c>
      <c r="Z98" s="3">
        <f t="shared" si="106"/>
        <v>1875</v>
      </c>
      <c r="AA98" s="3">
        <f t="shared" si="106"/>
        <v>1875</v>
      </c>
      <c r="AB98" s="3">
        <f t="shared" si="106"/>
        <v>1875</v>
      </c>
      <c r="AC98" s="3">
        <f t="shared" si="106"/>
        <v>1875</v>
      </c>
      <c r="AD98" s="3">
        <f t="shared" si="106"/>
        <v>1875</v>
      </c>
      <c r="AE98" s="3">
        <f t="shared" si="106"/>
        <v>1875</v>
      </c>
      <c r="AF98" s="3">
        <f t="shared" si="106"/>
        <v>1875</v>
      </c>
      <c r="AG98" s="3">
        <f t="shared" si="106"/>
        <v>1875</v>
      </c>
      <c r="AH98" s="3">
        <f t="shared" si="106"/>
        <v>1875</v>
      </c>
      <c r="AI98" s="3">
        <f t="shared" si="106"/>
        <v>0</v>
      </c>
      <c r="AJ98" s="3">
        <f t="shared" si="106"/>
        <v>0</v>
      </c>
      <c r="AK98" s="3">
        <f t="shared" si="106"/>
        <v>0</v>
      </c>
      <c r="AL98" s="3">
        <f t="shared" si="106"/>
        <v>0</v>
      </c>
      <c r="AM98" s="3">
        <f t="shared" si="106"/>
        <v>0</v>
      </c>
      <c r="AN98" s="3">
        <f t="shared" si="106"/>
        <v>0</v>
      </c>
      <c r="AO98" s="3">
        <f t="shared" si="106"/>
        <v>0</v>
      </c>
      <c r="AP98" s="3">
        <f t="shared" si="106"/>
        <v>0</v>
      </c>
      <c r="AQ98" s="3">
        <f t="shared" si="106"/>
        <v>0</v>
      </c>
      <c r="AR98" s="3">
        <f t="shared" si="106"/>
        <v>0</v>
      </c>
      <c r="AS98" s="3">
        <f t="shared" si="106"/>
        <v>0</v>
      </c>
      <c r="AT98" s="3">
        <f t="shared" si="106"/>
        <v>0</v>
      </c>
    </row>
    <row r="99" spans="3:46">
      <c r="C99" s="3" t="s">
        <v>67</v>
      </c>
      <c r="G99" s="3">
        <f>-G76</f>
        <v>0</v>
      </c>
      <c r="H99" s="3">
        <f t="shared" ref="H99:AT99" si="107">-H76</f>
        <v>0</v>
      </c>
      <c r="I99" s="3">
        <f t="shared" si="107"/>
        <v>0</v>
      </c>
      <c r="J99" s="3">
        <f t="shared" si="107"/>
        <v>0</v>
      </c>
      <c r="K99" s="3">
        <f t="shared" si="107"/>
        <v>0</v>
      </c>
      <c r="L99" s="3">
        <f t="shared" si="107"/>
        <v>0</v>
      </c>
      <c r="M99" s="3">
        <f t="shared" si="107"/>
        <v>0</v>
      </c>
      <c r="N99" s="3">
        <f t="shared" si="107"/>
        <v>0</v>
      </c>
      <c r="O99" s="3">
        <f t="shared" si="107"/>
        <v>0</v>
      </c>
      <c r="P99" s="3">
        <f t="shared" si="107"/>
        <v>0</v>
      </c>
      <c r="Q99" s="3">
        <f t="shared" si="107"/>
        <v>0</v>
      </c>
      <c r="R99" s="3">
        <f t="shared" si="107"/>
        <v>0</v>
      </c>
      <c r="S99" s="3">
        <f t="shared" si="107"/>
        <v>0</v>
      </c>
      <c r="T99" s="3">
        <f t="shared" si="107"/>
        <v>0</v>
      </c>
      <c r="U99" s="3">
        <f t="shared" si="107"/>
        <v>0</v>
      </c>
      <c r="V99" s="3">
        <f t="shared" si="107"/>
        <v>0</v>
      </c>
      <c r="W99" s="3">
        <f t="shared" si="107"/>
        <v>0</v>
      </c>
      <c r="X99" s="3">
        <f t="shared" si="107"/>
        <v>0</v>
      </c>
      <c r="Y99" s="3">
        <f t="shared" si="107"/>
        <v>0</v>
      </c>
      <c r="Z99" s="3">
        <f t="shared" si="107"/>
        <v>0</v>
      </c>
      <c r="AA99" s="3">
        <f t="shared" si="107"/>
        <v>0</v>
      </c>
      <c r="AB99" s="3">
        <f t="shared" si="107"/>
        <v>0</v>
      </c>
      <c r="AC99" s="3">
        <f t="shared" si="107"/>
        <v>0</v>
      </c>
      <c r="AD99" s="3">
        <f t="shared" si="107"/>
        <v>0</v>
      </c>
      <c r="AE99" s="3">
        <f t="shared" si="107"/>
        <v>0</v>
      </c>
      <c r="AF99" s="3">
        <f t="shared" si="107"/>
        <v>0</v>
      </c>
      <c r="AG99" s="3">
        <f t="shared" si="107"/>
        <v>0</v>
      </c>
      <c r="AH99" s="3">
        <f t="shared" si="107"/>
        <v>500000</v>
      </c>
      <c r="AI99" s="3">
        <f t="shared" si="107"/>
        <v>0</v>
      </c>
      <c r="AJ99" s="3">
        <f t="shared" si="107"/>
        <v>0</v>
      </c>
      <c r="AK99" s="3">
        <f t="shared" si="107"/>
        <v>0</v>
      </c>
      <c r="AL99" s="3">
        <f t="shared" si="107"/>
        <v>0</v>
      </c>
      <c r="AM99" s="3">
        <f t="shared" si="107"/>
        <v>0</v>
      </c>
      <c r="AN99" s="3">
        <f t="shared" si="107"/>
        <v>0</v>
      </c>
      <c r="AO99" s="3">
        <f t="shared" si="107"/>
        <v>0</v>
      </c>
      <c r="AP99" s="3">
        <f t="shared" si="107"/>
        <v>0</v>
      </c>
      <c r="AQ99" s="3">
        <f t="shared" si="107"/>
        <v>0</v>
      </c>
      <c r="AR99" s="3">
        <f t="shared" si="107"/>
        <v>0</v>
      </c>
      <c r="AS99" s="3">
        <f t="shared" si="107"/>
        <v>0</v>
      </c>
      <c r="AT99" s="3">
        <f t="shared" si="107"/>
        <v>0</v>
      </c>
    </row>
    <row r="100" spans="3:46">
      <c r="C100" s="3" t="s">
        <v>68</v>
      </c>
      <c r="G100" s="3">
        <f>G50</f>
        <v>-341414.11764705885</v>
      </c>
      <c r="H100" s="3">
        <f t="shared" ref="H100:AT100" si="108">H50</f>
        <v>-283793.85588235297</v>
      </c>
      <c r="I100" s="3">
        <f t="shared" si="108"/>
        <v>-325568.37434191175</v>
      </c>
      <c r="J100" s="3">
        <f t="shared" si="108"/>
        <v>-341143.1747832307</v>
      </c>
      <c r="K100" s="3">
        <f t="shared" si="108"/>
        <v>-364532.71696591191</v>
      </c>
      <c r="L100" s="3">
        <f t="shared" si="108"/>
        <v>-306327.98300066375</v>
      </c>
      <c r="M100" s="3">
        <f t="shared" si="108"/>
        <v>-286654.69864927582</v>
      </c>
      <c r="N100" s="3">
        <f t="shared" si="108"/>
        <v>-293326.78899099748</v>
      </c>
      <c r="O100" s="3">
        <f t="shared" si="108"/>
        <v>-280170.62057491788</v>
      </c>
      <c r="P100" s="3">
        <f t="shared" si="108"/>
        <v>-378659.43719605828</v>
      </c>
      <c r="Q100" s="3">
        <f t="shared" si="108"/>
        <v>-362548.35739868053</v>
      </c>
      <c r="R100" s="3">
        <f t="shared" si="108"/>
        <v>-386365.16201879474</v>
      </c>
      <c r="S100" s="3">
        <f t="shared" si="108"/>
        <v>-337530.03593772964</v>
      </c>
      <c r="T100" s="3">
        <f t="shared" si="108"/>
        <v>-356606.36804952048</v>
      </c>
      <c r="U100" s="3">
        <f t="shared" si="108"/>
        <v>-354627.35266902484</v>
      </c>
      <c r="V100" s="3">
        <f t="shared" si="108"/>
        <v>-463005.83170940046</v>
      </c>
      <c r="W100" s="3">
        <f t="shared" si="108"/>
        <v>-412649.22071893414</v>
      </c>
      <c r="X100" s="3">
        <f t="shared" si="108"/>
        <v>-374480.79456264304</v>
      </c>
      <c r="Y100" s="3">
        <f t="shared" si="108"/>
        <v>-338846.96431140875</v>
      </c>
      <c r="Z100" s="3">
        <f t="shared" si="108"/>
        <v>-361055.52183539647</v>
      </c>
      <c r="AA100" s="3">
        <f t="shared" si="108"/>
        <v>-431960.62349592731</v>
      </c>
      <c r="AB100" s="3">
        <f t="shared" si="108"/>
        <v>-380187.72912781982</v>
      </c>
      <c r="AC100" s="3">
        <f t="shared" si="108"/>
        <v>-513861.7809915627</v>
      </c>
      <c r="AD100" s="3">
        <f t="shared" si="108"/>
        <v>-450956.20400960842</v>
      </c>
      <c r="AE100" s="3">
        <f t="shared" si="108"/>
        <v>-366463.91063826997</v>
      </c>
      <c r="AF100" s="3">
        <f t="shared" si="108"/>
        <v>-475942.20117425203</v>
      </c>
      <c r="AG100" s="3">
        <f t="shared" si="108"/>
        <v>-424137.58291098621</v>
      </c>
      <c r="AH100" s="3">
        <f t="shared" si="108"/>
        <v>-7182.5904076622101</v>
      </c>
      <c r="AI100" s="3">
        <f t="shared" si="108"/>
        <v>0</v>
      </c>
      <c r="AJ100" s="3">
        <f t="shared" si="108"/>
        <v>0</v>
      </c>
      <c r="AK100" s="3">
        <f t="shared" si="108"/>
        <v>0</v>
      </c>
      <c r="AL100" s="3">
        <f t="shared" si="108"/>
        <v>0</v>
      </c>
      <c r="AM100" s="3">
        <f t="shared" si="108"/>
        <v>0</v>
      </c>
      <c r="AN100" s="3">
        <f t="shared" si="108"/>
        <v>0</v>
      </c>
      <c r="AO100" s="3">
        <f t="shared" si="108"/>
        <v>0</v>
      </c>
      <c r="AP100" s="3">
        <f t="shared" si="108"/>
        <v>0</v>
      </c>
      <c r="AQ100" s="3">
        <f t="shared" si="108"/>
        <v>0</v>
      </c>
      <c r="AR100" s="3">
        <f t="shared" si="108"/>
        <v>0</v>
      </c>
      <c r="AS100" s="3">
        <f t="shared" si="108"/>
        <v>0</v>
      </c>
      <c r="AT100" s="3">
        <f t="shared" si="108"/>
        <v>0</v>
      </c>
    </row>
    <row r="101" spans="3:46">
      <c r="C101" s="3" t="s">
        <v>69</v>
      </c>
      <c r="G101" s="3">
        <f>-G54</f>
        <v>-137500</v>
      </c>
      <c r="H101" s="3">
        <f t="shared" ref="H101:AT101" si="109">-H54</f>
        <v>-132805.55588235293</v>
      </c>
      <c r="I101" s="3">
        <f t="shared" si="109"/>
        <v>-128903.3903639706</v>
      </c>
      <c r="J101" s="3">
        <f t="shared" si="109"/>
        <v>-124426.8252167693</v>
      </c>
      <c r="K101" s="3">
        <f t="shared" si="109"/>
        <v>-119736.10656349988</v>
      </c>
      <c r="L101" s="3">
        <f t="shared" si="109"/>
        <v>-114723.7817052186</v>
      </c>
      <c r="M101" s="3">
        <f t="shared" si="109"/>
        <v>-110511.77193895947</v>
      </c>
      <c r="N101" s="3">
        <f t="shared" si="109"/>
        <v>-106570.26983253192</v>
      </c>
      <c r="O101" s="3">
        <f t="shared" si="109"/>
        <v>-102537.02648390571</v>
      </c>
      <c r="P101" s="3">
        <f t="shared" si="109"/>
        <v>-98684.68045100059</v>
      </c>
      <c r="Q101" s="3">
        <f t="shared" si="109"/>
        <v>-93478.113189554788</v>
      </c>
      <c r="R101" s="3">
        <f t="shared" si="109"/>
        <v>-88493.073275322924</v>
      </c>
      <c r="S101" s="3">
        <f t="shared" si="109"/>
        <v>-83180.5522975645</v>
      </c>
      <c r="T101" s="3">
        <f t="shared" si="109"/>
        <v>-78539.514303420729</v>
      </c>
      <c r="U101" s="3">
        <f t="shared" si="109"/>
        <v>-73636.17674273983</v>
      </c>
      <c r="V101" s="3">
        <f t="shared" si="109"/>
        <v>-68760.05064354073</v>
      </c>
      <c r="W101" s="3">
        <f t="shared" si="109"/>
        <v>-62393.720457536474</v>
      </c>
      <c r="X101" s="3">
        <f t="shared" si="109"/>
        <v>-56719.793672651125</v>
      </c>
      <c r="Y101" s="3">
        <f t="shared" si="109"/>
        <v>-51570.682747414787</v>
      </c>
      <c r="Z101" s="3">
        <f t="shared" si="109"/>
        <v>-46911.536988132917</v>
      </c>
      <c r="AA101" s="3">
        <f t="shared" si="109"/>
        <v>-41947.023562896211</v>
      </c>
      <c r="AB101" s="3">
        <f t="shared" si="109"/>
        <v>-36007.564989827217</v>
      </c>
      <c r="AC101" s="3">
        <f t="shared" si="109"/>
        <v>-30779.983714319696</v>
      </c>
      <c r="AD101" s="3">
        <f t="shared" si="109"/>
        <v>-23714.38422568571</v>
      </c>
      <c r="AE101" s="3">
        <f t="shared" si="109"/>
        <v>-17513.736420553592</v>
      </c>
      <c r="AF101" s="3">
        <f t="shared" si="109"/>
        <v>-12474.857649277381</v>
      </c>
      <c r="AG101" s="3">
        <f t="shared" si="109"/>
        <v>-5930.6523831314162</v>
      </c>
      <c r="AH101" s="3">
        <f t="shared" si="109"/>
        <v>-98.760618105355391</v>
      </c>
      <c r="AI101" s="3">
        <f t="shared" si="109"/>
        <v>0</v>
      </c>
      <c r="AJ101" s="3">
        <f t="shared" si="109"/>
        <v>0</v>
      </c>
      <c r="AK101" s="3">
        <f t="shared" si="109"/>
        <v>0</v>
      </c>
      <c r="AL101" s="3">
        <f t="shared" si="109"/>
        <v>0</v>
      </c>
      <c r="AM101" s="3">
        <f t="shared" si="109"/>
        <v>0</v>
      </c>
      <c r="AN101" s="3">
        <f t="shared" si="109"/>
        <v>0</v>
      </c>
      <c r="AO101" s="3">
        <f t="shared" si="109"/>
        <v>0</v>
      </c>
      <c r="AP101" s="3">
        <f t="shared" si="109"/>
        <v>0</v>
      </c>
      <c r="AQ101" s="3">
        <f t="shared" si="109"/>
        <v>0</v>
      </c>
      <c r="AR101" s="3">
        <f t="shared" si="109"/>
        <v>0</v>
      </c>
      <c r="AS101" s="3">
        <f t="shared" si="109"/>
        <v>0</v>
      </c>
      <c r="AT101" s="3">
        <f t="shared" si="109"/>
        <v>0</v>
      </c>
    </row>
    <row r="102" spans="3:46">
      <c r="C102" s="3" t="s">
        <v>70</v>
      </c>
      <c r="G102" s="3">
        <f>G87</f>
        <v>-150000</v>
      </c>
      <c r="H102" s="3">
        <f t="shared" ref="H102:AT102" si="110">H87</f>
        <v>-150000</v>
      </c>
      <c r="I102" s="3">
        <f t="shared" si="110"/>
        <v>-150000</v>
      </c>
      <c r="J102" s="3">
        <f t="shared" si="110"/>
        <v>-150000</v>
      </c>
      <c r="K102" s="3">
        <f t="shared" si="110"/>
        <v>-150000</v>
      </c>
      <c r="L102" s="3">
        <f t="shared" si="110"/>
        <v>-150000</v>
      </c>
      <c r="M102" s="3">
        <f t="shared" si="110"/>
        <v>-150000</v>
      </c>
      <c r="N102" s="3">
        <f t="shared" si="110"/>
        <v>-150000</v>
      </c>
      <c r="O102" s="3">
        <f t="shared" si="110"/>
        <v>-150000</v>
      </c>
      <c r="P102" s="3">
        <f t="shared" si="110"/>
        <v>-150000</v>
      </c>
      <c r="Q102" s="3">
        <f t="shared" si="110"/>
        <v>-150000</v>
      </c>
      <c r="R102" s="3">
        <f t="shared" si="110"/>
        <v>-150000</v>
      </c>
      <c r="S102" s="3">
        <f t="shared" si="110"/>
        <v>-150000</v>
      </c>
      <c r="T102" s="3">
        <f t="shared" si="110"/>
        <v>-150000</v>
      </c>
      <c r="U102" s="3">
        <f t="shared" si="110"/>
        <v>-150000</v>
      </c>
      <c r="V102" s="3">
        <f t="shared" si="110"/>
        <v>-150000</v>
      </c>
      <c r="W102" s="3">
        <f t="shared" si="110"/>
        <v>-150000</v>
      </c>
      <c r="X102" s="3">
        <f t="shared" si="110"/>
        <v>-150000</v>
      </c>
      <c r="Y102" s="3">
        <f t="shared" si="110"/>
        <v>-150000</v>
      </c>
      <c r="Z102" s="3">
        <f t="shared" si="110"/>
        <v>-150000</v>
      </c>
      <c r="AA102" s="3">
        <f t="shared" si="110"/>
        <v>-150000</v>
      </c>
      <c r="AB102" s="3">
        <f t="shared" si="110"/>
        <v>-150000</v>
      </c>
      <c r="AC102" s="3">
        <f t="shared" si="110"/>
        <v>-150000</v>
      </c>
      <c r="AD102" s="3">
        <f t="shared" si="110"/>
        <v>-150000</v>
      </c>
      <c r="AE102" s="3">
        <f t="shared" si="110"/>
        <v>-150000</v>
      </c>
      <c r="AF102" s="3">
        <f t="shared" si="110"/>
        <v>-150000</v>
      </c>
      <c r="AG102" s="3">
        <f t="shared" si="110"/>
        <v>-150000</v>
      </c>
      <c r="AH102" s="3">
        <f t="shared" si="110"/>
        <v>-150000</v>
      </c>
      <c r="AI102" s="3">
        <f t="shared" si="110"/>
        <v>-150000</v>
      </c>
      <c r="AJ102" s="3">
        <f t="shared" si="110"/>
        <v>-150000</v>
      </c>
      <c r="AK102" s="3">
        <f t="shared" si="110"/>
        <v>-150000</v>
      </c>
      <c r="AL102" s="3">
        <f t="shared" si="110"/>
        <v>-150000</v>
      </c>
      <c r="AM102" s="3">
        <f t="shared" si="110"/>
        <v>-150000</v>
      </c>
      <c r="AN102" s="3">
        <f t="shared" si="110"/>
        <v>-150000</v>
      </c>
      <c r="AO102" s="3">
        <f t="shared" si="110"/>
        <v>-150000</v>
      </c>
      <c r="AP102" s="3">
        <f t="shared" si="110"/>
        <v>-150000</v>
      </c>
      <c r="AQ102" s="3">
        <f t="shared" si="110"/>
        <v>-150000</v>
      </c>
      <c r="AR102" s="3">
        <f t="shared" si="110"/>
        <v>-150000</v>
      </c>
      <c r="AS102" s="3">
        <f t="shared" si="110"/>
        <v>-150000</v>
      </c>
      <c r="AT102" s="3">
        <f t="shared" si="110"/>
        <v>-150000</v>
      </c>
    </row>
    <row r="103" spans="3:46">
      <c r="C103" s="3" t="s">
        <v>71</v>
      </c>
      <c r="G103" s="3">
        <f>-G91</f>
        <v>-105000.00000000001</v>
      </c>
      <c r="H103" s="3">
        <f t="shared" ref="H103:AT103" si="111">-H91</f>
        <v>-102375.00000000001</v>
      </c>
      <c r="I103" s="3">
        <f t="shared" si="111"/>
        <v>-99750.000000000015</v>
      </c>
      <c r="J103" s="3">
        <f t="shared" si="111"/>
        <v>-97125.000000000015</v>
      </c>
      <c r="K103" s="3">
        <f t="shared" si="111"/>
        <v>-94500.000000000015</v>
      </c>
      <c r="L103" s="3">
        <f t="shared" si="111"/>
        <v>-91875.000000000015</v>
      </c>
      <c r="M103" s="3">
        <f t="shared" si="111"/>
        <v>-89250.000000000015</v>
      </c>
      <c r="N103" s="3">
        <f t="shared" si="111"/>
        <v>-86625.000000000015</v>
      </c>
      <c r="O103" s="3">
        <f t="shared" si="111"/>
        <v>-84000.000000000015</v>
      </c>
      <c r="P103" s="3">
        <f t="shared" si="111"/>
        <v>-81375.000000000015</v>
      </c>
      <c r="Q103" s="3">
        <f t="shared" si="111"/>
        <v>-78750.000000000015</v>
      </c>
      <c r="R103" s="3">
        <f t="shared" si="111"/>
        <v>-76125</v>
      </c>
      <c r="S103" s="3">
        <f t="shared" si="111"/>
        <v>-73500</v>
      </c>
      <c r="T103" s="3">
        <f t="shared" si="111"/>
        <v>-70875</v>
      </c>
      <c r="U103" s="3">
        <f t="shared" si="111"/>
        <v>-68250</v>
      </c>
      <c r="V103" s="3">
        <f t="shared" si="111"/>
        <v>-65625</v>
      </c>
      <c r="W103" s="3">
        <f t="shared" si="111"/>
        <v>-63000.000000000007</v>
      </c>
      <c r="X103" s="3">
        <f t="shared" si="111"/>
        <v>-60375.000000000007</v>
      </c>
      <c r="Y103" s="3">
        <f t="shared" si="111"/>
        <v>-57750.000000000007</v>
      </c>
      <c r="Z103" s="3">
        <f t="shared" si="111"/>
        <v>-55125.000000000007</v>
      </c>
      <c r="AA103" s="3">
        <f t="shared" si="111"/>
        <v>-52500.000000000007</v>
      </c>
      <c r="AB103" s="3">
        <f t="shared" si="111"/>
        <v>-49875.000000000007</v>
      </c>
      <c r="AC103" s="3">
        <f t="shared" si="111"/>
        <v>-47250.000000000007</v>
      </c>
      <c r="AD103" s="3">
        <f t="shared" si="111"/>
        <v>-44625.000000000007</v>
      </c>
      <c r="AE103" s="3">
        <f t="shared" si="111"/>
        <v>-42000.000000000007</v>
      </c>
      <c r="AF103" s="3">
        <f t="shared" si="111"/>
        <v>-39375.000000000007</v>
      </c>
      <c r="AG103" s="3">
        <f t="shared" si="111"/>
        <v>-36750</v>
      </c>
      <c r="AH103" s="3">
        <f t="shared" si="111"/>
        <v>-34125</v>
      </c>
      <c r="AI103" s="3">
        <f t="shared" si="111"/>
        <v>-31500.000000000004</v>
      </c>
      <c r="AJ103" s="3">
        <f t="shared" si="111"/>
        <v>-28875.000000000004</v>
      </c>
      <c r="AK103" s="3">
        <f t="shared" si="111"/>
        <v>-26250.000000000004</v>
      </c>
      <c r="AL103" s="3">
        <f t="shared" si="111"/>
        <v>-23625.000000000004</v>
      </c>
      <c r="AM103" s="3">
        <f t="shared" si="111"/>
        <v>-21000.000000000004</v>
      </c>
      <c r="AN103" s="3">
        <f t="shared" si="111"/>
        <v>-18375</v>
      </c>
      <c r="AO103" s="3">
        <f t="shared" si="111"/>
        <v>-15750.000000000002</v>
      </c>
      <c r="AP103" s="3">
        <f t="shared" si="111"/>
        <v>-13125.000000000002</v>
      </c>
      <c r="AQ103" s="3">
        <f t="shared" si="111"/>
        <v>-10500.000000000002</v>
      </c>
      <c r="AR103" s="3">
        <f t="shared" si="111"/>
        <v>-7875.0000000000009</v>
      </c>
      <c r="AS103" s="3">
        <f t="shared" si="111"/>
        <v>-5250.0000000000009</v>
      </c>
      <c r="AT103" s="3">
        <f t="shared" si="111"/>
        <v>-2625.0000000000005</v>
      </c>
    </row>
    <row r="104" spans="3:46">
      <c r="C104" s="3" t="s">
        <v>96</v>
      </c>
      <c r="G104" s="25">
        <f>SUM(G97:G103)</f>
        <v>80239.882352941131</v>
      </c>
      <c r="H104" s="25">
        <f t="shared" ref="H104:AT104" si="112">SUM(H97:H103)</f>
        <v>39244.588235294083</v>
      </c>
      <c r="I104" s="25">
        <f t="shared" si="112"/>
        <v>68380.235294117636</v>
      </c>
      <c r="J104" s="25">
        <f t="shared" si="112"/>
        <v>78773.999999999985</v>
      </c>
      <c r="K104" s="25">
        <f t="shared" si="112"/>
        <v>94488.17647058818</v>
      </c>
      <c r="L104" s="25">
        <f t="shared" si="112"/>
        <v>52861.235294117636</v>
      </c>
      <c r="M104" s="25">
        <f t="shared" si="112"/>
        <v>38766.529411764684</v>
      </c>
      <c r="N104" s="25">
        <f t="shared" si="112"/>
        <v>43302.941176470587</v>
      </c>
      <c r="O104" s="25">
        <f t="shared" si="112"/>
        <v>33895.352941176374</v>
      </c>
      <c r="P104" s="25">
        <f t="shared" si="112"/>
        <v>102765.88235294113</v>
      </c>
      <c r="Q104" s="25">
        <f t="shared" si="112"/>
        <v>90468.529411764684</v>
      </c>
      <c r="R104" s="25">
        <f t="shared" si="112"/>
        <v>106275.76470588235</v>
      </c>
      <c r="S104" s="25">
        <f t="shared" si="112"/>
        <v>70997.411764705845</v>
      </c>
      <c r="T104" s="25">
        <f t="shared" si="112"/>
        <v>83727.117647058796</v>
      </c>
      <c r="U104" s="25">
        <f t="shared" si="112"/>
        <v>81534.470588235301</v>
      </c>
      <c r="V104" s="25">
        <f t="shared" si="112"/>
        <v>156611.1176470588</v>
      </c>
      <c r="W104" s="25">
        <f t="shared" si="112"/>
        <v>119530.0588235294</v>
      </c>
      <c r="X104" s="25">
        <f t="shared" si="112"/>
        <v>91465.411764705845</v>
      </c>
      <c r="Y104" s="25">
        <f t="shared" si="112"/>
        <v>65542.352941176447</v>
      </c>
      <c r="Z104" s="25">
        <f t="shared" si="112"/>
        <v>80451.941176470602</v>
      </c>
      <c r="AA104" s="25">
        <f t="shared" si="112"/>
        <v>129235.3529411765</v>
      </c>
      <c r="AB104" s="25">
        <f t="shared" si="112"/>
        <v>91461.705882352951</v>
      </c>
      <c r="AC104" s="25">
        <f t="shared" si="112"/>
        <v>183999.23529411759</v>
      </c>
      <c r="AD104" s="25">
        <f t="shared" si="112"/>
        <v>137644.41176470584</v>
      </c>
      <c r="AE104" s="25">
        <f t="shared" si="112"/>
        <v>76784.352941176447</v>
      </c>
      <c r="AF104" s="25">
        <f t="shared" si="112"/>
        <v>152516.9411764706</v>
      </c>
      <c r="AG104" s="25">
        <f t="shared" si="112"/>
        <v>114297.76470588235</v>
      </c>
      <c r="AH104" s="25">
        <f t="shared" si="112"/>
        <v>1177550.6489742326</v>
      </c>
      <c r="AI104" s="25">
        <f t="shared" si="112"/>
        <v>535915</v>
      </c>
      <c r="AJ104" s="25">
        <f t="shared" si="112"/>
        <v>525630</v>
      </c>
      <c r="AK104" s="25">
        <f t="shared" si="112"/>
        <v>688194</v>
      </c>
      <c r="AL104" s="25">
        <f t="shared" si="112"/>
        <v>663233</v>
      </c>
      <c r="AM104" s="25">
        <f t="shared" si="112"/>
        <v>726764</v>
      </c>
      <c r="AN104" s="25">
        <f t="shared" si="112"/>
        <v>551704</v>
      </c>
      <c r="AO104" s="25">
        <f t="shared" si="112"/>
        <v>678714</v>
      </c>
      <c r="AP104" s="25">
        <f t="shared" si="112"/>
        <v>743763</v>
      </c>
      <c r="AQ104" s="25">
        <f t="shared" si="112"/>
        <v>712075</v>
      </c>
      <c r="AR104" s="25">
        <f t="shared" si="112"/>
        <v>698091</v>
      </c>
      <c r="AS104" s="25">
        <f t="shared" si="112"/>
        <v>751893</v>
      </c>
      <c r="AT104" s="25">
        <f t="shared" si="112"/>
        <v>648214</v>
      </c>
    </row>
    <row r="106" spans="3:46">
      <c r="C106" s="3" t="s">
        <v>72</v>
      </c>
      <c r="F106" s="23">
        <f>-Case1Data!H34</f>
        <v>-4000000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</row>
    <row r="107" spans="3:46">
      <c r="C107" s="31" t="s">
        <v>66</v>
      </c>
      <c r="F107" s="33">
        <f>F104+F106</f>
        <v>-4000000</v>
      </c>
      <c r="G107" s="33">
        <f t="shared" ref="G107:AT107" si="113">G104+G106</f>
        <v>80239.882352941131</v>
      </c>
      <c r="H107" s="33">
        <f t="shared" si="113"/>
        <v>39244.588235294083</v>
      </c>
      <c r="I107" s="33">
        <f t="shared" si="113"/>
        <v>68380.235294117636</v>
      </c>
      <c r="J107" s="33">
        <f t="shared" si="113"/>
        <v>78773.999999999985</v>
      </c>
      <c r="K107" s="33">
        <f t="shared" si="113"/>
        <v>94488.17647058818</v>
      </c>
      <c r="L107" s="33">
        <f t="shared" si="113"/>
        <v>52861.235294117636</v>
      </c>
      <c r="M107" s="33">
        <f t="shared" si="113"/>
        <v>38766.529411764684</v>
      </c>
      <c r="N107" s="33">
        <f t="shared" si="113"/>
        <v>43302.941176470587</v>
      </c>
      <c r="O107" s="33">
        <f t="shared" si="113"/>
        <v>33895.352941176374</v>
      </c>
      <c r="P107" s="33">
        <f t="shared" si="113"/>
        <v>102765.88235294113</v>
      </c>
      <c r="Q107" s="33">
        <f t="shared" si="113"/>
        <v>90468.529411764684</v>
      </c>
      <c r="R107" s="33">
        <f t="shared" si="113"/>
        <v>106275.76470588235</v>
      </c>
      <c r="S107" s="33">
        <f t="shared" si="113"/>
        <v>70997.411764705845</v>
      </c>
      <c r="T107" s="33">
        <f t="shared" si="113"/>
        <v>83727.117647058796</v>
      </c>
      <c r="U107" s="33">
        <f t="shared" si="113"/>
        <v>81534.470588235301</v>
      </c>
      <c r="V107" s="33">
        <f t="shared" si="113"/>
        <v>156611.1176470588</v>
      </c>
      <c r="W107" s="33">
        <f t="shared" si="113"/>
        <v>119530.0588235294</v>
      </c>
      <c r="X107" s="33">
        <f t="shared" si="113"/>
        <v>91465.411764705845</v>
      </c>
      <c r="Y107" s="33">
        <f t="shared" si="113"/>
        <v>65542.352941176447</v>
      </c>
      <c r="Z107" s="33">
        <f t="shared" si="113"/>
        <v>80451.941176470602</v>
      </c>
      <c r="AA107" s="33">
        <f t="shared" si="113"/>
        <v>129235.3529411765</v>
      </c>
      <c r="AB107" s="33">
        <f t="shared" si="113"/>
        <v>91461.705882352951</v>
      </c>
      <c r="AC107" s="33">
        <f t="shared" si="113"/>
        <v>183999.23529411759</v>
      </c>
      <c r="AD107" s="33">
        <f t="shared" si="113"/>
        <v>137644.41176470584</v>
      </c>
      <c r="AE107" s="33">
        <f t="shared" si="113"/>
        <v>76784.352941176447</v>
      </c>
      <c r="AF107" s="33">
        <f t="shared" si="113"/>
        <v>152516.9411764706</v>
      </c>
      <c r="AG107" s="33">
        <f t="shared" si="113"/>
        <v>114297.76470588235</v>
      </c>
      <c r="AH107" s="33">
        <f t="shared" si="113"/>
        <v>1177550.6489742326</v>
      </c>
      <c r="AI107" s="33">
        <f t="shared" si="113"/>
        <v>535915</v>
      </c>
      <c r="AJ107" s="33">
        <f t="shared" si="113"/>
        <v>525630</v>
      </c>
      <c r="AK107" s="33">
        <f t="shared" si="113"/>
        <v>688194</v>
      </c>
      <c r="AL107" s="33">
        <f t="shared" si="113"/>
        <v>663233</v>
      </c>
      <c r="AM107" s="33">
        <f t="shared" si="113"/>
        <v>726764</v>
      </c>
      <c r="AN107" s="33">
        <f t="shared" si="113"/>
        <v>551704</v>
      </c>
      <c r="AO107" s="33">
        <f t="shared" si="113"/>
        <v>678714</v>
      </c>
      <c r="AP107" s="33">
        <f t="shared" si="113"/>
        <v>743763</v>
      </c>
      <c r="AQ107" s="33">
        <f t="shared" si="113"/>
        <v>712075</v>
      </c>
      <c r="AR107" s="33">
        <f t="shared" si="113"/>
        <v>698091</v>
      </c>
      <c r="AS107" s="33">
        <f t="shared" si="113"/>
        <v>751893</v>
      </c>
      <c r="AT107" s="33">
        <f t="shared" si="113"/>
        <v>648214</v>
      </c>
    </row>
    <row r="109" spans="3:46">
      <c r="C109" s="3" t="s">
        <v>73</v>
      </c>
      <c r="F109" s="22">
        <f>F9</f>
        <v>43465</v>
      </c>
      <c r="G109" s="22">
        <f t="shared" ref="G109:AT109" si="114">G9</f>
        <v>43555</v>
      </c>
      <c r="H109" s="22">
        <f t="shared" si="114"/>
        <v>43646</v>
      </c>
      <c r="I109" s="22">
        <f t="shared" si="114"/>
        <v>43738</v>
      </c>
      <c r="J109" s="22">
        <f t="shared" si="114"/>
        <v>43830</v>
      </c>
      <c r="K109" s="22">
        <f t="shared" si="114"/>
        <v>43921</v>
      </c>
      <c r="L109" s="22">
        <f t="shared" si="114"/>
        <v>44012</v>
      </c>
      <c r="M109" s="22">
        <f t="shared" si="114"/>
        <v>44104</v>
      </c>
      <c r="N109" s="22">
        <f t="shared" si="114"/>
        <v>44196</v>
      </c>
      <c r="O109" s="22">
        <f t="shared" si="114"/>
        <v>44286</v>
      </c>
      <c r="P109" s="22">
        <f t="shared" si="114"/>
        <v>44377</v>
      </c>
      <c r="Q109" s="22">
        <f t="shared" si="114"/>
        <v>44469</v>
      </c>
      <c r="R109" s="22">
        <f t="shared" si="114"/>
        <v>44561</v>
      </c>
      <c r="S109" s="22">
        <f t="shared" si="114"/>
        <v>44651</v>
      </c>
      <c r="T109" s="22">
        <f t="shared" si="114"/>
        <v>44742</v>
      </c>
      <c r="U109" s="22">
        <f t="shared" si="114"/>
        <v>44834</v>
      </c>
      <c r="V109" s="22">
        <f t="shared" si="114"/>
        <v>44926</v>
      </c>
      <c r="W109" s="22">
        <f t="shared" si="114"/>
        <v>45016</v>
      </c>
      <c r="X109" s="22">
        <f t="shared" si="114"/>
        <v>45107</v>
      </c>
      <c r="Y109" s="22">
        <f t="shared" si="114"/>
        <v>45199</v>
      </c>
      <c r="Z109" s="22">
        <f t="shared" si="114"/>
        <v>45291</v>
      </c>
      <c r="AA109" s="22">
        <f t="shared" si="114"/>
        <v>45382</v>
      </c>
      <c r="AB109" s="22">
        <f t="shared" si="114"/>
        <v>45473</v>
      </c>
      <c r="AC109" s="22">
        <f t="shared" si="114"/>
        <v>45565</v>
      </c>
      <c r="AD109" s="22">
        <f t="shared" si="114"/>
        <v>45657</v>
      </c>
      <c r="AE109" s="22">
        <f t="shared" si="114"/>
        <v>45747</v>
      </c>
      <c r="AF109" s="22">
        <f t="shared" si="114"/>
        <v>45838</v>
      </c>
      <c r="AG109" s="22">
        <f t="shared" si="114"/>
        <v>45930</v>
      </c>
      <c r="AH109" s="22">
        <f t="shared" si="114"/>
        <v>46022</v>
      </c>
      <c r="AI109" s="22">
        <f t="shared" si="114"/>
        <v>46112</v>
      </c>
      <c r="AJ109" s="22">
        <f t="shared" si="114"/>
        <v>46203</v>
      </c>
      <c r="AK109" s="22">
        <f t="shared" si="114"/>
        <v>46295</v>
      </c>
      <c r="AL109" s="22">
        <f t="shared" si="114"/>
        <v>46387</v>
      </c>
      <c r="AM109" s="22">
        <f t="shared" si="114"/>
        <v>46477</v>
      </c>
      <c r="AN109" s="22">
        <f t="shared" si="114"/>
        <v>46568</v>
      </c>
      <c r="AO109" s="22">
        <f t="shared" si="114"/>
        <v>46660</v>
      </c>
      <c r="AP109" s="22">
        <f t="shared" si="114"/>
        <v>46752</v>
      </c>
      <c r="AQ109" s="22">
        <f t="shared" si="114"/>
        <v>46843</v>
      </c>
      <c r="AR109" s="22">
        <f t="shared" si="114"/>
        <v>46934</v>
      </c>
      <c r="AS109" s="22">
        <f t="shared" si="114"/>
        <v>47026</v>
      </c>
      <c r="AT109" s="22">
        <f t="shared" si="114"/>
        <v>47118</v>
      </c>
    </row>
    <row r="111" spans="3:46">
      <c r="C111" s="3" t="s">
        <v>74</v>
      </c>
      <c r="E111" s="26">
        <f>XIRR(F107:AT107,F109:AT109)</f>
        <v>0.1616652309894562</v>
      </c>
    </row>
    <row r="112" spans="3:46">
      <c r="C112" s="3" t="s">
        <v>75</v>
      </c>
      <c r="E112" s="3">
        <f>XNPV(E113,F107:AT107,F109:AT109)</f>
        <v>1979546.5120497986</v>
      </c>
    </row>
    <row r="113" spans="3:5">
      <c r="C113" s="3" t="s">
        <v>76</v>
      </c>
      <c r="E113" s="27">
        <f>Case1Data!H35</f>
        <v>9.5000000000000001E-2</v>
      </c>
    </row>
  </sheetData>
  <conditionalFormatting sqref="G24:I27">
    <cfRule type="top10" dxfId="1" priority="5" rank="1"/>
  </conditionalFormatting>
  <conditionalFormatting sqref="G31:I34">
    <cfRule type="top10" dxfId="0" priority="3" bottom="1" rank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Case1Data!$G$17:$I$17</xm:f>
          </x14:formula1>
          <xm:sqref>E39</xm:sqref>
        </x14:dataValidation>
        <x14:dataValidation type="list" allowBlank="1" showInputMessage="1" showErrorMessage="1" xr:uid="{00000000-0002-0000-0100-000001000000}">
          <x14:formula1>
            <xm:f>Case1Data!$G$50:$J$50</xm:f>
          </x14:formula1>
          <xm:sqref>E44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Debt</vt:lpstr>
      <vt:lpstr>Case1Data</vt:lpstr>
      <vt:lpstr>Case1Solution</vt:lpstr>
      <vt:lpstr>company</vt:lpstr>
      <vt:lpstr>EBIDTA_scenarios</vt:lpstr>
      <vt:lpstr>EBIDTA_selector</vt:lpstr>
      <vt:lpstr>periods</vt:lpstr>
      <vt:lpstr>sculpting_scenarios</vt:lpstr>
      <vt:lpstr>sculpting_selector</vt:lpstr>
      <vt:lpstr>start_date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Stephenson</dc:creator>
  <cp:lastModifiedBy>Luc Nicod</cp:lastModifiedBy>
  <cp:lastPrinted>2026-08-19T22:53:25Z</cp:lastPrinted>
  <dcterms:created xsi:type="dcterms:W3CDTF">2019-08-05T17:02:00Z</dcterms:created>
  <dcterms:modified xsi:type="dcterms:W3CDTF">2026-08-22T18:29:54Z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2026-08-18T08:06:02Z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35cfb8ee-96e6-4494-a620-f754b6737ad4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