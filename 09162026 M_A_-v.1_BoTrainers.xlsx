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 filterPrivacy="1" defaultThemeVersion="202300"/>
  <xr:revisionPtr revIDLastSave="1114" documentId="8_{C97FF025-F76C-41BE-BB46-91C7D5101145}" xr6:coauthVersionLast="47" xr6:coauthVersionMax="47" xr10:uidLastSave="{FFD8240D-4A7E-4BC0-A953-14EE6803CF0A}"/>
  <bookViews>
    <workbookView xWindow="28692" yWindow="-108" windowWidth="29016" windowHeight="16416" activeTab="2" xr2:uid="{834824C5-2969-4692-9CB7-9E1AE60C65D5}"/>
  </bookViews>
  <sheets>
    <sheet name="Cover" sheetId="5" r:id="rId1"/>
    <sheet name="CaseData" sheetId="1" r:id="rId2"/>
    <sheet name="Merger" sheetId="6" r:id="rId3"/>
    <sheet name="TargetData" sheetId="3" r:id="rId4"/>
  </sheets>
  <definedNames>
    <definedName name="Acquirer">CaseData!$E$8</definedName>
    <definedName name="debt">Merger!$F$11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remium">Merger!$F$14</definedName>
    <definedName name="_xlnm.Print_Area" localSheetId="1">CaseData!$B$6:$O$48,CaseData!$B$51:$O$93,CaseData!$B$96:$O$137</definedName>
    <definedName name="_xlnm.Print_Area" localSheetId="0">Cover!$A$1:$M$24</definedName>
    <definedName name="_xlnm.Print_Area" localSheetId="3">TargetData!$B$2:$H$54</definedName>
    <definedName name="_xlnm.Print_Titles" localSheetId="1">CaseData!$2:$5</definedName>
    <definedName name="_xlnm.Print_Titles" localSheetId="2">Merger!$1:$4</definedName>
    <definedName name="Target">Merger!$F$17</definedName>
    <definedName name="topic">"CFM Topic: " &amp; CaseData!$B$34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2" i="6" l="1"/>
  <c r="F172" i="6"/>
  <c r="E7" i="3"/>
  <c r="E10" i="3" a="1"/>
  <c r="G121" i="6"/>
  <c r="F35" i="6"/>
  <c r="F64" i="6"/>
  <c r="H121" i="6"/>
  <c r="I121" i="6"/>
  <c r="G126" i="6"/>
  <c r="F30" i="6"/>
  <c r="F31" i="6"/>
  <c r="F32" i="6"/>
  <c r="F63" i="6"/>
  <c r="F36" i="6"/>
  <c r="F65" i="6"/>
  <c r="F57" i="6"/>
  <c r="F66" i="6"/>
  <c r="F37" i="6"/>
  <c r="F38" i="6"/>
  <c r="F67" i="6"/>
  <c r="F68" i="6"/>
  <c r="F60" i="6"/>
  <c r="F58" i="6"/>
  <c r="H126" i="6"/>
  <c r="I126" i="6"/>
  <c r="G110" i="6"/>
  <c r="H110" i="6"/>
  <c r="I110" i="6"/>
  <c r="G81" i="6"/>
  <c r="H81" i="6"/>
  <c r="I81" i="6"/>
  <c r="G82" i="6"/>
  <c r="H82" i="6"/>
  <c r="I82" i="6"/>
  <c r="I83" i="6"/>
  <c r="G85" i="6"/>
  <c r="H85" i="6"/>
  <c r="I85" i="6"/>
  <c r="G86" i="6"/>
  <c r="I86" i="6"/>
  <c r="I87" i="6"/>
  <c r="I134" i="6"/>
  <c r="E172" i="6"/>
  <c r="F121" i="6"/>
  <c r="F14" i="6"/>
  <c r="F12" i="6"/>
  <c r="F11" i="6"/>
  <c r="F20" i="6"/>
  <c r="F21" i="6"/>
  <c r="F126" i="6"/>
  <c r="F110" i="6"/>
  <c r="F81" i="6"/>
  <c r="F82" i="6"/>
  <c r="F85" i="6"/>
  <c r="F86" i="6"/>
  <c r="E162" i="6"/>
  <c r="F18" i="6"/>
  <c r="F19" i="6"/>
  <c r="H92" i="6"/>
  <c r="F92" i="6"/>
  <c r="I92" i="6"/>
  <c r="I135" i="6"/>
  <c r="F83" i="6"/>
  <c r="F87" i="6"/>
  <c r="F135" i="6"/>
  <c r="F134" i="6"/>
  <c r="G162" i="6"/>
  <c r="F162" i="6"/>
  <c r="G89" i="6"/>
  <c r="F41" i="6"/>
  <c r="F10" i="6"/>
  <c r="F42" i="6"/>
  <c r="F13" i="6"/>
  <c r="H89" i="6"/>
  <c r="F89" i="6"/>
  <c r="I89" i="6"/>
  <c r="I90" i="6"/>
  <c r="I93" i="6"/>
  <c r="F95" i="6"/>
  <c r="F22" i="6"/>
  <c r="H95" i="6"/>
  <c r="I95" i="6"/>
  <c r="I96" i="6"/>
  <c r="F59" i="6"/>
  <c r="F9" i="6"/>
  <c r="F71" i="6"/>
  <c r="H99" i="6"/>
  <c r="F99" i="6"/>
  <c r="I99" i="6"/>
  <c r="I100" i="6"/>
  <c r="F90" i="6"/>
  <c r="F93" i="6"/>
  <c r="F96" i="6"/>
  <c r="F100" i="6"/>
  <c r="I101" i="6"/>
  <c r="K81" i="6"/>
  <c r="K82" i="6"/>
  <c r="K83" i="6"/>
  <c r="K85" i="6"/>
  <c r="K86" i="6"/>
  <c r="K87" i="6"/>
  <c r="K89" i="6"/>
  <c r="K90" i="6"/>
  <c r="K92" i="6"/>
  <c r="K93" i="6"/>
  <c r="K95" i="6"/>
  <c r="K96" i="6"/>
  <c r="K100" i="6"/>
  <c r="N158" i="6"/>
  <c r="M158" i="6"/>
  <c r="N157" i="6"/>
  <c r="M157" i="6"/>
  <c r="N156" i="6"/>
  <c r="M156" i="6"/>
  <c r="N155" i="6"/>
  <c r="M155" i="6"/>
  <c r="N154" i="6"/>
  <c r="M154" i="6"/>
  <c r="L81" i="6"/>
  <c r="M81" i="6"/>
  <c r="N81" i="6"/>
  <c r="L82" i="6"/>
  <c r="M82" i="6"/>
  <c r="N82" i="6"/>
  <c r="N83" i="6"/>
  <c r="L85" i="6"/>
  <c r="M85" i="6"/>
  <c r="N85" i="6"/>
  <c r="L86" i="6"/>
  <c r="N86" i="6"/>
  <c r="N87" i="6"/>
  <c r="L89" i="6"/>
  <c r="M89" i="6"/>
  <c r="N89" i="6"/>
  <c r="N90" i="6"/>
  <c r="M92" i="6"/>
  <c r="N92" i="6"/>
  <c r="N93" i="6"/>
  <c r="M95" i="6"/>
  <c r="N95" i="6"/>
  <c r="N96" i="6"/>
  <c r="N100" i="6"/>
  <c r="N101" i="6"/>
  <c r="J153" i="6"/>
  <c r="J143" i="6"/>
  <c r="I158" i="6"/>
  <c r="H158" i="6"/>
  <c r="I157" i="6"/>
  <c r="H157" i="6"/>
  <c r="I156" i="6"/>
  <c r="H156" i="6"/>
  <c r="I155" i="6"/>
  <c r="H155" i="6"/>
  <c r="I154" i="6"/>
  <c r="H154" i="6"/>
  <c r="M152" i="6"/>
  <c r="K152" i="6"/>
  <c r="H152" i="6"/>
  <c r="F152" i="6"/>
  <c r="M142" i="6"/>
  <c r="K142" i="6"/>
  <c r="H142" i="6"/>
  <c r="F142" i="6"/>
  <c r="E153" i="6"/>
  <c r="E143" i="6"/>
  <c r="L153" i="6"/>
  <c r="N153" i="6"/>
  <c r="K153" i="6"/>
  <c r="M153" i="6"/>
  <c r="G153" i="6"/>
  <c r="I153" i="6"/>
  <c r="F153" i="6"/>
  <c r="H153" i="6"/>
  <c r="G111" i="6"/>
  <c r="F111" i="6"/>
  <c r="I111" i="6"/>
  <c r="N148" i="6"/>
  <c r="N147" i="6"/>
  <c r="N146" i="6"/>
  <c r="N145" i="6"/>
  <c r="N144" i="6"/>
  <c r="M148" i="6"/>
  <c r="M147" i="6"/>
  <c r="M146" i="6"/>
  <c r="M145" i="6"/>
  <c r="M144" i="6"/>
  <c r="I148" i="6"/>
  <c r="I147" i="6"/>
  <c r="I146" i="6"/>
  <c r="I145" i="6"/>
  <c r="I144" i="6"/>
  <c r="H148" i="6"/>
  <c r="H147" i="6"/>
  <c r="H146" i="6"/>
  <c r="H145" i="6"/>
  <c r="H144" i="6"/>
  <c r="L143" i="6"/>
  <c r="N143" i="6"/>
  <c r="K143" i="6"/>
  <c r="M143" i="6"/>
  <c r="G143" i="6"/>
  <c r="F143" i="6"/>
  <c r="I143" i="6"/>
  <c r="H143" i="6"/>
  <c r="E14" i="6"/>
  <c r="E31" i="6"/>
  <c r="N102" i="6"/>
  <c r="I102" i="6"/>
  <c r="G99" i="6"/>
  <c r="M83" i="6"/>
  <c r="M87" i="6"/>
  <c r="M90" i="6"/>
  <c r="M93" i="6"/>
  <c r="M96" i="6"/>
  <c r="H83" i="6"/>
  <c r="H87" i="6"/>
  <c r="H90" i="6"/>
  <c r="H93" i="6"/>
  <c r="H96" i="6"/>
  <c r="G112" i="6"/>
  <c r="F112" i="6"/>
  <c r="I112" i="6"/>
  <c r="G113" i="6"/>
  <c r="F113" i="6"/>
  <c r="I113" i="6"/>
  <c r="I114" i="6"/>
  <c r="G116" i="6"/>
  <c r="F116" i="6"/>
  <c r="I116" i="6"/>
  <c r="G117" i="6"/>
  <c r="F49" i="6"/>
  <c r="F43" i="6"/>
  <c r="F44" i="6"/>
  <c r="F45" i="6"/>
  <c r="F46" i="6"/>
  <c r="F50" i="6"/>
  <c r="F51" i="6"/>
  <c r="H117" i="6"/>
  <c r="F117" i="6"/>
  <c r="I117" i="6"/>
  <c r="G118" i="6"/>
  <c r="H118" i="6"/>
  <c r="F118" i="6"/>
  <c r="I118" i="6"/>
  <c r="I119" i="6"/>
  <c r="G122" i="6"/>
  <c r="F122" i="6"/>
  <c r="I122" i="6"/>
  <c r="G123" i="6"/>
  <c r="F123" i="6"/>
  <c r="I123" i="6"/>
  <c r="I124" i="6"/>
  <c r="G127" i="6"/>
  <c r="H127" i="6"/>
  <c r="F127" i="6"/>
  <c r="I127" i="6"/>
  <c r="I128" i="6"/>
  <c r="G130" i="6"/>
  <c r="H130" i="6"/>
  <c r="F130" i="6"/>
  <c r="I130" i="6"/>
  <c r="I131" i="6"/>
  <c r="H124" i="6"/>
  <c r="H128" i="6"/>
  <c r="H131" i="6"/>
  <c r="H114" i="6"/>
  <c r="H119" i="6"/>
  <c r="G114" i="6"/>
  <c r="G119" i="6"/>
  <c r="G131" i="6"/>
  <c r="G128" i="6"/>
  <c r="G124" i="6"/>
  <c r="F131" i="6"/>
  <c r="F128" i="6"/>
  <c r="F124" i="6"/>
  <c r="F119" i="6"/>
  <c r="F114" i="6"/>
  <c r="I108" i="6"/>
  <c r="G108" i="6"/>
  <c r="F108" i="6"/>
  <c r="L96" i="6"/>
  <c r="L95" i="6"/>
  <c r="L93" i="6"/>
  <c r="L92" i="6"/>
  <c r="L83" i="6"/>
  <c r="L87" i="6"/>
  <c r="L90" i="6"/>
  <c r="G96" i="6"/>
  <c r="G95" i="6"/>
  <c r="G93" i="6"/>
  <c r="G92" i="6"/>
  <c r="G83" i="6"/>
  <c r="G87" i="6"/>
  <c r="G90" i="6"/>
  <c r="N79" i="6"/>
  <c r="L79" i="6"/>
  <c r="K79" i="6"/>
  <c r="I79" i="6"/>
  <c r="G79" i="6"/>
  <c r="F79" i="6"/>
  <c r="G51" i="6"/>
  <c r="G50" i="6"/>
  <c r="E50" i="6"/>
  <c r="G49" i="6"/>
  <c r="E49" i="6"/>
  <c r="E22" i="6"/>
  <c r="E13" i="6"/>
  <c r="E21" i="6"/>
  <c r="E20" i="6"/>
  <c r="E18" i="6"/>
  <c r="E19" i="6"/>
  <c r="E12" i="6"/>
  <c r="E11" i="6"/>
  <c r="E10" i="6"/>
  <c r="E9" i="6"/>
  <c r="F8" i="6"/>
  <c r="A1" i="6"/>
  <c r="A2" i="6" a="1"/>
  <c r="H54" i="3"/>
  <c r="H50" i="3"/>
  <c r="H51" i="3"/>
  <c r="H47" i="3"/>
  <c r="H48" i="3"/>
  <c r="H49" i="3"/>
  <c r="H41" i="3"/>
  <c r="H42" i="3"/>
  <c r="H43" i="3"/>
  <c r="H37" i="3"/>
  <c r="H38" i="3"/>
  <c r="H39" i="3"/>
  <c r="H40" i="3"/>
  <c r="H31" i="3"/>
  <c r="H32" i="3"/>
  <c r="H33" i="3"/>
  <c r="H30" i="3"/>
  <c r="H28" i="3"/>
  <c r="H29" i="3"/>
  <c r="H26" i="3"/>
  <c r="H27" i="3"/>
  <c r="H21" i="3"/>
  <c r="H22" i="3"/>
  <c r="H23" i="3"/>
  <c r="H20" i="3"/>
  <c r="H18" i="3"/>
  <c r="H19" i="3"/>
  <c r="H16" i="3"/>
  <c r="H17" i="3"/>
  <c r="H12" i="3"/>
  <c r="H7" i="3"/>
  <c r="G54" i="3"/>
  <c r="G48" i="3"/>
  <c r="G49" i="3"/>
  <c r="G50" i="3"/>
  <c r="G51" i="3"/>
  <c r="G47" i="3"/>
  <c r="G41" i="3"/>
  <c r="G42" i="3"/>
  <c r="G43" i="3"/>
  <c r="G37" i="3"/>
  <c r="G38" i="3"/>
  <c r="G39" i="3"/>
  <c r="G40" i="3"/>
  <c r="G31" i="3"/>
  <c r="G32" i="3"/>
  <c r="G33" i="3"/>
  <c r="G30" i="3"/>
  <c r="G28" i="3"/>
  <c r="G29" i="3"/>
  <c r="G26" i="3"/>
  <c r="G27" i="3"/>
  <c r="G21" i="3"/>
  <c r="G23" i="3"/>
  <c r="G22" i="3"/>
  <c r="G20" i="3"/>
  <c r="G18" i="3"/>
  <c r="G19" i="3"/>
  <c r="G16" i="3"/>
  <c r="G17" i="3"/>
  <c r="G10" i="3"/>
  <c r="G11" i="3"/>
  <c r="G12" i="3"/>
  <c r="G7" i="3"/>
  <c r="B15" i="3"/>
  <c r="O103" i="1"/>
  <c r="O102" i="1"/>
  <c r="I103" i="1"/>
  <c r="I102" i="1"/>
  <c r="O59" i="1"/>
  <c r="O58" i="1"/>
  <c r="I59" i="1"/>
  <c r="I58" i="1"/>
  <c r="O14" i="1"/>
  <c r="O13" i="1"/>
  <c r="O118" i="1"/>
  <c r="H6" i="3"/>
  <c r="G6" i="3"/>
  <c r="D103" i="1"/>
  <c r="D59" i="1"/>
  <c r="O108" i="1"/>
  <c r="K130" i="1"/>
  <c r="J130" i="1"/>
  <c r="K128" i="1"/>
  <c r="J128" i="1"/>
  <c r="K127" i="1"/>
  <c r="J127" i="1"/>
  <c r="K125" i="1"/>
  <c r="J125" i="1"/>
  <c r="K106" i="1"/>
  <c r="K126" i="1"/>
  <c r="I106" i="1"/>
  <c r="I110" i="1"/>
  <c r="I130" i="1"/>
  <c r="I128" i="1"/>
  <c r="I127" i="1"/>
  <c r="K103" i="1"/>
  <c r="E103" i="1"/>
  <c r="O74" i="1"/>
  <c r="O64" i="1"/>
  <c r="K86" i="1"/>
  <c r="J86" i="1"/>
  <c r="K84" i="1"/>
  <c r="J84" i="1"/>
  <c r="K83" i="1"/>
  <c r="J83" i="1"/>
  <c r="K81" i="1"/>
  <c r="J81" i="1"/>
  <c r="I62" i="1"/>
  <c r="I84" i="1"/>
  <c r="I83" i="1"/>
  <c r="I86" i="1"/>
  <c r="K59" i="1"/>
  <c r="E59" i="1"/>
  <c r="J41" i="1"/>
  <c r="K41" i="1"/>
  <c r="J39" i="1"/>
  <c r="K39" i="1"/>
  <c r="J38" i="1"/>
  <c r="K38" i="1"/>
  <c r="J36" i="1"/>
  <c r="K36" i="1"/>
  <c r="O29" i="1"/>
  <c r="O33" i="1"/>
  <c r="O36" i="1"/>
  <c r="O19" i="1"/>
  <c r="O24" i="1"/>
  <c r="K17" i="1"/>
  <c r="K37" i="1"/>
  <c r="I41" i="1"/>
  <c r="I39" i="1"/>
  <c r="I38" i="1"/>
  <c r="H52" i="3"/>
  <c r="H55" i="3"/>
  <c r="G52" i="3"/>
  <c r="G55" i="3"/>
  <c r="G44" i="3"/>
  <c r="H44" i="3"/>
  <c r="O38" i="1"/>
  <c r="I136" i="1"/>
  <c r="I135" i="1"/>
  <c r="O122" i="1"/>
  <c r="O113" i="1"/>
  <c r="K110" i="1"/>
  <c r="K129" i="1"/>
  <c r="J106" i="1"/>
  <c r="I129" i="1"/>
  <c r="I113" i="1"/>
  <c r="I126" i="1"/>
  <c r="O69" i="1"/>
  <c r="O78" i="1"/>
  <c r="K62" i="1"/>
  <c r="J62" i="1"/>
  <c r="I66" i="1"/>
  <c r="I82" i="1"/>
  <c r="K21" i="1"/>
  <c r="J17" i="1"/>
  <c r="I92" i="1"/>
  <c r="I91" i="1"/>
  <c r="O81" i="1"/>
  <c r="O83" i="1"/>
  <c r="O125" i="1"/>
  <c r="O127" i="1"/>
  <c r="J110" i="1"/>
  <c r="J129" i="1"/>
  <c r="J126" i="1"/>
  <c r="J66" i="1"/>
  <c r="J85" i="1"/>
  <c r="J82" i="1"/>
  <c r="K66" i="1"/>
  <c r="K69" i="1"/>
  <c r="K72" i="1"/>
  <c r="K88" i="1"/>
  <c r="K82" i="1"/>
  <c r="K113" i="1"/>
  <c r="K131" i="1"/>
  <c r="I116" i="1"/>
  <c r="I131" i="1"/>
  <c r="I69" i="1"/>
  <c r="I85" i="1"/>
  <c r="K24" i="1"/>
  <c r="K40" i="1"/>
  <c r="J21" i="1"/>
  <c r="J37" i="1"/>
  <c r="K87" i="1"/>
  <c r="K85" i="1"/>
  <c r="J113" i="1"/>
  <c r="J116" i="1"/>
  <c r="J132" i="1"/>
  <c r="J69" i="1"/>
  <c r="J87" i="1"/>
  <c r="K75" i="1"/>
  <c r="K89" i="1"/>
  <c r="K116" i="1"/>
  <c r="I132" i="1"/>
  <c r="I119" i="1"/>
  <c r="I72" i="1"/>
  <c r="I87" i="1"/>
  <c r="K27" i="1"/>
  <c r="K42" i="1"/>
  <c r="J24" i="1"/>
  <c r="J40" i="1"/>
  <c r="I17" i="1"/>
  <c r="I37" i="1"/>
  <c r="K14" i="1"/>
  <c r="B25" i="3"/>
  <c r="J119" i="1"/>
  <c r="J123" i="1"/>
  <c r="J131" i="1"/>
  <c r="J72" i="1"/>
  <c r="J88" i="1"/>
  <c r="K79" i="1"/>
  <c r="K119" i="1"/>
  <c r="K123" i="1"/>
  <c r="K132" i="1"/>
  <c r="I123" i="1"/>
  <c r="I133" i="1"/>
  <c r="I75" i="1"/>
  <c r="J27" i="1"/>
  <c r="J43" i="1"/>
  <c r="J42" i="1"/>
  <c r="K43" i="1"/>
  <c r="K30" i="1"/>
  <c r="I21" i="1"/>
  <c r="J133" i="1"/>
  <c r="I46" i="1"/>
  <c r="I47" i="1"/>
  <c r="J75" i="1"/>
  <c r="J79" i="1"/>
  <c r="K133" i="1"/>
  <c r="I79" i="1"/>
  <c r="I89" i="1"/>
  <c r="I88" i="1"/>
  <c r="J30" i="1"/>
  <c r="J34" i="1"/>
  <c r="K34" i="1"/>
  <c r="K44" i="1"/>
  <c r="I24" i="1"/>
  <c r="I40" i="1"/>
  <c r="J89" i="1"/>
  <c r="J44" i="1"/>
  <c r="I27" i="1"/>
  <c r="I43" i="1"/>
  <c r="I42" i="1"/>
  <c r="I30" i="1"/>
  <c r="I34" i="1"/>
  <c r="I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6" authorId="0" shapeId="0" xr:uid="{2D2154EC-F225-42A6-95F0-B4741ACD2375}">
      <text>
        <r>
          <rPr>
            <sz val="9"/>
            <color indexed="81"/>
            <rFont val="Tahoma"/>
            <family val="2"/>
          </rPr>
          <t xml:space="preserve">Also spelled Acquiror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<sst xmlns="http://schemas.openxmlformats.org/spreadsheetml/2006/main" count="401" uniqueCount="154">
  <si>
    <t>Highpeak</t>
  </si>
  <si>
    <t>NoLace</t>
  </si>
  <si>
    <t>Sample CFM M&amp;A Question</t>
  </si>
  <si>
    <t>Case Data</t>
  </si>
  <si>
    <t>(in US$ millions, except per share amounts)</t>
  </si>
  <si>
    <t>Current Share Price</t>
  </si>
  <si>
    <t>x</t>
  </si>
  <si>
    <t>Forecast</t>
  </si>
  <si>
    <t>Revenues</t>
  </si>
  <si>
    <t>Gross Margin</t>
  </si>
  <si>
    <t>Other Expenses</t>
  </si>
  <si>
    <t>Operating Income</t>
  </si>
  <si>
    <t>Interest Expense (Net)</t>
  </si>
  <si>
    <t>Earnings Before Tax</t>
  </si>
  <si>
    <t>Income Tax Expense</t>
  </si>
  <si>
    <t>Net Earnings</t>
  </si>
  <si>
    <t>Earnings Per Share</t>
  </si>
  <si>
    <t>Balance Sheet</t>
  </si>
  <si>
    <t>Fully Diluted Shares Outstanding (mm)</t>
  </si>
  <si>
    <t>Cash &amp; Equivalents</t>
  </si>
  <si>
    <t>Other Current Assets</t>
  </si>
  <si>
    <t>Fixed Assets (Net)</t>
  </si>
  <si>
    <t>Goodwill</t>
  </si>
  <si>
    <t>Total Assets</t>
  </si>
  <si>
    <t>Accounts Payable</t>
  </si>
  <si>
    <t>Total Current Assets</t>
  </si>
  <si>
    <t>Long-term Debt</t>
  </si>
  <si>
    <t>Depreciation &amp; Amortization</t>
  </si>
  <si>
    <t>Other Liabilities</t>
  </si>
  <si>
    <t>Shareholders' Equity</t>
  </si>
  <si>
    <t>Total Liabilities &amp; Equity</t>
  </si>
  <si>
    <t>Cost of Goods Sold (ex. D&amp;A)</t>
  </si>
  <si>
    <t>SG&amp;A Expenses (ex. D&amp;A)</t>
  </si>
  <si>
    <t>EBITDA</t>
  </si>
  <si>
    <t>Other Long-term Assets</t>
  </si>
  <si>
    <t>Gross Profit</t>
  </si>
  <si>
    <t>SG&amp;A % of Revenues</t>
  </si>
  <si>
    <t>D&amp;A % of Revenues</t>
  </si>
  <si>
    <t>Tax Rate</t>
  </si>
  <si>
    <t>Revenue Growth</t>
  </si>
  <si>
    <t>Accounts Receivable</t>
  </si>
  <si>
    <t>Inventories</t>
  </si>
  <si>
    <t>CHECK</t>
  </si>
  <si>
    <t xml:space="preserve">N/A  </t>
  </si>
  <si>
    <t>EBITDA Margin</t>
  </si>
  <si>
    <t>Operating Income Margin</t>
  </si>
  <si>
    <t>Net Margin</t>
  </si>
  <si>
    <t>Other Expenses % of Revenues</t>
  </si>
  <si>
    <t>Deal Assumptions</t>
  </si>
  <si>
    <t>Cost of New Debt</t>
  </si>
  <si>
    <t>Minimum Cash on Hand at Closing</t>
  </si>
  <si>
    <t>Other Fees (% of Target Enterprise Value)</t>
  </si>
  <si>
    <t>Synergy Assumptions</t>
  </si>
  <si>
    <t>Revenue Synergies</t>
  </si>
  <si>
    <t>SG&amp;A Synergies</t>
  </si>
  <si>
    <t>Cost of Goods Sold Synergies</t>
  </si>
  <si>
    <t>INCOME STATEMENT</t>
  </si>
  <si>
    <t>SHARE CAPITAL</t>
  </si>
  <si>
    <t>LIVE TARGET</t>
  </si>
  <si>
    <t>% of Required Funding with New Debt</t>
  </si>
  <si>
    <t>Total Current Liabilities</t>
  </si>
  <si>
    <t>Combined Effective Tax Rate</t>
  </si>
  <si>
    <t>Net Debt / EBITDA</t>
  </si>
  <si>
    <t>NA</t>
  </si>
  <si>
    <t>EBITDA / Net Interest Expense</t>
  </si>
  <si>
    <t>Equity Premium</t>
  </si>
  <si>
    <t>Purchase Price:</t>
  </si>
  <si>
    <t>Financing:</t>
  </si>
  <si>
    <t>Fees:</t>
  </si>
  <si>
    <t>Other:</t>
  </si>
  <si>
    <t>Equity Value</t>
  </si>
  <si>
    <t xml:space="preserve">NA  </t>
  </si>
  <si>
    <t>% of Gross Assets Written Up</t>
  </si>
  <si>
    <t>Life of Written Up Assets</t>
  </si>
  <si>
    <t>Interest Income on Cash</t>
  </si>
  <si>
    <t>Year</t>
  </si>
  <si>
    <t>HISTORICAL BALANCE SHEET</t>
  </si>
  <si>
    <t>Short-term Debt</t>
  </si>
  <si>
    <t>Income Statement</t>
  </si>
  <si>
    <t>Last Fiscal</t>
  </si>
  <si>
    <t>TARGET 1</t>
  </si>
  <si>
    <t>TARGET 2</t>
  </si>
  <si>
    <t>ACQUIRER</t>
  </si>
  <si>
    <t>Company Name:</t>
  </si>
  <si>
    <t>Current Share Price:</t>
  </si>
  <si>
    <t>Fully Diluted Shares Outstanding (mm):</t>
  </si>
  <si>
    <t>Equity Value:</t>
  </si>
  <si>
    <t>Target Data Selector</t>
  </si>
  <si>
    <t>COMPANY NAME</t>
  </si>
  <si>
    <t>Assets</t>
  </si>
  <si>
    <t>Liabilities and Equity</t>
  </si>
  <si>
    <t>BoTrainers</t>
  </si>
  <si>
    <t>CFM LEARNING MATERIALS</t>
  </si>
  <si>
    <t>FINANCIAL MODELING INSTITUTE</t>
  </si>
  <si>
    <t>LEVEL 2: CHARTERED FINANCIAL MODELER (CFM)</t>
  </si>
  <si>
    <t>Case Name:</t>
  </si>
  <si>
    <t>Topic 8:</t>
  </si>
  <si>
    <t>M&amp;A and Subsidiaries</t>
  </si>
  <si>
    <t>Total Liabilities and Equity</t>
  </si>
  <si>
    <t>Total Liabilities</t>
  </si>
  <si>
    <t>Weighted Avg Shares OS</t>
  </si>
  <si>
    <t>Debt Financing Fees (% of Amount Issued)</t>
  </si>
  <si>
    <t>Other Current Liabilities</t>
  </si>
  <si>
    <t>MERGER MODEL</t>
  </si>
  <si>
    <t>M&amp;A</t>
  </si>
  <si>
    <t>Acquirer</t>
  </si>
  <si>
    <t>Target</t>
  </si>
  <si>
    <t>Assumptions</t>
  </si>
  <si>
    <t>Constant</t>
  </si>
  <si>
    <t>Unit</t>
  </si>
  <si>
    <t>%</t>
  </si>
  <si>
    <t>USD</t>
  </si>
  <si>
    <t>label</t>
  </si>
  <si>
    <t>USD m</t>
  </si>
  <si>
    <t>years</t>
  </si>
  <si>
    <t>Purchase Price Allocation</t>
  </si>
  <si>
    <t>Pre-acquisition Equity Value</t>
  </si>
  <si>
    <t>Purchase Price of Equity</t>
  </si>
  <si>
    <t>plus</t>
  </si>
  <si>
    <t>less</t>
  </si>
  <si>
    <t>Enterprise Value</t>
  </si>
  <si>
    <t>Fair Market Value of Net Assets</t>
  </si>
  <si>
    <t>Total assets</t>
  </si>
  <si>
    <t>Assets Write-Ups</t>
  </si>
  <si>
    <t>Total liabilities</t>
  </si>
  <si>
    <t>Deferred tax liabilities</t>
  </si>
  <si>
    <t>Purchase price of Equity</t>
  </si>
  <si>
    <t>Sources and Uses of Funds</t>
  </si>
  <si>
    <t>Uses of Funds</t>
  </si>
  <si>
    <t>Purchase of Target Equity</t>
  </si>
  <si>
    <t>Refinincing of Target Short-term Debt</t>
  </si>
  <si>
    <t>Refinincing of Target Long-term Debt</t>
  </si>
  <si>
    <t>Debt Financing Fees</t>
  </si>
  <si>
    <t>Sources of Funds</t>
  </si>
  <si>
    <t>Other Fees</t>
  </si>
  <si>
    <t>Debt</t>
  </si>
  <si>
    <t>Equity</t>
  </si>
  <si>
    <t>Adjustment</t>
  </si>
  <si>
    <t>Forecast Year 1</t>
  </si>
  <si>
    <t>Forecast Year 2</t>
  </si>
  <si>
    <t>Shares issued</t>
  </si>
  <si>
    <t>shares m</t>
  </si>
  <si>
    <t>Pro Forma Financial Statements</t>
  </si>
  <si>
    <t>Closing Balance Sheet</t>
  </si>
  <si>
    <t>Earnings per share</t>
  </si>
  <si>
    <t>Weighted average shares outstanding</t>
  </si>
  <si>
    <t>Accredtion / dilution (USD)</t>
  </si>
  <si>
    <t>Accredtion / dilution (%)</t>
  </si>
  <si>
    <t>Equity premium</t>
  </si>
  <si>
    <t>Percentage of Funding with new Debt</t>
  </si>
  <si>
    <t>Closing net Debt / EBDITA</t>
  </si>
  <si>
    <t>Net Debt / Year 1 EBIDTA</t>
  </si>
  <si>
    <t>Year 1 EBIDTA / Net Interest Expenses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</si>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</sst>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&quot;$&quot;#,##0_);\(&quot;$&quot;#,##0\)"/>
    <numFmt numFmtId="165" formatCode="&quot;$&quot;#,##0.00_);\(&quot;$&quot;#,##0.00\)"/>
    <numFmt numFmtId="166" formatCode="#,##0.0_);\(#,##0.0\)"/>
    <numFmt numFmtId="167" formatCode="&quot;Year&quot;\ 0"/>
    <numFmt numFmtId="168" formatCode="&quot;$&quot;#,##0.0_);\(&quot;$&quot;#,##0.0\)"/>
    <numFmt numFmtId="169" formatCode="0.0%"/>
    <numFmt numFmtId="170" formatCode="0.0\ \x"/>
    <numFmt numFmtId="171" formatCode="0\ &quot;years&quot;"/>
    <numFmt numFmtId="172" formatCode="&quot;$&quot;#,##0.0"/>
    <numFmt numFmtId="173" formatCode="#,##0.0;\(#,##0.0\)"/>
    <numFmt numFmtId="174" formatCode="#,##0.0_);\(#,##0.0\);&quot;-  &quot;;&quot; &quot;@"/>
    <numFmt numFmtId="175" formatCode="#,##0.00_);\(#,##0.00\);&quot;-  &quot;;&quot; &quot;@"/>
    <numFmt numFmtId="176" formatCode="#,##0.00;\(#,##0.00\)"/>
    <numFmt numFmtId="177" formatCode="#,##0.000_);\(#,##0.000\);&quot;-  &quot;;&quot; &quot;@"/>
    <numFmt numFmtId="178" formatCode="0.0%_);\(0.0%\)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 val="singleAccounting"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name val="Aptos Narrow"/>
      <family val="2"/>
      <scheme val="minor"/>
    </font>
    <font>
      <b/>
      <sz val="9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u/>
      <sz val="11"/>
      <color theme="5" tint="-0.499984740745262"/>
      <name val="Aptos Narrow"/>
      <family val="2"/>
      <scheme val="minor"/>
    </font>
    <font>
      <u/>
      <sz val="1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sz val="9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4659260841701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6" fillId="0" borderId="0" xfId="0" applyFont="1"/>
    <xf numFmtId="0" fontId="7" fillId="0" borderId="1" xfId="0" applyFont="1" applyBorder="1"/>
    <xf numFmtId="0" fontId="0" fillId="0" borderId="1" xfId="0" applyBorder="1"/>
    <xf numFmtId="0" fontId="8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65" fontId="0" fillId="0" borderId="0" xfId="0" applyNumberFormat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Border="1"/>
    <xf numFmtId="167" fontId="12" fillId="0" borderId="0" xfId="0" applyNumberFormat="1" applyFont="1" applyAlignment="1">
      <alignment horizontal="center"/>
    </xf>
    <xf numFmtId="0" fontId="0" fillId="0" borderId="7" xfId="0" applyBorder="1"/>
    <xf numFmtId="168" fontId="5" fillId="0" borderId="0" xfId="0" applyNumberFormat="1" applyFont="1"/>
    <xf numFmtId="168" fontId="5" fillId="0" borderId="2" xfId="0" applyNumberFormat="1" applyFont="1" applyBorder="1"/>
    <xf numFmtId="166" fontId="5" fillId="0" borderId="7" xfId="0" applyNumberFormat="1" applyFont="1" applyBorder="1"/>
    <xf numFmtId="166" fontId="4" fillId="0" borderId="0" xfId="0" applyNumberFormat="1" applyFont="1"/>
    <xf numFmtId="166" fontId="5" fillId="0" borderId="0" xfId="0" applyNumberFormat="1" applyFont="1"/>
    <xf numFmtId="165" fontId="13" fillId="0" borderId="0" xfId="0" applyNumberFormat="1" applyFont="1"/>
    <xf numFmtId="166" fontId="4" fillId="0" borderId="9" xfId="0" applyNumberFormat="1" applyFont="1" applyBorder="1"/>
    <xf numFmtId="165" fontId="13" fillId="0" borderId="2" xfId="0" applyNumberFormat="1" applyFont="1" applyBorder="1"/>
    <xf numFmtId="169" fontId="0" fillId="0" borderId="0" xfId="0" applyNumberFormat="1"/>
    <xf numFmtId="166" fontId="5" fillId="0" borderId="2" xfId="0" applyNumberFormat="1" applyFont="1" applyBorder="1"/>
    <xf numFmtId="166" fontId="5" fillId="0" borderId="8" xfId="0" applyNumberFormat="1" applyFont="1" applyBorder="1"/>
    <xf numFmtId="0" fontId="8" fillId="0" borderId="10" xfId="0" applyFont="1" applyBorder="1"/>
    <xf numFmtId="0" fontId="8" fillId="0" borderId="11" xfId="0" applyFont="1" applyBorder="1"/>
    <xf numFmtId="166" fontId="8" fillId="0" borderId="12" xfId="0" applyNumberFormat="1" applyFont="1" applyBorder="1"/>
    <xf numFmtId="169" fontId="9" fillId="0" borderId="0" xfId="0" applyNumberFormat="1" applyFont="1"/>
    <xf numFmtId="0" fontId="0" fillId="0" borderId="0" xfId="0" applyAlignment="1">
      <alignment horizontal="right"/>
    </xf>
    <xf numFmtId="169" fontId="9" fillId="0" borderId="2" xfId="0" applyNumberFormat="1" applyFont="1" applyBorder="1"/>
    <xf numFmtId="169" fontId="5" fillId="0" borderId="0" xfId="0" applyNumberFormat="1" applyFont="1"/>
    <xf numFmtId="0" fontId="0" fillId="0" borderId="13" xfId="0" applyBorder="1"/>
    <xf numFmtId="168" fontId="4" fillId="0" borderId="0" xfId="0" applyNumberFormat="1" applyFont="1"/>
    <xf numFmtId="167" fontId="1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/>
    <xf numFmtId="168" fontId="4" fillId="0" borderId="9" xfId="0" applyNumberFormat="1" applyFont="1" applyBorder="1"/>
    <xf numFmtId="0" fontId="14" fillId="0" borderId="0" xfId="0" applyFont="1"/>
    <xf numFmtId="0" fontId="11" fillId="0" borderId="0" xfId="0" applyFont="1" applyAlignment="1">
      <alignment horizontal="centerContinuous"/>
    </xf>
    <xf numFmtId="0" fontId="5" fillId="2" borderId="0" xfId="0" applyFont="1" applyFill="1" applyAlignment="1">
      <alignment horizontal="center"/>
    </xf>
    <xf numFmtId="170" fontId="0" fillId="0" borderId="0" xfId="0" applyNumberFormat="1"/>
    <xf numFmtId="0" fontId="5" fillId="0" borderId="0" xfId="0" applyFont="1" applyAlignment="1">
      <alignment horizontal="right"/>
    </xf>
    <xf numFmtId="0" fontId="5" fillId="0" borderId="2" xfId="0" applyFont="1" applyBorder="1" applyAlignment="1">
      <alignment horizontal="right"/>
    </xf>
    <xf numFmtId="164" fontId="5" fillId="0" borderId="0" xfId="0" applyNumberFormat="1" applyFont="1" applyAlignment="1">
      <alignment horizontal="center"/>
    </xf>
    <xf numFmtId="171" fontId="5" fillId="0" borderId="0" xfId="0" applyNumberFormat="1" applyFont="1"/>
    <xf numFmtId="0" fontId="18" fillId="0" borderId="1" xfId="0" applyFont="1" applyBorder="1"/>
    <xf numFmtId="167" fontId="17" fillId="0" borderId="3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Continuous" vertical="center"/>
    </xf>
    <xf numFmtId="0" fontId="0" fillId="4" borderId="5" xfId="0" applyFill="1" applyBorder="1" applyAlignment="1">
      <alignment horizontal="centerContinuous" vertical="center"/>
    </xf>
    <xf numFmtId="0" fontId="0" fillId="4" borderId="6" xfId="0" applyFill="1" applyBorder="1" applyAlignment="1">
      <alignment horizontal="centerContinuous" vertical="center"/>
    </xf>
    <xf numFmtId="0" fontId="0" fillId="0" borderId="0" xfId="0" applyAlignment="1">
      <alignment vertical="center"/>
    </xf>
    <xf numFmtId="0" fontId="21" fillId="0" borderId="13" xfId="0" applyFont="1" applyBorder="1" applyAlignment="1">
      <alignment horizontal="centerContinuous"/>
    </xf>
    <xf numFmtId="167" fontId="20" fillId="0" borderId="3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4" fillId="6" borderId="4" xfId="0" applyFont="1" applyFill="1" applyBorder="1" applyAlignment="1">
      <alignment horizontal="centerContinuous" vertical="center"/>
    </xf>
    <xf numFmtId="0" fontId="0" fillId="6" borderId="5" xfId="0" applyFill="1" applyBorder="1" applyAlignment="1">
      <alignment horizontal="centerContinuous" vertical="center"/>
    </xf>
    <xf numFmtId="0" fontId="0" fillId="6" borderId="6" xfId="0" applyFill="1" applyBorder="1" applyAlignment="1">
      <alignment horizontal="centerContinuous" vertical="center"/>
    </xf>
    <xf numFmtId="0" fontId="21" fillId="0" borderId="0" xfId="0" applyFont="1" applyAlignment="1">
      <alignment horizontal="centerContinuous"/>
    </xf>
    <xf numFmtId="167" fontId="22" fillId="0" borderId="1" xfId="0" applyNumberFormat="1" applyFont="1" applyBorder="1" applyAlignment="1">
      <alignment horizontal="center"/>
    </xf>
    <xf numFmtId="170" fontId="0" fillId="0" borderId="1" xfId="0" applyNumberFormat="1" applyBorder="1"/>
    <xf numFmtId="0" fontId="5" fillId="0" borderId="1" xfId="0" applyFont="1" applyBorder="1" applyAlignment="1">
      <alignment horizontal="right"/>
    </xf>
    <xf numFmtId="0" fontId="23" fillId="0" borderId="13" xfId="0" applyFont="1" applyBorder="1" applyAlignment="1">
      <alignment horizontal="centerContinuous"/>
    </xf>
    <xf numFmtId="167" fontId="16" fillId="0" borderId="1" xfId="0" applyNumberFormat="1" applyFont="1" applyBorder="1" applyAlignment="1">
      <alignment horizontal="center"/>
    </xf>
    <xf numFmtId="0" fontId="24" fillId="0" borderId="0" xfId="0" applyFont="1" applyAlignment="1">
      <alignment horizontal="centerContinuous"/>
    </xf>
    <xf numFmtId="0" fontId="23" fillId="0" borderId="0" xfId="0" applyFont="1" applyAlignment="1">
      <alignment horizontal="centerContinuous"/>
    </xf>
    <xf numFmtId="0" fontId="0" fillId="4" borderId="15" xfId="0" applyFill="1" applyBorder="1"/>
    <xf numFmtId="165" fontId="9" fillId="4" borderId="15" xfId="0" applyNumberFormat="1" applyFont="1" applyFill="1" applyBorder="1" applyAlignment="1">
      <alignment horizontal="right"/>
    </xf>
    <xf numFmtId="168" fontId="9" fillId="4" borderId="15" xfId="0" applyNumberFormat="1" applyFont="1" applyFill="1" applyBorder="1"/>
    <xf numFmtId="166" fontId="9" fillId="4" borderId="15" xfId="0" applyNumberFormat="1" applyFont="1" applyFill="1" applyBorder="1"/>
    <xf numFmtId="0" fontId="0" fillId="4" borderId="21" xfId="0" applyFill="1" applyBorder="1"/>
    <xf numFmtId="0" fontId="0" fillId="6" borderId="17" xfId="0" applyFill="1" applyBorder="1"/>
    <xf numFmtId="0" fontId="0" fillId="6" borderId="18" xfId="0" applyFill="1" applyBorder="1"/>
    <xf numFmtId="168" fontId="9" fillId="6" borderId="2" xfId="0" applyNumberFormat="1" applyFont="1" applyFill="1" applyBorder="1"/>
    <xf numFmtId="0" fontId="0" fillId="6" borderId="2" xfId="0" applyFill="1" applyBorder="1"/>
    <xf numFmtId="0" fontId="0" fillId="6" borderId="19" xfId="0" applyFill="1" applyBorder="1"/>
    <xf numFmtId="0" fontId="0" fillId="6" borderId="0" xfId="0" applyFill="1"/>
    <xf numFmtId="165" fontId="5" fillId="6" borderId="0" xfId="0" applyNumberFormat="1" applyFont="1" applyFill="1" applyAlignment="1">
      <alignment horizontal="right"/>
    </xf>
    <xf numFmtId="0" fontId="0" fillId="6" borderId="13" xfId="0" applyFill="1" applyBorder="1"/>
    <xf numFmtId="0" fontId="0" fillId="6" borderId="1" xfId="0" applyFill="1" applyBorder="1"/>
    <xf numFmtId="0" fontId="0" fillId="6" borderId="20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65" fontId="25" fillId="6" borderId="2" xfId="0" applyNumberFormat="1" applyFont="1" applyFill="1" applyBorder="1"/>
    <xf numFmtId="166" fontId="25" fillId="6" borderId="2" xfId="0" applyNumberFormat="1" applyFont="1" applyFill="1" applyBorder="1"/>
    <xf numFmtId="168" fontId="25" fillId="6" borderId="2" xfId="0" applyNumberFormat="1" applyFont="1" applyFill="1" applyBorder="1"/>
    <xf numFmtId="168" fontId="25" fillId="6" borderId="0" xfId="0" applyNumberFormat="1" applyFont="1" applyFill="1"/>
    <xf numFmtId="0" fontId="26" fillId="0" borderId="0" xfId="0" applyFont="1" applyAlignment="1">
      <alignment horizontal="center"/>
    </xf>
    <xf numFmtId="166" fontId="25" fillId="6" borderId="0" xfId="0" applyNumberFormat="1" applyFont="1" applyFill="1"/>
    <xf numFmtId="0" fontId="22" fillId="0" borderId="0" xfId="0" applyFont="1" applyAlignment="1">
      <alignment horizontal="center"/>
    </xf>
    <xf numFmtId="1" fontId="22" fillId="0" borderId="20" xfId="0" applyNumberFormat="1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72" fontId="5" fillId="0" borderId="0" xfId="0" applyNumberFormat="1" applyFont="1"/>
    <xf numFmtId="166" fontId="13" fillId="4" borderId="15" xfId="0" applyNumberFormat="1" applyFont="1" applyFill="1" applyBorder="1"/>
    <xf numFmtId="166" fontId="13" fillId="6" borderId="2" xfId="0" applyNumberFormat="1" applyFont="1" applyFill="1" applyBorder="1" applyAlignment="1">
      <alignment horizontal="right"/>
    </xf>
    <xf numFmtId="166" fontId="30" fillId="6" borderId="0" xfId="0" applyNumberFormat="1" applyFont="1" applyFill="1"/>
    <xf numFmtId="166" fontId="31" fillId="4" borderId="15" xfId="0" applyNumberFormat="1" applyFont="1" applyFill="1" applyBorder="1"/>
    <xf numFmtId="166" fontId="13" fillId="6" borderId="0" xfId="0" applyNumberFormat="1" applyFont="1" applyFill="1" applyAlignment="1">
      <alignment horizontal="right"/>
    </xf>
    <xf numFmtId="166" fontId="13" fillId="4" borderId="16" xfId="0" applyNumberFormat="1" applyFont="1" applyFill="1" applyBorder="1"/>
    <xf numFmtId="166" fontId="13" fillId="6" borderId="3" xfId="0" applyNumberFormat="1" applyFont="1" applyFill="1" applyBorder="1"/>
    <xf numFmtId="166" fontId="13" fillId="6" borderId="1" xfId="0" applyNumberFormat="1" applyFont="1" applyFill="1" applyBorder="1"/>
    <xf numFmtId="166" fontId="13" fillId="6" borderId="2" xfId="0" applyNumberFormat="1" applyFont="1" applyFill="1" applyBorder="1"/>
    <xf numFmtId="166" fontId="13" fillId="6" borderId="0" xfId="0" applyNumberFormat="1" applyFont="1" applyFill="1"/>
    <xf numFmtId="0" fontId="0" fillId="0" borderId="0" xfId="0" applyAlignment="1">
      <alignment horizontal="left"/>
    </xf>
    <xf numFmtId="0" fontId="32" fillId="0" borderId="0" xfId="0" applyFont="1"/>
    <xf numFmtId="0" fontId="10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8" borderId="14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vertical="center"/>
    </xf>
    <xf numFmtId="0" fontId="25" fillId="7" borderId="6" xfId="0" applyFont="1" applyFill="1" applyBorder="1" applyAlignment="1">
      <alignment vertical="center"/>
    </xf>
    <xf numFmtId="0" fontId="33" fillId="0" borderId="1" xfId="0" applyFont="1" applyBorder="1"/>
    <xf numFmtId="0" fontId="34" fillId="9" borderId="0" xfId="0" applyFont="1" applyFill="1"/>
    <xf numFmtId="0" fontId="3" fillId="0" borderId="0" xfId="0" applyFont="1"/>
    <xf numFmtId="0" fontId="0" fillId="10" borderId="22" xfId="0" applyFill="1" applyBorder="1"/>
    <xf numFmtId="0" fontId="35" fillId="0" borderId="0" xfId="0" applyFont="1"/>
    <xf numFmtId="0" fontId="36" fillId="10" borderId="22" xfId="0" applyFont="1" applyFill="1" applyBorder="1"/>
    <xf numFmtId="0" fontId="3" fillId="11" borderId="0" xfId="0" applyFont="1" applyFill="1"/>
    <xf numFmtId="0" fontId="35" fillId="11" borderId="0" xfId="0" applyFont="1" applyFill="1"/>
    <xf numFmtId="0" fontId="37" fillId="0" borderId="0" xfId="0" applyFont="1"/>
    <xf numFmtId="9" fontId="37" fillId="0" borderId="0" xfId="0" applyNumberFormat="1" applyFont="1"/>
    <xf numFmtId="169" fontId="37" fillId="0" borderId="0" xfId="0" applyNumberFormat="1" applyFont="1"/>
    <xf numFmtId="10" fontId="37" fillId="0" borderId="0" xfId="0" applyNumberFormat="1" applyFont="1"/>
    <xf numFmtId="0" fontId="38" fillId="0" borderId="0" xfId="0" applyFont="1"/>
    <xf numFmtId="0" fontId="3" fillId="0" borderId="1" xfId="0" applyFont="1" applyBorder="1"/>
    <xf numFmtId="0" fontId="40" fillId="0" borderId="0" xfId="0" applyFont="1" applyAlignment="1">
      <alignment horizontal="right" vertical="center"/>
    </xf>
    <xf numFmtId="173" fontId="37" fillId="0" borderId="0" xfId="0" applyNumberFormat="1" applyFont="1"/>
    <xf numFmtId="173" fontId="39" fillId="0" borderId="0" xfId="0" applyNumberFormat="1" applyFont="1"/>
    <xf numFmtId="173" fontId="3" fillId="0" borderId="0" xfId="0" applyNumberFormat="1" applyFont="1"/>
    <xf numFmtId="173" fontId="3" fillId="0" borderId="1" xfId="0" applyNumberFormat="1" applyFont="1" applyBorder="1"/>
    <xf numFmtId="173" fontId="35" fillId="0" borderId="0" xfId="0" applyNumberFormat="1" applyFont="1"/>
    <xf numFmtId="0" fontId="35" fillId="0" borderId="13" xfId="0" applyFont="1" applyBorder="1"/>
    <xf numFmtId="173" fontId="41" fillId="0" borderId="13" xfId="0" applyNumberFormat="1" applyFont="1" applyBorder="1"/>
    <xf numFmtId="173" fontId="35" fillId="0" borderId="13" xfId="0" applyNumberFormat="1" applyFont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174" fontId="3" fillId="0" borderId="0" xfId="0" applyNumberFormat="1" applyFont="1"/>
    <xf numFmtId="174" fontId="35" fillId="0" borderId="13" xfId="0" applyNumberFormat="1" applyFont="1" applyBorder="1"/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175" fontId="3" fillId="0" borderId="0" xfId="0" applyNumberFormat="1" applyFont="1"/>
    <xf numFmtId="176" fontId="3" fillId="0" borderId="0" xfId="0" applyNumberFormat="1" applyFont="1"/>
    <xf numFmtId="175" fontId="35" fillId="0" borderId="0" xfId="0" applyNumberFormat="1" applyFont="1"/>
    <xf numFmtId="0" fontId="3" fillId="0" borderId="23" xfId="0" applyFont="1" applyBorder="1"/>
    <xf numFmtId="0" fontId="37" fillId="0" borderId="23" xfId="0" applyFont="1" applyBorder="1"/>
    <xf numFmtId="173" fontId="3" fillId="0" borderId="23" xfId="0" applyNumberFormat="1" applyFont="1" applyBorder="1"/>
    <xf numFmtId="0" fontId="3" fillId="0" borderId="24" xfId="0" applyFont="1" applyBorder="1"/>
    <xf numFmtId="10" fontId="3" fillId="0" borderId="24" xfId="0" applyNumberFormat="1" applyFont="1" applyBorder="1"/>
    <xf numFmtId="0" fontId="35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/>
    </xf>
    <xf numFmtId="9" fontId="3" fillId="0" borderId="0" xfId="0" applyNumberFormat="1" applyFont="1"/>
    <xf numFmtId="9" fontId="36" fillId="0" borderId="0" xfId="0" applyNumberFormat="1" applyFont="1"/>
    <xf numFmtId="9" fontId="39" fillId="0" borderId="0" xfId="0" applyNumberFormat="1" applyFont="1"/>
    <xf numFmtId="177" fontId="3" fillId="0" borderId="0" xfId="0" applyNumberFormat="1" applyFont="1"/>
    <xf numFmtId="0" fontId="1" fillId="0" borderId="5" xfId="0" applyFont="1" applyBorder="1" applyAlignment="1">
      <alignment horizontal="center" vertical="center"/>
    </xf>
    <xf numFmtId="178" fontId="42" fillId="0" borderId="17" xfId="0" applyNumberFormat="1" applyFont="1" applyBorder="1"/>
    <xf numFmtId="178" fontId="42" fillId="0" borderId="13" xfId="0" applyNumberFormat="1" applyFont="1" applyBorder="1"/>
    <xf numFmtId="178" fontId="42" fillId="0" borderId="2" xfId="0" applyNumberFormat="1" applyFont="1" applyBorder="1"/>
    <xf numFmtId="178" fontId="42" fillId="0" borderId="0" xfId="0" applyNumberFormat="1" applyFont="1" applyBorder="1"/>
    <xf numFmtId="170" fontId="3" fillId="0" borderId="0" xfId="0" applyNumberFormat="1" applyFont="1"/>
    <xf numFmtId="0" fontId="35" fillId="0" borderId="23" xfId="0" applyFont="1" applyBorder="1"/>
    <xf numFmtId="170" fontId="35" fillId="0" borderId="23" xfId="0" applyNumberFormat="1" applyFont="1" applyBorder="1"/>
    <xf numFmtId="0" fontId="35" fillId="0" borderId="24" xfId="0" applyFont="1" applyBorder="1"/>
    <xf numFmtId="170" fontId="35" fillId="0" borderId="24" xfId="0" applyNumberFormat="1" applyFont="1" applyBorder="1"/>
    <xf numFmtId="170" fontId="37" fillId="0" borderId="0" xfId="0" applyNumberFormat="1" applyFont="1"/>
    <xf numFmtId="176" fontId="37" fillId="0" borderId="0" xfId="0" applyNumberFormat="1" applyFont="1"/>
  </cellXfs>
  <cellStyles count="1">
    <cellStyle name="Normal" xfId="0" builtinId="0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  <color rgb="FFFCB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16</xdr:row>
      <xdr:rowOff>15240</xdr:rowOff>
    </xdr:from>
    <xdr:to>
      <xdr:col>12</xdr:col>
      <xdr:colOff>525780</xdr:colOff>
      <xdr:row>23</xdr:row>
      <xdr:rowOff>97412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6E9679-A94A-4452-AABC-8F66C2CAC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5140" y="3628390"/>
          <a:ext cx="1615440" cy="137122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25400</xdr:colOff>
      <xdr:row>17</xdr:row>
      <xdr:rowOff>16934</xdr:rowOff>
    </xdr:from>
    <xdr:to>
      <xdr:col>8</xdr:col>
      <xdr:colOff>270933</xdr:colOff>
      <xdr:row>22</xdr:row>
      <xdr:rowOff>93135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7193D7-BB11-4087-BD23-6B8EBC57264D}"/>
            </a:ext>
          </a:extLst>
        </xdr:cNvPr>
        <xdr:cNvSpPr txBox="1"/>
      </xdr:nvSpPr>
      <xdr:spPr>
        <a:xfrm>
          <a:off x="635000" y="3814234"/>
          <a:ext cx="5122333" cy="996951"/>
        </a:xfrm>
        <a:prstGeom prst="rect">
          <a:avLst/>
        </a:prstGeom>
        <a:solidFill>
          <a:srgbClr val="E0A53F">
            <a:alpha val="60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1"/>
            <a:t>Note:</a:t>
          </a:r>
          <a:r>
            <a:rPr lang="en-CA" sz="1200"/>
            <a:t> This</a:t>
          </a:r>
          <a:r>
            <a:rPr lang="en-CA" sz="1200" baseline="0"/>
            <a:t> case is not a past CFM exam question. Rather, it is a sample question intended to illustrate the concepts that may be included on a CFM exam question covering Merger Modeling. This question should require less time to complete than an actual question used for the CFM exam.</a:t>
          </a:r>
          <a:endParaRPr lang="en-CA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53340</xdr:rowOff>
    </xdr:from>
    <xdr:to>
      <xdr:col>9</xdr:col>
      <xdr:colOff>899160</xdr:colOff>
      <xdr:row>2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F85BD5-F542-41ED-95DD-107EEF98E903}"/>
            </a:ext>
          </a:extLst>
        </xdr:cNvPr>
        <xdr:cNvSpPr txBox="1"/>
      </xdr:nvSpPr>
      <xdr:spPr>
        <a:xfrm>
          <a:off x="3040380" y="53340"/>
          <a:ext cx="5257800" cy="655320"/>
        </a:xfrm>
        <a:prstGeom prst="rect">
          <a:avLst/>
        </a:prstGeom>
        <a:solidFill>
          <a:srgbClr val="E0A53F">
            <a:alpha val="60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200" b="1"/>
            <a:t>Note:</a:t>
          </a:r>
          <a:r>
            <a:rPr lang="en-CA" sz="1200"/>
            <a:t> This</a:t>
          </a:r>
          <a:r>
            <a:rPr lang="en-CA" sz="1200" baseline="0"/>
            <a:t> sheet is in the model to make it easy to switch between target companies. To populate this sheet, simply link columns G to J to the corresponding data on the target company financial statements on the CaseData sheet.</a:t>
          </a:r>
          <a:endParaRPr lang="en-CA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56CD-6A61-4507-A29A-835DAA9D7835}">
  <dimension ref="B3:C14"/>
  <sheetViews>
    <sheetView showGridLines="0" zoomScale="90" zoomScaleNormal="90" workbookViewId="0">
      <selection activeCell="A42" sqref="A42"/>
    </sheetView>
  </sheetViews>
  <sheetFormatPr defaultRowHeight="14.4" x14ac:dyDescent="0.3"/>
  <cols>
    <col min="2" max="2" width="17.44140625" bestFit="1" customWidth="1"/>
  </cols>
  <sheetData>
    <row r="3" spans="2:3" ht="18" x14ac:dyDescent="0.35">
      <c r="B3" s="1" t="s">
        <v>92</v>
      </c>
    </row>
    <row r="8" spans="2:3" ht="31.2" x14ac:dyDescent="0.6">
      <c r="B8" s="95" t="s">
        <v>93</v>
      </c>
    </row>
    <row r="9" spans="2:3" ht="23.4" x14ac:dyDescent="0.45">
      <c r="B9" s="96" t="s">
        <v>94</v>
      </c>
    </row>
    <row r="13" spans="2:3" s="54" customFormat="1" ht="25.95" customHeight="1" x14ac:dyDescent="0.3">
      <c r="B13" s="97" t="s">
        <v>95</v>
      </c>
      <c r="C13" s="97" t="s">
        <v>91</v>
      </c>
    </row>
    <row r="14" spans="2:3" s="54" customFormat="1" ht="25.95" customHeight="1" x14ac:dyDescent="0.3">
      <c r="B14" s="97" t="s">
        <v>96</v>
      </c>
      <c r="C14" s="97" t="s">
        <v>97</v>
      </c>
    </row>
  </sheetData>
  <sheetProtection algorithmName="SHA-512" hashValue="DDZdx2ZqSkcaztqyarE4JCH8gMR8wuyo1RXMR8MjhHnpV3I4mpU6xF9KUz6jyY65zcG2Xl0pzQ9OBXlgk2Ebvg==" saltValue="R4eLOacSTY7C5vq9BY5qgg==" spinCount="100000" sheet="1" objects="1" scenarios="1"/>
  <printOptions horizontalCentered="1" verticalCentered="1"/>
  <pageMargins left="0.5" right="0.5" top="0.5" bottom="0.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F691-66AB-4DBC-90CA-7CF315759E93}">
  <dimension ref="A2:O139"/>
  <sheetViews>
    <sheetView showGridLines="0" topLeftCell="A6" zoomScaleNormal="100" workbookViewId="0">
      <selection activeCell="E10" sqref="E10"/>
    </sheetView>
  </sheetViews>
  <sheetFormatPr defaultRowHeight="14.4" x14ac:dyDescent="0.3"/>
  <cols>
    <col min="1" max="1" width="4.6640625" style="36" customWidth="1"/>
    <col min="2" max="5" width="13.33203125" customWidth="1"/>
    <col min="6" max="6" width="10.6640625" customWidth="1"/>
    <col min="7" max="11" width="13.33203125" customWidth="1"/>
    <col min="12" max="12" width="10.6640625" customWidth="1"/>
    <col min="13" max="18" width="13.33203125" customWidth="1"/>
  </cols>
  <sheetData>
    <row r="2" spans="1:15" ht="23.4" x14ac:dyDescent="0.45">
      <c r="B2" s="111" t="s">
        <v>2</v>
      </c>
    </row>
    <row r="3" spans="1:15" ht="15.6" x14ac:dyDescent="0.3">
      <c r="A3" s="49" t="s">
        <v>6</v>
      </c>
      <c r="B3" s="2" t="s">
        <v>3</v>
      </c>
      <c r="C3" s="3"/>
      <c r="D3" s="3"/>
      <c r="E3" s="3"/>
      <c r="F3" s="46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B4" s="4" t="s">
        <v>4</v>
      </c>
    </row>
    <row r="6" spans="1:15" s="54" customFormat="1" ht="16.2" customHeight="1" x14ac:dyDescent="0.3">
      <c r="A6" s="98" t="s">
        <v>6</v>
      </c>
      <c r="B6" s="112" t="s">
        <v>82</v>
      </c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</row>
    <row r="7" spans="1:15" x14ac:dyDescent="0.3">
      <c r="B7" s="5"/>
    </row>
    <row r="8" spans="1:15" x14ac:dyDescent="0.3">
      <c r="B8" t="s">
        <v>83</v>
      </c>
      <c r="E8" s="40" t="s">
        <v>91</v>
      </c>
    </row>
    <row r="9" spans="1:15" x14ac:dyDescent="0.3">
      <c r="B9" t="s">
        <v>84</v>
      </c>
      <c r="E9" s="8">
        <v>55.4</v>
      </c>
      <c r="F9" s="7"/>
      <c r="G9" s="7"/>
    </row>
    <row r="10" spans="1:15" x14ac:dyDescent="0.3">
      <c r="B10" t="s">
        <v>85</v>
      </c>
      <c r="E10" s="9">
        <v>119.4</v>
      </c>
    </row>
    <row r="12" spans="1:15" s="54" customFormat="1" ht="16.2" customHeight="1" x14ac:dyDescent="0.3">
      <c r="A12" s="50"/>
      <c r="B12" s="51" t="s">
        <v>48</v>
      </c>
      <c r="C12" s="52"/>
      <c r="D12" s="53"/>
      <c r="E12" s="53"/>
      <c r="G12" s="51" t="s">
        <v>78</v>
      </c>
      <c r="H12" s="52"/>
      <c r="I12" s="52"/>
      <c r="J12" s="52"/>
      <c r="K12" s="53"/>
      <c r="M12" s="51" t="s">
        <v>17</v>
      </c>
      <c r="N12" s="52"/>
      <c r="O12" s="53"/>
    </row>
    <row r="13" spans="1:15" x14ac:dyDescent="0.3">
      <c r="I13" s="93" t="s">
        <v>79</v>
      </c>
      <c r="J13" s="66" t="s">
        <v>7</v>
      </c>
      <c r="K13" s="55"/>
      <c r="O13" s="58" t="str">
        <f>$I$13</f>
        <v>Last Fiscal</v>
      </c>
    </row>
    <row r="14" spans="1:15" x14ac:dyDescent="0.3">
      <c r="B14" s="5" t="s">
        <v>66</v>
      </c>
      <c r="I14" s="94" t="s">
        <v>75</v>
      </c>
      <c r="J14" s="56">
        <v>1</v>
      </c>
      <c r="K14" s="57">
        <f>J14+1</f>
        <v>2</v>
      </c>
      <c r="O14" s="57" t="str">
        <f>$I$14</f>
        <v>Year</v>
      </c>
    </row>
    <row r="15" spans="1:15" x14ac:dyDescent="0.3">
      <c r="B15" t="s">
        <v>65</v>
      </c>
      <c r="E15" s="31">
        <v>0.3</v>
      </c>
      <c r="G15" t="s">
        <v>8</v>
      </c>
      <c r="I15" s="14">
        <v>3451.8</v>
      </c>
      <c r="J15" s="15">
        <v>3586.4</v>
      </c>
      <c r="K15" s="14">
        <v>3708.3</v>
      </c>
      <c r="M15" t="s">
        <v>19</v>
      </c>
      <c r="O15" s="14">
        <v>265.89999999999998</v>
      </c>
    </row>
    <row r="16" spans="1:15" x14ac:dyDescent="0.3">
      <c r="B16" t="s">
        <v>72</v>
      </c>
      <c r="E16" s="31">
        <v>0.75</v>
      </c>
      <c r="G16" s="13" t="s">
        <v>31</v>
      </c>
      <c r="H16" s="13"/>
      <c r="I16" s="16">
        <v>1933</v>
      </c>
      <c r="J16" s="24">
        <v>2001.2</v>
      </c>
      <c r="K16" s="16">
        <v>2047</v>
      </c>
      <c r="M16" t="s">
        <v>40</v>
      </c>
      <c r="O16" s="18">
        <v>302.60000000000002</v>
      </c>
    </row>
    <row r="17" spans="2:15" x14ac:dyDescent="0.3">
      <c r="B17" t="s">
        <v>73</v>
      </c>
      <c r="E17" s="45">
        <v>12</v>
      </c>
      <c r="G17" s="5" t="s">
        <v>35</v>
      </c>
      <c r="I17" s="17">
        <f>I15-I16</f>
        <v>1518.8000000000002</v>
      </c>
      <c r="J17" s="20">
        <f t="shared" ref="J17:K17" si="0">J15-J16</f>
        <v>1585.2</v>
      </c>
      <c r="K17" s="17">
        <f t="shared" si="0"/>
        <v>1661.3000000000002</v>
      </c>
      <c r="M17" t="s">
        <v>41</v>
      </c>
      <c r="O17" s="18">
        <v>688.5</v>
      </c>
    </row>
    <row r="18" spans="2:15" x14ac:dyDescent="0.3">
      <c r="J18" s="11"/>
      <c r="M18" s="13" t="s">
        <v>20</v>
      </c>
      <c r="N18" s="13"/>
      <c r="O18" s="16">
        <v>86.3</v>
      </c>
    </row>
    <row r="19" spans="2:15" x14ac:dyDescent="0.3">
      <c r="B19" s="5" t="s">
        <v>67</v>
      </c>
      <c r="G19" t="s">
        <v>32</v>
      </c>
      <c r="I19" s="18">
        <v>414.2</v>
      </c>
      <c r="J19" s="23">
        <v>408.8</v>
      </c>
      <c r="K19" s="18">
        <v>463.5</v>
      </c>
      <c r="M19" s="5" t="s">
        <v>25</v>
      </c>
      <c r="O19" s="17">
        <f>SUM(O15:O18)</f>
        <v>1343.3</v>
      </c>
    </row>
    <row r="20" spans="2:15" x14ac:dyDescent="0.3">
      <c r="B20" t="s">
        <v>59</v>
      </c>
      <c r="E20" s="31">
        <v>0.4</v>
      </c>
      <c r="G20" s="13" t="s">
        <v>10</v>
      </c>
      <c r="H20" s="13"/>
      <c r="I20" s="16">
        <v>172.6</v>
      </c>
      <c r="J20" s="24">
        <v>168.6</v>
      </c>
      <c r="K20" s="16">
        <v>181.7</v>
      </c>
    </row>
    <row r="21" spans="2:15" x14ac:dyDescent="0.3">
      <c r="B21" t="s">
        <v>49</v>
      </c>
      <c r="E21" s="31">
        <v>0.06</v>
      </c>
      <c r="G21" s="5" t="s">
        <v>33</v>
      </c>
      <c r="I21" s="17">
        <f>I17-SUM(I19:I20)</f>
        <v>932.00000000000023</v>
      </c>
      <c r="J21" s="20">
        <f t="shared" ref="J21:K21" si="1">J17-SUM(J19:J20)</f>
        <v>1007.8000000000001</v>
      </c>
      <c r="K21" s="17">
        <f t="shared" si="1"/>
        <v>1016.1000000000001</v>
      </c>
      <c r="M21" t="s">
        <v>21</v>
      </c>
      <c r="O21" s="18">
        <v>1003.8</v>
      </c>
    </row>
    <row r="22" spans="2:15" x14ac:dyDescent="0.3">
      <c r="B22" t="s">
        <v>74</v>
      </c>
      <c r="E22" s="31">
        <v>0.01</v>
      </c>
      <c r="J22" s="11"/>
      <c r="M22" t="s">
        <v>22</v>
      </c>
      <c r="O22" s="18">
        <v>134.5</v>
      </c>
    </row>
    <row r="23" spans="2:15" x14ac:dyDescent="0.3">
      <c r="B23" t="s">
        <v>50</v>
      </c>
      <c r="E23" s="99">
        <v>70</v>
      </c>
      <c r="G23" s="13" t="s">
        <v>27</v>
      </c>
      <c r="H23" s="13"/>
      <c r="I23" s="16">
        <v>65.2</v>
      </c>
      <c r="J23" s="24">
        <v>71.7</v>
      </c>
      <c r="K23" s="16">
        <v>77.900000000000006</v>
      </c>
      <c r="M23" s="13" t="s">
        <v>34</v>
      </c>
      <c r="N23" s="13"/>
      <c r="O23" s="16">
        <v>121.7</v>
      </c>
    </row>
    <row r="24" spans="2:15" x14ac:dyDescent="0.3">
      <c r="G24" s="5" t="s">
        <v>11</v>
      </c>
      <c r="I24" s="17">
        <f>I21-I23</f>
        <v>866.80000000000018</v>
      </c>
      <c r="J24" s="20">
        <f t="shared" ref="J24:K24" si="2">J21-J23</f>
        <v>936.1</v>
      </c>
      <c r="K24" s="17">
        <f t="shared" si="2"/>
        <v>938.20000000000016</v>
      </c>
      <c r="M24" s="5" t="s">
        <v>23</v>
      </c>
      <c r="O24" s="33">
        <f>SUM(O19:O23)</f>
        <v>2603.2999999999997</v>
      </c>
    </row>
    <row r="25" spans="2:15" x14ac:dyDescent="0.3">
      <c r="B25" s="5" t="s">
        <v>68</v>
      </c>
      <c r="J25" s="11"/>
    </row>
    <row r="26" spans="2:15" x14ac:dyDescent="0.3">
      <c r="B26" t="s">
        <v>101</v>
      </c>
      <c r="E26" s="31">
        <v>2.5000000000000001E-2</v>
      </c>
      <c r="G26" s="13" t="s">
        <v>12</v>
      </c>
      <c r="H26" s="13"/>
      <c r="I26" s="16">
        <v>41.9</v>
      </c>
      <c r="J26" s="24">
        <v>23.900000000000002</v>
      </c>
      <c r="K26" s="16">
        <v>11.2</v>
      </c>
      <c r="M26" t="s">
        <v>77</v>
      </c>
      <c r="O26" s="18">
        <v>55.3</v>
      </c>
    </row>
    <row r="27" spans="2:15" x14ac:dyDescent="0.3">
      <c r="B27" t="s">
        <v>51</v>
      </c>
      <c r="E27" s="31">
        <v>5.0000000000000001E-3</v>
      </c>
      <c r="G27" s="5" t="s">
        <v>13</v>
      </c>
      <c r="I27" s="17">
        <f>I24-I26</f>
        <v>824.9000000000002</v>
      </c>
      <c r="J27" s="20">
        <f t="shared" ref="J27:K27" si="3">J24-J26</f>
        <v>912.2</v>
      </c>
      <c r="K27" s="17">
        <f t="shared" si="3"/>
        <v>927.00000000000011</v>
      </c>
      <c r="M27" t="s">
        <v>24</v>
      </c>
      <c r="O27" s="18">
        <v>323</v>
      </c>
    </row>
    <row r="28" spans="2:15" x14ac:dyDescent="0.3">
      <c r="I28" s="7"/>
      <c r="J28" s="11"/>
      <c r="M28" s="13" t="s">
        <v>102</v>
      </c>
      <c r="N28" s="13"/>
      <c r="O28" s="16">
        <v>538</v>
      </c>
    </row>
    <row r="29" spans="2:15" x14ac:dyDescent="0.3">
      <c r="B29" s="5" t="s">
        <v>69</v>
      </c>
      <c r="G29" s="13" t="s">
        <v>14</v>
      </c>
      <c r="H29" s="13"/>
      <c r="I29" s="16">
        <v>226.8</v>
      </c>
      <c r="J29" s="24">
        <v>232.6</v>
      </c>
      <c r="K29" s="16">
        <v>231.8</v>
      </c>
      <c r="M29" s="5" t="s">
        <v>60</v>
      </c>
      <c r="O29" s="17">
        <f>SUM(O26:O28)</f>
        <v>916.3</v>
      </c>
    </row>
    <row r="30" spans="2:15" x14ac:dyDescent="0.3">
      <c r="B30" t="s">
        <v>61</v>
      </c>
      <c r="E30" s="31">
        <v>0.27500000000000002</v>
      </c>
      <c r="G30" s="5" t="s">
        <v>15</v>
      </c>
      <c r="I30" s="33">
        <f>I27-I29</f>
        <v>598.10000000000014</v>
      </c>
      <c r="J30" s="37">
        <f t="shared" ref="J30:K30" si="4">J27-J29</f>
        <v>679.6</v>
      </c>
      <c r="K30" s="33">
        <f t="shared" si="4"/>
        <v>695.2</v>
      </c>
    </row>
    <row r="31" spans="2:15" x14ac:dyDescent="0.3">
      <c r="B31" s="3"/>
      <c r="C31" s="3"/>
      <c r="D31" s="3"/>
      <c r="E31" s="3"/>
      <c r="J31" s="11"/>
      <c r="M31" t="s">
        <v>26</v>
      </c>
      <c r="O31" s="18">
        <v>698.3</v>
      </c>
    </row>
    <row r="32" spans="2:15" x14ac:dyDescent="0.3">
      <c r="G32" s="110" t="s">
        <v>100</v>
      </c>
      <c r="I32" s="18">
        <v>120.3</v>
      </c>
      <c r="J32" s="23">
        <v>119.6</v>
      </c>
      <c r="K32" s="18">
        <v>119.4</v>
      </c>
      <c r="M32" s="13" t="s">
        <v>28</v>
      </c>
      <c r="N32" s="13"/>
      <c r="O32" s="16">
        <v>331.8</v>
      </c>
    </row>
    <row r="33" spans="2:15" x14ac:dyDescent="0.3">
      <c r="J33" s="11"/>
      <c r="M33" s="5" t="s">
        <v>99</v>
      </c>
      <c r="O33" s="33">
        <f>SUM(O29:O32)</f>
        <v>1946.3999999999999</v>
      </c>
    </row>
    <row r="34" spans="2:15" x14ac:dyDescent="0.3">
      <c r="B34" s="123" t="s">
        <v>104</v>
      </c>
      <c r="G34" s="5" t="s">
        <v>16</v>
      </c>
      <c r="I34" s="19">
        <f>I30/I32</f>
        <v>4.9717373233582727</v>
      </c>
      <c r="J34" s="21">
        <f>J30/J32</f>
        <v>5.6822742474916392</v>
      </c>
      <c r="K34" s="19">
        <f>K30/K32</f>
        <v>5.8224455611390287</v>
      </c>
    </row>
    <row r="35" spans="2:15" x14ac:dyDescent="0.3">
      <c r="J35" s="11"/>
      <c r="M35" s="13" t="s">
        <v>29</v>
      </c>
      <c r="N35" s="13"/>
      <c r="O35" s="16">
        <v>656.9</v>
      </c>
    </row>
    <row r="36" spans="2:15" x14ac:dyDescent="0.3">
      <c r="G36" t="s">
        <v>39</v>
      </c>
      <c r="I36" s="29" t="s">
        <v>43</v>
      </c>
      <c r="J36" s="30">
        <f>J15/I15-1</f>
        <v>3.8994147980763616E-2</v>
      </c>
      <c r="K36" s="28">
        <f>K15/J15-1</f>
        <v>3.3989515949141236E-2</v>
      </c>
      <c r="M36" s="5" t="s">
        <v>98</v>
      </c>
      <c r="O36" s="33">
        <f>O33+O35</f>
        <v>2603.2999999999997</v>
      </c>
    </row>
    <row r="37" spans="2:15" x14ac:dyDescent="0.3">
      <c r="G37" t="s">
        <v>9</v>
      </c>
      <c r="I37" s="22">
        <f>I17/I15</f>
        <v>0.44000231763138076</v>
      </c>
      <c r="J37" s="30">
        <f>J17/J15</f>
        <v>0.44200312290876648</v>
      </c>
      <c r="K37" s="28">
        <f>K17/K15</f>
        <v>0.44799503815764641</v>
      </c>
    </row>
    <row r="38" spans="2:15" x14ac:dyDescent="0.3">
      <c r="G38" t="s">
        <v>36</v>
      </c>
      <c r="I38" s="22">
        <f>I19/I15</f>
        <v>0.11999536473723853</v>
      </c>
      <c r="J38" s="30">
        <f>J19/J15</f>
        <v>0.11398616997546286</v>
      </c>
      <c r="K38" s="28">
        <f>K19/K15</f>
        <v>0.124989887549551</v>
      </c>
      <c r="M38" s="25" t="s">
        <v>42</v>
      </c>
      <c r="N38" s="26"/>
      <c r="O38" s="27">
        <f>ROUND(O24-O36,2)</f>
        <v>0</v>
      </c>
    </row>
    <row r="39" spans="2:15" x14ac:dyDescent="0.3">
      <c r="G39" t="s">
        <v>47</v>
      </c>
      <c r="I39" s="22">
        <f>I20/I15</f>
        <v>5.0002897039225905E-2</v>
      </c>
      <c r="J39" s="30">
        <f>J20/J15</f>
        <v>4.7010930180682572E-2</v>
      </c>
      <c r="K39" s="28">
        <f>K20/K15</f>
        <v>4.899819324218644E-2</v>
      </c>
    </row>
    <row r="40" spans="2:15" x14ac:dyDescent="0.3">
      <c r="G40" t="s">
        <v>44</v>
      </c>
      <c r="I40" s="22">
        <f>I21/I15</f>
        <v>0.27000405585491632</v>
      </c>
      <c r="J40" s="30">
        <f>J21/J15</f>
        <v>0.28100602275262104</v>
      </c>
      <c r="K40" s="28">
        <f>K21/K15</f>
        <v>0.27400695736590891</v>
      </c>
    </row>
    <row r="41" spans="2:15" x14ac:dyDescent="0.3">
      <c r="G41" t="s">
        <v>37</v>
      </c>
      <c r="I41" s="22">
        <f>I23/I15</f>
        <v>1.8888695752940495E-2</v>
      </c>
      <c r="J41" s="30">
        <f>J23/J15</f>
        <v>1.9992192728083873E-2</v>
      </c>
      <c r="K41" s="28">
        <f>K23/K15</f>
        <v>2.1006930399374377E-2</v>
      </c>
    </row>
    <row r="42" spans="2:15" x14ac:dyDescent="0.3">
      <c r="G42" t="s">
        <v>45</v>
      </c>
      <c r="I42" s="22">
        <f>I24/I15</f>
        <v>0.25111536010197583</v>
      </c>
      <c r="J42" s="30">
        <f>J24/J15</f>
        <v>0.26101383002453715</v>
      </c>
      <c r="K42" s="28">
        <f>K24/K15</f>
        <v>0.25300002696653456</v>
      </c>
    </row>
    <row r="43" spans="2:15" x14ac:dyDescent="0.3">
      <c r="G43" t="s">
        <v>38</v>
      </c>
      <c r="I43" s="22">
        <f>I29/I27</f>
        <v>0.27494241726269847</v>
      </c>
      <c r="J43" s="30">
        <f>J29/J27</f>
        <v>0.25498794124095592</v>
      </c>
      <c r="K43" s="28">
        <f>K29/K27</f>
        <v>0.2500539374325782</v>
      </c>
    </row>
    <row r="44" spans="2:15" x14ac:dyDescent="0.3">
      <c r="G44" t="s">
        <v>46</v>
      </c>
      <c r="I44" s="22">
        <f>I30/I15</f>
        <v>0.17327191610174406</v>
      </c>
      <c r="J44" s="30">
        <f>J30/J15</f>
        <v>0.18949364265001115</v>
      </c>
      <c r="K44" s="28">
        <f>K30/K15</f>
        <v>0.1874713480570612</v>
      </c>
    </row>
    <row r="45" spans="2:15" x14ac:dyDescent="0.3">
      <c r="I45" s="22"/>
      <c r="J45" s="30"/>
      <c r="K45" s="28"/>
    </row>
    <row r="46" spans="2:15" x14ac:dyDescent="0.3">
      <c r="G46" t="s">
        <v>62</v>
      </c>
      <c r="I46" s="41">
        <f>(O26+O31-O15)/I21</f>
        <v>0.52328326180257489</v>
      </c>
      <c r="J46" s="43" t="s">
        <v>63</v>
      </c>
      <c r="K46" s="42" t="s">
        <v>63</v>
      </c>
    </row>
    <row r="47" spans="2:15" x14ac:dyDescent="0.3">
      <c r="G47" t="s">
        <v>64</v>
      </c>
      <c r="I47" s="41">
        <f>I21/I26</f>
        <v>22.243436754176617</v>
      </c>
      <c r="J47" s="43" t="s">
        <v>63</v>
      </c>
      <c r="K47" s="42" t="s">
        <v>63</v>
      </c>
    </row>
    <row r="48" spans="2:15" x14ac:dyDescent="0.3">
      <c r="G48" s="3"/>
      <c r="H48" s="3"/>
      <c r="I48" s="3"/>
      <c r="J48" s="3"/>
      <c r="K48" s="3"/>
    </row>
    <row r="49" spans="1:15" x14ac:dyDescent="0.3">
      <c r="D49" s="41"/>
      <c r="E49" s="42"/>
      <c r="F49" s="42"/>
    </row>
    <row r="51" spans="1:15" s="54" customFormat="1" ht="16.2" customHeight="1" x14ac:dyDescent="0.3">
      <c r="A51" s="98" t="s">
        <v>6</v>
      </c>
      <c r="B51" s="114" t="s">
        <v>80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</row>
    <row r="52" spans="1:15" x14ac:dyDescent="0.3">
      <c r="B52" s="5"/>
    </row>
    <row r="53" spans="1:15" x14ac:dyDescent="0.3">
      <c r="B53" t="s">
        <v>83</v>
      </c>
      <c r="E53" s="6" t="s">
        <v>0</v>
      </c>
    </row>
    <row r="54" spans="1:15" x14ac:dyDescent="0.3">
      <c r="B54" t="s">
        <v>84</v>
      </c>
      <c r="E54" s="8">
        <v>59.12</v>
      </c>
      <c r="F54" s="7"/>
    </row>
    <row r="55" spans="1:15" x14ac:dyDescent="0.3">
      <c r="B55" t="s">
        <v>85</v>
      </c>
      <c r="E55" s="9">
        <v>41.2</v>
      </c>
    </row>
    <row r="57" spans="1:15" s="54" customFormat="1" ht="16.2" customHeight="1" x14ac:dyDescent="0.3">
      <c r="A57" s="50"/>
      <c r="B57" s="59" t="s">
        <v>52</v>
      </c>
      <c r="C57" s="60"/>
      <c r="D57" s="61"/>
      <c r="E57" s="61"/>
      <c r="G57" s="59" t="s">
        <v>78</v>
      </c>
      <c r="H57" s="60"/>
      <c r="I57" s="60"/>
      <c r="J57" s="60"/>
      <c r="K57" s="61"/>
      <c r="M57" s="59" t="s">
        <v>17</v>
      </c>
      <c r="N57" s="60"/>
      <c r="O57" s="61"/>
    </row>
    <row r="58" spans="1:15" x14ac:dyDescent="0.3">
      <c r="C58" s="32"/>
      <c r="D58" s="69" t="s">
        <v>7</v>
      </c>
      <c r="E58" s="62"/>
      <c r="I58" s="58" t="str">
        <f>$I$13</f>
        <v>Last Fiscal</v>
      </c>
      <c r="J58" s="69" t="s">
        <v>7</v>
      </c>
      <c r="K58" s="62"/>
      <c r="O58" s="58" t="str">
        <f>$I$13</f>
        <v>Last Fiscal</v>
      </c>
    </row>
    <row r="59" spans="1:15" x14ac:dyDescent="0.3">
      <c r="D59" s="63">
        <f>J59</f>
        <v>1</v>
      </c>
      <c r="E59" s="63">
        <f>K59</f>
        <v>2</v>
      </c>
      <c r="I59" s="57" t="str">
        <f>$I$14</f>
        <v>Year</v>
      </c>
      <c r="J59" s="56">
        <v>1</v>
      </c>
      <c r="K59" s="57">
        <f>J59+1</f>
        <v>2</v>
      </c>
      <c r="O59" s="57" t="str">
        <f>$I$14</f>
        <v>Year</v>
      </c>
    </row>
    <row r="60" spans="1:15" x14ac:dyDescent="0.3">
      <c r="B60" t="s">
        <v>53</v>
      </c>
      <c r="D60" s="14">
        <v>105</v>
      </c>
      <c r="E60" s="14">
        <v>125</v>
      </c>
      <c r="G60" t="s">
        <v>8</v>
      </c>
      <c r="I60" s="14">
        <v>1691.5</v>
      </c>
      <c r="J60" s="15">
        <v>1796.4</v>
      </c>
      <c r="K60" s="14">
        <v>1877.2</v>
      </c>
      <c r="M60" t="s">
        <v>19</v>
      </c>
      <c r="O60" s="14">
        <v>55.2</v>
      </c>
    </row>
    <row r="61" spans="1:15" x14ac:dyDescent="0.3">
      <c r="B61" t="s">
        <v>55</v>
      </c>
      <c r="D61" s="18">
        <v>30</v>
      </c>
      <c r="E61" s="18">
        <v>40</v>
      </c>
      <c r="G61" s="13" t="s">
        <v>31</v>
      </c>
      <c r="H61" s="13"/>
      <c r="I61" s="16">
        <v>1053.8</v>
      </c>
      <c r="J61" s="24">
        <v>1131.7</v>
      </c>
      <c r="K61" s="16">
        <v>1147</v>
      </c>
      <c r="M61" t="s">
        <v>40</v>
      </c>
      <c r="O61" s="18">
        <v>213.2</v>
      </c>
    </row>
    <row r="62" spans="1:15" x14ac:dyDescent="0.3">
      <c r="B62" t="s">
        <v>54</v>
      </c>
      <c r="D62" s="18">
        <v>60</v>
      </c>
      <c r="E62" s="18">
        <v>70</v>
      </c>
      <c r="G62" s="5" t="s">
        <v>35</v>
      </c>
      <c r="I62" s="17">
        <f>I60-I61</f>
        <v>637.70000000000005</v>
      </c>
      <c r="J62" s="20">
        <f t="shared" ref="J62" si="5">J60-J61</f>
        <v>664.7</v>
      </c>
      <c r="K62" s="17">
        <f t="shared" ref="K62" si="6">K60-K61</f>
        <v>730.2</v>
      </c>
      <c r="M62" t="s">
        <v>41</v>
      </c>
      <c r="O62" s="18">
        <v>360.8</v>
      </c>
    </row>
    <row r="63" spans="1:15" x14ac:dyDescent="0.3">
      <c r="B63" s="3"/>
      <c r="C63" s="3"/>
      <c r="D63" s="3"/>
      <c r="E63" s="3"/>
      <c r="J63" s="11"/>
      <c r="M63" s="13" t="s">
        <v>20</v>
      </c>
      <c r="N63" s="13"/>
      <c r="O63" s="16">
        <v>21.7</v>
      </c>
    </row>
    <row r="64" spans="1:15" x14ac:dyDescent="0.3">
      <c r="G64" t="s">
        <v>32</v>
      </c>
      <c r="I64" s="18">
        <v>223.3</v>
      </c>
      <c r="J64" s="23">
        <v>273.10000000000002</v>
      </c>
      <c r="K64" s="18">
        <v>275.89999999999998</v>
      </c>
      <c r="M64" s="5" t="s">
        <v>25</v>
      </c>
      <c r="O64" s="17">
        <f>SUM(O60:O63)</f>
        <v>650.90000000000009</v>
      </c>
    </row>
    <row r="65" spans="7:15" x14ac:dyDescent="0.3">
      <c r="G65" s="13" t="s">
        <v>10</v>
      </c>
      <c r="H65" s="13"/>
      <c r="I65" s="16">
        <v>76.8</v>
      </c>
      <c r="J65" s="24">
        <v>71.900000000000006</v>
      </c>
      <c r="K65" s="16">
        <v>71.3</v>
      </c>
    </row>
    <row r="66" spans="7:15" x14ac:dyDescent="0.3">
      <c r="G66" s="5" t="s">
        <v>33</v>
      </c>
      <c r="I66" s="17">
        <f>I62-SUM(I64:I65)</f>
        <v>337.6</v>
      </c>
      <c r="J66" s="20">
        <f t="shared" ref="J66" si="7">J62-SUM(J64:J65)</f>
        <v>319.70000000000005</v>
      </c>
      <c r="K66" s="17">
        <f t="shared" ref="K66" si="8">K62-SUM(K64:K65)</f>
        <v>383.00000000000006</v>
      </c>
      <c r="M66" t="s">
        <v>21</v>
      </c>
      <c r="O66" s="18">
        <v>625.20000000000005</v>
      </c>
    </row>
    <row r="67" spans="7:15" x14ac:dyDescent="0.3">
      <c r="J67" s="11"/>
      <c r="M67" t="s">
        <v>22</v>
      </c>
      <c r="O67" s="18">
        <v>21.4</v>
      </c>
    </row>
    <row r="68" spans="7:15" x14ac:dyDescent="0.3">
      <c r="G68" s="13" t="s">
        <v>27</v>
      </c>
      <c r="H68" s="13"/>
      <c r="I68" s="16">
        <v>43</v>
      </c>
      <c r="J68" s="24">
        <v>52.1</v>
      </c>
      <c r="K68" s="16">
        <v>52.6</v>
      </c>
      <c r="M68" s="13" t="s">
        <v>34</v>
      </c>
      <c r="N68" s="13"/>
      <c r="O68" s="16">
        <v>90.5</v>
      </c>
    </row>
    <row r="69" spans="7:15" x14ac:dyDescent="0.3">
      <c r="G69" s="5" t="s">
        <v>11</v>
      </c>
      <c r="I69" s="17">
        <f>I66-I68</f>
        <v>294.60000000000002</v>
      </c>
      <c r="J69" s="20">
        <f t="shared" ref="J69" si="9">J66-J68</f>
        <v>267.60000000000002</v>
      </c>
      <c r="K69" s="17">
        <f t="shared" ref="K69" si="10">K66-K68</f>
        <v>330.40000000000003</v>
      </c>
      <c r="M69" s="5" t="s">
        <v>23</v>
      </c>
      <c r="O69" s="33">
        <f>SUM(O64:O68)</f>
        <v>1388.0000000000002</v>
      </c>
    </row>
    <row r="70" spans="7:15" x14ac:dyDescent="0.3">
      <c r="J70" s="11"/>
    </row>
    <row r="71" spans="7:15" x14ac:dyDescent="0.3">
      <c r="G71" s="13" t="s">
        <v>12</v>
      </c>
      <c r="H71" s="13"/>
      <c r="I71" s="16">
        <v>27.3</v>
      </c>
      <c r="J71" s="24">
        <v>25.2</v>
      </c>
      <c r="K71" s="16">
        <v>20.100000000000001</v>
      </c>
      <c r="M71" t="s">
        <v>77</v>
      </c>
      <c r="O71" s="18">
        <v>0</v>
      </c>
    </row>
    <row r="72" spans="7:15" x14ac:dyDescent="0.3">
      <c r="G72" s="5" t="s">
        <v>13</v>
      </c>
      <c r="I72" s="17">
        <f>I69-I71</f>
        <v>267.3</v>
      </c>
      <c r="J72" s="20">
        <f t="shared" ref="J72" si="11">J69-J71</f>
        <v>242.40000000000003</v>
      </c>
      <c r="K72" s="17">
        <f t="shared" ref="K72" si="12">K69-K71</f>
        <v>310.3</v>
      </c>
      <c r="M72" t="s">
        <v>24</v>
      </c>
      <c r="O72" s="18">
        <v>158.69999999999999</v>
      </c>
    </row>
    <row r="73" spans="7:15" x14ac:dyDescent="0.3">
      <c r="I73" s="7"/>
      <c r="J73" s="11"/>
      <c r="M73" s="13" t="s">
        <v>102</v>
      </c>
      <c r="N73" s="13"/>
      <c r="O73" s="16">
        <v>111.6</v>
      </c>
    </row>
    <row r="74" spans="7:15" x14ac:dyDescent="0.3">
      <c r="G74" s="13" t="s">
        <v>14</v>
      </c>
      <c r="H74" s="13"/>
      <c r="I74" s="16">
        <v>82.6</v>
      </c>
      <c r="J74" s="24">
        <v>73.099999999999994</v>
      </c>
      <c r="K74" s="16">
        <v>91</v>
      </c>
      <c r="M74" s="5" t="s">
        <v>60</v>
      </c>
      <c r="O74" s="17">
        <f>SUM(O71:O73)</f>
        <v>270.29999999999995</v>
      </c>
    </row>
    <row r="75" spans="7:15" x14ac:dyDescent="0.3">
      <c r="G75" s="5" t="s">
        <v>15</v>
      </c>
      <c r="I75" s="33">
        <f>I72-I74</f>
        <v>184.70000000000002</v>
      </c>
      <c r="J75" s="37">
        <f t="shared" ref="J75" si="13">J72-J74</f>
        <v>169.30000000000004</v>
      </c>
      <c r="K75" s="33">
        <f t="shared" ref="K75" si="14">K72-K74</f>
        <v>219.3</v>
      </c>
    </row>
    <row r="76" spans="7:15" x14ac:dyDescent="0.3">
      <c r="J76" s="11"/>
      <c r="M76" t="s">
        <v>26</v>
      </c>
      <c r="O76" s="18">
        <v>546</v>
      </c>
    </row>
    <row r="77" spans="7:15" x14ac:dyDescent="0.3">
      <c r="G77" s="110" t="s">
        <v>100</v>
      </c>
      <c r="I77" s="18">
        <v>41</v>
      </c>
      <c r="J77" s="23">
        <v>40.5</v>
      </c>
      <c r="K77" s="18">
        <v>40.4</v>
      </c>
      <c r="M77" s="13" t="s">
        <v>28</v>
      </c>
      <c r="N77" s="13"/>
      <c r="O77" s="16">
        <v>121.3</v>
      </c>
    </row>
    <row r="78" spans="7:15" x14ac:dyDescent="0.3">
      <c r="J78" s="11"/>
      <c r="M78" s="5" t="s">
        <v>99</v>
      </c>
      <c r="O78" s="33">
        <f>SUM(O74:O77)</f>
        <v>937.59999999999991</v>
      </c>
    </row>
    <row r="79" spans="7:15" x14ac:dyDescent="0.3">
      <c r="G79" s="5" t="s">
        <v>16</v>
      </c>
      <c r="I79" s="19">
        <f>I75/I77</f>
        <v>4.5048780487804878</v>
      </c>
      <c r="J79" s="21">
        <f>J75/J77</f>
        <v>4.1802469135802482</v>
      </c>
      <c r="K79" s="19">
        <f>K75/K77</f>
        <v>5.4282178217821784</v>
      </c>
    </row>
    <row r="80" spans="7:15" x14ac:dyDescent="0.3">
      <c r="J80" s="11"/>
      <c r="M80" s="13" t="s">
        <v>29</v>
      </c>
      <c r="N80" s="13"/>
      <c r="O80" s="16">
        <v>450.4</v>
      </c>
    </row>
    <row r="81" spans="1:15" x14ac:dyDescent="0.3">
      <c r="G81" t="s">
        <v>39</v>
      </c>
      <c r="I81" s="29" t="s">
        <v>43</v>
      </c>
      <c r="J81" s="30">
        <f>J60/I60-1</f>
        <v>6.201596216375993E-2</v>
      </c>
      <c r="K81" s="28">
        <f>K60/J60-1</f>
        <v>4.4978846582052867E-2</v>
      </c>
      <c r="M81" s="5" t="s">
        <v>30</v>
      </c>
      <c r="O81" s="33">
        <f>O78+O80</f>
        <v>1388</v>
      </c>
    </row>
    <row r="82" spans="1:15" x14ac:dyDescent="0.3">
      <c r="G82" t="s">
        <v>9</v>
      </c>
      <c r="I82" s="22">
        <f>I62/I60</f>
        <v>0.37700266036062668</v>
      </c>
      <c r="J82" s="30">
        <f>J62/J60</f>
        <v>0.37001781340458695</v>
      </c>
      <c r="K82" s="28">
        <f>K62/K60</f>
        <v>0.38898359258470061</v>
      </c>
    </row>
    <row r="83" spans="1:15" x14ac:dyDescent="0.3">
      <c r="G83" t="s">
        <v>36</v>
      </c>
      <c r="I83" s="22">
        <f>I64/I60</f>
        <v>0.13201300620750814</v>
      </c>
      <c r="J83" s="30">
        <f>J64/J60</f>
        <v>0.15202627477176575</v>
      </c>
      <c r="K83" s="28">
        <f>K64/K60</f>
        <v>0.14697421691881524</v>
      </c>
      <c r="M83" s="25" t="s">
        <v>42</v>
      </c>
      <c r="N83" s="26"/>
      <c r="O83" s="27">
        <f>ROUND(O69-O81,2)</f>
        <v>0</v>
      </c>
    </row>
    <row r="84" spans="1:15" x14ac:dyDescent="0.3">
      <c r="G84" t="s">
        <v>47</v>
      </c>
      <c r="I84" s="22">
        <f>I65/I60</f>
        <v>4.5403488028377181E-2</v>
      </c>
      <c r="J84" s="30">
        <f>J65/J60</f>
        <v>4.0024493431307061E-2</v>
      </c>
      <c r="K84" s="28">
        <f>K65/K60</f>
        <v>3.7982101001491582E-2</v>
      </c>
    </row>
    <row r="85" spans="1:15" x14ac:dyDescent="0.3">
      <c r="G85" t="s">
        <v>44</v>
      </c>
      <c r="I85" s="22">
        <f>I66/I60</f>
        <v>0.19958616612474137</v>
      </c>
      <c r="J85" s="30">
        <f>J66/J60</f>
        <v>0.17796704520151416</v>
      </c>
      <c r="K85" s="28">
        <f>K66/K60</f>
        <v>0.2040272746643938</v>
      </c>
    </row>
    <row r="86" spans="1:15" x14ac:dyDescent="0.3">
      <c r="G86" t="s">
        <v>37</v>
      </c>
      <c r="I86" s="22">
        <f>I68/I60</f>
        <v>2.5421223765888266E-2</v>
      </c>
      <c r="J86" s="30">
        <f>J68/J60</f>
        <v>2.9002449343130704E-2</v>
      </c>
      <c r="K86" s="28">
        <f>K68/K60</f>
        <v>2.8020455998295335E-2</v>
      </c>
    </row>
    <row r="87" spans="1:15" x14ac:dyDescent="0.3">
      <c r="G87" t="s">
        <v>45</v>
      </c>
      <c r="I87" s="22">
        <f>I69/I60</f>
        <v>0.1741649423588531</v>
      </c>
      <c r="J87" s="30">
        <f>J69/J60</f>
        <v>0.14896459585838343</v>
      </c>
      <c r="K87" s="28">
        <f>K69/K60</f>
        <v>0.17600681866609846</v>
      </c>
    </row>
    <row r="88" spans="1:15" x14ac:dyDescent="0.3">
      <c r="G88" t="s">
        <v>38</v>
      </c>
      <c r="I88" s="22">
        <f>I74/I72</f>
        <v>0.30901608679386455</v>
      </c>
      <c r="J88" s="30">
        <f>J74/J72</f>
        <v>0.30156765676567648</v>
      </c>
      <c r="K88" s="28">
        <f>K74/K72</f>
        <v>0.29326458266194005</v>
      </c>
    </row>
    <row r="89" spans="1:15" x14ac:dyDescent="0.3">
      <c r="G89" t="s">
        <v>46</v>
      </c>
      <c r="I89" s="22">
        <f>I75/I60</f>
        <v>0.10919302394324565</v>
      </c>
      <c r="J89" s="30">
        <f>J75/J60</f>
        <v>9.4244043642841252E-2</v>
      </c>
      <c r="K89" s="28">
        <f>K75/K60</f>
        <v>0.11682292776475603</v>
      </c>
    </row>
    <row r="90" spans="1:15" x14ac:dyDescent="0.3">
      <c r="I90" s="22"/>
      <c r="J90" s="30"/>
      <c r="K90" s="28"/>
    </row>
    <row r="91" spans="1:15" x14ac:dyDescent="0.3">
      <c r="G91" t="s">
        <v>62</v>
      </c>
      <c r="I91" s="41">
        <f>(O71+O76-O60)/I66</f>
        <v>1.4537914691943128</v>
      </c>
      <c r="J91" s="43" t="s">
        <v>63</v>
      </c>
      <c r="K91" s="42" t="s">
        <v>63</v>
      </c>
    </row>
    <row r="92" spans="1:15" x14ac:dyDescent="0.3">
      <c r="G92" t="s">
        <v>64</v>
      </c>
      <c r="I92" s="41">
        <f>I66/I71</f>
        <v>12.366300366300367</v>
      </c>
      <c r="J92" s="43" t="s">
        <v>63</v>
      </c>
      <c r="K92" s="42" t="s">
        <v>63</v>
      </c>
    </row>
    <row r="93" spans="1:15" x14ac:dyDescent="0.3">
      <c r="G93" s="3"/>
      <c r="H93" s="3"/>
      <c r="I93" s="64"/>
      <c r="J93" s="65"/>
      <c r="K93" s="65"/>
    </row>
    <row r="96" spans="1:15" s="54" customFormat="1" ht="16.2" customHeight="1" x14ac:dyDescent="0.3">
      <c r="A96" s="98" t="s">
        <v>6</v>
      </c>
      <c r="B96" s="114" t="s">
        <v>81</v>
      </c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</row>
    <row r="97" spans="1:15" x14ac:dyDescent="0.3">
      <c r="B97" s="5"/>
    </row>
    <row r="98" spans="1:15" x14ac:dyDescent="0.3">
      <c r="B98" t="s">
        <v>83</v>
      </c>
      <c r="E98" s="6" t="s">
        <v>1</v>
      </c>
    </row>
    <row r="99" spans="1:15" x14ac:dyDescent="0.3">
      <c r="B99" t="s">
        <v>86</v>
      </c>
      <c r="E99" s="44">
        <v>2900</v>
      </c>
      <c r="F99" s="7"/>
    </row>
    <row r="101" spans="1:15" s="54" customFormat="1" ht="16.2" customHeight="1" x14ac:dyDescent="0.3">
      <c r="A101" s="50"/>
      <c r="B101" s="59" t="s">
        <v>52</v>
      </c>
      <c r="C101" s="60"/>
      <c r="D101" s="61"/>
      <c r="E101" s="61"/>
      <c r="G101" s="59" t="s">
        <v>78</v>
      </c>
      <c r="H101" s="60"/>
      <c r="I101" s="60"/>
      <c r="J101" s="60"/>
      <c r="K101" s="61"/>
      <c r="M101" s="59" t="s">
        <v>17</v>
      </c>
      <c r="N101" s="60"/>
      <c r="O101" s="61"/>
    </row>
    <row r="102" spans="1:15" x14ac:dyDescent="0.3">
      <c r="C102" s="32"/>
      <c r="D102" s="68" t="s">
        <v>7</v>
      </c>
      <c r="E102" s="39"/>
      <c r="I102" s="10" t="str">
        <f>$I$13</f>
        <v>Last Fiscal</v>
      </c>
      <c r="J102" s="68" t="s">
        <v>7</v>
      </c>
      <c r="K102" s="39"/>
      <c r="O102" s="10" t="str">
        <f>$I$13</f>
        <v>Last Fiscal</v>
      </c>
    </row>
    <row r="103" spans="1:15" ht="15.6" x14ac:dyDescent="0.4">
      <c r="D103" s="67">
        <f>J103</f>
        <v>1</v>
      </c>
      <c r="E103" s="67">
        <f>K103</f>
        <v>2</v>
      </c>
      <c r="I103" s="48" t="str">
        <f>$I$14</f>
        <v>Year</v>
      </c>
      <c r="J103" s="47">
        <v>1</v>
      </c>
      <c r="K103" s="48">
        <f>J103+1</f>
        <v>2</v>
      </c>
      <c r="O103" s="12" t="str">
        <f>$I$14</f>
        <v>Year</v>
      </c>
    </row>
    <row r="104" spans="1:15" x14ac:dyDescent="0.3">
      <c r="B104" t="s">
        <v>53</v>
      </c>
      <c r="D104" s="14">
        <v>20</v>
      </c>
      <c r="E104" s="14">
        <v>25</v>
      </c>
      <c r="G104" t="s">
        <v>8</v>
      </c>
      <c r="I104" s="14">
        <v>2144.1999999999998</v>
      </c>
      <c r="J104" s="15">
        <v>2320</v>
      </c>
      <c r="K104" s="14">
        <v>2440.6</v>
      </c>
      <c r="M104" t="s">
        <v>19</v>
      </c>
      <c r="O104" s="14">
        <v>334.2</v>
      </c>
    </row>
    <row r="105" spans="1:15" x14ac:dyDescent="0.3">
      <c r="B105" t="s">
        <v>55</v>
      </c>
      <c r="D105" s="18">
        <v>40</v>
      </c>
      <c r="E105" s="18">
        <v>55</v>
      </c>
      <c r="G105" s="13" t="s">
        <v>31</v>
      </c>
      <c r="H105" s="13"/>
      <c r="I105" s="16">
        <v>879.1</v>
      </c>
      <c r="J105" s="24">
        <v>967.4</v>
      </c>
      <c r="K105" s="16">
        <v>1000.6</v>
      </c>
      <c r="M105" t="s">
        <v>40</v>
      </c>
      <c r="O105" s="18">
        <v>317.2</v>
      </c>
    </row>
    <row r="106" spans="1:15" x14ac:dyDescent="0.3">
      <c r="B106" t="s">
        <v>54</v>
      </c>
      <c r="D106" s="18">
        <v>15</v>
      </c>
      <c r="E106" s="18">
        <v>25</v>
      </c>
      <c r="G106" s="5" t="s">
        <v>35</v>
      </c>
      <c r="I106" s="17">
        <f>I104-I105</f>
        <v>1265.0999999999999</v>
      </c>
      <c r="J106" s="20">
        <f t="shared" ref="J106" si="15">J104-J105</f>
        <v>1352.6</v>
      </c>
      <c r="K106" s="17">
        <f t="shared" ref="K106" si="16">K104-K105</f>
        <v>1440</v>
      </c>
      <c r="M106" t="s">
        <v>41</v>
      </c>
      <c r="O106" s="18">
        <v>206.9</v>
      </c>
    </row>
    <row r="107" spans="1:15" x14ac:dyDescent="0.3">
      <c r="B107" s="3"/>
      <c r="C107" s="3"/>
      <c r="D107" s="3"/>
      <c r="E107" s="3"/>
      <c r="J107" s="11"/>
      <c r="M107" s="13" t="s">
        <v>20</v>
      </c>
      <c r="N107" s="13"/>
      <c r="O107" s="16">
        <v>44.4</v>
      </c>
    </row>
    <row r="108" spans="1:15" x14ac:dyDescent="0.3">
      <c r="G108" t="s">
        <v>32</v>
      </c>
      <c r="I108" s="18">
        <v>243.1</v>
      </c>
      <c r="J108" s="23">
        <v>241.3</v>
      </c>
      <c r="K108" s="18">
        <v>248.9</v>
      </c>
      <c r="M108" s="5" t="s">
        <v>25</v>
      </c>
      <c r="O108" s="17">
        <f>SUM(O104:O107)</f>
        <v>902.69999999999993</v>
      </c>
    </row>
    <row r="109" spans="1:15" x14ac:dyDescent="0.3">
      <c r="G109" s="13" t="s">
        <v>10</v>
      </c>
      <c r="H109" s="13"/>
      <c r="I109" s="16">
        <v>12.1</v>
      </c>
      <c r="J109" s="24">
        <v>23.2</v>
      </c>
      <c r="K109" s="16">
        <v>24.4</v>
      </c>
    </row>
    <row r="110" spans="1:15" x14ac:dyDescent="0.3">
      <c r="G110" s="5" t="s">
        <v>33</v>
      </c>
      <c r="I110" s="17">
        <f>I106-SUM(I108:I109)</f>
        <v>1009.8999999999999</v>
      </c>
      <c r="J110" s="20">
        <f t="shared" ref="J110" si="17">J106-SUM(J108:J109)</f>
        <v>1088.0999999999999</v>
      </c>
      <c r="K110" s="17">
        <f t="shared" ref="K110" si="18">K106-SUM(K108:K109)</f>
        <v>1166.7</v>
      </c>
      <c r="M110" t="s">
        <v>21</v>
      </c>
      <c r="O110" s="18">
        <v>1196.8</v>
      </c>
    </row>
    <row r="111" spans="1:15" x14ac:dyDescent="0.3">
      <c r="J111" s="11"/>
      <c r="M111" t="s">
        <v>22</v>
      </c>
      <c r="O111" s="18">
        <v>100.3</v>
      </c>
    </row>
    <row r="112" spans="1:15" x14ac:dyDescent="0.3">
      <c r="G112" s="13" t="s">
        <v>27</v>
      </c>
      <c r="H112" s="13"/>
      <c r="I112" s="16">
        <v>74.8</v>
      </c>
      <c r="J112" s="24">
        <v>88.2</v>
      </c>
      <c r="K112" s="16">
        <v>97.6</v>
      </c>
      <c r="M112" s="13" t="s">
        <v>34</v>
      </c>
      <c r="N112" s="13"/>
      <c r="O112" s="16">
        <v>452.1</v>
      </c>
    </row>
    <row r="113" spans="7:15" x14ac:dyDescent="0.3">
      <c r="G113" s="5" t="s">
        <v>11</v>
      </c>
      <c r="I113" s="17">
        <f>I110-I112</f>
        <v>935.09999999999991</v>
      </c>
      <c r="J113" s="20">
        <f t="shared" ref="J113" si="19">J110-J112</f>
        <v>999.89999999999986</v>
      </c>
      <c r="K113" s="17">
        <f t="shared" ref="K113" si="20">K110-K112</f>
        <v>1069.1000000000001</v>
      </c>
      <c r="M113" s="5" t="s">
        <v>23</v>
      </c>
      <c r="O113" s="33">
        <f>SUM(O108:O112)</f>
        <v>2651.9</v>
      </c>
    </row>
    <row r="114" spans="7:15" x14ac:dyDescent="0.3">
      <c r="J114" s="11"/>
    </row>
    <row r="115" spans="7:15" x14ac:dyDescent="0.3">
      <c r="G115" s="13" t="s">
        <v>12</v>
      </c>
      <c r="H115" s="13"/>
      <c r="I115" s="16">
        <v>143.69999999999999</v>
      </c>
      <c r="J115" s="24">
        <v>144.1</v>
      </c>
      <c r="K115" s="16">
        <v>124.8</v>
      </c>
      <c r="M115" t="s">
        <v>77</v>
      </c>
      <c r="O115" s="18">
        <v>55.9</v>
      </c>
    </row>
    <row r="116" spans="7:15" x14ac:dyDescent="0.3">
      <c r="G116" s="5" t="s">
        <v>13</v>
      </c>
      <c r="I116" s="17">
        <f>I113-I115</f>
        <v>791.39999999999986</v>
      </c>
      <c r="J116" s="20">
        <f t="shared" ref="J116" si="21">J113-J115</f>
        <v>855.79999999999984</v>
      </c>
      <c r="K116" s="17">
        <f t="shared" ref="K116" si="22">K113-K115</f>
        <v>944.30000000000018</v>
      </c>
      <c r="M116" t="s">
        <v>24</v>
      </c>
      <c r="O116" s="18">
        <v>168.6</v>
      </c>
    </row>
    <row r="117" spans="7:15" x14ac:dyDescent="0.3">
      <c r="I117" s="7"/>
      <c r="J117" s="11"/>
      <c r="M117" s="13" t="s">
        <v>102</v>
      </c>
      <c r="N117" s="13"/>
      <c r="O117" s="16">
        <v>200.1</v>
      </c>
    </row>
    <row r="118" spans="7:15" x14ac:dyDescent="0.3">
      <c r="G118" s="13" t="s">
        <v>14</v>
      </c>
      <c r="H118" s="13"/>
      <c r="I118" s="16">
        <v>216.4</v>
      </c>
      <c r="J118" s="24">
        <v>231.9</v>
      </c>
      <c r="K118" s="16">
        <v>255.9</v>
      </c>
      <c r="M118" s="5" t="s">
        <v>60</v>
      </c>
      <c r="O118" s="17">
        <f>SUM(O114:O117)</f>
        <v>424.6</v>
      </c>
    </row>
    <row r="119" spans="7:15" x14ac:dyDescent="0.3">
      <c r="G119" s="5" t="s">
        <v>15</v>
      </c>
      <c r="I119" s="33">
        <f>I116-I118</f>
        <v>574.99999999999989</v>
      </c>
      <c r="J119" s="37">
        <f t="shared" ref="J119" si="23">J116-J118</f>
        <v>623.89999999999986</v>
      </c>
      <c r="K119" s="33">
        <f t="shared" ref="K119" si="24">K116-K118</f>
        <v>688.4000000000002</v>
      </c>
    </row>
    <row r="120" spans="7:15" x14ac:dyDescent="0.3">
      <c r="J120" s="11"/>
      <c r="M120" t="s">
        <v>26</v>
      </c>
      <c r="O120" s="18">
        <v>1796.2</v>
      </c>
    </row>
    <row r="121" spans="7:15" x14ac:dyDescent="0.3">
      <c r="G121" s="110" t="s">
        <v>100</v>
      </c>
      <c r="I121" s="18">
        <v>195.3</v>
      </c>
      <c r="J121" s="23">
        <v>193</v>
      </c>
      <c r="K121" s="18">
        <v>192.3</v>
      </c>
      <c r="M121" s="13" t="s">
        <v>28</v>
      </c>
      <c r="N121" s="13"/>
      <c r="O121" s="16">
        <v>176.6</v>
      </c>
    </row>
    <row r="122" spans="7:15" x14ac:dyDescent="0.3">
      <c r="J122" s="11"/>
      <c r="M122" s="5" t="s">
        <v>99</v>
      </c>
      <c r="O122" s="33">
        <f>SUM(O118:O121)</f>
        <v>2397.4</v>
      </c>
    </row>
    <row r="123" spans="7:15" x14ac:dyDescent="0.3">
      <c r="G123" s="5" t="s">
        <v>16</v>
      </c>
      <c r="I123" s="19">
        <f>I119/I121</f>
        <v>2.9441884280593951</v>
      </c>
      <c r="J123" s="21">
        <f>J119/J121</f>
        <v>3.2326424870466313</v>
      </c>
      <c r="K123" s="19">
        <f>K119/K121</f>
        <v>3.579823192927718</v>
      </c>
    </row>
    <row r="124" spans="7:15" x14ac:dyDescent="0.3">
      <c r="J124" s="11"/>
      <c r="M124" s="13" t="s">
        <v>29</v>
      </c>
      <c r="N124" s="13"/>
      <c r="O124" s="16">
        <v>254.49999999999997</v>
      </c>
    </row>
    <row r="125" spans="7:15" x14ac:dyDescent="0.3">
      <c r="G125" t="s">
        <v>39</v>
      </c>
      <c r="I125" s="29" t="s">
        <v>43</v>
      </c>
      <c r="J125" s="30">
        <f>J104/I104-1</f>
        <v>8.1988620464509054E-2</v>
      </c>
      <c r="K125" s="28">
        <f>K104/J104-1</f>
        <v>5.1982758620689573E-2</v>
      </c>
      <c r="M125" s="5" t="s">
        <v>30</v>
      </c>
      <c r="O125" s="33">
        <f>O122+O124</f>
        <v>2651.9</v>
      </c>
    </row>
    <row r="126" spans="7:15" x14ac:dyDescent="0.3">
      <c r="G126" t="s">
        <v>9</v>
      </c>
      <c r="I126" s="22">
        <f>I106/I104</f>
        <v>0.59001026023691816</v>
      </c>
      <c r="J126" s="30">
        <f>J106/J104</f>
        <v>0.58301724137931032</v>
      </c>
      <c r="K126" s="28">
        <f>K106/K104</f>
        <v>0.59001884782430547</v>
      </c>
    </row>
    <row r="127" spans="7:15" x14ac:dyDescent="0.3">
      <c r="G127" t="s">
        <v>36</v>
      </c>
      <c r="I127" s="22">
        <f>I108/I104</f>
        <v>0.11337561794608712</v>
      </c>
      <c r="J127" s="30">
        <f>J108/J104</f>
        <v>0.10400862068965518</v>
      </c>
      <c r="K127" s="28">
        <f>K108/K104</f>
        <v>0.10198311890518726</v>
      </c>
      <c r="M127" s="25" t="s">
        <v>42</v>
      </c>
      <c r="N127" s="26"/>
      <c r="O127" s="27">
        <f>ROUND(O113-O125,2)</f>
        <v>0</v>
      </c>
    </row>
    <row r="128" spans="7:15" x14ac:dyDescent="0.3">
      <c r="G128" t="s">
        <v>47</v>
      </c>
      <c r="I128" s="22">
        <f>I109/I104</f>
        <v>5.6431303050088616E-3</v>
      </c>
      <c r="J128" s="30">
        <f>J109/J104</f>
        <v>0.01</v>
      </c>
      <c r="K128" s="28">
        <f>K109/K104</f>
        <v>9.9975415881340644E-3</v>
      </c>
    </row>
    <row r="129" spans="2:15" x14ac:dyDescent="0.3">
      <c r="G129" t="s">
        <v>44</v>
      </c>
      <c r="I129" s="22">
        <f>I110/I104</f>
        <v>0.47099151198582218</v>
      </c>
      <c r="J129" s="30">
        <f>J110/J104</f>
        <v>0.46900862068965515</v>
      </c>
      <c r="K129" s="28">
        <f>K110/K104</f>
        <v>0.47803818733098424</v>
      </c>
    </row>
    <row r="130" spans="2:15" x14ac:dyDescent="0.3">
      <c r="G130" t="s">
        <v>37</v>
      </c>
      <c r="I130" s="22">
        <f>I112/I104</f>
        <v>3.4884805521872959E-2</v>
      </c>
      <c r="J130" s="30">
        <f>J112/J104</f>
        <v>3.8017241379310347E-2</v>
      </c>
      <c r="K130" s="28">
        <f>K112/K104</f>
        <v>3.9990166352536258E-2</v>
      </c>
    </row>
    <row r="131" spans="2:15" x14ac:dyDescent="0.3">
      <c r="G131" t="s">
        <v>45</v>
      </c>
      <c r="I131" s="22">
        <f>I113/I104</f>
        <v>0.43610670646394928</v>
      </c>
      <c r="J131" s="30">
        <f>J113/J104</f>
        <v>0.43099137931034476</v>
      </c>
      <c r="K131" s="28">
        <f>K113/K104</f>
        <v>0.43804802097844797</v>
      </c>
    </row>
    <row r="132" spans="2:15" x14ac:dyDescent="0.3">
      <c r="G132" t="s">
        <v>38</v>
      </c>
      <c r="I132" s="22">
        <f>I118/I116</f>
        <v>0.27343947434925453</v>
      </c>
      <c r="J132" s="30">
        <f>J118/J116</f>
        <v>0.27097452675858852</v>
      </c>
      <c r="K132" s="28">
        <f>K118/K116</f>
        <v>0.27099438737689291</v>
      </c>
    </row>
    <row r="133" spans="2:15" x14ac:dyDescent="0.3">
      <c r="G133" t="s">
        <v>46</v>
      </c>
      <c r="I133" s="22">
        <f>I119/I104</f>
        <v>0.26816528308926402</v>
      </c>
      <c r="J133" s="30">
        <f>J119/J104</f>
        <v>0.26892241379310339</v>
      </c>
      <c r="K133" s="28">
        <f>K119/K104</f>
        <v>0.28206178808489724</v>
      </c>
    </row>
    <row r="134" spans="2:15" x14ac:dyDescent="0.3">
      <c r="I134" s="22"/>
      <c r="J134" s="30"/>
      <c r="K134" s="28"/>
    </row>
    <row r="135" spans="2:15" x14ac:dyDescent="0.3">
      <c r="G135" t="s">
        <v>62</v>
      </c>
      <c r="I135" s="41">
        <f>(O115+O120-O104)/I110</f>
        <v>1.5030201010000994</v>
      </c>
      <c r="J135" s="43" t="s">
        <v>63</v>
      </c>
      <c r="K135" s="42" t="s">
        <v>63</v>
      </c>
    </row>
    <row r="136" spans="2:15" x14ac:dyDescent="0.3">
      <c r="G136" t="s">
        <v>64</v>
      </c>
      <c r="I136" s="41">
        <f>I110/I115</f>
        <v>7.0278357689631168</v>
      </c>
      <c r="J136" s="43" t="s">
        <v>63</v>
      </c>
      <c r="K136" s="42" t="s">
        <v>63</v>
      </c>
    </row>
    <row r="137" spans="2:15" x14ac:dyDescent="0.3">
      <c r="G137" s="3"/>
      <c r="H137" s="3"/>
      <c r="I137" s="3"/>
      <c r="J137" s="3"/>
      <c r="K137" s="3"/>
    </row>
    <row r="139" spans="2:15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</sheetData>
  <conditionalFormatting sqref="O38">
    <cfRule type="expression" dxfId="2" priority="3">
      <formula>O38&lt;&gt;0</formula>
    </cfRule>
  </conditionalFormatting>
  <conditionalFormatting sqref="O83">
    <cfRule type="expression" dxfId="1" priority="2">
      <formula>O83&lt;&gt;0</formula>
    </cfRule>
  </conditionalFormatting>
  <conditionalFormatting sqref="O127">
    <cfRule type="expression" dxfId="0" priority="1">
      <formula>O127&lt;&gt;0</formula>
    </cfRule>
  </conditionalFormatting>
  <pageMargins left="0.7" right="0.7" top="0.75" bottom="0.75" header="0.3" footer="0.3"/>
  <pageSetup scale="6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0966-050C-4E37-B359-770265C1CEB7}">
  <sheetPr>
    <pageSetUpPr autoPageBreaks="0" fitToPage="1"/>
  </sheetPr>
  <dimension ref="A1:N177"/>
  <sheetViews>
    <sheetView showGridLines="0" tabSelected="1" topLeftCell="A105" zoomScale="85" zoomScaleNormal="85" workbookViewId="0">
      <selection activeCell="A138" sqref="A138"/>
    </sheetView>
  </sheetViews>
  <sheetFormatPr defaultColWidth="12.77734375" defaultRowHeight="13.8" x14ac:dyDescent="0.25"/>
  <cols>
    <col min="1" max="4" width="1.77734375" style="122" customWidth="1"/>
    <col min="5" max="5" width="40.77734375" style="122" customWidth="1"/>
    <col min="6" max="6" width="14.21875" style="122" bestFit="1" customWidth="1"/>
    <col min="7" max="7" width="12.77734375" style="122"/>
    <col min="8" max="9" width="12.77734375" style="122" customWidth="1"/>
    <col min="10" max="10" width="1.77734375" style="122" customWidth="1"/>
    <col min="11" max="11" width="12.77734375" style="122" customWidth="1"/>
    <col min="12" max="16384" width="12.77734375" style="122"/>
  </cols>
  <sheetData>
    <row r="1" spans="1:7" s="121" customFormat="1" x14ac:dyDescent="0.25">
      <c r="A1" s="121" t="str">
        <f>Acquirer</f>
        <v>BoTrainers</v>
      </c>
    </row>
    <row r="2" spans="1:7" s="121" customFormat="1" x14ac:dyDescent="0.25">
      <c r="A2" s="121" t="str" cm="1">
        <f t="array" ref="A2">topic</f>
        <v>CFM Topic: M&amp;A</v>
      </c>
    </row>
    <row r="3" spans="1:7" s="121" customFormat="1" x14ac:dyDescent="0.25">
      <c r="A3" s="121" t="s">
        <v>103</v>
      </c>
      <c r="F3" s="121" t="s">
        <v>108</v>
      </c>
      <c r="G3" s="121" t="s">
        <v>109</v>
      </c>
    </row>
    <row r="5" spans="1:7" s="126" customFormat="1" x14ac:dyDescent="0.25">
      <c r="A5" s="127" t="s">
        <v>107</v>
      </c>
    </row>
    <row r="7" spans="1:7" x14ac:dyDescent="0.25">
      <c r="C7" s="124" t="s">
        <v>105</v>
      </c>
    </row>
    <row r="8" spans="1:7" x14ac:dyDescent="0.25">
      <c r="E8" s="122" t="s">
        <v>105</v>
      </c>
      <c r="F8" s="128" t="str">
        <f>Acquirer</f>
        <v>BoTrainers</v>
      </c>
      <c r="G8" s="122" t="s">
        <v>112</v>
      </c>
    </row>
    <row r="9" spans="1:7" x14ac:dyDescent="0.25">
      <c r="E9" s="122" t="str">
        <f>CaseData!B$9</f>
        <v>Current Share Price:</v>
      </c>
      <c r="F9" s="135">
        <f>CaseData!E$9</f>
        <v>55.4</v>
      </c>
      <c r="G9" s="122" t="s">
        <v>111</v>
      </c>
    </row>
    <row r="10" spans="1:7" x14ac:dyDescent="0.25">
      <c r="E10" s="122" t="str">
        <f>CaseData!B$16</f>
        <v>% of Gross Assets Written Up</v>
      </c>
      <c r="F10" s="129">
        <f>CaseData!E$16</f>
        <v>0.75</v>
      </c>
      <c r="G10" s="122" t="s">
        <v>110</v>
      </c>
    </row>
    <row r="11" spans="1:7" x14ac:dyDescent="0.25">
      <c r="E11" s="122" t="str">
        <f>CaseData!B$20</f>
        <v>% of Required Funding with New Debt</v>
      </c>
      <c r="F11" s="129">
        <f>CaseData!E$20</f>
        <v>0.4</v>
      </c>
      <c r="G11" s="122" t="s">
        <v>110</v>
      </c>
    </row>
    <row r="12" spans="1:7" x14ac:dyDescent="0.25">
      <c r="E12" s="122" t="str">
        <f>CaseData!B$23</f>
        <v>Minimum Cash on Hand at Closing</v>
      </c>
      <c r="F12" s="135">
        <f>CaseData!E$23</f>
        <v>70</v>
      </c>
      <c r="G12" s="122" t="s">
        <v>113</v>
      </c>
    </row>
    <row r="13" spans="1:7" x14ac:dyDescent="0.25">
      <c r="E13" s="122" t="str">
        <f>CaseData!B$17</f>
        <v>Life of Written Up Assets</v>
      </c>
      <c r="F13" s="128">
        <f>CaseData!E$17</f>
        <v>12</v>
      </c>
      <c r="G13" s="122" t="s">
        <v>114</v>
      </c>
    </row>
    <row r="14" spans="1:7" x14ac:dyDescent="0.25">
      <c r="E14" s="122" t="str">
        <f>CaseData!B$15</f>
        <v>Equity Premium</v>
      </c>
      <c r="F14" s="131">
        <f>CaseData!E$15</f>
        <v>0.3</v>
      </c>
      <c r="G14" s="122" t="s">
        <v>110</v>
      </c>
    </row>
    <row r="16" spans="1:7" x14ac:dyDescent="0.25">
      <c r="C16" s="124" t="s">
        <v>106</v>
      </c>
    </row>
    <row r="17" spans="1:7" x14ac:dyDescent="0.25">
      <c r="E17" s="122" t="s">
        <v>106</v>
      </c>
      <c r="F17" s="125" t="s">
        <v>0</v>
      </c>
      <c r="G17" s="122" t="s">
        <v>112</v>
      </c>
    </row>
    <row r="18" spans="1:7" x14ac:dyDescent="0.25">
      <c r="E18" s="122" t="str">
        <f>CaseData!B$21</f>
        <v>Cost of New Debt</v>
      </c>
      <c r="F18" s="130">
        <f>CaseData!E$21</f>
        <v>0.06</v>
      </c>
      <c r="G18" s="122" t="s">
        <v>110</v>
      </c>
    </row>
    <row r="19" spans="1:7" x14ac:dyDescent="0.25">
      <c r="E19" s="122" t="str">
        <f>CaseData!B$22</f>
        <v>Interest Income on Cash</v>
      </c>
      <c r="F19" s="131">
        <f>CaseData!E$22</f>
        <v>0.01</v>
      </c>
      <c r="G19" s="122" t="s">
        <v>110</v>
      </c>
    </row>
    <row r="20" spans="1:7" x14ac:dyDescent="0.25">
      <c r="E20" s="122" t="str">
        <f>CaseData!B$26</f>
        <v>Debt Financing Fees (% of Amount Issued)</v>
      </c>
      <c r="F20" s="131">
        <f>CaseData!E$26</f>
        <v>2.5000000000000001E-2</v>
      </c>
      <c r="G20" s="122" t="s">
        <v>110</v>
      </c>
    </row>
    <row r="21" spans="1:7" x14ac:dyDescent="0.25">
      <c r="E21" s="122" t="str">
        <f>CaseData!B$27</f>
        <v>Other Fees (% of Target Enterprise Value)</v>
      </c>
      <c r="F21" s="131">
        <f>CaseData!E$27</f>
        <v>5.0000000000000001E-3</v>
      </c>
      <c r="G21" s="122" t="s">
        <v>110</v>
      </c>
    </row>
    <row r="22" spans="1:7" x14ac:dyDescent="0.25">
      <c r="E22" s="122" t="str">
        <f>CaseData!B$30</f>
        <v>Combined Effective Tax Rate</v>
      </c>
      <c r="F22" s="131">
        <f>CaseData!E$30</f>
        <v>0.27500000000000002</v>
      </c>
      <c r="G22" s="122" t="s">
        <v>110</v>
      </c>
    </row>
    <row r="23" spans="1:7" x14ac:dyDescent="0.25">
      <c r="F23" s="131"/>
    </row>
    <row r="25" spans="1:7" s="126" customFormat="1" x14ac:dyDescent="0.25">
      <c r="A25" s="127" t="s">
        <v>115</v>
      </c>
    </row>
    <row r="27" spans="1:7" x14ac:dyDescent="0.25">
      <c r="C27" s="124" t="s">
        <v>22</v>
      </c>
    </row>
    <row r="29" spans="1:7" x14ac:dyDescent="0.25">
      <c r="D29" s="132" t="s">
        <v>126</v>
      </c>
    </row>
    <row r="30" spans="1:7" x14ac:dyDescent="0.25">
      <c r="E30" s="122" t="s">
        <v>116</v>
      </c>
      <c r="F30" s="135">
        <f xml:space="preserve"> INDEX( TargetData!$E$9:$E$55, MATCH( RIGHT( Merger!$E30, 12 ), TargetData!$B$9:$B$55, 0 ), 1 )</f>
        <v>2435.7440000000001</v>
      </c>
      <c r="G30" s="122" t="s">
        <v>113</v>
      </c>
    </row>
    <row r="31" spans="1:7" x14ac:dyDescent="0.25">
      <c r="E31" s="122" t="str">
        <f>E$14</f>
        <v>Equity Premium</v>
      </c>
      <c r="F31" s="164">
        <f t="shared" ref="F31" si="0">F$14</f>
        <v>0.3</v>
      </c>
      <c r="G31" s="122" t="s">
        <v>110</v>
      </c>
    </row>
    <row r="32" spans="1:7" x14ac:dyDescent="0.25">
      <c r="E32" s="140" t="s">
        <v>117</v>
      </c>
      <c r="F32" s="141">
        <f xml:space="preserve"> F30 * ( 1 + F31 )</f>
        <v>3166.4672000000005</v>
      </c>
      <c r="G32" s="140" t="s">
        <v>113</v>
      </c>
    </row>
    <row r="34" spans="4:7" x14ac:dyDescent="0.25">
      <c r="D34" s="132" t="s">
        <v>120</v>
      </c>
    </row>
    <row r="35" spans="4:7" x14ac:dyDescent="0.25">
      <c r="D35" s="134" t="s">
        <v>118</v>
      </c>
      <c r="E35" s="122" t="s">
        <v>77</v>
      </c>
      <c r="F35" s="135">
        <f xml:space="preserve"> IF( INDEX( TargetData!$E$9:$E$55, MATCH( $E35, TargetData!$B$9:$B$55, 0 ), 1 ) = "", 0, INDEX( TargetData!$E$9:$E$55, MATCH( $E35, TargetData!$B$9:$B$55, 0 ), 1 ) )</f>
        <v>0</v>
      </c>
      <c r="G35" s="122" t="s">
        <v>113</v>
      </c>
    </row>
    <row r="36" spans="4:7" x14ac:dyDescent="0.25">
      <c r="D36" s="134" t="s">
        <v>118</v>
      </c>
      <c r="E36" s="122" t="s">
        <v>26</v>
      </c>
      <c r="F36" s="135">
        <f xml:space="preserve"> IF( INDEX( TargetData!$E$9:$E$55, MATCH( $E36, TargetData!$B$9:$B$55, 0 ), 1 ) = "", 0, INDEX( TargetData!$E$9:$E$55, MATCH( $E36, TargetData!$B$9:$B$55, 0 ), 1 ) )</f>
        <v>546</v>
      </c>
      <c r="G36" s="122" t="s">
        <v>113</v>
      </c>
    </row>
    <row r="37" spans="4:7" x14ac:dyDescent="0.25">
      <c r="D37" s="134" t="s">
        <v>119</v>
      </c>
      <c r="E37" s="122" t="s">
        <v>19</v>
      </c>
      <c r="F37" s="135">
        <f xml:space="preserve"> IF( INDEX( TargetData!$E$9:$E$55, MATCH( $E37, TargetData!$B$9:$B$55, 0 ), 1 ) = "", 0, - INDEX( TargetData!$E$9:$E$55, MATCH( $E37, TargetData!$B$9:$B$55, 0 ), 1 ) )</f>
        <v>-55.2</v>
      </c>
      <c r="G37" s="122" t="s">
        <v>113</v>
      </c>
    </row>
    <row r="38" spans="4:7" x14ac:dyDescent="0.25">
      <c r="E38" s="140" t="s">
        <v>120</v>
      </c>
      <c r="F38" s="141">
        <f>SUM(F32:F37)</f>
        <v>3657.2672000000007</v>
      </c>
      <c r="G38" s="140" t="s">
        <v>113</v>
      </c>
    </row>
    <row r="40" spans="4:7" x14ac:dyDescent="0.25">
      <c r="D40" s="132" t="s">
        <v>121</v>
      </c>
    </row>
    <row r="41" spans="4:7" x14ac:dyDescent="0.25">
      <c r="E41" s="122" t="s">
        <v>122</v>
      </c>
      <c r="F41" s="135">
        <f xml:space="preserve"> IF( INDEX( TargetData!$E$9:$E$55, MATCH( $E41, TargetData!$B$9:$B$55, 0 ), 1 ) = "", 0, INDEX( TargetData!$E$9:$E$55, MATCH( $E41, TargetData!$B$9:$B$55, 0 ), 1 ) )</f>
        <v>1388.0000000000002</v>
      </c>
      <c r="G41" s="122" t="s">
        <v>113</v>
      </c>
    </row>
    <row r="42" spans="4:7" x14ac:dyDescent="0.25">
      <c r="D42" s="134" t="s">
        <v>118</v>
      </c>
      <c r="E42" s="122" t="s">
        <v>123</v>
      </c>
      <c r="F42" s="136">
        <f xml:space="preserve"> F41 * F10</f>
        <v>1041.0000000000002</v>
      </c>
      <c r="G42" s="122" t="s">
        <v>113</v>
      </c>
    </row>
    <row r="43" spans="4:7" x14ac:dyDescent="0.25">
      <c r="D43" s="134" t="s">
        <v>119</v>
      </c>
      <c r="E43" s="122" t="s">
        <v>22</v>
      </c>
      <c r="F43" s="135">
        <f xml:space="preserve"> IF( INDEX( TargetData!$E$9:$E$55, MATCH( $E43, TargetData!$B$9:$B$55, 0 ), 1 ) = "", 0, - INDEX( TargetData!$E$9:$E$55, MATCH( $E43, TargetData!$B$9:$B$55, 0 ), 1 ) )</f>
        <v>-21.4</v>
      </c>
      <c r="G43" s="122" t="s">
        <v>113</v>
      </c>
    </row>
    <row r="44" spans="4:7" x14ac:dyDescent="0.25">
      <c r="D44" s="134" t="s">
        <v>119</v>
      </c>
      <c r="E44" s="122" t="s">
        <v>124</v>
      </c>
      <c r="F44" s="135">
        <f xml:space="preserve"> IF( INDEX( TargetData!$E$9:$E$55, MATCH( $E44, TargetData!$B$9:$B$55, 0 ), 1 ) = "", 0, - INDEX( TargetData!$E$9:$E$55, MATCH( $E44, TargetData!$B$9:$B$55, 0 ), 1 ) )</f>
        <v>-937.59999999999991</v>
      </c>
      <c r="G44" s="122" t="s">
        <v>113</v>
      </c>
    </row>
    <row r="45" spans="4:7" x14ac:dyDescent="0.25">
      <c r="D45" s="134" t="s">
        <v>119</v>
      </c>
      <c r="E45" s="122" t="s">
        <v>125</v>
      </c>
      <c r="F45" s="136">
        <f xml:space="preserve"> - $F$42 * $F$22</f>
        <v>-286.27500000000009</v>
      </c>
      <c r="G45" s="122" t="s">
        <v>113</v>
      </c>
    </row>
    <row r="46" spans="4:7" x14ac:dyDescent="0.25">
      <c r="E46" s="140" t="s">
        <v>121</v>
      </c>
      <c r="F46" s="142">
        <f>SUM(F41:F45)</f>
        <v>1183.7250000000004</v>
      </c>
      <c r="G46" s="140" t="s">
        <v>113</v>
      </c>
    </row>
    <row r="48" spans="4:7" x14ac:dyDescent="0.25">
      <c r="D48" s="132" t="s">
        <v>22</v>
      </c>
    </row>
    <row r="49" spans="1:7" x14ac:dyDescent="0.25">
      <c r="E49" s="122" t="str">
        <f>E$32</f>
        <v>Purchase Price of Equity</v>
      </c>
      <c r="F49" s="137">
        <f t="shared" ref="F49:G49" si="1">F$32</f>
        <v>3166.4672000000005</v>
      </c>
      <c r="G49" s="122" t="str">
        <f t="shared" si="1"/>
        <v>USD m</v>
      </c>
    </row>
    <row r="50" spans="1:7" x14ac:dyDescent="0.25">
      <c r="D50" s="134" t="s">
        <v>119</v>
      </c>
      <c r="E50" s="122" t="str">
        <f>E$46</f>
        <v>Fair Market Value of Net Assets</v>
      </c>
      <c r="F50" s="137">
        <f t="shared" ref="F50:G51" si="2">F$46</f>
        <v>1183.7250000000004</v>
      </c>
      <c r="G50" s="122" t="str">
        <f t="shared" si="2"/>
        <v>USD m</v>
      </c>
    </row>
    <row r="51" spans="1:7" x14ac:dyDescent="0.25">
      <c r="E51" s="140" t="s">
        <v>22</v>
      </c>
      <c r="F51" s="142">
        <f xml:space="preserve"> F49 - F50</f>
        <v>1982.7422000000001</v>
      </c>
      <c r="G51" s="140" t="str">
        <f t="shared" si="2"/>
        <v>USD m</v>
      </c>
    </row>
    <row r="52" spans="1:7" x14ac:dyDescent="0.25">
      <c r="E52" s="124"/>
      <c r="F52" s="139"/>
      <c r="G52" s="124"/>
    </row>
    <row r="54" spans="1:7" s="126" customFormat="1" x14ac:dyDescent="0.25">
      <c r="A54" s="127" t="s">
        <v>127</v>
      </c>
    </row>
    <row r="55" spans="1:7" x14ac:dyDescent="0.25">
      <c r="A55" s="124"/>
    </row>
    <row r="56" spans="1:7" x14ac:dyDescent="0.25">
      <c r="D56" s="132" t="s">
        <v>133</v>
      </c>
    </row>
    <row r="57" spans="1:7" x14ac:dyDescent="0.25">
      <c r="E57" s="122" t="s">
        <v>19</v>
      </c>
      <c r="F57" s="122">
        <f xml:space="preserve"> _xlfn.LET(
      _xlpm.acquirer_cash, CaseData!$O$15,
      _xlpm.target_cash,   TargetData!$E$37,
      _xlpm.min_balance,   Merger!$F$12,
      _xlpm.acquirer_cash + _xlpm.target_cash - _xlpm.min_balance )</f>
        <v>251.09999999999997</v>
      </c>
      <c r="G57" s="122" t="s">
        <v>113</v>
      </c>
    </row>
    <row r="58" spans="1:7" x14ac:dyDescent="0.25">
      <c r="E58" s="122" t="s">
        <v>135</v>
      </c>
      <c r="F58" s="137">
        <f xml:space="preserve"> _xlfn.LET(
      _xlpm.source_of_funds,  $F$60,
      _xlpm.cash,             $F$57,
      _xlpm.debt_percentage,  $F$11,
      ( _xlpm.source_of_funds - _xlpm.cash ) * _xlpm.debt_percentage )</f>
        <v>1405.7068832000004</v>
      </c>
      <c r="G58" s="122" t="s">
        <v>113</v>
      </c>
    </row>
    <row r="59" spans="1:7" x14ac:dyDescent="0.25">
      <c r="E59" s="133" t="s">
        <v>136</v>
      </c>
      <c r="F59" s="138">
        <f xml:space="preserve"> _xlfn.LET(
      _xlpm.sources,    $F$60,
      _xlpm.cash,       $F$57,
      _xlpm.debt,       $F$58,
      _xlpm.sources - ( _xlpm.cash + _xlpm.debt ) )</f>
        <v>2108.5603248000002</v>
      </c>
      <c r="G59" s="133" t="s">
        <v>113</v>
      </c>
    </row>
    <row r="60" spans="1:7" x14ac:dyDescent="0.25">
      <c r="E60" s="124" t="s">
        <v>133</v>
      </c>
      <c r="F60" s="139">
        <f xml:space="preserve"> $F$68</f>
        <v>3765.3672080000006</v>
      </c>
      <c r="G60" s="124" t="s">
        <v>113</v>
      </c>
    </row>
    <row r="62" spans="1:7" x14ac:dyDescent="0.25">
      <c r="D62" s="132" t="s">
        <v>128</v>
      </c>
    </row>
    <row r="63" spans="1:7" x14ac:dyDescent="0.25">
      <c r="E63" s="122" t="s">
        <v>129</v>
      </c>
      <c r="F63" s="137">
        <f xml:space="preserve"> $F32</f>
        <v>3166.4672000000005</v>
      </c>
      <c r="G63" s="122" t="s">
        <v>113</v>
      </c>
    </row>
    <row r="64" spans="1:7" x14ac:dyDescent="0.25">
      <c r="E64" s="122" t="s">
        <v>130</v>
      </c>
      <c r="F64" s="137">
        <f xml:space="preserve"> F35</f>
        <v>0</v>
      </c>
      <c r="G64" s="122" t="s">
        <v>113</v>
      </c>
    </row>
    <row r="65" spans="1:14" x14ac:dyDescent="0.25">
      <c r="E65" s="122" t="s">
        <v>131</v>
      </c>
      <c r="F65" s="137">
        <f xml:space="preserve"> F36</f>
        <v>546</v>
      </c>
      <c r="G65" s="122" t="s">
        <v>113</v>
      </c>
    </row>
    <row r="66" spans="1:14" x14ac:dyDescent="0.25">
      <c r="E66" s="122" t="s">
        <v>132</v>
      </c>
      <c r="F66" s="137">
        <f xml:space="preserve"> _xlfn.LET(
      _xlpm.purchase_cost,    $F$63,
      _xlpm.ST_debt,          $F$64,
      _xlpm.LT_debt,          $F$65,
      _xlpm.cash,             $F$57,
      _xlpm.debt_percentage,  $F$11,
      _xlpm.debt_fees,        $F$20,
      ( _xlpm.purchase_cost + _xlpm.ST_debt + _xlpm.LT_debt - _xlpm.cash ) * _xlpm.debt_percentage * _xlpm.debt_fees )</f>
        <v>34.613672000000008</v>
      </c>
      <c r="G66" s="122" t="s">
        <v>113</v>
      </c>
    </row>
    <row r="67" spans="1:14" x14ac:dyDescent="0.25">
      <c r="E67" s="133" t="s">
        <v>134</v>
      </c>
      <c r="F67" s="138">
        <f xml:space="preserve"> $F$38 * $F$21</f>
        <v>18.286336000000002</v>
      </c>
      <c r="G67" s="133" t="s">
        <v>113</v>
      </c>
    </row>
    <row r="68" spans="1:14" x14ac:dyDescent="0.25">
      <c r="E68" s="124" t="s">
        <v>128</v>
      </c>
      <c r="F68" s="139">
        <f>SUM(F63:F67)</f>
        <v>3765.3672080000006</v>
      </c>
      <c r="G68" s="124" t="s">
        <v>113</v>
      </c>
    </row>
    <row r="71" spans="1:14" x14ac:dyDescent="0.25">
      <c r="E71" s="124" t="s">
        <v>140</v>
      </c>
      <c r="F71" s="139">
        <f xml:space="preserve"> _xlfn.LET(
      _xlpm.equity,               $F$59,
      _xlpm.acquirer_share_price, $F$9,
      _xlpm.equity / _xlpm.acquirer_share_price )</f>
        <v>38.060655682310475</v>
      </c>
      <c r="G71" s="124" t="s">
        <v>141</v>
      </c>
    </row>
    <row r="74" spans="1:14" s="126" customFormat="1" x14ac:dyDescent="0.25">
      <c r="A74" s="127" t="s">
        <v>142</v>
      </c>
    </row>
    <row r="75" spans="1:14" x14ac:dyDescent="0.25">
      <c r="A75" s="124"/>
    </row>
    <row r="76" spans="1:14" x14ac:dyDescent="0.25">
      <c r="C76" s="124" t="s">
        <v>78</v>
      </c>
    </row>
    <row r="78" spans="1:14" x14ac:dyDescent="0.25">
      <c r="F78" s="147" t="s">
        <v>138</v>
      </c>
      <c r="G78" s="148"/>
      <c r="H78" s="148"/>
      <c r="I78" s="148"/>
      <c r="K78" s="147" t="s">
        <v>139</v>
      </c>
      <c r="L78" s="148"/>
      <c r="M78" s="148"/>
      <c r="N78" s="148"/>
    </row>
    <row r="79" spans="1:14" ht="27.6" x14ac:dyDescent="0.25">
      <c r="F79" s="143" t="str">
        <f>Acquirer</f>
        <v>BoTrainers</v>
      </c>
      <c r="G79" s="143" t="str">
        <f>Target</f>
        <v>Highpeak</v>
      </c>
      <c r="H79" s="143" t="s">
        <v>137</v>
      </c>
      <c r="I79" s="144" t="str">
        <f xml:space="preserve"> Acquirer &amp; " Pro Forma"</f>
        <v>BoTrainers Pro Forma</v>
      </c>
      <c r="K79" s="145" t="str">
        <f>Acquirer</f>
        <v>BoTrainers</v>
      </c>
      <c r="L79" s="145" t="str">
        <f>Target</f>
        <v>Highpeak</v>
      </c>
      <c r="M79" s="145" t="s">
        <v>137</v>
      </c>
      <c r="N79" s="146" t="str">
        <f xml:space="preserve"> Acquirer &amp; " Pro Forma"</f>
        <v>BoTrainers Pro Forma</v>
      </c>
    </row>
    <row r="81" spans="5:14" x14ac:dyDescent="0.25">
      <c r="E81" s="122" t="s">
        <v>8</v>
      </c>
      <c r="F81" s="149">
        <f>_xlfn.XLOOKUP( $E81, CaseData!$G$15:$G$30, CaseData!$J$15:$J$30,,0 )</f>
        <v>3586.4</v>
      </c>
      <c r="G81" s="149">
        <f>_xlfn.XLOOKUP( $E81, TargetData!$B$16:$B$23, TargetData!$E$16:$E$23,, 0 )</f>
        <v>1796.4</v>
      </c>
      <c r="H81" s="149">
        <f>TargetData!$E21</f>
        <v>105</v>
      </c>
      <c r="I81" s="149">
        <f>SUM(F81:H81)</f>
        <v>5487.8</v>
      </c>
      <c r="K81" s="149">
        <f>_xlfn.XLOOKUP( $E81, CaseData!$G$15:$G$30, CaseData!$K$15:$K$30,,0 )</f>
        <v>3708.3</v>
      </c>
      <c r="L81" s="149">
        <f>_xlfn.XLOOKUP( $E81, TargetData!$B$26:$B$33, TargetData!$E$26:$E$33,, 0 )</f>
        <v>1877.2</v>
      </c>
      <c r="M81" s="149">
        <f>TargetData!$E$31</f>
        <v>125</v>
      </c>
      <c r="N81" s="149">
        <f>SUM(K81:M81)</f>
        <v>5710.5</v>
      </c>
    </row>
    <row r="82" spans="5:14" x14ac:dyDescent="0.25">
      <c r="E82" s="122" t="s">
        <v>31</v>
      </c>
      <c r="F82" s="149">
        <f>_xlfn.XLOOKUP( $E82, CaseData!$G$15:$G$30, CaseData!$J$15:$J$30,,0 ) * -1</f>
        <v>-2001.2</v>
      </c>
      <c r="G82" s="149">
        <f>_xlfn.XLOOKUP( $E82, TargetData!$B$16:$B$23, TargetData!$E$16:$E$23,, 0 ) * -1</f>
        <v>-1131.7</v>
      </c>
      <c r="H82" s="149">
        <f>TargetData!$E22 * - 1</f>
        <v>-30</v>
      </c>
      <c r="I82" s="149">
        <f>SUM( F82:G82 ) - H82</f>
        <v>-3102.9</v>
      </c>
      <c r="K82" s="149">
        <f>_xlfn.XLOOKUP( $E82, CaseData!$G$15:$G$30, CaseData!$K$15:$K$30,,0 ) * - 1</f>
        <v>-2047</v>
      </c>
      <c r="L82" s="149">
        <f>_xlfn.XLOOKUP( $E82, TargetData!$B$26:$B$33, TargetData!$E$26:$E$33,, 0 ) * - 1</f>
        <v>-1147</v>
      </c>
      <c r="M82" s="149">
        <f>TargetData!$E$32 * - 1</f>
        <v>-40</v>
      </c>
      <c r="N82" s="149">
        <f>SUM( K82:L82 ) - M82</f>
        <v>-3154</v>
      </c>
    </row>
    <row r="83" spans="5:14" x14ac:dyDescent="0.25">
      <c r="E83" s="140" t="s">
        <v>35</v>
      </c>
      <c r="F83" s="150">
        <f>SUM(F81:F82)</f>
        <v>1585.2</v>
      </c>
      <c r="G83" s="150">
        <f t="shared" ref="G83:K83" si="3">SUM(G81:G82)</f>
        <v>664.7</v>
      </c>
      <c r="H83" s="150">
        <f xml:space="preserve"> H81 - H82</f>
        <v>135</v>
      </c>
      <c r="I83" s="150">
        <f t="shared" si="3"/>
        <v>2384.9</v>
      </c>
      <c r="J83" s="140"/>
      <c r="K83" s="150">
        <f t="shared" si="3"/>
        <v>1661.3000000000002</v>
      </c>
      <c r="L83" s="150">
        <f t="shared" ref="L83" si="4">SUM(L81:L82)</f>
        <v>730.2</v>
      </c>
      <c r="M83" s="150">
        <f xml:space="preserve"> M81 - M82</f>
        <v>165</v>
      </c>
      <c r="N83" s="150">
        <f t="shared" ref="N83" si="5">SUM(N81:N82)</f>
        <v>2556.5</v>
      </c>
    </row>
    <row r="85" spans="5:14" x14ac:dyDescent="0.25">
      <c r="E85" s="122" t="s">
        <v>32</v>
      </c>
      <c r="F85" s="149">
        <f>_xlfn.XLOOKUP( $E85, CaseData!$G$15:$G$30, CaseData!$J$15:$J$30,,0 ) * -1</f>
        <v>-408.8</v>
      </c>
      <c r="G85" s="149">
        <f>_xlfn.XLOOKUP( $E85, TargetData!$B$16:$B$23, TargetData!$E$16:$E$23,, 0 ) * -1</f>
        <v>-273.10000000000002</v>
      </c>
      <c r="H85" s="149">
        <f>TargetData!$E23 * - 1</f>
        <v>-60</v>
      </c>
      <c r="I85" s="149">
        <f>SUM( F85:G85 ) - H85</f>
        <v>-621.90000000000009</v>
      </c>
      <c r="K85" s="149">
        <f>_xlfn.XLOOKUP( $E85, CaseData!$G$15:$G$30, CaseData!$K$15:$K$30,,0 ) * - 1</f>
        <v>-463.5</v>
      </c>
      <c r="L85" s="149">
        <f>_xlfn.XLOOKUP( $E85, TargetData!$B$26:$B$33, TargetData!$E$26:$E$33,, 0 ) * - 1</f>
        <v>-275.89999999999998</v>
      </c>
      <c r="M85" s="149">
        <f>TargetData!$E$33 * - 1</f>
        <v>-70</v>
      </c>
      <c r="N85" s="149">
        <f>SUM( K85:L85 ) - M85</f>
        <v>-669.4</v>
      </c>
    </row>
    <row r="86" spans="5:14" x14ac:dyDescent="0.25">
      <c r="E86" s="122" t="s">
        <v>10</v>
      </c>
      <c r="F86" s="149">
        <f>_xlfn.XLOOKUP( $E86, CaseData!$G$15:$G$30, CaseData!$J$15:$J$30,,0 ) * -1</f>
        <v>-168.6</v>
      </c>
      <c r="G86" s="149">
        <f>_xlfn.XLOOKUP( $E86, TargetData!$B$16:$B$23, TargetData!$E$16:$E$23,, 0 ) * -1</f>
        <v>-71.900000000000006</v>
      </c>
      <c r="H86" s="149"/>
      <c r="I86" s="149">
        <f>SUM(F86:H86)</f>
        <v>-240.5</v>
      </c>
      <c r="K86" s="149">
        <f>_xlfn.XLOOKUP( $E86, CaseData!$G$15:$G$30, CaseData!$K$15:$K$30,,0 ) * - 1</f>
        <v>-181.7</v>
      </c>
      <c r="L86" s="149">
        <f>_xlfn.XLOOKUP( $E86, TargetData!$B$26:$B$33, TargetData!$E$26:$E$33,, 0 ) * - 1</f>
        <v>-71.3</v>
      </c>
      <c r="M86" s="149"/>
      <c r="N86" s="149">
        <f>SUM(K86:M86)</f>
        <v>-253</v>
      </c>
    </row>
    <row r="87" spans="5:14" x14ac:dyDescent="0.25">
      <c r="E87" s="140" t="s">
        <v>33</v>
      </c>
      <c r="F87" s="150">
        <f>SUM(F83:F86)</f>
        <v>1007.8000000000001</v>
      </c>
      <c r="G87" s="150">
        <f>SUM(G83:G86)</f>
        <v>319.70000000000005</v>
      </c>
      <c r="H87" s="150">
        <f xml:space="preserve"> H83 - H85</f>
        <v>195</v>
      </c>
      <c r="I87" s="150">
        <f>SUM(I83:I86)</f>
        <v>1522.5</v>
      </c>
      <c r="J87" s="140"/>
      <c r="K87" s="150">
        <f>SUM(K83:K86)</f>
        <v>1016.1000000000001</v>
      </c>
      <c r="L87" s="150">
        <f>SUM(L83:L86)</f>
        <v>383.00000000000006</v>
      </c>
      <c r="M87" s="150">
        <f xml:space="preserve"> M83 - M85</f>
        <v>235</v>
      </c>
      <c r="N87" s="150">
        <f>SUM(N83:N86)</f>
        <v>1634.1</v>
      </c>
    </row>
    <row r="89" spans="5:14" x14ac:dyDescent="0.25">
      <c r="E89" s="122" t="s">
        <v>27</v>
      </c>
      <c r="F89" s="149">
        <f>_xlfn.XLOOKUP( $E89, CaseData!$G$15:$G$30, CaseData!$J$15:$J$30,,0 ) * -1</f>
        <v>-71.7</v>
      </c>
      <c r="G89" s="149">
        <f>_xlfn.XLOOKUP( $E89, TargetData!$B$16:$B$23, TargetData!$E$16:$E$23,, 0 ) * -1</f>
        <v>-52.1</v>
      </c>
      <c r="H89" s="149">
        <f xml:space="preserve"> _xlfn.LET(
      _xlpm.assets_write_ups,    $F$42,
      _xlpm.life_of_assets,      $F$13,
      _xlpm.assets_write_ups / _xlpm.life_of_assets * - 1 )</f>
        <v>-86.750000000000014</v>
      </c>
      <c r="I89" s="149">
        <f>SUM(F89:H89)</f>
        <v>-210.55</v>
      </c>
      <c r="K89" s="149">
        <f>_xlfn.XLOOKUP( $E89, CaseData!$G$15:$G$30, CaseData!$K$15:$K$30,,0 ) * - 1</f>
        <v>-77.900000000000006</v>
      </c>
      <c r="L89" s="149">
        <f>_xlfn.XLOOKUP( $E89, TargetData!$B$26:$B$33, TargetData!$E$26:$E$33,, 0 ) * - 1</f>
        <v>-52.6</v>
      </c>
      <c r="M89" s="149">
        <f xml:space="preserve"> _xlfn.LET(
      _xlpm.assets_write_ups,    $F$42,
      _xlpm.life_of_assets,      $F$13,
      _xlpm.assets_write_ups / _xlpm.life_of_assets * - 1 )</f>
        <v>-86.750000000000014</v>
      </c>
      <c r="N89" s="149">
        <f>SUM(K89:M89)</f>
        <v>-217.25</v>
      </c>
    </row>
    <row r="90" spans="5:14" x14ac:dyDescent="0.25">
      <c r="E90" s="140" t="s">
        <v>11</v>
      </c>
      <c r="F90" s="150">
        <f>SUM(F87:F89)</f>
        <v>936.1</v>
      </c>
      <c r="G90" s="150">
        <f>SUM(G87:G89)</f>
        <v>267.60000000000002</v>
      </c>
      <c r="H90" s="150">
        <f>SUM(H87:H89)</f>
        <v>108.24999999999999</v>
      </c>
      <c r="I90" s="150">
        <f>SUM(I87:I89)</f>
        <v>1311.95</v>
      </c>
      <c r="J90" s="140"/>
      <c r="K90" s="150">
        <f>SUM(K87:K89)</f>
        <v>938.20000000000016</v>
      </c>
      <c r="L90" s="150">
        <f>SUM(L87:L89)</f>
        <v>330.40000000000003</v>
      </c>
      <c r="M90" s="150">
        <f>SUM(M87:M89)</f>
        <v>148.25</v>
      </c>
      <c r="N90" s="150">
        <f>SUM(N87:N89)</f>
        <v>1416.85</v>
      </c>
    </row>
    <row r="92" spans="5:14" x14ac:dyDescent="0.25">
      <c r="E92" s="122" t="s">
        <v>12</v>
      </c>
      <c r="F92" s="149">
        <f>_xlfn.XLOOKUP( $E92, CaseData!$G$15:$G$30, CaseData!$J$15:$J$30,,0 ) * -1</f>
        <v>-23.900000000000002</v>
      </c>
      <c r="G92" s="122" t="e">
        <f>NA()</f>
        <v>#N/A</v>
      </c>
      <c r="H92" s="149">
        <f xml:space="preserve"> _xlfn.LET(
      _xlpm.acquirer_new_debt,      $F$58,
      _xlpm.interest_rate,          $F$18,
      _xlpm.cash_balance,           $F$110 - $I$110,
      _xlpm.interest_earned,        $F$19,
      ( _xlpm.acquirer_new_debt * _xlpm.interest_rate * - 1 ) + ( _xlpm.cash_balance * _xlpm.interest_earned ) )</f>
        <v>-82.383412992000018</v>
      </c>
      <c r="I92" s="149">
        <f xml:space="preserve"> SUM( F92, H92)</f>
        <v>-106.28341299200002</v>
      </c>
      <c r="K92" s="149">
        <f>_xlfn.XLOOKUP( $E92, CaseData!$G$15:$G$30, CaseData!$K$15:$K$30,,0 ) * - 1</f>
        <v>-11.2</v>
      </c>
      <c r="L92" s="122" t="e">
        <f>NA()</f>
        <v>#N/A</v>
      </c>
      <c r="M92" s="149">
        <f>H92</f>
        <v>-82.383412992000018</v>
      </c>
      <c r="N92" s="149">
        <f xml:space="preserve"> SUM( K92, M92)</f>
        <v>-93.583412992000021</v>
      </c>
    </row>
    <row r="93" spans="5:14" x14ac:dyDescent="0.25">
      <c r="E93" s="140" t="s">
        <v>13</v>
      </c>
      <c r="F93" s="150">
        <f>SUM(F90:F92)</f>
        <v>912.2</v>
      </c>
      <c r="G93" s="140" t="e">
        <f>NA()</f>
        <v>#N/A</v>
      </c>
      <c r="H93" s="150">
        <f>SUM(H90:H92)</f>
        <v>25.866587007999968</v>
      </c>
      <c r="I93" s="150">
        <f>SUM(I90:I92)</f>
        <v>1205.6665870080001</v>
      </c>
      <c r="J93" s="140"/>
      <c r="K93" s="150">
        <f>SUM(K90:K92)</f>
        <v>927.00000000000011</v>
      </c>
      <c r="L93" s="140" t="e">
        <f>NA()</f>
        <v>#N/A</v>
      </c>
      <c r="M93" s="150">
        <f>SUM(M90:M92)</f>
        <v>65.866587007999982</v>
      </c>
      <c r="N93" s="150">
        <f>SUM(N90:N92)</f>
        <v>1323.266587008</v>
      </c>
    </row>
    <row r="95" spans="5:14" x14ac:dyDescent="0.25">
      <c r="E95" s="122" t="s">
        <v>14</v>
      </c>
      <c r="F95" s="149">
        <f>_xlfn.XLOOKUP( $E95, CaseData!$G$15:$G$30, CaseData!$J$15:$J$30,,0 ) * -1</f>
        <v>-232.6</v>
      </c>
      <c r="G95" s="122" t="e">
        <f>NA()</f>
        <v>#N/A</v>
      </c>
      <c r="H95" s="149">
        <f xml:space="preserve"> ( F95 + I93 * $F$22 ) * - 1</f>
        <v>-98.958311427200073</v>
      </c>
      <c r="I95" s="149">
        <f>SUM( F95, H95 )</f>
        <v>-331.55831142720007</v>
      </c>
      <c r="K95" s="149">
        <f>_xlfn.XLOOKUP( $E95, CaseData!$G$15:$G$30, CaseData!$K$15:$K$30,,0 ) * - 1</f>
        <v>-231.8</v>
      </c>
      <c r="L95" s="122" t="e">
        <f>NA()</f>
        <v>#N/A</v>
      </c>
      <c r="M95" s="149">
        <f xml:space="preserve"> ( K95 + N93 * $F$22 ) * - 1</f>
        <v>-132.09831142720003</v>
      </c>
      <c r="N95" s="149">
        <f xml:space="preserve"> SUM( K95, M95 )</f>
        <v>-363.89831142720004</v>
      </c>
    </row>
    <row r="96" spans="5:14" x14ac:dyDescent="0.25">
      <c r="E96" s="140" t="s">
        <v>15</v>
      </c>
      <c r="F96" s="150">
        <f>SUM(F93:F95)</f>
        <v>679.6</v>
      </c>
      <c r="G96" s="140" t="e">
        <f>NA()</f>
        <v>#N/A</v>
      </c>
      <c r="H96" s="150">
        <f xml:space="preserve"> H93 - H95</f>
        <v>124.82489843520004</v>
      </c>
      <c r="I96" s="150">
        <f>SUM(I93:I95)</f>
        <v>874.10827558079995</v>
      </c>
      <c r="J96" s="140"/>
      <c r="K96" s="150">
        <f>SUM(K93:K95)</f>
        <v>695.2</v>
      </c>
      <c r="L96" s="140" t="e">
        <f>NA()</f>
        <v>#N/A</v>
      </c>
      <c r="M96" s="150">
        <f>SUM(M93:M95)</f>
        <v>-66.231724419200049</v>
      </c>
      <c r="N96" s="150">
        <f>SUM(N93:N95)</f>
        <v>959.36827558079995</v>
      </c>
    </row>
    <row r="99" spans="3:14" x14ac:dyDescent="0.25">
      <c r="E99" s="156" t="s">
        <v>145</v>
      </c>
      <c r="F99" s="157">
        <f>CaseData!$E$10</f>
        <v>119.4</v>
      </c>
      <c r="G99" s="156" t="e">
        <f>NA()</f>
        <v>#N/A</v>
      </c>
      <c r="H99" s="158">
        <f>$F$71</f>
        <v>38.060655682310475</v>
      </c>
      <c r="I99" s="158">
        <f xml:space="preserve"> SUM( F99, H99)</f>
        <v>157.46065568231049</v>
      </c>
      <c r="J99" s="156"/>
      <c r="K99" s="156"/>
      <c r="L99" s="156"/>
      <c r="M99" s="156"/>
      <c r="N99" s="156"/>
    </row>
    <row r="100" spans="3:14" x14ac:dyDescent="0.25">
      <c r="E100" s="124" t="s">
        <v>144</v>
      </c>
      <c r="F100" s="155">
        <f xml:space="preserve"> F96 / F99</f>
        <v>5.69179229480737</v>
      </c>
      <c r="G100" s="124"/>
      <c r="H100" s="124"/>
      <c r="I100" s="155">
        <f xml:space="preserve"> I96 / I99</f>
        <v>5.5512805519137656</v>
      </c>
      <c r="J100" s="124"/>
      <c r="K100" s="155">
        <f xml:space="preserve"> K96 / F99</f>
        <v>5.8224455611390287</v>
      </c>
      <c r="L100" s="124"/>
      <c r="M100" s="124"/>
      <c r="N100" s="155">
        <f xml:space="preserve"> N96 / I99</f>
        <v>6.0927491469132606</v>
      </c>
    </row>
    <row r="101" spans="3:14" x14ac:dyDescent="0.25">
      <c r="E101" s="122" t="s">
        <v>146</v>
      </c>
      <c r="I101" s="154">
        <f xml:space="preserve"> I100 - F100</f>
        <v>-0.14051174289360446</v>
      </c>
      <c r="N101" s="154">
        <f xml:space="preserve"> N100 - K100</f>
        <v>0.27030358577423197</v>
      </c>
    </row>
    <row r="102" spans="3:14" x14ac:dyDescent="0.25">
      <c r="E102" s="159" t="s">
        <v>147</v>
      </c>
      <c r="F102" s="159"/>
      <c r="G102" s="159"/>
      <c r="H102" s="159"/>
      <c r="I102" s="160">
        <f xml:space="preserve"> I101 / F100</f>
        <v>-2.4686730579011731E-2</v>
      </c>
      <c r="J102" s="159"/>
      <c r="K102" s="159"/>
      <c r="L102" s="159"/>
      <c r="M102" s="159"/>
      <c r="N102" s="160">
        <f xml:space="preserve"> N101 / K100</f>
        <v>4.6424407568244098E-2</v>
      </c>
    </row>
    <row r="105" spans="3:14" x14ac:dyDescent="0.25">
      <c r="C105" s="124" t="s">
        <v>143</v>
      </c>
    </row>
    <row r="108" spans="3:14" ht="27.6" x14ac:dyDescent="0.3">
      <c r="F108" s="151" t="str">
        <f>Acquirer</f>
        <v>BoTrainers</v>
      </c>
      <c r="G108" s="151" t="str">
        <f>Target</f>
        <v>Highpeak</v>
      </c>
      <c r="H108" s="151" t="s">
        <v>137</v>
      </c>
      <c r="I108" s="152" t="str">
        <f xml:space="preserve"> Acquirer &amp; " Pro Forma"</f>
        <v>BoTrainers Pro Forma</v>
      </c>
      <c r="K108"/>
      <c r="L108"/>
      <c r="M108"/>
      <c r="N108"/>
    </row>
    <row r="109" spans="3:14" ht="14.4" x14ac:dyDescent="0.3">
      <c r="K109"/>
      <c r="L109"/>
      <c r="M109"/>
      <c r="N109"/>
    </row>
    <row r="110" spans="3:14" x14ac:dyDescent="0.25">
      <c r="E110" s="122" t="s">
        <v>19</v>
      </c>
      <c r="F110" s="149">
        <f>_xlfn.XLOOKUP( $E110, CaseData!$M$15:$M$36, CaseData!$O$15:$O$36,,0 )</f>
        <v>265.89999999999998</v>
      </c>
      <c r="G110" s="149">
        <f>_xlfn.XLOOKUP( $E110, TargetData!$B$9:$B$55, TargetData!$E$9:$E$55,,0 )</f>
        <v>55.2</v>
      </c>
      <c r="H110" s="149">
        <f xml:space="preserve"> _xlfn.LET(
      _xlpm.acquirer_cash,    $F$110,
      _xlpm.target_cash,      $G$110,
      _xlpm.minimum_balance,  $F$12,
      ( _xlpm.acquirer_cash + _xlpm.target_cash - _xlpm.minimum_balance ) * - 1 )</f>
        <v>-251.09999999999997</v>
      </c>
      <c r="I110" s="149">
        <f>SUM(F110:H110)</f>
        <v>70</v>
      </c>
    </row>
    <row r="111" spans="3:14" x14ac:dyDescent="0.25">
      <c r="E111" s="122" t="s">
        <v>40</v>
      </c>
      <c r="F111" s="149">
        <f>_xlfn.XLOOKUP( $E111, CaseData!$M$15:$M$36, CaseData!$O$15:$O$36,,0 )</f>
        <v>302.60000000000002</v>
      </c>
      <c r="G111" s="149">
        <f>_xlfn.XLOOKUP( $E111, TargetData!$B$9:$B$55, TargetData!$E$9:$E$55,,0 )</f>
        <v>213.2</v>
      </c>
      <c r="I111" s="149">
        <f t="shared" ref="I111:I113" si="6">SUM(F111:H111)</f>
        <v>515.79999999999995</v>
      </c>
    </row>
    <row r="112" spans="3:14" x14ac:dyDescent="0.25">
      <c r="E112" s="122" t="s">
        <v>41</v>
      </c>
      <c r="F112" s="149">
        <f>_xlfn.XLOOKUP( $E112, CaseData!$M$15:$M$36, CaseData!$O$15:$O$36,,0 )</f>
        <v>688.5</v>
      </c>
      <c r="G112" s="149">
        <f>_xlfn.XLOOKUP( $E112, TargetData!$B$9:$B$55, TargetData!$E$9:$E$55,,0 )</f>
        <v>360.8</v>
      </c>
      <c r="I112" s="149">
        <f t="shared" si="6"/>
        <v>1049.3</v>
      </c>
    </row>
    <row r="113" spans="5:9" x14ac:dyDescent="0.25">
      <c r="E113" s="122" t="s">
        <v>20</v>
      </c>
      <c r="F113" s="149">
        <f>_xlfn.XLOOKUP( $E113, CaseData!$M$15:$M$36, CaseData!$O$15:$O$36,,0 )</f>
        <v>86.3</v>
      </c>
      <c r="G113" s="149">
        <f>_xlfn.XLOOKUP( $E113, TargetData!$B$9:$B$55, TargetData!$E$9:$E$55,,0 )</f>
        <v>21.7</v>
      </c>
      <c r="I113" s="149">
        <f t="shared" si="6"/>
        <v>108</v>
      </c>
    </row>
    <row r="114" spans="5:9" x14ac:dyDescent="0.25">
      <c r="E114" s="140" t="s">
        <v>25</v>
      </c>
      <c r="F114" s="150">
        <f>_xlfn.XLOOKUP( $E114, CaseData!$M$15:$M$36, CaseData!$O$15:$O$36,,0 )</f>
        <v>1343.3</v>
      </c>
      <c r="G114" s="150">
        <f>SUM(G110:G113)</f>
        <v>650.90000000000009</v>
      </c>
      <c r="H114" s="150">
        <f>SUM(H110:H113)</f>
        <v>-251.09999999999997</v>
      </c>
      <c r="I114" s="150">
        <f>SUM(I110:I113)</f>
        <v>1743.1</v>
      </c>
    </row>
    <row r="116" spans="5:9" x14ac:dyDescent="0.25">
      <c r="E116" s="122" t="s">
        <v>21</v>
      </c>
      <c r="F116" s="149">
        <f>_xlfn.XLOOKUP( $E116, CaseData!$M$15:$M$36, CaseData!$O$15:$O$36,,0 )</f>
        <v>1003.8</v>
      </c>
      <c r="G116" s="149">
        <f>_xlfn.XLOOKUP( $E116, TargetData!$B$9:$B$55, TargetData!$E$9:$E$55,,0 )</f>
        <v>625.20000000000005</v>
      </c>
      <c r="H116" s="149">
        <v>0</v>
      </c>
      <c r="I116" s="149">
        <f>SUM(F116:H116)</f>
        <v>1629</v>
      </c>
    </row>
    <row r="117" spans="5:9" x14ac:dyDescent="0.25">
      <c r="E117" s="122" t="s">
        <v>22</v>
      </c>
      <c r="F117" s="149">
        <f>_xlfn.XLOOKUP( $E117, CaseData!$M$15:$M$36, CaseData!$O$15:$O$36,,0 )</f>
        <v>134.5</v>
      </c>
      <c r="G117" s="149">
        <f>_xlfn.XLOOKUP( $E117, TargetData!$B$9:$B$55, TargetData!$E$9:$E$55,,0 )</f>
        <v>21.4</v>
      </c>
      <c r="H117" s="149">
        <f xml:space="preserve"> _xlfn.LET(
      _xlpm.new_goodwill,       $F$51,
      _xlpm.target_goodwill,    $G$117,
      _xlpm.new_goodwill - _xlpm.target_goodwill )</f>
        <v>1961.3422</v>
      </c>
      <c r="I117" s="149">
        <f t="shared" ref="I117:I118" si="7">SUM(F117:H117)</f>
        <v>2117.2422000000001</v>
      </c>
    </row>
    <row r="118" spans="5:9" x14ac:dyDescent="0.25">
      <c r="E118" s="122" t="s">
        <v>34</v>
      </c>
      <c r="F118" s="149">
        <f>_xlfn.XLOOKUP( $E118, CaseData!$M$15:$M$36, CaseData!$O$15:$O$36,,0 )</f>
        <v>121.7</v>
      </c>
      <c r="G118" s="149">
        <f>_xlfn.XLOOKUP( $E118, TargetData!$B$9:$B$55, TargetData!$E$9:$E$55,,0 )</f>
        <v>90.5</v>
      </c>
      <c r="H118" s="149">
        <f xml:space="preserve"> _xlfn.LET(
      _xlpm.assets_write_ups, $F$42,
      _xlpm.assets_write_ups )</f>
        <v>1041.0000000000002</v>
      </c>
      <c r="I118" s="149">
        <f t="shared" si="7"/>
        <v>1253.2000000000003</v>
      </c>
    </row>
    <row r="119" spans="5:9" x14ac:dyDescent="0.25">
      <c r="E119" s="140" t="s">
        <v>23</v>
      </c>
      <c r="F119" s="150">
        <f>_xlfn.XLOOKUP( $E119, CaseData!$M$15:$M$36, CaseData!$O$15:$O$36,,0 )</f>
        <v>2603.2999999999997</v>
      </c>
      <c r="G119" s="150">
        <f>SUM(G114:G118)</f>
        <v>1388.0000000000002</v>
      </c>
      <c r="H119" s="150">
        <f t="shared" ref="H119" si="8">SUM(H114:H118)</f>
        <v>2751.2422000000006</v>
      </c>
      <c r="I119" s="150">
        <f>SUM(I114:I118)</f>
        <v>6742.5421999999999</v>
      </c>
    </row>
    <row r="121" spans="5:9" x14ac:dyDescent="0.25">
      <c r="E121" s="122" t="s">
        <v>77</v>
      </c>
      <c r="F121" s="149">
        <f>_xlfn.XLOOKUP( $E121, CaseData!$M$15:$M$36, CaseData!$O$15:$O$36,,0 )</f>
        <v>55.3</v>
      </c>
      <c r="G121" s="149">
        <f>IF( _xlfn.XLOOKUP( $E121, TargetData!$B$9:$B$55, TargetData!$E$9:$E$55,,0 ) &lt;&gt; "", _xlfn.XLOOKUP( $E121, TargetData!$B$9:$B$55, TargetData!$E$9:$E$55,,0 ), 0 )</f>
        <v>0</v>
      </c>
      <c r="H121" s="149">
        <f xml:space="preserve"> _xlfn.LET(
      _xlpm.ST_debt,     $F$64,
      -_xlpm.ST_debt )</f>
        <v>0</v>
      </c>
      <c r="I121" s="149">
        <f>SUM(F121:H121)</f>
        <v>55.3</v>
      </c>
    </row>
    <row r="122" spans="5:9" x14ac:dyDescent="0.25">
      <c r="E122" s="122" t="s">
        <v>24</v>
      </c>
      <c r="F122" s="149">
        <f>_xlfn.XLOOKUP( $E122, CaseData!$M$15:$M$36, CaseData!$O$15:$O$36,,0 )</f>
        <v>323</v>
      </c>
      <c r="G122" s="149">
        <f>_xlfn.XLOOKUP( $E122, TargetData!$B$9:$B$55, TargetData!$E$9:$E$55,,0 )</f>
        <v>158.69999999999999</v>
      </c>
      <c r="H122" s="149">
        <v>0</v>
      </c>
      <c r="I122" s="149">
        <f t="shared" ref="I122:I123" si="9">SUM(F122:H122)</f>
        <v>481.7</v>
      </c>
    </row>
    <row r="123" spans="5:9" x14ac:dyDescent="0.25">
      <c r="E123" s="122" t="s">
        <v>102</v>
      </c>
      <c r="F123" s="149">
        <f>_xlfn.XLOOKUP( $E123, CaseData!$M$15:$M$36, CaseData!$O$15:$O$36,,0 )</f>
        <v>538</v>
      </c>
      <c r="G123" s="149">
        <f>_xlfn.XLOOKUP( $E123, TargetData!$B$9:$B$55, TargetData!$E$9:$E$55,,0 )</f>
        <v>111.6</v>
      </c>
      <c r="H123" s="149">
        <v>0</v>
      </c>
      <c r="I123" s="149">
        <f t="shared" si="9"/>
        <v>649.6</v>
      </c>
    </row>
    <row r="124" spans="5:9" x14ac:dyDescent="0.25">
      <c r="E124" s="140" t="s">
        <v>60</v>
      </c>
      <c r="F124" s="150">
        <f>_xlfn.XLOOKUP( $E124, CaseData!$M$15:$M$36, CaseData!$O$15:$O$36,,0 )</f>
        <v>916.3</v>
      </c>
      <c r="G124" s="150">
        <f>SUM(G121:G123)</f>
        <v>270.29999999999995</v>
      </c>
      <c r="H124" s="150">
        <f>SUM(H121:H123)</f>
        <v>0</v>
      </c>
      <c r="I124" s="150">
        <f>SUM(I121:I123)</f>
        <v>1186.5999999999999</v>
      </c>
    </row>
    <row r="126" spans="5:9" x14ac:dyDescent="0.25">
      <c r="E126" s="122" t="s">
        <v>26</v>
      </c>
      <c r="F126" s="149">
        <f>_xlfn.XLOOKUP( $E126, CaseData!$M$15:$M$36, CaseData!$O$15:$O$36,,0 )</f>
        <v>698.3</v>
      </c>
      <c r="G126" s="149">
        <f>_xlfn.XLOOKUP( $E126, TargetData!$B$9:$B$55, TargetData!$E$9:$E$55,,0 )</f>
        <v>546</v>
      </c>
      <c r="H126" s="149">
        <f xml:space="preserve"> _xlfn.LET(
      _xlpm.new_LT_debt,         $F$58,
      _xlpm.target_LT_debt,      $G$126,
      _xlpm.new_LT_debt - _xlpm.target_LT_debt )</f>
        <v>859.70688320000045</v>
      </c>
      <c r="I126" s="149">
        <f t="shared" ref="I126:I127" si="10">SUM(F126:H126)</f>
        <v>2104.0068832000006</v>
      </c>
    </row>
    <row r="127" spans="5:9" x14ac:dyDescent="0.25">
      <c r="E127" s="122" t="s">
        <v>28</v>
      </c>
      <c r="F127" s="149">
        <f>_xlfn.XLOOKUP( $E127, CaseData!$M$15:$M$36, CaseData!$O$15:$O$36,,0 )</f>
        <v>331.8</v>
      </c>
      <c r="G127" s="149">
        <f>_xlfn.XLOOKUP( $E127, TargetData!$B$9:$B$55, TargetData!$E$9:$E$55,,0 )</f>
        <v>121.3</v>
      </c>
      <c r="H127" s="149">
        <f xml:space="preserve"> _xlfn.LET(
      _xlpm.deferred_tax_liabilities,  $F$45,
      _xlpm.deferred_tax_liabilities * - 1 )</f>
        <v>286.27500000000009</v>
      </c>
      <c r="I127" s="149">
        <f t="shared" si="10"/>
        <v>739.37500000000011</v>
      </c>
    </row>
    <row r="128" spans="5:9" x14ac:dyDescent="0.25">
      <c r="E128" s="140" t="s">
        <v>99</v>
      </c>
      <c r="F128" s="150">
        <f>_xlfn.XLOOKUP( $E128, CaseData!$M$15:$M$36, CaseData!$O$15:$O$36,,0 )</f>
        <v>1946.3999999999999</v>
      </c>
      <c r="G128" s="150">
        <f>SUM(G126:G127)</f>
        <v>667.3</v>
      </c>
      <c r="H128" s="150">
        <f>SUM(H124:H127)</f>
        <v>1145.9818832000005</v>
      </c>
      <c r="I128" s="150">
        <f>SUM(I124:I127)</f>
        <v>4029.9818832000005</v>
      </c>
    </row>
    <row r="129" spans="1:14" x14ac:dyDescent="0.25">
      <c r="F129" s="149"/>
    </row>
    <row r="130" spans="1:14" x14ac:dyDescent="0.25">
      <c r="E130" s="122" t="s">
        <v>29</v>
      </c>
      <c r="F130" s="149">
        <f>_xlfn.XLOOKUP( $E130, CaseData!$M$15:$M$36, CaseData!$O$15:$O$36,,0 )</f>
        <v>656.9</v>
      </c>
      <c r="G130" s="149">
        <f>_xlfn.XLOOKUP( $E130, TargetData!$B$9:$B$55, TargetData!$E$9:$E$55,,0 )</f>
        <v>450.4</v>
      </c>
      <c r="H130" s="149">
        <f xml:space="preserve"> _xlfn.LET(
      _xlpm.acquirer_equity,    $F$59,
      _xlpm.target_equity,      $G$130,
      _xlpm.debt_fees,          $F$66,
      _xlpm.other_fees,         $F$67,
      _xlpm.acquirer_equity - _xlpm.target_equity - _xlpm.debt_fees - _xlpm.other_fees )</f>
        <v>1605.2603168000003</v>
      </c>
      <c r="I130" s="149">
        <f>SUM(F130:H130)</f>
        <v>2712.5603168000002</v>
      </c>
    </row>
    <row r="131" spans="1:14" x14ac:dyDescent="0.25">
      <c r="E131" s="140" t="s">
        <v>98</v>
      </c>
      <c r="F131" s="150">
        <f>_xlfn.XLOOKUP( $E131, CaseData!$M$15:$M$36, CaseData!$O$15:$O$36,,0 )</f>
        <v>2603.2999999999997</v>
      </c>
      <c r="G131" s="150">
        <f>_xlfn.XLOOKUP( $E131, TargetData!$B$9:$B$55, TargetData!$E$9:$E$55,,0 )</f>
        <v>1388</v>
      </c>
      <c r="H131" s="150">
        <f>SUM(H128:H130)</f>
        <v>2751.2422000000006</v>
      </c>
      <c r="I131" s="150">
        <f>SUM(I128:I130)</f>
        <v>6742.5422000000008</v>
      </c>
    </row>
    <row r="134" spans="1:14" x14ac:dyDescent="0.25">
      <c r="E134" s="174" t="s">
        <v>151</v>
      </c>
      <c r="F134" s="175">
        <f xml:space="preserve"> ( F121 + F126 - F110 ) / F87</f>
        <v>0.48392538202024199</v>
      </c>
      <c r="G134" s="174"/>
      <c r="H134" s="174"/>
      <c r="I134" s="175">
        <f xml:space="preserve"> ( I121 + I126 - I110 ) / I87</f>
        <v>1.3722869511986868</v>
      </c>
    </row>
    <row r="135" spans="1:14" x14ac:dyDescent="0.25">
      <c r="E135" s="176" t="s">
        <v>152</v>
      </c>
      <c r="F135" s="177">
        <f xml:space="preserve"> F87 / - F92</f>
        <v>42.1673640167364</v>
      </c>
      <c r="G135" s="176"/>
      <c r="H135" s="176"/>
      <c r="I135" s="177">
        <f xml:space="preserve"> I87 / - I92</f>
        <v>14.324906936462408</v>
      </c>
    </row>
    <row r="138" spans="1:14" s="126" customFormat="1" x14ac:dyDescent="0.25">
      <c r="A138" s="127" t="s">
        <v>153</v>
      </c>
    </row>
    <row r="140" spans="1:14" x14ac:dyDescent="0.25">
      <c r="D140" s="132" t="s">
        <v>148</v>
      </c>
    </row>
    <row r="141" spans="1:14" x14ac:dyDescent="0.25">
      <c r="F141" s="161" t="s">
        <v>138</v>
      </c>
      <c r="G141" s="162"/>
      <c r="H141" s="162"/>
      <c r="I141" s="162"/>
      <c r="K141" s="161" t="s">
        <v>139</v>
      </c>
      <c r="L141" s="162"/>
      <c r="M141" s="162"/>
      <c r="N141" s="162"/>
    </row>
    <row r="142" spans="1:14" x14ac:dyDescent="0.25">
      <c r="F142" s="148" t="str">
        <f xml:space="preserve"> $E$101</f>
        <v>Accredtion / dilution (USD)</v>
      </c>
      <c r="G142" s="148"/>
      <c r="H142" s="148" t="str">
        <f xml:space="preserve"> $E$102</f>
        <v>Accredtion / dilution (%)</v>
      </c>
      <c r="I142" s="163"/>
      <c r="K142" s="163" t="str">
        <f>$E$101</f>
        <v>Accredtion / dilution (USD)</v>
      </c>
      <c r="L142" s="163"/>
      <c r="M142" s="163" t="str">
        <f>$E$102</f>
        <v>Accredtion / dilution (%)</v>
      </c>
      <c r="N142" s="163"/>
    </row>
    <row r="143" spans="1:14" x14ac:dyDescent="0.25">
      <c r="E143" s="179">
        <f xml:space="preserve"> $I$101</f>
        <v>-0.14051174289360446</v>
      </c>
      <c r="F143" s="168" t="str">
        <f xml:space="preserve"> TargetData!$G$7</f>
        <v>Highpeak</v>
      </c>
      <c r="G143" s="168" t="str">
        <f xml:space="preserve"> TargetData!$H$7</f>
        <v>NoLace</v>
      </c>
      <c r="H143" s="168" t="str">
        <f xml:space="preserve"> F143</f>
        <v>Highpeak</v>
      </c>
      <c r="I143" s="168" t="str">
        <f xml:space="preserve"> G143</f>
        <v>NoLace</v>
      </c>
      <c r="J143" s="154">
        <f>$N$101</f>
        <v>0.27030358577423197</v>
      </c>
      <c r="K143" s="168" t="str">
        <f xml:space="preserve"> TargetData!$G$7</f>
        <v>Highpeak</v>
      </c>
      <c r="L143" s="168" t="str">
        <f xml:space="preserve"> TargetData!$H$7</f>
        <v>NoLace</v>
      </c>
      <c r="M143" s="168" t="str">
        <f xml:space="preserve"> K143</f>
        <v>Highpeak</v>
      </c>
      <c r="N143" s="168" t="str">
        <f xml:space="preserve"> L143</f>
        <v>NoLace</v>
      </c>
    </row>
    <row r="144" spans="1:14" x14ac:dyDescent="0.25">
      <c r="E144" s="165">
        <v>0.1</v>
      </c>
      <c r="F144" s="153">
        <f t="dataTable" ref="F144:G148" dt2D="1" dtr="1" r1="F17" r2="F14"/>
        <v>0.11149292792359322</v>
      </c>
      <c r="G144" s="153">
        <v>1.6580678046706279</v>
      </c>
      <c r="H144" s="169">
        <f xml:space="preserve"> F144 / $F$100</f>
        <v>1.958836903189675E-2</v>
      </c>
      <c r="I144" s="170">
        <f xml:space="preserve"> G144 / $F$100</f>
        <v>0.29130855779528103</v>
      </c>
      <c r="J144" s="165">
        <v>0.1</v>
      </c>
      <c r="K144" s="153">
        <f t="dataTable" ref="K144:L148" dt2D="1" dtr="1" r1="F17" r2="F14" ca="1"/>
        <v>0.54137152735308192</v>
      </c>
      <c r="L144" s="153">
        <v>2.0164387676380713</v>
      </c>
      <c r="M144" s="169">
        <f xml:space="preserve"> K144 / $K$100</f>
        <v>9.298009258624565E-2</v>
      </c>
      <c r="N144" s="170">
        <f xml:space="preserve"> L144 / $K$100</f>
        <v>0.34632161803220035</v>
      </c>
    </row>
    <row r="145" spans="4:14" x14ac:dyDescent="0.25">
      <c r="E145" s="166">
        <v>0.2</v>
      </c>
      <c r="F145" s="153">
        <v>-1.6689094991520825E-2</v>
      </c>
      <c r="G145" s="153">
        <v>1.4922565606723799</v>
      </c>
      <c r="H145" s="171">
        <f t="shared" ref="H145:H148" si="11" xml:space="preserve"> F145 / $F$100</f>
        <v>-2.9321335226421227E-3</v>
      </c>
      <c r="I145" s="172">
        <f t="shared" ref="I145:I148" si="12" xml:space="preserve"> G145 / $F$100</f>
        <v>0.26217691781089192</v>
      </c>
      <c r="J145" s="166">
        <v>0.2</v>
      </c>
      <c r="K145" s="153">
        <v>0.4034929833311045</v>
      </c>
      <c r="L145" s="153">
        <v>1.8415742018023158</v>
      </c>
      <c r="M145" s="171">
        <f t="shared" ref="M145:M148" si="13" xml:space="preserve"> K145 / $K$100</f>
        <v>6.929957164806369E-2</v>
      </c>
      <c r="N145" s="172">
        <f t="shared" ref="N145:N148" si="14" xml:space="preserve"> L145 / $K$100</f>
        <v>0.31628877976869463</v>
      </c>
    </row>
    <row r="146" spans="4:14" x14ac:dyDescent="0.25">
      <c r="E146" s="166">
        <v>0.3</v>
      </c>
      <c r="F146" s="153">
        <v>-0.14051174289360446</v>
      </c>
      <c r="G146" s="153">
        <v>1.3324730629669261</v>
      </c>
      <c r="H146" s="171">
        <f t="shared" si="11"/>
        <v>-2.4686730579011731E-2</v>
      </c>
      <c r="I146" s="172">
        <f t="shared" si="12"/>
        <v>0.23410430211631988</v>
      </c>
      <c r="J146" s="166">
        <v>0.3</v>
      </c>
      <c r="K146" s="153">
        <v>0.27030358577423197</v>
      </c>
      <c r="L146" s="153">
        <v>1.673066498221746</v>
      </c>
      <c r="M146" s="171">
        <f t="shared" si="13"/>
        <v>4.6424407568244098E-2</v>
      </c>
      <c r="N146" s="172">
        <f t="shared" si="14"/>
        <v>0.28734772711115719</v>
      </c>
    </row>
    <row r="147" spans="4:14" x14ac:dyDescent="0.25">
      <c r="E147" s="166">
        <v>0.4</v>
      </c>
      <c r="F147" s="153">
        <v>-0.26019368601691362</v>
      </c>
      <c r="G147" s="153">
        <v>1.1783944888074069</v>
      </c>
      <c r="H147" s="171">
        <f t="shared" si="11"/>
        <v>-4.5713840656885649E-2</v>
      </c>
      <c r="I147" s="172">
        <f t="shared" si="12"/>
        <v>0.20703399347204884</v>
      </c>
      <c r="J147" s="166">
        <v>0.4</v>
      </c>
      <c r="K147" s="153">
        <v>0.14156812281082587</v>
      </c>
      <c r="L147" s="153">
        <v>1.5105752079731696</v>
      </c>
      <c r="M147" s="171">
        <f t="shared" si="13"/>
        <v>2.4314202910835168E-2</v>
      </c>
      <c r="N147" s="172">
        <f t="shared" si="14"/>
        <v>0.25943998825085796</v>
      </c>
    </row>
    <row r="148" spans="4:14" x14ac:dyDescent="0.25">
      <c r="E148" s="166">
        <v>0.5</v>
      </c>
      <c r="F148" s="153">
        <v>-0.37593921017589782</v>
      </c>
      <c r="G148" s="153">
        <v>1.0297206633176508</v>
      </c>
      <c r="H148" s="171">
        <f t="shared" si="11"/>
        <v>-6.6049355054447034E-2</v>
      </c>
      <c r="I148" s="172">
        <f t="shared" si="12"/>
        <v>0.18091325367882211</v>
      </c>
      <c r="J148" s="166">
        <v>0.5</v>
      </c>
      <c r="K148" s="153">
        <v>1.7066855120037694E-2</v>
      </c>
      <c r="L148" s="153">
        <v>1.3537837665816443</v>
      </c>
      <c r="M148" s="171">
        <f t="shared" si="13"/>
        <v>2.9312176371296037E-3</v>
      </c>
      <c r="N148" s="172">
        <f t="shared" si="14"/>
        <v>0.23251119351244007</v>
      </c>
    </row>
    <row r="149" spans="4:14" x14ac:dyDescent="0.25">
      <c r="F149" s="167"/>
      <c r="G149" s="167"/>
    </row>
    <row r="150" spans="4:14" x14ac:dyDescent="0.25">
      <c r="D150" s="132" t="s">
        <v>149</v>
      </c>
    </row>
    <row r="151" spans="4:14" x14ac:dyDescent="0.25">
      <c r="F151" s="161" t="s">
        <v>138</v>
      </c>
      <c r="G151" s="162"/>
      <c r="H151" s="162"/>
      <c r="I151" s="162"/>
      <c r="K151" s="161" t="s">
        <v>139</v>
      </c>
      <c r="L151" s="162"/>
      <c r="M151" s="162"/>
      <c r="N151" s="162"/>
    </row>
    <row r="152" spans="4:14" x14ac:dyDescent="0.25">
      <c r="F152" s="148" t="str">
        <f xml:space="preserve"> $E$101</f>
        <v>Accredtion / dilution (USD)</v>
      </c>
      <c r="G152" s="148"/>
      <c r="H152" s="148" t="str">
        <f xml:space="preserve"> $E$102</f>
        <v>Accredtion / dilution (%)</v>
      </c>
      <c r="I152" s="163"/>
      <c r="K152" s="163" t="str">
        <f>$E$101</f>
        <v>Accredtion / dilution (USD)</v>
      </c>
      <c r="L152" s="163"/>
      <c r="M152" s="163" t="str">
        <f>$E$102</f>
        <v>Accredtion / dilution (%)</v>
      </c>
      <c r="N152" s="163"/>
    </row>
    <row r="153" spans="4:14" x14ac:dyDescent="0.25">
      <c r="E153" s="179">
        <f xml:space="preserve"> $I$101</f>
        <v>-0.14051174289360446</v>
      </c>
      <c r="F153" s="168" t="str">
        <f xml:space="preserve"> TargetData!$G$7</f>
        <v>Highpeak</v>
      </c>
      <c r="G153" s="168" t="str">
        <f xml:space="preserve"> TargetData!$H$7</f>
        <v>NoLace</v>
      </c>
      <c r="H153" s="168" t="str">
        <f xml:space="preserve"> F153</f>
        <v>Highpeak</v>
      </c>
      <c r="I153" s="168" t="str">
        <f xml:space="preserve"> G153</f>
        <v>NoLace</v>
      </c>
      <c r="J153" s="154">
        <f>$N$101</f>
        <v>0.27030358577423197</v>
      </c>
      <c r="K153" s="168" t="str">
        <f xml:space="preserve"> TargetData!$G$7</f>
        <v>Highpeak</v>
      </c>
      <c r="L153" s="168" t="str">
        <f xml:space="preserve"> TargetData!$H$7</f>
        <v>NoLace</v>
      </c>
      <c r="M153" s="168" t="str">
        <f xml:space="preserve"> K153</f>
        <v>Highpeak</v>
      </c>
      <c r="N153" s="168" t="str">
        <f xml:space="preserve"> L153</f>
        <v>NoLace</v>
      </c>
    </row>
    <row r="154" spans="4:14" x14ac:dyDescent="0.25">
      <c r="E154" s="165">
        <v>0.2</v>
      </c>
      <c r="F154" s="153">
        <f t="dataTable" ref="F154:G158" dt2D="1" dtr="1" r1="F17" r2="F11" ca="1"/>
        <v>-0.36603814132281265</v>
      </c>
      <c r="G154" s="153">
        <v>0.90233578238372747</v>
      </c>
      <c r="H154" s="169">
        <f xml:space="preserve"> F154 / $F$100</f>
        <v>-6.4309820591441774E-2</v>
      </c>
      <c r="I154" s="170">
        <f xml:space="preserve"> G154 / $F$100</f>
        <v>0.15853280226106101</v>
      </c>
      <c r="J154" s="165">
        <v>0.2</v>
      </c>
      <c r="K154" s="153">
        <f t="dataTable" ref="K154:L158" dt2D="1" dtr="1" r1="F17" r2="F14" ca="1"/>
        <v>0.4034929833311045</v>
      </c>
      <c r="L154" s="153">
        <v>1.8415742018023158</v>
      </c>
      <c r="M154" s="169">
        <f xml:space="preserve"> K154 / $K$100</f>
        <v>6.929957164806369E-2</v>
      </c>
      <c r="N154" s="170">
        <f t="shared" ref="N154:N158" si="15" xml:space="preserve"> L154 / $K$100</f>
        <v>0.31628877976869463</v>
      </c>
    </row>
    <row r="155" spans="4:14" x14ac:dyDescent="0.25">
      <c r="E155" s="166">
        <v>0.3</v>
      </c>
      <c r="F155" s="153">
        <v>-0.25784761604753825</v>
      </c>
      <c r="G155" s="153">
        <v>1.1061972368953983</v>
      </c>
      <c r="H155" s="171">
        <f t="shared" ref="H155:H158" si="16" xml:space="preserve"> F155 / $F$100</f>
        <v>-4.5301655909470377E-2</v>
      </c>
      <c r="I155" s="172">
        <f t="shared" ref="I155:I158" si="17" xml:space="preserve"> G155 / $F$100</f>
        <v>0.19434954397485368</v>
      </c>
      <c r="J155" s="165">
        <v>0.3</v>
      </c>
      <c r="K155" s="153">
        <v>0.27030358577423197</v>
      </c>
      <c r="L155" s="153">
        <v>1.673066498221746</v>
      </c>
      <c r="M155" s="171">
        <f t="shared" ref="M155:M158" si="18" xml:space="preserve"> K155 / $K$100</f>
        <v>4.6424407568244098E-2</v>
      </c>
      <c r="N155" s="172">
        <f t="shared" si="15"/>
        <v>0.28734772711115719</v>
      </c>
    </row>
    <row r="156" spans="4:14" x14ac:dyDescent="0.25">
      <c r="E156" s="166">
        <v>0.4</v>
      </c>
      <c r="F156" s="153">
        <v>-0.14051174289360446</v>
      </c>
      <c r="G156" s="153">
        <v>1.3324730629669261</v>
      </c>
      <c r="H156" s="171">
        <f t="shared" si="16"/>
        <v>-2.4686730579011731E-2</v>
      </c>
      <c r="I156" s="172">
        <f t="shared" si="17"/>
        <v>0.23410430211631988</v>
      </c>
      <c r="J156" s="165">
        <v>0.4</v>
      </c>
      <c r="K156" s="153">
        <v>0.14156812281082587</v>
      </c>
      <c r="L156" s="153">
        <v>1.5105752079731696</v>
      </c>
      <c r="M156" s="171">
        <f t="shared" si="18"/>
        <v>2.4314202910835168E-2</v>
      </c>
      <c r="N156" s="172">
        <f t="shared" si="15"/>
        <v>0.25943998825085796</v>
      </c>
    </row>
    <row r="157" spans="4:14" x14ac:dyDescent="0.25">
      <c r="E157" s="166">
        <v>0.5</v>
      </c>
      <c r="F157" s="153">
        <v>-1.2826544243868199E-2</v>
      </c>
      <c r="G157" s="153">
        <v>1.5850618306535234</v>
      </c>
      <c r="H157" s="171">
        <f t="shared" si="16"/>
        <v>-2.2535158662711345E-3</v>
      </c>
      <c r="I157" s="172">
        <f t="shared" si="17"/>
        <v>0.27848202263100458</v>
      </c>
      <c r="J157" s="165">
        <v>0.5</v>
      </c>
      <c r="K157" s="153">
        <v>1.7066855120037694E-2</v>
      </c>
      <c r="L157" s="153">
        <v>1.3537837665816443</v>
      </c>
      <c r="M157" s="171">
        <f t="shared" si="18"/>
        <v>2.9312176371296037E-3</v>
      </c>
      <c r="N157" s="172">
        <f t="shared" si="15"/>
        <v>0.23251119351244007</v>
      </c>
    </row>
    <row r="158" spans="4:14" x14ac:dyDescent="0.25">
      <c r="E158" s="166">
        <v>0.6</v>
      </c>
      <c r="F158" s="153">
        <v>0.12663306347028858</v>
      </c>
      <c r="G158" s="153">
        <v>1.8688220077585145</v>
      </c>
      <c r="H158" s="171">
        <f t="shared" si="16"/>
        <v>2.2248363417234338E-2</v>
      </c>
      <c r="I158" s="172">
        <f t="shared" si="17"/>
        <v>0.32833629741960951</v>
      </c>
      <c r="J158" s="165">
        <v>0.6</v>
      </c>
      <c r="K158" s="153">
        <v>-0.10340573574031175</v>
      </c>
      <c r="L158" s="153">
        <v>1.2023974355841371</v>
      </c>
      <c r="M158" s="171">
        <f t="shared" si="18"/>
        <v>-1.775984586794192E-2</v>
      </c>
      <c r="N158" s="172">
        <f t="shared" si="15"/>
        <v>0.20651072181925484</v>
      </c>
    </row>
    <row r="160" spans="4:14" x14ac:dyDescent="0.25">
      <c r="D160" s="132" t="s">
        <v>148</v>
      </c>
    </row>
    <row r="161" spans="4:7" x14ac:dyDescent="0.25">
      <c r="F161" s="161" t="s">
        <v>150</v>
      </c>
      <c r="G161" s="163"/>
    </row>
    <row r="162" spans="4:7" x14ac:dyDescent="0.25">
      <c r="E162" s="178">
        <f xml:space="preserve"> $I$134</f>
        <v>1.3722869511986868</v>
      </c>
      <c r="F162" s="168" t="str">
        <f xml:space="preserve"> TargetData!$G$7</f>
        <v>Highpeak</v>
      </c>
      <c r="G162" s="168" t="str">
        <f xml:space="preserve"> TargetData!$H$7</f>
        <v>NoLace</v>
      </c>
    </row>
    <row r="163" spans="4:7" x14ac:dyDescent="0.25">
      <c r="E163" s="165">
        <v>0.1</v>
      </c>
      <c r="F163" s="173">
        <f t="dataTable" ref="F163:G167" dt2D="1" dtr="1" r1="F17" r2="F14" ca="1"/>
        <v>1.2423806045320198</v>
      </c>
      <c r="G163" s="173">
        <v>1.1589035883734859</v>
      </c>
    </row>
    <row r="164" spans="4:7" x14ac:dyDescent="0.25">
      <c r="E164" s="166">
        <v>0.2</v>
      </c>
      <c r="F164" s="173">
        <v>1.3073337778653531</v>
      </c>
      <c r="G164" s="173">
        <v>1.2131391588742</v>
      </c>
    </row>
    <row r="165" spans="4:7" x14ac:dyDescent="0.25">
      <c r="E165" s="166">
        <v>0.3</v>
      </c>
      <c r="F165" s="173">
        <v>1.3722869511986868</v>
      </c>
      <c r="G165" s="173">
        <v>1.267374729374914</v>
      </c>
    </row>
    <row r="166" spans="4:7" x14ac:dyDescent="0.25">
      <c r="E166" s="166">
        <v>0.4</v>
      </c>
      <c r="F166" s="173">
        <v>1.4372401245320201</v>
      </c>
      <c r="G166" s="173">
        <v>1.3216102998756276</v>
      </c>
    </row>
    <row r="167" spans="4:7" x14ac:dyDescent="0.25">
      <c r="E167" s="166">
        <v>0.5</v>
      </c>
      <c r="F167" s="173">
        <v>1.5021932978653532</v>
      </c>
      <c r="G167" s="173">
        <v>1.3758458703763419</v>
      </c>
    </row>
    <row r="169" spans="4:7" x14ac:dyDescent="0.25">
      <c r="D169" s="132" t="s">
        <v>149</v>
      </c>
    </row>
    <row r="171" spans="4:7" x14ac:dyDescent="0.25">
      <c r="F171" s="161" t="s">
        <v>150</v>
      </c>
      <c r="G171" s="163"/>
    </row>
    <row r="172" spans="4:7" x14ac:dyDescent="0.25">
      <c r="E172" s="178">
        <f xml:space="preserve"> $I$134</f>
        <v>1.3722869511986868</v>
      </c>
      <c r="F172" s="168" t="str">
        <f xml:space="preserve"> TargetData!$G$7</f>
        <v>Highpeak</v>
      </c>
      <c r="G172" s="168" t="str">
        <f xml:space="preserve"> TargetData!$H$7</f>
        <v>NoLace</v>
      </c>
    </row>
    <row r="173" spans="4:7" x14ac:dyDescent="0.25">
      <c r="E173" s="165">
        <v>0.2</v>
      </c>
      <c r="F173" s="173">
        <f t="dataTable" ref="F173:G177" dt2D="1" dtr="1" r1="F17" r2="F11" ca="1"/>
        <v>0.90836917858784905</v>
      </c>
      <c r="G173" s="173">
        <v>0.78878801418766431</v>
      </c>
    </row>
    <row r="174" spans="4:7" x14ac:dyDescent="0.25">
      <c r="E174" s="166">
        <v>0.3</v>
      </c>
      <c r="F174" s="173">
        <v>1.1397596958949097</v>
      </c>
      <c r="G174" s="173">
        <v>1.0274949790409509</v>
      </c>
    </row>
    <row r="175" spans="4:7" x14ac:dyDescent="0.25">
      <c r="E175" s="166">
        <v>0.4</v>
      </c>
      <c r="F175" s="173">
        <v>1.3722869511986868</v>
      </c>
      <c r="G175" s="173">
        <v>1.267374729374914</v>
      </c>
    </row>
    <row r="176" spans="4:7" x14ac:dyDescent="0.25">
      <c r="E176" s="166">
        <v>0.5</v>
      </c>
      <c r="F176" s="173">
        <v>1.6059509444991793</v>
      </c>
      <c r="G176" s="173">
        <v>1.5084272651895532</v>
      </c>
    </row>
    <row r="177" spans="5:7" x14ac:dyDescent="0.25">
      <c r="E177" s="166">
        <v>0.6</v>
      </c>
      <c r="F177" s="173">
        <v>1.840751675796388</v>
      </c>
      <c r="G177" s="173">
        <v>1.7506525864848685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67" fitToHeight="0" orientation="portrait" r:id="rId1"/>
  <headerFooter>
    <oddFooter>&amp;L&amp;"Arial,Regular"Financial Modeling Institute
CFM October 2026&amp;C&amp;"Arial,Regular"Page &amp;P of &amp;N&amp;R&amp;"Arial,Regular"&amp;D</oddFooter>
  </headerFooter>
  <rowBreaks count="2" manualBreakCount="2">
    <brk id="73" max="16383" man="1"/>
    <brk id="137" max="16383" man="1"/>
  </rowBreaks>
  <colBreaks count="1" manualBreakCount="1">
    <brk id="4" max="1048575" man="1"/>
  </col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DD4CC67-A31C-48EF-B400-734DA4598508}">
          <x14:formula1>
            <xm:f>TargetData!$G$7:$H$7</xm:f>
          </x14:formula1>
          <xm:sqref>F17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1B03-8F61-4E7A-86F1-273CB4388A32}">
  <sheetPr>
    <pageSetUpPr fitToPage="1"/>
  </sheetPr>
  <dimension ref="A1:L55"/>
  <sheetViews>
    <sheetView showGridLines="0" zoomScaleNormal="100" workbookViewId="0">
      <selection activeCell="B55" sqref="B55"/>
    </sheetView>
  </sheetViews>
  <sheetFormatPr defaultRowHeight="14.4" x14ac:dyDescent="0.3"/>
  <cols>
    <col min="1" max="1" width="4.6640625" customWidth="1"/>
    <col min="2" max="5" width="13.33203125" customWidth="1"/>
    <col min="6" max="6" width="10.6640625" customWidth="1"/>
    <col min="7" max="13" width="13.33203125" customWidth="1"/>
  </cols>
  <sheetData>
    <row r="1" spans="1:12" ht="18" customHeight="1" x14ac:dyDescent="0.3"/>
    <row r="2" spans="1:12" ht="25.2" customHeight="1" x14ac:dyDescent="0.45">
      <c r="B2" s="111" t="s">
        <v>2</v>
      </c>
    </row>
    <row r="3" spans="1:12" ht="18" x14ac:dyDescent="0.35">
      <c r="A3" s="91"/>
      <c r="B3" s="120" t="s">
        <v>87</v>
      </c>
      <c r="C3" s="3"/>
      <c r="D3" s="3"/>
      <c r="E3" s="3"/>
      <c r="F3" s="46"/>
      <c r="G3" s="3"/>
      <c r="H3" s="3"/>
      <c r="I3" s="3"/>
      <c r="J3" s="3"/>
    </row>
    <row r="4" spans="1:12" ht="15.15" customHeight="1" x14ac:dyDescent="0.3">
      <c r="B4" s="4" t="s">
        <v>4</v>
      </c>
    </row>
    <row r="6" spans="1:12" x14ac:dyDescent="0.3">
      <c r="E6" s="35" t="s">
        <v>58</v>
      </c>
      <c r="G6" s="35" t="str">
        <f>CaseData!B51</f>
        <v>TARGET 1</v>
      </c>
      <c r="H6" s="35" t="str">
        <f>CaseData!B96</f>
        <v>TARGET 2</v>
      </c>
    </row>
    <row r="7" spans="1:12" s="54" customFormat="1" ht="16.2" customHeight="1" x14ac:dyDescent="0.3">
      <c r="B7" s="85" t="s">
        <v>88</v>
      </c>
      <c r="D7" s="86"/>
      <c r="E7" s="116" t="str">
        <f>Target</f>
        <v>Highpeak</v>
      </c>
      <c r="G7" s="117" t="str">
        <f>CaseData!E$53</f>
        <v>Highpeak</v>
      </c>
      <c r="H7" s="117" t="str">
        <f>CaseData!$E$98</f>
        <v>NoLace</v>
      </c>
      <c r="I7" s="118"/>
      <c r="J7" s="119"/>
      <c r="L7"/>
    </row>
    <row r="9" spans="1:12" x14ac:dyDescent="0.3">
      <c r="B9" s="5" t="s">
        <v>57</v>
      </c>
      <c r="E9" s="74"/>
      <c r="G9" s="75"/>
      <c r="H9" s="82"/>
      <c r="I9" s="82"/>
      <c r="J9" s="76"/>
    </row>
    <row r="10" spans="1:12" x14ac:dyDescent="0.3">
      <c r="B10" t="s">
        <v>5</v>
      </c>
      <c r="E10" s="71" cm="1">
        <f t="array" ref="E10:E55" xml:space="preserve"> IF( _xlfn.XLOOKUP( $E$7, $G$7:$H$7,G10:H55) &gt; 0, _xlfn.XLOOKUP( $E$7, $G$7:$H$7,G10:H55), "" )</f>
        <v>59.12</v>
      </c>
      <c r="G10" s="87">
        <f>CaseData!E$54</f>
        <v>59.12</v>
      </c>
      <c r="H10" s="81" t="s">
        <v>71</v>
      </c>
      <c r="I10" s="80"/>
      <c r="J10" s="79"/>
    </row>
    <row r="11" spans="1:12" x14ac:dyDescent="0.3">
      <c r="B11" t="s">
        <v>18</v>
      </c>
      <c r="E11" s="71">
        <v>41.2</v>
      </c>
      <c r="G11" s="88">
        <f>CaseData!E$55</f>
        <v>41.2</v>
      </c>
      <c r="H11" s="81" t="s">
        <v>71</v>
      </c>
      <c r="I11" s="80"/>
      <c r="J11" s="79"/>
    </row>
    <row r="12" spans="1:12" x14ac:dyDescent="0.3">
      <c r="B12" t="s">
        <v>70</v>
      </c>
      <c r="E12" s="71">
        <v>2435.7440000000001</v>
      </c>
      <c r="G12" s="77">
        <f xml:space="preserve"> G10 * G11</f>
        <v>2435.7440000000001</v>
      </c>
      <c r="H12" s="90">
        <f>CaseData!$E$99</f>
        <v>2900</v>
      </c>
      <c r="I12" s="80"/>
      <c r="J12" s="79"/>
    </row>
    <row r="13" spans="1:12" x14ac:dyDescent="0.3">
      <c r="E13" s="70" t="str">
        <v/>
      </c>
      <c r="G13" s="78"/>
      <c r="H13" s="80"/>
      <c r="I13" s="80"/>
      <c r="J13" s="79"/>
    </row>
    <row r="14" spans="1:12" x14ac:dyDescent="0.3">
      <c r="B14" s="5" t="s">
        <v>56</v>
      </c>
      <c r="E14" s="70" t="str">
        <v/>
      </c>
      <c r="G14" s="78"/>
      <c r="H14" s="80"/>
      <c r="I14" s="80"/>
      <c r="J14" s="79"/>
    </row>
    <row r="15" spans="1:12" x14ac:dyDescent="0.3">
      <c r="B15" s="34" t="str">
        <f>"Forecast Year "&amp;CaseData!J14</f>
        <v>Forecast Year 1</v>
      </c>
      <c r="E15" s="70" t="str">
        <v/>
      </c>
      <c r="G15" s="78"/>
      <c r="H15" s="80"/>
      <c r="I15" s="80"/>
      <c r="J15" s="79"/>
    </row>
    <row r="16" spans="1:12" x14ac:dyDescent="0.3">
      <c r="B16" t="s">
        <v>8</v>
      </c>
      <c r="E16" s="71">
        <v>1796.4</v>
      </c>
      <c r="G16" s="88">
        <f>CaseData!J60</f>
        <v>1796.4</v>
      </c>
      <c r="H16" s="90">
        <f>CaseData!J104</f>
        <v>2320</v>
      </c>
      <c r="I16" s="80"/>
      <c r="J16" s="79"/>
    </row>
    <row r="17" spans="2:10" x14ac:dyDescent="0.3">
      <c r="B17" t="s">
        <v>31</v>
      </c>
      <c r="E17" s="71">
        <v>1131.7</v>
      </c>
      <c r="G17" s="88">
        <f>CaseData!J61</f>
        <v>1131.7</v>
      </c>
      <c r="H17" s="92">
        <f>CaseData!J105</f>
        <v>967.4</v>
      </c>
      <c r="I17" s="80"/>
      <c r="J17" s="79"/>
    </row>
    <row r="18" spans="2:10" x14ac:dyDescent="0.3">
      <c r="B18" t="s">
        <v>32</v>
      </c>
      <c r="E18" s="71">
        <v>273.10000000000002</v>
      </c>
      <c r="G18" s="88">
        <f>CaseData!J64</f>
        <v>273.10000000000002</v>
      </c>
      <c r="H18" s="92">
        <f>CaseData!J108</f>
        <v>241.3</v>
      </c>
      <c r="I18" s="80"/>
      <c r="J18" s="79"/>
    </row>
    <row r="19" spans="2:10" x14ac:dyDescent="0.3">
      <c r="B19" t="s">
        <v>10</v>
      </c>
      <c r="E19" s="71">
        <v>71.900000000000006</v>
      </c>
      <c r="G19" s="88">
        <f>CaseData!J65</f>
        <v>71.900000000000006</v>
      </c>
      <c r="H19" s="92">
        <f>CaseData!J109</f>
        <v>23.2</v>
      </c>
      <c r="I19" s="80"/>
      <c r="J19" s="79"/>
    </row>
    <row r="20" spans="2:10" x14ac:dyDescent="0.3">
      <c r="B20" t="s">
        <v>27</v>
      </c>
      <c r="E20" s="71">
        <v>52.1</v>
      </c>
      <c r="G20" s="88">
        <f>CaseData!$J$68</f>
        <v>52.1</v>
      </c>
      <c r="H20" s="92">
        <f>CaseData!$J$112</f>
        <v>88.2</v>
      </c>
      <c r="I20" s="80"/>
      <c r="J20" s="79"/>
    </row>
    <row r="21" spans="2:10" x14ac:dyDescent="0.3">
      <c r="B21" t="s">
        <v>53</v>
      </c>
      <c r="E21" s="71">
        <v>105</v>
      </c>
      <c r="G21" s="88">
        <f>CaseData!$D$60</f>
        <v>105</v>
      </c>
      <c r="H21" s="92">
        <f>CaseData!D104</f>
        <v>20</v>
      </c>
      <c r="I21" s="80"/>
      <c r="J21" s="79"/>
    </row>
    <row r="22" spans="2:10" x14ac:dyDescent="0.3">
      <c r="B22" t="s">
        <v>55</v>
      </c>
      <c r="E22" s="71">
        <v>30</v>
      </c>
      <c r="G22" s="88">
        <f>CaseData!$D$61</f>
        <v>30</v>
      </c>
      <c r="H22" s="92">
        <f>CaseData!D105</f>
        <v>40</v>
      </c>
      <c r="I22" s="80"/>
      <c r="J22" s="79"/>
    </row>
    <row r="23" spans="2:10" x14ac:dyDescent="0.3">
      <c r="B23" t="s">
        <v>54</v>
      </c>
      <c r="E23" s="71">
        <v>60</v>
      </c>
      <c r="G23" s="88">
        <f>CaseData!$D$62</f>
        <v>60</v>
      </c>
      <c r="H23" s="92">
        <f>CaseData!D106</f>
        <v>15</v>
      </c>
      <c r="I23" s="80"/>
      <c r="J23" s="79"/>
    </row>
    <row r="24" spans="2:10" x14ac:dyDescent="0.3">
      <c r="E24" s="70" t="str">
        <v/>
      </c>
      <c r="G24" s="78"/>
      <c r="H24" s="80"/>
      <c r="I24" s="80"/>
      <c r="J24" s="79"/>
    </row>
    <row r="25" spans="2:10" x14ac:dyDescent="0.3">
      <c r="B25" s="34" t="str">
        <f>"Forecast Year "&amp;CaseData!K14</f>
        <v>Forecast Year 2</v>
      </c>
      <c r="E25" s="70" t="str">
        <v/>
      </c>
      <c r="G25" s="78"/>
      <c r="H25" s="80"/>
      <c r="I25" s="80"/>
      <c r="J25" s="79"/>
    </row>
    <row r="26" spans="2:10" x14ac:dyDescent="0.3">
      <c r="B26" t="s">
        <v>8</v>
      </c>
      <c r="E26" s="71">
        <v>1877.2</v>
      </c>
      <c r="G26" s="89">
        <f>CaseData!K60</f>
        <v>1877.2</v>
      </c>
      <c r="H26" s="90">
        <f>CaseData!K104</f>
        <v>2440.6</v>
      </c>
      <c r="I26" s="80"/>
      <c r="J26" s="79"/>
    </row>
    <row r="27" spans="2:10" x14ac:dyDescent="0.3">
      <c r="B27" t="s">
        <v>31</v>
      </c>
      <c r="E27" s="71">
        <v>1147</v>
      </c>
      <c r="G27" s="88">
        <f>CaseData!K61</f>
        <v>1147</v>
      </c>
      <c r="H27" s="92">
        <f>CaseData!K105</f>
        <v>1000.6</v>
      </c>
      <c r="I27" s="80"/>
      <c r="J27" s="79"/>
    </row>
    <row r="28" spans="2:10" x14ac:dyDescent="0.3">
      <c r="B28" t="s">
        <v>32</v>
      </c>
      <c r="E28" s="71">
        <v>275.89999999999998</v>
      </c>
      <c r="G28" s="88">
        <f>CaseData!K64</f>
        <v>275.89999999999998</v>
      </c>
      <c r="H28" s="92">
        <f>CaseData!K108</f>
        <v>248.9</v>
      </c>
      <c r="I28" s="80"/>
      <c r="J28" s="79"/>
    </row>
    <row r="29" spans="2:10" x14ac:dyDescent="0.3">
      <c r="B29" t="s">
        <v>10</v>
      </c>
      <c r="E29" s="71">
        <v>71.3</v>
      </c>
      <c r="G29" s="88">
        <f>CaseData!K65</f>
        <v>71.3</v>
      </c>
      <c r="H29" s="92">
        <f>CaseData!K109</f>
        <v>24.4</v>
      </c>
      <c r="I29" s="80"/>
      <c r="J29" s="79"/>
    </row>
    <row r="30" spans="2:10" x14ac:dyDescent="0.3">
      <c r="B30" t="s">
        <v>27</v>
      </c>
      <c r="E30" s="71">
        <v>52.6</v>
      </c>
      <c r="G30" s="88">
        <f>CaseData!$K$68</f>
        <v>52.6</v>
      </c>
      <c r="H30" s="92">
        <f>CaseData!$K$112</f>
        <v>97.6</v>
      </c>
      <c r="I30" s="80"/>
      <c r="J30" s="79"/>
    </row>
    <row r="31" spans="2:10" x14ac:dyDescent="0.3">
      <c r="B31" t="s">
        <v>53</v>
      </c>
      <c r="E31" s="71">
        <v>125</v>
      </c>
      <c r="G31" s="88">
        <f>CaseData!E60</f>
        <v>125</v>
      </c>
      <c r="H31" s="92">
        <f>CaseData!E104</f>
        <v>25</v>
      </c>
      <c r="I31" s="80"/>
      <c r="J31" s="79"/>
    </row>
    <row r="32" spans="2:10" x14ac:dyDescent="0.3">
      <c r="B32" t="s">
        <v>55</v>
      </c>
      <c r="E32" s="71">
        <v>40</v>
      </c>
      <c r="G32" s="88">
        <f>CaseData!E61</f>
        <v>40</v>
      </c>
      <c r="H32" s="92">
        <f>CaseData!E105</f>
        <v>55</v>
      </c>
      <c r="I32" s="80"/>
      <c r="J32" s="79"/>
    </row>
    <row r="33" spans="2:10" x14ac:dyDescent="0.3">
      <c r="B33" t="s">
        <v>54</v>
      </c>
      <c r="E33" s="71">
        <v>70</v>
      </c>
      <c r="G33" s="88">
        <f>CaseData!E62</f>
        <v>70</v>
      </c>
      <c r="H33" s="92">
        <f>CaseData!E106</f>
        <v>25</v>
      </c>
      <c r="I33" s="80"/>
      <c r="J33" s="79"/>
    </row>
    <row r="34" spans="2:10" x14ac:dyDescent="0.3">
      <c r="E34" s="70" t="str">
        <v/>
      </c>
      <c r="G34" s="78"/>
      <c r="H34" s="80"/>
      <c r="I34" s="80"/>
      <c r="J34" s="79"/>
    </row>
    <row r="35" spans="2:10" x14ac:dyDescent="0.3">
      <c r="B35" s="5" t="s">
        <v>76</v>
      </c>
      <c r="E35" s="70" t="str">
        <v/>
      </c>
      <c r="G35" s="78"/>
      <c r="H35" s="80"/>
      <c r="I35" s="80"/>
      <c r="J35" s="79"/>
    </row>
    <row r="36" spans="2:10" x14ac:dyDescent="0.3">
      <c r="B36" s="38" t="s">
        <v>89</v>
      </c>
      <c r="E36" s="70" t="str">
        <v/>
      </c>
      <c r="G36" s="78"/>
      <c r="H36" s="80"/>
      <c r="I36" s="80"/>
      <c r="J36" s="79"/>
    </row>
    <row r="37" spans="2:10" x14ac:dyDescent="0.3">
      <c r="B37" t="s">
        <v>19</v>
      </c>
      <c r="E37" s="72">
        <v>55.2</v>
      </c>
      <c r="G37" s="88">
        <f>CaseData!O60</f>
        <v>55.2</v>
      </c>
      <c r="H37" s="90">
        <f>CaseData!O104</f>
        <v>334.2</v>
      </c>
      <c r="I37" s="80"/>
      <c r="J37" s="79"/>
    </row>
    <row r="38" spans="2:10" x14ac:dyDescent="0.3">
      <c r="B38" t="s">
        <v>40</v>
      </c>
      <c r="E38" s="73">
        <v>213.2</v>
      </c>
      <c r="G38" s="88">
        <f>CaseData!O61</f>
        <v>213.2</v>
      </c>
      <c r="H38" s="92">
        <f>CaseData!O105</f>
        <v>317.2</v>
      </c>
      <c r="I38" s="80"/>
      <c r="J38" s="79"/>
    </row>
    <row r="39" spans="2:10" x14ac:dyDescent="0.3">
      <c r="B39" t="s">
        <v>41</v>
      </c>
      <c r="E39" s="73">
        <v>360.8</v>
      </c>
      <c r="G39" s="88">
        <f>CaseData!O62</f>
        <v>360.8</v>
      </c>
      <c r="H39" s="92">
        <f>CaseData!O106</f>
        <v>206.9</v>
      </c>
      <c r="I39" s="80"/>
      <c r="J39" s="79"/>
    </row>
    <row r="40" spans="2:10" x14ac:dyDescent="0.3">
      <c r="B40" t="s">
        <v>20</v>
      </c>
      <c r="E40" s="73">
        <v>21.7</v>
      </c>
      <c r="G40" s="88">
        <f>CaseData!O63</f>
        <v>21.7</v>
      </c>
      <c r="H40" s="92">
        <f>CaseData!O107</f>
        <v>44.4</v>
      </c>
      <c r="I40" s="80"/>
      <c r="J40" s="79"/>
    </row>
    <row r="41" spans="2:10" x14ac:dyDescent="0.3">
      <c r="B41" t="s">
        <v>21</v>
      </c>
      <c r="E41" s="73">
        <v>625.20000000000005</v>
      </c>
      <c r="G41" s="88">
        <f>CaseData!O66</f>
        <v>625.20000000000005</v>
      </c>
      <c r="H41" s="92">
        <f>CaseData!O110</f>
        <v>1196.8</v>
      </c>
      <c r="I41" s="80"/>
      <c r="J41" s="79"/>
    </row>
    <row r="42" spans="2:10" x14ac:dyDescent="0.3">
      <c r="B42" t="s">
        <v>22</v>
      </c>
      <c r="E42" s="73">
        <v>21.4</v>
      </c>
      <c r="G42" s="88">
        <f>CaseData!O67</f>
        <v>21.4</v>
      </c>
      <c r="H42" s="92">
        <f>CaseData!O111</f>
        <v>100.3</v>
      </c>
      <c r="I42" s="80"/>
      <c r="J42" s="79"/>
    </row>
    <row r="43" spans="2:10" x14ac:dyDescent="0.3">
      <c r="B43" t="s">
        <v>34</v>
      </c>
      <c r="E43" s="103">
        <v>90.5</v>
      </c>
      <c r="G43" s="88">
        <f>CaseData!O68</f>
        <v>90.5</v>
      </c>
      <c r="H43" s="92">
        <f>CaseData!O112</f>
        <v>452.1</v>
      </c>
      <c r="I43" s="80"/>
      <c r="J43" s="79"/>
    </row>
    <row r="44" spans="2:10" x14ac:dyDescent="0.3">
      <c r="B44" s="5" t="s">
        <v>23</v>
      </c>
      <c r="E44" s="100">
        <v>1388.0000000000002</v>
      </c>
      <c r="G44" s="101">
        <f>SUM(G37:G43)</f>
        <v>1388.0000000000002</v>
      </c>
      <c r="H44" s="104">
        <f>SUM(H37:H43)</f>
        <v>2651.9</v>
      </c>
      <c r="I44" s="80"/>
      <c r="J44" s="79"/>
    </row>
    <row r="45" spans="2:10" x14ac:dyDescent="0.3">
      <c r="E45" s="73" t="str">
        <v/>
      </c>
      <c r="G45" s="88"/>
      <c r="H45" s="92"/>
      <c r="I45" s="80"/>
      <c r="J45" s="79"/>
    </row>
    <row r="46" spans="2:10" x14ac:dyDescent="0.3">
      <c r="B46" s="38" t="s">
        <v>90</v>
      </c>
      <c r="E46" s="73" t="str">
        <v/>
      </c>
      <c r="G46" s="88"/>
      <c r="H46" s="92"/>
      <c r="I46" s="80"/>
      <c r="J46" s="79"/>
    </row>
    <row r="47" spans="2:10" x14ac:dyDescent="0.3">
      <c r="B47" t="s">
        <v>77</v>
      </c>
      <c r="E47" s="73" t="str">
        <v/>
      </c>
      <c r="G47" s="88">
        <f>CaseData!O71</f>
        <v>0</v>
      </c>
      <c r="H47" s="92">
        <f>CaseData!O115</f>
        <v>55.9</v>
      </c>
      <c r="I47" s="80"/>
      <c r="J47" s="79"/>
    </row>
    <row r="48" spans="2:10" x14ac:dyDescent="0.3">
      <c r="B48" t="s">
        <v>24</v>
      </c>
      <c r="E48" s="73">
        <v>158.69999999999999</v>
      </c>
      <c r="G48" s="88">
        <f>CaseData!O72</f>
        <v>158.69999999999999</v>
      </c>
      <c r="H48" s="92">
        <f>CaseData!O116</f>
        <v>168.6</v>
      </c>
      <c r="I48" s="80"/>
      <c r="J48" s="79"/>
    </row>
    <row r="49" spans="2:10" x14ac:dyDescent="0.3">
      <c r="B49" t="s">
        <v>102</v>
      </c>
      <c r="E49" s="73">
        <v>111.6</v>
      </c>
      <c r="G49" s="88">
        <f>CaseData!O73</f>
        <v>111.6</v>
      </c>
      <c r="H49" s="92">
        <f>CaseData!O117</f>
        <v>200.1</v>
      </c>
      <c r="I49" s="80"/>
      <c r="J49" s="79"/>
    </row>
    <row r="50" spans="2:10" x14ac:dyDescent="0.3">
      <c r="B50" t="s">
        <v>26</v>
      </c>
      <c r="E50" s="73">
        <v>546</v>
      </c>
      <c r="G50" s="88">
        <f>CaseData!O76</f>
        <v>546</v>
      </c>
      <c r="H50" s="92">
        <f>CaseData!O120</f>
        <v>1796.2</v>
      </c>
      <c r="I50" s="80"/>
      <c r="J50" s="79"/>
    </row>
    <row r="51" spans="2:10" x14ac:dyDescent="0.3">
      <c r="B51" t="s">
        <v>28</v>
      </c>
      <c r="E51" s="103">
        <v>121.3</v>
      </c>
      <c r="G51" s="88">
        <f>CaseData!O77</f>
        <v>121.3</v>
      </c>
      <c r="H51" s="92">
        <f>CaseData!O121</f>
        <v>176.6</v>
      </c>
      <c r="I51" s="80"/>
      <c r="J51" s="79"/>
    </row>
    <row r="52" spans="2:10" x14ac:dyDescent="0.3">
      <c r="B52" s="5" t="s">
        <v>99</v>
      </c>
      <c r="E52" s="100">
        <v>937.59999999999991</v>
      </c>
      <c r="G52" s="108">
        <f>SUM(G47:G51)</f>
        <v>937.59999999999991</v>
      </c>
      <c r="H52" s="109">
        <f>SUM(H47:H51)</f>
        <v>2397.4</v>
      </c>
      <c r="I52" s="80"/>
      <c r="J52" s="79"/>
    </row>
    <row r="53" spans="2:10" x14ac:dyDescent="0.3">
      <c r="E53" s="73" t="str">
        <v/>
      </c>
      <c r="G53" s="88"/>
      <c r="H53" s="92"/>
      <c r="I53" s="80"/>
      <c r="J53" s="79"/>
    </row>
    <row r="54" spans="2:10" x14ac:dyDescent="0.3">
      <c r="B54" t="s">
        <v>29</v>
      </c>
      <c r="E54" s="103">
        <v>450.4</v>
      </c>
      <c r="G54" s="88">
        <f>CaseData!$O$80</f>
        <v>450.4</v>
      </c>
      <c r="H54" s="102">
        <f>CaseData!$O$124</f>
        <v>254.49999999999997</v>
      </c>
      <c r="I54" s="80"/>
      <c r="J54" s="79"/>
    </row>
    <row r="55" spans="2:10" x14ac:dyDescent="0.3">
      <c r="B55" s="5" t="s">
        <v>98</v>
      </c>
      <c r="E55" s="105">
        <v>1388</v>
      </c>
      <c r="G55" s="106">
        <f t="shared" ref="G55:H55" si="0">SUM(G52:G54)</f>
        <v>1388</v>
      </c>
      <c r="H55" s="107">
        <f t="shared" si="0"/>
        <v>2651.9</v>
      </c>
      <c r="I55" s="83"/>
      <c r="J55" s="84"/>
    </row>
  </sheetData>
  <pageMargins left="0.7" right="0.7" top="0.75" bottom="0.75" header="0.3" footer="0.3"/>
  <pageSetup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Cover</vt:lpstr>
      <vt:lpstr>CaseData</vt:lpstr>
      <vt:lpstr>Merger</vt:lpstr>
      <vt:lpstr>TargetData</vt:lpstr>
      <vt:lpstr>Acquirer</vt:lpstr>
      <vt:lpstr>debt</vt:lpstr>
      <vt:lpstr>premium</vt:lpstr>
      <vt:lpstr>CaseData!Print_Area</vt:lpstr>
      <vt:lpstr>Cover!Print_Area</vt:lpstr>
      <vt:lpstr>TargetData!Print_Area</vt:lpstr>
      <vt:lpstr>CaseData!Print_Titles</vt:lpstr>
      <vt:lpstr>Merger!Print_Titles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2025-07-19T19:23:01Z</dcterms:created>
  <dcterms:modified xsi:type="dcterms:W3CDTF">2026-09-24T21:53:07Z</dcterms:modified>
</cp:coreProperties>
</file>