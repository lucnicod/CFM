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filterPrivacy="1" defaultThemeVersion="124226"/>
  <xr:revisionPtr revIDLastSave="1" documentId="13_ncr:1_{29D7E112-29F8-4DF6-9393-EE6F523C3C15}" xr6:coauthVersionLast="47" xr6:coauthVersionMax="47" xr10:uidLastSave="{C6907FC8-B80E-40C0-AC5A-50ED8EEBACF3}"/>
  <bookViews>
    <workbookView xWindow="28680" yWindow="-120" windowWidth="29040" windowHeight="16440" xr2:uid="{00000000-000D-0000-FFFF-FFFF00000000}"/>
  </bookViews>
  <sheets>
    <sheet name="Calculations" sheetId="33" r:id="rId1"/>
    <sheet name="CaseData" sheetId="22" r:id="rId2"/>
    <sheet name="CaseSolution (Original)" sheetId="29" r:id="rId3"/>
    <sheet name="AltSolution (Daily Sales)" sheetId="31" r:id="rId4"/>
    <sheet name="Tmp" sheetId="32" r:id="rId5"/>
  </sheets>
  <definedNames>
    <definedName name="Capacity">CaseData!$E$4</definedName>
    <definedName name="company">LEFT( CaseData!$A$1, 20 )</definedName>
    <definedName name="homeGames" localSheetId="3">'AltSolution (Daily Sales)'!$I$48</definedName>
    <definedName name="homeGames">'CaseSolution (Original)'!$G$48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MW.Aboutλ" comment="Displays the URL to this module's Gist which includes documentation">TRIM(_xlfn.TEXTSPLIT("ABOUT:             →BXL's Financial Models module. Suggested module name: BXF¶" &amp; "VERSION:           →May 18 2024¶" &amp; "GIST URL:          →https://gist.github.com/CHatmaker/5dcb3de4ad9766d1baf0b95338ebdbf3 ¶" &amp; "WEBSITE:           →https://sites.google.com/site/beyondexcel/home/excel-library/ ¶" &amp; "→¶" &amp; "FUNCTION           →DESCRIPTION¶" &amp; "Aboutλ             →Produces this table¶" &amp; "Corkscrewλ         →Creates a simple corkscrew where the closing balance is the sum of independent flows plus opening balance¶" &amp; "CorkScrewReversalλ →Create a corkscrew where the opening balance is reversed in the next period based on a timing row¶" &amp; "Cumulativeλ        →Creates a row or column of cumulative totals from a total row or column¶" &amp; "IntOnIntλ          →Calculate Interest on Interest. Use to determine amount needed to cover debt plus interest on debt¶" &amp; "IRRλ               →Calculates IRR, correcting for when the first investment is not in the first period¶" &amp; "Movementλ          →Create a row of differences from column to column¶" &amp; "Reversalλ          →Create a row that reverses input values in the next period.¶" &amp; "RollingMaxλ        →Finds the maximum value the n preceeding values in a set moving from beginning to end over a row of values.¶" &amp; "RollingMinλ        →Finds the minimum value the n preceeding values in a set moving from beginning to end over a row of values.¶" &amp; "RollingSumλ        →Creates totals for preceeding values of a set size moving from beginning to end over a row of values.¶" &amp; "SumContainsλ       →Creates a row of totals for each row in an array where its labels contain a unique letter, word, or phrase.¶" &amp; "SumPeriodsλ        →Groups and totals all columns in a Values array by period resulting in one column for each period.¶" &amp; "→¶" &amp; "AMORTIZATION SUITE→¶" &amp; "Amortizeλ          →Creates a corkscrew amortization schedule.¶" &amp; "LabelAmortizeλ     →Create row labels for Amortizeλ result¶" &amp; "SumAmortizeλ       →Create row totals for payments, interest, and principal portion in Amortizeλ results¶" &amp; "→¶" &amp; "DEPRECIATION SUITE→¶" &amp; "Depreciateλ        →Create a block of CAPEX, Opening Balance, Depreciation Values, and Book Value for each asset¶" &amp; "LabelDepreciateλ   →Create row labels for Depreciateλ result¶" &amp; "SumDepreciateλ     →Create row totals for CAPEX, Depreciation, Book Value, Salvage Value, and Disposal costs in Depreciateλ results¶" &amp; "Allocateλ          →Divide one or more amounts equally equally across smaller periods¶" &amp; "SLNλ               →Straight Line depreciation method for one asset or asset class.¶" &amp; "SYDλ               →Sum-of-years' digits depreciation method for one asset or asset class.¶" &amp; "DBλ                →Fixed declining balance depreciation method for one asset or asset class.¶" &amp; "DDBλ               →Double-declining balance depreciation method for one asset or asset class.¶" &amp; "VDBλ               →Variable declining balance depreciation method for one asset or asset class.¶" &amp; "→¶" &amp; "SUBROUTINES        →Functions used by other functions or general purpose functions.¶" &amp; "FilterContainsλ    →Filter an array by another array that contains specifice text¶" &amp; "RangeToDAλ         →Create a dynamic array from a static range¶" &amp; "TimelineOffsetλ    →Determines how many columns a date is offset from a timeline's first date¶" &amp; "TimelinePositionλ  →Places an array or value appropriately within a model's timeline.¶" &amp; "PeriodStartλ       →Determine when a period containing a date of interest starts.¶" &amp; "PeriodDiffλ        →Determine the number of periods between two dates.", "→", "¶"))</definedName>
    <definedName name="MW.Allocateλ" comment="→Divide one or more amounts equally equally across smaller periods">_xlfn.LAMBDA(_xlop.Amounts,_xlop.FromInterval,_xlop.ToInterval, _xlfn.LET(_xlpm.Help, TRIM(_xlfn.TEXTSPLIT("FUNCTION:      →Allocateλ(Amounts, [FromInterval], [ToInterval])¶" &amp; "DESCRIPTION:   →Divide one or more amounts equally equally across smaller periods¶" &amp; "WEBPAGE:       →&lt;coming soon&gt;¶" &amp; "VERSION:       →Apr 17 2024¶" &amp; "PARAMETERS:    →¶" &amp; "Amounts        →(Required) One amount or a row of amounts to allocate.¶" &amp; "FromInterval   →(Optional Default=Y) The larger interval in Q=Quarters or Y=Years¶" &amp; "ToInterval     →(Optional Default=M) The smaller interval in W=Weeks, M=Months, or Q=Quarters¶" &amp; "NOTE!          →¶" &amp; "→When a From Period's amount does not divide evenly to the 1/100 for all To Periods',¶" &amp; "→the last To Period contains the necessary adjustment.¶" &amp; "EXAMPLES:      →¶" &amp; "→Formula (BXF is assumed to be the module's name)¶" &amp; "→=BXF.Allocateλ({999.99, 2000}, ""Y"", ""Q"")¶" &amp; "→Result¶" &amp; "→250,250,250,249.99,500,500,500,500", "→", "¶")), _xlpm.Help?, _xlfn.ISOMITTED(_xlpm.Amounts), _xlpm.FromInterval, IF(_xlfn.ISOMITTED(_xlpm.FromInterval), "Y", _xlpm.FromInterval), _xlpm.ToInterval, IF(_xlfn.ISOMITTED(_xlpm.ToInterval), "M", _xlpm.ToInterval), _xlpm.From, _xlfn.SWITCH(_xlpm.FromInterval, "Y", 1, "Q", 4), _xlpm.To, _xlfn.SWITCH(_xlpm.ToInterval, "Q", 4, "M", 12, "W", 52), _xlpm.FromCount, COUNT(_xlpm.Amounts), _xlpm.ToCount, _xlpm.To / _xlpm.From, _xlpm.Result, _xlfn.REDUCE(0, _xlfn.SEQUENCE(, _xlpm.FromCount), _xlfn.LAMBDA(_xlpm.Acc,_xlpm.n, _xlfn.LET(_xlpm.FromAmount, INDEX(_xlpm.Amounts, _xlpm.n), _xlpm.ToAmount, ROUND(_xlpm.FromAmount * _xlpm.From / _xlpm.To, 2), _xlpm.BaseArray, _xlfn.EXPAND(_xlpm.ToAmount, 1, _xlpm.ToCount, _xlpm.ToAmount), _xlpm.ToArray, IF(_xlpm.ToCount = 1, _xlpm.BaseArray, _xlfn.HSTACK(_xlfn.TAKE(_xlpm.BaseArray, 1, _xlpm.ToCount - 1), _xlpm.FromAmount - SUM(_xlfn.TAKE(_xlpm.BaseArray, 1, _xlpm.ToCount - 1)))), _xlpm.Result, IF(_xlpm.n = 1, _xlpm.ToArray, _xlfn.HSTACK(_xlpm.Acc, _xlpm.ToArray)), _xlpm.Result))), CHOOSE(_xlpm.Help? + 1, _xlpm.Result, _xlpm.Help)))</definedName>
    <definedName name="MW.Amortizeλ" comment="Creates a corkscrew amortization schedule">_xlfn.LAMBDA(_xlop.Principals,_xlop.APRs,_xlop.Terms,_xlop.StartDates,_xlop.Timeline, _xlfn.LET(_xlpm.Help, TRIM(_xlfn.TEXTSPLIT("FUNCTION:      →Amortizeλ( Principals, APRs, Terms, StartDates, [Timeline])¶" &amp; "DESCRIPTION:   →Creates an amortization schedule array for one or more loans.¶" &amp; "→It assumes all payments are made monthly.¶" &amp; "→Use LableAmortizeλ() to apply labels to this function's results:¶" &amp; "→Use SumAmortizeλ() to apply totals to this function's results:¶" &amp; "WEBPAGE:       →https://sites.google.com/site/beyondexcel/home/5g-modeling/5g-component-libraries/5g-amortize%CE%BB¶" &amp; "VERSION:       →May 11 2024¶" &amp; "PARAMETERS:→¶" &amp; "Principals     →(Required) Loan/debt amounts.¶" &amp; "APRs           →(Required) Annual Percentage Rates for interest.¶" &amp; "Terms          →(Required) Number of months for loans/debts.¶" &amp; "StartDates     →(Required) Dates debts are issued.¶" &amp; "Timeline       →(Optional) An array of dates. If omitted, a row of months starting on start date will be added¶" &amp; "EXAMPLES:→¶" &amp; "Result         →Formula (BXF is assumed to be the module's name)¶" &amp; "→=BXF.Amortizeλ(10000, 5%, 4 * 12, ""2023-01-01"")", "→", "¶")), _xlpm.MpY, 12, _xlpm.ADpM, 30.42, _xlpm.Help?, OR(_xlfn.ISOMITTED(_xlpm.Principals), _xlfn.ISOMITTED(_xlpm.APRs), _xlfn.ISOMITTED(_xlpm.Terms), _xlfn.ISOMITTED(_xlpm.StartDates)), _xlpm.Timeline, IF(_xlfn.ISOMITTED(_xlpm.Timeline), _xlfn.LET(_xlpm.Counter, ROWS(_xlpm.Principals), _xlpm.MaxDate, MAX(_xlfn.MAP(_xlpm.Counter, _xlfn.LAMBDA(_xlpm.n, EDATE(INDEX(_xlpm.StartDates, _xlpm.n), INDEX(_xlpm.Terms, _xlpm.n) - 1)))), _xlpm.MinDate, MIN(_xlpm.StartDates), _xlpm.MaxTerm, DATEDIF(_xlpm.MinDate, _xlpm.MaxDate, "M") + 1, _xlpm.Result, EDATE(_xlpm.MinDate, _xlfn.SEQUENCE(1, _xlpm.MaxTerm, 0)), _xlpm.Result), _xlpm.Timeline), _xlpm.FirstPeriod, INDEX(_xlpm.Timeline, 1), _xlpm.SecondPeriod, INDEX(_xlpm.Timeline, 2), _xlpm.MpP, _xlfn.SINGLE(ROUND((_xlpm.SecondPeriod - _xlpm.FirstPeriod) / _xlpm.ADpM, 0)), _xlpm.PpY, _xlpm.MpY / _xlpm.MpP, _xlpm.Recursion, _xlfn.LAMBDA(_xlpm.fn,_xlpm.Principals,_xlpm.APRs,_xlpm.Terms,_xlpm.StartDates,_xlpm.Timeline,_xlpm.Asset, _xlfn.LET(_xlpm.Principal, INDEX(_xlpm.Principals, _xlpm.Asset), _xlpm.APR, INDEX(_xlpm.APRs, _xlpm.Asset), _xlpm.Term, INDEX(_xlpm.Terms, _xlpm.Asset), _xlpm.StartDate, INDEX(_xlpm.StartDates, _xlpm.Asset), _xlpm.Periods, ROUNDUP(_xlpm.Term / _xlpm.MpP, 0), _xlpm.Rows, 1, _xlpm.Cols, _xlpm.Periods, _xlpm.Rate, _xlpm.APR / _xlpm.MpY, _xlpm.MonthlyPayment, PMT(_xlpm.Rate, _xlpm.Term, _xlpm.Principal), _xlpm.MonthlyPrincipal, -FV(_xlpm.Rate, _xlfn.SEQUENCE(1, _xlpm.Term, 0), _xlpm.MonthlyPayment, _xlpm.Principal), _xlpm.MonthlyInterest, _xlpm.MonthlyPrincipal * _xlpm.Rate, _xlpm.DebtIssueArray, _xlfn.EXPAND(_xlpm.Principal, 1, _xlpm.Periods, 0), _xlpm.PrincipalArray, IF(_xlpm.MpP = 1, _xlpm.MonthlyPrincipal, _xlfn.MAKEARRAY(1, _xlpm.Periods, _xlfn.LAMBDA(_xlpm.R,_xlpm.C, _xlfn.LET(_xlpm.Idx, (_xlpm.C - 1) * _xlpm.MpP + 1, INDEX(_xlpm.MonthlyPrincipal, _xlpm.Idx))))), _xlpm.InterestArray, IF(_xlpm.MpP = 1, _xlpm.MonthlyInterest, _xlfn.LET(_xlpm.MoInt, _xlfn.EXPAND(_xlpm.MonthlyInterest, 1, ROUNDUP(_xlpm.Term / _xlpm.MpP, 0) * _xlpm.MpP, 0), _xlfn.MAKEARRAY(1, _xlpm.Periods, _xlfn.LAMBDA(_xlpm.R,_xlpm.C, _xlfn.LET(_xlpm.Idx, (_xlpm.C - 1) * _xlpm.MpP + 1, SUM(_xlfn.CHOOSECOLS(_xlpm.MoInt, _xlfn.SEQUENCE(1, _xlpm.MpP, _xlpm.Idx)))))))), _xlpm.PaymentArray, _xlfn.LET(_xlpm.MoPmt, _xlfn.EXPAND(_xlfn.SEQUENCE(1, _xlpm.Term, _xlpm.MonthlyPayment, 0), 1, ROUNDUP(_xlpm.Term / _xlpm.MpP, 0) * _xlpm.MpP, 0), _xlfn.MAKEARRAY(1, _xlpm.Periods, _xlfn.LAMBDA(_xlpm.R,_xlpm.C, _xlfn.LET(_xlpm.Idx, (_xlpm.C - 1) * _xlpm.MpP + 1, SUM(_xlfn.CHOOSECOLS(_xlpm.MoPmt, _xlfn.SEQUENCE(1, _xlpm.MpP, _xlpm.Idx))))))), _xlpm.ClosingArray, _xlpm.PrincipalArray + _xlpm.InterestArray + _xlpm.PaymentArray, _xlpm.PortionArray, -_xlpm.PaymentArray - _xlpm.InterestArray, _xlpm.AmortizationSched, _xlfn.VSTACK(_xlpm.DebtIssueArray, _xlpm.PrincipalArray, _xlpm.InterestArray, _xlpm.PaymentArray, _xlpm.ClosingArray, _xlpm.PortionArray), _xlpm.Offset, MW.TimelineOffsetλ(_xlpm.StartDate, _xlpm.Timeline), _xlpm.NewBlock, MW.TimelinePositionλ(_xlpm.AmortizationSched, _xlpm.Timeline, _xlpm.Offset), _xlpm.Result, IF(_xlpm.Asset = ROWS(_xlpm.Principals), _xlpm.NewBlock, _xlfn.VSTACK(_xlpm.NewBlock, _xlfn.EXPAND({" "}, 1, COUNTA(_xlpm.Timeline), " "), _xlpm.fn(_xlpm.fn, _xlpm.Principals, _xlpm.APRs, _xlpm.Terms, _xlpm.StartDates, _xlpm.Timeline, _xlpm.Asset + 1))), _xlpm.Result)), _xlpm.Result, _xlpm.Recursion(_xlpm.Recursion, _xlpm.Principals, _xlpm.APRs, _xlpm.Terms, _xlpm.StartDates, _xlpm.Timeline, 1), CHOOSE(_xlpm.Help? + 1, _xlpm.Result, _xlpm.Help)))</definedName>
    <definedName name="MW.AmortizeλDV" comment="Provides extended data validation of arguments for Amortizeλ()">_xlfn.LAMBDA(_xlop.Principal,_xlop.APR,_xlop.Term,_xlop.StartDate,_xlop.Timeline, _xlfn.LET(_xlpm.ErrorsInArgs, _xlfn.VSTACK(OR(ISERROR(_xlpm.Principal)), OR(ISERROR(_xlpm.APR)), OR(ISERROR(_xlpm.Term)), OR(ISERROR(_xlpm.StartDate)), OR(ISERROR(_xlpm.Timeline))), _xlpm.DVArg1, IF(OR(_xlfn.ISOMITTED(_xlpm.Principal), ISERROR(_xlpm.Principal)), FALSE, OR(IFERROR(VALUE(_xlpm.Principal) &lt; 1, TRUE))), _xlpm.DVArg2, IF(OR(_xlfn.ISOMITTED(_xlpm.APR), ISERROR(_xlpm.APR)), FALSE, OR(IFERROR(VALUE(_xlpm.APR) &lt;= 0, TRUE))), _xlpm.DVArg3, IF(OR(_xlfn.ISOMITTED(_xlpm.Term), ISERROR(_xlpm.Term)), FALSE, OR(IFERROR(VALUE(_xlpm.Term) &lt; 1, TRUE))), _xlpm.DVArg4, IF(OR(_xlfn.ISOMITTED(_xlpm.StartDate), ISERROR(_xlpm.StartDate)), FALSE, OR(IFERROR(VALUE(_xlpm.StartDate) &lt; MIN(_xlpm.Timeline), TRUE))), _xlpm.DVArg5, IF(OR(_xlfn.ISOMITTED(_xlpm.Timeline), ISERROR(_xlpm.Timeline)), FALSE, OR(IFERROR(VALUE(_xlpm.Timeline) &lt; 1, TRUE))), _xlpm.DVArg6, IF(OR(_xlfn.ISOMITTED(_xlpm.Timeline), ISERROR(_xlpm.Timeline), _xlpm.DVArg5), FALSE, COUNTA(_xlpm.Timeline) &lt; 2), _xlpm.DVArg7, IF(OR(_xlfn.ISOMITTED(_xlpm.Timeline), ISERROR(_xlpm.Timeline), _xlpm.DVArg5, _xlpm.DVArg6), FALSE, (INDEX(_xlpm.Timeline, 2) - INDEX(_xlpm.Timeline, 1)) &lt; 30), _xlpm.DVErrors, _xlfn.VSTACK(_xlpm.DVArg1, _xlpm.DVArg2, _xlpm.DVArg3, _xlpm.DVArg4, _xlpm.DVArg5, _xlpm.DVArg6, _xlpm.DVArg7), _xlpm.AnyErrors?, OR(_xlpm.ErrorsInArgs, _xlpm.DVErrors), _xlpm.Errors2Show, _xlfn.VSTACK(_xlpm.ErrorsInArgs, _xlpm.DVErrors), _xlpm.ErrMsgs, {"Amount contains errors in cells. Resolve errors first.";"APR contains errors in cells. Resolve errors first.";"Term contains errors in cells. Resolve errors first.";"StartDate contains errors in cells. Resolve errors first.";"Timeline contains errors in cells. Resolve errors first.";"Amount must be greater than 0";"APR must be a percentage greater than 0";"Term must be the number of timeline periods until the debt is satisfied.";"StartDate must be a valid date.";"Timeline must a row of period start dates with every period spanning a month, quarter or year.";"Timeline must a row of period start dates with more than 1 entry.";"Timeline must a row of period start dates spanning no less than a month."}, _xlpm.Messages, _xlfn._xlws.FILTER(_xlpm.ErrMsgs, _xlpm.Errors2Show, ""), _xlpm.Return, IF(OR(_xlpm.Errors2Show), 2, IF(_xlpm.AnyErrors?, 3, 1)), CHOOSE(_xlpm.Return, TRUE, _xlpm.Messages, #VALUE!)))</definedName>
    <definedName name="MW.CorkScrewReversalλ" comment="Create a corkscrew where the opening balance is reversed in the next period based on a timing parameter.">_xlfn.LAMBDA(_xlop.Opening,_xlop.ReversalFlags,_xlop.Flow1,_xlop.Flow2,_xlop.Flow3,_xlop.Flow4, _xlfn.LET(_xlpm.Help, TRIM(_xlfn.TEXTSPLIT("FUNCTION:      →Corkscrewλ( Opening, FLow1, [Flow2], [Flow3], [Flow4])¶" &amp; "DESCRIPTION:   →Create a corkscrew where the opening balance is reversed in the next period based on a timing parameter¶" &amp; "WEBPAGE:       →&lt;Coming Soon&gt;¶" &amp; "VERSION:       →Apr 19 2024¶" &amp; "PARAMETERS:→¶" &amp; "Opening        →(Required) First periods opening balance.¶" &amp; "ReversalFlags  →(Required) A row of ones and blanks (or zeros) indicating when to reverse period totals.¶" &amp; "Flow1          →(Required) First row (or array of rows) of numbers to include in period totals.¶" &amp; "Flow2          →(Optional) Second row (or array of rows) of numbers to include in period totals.¶" &amp; "Flow3          →(Optional) Third row (or array of rows) of numbers to include in period totals.¶" &amp; "Flow4          →(Optional) Fourth row (or array of rows) of numbers to include in period totals.¶" &amp; "NOTE!          →All flows are added. To subtract a flow make it negative.", "→", "¶")), _xlpm.Help?, OR(_xlfn.ISOMITTED(_xlpm.Opening), _xlfn.ISOMITTED(_xlpm.ReversalFlags), _xlfn.ISOMITTED(_xlpm.Flow1)), _xlpm.Cols, COLUMNS(_xlpm.Flow1), _xlpm.Rows, IF(_xlfn.ISOMITTED(_xlpm.Flow2), 1, IF(_xlfn.ISOMITTED(_xlpm.Flow3), 2, IF(_xlfn.ISOMITTED(_xlpm.Flow4), 3, 4))), _xlpm.PeriodArray, _xlfn.SWITCH(_xlpm.Rows, 1, _xlpm.Flow1, 2, _xlfn.VSTACK(_xlpm.Flow1, _xlpm.Flow2), 3, _xlfn.VSTACK(_xlpm.Flow1, _xlpm.Flow2, _xlpm.Flow3), 4, _xlfn.VSTACK(_xlpm.Flow1, _xlpm.Flow2, _xlpm.Flow3, _xlpm.Flow4)), _xlpm.PeriodTotal, _xlfn.BYCOL(_xlpm.PeriodArray, _xlfn.LAMBDA(_xlpm.Col, SUM(_xlpm.Col))), _xlpm.Result, _xlfn.REDUCE(0, _xlfn.SEQUENCE(COLUMNS(_xlpm.Flow1)), _xlfn.LAMBDA(_xlpm.Acc,_xlpm.Col, _xlfn.LET(_xlpm.Opening, IF(_xlpm.Col = 1, _xlpm.Opening, _xlfn.TAKE(_xlpm.Acc, -1, -1)), _xlpm.Reversal, -INDEX(_xlpm.ReversalFlags, 1, _xlpm.Col) * _xlpm.Opening, _xlpm.ArrayColumn, _xlfn.CHOOSECOLS(_xlpm.PeriodArray, _xlpm.Col), _xlpm.Stack, _xlfn.VSTACK(_xlpm.Opening, _xlpm.Reversal, _xlpm.ArrayColumn, SUM(_xlpm.Opening, _xlpm.Reversal, _xlpm.ArrayColumn)), _xlpm.Result, IF(_xlpm.Col = 1, _xlpm.Stack, _xlfn.HSTACK(_xlpm.Acc, _xlpm.Stack)), _xlpm.Result))), CHOOSE(_xlpm.Help? + 1, _xlpm.Result, _xlpm.Help)))</definedName>
    <definedName name="MW.Corkscrewλ" comment="Create a corkscrew section that sums the opening balance and up to 4 independent flows.">_xlfn.LAMBDA(_xlop.Opening,_xlop.Flow1,_xlop.Flow2,_xlop.Flow3,_xlop.Flow4, _xlfn.LET(_xlpm.Help, TRIM(_xlfn.TEXTSPLIT("FUNCTION:      →Corkscrewλ( Opening, FLow1, [Flow2], [Flow3], [Flow4])¶" &amp; "DESCRIPTION:   →Create a corkscrew section that sums the opening balance and up to 4 independent flows¶" &amp; "WEBPAGE:       →&lt;Coming Soon&gt;¶" &amp; "VERSION:       →Oct 20 2023¶" &amp; "PARAMETERS:→¶" &amp; "Opening        →(Required) First periods opening balance.¶" &amp; "Flow1          →(Required) First row (or array of rows) of numbers to include in period totals.¶" &amp; "Flow2          →(Optional) Second row (or array of rows) of numbers to include in period totals.¶" &amp; "Flow3          →(Optional) Third row (or array of rows) of numbers to include in period totals.¶" &amp; "Flow4          →(Optional) Fourth row (or array of rows) of numbers to include in period totals.¶" &amp; "NOTE!          →All flows are added. To subtract a flow make it negative.¶" &amp; "→¶" &amp; "EXAMPLES:      →NOTE! BXF is assumed to be the module's name¶" &amp; "Formula:       →=BXF.Corkscrewλ(0, Sequence(1,5))¶" &amp; "Result:        →00, 01, 03, 06, 10¶" &amp; "→01, 02, 03, 04, 05¶" &amp; "→01, 03, 06, 10, 15", "→", "¶")), _xlpm.Help?, OR(_xlfn.ISOMITTED(_xlpm.Opening), _xlfn.ISOMITTED(_xlpm.Flow1)), _xlpm.Cols, COLUMNS(_xlpm.Flow1), _xlpm.Rows, IF(_xlfn.ISOMITTED(_xlpm.Flow2), 1, IF(_xlfn.ISOMITTED(_xlpm.Flow3), 2, IF(_xlfn.ISOMITTED(_xlpm.Flow4), 3, 4))), _xlpm.PeriodArray, _xlfn.SWITCH(_xlpm.Rows, 1, _xlpm.Flow1, 2, _xlfn.VSTACK(_xlpm.Flow1, _xlpm.Flow2), 3, _xlfn.VSTACK(_xlpm.Flow1, _xlpm.Flow2, _xlpm.Flow3), 4, _xlfn.VSTACK(_xlpm.Flow1, _xlpm.Flow2, _xlpm.Flow3, _xlpm.Flow4)), _xlpm.PeriodTotal, _xlfn.BYCOL(_xlpm.PeriodArray, _xlfn.LAMBDA(_xlpm.Col, SUM(_xlpm.Col))), _xlpm.ClosingTotal, _xlfn.SCAN(_xlpm.Opening, _xlpm.PeriodTotal, _xlfn.LAMBDA(_xlpm.Opn,_xlpm.PrdTot, _xlpm.Opn + _xlpm.PrdTot)), _xlpm.OpeningTotal, _xlfn.MAP(_xlfn.SEQUENCE(, _xlpm.Cols), _xlfn.LAMBDA(_xlpm.Col, IF(_xlpm.Col = 1, _xlpm.Opening, INDEX(_xlpm.ClosingTotal, _xlpm.Col - 1)))), _xlpm.Result, _xlfn.VSTACK(_xlpm.OpeningTotal, _xlpm.PeriodArray, _xlpm.ClosingTotal), CHOOSE(_xlpm.Help? + 1, _xlpm.Result, _xlpm.Help)))</definedName>
    <definedName name="MW.CorkscrewλDV" comment="Provides extended data validation of arguments for Depreciateλ.">_xlfn.LAMBDA(_xlop.Opening,_xlop.Flow1,_xlop.Flow2,_xlop.Flow3,_xlop.Flow4,_xlop.Diagnostics, _xlfn.LET(_xlpm.ErrorsInArgs, _xlfn.VSTACK(OR(ISERROR(_xlpm.Opening)), OR(ISERROR(_xlpm.Flow1)), OR(ISERROR(_xlpm.Flow2)), OR(ISERROR(_xlpm.Flow3)), OR(ISERROR(_xlpm.Flow4))), _xlpm.DVArg1, IF(OR(_xlfn.ISOMITTED(_xlpm.Opening), ISERROR(_xlpm.Opening)), FALSE, NOT(ISNUMBER(_xlpm.Opening))), _xlpm.DVArg2, IF(OR(_xlfn.ISOMITTED(_xlpm.Flow1), ISERROR(_xlpm.Flow1)), FALSE, NOT(AND(ISNUMBER(_xlpm.Flow1)))), _xlpm.DVArg3, IF(OR(_xlfn.ISOMITTED(_xlpm.Flow2), ISERROR(_xlpm.Flow2)), FALSE, NOT(AND(ISNUMBER(_xlpm.Flow2)))), _xlpm.DVArg4, IF(OR(_xlfn.ISOMITTED(_xlpm.Flow3), ISERROR(_xlpm.Flow3)), FALSE, NOT(AND(ISNUMBER(_xlpm.Flow3)))), _xlpm.DVArg5, IF(OR(_xlfn.ISOMITTED(_xlpm.Flow4), ISERROR(_xlpm.Flow4)), FALSE, NOT(AND(ISNUMBER(_xlpm.Flow4)))), _xlpm.DVErrors, _xlfn.VSTACK(_xlpm.DVArg1, _xlpm.DVArg2, _xlpm.DVArg3, _xlpm.DVArg4, _xlpm.DVArg5), _xlpm.AnyErrors?, OR(_xlpm.ErrorsInArgs, _xlpm.DVErrors), _xlpm.Errors2Show, _xlfn.VSTACK(_xlpm.Diagnostics * _xlpm.ErrorsInArgs, _xlpm.Diagnostics * _xlpm.DVErrors), _xlpm.ErrMsgs, {"Opening contains errors in cells. Resolve errors first.";"Flow1 contains errors in cells. Resolve errors first.";"Flow2 contains errors in cells. Resolve errors first.";"Flow3 contains errors in cells. Resolve errors first.";"Flow4 contains errors in cells. Resolve errors first.";"Set Opening must to contain only numeric values.";"Set Flow1 to contain only numeric values.";"Set Flow2 to contain only numeric values.";"Set Flow3 to contain only numeric values.";"Set Flow4 to contain only numeric values."}, _xlpm.Messages, _xlfn._xlws.FILTER(_xlpm.ErrMsgs, _xlpm.Errors2Show, ""), _xlpm.Return, IF(OR(_xlpm.Errors2Show), 2, IF(_xlpm.AnyErrors?, 3, 1)), CHOOSE(_xlpm.Return, TRUE, _xlpm.Messages, #VALUE!)))</definedName>
    <definedName name="MW.Cumulativeλ" comment="Creates a row or column of cumulative totals from a total row or column">_xlfn.LAMBDA(_xlop.Totals,_xlop.OpeningBalance, _xlfn.LET(_xlpm.Help, TRIM(_xlfn.TEXTSPLIT("FUNCTION:      →Cumulativeλ( Totals, [OpeningBalance])¶" &amp; "DESCRIPTION:   →Creates a row or column of cumulative totals from a total row or column¶" &amp; "WEBPAGE:       →&lt;coming soon&gt;¶" &amp; "VERSION:       →Jan 05 2023¶" &amp; "PARAMETERS:    →¶" &amp; "Totals         →(Required) A row or column of totals from which to run cumulative totals¶" &amp; "OpeningBalance →(Optional) A starting balance. This defaults to 0¶" &amp; "EXAMPLES:      →¶" &amp; "Result         →Formula (BXF is assumed to be the module's name)¶" &amp; "1,3,6          →=BXF.Cumulativeλ(Sequence(,3))", "→", "¶")), _xlpm.Help?, _xlfn.ISOMITTED(_xlpm.Totals), _xlpm.Result, _xlfn.SCAN(_xlpm.OpeningBalance, _xlpm.Totals, _xlfn.LAMBDA(_xlpm.PreviousAmount,_xlpm.CurrentAmount, _xlpm.PreviousAmount + _xlpm.CurrentAmount)), CHOOSE(_xlpm.Help? + 1, _xlpm.Result, _xlpm.Help)))</definedName>
    <definedName name="MW.DBλ" comment="Fixed declining balance depreciation method for one asset or asset class.">_xlfn.LAMBDA(_xlop.Cost,_xlop.Salvage,_xlop.Life,_xlop.Months, _xlfn.LET(_xlpm.Help, TRIM(_xlfn.TEXTSPLIT("FUNCTION:      →DBλ(Cost, Salvage, Life, [Month])¶" &amp; "DESCRIPTION:   →Fixed declining balance depreciation method for one asset or asset class¶" &amp; "WEBPAGE:       →&lt;coming soon&gt;¶" &amp; "VERSION:       →Apr 17 2024¶" &amp; "PARAMETERS:    →¶" &amp; "Cost           →(Required) Asset's initial cost.¶" &amp; "Salvage        →(Required) Asset's value and end of life. Salvage cannot be 0.¶" &amp; "Life           →(Required) Asset's useful life in years.¶" &amp; "Months         →(Optional) Number of months in the first year to depreciate.¶" &amp; "EXAMPLES:      →¶" &amp; "→Formula (BXF is assumed to be the module's name)¶" &amp; "→=BXF.DBλ(1000, 100, 5)¶" &amp; "→Result¶" &amp; "→369.00,232.84,146.92,92.71,58.53", "→", "¶")), _xlpm.Help?, OR(_xlfn.ISOMITTED(_xlpm.Cost), _xlfn.ISOMITTED(_xlpm.Salvage), _xlfn.ISOMITTED(_xlpm.Life)), _xlpm.Months, IF(_xlfn.ISOMITTED(_xlpm.Months), 12, _xlpm.Months), _xlpm.Depn, DB(_xlpm.Cost, _xlpm.Salvage, _xlpm.Life, _xlfn.SEQUENCE(, _xlpm.Life - 1), _xlpm.Months), _xlpm.Result, _xlfn.HSTACK(_xlpm.Depn, _xlpm.Cost - SUM(_xlpm.Depn) - _xlpm.Salvage), CHOOSE(_xlpm.Help? + 1, _xlpm.Result, _xlpm.Help)))</definedName>
    <definedName name="MW.DDBλ" comment="Double-declining balance depreciation method for one asset or asset class.">_xlfn.LAMBDA(_xlop.Cost,_xlop.Salvage,_xlop.Life,_xlop.Factor, _xlfn.LET(_xlpm.Help, TRIM(_xlfn.TEXTSPLIT("FUNCTION:      →DBλ(Cost, Salvage, Life, [Factor])¶" &amp; "DESCRIPTION:   →Double-declining balance depreciation method for one asset or asset class.¶" &amp; "WEBPAGE:       →&lt;coming soon&gt;¶" &amp; "VERSION:       →Apr 17 2024¶" &amp; "PARAMETERS:    →¶" &amp; "Cost           →(Required) Asset's initial cost.¶" &amp; "Salvage        →(Required) Asset's value and end of life. Salvage cannot be 0.¶" &amp; "Life           →(Required) Asset's useful life in years.¶" &amp; "Factor         →(Optional Default=2) Rate at which the balance declines.¶" &amp; "EXAMPLES:      →¶" &amp; "→Formula (BXF is assumed to be the module's name)¶" &amp; "→=BXF.DDBλ(1000, 100, 5)¶" &amp; "→Result¶" &amp; "→400.00,240.00,144.00,86.40,29.60", "→", "¶")), _xlpm.Help?, OR(_xlfn.ISOMITTED(_xlpm.Cost), _xlfn.ISOMITTED(_xlpm.Salvage), _xlfn.ISOMITTED(_xlpm.Life)), _xlpm.Factor, IF(_xlfn.ISOMITTED(_xlpm.Factor), 2, _xlpm.Factor), _xlpm.Depn, DDB(_xlpm.Cost, _xlpm.Salvage, _xlpm.Life, _xlfn.SEQUENCE(, _xlpm.Life - 1), _xlpm.Factor), _xlpm.Result, _xlfn.HSTACK(_xlpm.Depn, _xlpm.Cost - SUM(_xlpm.Depn) - _xlpm.Salvage), CHOOSE(_xlpm.Help? + 1, _xlpm.Result, _xlpm.Help)))</definedName>
    <definedName name="MW.Depreciateλ" comment="Create a block of CAPEX, Opening Balance, Depreciation Values, and Book Value for each asset">_xlfn.LAMBDA(_xlop.InitialValues,_xlop.InServiceDates,_xlop.LifeInYears,_xlop.Timeline,_xlop.SalvageValues,_xlop.DisposalDates,_xlop.DisposalCosts,_xlop.Methods,_xlop.Factors, _xlfn.LET(_xlpm.Help, TRIM(_xlfn.TEXTSPLIT("FUNCTION:      →Depreciateλ(InitialValues, InServiceDates, LifeInYears, Timeline, ¶" &amp; "               →[SalvageValues], [DisposalDates], [DisposalCosts], [Methods], [Factor])¶" &amp; "DESCRIPTION:   →Creates an array of CAPEX, depreciation, and book values for a model's timeline¶" &amp; "WEBPAGE:       →https://sites.google.com/site/beyondexcel/home/5g-modeling/5g-component-libraries/5g-depreciate%CE%BB ¶" &amp; "VERSION:       →Apr 10 2024¶" &amp; "NOTES:         →The methods used here differs from Excel's functions in several ways. Please see webpage for details.¶" &amp; "PARAMETERS:    →¶" &amp; "InitialValues  →(Required) The purchase values of each asset to depreciate¶" &amp; "InServiceDates →(Required) The dates from which to start depreciating each asset¶" &amp; "LifeInYears    →(Required) The number of years with which to depreciate each asset¶" &amp; "Timeline       →(Required) The model's timeline or a row of period start dates. ¶" &amp; "               →Timeline can be in Months, Quarters, or Years¶" &amp; "SalvageValues  →(Optional: Default = 0) The book values of each asset after fully depreciated.¶" &amp; "DisposalDates  →(Optional: Default = End of life) The dates on which the assets are removed from the books.¶" &amp; "DisposalCosts  →(Optional: Default = 0) The book values of each asset after fully depreciated.¶" &amp; "Methods        →(Optional: Default = SLN) The desired depreciation method. Must be one of these Excel function names: ¶" &amp; "→SLN=Straight Line Depreciation¶" &amp; "→SYD=Sum of Year's Digits¶" &amp; "→DB =Declining Balance¶" &amp; "→DDB=Double Declining Balance¶" &amp; "→VDB=Variable Declining Balance¶" &amp; "→MACRS=Modified Accelerated Cost Recovery System. NOTE: Salvage value ignored¶" &amp; "Factors        →(Optional: Default = 2) Only applicable to DDB and VDB methods.", "→", "¶")), _xlpm.Help?, OR(_xlfn.ISOMITTED(_xlpm.InitialValues), _xlfn.ISOMITTED(_xlpm.LifeInYears), _xlfn.ISOMITTED(_xlpm.InServiceDates), _xlfn.ISOMITTED(_xlpm.Timeline)), _xlpm.MethodArray, {"SLN","SYD","DB","DDB","VDB","MACRS"}, _xlpm.Mpy, 12, _xlpm.SalvageValues, IF(_xlfn.ISOMITTED(_xlpm.SalvageValues), _xlfn.SEQUENCE(COUNTA(_xlpm.InitialValues), 1, 0, 0), _xlfn.MAP(_xlpm.SalvageValues, _xlfn.LAMBDA(_xlpm.v, IFERROR(VALUE(_xlpm.v), 0)))), _xlpm.CvtSrvDates, IF(NOT(_xlfn.ISOMITTED(_xlpm.InServiceDates)), IF(ISNUMBER(_xlpm.InServiceDates), _xlpm.InServiceDates, DATEVALUE(_xlpm.InServiceDates))), _xlpm.DisposalDates, IF(_xlfn.ISOMITTED(_xlpm.DisposalDates), EDATE(+_xlpm.CvtSrvDates, _xlpm.LifeInYears * 12), _xlfn.MAKEARRAY(ROWS(_xlpm.DisposalDates), 1, _xlfn.LAMBDA(_xlpm.R,_xlpm.C, IF(INDEX(_xlpm.DisposalDates, _xlpm.R) = "", EDATE(INDEX(_xlpm.CvtSrvDates, _xlpm.R), INDEX(_xlpm.LifeInYears, _xlpm.R) * 12), INDEX(_xlpm.DisposalDates, _xlpm.R))))), _xlpm.DisposalCosts, IF(_xlfn.ISOMITTED(_xlpm.DisposalCosts), _xlfn.SEQUENCE(ROWS(_xlpm.InitialValues), 1, 0, 0), _xlpm.DisposalCosts), _xlpm.Methods, IF(_xlfn.ISOMITTED(_xlpm.Methods), _xlfn.EXPAND("SLN", COUNTA(_xlpm.InitialValues), 1, "SLN"), _xlfn.MAP(_xlpm.Methods, _xlfn.LAMBDA(_xlpm.v, IF(TRIM(_xlpm.v) = "", "SLN", _xlpm.v)))), _xlpm.Factors, IF(_xlfn.ISOMITTED(_xlpm.Factors), _xlfn.EXPAND(2, COUNTA(_xlpm.InitialValues), 1, 2), _xlfn.MAP(_xlpm.Factors, _xlfn.LAMBDA(_xlpm.v, IF(TRIM(_xlpm.v) = "", 2, _xlpm.v)))), _xlpm.TimelineCols, COLUMNS(_xlpm.Timeline), _xlpm.FirstPeriod, INDEX(_xlpm.Timeline, 1), _xlpm.SecondPeriod, INDEX(_xlpm.Timeline, 2), _xlpm.MpP, _xlfn.SINGLE(ROUND((_xlpm.SecondPeriod - _xlpm.FirstPeriod) / 30.5, 0)), _xlpm.Interval, _xlfn.SWITCH(_xlpm.MpP, 1, "M", 3, "Q", 12, "Y"), _xlpm.PpY, _xlfn.SWITCH(_xlpm.MpP, 1, 12, 3, 4, 12, 1), _xlpm.EndDates, _xlfn.HSTACK(_xlfn.MAP(_xlfn.SEQUENCE(, _xlpm.TimelineCols - 1), _xlfn.LAMBDA(_xlpm.n, INDEX(_xlpm.Timeline, _xlpm.n + 1) - 1)), EDATE(MAX(_xlpm.Timeline), _xlpm.MpP) - 1), _xlpm.Result, _xlfn.REDUCE(0, _xlfn.SEQUENCE(ROWS(_xlpm.InitialValues)), _xlfn.LAMBDA(_xlpm.Block,_xlpm.Asset, _xlfn.LET(_xlpm.Method, _xlfn.SINGLE(INDEX(_xlpm.Methods, _xlpm.Asset)), _xlpm.Years, _xlfn.SINGLE(INDEX(_xlpm.LifeInYears, _xlpm.Asset)) + N(_xlpm.Method = "MACRS"), _xlpm.InitialValue, _xlfn.SINGLE(INDEX(_xlpm.InitialValues, _xlpm.Asset)), _xlpm.SalvageValue, IF(_xlpm.Method = "MACRS", 0, _xlfn.SINGLE(INDEX(_xlpm.SalvageValues, _xlpm.Asset))), _xlpm.InServiceDate, _xlfn.SINGLE(INDEX(_xlpm.CvtSrvDates, _xlpm.Asset)), _xlpm.DisposalDate, IF(_xlpm.Method = "MACRS", MAX(EDATE(_xlpm.InServiceDate, _xlpm.Years * _xlpm.Mpy), _xlfn.SINGLE(INDEX(_xlpm.DisposalDates, _xlpm.Asset))), _xlfn.SINGLE(INDEX(_xlpm.DisposalDates, _xlpm.Asset))), _xlpm.DisposalCost, _xlfn.SINGLE(INDEX(_xlpm.DisposalCosts, _xlpm.Asset)), _xlpm.Factor, _xlfn.SINGLE(INDEX(_xlpm.Factors, _xlpm.Asset)), _xlpm.LifeInPeriods, _xlpm.Years * _xlpm.PpY, _xlpm.LifeInMonths, MW.PeriodDiffλ(_xlpm.InServiceDate, _xlpm.DisposalDate, "M"), _xlpm.LastPeriod, MW.PeriodDiffλ(_xlpm.InServiceDate, _xlpm.DisposalDate, _xlpm.Interval), _xlpm.Depreciate, CHOOSE(MATCH(_xlfn.SINGLE(_xlpm.Method), _xlpm.MethodArray, 0), MW.SLNλ(_xlpm.InitialValue, _xlpm.SalvageValue, _xlpm.Years), MW.SYDλ(_xlpm.InitialValue, _xlpm.SalvageValue, _xlpm.Years), MW.DBλ(_xlpm.InitialValue, _xlpm.SalvageValue, _xlpm.Years), MW.DDBλ(_xlpm.InitialValue, _xlpm.SalvageValue, _xlpm.Years, _xlpm.Factor), MW.VDBλ(_xlpm.InitialValue, _xlpm.SalvageValue, _xlpm.Years, _xlpm.Factor), MW.MACRSλ(_xlpm.InitialValue, _xlpm.Years - 1), ), _xlpm.Disposal, _xlfn.HSTACK(_xlfn.SEQUENCE(1, _xlpm.LifeInMonths - 1, 0, 0), _xlpm.DisposalCost), _xlpm.Salvage, _xlfn.HSTACK(_xlfn.SEQUENCE(1, _xlpm.LifeInMonths - 1, 0, 0), _xlpm.SalvageValue), _xlpm.Allocate, _xlfn.HSTACK(_xlfn.EXPAND(MW.Allocateλ(_xlpm.Depreciate, "Y", "M"), 1, _xlpm.LifeInMonths - 1, 0), _xlpm.SalvageValue), _xlpm.Opening, _xlfn.DROP(_xlfn.HSTACK(_xlpm.InitialValue, _xlfn.SCAN(_xlpm.InitialValue, _xlpm.Allocate, _xlfn.LAMBDA(_xlpm.Acc,_xlpm.Val, _xlpm.Acc - _xlpm.Val))), 0, -1), _xlpm.AssetTimeline, EDATE(_xlpm.InServiceDate, _xlfn.SEQUENCE(, _xlpm.LifeInMonths, 0)), _xlpm.Depreciation, _xlfn.MAP(_xlfn.SEQUENCE(, _xlpm.TimelineCols), _xlfn.LAMBDA(_xlpm.n, SUM((_xlpm.Allocate) * (_xlpm.AssetTimeline &lt;= INDEX(_xlpm.EndDates, _xlpm.n)) * (_xlpm.AssetTimeline &gt;= INDEX(_xlpm.Timeline, _xlpm.n))))), _xlpm.CAPEX, _xlpm.InitialValue * (_xlpm.Timeline &lt;= _xlpm.InServiceDate) * (_xlpm.EndDates &gt;= _xlpm.InServiceDate), _xlpm.OpeningAmount, _xlfn.MAP(_xlfn.SEQUENCE(, _xlpm.TimelineCols), _xlfn.LAMBDA(_xlpm.n, IFERROR(INDEX(_xlpm.Opening, MATCH(1, (_xlpm.AssetTimeline &gt;= INDEX(_xlpm.Timeline, _xlpm.n)) * (_xlpm.AssetTimeline &lt;= INDEX(_xlpm.EndDates, _xlpm.n)), 0)), 0))), _xlpm.BookValue, _xlpm.OpeningAmount - _xlpm.Depreciation, _xlpm.SalesRevenue, _xlpm.SalvageValue * (_xlpm.Timeline &lt;= _xlpm.DisposalDate) * (_xlpm.EndDates &gt;= _xlpm.DisposalDate), _xlpm.DisposalExp, _xlpm.DisposalCost * (_xlpm.Timeline &lt;= _xlpm.DisposalDate) * (_xlpm.EndDates &gt;= _xlpm.DisposalDate), _xlpm.NewBlock, _xlfn.VSTACK(_xlpm.CAPEX, _xlpm.OpeningAmount, _xlpm.Depreciation, _xlpm.BookValue, _xlpm.SalesRevenue, _xlpm.DisposalExp), _xlpm.Result, IF(_xlpm.Asset = 1, _xlpm.NewBlock, _xlfn.VSTACK(_xlpm.Block, _xlfn.EXPAND("", 1, _xlpm.TimelineCols, ""), _xlpm.NewBlock)), _xlpm.Result))), CHOOSE(_xlpm.Help? + 1, _xlpm.Result, _xlpm.Help)))</definedName>
    <definedName name="MW.DepreciateλDV" comment="Provides extended data validation of arguments for Depreciateλ">_xlfn.LAMBDA(_xlop.InitialValues,_xlop.InServiceDates,_xlop.LifeInYears,_xlop.Timeline,_xlop.SalvageValues,_xlop.DisposalDates,_xlop.DisposalCosts,_xlop.Methods,_xlop.Factors, _xlfn.LET(_xlpm.ErrorsInArgs, _xlfn.VSTACK(OR(ISERROR(_xlpm.InitialValues)), OR(ISERROR(_xlpm.InServiceDates)), OR(ISERROR(_xlpm.LifeInYears)), OR(ISERROR(_xlpm.Timeline)), OR(ISERROR(_xlpm.SalvageValues)), OR(ISERROR(_xlpm.DisposalDates)), OR(ISERROR(_xlpm.DisposalCosts)), OR(ISERROR(_xlpm.Methods)), OR(ISERROR(_xlpm.Factors))), _xlpm.DVArg1, IF(OR(ISERROR(_xlpm.InitialValues)), FALSE, OR(IFERROR(VALUE(_xlpm.InitialValues) &lt; 1, TRUE))), _xlpm.DVArg2, IF(OR(ISERROR(_xlpm.InServiceDates), ISERROR(_xlpm.Timeline)), FALSE, OR(IFERROR(VALUE(_xlpm.InServiceDates) &lt; MIN(_xlpm.Timeline), TRUE))), _xlpm.DVArg3, IF(OR(ISERROR(_xlpm.LifeInYears)), FALSE, OR(IFERROR(VALUE(_xlpm.LifeInYears) &lt; 1, TRUE))), _xlpm.DVArg4, IF(OR(ISERROR(_xlpm.Timeline)), FALSE, COUNTA(_xlpm.Timeline) &lt; 2), _xlpm.DVArg4b, IF(OR(OR(_xlpm.ErrorsInArgs), _xlpm.DVArg4), FALSE, (INDEX(_xlpm.Timeline, 2) - INDEX(_xlpm.Timeline, 1)) &lt; 28), _xlpm.DVArg5, IF(OR(_xlfn.ISOMITTED(_xlpm.SalvageValues), OR(ISERROR(_xlpm.SalvageValues))), FALSE, OR(IFERROR(VALUE(_xlpm.SalvageValues) &lt; 0, TRUE))), _xlpm.DVArg6, IF(OR(_xlfn.ISOMITTED(_xlpm.DisposalDates), OR(_xlpm.ErrorsInArgs)), FALSE, OR(_xlpm.DisposalDates &lt; _xlpm.InServiceDates)), _xlpm.DVArg7, IF(OR(_xlfn.ISOMITTED(_xlpm.DisposalCosts), OR(ISERROR(_xlpm.DisposalCosts))), FALSE, OR(IFERROR(VALUE(_xlpm.DisposalCosts) &lt; 0, TRUE))), _xlpm.DVArg8, IF(OR(_xlfn.ISOMITTED(_xlpm.Methods), ISERROR(_xlpm.Methods)), FALSE, OR(ISERROR(SEARCH(_xlpm.Methods, "SLN,SYD,DB,DDB,VDB,MACRS")))), _xlpm.DVArg9, IF(OR(_xlfn.ISOMITTED(_xlpm.Factors), ISERROR(_xlpm.Factors)), FALSE, OR(IFERROR(VALUE(_xlpm.Factors) &lt; 0, TRUE))), _xlpm.DVErrors, _xlfn.VSTACK(_xlpm.DVArg1, _xlpm.DVArg2, _xlpm.DVArg3, _xlpm.DVArg4, _xlpm.DVArg4b, _xlpm.DVArg5, _xlpm.DVArg6, _xlpm.DVArg7, _xlpm.DVArg8, _xlpm.DVArg9), _xlpm.AnyErrors?, OR(_xlpm.ErrorsInArgs, _xlpm.DVErrors), _xlpm.Errors2Show, _xlfn.VSTACK(_xlpm.ErrorsInArgs, _xlpm.DVErrors), _xlpm.ErrMsgs, {"InitialValues contains errors in cells. Resolve errors first.";"InServiceDates contains errors in cells. Resolve errors first.";"LifeInYears contains errors in cells. Resolve errors first.";"Timeline contains errors in cells. Resolve errors first.";"SalvageValues contains errors in cells. Resolve errors first.";"DisposalDates contains errors in cells. Resolve errors first.";"DisposalCosts contains errors in cells. Resolve errors first.";"Methods contains errors in cells. Resolve errors first.";"Factors contains errors in cells. Resolve errors first.";"InitialValues must be an amount greater than 0";"InServiceDates must be valid dates";"LifeInYears must be a number greater than 0";"Timeline must be a row of period start dates with every period spanning one month, quarter or year.";"Each period in the timeline must span one month, quarter or year.";"SalvageValues must be an amount not less than 0 or omitted";"DisposalDates must be a date greater than InServiceDates or omitted";"DisposalCosts must be an amount not less than 0 or omitted";"Methods must be omitted or one of: SLN, SYD, DB, DDB, MACRS, or VDB.";"Factors must be a value greater than 0"}, _xlpm.Messages, _xlfn._xlws.FILTER(_xlpm.ErrMsgs, _xlpm.Errors2Show, ""), _xlpm.Return, IF(OR(_xlpm.Errors2Show), 2, IF(_xlpm.AnyErrors?, 3, 1)), CHOOSE(_xlpm.Return, TRUE, _xlpm.Messages, #VALUE!)))</definedName>
    <definedName name="MW.FilterContainsλ" comment="Filter an array by another array that contains specifice text">_xlfn.LAMBDA(_xlop.ArrayToFilter,_xlop.FilterByArray,_xlop.FilterByText,_xlop.IgnoreCase?, _xlfn.LET(_xlpm.Help, TRIM(_xlfn.TEXTSPLIT("FUNCTION:      FilterContainsλ( ArrayToFilter, FilterByArray, Text, [IgnoreCase?] )¶" &amp; "DESCRIPTION:   →Filter an array by another array that contains specifice text.¶" &amp; "WEBPAGE:       →&lt;Coming soon&gt;¶" &amp; "VERSION:       →Jan 16 2024¶" &amp; "PARAMETERS:    →¶" &amp; "ArrayToFilter  →(Required) An array to be filtered¶" &amp; "FilterByArray  →(Required) An array containing text to use as a filter¶" &amp; "FilterByText   →(Required) A text string to find in FilterByArray¶" &amp; "IgnoreCase?    →(Optional) A flag to determine if Text's case is important. Default is TRUE¶" &amp; "EXAMPLES:      →¶" &amp; "Result         →Formula (BXF is assumed to be the module's name)¶" &amp; """Cat""        →=BXF.FilterContainsλ( {""Joe"", ""Sally"", ""Cat""}, {""H1"", ""H2"", ""A1""}, ""A"" )", "→", "¶")), _xlpm.Help?, OR(_xlfn.ISOMITTED(_xlpm.ArrayToFilter), _xlfn.ISOMITTED(_xlpm.FilterByArray), _xlfn.ISOMITTED(_xlpm.FilterByText)), _xlpm.IgnoreCase?, IF(ISLOGICAL(_xlpm.IgnoreCase?), _xlpm.IgnoreCase?, TRUE), _xlpm.Matches, IF(_xlpm.IgnoreCase?, SEARCH(_xlpm.FilterByText, _xlpm.FilterByArray), FIND(_xlpm.FilterByText, _xlpm.FilterByArray)), _xlpm.Result, _xlfn._xlws.FILTER(_xlpm.ArrayToFilter, ISNUMBER(_xlpm.Matches)), CHOOSE(_xlpm.Help? + 1, _xlpm.Result, _xlpm.Help)))</definedName>
    <definedName name="MW.IntOnIntλ" comment="Calculate Interest on Interest. Use to determine amount needed to cover debt plus interest on debt">_xlfn.LAMBDA(_xlop.Principal,_xlop.Rate, _xlfn.LET(_xlpm.Help, TRIM(_xlfn.TEXTSPLIT("FUNCTION:      →IntOnIntλ( Principal, Rate)¶" &amp; "DESCRIPTION:   →Calculate Interest on Interest (Interest only). Use to determine amount ¶" &amp; "→needed to cover borrowed interest¶" &amp; "WEBSITE:       →&lt;Coming soon&gt;¶" &amp; "VERSION:       →Dec 29 2023¶" &amp; "PARAMETERS:    →¶" &amp; "Principal     →(Required) Principal amount¶" &amp; "Rate          →(Required) Interest percentage rate. For years, APR. For months, APR/12¶" &amp; "EXAMPLES:      →¶" &amp; "Result         →Formula (BXF is assumed to be the module's name)¶" &amp; "52.63          →=BXF.IntOnIntλ( 1000, 5%)", "→", "¶")), _xlpm.Help?, OR(_xlfn.ISOMITTED(_xlpm.Principal), _xlfn.ISOMITTED(_xlpm.Rate)), _xlpm.Result, _xlpm.Principal / (1 - _xlpm.Rate) - _xlpm.Principal, CHOOSE(_xlpm.Help? + 1, _xlpm.Result, _xlpm.Help)))</definedName>
    <definedName name="MW.IRRλ" comment="Calculates IRR, correcting for when the first investment is not in the first period">_xlfn.LAMBDA(_xlop.Values,_xlop.Dates, _xlfn.LET(_xlpm.Help, TRIM(_xlfn.TEXTSPLIT("FUNCTION:      →IRRλ( Values, Dates)¶" &amp; "DESCRIPTION:   →Calculates IRR, correcting for when the first investment is not in the first period¶" &amp; "WEBSITE:       →&lt;Coming soon&gt;¶" &amp; "VERSION:       →Dec 07 2023¶" &amp; "PARAMETERS:    →¶" &amp; "Values         →(Required) A row of investments (negative) and distributions (positive)¶" &amp; "→The first entry, whether 0 or an amount, must be for the first period in the timeline¶" &amp; "→and subsequent entries must correspond to periods in the timeline; however,¶" &amp; "→the timeline may extend beyond the end of values.¶" &amp; "Dates          →(Required) A timeline for when each investment is made¶" &amp; "→¶" &amp; "EXAMPLES:      →¶" &amp; "Result         →Formula (BXF is assumed to be the module's name)¶" &amp; "Dates          →=EDATE(""1/1/23"", SEQUENCE(,24, 0))¶" &amp; "Values         →={0,0,-150,0,-100,10,20,30,40,50,60,70}¶" &amp; "→¶" &amp; "Result         →Formula¶" &amp; "24%            →=BXF.IRRλ( Values, Dates)", "→", "¶")), _xlpm.Help?, OR(_xlfn.ISOMITTED(_xlpm.Values), _xlfn.ISOMITTED(_xlpm.Dates)), _xlpm.Values, _xlfn.EXPAND(_xlpm.Values, 1, COUNTA(_xlpm.Dates), 0), _xlpm.FilterBy, _xlpm.Values &lt;&gt; 0, _xlpm.FilteredValues, _xlfn._xlws.FILTER(_xlpm.Values, _xlpm.FilterBy), _xlpm.FilteredDates, _xlfn._xlws.FILTER(_xlpm.Dates, _xlpm.FilterBy), _xlpm.Result, XIRR(_xlpm.FilteredValues, _xlpm.FilteredDates), CHOOSE(_xlpm.Help? + 1, _xlpm.Result, _xlpm.Help)))</definedName>
    <definedName name="MW.LabelAmortizeλ" comment="Create labels for Amortizeλ">_xlfn.LAMBDA(_xlop.LoanNames, _xlfn.LET(_xlpm.Help, TRIM(_xlfn.TEXTSPLIT("FUNCTION:      →LabelAmortizeλ([LoanNames])¶" &amp; "DESCRIPTION:   →Create row labels for the amortization schedule array produced by Amortizeλ¶" &amp; "WEBPAGE:       →https://sites.google.com/site/beyondexcel/home/5g-modeling/5g-component-libraries/5g-amortize%CE%BB¶" &amp; "VERSION:       →Oct 24 2023¶" &amp; "PARAMETERS:    →¶" &amp; "LoanNames     →(Required) The names or descriptions of each loan in the amortization schedule produced by Amortizeλ¶" &amp; "EXAMPLES:      →¶" &amp; "Result         →Formula (BXF is assumed to be the module's name)¶" &amp; "→=BXF.LabelAmortizeλ(tblLoans[Loan Name])", "→", "¶")), _xlpm.Help?, _xlfn.ISOMITTED(_xlpm.LoanNames), _xlpm.Result, _xlfn.MAKEARRAY(ROWS(_xlpm.LoanNames) * 7 - 1, 1, _xlfn.LAMBDA(_xlpm.R,_xlpm.C, _xlfn.LET(_xlpm.LoanName, INDEX(_xlpm.LoanNames, QUOTIENT(_xlpm.R - 1, 7) + 1), _xlfn.SWITCH(MOD(_xlpm.R - 1, 7) + 1, 1, _xlpm.LoanName &amp; " Debt Issuance", 2, _xlpm.LoanName &amp; " Debt Balance", 3, _xlpm.LoanName &amp; " Interest", 4, _xlpm.LoanName &amp; " Debt Services", 5, _xlpm.LoanName &amp; " Closing Balance", 6, _xlpm.LoanName &amp; " Debt Repayment", 7, "")))), CHOOSE(_xlpm.Help? + 1, _xlpm.Result, _xlpm.Help)))</definedName>
    <definedName name="MW.LabelDepreciateλ" comment="Create labels for Depreciateλ">_xlfn.LAMBDA(_xlop.AssetNames, _xlfn.LET(_xlpm.Help, TRIM(_xlfn.TEXTSPLIT("FUNCTION:      →LabelDepreciateλ( AssetNames)¶" &amp; "DESCRIPTION:   →Create row labels for the depreciation schedule array produced by Depreciateλ¶" &amp; "WEBPAGE:       →https://sites.google.com/site/beyondexcel/home/5g-modeling/5g-component-libraries/5g-depreciate%CE%BB¶" &amp; "VERSION:       →Oct 24 2023¶" &amp; "PARAMETERS:    →¶" &amp; "AssetNames     →(Required) The names or descriptions of each asset in teh depreciation schedule produced by Depreciateλ¶" &amp; "EXAMPLES:      →¶" &amp; "Result         →Formula (BXF is assumed to be the module's name)¶" &amp; "→=BXF.LabelDepreciateλ(tblAssets[Asset Name])", "→", "¶")), _xlpm.Help?, _xlfn.ISOMITTED(_xlpm.AssetNames), _xlpm.Result, _xlfn.MAKEARRAY(ROWS(_xlpm.AssetNames) * 7 - 1, 1, _xlfn.LAMBDA(_xlpm.R,_xlpm.C, _xlfn.LET(_xlpm.AssetName, INDEX(_xlpm.AssetNames, QUOTIENT(_xlpm.R - 1, 7) + 1), _xlfn.SWITCH(MOD(_xlpm.R - 1, 7) + 1, 1, _xlpm.AssetName &amp; " CAPEX", 2, _xlpm.AssetName &amp; " Opening Value", 3, _xlpm.AssetName &amp; " Depreciation", 4, _xlpm.AssetName &amp; " Book Value", 5, _xlpm.AssetName &amp; " Revenue from Sale", 6, _xlpm.AssetName &amp; " Disposal Costs", 7, "")))), CHOOSE(_xlpm.Help? + 1, _xlpm.Result, _xlpm.Help)))</definedName>
    <definedName name="MW.MACRSλ" comment="Modified Accelerated Cost Recovery System depreciation method for one asset or asset class.">_xlfn.LAMBDA(_xlop.Cost,_xlop.Life, _xlfn.LET(_xlpm.Help, TRIM(_xlfn.TEXTSPLIT("FUNCTION:      →MACRSλ(Cost, Life)¶" &amp; "DESCRIPTION:   →Modified Accelerated Cost Recovery System depreciation method for one asset or asset class.¶" &amp; "WEBPAGE:       →&lt;coming soon&gt;¶" &amp; "VERSION:       →Apr 17 2024¶" &amp; "PARAMETERS:    →¶" &amp; "Cost           →(Required) Asset's initial cost.¶" &amp; "Life           →(Required) Asset's useful life in years.¶" &amp; "EXAMPLES:      →¶" &amp; "→Formula (BXF is assumed to be the module's name)¶" &amp; "→=BXF.MACRSλ(1000, 5)" &amp; "→Result¶" &amp; "→300.00,210.00,147.00,121.50,121.50", "→", "¶")), _xlpm.Help?, OR(_xlfn.ISOMITTED(_xlpm.Cost), _xlfn.ISOMITTED(_xlpm.Life)), _xlpm.Percentage, _xlfn.SWITCH(_xlpm.Life, 3, {33.33,44.45,14.81,7.41}, 5, {20,32,19.2,11.52,11.52,5.76}, 7, {14.29,24.49,17.49,12.49,8.93,8.92,8.93,4.46}, 10, {10,18,14.4,11.52,9.22,7.37,6.555,6.55,6.56,6.55,3.25}, 15, {5,9.5,8.55,7.7,6.93,6.23,5.9,5.9,5.91,5.9,5.91,5.9,5.91,5.9,5.91,2.95}, 20, {3.75,7.22,6.68,6.18,5.71,5.29,4.89,4.52,4.46,4.46,4.46,4.46,4.46,4.46,4.46,4.46,4.46,2.23}) / 100, _xlpm.Result, _xlpm.Cost * INDEX(_xlpm.Percentage, _xlfn.SEQUENCE(, _xlpm.Life + 1)), CHOOSE(_xlpm.Help? + 1, _xlpm.Result, _xlpm.Help)))</definedName>
    <definedName name="MW.Movementλ" comment="Create a row of differences from column to column">_xlfn.LAMBDA(_xlop.BeginningValues,_xlop.Values, _xlfn.LET(_xlpm.Help, TRIM(_xlfn.TEXTSPLIT("FUNCTION:      →Movementλ( [BeginningValue], Values)¶" &amp; "DESCRIPTION:   →Create a row of differences from column to column¶" &amp; "WEBPAGE:       →&lt;coming soon&gt;¶" &amp; "VERSION:       →Jun 21 2023¶" &amp; "PARAMETERS:    →¶" &amp; "BeginningValues→(Optional) Defaults to 0¶" &amp; "Values         →(Required) A row of values to compare column to column¶" &amp; "EXAMPLES:      →¶" &amp; "Result         →Formula (BXF is assumed to be the module's name)¶" &amp; "100,10,20,-30  →=BXF.Movementλ(,{100,110,130,100}, 4)", "→", "¶")), _xlpm.Help?, _xlfn.ISOMITTED(_xlpm.Values), _xlpm.BeginningValues, IF(OR(_xlfn.ISOMITTED(_xlpm.BeginningValues), _xlpm.BeginningValues = ""), 0, _xlpm.BeginningValues), _xlpm.Rows, ROWS(_xlpm.Values), _xlpm.Cols, COLUMNS(_xlpm.Values), _xlpm.Seq, _xlfn.SEQUENCE(, _xlpm.Cols), _xlpm.Result, _xlfn.REDUCE(0, _xlfn.SEQUENCE(_xlpm.Rows), _xlfn.LAMBDA(_xlpm.Acc,_xlpm.R, _xlfn.LET(_xlpm.Begin, IF(ROWS(_xlpm.BeginningValues) = 1, _xlpm.BeginningValues, INDEX(_xlpm.BeginningValues, _xlpm.R)), _xlpm.Row, _xlfn.CHOOSEROWS(_xlpm.Values, _xlpm.R), _xlpm.NewRow, _xlfn.SCAN(_xlpm.Begin, _xlpm.Seq, _xlfn.LAMBDA(_xlpm.A,_xlpm.C, INDEX(_xlpm.Row, _xlpm.C) - IF(_xlpm.C = 1, _xlpm.A, INDEX(_xlpm.Row, _xlpm.C - 1)))), _xlpm.Result, IF(_xlpm.R = 1, _xlpm.NewRow, _xlfn.VSTACK(_xlpm.Acc, _xlpm.NewRow)), _xlpm.Result))), CHOOSE(_xlpm.Help? + 1, _xlpm.Result, _xlpm.Help)))</definedName>
    <definedName name="MW.PeriodDiffλ" comment="Determine the number of periods between two dates.">_xlfn.LAMBDA(_xlop.StartDate,_xlop.EndDate,_xlop.Interval, _xlfn.LET(_xlpm.Help, TRIM(_xlfn.TEXTSPLIT("FUNCTION:      PeriodDiffλ(StartDate, EndDate, Interval)¶" &amp; "DESCRIPTION:   →Determine the number of periods between two dates.¶" &amp; "NOTES!         →This improves on, and corrects problems w/Excel's deprecated DATEDIF() function.¶" &amp; "WEBPAGE:       →&lt;coming soon&gt;¶" &amp; "VERSION:       →Apr 15 2024¶" &amp; "PARAMETERS:    →¶" &amp; "StartDate      →(Required) Start Date.¶" &amp; "EndDate        →(Required) End Date¶" &amp; "Interval       →(Required) W=Week, M=Month, Q=Quarter, Y=Year.¶" &amp; "EXAMPLES:      →¶" &amp; "Result         →Formula (BXF is assumed to be the module's name)¶" &amp; "1              →=BXF.PeriodDiffλ(""2024-01-01"", ""2024-04-15"", ""Q"")", "→", "¶")), _xlpm.Help?, OR(_xlfn.ISOMITTED(_xlpm.StartDate), _xlfn.ISOMITTED(_xlpm.EndDate), _xlfn.ISOMITTED(_xlpm.Interval)), _xlpm.MpP, _xlfn.SWITCH(_xlpm.Interval, "M", 1, "Q", 3, "Y", 12, 0), _xlpm.Months, DATEDIF(_xlpm.StartDate, _xlpm.EndDate, "M") + 1, _xlpm.Periods, INT(_xlpm.Months / _xlpm.MpP), _xlpm.PartialPeriod, N(MOD(_xlpm.Months, _xlpm.MpP) &gt; 0), _xlpm.EOMCorrection, N(AND(_xlpm.EndDate = EOMONTH(_xlpm.EndDate, 0), DAY(_xlpm.StartDate) &gt; DAY(_xlpm.EndDate))), _xlpm.Result, IF(_xlpm.Interval = "W", INT((_xlpm.EndDate - _xlpm.StartDate + 1) / 7), _xlpm.Periods + OR(_xlpm.PartialPeriod, _xlpm.EOMCorrection)), CHOOSE(_xlpm.Help? + 1, _xlpm.Result, _xlpm.Help)))</definedName>
    <definedName name="MW.PeriodStartλ" comment="Determine when the period containing a date of interest starts">_xlfn.LAMBDA(_xlop.AnyPeriodStart,_xlop.MonthsPerPeriod,_xlop.DateOfInterest, _xlfn.LET(_xlpm.Help, TRIM(_xlfn.TEXTSPLIT("FUNCTION:      →PeriodStartλ(AnyPeriodStart, MonthsPerPeriod, DateOfInterest)¶" &amp; "DESCRIPTION:   →Determine when the period containing a date of interest starts.¶" &amp; "WEBPAGE:       →&lt;coming soon&gt;¶" &amp; "VERSION:       →Apr 13 2024¶" &amp; "PARAMETERS:    →¶" &amp; "AnyPeriodStart →(Required) Any start date within a timeline.¶" &amp; "MonthsPerPeriod→(Required) Number of months in each period¶" &amp; "DateOfInterest →(Required) A date for which we want to know the start of the period containing it.¶" &amp; "EXAMPLES:      →¶" &amp; "Result         →Formula (BXF is assumed to be the module's name)¶" &amp; "2024-04-01     →=BXF.PeriodStartλ(""2024-01-01"", 3, ""2024-04-15"")", "→", "¶")), _xlpm.Help?, OR(_xlfn.ISOMITTED(_xlpm.AnyPeriodStart), _xlfn.ISOMITTED(_xlpm.MonthsPerPeriod), _xlfn.ISOMITTED(_xlpm.DateOfInterest)), _xlpm.MpY, 12, _xlpm.MpP, _xlpm.MonthsPerPeriod, _xlpm.DateDay, DAY(_xlpm.DateOfInterest), _xlpm.PeriodDay, DAY(_xlpm.AnyPeriodStart), _xlpm.DateMonth, MONTH(_xlpm.DateOfInterest), _xlpm.PeriodMonth, MONTH(_xlpm.AnyPeriodStart), _xlpm.MonthModDifference, MOD(_xlpm.DateMonth - _xlpm.PeriodMonth, _xlpm.MpP), _xlpm.NeedPriorPeriod?, AND(_xlpm.MonthModDifference = 0, _xlpm.DateDay &lt; _xlpm.PeriodDay) * -_xlpm.MpP, _xlpm.NewPeriodMonth, MOD(_xlpm.DateMonth - _xlpm.MonthModDifference + _xlpm.NeedPriorPeriod? - 1, _xlpm.MpY) + 1, _xlpm.YearCorrection, -((_xlpm.DateMonth * 100 + _xlpm.DateDay) &lt; (_xlpm.NewPeriodMonth * 100 + _xlpm.PeriodDay)), _xlpm.PeriodDate, DATE(YEAR(_xlpm.DateOfInterest) + _xlpm.YearCorrection, _xlpm.NewPeriodMonth, _xlpm.PeriodDay), _xlpm.LastDayOfMonthAdj, _xlpm.PeriodDate - (MONTH(_xlpm.PeriodDate) &lt;&gt; _xlpm.NewPeriodMonth), _xlpm.Result, _xlpm.LastDayOfMonthAdj, CHOOSE(_xlpm.Help? + 1, _xlpm.Result, _xlpm.Help)))</definedName>
    <definedName name="MW.RangeToDAλ" comment="Create a dynamic array from a static range">_xlfn.LAMBDA(_xlop.Cell,_xlop.Rows,_xlop.Columns, _xlfn.LET(_xlpm.Help, TRIM(_xlfn.TEXTSPLIT("FUNCTION:      →RangeToDAλ( Cell, [Rows], [Columns])¶" &amp; "DESCRIPTION:   →Create a dynamic array from a static range¶" &amp; "WEBPAGE:       →&lt;coming soon&gt;¶" &amp; "VERSION:       →Jan 15 2024¶" &amp; "PARAMETERS:    →¶" &amp; "Cell           →(Required) The upper left cell of a range to convert¶" &amp; "Rows           →(Optional) The number of rows for dynamic array. Defaults to 1.¶" &amp; "Columns        →(Optional) The number of columns for dynamic array. Defaults to 1.¶" &amp; "EXAMPLES:      →¶" &amp; "Result         →Formula (BXF is assumed to be the module's name)¶" &amp; "               →=BXF.RangeToDAλ( A1, , 12)", "→", "¶")), _xlpm.Help?, _xlfn.ISOMITTED(_xlpm.Cell), _xlpm.Rows, IF(_xlfn.ISOMITTED(_xlpm.Rows), 1, IF(_xlpm.Rows = 0, 1, _xlpm.Rows)), _xlpm.Columns, IF(_xlfn.ISOMITTED(_xlpm.Columns), 1, IF(_xlpm.Columns = 0, 1, _xlpm.Columns)), _xlpm.Result, OFFSET(_xlpm.Cell, 0, 0, _xlpm.Rows, _xlpm.Columns), CHOOSE(_xlpm.Help? + 1, _xlpm.Result, _xlpm.Help)))</definedName>
    <definedName name="MW.Reversalλ" comment="Create a row that reverses input values in the next period.">_xlfn.LAMBDA(_xlop.OpeningValue,_xlop.RowToReverse, _xlfn.LET(_xlpm.Help, TRIM(_xlfn.TEXTSPLIT("FUNCTION:      →Reversalλ( [OpeningValue], RowToReverse)¶" &amp; "DESCRIPTION:   →Create a row that reverses input values in the next period.¶" &amp; "WEBPAGE:       →&lt;coming soon&gt;¶" &amp; "VERSION:       →Mar 25 2024¶" &amp; "PARAMETERS:    →¶" &amp; "OpeningValue   →(Optional) Defaults to 0¶" &amp; "RowToReverse   →(Required) A row of values to reverse the following periods¶" &amp; "EXAMPLES:      →¶" &amp; "Result         →Formula (BXF is assumed to be the module's name)¶" &amp; "-100,-110,-130 →=BXF.Reversalλ( , {100,110,130})", "→", "¶")), _xlpm.Help?, _xlfn.ISOMITTED(_xlpm.RowToReverse), _xlpm.BeginningValue, IF(_xlfn.ISOMITTED(_xlpm.OpeningValue), 0, _xlpm.OpeningValue), _xlpm.Counter, _xlfn.SEQUENCE(, COLUMNS(_xlpm.RowToReverse)), _xlpm.Result, _xlfn.MAP(_xlpm.Counter, _xlfn.LAMBDA(_xlpm.Col, IF(_xlpm.Col = 1, -_xlpm.OpeningValue, -_xlfn.CHOOSECOLS(_xlpm.RowToReverse, _xlpm.Col - 1)))), CHOOSE(_xlpm.Help? + 1, _xlpm.Result, _xlpm.Help)))</definedName>
    <definedName name="MW.RollingAvgλ" comment="Creates Averages for preceeding values of a set size moving from beginning to end over a row of values.">_xlfn.LAMBDA(_xlop.Values,_xlop.Size, _xlfn.LET(_xlpm.Help, TRIM(_xlfn.TEXTSPLIT("FUNCTION:      →RollingAvgλ( Values, Size)¶" &amp; "DESCRIPTION:   →Creates averages for preceeding values of a set size moving¶" &amp; "→from beginning to end over a row of values¶" &amp; "WEBPAGE:       →&lt;coming soon&gt;¶" &amp; "VERSION:       →Jan 30 2024¶" &amp; "PARAMETERS:    →¶" &amp; "Values         →(Required) A row of values to be averaged.¶" &amp; "Size           →(Required) The number of values to average that ¶" &amp; "→include and preceed the current value¶" &amp; "EXAMPLES:      →¶" &amp; "Result         →Formula (BXF is assumed to be the module's name)¶" &amp; "1,3,6,9,12     →=BXF.RollingAvgλ(SEQUENCE(, 5), 3)", "→", "¶")), _xlpm.Help?, OR(_xlfn.ISOMITTED(_xlpm.Values), _xlfn.ISOMITTED(_xlpm.Size)), _xlpm.Counter, _xlfn.SEQUENCE(, COUNTA(_xlpm.Values)), _xlpm.Result, _xlfn.SCAN(0, _xlpm.Counter, _xlfn.LAMBDA(_xlpm.Acc,_xlpm.Val, _xlfn.LET(_xlpm.Start, IF((_xlpm.Val - _xlpm.Size) &lt; 1, 0, _xlpm.Val - _xlpm.Size), _xlpm.Right, _xlfn.TAKE(_xlpm.Values, , _xlpm.Val), _xlpm.Block, IF(_xlpm.Start &gt; 0, _xlfn.DROP(_xlpm.Right, , _xlpm.Start), _xlpm.Right), AVERAGE(_xlpm.Block)))), CHOOSE(_xlpm.Help? + 1, _xlpm.Result, _xlpm.Help)))</definedName>
    <definedName name="MW.RollingMaxλ" comment="Creates the maximum for preceeding values of a set size moving from beginning to end over a row of values.">_xlfn.LAMBDA(_xlop.Values,_xlop.Size, _xlfn.LET(_xlpm.Help, TRIM(_xlfn.TEXTSPLIT("FUNCTION:      →RollingMaxλ( Values, Size)¶" &amp; "DESCRIPTION:   →Creates the maximum for preceeding values of a set size moving from beginning to end over a row of values.¶" &amp; "→from beginning to end over a row of values¶" &amp; "WEBPAGE:       →&lt;coming soon&gt;¶" &amp; "VERSION:       →May 18 2024¶" &amp; "PARAMETERS:    →¶" &amp; "Values         →(Required) A row of values to be maxed.¶" &amp; "Size           →(Required) The number of values to find maximum that ¶" &amp; "→include and preceed the current value¶" &amp; "EXAMPLES:      →¶" &amp; "Result         →Formula (BXF is assumed to be the module's name)¶" &amp; "5,5,5,6,6,7    →=BXF.RollingMaxλ({5,3,4,6,3,7}, 3)", "→", "¶")), _xlpm.Help?, OR(_xlfn.ISOMITTED(_xlpm.Values), _xlfn.ISOMITTED(_xlpm.Size)), _xlpm.Counter, _xlfn.SEQUENCE(, COUNTA(_xlpm.Values)), _xlpm.Result, _xlfn.SCAN(0, _xlpm.Counter, _xlfn.LAMBDA(_xlpm.Acc,_xlpm.Val, _xlfn.LET(_xlpm.Start, IF((_xlpm.Val - _xlpm.Size) &lt; 1, 0, _xlpm.Val - _xlpm.Size), _xlpm.Right, _xlfn.TAKE(_xlpm.Values, , _xlpm.Val), _xlpm.Block, IF(_xlpm.Start &gt; 0, _xlfn.DROP(_xlpm.Right, , _xlpm.Start), _xlpm.Right), MAX(_xlpm.Block)))), CHOOSE(_xlpm.Help? + 1, _xlpm.Result, _xlpm.Help)))</definedName>
    <definedName name="MW.RollingMinλ" comment="Creates the Minimum for preceeding values of a set size moving from beginning to end over a row of values.">_xlfn.LAMBDA(_xlop.Values,_xlop.Size, _xlfn.LET(_xlpm.Help, TRIM(_xlfn.TEXTSPLIT("FUNCTION:      RollingMinλ( Values, Size)¶" &amp; "DESCRIPTION:   →Creates the minimum for preceeding values of a set size moving from beginning to end over a row of values.¶" &amp; "→from beginning to end over a row of values¶" &amp; "WEBPAGE:       →&lt;coming soon&gt;¶" &amp; "VERSION:       →May 18 2024¶" &amp; "PARAMETERS:    →¶" &amp; "Values         →(Required) A row of values to be minned.¶" &amp; "Size           →(Required) The number of values to find maximum that ¶" &amp; "→include and preceed the current value¶" &amp; "EXAMPLES:      →¶" &amp; "Result         →Formula (BXF is assumed to be the module's name)¶" &amp; "5,3,3,3,2,2    →=BXF.RollingMaxλ({5,3,4,6,2,7}, 3)", "→", "¶")), _xlpm.Help?, OR(_xlfn.ISOMITTED(_xlpm.Values), _xlfn.ISOMITTED(_xlpm.Size)), _xlpm.Counter, _xlfn.SEQUENCE(, COUNTA(_xlpm.Values)), _xlpm.Result, _xlfn.SCAN(0, _xlpm.Counter, _xlfn.LAMBDA(_xlpm.Acc,_xlpm.Val, _xlfn.LET(_xlpm.Start, IF((_xlpm.Val - _xlpm.Size) &lt; 1, 0, _xlpm.Val - _xlpm.Size), _xlpm.Right, _xlfn.TAKE(_xlpm.Values, , _xlpm.Val), _xlpm.Block, IF(_xlpm.Start &gt; 0, _xlfn.DROP(_xlpm.Right, , _xlpm.Start), _xlpm.Right), MIN(_xlpm.Block)))), CHOOSE(_xlpm.Help? + 1, _xlpm.Result, _xlpm.Help)))</definedName>
    <definedName name="MW.RollingSumλ" comment="Creates totals for preceeding values of a set size moving from beginning to end over a row of values.">_xlfn.LAMBDA(_xlop.Values,_xlop.Size, _xlfn.LET(_xlpm.Help, TRIM(_xlfn.TEXTSPLIT("FUNCTION:      →RollingSumλ( Values, Size)¶" &amp; "DESCRIPTION:   →Creates totals for preceeding values of a set size moving¶" &amp; "→from beginning to end over a row of values¶" &amp; "WEBPAGE:       →&lt;coming soon&gt;¶" &amp; "VERSION:       →Jan 30 2024¶" &amp; "PARAMETERS:    →¶" &amp; "Values         →(Required) A row of values to be totalled.¶" &amp; "Size           →(Required) The number of values to total that ¶" &amp; "→include and preceed the current value¶" &amp; "EXAMPLES:      →¶" &amp; "Result         →Formula (BXF is assumed to be the module's name)¶" &amp; "1,3,6,9,12     →=BXF.RollingMinλ(SEQUENCE(, 5), 3)", "→", "¶")), _xlpm.Help?, OR(_xlfn.ISOMITTED(_xlpm.Values), _xlfn.ISOMITTED(_xlpm.Size)), _xlpm.Counter, _xlfn.SEQUENCE(, COLUMNS(_xlpm.Values)), _xlpm.Result, _xlfn.SCAN(0, _xlpm.Counter, _xlfn.LAMBDA(_xlpm.Acc,_xlpm.Val, _xlfn.LET(_xlpm.Start, IF((_xlpm.Val - _xlpm.Size) &lt; 1, 0, _xlpm.Val - _xlpm.Size), _xlpm.Right, _xlfn.TAKE(_xlpm.Values, , _xlpm.Val), _xlpm.Block, IF(_xlpm.Start &gt; 0, _xlfn.DROP(_xlpm.Right, , _xlpm.Start), _xlpm.Right), SUM(_xlpm.Block)))), CHOOSE(_xlpm.Help? + 1, _xlpm.Result, _xlpm.Help)))</definedName>
    <definedName name="MW.SLNλ" comment="Straight Line depreciation method for one asset or asset class.">_xlfn.LAMBDA(_xlop.Cost,_xlop.Salvage,_xlop.Life, _xlfn.LET(_xlpm.Help, TRIM(_xlfn.TEXTSPLIT("FUNCTION:      →SLNλ(Cost, Salvage, Life)¶" &amp; "DESCRIPTION:   →Straight Line Depreciation Method for one asset or asset class.¶" &amp; "WEBPAGE:       →&lt;coming soon&gt;¶" &amp; "VERSION:       →Apr 17 2024¶" &amp; "PARAMETERS:    →¶" &amp; "Cost           →(Required) Asset's initial cost.¶" &amp; "Salvage        →(Required) Asset's value and end of life¶" &amp; "Life           →(Required) Asset's useful life in years.¶" &amp; "EXAMPLES:      →¶" &amp; "→Formula (BXF is assumed to be the module's name)¶" &amp; "→=BXF.SLNλ(1000, 100, 5)¶" &amp; "→Result¶" &amp; "→180,180,180,180,180", "→", "¶")), _xlpm.Help?, OR(_xlfn.ISOMITTED(_xlpm.Cost), _xlfn.ISOMITTED(_xlpm.Salvage), _xlfn.ISOMITTED(_xlpm.Life)), _xlpm.Depn, SLN(_xlpm.Cost, _xlpm.Salvage, _xlpm.Life), _xlpm.Result, _xlfn.EXPAND(_xlpm.Depn, 1, _xlpm.Life, _xlpm.Depn), CHOOSE(_xlpm.Help? + 1, _xlpm.Result, _xlpm.Help)))</definedName>
    <definedName name="MW.SumAmortizeλ" comment="Create row totals for Amortizeλ">_xlfn.LAMBDA(_xlop.AmoritizationSchedule, _xlfn.LET(_xlpm.Help, TRIM(_xlfn.TEXTSPLIT("FUNCTION:      →SumAmortizeλ(AmoritizationSchedule)¶" &amp; "DESCRIPTION:   →Create row totals for Amortizeλ¶" &amp; "WEBPAGE:       →https://sites.google.com/site/beyondexcel/home/5g-modeling/5g-component-libraries/5g-amortize%CE%BB¶" &amp; "VERSION:       →Dec 19 2023¶" &amp; "PARAMETERS:    →¶" &amp; "AmoritizationSchedule→(Required) An array produced by Amoritizeλ¶" &amp; "EXAMPLES:→¶" &amp; "Result         →Formula (BXF is assumed to be the module's name)¶" &amp; "→=BXF.SumAmoritizeλ(AmoritizationSchedule)", "→", "¶")), _xlpm.Help?, _xlfn.ISOMITTED(_xlpm.AmoritizationSchedule), _xlpm.Result, _xlfn.MAKEARRAY(ROWS(_xlpm.AmoritizationSchedule), 1, _xlfn.LAMBDA(_xlpm.R,_xlpm.C, _xlfn.SWITCH(MOD(_xlpm.R, 7), 3, SUM(_xlfn.CHOOSEROWS(_xlpm.AmoritizationSchedule, _xlpm.R)), 4, SUM(_xlfn.CHOOSEROWS(_xlpm.AmoritizationSchedule, _xlpm.R)), 6, SUM(_xlfn.CHOOSEROWS(_xlpm.AmoritizationSchedule, _xlpm.R)), 0))), CHOOSE(_xlpm.Help? + 1, _xlpm.Result, _xlpm.Help)))</definedName>
    <definedName name="MW.SumContainsλ" comment="→Creates a row of totals for each row in an array where _x000a_its labels contain a letter, word, or phrase">_xlfn.LAMBDA(_xlop.ValuesToFilter,_xlop.ValueLabels,_xlop.FilterByText,_xlop.IgnoreCase?, _xlfn.LET(_xlpm.Help, TRIM(_xlfn.TEXTSPLIT("FUNCTION:      →SumContainsλ(ValuesToFilter, ValueLabels, FilterByText, [IgnoreCase?])¶" &amp; "DESCRIPTION:   →Creates a row of column totals for each row in an array where¶" &amp; "→its labels contain a unique letter, word, or phrase.¶" &amp; "WEBPAGE:       →&lt;Coming soon&gt;¶" &amp; "VERSION:       →Jan 19 2024¶" &amp; "PARAMETERS:    →¶" &amp; "ValuesToFilter →(Required) An array of values to be filtered¶" &amp; "ValueLabels    →(Required) An array containing the values' labels¶" &amp; "FilterByText   →(Required) A unique letter, word or phrase to find contained in ValueLabels¶" &amp; "IgnoreCase?    →(Optional) A flag to determine if Text's case is important. Default is TRUE¶" &amp; "EXAMPLES:      →¶" &amp; "Result         →Formula (BXF is assumed to be the module's name)¶" &amp; "               →=BXF.SumContainsλ( Array, Labels, ""CAPEX"" )", "→", "¶")), _xlpm.Help?, OR(_xlfn.ISOMITTED(_xlpm.ValuesToFilter), _xlfn.ISOMITTED(_xlpm.ValueLabels), _xlfn.ISOMITTED(_xlpm.FilterByText)), _xlpm.IgnoreCase?, IF(ISLOGICAL(_xlpm.IgnoreCase?), _xlpm.IgnoreCase?, TRUE), _xlpm.Matches, IF(_xlpm.IgnoreCase?, SEARCH(_xlpm.FilterByText, _xlpm.ValueLabels), FIND(_xlpm.FilterByText, _xlpm.ValueLabels)), _xlpm.FilteredRows, _xlfn._xlws.FILTER(_xlpm.ValuesToFilter, ISNUMBER(_xlpm.Matches)), _xlpm.Result, _xlfn.BYCOL(_xlpm.FilteredRows, _xlfn.LAMBDA(_xlpm.Col, SUM(_xlpm.Col))), CHOOSE(_xlpm.Help? + 1, _xlpm.Result, _xlpm.Help)))</definedName>
    <definedName name="MW.SumDepreciateλ" comment="Create row totals for Depreciateλ">_xlfn.LAMBDA(_xlop.DepreciationSchedule, _xlfn.LET(_xlpm.Help, TRIM(_xlfn.TEXTSPLIT("FUNCTION:      →SumDepreciateλ(DepreciationSchedule)¶" &amp; "DESCRIPTION:   →Create row totals for Depreciateλ¶" &amp; "WEBPAGE:       →https://sites.google.com/site/beyondexcel/home/5g-modeling/5g-component-libraries/5g-depreciate%CE%BB¶" &amp; "VERSION:       →Dec 21 2023¶" &amp; "PARAMETERS:    →¶" &amp; "DepreciationSchedule→(Required) An array produced by Depreciateλ¶" &amp; "EXAMPLES:      →¶" &amp; "Result         →Formula (BXF is assumed to be the module's name)¶" &amp; "→=BXF.SumDepreciateλ(DepreciationSchedule)", "→", "¶")), _xlpm.Help?, _xlfn.ISOMITTED(_xlpm.DepreciationSchedule), _xlpm.Result, _xlfn.MAKEARRAY(ROWS(_xlpm.DepreciationSchedule), 1, _xlfn.LAMBDA(_xlpm.R,_xlpm.C, _xlfn.SWITCH(MOD(_xlpm.R, 7), 1, SUM(_xlfn.CHOOSEROWS(_xlpm.DepreciationSchedule, _xlpm.R)), 3, SUM(_xlfn.CHOOSEROWS(_xlpm.DepreciationSchedule, _xlpm.R)), 5, SUM(_xlfn.CHOOSEROWS(_xlpm.DepreciationSchedule, _xlpm.R)), 6, SUM(_xlfn.CHOOSEROWS(_xlpm.DepreciationSchedule, _xlpm.R)), 0))), CHOOSE(_xlpm.Help? + 1, _xlpm.Result, _xlpm.Help)))</definedName>
    <definedName name="MW.SumPeriodsλ" comment="Groups and totals all columns in a Values array by period resulting in one column for each period">_xlfn.LAMBDA(_xlop.Values,_xlop.Dates,_xlop.PeriodStarts, _xlfn.LET(_xlpm.Help, TRIM(_xlfn.TEXTSPLIT("FUNCTION:      →SumPeriodsλ( Values, Dates, PeriodStarts)¶" &amp; "DESCRIPTION:   →Summarizes values where each value column is for one day ¶" &amp; "→into one column for each period. ¶" &amp; "VERSION:       →Apr 10 2023¶" &amp; "WEBPAGE:       →&lt;coming soon&gt;¶" &amp; "PARAMETERS:→¶" &amp; "Values         →(Required) A two dimensional array/range containing values to be summed where" &amp; "each column is for a specific day¶" &amp; "Dates          →(Required) A row of dates providing the date for each Values column¶" &amp; "PeriodStarts   →(Required) A row of period start dates¶" &amp; "EXAMPLES:      →¶" &amp; "Result         →Formula (BXF is assumed to be the module's name)¶" &amp; "03, 07         →=BXF.SumPeriodsλ({1,2,3,4;4,3,2,1;10,20,30,40}, {1,2,3,4}, {1,3})¶" &amp; "07, 03         →¶" &amp; "30, 70         →", "→", "¶")), _xlpm.Help?, OR(_xlfn.ISOMITTED(_xlpm.Values), _xlfn.ISOMITTED(_xlpm.Dates), _xlfn.ISOMITTED(_xlpm.PeriodStarts)), _xlpm.PrdNum, MATCH(_xlpm.Dates, _xlpm.PeriodStarts, 1), _xlpm.Result, _xlfn.MAKEARRAY(ROWS(_xlpm.Values), COLUMNS(_xlpm.PeriodStarts), _xlfn.LAMBDA(_xlpm.Row,_xlpm.Col, SUM(INDEX(_xlpm.Values, _xlpm.Row, ) * (_xlpm.Col = _xlpm.PrdNum)))), CHOOSE(_xlpm.Help? + 1, _xlpm.Result, _xlpm.Help)))</definedName>
    <definedName name="MW.SYDλ" comment="Sum-of-years' digits depreciation method for one asset or asset class.">_xlfn.LAMBDA(_xlop.Cost,_xlop.Salvage,_xlop.Life, _xlfn.LET(_xlpm.Help, TRIM(_xlfn.TEXTSPLIT("FUNCTION:      →SYDλ(Cost, Salvage, Life)¶" &amp; "DESCRIPTION:   →Sum-of-years' digits depreciation method for one asset or asset class.¶" &amp; "WEBPAGE:       →&lt;coming soon&gt;¶" &amp; "VERSION:       →Apr 17 2024¶" &amp; "PARAMETERS:    →¶" &amp; "Cost           →(Required) Asset's initial cost.¶" &amp; "Salvage        →(Required) Asset's value and end of life¶" &amp; "Life           →(Required) Asset's useful life in years.¶" &amp; "EXAMPLES:      →¶" &amp; "→Formula (BXF is assumed to be the module's name)¶" &amp; "→=BXF.SYDλ(1000, 100, 5)¶" &amp; "→Result¶" &amp; "→300,240,180,120,60", "→", "¶")), _xlpm.Help?, OR(_xlfn.ISOMITTED(_xlpm.Cost), _xlfn.ISOMITTED(_xlpm.Salvage), _xlfn.ISOMITTED(_xlpm.Life)), _xlpm.Result, SYD(_xlpm.Cost, _xlpm.Salvage, _xlpm.Life, _xlfn.SEQUENCE(, _xlpm.Life)), CHOOSE(_xlpm.Help? + 1, _xlpm.Result, _xlpm.Help)))</definedName>
    <definedName name="MW.TimelineOffsetλ" comment="Determines how many periods one array is offset from the timeline">_xlfn.LAMBDA(_xlop.Date,_xlop.Timeline, _xlfn.LET(_xlpm.Help, TRIM(_xlfn.TEXTSPLIT("FUNCTION:      →TimelineOffsetλ(ArrayStart, Timeline)¶" &amp; "DESCRIPTION:   →Determines in which period, relative to the timeline's start and interval,¶" &amp; "→a date falls within.¶" &amp; "WEBPAGE:       →&lt;coming soon&gt;¶" &amp; "VERSION:       →Dec 12 2023¶" &amp; "PARAMETERS:    →¶" &amp; "Date           →(Required) A starting date¶" &amp; "Timeline       →(Required) A model's timline (Row of period start dates)¶" &amp; "EXAMPLES:      →¶" &amp; "Result         →Formula (BXF is assumed to be the module's name)¶" &amp; "→=BXF.TimelineOffsetλ(""2/15/2022"", EDATE(""1/1/2023"", SEQUENCE( , 12, 0)", "→", "¶")), _xlpm.Help?, OR(_xlfn.ISOMITTED(_xlpm.Date), _xlfn.ISOMITTED(_xlpm.Timeline)), _xlpm.Date, _xlfn.SINGLE(IF(ISTEXT(_xlpm.Date), DATEVALUE(_xlpm.Date), _xlpm.Date)), _xlpm.Period1, INDEX(_xlpm.Timeline, 1), _xlpm.Period2, INDEX(_xlpm.Timeline, 2), _xlpm.MpP, ROUND((_xlpm.Period2 - _xlpm.Period1) / 30.5, 0), _xlpm.Direction, IF(_xlpm.Date &lt; _xlpm.Period1, -1, 1), _xlpm.MonthDiff, _xlfn.SINGLE(DATEDIF(MIN(_xlpm.Period1, _xlpm.Date), MAX(_xlpm.Period1, _xlpm.Date), "M")), _xlpm.PeriodDiff, QUOTIENT(_xlpm.MonthDiff, _xlpm.MpP), _xlpm.PeriodSeq, _xlfn.SEQUENCE(1, _xlpm.PeriodDiff + 2, IF(_xlpm.Direction = 1, 0, -(_xlpm.PeriodDiff + 1))), _xlpm.SearchTimeline, EDATE(_xlpm.Period1, _xlpm.PeriodSeq * _xlpm.MpP), _xlpm.Result, MATCH(_xlpm.Date, _xlpm.SearchTimeline, 1) - IF(_xlpm.Direction = 1, 1, _xlpm.PeriodDiff + 2), CHOOSE(_xlpm.Help? + 1, _xlpm.Result, _xlpm.Help)))</definedName>
    <definedName name="MW.TimelinePositionλ" comment="Crops an array based on a model's timeline">_xlfn.LAMBDA(_xlop.Array,_xlop.Timeline,_xlop.Offset, _xlfn.LET(_xlpm.Help, TRIM(_xlfn.TEXTSPLIT("FUNCTION:      →TimelinePositionλ(Array, Timeline, Offset)¶" &amp; "DESCRIPTION:   →Position an array relative to the model's timeline¶" &amp; "WEBPAGE:       →&lt;coming soon&gt;¶" &amp; "VERSION:       →Dec 12 2023¶" &amp; "PARAMETERS:    →¶" &amp; "Array          →(Required) The array to be positioned relative to a model's timeline¶" &amp; "Timeline       →(Required) A model's timline¶" &amp; "Offset         →(Required) The number of rows or columns to start placing the array within the timeline¶" &amp; "NOTES!         →¶" &amp; "→Timelines can be vertical or horizontal. Whichever way the timeline goes, the array must match.¶" &amp; "EXAMPLES:      →¶" &amp; "Result         →Formula (BXF is assumed to be the module's name)¶" &amp; "→=BXF.TimelinePositionλ(SEQUENCE(3,3), EDATE(""1/1/2023"", SEQUENCE( , 12, 0)), 12)", "→", "¶")), _xlpm.Help?, OR(_xlfn.ISOMITTED(_xlpm.Array), _xlfn.ISOMITTED(_xlpm.Timeline), _xlfn.ISOMITTED(_xlpm.Offset)), _xlpm.Offset, _xlfn.SINGLE(_xlpm.Offset), _xlpm.Rows, ROWS(_xlpm.Array), _xlpm.Cols, COLUMNS(_xlpm.Array), _xlpm.Result, IF(COLUMNS(_xlpm.Timeline) &gt; 1, _xlfn.MAKEARRAY(_xlpm.Rows, COLUMNS(_xlpm.Timeline), _xlfn.LAMBDA(_xlpm.R,_xlpm.C, IF(((_xlpm.C - _xlpm.Offset) &gt;= 1) * ((_xlpm.C - _xlpm.Offset) &lt;= _xlpm.Cols) = 1, INDEX(_xlpm.Array, _xlpm.R, _xlpm.C - _xlpm.Offset), 0))), _xlfn.MAKEARRAY(ROWS(_xlpm.Timeline), _xlpm.Cols, _xlfn.LAMBDA(_xlpm.R,_xlpm.C, IF(((_xlpm.R - _xlpm.Offset) &gt;= 1) * ((_xlpm.R - _xlpm.Offset) &lt;= _xlpm.Rows) = 1, INDEX(_xlpm.Array, _xlpm.R - _xlpm.Offset, _xlpm.C), 0)))), CHOOSE(_xlpm.Help? + 1, _xlpm.Result, _xlpm.Help)))</definedName>
    <definedName name="MW.VDBλ" comment="Variable declining balance depreciation method for one asset or asset class.">_xlfn.LAMBDA(_xlop.Cost,_xlop.Salvage,_xlop.Life,_xlop.Factor,_xlop.No_Switch, _xlfn.LET(_xlpm.Help, TRIM(_xlfn.TEXTSPLIT("FUNCTION:      →VDBλ(Cost, Salvage, Life, [Factor], [No_Switch])¶" &amp; "DESCRIPTION:   →Variable declining balance depreciation method for one asset or asset class.¶" &amp; "WEBPAGE:       →&lt;coming soon&gt;¶" &amp; "VERSION:       →Apr 17 2024¶" &amp; "PARAMETERS:    →¶" &amp; "Cost           →(Required) Asset's initial cost.¶" &amp; "Salvage        →(Required) Asset's value and end of life. Salvage cannot be 0.¶" &amp; "Life           →(Required) Asset's useful life in years.¶" &amp; "Factor         →(Optional Default=2) Rate at which the balance declines.¶" &amp; "No_Switch      →(Optional Default=FALSE) Switch to straight-line depreciation when¶" &amp; "→ depreciation is greater than the declining balance calculation.¶" &amp; "EXAMPLES:      →¶" &amp; "→Formula (BXF is assumed to be the module's name)¶" &amp; "→=BXF.VDBλ(1000, 100, 5, 1.5, TRUE)¶" &amp; "→Result¶" &amp; "→300.00,210.00,147.00,121.50,121.50", "→", "¶")), _xlpm.Help?, OR(_xlfn.ISOMITTED(_xlpm.Cost), _xlfn.ISOMITTED(_xlpm.Salvage), _xlfn.ISOMITTED(_xlpm.Life)), _xlpm.Factor, IF(_xlfn.ISOMITTED(_xlpm.Factor), 2, _xlpm.Factor), _xlpm.No_Switch, IF(_xlfn.ISOMITTED(_xlpm.No_Switch), FALSE, _xlpm.No_Switch), _xlpm.Result, VDB(_xlpm.Cost, _xlpm.Salvage, _xlpm.Life, _xlfn.SEQUENCE(, _xlpm.Life, 0), _xlfn.SEQUENCE(, _xlpm.Life), _xlpm.Factor), CHOOSE(_xlpm.Help? + 1, _xlpm.Result, _xlpm.Help)))</definedName>
    <definedName name="periods">Calculations!$F$9</definedName>
    <definedName name="_xlnm.Print_Area" localSheetId="0">Calculations!$A$1:$Y$49</definedName>
    <definedName name="_xlnm.Print_Area" localSheetId="1">CaseData!$A$51:$P$112</definedName>
    <definedName name="_xlnm.Print_Titles" localSheetId="0">Calculations!$1:$4</definedName>
    <definedName name="_xlnm.Print_Titles" localSheetId="4">Tmp!$1:$4</definedName>
    <definedName name="SeasonTicketPrice">CaseData!$E$3</definedName>
    <definedName name="soldPrice" localSheetId="3">'AltSolution (Daily Sales)'!$E$3</definedName>
    <definedName name="soldPrice">'CaseSolution (Original)'!$E$3</definedName>
    <definedName name="SpreadSTs">CaseData!$E$5</definedName>
    <definedName name="topic">"CFM Topic: " &amp; CaseData!$J$24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3" i="22" l="1" a="1"/>
  <c r="I73" i="22" a="1"/>
  <c r="F73" i="22" a="1"/>
  <c r="G73" i="22" a="1"/>
  <c r="J41" i="33" a="1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F8" i="33"/>
  <c r="F7" i="33"/>
  <c r="C9" i="22"/>
  <c r="C10" i="22"/>
  <c r="C11" i="22"/>
  <c r="C12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A2" i="33" a="1"/>
  <c r="A1" i="33" a="1"/>
  <c r="A2" i="32" a="1"/>
  <c r="A1" i="32" a="1"/>
  <c r="C9" i="31"/>
  <c r="E9" i="31"/>
  <c r="E126" i="31"/>
  <c r="C10" i="31"/>
  <c r="E10" i="31"/>
  <c r="E127" i="31"/>
  <c r="C11" i="31"/>
  <c r="E11" i="31"/>
  <c r="E128" i="31"/>
  <c r="C12" i="31"/>
  <c r="E12" i="31"/>
  <c r="E129" i="31"/>
  <c r="C13" i="31"/>
  <c r="E13" i="31"/>
  <c r="E130" i="31"/>
  <c r="C14" i="31"/>
  <c r="E14" i="31"/>
  <c r="E131" i="31"/>
  <c r="C15" i="31"/>
  <c r="E15" i="31"/>
  <c r="E132" i="31"/>
  <c r="C16" i="31"/>
  <c r="E16" i="31"/>
  <c r="E133" i="31"/>
  <c r="C17" i="31"/>
  <c r="E17" i="31"/>
  <c r="E134" i="31"/>
  <c r="C18" i="31"/>
  <c r="E18" i="31"/>
  <c r="E135" i="31"/>
  <c r="C19" i="31"/>
  <c r="E19" i="31"/>
  <c r="E136" i="31"/>
  <c r="C20" i="31"/>
  <c r="E20" i="31"/>
  <c r="E137" i="31"/>
  <c r="C21" i="31"/>
  <c r="E21" i="31"/>
  <c r="E138" i="31"/>
  <c r="C22" i="31"/>
  <c r="E22" i="31"/>
  <c r="E139" i="31"/>
  <c r="C23" i="31"/>
  <c r="E23" i="31"/>
  <c r="E140" i="31"/>
  <c r="C24" i="31"/>
  <c r="E24" i="31"/>
  <c r="E141" i="31"/>
  <c r="C25" i="31"/>
  <c r="E25" i="31"/>
  <c r="E142" i="31"/>
  <c r="C26" i="31"/>
  <c r="E26" i="31"/>
  <c r="E143" i="31"/>
  <c r="C27" i="31"/>
  <c r="E27" i="31"/>
  <c r="E144" i="31"/>
  <c r="C28" i="31"/>
  <c r="E28" i="31"/>
  <c r="E145" i="31"/>
  <c r="C29" i="31"/>
  <c r="E29" i="31"/>
  <c r="E146" i="31"/>
  <c r="C30" i="31"/>
  <c r="E30" i="31"/>
  <c r="E147" i="31"/>
  <c r="C31" i="31"/>
  <c r="E31" i="31"/>
  <c r="E148" i="31"/>
  <c r="C32" i="31"/>
  <c r="E32" i="31"/>
  <c r="E149" i="31"/>
  <c r="C33" i="31"/>
  <c r="E33" i="31"/>
  <c r="E150" i="31"/>
  <c r="C34" i="31"/>
  <c r="E34" i="31"/>
  <c r="E151" i="31"/>
  <c r="C35" i="31"/>
  <c r="E35" i="31"/>
  <c r="E152" i="31"/>
  <c r="C36" i="31"/>
  <c r="E36" i="31"/>
  <c r="E153" i="31"/>
  <c r="C37" i="31"/>
  <c r="E37" i="31"/>
  <c r="E154" i="31"/>
  <c r="C38" i="31"/>
  <c r="E38" i="31"/>
  <c r="E155" i="31"/>
  <c r="C8" i="31"/>
  <c r="E8" i="31"/>
  <c r="E125" i="31"/>
  <c r="D9" i="31"/>
  <c r="D126" i="31"/>
  <c r="D10" i="31"/>
  <c r="D127" i="31"/>
  <c r="D11" i="31"/>
  <c r="D128" i="31"/>
  <c r="D12" i="31"/>
  <c r="D129" i="31"/>
  <c r="D13" i="31"/>
  <c r="D130" i="31"/>
  <c r="D14" i="31"/>
  <c r="D131" i="31"/>
  <c r="D15" i="31"/>
  <c r="D132" i="31"/>
  <c r="D16" i="31"/>
  <c r="D133" i="31"/>
  <c r="D17" i="31"/>
  <c r="D134" i="31"/>
  <c r="D18" i="31"/>
  <c r="D135" i="31"/>
  <c r="D19" i="31"/>
  <c r="D136" i="31"/>
  <c r="D20" i="31"/>
  <c r="D137" i="31"/>
  <c r="D21" i="31"/>
  <c r="D138" i="31"/>
  <c r="D22" i="31"/>
  <c r="D139" i="31"/>
  <c r="D23" i="31"/>
  <c r="D140" i="31"/>
  <c r="D24" i="31"/>
  <c r="D141" i="31"/>
  <c r="D25" i="31"/>
  <c r="D142" i="31"/>
  <c r="D26" i="31"/>
  <c r="D143" i="31"/>
  <c r="D27" i="31"/>
  <c r="D144" i="31"/>
  <c r="D28" i="31"/>
  <c r="D145" i="31"/>
  <c r="D29" i="31"/>
  <c r="D146" i="31"/>
  <c r="D30" i="31"/>
  <c r="D147" i="31"/>
  <c r="D31" i="31"/>
  <c r="D148" i="31"/>
  <c r="D32" i="31"/>
  <c r="D149" i="31"/>
  <c r="D33" i="31"/>
  <c r="D150" i="31"/>
  <c r="D34" i="31"/>
  <c r="D151" i="31"/>
  <c r="D35" i="31"/>
  <c r="D152" i="31"/>
  <c r="D36" i="31"/>
  <c r="D153" i="31"/>
  <c r="D37" i="31"/>
  <c r="D154" i="31"/>
  <c r="D38" i="31"/>
  <c r="D155" i="31"/>
  <c r="D8" i="31"/>
  <c r="D125" i="31"/>
  <c r="Q205" i="31"/>
  <c r="R205" i="31"/>
  <c r="S205" i="31"/>
  <c r="T205" i="31"/>
  <c r="U205" i="31"/>
  <c r="V205" i="31"/>
  <c r="J203" i="31"/>
  <c r="J239" i="31"/>
  <c r="K203" i="31"/>
  <c r="L203" i="31"/>
  <c r="M203" i="31"/>
  <c r="N203" i="31"/>
  <c r="N231" i="31"/>
  <c r="O203" i="31"/>
  <c r="O244" i="31"/>
  <c r="I203" i="31"/>
  <c r="I245" i="31"/>
  <c r="J205" i="31"/>
  <c r="K205" i="31"/>
  <c r="L205" i="31"/>
  <c r="M205" i="31"/>
  <c r="N205" i="31"/>
  <c r="O205" i="31"/>
  <c r="AV205" i="31"/>
  <c r="AW205" i="31"/>
  <c r="AX205" i="31"/>
  <c r="AY205" i="31"/>
  <c r="AZ205" i="31"/>
  <c r="BA205" i="31"/>
  <c r="AO205" i="31"/>
  <c r="AE205" i="31"/>
  <c r="AF205" i="31"/>
  <c r="AG205" i="31"/>
  <c r="AH205" i="31"/>
  <c r="AI205" i="31"/>
  <c r="AJ205" i="31"/>
  <c r="B316" i="31"/>
  <c r="B315" i="31"/>
  <c r="B314" i="31"/>
  <c r="B313" i="31"/>
  <c r="B312" i="31"/>
  <c r="B311" i="31"/>
  <c r="B310" i="31"/>
  <c r="B309" i="31"/>
  <c r="B308" i="31"/>
  <c r="B307" i="31"/>
  <c r="B306" i="31"/>
  <c r="B305" i="31"/>
  <c r="G304" i="31"/>
  <c r="F304" i="31"/>
  <c r="B304" i="31"/>
  <c r="G250" i="31"/>
  <c r="F250" i="31"/>
  <c r="B250" i="31"/>
  <c r="C245" i="31"/>
  <c r="D245" i="31"/>
  <c r="B245" i="31"/>
  <c r="C244" i="31"/>
  <c r="B244" i="31"/>
  <c r="C243" i="31"/>
  <c r="E243" i="31"/>
  <c r="B243" i="31"/>
  <c r="C242" i="31"/>
  <c r="B242" i="31"/>
  <c r="C241" i="31"/>
  <c r="B241" i="31"/>
  <c r="AN241" i="31"/>
  <c r="C240" i="31"/>
  <c r="B240" i="31"/>
  <c r="AN240" i="31"/>
  <c r="C239" i="31"/>
  <c r="D239" i="31"/>
  <c r="B239" i="31"/>
  <c r="C238" i="31"/>
  <c r="B238" i="31"/>
  <c r="C237" i="31"/>
  <c r="B237" i="31"/>
  <c r="C236" i="31"/>
  <c r="D236" i="31"/>
  <c r="B236" i="31"/>
  <c r="C235" i="31"/>
  <c r="D235" i="31"/>
  <c r="B235" i="31"/>
  <c r="C234" i="31"/>
  <c r="B234" i="31"/>
  <c r="C233" i="31"/>
  <c r="E233" i="31"/>
  <c r="B233" i="31"/>
  <c r="C232" i="31"/>
  <c r="E232" i="31"/>
  <c r="B232" i="31"/>
  <c r="C231" i="31"/>
  <c r="D231" i="31"/>
  <c r="B231" i="31"/>
  <c r="AN231" i="31"/>
  <c r="C230" i="31"/>
  <c r="E230" i="31"/>
  <c r="B230" i="31"/>
  <c r="AN230" i="31"/>
  <c r="C229" i="31"/>
  <c r="D229" i="31"/>
  <c r="B229" i="31"/>
  <c r="AN229" i="31"/>
  <c r="C228" i="31"/>
  <c r="E228" i="31"/>
  <c r="B228" i="31"/>
  <c r="C227" i="31"/>
  <c r="B227" i="31"/>
  <c r="C226" i="31"/>
  <c r="D226" i="31"/>
  <c r="B226" i="31"/>
  <c r="AN226" i="31"/>
  <c r="C225" i="31"/>
  <c r="B225" i="31"/>
  <c r="C224" i="31"/>
  <c r="B224" i="31"/>
  <c r="AN224" i="31"/>
  <c r="C223" i="31"/>
  <c r="B223" i="31"/>
  <c r="C222" i="31"/>
  <c r="B222" i="31"/>
  <c r="C221" i="31"/>
  <c r="D221" i="31"/>
  <c r="B221" i="31"/>
  <c r="AN221" i="31"/>
  <c r="C220" i="31"/>
  <c r="D220" i="31"/>
  <c r="B220" i="31"/>
  <c r="C219" i="31"/>
  <c r="D219" i="31"/>
  <c r="B219" i="31"/>
  <c r="AN219" i="31"/>
  <c r="C218" i="31"/>
  <c r="E218" i="31"/>
  <c r="B218" i="31"/>
  <c r="C217" i="31"/>
  <c r="E217" i="31"/>
  <c r="B217" i="31"/>
  <c r="C216" i="31"/>
  <c r="B216" i="31"/>
  <c r="C215" i="31"/>
  <c r="B215" i="31"/>
  <c r="AN215" i="31"/>
  <c r="C214" i="31"/>
  <c r="D214" i="31"/>
  <c r="B214" i="31"/>
  <c r="C213" i="31"/>
  <c r="B213" i="31"/>
  <c r="C212" i="31"/>
  <c r="D212" i="31"/>
  <c r="B212" i="31"/>
  <c r="C211" i="31"/>
  <c r="D211" i="31"/>
  <c r="B211" i="31"/>
  <c r="C210" i="31"/>
  <c r="D210" i="31"/>
  <c r="B210" i="31"/>
  <c r="C209" i="31"/>
  <c r="B209" i="31"/>
  <c r="AN209" i="31"/>
  <c r="C208" i="31"/>
  <c r="D208" i="31"/>
  <c r="B208" i="31"/>
  <c r="C207" i="31"/>
  <c r="E207" i="31"/>
  <c r="B207" i="31"/>
  <c r="C206" i="31"/>
  <c r="D206" i="31"/>
  <c r="B206" i="31"/>
  <c r="X205" i="31"/>
  <c r="Y205" i="31"/>
  <c r="Z205" i="31"/>
  <c r="AA205" i="31"/>
  <c r="AB205" i="31"/>
  <c r="AC205" i="31"/>
  <c r="AC203" i="31"/>
  <c r="AB203" i="31"/>
  <c r="AA203" i="31"/>
  <c r="Z203" i="31"/>
  <c r="Y203" i="31"/>
  <c r="X203" i="31"/>
  <c r="W203" i="31"/>
  <c r="C203" i="31"/>
  <c r="C201" i="31"/>
  <c r="B195" i="31"/>
  <c r="B194" i="31"/>
  <c r="C194" i="31"/>
  <c r="B193" i="31"/>
  <c r="B192" i="31"/>
  <c r="B191" i="31"/>
  <c r="B190" i="31"/>
  <c r="C190" i="31"/>
  <c r="B189" i="31"/>
  <c r="C189" i="31"/>
  <c r="B188" i="31"/>
  <c r="C188" i="31"/>
  <c r="B187" i="31"/>
  <c r="B186" i="31"/>
  <c r="B185" i="31"/>
  <c r="C185" i="31"/>
  <c r="B184" i="31"/>
  <c r="C184" i="31"/>
  <c r="B183" i="31"/>
  <c r="B155" i="31"/>
  <c r="H155" i="31"/>
  <c r="B154" i="31"/>
  <c r="H154" i="31"/>
  <c r="B153" i="31"/>
  <c r="H153" i="31"/>
  <c r="B152" i="31"/>
  <c r="B151" i="31"/>
  <c r="O151" i="31"/>
  <c r="B150" i="31"/>
  <c r="B149" i="31"/>
  <c r="B148" i="31"/>
  <c r="O148" i="31"/>
  <c r="B147" i="31"/>
  <c r="O147" i="31"/>
  <c r="B146" i="31"/>
  <c r="B145" i="31"/>
  <c r="H145" i="31"/>
  <c r="B144" i="31"/>
  <c r="B143" i="31"/>
  <c r="H143" i="31"/>
  <c r="B142" i="31"/>
  <c r="O142" i="31"/>
  <c r="B141" i="31"/>
  <c r="O141" i="31"/>
  <c r="B140" i="31"/>
  <c r="B139" i="31"/>
  <c r="H139" i="31"/>
  <c r="B138" i="31"/>
  <c r="B137" i="31"/>
  <c r="B136" i="31"/>
  <c r="B135" i="31"/>
  <c r="H135" i="31"/>
  <c r="B134" i="31"/>
  <c r="H134" i="31"/>
  <c r="B133" i="31"/>
  <c r="H133" i="31"/>
  <c r="B132" i="31"/>
  <c r="B131" i="31"/>
  <c r="B130" i="31"/>
  <c r="B129" i="31"/>
  <c r="B128" i="31"/>
  <c r="H128" i="31"/>
  <c r="B127" i="31"/>
  <c r="H127" i="31"/>
  <c r="B126" i="31"/>
  <c r="B125" i="31"/>
  <c r="D120" i="31"/>
  <c r="B114" i="31"/>
  <c r="B113" i="31"/>
  <c r="B112" i="31"/>
  <c r="B111" i="31"/>
  <c r="B110" i="31"/>
  <c r="B109" i="31"/>
  <c r="B108" i="31"/>
  <c r="B107" i="31"/>
  <c r="B106" i="31"/>
  <c r="B10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J55" i="31"/>
  <c r="H55" i="31"/>
  <c r="G55" i="31"/>
  <c r="D55" i="31"/>
  <c r="I48" i="31"/>
  <c r="D119" i="31"/>
  <c r="F39" i="31"/>
  <c r="C154" i="31"/>
  <c r="N154" i="31"/>
  <c r="C147" i="31"/>
  <c r="N147" i="31"/>
  <c r="C146" i="31"/>
  <c r="N146" i="31"/>
  <c r="C144" i="31"/>
  <c r="N144" i="31"/>
  <c r="C143" i="31"/>
  <c r="N143" i="31"/>
  <c r="C141" i="31"/>
  <c r="N141" i="31"/>
  <c r="C140" i="31"/>
  <c r="N140" i="31"/>
  <c r="C134" i="31"/>
  <c r="N134" i="31"/>
  <c r="L15" i="31"/>
  <c r="C132" i="31"/>
  <c r="N132" i="31"/>
  <c r="C130" i="31"/>
  <c r="N130" i="31"/>
  <c r="C128" i="31"/>
  <c r="N128" i="31"/>
  <c r="C127" i="31"/>
  <c r="N127" i="31"/>
  <c r="C126" i="31"/>
  <c r="N126" i="31"/>
  <c r="C125" i="31"/>
  <c r="N125" i="31"/>
  <c r="O238" i="31"/>
  <c r="K212" i="31"/>
  <c r="M212" i="31"/>
  <c r="L212" i="31"/>
  <c r="N238" i="31"/>
  <c r="M238" i="31"/>
  <c r="L238" i="31"/>
  <c r="K238" i="31"/>
  <c r="N235" i="31"/>
  <c r="M235" i="31"/>
  <c r="O245" i="31"/>
  <c r="L235" i="31"/>
  <c r="N245" i="31"/>
  <c r="K235" i="31"/>
  <c r="L245" i="31"/>
  <c r="N234" i="31"/>
  <c r="K245" i="31"/>
  <c r="M232" i="31"/>
  <c r="N244" i="31"/>
  <c r="O235" i="31"/>
  <c r="O234" i="31"/>
  <c r="M244" i="31"/>
  <c r="M231" i="31"/>
  <c r="M245" i="31"/>
  <c r="M242" i="31"/>
  <c r="L231" i="31"/>
  <c r="L232" i="31"/>
  <c r="L242" i="31"/>
  <c r="K242" i="31"/>
  <c r="J236" i="31"/>
  <c r="J233" i="31"/>
  <c r="J243" i="31"/>
  <c r="J237" i="31"/>
  <c r="J234" i="31"/>
  <c r="J244" i="31"/>
  <c r="J231" i="31"/>
  <c r="J241" i="31"/>
  <c r="J230" i="31"/>
  <c r="J240" i="31"/>
  <c r="J245" i="31"/>
  <c r="J212" i="31"/>
  <c r="J235" i="31"/>
  <c r="I233" i="31"/>
  <c r="I234" i="31"/>
  <c r="I235" i="31"/>
  <c r="I239" i="31"/>
  <c r="I240" i="31"/>
  <c r="I241" i="31"/>
  <c r="I243" i="31"/>
  <c r="I236" i="31"/>
  <c r="I237" i="31"/>
  <c r="I238" i="31"/>
  <c r="I242" i="31"/>
  <c r="I244" i="31"/>
  <c r="O212" i="31"/>
  <c r="O232" i="31"/>
  <c r="O242" i="31"/>
  <c r="O233" i="31"/>
  <c r="O243" i="31"/>
  <c r="O237" i="31"/>
  <c r="O239" i="31"/>
  <c r="O236" i="31"/>
  <c r="O230" i="31"/>
  <c r="O240" i="31"/>
  <c r="O241" i="31"/>
  <c r="J238" i="31"/>
  <c r="N212" i="31"/>
  <c r="N232" i="31"/>
  <c r="N242" i="31"/>
  <c r="N239" i="31"/>
  <c r="N243" i="31"/>
  <c r="N230" i="31"/>
  <c r="N237" i="31"/>
  <c r="N236" i="31"/>
  <c r="N233" i="31"/>
  <c r="N240" i="31"/>
  <c r="N241" i="31"/>
  <c r="J242" i="31"/>
  <c r="M239" i="31"/>
  <c r="M230" i="31"/>
  <c r="M240" i="31"/>
  <c r="M236" i="31"/>
  <c r="M233" i="31"/>
  <c r="M243" i="31"/>
  <c r="M237" i="31"/>
  <c r="M234" i="31"/>
  <c r="M241" i="31"/>
  <c r="K232" i="31"/>
  <c r="L239" i="31"/>
  <c r="L236" i="31"/>
  <c r="L237" i="31"/>
  <c r="L234" i="31"/>
  <c r="L244" i="31"/>
  <c r="L233" i="31"/>
  <c r="L243" i="31"/>
  <c r="L230" i="31"/>
  <c r="L240" i="31"/>
  <c r="L241" i="31"/>
  <c r="J232" i="31"/>
  <c r="K236" i="31"/>
  <c r="K237" i="31"/>
  <c r="K244" i="31"/>
  <c r="K231" i="31"/>
  <c r="K241" i="31"/>
  <c r="K233" i="31"/>
  <c r="K243" i="31"/>
  <c r="K230" i="31"/>
  <c r="K240" i="31"/>
  <c r="K234" i="31"/>
  <c r="K239" i="31"/>
  <c r="O231" i="31"/>
  <c r="I232" i="31"/>
  <c r="I212" i="31"/>
  <c r="I231" i="31"/>
  <c r="I230" i="31"/>
  <c r="AO225" i="31"/>
  <c r="AO235" i="31"/>
  <c r="AO224" i="31"/>
  <c r="H304" i="31"/>
  <c r="C136" i="31"/>
  <c r="N136" i="31"/>
  <c r="AO206" i="31"/>
  <c r="AO210" i="31"/>
  <c r="AO220" i="31"/>
  <c r="O133" i="31"/>
  <c r="AC220" i="31"/>
  <c r="AO211" i="31"/>
  <c r="C151" i="31"/>
  <c r="N151" i="31"/>
  <c r="AC231" i="31"/>
  <c r="AO214" i="31"/>
  <c r="AO234" i="31"/>
  <c r="AO244" i="31"/>
  <c r="E231" i="31"/>
  <c r="X212" i="31"/>
  <c r="C138" i="31"/>
  <c r="N138" i="31"/>
  <c r="Z229" i="31"/>
  <c r="AN220" i="31"/>
  <c r="C152" i="31"/>
  <c r="N152" i="31"/>
  <c r="AO226" i="31"/>
  <c r="O139" i="31"/>
  <c r="E210" i="31"/>
  <c r="AO209" i="31"/>
  <c r="AN210" i="31"/>
  <c r="AN225" i="31"/>
  <c r="H142" i="31"/>
  <c r="I142" i="31"/>
  <c r="AN206" i="31"/>
  <c r="AO230" i="31"/>
  <c r="AN211" i="31"/>
  <c r="AN234" i="31"/>
  <c r="AA211" i="31"/>
  <c r="E212" i="31"/>
  <c r="E221" i="31"/>
  <c r="AN214" i="31"/>
  <c r="AN235" i="31"/>
  <c r="O153" i="31"/>
  <c r="E226" i="31"/>
  <c r="AO218" i="31"/>
  <c r="O154" i="31"/>
  <c r="O143" i="31"/>
  <c r="AO229" i="31"/>
  <c r="AO219" i="31"/>
  <c r="AN244" i="31"/>
  <c r="E214" i="31"/>
  <c r="AO233" i="31"/>
  <c r="AO243" i="31"/>
  <c r="F174" i="31"/>
  <c r="F167" i="31"/>
  <c r="F165" i="31"/>
  <c r="F163" i="31"/>
  <c r="F166" i="31"/>
  <c r="F162" i="31"/>
  <c r="F160" i="31"/>
  <c r="F157" i="31"/>
  <c r="F173" i="31"/>
  <c r="AO216" i="31"/>
  <c r="AN216" i="31"/>
  <c r="F168" i="31"/>
  <c r="H137" i="31"/>
  <c r="I137" i="31"/>
  <c r="O137" i="31"/>
  <c r="C129" i="31"/>
  <c r="N129" i="31"/>
  <c r="O149" i="31"/>
  <c r="H149" i="31"/>
  <c r="I149" i="31"/>
  <c r="O128" i="31"/>
  <c r="E245" i="31"/>
  <c r="Z220" i="31"/>
  <c r="E236" i="31"/>
  <c r="AO240" i="31"/>
  <c r="AO237" i="31"/>
  <c r="AN237" i="31"/>
  <c r="AO236" i="31"/>
  <c r="AO213" i="31"/>
  <c r="AN213" i="31"/>
  <c r="AO238" i="31"/>
  <c r="AN238" i="31"/>
  <c r="AN239" i="31"/>
  <c r="C131" i="31"/>
  <c r="N131" i="31"/>
  <c r="AO212" i="31"/>
  <c r="AN212" i="31"/>
  <c r="AO221" i="31"/>
  <c r="O134" i="31"/>
  <c r="O145" i="31"/>
  <c r="AO222" i="31"/>
  <c r="AN222" i="31"/>
  <c r="AO231" i="31"/>
  <c r="AP205" i="31"/>
  <c r="AP237" i="31"/>
  <c r="AO239" i="31"/>
  <c r="AN245" i="31"/>
  <c r="AO245" i="31"/>
  <c r="AO228" i="31"/>
  <c r="AN228" i="31"/>
  <c r="AO223" i="31"/>
  <c r="AN223" i="31"/>
  <c r="O127" i="31"/>
  <c r="E235" i="31"/>
  <c r="O135" i="31"/>
  <c r="AO207" i="31"/>
  <c r="AN207" i="31"/>
  <c r="AO215" i="31"/>
  <c r="AN236" i="31"/>
  <c r="AO208" i="31"/>
  <c r="AN208" i="31"/>
  <c r="AO232" i="31"/>
  <c r="AN232" i="31"/>
  <c r="AO241" i="31"/>
  <c r="AN217" i="31"/>
  <c r="AN227" i="31"/>
  <c r="AN242" i="31"/>
  <c r="D233" i="31"/>
  <c r="Y233" i="31"/>
  <c r="AO217" i="31"/>
  <c r="AO227" i="31"/>
  <c r="AO242" i="31"/>
  <c r="D185" i="31"/>
  <c r="I143" i="31"/>
  <c r="AN218" i="31"/>
  <c r="AN233" i="31"/>
  <c r="AN243" i="31"/>
  <c r="X235" i="31"/>
  <c r="E219" i="31"/>
  <c r="W208" i="31"/>
  <c r="E216" i="31"/>
  <c r="D216" i="31"/>
  <c r="E208" i="31"/>
  <c r="W229" i="31"/>
  <c r="W231" i="31"/>
  <c r="W210" i="31"/>
  <c r="W221" i="31"/>
  <c r="O131" i="31"/>
  <c r="H131" i="31"/>
  <c r="I131" i="31"/>
  <c r="Z210" i="31"/>
  <c r="AC210" i="31"/>
  <c r="H146" i="31"/>
  <c r="I146" i="31"/>
  <c r="O146" i="31"/>
  <c r="B156" i="31"/>
  <c r="O155" i="31"/>
  <c r="E239" i="31"/>
  <c r="D228" i="31"/>
  <c r="E222" i="31"/>
  <c r="D222" i="31"/>
  <c r="H147" i="31"/>
  <c r="I147" i="31"/>
  <c r="Z212" i="31"/>
  <c r="W226" i="31"/>
  <c r="E240" i="31"/>
  <c r="D240" i="31"/>
  <c r="X240" i="31"/>
  <c r="D243" i="31"/>
  <c r="AB243" i="31"/>
  <c r="W212" i="31"/>
  <c r="E220" i="31"/>
  <c r="D241" i="31"/>
  <c r="E241" i="31"/>
  <c r="H138" i="31"/>
  <c r="I138" i="31"/>
  <c r="O138" i="31"/>
  <c r="X220" i="31"/>
  <c r="E223" i="31"/>
  <c r="D223" i="31"/>
  <c r="F169" i="31"/>
  <c r="C142" i="31"/>
  <c r="N142" i="31"/>
  <c r="I55" i="31"/>
  <c r="F172" i="31"/>
  <c r="I134" i="31"/>
  <c r="Z211" i="31"/>
  <c r="F161" i="31"/>
  <c r="F159" i="31"/>
  <c r="F158" i="31"/>
  <c r="F156" i="31"/>
  <c r="F171" i="31"/>
  <c r="F170" i="31"/>
  <c r="I153" i="31"/>
  <c r="Z231" i="31"/>
  <c r="H126" i="31"/>
  <c r="I126" i="31"/>
  <c r="O126" i="31"/>
  <c r="F138" i="31"/>
  <c r="AA206" i="31"/>
  <c r="E206" i="31"/>
  <c r="E211" i="31"/>
  <c r="D207" i="31"/>
  <c r="W235" i="31"/>
  <c r="C155" i="31"/>
  <c r="N155" i="31"/>
  <c r="H151" i="31"/>
  <c r="I151" i="31"/>
  <c r="I155" i="31"/>
  <c r="Y212" i="31"/>
  <c r="E237" i="31"/>
  <c r="D237" i="31"/>
  <c r="I133" i="31"/>
  <c r="C145" i="31"/>
  <c r="N145" i="31"/>
  <c r="L55" i="31"/>
  <c r="X206" i="31"/>
  <c r="E244" i="31"/>
  <c r="D244" i="31"/>
  <c r="X214" i="31"/>
  <c r="X219" i="31"/>
  <c r="X239" i="31"/>
  <c r="X210" i="31"/>
  <c r="X236" i="31"/>
  <c r="X211" i="31"/>
  <c r="X221" i="31"/>
  <c r="X245" i="31"/>
  <c r="X226" i="31"/>
  <c r="X208" i="31"/>
  <c r="X231" i="31"/>
  <c r="Z206" i="31"/>
  <c r="H136" i="31"/>
  <c r="I136" i="31"/>
  <c r="O136" i="31"/>
  <c r="C133" i="31"/>
  <c r="N133" i="31"/>
  <c r="I127" i="31"/>
  <c r="I145" i="31"/>
  <c r="Y245" i="31"/>
  <c r="Y235" i="31"/>
  <c r="Y206" i="31"/>
  <c r="Y239" i="31"/>
  <c r="Y214" i="31"/>
  <c r="Y210" i="31"/>
  <c r="Y221" i="31"/>
  <c r="Y211" i="31"/>
  <c r="Y219" i="31"/>
  <c r="Y226" i="31"/>
  <c r="Y208" i="31"/>
  <c r="Y229" i="31"/>
  <c r="Y236" i="31"/>
  <c r="Y231" i="31"/>
  <c r="C135" i="31"/>
  <c r="N135" i="31"/>
  <c r="C149" i="31"/>
  <c r="Y220" i="31"/>
  <c r="D238" i="31"/>
  <c r="E238" i="31"/>
  <c r="H129" i="31"/>
  <c r="I129" i="31"/>
  <c r="O129" i="31"/>
  <c r="C153" i="31"/>
  <c r="N153" i="31"/>
  <c r="W206" i="31"/>
  <c r="AC206" i="31"/>
  <c r="O144" i="31"/>
  <c r="H144" i="31"/>
  <c r="I144" i="31"/>
  <c r="C148" i="31"/>
  <c r="N148" i="31"/>
  <c r="AA236" i="31"/>
  <c r="AA226" i="31"/>
  <c r="AA214" i="31"/>
  <c r="AA208" i="31"/>
  <c r="AA229" i="31"/>
  <c r="AA221" i="31"/>
  <c r="AA245" i="31"/>
  <c r="AA212" i="31"/>
  <c r="AA239" i="31"/>
  <c r="AA235" i="31"/>
  <c r="AA231" i="31"/>
  <c r="AA219" i="31"/>
  <c r="AA220" i="31"/>
  <c r="AA210" i="31"/>
  <c r="I190" i="31"/>
  <c r="D190" i="31"/>
  <c r="C137" i="31"/>
  <c r="N137" i="31"/>
  <c r="H132" i="31"/>
  <c r="I132" i="31"/>
  <c r="O132" i="31"/>
  <c r="W239" i="31"/>
  <c r="Z239" i="31"/>
  <c r="Z219" i="31"/>
  <c r="W219" i="31"/>
  <c r="X229" i="31"/>
  <c r="O152" i="31"/>
  <c r="H152" i="31"/>
  <c r="I152" i="31"/>
  <c r="C139" i="31"/>
  <c r="N139" i="31"/>
  <c r="I188" i="31"/>
  <c r="AB236" i="31"/>
  <c r="AB226" i="31"/>
  <c r="AB239" i="31"/>
  <c r="AB229" i="31"/>
  <c r="AB219" i="31"/>
  <c r="AB245" i="31"/>
  <c r="AB211" i="31"/>
  <c r="AB214" i="31"/>
  <c r="AB221" i="31"/>
  <c r="AB212" i="31"/>
  <c r="AB235" i="31"/>
  <c r="AB208" i="31"/>
  <c r="AB231" i="31"/>
  <c r="AB220" i="31"/>
  <c r="AB210" i="31"/>
  <c r="AB206" i="31"/>
  <c r="C150" i="31"/>
  <c r="N150" i="31"/>
  <c r="H125" i="31"/>
  <c r="I125" i="31"/>
  <c r="O125" i="31"/>
  <c r="Z214" i="31"/>
  <c r="AC214" i="31"/>
  <c r="O140" i="31"/>
  <c r="H140" i="31"/>
  <c r="I140" i="31"/>
  <c r="I185" i="31"/>
  <c r="C187" i="31"/>
  <c r="C192" i="31"/>
  <c r="E209" i="31"/>
  <c r="D209" i="31"/>
  <c r="Z226" i="31"/>
  <c r="Z208" i="31"/>
  <c r="E213" i="31"/>
  <c r="D213" i="31"/>
  <c r="O150" i="31"/>
  <c r="H150" i="31"/>
  <c r="I150" i="31"/>
  <c r="C183" i="31"/>
  <c r="D184" i="31"/>
  <c r="C195" i="31"/>
  <c r="I135" i="31"/>
  <c r="I154" i="31"/>
  <c r="C186" i="31"/>
  <c r="E215" i="31"/>
  <c r="D215" i="31"/>
  <c r="Z215" i="31"/>
  <c r="H148" i="31"/>
  <c r="I148" i="31"/>
  <c r="C191" i="31"/>
  <c r="C193" i="31"/>
  <c r="I139" i="31"/>
  <c r="O130" i="31"/>
  <c r="H130" i="31"/>
  <c r="I130" i="31"/>
  <c r="I128" i="31"/>
  <c r="E225" i="31"/>
  <c r="D225" i="31"/>
  <c r="W211" i="31"/>
  <c r="H141" i="31"/>
  <c r="I141" i="31"/>
  <c r="I189" i="31"/>
  <c r="D189" i="31"/>
  <c r="H250" i="31"/>
  <c r="B251" i="31"/>
  <c r="E251" i="31"/>
  <c r="K250" i="31"/>
  <c r="L250" i="31"/>
  <c r="I184" i="31"/>
  <c r="E242" i="31"/>
  <c r="D242" i="31"/>
  <c r="W220" i="31"/>
  <c r="I194" i="31"/>
  <c r="D232" i="31"/>
  <c r="AC239" i="31"/>
  <c r="AC208" i="31"/>
  <c r="AC211" i="31"/>
  <c r="D224" i="31"/>
  <c r="E224" i="31"/>
  <c r="D217" i="31"/>
  <c r="D230" i="31"/>
  <c r="AC235" i="31"/>
  <c r="AC245" i="31"/>
  <c r="E305" i="31"/>
  <c r="AC212" i="31"/>
  <c r="AC226" i="31"/>
  <c r="E227" i="31"/>
  <c r="D227" i="31"/>
  <c r="AC229" i="31"/>
  <c r="AC221" i="31"/>
  <c r="AC219" i="31"/>
  <c r="Z236" i="31"/>
  <c r="AC236" i="31"/>
  <c r="F164" i="31"/>
  <c r="D218" i="31"/>
  <c r="E234" i="31"/>
  <c r="D234" i="31"/>
  <c r="Z245" i="31"/>
  <c r="Z235" i="31"/>
  <c r="Z221" i="31"/>
  <c r="E229" i="31"/>
  <c r="W214" i="31"/>
  <c r="W245" i="31"/>
  <c r="W236" i="31"/>
  <c r="G304" i="29"/>
  <c r="F304" i="29"/>
  <c r="K208" i="31"/>
  <c r="J221" i="31"/>
  <c r="K214" i="31"/>
  <c r="I223" i="31"/>
  <c r="J225" i="31"/>
  <c r="I228" i="31"/>
  <c r="I226" i="31"/>
  <c r="I210" i="31"/>
  <c r="J228" i="31"/>
  <c r="O223" i="31"/>
  <c r="N223" i="31"/>
  <c r="O226" i="31"/>
  <c r="L226" i="31"/>
  <c r="N226" i="31"/>
  <c r="J210" i="31"/>
  <c r="K210" i="31"/>
  <c r="L210" i="31"/>
  <c r="K226" i="31"/>
  <c r="M223" i="31"/>
  <c r="M226" i="31"/>
  <c r="O210" i="31"/>
  <c r="J226" i="31"/>
  <c r="I214" i="31"/>
  <c r="O214" i="31"/>
  <c r="M214" i="31"/>
  <c r="N214" i="31"/>
  <c r="K223" i="31"/>
  <c r="M228" i="31"/>
  <c r="N228" i="31"/>
  <c r="K228" i="31"/>
  <c r="L228" i="31"/>
  <c r="O228" i="31"/>
  <c r="J223" i="31"/>
  <c r="L223" i="31"/>
  <c r="I221" i="31"/>
  <c r="O221" i="31"/>
  <c r="L221" i="31"/>
  <c r="M221" i="31"/>
  <c r="N221" i="31"/>
  <c r="J208" i="31"/>
  <c r="N210" i="31"/>
  <c r="J214" i="31"/>
  <c r="N208" i="31"/>
  <c r="K221" i="31"/>
  <c r="L214" i="31"/>
  <c r="I225" i="31"/>
  <c r="K225" i="31"/>
  <c r="L225" i="31"/>
  <c r="M225" i="31"/>
  <c r="N225" i="31"/>
  <c r="O225" i="31"/>
  <c r="I208" i="31"/>
  <c r="M208" i="31"/>
  <c r="O208" i="31"/>
  <c r="M210" i="31"/>
  <c r="L208" i="31"/>
  <c r="X233" i="31"/>
  <c r="F129" i="31"/>
  <c r="P129" i="31"/>
  <c r="X244" i="31"/>
  <c r="AP226" i="31"/>
  <c r="AC244" i="31"/>
  <c r="AB207" i="31"/>
  <c r="Y243" i="31"/>
  <c r="AB233" i="31"/>
  <c r="F131" i="31"/>
  <c r="P131" i="31"/>
  <c r="AB227" i="31"/>
  <c r="W233" i="31"/>
  <c r="AA233" i="31"/>
  <c r="Z233" i="31"/>
  <c r="AA209" i="31"/>
  <c r="AC233" i="31"/>
  <c r="AA217" i="31"/>
  <c r="Z241" i="31"/>
  <c r="AB215" i="31"/>
  <c r="F140" i="31"/>
  <c r="P140" i="31"/>
  <c r="Z243" i="31"/>
  <c r="Z228" i="31"/>
  <c r="Z218" i="31"/>
  <c r="AA224" i="31"/>
  <c r="AA244" i="31"/>
  <c r="Z240" i="31"/>
  <c r="W243" i="31"/>
  <c r="AA240" i="31"/>
  <c r="X207" i="31"/>
  <c r="Y234" i="31"/>
  <c r="AA243" i="31"/>
  <c r="AP241" i="31"/>
  <c r="AP236" i="31"/>
  <c r="AA237" i="31"/>
  <c r="Y222" i="31"/>
  <c r="Z238" i="31"/>
  <c r="Z223" i="31"/>
  <c r="AC223" i="31"/>
  <c r="AP240" i="31"/>
  <c r="F126" i="31"/>
  <c r="P126" i="31"/>
  <c r="AP227" i="31"/>
  <c r="AA222" i="31"/>
  <c r="Y223" i="31"/>
  <c r="Y244" i="31"/>
  <c r="AP207" i="31"/>
  <c r="AP216" i="31"/>
  <c r="Y228" i="31"/>
  <c r="AP206" i="31"/>
  <c r="AP242" i="31"/>
  <c r="AB223" i="31"/>
  <c r="W223" i="31"/>
  <c r="AB222" i="31"/>
  <c r="F127" i="31"/>
  <c r="P127" i="31"/>
  <c r="X223" i="31"/>
  <c r="AB228" i="31"/>
  <c r="AP211" i="31"/>
  <c r="AC241" i="31"/>
  <c r="AB209" i="31"/>
  <c r="AA241" i="31"/>
  <c r="AA207" i="31"/>
  <c r="Y215" i="31"/>
  <c r="Y209" i="31"/>
  <c r="X241" i="31"/>
  <c r="AP221" i="31"/>
  <c r="AC207" i="31"/>
  <c r="AP230" i="31"/>
  <c r="AP231" i="31"/>
  <c r="AA223" i="31"/>
  <c r="X243" i="31"/>
  <c r="AP215" i="31"/>
  <c r="F154" i="31"/>
  <c r="P154" i="31"/>
  <c r="F147" i="31"/>
  <c r="P147" i="31"/>
  <c r="AC240" i="31"/>
  <c r="AP224" i="31"/>
  <c r="AP244" i="31"/>
  <c r="AP218" i="31"/>
  <c r="AP214" i="31"/>
  <c r="AP239" i="31"/>
  <c r="AQ205" i="31"/>
  <c r="AP238" i="31"/>
  <c r="AP233" i="31"/>
  <c r="AP208" i="31"/>
  <c r="AP210" i="31"/>
  <c r="AP243" i="31"/>
  <c r="AP225" i="31"/>
  <c r="AP219" i="31"/>
  <c r="AP220" i="31"/>
  <c r="AP209" i="31"/>
  <c r="AP223" i="31"/>
  <c r="AP234" i="31"/>
  <c r="AP213" i="31"/>
  <c r="AP235" i="31"/>
  <c r="AP229" i="31"/>
  <c r="W240" i="31"/>
  <c r="AB241" i="31"/>
  <c r="X218" i="31"/>
  <c r="F134" i="31"/>
  <c r="P134" i="31"/>
  <c r="AP245" i="31"/>
  <c r="AA218" i="31"/>
  <c r="Y207" i="31"/>
  <c r="AP217" i="31"/>
  <c r="W241" i="31"/>
  <c r="Z207" i="31"/>
  <c r="F130" i="31"/>
  <c r="P130" i="31"/>
  <c r="AP232" i="31"/>
  <c r="AP212" i="31"/>
  <c r="AP228" i="31"/>
  <c r="AP222" i="31"/>
  <c r="X230" i="31"/>
  <c r="X232" i="31"/>
  <c r="X217" i="31"/>
  <c r="AA213" i="31"/>
  <c r="W228" i="31"/>
  <c r="X228" i="31"/>
  <c r="AA234" i="31"/>
  <c r="AA230" i="31"/>
  <c r="Y217" i="31"/>
  <c r="AC243" i="31"/>
  <c r="F151" i="31"/>
  <c r="P151" i="31"/>
  <c r="H156" i="31"/>
  <c r="I156" i="31"/>
  <c r="P156" i="31"/>
  <c r="B157" i="31"/>
  <c r="AB225" i="31"/>
  <c r="Y225" i="31"/>
  <c r="W216" i="31"/>
  <c r="AC228" i="31"/>
  <c r="AA228" i="31"/>
  <c r="AA216" i="31"/>
  <c r="X234" i="31"/>
  <c r="F149" i="31"/>
  <c r="P149" i="31"/>
  <c r="AB217" i="31"/>
  <c r="AA238" i="31"/>
  <c r="AB238" i="31"/>
  <c r="AA215" i="31"/>
  <c r="W207" i="31"/>
  <c r="AB242" i="31"/>
  <c r="Y216" i="31"/>
  <c r="W222" i="31"/>
  <c r="Y241" i="31"/>
  <c r="X209" i="31"/>
  <c r="AC216" i="31"/>
  <c r="Y238" i="31"/>
  <c r="X216" i="31"/>
  <c r="AC222" i="31"/>
  <c r="Z216" i="31"/>
  <c r="X238" i="31"/>
  <c r="Z222" i="31"/>
  <c r="AC217" i="31"/>
  <c r="AB216" i="31"/>
  <c r="Y240" i="31"/>
  <c r="Y230" i="31"/>
  <c r="X222" i="31"/>
  <c r="Y227" i="31"/>
  <c r="AC237" i="31"/>
  <c r="AB240" i="31"/>
  <c r="Y237" i="31"/>
  <c r="G251" i="31"/>
  <c r="AC232" i="31"/>
  <c r="X242" i="31"/>
  <c r="Z234" i="31"/>
  <c r="AC234" i="31"/>
  <c r="W225" i="31"/>
  <c r="AA225" i="31"/>
  <c r="AC213" i="31"/>
  <c r="Z213" i="31"/>
  <c r="W213" i="31"/>
  <c r="AB232" i="31"/>
  <c r="AA242" i="31"/>
  <c r="Z244" i="31"/>
  <c r="D192" i="31"/>
  <c r="I192" i="31"/>
  <c r="AC224" i="31"/>
  <c r="Z224" i="31"/>
  <c r="AC230" i="31"/>
  <c r="F136" i="31"/>
  <c r="P136" i="31"/>
  <c r="X213" i="31"/>
  <c r="B252" i="31"/>
  <c r="K251" i="31"/>
  <c r="Y232" i="31"/>
  <c r="I193" i="31"/>
  <c r="D193" i="31"/>
  <c r="AA227" i="31"/>
  <c r="Y224" i="31"/>
  <c r="AC218" i="31"/>
  <c r="W218" i="31"/>
  <c r="AC225" i="31"/>
  <c r="W215" i="31"/>
  <c r="AC215" i="31"/>
  <c r="AB213" i="31"/>
  <c r="AB224" i="31"/>
  <c r="X225" i="31"/>
  <c r="I186" i="31"/>
  <c r="D186" i="31"/>
  <c r="I195" i="31"/>
  <c r="D195" i="31"/>
  <c r="AB234" i="31"/>
  <c r="Z225" i="31"/>
  <c r="Z227" i="31"/>
  <c r="W227" i="31"/>
  <c r="D191" i="31"/>
  <c r="I191" i="31"/>
  <c r="I183" i="31"/>
  <c r="D183" i="31"/>
  <c r="Z230" i="31"/>
  <c r="W230" i="31"/>
  <c r="W224" i="31"/>
  <c r="AC227" i="31"/>
  <c r="AB244" i="31"/>
  <c r="F152" i="31"/>
  <c r="P152" i="31"/>
  <c r="W234" i="31"/>
  <c r="AB218" i="31"/>
  <c r="AB230" i="31"/>
  <c r="Y218" i="31"/>
  <c r="X227" i="31"/>
  <c r="Z237" i="31"/>
  <c r="W237" i="31"/>
  <c r="N149" i="31"/>
  <c r="F192" i="31"/>
  <c r="W242" i="31"/>
  <c r="Z242" i="31"/>
  <c r="AC242" i="31"/>
  <c r="W244" i="31"/>
  <c r="X237" i="31"/>
  <c r="AB237" i="31"/>
  <c r="Z232" i="31"/>
  <c r="W232" i="31"/>
  <c r="D194" i="31"/>
  <c r="AA232" i="31"/>
  <c r="W238" i="31"/>
  <c r="AC238" i="31"/>
  <c r="Y213" i="31"/>
  <c r="X215" i="31"/>
  <c r="G305" i="31"/>
  <c r="H56" i="31"/>
  <c r="P138" i="31"/>
  <c r="D187" i="31"/>
  <c r="I187" i="31"/>
  <c r="Y242" i="31"/>
  <c r="W217" i="31"/>
  <c r="Z217" i="31"/>
  <c r="Z209" i="31"/>
  <c r="W209" i="31"/>
  <c r="AC209" i="31"/>
  <c r="D188" i="31"/>
  <c r="X224" i="31"/>
  <c r="B316" i="29"/>
  <c r="B315" i="29"/>
  <c r="B314" i="29"/>
  <c r="B313" i="29"/>
  <c r="B312" i="29"/>
  <c r="B311" i="29"/>
  <c r="B310" i="29"/>
  <c r="B309" i="29"/>
  <c r="B308" i="29"/>
  <c r="B307" i="29"/>
  <c r="B306" i="29"/>
  <c r="B305" i="29"/>
  <c r="B304" i="29"/>
  <c r="G250" i="29"/>
  <c r="F250" i="29"/>
  <c r="B250" i="29"/>
  <c r="B251" i="29"/>
  <c r="C245" i="29"/>
  <c r="E245" i="29"/>
  <c r="B245" i="29"/>
  <c r="C244" i="29"/>
  <c r="E244" i="29"/>
  <c r="B244" i="29"/>
  <c r="C243" i="29"/>
  <c r="E243" i="29"/>
  <c r="B243" i="29"/>
  <c r="C242" i="29"/>
  <c r="E242" i="29"/>
  <c r="B242" i="29"/>
  <c r="C241" i="29"/>
  <c r="E241" i="29"/>
  <c r="B241" i="29"/>
  <c r="C240" i="29"/>
  <c r="E240" i="29"/>
  <c r="B240" i="29"/>
  <c r="C239" i="29"/>
  <c r="E239" i="29"/>
  <c r="B239" i="29"/>
  <c r="C238" i="29"/>
  <c r="E238" i="29"/>
  <c r="B238" i="29"/>
  <c r="Z238" i="29"/>
  <c r="C237" i="29"/>
  <c r="D237" i="29"/>
  <c r="B237" i="29"/>
  <c r="C236" i="29"/>
  <c r="E236" i="29"/>
  <c r="B236" i="29"/>
  <c r="C235" i="29"/>
  <c r="E235" i="29"/>
  <c r="B235" i="29"/>
  <c r="C234" i="29"/>
  <c r="E234" i="29"/>
  <c r="B234" i="29"/>
  <c r="C233" i="29"/>
  <c r="E233" i="29"/>
  <c r="B233" i="29"/>
  <c r="C232" i="29"/>
  <c r="B232" i="29"/>
  <c r="C231" i="29"/>
  <c r="E231" i="29"/>
  <c r="B231" i="29"/>
  <c r="Z231" i="29"/>
  <c r="C230" i="29"/>
  <c r="E230" i="29"/>
  <c r="B230" i="29"/>
  <c r="C229" i="29"/>
  <c r="D229" i="29"/>
  <c r="B229" i="29"/>
  <c r="Z229" i="29"/>
  <c r="C228" i="29"/>
  <c r="E228" i="29"/>
  <c r="B228" i="29"/>
  <c r="C227" i="29"/>
  <c r="E227" i="29"/>
  <c r="B227" i="29"/>
  <c r="Z227" i="29"/>
  <c r="C226" i="29"/>
  <c r="E226" i="29"/>
  <c r="B226" i="29"/>
  <c r="C225" i="29"/>
  <c r="E225" i="29"/>
  <c r="B225" i="29"/>
  <c r="C224" i="29"/>
  <c r="E224" i="29"/>
  <c r="B224" i="29"/>
  <c r="C223" i="29"/>
  <c r="E223" i="29"/>
  <c r="B223" i="29"/>
  <c r="C222" i="29"/>
  <c r="B222" i="29"/>
  <c r="C221" i="29"/>
  <c r="E221" i="29"/>
  <c r="B221" i="29"/>
  <c r="Z221" i="29"/>
  <c r="C220" i="29"/>
  <c r="E220" i="29"/>
  <c r="B220" i="29"/>
  <c r="C219" i="29"/>
  <c r="E219" i="29"/>
  <c r="B219" i="29"/>
  <c r="C218" i="29"/>
  <c r="D218" i="29"/>
  <c r="B218" i="29"/>
  <c r="C217" i="29"/>
  <c r="B217" i="29"/>
  <c r="C216" i="29"/>
  <c r="E216" i="29"/>
  <c r="B216" i="29"/>
  <c r="Z216" i="29"/>
  <c r="C215" i="29"/>
  <c r="E215" i="29"/>
  <c r="B215" i="29"/>
  <c r="C214" i="29"/>
  <c r="E214" i="29"/>
  <c r="B214" i="29"/>
  <c r="Z214" i="29"/>
  <c r="C213" i="29"/>
  <c r="E213" i="29"/>
  <c r="B213" i="29"/>
  <c r="C212" i="29"/>
  <c r="D212" i="29"/>
  <c r="B212" i="29"/>
  <c r="C211" i="29"/>
  <c r="E211" i="29"/>
  <c r="B211" i="29"/>
  <c r="C210" i="29"/>
  <c r="E210" i="29"/>
  <c r="B210" i="29"/>
  <c r="C209" i="29"/>
  <c r="B209" i="29"/>
  <c r="C208" i="29"/>
  <c r="E208" i="29"/>
  <c r="B208" i="29"/>
  <c r="Z208" i="29"/>
  <c r="C207" i="29"/>
  <c r="E207" i="29"/>
  <c r="B207" i="29"/>
  <c r="C206" i="29"/>
  <c r="E206" i="29"/>
  <c r="B206" i="29"/>
  <c r="Z206" i="29"/>
  <c r="AH205" i="29"/>
  <c r="AI205" i="29"/>
  <c r="AJ205" i="29"/>
  <c r="AK205" i="29"/>
  <c r="AL205" i="29"/>
  <c r="AM205" i="29"/>
  <c r="AA205" i="29"/>
  <c r="Q205" i="29"/>
  <c r="R205" i="29"/>
  <c r="S205" i="29"/>
  <c r="T205" i="29"/>
  <c r="U205" i="29"/>
  <c r="V205" i="29"/>
  <c r="J205" i="29"/>
  <c r="K205" i="29"/>
  <c r="L205" i="29"/>
  <c r="M205" i="29"/>
  <c r="N205" i="29"/>
  <c r="O205" i="29"/>
  <c r="O203" i="29"/>
  <c r="N203" i="29"/>
  <c r="M203" i="29"/>
  <c r="L203" i="29"/>
  <c r="K203" i="29"/>
  <c r="J203" i="29"/>
  <c r="I203" i="29"/>
  <c r="C203" i="29"/>
  <c r="C201" i="29"/>
  <c r="B195" i="29"/>
  <c r="C195" i="29"/>
  <c r="B194" i="29"/>
  <c r="C194" i="29"/>
  <c r="B193" i="29"/>
  <c r="C193" i="29"/>
  <c r="B192" i="29"/>
  <c r="B191" i="29"/>
  <c r="C191" i="29"/>
  <c r="B190" i="29"/>
  <c r="C190" i="29"/>
  <c r="B189" i="29"/>
  <c r="C189" i="29"/>
  <c r="B188" i="29"/>
  <c r="C188" i="29"/>
  <c r="B187" i="29"/>
  <c r="B186" i="29"/>
  <c r="C186" i="29"/>
  <c r="B185" i="29"/>
  <c r="C185" i="29"/>
  <c r="B184" i="29"/>
  <c r="C184" i="29"/>
  <c r="B183" i="29"/>
  <c r="C183" i="29"/>
  <c r="D155" i="29"/>
  <c r="B155" i="29"/>
  <c r="G155" i="29"/>
  <c r="D154" i="29"/>
  <c r="B154" i="29"/>
  <c r="G154" i="29"/>
  <c r="D153" i="29"/>
  <c r="B153" i="29"/>
  <c r="G153" i="29"/>
  <c r="D152" i="29"/>
  <c r="B152" i="29"/>
  <c r="G152" i="29"/>
  <c r="D151" i="29"/>
  <c r="B151" i="29"/>
  <c r="G151" i="29"/>
  <c r="D150" i="29"/>
  <c r="B150" i="29"/>
  <c r="G150" i="29"/>
  <c r="D149" i="29"/>
  <c r="B149" i="29"/>
  <c r="D148" i="29"/>
  <c r="B148" i="29"/>
  <c r="G148" i="29"/>
  <c r="D147" i="29"/>
  <c r="B147" i="29"/>
  <c r="G147" i="29"/>
  <c r="D146" i="29"/>
  <c r="B146" i="29"/>
  <c r="G146" i="29"/>
  <c r="D145" i="29"/>
  <c r="B145" i="29"/>
  <c r="G145" i="29"/>
  <c r="D144" i="29"/>
  <c r="B144" i="29"/>
  <c r="G144" i="29"/>
  <c r="D143" i="29"/>
  <c r="B143" i="29"/>
  <c r="G143" i="29"/>
  <c r="D142" i="29"/>
  <c r="B142" i="29"/>
  <c r="G142" i="29"/>
  <c r="D141" i="29"/>
  <c r="B141" i="29"/>
  <c r="G141" i="29"/>
  <c r="D140" i="29"/>
  <c r="B140" i="29"/>
  <c r="G140" i="29"/>
  <c r="D139" i="29"/>
  <c r="B139" i="29"/>
  <c r="G139" i="29"/>
  <c r="D138" i="29"/>
  <c r="B138" i="29"/>
  <c r="G138" i="29"/>
  <c r="D137" i="29"/>
  <c r="B137" i="29"/>
  <c r="G137" i="29"/>
  <c r="D136" i="29"/>
  <c r="B136" i="29"/>
  <c r="G136" i="29"/>
  <c r="D135" i="29"/>
  <c r="B135" i="29"/>
  <c r="G135" i="29"/>
  <c r="D134" i="29"/>
  <c r="B134" i="29"/>
  <c r="G134" i="29"/>
  <c r="D133" i="29"/>
  <c r="B133" i="29"/>
  <c r="G133" i="29"/>
  <c r="D132" i="29"/>
  <c r="B132" i="29"/>
  <c r="G132" i="29"/>
  <c r="D131" i="29"/>
  <c r="B131" i="29"/>
  <c r="G131" i="29"/>
  <c r="D130" i="29"/>
  <c r="B130" i="29"/>
  <c r="G130" i="29"/>
  <c r="D129" i="29"/>
  <c r="B129" i="29"/>
  <c r="G129" i="29"/>
  <c r="D128" i="29"/>
  <c r="B128" i="29"/>
  <c r="G128" i="29"/>
  <c r="D127" i="29"/>
  <c r="B127" i="29"/>
  <c r="G127" i="29"/>
  <c r="D126" i="29"/>
  <c r="B126" i="29"/>
  <c r="G126" i="29"/>
  <c r="D125" i="29"/>
  <c r="B125" i="29"/>
  <c r="G125" i="29"/>
  <c r="D120" i="29"/>
  <c r="B114" i="29"/>
  <c r="B113" i="29"/>
  <c r="B112" i="29"/>
  <c r="B111" i="29"/>
  <c r="B110" i="29"/>
  <c r="B109" i="29"/>
  <c r="B108" i="29"/>
  <c r="B107" i="29"/>
  <c r="B106" i="29"/>
  <c r="B105" i="29"/>
  <c r="B104" i="29"/>
  <c r="B103" i="29"/>
  <c r="B102" i="29"/>
  <c r="B101" i="29"/>
  <c r="B100" i="29"/>
  <c r="B99" i="29"/>
  <c r="B98" i="29"/>
  <c r="B97" i="29"/>
  <c r="B96" i="29"/>
  <c r="B95" i="29"/>
  <c r="B94" i="29"/>
  <c r="B93" i="29"/>
  <c r="B92" i="29"/>
  <c r="B91" i="29"/>
  <c r="B90" i="29"/>
  <c r="B89" i="29"/>
  <c r="B88" i="29"/>
  <c r="B87" i="29"/>
  <c r="B86" i="29"/>
  <c r="B85" i="29"/>
  <c r="B84" i="29"/>
  <c r="B83" i="29"/>
  <c r="B82" i="29"/>
  <c r="B81" i="29"/>
  <c r="B80" i="29"/>
  <c r="B79" i="29"/>
  <c r="B78" i="29"/>
  <c r="B77" i="29"/>
  <c r="B76" i="29"/>
  <c r="B75" i="29"/>
  <c r="J55" i="29"/>
  <c r="H55" i="29"/>
  <c r="G55" i="29"/>
  <c r="D55" i="29"/>
  <c r="G48" i="29"/>
  <c r="D119" i="29"/>
  <c r="D39" i="29"/>
  <c r="C38" i="29"/>
  <c r="C155" i="29"/>
  <c r="M155" i="29"/>
  <c r="C37" i="29"/>
  <c r="C154" i="29"/>
  <c r="M154" i="29"/>
  <c r="C36" i="29"/>
  <c r="C153" i="29"/>
  <c r="M153" i="29"/>
  <c r="C35" i="29"/>
  <c r="C152" i="29"/>
  <c r="M152" i="29"/>
  <c r="C34" i="29"/>
  <c r="C151" i="29"/>
  <c r="M151" i="29"/>
  <c r="C33" i="29"/>
  <c r="C150" i="29"/>
  <c r="M150" i="29"/>
  <c r="C32" i="29"/>
  <c r="C149" i="29"/>
  <c r="C31" i="29"/>
  <c r="C148" i="29"/>
  <c r="M148" i="29"/>
  <c r="C30" i="29"/>
  <c r="C147" i="29"/>
  <c r="M147" i="29"/>
  <c r="C29" i="29"/>
  <c r="C146" i="29"/>
  <c r="M146" i="29"/>
  <c r="C28" i="29"/>
  <c r="C145" i="29"/>
  <c r="M145" i="29"/>
  <c r="C27" i="29"/>
  <c r="C144" i="29"/>
  <c r="M144" i="29"/>
  <c r="C26" i="29"/>
  <c r="C143" i="29"/>
  <c r="M143" i="29"/>
  <c r="C25" i="29"/>
  <c r="C142" i="29"/>
  <c r="M142" i="29"/>
  <c r="C24" i="29"/>
  <c r="C141" i="29"/>
  <c r="M141" i="29"/>
  <c r="C23" i="29"/>
  <c r="C140" i="29"/>
  <c r="M140" i="29"/>
  <c r="C22" i="29"/>
  <c r="C139" i="29"/>
  <c r="M139" i="29"/>
  <c r="C21" i="29"/>
  <c r="C138" i="29"/>
  <c r="M138" i="29"/>
  <c r="C20" i="29"/>
  <c r="C137" i="29"/>
  <c r="M137" i="29"/>
  <c r="C19" i="29"/>
  <c r="C136" i="29"/>
  <c r="M136" i="29"/>
  <c r="C18" i="29"/>
  <c r="C135" i="29"/>
  <c r="M135" i="29"/>
  <c r="C17" i="29"/>
  <c r="C134" i="29"/>
  <c r="M134" i="29"/>
  <c r="C16" i="29"/>
  <c r="C133" i="29"/>
  <c r="M133" i="29"/>
  <c r="J15" i="29"/>
  <c r="C15" i="29"/>
  <c r="C132" i="29"/>
  <c r="M132" i="29"/>
  <c r="C14" i="29"/>
  <c r="C131" i="29"/>
  <c r="M131" i="29"/>
  <c r="C13" i="29"/>
  <c r="C130" i="29"/>
  <c r="M130" i="29"/>
  <c r="C12" i="29"/>
  <c r="C129" i="29"/>
  <c r="M129" i="29"/>
  <c r="C11" i="29"/>
  <c r="C128" i="29"/>
  <c r="M128" i="29"/>
  <c r="C10" i="29"/>
  <c r="C127" i="29"/>
  <c r="M127" i="29"/>
  <c r="C9" i="29"/>
  <c r="C126" i="29"/>
  <c r="M126" i="29"/>
  <c r="C8" i="29"/>
  <c r="C125" i="29"/>
  <c r="M125" i="29"/>
  <c r="I222" i="31"/>
  <c r="M222" i="31"/>
  <c r="L222" i="31"/>
  <c r="K222" i="31"/>
  <c r="J222" i="31"/>
  <c r="O222" i="31"/>
  <c r="N222" i="31"/>
  <c r="I229" i="31"/>
  <c r="K229" i="31"/>
  <c r="L229" i="31"/>
  <c r="N229" i="31"/>
  <c r="O229" i="31"/>
  <c r="M229" i="31"/>
  <c r="J229" i="31"/>
  <c r="I213" i="31"/>
  <c r="O213" i="31"/>
  <c r="L213" i="31"/>
  <c r="J213" i="31"/>
  <c r="K213" i="31"/>
  <c r="M213" i="31"/>
  <c r="N213" i="31"/>
  <c r="J220" i="31"/>
  <c r="N220" i="31"/>
  <c r="M220" i="31"/>
  <c r="L220" i="31"/>
  <c r="O220" i="31"/>
  <c r="K220" i="31"/>
  <c r="J216" i="31"/>
  <c r="M216" i="31"/>
  <c r="O216" i="31"/>
  <c r="N216" i="31"/>
  <c r="L216" i="31"/>
  <c r="K216" i="31"/>
  <c r="M217" i="31"/>
  <c r="K217" i="31"/>
  <c r="J217" i="31"/>
  <c r="N217" i="31"/>
  <c r="L217" i="31"/>
  <c r="O217" i="31"/>
  <c r="I206" i="31"/>
  <c r="J206" i="31"/>
  <c r="M206" i="31"/>
  <c r="O206" i="31"/>
  <c r="N206" i="31"/>
  <c r="L206" i="31"/>
  <c r="K206" i="31"/>
  <c r="I224" i="31"/>
  <c r="L224" i="31"/>
  <c r="J224" i="31"/>
  <c r="O224" i="31"/>
  <c r="M224" i="31"/>
  <c r="N224" i="31"/>
  <c r="K224" i="31"/>
  <c r="I227" i="31"/>
  <c r="O227" i="31"/>
  <c r="M227" i="31"/>
  <c r="K227" i="31"/>
  <c r="N227" i="31"/>
  <c r="J227" i="31"/>
  <c r="L227" i="31"/>
  <c r="I215" i="31"/>
  <c r="N215" i="31"/>
  <c r="K215" i="31"/>
  <c r="J215" i="31"/>
  <c r="M215" i="31"/>
  <c r="O215" i="31"/>
  <c r="L215" i="31"/>
  <c r="I207" i="31"/>
  <c r="M207" i="31"/>
  <c r="K207" i="31"/>
  <c r="J207" i="31"/>
  <c r="L207" i="31"/>
  <c r="O207" i="31"/>
  <c r="N207" i="31"/>
  <c r="I219" i="31"/>
  <c r="K219" i="31"/>
  <c r="N219" i="31"/>
  <c r="O219" i="31"/>
  <c r="L219" i="31"/>
  <c r="M219" i="31"/>
  <c r="J219" i="31"/>
  <c r="I218" i="31"/>
  <c r="K218" i="31"/>
  <c r="L218" i="31"/>
  <c r="M218" i="31"/>
  <c r="N218" i="31"/>
  <c r="O218" i="31"/>
  <c r="J218" i="31"/>
  <c r="I211" i="31"/>
  <c r="L211" i="31"/>
  <c r="M211" i="31"/>
  <c r="N211" i="31"/>
  <c r="O211" i="31"/>
  <c r="K211" i="31"/>
  <c r="J211" i="31"/>
  <c r="I209" i="31"/>
  <c r="K209" i="31"/>
  <c r="N209" i="31"/>
  <c r="O209" i="31"/>
  <c r="M209" i="31"/>
  <c r="J209" i="31"/>
  <c r="L209" i="31"/>
  <c r="F143" i="31"/>
  <c r="P143" i="31"/>
  <c r="I217" i="31"/>
  <c r="F146" i="31"/>
  <c r="P146" i="31"/>
  <c r="I220" i="31"/>
  <c r="F142" i="31"/>
  <c r="P142" i="31"/>
  <c r="I216" i="31"/>
  <c r="F137" i="31"/>
  <c r="P137" i="31"/>
  <c r="F139" i="31"/>
  <c r="P139" i="31"/>
  <c r="F153" i="31"/>
  <c r="P153" i="31"/>
  <c r="F141" i="31"/>
  <c r="P141" i="31"/>
  <c r="F135" i="31"/>
  <c r="P135" i="31"/>
  <c r="AQ211" i="31"/>
  <c r="AQ226" i="31"/>
  <c r="AQ218" i="31"/>
  <c r="AQ243" i="31"/>
  <c r="AQ213" i="31"/>
  <c r="AQ239" i="31"/>
  <c r="AR205" i="31"/>
  <c r="AQ238" i="31"/>
  <c r="AQ230" i="31"/>
  <c r="AQ233" i="31"/>
  <c r="AQ208" i="31"/>
  <c r="AQ244" i="31"/>
  <c r="AQ229" i="31"/>
  <c r="AQ225" i="31"/>
  <c r="AQ219" i="31"/>
  <c r="AQ209" i="31"/>
  <c r="AQ235" i="31"/>
  <c r="AQ214" i="31"/>
  <c r="AQ234" i="31"/>
  <c r="AQ215" i="31"/>
  <c r="AQ210" i="31"/>
  <c r="AQ223" i="31"/>
  <c r="AQ240" i="31"/>
  <c r="AQ212" i="31"/>
  <c r="AQ232" i="31"/>
  <c r="AQ207" i="31"/>
  <c r="AQ228" i="31"/>
  <c r="AQ227" i="31"/>
  <c r="AQ242" i="31"/>
  <c r="AQ206" i="31"/>
  <c r="AQ222" i="31"/>
  <c r="AQ220" i="31"/>
  <c r="AQ224" i="31"/>
  <c r="AQ245" i="31"/>
  <c r="AQ237" i="31"/>
  <c r="AQ231" i="31"/>
  <c r="AQ217" i="31"/>
  <c r="AQ236" i="31"/>
  <c r="AQ221" i="31"/>
  <c r="AQ241" i="31"/>
  <c r="AQ216" i="31"/>
  <c r="D196" i="31"/>
  <c r="F145" i="31"/>
  <c r="P145" i="31"/>
  <c r="B158" i="31"/>
  <c r="H157" i="31"/>
  <c r="I157" i="31"/>
  <c r="P157" i="31"/>
  <c r="F195" i="31"/>
  <c r="F193" i="31"/>
  <c r="F148" i="31"/>
  <c r="P148" i="31"/>
  <c r="F128" i="31"/>
  <c r="P128" i="31"/>
  <c r="F184" i="31"/>
  <c r="F150" i="31"/>
  <c r="P150" i="31"/>
  <c r="E252" i="31"/>
  <c r="F155" i="31"/>
  <c r="P155" i="31"/>
  <c r="G192" i="31"/>
  <c r="C64" i="31"/>
  <c r="F64" i="31"/>
  <c r="F194" i="31"/>
  <c r="F132" i="31"/>
  <c r="P132" i="31"/>
  <c r="F185" i="31"/>
  <c r="F189" i="31"/>
  <c r="F187" i="31"/>
  <c r="B253" i="31"/>
  <c r="E253" i="31"/>
  <c r="K252" i="31"/>
  <c r="F191" i="31"/>
  <c r="M162" i="31"/>
  <c r="M165" i="31"/>
  <c r="M149" i="31"/>
  <c r="M139" i="31"/>
  <c r="M129" i="31"/>
  <c r="M171" i="31"/>
  <c r="M150" i="31"/>
  <c r="M140" i="31"/>
  <c r="M130" i="31"/>
  <c r="E184" i="31"/>
  <c r="M163" i="31"/>
  <c r="M166" i="31"/>
  <c r="M172" i="31"/>
  <c r="M132" i="31"/>
  <c r="M147" i="31"/>
  <c r="M168" i="31"/>
  <c r="M151" i="31"/>
  <c r="M136" i="31"/>
  <c r="M157" i="31"/>
  <c r="M144" i="31"/>
  <c r="M133" i="31"/>
  <c r="M174" i="31"/>
  <c r="M155" i="31"/>
  <c r="M161" i="31"/>
  <c r="M159" i="31"/>
  <c r="M148" i="31"/>
  <c r="M137" i="31"/>
  <c r="M173" i="31"/>
  <c r="M160" i="31"/>
  <c r="M135" i="31"/>
  <c r="M152" i="31"/>
  <c r="M131" i="31"/>
  <c r="M169" i="31"/>
  <c r="M154" i="31"/>
  <c r="M146" i="31"/>
  <c r="M142" i="31"/>
  <c r="M127" i="31"/>
  <c r="M156" i="31"/>
  <c r="M138" i="31"/>
  <c r="M125" i="31"/>
  <c r="M158" i="31"/>
  <c r="M153" i="31"/>
  <c r="M164" i="31"/>
  <c r="M145" i="31"/>
  <c r="M128" i="31"/>
  <c r="M170" i="31"/>
  <c r="D175" i="31"/>
  <c r="M134" i="31"/>
  <c r="M141" i="31"/>
  <c r="M167" i="31"/>
  <c r="M143" i="31"/>
  <c r="M126" i="31"/>
  <c r="E183" i="31"/>
  <c r="F125" i="31"/>
  <c r="F183" i="31"/>
  <c r="F144" i="31"/>
  <c r="P144" i="31"/>
  <c r="F186" i="31"/>
  <c r="F188" i="31"/>
  <c r="E175" i="31"/>
  <c r="F133" i="31"/>
  <c r="P133" i="31"/>
  <c r="F190" i="31"/>
  <c r="AA217" i="29"/>
  <c r="H250" i="29"/>
  <c r="L55" i="29"/>
  <c r="D240" i="29"/>
  <c r="O240" i="29"/>
  <c r="E237" i="29"/>
  <c r="D238" i="29"/>
  <c r="I238" i="29"/>
  <c r="D244" i="29"/>
  <c r="M244" i="29"/>
  <c r="D241" i="29"/>
  <c r="I241" i="29"/>
  <c r="D206" i="29"/>
  <c r="M206" i="29"/>
  <c r="D220" i="29"/>
  <c r="J220" i="29"/>
  <c r="D223" i="29"/>
  <c r="N223" i="29"/>
  <c r="D226" i="29"/>
  <c r="K226" i="29"/>
  <c r="E143" i="29"/>
  <c r="L171" i="29"/>
  <c r="E212" i="29"/>
  <c r="D242" i="29"/>
  <c r="I242" i="29"/>
  <c r="D245" i="29"/>
  <c r="J245" i="29"/>
  <c r="AA207" i="29"/>
  <c r="AA211" i="29"/>
  <c r="E218" i="29"/>
  <c r="AA232" i="29"/>
  <c r="AA209" i="29"/>
  <c r="D239" i="29"/>
  <c r="O239" i="29"/>
  <c r="N218" i="29"/>
  <c r="I218" i="29"/>
  <c r="N212" i="29"/>
  <c r="M212" i="29"/>
  <c r="D190" i="29"/>
  <c r="D207" i="29"/>
  <c r="L207" i="29"/>
  <c r="D208" i="29"/>
  <c r="O208" i="29"/>
  <c r="D210" i="29"/>
  <c r="O210" i="29"/>
  <c r="D213" i="29"/>
  <c r="O213" i="29"/>
  <c r="D214" i="29"/>
  <c r="L214" i="29"/>
  <c r="D219" i="29"/>
  <c r="I219" i="29"/>
  <c r="D231" i="29"/>
  <c r="L231" i="29"/>
  <c r="D233" i="29"/>
  <c r="I233" i="29"/>
  <c r="D235" i="29"/>
  <c r="K235" i="29"/>
  <c r="D236" i="29"/>
  <c r="K236" i="29"/>
  <c r="D243" i="29"/>
  <c r="N243" i="29"/>
  <c r="D185" i="29"/>
  <c r="D194" i="29"/>
  <c r="D216" i="29"/>
  <c r="K216" i="29"/>
  <c r="D221" i="29"/>
  <c r="I221" i="29"/>
  <c r="D224" i="29"/>
  <c r="O224" i="29"/>
  <c r="D225" i="29"/>
  <c r="M225" i="29"/>
  <c r="D227" i="29"/>
  <c r="J227" i="29"/>
  <c r="E229" i="29"/>
  <c r="D230" i="29"/>
  <c r="L230" i="29"/>
  <c r="D234" i="29"/>
  <c r="O234" i="29"/>
  <c r="E126" i="29"/>
  <c r="E128" i="29"/>
  <c r="E130" i="29"/>
  <c r="E147" i="29"/>
  <c r="E149" i="29"/>
  <c r="E132" i="29"/>
  <c r="E134" i="29"/>
  <c r="E136" i="29"/>
  <c r="E138" i="29"/>
  <c r="E140" i="29"/>
  <c r="E142" i="29"/>
  <c r="E144" i="29"/>
  <c r="E146" i="29"/>
  <c r="E151" i="29"/>
  <c r="E153" i="29"/>
  <c r="H126" i="29"/>
  <c r="H128" i="29"/>
  <c r="H130" i="29"/>
  <c r="H132" i="29"/>
  <c r="H134" i="29"/>
  <c r="H136" i="29"/>
  <c r="E145" i="29"/>
  <c r="E152" i="29"/>
  <c r="E154" i="29"/>
  <c r="H127" i="29"/>
  <c r="H129" i="29"/>
  <c r="H131" i="29"/>
  <c r="H133" i="29"/>
  <c r="H135" i="29"/>
  <c r="H137" i="29"/>
  <c r="E127" i="29"/>
  <c r="E129" i="29"/>
  <c r="E131" i="29"/>
  <c r="E133" i="29"/>
  <c r="E135" i="29"/>
  <c r="E137" i="29"/>
  <c r="E139" i="29"/>
  <c r="E141" i="29"/>
  <c r="E148" i="29"/>
  <c r="E150" i="29"/>
  <c r="I191" i="29"/>
  <c r="I186" i="29"/>
  <c r="H155" i="29"/>
  <c r="H151" i="29"/>
  <c r="H147" i="29"/>
  <c r="H143" i="29"/>
  <c r="I195" i="29"/>
  <c r="H154" i="29"/>
  <c r="H150" i="29"/>
  <c r="H146" i="29"/>
  <c r="H142" i="29"/>
  <c r="H152" i="29"/>
  <c r="H148" i="29"/>
  <c r="H144" i="29"/>
  <c r="H140" i="29"/>
  <c r="H139" i="29"/>
  <c r="H141" i="29"/>
  <c r="H153" i="29"/>
  <c r="I55" i="29"/>
  <c r="H125" i="29"/>
  <c r="H145" i="29"/>
  <c r="M149" i="29"/>
  <c r="F187" i="29"/>
  <c r="H138" i="29"/>
  <c r="E172" i="29"/>
  <c r="E168" i="29"/>
  <c r="E164" i="29"/>
  <c r="E160" i="29"/>
  <c r="E156" i="29"/>
  <c r="E171" i="29"/>
  <c r="E167" i="29"/>
  <c r="E163" i="29"/>
  <c r="E159" i="29"/>
  <c r="E125" i="29"/>
  <c r="L125" i="29"/>
  <c r="L142" i="29"/>
  <c r="F216" i="29"/>
  <c r="F85" i="29"/>
  <c r="L146" i="29"/>
  <c r="F220" i="29"/>
  <c r="F89" i="29"/>
  <c r="L150" i="29"/>
  <c r="L154" i="29"/>
  <c r="L159" i="29"/>
  <c r="E162" i="29"/>
  <c r="L167" i="29"/>
  <c r="E170" i="29"/>
  <c r="D175" i="29"/>
  <c r="I184" i="29"/>
  <c r="I185" i="29"/>
  <c r="D186" i="29"/>
  <c r="C187" i="29"/>
  <c r="D188" i="29"/>
  <c r="L126" i="29"/>
  <c r="E183" i="29"/>
  <c r="L127" i="29"/>
  <c r="L128" i="29"/>
  <c r="L129" i="29"/>
  <c r="L130" i="29"/>
  <c r="E184" i="29"/>
  <c r="L131" i="29"/>
  <c r="L132" i="29"/>
  <c r="F206" i="29"/>
  <c r="F75" i="29"/>
  <c r="L133" i="29"/>
  <c r="F207" i="29"/>
  <c r="F76" i="29"/>
  <c r="L134" i="29"/>
  <c r="F208" i="29"/>
  <c r="F77" i="29"/>
  <c r="L135" i="29"/>
  <c r="E185" i="29"/>
  <c r="L136" i="29"/>
  <c r="F210" i="29"/>
  <c r="F79" i="29"/>
  <c r="L137" i="29"/>
  <c r="F211" i="29"/>
  <c r="F80" i="29"/>
  <c r="L138" i="29"/>
  <c r="F212" i="29"/>
  <c r="F81" i="29"/>
  <c r="L139" i="29"/>
  <c r="E186" i="29"/>
  <c r="L143" i="29"/>
  <c r="E187" i="29"/>
  <c r="L147" i="29"/>
  <c r="F221" i="29"/>
  <c r="F90" i="29"/>
  <c r="L151" i="29"/>
  <c r="L155" i="29"/>
  <c r="E192" i="29"/>
  <c r="L158" i="29"/>
  <c r="E161" i="29"/>
  <c r="L166" i="29"/>
  <c r="E169" i="29"/>
  <c r="L174" i="29"/>
  <c r="D184" i="29"/>
  <c r="C192" i="29"/>
  <c r="D193" i="29"/>
  <c r="L140" i="29"/>
  <c r="F214" i="29"/>
  <c r="F83" i="29"/>
  <c r="L144" i="29"/>
  <c r="F218" i="29"/>
  <c r="F87" i="29"/>
  <c r="L148" i="29"/>
  <c r="E188" i="29"/>
  <c r="L152" i="29"/>
  <c r="E189" i="29"/>
  <c r="E155" i="29"/>
  <c r="E158" i="29"/>
  <c r="L163" i="29"/>
  <c r="E166" i="29"/>
  <c r="E174" i="29"/>
  <c r="I183" i="29"/>
  <c r="D183" i="29"/>
  <c r="I188" i="29"/>
  <c r="L237" i="29"/>
  <c r="L229" i="29"/>
  <c r="L218" i="29"/>
  <c r="L212" i="29"/>
  <c r="E209" i="29"/>
  <c r="D209" i="29"/>
  <c r="N209" i="29"/>
  <c r="L173" i="29"/>
  <c r="L169" i="29"/>
  <c r="L165" i="29"/>
  <c r="L161" i="29"/>
  <c r="L157" i="29"/>
  <c r="L172" i="29"/>
  <c r="L168" i="29"/>
  <c r="L164" i="29"/>
  <c r="L160" i="29"/>
  <c r="L156" i="29"/>
  <c r="L141" i="29"/>
  <c r="F215" i="29"/>
  <c r="F84" i="29"/>
  <c r="L145" i="29"/>
  <c r="F219" i="29"/>
  <c r="F88" i="29"/>
  <c r="L149" i="29"/>
  <c r="F223" i="29"/>
  <c r="F92" i="29"/>
  <c r="L153" i="29"/>
  <c r="E157" i="29"/>
  <c r="L162" i="29"/>
  <c r="E165" i="29"/>
  <c r="L170" i="29"/>
  <c r="E173" i="29"/>
  <c r="AA210" i="29"/>
  <c r="Z210" i="29"/>
  <c r="B156" i="29"/>
  <c r="I189" i="29"/>
  <c r="I190" i="29"/>
  <c r="D191" i="29"/>
  <c r="I193" i="29"/>
  <c r="I194" i="29"/>
  <c r="D195" i="29"/>
  <c r="E305" i="29"/>
  <c r="AA206" i="29"/>
  <c r="D215" i="29"/>
  <c r="K215" i="29"/>
  <c r="AA220" i="29"/>
  <c r="Z220" i="29"/>
  <c r="G149" i="29"/>
  <c r="H149" i="29"/>
  <c r="D189" i="29"/>
  <c r="K237" i="29"/>
  <c r="K229" i="29"/>
  <c r="K218" i="29"/>
  <c r="K212" i="29"/>
  <c r="O237" i="29"/>
  <c r="O229" i="29"/>
  <c r="O218" i="29"/>
  <c r="O212" i="29"/>
  <c r="AA236" i="29"/>
  <c r="AA226" i="29"/>
  <c r="AA234" i="29"/>
  <c r="AA224" i="29"/>
  <c r="AA228" i="29"/>
  <c r="AA213" i="29"/>
  <c r="AA230" i="29"/>
  <c r="AA219" i="29"/>
  <c r="AB205" i="29"/>
  <c r="AB220" i="29"/>
  <c r="AA208" i="29"/>
  <c r="D211" i="29"/>
  <c r="N211" i="29"/>
  <c r="AA212" i="29"/>
  <c r="Z212" i="29"/>
  <c r="AA215" i="29"/>
  <c r="AA222" i="29"/>
  <c r="E217" i="29"/>
  <c r="D217" i="29"/>
  <c r="O217" i="29"/>
  <c r="AA225" i="29"/>
  <c r="Z225" i="29"/>
  <c r="AA239" i="29"/>
  <c r="Z239" i="29"/>
  <c r="AA240" i="29"/>
  <c r="Z240" i="29"/>
  <c r="AA218" i="29"/>
  <c r="Z218" i="29"/>
  <c r="AA235" i="29"/>
  <c r="Z235" i="29"/>
  <c r="I229" i="29"/>
  <c r="I237" i="29"/>
  <c r="I212" i="29"/>
  <c r="AA214" i="29"/>
  <c r="J218" i="29"/>
  <c r="E222" i="29"/>
  <c r="D222" i="29"/>
  <c r="N222" i="29"/>
  <c r="M237" i="29"/>
  <c r="J237" i="29"/>
  <c r="N229" i="29"/>
  <c r="Z207" i="29"/>
  <c r="Z209" i="29"/>
  <c r="Z211" i="29"/>
  <c r="J212" i="29"/>
  <c r="AA216" i="29"/>
  <c r="M218" i="29"/>
  <c r="AA223" i="29"/>
  <c r="Z223" i="29"/>
  <c r="D228" i="29"/>
  <c r="L228" i="29"/>
  <c r="J229" i="29"/>
  <c r="E232" i="29"/>
  <c r="D232" i="29"/>
  <c r="N237" i="29"/>
  <c r="M229" i="29"/>
  <c r="AA233" i="29"/>
  <c r="Z233" i="29"/>
  <c r="AA227" i="29"/>
  <c r="Z237" i="29"/>
  <c r="Z213" i="29"/>
  <c r="Z215" i="29"/>
  <c r="Z217" i="29"/>
  <c r="Z219" i="29"/>
  <c r="AA221" i="29"/>
  <c r="AA229" i="29"/>
  <c r="AA231" i="29"/>
  <c r="AA237" i="29"/>
  <c r="Z241" i="29"/>
  <c r="AA241" i="29"/>
  <c r="AA242" i="29"/>
  <c r="Z242" i="29"/>
  <c r="K251" i="29"/>
  <c r="B252" i="29"/>
  <c r="Z222" i="29"/>
  <c r="Z224" i="29"/>
  <c r="Z226" i="29"/>
  <c r="Z228" i="29"/>
  <c r="Z230" i="29"/>
  <c r="Z232" i="29"/>
  <c r="Z234" i="29"/>
  <c r="Z236" i="29"/>
  <c r="AA238" i="29"/>
  <c r="AA243" i="29"/>
  <c r="AA245" i="29"/>
  <c r="Z244" i="29"/>
  <c r="K250" i="29"/>
  <c r="L250" i="29"/>
  <c r="AA244" i="29"/>
  <c r="E251" i="29"/>
  <c r="Z243" i="29"/>
  <c r="Z245" i="29"/>
  <c r="P230" i="31" a="1"/>
  <c r="Q230" i="31" a="1"/>
  <c r="R230" i="31" a="1"/>
  <c r="S230" i="31" a="1"/>
  <c r="T230" i="31" a="1"/>
  <c r="U230" i="31" a="1"/>
  <c r="V230" i="31" a="1"/>
  <c r="Q243" i="31" a="1"/>
  <c r="R243" i="31" a="1"/>
  <c r="P243" i="31" a="1"/>
  <c r="S243" i="31" a="1"/>
  <c r="T243" i="31" a="1"/>
  <c r="U243" i="31" a="1"/>
  <c r="V243" i="31" a="1"/>
  <c r="F221" i="31"/>
  <c r="G221" i="31"/>
  <c r="U222" i="31" a="1"/>
  <c r="V222" i="31" a="1"/>
  <c r="P222" i="31" a="1"/>
  <c r="Q222" i="31" a="1"/>
  <c r="R222" i="31" a="1"/>
  <c r="S222" i="31" a="1"/>
  <c r="T222" i="31" a="1"/>
  <c r="V229" i="31" a="1"/>
  <c r="P229" i="31" a="1"/>
  <c r="Q229" i="31" a="1"/>
  <c r="R229" i="31" a="1"/>
  <c r="S229" i="31" a="1"/>
  <c r="T229" i="31" a="1"/>
  <c r="U229" i="31" a="1"/>
  <c r="F206" i="31"/>
  <c r="G206" i="31"/>
  <c r="P207" i="31" a="1"/>
  <c r="Q207" i="31" a="1"/>
  <c r="T207" i="31" a="1"/>
  <c r="R207" i="31" a="1"/>
  <c r="S207" i="31" a="1"/>
  <c r="U207" i="31" a="1"/>
  <c r="V207" i="31" a="1"/>
  <c r="P237" i="31" a="1"/>
  <c r="Q237" i="31" a="1"/>
  <c r="R237" i="31" a="1"/>
  <c r="T237" i="31" a="1"/>
  <c r="S237" i="31" a="1"/>
  <c r="U237" i="31" a="1"/>
  <c r="V237" i="31" a="1"/>
  <c r="F212" i="31"/>
  <c r="G212" i="31"/>
  <c r="R213" i="31" a="1"/>
  <c r="P213" i="31" a="1"/>
  <c r="Q213" i="31" a="1"/>
  <c r="S213" i="31" a="1"/>
  <c r="T213" i="31" a="1"/>
  <c r="V213" i="31" a="1"/>
  <c r="U213" i="31" a="1"/>
  <c r="R241" i="31" a="1"/>
  <c r="S241" i="31" a="1"/>
  <c r="T241" i="31" a="1"/>
  <c r="V241" i="31" a="1"/>
  <c r="U241" i="31" a="1"/>
  <c r="P241" i="31" a="1"/>
  <c r="Q241" i="31" a="1"/>
  <c r="F210" i="31"/>
  <c r="F79" i="31"/>
  <c r="R211" i="31" a="1"/>
  <c r="S211" i="31" a="1"/>
  <c r="U211" i="31" a="1"/>
  <c r="T211" i="31" a="1"/>
  <c r="V211" i="31" a="1"/>
  <c r="P211" i="31" a="1"/>
  <c r="Q211" i="31" a="1"/>
  <c r="P226" i="31" a="1"/>
  <c r="Q226" i="31" a="1"/>
  <c r="R226" i="31" a="1"/>
  <c r="S226" i="31" a="1"/>
  <c r="U226" i="31" a="1"/>
  <c r="V226" i="31" a="1"/>
  <c r="T226" i="31" a="1"/>
  <c r="S218" i="31" a="1"/>
  <c r="T218" i="31" a="1"/>
  <c r="V218" i="31" a="1"/>
  <c r="U218" i="31" a="1"/>
  <c r="P218" i="31" a="1"/>
  <c r="Q218" i="31" a="1"/>
  <c r="R218" i="31" a="1"/>
  <c r="E189" i="31"/>
  <c r="P227" i="31" a="1"/>
  <c r="Q227" i="31" a="1"/>
  <c r="R227" i="31" a="1"/>
  <c r="S227" i="31" a="1"/>
  <c r="T227" i="31" a="1"/>
  <c r="U227" i="31" a="1"/>
  <c r="V227" i="31" a="1"/>
  <c r="S238" i="31" a="1"/>
  <c r="T238" i="31" a="1"/>
  <c r="V238" i="31" a="1"/>
  <c r="U238" i="31" a="1"/>
  <c r="P238" i="31" a="1"/>
  <c r="R238" i="31" a="1"/>
  <c r="Q238" i="31" a="1"/>
  <c r="U242" i="31" a="1"/>
  <c r="V242" i="31" a="1"/>
  <c r="P242" i="31" a="1"/>
  <c r="Q242" i="31" a="1"/>
  <c r="S242" i="31" a="1"/>
  <c r="R242" i="31" a="1"/>
  <c r="T242" i="31" a="1"/>
  <c r="P210" i="31" a="1"/>
  <c r="R210" i="31" a="1"/>
  <c r="Q210" i="31" a="1"/>
  <c r="S210" i="31" a="1"/>
  <c r="T210" i="31" a="1"/>
  <c r="U210" i="31" a="1"/>
  <c r="V210" i="31" a="1"/>
  <c r="Q233" i="31" a="1"/>
  <c r="R233" i="31" a="1"/>
  <c r="P233" i="31" a="1"/>
  <c r="S233" i="31" a="1"/>
  <c r="T233" i="31" a="1"/>
  <c r="U233" i="31" a="1"/>
  <c r="V233" i="31" a="1"/>
  <c r="R231" i="31" a="1"/>
  <c r="S231" i="31" a="1"/>
  <c r="T231" i="31" a="1"/>
  <c r="U231" i="31" a="1"/>
  <c r="V231" i="31" a="1"/>
  <c r="Q231" i="31" a="1"/>
  <c r="P231" i="31" a="1"/>
  <c r="F216" i="31"/>
  <c r="F85" i="31"/>
  <c r="P217" i="31" a="1"/>
  <c r="Q217" i="31" a="1"/>
  <c r="T217" i="31" a="1"/>
  <c r="R217" i="31" a="1"/>
  <c r="S217" i="31" a="1"/>
  <c r="U217" i="31" a="1"/>
  <c r="V217" i="31" a="1"/>
  <c r="Q244" i="31" a="1"/>
  <c r="R244" i="31" a="1"/>
  <c r="S244" i="31" a="1"/>
  <c r="T244" i="31" a="1"/>
  <c r="U244" i="31" a="1"/>
  <c r="V244" i="31" a="1"/>
  <c r="P244" i="31" a="1"/>
  <c r="F215" i="31"/>
  <c r="G215" i="31"/>
  <c r="P216" i="31" a="1"/>
  <c r="Q216" i="31" a="1"/>
  <c r="R216" i="31" a="1"/>
  <c r="S216" i="31" a="1"/>
  <c r="V216" i="31" a="1"/>
  <c r="T216" i="31" a="1"/>
  <c r="U216" i="31" a="1"/>
  <c r="T235" i="31" a="1"/>
  <c r="U235" i="31" a="1"/>
  <c r="V235" i="31" a="1"/>
  <c r="P235" i="31" a="1"/>
  <c r="S235" i="31" a="1"/>
  <c r="R235" i="31" a="1"/>
  <c r="Q235" i="31" a="1"/>
  <c r="F214" i="31"/>
  <c r="F83" i="31"/>
  <c r="T215" i="31" a="1"/>
  <c r="U215" i="31" a="1"/>
  <c r="V215" i="31" a="1"/>
  <c r="P215" i="31" a="1"/>
  <c r="S215" i="31" a="1"/>
  <c r="Q215" i="31" a="1"/>
  <c r="R215" i="31" a="1"/>
  <c r="U232" i="31" a="1"/>
  <c r="V232" i="31" a="1"/>
  <c r="P232" i="31" a="1"/>
  <c r="Q232" i="31" a="1"/>
  <c r="T232" i="31" a="1"/>
  <c r="S232" i="31" a="1"/>
  <c r="R232" i="31" a="1"/>
  <c r="F208" i="31"/>
  <c r="G208" i="31"/>
  <c r="V209" i="31" a="1"/>
  <c r="P209" i="31" a="1"/>
  <c r="Q209" i="31" a="1"/>
  <c r="R209" i="31" a="1"/>
  <c r="S209" i="31" a="1"/>
  <c r="T209" i="31" a="1"/>
  <c r="U209" i="31" a="1"/>
  <c r="T225" i="31" a="1"/>
  <c r="U225" i="31" a="1"/>
  <c r="V225" i="31" a="1"/>
  <c r="P225" i="31" a="1"/>
  <c r="Q225" i="31" a="1"/>
  <c r="R225" i="31" a="1"/>
  <c r="S225" i="31" a="1"/>
  <c r="F218" i="31"/>
  <c r="G218" i="31"/>
  <c r="V219" i="31" a="1"/>
  <c r="P219" i="31" a="1"/>
  <c r="Q219" i="31" a="1"/>
  <c r="R219" i="31" a="1"/>
  <c r="S219" i="31" a="1"/>
  <c r="U219" i="31" a="1"/>
  <c r="T219" i="31" a="1"/>
  <c r="F211" i="31"/>
  <c r="F80" i="31"/>
  <c r="U212" i="31" a="1"/>
  <c r="V212" i="31" a="1"/>
  <c r="P212" i="31" a="1"/>
  <c r="Q212" i="31" a="1"/>
  <c r="S212" i="31" a="1"/>
  <c r="T212" i="31" a="1"/>
  <c r="R212" i="31" a="1"/>
  <c r="P240" i="31" a="1"/>
  <c r="Q240" i="31" a="1"/>
  <c r="R240" i="31" a="1"/>
  <c r="S240" i="31" a="1"/>
  <c r="T240" i="31" a="1"/>
  <c r="U240" i="31" a="1"/>
  <c r="V240" i="31" a="1"/>
  <c r="F207" i="31"/>
  <c r="G207" i="31"/>
  <c r="S208" i="31" a="1"/>
  <c r="T208" i="31" a="1"/>
  <c r="U208" i="31" a="1"/>
  <c r="V208" i="31" a="1"/>
  <c r="P208" i="31" a="1"/>
  <c r="Q208" i="31" a="1"/>
  <c r="R208" i="31" a="1"/>
  <c r="T245" i="31" a="1"/>
  <c r="U245" i="31" a="1"/>
  <c r="V245" i="31" a="1"/>
  <c r="P245" i="31" a="1"/>
  <c r="R245" i="31" a="1"/>
  <c r="S245" i="31" a="1"/>
  <c r="Q245" i="31" a="1"/>
  <c r="P223" i="31" a="1"/>
  <c r="R223" i="31" a="1"/>
  <c r="Q223" i="31" a="1"/>
  <c r="S223" i="31" a="1"/>
  <c r="T223" i="31" a="1"/>
  <c r="V223" i="31" a="1"/>
  <c r="U223" i="31" a="1"/>
  <c r="V239" i="31" a="1"/>
  <c r="P239" i="31" a="1"/>
  <c r="Q239" i="31" a="1"/>
  <c r="R239" i="31" a="1"/>
  <c r="T239" i="31" a="1"/>
  <c r="U239" i="31" a="1"/>
  <c r="S239" i="31" a="1"/>
  <c r="F220" i="31"/>
  <c r="F89" i="31"/>
  <c r="R221" i="31" a="1"/>
  <c r="S221" i="31" a="1"/>
  <c r="U221" i="31" a="1"/>
  <c r="T221" i="31" a="1"/>
  <c r="V221" i="31" a="1"/>
  <c r="Q221" i="31" a="1"/>
  <c r="P221" i="31" a="1"/>
  <c r="Q234" i="31" a="1"/>
  <c r="R234" i="31" a="1"/>
  <c r="S234" i="31" a="1"/>
  <c r="T234" i="31" a="1"/>
  <c r="U234" i="31" a="1"/>
  <c r="V234" i="31" a="1"/>
  <c r="P234" i="31" a="1"/>
  <c r="Q214" i="31" a="1"/>
  <c r="R214" i="31" a="1"/>
  <c r="T214" i="31" a="1"/>
  <c r="S214" i="31" a="1"/>
  <c r="U214" i="31" a="1"/>
  <c r="V214" i="31" a="1"/>
  <c r="P214" i="31" a="1"/>
  <c r="S228" i="31" a="1"/>
  <c r="T228" i="31" a="1"/>
  <c r="V228" i="31" a="1"/>
  <c r="U228" i="31" a="1"/>
  <c r="Q228" i="31" a="1"/>
  <c r="R228" i="31" a="1"/>
  <c r="P228" i="31" a="1"/>
  <c r="F219" i="31"/>
  <c r="F88" i="31"/>
  <c r="P220" i="31" a="1"/>
  <c r="S220" i="31" a="1"/>
  <c r="Q220" i="31" a="1"/>
  <c r="R220" i="31" a="1"/>
  <c r="T220" i="31" a="1"/>
  <c r="U220" i="31" a="1"/>
  <c r="V220" i="31" a="1"/>
  <c r="P236" i="31" a="1"/>
  <c r="Q236" i="31" a="1"/>
  <c r="R236" i="31" a="1"/>
  <c r="S236" i="31" a="1"/>
  <c r="T236" i="31" a="1"/>
  <c r="U236" i="31" a="1"/>
  <c r="V236" i="31" a="1"/>
  <c r="F223" i="31"/>
  <c r="G223" i="31"/>
  <c r="Q224" i="31" a="1"/>
  <c r="R224" i="31" a="1"/>
  <c r="U224" i="31" a="1"/>
  <c r="S224" i="31" a="1"/>
  <c r="T224" i="31" a="1"/>
  <c r="V224" i="31" a="1"/>
  <c r="P224" i="31" a="1"/>
  <c r="P206" i="31" a="1"/>
  <c r="Q206" i="31" a="1"/>
  <c r="R206" i="31" a="1"/>
  <c r="S206" i="31" a="1"/>
  <c r="T206" i="31" a="1"/>
  <c r="U206" i="31" a="1"/>
  <c r="V206" i="31" a="1"/>
  <c r="AR226" i="31"/>
  <c r="AS205" i="31"/>
  <c r="AR218" i="31"/>
  <c r="AR239" i="31"/>
  <c r="AR233" i="31"/>
  <c r="AR208" i="31"/>
  <c r="AR229" i="31"/>
  <c r="AR225" i="31"/>
  <c r="AR235" i="31"/>
  <c r="AR219" i="31"/>
  <c r="AR223" i="31"/>
  <c r="AR230" i="31"/>
  <c r="AR215" i="31"/>
  <c r="AR209" i="31"/>
  <c r="AR234" i="31"/>
  <c r="AR214" i="31"/>
  <c r="AR224" i="31"/>
  <c r="AR243" i="31"/>
  <c r="AR213" i="31"/>
  <c r="AR210" i="31"/>
  <c r="AR244" i="31"/>
  <c r="AR238" i="31"/>
  <c r="AR242" i="31"/>
  <c r="AR222" i="31"/>
  <c r="AR240" i="31"/>
  <c r="AR220" i="31"/>
  <c r="AR212" i="31"/>
  <c r="AR237" i="31"/>
  <c r="AR216" i="31"/>
  <c r="AR236" i="31"/>
  <c r="AR241" i="31"/>
  <c r="AR231" i="31"/>
  <c r="AR221" i="31"/>
  <c r="AR228" i="31"/>
  <c r="AR207" i="31"/>
  <c r="AR245" i="31"/>
  <c r="AR211" i="31"/>
  <c r="AR217" i="31"/>
  <c r="AR206" i="31"/>
  <c r="AR227" i="31"/>
  <c r="AR232" i="31"/>
  <c r="B159" i="31"/>
  <c r="H158" i="31"/>
  <c r="I158" i="31"/>
  <c r="P158" i="31"/>
  <c r="F213" i="31"/>
  <c r="E186" i="31"/>
  <c r="G194" i="31"/>
  <c r="F66" i="31"/>
  <c r="E190" i="31"/>
  <c r="E192" i="31"/>
  <c r="E191" i="31"/>
  <c r="E195" i="31"/>
  <c r="E194" i="31"/>
  <c r="E193" i="31"/>
  <c r="G193" i="31"/>
  <c r="F65" i="31"/>
  <c r="G195" i="31"/>
  <c r="F67" i="31"/>
  <c r="F58" i="31"/>
  <c r="G186" i="31"/>
  <c r="N192" i="31"/>
  <c r="K253" i="31"/>
  <c r="B254" i="31"/>
  <c r="E254" i="31"/>
  <c r="G184" i="31"/>
  <c r="F56" i="31"/>
  <c r="F196" i="31"/>
  <c r="G183" i="31"/>
  <c r="F55" i="31"/>
  <c r="G164" i="31"/>
  <c r="G167" i="31"/>
  <c r="G146" i="31"/>
  <c r="G136" i="31"/>
  <c r="G126" i="31"/>
  <c r="G173" i="31"/>
  <c r="G147" i="31"/>
  <c r="G137" i="31"/>
  <c r="G127" i="31"/>
  <c r="G165" i="31"/>
  <c r="G168" i="31"/>
  <c r="G174" i="31"/>
  <c r="G160" i="31"/>
  <c r="G158" i="31"/>
  <c r="F175" i="31"/>
  <c r="G150" i="31"/>
  <c r="G162" i="31"/>
  <c r="G139" i="31"/>
  <c r="G135" i="31"/>
  <c r="G128" i="31"/>
  <c r="G166" i="31"/>
  <c r="G154" i="31"/>
  <c r="G143" i="31"/>
  <c r="G132" i="31"/>
  <c r="G170" i="31"/>
  <c r="G151" i="31"/>
  <c r="G140" i="31"/>
  <c r="G145" i="31"/>
  <c r="G141" i="31"/>
  <c r="G157" i="31"/>
  <c r="G163" i="31"/>
  <c r="G148" i="31"/>
  <c r="G133" i="31"/>
  <c r="G172" i="31"/>
  <c r="G152" i="31"/>
  <c r="G129" i="31"/>
  <c r="G131" i="31"/>
  <c r="G169" i="31"/>
  <c r="G159" i="31"/>
  <c r="G144" i="31"/>
  <c r="G171" i="31"/>
  <c r="G125" i="31"/>
  <c r="G149" i="31"/>
  <c r="G142" i="31"/>
  <c r="G138" i="31"/>
  <c r="G130" i="31"/>
  <c r="G156" i="31"/>
  <c r="G153" i="31"/>
  <c r="G134" i="31"/>
  <c r="G161" i="31"/>
  <c r="G155" i="31"/>
  <c r="F222" i="31"/>
  <c r="E188" i="31"/>
  <c r="G252" i="31"/>
  <c r="G253" i="31"/>
  <c r="F63" i="31"/>
  <c r="G191" i="31"/>
  <c r="F217" i="31"/>
  <c r="E187" i="31"/>
  <c r="F59" i="31"/>
  <c r="G187" i="31"/>
  <c r="G188" i="31"/>
  <c r="F60" i="31"/>
  <c r="G190" i="31"/>
  <c r="F62" i="31"/>
  <c r="F209" i="31"/>
  <c r="E185" i="31"/>
  <c r="G189" i="31"/>
  <c r="F61" i="31"/>
  <c r="G185" i="31"/>
  <c r="F57" i="31"/>
  <c r="O241" i="29"/>
  <c r="D176" i="31"/>
  <c r="M230" i="29"/>
  <c r="F189" i="29"/>
  <c r="F61" i="29"/>
  <c r="L244" i="29"/>
  <c r="L238" i="29"/>
  <c r="F209" i="29"/>
  <c r="F78" i="29"/>
  <c r="O238" i="29"/>
  <c r="N238" i="29"/>
  <c r="O230" i="29"/>
  <c r="L245" i="29"/>
  <c r="O130" i="29"/>
  <c r="I231" i="29"/>
  <c r="O244" i="29"/>
  <c r="M238" i="29"/>
  <c r="K206" i="29"/>
  <c r="I244" i="29"/>
  <c r="I230" i="29"/>
  <c r="N241" i="29"/>
  <c r="I226" i="29"/>
  <c r="K238" i="29"/>
  <c r="O231" i="29"/>
  <c r="J238" i="29"/>
  <c r="K244" i="29"/>
  <c r="L206" i="29"/>
  <c r="J244" i="29"/>
  <c r="L240" i="29"/>
  <c r="N230" i="29"/>
  <c r="J223" i="29"/>
  <c r="J224" i="29"/>
  <c r="M216" i="29"/>
  <c r="N240" i="29"/>
  <c r="M223" i="29"/>
  <c r="K245" i="29"/>
  <c r="M224" i="29"/>
  <c r="J240" i="29"/>
  <c r="K240" i="29"/>
  <c r="I224" i="29"/>
  <c r="L226" i="29"/>
  <c r="M240" i="29"/>
  <c r="L216" i="29"/>
  <c r="N216" i="29"/>
  <c r="I240" i="29"/>
  <c r="K231" i="29"/>
  <c r="N239" i="29"/>
  <c r="N224" i="29"/>
  <c r="J231" i="29"/>
  <c r="N226" i="29"/>
  <c r="N244" i="29"/>
  <c r="O223" i="29"/>
  <c r="L208" i="29"/>
  <c r="L243" i="29"/>
  <c r="N245" i="29"/>
  <c r="AB216" i="29"/>
  <c r="J230" i="29"/>
  <c r="M231" i="29"/>
  <c r="O243" i="29"/>
  <c r="L210" i="29"/>
  <c r="K210" i="29"/>
  <c r="K230" i="29"/>
  <c r="J241" i="29"/>
  <c r="M243" i="29"/>
  <c r="I243" i="29"/>
  <c r="I245" i="29"/>
  <c r="M226" i="29"/>
  <c r="M245" i="29"/>
  <c r="O206" i="29"/>
  <c r="K243" i="29"/>
  <c r="E195" i="29"/>
  <c r="L223" i="29"/>
  <c r="I223" i="29"/>
  <c r="O245" i="29"/>
  <c r="E191" i="29"/>
  <c r="J226" i="29"/>
  <c r="J243" i="29"/>
  <c r="N231" i="29"/>
  <c r="O226" i="29"/>
  <c r="N236" i="29"/>
  <c r="O219" i="29"/>
  <c r="K223" i="29"/>
  <c r="L235" i="29"/>
  <c r="J206" i="29"/>
  <c r="O126" i="29"/>
  <c r="J236" i="29"/>
  <c r="N225" i="29"/>
  <c r="M241" i="29"/>
  <c r="O236" i="29"/>
  <c r="K208" i="29"/>
  <c r="K242" i="29"/>
  <c r="L241" i="29"/>
  <c r="I225" i="29"/>
  <c r="O220" i="29"/>
  <c r="L213" i="29"/>
  <c r="L239" i="29"/>
  <c r="K241" i="29"/>
  <c r="M236" i="29"/>
  <c r="F217" i="29"/>
  <c r="F86" i="29"/>
  <c r="I239" i="29"/>
  <c r="F222" i="29"/>
  <c r="F91" i="29"/>
  <c r="L236" i="29"/>
  <c r="O128" i="29"/>
  <c r="N206" i="29"/>
  <c r="I206" i="29"/>
  <c r="I220" i="29"/>
  <c r="N220" i="29"/>
  <c r="AB233" i="29"/>
  <c r="AB231" i="29"/>
  <c r="I209" i="29"/>
  <c r="K220" i="29"/>
  <c r="L220" i="29"/>
  <c r="N233" i="29"/>
  <c r="M220" i="29"/>
  <c r="AB229" i="29"/>
  <c r="F213" i="29"/>
  <c r="F82" i="29"/>
  <c r="J209" i="29"/>
  <c r="L234" i="29"/>
  <c r="I211" i="29"/>
  <c r="AB212" i="29"/>
  <c r="AB227" i="29"/>
  <c r="AB239" i="29"/>
  <c r="AB244" i="29"/>
  <c r="AB241" i="29"/>
  <c r="AB242" i="29"/>
  <c r="AB238" i="29"/>
  <c r="AB221" i="29"/>
  <c r="AB211" i="29"/>
  <c r="AB214" i="29"/>
  <c r="AB218" i="29"/>
  <c r="AB237" i="29"/>
  <c r="AB223" i="29"/>
  <c r="AB240" i="29"/>
  <c r="AB225" i="29"/>
  <c r="N219" i="29"/>
  <c r="N242" i="29"/>
  <c r="J239" i="29"/>
  <c r="M242" i="29"/>
  <c r="J242" i="29"/>
  <c r="O242" i="29"/>
  <c r="K239" i="29"/>
  <c r="M239" i="29"/>
  <c r="L219" i="29"/>
  <c r="L242" i="29"/>
  <c r="H56" i="29"/>
  <c r="G305" i="29"/>
  <c r="J219" i="29"/>
  <c r="AB208" i="29"/>
  <c r="K219" i="29"/>
  <c r="J215" i="29"/>
  <c r="I234" i="29"/>
  <c r="M235" i="29"/>
  <c r="L221" i="29"/>
  <c r="I207" i="29"/>
  <c r="J235" i="29"/>
  <c r="N221" i="29"/>
  <c r="F194" i="29"/>
  <c r="F66" i="29"/>
  <c r="O235" i="29"/>
  <c r="K214" i="29"/>
  <c r="I214" i="29"/>
  <c r="N207" i="29"/>
  <c r="J222" i="29"/>
  <c r="N214" i="29"/>
  <c r="M221" i="29"/>
  <c r="I235" i="29"/>
  <c r="F190" i="29"/>
  <c r="G190" i="29"/>
  <c r="C62" i="29"/>
  <c r="O227" i="29"/>
  <c r="K221" i="29"/>
  <c r="O207" i="29"/>
  <c r="O132" i="29"/>
  <c r="O134" i="29"/>
  <c r="N235" i="29"/>
  <c r="K207" i="29"/>
  <c r="L227" i="29"/>
  <c r="F195" i="29"/>
  <c r="G195" i="29"/>
  <c r="C67" i="29"/>
  <c r="O133" i="29"/>
  <c r="J207" i="29"/>
  <c r="J217" i="29"/>
  <c r="M227" i="29"/>
  <c r="N227" i="29"/>
  <c r="M207" i="29"/>
  <c r="I227" i="29"/>
  <c r="O214" i="29"/>
  <c r="O221" i="29"/>
  <c r="K227" i="29"/>
  <c r="J221" i="29"/>
  <c r="F192" i="29"/>
  <c r="F64" i="29"/>
  <c r="F183" i="29"/>
  <c r="O136" i="29"/>
  <c r="N213" i="29"/>
  <c r="M209" i="29"/>
  <c r="M219" i="29"/>
  <c r="O209" i="29"/>
  <c r="K234" i="29"/>
  <c r="I236" i="29"/>
  <c r="O225" i="29"/>
  <c r="K225" i="29"/>
  <c r="J216" i="29"/>
  <c r="I216" i="29"/>
  <c r="I210" i="29"/>
  <c r="N210" i="29"/>
  <c r="M210" i="29"/>
  <c r="J210" i="29"/>
  <c r="J211" i="29"/>
  <c r="J233" i="29"/>
  <c r="M215" i="29"/>
  <c r="I215" i="29"/>
  <c r="F184" i="29"/>
  <c r="F56" i="29"/>
  <c r="F188" i="29"/>
  <c r="G188" i="29"/>
  <c r="C60" i="29"/>
  <c r="F186" i="29"/>
  <c r="G186" i="29"/>
  <c r="C58" i="29"/>
  <c r="I208" i="29"/>
  <c r="N208" i="29"/>
  <c r="M208" i="29"/>
  <c r="J208" i="29"/>
  <c r="N215" i="29"/>
  <c r="J234" i="29"/>
  <c r="M213" i="29"/>
  <c r="I213" i="29"/>
  <c r="O215" i="29"/>
  <c r="O233" i="29"/>
  <c r="K213" i="29"/>
  <c r="K233" i="29"/>
  <c r="N234" i="29"/>
  <c r="J213" i="29"/>
  <c r="J225" i="29"/>
  <c r="M211" i="29"/>
  <c r="M233" i="29"/>
  <c r="M234" i="29"/>
  <c r="O216" i="29"/>
  <c r="K224" i="29"/>
  <c r="F185" i="29"/>
  <c r="G185" i="29"/>
  <c r="L224" i="29"/>
  <c r="L225" i="29"/>
  <c r="L233" i="29"/>
  <c r="F193" i="29"/>
  <c r="G193" i="29"/>
  <c r="C65" i="29"/>
  <c r="F191" i="29"/>
  <c r="F63" i="29"/>
  <c r="J214" i="29"/>
  <c r="M214" i="29"/>
  <c r="O135" i="29"/>
  <c r="O127" i="29"/>
  <c r="O131" i="29"/>
  <c r="O137" i="29"/>
  <c r="O129" i="29"/>
  <c r="G187" i="29"/>
  <c r="C59" i="29"/>
  <c r="F59" i="29"/>
  <c r="G251" i="29"/>
  <c r="K252" i="29"/>
  <c r="B253" i="29"/>
  <c r="E252" i="29"/>
  <c r="K222" i="29"/>
  <c r="M222" i="29"/>
  <c r="I228" i="29"/>
  <c r="K209" i="29"/>
  <c r="L222" i="29"/>
  <c r="G206" i="29"/>
  <c r="G214" i="29"/>
  <c r="G221" i="29"/>
  <c r="F171" i="29"/>
  <c r="F167" i="29"/>
  <c r="F163" i="29"/>
  <c r="F159" i="29"/>
  <c r="F125" i="29"/>
  <c r="I125" i="29"/>
  <c r="E175" i="29"/>
  <c r="F174" i="29"/>
  <c r="F170" i="29"/>
  <c r="F166" i="29"/>
  <c r="F162" i="29"/>
  <c r="F158" i="29"/>
  <c r="F155" i="29"/>
  <c r="I155" i="29"/>
  <c r="F154" i="29"/>
  <c r="P155" i="29"/>
  <c r="F153" i="29"/>
  <c r="I153" i="29"/>
  <c r="F152" i="29"/>
  <c r="F151" i="29"/>
  <c r="I151" i="29"/>
  <c r="F150" i="29"/>
  <c r="P151" i="29"/>
  <c r="F149" i="29"/>
  <c r="P150" i="29"/>
  <c r="F148" i="29"/>
  <c r="P149" i="29"/>
  <c r="F147" i="29"/>
  <c r="I147" i="29"/>
  <c r="F146" i="29"/>
  <c r="P147" i="29"/>
  <c r="F145" i="29"/>
  <c r="P146" i="29"/>
  <c r="F144" i="29"/>
  <c r="F143" i="29"/>
  <c r="I143" i="29"/>
  <c r="F142" i="29"/>
  <c r="P143" i="29"/>
  <c r="F141" i="29"/>
  <c r="I141" i="29"/>
  <c r="F140" i="29"/>
  <c r="I140" i="29"/>
  <c r="F168" i="29"/>
  <c r="F160" i="29"/>
  <c r="F169" i="29"/>
  <c r="F161" i="29"/>
  <c r="F172" i="29"/>
  <c r="F164" i="29"/>
  <c r="F156" i="29"/>
  <c r="F139" i="29"/>
  <c r="F138" i="29"/>
  <c r="I138" i="29"/>
  <c r="F137" i="29"/>
  <c r="P138" i="29"/>
  <c r="F136" i="29"/>
  <c r="F135" i="29"/>
  <c r="F134" i="29"/>
  <c r="F133" i="29"/>
  <c r="F132" i="29"/>
  <c r="F131" i="29"/>
  <c r="F130" i="29"/>
  <c r="F129" i="29"/>
  <c r="F128" i="29"/>
  <c r="F127" i="29"/>
  <c r="F126" i="29"/>
  <c r="F173" i="29"/>
  <c r="F165" i="29"/>
  <c r="F157" i="29"/>
  <c r="E194" i="29"/>
  <c r="O153" i="29"/>
  <c r="O140" i="29"/>
  <c r="O142" i="29"/>
  <c r="O155" i="29"/>
  <c r="K232" i="29"/>
  <c r="N232" i="29"/>
  <c r="J232" i="29"/>
  <c r="M232" i="29"/>
  <c r="I222" i="29"/>
  <c r="AB245" i="29"/>
  <c r="AB243" i="29"/>
  <c r="AB234" i="29"/>
  <c r="AB224" i="29"/>
  <c r="AB232" i="29"/>
  <c r="AB222" i="29"/>
  <c r="AB230" i="29"/>
  <c r="AB219" i="29"/>
  <c r="AC205" i="29"/>
  <c r="AB236" i="29"/>
  <c r="AB217" i="29"/>
  <c r="AB215" i="29"/>
  <c r="AB213" i="29"/>
  <c r="AB228" i="29"/>
  <c r="AB226" i="29"/>
  <c r="AB209" i="29"/>
  <c r="AB207" i="29"/>
  <c r="O222" i="29"/>
  <c r="O149" i="29"/>
  <c r="AB206" i="29"/>
  <c r="B157" i="29"/>
  <c r="G156" i="29"/>
  <c r="H156" i="29"/>
  <c r="AB210" i="29"/>
  <c r="L211" i="29"/>
  <c r="L217" i="29"/>
  <c r="L232" i="29"/>
  <c r="G208" i="29"/>
  <c r="G216" i="29"/>
  <c r="G223" i="29"/>
  <c r="I192" i="29"/>
  <c r="D192" i="29"/>
  <c r="G211" i="29"/>
  <c r="O144" i="29"/>
  <c r="O146" i="29"/>
  <c r="O143" i="29"/>
  <c r="N217" i="29"/>
  <c r="M217" i="29"/>
  <c r="I217" i="29"/>
  <c r="I232" i="29"/>
  <c r="AB235" i="29"/>
  <c r="O232" i="29"/>
  <c r="K228" i="29"/>
  <c r="G207" i="29"/>
  <c r="G210" i="29"/>
  <c r="G218" i="29"/>
  <c r="I187" i="29"/>
  <c r="D187" i="29"/>
  <c r="O138" i="29"/>
  <c r="E190" i="29"/>
  <c r="E193" i="29"/>
  <c r="O141" i="29"/>
  <c r="O148" i="29"/>
  <c r="O150" i="29"/>
  <c r="O147" i="29"/>
  <c r="N228" i="29"/>
  <c r="J228" i="29"/>
  <c r="M228" i="29"/>
  <c r="O211" i="29"/>
  <c r="O228" i="29"/>
  <c r="K211" i="29"/>
  <c r="L209" i="29"/>
  <c r="L215" i="29"/>
  <c r="G219" i="29"/>
  <c r="P219" i="29"/>
  <c r="G215" i="29"/>
  <c r="G212" i="29"/>
  <c r="G220" i="29"/>
  <c r="K217" i="29"/>
  <c r="O145" i="29"/>
  <c r="O139" i="29"/>
  <c r="O152" i="29"/>
  <c r="O154" i="29"/>
  <c r="O151" i="29"/>
  <c r="F81" i="31"/>
  <c r="F92" i="31"/>
  <c r="F76" i="31"/>
  <c r="G219" i="31"/>
  <c r="H219" i="31"/>
  <c r="G88" i="31"/>
  <c r="H88" i="31"/>
  <c r="F75" i="31"/>
  <c r="G214" i="31"/>
  <c r="H214" i="31"/>
  <c r="G83" i="31"/>
  <c r="H83" i="31"/>
  <c r="F90" i="31"/>
  <c r="G220" i="31"/>
  <c r="AD220" i="31"/>
  <c r="AE220" i="31"/>
  <c r="AV220" i="31"/>
  <c r="F84" i="31"/>
  <c r="G211" i="31"/>
  <c r="H211" i="31"/>
  <c r="G80" i="31"/>
  <c r="H80" i="31"/>
  <c r="G210" i="31"/>
  <c r="AD210" i="31"/>
  <c r="F87" i="31"/>
  <c r="F77" i="31"/>
  <c r="G216" i="31"/>
  <c r="H216" i="31"/>
  <c r="G85" i="31"/>
  <c r="H85" i="31"/>
  <c r="AD221" i="31"/>
  <c r="AD212" i="31"/>
  <c r="AD218" i="31"/>
  <c r="AD208" i="31"/>
  <c r="AD223" i="31"/>
  <c r="AD206" i="31"/>
  <c r="AD215" i="31"/>
  <c r="AT205" i="31"/>
  <c r="AS235" i="31"/>
  <c r="AS233" i="31"/>
  <c r="AS208" i="31"/>
  <c r="AS229" i="31"/>
  <c r="AS244" i="31"/>
  <c r="AS224" i="31"/>
  <c r="AS219" i="31"/>
  <c r="AS209" i="31"/>
  <c r="AS234" i="31"/>
  <c r="AS223" i="31"/>
  <c r="AS218" i="31"/>
  <c r="AS214" i="31"/>
  <c r="AS215" i="31"/>
  <c r="AS243" i="31"/>
  <c r="AS213" i="31"/>
  <c r="AS210" i="31"/>
  <c r="AS238" i="31"/>
  <c r="AS240" i="31"/>
  <c r="AS211" i="31"/>
  <c r="AS227" i="31"/>
  <c r="AS212" i="31"/>
  <c r="AS237" i="31"/>
  <c r="AS245" i="31"/>
  <c r="AS226" i="31"/>
  <c r="AS220" i="31"/>
  <c r="AS230" i="31"/>
  <c r="AS221" i="31"/>
  <c r="AS231" i="31"/>
  <c r="AS241" i="31"/>
  <c r="AS206" i="31"/>
  <c r="AS239" i="31"/>
  <c r="AS207" i="31"/>
  <c r="AS236" i="31"/>
  <c r="AS242" i="31"/>
  <c r="AS225" i="31"/>
  <c r="AS228" i="31"/>
  <c r="AS217" i="31"/>
  <c r="AS232" i="31"/>
  <c r="AS216" i="31"/>
  <c r="AS222" i="31"/>
  <c r="AD207" i="31"/>
  <c r="B160" i="31"/>
  <c r="H159" i="31"/>
  <c r="I159" i="31"/>
  <c r="J159" i="31"/>
  <c r="L159" i="31"/>
  <c r="Q150" i="31"/>
  <c r="R150" i="31"/>
  <c r="J149" i="31"/>
  <c r="L149" i="31"/>
  <c r="Q126" i="31"/>
  <c r="R126" i="31"/>
  <c r="J125" i="31"/>
  <c r="L125" i="31"/>
  <c r="J154" i="31"/>
  <c r="Q155" i="31"/>
  <c r="R155" i="31"/>
  <c r="J142" i="31"/>
  <c r="Q143" i="31"/>
  <c r="R143" i="31"/>
  <c r="J132" i="31"/>
  <c r="Q133" i="31"/>
  <c r="R133" i="31"/>
  <c r="H221" i="31"/>
  <c r="G90" i="31"/>
  <c r="J126" i="31"/>
  <c r="Q127" i="31"/>
  <c r="R127" i="31"/>
  <c r="J131" i="31"/>
  <c r="L131" i="31"/>
  <c r="Q132" i="31"/>
  <c r="R132" i="31"/>
  <c r="H212" i="31"/>
  <c r="G81" i="31"/>
  <c r="J146" i="31"/>
  <c r="L146" i="31"/>
  <c r="Q147" i="31"/>
  <c r="R147" i="31"/>
  <c r="G254" i="31"/>
  <c r="C62" i="31"/>
  <c r="N190" i="31"/>
  <c r="Q130" i="31"/>
  <c r="R130" i="31"/>
  <c r="J129" i="31"/>
  <c r="L129" i="31"/>
  <c r="J150" i="31"/>
  <c r="Q151" i="31"/>
  <c r="R151" i="31"/>
  <c r="H206" i="31"/>
  <c r="G75" i="31"/>
  <c r="Q137" i="31"/>
  <c r="R137" i="31"/>
  <c r="J136" i="31"/>
  <c r="H208" i="31"/>
  <c r="G77" i="31"/>
  <c r="J135" i="31"/>
  <c r="Q136" i="31"/>
  <c r="R136" i="31"/>
  <c r="Q153" i="31"/>
  <c r="R153" i="31"/>
  <c r="J152" i="31"/>
  <c r="F78" i="31"/>
  <c r="G209" i="31"/>
  <c r="H218" i="31"/>
  <c r="G87" i="31"/>
  <c r="J158" i="31"/>
  <c r="F68" i="31"/>
  <c r="N55" i="31"/>
  <c r="C66" i="31"/>
  <c r="N194" i="31"/>
  <c r="J143" i="31"/>
  <c r="Q144" i="31"/>
  <c r="R144" i="31"/>
  <c r="G222" i="31"/>
  <c r="F91" i="31"/>
  <c r="Q134" i="31"/>
  <c r="R134" i="31"/>
  <c r="J133" i="31"/>
  <c r="G196" i="31"/>
  <c r="H191" i="31"/>
  <c r="H186" i="31"/>
  <c r="H183" i="31"/>
  <c r="H188" i="31"/>
  <c r="H192" i="31"/>
  <c r="H189" i="31"/>
  <c r="H187" i="31"/>
  <c r="H193" i="31"/>
  <c r="H195" i="31"/>
  <c r="H190" i="31"/>
  <c r="H194" i="31"/>
  <c r="H184" i="31"/>
  <c r="C55" i="31"/>
  <c r="H185" i="31"/>
  <c r="N183" i="31"/>
  <c r="C60" i="31"/>
  <c r="N188" i="31"/>
  <c r="Q149" i="31"/>
  <c r="R149" i="31"/>
  <c r="J148" i="31"/>
  <c r="C58" i="31"/>
  <c r="N186" i="31"/>
  <c r="J155" i="31"/>
  <c r="L155" i="31"/>
  <c r="Q156" i="31"/>
  <c r="R156" i="31"/>
  <c r="H215" i="31"/>
  <c r="G84" i="31"/>
  <c r="C59" i="31"/>
  <c r="N187" i="31"/>
  <c r="J157" i="31"/>
  <c r="L157" i="31"/>
  <c r="Q158" i="31"/>
  <c r="R158" i="31"/>
  <c r="C56" i="31"/>
  <c r="N184" i="31"/>
  <c r="H223" i="31"/>
  <c r="G92" i="31"/>
  <c r="J134" i="31"/>
  <c r="L134" i="31"/>
  <c r="Q135" i="31"/>
  <c r="R135" i="31"/>
  <c r="Q142" i="31"/>
  <c r="R142" i="31"/>
  <c r="J141" i="31"/>
  <c r="J127" i="31"/>
  <c r="Q128" i="31"/>
  <c r="R128" i="31"/>
  <c r="C67" i="31"/>
  <c r="N195" i="31"/>
  <c r="H207" i="31"/>
  <c r="G76" i="31"/>
  <c r="J153" i="31"/>
  <c r="Q154" i="31"/>
  <c r="R154" i="31"/>
  <c r="J145" i="31"/>
  <c r="L145" i="31"/>
  <c r="Q146" i="31"/>
  <c r="R146" i="31"/>
  <c r="J137" i="31"/>
  <c r="L137" i="31"/>
  <c r="Q138" i="31"/>
  <c r="R138" i="31"/>
  <c r="B255" i="31"/>
  <c r="K254" i="31"/>
  <c r="Q139" i="31"/>
  <c r="R139" i="31"/>
  <c r="J138" i="31"/>
  <c r="L138" i="31"/>
  <c r="F86" i="31"/>
  <c r="G217" i="31"/>
  <c r="J156" i="31"/>
  <c r="Q157" i="31"/>
  <c r="R157" i="31"/>
  <c r="Q141" i="31"/>
  <c r="R141" i="31"/>
  <c r="J140" i="31"/>
  <c r="J147" i="31"/>
  <c r="Q148" i="31"/>
  <c r="R148" i="31"/>
  <c r="F82" i="31"/>
  <c r="G213" i="31"/>
  <c r="C57" i="31"/>
  <c r="N185" i="31"/>
  <c r="C63" i="31"/>
  <c r="N191" i="31"/>
  <c r="C65" i="31"/>
  <c r="N193" i="31"/>
  <c r="C61" i="31"/>
  <c r="N189" i="31"/>
  <c r="Q145" i="31"/>
  <c r="R145" i="31"/>
  <c r="J144" i="31"/>
  <c r="J128" i="31"/>
  <c r="L128" i="31"/>
  <c r="Q129" i="31"/>
  <c r="R129" i="31"/>
  <c r="J139" i="31"/>
  <c r="Q140" i="31"/>
  <c r="R140" i="31"/>
  <c r="J130" i="31"/>
  <c r="Q131" i="31"/>
  <c r="R131" i="31"/>
  <c r="J151" i="31"/>
  <c r="Q152" i="31"/>
  <c r="R152" i="31"/>
  <c r="G189" i="29"/>
  <c r="C61" i="29"/>
  <c r="G209" i="29"/>
  <c r="P209" i="29"/>
  <c r="Q209" i="29"/>
  <c r="G222" i="29"/>
  <c r="H222" i="29"/>
  <c r="G91" i="29"/>
  <c r="H91" i="29"/>
  <c r="F55" i="29"/>
  <c r="N55" i="29"/>
  <c r="G183" i="29"/>
  <c r="C55" i="29"/>
  <c r="G213" i="29"/>
  <c r="H213" i="29"/>
  <c r="G82" i="29"/>
  <c r="H82" i="29"/>
  <c r="G194" i="29"/>
  <c r="C66" i="29"/>
  <c r="P220" i="29"/>
  <c r="AG220" i="29"/>
  <c r="P214" i="29"/>
  <c r="I83" i="29"/>
  <c r="G184" i="29"/>
  <c r="C56" i="29"/>
  <c r="G191" i="29"/>
  <c r="C63" i="29"/>
  <c r="G217" i="29"/>
  <c r="H217" i="29"/>
  <c r="G86" i="29"/>
  <c r="H86" i="29"/>
  <c r="P141" i="29"/>
  <c r="Q141" i="29"/>
  <c r="R141" i="29"/>
  <c r="F62" i="29"/>
  <c r="F58" i="29"/>
  <c r="G192" i="29"/>
  <c r="C64" i="29"/>
  <c r="F67" i="29"/>
  <c r="D196" i="29"/>
  <c r="P142" i="29"/>
  <c r="Q142" i="29"/>
  <c r="F60" i="29"/>
  <c r="C57" i="29"/>
  <c r="N185" i="29"/>
  <c r="I145" i="29"/>
  <c r="K145" i="29"/>
  <c r="P148" i="29"/>
  <c r="Q148" i="29"/>
  <c r="F196" i="29"/>
  <c r="I149" i="29"/>
  <c r="K149" i="29"/>
  <c r="F65" i="29"/>
  <c r="P154" i="29"/>
  <c r="Q154" i="29"/>
  <c r="F57" i="29"/>
  <c r="N186" i="29"/>
  <c r="I142" i="29"/>
  <c r="K142" i="29"/>
  <c r="I150" i="29"/>
  <c r="P139" i="29"/>
  <c r="Q139" i="29"/>
  <c r="Q150" i="29"/>
  <c r="P144" i="29"/>
  <c r="Q144" i="29"/>
  <c r="N190" i="29"/>
  <c r="I146" i="29"/>
  <c r="I154" i="29"/>
  <c r="J154" i="29"/>
  <c r="P152" i="29"/>
  <c r="Q152" i="29"/>
  <c r="Q155" i="29"/>
  <c r="R155" i="29"/>
  <c r="Q143" i="29"/>
  <c r="R143" i="29"/>
  <c r="N193" i="29"/>
  <c r="P128" i="29"/>
  <c r="Q128" i="29"/>
  <c r="I127" i="29"/>
  <c r="K127" i="29"/>
  <c r="G252" i="29"/>
  <c r="I144" i="29"/>
  <c r="J144" i="29"/>
  <c r="N195" i="29"/>
  <c r="P129" i="29"/>
  <c r="Q129" i="29"/>
  <c r="I128" i="29"/>
  <c r="P133" i="29"/>
  <c r="Q133" i="29"/>
  <c r="I132" i="29"/>
  <c r="K132" i="29"/>
  <c r="P137" i="29"/>
  <c r="Q137" i="29"/>
  <c r="I136" i="29"/>
  <c r="K141" i="29"/>
  <c r="K153" i="29"/>
  <c r="H214" i="29"/>
  <c r="G83" i="29"/>
  <c r="H83" i="29"/>
  <c r="K253" i="29"/>
  <c r="B254" i="29"/>
  <c r="E254" i="29"/>
  <c r="E253" i="29"/>
  <c r="G253" i="29"/>
  <c r="AG219" i="29"/>
  <c r="I88" i="29"/>
  <c r="H207" i="29"/>
  <c r="G76" i="29"/>
  <c r="H76" i="29"/>
  <c r="P208" i="29"/>
  <c r="H208" i="29"/>
  <c r="G77" i="29"/>
  <c r="H77" i="29"/>
  <c r="P215" i="29"/>
  <c r="Q215" i="29"/>
  <c r="P136" i="29"/>
  <c r="Q136" i="29"/>
  <c r="I135" i="29"/>
  <c r="K135" i="29"/>
  <c r="K140" i="29"/>
  <c r="P221" i="29"/>
  <c r="Q221" i="29"/>
  <c r="H221" i="29"/>
  <c r="G90" i="29"/>
  <c r="H90" i="29"/>
  <c r="N188" i="29"/>
  <c r="Q219" i="29"/>
  <c r="H219" i="29"/>
  <c r="G88" i="29"/>
  <c r="H88" i="29"/>
  <c r="H211" i="29"/>
  <c r="G80" i="29"/>
  <c r="H80" i="29"/>
  <c r="Q151" i="29"/>
  <c r="R151" i="29"/>
  <c r="I139" i="29"/>
  <c r="J139" i="29"/>
  <c r="H220" i="29"/>
  <c r="G89" i="29"/>
  <c r="H89" i="29"/>
  <c r="P207" i="29"/>
  <c r="Q147" i="29"/>
  <c r="R147" i="29"/>
  <c r="J141" i="29"/>
  <c r="N187" i="29"/>
  <c r="P218" i="29"/>
  <c r="H218" i="29"/>
  <c r="G87" i="29"/>
  <c r="H87" i="29"/>
  <c r="P223" i="29"/>
  <c r="Q223" i="29"/>
  <c r="H223" i="29"/>
  <c r="G92" i="29"/>
  <c r="H92" i="29"/>
  <c r="AC229" i="29"/>
  <c r="AC227" i="29"/>
  <c r="AC212" i="29"/>
  <c r="AC214" i="29"/>
  <c r="AC206" i="29"/>
  <c r="AD205" i="29"/>
  <c r="AC239" i="29"/>
  <c r="AC215" i="29"/>
  <c r="AC226" i="29"/>
  <c r="AC234" i="29"/>
  <c r="AC241" i="29"/>
  <c r="AC225" i="29"/>
  <c r="AC210" i="29"/>
  <c r="AC216" i="29"/>
  <c r="AC220" i="29"/>
  <c r="AC218" i="29"/>
  <c r="AC209" i="29"/>
  <c r="AC221" i="29"/>
  <c r="AC223" i="29"/>
  <c r="AC233" i="29"/>
  <c r="AC217" i="29"/>
  <c r="AC228" i="29"/>
  <c r="AC236" i="29"/>
  <c r="AC242" i="29"/>
  <c r="AC245" i="29"/>
  <c r="AC240" i="29"/>
  <c r="AC235" i="29"/>
  <c r="AC207" i="29"/>
  <c r="AC231" i="29"/>
  <c r="AC211" i="29"/>
  <c r="AC219" i="29"/>
  <c r="AC237" i="29"/>
  <c r="AC222" i="29"/>
  <c r="AC230" i="29"/>
  <c r="AC238" i="29"/>
  <c r="AC208" i="29"/>
  <c r="AC213" i="29"/>
  <c r="AC224" i="29"/>
  <c r="AC232" i="29"/>
  <c r="AC244" i="29"/>
  <c r="AC243" i="29"/>
  <c r="P211" i="29"/>
  <c r="P153" i="29"/>
  <c r="Q153" i="29"/>
  <c r="R153" i="29"/>
  <c r="P130" i="29"/>
  <c r="Q130" i="29"/>
  <c r="I129" i="29"/>
  <c r="I133" i="29"/>
  <c r="P134" i="29"/>
  <c r="Q134" i="29"/>
  <c r="I137" i="29"/>
  <c r="K125" i="29"/>
  <c r="P126" i="29"/>
  <c r="Q126" i="29"/>
  <c r="H215" i="29"/>
  <c r="G84" i="29"/>
  <c r="H84" i="29"/>
  <c r="G157" i="29"/>
  <c r="H157" i="29"/>
  <c r="B158" i="29"/>
  <c r="P132" i="29"/>
  <c r="Q132" i="29"/>
  <c r="I131" i="29"/>
  <c r="K131" i="29"/>
  <c r="I152" i="29"/>
  <c r="J152" i="29"/>
  <c r="P145" i="29"/>
  <c r="Q145" i="29"/>
  <c r="H212" i="29"/>
  <c r="G81" i="29"/>
  <c r="H81" i="29"/>
  <c r="P212" i="29"/>
  <c r="I148" i="29"/>
  <c r="J148" i="29"/>
  <c r="Q138" i="29"/>
  <c r="R138" i="29"/>
  <c r="P210" i="29"/>
  <c r="H210" i="29"/>
  <c r="G79" i="29"/>
  <c r="H79" i="29"/>
  <c r="Q146" i="29"/>
  <c r="H216" i="29"/>
  <c r="G85" i="29"/>
  <c r="H85" i="29"/>
  <c r="P216" i="29"/>
  <c r="Q216" i="29"/>
  <c r="O156" i="29"/>
  <c r="I156" i="29"/>
  <c r="J156" i="29"/>
  <c r="P156" i="29"/>
  <c r="Q149" i="29"/>
  <c r="P140" i="29"/>
  <c r="Q140" i="29"/>
  <c r="R140" i="29"/>
  <c r="P127" i="29"/>
  <c r="Q127" i="29"/>
  <c r="I126" i="29"/>
  <c r="J126" i="29"/>
  <c r="P131" i="29"/>
  <c r="Q131" i="29"/>
  <c r="I130" i="29"/>
  <c r="K130" i="29"/>
  <c r="P135" i="29"/>
  <c r="Q135" i="29"/>
  <c r="I134" i="29"/>
  <c r="K134" i="29"/>
  <c r="K138" i="29"/>
  <c r="K143" i="29"/>
  <c r="K147" i="29"/>
  <c r="K151" i="29"/>
  <c r="K155" i="29"/>
  <c r="H206" i="29"/>
  <c r="G75" i="29"/>
  <c r="H75" i="29"/>
  <c r="P206" i="29"/>
  <c r="H220" i="31"/>
  <c r="G89" i="31"/>
  <c r="H89" i="31"/>
  <c r="AD214" i="31"/>
  <c r="AE214" i="31"/>
  <c r="AV214" i="31"/>
  <c r="H76" i="31"/>
  <c r="H90" i="31"/>
  <c r="H81" i="31"/>
  <c r="H210" i="31"/>
  <c r="G79" i="31"/>
  <c r="H79" i="31"/>
  <c r="H92" i="31"/>
  <c r="K130" i="31"/>
  <c r="AD216" i="31"/>
  <c r="AU216" i="31"/>
  <c r="AD219" i="31"/>
  <c r="I88" i="31"/>
  <c r="H75" i="31"/>
  <c r="H77" i="31"/>
  <c r="AD211" i="31"/>
  <c r="AU211" i="31"/>
  <c r="H84" i="31"/>
  <c r="H87" i="31"/>
  <c r="K135" i="31"/>
  <c r="S129" i="31"/>
  <c r="K144" i="31"/>
  <c r="K140" i="31"/>
  <c r="AE218" i="31"/>
  <c r="AV218" i="31"/>
  <c r="S157" i="31"/>
  <c r="H209" i="29"/>
  <c r="G78" i="29"/>
  <c r="H78" i="29"/>
  <c r="S153" i="31"/>
  <c r="K148" i="31"/>
  <c r="S145" i="31"/>
  <c r="K152" i="31"/>
  <c r="S128" i="31"/>
  <c r="AU206" i="31"/>
  <c r="AD217" i="31"/>
  <c r="AE207" i="31"/>
  <c r="AV207" i="31"/>
  <c r="AF220" i="31"/>
  <c r="AG220" i="31"/>
  <c r="AX220" i="31"/>
  <c r="AU210" i="31"/>
  <c r="AT233" i="31"/>
  <c r="AT227" i="31"/>
  <c r="AT217" i="31"/>
  <c r="AT218" i="31"/>
  <c r="AT242" i="31"/>
  <c r="AT219" i="31"/>
  <c r="AT232" i="31"/>
  <c r="AT207" i="31"/>
  <c r="AT209" i="31"/>
  <c r="AT238" i="31"/>
  <c r="AT234" i="31"/>
  <c r="AT214" i="31"/>
  <c r="AT222" i="31"/>
  <c r="AT229" i="31"/>
  <c r="AT244" i="31"/>
  <c r="AT224" i="31"/>
  <c r="AT239" i="31"/>
  <c r="AT243" i="31"/>
  <c r="AT213" i="31"/>
  <c r="AT223" i="31"/>
  <c r="AT240" i="31"/>
  <c r="AT220" i="31"/>
  <c r="AT231" i="31"/>
  <c r="AT236" i="31"/>
  <c r="AT235" i="31"/>
  <c r="AT230" i="31"/>
  <c r="AT221" i="31"/>
  <c r="AT241" i="31"/>
  <c r="AT228" i="31"/>
  <c r="AT208" i="31"/>
  <c r="AT206" i="31"/>
  <c r="AT226" i="31"/>
  <c r="AT237" i="31"/>
  <c r="AT210" i="31"/>
  <c r="AT215" i="31"/>
  <c r="AT211" i="31"/>
  <c r="AT216" i="31"/>
  <c r="AT212" i="31"/>
  <c r="AT245" i="31"/>
  <c r="AT225" i="31"/>
  <c r="AD222" i="31"/>
  <c r="K132" i="31"/>
  <c r="AU215" i="31"/>
  <c r="AE206" i="31"/>
  <c r="J75" i="31"/>
  <c r="AE210" i="31"/>
  <c r="AF210" i="31"/>
  <c r="AW210" i="31"/>
  <c r="AU214" i="31"/>
  <c r="AU208" i="31"/>
  <c r="AE208" i="31"/>
  <c r="AV208" i="31"/>
  <c r="AU212" i="31"/>
  <c r="AE215" i="31"/>
  <c r="AE212" i="31"/>
  <c r="AV212" i="31"/>
  <c r="AU221" i="31"/>
  <c r="S130" i="31"/>
  <c r="K154" i="31"/>
  <c r="AE221" i="31"/>
  <c r="AV221" i="31"/>
  <c r="AD209" i="31"/>
  <c r="AD213" i="31"/>
  <c r="K151" i="31"/>
  <c r="AU223" i="31"/>
  <c r="K158" i="31"/>
  <c r="S150" i="31"/>
  <c r="AE223" i="31"/>
  <c r="AU218" i="31"/>
  <c r="AU207" i="31"/>
  <c r="S147" i="31"/>
  <c r="AU220" i="31"/>
  <c r="S149" i="31"/>
  <c r="H160" i="31"/>
  <c r="I160" i="31"/>
  <c r="B161" i="31"/>
  <c r="Q159" i="31"/>
  <c r="P159" i="31"/>
  <c r="S155" i="31"/>
  <c r="L151" i="31"/>
  <c r="S146" i="31"/>
  <c r="K136" i="31"/>
  <c r="S134" i="31"/>
  <c r="S131" i="31"/>
  <c r="S137" i="31"/>
  <c r="S127" i="31"/>
  <c r="L135" i="31"/>
  <c r="K147" i="31"/>
  <c r="K126" i="31"/>
  <c r="L147" i="31"/>
  <c r="K143" i="31"/>
  <c r="K139" i="31"/>
  <c r="S141" i="31"/>
  <c r="S142" i="31"/>
  <c r="S138" i="31"/>
  <c r="K156" i="31"/>
  <c r="L158" i="31"/>
  <c r="L136" i="31"/>
  <c r="L126" i="31"/>
  <c r="S126" i="31"/>
  <c r="L156" i="31"/>
  <c r="I92" i="31"/>
  <c r="I84" i="31"/>
  <c r="J191" i="31"/>
  <c r="L191" i="31"/>
  <c r="O192" i="31"/>
  <c r="P192" i="31"/>
  <c r="S144" i="31"/>
  <c r="I87" i="31"/>
  <c r="L152" i="31"/>
  <c r="H217" i="31"/>
  <c r="G86" i="31"/>
  <c r="H86" i="31"/>
  <c r="K133" i="31"/>
  <c r="O188" i="31"/>
  <c r="P188" i="31"/>
  <c r="J187" i="31"/>
  <c r="L187" i="31"/>
  <c r="L154" i="31"/>
  <c r="E255" i="31"/>
  <c r="O187" i="31"/>
  <c r="P187" i="31"/>
  <c r="J186" i="31"/>
  <c r="L186" i="31"/>
  <c r="L130" i="31"/>
  <c r="K145" i="31"/>
  <c r="I89" i="31"/>
  <c r="I79" i="31"/>
  <c r="L143" i="31"/>
  <c r="L133" i="31"/>
  <c r="S136" i="31"/>
  <c r="K149" i="31"/>
  <c r="I75" i="31"/>
  <c r="S154" i="31"/>
  <c r="L148" i="31"/>
  <c r="K146" i="31"/>
  <c r="I90" i="31"/>
  <c r="K153" i="31"/>
  <c r="K127" i="31"/>
  <c r="J185" i="31"/>
  <c r="L185" i="31"/>
  <c r="O186" i="31"/>
  <c r="P186" i="31"/>
  <c r="H222" i="31"/>
  <c r="G91" i="31"/>
  <c r="H91" i="31"/>
  <c r="S132" i="31"/>
  <c r="B256" i="31"/>
  <c r="E256" i="31"/>
  <c r="K255" i="31"/>
  <c r="O193" i="31"/>
  <c r="P193" i="31"/>
  <c r="J192" i="31"/>
  <c r="L192" i="31"/>
  <c r="L140" i="31"/>
  <c r="L153" i="31"/>
  <c r="L127" i="31"/>
  <c r="C68" i="31"/>
  <c r="K55" i="31"/>
  <c r="E55" i="31"/>
  <c r="M55" i="31"/>
  <c r="K131" i="31"/>
  <c r="O190" i="31"/>
  <c r="P190" i="31"/>
  <c r="J189" i="31"/>
  <c r="O189" i="31"/>
  <c r="P189" i="31"/>
  <c r="J188" i="31"/>
  <c r="S152" i="31"/>
  <c r="S140" i="31"/>
  <c r="H213" i="31"/>
  <c r="G82" i="31"/>
  <c r="H82" i="31"/>
  <c r="K141" i="31"/>
  <c r="O185" i="31"/>
  <c r="P185" i="31"/>
  <c r="J184" i="31"/>
  <c r="S143" i="31"/>
  <c r="K137" i="31"/>
  <c r="J194" i="31"/>
  <c r="L194" i="31"/>
  <c r="O195" i="31"/>
  <c r="P195" i="31"/>
  <c r="I77" i="31"/>
  <c r="S151" i="31"/>
  <c r="K142" i="31"/>
  <c r="O184" i="31"/>
  <c r="P184" i="31"/>
  <c r="J183" i="31"/>
  <c r="L183" i="31"/>
  <c r="L139" i="31"/>
  <c r="L141" i="31"/>
  <c r="S156" i="31"/>
  <c r="J190" i="31"/>
  <c r="O191" i="31"/>
  <c r="P191" i="31"/>
  <c r="I83" i="31"/>
  <c r="H209" i="31"/>
  <c r="G78" i="31"/>
  <c r="H78" i="31"/>
  <c r="K150" i="31"/>
  <c r="L142" i="31"/>
  <c r="L132" i="31"/>
  <c r="S148" i="31"/>
  <c r="K138" i="31"/>
  <c r="S135" i="31"/>
  <c r="S158" i="31"/>
  <c r="K155" i="31"/>
  <c r="J195" i="31"/>
  <c r="L150" i="31"/>
  <c r="K159" i="31"/>
  <c r="L144" i="31"/>
  <c r="I81" i="31"/>
  <c r="K128" i="31"/>
  <c r="S139" i="31"/>
  <c r="I76" i="31"/>
  <c r="K134" i="31"/>
  <c r="K157" i="31"/>
  <c r="O194" i="31"/>
  <c r="P194" i="31"/>
  <c r="J193" i="31"/>
  <c r="L193" i="31"/>
  <c r="K129" i="31"/>
  <c r="S133" i="31"/>
  <c r="N189" i="29"/>
  <c r="N183" i="29"/>
  <c r="H183" i="29"/>
  <c r="O184" i="29"/>
  <c r="P217" i="29"/>
  <c r="I86" i="29"/>
  <c r="AG214" i="29"/>
  <c r="P222" i="29"/>
  <c r="AG222" i="29"/>
  <c r="N191" i="29"/>
  <c r="N194" i="29"/>
  <c r="P213" i="29"/>
  <c r="Q213" i="29"/>
  <c r="R142" i="29"/>
  <c r="I89" i="29"/>
  <c r="Q220" i="29"/>
  <c r="R220" i="29"/>
  <c r="K89" i="29"/>
  <c r="Q214" i="29"/>
  <c r="AH214" i="29"/>
  <c r="H189" i="29"/>
  <c r="J189" i="29"/>
  <c r="L189" i="29"/>
  <c r="N184" i="29"/>
  <c r="H190" i="29"/>
  <c r="J190" i="29"/>
  <c r="H184" i="29"/>
  <c r="O185" i="29"/>
  <c r="P185" i="29"/>
  <c r="H185" i="29"/>
  <c r="J185" i="29"/>
  <c r="H186" i="29"/>
  <c r="O187" i="29"/>
  <c r="P187" i="29"/>
  <c r="H188" i="29"/>
  <c r="O189" i="29"/>
  <c r="H187" i="29"/>
  <c r="J187" i="29"/>
  <c r="H191" i="29"/>
  <c r="O192" i="29"/>
  <c r="G196" i="29"/>
  <c r="J145" i="29"/>
  <c r="H194" i="29"/>
  <c r="O195" i="29"/>
  <c r="P195" i="29"/>
  <c r="H192" i="29"/>
  <c r="J192" i="29"/>
  <c r="H195" i="29"/>
  <c r="J195" i="29"/>
  <c r="H193" i="29"/>
  <c r="J193" i="29"/>
  <c r="N192" i="29"/>
  <c r="J146" i="29"/>
  <c r="R149" i="29"/>
  <c r="J143" i="29"/>
  <c r="J142" i="29"/>
  <c r="R145" i="29"/>
  <c r="R139" i="29"/>
  <c r="J150" i="29"/>
  <c r="F68" i="29"/>
  <c r="R216" i="29"/>
  <c r="K85" i="29"/>
  <c r="J133" i="29"/>
  <c r="R132" i="29"/>
  <c r="Q218" i="29"/>
  <c r="R218" i="29"/>
  <c r="S218" i="29"/>
  <c r="J151" i="29"/>
  <c r="K150" i="29"/>
  <c r="R150" i="29"/>
  <c r="R127" i="29"/>
  <c r="R223" i="29"/>
  <c r="AI223" i="29"/>
  <c r="J128" i="29"/>
  <c r="R144" i="29"/>
  <c r="R154" i="29"/>
  <c r="R146" i="29"/>
  <c r="K146" i="29"/>
  <c r="R152" i="29"/>
  <c r="J147" i="29"/>
  <c r="K133" i="29"/>
  <c r="J136" i="29"/>
  <c r="J134" i="29"/>
  <c r="R131" i="29"/>
  <c r="K154" i="29"/>
  <c r="J137" i="29"/>
  <c r="J129" i="29"/>
  <c r="R136" i="29"/>
  <c r="J155" i="29"/>
  <c r="R135" i="29"/>
  <c r="Q156" i="29"/>
  <c r="R156" i="29"/>
  <c r="K128" i="29"/>
  <c r="AH209" i="29"/>
  <c r="J78" i="29"/>
  <c r="AH215" i="29"/>
  <c r="J84" i="29"/>
  <c r="AH216" i="29"/>
  <c r="J85" i="29"/>
  <c r="Q210" i="29"/>
  <c r="R210" i="29"/>
  <c r="AG212" i="29"/>
  <c r="I81" i="29"/>
  <c r="J130" i="29"/>
  <c r="AG216" i="29"/>
  <c r="I85" i="29"/>
  <c r="Q212" i="29"/>
  <c r="R212" i="29"/>
  <c r="J131" i="29"/>
  <c r="O157" i="29"/>
  <c r="I157" i="29"/>
  <c r="P157" i="29"/>
  <c r="R134" i="29"/>
  <c r="R130" i="29"/>
  <c r="AD238" i="29"/>
  <c r="AD223" i="29"/>
  <c r="AD220" i="29"/>
  <c r="AE205" i="29"/>
  <c r="AD212" i="29"/>
  <c r="AD218" i="29"/>
  <c r="AD210" i="29"/>
  <c r="AD233" i="29"/>
  <c r="AD207" i="29"/>
  <c r="AD225" i="29"/>
  <c r="AD214" i="29"/>
  <c r="AD232" i="29"/>
  <c r="AD211" i="29"/>
  <c r="AD226" i="29"/>
  <c r="AD221" i="29"/>
  <c r="AD219" i="29"/>
  <c r="AD240" i="29"/>
  <c r="AD235" i="29"/>
  <c r="AD213" i="29"/>
  <c r="AD216" i="29"/>
  <c r="AD236" i="29"/>
  <c r="AD231" i="29"/>
  <c r="AD244" i="29"/>
  <c r="AD206" i="29"/>
  <c r="AD208" i="29"/>
  <c r="AD222" i="29"/>
  <c r="AD239" i="29"/>
  <c r="AD224" i="29"/>
  <c r="AD215" i="29"/>
  <c r="AD229" i="29"/>
  <c r="AD243" i="29"/>
  <c r="AD227" i="29"/>
  <c r="AD228" i="29"/>
  <c r="AD241" i="29"/>
  <c r="AD209" i="29"/>
  <c r="AD217" i="29"/>
  <c r="AD234" i="29"/>
  <c r="AD237" i="29"/>
  <c r="AD230" i="29"/>
  <c r="AD242" i="29"/>
  <c r="AD245" i="29"/>
  <c r="AG218" i="29"/>
  <c r="I87" i="29"/>
  <c r="R209" i="29"/>
  <c r="S209" i="29"/>
  <c r="R219" i="29"/>
  <c r="R221" i="29"/>
  <c r="K152" i="29"/>
  <c r="J135" i="29"/>
  <c r="Q207" i="29"/>
  <c r="R207" i="29"/>
  <c r="S207" i="29"/>
  <c r="C68" i="29"/>
  <c r="E55" i="29"/>
  <c r="M55" i="29"/>
  <c r="K55" i="29"/>
  <c r="G254" i="29"/>
  <c r="R137" i="29"/>
  <c r="R128" i="29"/>
  <c r="AG206" i="29"/>
  <c r="I75" i="29"/>
  <c r="I79" i="29"/>
  <c r="AG210" i="29"/>
  <c r="Q206" i="29"/>
  <c r="K126" i="29"/>
  <c r="R126" i="29"/>
  <c r="K129" i="29"/>
  <c r="AG223" i="29"/>
  <c r="I92" i="29"/>
  <c r="AH221" i="29"/>
  <c r="J90" i="29"/>
  <c r="K148" i="29"/>
  <c r="AG208" i="29"/>
  <c r="I77" i="29"/>
  <c r="K136" i="29"/>
  <c r="Q211" i="29"/>
  <c r="K144" i="29"/>
  <c r="J149" i="29"/>
  <c r="AH223" i="29"/>
  <c r="J92" i="29"/>
  <c r="AG207" i="29"/>
  <c r="I76" i="29"/>
  <c r="AH219" i="29"/>
  <c r="J88" i="29"/>
  <c r="K156" i="29"/>
  <c r="J132" i="29"/>
  <c r="R129" i="29"/>
  <c r="K139" i="29"/>
  <c r="G158" i="29"/>
  <c r="H158" i="29"/>
  <c r="B159" i="29"/>
  <c r="AG209" i="29"/>
  <c r="I78" i="29"/>
  <c r="K137" i="29"/>
  <c r="AG211" i="29"/>
  <c r="I80" i="29"/>
  <c r="J138" i="29"/>
  <c r="AG221" i="29"/>
  <c r="I90" i="29"/>
  <c r="AG215" i="29"/>
  <c r="I84" i="29"/>
  <c r="Q208" i="29"/>
  <c r="R148" i="29"/>
  <c r="R215" i="29"/>
  <c r="S215" i="29"/>
  <c r="K254" i="29"/>
  <c r="B255" i="29"/>
  <c r="E255" i="29"/>
  <c r="R133" i="29"/>
  <c r="J127" i="29"/>
  <c r="J153" i="29"/>
  <c r="J140" i="29"/>
  <c r="AE219" i="31"/>
  <c r="J88" i="31"/>
  <c r="AU219" i="31"/>
  <c r="I85" i="31"/>
  <c r="AE216" i="31"/>
  <c r="AV216" i="31"/>
  <c r="I80" i="31"/>
  <c r="AE211" i="31"/>
  <c r="AV211" i="31"/>
  <c r="J81" i="31"/>
  <c r="AF221" i="31"/>
  <c r="AW221" i="31"/>
  <c r="AF218" i="31"/>
  <c r="AW218" i="31"/>
  <c r="AF208" i="31"/>
  <c r="AW208" i="31"/>
  <c r="J79" i="31"/>
  <c r="AF206" i="31"/>
  <c r="AW206" i="31"/>
  <c r="AV215" i="31"/>
  <c r="AV210" i="31"/>
  <c r="AE217" i="31"/>
  <c r="AV217" i="31"/>
  <c r="AU209" i="31"/>
  <c r="AV206" i="31"/>
  <c r="AE209" i="31"/>
  <c r="AV209" i="31"/>
  <c r="F69" i="31"/>
  <c r="J76" i="31"/>
  <c r="AU222" i="31"/>
  <c r="J83" i="31"/>
  <c r="AF212" i="31"/>
  <c r="AW212" i="31"/>
  <c r="AU213" i="31"/>
  <c r="AG210" i="31"/>
  <c r="AH220" i="31"/>
  <c r="AI220" i="31"/>
  <c r="AZ220" i="31"/>
  <c r="AU217" i="31"/>
  <c r="AE213" i="31"/>
  <c r="AF207" i="31"/>
  <c r="AG207" i="31"/>
  <c r="AH207" i="31"/>
  <c r="AV223" i="31"/>
  <c r="AF223" i="31"/>
  <c r="AG223" i="31"/>
  <c r="AX223" i="31"/>
  <c r="AF215" i="31"/>
  <c r="K84" i="31"/>
  <c r="AF214" i="31"/>
  <c r="AE222" i="31"/>
  <c r="AF222" i="31"/>
  <c r="AW222" i="31"/>
  <c r="AW220" i="31"/>
  <c r="R159" i="31"/>
  <c r="S159" i="31"/>
  <c r="P189" i="29"/>
  <c r="Q189" i="29"/>
  <c r="B162" i="31"/>
  <c r="H161" i="31"/>
  <c r="I161" i="31"/>
  <c r="Q160" i="31"/>
  <c r="P160" i="31"/>
  <c r="J160" i="31"/>
  <c r="K89" i="31"/>
  <c r="J77" i="31"/>
  <c r="B257" i="31"/>
  <c r="K256" i="31"/>
  <c r="I86" i="31"/>
  <c r="C69" i="31"/>
  <c r="K79" i="31"/>
  <c r="K186" i="31"/>
  <c r="D58" i="31"/>
  <c r="Q186" i="31"/>
  <c r="G256" i="31"/>
  <c r="G255" i="31"/>
  <c r="Q195" i="31"/>
  <c r="K195" i="31"/>
  <c r="D67" i="31"/>
  <c r="L195" i="31"/>
  <c r="K193" i="31"/>
  <c r="D65" i="31"/>
  <c r="Q193" i="31"/>
  <c r="I78" i="31"/>
  <c r="Q187" i="31"/>
  <c r="K187" i="31"/>
  <c r="D59" i="31"/>
  <c r="I82" i="31"/>
  <c r="J89" i="31"/>
  <c r="K184" i="31"/>
  <c r="Q184" i="31"/>
  <c r="K188" i="31"/>
  <c r="D60" i="31"/>
  <c r="Q188" i="31"/>
  <c r="I91" i="31"/>
  <c r="K191" i="31"/>
  <c r="D63" i="31"/>
  <c r="Q191" i="31"/>
  <c r="L184" i="31"/>
  <c r="L188" i="31"/>
  <c r="J87" i="31"/>
  <c r="Q189" i="31"/>
  <c r="K189" i="31"/>
  <c r="D61" i="31"/>
  <c r="J92" i="31"/>
  <c r="Q190" i="31"/>
  <c r="K190" i="31"/>
  <c r="D62" i="31"/>
  <c r="L190" i="31"/>
  <c r="L189" i="31"/>
  <c r="K192" i="31"/>
  <c r="D64" i="31"/>
  <c r="Q192" i="31"/>
  <c r="Q185" i="31"/>
  <c r="K185" i="31"/>
  <c r="D57" i="31"/>
  <c r="J90" i="31"/>
  <c r="J84" i="31"/>
  <c r="K194" i="31"/>
  <c r="D66" i="31"/>
  <c r="Q194" i="31"/>
  <c r="J183" i="29"/>
  <c r="L183" i="29"/>
  <c r="Q217" i="29"/>
  <c r="R217" i="29"/>
  <c r="AI217" i="29"/>
  <c r="AG217" i="29"/>
  <c r="O191" i="29"/>
  <c r="P191" i="29"/>
  <c r="AH220" i="29"/>
  <c r="Q222" i="29"/>
  <c r="AH222" i="29"/>
  <c r="AG213" i="29"/>
  <c r="I82" i="29"/>
  <c r="I91" i="29"/>
  <c r="S220" i="29"/>
  <c r="AJ220" i="29"/>
  <c r="AI220" i="29"/>
  <c r="O190" i="29"/>
  <c r="P190" i="29"/>
  <c r="Q190" i="29"/>
  <c r="J89" i="29"/>
  <c r="J184" i="29"/>
  <c r="L184" i="29"/>
  <c r="O186" i="29"/>
  <c r="P186" i="29"/>
  <c r="J188" i="29"/>
  <c r="L188" i="29"/>
  <c r="J186" i="29"/>
  <c r="L186" i="29"/>
  <c r="Q187" i="29"/>
  <c r="R214" i="29"/>
  <c r="S214" i="29"/>
  <c r="AJ214" i="29"/>
  <c r="O188" i="29"/>
  <c r="P188" i="29"/>
  <c r="L187" i="29"/>
  <c r="J83" i="29"/>
  <c r="J191" i="29"/>
  <c r="K192" i="29"/>
  <c r="D64" i="29"/>
  <c r="P184" i="29"/>
  <c r="J194" i="29"/>
  <c r="L194" i="29"/>
  <c r="O194" i="29"/>
  <c r="P194" i="29"/>
  <c r="AI216" i="29"/>
  <c r="P192" i="29"/>
  <c r="Q192" i="29"/>
  <c r="O193" i="29"/>
  <c r="P193" i="29"/>
  <c r="Q193" i="29"/>
  <c r="J87" i="29"/>
  <c r="S216" i="29"/>
  <c r="T216" i="29"/>
  <c r="AH218" i="29"/>
  <c r="AI218" i="29"/>
  <c r="K87" i="29"/>
  <c r="T207" i="29"/>
  <c r="U207" i="29"/>
  <c r="S223" i="29"/>
  <c r="T223" i="29"/>
  <c r="AK223" i="29"/>
  <c r="K92" i="29"/>
  <c r="AJ215" i="29"/>
  <c r="L84" i="29"/>
  <c r="T215" i="29"/>
  <c r="U215" i="29"/>
  <c r="B160" i="29"/>
  <c r="G159" i="29"/>
  <c r="H159" i="29"/>
  <c r="AH211" i="29"/>
  <c r="J80" i="29"/>
  <c r="AI210" i="29"/>
  <c r="K79" i="29"/>
  <c r="K190" i="29"/>
  <c r="D62" i="29"/>
  <c r="AI221" i="29"/>
  <c r="K90" i="29"/>
  <c r="AI219" i="29"/>
  <c r="K88" i="29"/>
  <c r="AJ209" i="29"/>
  <c r="L78" i="29"/>
  <c r="S221" i="29"/>
  <c r="Q195" i="29"/>
  <c r="Q185" i="29"/>
  <c r="P158" i="29"/>
  <c r="O158" i="29"/>
  <c r="I158" i="29"/>
  <c r="L195" i="29"/>
  <c r="AH213" i="29"/>
  <c r="J82" i="29"/>
  <c r="K193" i="29"/>
  <c r="D65" i="29"/>
  <c r="T209" i="29"/>
  <c r="G255" i="29"/>
  <c r="L190" i="29"/>
  <c r="AH207" i="29"/>
  <c r="J76" i="29"/>
  <c r="R213" i="29"/>
  <c r="S219" i="29"/>
  <c r="J157" i="29"/>
  <c r="K157" i="29"/>
  <c r="AH212" i="29"/>
  <c r="J81" i="29"/>
  <c r="S212" i="29"/>
  <c r="R206" i="29"/>
  <c r="S206" i="29"/>
  <c r="AH210" i="29"/>
  <c r="J79" i="29"/>
  <c r="R211" i="29"/>
  <c r="B256" i="29"/>
  <c r="E256" i="29"/>
  <c r="K255" i="29"/>
  <c r="AI215" i="29"/>
  <c r="K84" i="29"/>
  <c r="L185" i="29"/>
  <c r="AI207" i="29"/>
  <c r="K76" i="29"/>
  <c r="L193" i="29"/>
  <c r="AJ218" i="29"/>
  <c r="L87" i="29"/>
  <c r="T218" i="29"/>
  <c r="AE232" i="29"/>
  <c r="AE222" i="29"/>
  <c r="AE230" i="29"/>
  <c r="AE228" i="29"/>
  <c r="AE236" i="29"/>
  <c r="AE217" i="29"/>
  <c r="AE237" i="29"/>
  <c r="AE234" i="29"/>
  <c r="AE226" i="29"/>
  <c r="AE215" i="29"/>
  <c r="AF205" i="29"/>
  <c r="AE224" i="29"/>
  <c r="AE219" i="29"/>
  <c r="AE209" i="29"/>
  <c r="AE207" i="29"/>
  <c r="AE213" i="29"/>
  <c r="AE211" i="29"/>
  <c r="AE220" i="29"/>
  <c r="AE240" i="29"/>
  <c r="AE214" i="29"/>
  <c r="AE238" i="29"/>
  <c r="AE225" i="29"/>
  <c r="AE239" i="29"/>
  <c r="AE216" i="29"/>
  <c r="AE221" i="29"/>
  <c r="AE229" i="29"/>
  <c r="AE241" i="29"/>
  <c r="AE242" i="29"/>
  <c r="AE245" i="29"/>
  <c r="AE244" i="29"/>
  <c r="AE235" i="29"/>
  <c r="AE231" i="29"/>
  <c r="AE243" i="29"/>
  <c r="AE210" i="29"/>
  <c r="AE206" i="29"/>
  <c r="AE208" i="29"/>
  <c r="AE212" i="29"/>
  <c r="AE218" i="29"/>
  <c r="AE223" i="29"/>
  <c r="AE233" i="29"/>
  <c r="AE227" i="29"/>
  <c r="Q157" i="29"/>
  <c r="R157" i="29"/>
  <c r="AH208" i="29"/>
  <c r="J77" i="29"/>
  <c r="R208" i="29"/>
  <c r="S208" i="29"/>
  <c r="L192" i="29"/>
  <c r="AJ207" i="29"/>
  <c r="L76" i="29"/>
  <c r="AI212" i="29"/>
  <c r="K81" i="29"/>
  <c r="S210" i="29"/>
  <c r="AH206" i="29"/>
  <c r="J75" i="29"/>
  <c r="AI209" i="29"/>
  <c r="K78" i="29"/>
  <c r="AF219" i="31"/>
  <c r="AW219" i="31"/>
  <c r="AV219" i="31"/>
  <c r="J85" i="31"/>
  <c r="AF216" i="31"/>
  <c r="AG216" i="31"/>
  <c r="AX216" i="31"/>
  <c r="AG206" i="31"/>
  <c r="AH206" i="31"/>
  <c r="AY206" i="31"/>
  <c r="J80" i="31"/>
  <c r="AF211" i="31"/>
  <c r="K80" i="31"/>
  <c r="AG208" i="31"/>
  <c r="AH208" i="31"/>
  <c r="AY208" i="31"/>
  <c r="AG221" i="31"/>
  <c r="AX221" i="31"/>
  <c r="K90" i="31"/>
  <c r="K87" i="31"/>
  <c r="AG218" i="31"/>
  <c r="L87" i="31"/>
  <c r="K75" i="31"/>
  <c r="R160" i="31"/>
  <c r="S160" i="31"/>
  <c r="K92" i="31"/>
  <c r="AF217" i="31"/>
  <c r="AW217" i="31"/>
  <c r="AF209" i="31"/>
  <c r="AW209" i="31"/>
  <c r="AH223" i="31"/>
  <c r="AY223" i="31"/>
  <c r="J78" i="31"/>
  <c r="AY207" i="31"/>
  <c r="M76" i="31"/>
  <c r="AW214" i="31"/>
  <c r="AG214" i="31"/>
  <c r="K83" i="31"/>
  <c r="AW215" i="31"/>
  <c r="AV213" i="31"/>
  <c r="AF213" i="31"/>
  <c r="AX207" i="31"/>
  <c r="L76" i="31"/>
  <c r="AG215" i="31"/>
  <c r="AH215" i="31"/>
  <c r="AY215" i="31"/>
  <c r="AJ220" i="31"/>
  <c r="BA220" i="31"/>
  <c r="K81" i="31"/>
  <c r="J91" i="31"/>
  <c r="AW223" i="31"/>
  <c r="AY220" i="31"/>
  <c r="AI207" i="31"/>
  <c r="AW207" i="31"/>
  <c r="K76" i="31"/>
  <c r="AX210" i="31"/>
  <c r="AH210" i="31"/>
  <c r="AV222" i="31"/>
  <c r="AG222" i="31"/>
  <c r="AX222" i="31"/>
  <c r="AG212" i="31"/>
  <c r="Q161" i="31"/>
  <c r="P161" i="31"/>
  <c r="J161" i="31"/>
  <c r="H162" i="31"/>
  <c r="I162" i="31"/>
  <c r="F232" i="31"/>
  <c r="B163" i="31"/>
  <c r="F226" i="31"/>
  <c r="F224" i="31"/>
  <c r="F231" i="31"/>
  <c r="F229" i="31"/>
  <c r="F230" i="31"/>
  <c r="F228" i="31"/>
  <c r="F225" i="31"/>
  <c r="F227" i="31"/>
  <c r="F233" i="31"/>
  <c r="K160" i="31"/>
  <c r="L160" i="31"/>
  <c r="J82" i="31"/>
  <c r="K91" i="31"/>
  <c r="L89" i="31"/>
  <c r="L79" i="31"/>
  <c r="B258" i="31"/>
  <c r="K257" i="31"/>
  <c r="M89" i="31"/>
  <c r="L92" i="31"/>
  <c r="N89" i="31"/>
  <c r="D56" i="31"/>
  <c r="K196" i="31"/>
  <c r="J86" i="31"/>
  <c r="K77" i="31"/>
  <c r="T220" i="29"/>
  <c r="U220" i="29"/>
  <c r="N89" i="29"/>
  <c r="R222" i="29"/>
  <c r="S222" i="29"/>
  <c r="AJ222" i="29"/>
  <c r="Q191" i="29"/>
  <c r="J86" i="29"/>
  <c r="AH217" i="29"/>
  <c r="S217" i="29"/>
  <c r="T217" i="29"/>
  <c r="M86" i="29"/>
  <c r="K86" i="29"/>
  <c r="L89" i="29"/>
  <c r="J91" i="29"/>
  <c r="Q184" i="29"/>
  <c r="K191" i="29"/>
  <c r="D63" i="29"/>
  <c r="K83" i="29"/>
  <c r="AI214" i="29"/>
  <c r="L83" i="29"/>
  <c r="K185" i="29"/>
  <c r="D57" i="29"/>
  <c r="K186" i="29"/>
  <c r="D58" i="29"/>
  <c r="Q186" i="29"/>
  <c r="K188" i="29"/>
  <c r="D60" i="29"/>
  <c r="Q188" i="29"/>
  <c r="K187" i="29"/>
  <c r="D59" i="29"/>
  <c r="K189" i="29"/>
  <c r="D61" i="29"/>
  <c r="K184" i="29"/>
  <c r="D56" i="29"/>
  <c r="T214" i="29"/>
  <c r="U214" i="29"/>
  <c r="N83" i="29"/>
  <c r="L191" i="29"/>
  <c r="K195" i="29"/>
  <c r="D67" i="29"/>
  <c r="Q194" i="29"/>
  <c r="K194" i="29"/>
  <c r="D66" i="29"/>
  <c r="L85" i="29"/>
  <c r="AJ216" i="29"/>
  <c r="AK207" i="29"/>
  <c r="U223" i="29"/>
  <c r="V223" i="29"/>
  <c r="O92" i="29"/>
  <c r="M92" i="29"/>
  <c r="L92" i="29"/>
  <c r="AJ223" i="29"/>
  <c r="N76" i="29"/>
  <c r="V207" i="29"/>
  <c r="W207" i="29"/>
  <c r="AL207" i="29"/>
  <c r="M76" i="29"/>
  <c r="Q158" i="29"/>
  <c r="R158" i="29"/>
  <c r="AJ208" i="29"/>
  <c r="L77" i="29"/>
  <c r="T208" i="29"/>
  <c r="U208" i="29"/>
  <c r="V208" i="29"/>
  <c r="AF245" i="29"/>
  <c r="AF243" i="29"/>
  <c r="AF238" i="29"/>
  <c r="AF230" i="29"/>
  <c r="AF228" i="29"/>
  <c r="AF241" i="29"/>
  <c r="AF236" i="29"/>
  <c r="AF226" i="29"/>
  <c r="AF237" i="29"/>
  <c r="AF234" i="29"/>
  <c r="AF215" i="29"/>
  <c r="AF232" i="29"/>
  <c r="AF224" i="29"/>
  <c r="AF213" i="29"/>
  <c r="AF222" i="29"/>
  <c r="AF219" i="29"/>
  <c r="AF217" i="29"/>
  <c r="AF207" i="29"/>
  <c r="AF211" i="29"/>
  <c r="AF209" i="29"/>
  <c r="AF240" i="29"/>
  <c r="AF235" i="29"/>
  <c r="AF231" i="29"/>
  <c r="AF210" i="29"/>
  <c r="AF206" i="29"/>
  <c r="AF208" i="29"/>
  <c r="AF212" i="29"/>
  <c r="AF239" i="29"/>
  <c r="AF218" i="29"/>
  <c r="AF223" i="29"/>
  <c r="AF244" i="29"/>
  <c r="AF233" i="29"/>
  <c r="AF227" i="29"/>
  <c r="AF220" i="29"/>
  <c r="AF214" i="29"/>
  <c r="AF225" i="29"/>
  <c r="AF216" i="29"/>
  <c r="AF221" i="29"/>
  <c r="AF229" i="29"/>
  <c r="AF242" i="29"/>
  <c r="G256" i="29"/>
  <c r="AK216" i="29"/>
  <c r="M85" i="29"/>
  <c r="AI211" i="29"/>
  <c r="K80" i="29"/>
  <c r="S211" i="29"/>
  <c r="T211" i="29"/>
  <c r="AJ212" i="29"/>
  <c r="L81" i="29"/>
  <c r="T212" i="29"/>
  <c r="U212" i="29"/>
  <c r="AI213" i="29"/>
  <c r="K82" i="29"/>
  <c r="S213" i="29"/>
  <c r="U216" i="29"/>
  <c r="AK215" i="29"/>
  <c r="M84" i="29"/>
  <c r="AJ210" i="29"/>
  <c r="L79" i="29"/>
  <c r="AI208" i="29"/>
  <c r="K77" i="29"/>
  <c r="AL215" i="29"/>
  <c r="N84" i="29"/>
  <c r="U218" i="29"/>
  <c r="V218" i="29"/>
  <c r="B257" i="29"/>
  <c r="K256" i="29"/>
  <c r="AI206" i="29"/>
  <c r="K75" i="29"/>
  <c r="T206" i="29"/>
  <c r="AJ221" i="29"/>
  <c r="L90" i="29"/>
  <c r="T221" i="29"/>
  <c r="U221" i="29"/>
  <c r="P159" i="29"/>
  <c r="O159" i="29"/>
  <c r="I159" i="29"/>
  <c r="AJ219" i="29"/>
  <c r="L88" i="29"/>
  <c r="T219" i="29"/>
  <c r="U219" i="29"/>
  <c r="J158" i="29"/>
  <c r="K158" i="29"/>
  <c r="T210" i="29"/>
  <c r="V215" i="29"/>
  <c r="W215" i="29"/>
  <c r="B161" i="29"/>
  <c r="G160" i="29"/>
  <c r="H160" i="29"/>
  <c r="AK218" i="29"/>
  <c r="M87" i="29"/>
  <c r="AJ206" i="29"/>
  <c r="L75" i="29"/>
  <c r="AK209" i="29"/>
  <c r="M78" i="29"/>
  <c r="U209" i="29"/>
  <c r="V209" i="29"/>
  <c r="AG219" i="31"/>
  <c r="AX219" i="31"/>
  <c r="K88" i="31"/>
  <c r="AH216" i="31"/>
  <c r="AY216" i="31"/>
  <c r="AW216" i="31"/>
  <c r="L85" i="31"/>
  <c r="K85" i="31"/>
  <c r="AX206" i="31"/>
  <c r="AI206" i="31"/>
  <c r="AJ206" i="31"/>
  <c r="BA206" i="31"/>
  <c r="L75" i="31"/>
  <c r="AL220" i="29"/>
  <c r="AG211" i="31"/>
  <c r="AH211" i="31"/>
  <c r="AY211" i="31"/>
  <c r="AW211" i="31"/>
  <c r="L88" i="31"/>
  <c r="AH219" i="31"/>
  <c r="AY219" i="31"/>
  <c r="AX208" i="31"/>
  <c r="AI208" i="31"/>
  <c r="AZ208" i="31"/>
  <c r="AH221" i="31"/>
  <c r="AY221" i="31"/>
  <c r="L90" i="31"/>
  <c r="L86" i="29"/>
  <c r="AX218" i="31"/>
  <c r="AH218" i="31"/>
  <c r="K78" i="31"/>
  <c r="AG209" i="31"/>
  <c r="AH209" i="31"/>
  <c r="M78" i="31"/>
  <c r="AG217" i="31"/>
  <c r="AH217" i="31"/>
  <c r="AI217" i="31"/>
  <c r="AZ217" i="31"/>
  <c r="AI223" i="31"/>
  <c r="AZ223" i="31"/>
  <c r="AH212" i="31"/>
  <c r="AY212" i="31"/>
  <c r="AK220" i="31"/>
  <c r="AL220" i="31"/>
  <c r="AW213" i="31"/>
  <c r="AG213" i="31"/>
  <c r="AZ207" i="31"/>
  <c r="N76" i="31"/>
  <c r="AX215" i="31"/>
  <c r="AX212" i="31"/>
  <c r="L81" i="31"/>
  <c r="AI215" i="31"/>
  <c r="AZ215" i="31"/>
  <c r="AJ207" i="31"/>
  <c r="AH222" i="31"/>
  <c r="AI222" i="31"/>
  <c r="AX214" i="31"/>
  <c r="L83" i="31"/>
  <c r="AH214" i="31"/>
  <c r="L91" i="31"/>
  <c r="L84" i="31"/>
  <c r="AY210" i="31"/>
  <c r="AI210" i="31"/>
  <c r="AZ210" i="31"/>
  <c r="F95" i="31"/>
  <c r="G226" i="31"/>
  <c r="B164" i="31"/>
  <c r="H163" i="31"/>
  <c r="I163" i="31"/>
  <c r="G224" i="31"/>
  <c r="F93" i="31"/>
  <c r="AJ217" i="29"/>
  <c r="G227" i="31"/>
  <c r="F96" i="31"/>
  <c r="F94" i="31"/>
  <c r="G225" i="31"/>
  <c r="F97" i="31"/>
  <c r="G228" i="31"/>
  <c r="L161" i="31"/>
  <c r="K161" i="31"/>
  <c r="G230" i="31"/>
  <c r="F99" i="31"/>
  <c r="R161" i="31"/>
  <c r="S161" i="31"/>
  <c r="J162" i="31"/>
  <c r="Q162" i="31"/>
  <c r="P162" i="31"/>
  <c r="F102" i="31"/>
  <c r="G233" i="31"/>
  <c r="G232" i="31"/>
  <c r="F101" i="31"/>
  <c r="G229" i="31"/>
  <c r="F98" i="31"/>
  <c r="F234" i="31"/>
  <c r="G231" i="31"/>
  <c r="F100" i="31"/>
  <c r="M84" i="31"/>
  <c r="B259" i="31"/>
  <c r="K258" i="31"/>
  <c r="O89" i="31"/>
  <c r="P89" i="31"/>
  <c r="Q89" i="31"/>
  <c r="M92" i="31"/>
  <c r="M75" i="31"/>
  <c r="M77" i="31"/>
  <c r="K86" i="31"/>
  <c r="K82" i="31"/>
  <c r="L77" i="31"/>
  <c r="V214" i="29"/>
  <c r="AM214" i="29"/>
  <c r="D68" i="31"/>
  <c r="L56" i="31"/>
  <c r="E67" i="31"/>
  <c r="E62" i="31"/>
  <c r="E61" i="31"/>
  <c r="E65" i="31"/>
  <c r="E59" i="31"/>
  <c r="E60" i="31"/>
  <c r="E66" i="31"/>
  <c r="E64" i="31"/>
  <c r="E63" i="31"/>
  <c r="E58" i="31"/>
  <c r="E57" i="31"/>
  <c r="E56" i="31"/>
  <c r="M79" i="31"/>
  <c r="T222" i="29"/>
  <c r="U222" i="29"/>
  <c r="V222" i="29"/>
  <c r="V220" i="29"/>
  <c r="AM220" i="29"/>
  <c r="M89" i="29"/>
  <c r="K91" i="29"/>
  <c r="AK220" i="29"/>
  <c r="AI222" i="29"/>
  <c r="L91" i="29"/>
  <c r="AL214" i="29"/>
  <c r="AK217" i="29"/>
  <c r="M83" i="29"/>
  <c r="U217" i="29"/>
  <c r="V217" i="29"/>
  <c r="W217" i="29"/>
  <c r="Y217" i="29"/>
  <c r="D86" i="29"/>
  <c r="AK214" i="29"/>
  <c r="K196" i="29"/>
  <c r="D253" i="29"/>
  <c r="D254" i="29"/>
  <c r="D255" i="29"/>
  <c r="W223" i="29"/>
  <c r="X223" i="29"/>
  <c r="N92" i="29"/>
  <c r="P92" i="29"/>
  <c r="Q92" i="29"/>
  <c r="O76" i="29"/>
  <c r="P76" i="29"/>
  <c r="Q76" i="29"/>
  <c r="AM207" i="29"/>
  <c r="Y207" i="29"/>
  <c r="D76" i="29"/>
  <c r="X207" i="29"/>
  <c r="AM223" i="29"/>
  <c r="AL223" i="29"/>
  <c r="D252" i="29"/>
  <c r="D256" i="29"/>
  <c r="Q159" i="29"/>
  <c r="R159" i="29"/>
  <c r="AM218" i="29"/>
  <c r="O87" i="29"/>
  <c r="W218" i="29"/>
  <c r="AM208" i="29"/>
  <c r="O77" i="29"/>
  <c r="W208" i="29"/>
  <c r="AM209" i="29"/>
  <c r="O78" i="29"/>
  <c r="AL212" i="29"/>
  <c r="N81" i="29"/>
  <c r="AK210" i="29"/>
  <c r="M79" i="29"/>
  <c r="AL219" i="29"/>
  <c r="N88" i="29"/>
  <c r="U210" i="29"/>
  <c r="V210" i="29"/>
  <c r="AL221" i="29"/>
  <c r="N90" i="29"/>
  <c r="AK206" i="29"/>
  <c r="M75" i="29"/>
  <c r="U206" i="29"/>
  <c r="V206" i="29"/>
  <c r="C257" i="29"/>
  <c r="C256" i="29"/>
  <c r="L256" i="29"/>
  <c r="C255" i="29"/>
  <c r="L255" i="29"/>
  <c r="D305" i="29"/>
  <c r="D251" i="29"/>
  <c r="AJ213" i="29"/>
  <c r="L82" i="29"/>
  <c r="T213" i="29"/>
  <c r="U213" i="29"/>
  <c r="AK212" i="29"/>
  <c r="M81" i="29"/>
  <c r="Y215" i="29"/>
  <c r="D84" i="29"/>
  <c r="X215" i="29"/>
  <c r="AL209" i="29"/>
  <c r="N78" i="29"/>
  <c r="D68" i="29"/>
  <c r="L56" i="29"/>
  <c r="E66" i="29"/>
  <c r="E61" i="29"/>
  <c r="E60" i="29"/>
  <c r="E62" i="29"/>
  <c r="E65" i="29"/>
  <c r="E57" i="29"/>
  <c r="E63" i="29"/>
  <c r="E64" i="29"/>
  <c r="E56" i="29"/>
  <c r="E59" i="29"/>
  <c r="E67" i="29"/>
  <c r="E58" i="29"/>
  <c r="W209" i="29"/>
  <c r="G161" i="29"/>
  <c r="H161" i="29"/>
  <c r="B162" i="29"/>
  <c r="AM215" i="29"/>
  <c r="O84" i="29"/>
  <c r="P84" i="29"/>
  <c r="Q84" i="29"/>
  <c r="V221" i="29"/>
  <c r="AL218" i="29"/>
  <c r="N87" i="29"/>
  <c r="AL208" i="29"/>
  <c r="N77" i="29"/>
  <c r="AL216" i="29"/>
  <c r="N85" i="29"/>
  <c r="V216" i="29"/>
  <c r="W216" i="29"/>
  <c r="C253" i="29"/>
  <c r="L253" i="29"/>
  <c r="C305" i="29"/>
  <c r="J56" i="29"/>
  <c r="N56" i="29"/>
  <c r="C252" i="29"/>
  <c r="L252" i="29"/>
  <c r="O160" i="29"/>
  <c r="I160" i="29"/>
  <c r="P160" i="29"/>
  <c r="AK219" i="29"/>
  <c r="M88" i="29"/>
  <c r="V219" i="29"/>
  <c r="J159" i="29"/>
  <c r="K159" i="29"/>
  <c r="AK221" i="29"/>
  <c r="M90" i="29"/>
  <c r="K257" i="29"/>
  <c r="B258" i="29"/>
  <c r="AK211" i="29"/>
  <c r="M80" i="29"/>
  <c r="V212" i="29"/>
  <c r="AJ211" i="29"/>
  <c r="L80" i="29"/>
  <c r="U211" i="29"/>
  <c r="C254" i="29"/>
  <c r="L254" i="29"/>
  <c r="C251" i="29"/>
  <c r="L251" i="29"/>
  <c r="AK208" i="29"/>
  <c r="M77" i="29"/>
  <c r="AZ206" i="31"/>
  <c r="AK206" i="31"/>
  <c r="M85" i="31"/>
  <c r="L80" i="31"/>
  <c r="AX211" i="31"/>
  <c r="AI211" i="31"/>
  <c r="AZ211" i="31"/>
  <c r="AI216" i="31"/>
  <c r="AZ216" i="31"/>
  <c r="M80" i="31"/>
  <c r="M88" i="31"/>
  <c r="AI219" i="31"/>
  <c r="N88" i="31"/>
  <c r="N77" i="31"/>
  <c r="AJ208" i="31"/>
  <c r="BA208" i="31"/>
  <c r="AX217" i="31"/>
  <c r="AI221" i="31"/>
  <c r="N90" i="31"/>
  <c r="M90" i="31"/>
  <c r="M81" i="31"/>
  <c r="AJ223" i="31"/>
  <c r="BA223" i="31"/>
  <c r="AI218" i="31"/>
  <c r="AJ218" i="31"/>
  <c r="AY218" i="31"/>
  <c r="M87" i="31"/>
  <c r="AJ210" i="31"/>
  <c r="BA210" i="31"/>
  <c r="N84" i="31"/>
  <c r="AM220" i="31"/>
  <c r="D89" i="31"/>
  <c r="AJ215" i="31"/>
  <c r="BA215" i="31"/>
  <c r="AX209" i="31"/>
  <c r="L78" i="31"/>
  <c r="AI212" i="31"/>
  <c r="N81" i="31"/>
  <c r="AY209" i="31"/>
  <c r="AI209" i="31"/>
  <c r="N78" i="31"/>
  <c r="N86" i="29"/>
  <c r="AL217" i="29"/>
  <c r="AZ222" i="31"/>
  <c r="N91" i="31"/>
  <c r="AM206" i="31"/>
  <c r="AL206" i="31"/>
  <c r="AD231" i="31"/>
  <c r="AY217" i="31"/>
  <c r="AD227" i="31"/>
  <c r="X217" i="29"/>
  <c r="AD229" i="31"/>
  <c r="AE229" i="31"/>
  <c r="AJ217" i="31"/>
  <c r="BA217" i="31"/>
  <c r="BA207" i="31"/>
  <c r="O76" i="31"/>
  <c r="P76" i="31"/>
  <c r="Q76" i="31"/>
  <c r="AK207" i="31"/>
  <c r="AD228" i="31"/>
  <c r="AY222" i="31"/>
  <c r="M91" i="31"/>
  <c r="AJ222" i="31"/>
  <c r="AD224" i="31"/>
  <c r="AE224" i="31"/>
  <c r="AV224" i="31"/>
  <c r="AD232" i="31"/>
  <c r="AD233" i="31"/>
  <c r="AY214" i="31"/>
  <c r="M83" i="31"/>
  <c r="AI214" i="31"/>
  <c r="AD225" i="31"/>
  <c r="AD226" i="31"/>
  <c r="AJ211" i="31"/>
  <c r="AX213" i="31"/>
  <c r="AH213" i="31"/>
  <c r="AI213" i="31"/>
  <c r="AZ213" i="31"/>
  <c r="AD230" i="31"/>
  <c r="N79" i="31"/>
  <c r="F103" i="31"/>
  <c r="G234" i="31"/>
  <c r="H228" i="31"/>
  <c r="G97" i="31"/>
  <c r="H97" i="31"/>
  <c r="M91" i="29"/>
  <c r="H232" i="31"/>
  <c r="G101" i="31"/>
  <c r="H101" i="31"/>
  <c r="H225" i="31"/>
  <c r="G94" i="31"/>
  <c r="H94" i="31"/>
  <c r="H231" i="31"/>
  <c r="G100" i="31"/>
  <c r="H100" i="31"/>
  <c r="J163" i="31"/>
  <c r="Q163" i="31"/>
  <c r="P163" i="31"/>
  <c r="H229" i="31"/>
  <c r="G98" i="31"/>
  <c r="H98" i="31"/>
  <c r="H227" i="31"/>
  <c r="G96" i="31"/>
  <c r="H96" i="31"/>
  <c r="B165" i="31"/>
  <c r="H164" i="31"/>
  <c r="I164" i="31"/>
  <c r="W214" i="29"/>
  <c r="X214" i="29"/>
  <c r="H233" i="31"/>
  <c r="G102" i="31"/>
  <c r="H102" i="31"/>
  <c r="R162" i="31"/>
  <c r="S162" i="31"/>
  <c r="H226" i="31"/>
  <c r="G95" i="31"/>
  <c r="H95" i="31"/>
  <c r="K162" i="31"/>
  <c r="L162" i="31"/>
  <c r="H224" i="31"/>
  <c r="G93" i="31"/>
  <c r="H93" i="31"/>
  <c r="H230" i="31"/>
  <c r="G99" i="31"/>
  <c r="H99" i="31"/>
  <c r="O75" i="31"/>
  <c r="AK222" i="29"/>
  <c r="L86" i="31"/>
  <c r="D69" i="31"/>
  <c r="L82" i="31"/>
  <c r="N75" i="31"/>
  <c r="O83" i="29"/>
  <c r="P83" i="29"/>
  <c r="Q83" i="29"/>
  <c r="B260" i="31"/>
  <c r="K259" i="31"/>
  <c r="N92" i="31"/>
  <c r="O86" i="29"/>
  <c r="AM217" i="29"/>
  <c r="W220" i="29"/>
  <c r="X220" i="29"/>
  <c r="O89" i="29"/>
  <c r="P89" i="29"/>
  <c r="Q89" i="29"/>
  <c r="Y223" i="29"/>
  <c r="D92" i="29"/>
  <c r="C309" i="29"/>
  <c r="J60" i="29"/>
  <c r="N60" i="29"/>
  <c r="G56" i="29"/>
  <c r="K56" i="29"/>
  <c r="F305" i="29"/>
  <c r="P78" i="29"/>
  <c r="Q78" i="29"/>
  <c r="Q160" i="29"/>
  <c r="R160" i="29"/>
  <c r="P77" i="29"/>
  <c r="Q77" i="29"/>
  <c r="P87" i="29"/>
  <c r="Q87" i="29"/>
  <c r="AL213" i="29"/>
  <c r="N82" i="29"/>
  <c r="V213" i="29"/>
  <c r="W213" i="29"/>
  <c r="AM210" i="29"/>
  <c r="O79" i="29"/>
  <c r="W210" i="29"/>
  <c r="K258" i="29"/>
  <c r="B259" i="29"/>
  <c r="C259" i="29"/>
  <c r="L257" i="29"/>
  <c r="W206" i="29"/>
  <c r="AL222" i="29"/>
  <c r="N91" i="29"/>
  <c r="W222" i="29"/>
  <c r="AM216" i="29"/>
  <c r="O85" i="29"/>
  <c r="P85" i="29"/>
  <c r="Q85" i="29"/>
  <c r="Y209" i="29"/>
  <c r="X209" i="29"/>
  <c r="AL206" i="29"/>
  <c r="N75" i="29"/>
  <c r="AM222" i="29"/>
  <c r="O91" i="29"/>
  <c r="AM212" i="29"/>
  <c r="O81" i="29"/>
  <c r="P81" i="29"/>
  <c r="Q81" i="29"/>
  <c r="D258" i="29"/>
  <c r="AM219" i="29"/>
  <c r="O88" i="29"/>
  <c r="P88" i="29"/>
  <c r="Q88" i="29"/>
  <c r="X216" i="29"/>
  <c r="Y216" i="29"/>
  <c r="D85" i="29"/>
  <c r="AM221" i="29"/>
  <c r="O90" i="29"/>
  <c r="P90" i="29"/>
  <c r="Q90" i="29"/>
  <c r="W221" i="29"/>
  <c r="G162" i="29"/>
  <c r="H162" i="29"/>
  <c r="B163" i="29"/>
  <c r="F234" i="29"/>
  <c r="F231" i="29"/>
  <c r="F226" i="29"/>
  <c r="F230" i="29"/>
  <c r="F225" i="29"/>
  <c r="F227" i="29"/>
  <c r="F224" i="29"/>
  <c r="F228" i="29"/>
  <c r="F232" i="29"/>
  <c r="F233" i="29"/>
  <c r="F229" i="29"/>
  <c r="AL210" i="29"/>
  <c r="N79" i="29"/>
  <c r="X208" i="29"/>
  <c r="Y208" i="29"/>
  <c r="D77" i="29"/>
  <c r="AL211" i="29"/>
  <c r="N80" i="29"/>
  <c r="V211" i="29"/>
  <c r="C258" i="29"/>
  <c r="E258" i="29"/>
  <c r="W219" i="29"/>
  <c r="J160" i="29"/>
  <c r="K160" i="29"/>
  <c r="AM206" i="29"/>
  <c r="O75" i="29"/>
  <c r="I161" i="29"/>
  <c r="P161" i="29"/>
  <c r="O161" i="29"/>
  <c r="F253" i="29"/>
  <c r="H253" i="29"/>
  <c r="F256" i="29"/>
  <c r="H256" i="29"/>
  <c r="F254" i="29"/>
  <c r="H254" i="29"/>
  <c r="F255" i="29"/>
  <c r="H255" i="29"/>
  <c r="F251" i="29"/>
  <c r="H251" i="29"/>
  <c r="F252" i="29"/>
  <c r="H252" i="29"/>
  <c r="W212" i="29"/>
  <c r="AK213" i="29"/>
  <c r="M82" i="29"/>
  <c r="X218" i="29"/>
  <c r="Y218" i="29"/>
  <c r="N80" i="31"/>
  <c r="AJ216" i="31"/>
  <c r="O85" i="31"/>
  <c r="N85" i="31"/>
  <c r="O77" i="31"/>
  <c r="P77" i="31"/>
  <c r="Q77" i="31"/>
  <c r="AK210" i="31"/>
  <c r="AL210" i="31"/>
  <c r="AJ219" i="31"/>
  <c r="BA219" i="31"/>
  <c r="AZ219" i="31"/>
  <c r="AJ221" i="31"/>
  <c r="BA221" i="31"/>
  <c r="AZ221" i="31"/>
  <c r="AK208" i="31"/>
  <c r="AL208" i="31"/>
  <c r="AK216" i="31"/>
  <c r="AL216" i="31"/>
  <c r="AK215" i="31"/>
  <c r="AL215" i="31"/>
  <c r="O92" i="31"/>
  <c r="P92" i="31"/>
  <c r="Q92" i="31"/>
  <c r="AK223" i="31"/>
  <c r="AL223" i="31"/>
  <c r="BA218" i="31"/>
  <c r="O87" i="31"/>
  <c r="AZ218" i="31"/>
  <c r="AK218" i="31"/>
  <c r="N87" i="31"/>
  <c r="BA216" i="31"/>
  <c r="O84" i="31"/>
  <c r="P84" i="31"/>
  <c r="Q84" i="31"/>
  <c r="O79" i="31"/>
  <c r="P79" i="31"/>
  <c r="Q79" i="31"/>
  <c r="P86" i="29"/>
  <c r="Q86" i="29"/>
  <c r="AZ212" i="31"/>
  <c r="AJ212" i="31"/>
  <c r="AK212" i="31"/>
  <c r="AZ209" i="31"/>
  <c r="AJ209" i="31"/>
  <c r="BA209" i="31"/>
  <c r="AV229" i="31"/>
  <c r="J98" i="31"/>
  <c r="AU224" i="31"/>
  <c r="I93" i="31"/>
  <c r="AF229" i="31"/>
  <c r="AG229" i="31"/>
  <c r="AH229" i="31"/>
  <c r="AY229" i="31"/>
  <c r="AU231" i="31"/>
  <c r="I100" i="31"/>
  <c r="AE226" i="31"/>
  <c r="AF224" i="31"/>
  <c r="AG224" i="31"/>
  <c r="AX224" i="31"/>
  <c r="AU225" i="31"/>
  <c r="I94" i="31"/>
  <c r="AU232" i="31"/>
  <c r="I101" i="31"/>
  <c r="AE228" i="31"/>
  <c r="AF228" i="31"/>
  <c r="AE231" i="31"/>
  <c r="BA222" i="31"/>
  <c r="O91" i="31"/>
  <c r="P91" i="31"/>
  <c r="Q91" i="31"/>
  <c r="AU230" i="31"/>
  <c r="I99" i="31"/>
  <c r="AY213" i="31"/>
  <c r="AU229" i="31"/>
  <c r="I98" i="31"/>
  <c r="AK217" i="31"/>
  <c r="AU233" i="31"/>
  <c r="I102" i="31"/>
  <c r="AD234" i="31"/>
  <c r="AE234" i="31"/>
  <c r="AU228" i="31"/>
  <c r="I97" i="31"/>
  <c r="AJ213" i="31"/>
  <c r="BA213" i="31"/>
  <c r="AU227" i="31"/>
  <c r="I96" i="31"/>
  <c r="AE225" i="31"/>
  <c r="AF225" i="31"/>
  <c r="AW225" i="31"/>
  <c r="AE227" i="31"/>
  <c r="AF227" i="31"/>
  <c r="AU226" i="31"/>
  <c r="I95" i="31"/>
  <c r="J93" i="31"/>
  <c r="AE230" i="31"/>
  <c r="AE232" i="31"/>
  <c r="AM207" i="31"/>
  <c r="AL207" i="31"/>
  <c r="AK222" i="31"/>
  <c r="BA211" i="31"/>
  <c r="O80" i="31"/>
  <c r="P80" i="31"/>
  <c r="Q80" i="31"/>
  <c r="AK211" i="31"/>
  <c r="AE233" i="31"/>
  <c r="AZ214" i="31"/>
  <c r="N83" i="31"/>
  <c r="AJ214" i="31"/>
  <c r="H165" i="31"/>
  <c r="I165" i="31"/>
  <c r="B166" i="31"/>
  <c r="R163" i="31"/>
  <c r="S163" i="31"/>
  <c r="J164" i="31"/>
  <c r="Q164" i="31"/>
  <c r="P164" i="31"/>
  <c r="P75" i="31"/>
  <c r="Q75" i="31"/>
  <c r="H234" i="31"/>
  <c r="G103" i="31"/>
  <c r="H103" i="31"/>
  <c r="K163" i="31"/>
  <c r="L163" i="31"/>
  <c r="Y214" i="29"/>
  <c r="D83" i="29"/>
  <c r="N82" i="31"/>
  <c r="K260" i="31"/>
  <c r="B261" i="31"/>
  <c r="M86" i="31"/>
  <c r="M82" i="31"/>
  <c r="Y220" i="29"/>
  <c r="D89" i="29"/>
  <c r="I56" i="29"/>
  <c r="M56" i="29"/>
  <c r="D309" i="29"/>
  <c r="G60" i="29"/>
  <c r="K60" i="29"/>
  <c r="P91" i="29"/>
  <c r="Q91" i="29"/>
  <c r="Y213" i="29"/>
  <c r="X213" i="29"/>
  <c r="AM211" i="29"/>
  <c r="O80" i="29"/>
  <c r="P80" i="29"/>
  <c r="Q80" i="29"/>
  <c r="F98" i="29"/>
  <c r="G229" i="29"/>
  <c r="F93" i="29"/>
  <c r="G224" i="29"/>
  <c r="F95" i="29"/>
  <c r="G226" i="29"/>
  <c r="P162" i="29"/>
  <c r="I162" i="29"/>
  <c r="O162" i="29"/>
  <c r="D87" i="29"/>
  <c r="J161" i="29"/>
  <c r="K161" i="29"/>
  <c r="F102" i="29"/>
  <c r="G233" i="29"/>
  <c r="F96" i="29"/>
  <c r="G227" i="29"/>
  <c r="F100" i="29"/>
  <c r="G231" i="29"/>
  <c r="X221" i="29"/>
  <c r="Y221" i="29"/>
  <c r="D90" i="29"/>
  <c r="Y222" i="29"/>
  <c r="X222" i="29"/>
  <c r="X206" i="29"/>
  <c r="Y206" i="29"/>
  <c r="X210" i="29"/>
  <c r="Y210" i="29"/>
  <c r="D79" i="29"/>
  <c r="X212" i="29"/>
  <c r="Y212" i="29"/>
  <c r="D81" i="29"/>
  <c r="Y219" i="29"/>
  <c r="D88" i="29"/>
  <c r="X219" i="29"/>
  <c r="F103" i="29"/>
  <c r="G234" i="29"/>
  <c r="D78" i="29"/>
  <c r="L258" i="29"/>
  <c r="C307" i="29"/>
  <c r="J58" i="29"/>
  <c r="N58" i="29"/>
  <c r="AM213" i="29"/>
  <c r="O82" i="29"/>
  <c r="P82" i="29"/>
  <c r="Q82" i="29"/>
  <c r="F101" i="29"/>
  <c r="G232" i="29"/>
  <c r="Q161" i="29"/>
  <c r="R161" i="29"/>
  <c r="W211" i="29"/>
  <c r="F97" i="29"/>
  <c r="G228" i="29"/>
  <c r="F94" i="29"/>
  <c r="G225" i="29"/>
  <c r="F99" i="29"/>
  <c r="G230" i="29"/>
  <c r="B164" i="29"/>
  <c r="G163" i="29"/>
  <c r="H163" i="29"/>
  <c r="P75" i="29"/>
  <c r="Q75" i="29"/>
  <c r="B260" i="29"/>
  <c r="D260" i="29"/>
  <c r="K259" i="29"/>
  <c r="L259" i="29"/>
  <c r="D259" i="29"/>
  <c r="P79" i="29"/>
  <c r="Q79" i="29"/>
  <c r="C308" i="29"/>
  <c r="J59" i="29"/>
  <c r="N59" i="29"/>
  <c r="D257" i="29"/>
  <c r="E259" i="29"/>
  <c r="P85" i="31"/>
  <c r="Q85" i="31"/>
  <c r="AM210" i="31"/>
  <c r="D79" i="31"/>
  <c r="AK219" i="31"/>
  <c r="AM219" i="31"/>
  <c r="D88" i="31"/>
  <c r="O88" i="31"/>
  <c r="P88" i="31"/>
  <c r="Q88" i="31"/>
  <c r="AM215" i="31"/>
  <c r="D84" i="31"/>
  <c r="O90" i="31"/>
  <c r="P90" i="31"/>
  <c r="Q90" i="31"/>
  <c r="AM216" i="31"/>
  <c r="D85" i="31"/>
  <c r="AM208" i="31"/>
  <c r="D77" i="31"/>
  <c r="AK221" i="31"/>
  <c r="AM221" i="31"/>
  <c r="P87" i="31"/>
  <c r="Q87" i="31"/>
  <c r="AM223" i="31"/>
  <c r="D92" i="31"/>
  <c r="AL218" i="31"/>
  <c r="AM218" i="31"/>
  <c r="D87" i="31"/>
  <c r="O78" i="31"/>
  <c r="P78" i="31"/>
  <c r="Q78" i="31"/>
  <c r="AM212" i="31"/>
  <c r="D81" i="31"/>
  <c r="AL212" i="31"/>
  <c r="BA212" i="31"/>
  <c r="O81" i="31"/>
  <c r="P81" i="31"/>
  <c r="Q81" i="31"/>
  <c r="AF234" i="31"/>
  <c r="AG234" i="31"/>
  <c r="AX234" i="31"/>
  <c r="AK209" i="31"/>
  <c r="AW228" i="31"/>
  <c r="K97" i="31"/>
  <c r="K94" i="31"/>
  <c r="AV230" i="31"/>
  <c r="J99" i="31"/>
  <c r="AX229" i="31"/>
  <c r="L98" i="31"/>
  <c r="AH224" i="31"/>
  <c r="AY224" i="31"/>
  <c r="AM222" i="31"/>
  <c r="D91" i="31"/>
  <c r="AL222" i="31"/>
  <c r="BA214" i="31"/>
  <c r="O83" i="31"/>
  <c r="P83" i="31"/>
  <c r="Q83" i="31"/>
  <c r="AK214" i="31"/>
  <c r="AW227" i="31"/>
  <c r="K96" i="31"/>
  <c r="AV233" i="31"/>
  <c r="AF233" i="31"/>
  <c r="J102" i="31"/>
  <c r="AM217" i="31"/>
  <c r="AL217" i="31"/>
  <c r="AW229" i="31"/>
  <c r="K98" i="31"/>
  <c r="L93" i="31"/>
  <c r="AV226" i="31"/>
  <c r="J95" i="31"/>
  <c r="AL211" i="31"/>
  <c r="AM211" i="31"/>
  <c r="D80" i="31"/>
  <c r="AV234" i="31"/>
  <c r="J103" i="31"/>
  <c r="D76" i="31"/>
  <c r="E258" i="31"/>
  <c r="AV228" i="31"/>
  <c r="J97" i="31"/>
  <c r="AW224" i="31"/>
  <c r="K93" i="31"/>
  <c r="AV231" i="31"/>
  <c r="J100" i="31"/>
  <c r="AV232" i="31"/>
  <c r="J101" i="31"/>
  <c r="AG227" i="31"/>
  <c r="AK213" i="31"/>
  <c r="AF231" i="31"/>
  <c r="AG231" i="31"/>
  <c r="M98" i="31"/>
  <c r="AF232" i="31"/>
  <c r="AG232" i="31"/>
  <c r="AV227" i="31"/>
  <c r="J96" i="31"/>
  <c r="AF226" i="31"/>
  <c r="AG225" i="31"/>
  <c r="AX225" i="31"/>
  <c r="AG228" i="31"/>
  <c r="AH228" i="31"/>
  <c r="AF230" i="31"/>
  <c r="AV225" i="31"/>
  <c r="J94" i="31"/>
  <c r="AI229" i="31"/>
  <c r="AJ229" i="31"/>
  <c r="AU234" i="31"/>
  <c r="I103" i="31"/>
  <c r="J165" i="31"/>
  <c r="P165" i="31"/>
  <c r="Q165" i="31"/>
  <c r="R164" i="31"/>
  <c r="S164" i="31"/>
  <c r="B167" i="31"/>
  <c r="H166" i="31"/>
  <c r="I166" i="31"/>
  <c r="L164" i="31"/>
  <c r="K164" i="31"/>
  <c r="O86" i="31"/>
  <c r="N86" i="31"/>
  <c r="B262" i="31"/>
  <c r="K261" i="31"/>
  <c r="D75" i="31"/>
  <c r="E257" i="31"/>
  <c r="O82" i="31"/>
  <c r="P82" i="31"/>
  <c r="Q82" i="31"/>
  <c r="C260" i="29"/>
  <c r="E260" i="29"/>
  <c r="Q162" i="29"/>
  <c r="R162" i="29"/>
  <c r="H230" i="29"/>
  <c r="G99" i="29"/>
  <c r="H99" i="29"/>
  <c r="P230" i="29"/>
  <c r="H228" i="29"/>
  <c r="G97" i="29"/>
  <c r="H97" i="29"/>
  <c r="P228" i="29"/>
  <c r="D91" i="29"/>
  <c r="E310" i="29"/>
  <c r="H61" i="29"/>
  <c r="L61" i="29"/>
  <c r="E309" i="29"/>
  <c r="H60" i="29"/>
  <c r="L60" i="29"/>
  <c r="H232" i="29"/>
  <c r="G101" i="29"/>
  <c r="H101" i="29"/>
  <c r="P232" i="29"/>
  <c r="H234" i="29"/>
  <c r="G103" i="29"/>
  <c r="H103" i="29"/>
  <c r="P234" i="29"/>
  <c r="D75" i="29"/>
  <c r="E306" i="29"/>
  <c r="E257" i="29"/>
  <c r="H227" i="29"/>
  <c r="G96" i="29"/>
  <c r="H96" i="29"/>
  <c r="P227" i="29"/>
  <c r="H226" i="29"/>
  <c r="G95" i="29"/>
  <c r="H95" i="29"/>
  <c r="P226" i="29"/>
  <c r="H229" i="29"/>
  <c r="G98" i="29"/>
  <c r="H98" i="29"/>
  <c r="P229" i="29"/>
  <c r="P163" i="29"/>
  <c r="O163" i="29"/>
  <c r="I163" i="29"/>
  <c r="H225" i="29"/>
  <c r="G94" i="29"/>
  <c r="H94" i="29"/>
  <c r="P225" i="29"/>
  <c r="Y211" i="29"/>
  <c r="X211" i="29"/>
  <c r="F260" i="29"/>
  <c r="F257" i="29"/>
  <c r="F259" i="29"/>
  <c r="F258" i="29"/>
  <c r="B261" i="29"/>
  <c r="E261" i="29"/>
  <c r="K260" i="29"/>
  <c r="B165" i="29"/>
  <c r="G164" i="29"/>
  <c r="H164" i="29"/>
  <c r="H231" i="29"/>
  <c r="G100" i="29"/>
  <c r="H100" i="29"/>
  <c r="P231" i="29"/>
  <c r="Q231" i="29"/>
  <c r="H233" i="29"/>
  <c r="G102" i="29"/>
  <c r="H102" i="29"/>
  <c r="P233" i="29"/>
  <c r="Q233" i="29"/>
  <c r="J162" i="29"/>
  <c r="K162" i="29"/>
  <c r="H224" i="29"/>
  <c r="G93" i="29"/>
  <c r="H93" i="29"/>
  <c r="P224" i="29"/>
  <c r="D82" i="29"/>
  <c r="E308" i="29"/>
  <c r="H59" i="29"/>
  <c r="L59" i="29"/>
  <c r="E261" i="31"/>
  <c r="AL219" i="31"/>
  <c r="E259" i="31"/>
  <c r="G259" i="31"/>
  <c r="E306" i="31"/>
  <c r="H57" i="31"/>
  <c r="AL221" i="31"/>
  <c r="AW234" i="31"/>
  <c r="L103" i="31"/>
  <c r="D90" i="31"/>
  <c r="E309" i="31"/>
  <c r="H60" i="31"/>
  <c r="L60" i="31"/>
  <c r="E310" i="31"/>
  <c r="H61" i="31"/>
  <c r="L61" i="31"/>
  <c r="E262" i="31"/>
  <c r="AH234" i="31"/>
  <c r="AY234" i="31"/>
  <c r="P86" i="31"/>
  <c r="Q86" i="31"/>
  <c r="K103" i="31"/>
  <c r="AH225" i="31"/>
  <c r="AY225" i="31"/>
  <c r="AM209" i="31"/>
  <c r="D78" i="31"/>
  <c r="AL209" i="31"/>
  <c r="L94" i="31"/>
  <c r="AX232" i="31"/>
  <c r="L101" i="31"/>
  <c r="BA229" i="31"/>
  <c r="O98" i="31"/>
  <c r="AW231" i="31"/>
  <c r="K100" i="31"/>
  <c r="AG226" i="31"/>
  <c r="AM213" i="31"/>
  <c r="D82" i="31"/>
  <c r="AL213" i="31"/>
  <c r="AI224" i="31"/>
  <c r="AZ224" i="31"/>
  <c r="AX231" i="31"/>
  <c r="L100" i="31"/>
  <c r="AW233" i="31"/>
  <c r="K102" i="31"/>
  <c r="AW226" i="31"/>
  <c r="K95" i="31"/>
  <c r="AW230" i="31"/>
  <c r="K99" i="31"/>
  <c r="AG230" i="31"/>
  <c r="AL214" i="31"/>
  <c r="AM214" i="31"/>
  <c r="D83" i="31"/>
  <c r="AY228" i="31"/>
  <c r="M97" i="31"/>
  <c r="AH232" i="31"/>
  <c r="AX228" i="31"/>
  <c r="L97" i="31"/>
  <c r="AG233" i="31"/>
  <c r="M93" i="31"/>
  <c r="AI228" i="31"/>
  <c r="AW232" i="31"/>
  <c r="K101" i="31"/>
  <c r="AH231" i="31"/>
  <c r="AZ229" i="31"/>
  <c r="N98" i="31"/>
  <c r="AX227" i="31"/>
  <c r="L96" i="31"/>
  <c r="AH227" i="31"/>
  <c r="AK229" i="31"/>
  <c r="R165" i="31"/>
  <c r="S165" i="31"/>
  <c r="J166" i="31"/>
  <c r="Q166" i="31"/>
  <c r="P166" i="31"/>
  <c r="H167" i="31"/>
  <c r="I167" i="31"/>
  <c r="B168" i="31"/>
  <c r="L165" i="31"/>
  <c r="K165" i="31"/>
  <c r="G257" i="31"/>
  <c r="G258" i="31"/>
  <c r="D86" i="31"/>
  <c r="K262" i="31"/>
  <c r="B263" i="31"/>
  <c r="Q163" i="29"/>
  <c r="R163" i="29"/>
  <c r="L260" i="29"/>
  <c r="H57" i="29"/>
  <c r="L57" i="29"/>
  <c r="G306" i="29"/>
  <c r="D261" i="29"/>
  <c r="F261" i="29"/>
  <c r="R231" i="29"/>
  <c r="AI231" i="29"/>
  <c r="G258" i="29"/>
  <c r="H258" i="29"/>
  <c r="G261" i="29"/>
  <c r="G259" i="29"/>
  <c r="H259" i="29"/>
  <c r="G257" i="29"/>
  <c r="H257" i="29"/>
  <c r="G165" i="29"/>
  <c r="H165" i="29"/>
  <c r="B166" i="29"/>
  <c r="D80" i="29"/>
  <c r="E307" i="29"/>
  <c r="H58" i="29"/>
  <c r="L58" i="29"/>
  <c r="AG229" i="29"/>
  <c r="I98" i="29"/>
  <c r="AG226" i="29"/>
  <c r="I95" i="29"/>
  <c r="Q226" i="29"/>
  <c r="R226" i="29"/>
  <c r="S226" i="29"/>
  <c r="AG227" i="29"/>
  <c r="I96" i="29"/>
  <c r="AG224" i="29"/>
  <c r="I93" i="29"/>
  <c r="Q224" i="29"/>
  <c r="AH233" i="29"/>
  <c r="J102" i="29"/>
  <c r="K261" i="29"/>
  <c r="B262" i="29"/>
  <c r="E262" i="29"/>
  <c r="AG225" i="29"/>
  <c r="I94" i="29"/>
  <c r="Q227" i="29"/>
  <c r="R227" i="29"/>
  <c r="AH231" i="29"/>
  <c r="J100" i="29"/>
  <c r="Q225" i="29"/>
  <c r="R225" i="29"/>
  <c r="J163" i="29"/>
  <c r="K163" i="29"/>
  <c r="Q229" i="29"/>
  <c r="R229" i="29"/>
  <c r="AG233" i="29"/>
  <c r="I102" i="29"/>
  <c r="R233" i="29"/>
  <c r="AG231" i="29"/>
  <c r="I100" i="29"/>
  <c r="O164" i="29"/>
  <c r="I164" i="29"/>
  <c r="P164" i="29"/>
  <c r="C261" i="29"/>
  <c r="AG234" i="29"/>
  <c r="I103" i="29"/>
  <c r="Q234" i="29"/>
  <c r="AG232" i="29"/>
  <c r="I101" i="29"/>
  <c r="Q232" i="29"/>
  <c r="AG228" i="29"/>
  <c r="I97" i="29"/>
  <c r="Q228" i="29"/>
  <c r="AG230" i="29"/>
  <c r="I99" i="29"/>
  <c r="Q230" i="29"/>
  <c r="G260" i="29"/>
  <c r="H260" i="29"/>
  <c r="G306" i="31"/>
  <c r="AI234" i="31"/>
  <c r="AZ234" i="31"/>
  <c r="R166" i="31"/>
  <c r="S166" i="31"/>
  <c r="M103" i="31"/>
  <c r="H261" i="29"/>
  <c r="AI225" i="31"/>
  <c r="AZ225" i="31"/>
  <c r="M94" i="31"/>
  <c r="E260" i="31"/>
  <c r="G262" i="31"/>
  <c r="E307" i="31"/>
  <c r="H58" i="31"/>
  <c r="L58" i="31"/>
  <c r="AJ228" i="31"/>
  <c r="AY227" i="31"/>
  <c r="AI227" i="31"/>
  <c r="M96" i="31"/>
  <c r="AY232" i="31"/>
  <c r="M101" i="31"/>
  <c r="N93" i="31"/>
  <c r="AX230" i="31"/>
  <c r="L99" i="31"/>
  <c r="AH230" i="31"/>
  <c r="AI230" i="31"/>
  <c r="AY231" i="31"/>
  <c r="M100" i="31"/>
  <c r="AI231" i="31"/>
  <c r="E308" i="31"/>
  <c r="H59" i="31"/>
  <c r="L59" i="31"/>
  <c r="AZ228" i="31"/>
  <c r="N97" i="31"/>
  <c r="P98" i="31"/>
  <c r="Q98" i="31"/>
  <c r="AI232" i="31"/>
  <c r="AJ232" i="31"/>
  <c r="AX233" i="31"/>
  <c r="L102" i="31"/>
  <c r="AJ224" i="31"/>
  <c r="AK224" i="31"/>
  <c r="AX226" i="31"/>
  <c r="L95" i="31"/>
  <c r="AH226" i="31"/>
  <c r="AH233" i="31"/>
  <c r="AM229" i="31"/>
  <c r="D98" i="31"/>
  <c r="AL229" i="31"/>
  <c r="L166" i="31"/>
  <c r="K166" i="31"/>
  <c r="F238" i="31"/>
  <c r="F237" i="31"/>
  <c r="F235" i="31"/>
  <c r="B169" i="31"/>
  <c r="F239" i="31"/>
  <c r="F236" i="31"/>
  <c r="H168" i="31"/>
  <c r="I168" i="31"/>
  <c r="P167" i="31"/>
  <c r="J167" i="31"/>
  <c r="Q167" i="31"/>
  <c r="L57" i="31"/>
  <c r="B264" i="31"/>
  <c r="E264" i="31"/>
  <c r="K263" i="31"/>
  <c r="E263" i="31"/>
  <c r="S231" i="29"/>
  <c r="T231" i="29"/>
  <c r="AK231" i="29"/>
  <c r="D262" i="29"/>
  <c r="F262" i="29"/>
  <c r="K100" i="29"/>
  <c r="G308" i="29"/>
  <c r="G310" i="29"/>
  <c r="G309" i="29"/>
  <c r="G307" i="29"/>
  <c r="S227" i="29"/>
  <c r="T227" i="29"/>
  <c r="AK227" i="29"/>
  <c r="Q164" i="29"/>
  <c r="R164" i="29"/>
  <c r="G262" i="29"/>
  <c r="AI229" i="29"/>
  <c r="K98" i="29"/>
  <c r="S229" i="29"/>
  <c r="T229" i="29"/>
  <c r="AJ226" i="29"/>
  <c r="L95" i="29"/>
  <c r="J164" i="29"/>
  <c r="K164" i="29"/>
  <c r="T226" i="29"/>
  <c r="U226" i="29"/>
  <c r="V226" i="29"/>
  <c r="AI225" i="29"/>
  <c r="K94" i="29"/>
  <c r="L261" i="29"/>
  <c r="AH224" i="29"/>
  <c r="J93" i="29"/>
  <c r="AH226" i="29"/>
  <c r="J95" i="29"/>
  <c r="R230" i="29"/>
  <c r="S230" i="29"/>
  <c r="AI233" i="29"/>
  <c r="K102" i="29"/>
  <c r="R224" i="29"/>
  <c r="AH225" i="29"/>
  <c r="J94" i="29"/>
  <c r="AH227" i="29"/>
  <c r="J96" i="29"/>
  <c r="C262" i="29"/>
  <c r="S233" i="29"/>
  <c r="G166" i="29"/>
  <c r="H166" i="29"/>
  <c r="B167" i="29"/>
  <c r="AH230" i="29"/>
  <c r="J99" i="29"/>
  <c r="AH228" i="29"/>
  <c r="J97" i="29"/>
  <c r="AH232" i="29"/>
  <c r="J101" i="29"/>
  <c r="R232" i="29"/>
  <c r="S232" i="29"/>
  <c r="AH234" i="29"/>
  <c r="J103" i="29"/>
  <c r="R234" i="29"/>
  <c r="S234" i="29"/>
  <c r="T234" i="29"/>
  <c r="AI227" i="29"/>
  <c r="K96" i="29"/>
  <c r="S225" i="29"/>
  <c r="T225" i="29"/>
  <c r="AH229" i="29"/>
  <c r="J98" i="29"/>
  <c r="AI226" i="29"/>
  <c r="K95" i="29"/>
  <c r="K262" i="29"/>
  <c r="B263" i="29"/>
  <c r="C263" i="29"/>
  <c r="R228" i="29"/>
  <c r="S228" i="29"/>
  <c r="O165" i="29"/>
  <c r="I165" i="29"/>
  <c r="P165" i="29"/>
  <c r="G263" i="31"/>
  <c r="AJ234" i="31"/>
  <c r="AK234" i="31"/>
  <c r="AL234" i="31"/>
  <c r="N103" i="31"/>
  <c r="N94" i="31"/>
  <c r="AJ225" i="31"/>
  <c r="G261" i="31"/>
  <c r="G307" i="31"/>
  <c r="G260" i="31"/>
  <c r="G309" i="31"/>
  <c r="G310" i="31"/>
  <c r="G308" i="31"/>
  <c r="AK232" i="31"/>
  <c r="AM232" i="31"/>
  <c r="D101" i="31"/>
  <c r="BA228" i="31"/>
  <c r="O97" i="31"/>
  <c r="P97" i="31"/>
  <c r="Q97" i="31"/>
  <c r="AK228" i="31"/>
  <c r="AM224" i="31"/>
  <c r="D93" i="31"/>
  <c r="AL224" i="31"/>
  <c r="AZ230" i="31"/>
  <c r="N99" i="31"/>
  <c r="BA232" i="31"/>
  <c r="O101" i="31"/>
  <c r="AZ227" i="31"/>
  <c r="N96" i="31"/>
  <c r="AY230" i="31"/>
  <c r="M99" i="31"/>
  <c r="AJ227" i="31"/>
  <c r="BA224" i="31"/>
  <c r="O93" i="31"/>
  <c r="P93" i="31"/>
  <c r="Q93" i="31"/>
  <c r="G264" i="31"/>
  <c r="AY226" i="31"/>
  <c r="M95" i="31"/>
  <c r="AI226" i="31"/>
  <c r="AJ230" i="31"/>
  <c r="AZ232" i="31"/>
  <c r="N101" i="31"/>
  <c r="AY233" i="31"/>
  <c r="M102" i="31"/>
  <c r="AI233" i="31"/>
  <c r="AZ231" i="31"/>
  <c r="N100" i="31"/>
  <c r="AJ231" i="31"/>
  <c r="K167" i="31"/>
  <c r="L167" i="31"/>
  <c r="R167" i="31"/>
  <c r="S167" i="31"/>
  <c r="Q168" i="31"/>
  <c r="J168" i="31"/>
  <c r="P168" i="31"/>
  <c r="F105" i="31"/>
  <c r="G236" i="31"/>
  <c r="G239" i="31"/>
  <c r="F108" i="31"/>
  <c r="F240" i="31"/>
  <c r="B170" i="31"/>
  <c r="H169" i="31"/>
  <c r="I169" i="31"/>
  <c r="F104" i="31"/>
  <c r="G235" i="31"/>
  <c r="G237" i="31"/>
  <c r="F106" i="31"/>
  <c r="G238" i="31"/>
  <c r="F107" i="31"/>
  <c r="B265" i="31"/>
  <c r="K264" i="31"/>
  <c r="L100" i="29"/>
  <c r="AJ231" i="29"/>
  <c r="U231" i="29"/>
  <c r="N100" i="29"/>
  <c r="M100" i="29"/>
  <c r="AJ227" i="29"/>
  <c r="M96" i="29"/>
  <c r="L96" i="29"/>
  <c r="H262" i="29"/>
  <c r="Q165" i="29"/>
  <c r="R165" i="29"/>
  <c r="T230" i="29"/>
  <c r="U230" i="29"/>
  <c r="U229" i="29"/>
  <c r="V229" i="29"/>
  <c r="W229" i="29"/>
  <c r="U227" i="29"/>
  <c r="AJ228" i="29"/>
  <c r="L97" i="29"/>
  <c r="T228" i="29"/>
  <c r="U228" i="29"/>
  <c r="AK225" i="29"/>
  <c r="M94" i="29"/>
  <c r="J165" i="29"/>
  <c r="K165" i="29"/>
  <c r="AK234" i="29"/>
  <c r="M103" i="29"/>
  <c r="AI224" i="29"/>
  <c r="K93" i="29"/>
  <c r="S224" i="29"/>
  <c r="AI230" i="29"/>
  <c r="K99" i="29"/>
  <c r="AK226" i="29"/>
  <c r="M95" i="29"/>
  <c r="AM226" i="29"/>
  <c r="O95" i="29"/>
  <c r="AJ232" i="29"/>
  <c r="L101" i="29"/>
  <c r="AI228" i="29"/>
  <c r="K97" i="29"/>
  <c r="B264" i="29"/>
  <c r="E264" i="29"/>
  <c r="K263" i="29"/>
  <c r="L263" i="29"/>
  <c r="D263" i="29"/>
  <c r="AJ234" i="29"/>
  <c r="L103" i="29"/>
  <c r="B168" i="29"/>
  <c r="G167" i="29"/>
  <c r="H167" i="29"/>
  <c r="E263" i="29"/>
  <c r="AJ225" i="29"/>
  <c r="L94" i="29"/>
  <c r="AI234" i="29"/>
  <c r="K103" i="29"/>
  <c r="T232" i="29"/>
  <c r="P166" i="29"/>
  <c r="O166" i="29"/>
  <c r="I166" i="29"/>
  <c r="AJ230" i="29"/>
  <c r="L99" i="29"/>
  <c r="AK229" i="29"/>
  <c r="M98" i="29"/>
  <c r="W226" i="29"/>
  <c r="L262" i="29"/>
  <c r="AL226" i="29"/>
  <c r="N95" i="29"/>
  <c r="U234" i="29"/>
  <c r="V234" i="29"/>
  <c r="AI232" i="29"/>
  <c r="K101" i="29"/>
  <c r="AJ233" i="29"/>
  <c r="L102" i="29"/>
  <c r="T233" i="29"/>
  <c r="U225" i="29"/>
  <c r="V225" i="29"/>
  <c r="AJ229" i="29"/>
  <c r="L98" i="29"/>
  <c r="O103" i="31"/>
  <c r="P103" i="31"/>
  <c r="Q103" i="31"/>
  <c r="BA234" i="31"/>
  <c r="AM234" i="31"/>
  <c r="D103" i="31"/>
  <c r="AL232" i="31"/>
  <c r="R168" i="31"/>
  <c r="S168" i="31"/>
  <c r="BA225" i="31"/>
  <c r="O94" i="31"/>
  <c r="P94" i="31"/>
  <c r="Q94" i="31"/>
  <c r="AK225" i="31"/>
  <c r="AM228" i="31"/>
  <c r="D97" i="31"/>
  <c r="AL228" i="31"/>
  <c r="AZ226" i="31"/>
  <c r="N95" i="31"/>
  <c r="AJ226" i="31"/>
  <c r="AD236" i="31"/>
  <c r="P101" i="31"/>
  <c r="Q101" i="31"/>
  <c r="AZ233" i="31"/>
  <c r="N102" i="31"/>
  <c r="AJ233" i="31"/>
  <c r="AD237" i="31"/>
  <c r="AE237" i="31"/>
  <c r="AV237" i="31"/>
  <c r="BA230" i="31"/>
  <c r="O99" i="31"/>
  <c r="P99" i="31"/>
  <c r="Q99" i="31"/>
  <c r="AD239" i="31"/>
  <c r="AE239" i="31"/>
  <c r="BA227" i="31"/>
  <c r="O96" i="31"/>
  <c r="P96" i="31"/>
  <c r="Q96" i="31"/>
  <c r="BA231" i="31"/>
  <c r="O100" i="31"/>
  <c r="P100" i="31"/>
  <c r="Q100" i="31"/>
  <c r="AK231" i="31"/>
  <c r="AK227" i="31"/>
  <c r="AK230" i="31"/>
  <c r="AD235" i="31"/>
  <c r="AD238" i="31"/>
  <c r="AE238" i="31"/>
  <c r="Q169" i="31"/>
  <c r="P169" i="31"/>
  <c r="J169" i="31"/>
  <c r="B171" i="31"/>
  <c r="H170" i="31"/>
  <c r="I170" i="31"/>
  <c r="G240" i="31"/>
  <c r="F109" i="31"/>
  <c r="K168" i="31"/>
  <c r="L168" i="31"/>
  <c r="H236" i="31"/>
  <c r="G105" i="31"/>
  <c r="H105" i="31"/>
  <c r="H238" i="31"/>
  <c r="G107" i="31"/>
  <c r="H107" i="31"/>
  <c r="H239" i="31"/>
  <c r="G108" i="31"/>
  <c r="H108" i="31"/>
  <c r="H237" i="31"/>
  <c r="G106" i="31"/>
  <c r="H106" i="31"/>
  <c r="H235" i="31"/>
  <c r="G104" i="31"/>
  <c r="H104" i="31"/>
  <c r="B266" i="31"/>
  <c r="E266" i="31"/>
  <c r="K265" i="31"/>
  <c r="E265" i="31"/>
  <c r="G265" i="31"/>
  <c r="V231" i="29"/>
  <c r="W231" i="29"/>
  <c r="Y231" i="29"/>
  <c r="D100" i="29"/>
  <c r="AL231" i="29"/>
  <c r="D264" i="29"/>
  <c r="F264" i="29"/>
  <c r="C264" i="29"/>
  <c r="N98" i="29"/>
  <c r="AL230" i="29"/>
  <c r="N99" i="29"/>
  <c r="W234" i="29"/>
  <c r="X234" i="29"/>
  <c r="P95" i="29"/>
  <c r="Q95" i="29"/>
  <c r="AL227" i="29"/>
  <c r="N96" i="29"/>
  <c r="AL229" i="29"/>
  <c r="M99" i="29"/>
  <c r="V230" i="29"/>
  <c r="AM230" i="29"/>
  <c r="AK230" i="29"/>
  <c r="V227" i="29"/>
  <c r="Q166" i="29"/>
  <c r="R166" i="29"/>
  <c r="Y226" i="29"/>
  <c r="D95" i="29"/>
  <c r="X226" i="29"/>
  <c r="J166" i="29"/>
  <c r="K166" i="29"/>
  <c r="AK232" i="29"/>
  <c r="M101" i="29"/>
  <c r="AM225" i="29"/>
  <c r="O94" i="29"/>
  <c r="AL225" i="29"/>
  <c r="N94" i="29"/>
  <c r="AM234" i="29"/>
  <c r="O103" i="29"/>
  <c r="B169" i="29"/>
  <c r="F240" i="29"/>
  <c r="G168" i="29"/>
  <c r="H168" i="29"/>
  <c r="F238" i="29"/>
  <c r="F237" i="29"/>
  <c r="F235" i="29"/>
  <c r="F236" i="29"/>
  <c r="F239" i="29"/>
  <c r="G264" i="29"/>
  <c r="AK233" i="29"/>
  <c r="M102" i="29"/>
  <c r="AL234" i="29"/>
  <c r="N103" i="29"/>
  <c r="AJ224" i="29"/>
  <c r="L93" i="29"/>
  <c r="T224" i="29"/>
  <c r="G263" i="29"/>
  <c r="X229" i="29"/>
  <c r="Y229" i="29"/>
  <c r="AK228" i="29"/>
  <c r="M97" i="29"/>
  <c r="AL228" i="29"/>
  <c r="N97" i="29"/>
  <c r="P167" i="29"/>
  <c r="O167" i="29"/>
  <c r="I167" i="29"/>
  <c r="U232" i="29"/>
  <c r="V232" i="29"/>
  <c r="F263" i="29"/>
  <c r="B265" i="29"/>
  <c r="E265" i="29"/>
  <c r="G265" i="29"/>
  <c r="K264" i="29"/>
  <c r="V228" i="29"/>
  <c r="AM229" i="29"/>
  <c r="O98" i="29"/>
  <c r="U233" i="29"/>
  <c r="W225" i="29"/>
  <c r="R169" i="31"/>
  <c r="S169" i="31"/>
  <c r="AM225" i="31"/>
  <c r="D94" i="31"/>
  <c r="AL225" i="31"/>
  <c r="AV239" i="31"/>
  <c r="J108" i="31"/>
  <c r="AF239" i="31"/>
  <c r="AW239" i="31"/>
  <c r="G266" i="31"/>
  <c r="AF238" i="31"/>
  <c r="AG238" i="31"/>
  <c r="AU239" i="31"/>
  <c r="I108" i="31"/>
  <c r="AU236" i="31"/>
  <c r="I105" i="31"/>
  <c r="J106" i="31"/>
  <c r="AE236" i="31"/>
  <c r="AM227" i="31"/>
  <c r="D96" i="31"/>
  <c r="AL227" i="31"/>
  <c r="AM231" i="31"/>
  <c r="D100" i="31"/>
  <c r="AL231" i="31"/>
  <c r="BA233" i="31"/>
  <c r="O102" i="31"/>
  <c r="P102" i="31"/>
  <c r="Q102" i="31"/>
  <c r="AK233" i="31"/>
  <c r="AM230" i="31"/>
  <c r="AL230" i="31"/>
  <c r="AF237" i="31"/>
  <c r="AU238" i="31"/>
  <c r="I107" i="31"/>
  <c r="AU235" i="31"/>
  <c r="I104" i="31"/>
  <c r="AV238" i="31"/>
  <c r="J107" i="31"/>
  <c r="BA226" i="31"/>
  <c r="O95" i="31"/>
  <c r="P95" i="31"/>
  <c r="Q95" i="31"/>
  <c r="AK226" i="31"/>
  <c r="AD240" i="31"/>
  <c r="AU237" i="31"/>
  <c r="I106" i="31"/>
  <c r="AE235" i="31"/>
  <c r="Q170" i="31"/>
  <c r="P170" i="31"/>
  <c r="J170" i="31"/>
  <c r="H171" i="31"/>
  <c r="I171" i="31"/>
  <c r="B172" i="31"/>
  <c r="F243" i="31"/>
  <c r="F242" i="31"/>
  <c r="F241" i="31"/>
  <c r="H240" i="31"/>
  <c r="G109" i="31"/>
  <c r="H109" i="31"/>
  <c r="K169" i="31"/>
  <c r="L169" i="31"/>
  <c r="K266" i="31"/>
  <c r="B267" i="31"/>
  <c r="AM231" i="29"/>
  <c r="X231" i="29"/>
  <c r="O100" i="29"/>
  <c r="P100" i="29"/>
  <c r="Q100" i="29"/>
  <c r="Y234" i="29"/>
  <c r="D103" i="29"/>
  <c r="O99" i="29"/>
  <c r="P99" i="29"/>
  <c r="Q99" i="29"/>
  <c r="W230" i="29"/>
  <c r="Y230" i="29"/>
  <c r="D99" i="29"/>
  <c r="L264" i="29"/>
  <c r="H264" i="29"/>
  <c r="P98" i="29"/>
  <c r="Q98" i="29"/>
  <c r="P94" i="29"/>
  <c r="Q94" i="29"/>
  <c r="P103" i="29"/>
  <c r="Q103" i="29"/>
  <c r="H263" i="29"/>
  <c r="C312" i="29"/>
  <c r="J63" i="29"/>
  <c r="N63" i="29"/>
  <c r="AM227" i="29"/>
  <c r="O96" i="29"/>
  <c r="P96" i="29"/>
  <c r="Q96" i="29"/>
  <c r="W227" i="29"/>
  <c r="Q167" i="29"/>
  <c r="R167" i="29"/>
  <c r="F109" i="29"/>
  <c r="G240" i="29"/>
  <c r="K265" i="29"/>
  <c r="B266" i="29"/>
  <c r="E266" i="29"/>
  <c r="X225" i="29"/>
  <c r="Y225" i="29"/>
  <c r="D94" i="29"/>
  <c r="AM228" i="29"/>
  <c r="O97" i="29"/>
  <c r="P97" i="29"/>
  <c r="Q97" i="29"/>
  <c r="D265" i="29"/>
  <c r="F265" i="29"/>
  <c r="H265" i="29"/>
  <c r="AL232" i="29"/>
  <c r="N101" i="29"/>
  <c r="W232" i="29"/>
  <c r="W228" i="29"/>
  <c r="U224" i="29"/>
  <c r="V224" i="29"/>
  <c r="AL233" i="29"/>
  <c r="N102" i="29"/>
  <c r="V233" i="29"/>
  <c r="C265" i="29"/>
  <c r="J167" i="29"/>
  <c r="K167" i="29"/>
  <c r="F105" i="29"/>
  <c r="G236" i="29"/>
  <c r="O168" i="29"/>
  <c r="I168" i="29"/>
  <c r="P168" i="29"/>
  <c r="AM232" i="29"/>
  <c r="O101" i="29"/>
  <c r="F108" i="29"/>
  <c r="G239" i="29"/>
  <c r="F106" i="29"/>
  <c r="G237" i="29"/>
  <c r="G169" i="29"/>
  <c r="H169" i="29"/>
  <c r="B170" i="29"/>
  <c r="AK224" i="29"/>
  <c r="M93" i="29"/>
  <c r="D98" i="29"/>
  <c r="F104" i="29"/>
  <c r="G235" i="29"/>
  <c r="F107" i="29"/>
  <c r="G238" i="29"/>
  <c r="AG239" i="31"/>
  <c r="AX239" i="31"/>
  <c r="R170" i="31"/>
  <c r="S170" i="31"/>
  <c r="K108" i="31"/>
  <c r="AV235" i="31"/>
  <c r="AF235" i="31"/>
  <c r="AG235" i="31"/>
  <c r="J104" i="31"/>
  <c r="AX238" i="31"/>
  <c r="L107" i="31"/>
  <c r="AM233" i="31"/>
  <c r="D102" i="31"/>
  <c r="AL233" i="31"/>
  <c r="AV236" i="31"/>
  <c r="J105" i="31"/>
  <c r="AF236" i="31"/>
  <c r="AG236" i="31"/>
  <c r="AH238" i="31"/>
  <c r="AI238" i="31"/>
  <c r="AE240" i="31"/>
  <c r="AF240" i="31"/>
  <c r="AW237" i="31"/>
  <c r="AG237" i="31"/>
  <c r="AH237" i="31"/>
  <c r="K106" i="31"/>
  <c r="AU240" i="31"/>
  <c r="I109" i="31"/>
  <c r="D99" i="31"/>
  <c r="E312" i="31"/>
  <c r="H63" i="31"/>
  <c r="L63" i="31"/>
  <c r="AW238" i="31"/>
  <c r="K107" i="31"/>
  <c r="AM226" i="31"/>
  <c r="AL226" i="31"/>
  <c r="F111" i="31"/>
  <c r="G242" i="31"/>
  <c r="F112" i="31"/>
  <c r="G243" i="31"/>
  <c r="F110" i="31"/>
  <c r="G241" i="31"/>
  <c r="L170" i="31"/>
  <c r="K170" i="31"/>
  <c r="B173" i="31"/>
  <c r="H172" i="31"/>
  <c r="I172" i="31"/>
  <c r="P171" i="31"/>
  <c r="Q171" i="31"/>
  <c r="J171" i="31"/>
  <c r="B268" i="31"/>
  <c r="E268" i="31"/>
  <c r="K267" i="31"/>
  <c r="E267" i="31"/>
  <c r="G267" i="31"/>
  <c r="X230" i="29"/>
  <c r="Y227" i="29"/>
  <c r="D96" i="29"/>
  <c r="X227" i="29"/>
  <c r="AM224" i="29"/>
  <c r="O93" i="29"/>
  <c r="W224" i="29"/>
  <c r="G266" i="29"/>
  <c r="H235" i="29"/>
  <c r="G104" i="29"/>
  <c r="H104" i="29"/>
  <c r="P235" i="29"/>
  <c r="G170" i="29"/>
  <c r="H170" i="29"/>
  <c r="B171" i="29"/>
  <c r="H239" i="29"/>
  <c r="G108" i="29"/>
  <c r="H108" i="29"/>
  <c r="P239" i="29"/>
  <c r="Q239" i="29"/>
  <c r="AM233" i="29"/>
  <c r="O102" i="29"/>
  <c r="P102" i="29"/>
  <c r="Q102" i="29"/>
  <c r="L265" i="29"/>
  <c r="I169" i="29"/>
  <c r="P169" i="29"/>
  <c r="O169" i="29"/>
  <c r="J168" i="29"/>
  <c r="K168" i="29"/>
  <c r="Y228" i="29"/>
  <c r="D97" i="29"/>
  <c r="X228" i="29"/>
  <c r="D266" i="29"/>
  <c r="F266" i="29"/>
  <c r="H238" i="29"/>
  <c r="G107" i="29"/>
  <c r="H107" i="29"/>
  <c r="P238" i="29"/>
  <c r="H237" i="29"/>
  <c r="G106" i="29"/>
  <c r="H106" i="29"/>
  <c r="P237" i="29"/>
  <c r="Q237" i="29"/>
  <c r="Q168" i="29"/>
  <c r="R168" i="29"/>
  <c r="Y232" i="29"/>
  <c r="X232" i="29"/>
  <c r="C266" i="29"/>
  <c r="H240" i="29"/>
  <c r="G109" i="29"/>
  <c r="H109" i="29"/>
  <c r="P240" i="29"/>
  <c r="H236" i="29"/>
  <c r="G105" i="29"/>
  <c r="H105" i="29"/>
  <c r="P236" i="29"/>
  <c r="W233" i="29"/>
  <c r="AL224" i="29"/>
  <c r="N93" i="29"/>
  <c r="C311" i="29"/>
  <c r="J62" i="29"/>
  <c r="N62" i="29"/>
  <c r="P101" i="29"/>
  <c r="Q101" i="29"/>
  <c r="K266" i="29"/>
  <c r="B267" i="29"/>
  <c r="C267" i="29"/>
  <c r="L108" i="31"/>
  <c r="AH239" i="31"/>
  <c r="AI239" i="31"/>
  <c r="AZ239" i="31"/>
  <c r="AY237" i="31"/>
  <c r="M106" i="31"/>
  <c r="AH236" i="31"/>
  <c r="M105" i="31"/>
  <c r="AZ238" i="31"/>
  <c r="N107" i="31"/>
  <c r="AD241" i="31"/>
  <c r="AX236" i="31"/>
  <c r="L105" i="31"/>
  <c r="AD243" i="31"/>
  <c r="AX237" i="31"/>
  <c r="L106" i="31"/>
  <c r="AI237" i="31"/>
  <c r="AX235" i="31"/>
  <c r="L104" i="31"/>
  <c r="AW240" i="31"/>
  <c r="K109" i="31"/>
  <c r="AD242" i="31"/>
  <c r="AW235" i="31"/>
  <c r="K104" i="31"/>
  <c r="AH235" i="31"/>
  <c r="AV240" i="31"/>
  <c r="J109" i="31"/>
  <c r="AW236" i="31"/>
  <c r="K105" i="31"/>
  <c r="D95" i="31"/>
  <c r="E311" i="31"/>
  <c r="AY238" i="31"/>
  <c r="M107" i="31"/>
  <c r="AJ238" i="31"/>
  <c r="AK238" i="31"/>
  <c r="AY239" i="31"/>
  <c r="M108" i="31"/>
  <c r="AG240" i="31"/>
  <c r="R171" i="31"/>
  <c r="S171" i="31"/>
  <c r="G268" i="31"/>
  <c r="H243" i="31"/>
  <c r="G112" i="31"/>
  <c r="H112" i="31"/>
  <c r="K171" i="31"/>
  <c r="L171" i="31"/>
  <c r="H242" i="31"/>
  <c r="G111" i="31"/>
  <c r="H111" i="31"/>
  <c r="H241" i="31"/>
  <c r="G110" i="31"/>
  <c r="H110" i="31"/>
  <c r="P172" i="31"/>
  <c r="Q172" i="31"/>
  <c r="J172" i="31"/>
  <c r="H173" i="31"/>
  <c r="I173" i="31"/>
  <c r="B174" i="31"/>
  <c r="C111" i="31"/>
  <c r="F244" i="31"/>
  <c r="K268" i="31"/>
  <c r="B269" i="31"/>
  <c r="H266" i="29"/>
  <c r="E267" i="29"/>
  <c r="G267" i="29"/>
  <c r="P93" i="29"/>
  <c r="Q93" i="29"/>
  <c r="Q169" i="29"/>
  <c r="R169" i="29"/>
  <c r="AH237" i="29"/>
  <c r="J106" i="29"/>
  <c r="J169" i="29"/>
  <c r="K169" i="29"/>
  <c r="R239" i="29"/>
  <c r="AG235" i="29"/>
  <c r="I104" i="29"/>
  <c r="Q235" i="29"/>
  <c r="R235" i="29"/>
  <c r="X233" i="29"/>
  <c r="Y233" i="29"/>
  <c r="D101" i="29"/>
  <c r="E312" i="29"/>
  <c r="AG238" i="29"/>
  <c r="I107" i="29"/>
  <c r="AG236" i="29"/>
  <c r="I105" i="29"/>
  <c r="Q236" i="29"/>
  <c r="Q238" i="29"/>
  <c r="R238" i="29"/>
  <c r="AG239" i="29"/>
  <c r="I108" i="29"/>
  <c r="B172" i="29"/>
  <c r="F243" i="29"/>
  <c r="G171" i="29"/>
  <c r="H171" i="29"/>
  <c r="F242" i="29"/>
  <c r="F241" i="29"/>
  <c r="Y224" i="29"/>
  <c r="X224" i="29"/>
  <c r="P170" i="29"/>
  <c r="I170" i="29"/>
  <c r="O170" i="29"/>
  <c r="L266" i="29"/>
  <c r="AG240" i="29"/>
  <c r="I109" i="29"/>
  <c r="AG237" i="29"/>
  <c r="I106" i="29"/>
  <c r="B268" i="29"/>
  <c r="C268" i="29"/>
  <c r="K267" i="29"/>
  <c r="L267" i="29"/>
  <c r="D267" i="29"/>
  <c r="F267" i="29"/>
  <c r="Q240" i="29"/>
  <c r="R237" i="29"/>
  <c r="S237" i="29"/>
  <c r="AH239" i="29"/>
  <c r="J108" i="29"/>
  <c r="AJ239" i="31"/>
  <c r="BA239" i="31"/>
  <c r="N108" i="31"/>
  <c r="AI236" i="31"/>
  <c r="AJ236" i="31"/>
  <c r="BA236" i="31"/>
  <c r="F245" i="31"/>
  <c r="F114" i="31"/>
  <c r="H267" i="29"/>
  <c r="AY236" i="31"/>
  <c r="AK239" i="31"/>
  <c r="O108" i="31"/>
  <c r="P108" i="31"/>
  <c r="Q108" i="31"/>
  <c r="AM238" i="31"/>
  <c r="D107" i="31"/>
  <c r="AL238" i="31"/>
  <c r="AE242" i="31"/>
  <c r="AF242" i="31"/>
  <c r="AU241" i="31"/>
  <c r="I110" i="31"/>
  <c r="H62" i="31"/>
  <c r="L62" i="31"/>
  <c r="G311" i="31"/>
  <c r="G312" i="31"/>
  <c r="AE241" i="31"/>
  <c r="AX240" i="31"/>
  <c r="L109" i="31"/>
  <c r="AZ237" i="31"/>
  <c r="AJ237" i="31"/>
  <c r="AK237" i="31"/>
  <c r="N106" i="31"/>
  <c r="C112" i="31"/>
  <c r="BA238" i="31"/>
  <c r="O107" i="31"/>
  <c r="P107" i="31"/>
  <c r="Q107" i="31"/>
  <c r="AH240" i="31"/>
  <c r="AU242" i="31"/>
  <c r="I111" i="31"/>
  <c r="AY235" i="31"/>
  <c r="AI235" i="31"/>
  <c r="AJ235" i="31"/>
  <c r="M104" i="31"/>
  <c r="AU243" i="31"/>
  <c r="I112" i="31"/>
  <c r="AZ236" i="31"/>
  <c r="N105" i="31"/>
  <c r="R172" i="31"/>
  <c r="S172" i="31"/>
  <c r="AE243" i="31"/>
  <c r="F113" i="31"/>
  <c r="G244" i="31"/>
  <c r="C96" i="31"/>
  <c r="E96" i="31"/>
  <c r="C80" i="31"/>
  <c r="E80" i="31"/>
  <c r="C82" i="31"/>
  <c r="E82" i="31"/>
  <c r="C105" i="31"/>
  <c r="C76" i="31"/>
  <c r="E76" i="31"/>
  <c r="C90" i="31"/>
  <c r="E90" i="31"/>
  <c r="C88" i="31"/>
  <c r="E88" i="31"/>
  <c r="C97" i="31"/>
  <c r="E97" i="31"/>
  <c r="C83" i="31"/>
  <c r="E83" i="31"/>
  <c r="C87" i="31"/>
  <c r="E87" i="31"/>
  <c r="H174" i="31"/>
  <c r="I174" i="31"/>
  <c r="C79" i="31"/>
  <c r="E79" i="31"/>
  <c r="C91" i="31"/>
  <c r="E91" i="31"/>
  <c r="C78" i="31"/>
  <c r="E78" i="31"/>
  <c r="C84" i="31"/>
  <c r="E84" i="31"/>
  <c r="C77" i="31"/>
  <c r="E77" i="31"/>
  <c r="C99" i="31"/>
  <c r="E99" i="31"/>
  <c r="C95" i="31"/>
  <c r="E95" i="31"/>
  <c r="C110" i="31"/>
  <c r="C92" i="31"/>
  <c r="E92" i="31"/>
  <c r="C81" i="31"/>
  <c r="E81" i="31"/>
  <c r="C107" i="31"/>
  <c r="C89" i="31"/>
  <c r="E89" i="31"/>
  <c r="C103" i="31"/>
  <c r="E103" i="31"/>
  <c r="C108" i="31"/>
  <c r="C94" i="31"/>
  <c r="E94" i="31"/>
  <c r="C86" i="31"/>
  <c r="E86" i="31"/>
  <c r="C101" i="31"/>
  <c r="E101" i="31"/>
  <c r="C93" i="31"/>
  <c r="E93" i="31"/>
  <c r="C109" i="31"/>
  <c r="C75" i="31"/>
  <c r="E75" i="31"/>
  <c r="C98" i="31"/>
  <c r="E98" i="31"/>
  <c r="C100" i="31"/>
  <c r="E100" i="31"/>
  <c r="C85" i="31"/>
  <c r="E85" i="31"/>
  <c r="P173" i="31"/>
  <c r="J173" i="31"/>
  <c r="Q173" i="31"/>
  <c r="K172" i="31"/>
  <c r="C113" i="31"/>
  <c r="L172" i="31"/>
  <c r="E269" i="31"/>
  <c r="G269" i="31"/>
  <c r="B270" i="31"/>
  <c r="K269" i="31"/>
  <c r="D268" i="29"/>
  <c r="F268" i="29"/>
  <c r="S238" i="29"/>
  <c r="T238" i="29"/>
  <c r="AK238" i="29"/>
  <c r="Q170" i="29"/>
  <c r="R170" i="29"/>
  <c r="AJ237" i="29"/>
  <c r="L106" i="29"/>
  <c r="AI238" i="29"/>
  <c r="K107" i="29"/>
  <c r="E268" i="29"/>
  <c r="G268" i="29"/>
  <c r="J170" i="29"/>
  <c r="K170" i="29"/>
  <c r="F110" i="29"/>
  <c r="G241" i="29"/>
  <c r="B173" i="29"/>
  <c r="G172" i="29"/>
  <c r="H172" i="29"/>
  <c r="D102" i="29"/>
  <c r="AH240" i="29"/>
  <c r="J109" i="29"/>
  <c r="B269" i="29"/>
  <c r="D269" i="29"/>
  <c r="K268" i="29"/>
  <c r="L268" i="29"/>
  <c r="AI237" i="29"/>
  <c r="K106" i="29"/>
  <c r="R240" i="29"/>
  <c r="S240" i="29"/>
  <c r="AI235" i="29"/>
  <c r="K104" i="29"/>
  <c r="F112" i="29"/>
  <c r="G243" i="29"/>
  <c r="AH238" i="29"/>
  <c r="J107" i="29"/>
  <c r="F111" i="29"/>
  <c r="G242" i="29"/>
  <c r="AH236" i="29"/>
  <c r="J105" i="29"/>
  <c r="R236" i="29"/>
  <c r="S236" i="29"/>
  <c r="T236" i="29"/>
  <c r="H63" i="29"/>
  <c r="L63" i="29"/>
  <c r="D93" i="29"/>
  <c r="E311" i="29"/>
  <c r="P171" i="29"/>
  <c r="O171" i="29"/>
  <c r="I171" i="29"/>
  <c r="T237" i="29"/>
  <c r="AH235" i="29"/>
  <c r="J104" i="29"/>
  <c r="S235" i="29"/>
  <c r="T235" i="29"/>
  <c r="AI239" i="29"/>
  <c r="K108" i="29"/>
  <c r="S239" i="29"/>
  <c r="AK236" i="31"/>
  <c r="AM236" i="31"/>
  <c r="D105" i="31"/>
  <c r="E105" i="31"/>
  <c r="O105" i="31"/>
  <c r="AK235" i="31"/>
  <c r="AM235" i="31"/>
  <c r="D104" i="31"/>
  <c r="E107" i="31"/>
  <c r="G245" i="31"/>
  <c r="H245" i="31"/>
  <c r="G114" i="31"/>
  <c r="H114" i="31"/>
  <c r="AM239" i="31"/>
  <c r="D108" i="31"/>
  <c r="E108" i="31"/>
  <c r="AL239" i="31"/>
  <c r="AM237" i="31"/>
  <c r="D106" i="31"/>
  <c r="AL237" i="31"/>
  <c r="AV243" i="31"/>
  <c r="AF243" i="31"/>
  <c r="AG243" i="31"/>
  <c r="J112" i="31"/>
  <c r="AV242" i="31"/>
  <c r="J111" i="31"/>
  <c r="BA237" i="31"/>
  <c r="O106" i="31"/>
  <c r="P106" i="31"/>
  <c r="Q106" i="31"/>
  <c r="AW242" i="31"/>
  <c r="K111" i="31"/>
  <c r="AY240" i="31"/>
  <c r="M109" i="31"/>
  <c r="BA235" i="31"/>
  <c r="O104" i="31"/>
  <c r="AV241" i="31"/>
  <c r="J110" i="31"/>
  <c r="AG242" i="31"/>
  <c r="AZ235" i="31"/>
  <c r="N104" i="31"/>
  <c r="AD244" i="31"/>
  <c r="AF241" i="31"/>
  <c r="AG241" i="31"/>
  <c r="AH241" i="31"/>
  <c r="AY241" i="31"/>
  <c r="P105" i="31"/>
  <c r="Q105" i="31"/>
  <c r="AI240" i="31"/>
  <c r="H244" i="31"/>
  <c r="G113" i="31"/>
  <c r="H113" i="31"/>
  <c r="L173" i="31"/>
  <c r="K173" i="31"/>
  <c r="R173" i="31"/>
  <c r="S173" i="31"/>
  <c r="Q174" i="31"/>
  <c r="J174" i="31"/>
  <c r="P174" i="31"/>
  <c r="B271" i="31"/>
  <c r="K270" i="31"/>
  <c r="C102" i="31"/>
  <c r="C104" i="31"/>
  <c r="C106" i="31"/>
  <c r="E270" i="31"/>
  <c r="G270" i="31"/>
  <c r="F269" i="29"/>
  <c r="L107" i="29"/>
  <c r="U238" i="29"/>
  <c r="V238" i="29"/>
  <c r="W238" i="29"/>
  <c r="X238" i="29"/>
  <c r="AJ238" i="29"/>
  <c r="M107" i="29"/>
  <c r="G312" i="29"/>
  <c r="G311" i="29"/>
  <c r="H268" i="29"/>
  <c r="AK235" i="29"/>
  <c r="M104" i="29"/>
  <c r="H243" i="29"/>
  <c r="G112" i="29"/>
  <c r="H112" i="29"/>
  <c r="P243" i="29"/>
  <c r="AI240" i="29"/>
  <c r="K109" i="29"/>
  <c r="H62" i="29"/>
  <c r="AJ236" i="29"/>
  <c r="L105" i="29"/>
  <c r="AI236" i="29"/>
  <c r="K105" i="29"/>
  <c r="U237" i="29"/>
  <c r="AK236" i="29"/>
  <c r="M105" i="29"/>
  <c r="K269" i="29"/>
  <c r="B270" i="29"/>
  <c r="E270" i="29"/>
  <c r="H241" i="29"/>
  <c r="G110" i="29"/>
  <c r="H110" i="29"/>
  <c r="P241" i="29"/>
  <c r="AJ239" i="29"/>
  <c r="L108" i="29"/>
  <c r="T239" i="29"/>
  <c r="AK237" i="29"/>
  <c r="M106" i="29"/>
  <c r="AJ235" i="29"/>
  <c r="L104" i="29"/>
  <c r="J171" i="29"/>
  <c r="K171" i="29"/>
  <c r="H242" i="29"/>
  <c r="G111" i="29"/>
  <c r="H111" i="29"/>
  <c r="P242" i="29"/>
  <c r="Q242" i="29"/>
  <c r="C269" i="29"/>
  <c r="T240" i="29"/>
  <c r="U240" i="29"/>
  <c r="O172" i="29"/>
  <c r="I172" i="29"/>
  <c r="P172" i="29"/>
  <c r="AJ240" i="29"/>
  <c r="L109" i="29"/>
  <c r="U235" i="29"/>
  <c r="Q171" i="29"/>
  <c r="R171" i="29"/>
  <c r="U236" i="29"/>
  <c r="E269" i="29"/>
  <c r="G269" i="29"/>
  <c r="G173" i="29"/>
  <c r="H173" i="29"/>
  <c r="B174" i="29"/>
  <c r="F244" i="29"/>
  <c r="AL236" i="31"/>
  <c r="AD245" i="31"/>
  <c r="AE245" i="31"/>
  <c r="AL235" i="31"/>
  <c r="R174" i="31"/>
  <c r="S174" i="31"/>
  <c r="E106" i="31"/>
  <c r="AX243" i="31"/>
  <c r="L112" i="31"/>
  <c r="AX242" i="31"/>
  <c r="L111" i="31"/>
  <c r="AH242" i="31"/>
  <c r="AU244" i="31"/>
  <c r="I113" i="31"/>
  <c r="AI241" i="31"/>
  <c r="AW243" i="31"/>
  <c r="K112" i="31"/>
  <c r="E313" i="31"/>
  <c r="H64" i="31"/>
  <c r="L64" i="31"/>
  <c r="AX241" i="31"/>
  <c r="L110" i="31"/>
  <c r="AW241" i="31"/>
  <c r="K110" i="31"/>
  <c r="M110" i="31"/>
  <c r="AE244" i="31"/>
  <c r="AZ240" i="31"/>
  <c r="N109" i="31"/>
  <c r="AJ240" i="31"/>
  <c r="AH243" i="31"/>
  <c r="AI243" i="31"/>
  <c r="AJ243" i="31"/>
  <c r="BA243" i="31"/>
  <c r="P104" i="31"/>
  <c r="Q104" i="31"/>
  <c r="L174" i="31"/>
  <c r="K174" i="31"/>
  <c r="K175" i="31"/>
  <c r="E102" i="31"/>
  <c r="E104" i="31"/>
  <c r="K271" i="31"/>
  <c r="B272" i="31"/>
  <c r="E271" i="31"/>
  <c r="G271" i="31"/>
  <c r="H269" i="29"/>
  <c r="AL238" i="29"/>
  <c r="Y238" i="29"/>
  <c r="D107" i="29"/>
  <c r="N107" i="29"/>
  <c r="O107" i="29"/>
  <c r="AM238" i="29"/>
  <c r="G270" i="29"/>
  <c r="R242" i="29"/>
  <c r="S242" i="29"/>
  <c r="AL240" i="29"/>
  <c r="N109" i="29"/>
  <c r="G174" i="29"/>
  <c r="H174" i="29"/>
  <c r="C101" i="29"/>
  <c r="E101" i="29"/>
  <c r="C111" i="29"/>
  <c r="C105" i="29"/>
  <c r="C107" i="29"/>
  <c r="C112" i="29"/>
  <c r="C102" i="29"/>
  <c r="E102" i="29"/>
  <c r="C104" i="29"/>
  <c r="C109" i="29"/>
  <c r="C106" i="29"/>
  <c r="C108" i="29"/>
  <c r="C93" i="29"/>
  <c r="E93" i="29"/>
  <c r="C103" i="29"/>
  <c r="E103" i="29"/>
  <c r="C110" i="29"/>
  <c r="C95" i="29"/>
  <c r="E95" i="29"/>
  <c r="C90" i="29"/>
  <c r="E90" i="29"/>
  <c r="C98" i="29"/>
  <c r="E98" i="29"/>
  <c r="C97" i="29"/>
  <c r="E97" i="29"/>
  <c r="C80" i="29"/>
  <c r="E80" i="29"/>
  <c r="C84" i="29"/>
  <c r="E84" i="29"/>
  <c r="C96" i="29"/>
  <c r="E96" i="29"/>
  <c r="C88" i="29"/>
  <c r="E88" i="29"/>
  <c r="C91" i="29"/>
  <c r="E91" i="29"/>
  <c r="C86" i="29"/>
  <c r="E86" i="29"/>
  <c r="C82" i="29"/>
  <c r="E82" i="29"/>
  <c r="C87" i="29"/>
  <c r="E87" i="29"/>
  <c r="C92" i="29"/>
  <c r="E92" i="29"/>
  <c r="C76" i="29"/>
  <c r="E76" i="29"/>
  <c r="C77" i="29"/>
  <c r="E77" i="29"/>
  <c r="C89" i="29"/>
  <c r="E89" i="29"/>
  <c r="C85" i="29"/>
  <c r="E85" i="29"/>
  <c r="C75" i="29"/>
  <c r="C81" i="29"/>
  <c r="E81" i="29"/>
  <c r="C79" i="29"/>
  <c r="E79" i="29"/>
  <c r="C83" i="29"/>
  <c r="E83" i="29"/>
  <c r="C78" i="29"/>
  <c r="E78" i="29"/>
  <c r="C94" i="29"/>
  <c r="E94" i="29"/>
  <c r="O173" i="29"/>
  <c r="I173" i="29"/>
  <c r="P173" i="29"/>
  <c r="AL236" i="29"/>
  <c r="N105" i="29"/>
  <c r="J172" i="29"/>
  <c r="C113" i="29"/>
  <c r="K172" i="29"/>
  <c r="AG242" i="29"/>
  <c r="I111" i="29"/>
  <c r="V236" i="29"/>
  <c r="Q241" i="29"/>
  <c r="R241" i="29"/>
  <c r="S241" i="29"/>
  <c r="L269" i="29"/>
  <c r="L62" i="29"/>
  <c r="AL235" i="29"/>
  <c r="N104" i="29"/>
  <c r="F245" i="29"/>
  <c r="Q172" i="29"/>
  <c r="R172" i="29"/>
  <c r="V235" i="29"/>
  <c r="W235" i="29"/>
  <c r="D270" i="29"/>
  <c r="F270" i="29"/>
  <c r="F113" i="29"/>
  <c r="G244" i="29"/>
  <c r="AK240" i="29"/>
  <c r="M109" i="29"/>
  <c r="AK239" i="29"/>
  <c r="M108" i="29"/>
  <c r="U239" i="29"/>
  <c r="AG241" i="29"/>
  <c r="I110" i="29"/>
  <c r="C270" i="29"/>
  <c r="AL237" i="29"/>
  <c r="N106" i="29"/>
  <c r="V237" i="29"/>
  <c r="W237" i="29"/>
  <c r="V240" i="29"/>
  <c r="W240" i="29"/>
  <c r="AH242" i="29"/>
  <c r="J111" i="29"/>
  <c r="K270" i="29"/>
  <c r="B271" i="29"/>
  <c r="C271" i="29"/>
  <c r="AG243" i="29"/>
  <c r="I112" i="29"/>
  <c r="Q243" i="29"/>
  <c r="I114" i="31"/>
  <c r="AU245" i="31"/>
  <c r="C114" i="31"/>
  <c r="C115" i="31"/>
  <c r="H270" i="29"/>
  <c r="AZ241" i="31"/>
  <c r="AJ241" i="31"/>
  <c r="AK241" i="31"/>
  <c r="AY242" i="31"/>
  <c r="AI242" i="31"/>
  <c r="M111" i="31"/>
  <c r="AV245" i="31"/>
  <c r="J114" i="31"/>
  <c r="AV244" i="31"/>
  <c r="J113" i="31"/>
  <c r="AZ243" i="31"/>
  <c r="N112" i="31"/>
  <c r="AK243" i="31"/>
  <c r="BA240" i="31"/>
  <c r="O109" i="31"/>
  <c r="P109" i="31"/>
  <c r="Q109" i="31"/>
  <c r="G313" i="31"/>
  <c r="AF244" i="31"/>
  <c r="AG244" i="31"/>
  <c r="O112" i="31"/>
  <c r="AY243" i="31"/>
  <c r="M112" i="31"/>
  <c r="AF245" i="31"/>
  <c r="N110" i="31"/>
  <c r="AK240" i="31"/>
  <c r="E272" i="31"/>
  <c r="G272" i="31"/>
  <c r="K272" i="31"/>
  <c r="B273" i="31"/>
  <c r="AI242" i="29"/>
  <c r="P107" i="29"/>
  <c r="Q107" i="29"/>
  <c r="E107" i="29"/>
  <c r="K111" i="29"/>
  <c r="E271" i="29"/>
  <c r="G271" i="29"/>
  <c r="AJ242" i="29"/>
  <c r="T242" i="29"/>
  <c r="U242" i="29"/>
  <c r="AL242" i="29"/>
  <c r="L111" i="29"/>
  <c r="Y240" i="29"/>
  <c r="D109" i="29"/>
  <c r="E109" i="29"/>
  <c r="X240" i="29"/>
  <c r="Y237" i="29"/>
  <c r="X237" i="29"/>
  <c r="X235" i="29"/>
  <c r="Y235" i="29"/>
  <c r="AM236" i="29"/>
  <c r="O105" i="29"/>
  <c r="P105" i="29"/>
  <c r="Q105" i="29"/>
  <c r="W236" i="29"/>
  <c r="AJ241" i="29"/>
  <c r="L110" i="29"/>
  <c r="AI241" i="29"/>
  <c r="K110" i="29"/>
  <c r="H244" i="29"/>
  <c r="G113" i="29"/>
  <c r="H113" i="29"/>
  <c r="P244" i="29"/>
  <c r="Q244" i="29"/>
  <c r="AH243" i="29"/>
  <c r="J112" i="29"/>
  <c r="L270" i="29"/>
  <c r="AH241" i="29"/>
  <c r="J110" i="29"/>
  <c r="J173" i="29"/>
  <c r="K173" i="29"/>
  <c r="P174" i="29"/>
  <c r="O174" i="29"/>
  <c r="I174" i="29"/>
  <c r="K271" i="29"/>
  <c r="L271" i="29"/>
  <c r="B272" i="29"/>
  <c r="C272" i="29"/>
  <c r="AM237" i="29"/>
  <c r="O106" i="29"/>
  <c r="P106" i="29"/>
  <c r="Q106" i="29"/>
  <c r="AL239" i="29"/>
  <c r="N108" i="29"/>
  <c r="V239" i="29"/>
  <c r="D271" i="29"/>
  <c r="F271" i="29"/>
  <c r="R243" i="29"/>
  <c r="AM235" i="29"/>
  <c r="O104" i="29"/>
  <c r="P104" i="29"/>
  <c r="Q104" i="29"/>
  <c r="F114" i="29"/>
  <c r="G245" i="29"/>
  <c r="T241" i="29"/>
  <c r="U241" i="29"/>
  <c r="Q173" i="29"/>
  <c r="R173" i="29"/>
  <c r="AM240" i="29"/>
  <c r="O109" i="29"/>
  <c r="P109" i="29"/>
  <c r="Q109" i="29"/>
  <c r="E75" i="29"/>
  <c r="AX244" i="31"/>
  <c r="L113" i="31"/>
  <c r="AL240" i="31"/>
  <c r="AM240" i="31"/>
  <c r="AH244" i="31"/>
  <c r="M113" i="31"/>
  <c r="AM243" i="31"/>
  <c r="D112" i="31"/>
  <c r="E112" i="31"/>
  <c r="AL243" i="31"/>
  <c r="AW245" i="31"/>
  <c r="K114" i="31"/>
  <c r="AM241" i="31"/>
  <c r="D110" i="31"/>
  <c r="E110" i="31"/>
  <c r="AL241" i="31"/>
  <c r="AG245" i="31"/>
  <c r="BA241" i="31"/>
  <c r="O110" i="31"/>
  <c r="P110" i="31"/>
  <c r="Q110" i="31"/>
  <c r="P112" i="31"/>
  <c r="Q112" i="31"/>
  <c r="AW244" i="31"/>
  <c r="K113" i="31"/>
  <c r="AZ242" i="31"/>
  <c r="N111" i="31"/>
  <c r="AJ242" i="31"/>
  <c r="K273" i="31"/>
  <c r="B274" i="31"/>
  <c r="E273" i="31"/>
  <c r="G273" i="31"/>
  <c r="H271" i="29"/>
  <c r="M111" i="29"/>
  <c r="AK242" i="29"/>
  <c r="E272" i="29"/>
  <c r="G272" i="29"/>
  <c r="V242" i="29"/>
  <c r="N111" i="29"/>
  <c r="D104" i="29"/>
  <c r="D106" i="29"/>
  <c r="E106" i="29"/>
  <c r="AL241" i="29"/>
  <c r="N110" i="29"/>
  <c r="AK241" i="29"/>
  <c r="M110" i="29"/>
  <c r="AM239" i="29"/>
  <c r="O108" i="29"/>
  <c r="P108" i="29"/>
  <c r="Q108" i="29"/>
  <c r="H245" i="29"/>
  <c r="G114" i="29"/>
  <c r="H114" i="29"/>
  <c r="P245" i="29"/>
  <c r="AI243" i="29"/>
  <c r="K112" i="29"/>
  <c r="S243" i="29"/>
  <c r="B273" i="29"/>
  <c r="E273" i="29"/>
  <c r="K272" i="29"/>
  <c r="L272" i="29"/>
  <c r="D272" i="29"/>
  <c r="F272" i="29"/>
  <c r="AG244" i="29"/>
  <c r="I113" i="29"/>
  <c r="R244" i="29"/>
  <c r="S244" i="29"/>
  <c r="W239" i="29"/>
  <c r="J174" i="29"/>
  <c r="C114" i="29"/>
  <c r="K174" i="29"/>
  <c r="V241" i="29"/>
  <c r="Q174" i="29"/>
  <c r="R174" i="29"/>
  <c r="AH244" i="29"/>
  <c r="J113" i="29"/>
  <c r="Y236" i="29"/>
  <c r="D105" i="29"/>
  <c r="E105" i="29"/>
  <c r="X236" i="29"/>
  <c r="AX245" i="31"/>
  <c r="L114" i="31"/>
  <c r="AH245" i="31"/>
  <c r="AI245" i="31"/>
  <c r="AY244" i="31"/>
  <c r="AI244" i="31"/>
  <c r="N113" i="31"/>
  <c r="D109" i="31"/>
  <c r="E109" i="31"/>
  <c r="E314" i="31"/>
  <c r="BA242" i="31"/>
  <c r="O111" i="31"/>
  <c r="P111" i="31"/>
  <c r="Q111" i="31"/>
  <c r="AK242" i="31"/>
  <c r="E274" i="31"/>
  <c r="G274" i="31"/>
  <c r="B275" i="31"/>
  <c r="K274" i="31"/>
  <c r="H272" i="29"/>
  <c r="D273" i="29"/>
  <c r="F273" i="29"/>
  <c r="C273" i="29"/>
  <c r="AM242" i="29"/>
  <c r="O111" i="29"/>
  <c r="P111" i="29"/>
  <c r="Q111" i="29"/>
  <c r="W242" i="29"/>
  <c r="G273" i="29"/>
  <c r="E313" i="29"/>
  <c r="Y239" i="29"/>
  <c r="X239" i="29"/>
  <c r="AJ243" i="29"/>
  <c r="L112" i="29"/>
  <c r="T243" i="29"/>
  <c r="AG245" i="29"/>
  <c r="I114" i="29"/>
  <c r="Q245" i="29"/>
  <c r="E104" i="29"/>
  <c r="AJ244" i="29"/>
  <c r="L113" i="29"/>
  <c r="C99" i="29"/>
  <c r="C100" i="29"/>
  <c r="E100" i="29"/>
  <c r="J175" i="29"/>
  <c r="AM241" i="29"/>
  <c r="O110" i="29"/>
  <c r="P110" i="29"/>
  <c r="Q110" i="29"/>
  <c r="AI244" i="29"/>
  <c r="K113" i="29"/>
  <c r="W241" i="29"/>
  <c r="T244" i="29"/>
  <c r="B274" i="29"/>
  <c r="K273" i="29"/>
  <c r="AM242" i="31"/>
  <c r="D111" i="31"/>
  <c r="E111" i="31"/>
  <c r="AL242" i="31"/>
  <c r="AZ244" i="31"/>
  <c r="AJ244" i="31"/>
  <c r="BA244" i="31"/>
  <c r="AZ245" i="31"/>
  <c r="N114" i="31"/>
  <c r="AY245" i="31"/>
  <c r="M114" i="31"/>
  <c r="AJ245" i="31"/>
  <c r="AK245" i="31"/>
  <c r="H65" i="31"/>
  <c r="L65" i="31"/>
  <c r="G314" i="31"/>
  <c r="C310" i="31"/>
  <c r="J61" i="31"/>
  <c r="N61" i="31"/>
  <c r="C311" i="31"/>
  <c r="J62" i="31"/>
  <c r="N62" i="31"/>
  <c r="C272" i="31"/>
  <c r="L272" i="31"/>
  <c r="C270" i="31"/>
  <c r="L270" i="31"/>
  <c r="D313" i="31"/>
  <c r="G64" i="31"/>
  <c r="K64" i="31"/>
  <c r="D307" i="31"/>
  <c r="G58" i="31"/>
  <c r="K58" i="31"/>
  <c r="D273" i="31"/>
  <c r="C273" i="31"/>
  <c r="L273" i="31"/>
  <c r="D271" i="31"/>
  <c r="C312" i="31"/>
  <c r="J63" i="31"/>
  <c r="N63" i="31"/>
  <c r="C271" i="31"/>
  <c r="L271" i="31"/>
  <c r="B276" i="31"/>
  <c r="E276" i="31"/>
  <c r="K275" i="31"/>
  <c r="C275" i="31"/>
  <c r="D275" i="31"/>
  <c r="E275" i="31"/>
  <c r="G275" i="31"/>
  <c r="L273" i="29"/>
  <c r="G313" i="29"/>
  <c r="H273" i="29"/>
  <c r="Y242" i="29"/>
  <c r="D111" i="29"/>
  <c r="E111" i="29"/>
  <c r="X242" i="29"/>
  <c r="E99" i="29"/>
  <c r="C115" i="29"/>
  <c r="D108" i="29"/>
  <c r="E108" i="29"/>
  <c r="E314" i="29"/>
  <c r="G314" i="29"/>
  <c r="K274" i="29"/>
  <c r="B275" i="29"/>
  <c r="D275" i="29"/>
  <c r="C274" i="29"/>
  <c r="AK244" i="29"/>
  <c r="M113" i="29"/>
  <c r="U244" i="29"/>
  <c r="D274" i="29"/>
  <c r="F274" i="29"/>
  <c r="Y241" i="29"/>
  <c r="X241" i="29"/>
  <c r="H64" i="29"/>
  <c r="E274" i="29"/>
  <c r="G274" i="29"/>
  <c r="AH245" i="29"/>
  <c r="J114" i="29"/>
  <c r="R245" i="29"/>
  <c r="S245" i="29"/>
  <c r="AK243" i="29"/>
  <c r="M112" i="29"/>
  <c r="U243" i="29"/>
  <c r="C315" i="31"/>
  <c r="J66" i="31"/>
  <c r="N66" i="31"/>
  <c r="D315" i="31"/>
  <c r="G66" i="31"/>
  <c r="D276" i="31"/>
  <c r="O113" i="31"/>
  <c r="P113" i="31"/>
  <c r="Q113" i="31"/>
  <c r="BA245" i="31"/>
  <c r="D316" i="31"/>
  <c r="G67" i="31"/>
  <c r="K67" i="31"/>
  <c r="O114" i="31"/>
  <c r="P114" i="31"/>
  <c r="Q114" i="31"/>
  <c r="C316" i="31"/>
  <c r="J67" i="31"/>
  <c r="N67" i="31"/>
  <c r="AM245" i="31"/>
  <c r="AL245" i="31"/>
  <c r="AK244" i="31"/>
  <c r="D306" i="31"/>
  <c r="G57" i="31"/>
  <c r="K57" i="31"/>
  <c r="D274" i="31"/>
  <c r="C254" i="31"/>
  <c r="L254" i="31"/>
  <c r="D251" i="31"/>
  <c r="C259" i="31"/>
  <c r="L259" i="31"/>
  <c r="C251" i="31"/>
  <c r="L251" i="31"/>
  <c r="C252" i="31"/>
  <c r="L252" i="31"/>
  <c r="D256" i="31"/>
  <c r="C253" i="31"/>
  <c r="L253" i="31"/>
  <c r="D253" i="31"/>
  <c r="C258" i="31"/>
  <c r="L258" i="31"/>
  <c r="D305" i="31"/>
  <c r="D255" i="31"/>
  <c r="C305" i="31"/>
  <c r="J56" i="31"/>
  <c r="N56" i="31"/>
  <c r="C255" i="31"/>
  <c r="L255" i="31"/>
  <c r="C257" i="31"/>
  <c r="L257" i="31"/>
  <c r="D259" i="31"/>
  <c r="D254" i="31"/>
  <c r="C256" i="31"/>
  <c r="L256" i="31"/>
  <c r="D258" i="31"/>
  <c r="D252" i="31"/>
  <c r="D257" i="31"/>
  <c r="D261" i="31"/>
  <c r="C309" i="31"/>
  <c r="J60" i="31"/>
  <c r="N60" i="31"/>
  <c r="C306" i="31"/>
  <c r="J57" i="31"/>
  <c r="N57" i="31"/>
  <c r="D260" i="31"/>
  <c r="C262" i="31"/>
  <c r="L262" i="31"/>
  <c r="C260" i="31"/>
  <c r="L260" i="31"/>
  <c r="C308" i="31"/>
  <c r="J59" i="31"/>
  <c r="N59" i="31"/>
  <c r="D263" i="31"/>
  <c r="C261" i="31"/>
  <c r="L261" i="31"/>
  <c r="D264" i="31"/>
  <c r="D265" i="31"/>
  <c r="C265" i="31"/>
  <c r="L265" i="31"/>
  <c r="D262" i="31"/>
  <c r="D266" i="31"/>
  <c r="C264" i="31"/>
  <c r="L264" i="31"/>
  <c r="C263" i="31"/>
  <c r="L263" i="31"/>
  <c r="D268" i="31"/>
  <c r="C266" i="31"/>
  <c r="L266" i="31"/>
  <c r="D267" i="31"/>
  <c r="D269" i="31"/>
  <c r="C267" i="31"/>
  <c r="L267" i="31"/>
  <c r="D311" i="31"/>
  <c r="G62" i="31"/>
  <c r="K62" i="31"/>
  <c r="C313" i="31"/>
  <c r="J64" i="31"/>
  <c r="N64" i="31"/>
  <c r="D270" i="31"/>
  <c r="D310" i="31"/>
  <c r="G61" i="31"/>
  <c r="K61" i="31"/>
  <c r="C268" i="31"/>
  <c r="L268" i="31"/>
  <c r="C314" i="31"/>
  <c r="J65" i="31"/>
  <c r="N65" i="31"/>
  <c r="C269" i="31"/>
  <c r="L269" i="31"/>
  <c r="C307" i="31"/>
  <c r="J58" i="31"/>
  <c r="N58" i="31"/>
  <c r="C274" i="31"/>
  <c r="L274" i="31"/>
  <c r="D314" i="31"/>
  <c r="G65" i="31"/>
  <c r="K65" i="31"/>
  <c r="D308" i="31"/>
  <c r="G59" i="31"/>
  <c r="K59" i="31"/>
  <c r="D272" i="31"/>
  <c r="D309" i="31"/>
  <c r="G60" i="31"/>
  <c r="K60" i="31"/>
  <c r="D312" i="31"/>
  <c r="G63" i="31"/>
  <c r="K63" i="31"/>
  <c r="G276" i="31"/>
  <c r="L275" i="31"/>
  <c r="K276" i="31"/>
  <c r="B277" i="31"/>
  <c r="E277" i="31"/>
  <c r="G277" i="31"/>
  <c r="C116" i="31"/>
  <c r="C276" i="31"/>
  <c r="C275" i="29"/>
  <c r="H274" i="29"/>
  <c r="F275" i="29"/>
  <c r="AL243" i="29"/>
  <c r="N112" i="29"/>
  <c r="V243" i="29"/>
  <c r="W243" i="29"/>
  <c r="AJ245" i="29"/>
  <c r="L114" i="29"/>
  <c r="T245" i="29"/>
  <c r="U245" i="29"/>
  <c r="AI245" i="29"/>
  <c r="K114" i="29"/>
  <c r="D110" i="29"/>
  <c r="E110" i="29"/>
  <c r="L274" i="29"/>
  <c r="L64" i="29"/>
  <c r="AL244" i="29"/>
  <c r="N113" i="29"/>
  <c r="V244" i="29"/>
  <c r="K275" i="29"/>
  <c r="B276" i="29"/>
  <c r="C276" i="29"/>
  <c r="E275" i="29"/>
  <c r="H65" i="29"/>
  <c r="L65" i="29"/>
  <c r="N68" i="31"/>
  <c r="F267" i="31"/>
  <c r="H267" i="31"/>
  <c r="F276" i="31"/>
  <c r="H276" i="31"/>
  <c r="F273" i="31"/>
  <c r="H273" i="31"/>
  <c r="AM244" i="31"/>
  <c r="D113" i="31"/>
  <c r="AL244" i="31"/>
  <c r="D114" i="31"/>
  <c r="E114" i="31"/>
  <c r="E316" i="31"/>
  <c r="H67" i="31"/>
  <c r="L67" i="31"/>
  <c r="F266" i="31"/>
  <c r="H266" i="31"/>
  <c r="F271" i="31"/>
  <c r="H271" i="31"/>
  <c r="F272" i="31"/>
  <c r="H272" i="31"/>
  <c r="F275" i="31"/>
  <c r="H275" i="31"/>
  <c r="G56" i="31"/>
  <c r="G68" i="31"/>
  <c r="F305" i="31"/>
  <c r="H305" i="31"/>
  <c r="F307" i="31"/>
  <c r="H307" i="31"/>
  <c r="F308" i="31"/>
  <c r="H308" i="31"/>
  <c r="F314" i="31"/>
  <c r="H314" i="31"/>
  <c r="F310" i="31"/>
  <c r="H310" i="31"/>
  <c r="F311" i="31"/>
  <c r="H311" i="31"/>
  <c r="F309" i="31"/>
  <c r="H309" i="31"/>
  <c r="F306" i="31"/>
  <c r="H306" i="31"/>
  <c r="F313" i="31"/>
  <c r="H313" i="31"/>
  <c r="F312" i="31"/>
  <c r="H312" i="31"/>
  <c r="F270" i="31"/>
  <c r="H270" i="31"/>
  <c r="F265" i="31"/>
  <c r="H265" i="31"/>
  <c r="F315" i="31"/>
  <c r="F256" i="31"/>
  <c r="H256" i="31"/>
  <c r="F253" i="31"/>
  <c r="H253" i="31"/>
  <c r="F255" i="31"/>
  <c r="H255" i="31"/>
  <c r="F254" i="31"/>
  <c r="H254" i="31"/>
  <c r="F252" i="31"/>
  <c r="H252" i="31"/>
  <c r="F251" i="31"/>
  <c r="H251" i="31"/>
  <c r="F259" i="31"/>
  <c r="H259" i="31"/>
  <c r="F258" i="31"/>
  <c r="H258" i="31"/>
  <c r="F257" i="31"/>
  <c r="H257" i="31"/>
  <c r="F260" i="31"/>
  <c r="H260" i="31"/>
  <c r="F261" i="31"/>
  <c r="H261" i="31"/>
  <c r="F263" i="31"/>
  <c r="H263" i="31"/>
  <c r="F262" i="31"/>
  <c r="H262" i="31"/>
  <c r="F264" i="31"/>
  <c r="H264" i="31"/>
  <c r="F268" i="31"/>
  <c r="H268" i="31"/>
  <c r="F316" i="31"/>
  <c r="F269" i="31"/>
  <c r="H269" i="31"/>
  <c r="F274" i="31"/>
  <c r="H274" i="31"/>
  <c r="B278" i="31"/>
  <c r="C278" i="31"/>
  <c r="K277" i="31"/>
  <c r="D277" i="31"/>
  <c r="F277" i="31"/>
  <c r="H277" i="31"/>
  <c r="L276" i="31"/>
  <c r="C277" i="31"/>
  <c r="K66" i="31"/>
  <c r="E276" i="29"/>
  <c r="G276" i="29"/>
  <c r="L275" i="29"/>
  <c r="AM244" i="29"/>
  <c r="O113" i="29"/>
  <c r="P113" i="29"/>
  <c r="Q113" i="29"/>
  <c r="W244" i="29"/>
  <c r="AL245" i="29"/>
  <c r="N114" i="29"/>
  <c r="AK245" i="29"/>
  <c r="M114" i="29"/>
  <c r="V245" i="29"/>
  <c r="W245" i="29"/>
  <c r="G275" i="29"/>
  <c r="H275" i="29"/>
  <c r="Y243" i="29"/>
  <c r="X243" i="29"/>
  <c r="AM243" i="29"/>
  <c r="O112" i="29"/>
  <c r="P112" i="29"/>
  <c r="Q112" i="29"/>
  <c r="B277" i="29"/>
  <c r="K276" i="29"/>
  <c r="L276" i="29"/>
  <c r="D276" i="29"/>
  <c r="F276" i="29"/>
  <c r="E315" i="31"/>
  <c r="K56" i="31"/>
  <c r="K68" i="31"/>
  <c r="I56" i="31"/>
  <c r="M56" i="31"/>
  <c r="I62" i="31"/>
  <c r="M62" i="31"/>
  <c r="I57" i="31"/>
  <c r="M57" i="31"/>
  <c r="I63" i="31"/>
  <c r="M63" i="31"/>
  <c r="I64" i="31"/>
  <c r="M64" i="31"/>
  <c r="I59" i="31"/>
  <c r="M59" i="31"/>
  <c r="I58" i="31"/>
  <c r="M58" i="31"/>
  <c r="I65" i="31"/>
  <c r="M65" i="31"/>
  <c r="I60" i="31"/>
  <c r="M60" i="31"/>
  <c r="I61" i="31"/>
  <c r="M61" i="31"/>
  <c r="H66" i="31"/>
  <c r="G315" i="31"/>
  <c r="H315" i="31"/>
  <c r="G316" i="31"/>
  <c r="H316" i="31"/>
  <c r="E113" i="31"/>
  <c r="E115" i="31"/>
  <c r="D115" i="31"/>
  <c r="B279" i="31"/>
  <c r="D279" i="31"/>
  <c r="K278" i="31"/>
  <c r="L278" i="31"/>
  <c r="D278" i="31"/>
  <c r="F278" i="31"/>
  <c r="L277" i="31"/>
  <c r="E278" i="31"/>
  <c r="G278" i="31"/>
  <c r="H276" i="29"/>
  <c r="Y245" i="29"/>
  <c r="X245" i="29"/>
  <c r="B278" i="29"/>
  <c r="D278" i="29"/>
  <c r="K277" i="29"/>
  <c r="E277" i="29"/>
  <c r="C277" i="29"/>
  <c r="AM245" i="29"/>
  <c r="O114" i="29"/>
  <c r="P114" i="29"/>
  <c r="Q114" i="29"/>
  <c r="C306" i="29"/>
  <c r="J57" i="29"/>
  <c r="N57" i="29"/>
  <c r="C315" i="29"/>
  <c r="J66" i="29"/>
  <c r="N66" i="29"/>
  <c r="C310" i="29"/>
  <c r="J61" i="29"/>
  <c r="N61" i="29"/>
  <c r="C313" i="29"/>
  <c r="J64" i="29"/>
  <c r="N64" i="29"/>
  <c r="C314" i="29"/>
  <c r="J65" i="29"/>
  <c r="N65" i="29"/>
  <c r="C316" i="29"/>
  <c r="J67" i="29"/>
  <c r="N67" i="29"/>
  <c r="D112" i="29"/>
  <c r="E112" i="29"/>
  <c r="D277" i="29"/>
  <c r="F277" i="29"/>
  <c r="X244" i="29"/>
  <c r="Y244" i="29"/>
  <c r="D113" i="29"/>
  <c r="E113" i="29"/>
  <c r="E279" i="31"/>
  <c r="G279" i="31"/>
  <c r="F279" i="31"/>
  <c r="H278" i="31"/>
  <c r="C279" i="31"/>
  <c r="B280" i="31"/>
  <c r="E280" i="31"/>
  <c r="G280" i="31"/>
  <c r="K279" i="31"/>
  <c r="L66" i="31"/>
  <c r="L68" i="31"/>
  <c r="H68" i="31"/>
  <c r="I67" i="31"/>
  <c r="M67" i="31"/>
  <c r="I66" i="31"/>
  <c r="M66" i="31"/>
  <c r="C278" i="29"/>
  <c r="E278" i="29"/>
  <c r="G278" i="29"/>
  <c r="E315" i="29"/>
  <c r="N68" i="29"/>
  <c r="G277" i="29"/>
  <c r="H277" i="29"/>
  <c r="F278" i="29"/>
  <c r="K278" i="29"/>
  <c r="B279" i="29"/>
  <c r="E279" i="29"/>
  <c r="D306" i="29"/>
  <c r="D316" i="29"/>
  <c r="D308" i="29"/>
  <c r="D314" i="29"/>
  <c r="D311" i="29"/>
  <c r="D307" i="29"/>
  <c r="D310" i="29"/>
  <c r="D313" i="29"/>
  <c r="D312" i="29"/>
  <c r="D315" i="29"/>
  <c r="L277" i="29"/>
  <c r="D114" i="29"/>
  <c r="E316" i="29"/>
  <c r="H279" i="31"/>
  <c r="C280" i="31"/>
  <c r="L279" i="31"/>
  <c r="N69" i="31"/>
  <c r="K280" i="31"/>
  <c r="B281" i="31"/>
  <c r="E281" i="31"/>
  <c r="G281" i="31"/>
  <c r="D280" i="31"/>
  <c r="F280" i="31"/>
  <c r="H280" i="31"/>
  <c r="L278" i="29"/>
  <c r="G279" i="29"/>
  <c r="G316" i="29"/>
  <c r="C279" i="29"/>
  <c r="F312" i="29"/>
  <c r="F306" i="29"/>
  <c r="F316" i="29"/>
  <c r="F310" i="29"/>
  <c r="F314" i="29"/>
  <c r="F309" i="29"/>
  <c r="F307" i="29"/>
  <c r="F313" i="29"/>
  <c r="F308" i="29"/>
  <c r="F311" i="29"/>
  <c r="F315" i="29"/>
  <c r="H66" i="29"/>
  <c r="L66" i="29"/>
  <c r="G315" i="29"/>
  <c r="H278" i="29"/>
  <c r="G57" i="29"/>
  <c r="H67" i="29"/>
  <c r="E114" i="29"/>
  <c r="E115" i="29"/>
  <c r="D115" i="29"/>
  <c r="G64" i="29"/>
  <c r="K64" i="29"/>
  <c r="G65" i="29"/>
  <c r="K65" i="29"/>
  <c r="K279" i="29"/>
  <c r="B280" i="29"/>
  <c r="C280" i="29"/>
  <c r="G63" i="29"/>
  <c r="K63" i="29"/>
  <c r="G61" i="29"/>
  <c r="K61" i="29"/>
  <c r="G59" i="29"/>
  <c r="K59" i="29"/>
  <c r="G62" i="29"/>
  <c r="K62" i="29"/>
  <c r="G66" i="29"/>
  <c r="K66" i="29"/>
  <c r="G58" i="29"/>
  <c r="K58" i="29"/>
  <c r="G67" i="29"/>
  <c r="K67" i="29"/>
  <c r="D279" i="29"/>
  <c r="F279" i="29"/>
  <c r="H279" i="29"/>
  <c r="L280" i="31"/>
  <c r="D116" i="31"/>
  <c r="B282" i="31"/>
  <c r="K281" i="31"/>
  <c r="C281" i="31"/>
  <c r="D281" i="31"/>
  <c r="F281" i="31"/>
  <c r="H281" i="31"/>
  <c r="E116" i="31"/>
  <c r="L279" i="29"/>
  <c r="B281" i="29"/>
  <c r="C281" i="29"/>
  <c r="K280" i="29"/>
  <c r="L280" i="29"/>
  <c r="D280" i="29"/>
  <c r="F280" i="29"/>
  <c r="E280" i="29"/>
  <c r="L67" i="29"/>
  <c r="L68" i="29"/>
  <c r="H68" i="29"/>
  <c r="K57" i="29"/>
  <c r="K68" i="29"/>
  <c r="I66" i="29"/>
  <c r="M66" i="29"/>
  <c r="I65" i="29"/>
  <c r="M65" i="29"/>
  <c r="I64" i="29"/>
  <c r="M64" i="29"/>
  <c r="I63" i="29"/>
  <c r="M63" i="29"/>
  <c r="I60" i="29"/>
  <c r="M60" i="29"/>
  <c r="I61" i="29"/>
  <c r="M61" i="29"/>
  <c r="I67" i="29"/>
  <c r="M67" i="29"/>
  <c r="I57" i="29"/>
  <c r="M57" i="29"/>
  <c r="I62" i="29"/>
  <c r="M62" i="29"/>
  <c r="I59" i="29"/>
  <c r="M59" i="29"/>
  <c r="I58" i="29"/>
  <c r="M58" i="29"/>
  <c r="G68" i="29"/>
  <c r="G69" i="31"/>
  <c r="K69" i="31"/>
  <c r="K282" i="31"/>
  <c r="B283" i="31"/>
  <c r="H69" i="31"/>
  <c r="E282" i="31"/>
  <c r="G282" i="31"/>
  <c r="L69" i="31"/>
  <c r="C282" i="31"/>
  <c r="D282" i="31"/>
  <c r="F282" i="31"/>
  <c r="H282" i="31"/>
  <c r="L281" i="31"/>
  <c r="D281" i="29"/>
  <c r="F281" i="29"/>
  <c r="E281" i="29"/>
  <c r="G281" i="29"/>
  <c r="B282" i="29"/>
  <c r="K281" i="29"/>
  <c r="L281" i="29"/>
  <c r="G280" i="29"/>
  <c r="H280" i="29"/>
  <c r="B284" i="31"/>
  <c r="C284" i="31"/>
  <c r="K283" i="31"/>
  <c r="L282" i="31"/>
  <c r="C283" i="31"/>
  <c r="E283" i="31"/>
  <c r="G283" i="31"/>
  <c r="D283" i="31"/>
  <c r="F283" i="31"/>
  <c r="H281" i="29"/>
  <c r="K282" i="29"/>
  <c r="B283" i="29"/>
  <c r="D283" i="29"/>
  <c r="D282" i="29"/>
  <c r="C282" i="29"/>
  <c r="E282" i="29"/>
  <c r="H283" i="31"/>
  <c r="L283" i="31"/>
  <c r="B285" i="31"/>
  <c r="E285" i="31"/>
  <c r="K284" i="31"/>
  <c r="L284" i="31"/>
  <c r="D284" i="31"/>
  <c r="F284" i="31"/>
  <c r="E284" i="31"/>
  <c r="G284" i="31"/>
  <c r="C283" i="29"/>
  <c r="F283" i="29"/>
  <c r="L282" i="29"/>
  <c r="F282" i="29"/>
  <c r="G282" i="29"/>
  <c r="K283" i="29"/>
  <c r="B284" i="29"/>
  <c r="C284" i="29"/>
  <c r="E283" i="29"/>
  <c r="G283" i="29"/>
  <c r="H284" i="31"/>
  <c r="C285" i="31"/>
  <c r="D285" i="31"/>
  <c r="F285" i="31"/>
  <c r="G285" i="31"/>
  <c r="K285" i="31"/>
  <c r="B286" i="31"/>
  <c r="E286" i="31"/>
  <c r="G286" i="31"/>
  <c r="H283" i="29"/>
  <c r="E284" i="29"/>
  <c r="G284" i="29"/>
  <c r="L283" i="29"/>
  <c r="B285" i="29"/>
  <c r="K284" i="29"/>
  <c r="L284" i="29"/>
  <c r="D284" i="29"/>
  <c r="H282" i="29"/>
  <c r="C286" i="31"/>
  <c r="D286" i="31"/>
  <c r="F286" i="31"/>
  <c r="H286" i="31"/>
  <c r="L285" i="31"/>
  <c r="K286" i="31"/>
  <c r="B287" i="31"/>
  <c r="H285" i="31"/>
  <c r="B286" i="29"/>
  <c r="E286" i="29"/>
  <c r="K285" i="29"/>
  <c r="E285" i="29"/>
  <c r="C285" i="29"/>
  <c r="F284" i="29"/>
  <c r="H284" i="29"/>
  <c r="D285" i="29"/>
  <c r="F285" i="29"/>
  <c r="L286" i="31"/>
  <c r="B288" i="31"/>
  <c r="K287" i="31"/>
  <c r="E287" i="31"/>
  <c r="G287" i="31"/>
  <c r="C287" i="31"/>
  <c r="D287" i="31"/>
  <c r="F287" i="31"/>
  <c r="D286" i="29"/>
  <c r="F286" i="29"/>
  <c r="G286" i="29"/>
  <c r="C286" i="29"/>
  <c r="L285" i="29"/>
  <c r="G285" i="29"/>
  <c r="H285" i="29"/>
  <c r="K286" i="29"/>
  <c r="B287" i="29"/>
  <c r="E287" i="29"/>
  <c r="G287" i="29"/>
  <c r="H287" i="31"/>
  <c r="K288" i="31"/>
  <c r="B289" i="31"/>
  <c r="E288" i="31"/>
  <c r="G288" i="31"/>
  <c r="L287" i="31"/>
  <c r="C288" i="31"/>
  <c r="D288" i="31"/>
  <c r="F288" i="31"/>
  <c r="H286" i="29"/>
  <c r="D287" i="29"/>
  <c r="F287" i="29"/>
  <c r="H287" i="29"/>
  <c r="C287" i="29"/>
  <c r="L286" i="29"/>
  <c r="K287" i="29"/>
  <c r="B288" i="29"/>
  <c r="C288" i="29"/>
  <c r="H288" i="31"/>
  <c r="L288" i="31"/>
  <c r="B290" i="31"/>
  <c r="E290" i="31"/>
  <c r="K289" i="31"/>
  <c r="D289" i="31"/>
  <c r="F289" i="31"/>
  <c r="C289" i="31"/>
  <c r="E289" i="31"/>
  <c r="G289" i="31"/>
  <c r="L287" i="29"/>
  <c r="B289" i="29"/>
  <c r="E289" i="29"/>
  <c r="K288" i="29"/>
  <c r="L288" i="29"/>
  <c r="D288" i="29"/>
  <c r="F288" i="29"/>
  <c r="E288" i="29"/>
  <c r="G288" i="29"/>
  <c r="D290" i="31"/>
  <c r="F290" i="31"/>
  <c r="G290" i="31"/>
  <c r="L289" i="31"/>
  <c r="B291" i="31"/>
  <c r="D291" i="31"/>
  <c r="K290" i="31"/>
  <c r="C290" i="31"/>
  <c r="H289" i="31"/>
  <c r="H288" i="29"/>
  <c r="G289" i="29"/>
  <c r="B290" i="29"/>
  <c r="E290" i="29"/>
  <c r="G290" i="29"/>
  <c r="K289" i="29"/>
  <c r="D289" i="29"/>
  <c r="F289" i="29"/>
  <c r="C289" i="29"/>
  <c r="F291" i="31"/>
  <c r="H290" i="31"/>
  <c r="L290" i="31"/>
  <c r="B292" i="31"/>
  <c r="E292" i="31"/>
  <c r="K291" i="31"/>
  <c r="C291" i="31"/>
  <c r="E291" i="31"/>
  <c r="G291" i="31"/>
  <c r="H289" i="29"/>
  <c r="C290" i="29"/>
  <c r="D290" i="29"/>
  <c r="F290" i="29"/>
  <c r="H290" i="29"/>
  <c r="L289" i="29"/>
  <c r="K290" i="29"/>
  <c r="B291" i="29"/>
  <c r="D291" i="29"/>
  <c r="H291" i="31"/>
  <c r="L291" i="31"/>
  <c r="G292" i="31"/>
  <c r="B293" i="31"/>
  <c r="K292" i="31"/>
  <c r="C292" i="31"/>
  <c r="D292" i="31"/>
  <c r="F292" i="31"/>
  <c r="F291" i="29"/>
  <c r="L290" i="29"/>
  <c r="K291" i="29"/>
  <c r="B292" i="29"/>
  <c r="C292" i="29"/>
  <c r="E291" i="29"/>
  <c r="G291" i="29"/>
  <c r="H291" i="29"/>
  <c r="C291" i="29"/>
  <c r="H292" i="31"/>
  <c r="L292" i="31"/>
  <c r="K293" i="31"/>
  <c r="B294" i="31"/>
  <c r="E294" i="31"/>
  <c r="C293" i="31"/>
  <c r="D293" i="31"/>
  <c r="F293" i="31"/>
  <c r="E293" i="31"/>
  <c r="G293" i="31"/>
  <c r="E292" i="29"/>
  <c r="G292" i="29"/>
  <c r="L291" i="29"/>
  <c r="B293" i="29"/>
  <c r="D293" i="29"/>
  <c r="K292" i="29"/>
  <c r="L292" i="29"/>
  <c r="D292" i="29"/>
  <c r="F292" i="29"/>
  <c r="H293" i="31"/>
  <c r="C294" i="31"/>
  <c r="G294" i="31"/>
  <c r="B295" i="31"/>
  <c r="E295" i="31"/>
  <c r="G295" i="31"/>
  <c r="K294" i="31"/>
  <c r="D294" i="31"/>
  <c r="F294" i="31"/>
  <c r="L293" i="31"/>
  <c r="H292" i="29"/>
  <c r="F293" i="29"/>
  <c r="B294" i="29"/>
  <c r="E294" i="29"/>
  <c r="K293" i="29"/>
  <c r="E293" i="29"/>
  <c r="G293" i="29"/>
  <c r="H293" i="29"/>
  <c r="C293" i="29"/>
  <c r="L294" i="31"/>
  <c r="H294" i="31"/>
  <c r="B296" i="31"/>
  <c r="C296" i="31"/>
  <c r="K295" i="31"/>
  <c r="C295" i="31"/>
  <c r="D295" i="31"/>
  <c r="F295" i="31"/>
  <c r="H295" i="31"/>
  <c r="D294" i="29"/>
  <c r="F294" i="29"/>
  <c r="C294" i="29"/>
  <c r="K294" i="29"/>
  <c r="B295" i="29"/>
  <c r="E295" i="29"/>
  <c r="G295" i="29"/>
  <c r="G294" i="29"/>
  <c r="L293" i="29"/>
  <c r="E296" i="31"/>
  <c r="G296" i="31"/>
  <c r="D296" i="31"/>
  <c r="F296" i="31"/>
  <c r="L295" i="31"/>
  <c r="B297" i="31"/>
  <c r="K296" i="31"/>
  <c r="L296" i="31"/>
  <c r="H294" i="29"/>
  <c r="L294" i="29"/>
  <c r="D295" i="29"/>
  <c r="F295" i="29"/>
  <c r="H295" i="29"/>
  <c r="C295" i="29"/>
  <c r="K295" i="29"/>
  <c r="B296" i="29"/>
  <c r="E296" i="29"/>
  <c r="G296" i="29"/>
  <c r="H296" i="31"/>
  <c r="B298" i="31"/>
  <c r="C298" i="31"/>
  <c r="K297" i="31"/>
  <c r="E297" i="31"/>
  <c r="G297" i="31"/>
  <c r="C297" i="31"/>
  <c r="D297" i="31"/>
  <c r="F297" i="31"/>
  <c r="C296" i="29"/>
  <c r="L295" i="29"/>
  <c r="B297" i="29"/>
  <c r="K296" i="29"/>
  <c r="D296" i="29"/>
  <c r="F296" i="29"/>
  <c r="H296" i="29"/>
  <c r="H297" i="31"/>
  <c r="L297" i="31"/>
  <c r="K298" i="31"/>
  <c r="L298" i="31"/>
  <c r="B299" i="31"/>
  <c r="K299" i="31"/>
  <c r="D298" i="31"/>
  <c r="F298" i="31"/>
  <c r="E298" i="31"/>
  <c r="G298" i="31"/>
  <c r="L296" i="29"/>
  <c r="B298" i="29"/>
  <c r="C298" i="29"/>
  <c r="K297" i="29"/>
  <c r="D297" i="29"/>
  <c r="F297" i="29"/>
  <c r="C297" i="29"/>
  <c r="E297" i="29"/>
  <c r="G297" i="29"/>
  <c r="H298" i="31"/>
  <c r="E299" i="31"/>
  <c r="G299" i="31"/>
  <c r="C299" i="31"/>
  <c r="L299" i="31"/>
  <c r="D299" i="31"/>
  <c r="F299" i="31"/>
  <c r="E298" i="29"/>
  <c r="G298" i="29"/>
  <c r="D298" i="29"/>
  <c r="F298" i="29"/>
  <c r="H297" i="29"/>
  <c r="L297" i="29"/>
  <c r="K298" i="29"/>
  <c r="L298" i="29"/>
  <c r="B299" i="29"/>
  <c r="K299" i="29"/>
  <c r="H299" i="31"/>
  <c r="C299" i="29"/>
  <c r="L299" i="29"/>
  <c r="H298" i="29"/>
  <c r="D299" i="29"/>
  <c r="E299" i="29"/>
  <c r="G299" i="29"/>
  <c r="F299" i="29"/>
  <c r="H305" i="29"/>
  <c r="H304" i="29"/>
  <c r="H316" i="29"/>
  <c r="H306" i="29"/>
  <c r="H312" i="29"/>
  <c r="H313" i="29"/>
  <c r="H311" i="29"/>
  <c r="H310" i="29"/>
  <c r="H315" i="29"/>
  <c r="H309" i="29"/>
  <c r="H308" i="29"/>
  <c r="H299" i="29"/>
  <c r="H314" i="29"/>
  <c r="H307" i="29"/>
  <c r="B112" i="22"/>
  <c r="B111" i="22"/>
  <c r="B110" i="22"/>
  <c r="B109" i="22"/>
  <c r="B108" i="22"/>
  <c r="B107" i="22"/>
  <c r="B106" i="22"/>
  <c r="B105" i="22"/>
  <c r="B104" i="22"/>
  <c r="B103" i="22"/>
  <c r="B102" i="22"/>
  <c r="B101" i="22"/>
  <c r="B100" i="22"/>
  <c r="B99" i="22"/>
  <c r="B98" i="22"/>
  <c r="B97" i="22"/>
  <c r="B96" i="22"/>
  <c r="B95" i="22"/>
  <c r="B94" i="22"/>
  <c r="B93" i="22"/>
  <c r="B92" i="22"/>
  <c r="B91" i="22"/>
  <c r="B90" i="22"/>
  <c r="B89" i="22"/>
  <c r="B88" i="22"/>
  <c r="B87" i="22"/>
  <c r="B86" i="22"/>
  <c r="B85" i="22"/>
  <c r="B84" i="22"/>
  <c r="B83" i="22"/>
  <c r="B82" i="22"/>
  <c r="B81" i="22"/>
  <c r="B80" i="22"/>
  <c r="B79" i="22"/>
  <c r="B78" i="22"/>
  <c r="B77" i="22"/>
  <c r="B76" i="22"/>
  <c r="B75" i="22"/>
  <c r="B74" i="22"/>
  <c r="B73" i="22"/>
  <c r="D40" i="22"/>
  <c r="K16" i="22"/>
  <c r="F9" i="33"/>
  <c r="J11" i="33" a="1"/>
  <c r="J13" i="33" a="1"/>
  <c r="J21" i="33" a="1"/>
  <c r="J3" i="33" a="1"/>
  <c r="J16" i="33" a="1"/>
  <c r="J12" i="33" a="1"/>
  <c r="J20" i="33" a="1"/>
  <c r="J22" i="33" a="1"/>
  <c r="J14" i="33" a="1"/>
  <c r="F55" i="22" a="1"/>
  <c r="H22" i="33" a="1"/>
  <c r="J34" i="33" a="1"/>
  <c r="J15" i="33" a="1"/>
  <c r="J24" i="33" a="1"/>
  <c r="J36" i="33" a="1"/>
  <c r="F68" i="22"/>
  <c r="J26" i="33" a="1"/>
  <c r="C55" i="22" a="1"/>
  <c r="J25" i="33" a="1"/>
  <c r="J35" i="33" a="1"/>
  <c r="H24" i="33" a="1"/>
  <c r="J38" i="33" a="1"/>
  <c r="C68" i="22"/>
  <c r="J27" i="33" a="1"/>
  <c r="J28" i="33" a="1"/>
  <c r="J39" i="33" a="1"/>
  <c r="J40" i="33" a="1"/>
  <c r="D55" i="22" a="1"/>
  <c r="C73" i="22" a="1"/>
  <c r="J43" i="33" a="1"/>
  <c r="G55" i="22" a="1"/>
  <c r="H73" i="22" a="1"/>
  <c r="J55" i="22" a="1"/>
  <c r="N55" i="22" a="1"/>
  <c r="J30" i="33" a="1"/>
  <c r="E55" i="22" a="1"/>
  <c r="G68" i="22"/>
  <c r="K55" i="22" a="1"/>
  <c r="K68" i="22"/>
  <c r="J44" i="33" a="1"/>
  <c r="J46" i="33" a="1"/>
  <c r="I55" i="22" a="1"/>
  <c r="M55" i="22" a="1"/>
  <c r="H43" i="33" a="1"/>
  <c r="D68" i="22"/>
  <c r="H55" i="22" a="1"/>
  <c r="D73" i="22" a="1"/>
  <c r="E73" i="22" a="1"/>
  <c r="H68" i="22"/>
  <c r="L55" i="22" a="1"/>
  <c r="L68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124" authorId="0" shapeId="0" xr:uid="{00000000-0006-0000-0200-000001000000}">
      <text>
        <r>
          <rPr>
            <sz val="9"/>
            <color indexed="81"/>
            <rFont val="Tahoma"/>
            <family val="2"/>
          </rPr>
          <t>This includes revenue recognized from current week + catch-up of old games played</t>
        </r>
      </text>
    </comment>
    <comment ref="P124" authorId="0" shapeId="0" xr:uid="{00000000-0006-0000-0200-000002000000}">
      <text>
        <r>
          <rPr>
            <sz val="9"/>
            <color indexed="81"/>
            <rFont val="Tahoma"/>
            <family val="2"/>
          </rPr>
          <t>This includes incremental revenue recognized for current week's game for old season tickets sold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124" authorId="0" shapeId="0" xr:uid="{BAA1C12B-5BA3-4C76-B263-04CD1F35DCD1}">
      <text>
        <r>
          <rPr>
            <sz val="9"/>
            <color indexed="81"/>
            <rFont val="Tahoma"/>
            <family val="2"/>
          </rPr>
          <t>This includes revenue recognized from current week + catch-up of old games played</t>
        </r>
      </text>
    </comment>
    <comment ref="Q124" authorId="0" shapeId="0" xr:uid="{31DA5BF7-305A-40C8-B427-E7BDC5DB9997}">
      <text>
        <r>
          <rPr>
            <sz val="9"/>
            <color indexed="81"/>
            <rFont val="Tahoma"/>
            <family val="2"/>
          </rPr>
          <t>This includes incremental revenue recognized for current week's game for old season tickets sold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<sst xmlns="http://schemas.openxmlformats.org/spreadsheetml/2006/main" count="389" uniqueCount="135">
  <si>
    <t>Season Ticket Price</t>
  </si>
  <si>
    <t>($)</t>
  </si>
  <si>
    <t>Stadium Capacity</t>
  </si>
  <si>
    <t>(# seats)</t>
  </si>
  <si>
    <t>Season Ticket Sales By Week</t>
  </si>
  <si>
    <t>Game Dates &amp; Importance</t>
  </si>
  <si>
    <t>Sales Timing For Single Game Tickets</t>
  </si>
  <si>
    <t>Game Assumptions By Importance</t>
  </si>
  <si>
    <t>Week ending</t>
  </si>
  <si>
    <t>Date Sold</t>
  </si>
  <si>
    <t>Sales</t>
  </si>
  <si>
    <t>Date</t>
  </si>
  <si>
    <t>Importance</t>
  </si>
  <si>
    <t>Days to game</t>
  </si>
  <si>
    <t>% of demand</t>
  </si>
  <si>
    <t>Base crowd</t>
  </si>
  <si>
    <t>Ticket price ($)</t>
  </si>
  <si>
    <t>Total</t>
  </si>
  <si>
    <t>Monthly Summary Table</t>
  </si>
  <si>
    <t>Season Tickets</t>
  </si>
  <si>
    <t>Single Game Tickets</t>
  </si>
  <si>
    <t>Month End</t>
  </si>
  <si>
    <t>Cash Received</t>
  </si>
  <si>
    <t>Revenue</t>
  </si>
  <si>
    <t>Unearned Revenue Balance</t>
  </si>
  <si>
    <t># Of Tickets Sold</t>
  </si>
  <si>
    <t xml:space="preserve">Cash Received </t>
  </si>
  <si>
    <t xml:space="preserve">Revenue </t>
  </si>
  <si>
    <t xml:space="preserve">Unearned Revenue Balance </t>
  </si>
  <si>
    <t xml:space="preserve">Unearned Revenue </t>
  </si>
  <si>
    <t>Game Summary Table</t>
  </si>
  <si>
    <t>Game Date</t>
  </si>
  <si>
    <t># of Single Game Tickets Sold by Days to Game</t>
  </si>
  <si>
    <t>Wichita Warblers Inc - Inputs and Assumptions</t>
  </si>
  <si>
    <t>Total Games</t>
  </si>
  <si>
    <t>Season Ticket Data</t>
  </si>
  <si>
    <t>Total Home Games</t>
  </si>
  <si>
    <t>Season Ticket Price ($)</t>
  </si>
  <si>
    <t>Weekly Data</t>
  </si>
  <si>
    <t>Checks - Not Required for Solution</t>
  </si>
  <si>
    <t>Cumul Cash Received</t>
  </si>
  <si>
    <t>Home Games Played</t>
  </si>
  <si>
    <t>% Home Games Played</t>
  </si>
  <si>
    <t>Cumul Revenue</t>
  </si>
  <si>
    <t>Cumul # Tickets Sold</t>
  </si>
  <si>
    <t>Cumul Revenue New Tickets</t>
  </si>
  <si>
    <t>Cumul Revenue Old Tickets</t>
  </si>
  <si>
    <t>Cumul Revenue Recognized</t>
  </si>
  <si>
    <t>Monthly Data</t>
  </si>
  <si>
    <t>Cumul Games Played</t>
  </si>
  <si>
    <t>Games Played in Month</t>
  </si>
  <si>
    <t>Cumul Season Tickets Sold</t>
  </si>
  <si>
    <t>Monthly Season Tickets Sold</t>
  </si>
  <si>
    <t>Revenue Recognized</t>
  </si>
  <si>
    <t>Unearned Revenue</t>
  </si>
  <si>
    <t>Revenue New Tickets</t>
  </si>
  <si>
    <t>Revenue Old Tickets</t>
  </si>
  <si>
    <t>Seats Capacity</t>
  </si>
  <si>
    <t>Capacity</t>
  </si>
  <si>
    <t>Daily Sales Demand</t>
  </si>
  <si>
    <t>Daily Actual Sales</t>
  </si>
  <si>
    <t>Dates for Daily Sales</t>
  </si>
  <si>
    <t>Daily Cash Received $</t>
  </si>
  <si>
    <t>Available Seats</t>
  </si>
  <si>
    <t>Sold Tickets</t>
  </si>
  <si>
    <t>Sold Tx</t>
  </si>
  <si>
    <t>Check</t>
  </si>
  <si>
    <t>Rev</t>
  </si>
  <si>
    <t>Weekly Data - Single Game Tickets</t>
  </si>
  <si>
    <t>Week End</t>
  </si>
  <si>
    <t>Tickets Sold</t>
  </si>
  <si>
    <t>Unrecognized Revenue</t>
  </si>
  <si>
    <t>Monthly Data - Single Game Tickets</t>
  </si>
  <si>
    <t xml:space="preserve">Note: Presented solution assumes that all Season Tickets for a particular week are sold once at the beginning of the week ("Date Sold"). </t>
  </si>
  <si>
    <t>Assuming Season Tickets for a particular week are sold evenly throughout the 7 days up to and including the "week ending" date would require an adjustment for weeks that span two months</t>
  </si>
  <si>
    <t>Following Month</t>
  </si>
  <si>
    <t xml:space="preserve">Starting Month </t>
  </si>
  <si>
    <t># Of Tickets Sold (In Month)</t>
  </si>
  <si>
    <t># Of Tickets Sold (Following Month)</t>
  </si>
  <si>
    <t>Month End (Date Sold)</t>
  </si>
  <si>
    <t>Month End (Week Ending)</t>
  </si>
  <si>
    <t>Rec</t>
  </si>
  <si>
    <t>Edited existing cells</t>
  </si>
  <si>
    <t>New cells</t>
  </si>
  <si>
    <t>Changes Key</t>
  </si>
  <si>
    <t>Daily Single Sales Demand</t>
  </si>
  <si>
    <t>Daily Season Ticket Sales Demand</t>
  </si>
  <si>
    <t>Cumulative Season Tickets Sold</t>
  </si>
  <si>
    <t>Week start</t>
  </si>
  <si>
    <t>Working Capital</t>
  </si>
  <si>
    <t>TMP SCHEDULE</t>
  </si>
  <si>
    <t>End of schedule</t>
  </si>
  <si>
    <t>Chapter</t>
  </si>
  <si>
    <t>Constant</t>
  </si>
  <si>
    <t>Unit</t>
  </si>
  <si>
    <t>Model timeline</t>
  </si>
  <si>
    <t>Beginning date</t>
  </si>
  <si>
    <t>Ending date</t>
  </si>
  <si>
    <t>date</t>
  </si>
  <si>
    <t>Number of days</t>
  </si>
  <si>
    <t>days</t>
  </si>
  <si>
    <t>Month end</t>
  </si>
  <si>
    <t>Game date</t>
  </si>
  <si>
    <t>Days to next game</t>
  </si>
  <si>
    <t>CALCULATIONS SCHEDULE</t>
  </si>
  <si>
    <t>Spread season ticket sale</t>
  </si>
  <si>
    <t>[TRUE, FALSE]</t>
  </si>
  <si>
    <t>day</t>
  </si>
  <si>
    <t>Weekday</t>
  </si>
  <si>
    <t>Weekend date</t>
  </si>
  <si>
    <t>Weekly sales</t>
  </si>
  <si>
    <t>USD</t>
  </si>
  <si>
    <t>Date sold</t>
  </si>
  <si>
    <t>Sales date flag</t>
  </si>
  <si>
    <t>flag</t>
  </si>
  <si>
    <t>tickets</t>
  </si>
  <si>
    <t>Cash from season tickets sale</t>
  </si>
  <si>
    <t>Pct of games played</t>
  </si>
  <si>
    <t>%</t>
  </si>
  <si>
    <t>Cumulative cash from season ticket sale</t>
  </si>
  <si>
    <t>Revenue from sale of season tickets</t>
  </si>
  <si>
    <t>Cumulative revenue from season ticket sale</t>
  </si>
  <si>
    <t>Daily sales of season tickets</t>
  </si>
  <si>
    <t>Unearned revenue from sale of season tickets</t>
  </si>
  <si>
    <t>Daily sales of single game tickets</t>
  </si>
  <si>
    <t>Game importance</t>
  </si>
  <si>
    <t>Ticket demand</t>
  </si>
  <si>
    <t>Pct of ticket demand leading up to the game</t>
  </si>
  <si>
    <t>Ticket availability</t>
  </si>
  <si>
    <t>Tickets available (week)</t>
  </si>
  <si>
    <t>number</t>
  </si>
  <si>
    <t>Tickets available (day)</t>
  </si>
  <si>
    <t>Cash from single game ticket sale</t>
  </si>
  <si>
    <t>Revenue from sale of single game tickets</t>
  </si>
  <si>
    <t>Unearned revenue from sale of single game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</si>
</sst>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&quot;$&quot;#,##0_);[Red]\(&quot;$&quot;#,##0\)"/>
    <numFmt numFmtId="165" formatCode="&quot;$&quot;#,##0.00_);[Red]\(&quot;$&quot;#,##0.00\)"/>
    <numFmt numFmtId="166" formatCode="_(* #,##0.00_);_(* \(#,##0.00\);_(* &quot;-&quot;??_);_(@_)"/>
    <numFmt numFmtId="167" formatCode="_-* #,##0_-;\-* #,##0_-;_-* &quot;-&quot;??_-;_-@_-"/>
    <numFmt numFmtId="168" formatCode="#,##0_);\(#,##0\);\-"/>
    <numFmt numFmtId="169" formatCode="#,##0_);\(#,##0\);\-_)"/>
    <numFmt numFmtId="170" formatCode="#,##0.00_);\(#,##0.00\);\-_)"/>
    <numFmt numFmtId="171" formatCode="0.00%_);\(0.00%\);\-_)"/>
    <numFmt numFmtId="172" formatCode="d/mmm/yy;d/mmm/yy;\-"/>
    <numFmt numFmtId="173" formatCode="[Red]&quot;Error&quot;;[Red]&quot;Error&quot;;&quot;OK&quot;;[Red]General"/>
    <numFmt numFmtId="174" formatCode="&quot;On&quot;;[Black]\(#,##0\);[Red]&quot;Off&quot;;[Black]General"/>
    <numFmt numFmtId="175" formatCode="&quot;Yes&quot;;[Black]\(#,##0\);[Red]&quot;No&quot;;[Black]General"/>
    <numFmt numFmtId="176" formatCode="d\-mmm\-yy;d\-mmm\-yy;\-"/>
    <numFmt numFmtId="177" formatCode="###0_);\(###0\);\-_)"/>
    <numFmt numFmtId="178" formatCode="0.0%"/>
    <numFmt numFmtId="179" formatCode="&quot;$&quot;#,##0_);[Red]\(&quot;$&quot;#,##0\);\-\-_)"/>
    <numFmt numFmtId="180" formatCode="#,##0;\(#,##0\);\-\-"/>
    <numFmt numFmtId="181" formatCode="0%;\(0%\);\-\-_%"/>
    <numFmt numFmtId="182" formatCode="&quot;Day &quot;0;&quot;Day&quot;\ \-0"/>
    <numFmt numFmtId="183" formatCode="#,##0_);\(#,##0\);&quot;-  &quot;;&quot; &quot;@"/>
    <numFmt numFmtId="184" formatCode="0.00%\ ;\-0.00%\ _);&quot;-  &quot;;&quot; &quot;@&quot; &quot;"/>
    <numFmt numFmtId="185" formatCode="#,##0.0000_);\(#,##0.0000\);&quot;-  &quot;;&quot; &quot;@&quot; &quot;"/>
    <numFmt numFmtId="186" formatCode="dd\ mmm\ yyyy_);\(###0\);&quot;-  &quot;;&quot; &quot;@&quot; &quot;"/>
    <numFmt numFmtId="187" formatCode="dd\ mmm\ yy_);\(###0\);&quot;-  &quot;;&quot; &quot;@&quot; &quot;"/>
    <numFmt numFmtId="188" formatCode="###0_);\(###0\);&quot;-  &quot;;&quot; &quot;@&quot; &quot;"/>
    <numFmt numFmtId="189" formatCode="0%\ ;\-0%\ _);&quot;-  &quot;;&quot; &quot;@&quot; &quot;"/>
  </numFmts>
  <fonts count="3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b/>
      <u val="singleAccounting"/>
      <sz val="10"/>
      <color theme="1"/>
      <name val="Arial"/>
      <family val="2"/>
    </font>
    <font>
      <i/>
      <sz val="10"/>
      <color indexed="10"/>
      <name val="Arial"/>
      <family val="2"/>
    </font>
    <font>
      <sz val="10"/>
      <color indexed="12"/>
      <name val="Arial"/>
      <family val="2"/>
    </font>
    <font>
      <sz val="9"/>
      <color indexed="81"/>
      <name val="Tahoma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4" tint="0.3999450666829432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medium">
        <color indexed="64"/>
      </bottom>
      <diagonal/>
    </border>
    <border>
      <left/>
      <right/>
      <top style="thin">
        <color theme="4" tint="0.39994506668294322"/>
      </top>
      <bottom style="medium">
        <color indexed="64"/>
      </bottom>
      <diagonal/>
    </border>
    <border>
      <left/>
      <right style="thin">
        <color indexed="64"/>
      </right>
      <top style="thin">
        <color theme="4" tint="0.39994506668294322"/>
      </top>
      <bottom style="medium">
        <color indexed="64"/>
      </bottom>
      <diagonal/>
    </border>
    <border>
      <left style="thin">
        <color indexed="64"/>
      </left>
      <right/>
      <top style="thin">
        <color theme="4" tint="0.39994506668294322"/>
      </top>
      <bottom style="medium">
        <color indexed="64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theme="4" tint="0.39994506668294322"/>
      </left>
      <right/>
      <top style="thin">
        <color theme="4" tint="0.39994506668294322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4506668294322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52">
    <xf numFmtId="183" fontId="0" fillId="0" borderId="0" applyFont="0" applyFill="0" applyBorder="0" applyProtection="0">
      <alignment vertical="top"/>
    </xf>
    <xf numFmtId="0" fontId="2" fillId="0" borderId="0"/>
    <xf numFmtId="166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5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7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69" fontId="1" fillId="0" borderId="0" applyBorder="0"/>
    <xf numFmtId="4" fontId="7" fillId="4" borderId="2">
      <alignment horizontal="left"/>
    </xf>
    <xf numFmtId="168" fontId="11" fillId="0" borderId="0" applyFill="0" applyBorder="0"/>
    <xf numFmtId="169" fontId="9" fillId="0" borderId="0" applyBorder="0"/>
    <xf numFmtId="0" fontId="12" fillId="0" borderId="0" applyNumberFormat="0" applyFill="0" applyBorder="0">
      <alignment horizontal="right"/>
    </xf>
    <xf numFmtId="169" fontId="12" fillId="5" borderId="8">
      <protection locked="0"/>
    </xf>
    <xf numFmtId="170" fontId="12" fillId="5" borderId="8">
      <protection locked="0"/>
    </xf>
    <xf numFmtId="171" fontId="12" fillId="5" borderId="8">
      <protection locked="0"/>
    </xf>
    <xf numFmtId="172" fontId="1" fillId="0" borderId="0" applyBorder="0"/>
    <xf numFmtId="172" fontId="12" fillId="5" borderId="8">
      <protection locked="0"/>
    </xf>
    <xf numFmtId="169" fontId="12" fillId="0" borderId="8"/>
    <xf numFmtId="15" fontId="8" fillId="0" borderId="0" applyFill="0" applyBorder="0" applyAlignment="0"/>
    <xf numFmtId="173" fontId="13" fillId="0" borderId="9">
      <alignment horizontal="center"/>
    </xf>
    <xf numFmtId="169" fontId="14" fillId="7" borderId="0" applyBorder="0" applyAlignment="0"/>
    <xf numFmtId="173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68" fontId="18" fillId="6" borderId="8" applyNumberFormat="0" applyAlignment="0">
      <protection locked="0"/>
    </xf>
    <xf numFmtId="174" fontId="19" fillId="5" borderId="8">
      <alignment horizontal="center"/>
      <protection locked="0"/>
    </xf>
    <xf numFmtId="175" fontId="19" fillId="5" borderId="8">
      <alignment horizontal="center"/>
      <protection locked="0"/>
    </xf>
    <xf numFmtId="170" fontId="1" fillId="0" borderId="0" applyBorder="0"/>
    <xf numFmtId="175" fontId="20" fillId="0" borderId="11" applyFill="0">
      <alignment horizontal="center"/>
    </xf>
    <xf numFmtId="174" fontId="19" fillId="0" borderId="11">
      <alignment horizontal="center"/>
    </xf>
    <xf numFmtId="171" fontId="2" fillId="0" borderId="0" applyFill="0" applyBorder="0" applyAlignment="0"/>
    <xf numFmtId="169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6" fontId="1" fillId="0" borderId="0" applyBorder="0"/>
    <xf numFmtId="177" fontId="1" fillId="0" borderId="0" applyBorder="0"/>
    <xf numFmtId="176" fontId="12" fillId="5" borderId="8">
      <protection locked="0"/>
    </xf>
    <xf numFmtId="184" fontId="24" fillId="0" borderId="0" applyFont="0" applyFill="0" applyBorder="0" applyProtection="0">
      <alignment vertical="top"/>
    </xf>
    <xf numFmtId="185" fontId="24" fillId="0" borderId="0" applyFont="0" applyFill="0" applyBorder="0" applyProtection="0">
      <alignment vertical="top"/>
    </xf>
    <xf numFmtId="186" fontId="24" fillId="0" borderId="0" applyFont="0" applyFill="0" applyBorder="0" applyProtection="0">
      <alignment vertical="top"/>
    </xf>
    <xf numFmtId="187" fontId="24" fillId="0" borderId="0" applyFont="0" applyFill="0" applyBorder="0" applyProtection="0">
      <alignment vertical="top"/>
    </xf>
    <xf numFmtId="188" fontId="24" fillId="0" borderId="0" applyFont="0" applyFill="0" applyBorder="0" applyProtection="0">
      <alignment vertical="top"/>
    </xf>
  </cellStyleXfs>
  <cellXfs count="139">
    <xf numFmtId="183" fontId="0" fillId="0" borderId="0" xfId="0">
      <alignment vertical="top"/>
    </xf>
    <xf numFmtId="169" fontId="1" fillId="0" borderId="0" xfId="13"/>
    <xf numFmtId="4" fontId="7" fillId="4" borderId="2" xfId="14">
      <alignment horizontal="left"/>
    </xf>
    <xf numFmtId="4" fontId="7" fillId="4" borderId="2" xfId="14" applyAlignment="1">
      <alignment horizontal="center"/>
    </xf>
    <xf numFmtId="183" fontId="25" fillId="0" borderId="0" xfId="0" applyFont="1">
      <alignment vertical="top"/>
    </xf>
    <xf numFmtId="183" fontId="26" fillId="0" borderId="0" xfId="0" applyFont="1" applyAlignment="1">
      <alignment horizontal="center"/>
    </xf>
    <xf numFmtId="183" fontId="1" fillId="0" borderId="0" xfId="0" applyFont="1">
      <alignment vertical="top"/>
    </xf>
    <xf numFmtId="183" fontId="9" fillId="0" borderId="0" xfId="0" applyFont="1" applyAlignment="1">
      <alignment horizontal="centerContinuous"/>
    </xf>
    <xf numFmtId="164" fontId="12" fillId="0" borderId="0" xfId="0" applyNumberFormat="1" applyFont="1">
      <alignment vertical="top"/>
    </xf>
    <xf numFmtId="38" fontId="12" fillId="0" borderId="0" xfId="0" applyNumberFormat="1" applyFont="1">
      <alignment vertical="top"/>
    </xf>
    <xf numFmtId="3" fontId="1" fillId="0" borderId="0" xfId="0" applyNumberFormat="1" applyFont="1">
      <alignment vertical="top"/>
    </xf>
    <xf numFmtId="183" fontId="1" fillId="0" borderId="0" xfId="0" applyFont="1" applyAlignment="1">
      <alignment horizontal="centerContinuous"/>
    </xf>
    <xf numFmtId="183" fontId="7" fillId="10" borderId="16" xfId="0" applyFont="1" applyFill="1" applyBorder="1" applyAlignment="1">
      <alignment horizontal="center"/>
    </xf>
    <xf numFmtId="15" fontId="1" fillId="0" borderId="0" xfId="0" applyNumberFormat="1" applyFont="1">
      <alignment vertical="top"/>
    </xf>
    <xf numFmtId="178" fontId="1" fillId="0" borderId="0" xfId="0" applyNumberFormat="1" applyFont="1">
      <alignment vertical="top"/>
    </xf>
    <xf numFmtId="183" fontId="7" fillId="10" borderId="0" xfId="0" applyFont="1" applyFill="1">
      <alignment vertical="top"/>
    </xf>
    <xf numFmtId="183" fontId="28" fillId="0" borderId="0" xfId="0" applyFont="1" applyAlignment="1">
      <alignment horizontal="centerContinuous" wrapText="1"/>
    </xf>
    <xf numFmtId="183" fontId="1" fillId="11" borderId="0" xfId="0" applyFont="1" applyFill="1">
      <alignment vertical="top"/>
    </xf>
    <xf numFmtId="15" fontId="1" fillId="0" borderId="0" xfId="0" applyNumberFormat="1" applyFont="1" applyAlignment="1">
      <alignment horizontal="center"/>
    </xf>
    <xf numFmtId="183" fontId="28" fillId="0" borderId="0" xfId="0" applyFont="1" applyAlignment="1">
      <alignment horizontal="center" wrapText="1"/>
    </xf>
    <xf numFmtId="183" fontId="9" fillId="0" borderId="1" xfId="0" applyFont="1" applyBorder="1" applyAlignment="1">
      <alignment horizontal="center" wrapText="1"/>
    </xf>
    <xf numFmtId="15" fontId="1" fillId="0" borderId="17" xfId="0" applyNumberFormat="1" applyFont="1" applyBorder="1">
      <alignment vertical="top"/>
    </xf>
    <xf numFmtId="15" fontId="1" fillId="0" borderId="18" xfId="0" applyNumberFormat="1" applyFont="1" applyBorder="1">
      <alignment vertical="top"/>
    </xf>
    <xf numFmtId="3" fontId="12" fillId="0" borderId="18" xfId="0" applyNumberFormat="1" applyFont="1" applyBorder="1">
      <alignment vertical="top"/>
    </xf>
    <xf numFmtId="15" fontId="1" fillId="0" borderId="19" xfId="0" applyNumberFormat="1" applyFont="1" applyBorder="1">
      <alignment vertical="top"/>
    </xf>
    <xf numFmtId="3" fontId="12" fillId="0" borderId="0" xfId="0" applyNumberFormat="1" applyFont="1">
      <alignment vertical="top"/>
    </xf>
    <xf numFmtId="3" fontId="12" fillId="0" borderId="20" xfId="0" applyNumberFormat="1" applyFont="1" applyBorder="1">
      <alignment vertical="top"/>
    </xf>
    <xf numFmtId="3" fontId="12" fillId="0" borderId="13" xfId="0" applyNumberFormat="1" applyFont="1" applyBorder="1">
      <alignment vertical="top"/>
    </xf>
    <xf numFmtId="183" fontId="9" fillId="0" borderId="15" xfId="0" applyFont="1" applyBorder="1" applyAlignment="1">
      <alignment horizontal="right"/>
    </xf>
    <xf numFmtId="183" fontId="9" fillId="0" borderId="1" xfId="0" applyFont="1" applyBorder="1" applyAlignment="1">
      <alignment horizontal="right"/>
    </xf>
    <xf numFmtId="3" fontId="9" fillId="0" borderId="21" xfId="0" applyNumberFormat="1" applyFont="1" applyBorder="1">
      <alignment vertical="top"/>
    </xf>
    <xf numFmtId="183" fontId="12" fillId="0" borderId="20" xfId="0" applyFont="1" applyBorder="1">
      <alignment vertical="top"/>
    </xf>
    <xf numFmtId="183" fontId="12" fillId="0" borderId="13" xfId="0" applyFont="1" applyBorder="1">
      <alignment vertical="top"/>
    </xf>
    <xf numFmtId="15" fontId="1" fillId="0" borderId="15" xfId="0" applyNumberFormat="1" applyFont="1" applyBorder="1">
      <alignment vertical="top"/>
    </xf>
    <xf numFmtId="183" fontId="12" fillId="0" borderId="22" xfId="0" applyFont="1" applyBorder="1">
      <alignment vertical="top"/>
    </xf>
    <xf numFmtId="183" fontId="27" fillId="0" borderId="17" xfId="0" applyFont="1" applyBorder="1">
      <alignment vertical="top"/>
    </xf>
    <xf numFmtId="183" fontId="27" fillId="0" borderId="19" xfId="0" applyFont="1" applyBorder="1">
      <alignment vertical="top"/>
    </xf>
    <xf numFmtId="9" fontId="12" fillId="0" borderId="20" xfId="0" applyNumberFormat="1" applyFont="1" applyBorder="1">
      <alignment vertical="top"/>
    </xf>
    <xf numFmtId="9" fontId="12" fillId="0" borderId="13" xfId="0" applyNumberFormat="1" applyFont="1" applyBorder="1">
      <alignment vertical="top"/>
    </xf>
    <xf numFmtId="9" fontId="9" fillId="0" borderId="12" xfId="0" applyNumberFormat="1" applyFont="1" applyBorder="1">
      <alignment vertical="top"/>
    </xf>
    <xf numFmtId="183" fontId="27" fillId="0" borderId="15" xfId="0" applyFont="1" applyBorder="1">
      <alignment vertical="top"/>
    </xf>
    <xf numFmtId="3" fontId="12" fillId="0" borderId="1" xfId="0" applyNumberFormat="1" applyFont="1" applyBorder="1">
      <alignment vertical="top"/>
    </xf>
    <xf numFmtId="3" fontId="12" fillId="0" borderId="22" xfId="0" applyNumberFormat="1" applyFont="1" applyBorder="1">
      <alignment vertical="top"/>
    </xf>
    <xf numFmtId="183" fontId="9" fillId="0" borderId="0" xfId="0" applyFont="1">
      <alignment vertical="top"/>
    </xf>
    <xf numFmtId="179" fontId="1" fillId="11" borderId="0" xfId="0" applyNumberFormat="1" applyFont="1" applyFill="1">
      <alignment vertical="top"/>
    </xf>
    <xf numFmtId="180" fontId="1" fillId="11" borderId="0" xfId="0" applyNumberFormat="1" applyFont="1" applyFill="1">
      <alignment vertical="top"/>
    </xf>
    <xf numFmtId="180" fontId="1" fillId="11" borderId="1" xfId="0" applyNumberFormat="1" applyFont="1" applyFill="1" applyBorder="1">
      <alignment vertical="top"/>
    </xf>
    <xf numFmtId="164" fontId="9" fillId="0" borderId="14" xfId="0" applyNumberFormat="1" applyFont="1" applyBorder="1">
      <alignment vertical="top"/>
    </xf>
    <xf numFmtId="180" fontId="9" fillId="0" borderId="14" xfId="0" applyNumberFormat="1" applyFont="1" applyBorder="1">
      <alignment vertical="top"/>
    </xf>
    <xf numFmtId="183" fontId="1" fillId="0" borderId="14" xfId="0" applyFont="1" applyBorder="1">
      <alignment vertical="top"/>
    </xf>
    <xf numFmtId="164" fontId="1" fillId="11" borderId="0" xfId="0" applyNumberFormat="1" applyFont="1" applyFill="1">
      <alignment vertical="top"/>
    </xf>
    <xf numFmtId="3" fontId="1" fillId="11" borderId="0" xfId="0" applyNumberFormat="1" applyFont="1" applyFill="1">
      <alignment vertical="top"/>
    </xf>
    <xf numFmtId="3" fontId="1" fillId="0" borderId="0" xfId="0" applyNumberFormat="1" applyFont="1" applyAlignment="1">
      <alignment horizontal="center"/>
    </xf>
    <xf numFmtId="183" fontId="9" fillId="0" borderId="0" xfId="0" applyFont="1" applyAlignment="1">
      <alignment horizontal="left"/>
    </xf>
    <xf numFmtId="164" fontId="27" fillId="0" borderId="0" xfId="0" applyNumberFormat="1" applyFont="1" applyAlignment="1">
      <alignment horizontal="center"/>
    </xf>
    <xf numFmtId="183" fontId="9" fillId="12" borderId="0" xfId="0" applyFont="1" applyFill="1" applyAlignment="1">
      <alignment horizontal="left"/>
    </xf>
    <xf numFmtId="183" fontId="9" fillId="12" borderId="0" xfId="0" applyFont="1" applyFill="1" applyAlignment="1">
      <alignment horizontal="centerContinuous"/>
    </xf>
    <xf numFmtId="164" fontId="27" fillId="12" borderId="0" xfId="0" applyNumberFormat="1" applyFont="1" applyFill="1" applyAlignment="1">
      <alignment horizontal="center"/>
    </xf>
    <xf numFmtId="183" fontId="1" fillId="12" borderId="0" xfId="0" applyFont="1" applyFill="1">
      <alignment vertical="top"/>
    </xf>
    <xf numFmtId="183" fontId="29" fillId="0" borderId="0" xfId="0" applyFont="1">
      <alignment vertical="top"/>
    </xf>
    <xf numFmtId="183" fontId="9" fillId="0" borderId="1" xfId="0" applyFont="1" applyBorder="1" applyAlignment="1">
      <alignment wrapText="1"/>
    </xf>
    <xf numFmtId="183" fontId="9" fillId="0" borderId="0" xfId="0" applyFont="1" applyAlignment="1">
      <alignment wrapText="1"/>
    </xf>
    <xf numFmtId="180" fontId="2" fillId="0" borderId="0" xfId="0" applyNumberFormat="1" applyFont="1">
      <alignment vertical="top"/>
    </xf>
    <xf numFmtId="179" fontId="2" fillId="0" borderId="0" xfId="0" applyNumberFormat="1" applyFont="1">
      <alignment vertical="top"/>
    </xf>
    <xf numFmtId="9" fontId="1" fillId="0" borderId="0" xfId="0" applyNumberFormat="1" applyFont="1">
      <alignment vertical="top"/>
    </xf>
    <xf numFmtId="164" fontId="1" fillId="0" borderId="0" xfId="0" applyNumberFormat="1" applyFont="1">
      <alignment vertical="top"/>
    </xf>
    <xf numFmtId="179" fontId="12" fillId="0" borderId="0" xfId="0" applyNumberFormat="1" applyFont="1">
      <alignment vertical="top"/>
    </xf>
    <xf numFmtId="179" fontId="1" fillId="0" borderId="0" xfId="0" applyNumberFormat="1" applyFont="1">
      <alignment vertical="top"/>
    </xf>
    <xf numFmtId="15" fontId="1" fillId="0" borderId="1" xfId="0" applyNumberFormat="1" applyFont="1" applyBorder="1">
      <alignment vertical="top"/>
    </xf>
    <xf numFmtId="180" fontId="2" fillId="0" borderId="1" xfId="0" applyNumberFormat="1" applyFont="1" applyBorder="1">
      <alignment vertical="top"/>
    </xf>
    <xf numFmtId="9" fontId="1" fillId="0" borderId="1" xfId="0" applyNumberFormat="1" applyFont="1" applyBorder="1">
      <alignment vertical="top"/>
    </xf>
    <xf numFmtId="164" fontId="1" fillId="0" borderId="1" xfId="0" applyNumberFormat="1" applyFont="1" applyBorder="1">
      <alignment vertical="top"/>
    </xf>
    <xf numFmtId="3" fontId="1" fillId="0" borderId="1" xfId="0" applyNumberFormat="1" applyFont="1" applyBorder="1">
      <alignment vertical="top"/>
    </xf>
    <xf numFmtId="179" fontId="1" fillId="0" borderId="1" xfId="0" applyNumberFormat="1" applyFont="1" applyBorder="1">
      <alignment vertical="top"/>
    </xf>
    <xf numFmtId="183" fontId="1" fillId="0" borderId="1" xfId="0" applyFont="1" applyBorder="1">
      <alignment vertical="top"/>
    </xf>
    <xf numFmtId="180" fontId="30" fillId="0" borderId="0" xfId="0" applyNumberFormat="1" applyFont="1">
      <alignment vertical="top"/>
    </xf>
    <xf numFmtId="179" fontId="2" fillId="0" borderId="14" xfId="0" applyNumberFormat="1" applyFont="1" applyBorder="1">
      <alignment vertical="top"/>
    </xf>
    <xf numFmtId="179" fontId="1" fillId="0" borderId="14" xfId="0" applyNumberFormat="1" applyFont="1" applyBorder="1">
      <alignment vertical="top"/>
    </xf>
    <xf numFmtId="15" fontId="9" fillId="0" borderId="0" xfId="0" applyNumberFormat="1" applyFont="1">
      <alignment vertical="top"/>
    </xf>
    <xf numFmtId="3" fontId="9" fillId="0" borderId="14" xfId="0" applyNumberFormat="1" applyFont="1" applyBorder="1">
      <alignment vertical="top"/>
    </xf>
    <xf numFmtId="180" fontId="1" fillId="0" borderId="0" xfId="0" applyNumberFormat="1" applyFont="1">
      <alignment vertical="top"/>
    </xf>
    <xf numFmtId="181" fontId="1" fillId="0" borderId="0" xfId="0" applyNumberFormat="1" applyFont="1">
      <alignment vertical="top"/>
    </xf>
    <xf numFmtId="179" fontId="9" fillId="0" borderId="14" xfId="0" applyNumberFormat="1" applyFont="1" applyBorder="1">
      <alignment vertical="top"/>
    </xf>
    <xf numFmtId="38" fontId="1" fillId="0" borderId="0" xfId="0" applyNumberFormat="1" applyFont="1">
      <alignment vertical="top"/>
    </xf>
    <xf numFmtId="183" fontId="7" fillId="10" borderId="16" xfId="0" applyFont="1" applyFill="1" applyBorder="1" applyAlignment="1">
      <alignment horizontal="centerContinuous"/>
    </xf>
    <xf numFmtId="180" fontId="1" fillId="0" borderId="30" xfId="0" applyNumberFormat="1" applyFont="1" applyBorder="1">
      <alignment vertical="top"/>
    </xf>
    <xf numFmtId="180" fontId="1" fillId="0" borderId="31" xfId="0" applyNumberFormat="1" applyFont="1" applyBorder="1">
      <alignment vertical="top"/>
    </xf>
    <xf numFmtId="15" fontId="1" fillId="0" borderId="30" xfId="0" applyNumberFormat="1" applyFont="1" applyBorder="1">
      <alignment vertical="top"/>
    </xf>
    <xf numFmtId="179" fontId="1" fillId="0" borderId="30" xfId="0" applyNumberFormat="1" applyFont="1" applyBorder="1">
      <alignment vertical="top"/>
    </xf>
    <xf numFmtId="179" fontId="1" fillId="0" borderId="32" xfId="0" applyNumberFormat="1" applyFont="1" applyBorder="1">
      <alignment vertical="top"/>
    </xf>
    <xf numFmtId="179" fontId="1" fillId="0" borderId="31" xfId="0" applyNumberFormat="1" applyFont="1" applyBorder="1">
      <alignment vertical="top"/>
    </xf>
    <xf numFmtId="183" fontId="9" fillId="0" borderId="1" xfId="0" applyFont="1" applyBorder="1" applyAlignment="1">
      <alignment horizontal="center"/>
    </xf>
    <xf numFmtId="182" fontId="9" fillId="0" borderId="23" xfId="0" applyNumberFormat="1" applyFont="1" applyBorder="1" applyAlignment="1">
      <alignment horizontal="center"/>
    </xf>
    <xf numFmtId="182" fontId="9" fillId="0" borderId="24" xfId="0" applyNumberFormat="1" applyFont="1" applyBorder="1" applyAlignment="1">
      <alignment horizontal="center"/>
    </xf>
    <xf numFmtId="182" fontId="9" fillId="0" borderId="25" xfId="0" applyNumberFormat="1" applyFont="1" applyBorder="1" applyAlignment="1">
      <alignment horizontal="center"/>
    </xf>
    <xf numFmtId="182" fontId="9" fillId="0" borderId="26" xfId="0" applyNumberFormat="1" applyFont="1" applyBorder="1" applyAlignment="1">
      <alignment horizontal="center"/>
    </xf>
    <xf numFmtId="183" fontId="7" fillId="10" borderId="27" xfId="0" applyFont="1" applyFill="1" applyBorder="1" applyAlignment="1">
      <alignment horizontal="center"/>
    </xf>
    <xf numFmtId="182" fontId="9" fillId="0" borderId="28" xfId="0" applyNumberFormat="1" applyFont="1" applyBorder="1" applyAlignment="1">
      <alignment horizontal="center"/>
    </xf>
    <xf numFmtId="182" fontId="9" fillId="0" borderId="29" xfId="0" applyNumberFormat="1" applyFont="1" applyBorder="1" applyAlignment="1">
      <alignment horizontal="center"/>
    </xf>
    <xf numFmtId="183" fontId="1" fillId="0" borderId="0" xfId="0" applyFont="1" applyAlignment="1">
      <alignment horizontal="center"/>
    </xf>
    <xf numFmtId="164" fontId="9" fillId="0" borderId="0" xfId="0" applyNumberFormat="1" applyFont="1">
      <alignment vertical="top"/>
    </xf>
    <xf numFmtId="180" fontId="9" fillId="0" borderId="0" xfId="0" applyNumberFormat="1" applyFont="1">
      <alignment vertical="top"/>
    </xf>
    <xf numFmtId="179" fontId="9" fillId="0" borderId="0" xfId="0" applyNumberFormat="1" applyFont="1">
      <alignment vertical="top"/>
    </xf>
    <xf numFmtId="183" fontId="8" fillId="0" borderId="0" xfId="0" applyFont="1">
      <alignment vertical="top"/>
    </xf>
    <xf numFmtId="180" fontId="2" fillId="13" borderId="0" xfId="0" applyNumberFormat="1" applyFont="1" applyFill="1">
      <alignment vertical="top"/>
    </xf>
    <xf numFmtId="180" fontId="2" fillId="13" borderId="1" xfId="0" applyNumberFormat="1" applyFont="1" applyFill="1" applyBorder="1">
      <alignment vertical="top"/>
    </xf>
    <xf numFmtId="180" fontId="2" fillId="14" borderId="0" xfId="0" applyNumberFormat="1" applyFont="1" applyFill="1">
      <alignment vertical="top"/>
    </xf>
    <xf numFmtId="180" fontId="1" fillId="13" borderId="0" xfId="0" applyNumberFormat="1" applyFont="1" applyFill="1">
      <alignment vertical="top"/>
    </xf>
    <xf numFmtId="183" fontId="1" fillId="13" borderId="0" xfId="0" applyFont="1" applyFill="1">
      <alignment vertical="top"/>
    </xf>
    <xf numFmtId="183" fontId="1" fillId="15" borderId="0" xfId="0" applyFont="1" applyFill="1">
      <alignment vertical="top"/>
    </xf>
    <xf numFmtId="180" fontId="2" fillId="15" borderId="0" xfId="0" applyNumberFormat="1" applyFont="1" applyFill="1">
      <alignment vertical="top"/>
    </xf>
    <xf numFmtId="179" fontId="2" fillId="13" borderId="0" xfId="0" applyNumberFormat="1" applyFont="1" applyFill="1">
      <alignment vertical="top"/>
    </xf>
    <xf numFmtId="15" fontId="1" fillId="15" borderId="0" xfId="0" applyNumberFormat="1" applyFont="1" applyFill="1">
      <alignment vertical="top"/>
    </xf>
    <xf numFmtId="15" fontId="1" fillId="15" borderId="1" xfId="0" applyNumberFormat="1" applyFont="1" applyFill="1" applyBorder="1">
      <alignment vertical="top"/>
    </xf>
    <xf numFmtId="3" fontId="1" fillId="13" borderId="0" xfId="0" applyNumberFormat="1" applyFont="1" applyFill="1">
      <alignment vertical="top"/>
    </xf>
    <xf numFmtId="3" fontId="1" fillId="13" borderId="1" xfId="0" applyNumberFormat="1" applyFont="1" applyFill="1" applyBorder="1">
      <alignment vertical="top"/>
    </xf>
    <xf numFmtId="183" fontId="1" fillId="0" borderId="0" xfId="0" applyFont="1" applyAlignment="1">
      <alignment horizontal="right"/>
    </xf>
    <xf numFmtId="180" fontId="2" fillId="14" borderId="1" xfId="0" applyNumberFormat="1" applyFont="1" applyFill="1" applyBorder="1">
      <alignment vertical="top"/>
    </xf>
    <xf numFmtId="180" fontId="2" fillId="15" borderId="1" xfId="0" applyNumberFormat="1" applyFont="1" applyFill="1" applyBorder="1">
      <alignment vertical="top"/>
    </xf>
    <xf numFmtId="183" fontId="7" fillId="10" borderId="33" xfId="0" applyFont="1" applyFill="1" applyBorder="1" applyAlignment="1">
      <alignment horizontal="center"/>
    </xf>
    <xf numFmtId="3" fontId="12" fillId="0" borderId="0" xfId="0" applyNumberFormat="1" applyFont="1" applyBorder="1">
      <alignment vertical="top"/>
    </xf>
    <xf numFmtId="183" fontId="32" fillId="16" borderId="0" xfId="0" applyFont="1" applyFill="1">
      <alignment vertical="top"/>
    </xf>
    <xf numFmtId="183" fontId="1" fillId="17" borderId="34" xfId="0" applyFont="1" applyFill="1" applyBorder="1">
      <alignment vertical="top"/>
    </xf>
    <xf numFmtId="183" fontId="25" fillId="18" borderId="0" xfId="0" applyFont="1" applyFill="1">
      <alignment vertical="top"/>
    </xf>
    <xf numFmtId="183" fontId="33" fillId="18" borderId="0" xfId="0" applyFont="1" applyFill="1">
      <alignment vertical="top"/>
    </xf>
    <xf numFmtId="187" fontId="34" fillId="0" borderId="0" xfId="50" applyFont="1">
      <alignment vertical="top"/>
    </xf>
    <xf numFmtId="187" fontId="25" fillId="0" borderId="0" xfId="50" applyFont="1">
      <alignment vertical="top"/>
    </xf>
    <xf numFmtId="183" fontId="25" fillId="0" borderId="0" xfId="0" applyFont="1" applyAlignment="1">
      <alignment horizontal="right" vertical="top"/>
    </xf>
    <xf numFmtId="187" fontId="32" fillId="16" borderId="0" xfId="50" applyFont="1" applyFill="1">
      <alignment vertical="top"/>
    </xf>
    <xf numFmtId="184" fontId="25" fillId="0" borderId="0" xfId="47" applyFont="1">
      <alignment vertical="top"/>
    </xf>
    <xf numFmtId="183" fontId="25" fillId="0" borderId="0" xfId="0" applyFont="1" applyBorder="1">
      <alignment vertical="top"/>
    </xf>
    <xf numFmtId="183" fontId="33" fillId="0" borderId="35" xfId="0" applyFont="1" applyBorder="1">
      <alignment vertical="top"/>
    </xf>
    <xf numFmtId="186" fontId="25" fillId="0" borderId="0" xfId="49" applyFont="1">
      <alignment vertical="top"/>
    </xf>
    <xf numFmtId="183" fontId="12" fillId="0" borderId="0" xfId="0" applyFont="1" applyBorder="1">
      <alignment vertical="top"/>
    </xf>
    <xf numFmtId="183" fontId="25" fillId="19" borderId="0" xfId="0" applyFont="1" applyFill="1">
      <alignment vertical="top"/>
    </xf>
    <xf numFmtId="183" fontId="25" fillId="0" borderId="0" xfId="0" applyFont="1" applyFill="1">
      <alignment vertical="top"/>
    </xf>
    <xf numFmtId="189" fontId="25" fillId="0" borderId="0" xfId="47" applyNumberFormat="1" applyFont="1">
      <alignment vertical="top"/>
    </xf>
    <xf numFmtId="3" fontId="9" fillId="0" borderId="0" xfId="0" applyNumberFormat="1" applyFont="1" applyAlignment="1">
      <alignment horizontal="center"/>
    </xf>
    <xf numFmtId="183" fontId="9" fillId="0" borderId="0" xfId="0" applyFont="1" applyAlignment="1">
      <alignment horizontal="center"/>
    </xf>
  </cellXfs>
  <cellStyles count="52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urrency [2]" xfId="6" xr:uid="{00000000-0005-0000-0000-000004000000}"/>
    <cellStyle name="DateLong" xfId="49" xr:uid="{AF461208-946F-4D3D-B2F7-1A9312FBBBAD}"/>
    <cellStyle name="DateShort" xfId="50" xr:uid="{A5A4C189-2CBB-4EA2-B9B7-7CD58E25BE99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48" xr:uid="{C675496F-893B-48BC-89F8-A68039759C1C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47" builtinId="5" customBuiltin="1"/>
    <cellStyle name="Percent 2" xfId="11" xr:uid="{00000000-0005-0000-0000-00002E000000}"/>
    <cellStyle name="Year" xfId="51" xr:uid="{2616B1B8-0435-4217-9968-A7F3698F01E9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3" formatCode="#,##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theme="4" tint="0.39994506668294322"/>
        </top>
        <bottom style="thin">
          <color indexed="64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3" formatCode="0%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theme="4" tint="0.39994506668294322"/>
        </top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83" formatCode="#,##0_);\(#,##0\);&quot;-  &quot;;&quot; &quot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0" formatCode="dd/mmm/yy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theme="4" tint="0.39994506668294322"/>
        </top>
        <bottom style="thin">
          <color indexed="64"/>
        </bottom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3" formatCode="#,##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0" formatCode="dd/mmm/yy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theme="4" tint="0.39994506668294322"/>
        </top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</dxfs>
  <tableStyles count="0" defaultTableStyle="TableStyleMedium2" defaultPivotStyle="PivotStyleLight16"/>
  <colors>
    <mruColors>
      <color rgb="FF006600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EE2C85-9D57-4792-A1AC-589632C7430C}" name="tbl_SeasonTicketSale" displayName="tbl_SeasonTicketSale" ref="B8:D39" totalsRowShown="0" headerRowDxfId="22" headerRowBorderDxfId="21" tableBorderDxfId="20">
  <autoFilter ref="B8:D39" xr:uid="{0CEE2C85-9D57-4792-A1AC-589632C7430C}">
    <filterColumn colId="0" hiddenButton="1"/>
    <filterColumn colId="1" hiddenButton="1"/>
    <filterColumn colId="2" hiddenButton="1"/>
  </autoFilter>
  <tableColumns count="3">
    <tableColumn id="1" xr3:uid="{1432E9AE-EC94-4669-865A-B2B19C7DCAE3}" name="Week ending" dataDxfId="19"/>
    <tableColumn id="2" xr3:uid="{F09E28A3-69D6-411C-A9ED-F962B5417F59}" name="Date sold" dataDxfId="18">
      <calculatedColumnFormula>B9-6</calculatedColumnFormula>
    </tableColumn>
    <tableColumn id="3" xr3:uid="{2F8A155F-123F-4C78-B032-F38B70B31424}" name="Sales" dataDxfId="1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6185F9-5EBC-482B-AB86-A891B3A2777F}" name="tbl_GameDates" displayName="tbl_GameDates" ref="F8:H48" totalsRowShown="0" headerRowDxfId="16" headerRowBorderDxfId="15" tableBorderDxfId="14">
  <autoFilter ref="F8:H48" xr:uid="{766185F9-5EBC-482B-AB86-A891B3A2777F}">
    <filterColumn colId="0" hiddenButton="1"/>
    <filterColumn colId="1" hiddenButton="1"/>
    <filterColumn colId="2" hiddenButton="1"/>
  </autoFilter>
  <tableColumns count="3">
    <tableColumn id="1" xr3:uid="{61A7DA3A-6369-4363-86D2-09BFFC4D61F1}" name="Date" dataDxfId="13"/>
    <tableColumn id="2" xr3:uid="{26516673-C129-4036-9B2F-A31D76CE25C2}" name="Importance" dataDxfId="12"/>
    <tableColumn id="3" xr3:uid="{A9DA5EE3-25AD-41CF-862D-A52059CD04D0}" name="Ticket availability" dataDxfId="11">
      <calculatedColumnFormula>Capacity - SUMIFS( tbl_SeasonTicketSale[Sales], tbl_SeasonTicketSale[Week ending], "&lt;=" &amp; tbl_GameDates[[#This Row],[Date]] 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64EAAC-F383-43F7-BA26-3CBEAC95FCBE}" name="tbl_Demand" displayName="tbl_Demand" ref="J8:K15" totalsRowShown="0" headerRowDxfId="10" headerRowBorderDxfId="9" tableBorderDxfId="8">
  <autoFilter ref="J8:K15" xr:uid="{F264EAAC-F383-43F7-BA26-3CBEAC95FCBE}">
    <filterColumn colId="0" hiddenButton="1"/>
    <filterColumn colId="1" hiddenButton="1"/>
  </autoFilter>
  <tableColumns count="2">
    <tableColumn id="1" xr3:uid="{A7111281-85DF-4793-8891-BC85F614B444}" name="Days to game" dataDxfId="7"/>
    <tableColumn id="2" xr3:uid="{920C20DE-F653-4E87-A9C3-0244B82EDF35}" name="% of demand" dataDxfId="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914F06-FBE5-4FD7-A49B-166DEEA5CB71}" name="tbl_ImpLU" displayName="tbl_ImpLU" ref="M8:O13" totalsRowShown="0" headerRowDxfId="5" headerRowBorderDxfId="4" tableBorderDxfId="3">
  <autoFilter ref="M8:O13" xr:uid="{27914F06-FBE5-4FD7-A49B-166DEEA5CB71}">
    <filterColumn colId="0" hiddenButton="1"/>
    <filterColumn colId="1" hiddenButton="1"/>
    <filterColumn colId="2" hiddenButton="1"/>
  </autoFilter>
  <tableColumns count="3">
    <tableColumn id="1" xr3:uid="{90657351-3586-47D6-91B8-216127214D88}" name="Importance" dataDxfId="2"/>
    <tableColumn id="2" xr3:uid="{27874E29-C3A8-4339-B50F-FF81D5028190}" name="Base crowd" dataDxfId="1"/>
    <tableColumn id="3" xr3:uid="{4CDAD297-B50C-4081-8C2B-A708A40C6807}" name="Ticket price ($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8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92F6C7B-FDE0-4B71-8FEC-4113E22FE5F9}">
  <we:reference id="wa200003696" version="1.3.0.0" store="en-GB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7C87D93D-1E8C-4D6D-A1B7-613AF2498021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1D2D9F0-A1C5-42C2-9F2C-3DD5610B395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f1c102-f9ac-4fd4-9eb1-ab125654fd7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0F38-0049-4776-B2D7-BCD28CF06F9B}">
  <sheetPr>
    <pageSetUpPr autoPageBreaks="0" fitToPage="1"/>
  </sheetPr>
  <dimension ref="A1:MW49"/>
  <sheetViews>
    <sheetView showGridLines="0" tabSelected="1"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M38" sqref="M38"/>
    </sheetView>
  </sheetViews>
  <sheetFormatPr defaultColWidth="12.6640625" defaultRowHeight="13.8"/>
  <cols>
    <col min="1" max="4" width="1.6640625" style="4" customWidth="1"/>
    <col min="5" max="5" width="35.6640625" style="4" customWidth="1"/>
    <col min="6" max="8" width="12.6640625" style="4" customWidth="1"/>
    <col min="9" max="9" width="1.6640625" style="4" customWidth="1"/>
    <col min="10" max="43" width="13.44140625" style="4" bestFit="1" customWidth="1"/>
    <col min="44" max="44" width="13.5546875" style="4" bestFit="1" customWidth="1"/>
    <col min="45" max="47" width="13.44140625" style="4" bestFit="1" customWidth="1"/>
    <col min="48" max="76" width="13.5546875" style="4" bestFit="1" customWidth="1"/>
    <col min="77" max="79" width="14.33203125" style="4" bestFit="1" customWidth="1"/>
    <col min="80" max="80" width="13.5546875" style="4" bestFit="1" customWidth="1"/>
    <col min="81" max="112" width="14.33203125" style="4" bestFit="1" customWidth="1"/>
    <col min="113" max="138" width="13.33203125" style="4" bestFit="1" customWidth="1"/>
    <col min="139" max="143" width="13.44140625" style="4" bestFit="1" customWidth="1"/>
    <col min="144" max="167" width="13.5546875" style="4" bestFit="1" customWidth="1"/>
    <col min="168" max="170" width="13.88671875" style="4" bestFit="1" customWidth="1"/>
    <col min="171" max="171" width="13.5546875" style="4" bestFit="1" customWidth="1"/>
    <col min="172" max="197" width="13.88671875" style="4" bestFit="1" customWidth="1"/>
    <col min="198" max="198" width="13.6640625" style="4" bestFit="1" customWidth="1"/>
    <col min="199" max="200" width="13.88671875" style="4" bestFit="1" customWidth="1"/>
    <col min="201" max="204" width="13.6640625" style="4" bestFit="1" customWidth="1"/>
    <col min="205" max="230" width="13.33203125" style="4" bestFit="1" customWidth="1"/>
    <col min="231" max="263" width="13.5546875" style="4" bestFit="1" customWidth="1"/>
    <col min="264" max="294" width="13.44140625" style="4" bestFit="1" customWidth="1"/>
    <col min="295" max="316" width="13.33203125" style="4" bestFit="1" customWidth="1"/>
    <col min="317" max="317" width="13.88671875" style="4" bestFit="1" customWidth="1"/>
    <col min="318" max="318" width="13.33203125" style="4" bestFit="1" customWidth="1"/>
    <col min="319" max="320" width="13.5546875" style="4" bestFit="1" customWidth="1"/>
    <col min="321" max="349" width="13.88671875" style="4" bestFit="1" customWidth="1"/>
    <col min="350" max="352" width="13.6640625" style="4" bestFit="1" customWidth="1"/>
    <col min="353" max="353" width="13.88671875" style="4" bestFit="1" customWidth="1"/>
    <col min="354" max="355" width="13.6640625" style="4" bestFit="1" customWidth="1"/>
    <col min="356" max="361" width="13.33203125" style="4" bestFit="1" customWidth="1"/>
    <col min="362" max="16384" width="12.6640625" style="4"/>
  </cols>
  <sheetData>
    <row r="1" spans="1:361" s="121" customFormat="1">
      <c r="A1" s="121" t="str" cm="1">
        <f t="array" ref="A1">company</f>
        <v>Wichita Warblers Inc</v>
      </c>
    </row>
    <row r="2" spans="1:361" s="121" customFormat="1">
      <c r="A2" s="121" t="str" cm="1">
        <f t="array" ref="A2">topic</f>
        <v>CFM Topic: Working Capital</v>
      </c>
    </row>
    <row r="3" spans="1:361" s="121" customFormat="1">
      <c r="A3" s="121" t="s">
        <v>104</v>
      </c>
      <c r="F3" s="121" t="s">
        <v>93</v>
      </c>
      <c r="G3" s="121" t="s">
        <v>94</v>
      </c>
      <c r="H3" s="121" t="s">
        <v>17</v>
      </c>
      <c r="J3" s="128" cm="1">
        <f t="array" ref="J3:MV3">_xlfn.ANCHORARRAY(J11)</f>
        <v>44003</v>
      </c>
      <c r="K3" s="128">
        <v>44004</v>
      </c>
      <c r="L3" s="128">
        <v>44005</v>
      </c>
      <c r="M3" s="128">
        <v>44006</v>
      </c>
      <c r="N3" s="128">
        <v>44007</v>
      </c>
      <c r="O3" s="128">
        <v>44008</v>
      </c>
      <c r="P3" s="128">
        <v>44009</v>
      </c>
      <c r="Q3" s="128">
        <v>44010</v>
      </c>
      <c r="R3" s="128">
        <v>44011</v>
      </c>
      <c r="S3" s="128">
        <v>44012</v>
      </c>
      <c r="T3" s="128">
        <v>44013</v>
      </c>
      <c r="U3" s="128">
        <v>44014</v>
      </c>
      <c r="V3" s="128">
        <v>44015</v>
      </c>
      <c r="W3" s="128">
        <v>44016</v>
      </c>
      <c r="X3" s="128">
        <v>44017</v>
      </c>
      <c r="Y3" s="128">
        <v>44018</v>
      </c>
      <c r="Z3" s="128">
        <v>44019</v>
      </c>
      <c r="AA3" s="128">
        <v>44020</v>
      </c>
      <c r="AB3" s="128">
        <v>44021</v>
      </c>
      <c r="AC3" s="128">
        <v>44022</v>
      </c>
      <c r="AD3" s="128">
        <v>44023</v>
      </c>
      <c r="AE3" s="128">
        <v>44024</v>
      </c>
      <c r="AF3" s="128">
        <v>44025</v>
      </c>
      <c r="AG3" s="128">
        <v>44026</v>
      </c>
      <c r="AH3" s="128">
        <v>44027</v>
      </c>
      <c r="AI3" s="128">
        <v>44028</v>
      </c>
      <c r="AJ3" s="128">
        <v>44029</v>
      </c>
      <c r="AK3" s="128">
        <v>44030</v>
      </c>
      <c r="AL3" s="128">
        <v>44031</v>
      </c>
      <c r="AM3" s="128">
        <v>44032</v>
      </c>
      <c r="AN3" s="128">
        <v>44033</v>
      </c>
      <c r="AO3" s="128">
        <v>44034</v>
      </c>
      <c r="AP3" s="128">
        <v>44035</v>
      </c>
      <c r="AQ3" s="128">
        <v>44036</v>
      </c>
      <c r="AR3" s="128">
        <v>44037</v>
      </c>
      <c r="AS3" s="128">
        <v>44038</v>
      </c>
      <c r="AT3" s="128">
        <v>44039</v>
      </c>
      <c r="AU3" s="128">
        <v>44040</v>
      </c>
      <c r="AV3" s="128">
        <v>44041</v>
      </c>
      <c r="AW3" s="128">
        <v>44042</v>
      </c>
      <c r="AX3" s="128">
        <v>44043</v>
      </c>
      <c r="AY3" s="128">
        <v>44044</v>
      </c>
      <c r="AZ3" s="128">
        <v>44045</v>
      </c>
      <c r="BA3" s="128">
        <v>44046</v>
      </c>
      <c r="BB3" s="128">
        <v>44047</v>
      </c>
      <c r="BC3" s="128">
        <v>44048</v>
      </c>
      <c r="BD3" s="128">
        <v>44049</v>
      </c>
      <c r="BE3" s="128">
        <v>44050</v>
      </c>
      <c r="BF3" s="128">
        <v>44051</v>
      </c>
      <c r="BG3" s="128">
        <v>44052</v>
      </c>
      <c r="BH3" s="128">
        <v>44053</v>
      </c>
      <c r="BI3" s="128">
        <v>44054</v>
      </c>
      <c r="BJ3" s="128">
        <v>44055</v>
      </c>
      <c r="BK3" s="128">
        <v>44056</v>
      </c>
      <c r="BL3" s="128">
        <v>44057</v>
      </c>
      <c r="BM3" s="128">
        <v>44058</v>
      </c>
      <c r="BN3" s="128">
        <v>44059</v>
      </c>
      <c r="BO3" s="128">
        <v>44060</v>
      </c>
      <c r="BP3" s="128">
        <v>44061</v>
      </c>
      <c r="BQ3" s="128">
        <v>44062</v>
      </c>
      <c r="BR3" s="128">
        <v>44063</v>
      </c>
      <c r="BS3" s="128">
        <v>44064</v>
      </c>
      <c r="BT3" s="128">
        <v>44065</v>
      </c>
      <c r="BU3" s="128">
        <v>44066</v>
      </c>
      <c r="BV3" s="128">
        <v>44067</v>
      </c>
      <c r="BW3" s="128">
        <v>44068</v>
      </c>
      <c r="BX3" s="128">
        <v>44069</v>
      </c>
      <c r="BY3" s="128">
        <v>44070</v>
      </c>
      <c r="BZ3" s="128">
        <v>44071</v>
      </c>
      <c r="CA3" s="128">
        <v>44072</v>
      </c>
      <c r="CB3" s="128">
        <v>44073</v>
      </c>
      <c r="CC3" s="128">
        <v>44074</v>
      </c>
      <c r="CD3" s="128">
        <v>44075</v>
      </c>
      <c r="CE3" s="128">
        <v>44076</v>
      </c>
      <c r="CF3" s="128">
        <v>44077</v>
      </c>
      <c r="CG3" s="128">
        <v>44078</v>
      </c>
      <c r="CH3" s="128">
        <v>44079</v>
      </c>
      <c r="CI3" s="128">
        <v>44080</v>
      </c>
      <c r="CJ3" s="128">
        <v>44081</v>
      </c>
      <c r="CK3" s="128">
        <v>44082</v>
      </c>
      <c r="CL3" s="128">
        <v>44083</v>
      </c>
      <c r="CM3" s="128">
        <v>44084</v>
      </c>
      <c r="CN3" s="128">
        <v>44085</v>
      </c>
      <c r="CO3" s="128">
        <v>44086</v>
      </c>
      <c r="CP3" s="128">
        <v>44087</v>
      </c>
      <c r="CQ3" s="128">
        <v>44088</v>
      </c>
      <c r="CR3" s="128">
        <v>44089</v>
      </c>
      <c r="CS3" s="128">
        <v>44090</v>
      </c>
      <c r="CT3" s="128">
        <v>44091</v>
      </c>
      <c r="CU3" s="128">
        <v>44092</v>
      </c>
      <c r="CV3" s="128">
        <v>44093</v>
      </c>
      <c r="CW3" s="128">
        <v>44094</v>
      </c>
      <c r="CX3" s="128">
        <v>44095</v>
      </c>
      <c r="CY3" s="128">
        <v>44096</v>
      </c>
      <c r="CZ3" s="128">
        <v>44097</v>
      </c>
      <c r="DA3" s="128">
        <v>44098</v>
      </c>
      <c r="DB3" s="128">
        <v>44099</v>
      </c>
      <c r="DC3" s="128">
        <v>44100</v>
      </c>
      <c r="DD3" s="128">
        <v>44101</v>
      </c>
      <c r="DE3" s="128">
        <v>44102</v>
      </c>
      <c r="DF3" s="128">
        <v>44103</v>
      </c>
      <c r="DG3" s="128">
        <v>44104</v>
      </c>
      <c r="DH3" s="128">
        <v>44105</v>
      </c>
      <c r="DI3" s="128">
        <v>44106</v>
      </c>
      <c r="DJ3" s="128">
        <v>44107</v>
      </c>
      <c r="DK3" s="128">
        <v>44108</v>
      </c>
      <c r="DL3" s="128">
        <v>44109</v>
      </c>
      <c r="DM3" s="128">
        <v>44110</v>
      </c>
      <c r="DN3" s="128">
        <v>44111</v>
      </c>
      <c r="DO3" s="128">
        <v>44112</v>
      </c>
      <c r="DP3" s="128">
        <v>44113</v>
      </c>
      <c r="DQ3" s="128">
        <v>44114</v>
      </c>
      <c r="DR3" s="128">
        <v>44115</v>
      </c>
      <c r="DS3" s="128">
        <v>44116</v>
      </c>
      <c r="DT3" s="128">
        <v>44117</v>
      </c>
      <c r="DU3" s="128">
        <v>44118</v>
      </c>
      <c r="DV3" s="128">
        <v>44119</v>
      </c>
      <c r="DW3" s="128">
        <v>44120</v>
      </c>
      <c r="DX3" s="128">
        <v>44121</v>
      </c>
      <c r="DY3" s="128">
        <v>44122</v>
      </c>
      <c r="DZ3" s="128">
        <v>44123</v>
      </c>
      <c r="EA3" s="128">
        <v>44124</v>
      </c>
      <c r="EB3" s="128">
        <v>44125</v>
      </c>
      <c r="EC3" s="128">
        <v>44126</v>
      </c>
      <c r="ED3" s="128">
        <v>44127</v>
      </c>
      <c r="EE3" s="128">
        <v>44128</v>
      </c>
      <c r="EF3" s="128">
        <v>44129</v>
      </c>
      <c r="EG3" s="128">
        <v>44130</v>
      </c>
      <c r="EH3" s="128">
        <v>44131</v>
      </c>
      <c r="EI3" s="128">
        <v>44132</v>
      </c>
      <c r="EJ3" s="128">
        <v>44133</v>
      </c>
      <c r="EK3" s="128">
        <v>44134</v>
      </c>
      <c r="EL3" s="128">
        <v>44135</v>
      </c>
      <c r="EM3" s="128">
        <v>44136</v>
      </c>
      <c r="EN3" s="128">
        <v>44137</v>
      </c>
      <c r="EO3" s="128">
        <v>44138</v>
      </c>
      <c r="EP3" s="128">
        <v>44139</v>
      </c>
      <c r="EQ3" s="128">
        <v>44140</v>
      </c>
      <c r="ER3" s="128">
        <v>44141</v>
      </c>
      <c r="ES3" s="128">
        <v>44142</v>
      </c>
      <c r="ET3" s="128">
        <v>44143</v>
      </c>
      <c r="EU3" s="128">
        <v>44144</v>
      </c>
      <c r="EV3" s="128">
        <v>44145</v>
      </c>
      <c r="EW3" s="128">
        <v>44146</v>
      </c>
      <c r="EX3" s="128">
        <v>44147</v>
      </c>
      <c r="EY3" s="128">
        <v>44148</v>
      </c>
      <c r="EZ3" s="128">
        <v>44149</v>
      </c>
      <c r="FA3" s="128">
        <v>44150</v>
      </c>
      <c r="FB3" s="128">
        <v>44151</v>
      </c>
      <c r="FC3" s="128">
        <v>44152</v>
      </c>
      <c r="FD3" s="128">
        <v>44153</v>
      </c>
      <c r="FE3" s="128">
        <v>44154</v>
      </c>
      <c r="FF3" s="128">
        <v>44155</v>
      </c>
      <c r="FG3" s="128">
        <v>44156</v>
      </c>
      <c r="FH3" s="128">
        <v>44157</v>
      </c>
      <c r="FI3" s="128">
        <v>44158</v>
      </c>
      <c r="FJ3" s="128">
        <v>44159</v>
      </c>
      <c r="FK3" s="128">
        <v>44160</v>
      </c>
      <c r="FL3" s="128">
        <v>44161</v>
      </c>
      <c r="FM3" s="128">
        <v>44162</v>
      </c>
      <c r="FN3" s="128">
        <v>44163</v>
      </c>
      <c r="FO3" s="128">
        <v>44164</v>
      </c>
      <c r="FP3" s="128">
        <v>44165</v>
      </c>
      <c r="FQ3" s="128">
        <v>44166</v>
      </c>
      <c r="FR3" s="128">
        <v>44167</v>
      </c>
      <c r="FS3" s="128">
        <v>44168</v>
      </c>
      <c r="FT3" s="128">
        <v>44169</v>
      </c>
      <c r="FU3" s="128">
        <v>44170</v>
      </c>
      <c r="FV3" s="128">
        <v>44171</v>
      </c>
      <c r="FW3" s="128">
        <v>44172</v>
      </c>
      <c r="FX3" s="128">
        <v>44173</v>
      </c>
      <c r="FY3" s="128">
        <v>44174</v>
      </c>
      <c r="FZ3" s="128">
        <v>44175</v>
      </c>
      <c r="GA3" s="128">
        <v>44176</v>
      </c>
      <c r="GB3" s="128">
        <v>44177</v>
      </c>
      <c r="GC3" s="128">
        <v>44178</v>
      </c>
      <c r="GD3" s="128">
        <v>44179</v>
      </c>
      <c r="GE3" s="128">
        <v>44180</v>
      </c>
      <c r="GF3" s="128">
        <v>44181</v>
      </c>
      <c r="GG3" s="128">
        <v>44182</v>
      </c>
      <c r="GH3" s="128">
        <v>44183</v>
      </c>
      <c r="GI3" s="128">
        <v>44184</v>
      </c>
      <c r="GJ3" s="128">
        <v>44185</v>
      </c>
      <c r="GK3" s="128">
        <v>44186</v>
      </c>
      <c r="GL3" s="128">
        <v>44187</v>
      </c>
      <c r="GM3" s="128">
        <v>44188</v>
      </c>
      <c r="GN3" s="128">
        <v>44189</v>
      </c>
      <c r="GO3" s="128">
        <v>44190</v>
      </c>
      <c r="GP3" s="128">
        <v>44191</v>
      </c>
      <c r="GQ3" s="128">
        <v>44192</v>
      </c>
      <c r="GR3" s="128">
        <v>44193</v>
      </c>
      <c r="GS3" s="128">
        <v>44194</v>
      </c>
      <c r="GT3" s="128">
        <v>44195</v>
      </c>
      <c r="GU3" s="128">
        <v>44196</v>
      </c>
      <c r="GV3" s="128">
        <v>44197</v>
      </c>
      <c r="GW3" s="128">
        <v>44198</v>
      </c>
      <c r="GX3" s="128">
        <v>44199</v>
      </c>
      <c r="GY3" s="128">
        <v>44200</v>
      </c>
      <c r="GZ3" s="128">
        <v>44201</v>
      </c>
      <c r="HA3" s="128">
        <v>44202</v>
      </c>
      <c r="HB3" s="128">
        <v>44203</v>
      </c>
      <c r="HC3" s="128">
        <v>44204</v>
      </c>
      <c r="HD3" s="128">
        <v>44205</v>
      </c>
      <c r="HE3" s="128">
        <v>44206</v>
      </c>
      <c r="HF3" s="128">
        <v>44207</v>
      </c>
      <c r="HG3" s="128">
        <v>44208</v>
      </c>
      <c r="HH3" s="128">
        <v>44209</v>
      </c>
      <c r="HI3" s="128">
        <v>44210</v>
      </c>
      <c r="HJ3" s="128">
        <v>44211</v>
      </c>
      <c r="HK3" s="128">
        <v>44212</v>
      </c>
      <c r="HL3" s="128">
        <v>44213</v>
      </c>
      <c r="HM3" s="128">
        <v>44214</v>
      </c>
      <c r="HN3" s="128">
        <v>44215</v>
      </c>
      <c r="HO3" s="128">
        <v>44216</v>
      </c>
      <c r="HP3" s="128">
        <v>44217</v>
      </c>
      <c r="HQ3" s="128">
        <v>44218</v>
      </c>
      <c r="HR3" s="128">
        <v>44219</v>
      </c>
      <c r="HS3" s="128">
        <v>44220</v>
      </c>
      <c r="HT3" s="128">
        <v>44221</v>
      </c>
      <c r="HU3" s="128">
        <v>44222</v>
      </c>
      <c r="HV3" s="128">
        <v>44223</v>
      </c>
      <c r="HW3" s="128">
        <v>44224</v>
      </c>
      <c r="HX3" s="128">
        <v>44225</v>
      </c>
      <c r="HY3" s="128">
        <v>44226</v>
      </c>
      <c r="HZ3" s="128">
        <v>44227</v>
      </c>
      <c r="IA3" s="128">
        <v>44228</v>
      </c>
      <c r="IB3" s="128">
        <v>44229</v>
      </c>
      <c r="IC3" s="128">
        <v>44230</v>
      </c>
      <c r="ID3" s="128">
        <v>44231</v>
      </c>
      <c r="IE3" s="128">
        <v>44232</v>
      </c>
      <c r="IF3" s="128">
        <v>44233</v>
      </c>
      <c r="IG3" s="128">
        <v>44234</v>
      </c>
      <c r="IH3" s="128">
        <v>44235</v>
      </c>
      <c r="II3" s="128">
        <v>44236</v>
      </c>
      <c r="IJ3" s="128">
        <v>44237</v>
      </c>
      <c r="IK3" s="128">
        <v>44238</v>
      </c>
      <c r="IL3" s="128">
        <v>44239</v>
      </c>
      <c r="IM3" s="128">
        <v>44240</v>
      </c>
      <c r="IN3" s="128">
        <v>44241</v>
      </c>
      <c r="IO3" s="128">
        <v>44242</v>
      </c>
      <c r="IP3" s="128">
        <v>44243</v>
      </c>
      <c r="IQ3" s="128">
        <v>44244</v>
      </c>
      <c r="IR3" s="128">
        <v>44245</v>
      </c>
      <c r="IS3" s="128">
        <v>44246</v>
      </c>
      <c r="IT3" s="128">
        <v>44247</v>
      </c>
      <c r="IU3" s="128">
        <v>44248</v>
      </c>
      <c r="IV3" s="128">
        <v>44249</v>
      </c>
      <c r="IW3" s="128">
        <v>44250</v>
      </c>
      <c r="IX3" s="128">
        <v>44251</v>
      </c>
      <c r="IY3" s="128">
        <v>44252</v>
      </c>
      <c r="IZ3" s="128">
        <v>44253</v>
      </c>
      <c r="JA3" s="128">
        <v>44254</v>
      </c>
      <c r="JB3" s="128">
        <v>44255</v>
      </c>
      <c r="JC3" s="128">
        <v>44256</v>
      </c>
      <c r="JD3" s="128">
        <v>44257</v>
      </c>
      <c r="JE3" s="128">
        <v>44258</v>
      </c>
      <c r="JF3" s="128">
        <v>44259</v>
      </c>
      <c r="JG3" s="128">
        <v>44260</v>
      </c>
      <c r="JH3" s="128">
        <v>44261</v>
      </c>
      <c r="JI3" s="128">
        <v>44262</v>
      </c>
      <c r="JJ3" s="128">
        <v>44263</v>
      </c>
      <c r="JK3" s="128">
        <v>44264</v>
      </c>
      <c r="JL3" s="128">
        <v>44265</v>
      </c>
      <c r="JM3" s="128">
        <v>44266</v>
      </c>
      <c r="JN3" s="128">
        <v>44267</v>
      </c>
      <c r="JO3" s="128">
        <v>44268</v>
      </c>
      <c r="JP3" s="128">
        <v>44269</v>
      </c>
      <c r="JQ3" s="128">
        <v>44270</v>
      </c>
      <c r="JR3" s="128">
        <v>44271</v>
      </c>
      <c r="JS3" s="128">
        <v>44272</v>
      </c>
      <c r="JT3" s="128">
        <v>44273</v>
      </c>
      <c r="JU3" s="128">
        <v>44274</v>
      </c>
      <c r="JV3" s="128">
        <v>44275</v>
      </c>
      <c r="JW3" s="128">
        <v>44276</v>
      </c>
      <c r="JX3" s="128">
        <v>44277</v>
      </c>
      <c r="JY3" s="128">
        <v>44278</v>
      </c>
      <c r="JZ3" s="128">
        <v>44279</v>
      </c>
      <c r="KA3" s="128">
        <v>44280</v>
      </c>
      <c r="KB3" s="128">
        <v>44281</v>
      </c>
      <c r="KC3" s="128">
        <v>44282</v>
      </c>
      <c r="KD3" s="128">
        <v>44283</v>
      </c>
      <c r="KE3" s="128">
        <v>44284</v>
      </c>
      <c r="KF3" s="128">
        <v>44285</v>
      </c>
      <c r="KG3" s="128">
        <v>44286</v>
      </c>
      <c r="KH3" s="128">
        <v>44287</v>
      </c>
      <c r="KI3" s="128">
        <v>44288</v>
      </c>
      <c r="KJ3" s="128">
        <v>44289</v>
      </c>
      <c r="KK3" s="128">
        <v>44290</v>
      </c>
      <c r="KL3" s="128">
        <v>44291</v>
      </c>
      <c r="KM3" s="128">
        <v>44292</v>
      </c>
      <c r="KN3" s="128">
        <v>44293</v>
      </c>
      <c r="KO3" s="128">
        <v>44294</v>
      </c>
      <c r="KP3" s="128">
        <v>44295</v>
      </c>
      <c r="KQ3" s="128">
        <v>44296</v>
      </c>
      <c r="KR3" s="128">
        <v>44297</v>
      </c>
      <c r="KS3" s="128">
        <v>44298</v>
      </c>
      <c r="KT3" s="128">
        <v>44299</v>
      </c>
      <c r="KU3" s="128">
        <v>44300</v>
      </c>
      <c r="KV3" s="128">
        <v>44301</v>
      </c>
      <c r="KW3" s="128">
        <v>44302</v>
      </c>
      <c r="KX3" s="128">
        <v>44303</v>
      </c>
      <c r="KY3" s="128">
        <v>44304</v>
      </c>
      <c r="KZ3" s="128">
        <v>44305</v>
      </c>
      <c r="LA3" s="128">
        <v>44306</v>
      </c>
      <c r="LB3" s="128">
        <v>44307</v>
      </c>
      <c r="LC3" s="128">
        <v>44308</v>
      </c>
      <c r="LD3" s="128">
        <v>44309</v>
      </c>
      <c r="LE3" s="128">
        <v>44310</v>
      </c>
      <c r="LF3" s="128">
        <v>44311</v>
      </c>
      <c r="LG3" s="128">
        <v>44312</v>
      </c>
      <c r="LH3" s="128">
        <v>44313</v>
      </c>
      <c r="LI3" s="128">
        <v>44314</v>
      </c>
      <c r="LJ3" s="128">
        <v>44315</v>
      </c>
      <c r="LK3" s="128">
        <v>44316</v>
      </c>
      <c r="LL3" s="128">
        <v>44317</v>
      </c>
      <c r="LM3" s="128">
        <v>44318</v>
      </c>
      <c r="LN3" s="128">
        <v>44319</v>
      </c>
      <c r="LO3" s="128">
        <v>44320</v>
      </c>
      <c r="LP3" s="128">
        <v>44321</v>
      </c>
      <c r="LQ3" s="128">
        <v>44322</v>
      </c>
      <c r="LR3" s="128">
        <v>44323</v>
      </c>
      <c r="LS3" s="128">
        <v>44324</v>
      </c>
      <c r="LT3" s="128">
        <v>44325</v>
      </c>
      <c r="LU3" s="128">
        <v>44326</v>
      </c>
      <c r="LV3" s="128">
        <v>44327</v>
      </c>
      <c r="LW3" s="128">
        <v>44328</v>
      </c>
      <c r="LX3" s="128">
        <v>44329</v>
      </c>
      <c r="LY3" s="128">
        <v>44330</v>
      </c>
      <c r="LZ3" s="128">
        <v>44331</v>
      </c>
      <c r="MA3" s="128">
        <v>44332</v>
      </c>
      <c r="MB3" s="128">
        <v>44333</v>
      </c>
      <c r="MC3" s="128">
        <v>44334</v>
      </c>
      <c r="MD3" s="128">
        <v>44335</v>
      </c>
      <c r="ME3" s="128">
        <v>44336</v>
      </c>
      <c r="MF3" s="128">
        <v>44337</v>
      </c>
      <c r="MG3" s="128">
        <v>44338</v>
      </c>
      <c r="MH3" s="128">
        <v>44339</v>
      </c>
      <c r="MI3" s="128">
        <v>44340</v>
      </c>
      <c r="MJ3" s="128">
        <v>44341</v>
      </c>
      <c r="MK3" s="128">
        <v>44342</v>
      </c>
      <c r="ML3" s="128">
        <v>44343</v>
      </c>
      <c r="MM3" s="128">
        <v>44344</v>
      </c>
      <c r="MN3" s="128">
        <v>44345</v>
      </c>
      <c r="MO3" s="128">
        <v>44346</v>
      </c>
      <c r="MP3" s="128">
        <v>44347</v>
      </c>
      <c r="MQ3" s="128">
        <v>44348</v>
      </c>
      <c r="MR3" s="128">
        <v>44349</v>
      </c>
      <c r="MS3" s="128">
        <v>44350</v>
      </c>
      <c r="MT3" s="128">
        <v>44351</v>
      </c>
      <c r="MU3" s="128">
        <v>44352</v>
      </c>
      <c r="MV3" s="128">
        <v>44353</v>
      </c>
      <c r="MW3" s="128"/>
    </row>
    <row r="5" spans="1:361" s="123" customFormat="1">
      <c r="A5" s="124" t="s">
        <v>95</v>
      </c>
    </row>
    <row r="7" spans="1:361">
      <c r="E7" s="4" t="s">
        <v>96</v>
      </c>
      <c r="F7" s="125">
        <f xml:space="preserve"> MIN( tbl_SeasonTicketSale[Week ending] ) - 6</f>
        <v>44003</v>
      </c>
      <c r="G7" s="4" t="s">
        <v>98</v>
      </c>
    </row>
    <row r="8" spans="1:361">
      <c r="E8" s="4" t="s">
        <v>97</v>
      </c>
      <c r="F8" s="125">
        <f xml:space="preserve"> MAX( tbl_GameDates[Date] ) + 1</f>
        <v>44353</v>
      </c>
      <c r="G8" s="4" t="s">
        <v>98</v>
      </c>
    </row>
    <row r="9" spans="1:361">
      <c r="E9" s="4" t="s">
        <v>99</v>
      </c>
      <c r="F9" s="4">
        <f xml:space="preserve"> F8 - F7 + 1</f>
        <v>351</v>
      </c>
      <c r="G9" s="4" t="s">
        <v>100</v>
      </c>
    </row>
    <row r="11" spans="1:361">
      <c r="E11" s="4" t="s">
        <v>95</v>
      </c>
      <c r="G11" s="4" t="s">
        <v>98</v>
      </c>
      <c r="J11" s="126" cm="1">
        <f t="array" ref="J11:MV11" xml:space="preserve"> _xlfn.SEQUENCE( 1, periods, $F$7, 1 )</f>
        <v>44003</v>
      </c>
      <c r="K11" s="126">
        <v>44004</v>
      </c>
      <c r="L11" s="126">
        <v>44005</v>
      </c>
      <c r="M11" s="126">
        <v>44006</v>
      </c>
      <c r="N11" s="126">
        <v>44007</v>
      </c>
      <c r="O11" s="126">
        <v>44008</v>
      </c>
      <c r="P11" s="126">
        <v>44009</v>
      </c>
      <c r="Q11" s="126">
        <v>44010</v>
      </c>
      <c r="R11" s="126">
        <v>44011</v>
      </c>
      <c r="S11" s="126">
        <v>44012</v>
      </c>
      <c r="T11" s="126">
        <v>44013</v>
      </c>
      <c r="U11" s="126">
        <v>44014</v>
      </c>
      <c r="V11" s="126">
        <v>44015</v>
      </c>
      <c r="W11" s="126">
        <v>44016</v>
      </c>
      <c r="X11" s="126">
        <v>44017</v>
      </c>
      <c r="Y11" s="126">
        <v>44018</v>
      </c>
      <c r="Z11" s="126">
        <v>44019</v>
      </c>
      <c r="AA11" s="126">
        <v>44020</v>
      </c>
      <c r="AB11" s="126">
        <v>44021</v>
      </c>
      <c r="AC11" s="126">
        <v>44022</v>
      </c>
      <c r="AD11" s="126">
        <v>44023</v>
      </c>
      <c r="AE11" s="126">
        <v>44024</v>
      </c>
      <c r="AF11" s="126">
        <v>44025</v>
      </c>
      <c r="AG11" s="126">
        <v>44026</v>
      </c>
      <c r="AH11" s="126">
        <v>44027</v>
      </c>
      <c r="AI11" s="126">
        <v>44028</v>
      </c>
      <c r="AJ11" s="126">
        <v>44029</v>
      </c>
      <c r="AK11" s="126">
        <v>44030</v>
      </c>
      <c r="AL11" s="126">
        <v>44031</v>
      </c>
      <c r="AM11" s="126">
        <v>44032</v>
      </c>
      <c r="AN11" s="126">
        <v>44033</v>
      </c>
      <c r="AO11" s="126">
        <v>44034</v>
      </c>
      <c r="AP11" s="126">
        <v>44035</v>
      </c>
      <c r="AQ11" s="126">
        <v>44036</v>
      </c>
      <c r="AR11" s="126">
        <v>44037</v>
      </c>
      <c r="AS11" s="126">
        <v>44038</v>
      </c>
      <c r="AT11" s="126">
        <v>44039</v>
      </c>
      <c r="AU11" s="126">
        <v>44040</v>
      </c>
      <c r="AV11" s="126">
        <v>44041</v>
      </c>
      <c r="AW11" s="126">
        <v>44042</v>
      </c>
      <c r="AX11" s="126">
        <v>44043</v>
      </c>
      <c r="AY11" s="126">
        <v>44044</v>
      </c>
      <c r="AZ11" s="126">
        <v>44045</v>
      </c>
      <c r="BA11" s="126">
        <v>44046</v>
      </c>
      <c r="BB11" s="126">
        <v>44047</v>
      </c>
      <c r="BC11" s="126">
        <v>44048</v>
      </c>
      <c r="BD11" s="126">
        <v>44049</v>
      </c>
      <c r="BE11" s="126">
        <v>44050</v>
      </c>
      <c r="BF11" s="126">
        <v>44051</v>
      </c>
      <c r="BG11" s="126">
        <v>44052</v>
      </c>
      <c r="BH11" s="126">
        <v>44053</v>
      </c>
      <c r="BI11" s="126">
        <v>44054</v>
      </c>
      <c r="BJ11" s="126">
        <v>44055</v>
      </c>
      <c r="BK11" s="126">
        <v>44056</v>
      </c>
      <c r="BL11" s="126">
        <v>44057</v>
      </c>
      <c r="BM11" s="126">
        <v>44058</v>
      </c>
      <c r="BN11" s="126">
        <v>44059</v>
      </c>
      <c r="BO11" s="126">
        <v>44060</v>
      </c>
      <c r="BP11" s="126">
        <v>44061</v>
      </c>
      <c r="BQ11" s="126">
        <v>44062</v>
      </c>
      <c r="BR11" s="126">
        <v>44063</v>
      </c>
      <c r="BS11" s="126">
        <v>44064</v>
      </c>
      <c r="BT11" s="126">
        <v>44065</v>
      </c>
      <c r="BU11" s="126">
        <v>44066</v>
      </c>
      <c r="BV11" s="126">
        <v>44067</v>
      </c>
      <c r="BW11" s="126">
        <v>44068</v>
      </c>
      <c r="BX11" s="126">
        <v>44069</v>
      </c>
      <c r="BY11" s="126">
        <v>44070</v>
      </c>
      <c r="BZ11" s="126">
        <v>44071</v>
      </c>
      <c r="CA11" s="126">
        <v>44072</v>
      </c>
      <c r="CB11" s="126">
        <v>44073</v>
      </c>
      <c r="CC11" s="126">
        <v>44074</v>
      </c>
      <c r="CD11" s="126">
        <v>44075</v>
      </c>
      <c r="CE11" s="126">
        <v>44076</v>
      </c>
      <c r="CF11" s="126">
        <v>44077</v>
      </c>
      <c r="CG11" s="126">
        <v>44078</v>
      </c>
      <c r="CH11" s="126">
        <v>44079</v>
      </c>
      <c r="CI11" s="126">
        <v>44080</v>
      </c>
      <c r="CJ11" s="126">
        <v>44081</v>
      </c>
      <c r="CK11" s="126">
        <v>44082</v>
      </c>
      <c r="CL11" s="126">
        <v>44083</v>
      </c>
      <c r="CM11" s="126">
        <v>44084</v>
      </c>
      <c r="CN11" s="126">
        <v>44085</v>
      </c>
      <c r="CO11" s="126">
        <v>44086</v>
      </c>
      <c r="CP11" s="126">
        <v>44087</v>
      </c>
      <c r="CQ11" s="126">
        <v>44088</v>
      </c>
      <c r="CR11" s="126">
        <v>44089</v>
      </c>
      <c r="CS11" s="126">
        <v>44090</v>
      </c>
      <c r="CT11" s="126">
        <v>44091</v>
      </c>
      <c r="CU11" s="126">
        <v>44092</v>
      </c>
      <c r="CV11" s="126">
        <v>44093</v>
      </c>
      <c r="CW11" s="126">
        <v>44094</v>
      </c>
      <c r="CX11" s="126">
        <v>44095</v>
      </c>
      <c r="CY11" s="126">
        <v>44096</v>
      </c>
      <c r="CZ11" s="126">
        <v>44097</v>
      </c>
      <c r="DA11" s="126">
        <v>44098</v>
      </c>
      <c r="DB11" s="126">
        <v>44099</v>
      </c>
      <c r="DC11" s="126">
        <v>44100</v>
      </c>
      <c r="DD11" s="126">
        <v>44101</v>
      </c>
      <c r="DE11" s="126">
        <v>44102</v>
      </c>
      <c r="DF11" s="126">
        <v>44103</v>
      </c>
      <c r="DG11" s="126">
        <v>44104</v>
      </c>
      <c r="DH11" s="126">
        <v>44105</v>
      </c>
      <c r="DI11" s="126">
        <v>44106</v>
      </c>
      <c r="DJ11" s="126">
        <v>44107</v>
      </c>
      <c r="DK11" s="126">
        <v>44108</v>
      </c>
      <c r="DL11" s="126">
        <v>44109</v>
      </c>
      <c r="DM11" s="126">
        <v>44110</v>
      </c>
      <c r="DN11" s="126">
        <v>44111</v>
      </c>
      <c r="DO11" s="126">
        <v>44112</v>
      </c>
      <c r="DP11" s="126">
        <v>44113</v>
      </c>
      <c r="DQ11" s="126">
        <v>44114</v>
      </c>
      <c r="DR11" s="126">
        <v>44115</v>
      </c>
      <c r="DS11" s="126">
        <v>44116</v>
      </c>
      <c r="DT11" s="126">
        <v>44117</v>
      </c>
      <c r="DU11" s="126">
        <v>44118</v>
      </c>
      <c r="DV11" s="126">
        <v>44119</v>
      </c>
      <c r="DW11" s="126">
        <v>44120</v>
      </c>
      <c r="DX11" s="126">
        <v>44121</v>
      </c>
      <c r="DY11" s="126">
        <v>44122</v>
      </c>
      <c r="DZ11" s="126">
        <v>44123</v>
      </c>
      <c r="EA11" s="126">
        <v>44124</v>
      </c>
      <c r="EB11" s="126">
        <v>44125</v>
      </c>
      <c r="EC11" s="126">
        <v>44126</v>
      </c>
      <c r="ED11" s="126">
        <v>44127</v>
      </c>
      <c r="EE11" s="126">
        <v>44128</v>
      </c>
      <c r="EF11" s="126">
        <v>44129</v>
      </c>
      <c r="EG11" s="126">
        <v>44130</v>
      </c>
      <c r="EH11" s="126">
        <v>44131</v>
      </c>
      <c r="EI11" s="126">
        <v>44132</v>
      </c>
      <c r="EJ11" s="126">
        <v>44133</v>
      </c>
      <c r="EK11" s="126">
        <v>44134</v>
      </c>
      <c r="EL11" s="126">
        <v>44135</v>
      </c>
      <c r="EM11" s="126">
        <v>44136</v>
      </c>
      <c r="EN11" s="126">
        <v>44137</v>
      </c>
      <c r="EO11" s="126">
        <v>44138</v>
      </c>
      <c r="EP11" s="126">
        <v>44139</v>
      </c>
      <c r="EQ11" s="126">
        <v>44140</v>
      </c>
      <c r="ER11" s="126">
        <v>44141</v>
      </c>
      <c r="ES11" s="126">
        <v>44142</v>
      </c>
      <c r="ET11" s="126">
        <v>44143</v>
      </c>
      <c r="EU11" s="126">
        <v>44144</v>
      </c>
      <c r="EV11" s="126">
        <v>44145</v>
      </c>
      <c r="EW11" s="126">
        <v>44146</v>
      </c>
      <c r="EX11" s="126">
        <v>44147</v>
      </c>
      <c r="EY11" s="126">
        <v>44148</v>
      </c>
      <c r="EZ11" s="126">
        <v>44149</v>
      </c>
      <c r="FA11" s="126">
        <v>44150</v>
      </c>
      <c r="FB11" s="126">
        <v>44151</v>
      </c>
      <c r="FC11" s="126">
        <v>44152</v>
      </c>
      <c r="FD11" s="126">
        <v>44153</v>
      </c>
      <c r="FE11" s="126">
        <v>44154</v>
      </c>
      <c r="FF11" s="126">
        <v>44155</v>
      </c>
      <c r="FG11" s="126">
        <v>44156</v>
      </c>
      <c r="FH11" s="126">
        <v>44157</v>
      </c>
      <c r="FI11" s="126">
        <v>44158</v>
      </c>
      <c r="FJ11" s="126">
        <v>44159</v>
      </c>
      <c r="FK11" s="126">
        <v>44160</v>
      </c>
      <c r="FL11" s="126">
        <v>44161</v>
      </c>
      <c r="FM11" s="126">
        <v>44162</v>
      </c>
      <c r="FN11" s="126">
        <v>44163</v>
      </c>
      <c r="FO11" s="126">
        <v>44164</v>
      </c>
      <c r="FP11" s="126">
        <v>44165</v>
      </c>
      <c r="FQ11" s="126">
        <v>44166</v>
      </c>
      <c r="FR11" s="126">
        <v>44167</v>
      </c>
      <c r="FS11" s="126">
        <v>44168</v>
      </c>
      <c r="FT11" s="126">
        <v>44169</v>
      </c>
      <c r="FU11" s="126">
        <v>44170</v>
      </c>
      <c r="FV11" s="126">
        <v>44171</v>
      </c>
      <c r="FW11" s="126">
        <v>44172</v>
      </c>
      <c r="FX11" s="126">
        <v>44173</v>
      </c>
      <c r="FY11" s="126">
        <v>44174</v>
      </c>
      <c r="FZ11" s="126">
        <v>44175</v>
      </c>
      <c r="GA11" s="126">
        <v>44176</v>
      </c>
      <c r="GB11" s="126">
        <v>44177</v>
      </c>
      <c r="GC11" s="126">
        <v>44178</v>
      </c>
      <c r="GD11" s="126">
        <v>44179</v>
      </c>
      <c r="GE11" s="126">
        <v>44180</v>
      </c>
      <c r="GF11" s="126">
        <v>44181</v>
      </c>
      <c r="GG11" s="126">
        <v>44182</v>
      </c>
      <c r="GH11" s="126">
        <v>44183</v>
      </c>
      <c r="GI11" s="126">
        <v>44184</v>
      </c>
      <c r="GJ11" s="126">
        <v>44185</v>
      </c>
      <c r="GK11" s="126">
        <v>44186</v>
      </c>
      <c r="GL11" s="126">
        <v>44187</v>
      </c>
      <c r="GM11" s="126">
        <v>44188</v>
      </c>
      <c r="GN11" s="126">
        <v>44189</v>
      </c>
      <c r="GO11" s="126">
        <v>44190</v>
      </c>
      <c r="GP11" s="126">
        <v>44191</v>
      </c>
      <c r="GQ11" s="126">
        <v>44192</v>
      </c>
      <c r="GR11" s="126">
        <v>44193</v>
      </c>
      <c r="GS11" s="126">
        <v>44194</v>
      </c>
      <c r="GT11" s="126">
        <v>44195</v>
      </c>
      <c r="GU11" s="126">
        <v>44196</v>
      </c>
      <c r="GV11" s="126">
        <v>44197</v>
      </c>
      <c r="GW11" s="126">
        <v>44198</v>
      </c>
      <c r="GX11" s="126">
        <v>44199</v>
      </c>
      <c r="GY11" s="126">
        <v>44200</v>
      </c>
      <c r="GZ11" s="126">
        <v>44201</v>
      </c>
      <c r="HA11" s="126">
        <v>44202</v>
      </c>
      <c r="HB11" s="126">
        <v>44203</v>
      </c>
      <c r="HC11" s="126">
        <v>44204</v>
      </c>
      <c r="HD11" s="126">
        <v>44205</v>
      </c>
      <c r="HE11" s="126">
        <v>44206</v>
      </c>
      <c r="HF11" s="126">
        <v>44207</v>
      </c>
      <c r="HG11" s="126">
        <v>44208</v>
      </c>
      <c r="HH11" s="126">
        <v>44209</v>
      </c>
      <c r="HI11" s="126">
        <v>44210</v>
      </c>
      <c r="HJ11" s="126">
        <v>44211</v>
      </c>
      <c r="HK11" s="126">
        <v>44212</v>
      </c>
      <c r="HL11" s="126">
        <v>44213</v>
      </c>
      <c r="HM11" s="126">
        <v>44214</v>
      </c>
      <c r="HN11" s="126">
        <v>44215</v>
      </c>
      <c r="HO11" s="126">
        <v>44216</v>
      </c>
      <c r="HP11" s="126">
        <v>44217</v>
      </c>
      <c r="HQ11" s="126">
        <v>44218</v>
      </c>
      <c r="HR11" s="126">
        <v>44219</v>
      </c>
      <c r="HS11" s="126">
        <v>44220</v>
      </c>
      <c r="HT11" s="126">
        <v>44221</v>
      </c>
      <c r="HU11" s="126">
        <v>44222</v>
      </c>
      <c r="HV11" s="126">
        <v>44223</v>
      </c>
      <c r="HW11" s="126">
        <v>44224</v>
      </c>
      <c r="HX11" s="126">
        <v>44225</v>
      </c>
      <c r="HY11" s="126">
        <v>44226</v>
      </c>
      <c r="HZ11" s="126">
        <v>44227</v>
      </c>
      <c r="IA11" s="126">
        <v>44228</v>
      </c>
      <c r="IB11" s="126">
        <v>44229</v>
      </c>
      <c r="IC11" s="126">
        <v>44230</v>
      </c>
      <c r="ID11" s="126">
        <v>44231</v>
      </c>
      <c r="IE11" s="126">
        <v>44232</v>
      </c>
      <c r="IF11" s="126">
        <v>44233</v>
      </c>
      <c r="IG11" s="126">
        <v>44234</v>
      </c>
      <c r="IH11" s="126">
        <v>44235</v>
      </c>
      <c r="II11" s="126">
        <v>44236</v>
      </c>
      <c r="IJ11" s="126">
        <v>44237</v>
      </c>
      <c r="IK11" s="126">
        <v>44238</v>
      </c>
      <c r="IL11" s="126">
        <v>44239</v>
      </c>
      <c r="IM11" s="126">
        <v>44240</v>
      </c>
      <c r="IN11" s="126">
        <v>44241</v>
      </c>
      <c r="IO11" s="126">
        <v>44242</v>
      </c>
      <c r="IP11" s="126">
        <v>44243</v>
      </c>
      <c r="IQ11" s="126">
        <v>44244</v>
      </c>
      <c r="IR11" s="126">
        <v>44245</v>
      </c>
      <c r="IS11" s="126">
        <v>44246</v>
      </c>
      <c r="IT11" s="126">
        <v>44247</v>
      </c>
      <c r="IU11" s="126">
        <v>44248</v>
      </c>
      <c r="IV11" s="126">
        <v>44249</v>
      </c>
      <c r="IW11" s="126">
        <v>44250</v>
      </c>
      <c r="IX11" s="126">
        <v>44251</v>
      </c>
      <c r="IY11" s="126">
        <v>44252</v>
      </c>
      <c r="IZ11" s="126">
        <v>44253</v>
      </c>
      <c r="JA11" s="126">
        <v>44254</v>
      </c>
      <c r="JB11" s="126">
        <v>44255</v>
      </c>
      <c r="JC11" s="126">
        <v>44256</v>
      </c>
      <c r="JD11" s="126">
        <v>44257</v>
      </c>
      <c r="JE11" s="126">
        <v>44258</v>
      </c>
      <c r="JF11" s="126">
        <v>44259</v>
      </c>
      <c r="JG11" s="126">
        <v>44260</v>
      </c>
      <c r="JH11" s="126">
        <v>44261</v>
      </c>
      <c r="JI11" s="126">
        <v>44262</v>
      </c>
      <c r="JJ11" s="126">
        <v>44263</v>
      </c>
      <c r="JK11" s="126">
        <v>44264</v>
      </c>
      <c r="JL11" s="126">
        <v>44265</v>
      </c>
      <c r="JM11" s="126">
        <v>44266</v>
      </c>
      <c r="JN11" s="126">
        <v>44267</v>
      </c>
      <c r="JO11" s="126">
        <v>44268</v>
      </c>
      <c r="JP11" s="126">
        <v>44269</v>
      </c>
      <c r="JQ11" s="126">
        <v>44270</v>
      </c>
      <c r="JR11" s="126">
        <v>44271</v>
      </c>
      <c r="JS11" s="126">
        <v>44272</v>
      </c>
      <c r="JT11" s="126">
        <v>44273</v>
      </c>
      <c r="JU11" s="126">
        <v>44274</v>
      </c>
      <c r="JV11" s="126">
        <v>44275</v>
      </c>
      <c r="JW11" s="126">
        <v>44276</v>
      </c>
      <c r="JX11" s="126">
        <v>44277</v>
      </c>
      <c r="JY11" s="126">
        <v>44278</v>
      </c>
      <c r="JZ11" s="126">
        <v>44279</v>
      </c>
      <c r="KA11" s="126">
        <v>44280</v>
      </c>
      <c r="KB11" s="126">
        <v>44281</v>
      </c>
      <c r="KC11" s="126">
        <v>44282</v>
      </c>
      <c r="KD11" s="126">
        <v>44283</v>
      </c>
      <c r="KE11" s="126">
        <v>44284</v>
      </c>
      <c r="KF11" s="126">
        <v>44285</v>
      </c>
      <c r="KG11" s="126">
        <v>44286</v>
      </c>
      <c r="KH11" s="126">
        <v>44287</v>
      </c>
      <c r="KI11" s="126">
        <v>44288</v>
      </c>
      <c r="KJ11" s="126">
        <v>44289</v>
      </c>
      <c r="KK11" s="126">
        <v>44290</v>
      </c>
      <c r="KL11" s="126">
        <v>44291</v>
      </c>
      <c r="KM11" s="126">
        <v>44292</v>
      </c>
      <c r="KN11" s="126">
        <v>44293</v>
      </c>
      <c r="KO11" s="126">
        <v>44294</v>
      </c>
      <c r="KP11" s="126">
        <v>44295</v>
      </c>
      <c r="KQ11" s="126">
        <v>44296</v>
      </c>
      <c r="KR11" s="126">
        <v>44297</v>
      </c>
      <c r="KS11" s="126">
        <v>44298</v>
      </c>
      <c r="KT11" s="126">
        <v>44299</v>
      </c>
      <c r="KU11" s="126">
        <v>44300</v>
      </c>
      <c r="KV11" s="126">
        <v>44301</v>
      </c>
      <c r="KW11" s="126">
        <v>44302</v>
      </c>
      <c r="KX11" s="126">
        <v>44303</v>
      </c>
      <c r="KY11" s="126">
        <v>44304</v>
      </c>
      <c r="KZ11" s="126">
        <v>44305</v>
      </c>
      <c r="LA11" s="126">
        <v>44306</v>
      </c>
      <c r="LB11" s="126">
        <v>44307</v>
      </c>
      <c r="LC11" s="126">
        <v>44308</v>
      </c>
      <c r="LD11" s="126">
        <v>44309</v>
      </c>
      <c r="LE11" s="126">
        <v>44310</v>
      </c>
      <c r="LF11" s="126">
        <v>44311</v>
      </c>
      <c r="LG11" s="126">
        <v>44312</v>
      </c>
      <c r="LH11" s="126">
        <v>44313</v>
      </c>
      <c r="LI11" s="126">
        <v>44314</v>
      </c>
      <c r="LJ11" s="126">
        <v>44315</v>
      </c>
      <c r="LK11" s="126">
        <v>44316</v>
      </c>
      <c r="LL11" s="126">
        <v>44317</v>
      </c>
      <c r="LM11" s="126">
        <v>44318</v>
      </c>
      <c r="LN11" s="126">
        <v>44319</v>
      </c>
      <c r="LO11" s="126">
        <v>44320</v>
      </c>
      <c r="LP11" s="126">
        <v>44321</v>
      </c>
      <c r="LQ11" s="126">
        <v>44322</v>
      </c>
      <c r="LR11" s="126">
        <v>44323</v>
      </c>
      <c r="LS11" s="126">
        <v>44324</v>
      </c>
      <c r="LT11" s="126">
        <v>44325</v>
      </c>
      <c r="LU11" s="126">
        <v>44326</v>
      </c>
      <c r="LV11" s="126">
        <v>44327</v>
      </c>
      <c r="LW11" s="126">
        <v>44328</v>
      </c>
      <c r="LX11" s="126">
        <v>44329</v>
      </c>
      <c r="LY11" s="126">
        <v>44330</v>
      </c>
      <c r="LZ11" s="126">
        <v>44331</v>
      </c>
      <c r="MA11" s="126">
        <v>44332</v>
      </c>
      <c r="MB11" s="126">
        <v>44333</v>
      </c>
      <c r="MC11" s="126">
        <v>44334</v>
      </c>
      <c r="MD11" s="126">
        <v>44335</v>
      </c>
      <c r="ME11" s="126">
        <v>44336</v>
      </c>
      <c r="MF11" s="126">
        <v>44337</v>
      </c>
      <c r="MG11" s="126">
        <v>44338</v>
      </c>
      <c r="MH11" s="126">
        <v>44339</v>
      </c>
      <c r="MI11" s="126">
        <v>44340</v>
      </c>
      <c r="MJ11" s="126">
        <v>44341</v>
      </c>
      <c r="MK11" s="126">
        <v>44342</v>
      </c>
      <c r="ML11" s="126">
        <v>44343</v>
      </c>
      <c r="MM11" s="126">
        <v>44344</v>
      </c>
      <c r="MN11" s="126">
        <v>44345</v>
      </c>
      <c r="MO11" s="126">
        <v>44346</v>
      </c>
      <c r="MP11" s="126">
        <v>44347</v>
      </c>
      <c r="MQ11" s="126">
        <v>44348</v>
      </c>
      <c r="MR11" s="126">
        <v>44349</v>
      </c>
      <c r="MS11" s="126">
        <v>44350</v>
      </c>
      <c r="MT11" s="126">
        <v>44351</v>
      </c>
      <c r="MU11" s="126">
        <v>44352</v>
      </c>
      <c r="MV11" s="126">
        <v>44353</v>
      </c>
      <c r="MW11" s="126"/>
    </row>
    <row r="12" spans="1:361">
      <c r="E12" s="4" t="s">
        <v>109</v>
      </c>
      <c r="G12" s="4" t="s">
        <v>98</v>
      </c>
      <c r="J12" s="126" cm="1">
        <f t="array" ref="J12:MV12">_xlfn.ANCHORARRAY( J11) - WEEKDAY(_xlfn.ANCHORARRAY( J11) ) + 7</f>
        <v>44009</v>
      </c>
      <c r="K12" s="126">
        <v>44009</v>
      </c>
      <c r="L12" s="126">
        <v>44009</v>
      </c>
      <c r="M12" s="126">
        <v>44009</v>
      </c>
      <c r="N12" s="126">
        <v>44009</v>
      </c>
      <c r="O12" s="126">
        <v>44009</v>
      </c>
      <c r="P12" s="126">
        <v>44009</v>
      </c>
      <c r="Q12" s="126">
        <v>44016</v>
      </c>
      <c r="R12" s="126">
        <v>44016</v>
      </c>
      <c r="S12" s="126">
        <v>44016</v>
      </c>
      <c r="T12" s="126">
        <v>44016</v>
      </c>
      <c r="U12" s="126">
        <v>44016</v>
      </c>
      <c r="V12" s="126">
        <v>44016</v>
      </c>
      <c r="W12" s="126">
        <v>44016</v>
      </c>
      <c r="X12" s="126">
        <v>44023</v>
      </c>
      <c r="Y12" s="126">
        <v>44023</v>
      </c>
      <c r="Z12" s="126">
        <v>44023</v>
      </c>
      <c r="AA12" s="126">
        <v>44023</v>
      </c>
      <c r="AB12" s="126">
        <v>44023</v>
      </c>
      <c r="AC12" s="126">
        <v>44023</v>
      </c>
      <c r="AD12" s="126">
        <v>44023</v>
      </c>
      <c r="AE12" s="126">
        <v>44030</v>
      </c>
      <c r="AF12" s="126">
        <v>44030</v>
      </c>
      <c r="AG12" s="126">
        <v>44030</v>
      </c>
      <c r="AH12" s="126">
        <v>44030</v>
      </c>
      <c r="AI12" s="126">
        <v>44030</v>
      </c>
      <c r="AJ12" s="126">
        <v>44030</v>
      </c>
      <c r="AK12" s="126">
        <v>44030</v>
      </c>
      <c r="AL12" s="126">
        <v>44037</v>
      </c>
      <c r="AM12" s="126">
        <v>44037</v>
      </c>
      <c r="AN12" s="126">
        <v>44037</v>
      </c>
      <c r="AO12" s="126">
        <v>44037</v>
      </c>
      <c r="AP12" s="126">
        <v>44037</v>
      </c>
      <c r="AQ12" s="126">
        <v>44037</v>
      </c>
      <c r="AR12" s="126">
        <v>44037</v>
      </c>
      <c r="AS12" s="126">
        <v>44044</v>
      </c>
      <c r="AT12" s="126">
        <v>44044</v>
      </c>
      <c r="AU12" s="126">
        <v>44044</v>
      </c>
      <c r="AV12" s="126">
        <v>44044</v>
      </c>
      <c r="AW12" s="126">
        <v>44044</v>
      </c>
      <c r="AX12" s="126">
        <v>44044</v>
      </c>
      <c r="AY12" s="126">
        <v>44044</v>
      </c>
      <c r="AZ12" s="126">
        <v>44051</v>
      </c>
      <c r="BA12" s="126">
        <v>44051</v>
      </c>
      <c r="BB12" s="126">
        <v>44051</v>
      </c>
      <c r="BC12" s="126">
        <v>44051</v>
      </c>
      <c r="BD12" s="126">
        <v>44051</v>
      </c>
      <c r="BE12" s="126">
        <v>44051</v>
      </c>
      <c r="BF12" s="126">
        <v>44051</v>
      </c>
      <c r="BG12" s="126">
        <v>44058</v>
      </c>
      <c r="BH12" s="126">
        <v>44058</v>
      </c>
      <c r="BI12" s="126">
        <v>44058</v>
      </c>
      <c r="BJ12" s="126">
        <v>44058</v>
      </c>
      <c r="BK12" s="126">
        <v>44058</v>
      </c>
      <c r="BL12" s="126">
        <v>44058</v>
      </c>
      <c r="BM12" s="126">
        <v>44058</v>
      </c>
      <c r="BN12" s="126">
        <v>44065</v>
      </c>
      <c r="BO12" s="126">
        <v>44065</v>
      </c>
      <c r="BP12" s="126">
        <v>44065</v>
      </c>
      <c r="BQ12" s="126">
        <v>44065</v>
      </c>
      <c r="BR12" s="126">
        <v>44065</v>
      </c>
      <c r="BS12" s="126">
        <v>44065</v>
      </c>
      <c r="BT12" s="126">
        <v>44065</v>
      </c>
      <c r="BU12" s="126">
        <v>44072</v>
      </c>
      <c r="BV12" s="126">
        <v>44072</v>
      </c>
      <c r="BW12" s="126">
        <v>44072</v>
      </c>
      <c r="BX12" s="126">
        <v>44072</v>
      </c>
      <c r="BY12" s="126">
        <v>44072</v>
      </c>
      <c r="BZ12" s="126">
        <v>44072</v>
      </c>
      <c r="CA12" s="126">
        <v>44072</v>
      </c>
      <c r="CB12" s="126">
        <v>44079</v>
      </c>
      <c r="CC12" s="126">
        <v>44079</v>
      </c>
      <c r="CD12" s="126">
        <v>44079</v>
      </c>
      <c r="CE12" s="126">
        <v>44079</v>
      </c>
      <c r="CF12" s="126">
        <v>44079</v>
      </c>
      <c r="CG12" s="126">
        <v>44079</v>
      </c>
      <c r="CH12" s="126">
        <v>44079</v>
      </c>
      <c r="CI12" s="126">
        <v>44086</v>
      </c>
      <c r="CJ12" s="126">
        <v>44086</v>
      </c>
      <c r="CK12" s="126">
        <v>44086</v>
      </c>
      <c r="CL12" s="126">
        <v>44086</v>
      </c>
      <c r="CM12" s="126">
        <v>44086</v>
      </c>
      <c r="CN12" s="126">
        <v>44086</v>
      </c>
      <c r="CO12" s="126">
        <v>44086</v>
      </c>
      <c r="CP12" s="126">
        <v>44093</v>
      </c>
      <c r="CQ12" s="126">
        <v>44093</v>
      </c>
      <c r="CR12" s="126">
        <v>44093</v>
      </c>
      <c r="CS12" s="126">
        <v>44093</v>
      </c>
      <c r="CT12" s="126">
        <v>44093</v>
      </c>
      <c r="CU12" s="126">
        <v>44093</v>
      </c>
      <c r="CV12" s="126">
        <v>44093</v>
      </c>
      <c r="CW12" s="126">
        <v>44100</v>
      </c>
      <c r="CX12" s="126">
        <v>44100</v>
      </c>
      <c r="CY12" s="126">
        <v>44100</v>
      </c>
      <c r="CZ12" s="126">
        <v>44100</v>
      </c>
      <c r="DA12" s="126">
        <v>44100</v>
      </c>
      <c r="DB12" s="126">
        <v>44100</v>
      </c>
      <c r="DC12" s="126">
        <v>44100</v>
      </c>
      <c r="DD12" s="126">
        <v>44107</v>
      </c>
      <c r="DE12" s="126">
        <v>44107</v>
      </c>
      <c r="DF12" s="126">
        <v>44107</v>
      </c>
      <c r="DG12" s="126">
        <v>44107</v>
      </c>
      <c r="DH12" s="126">
        <v>44107</v>
      </c>
      <c r="DI12" s="126">
        <v>44107</v>
      </c>
      <c r="DJ12" s="126">
        <v>44107</v>
      </c>
      <c r="DK12" s="126">
        <v>44114</v>
      </c>
      <c r="DL12" s="126">
        <v>44114</v>
      </c>
      <c r="DM12" s="126">
        <v>44114</v>
      </c>
      <c r="DN12" s="126">
        <v>44114</v>
      </c>
      <c r="DO12" s="126">
        <v>44114</v>
      </c>
      <c r="DP12" s="126">
        <v>44114</v>
      </c>
      <c r="DQ12" s="126">
        <v>44114</v>
      </c>
      <c r="DR12" s="126">
        <v>44121</v>
      </c>
      <c r="DS12" s="126">
        <v>44121</v>
      </c>
      <c r="DT12" s="126">
        <v>44121</v>
      </c>
      <c r="DU12" s="126">
        <v>44121</v>
      </c>
      <c r="DV12" s="126">
        <v>44121</v>
      </c>
      <c r="DW12" s="126">
        <v>44121</v>
      </c>
      <c r="DX12" s="126">
        <v>44121</v>
      </c>
      <c r="DY12" s="126">
        <v>44128</v>
      </c>
      <c r="DZ12" s="126">
        <v>44128</v>
      </c>
      <c r="EA12" s="126">
        <v>44128</v>
      </c>
      <c r="EB12" s="126">
        <v>44128</v>
      </c>
      <c r="EC12" s="126">
        <v>44128</v>
      </c>
      <c r="ED12" s="126">
        <v>44128</v>
      </c>
      <c r="EE12" s="126">
        <v>44128</v>
      </c>
      <c r="EF12" s="126">
        <v>44135</v>
      </c>
      <c r="EG12" s="126">
        <v>44135</v>
      </c>
      <c r="EH12" s="126">
        <v>44135</v>
      </c>
      <c r="EI12" s="126">
        <v>44135</v>
      </c>
      <c r="EJ12" s="126">
        <v>44135</v>
      </c>
      <c r="EK12" s="126">
        <v>44135</v>
      </c>
      <c r="EL12" s="126">
        <v>44135</v>
      </c>
      <c r="EM12" s="126">
        <v>44142</v>
      </c>
      <c r="EN12" s="126">
        <v>44142</v>
      </c>
      <c r="EO12" s="126">
        <v>44142</v>
      </c>
      <c r="EP12" s="126">
        <v>44142</v>
      </c>
      <c r="EQ12" s="126">
        <v>44142</v>
      </c>
      <c r="ER12" s="126">
        <v>44142</v>
      </c>
      <c r="ES12" s="126">
        <v>44142</v>
      </c>
      <c r="ET12" s="126">
        <v>44149</v>
      </c>
      <c r="EU12" s="126">
        <v>44149</v>
      </c>
      <c r="EV12" s="126">
        <v>44149</v>
      </c>
      <c r="EW12" s="126">
        <v>44149</v>
      </c>
      <c r="EX12" s="126">
        <v>44149</v>
      </c>
      <c r="EY12" s="126">
        <v>44149</v>
      </c>
      <c r="EZ12" s="126">
        <v>44149</v>
      </c>
      <c r="FA12" s="126">
        <v>44156</v>
      </c>
      <c r="FB12" s="126">
        <v>44156</v>
      </c>
      <c r="FC12" s="126">
        <v>44156</v>
      </c>
      <c r="FD12" s="126">
        <v>44156</v>
      </c>
      <c r="FE12" s="126">
        <v>44156</v>
      </c>
      <c r="FF12" s="126">
        <v>44156</v>
      </c>
      <c r="FG12" s="126">
        <v>44156</v>
      </c>
      <c r="FH12" s="126">
        <v>44163</v>
      </c>
      <c r="FI12" s="126">
        <v>44163</v>
      </c>
      <c r="FJ12" s="126">
        <v>44163</v>
      </c>
      <c r="FK12" s="126">
        <v>44163</v>
      </c>
      <c r="FL12" s="126">
        <v>44163</v>
      </c>
      <c r="FM12" s="126">
        <v>44163</v>
      </c>
      <c r="FN12" s="126">
        <v>44163</v>
      </c>
      <c r="FO12" s="126">
        <v>44170</v>
      </c>
      <c r="FP12" s="126">
        <v>44170</v>
      </c>
      <c r="FQ12" s="126">
        <v>44170</v>
      </c>
      <c r="FR12" s="126">
        <v>44170</v>
      </c>
      <c r="FS12" s="126">
        <v>44170</v>
      </c>
      <c r="FT12" s="126">
        <v>44170</v>
      </c>
      <c r="FU12" s="126">
        <v>44170</v>
      </c>
      <c r="FV12" s="126">
        <v>44177</v>
      </c>
      <c r="FW12" s="126">
        <v>44177</v>
      </c>
      <c r="FX12" s="126">
        <v>44177</v>
      </c>
      <c r="FY12" s="126">
        <v>44177</v>
      </c>
      <c r="FZ12" s="126">
        <v>44177</v>
      </c>
      <c r="GA12" s="126">
        <v>44177</v>
      </c>
      <c r="GB12" s="126">
        <v>44177</v>
      </c>
      <c r="GC12" s="126">
        <v>44184</v>
      </c>
      <c r="GD12" s="126">
        <v>44184</v>
      </c>
      <c r="GE12" s="126">
        <v>44184</v>
      </c>
      <c r="GF12" s="126">
        <v>44184</v>
      </c>
      <c r="GG12" s="126">
        <v>44184</v>
      </c>
      <c r="GH12" s="126">
        <v>44184</v>
      </c>
      <c r="GI12" s="126">
        <v>44184</v>
      </c>
      <c r="GJ12" s="126">
        <v>44191</v>
      </c>
      <c r="GK12" s="126">
        <v>44191</v>
      </c>
      <c r="GL12" s="126">
        <v>44191</v>
      </c>
      <c r="GM12" s="126">
        <v>44191</v>
      </c>
      <c r="GN12" s="126">
        <v>44191</v>
      </c>
      <c r="GO12" s="126">
        <v>44191</v>
      </c>
      <c r="GP12" s="126">
        <v>44191</v>
      </c>
      <c r="GQ12" s="126">
        <v>44198</v>
      </c>
      <c r="GR12" s="126">
        <v>44198</v>
      </c>
      <c r="GS12" s="126">
        <v>44198</v>
      </c>
      <c r="GT12" s="126">
        <v>44198</v>
      </c>
      <c r="GU12" s="126">
        <v>44198</v>
      </c>
      <c r="GV12" s="126">
        <v>44198</v>
      </c>
      <c r="GW12" s="126">
        <v>44198</v>
      </c>
      <c r="GX12" s="126">
        <v>44205</v>
      </c>
      <c r="GY12" s="126">
        <v>44205</v>
      </c>
      <c r="GZ12" s="126">
        <v>44205</v>
      </c>
      <c r="HA12" s="126">
        <v>44205</v>
      </c>
      <c r="HB12" s="126">
        <v>44205</v>
      </c>
      <c r="HC12" s="126">
        <v>44205</v>
      </c>
      <c r="HD12" s="126">
        <v>44205</v>
      </c>
      <c r="HE12" s="126">
        <v>44212</v>
      </c>
      <c r="HF12" s="126">
        <v>44212</v>
      </c>
      <c r="HG12" s="126">
        <v>44212</v>
      </c>
      <c r="HH12" s="126">
        <v>44212</v>
      </c>
      <c r="HI12" s="126">
        <v>44212</v>
      </c>
      <c r="HJ12" s="126">
        <v>44212</v>
      </c>
      <c r="HK12" s="126">
        <v>44212</v>
      </c>
      <c r="HL12" s="126">
        <v>44219</v>
      </c>
      <c r="HM12" s="126">
        <v>44219</v>
      </c>
      <c r="HN12" s="126">
        <v>44219</v>
      </c>
      <c r="HO12" s="126">
        <v>44219</v>
      </c>
      <c r="HP12" s="126">
        <v>44219</v>
      </c>
      <c r="HQ12" s="126">
        <v>44219</v>
      </c>
      <c r="HR12" s="126">
        <v>44219</v>
      </c>
      <c r="HS12" s="126">
        <v>44226</v>
      </c>
      <c r="HT12" s="126">
        <v>44226</v>
      </c>
      <c r="HU12" s="126">
        <v>44226</v>
      </c>
      <c r="HV12" s="126">
        <v>44226</v>
      </c>
      <c r="HW12" s="126">
        <v>44226</v>
      </c>
      <c r="HX12" s="126">
        <v>44226</v>
      </c>
      <c r="HY12" s="126">
        <v>44226</v>
      </c>
      <c r="HZ12" s="126">
        <v>44233</v>
      </c>
      <c r="IA12" s="126">
        <v>44233</v>
      </c>
      <c r="IB12" s="126">
        <v>44233</v>
      </c>
      <c r="IC12" s="126">
        <v>44233</v>
      </c>
      <c r="ID12" s="126">
        <v>44233</v>
      </c>
      <c r="IE12" s="126">
        <v>44233</v>
      </c>
      <c r="IF12" s="126">
        <v>44233</v>
      </c>
      <c r="IG12" s="126">
        <v>44240</v>
      </c>
      <c r="IH12" s="126">
        <v>44240</v>
      </c>
      <c r="II12" s="126">
        <v>44240</v>
      </c>
      <c r="IJ12" s="126">
        <v>44240</v>
      </c>
      <c r="IK12" s="126">
        <v>44240</v>
      </c>
      <c r="IL12" s="126">
        <v>44240</v>
      </c>
      <c r="IM12" s="126">
        <v>44240</v>
      </c>
      <c r="IN12" s="126">
        <v>44247</v>
      </c>
      <c r="IO12" s="126">
        <v>44247</v>
      </c>
      <c r="IP12" s="126">
        <v>44247</v>
      </c>
      <c r="IQ12" s="126">
        <v>44247</v>
      </c>
      <c r="IR12" s="126">
        <v>44247</v>
      </c>
      <c r="IS12" s="126">
        <v>44247</v>
      </c>
      <c r="IT12" s="126">
        <v>44247</v>
      </c>
      <c r="IU12" s="126">
        <v>44254</v>
      </c>
      <c r="IV12" s="126">
        <v>44254</v>
      </c>
      <c r="IW12" s="126">
        <v>44254</v>
      </c>
      <c r="IX12" s="126">
        <v>44254</v>
      </c>
      <c r="IY12" s="126">
        <v>44254</v>
      </c>
      <c r="IZ12" s="126">
        <v>44254</v>
      </c>
      <c r="JA12" s="126">
        <v>44254</v>
      </c>
      <c r="JB12" s="126">
        <v>44261</v>
      </c>
      <c r="JC12" s="126">
        <v>44261</v>
      </c>
      <c r="JD12" s="126">
        <v>44261</v>
      </c>
      <c r="JE12" s="126">
        <v>44261</v>
      </c>
      <c r="JF12" s="126">
        <v>44261</v>
      </c>
      <c r="JG12" s="126">
        <v>44261</v>
      </c>
      <c r="JH12" s="126">
        <v>44261</v>
      </c>
      <c r="JI12" s="126">
        <v>44268</v>
      </c>
      <c r="JJ12" s="126">
        <v>44268</v>
      </c>
      <c r="JK12" s="126">
        <v>44268</v>
      </c>
      <c r="JL12" s="126">
        <v>44268</v>
      </c>
      <c r="JM12" s="126">
        <v>44268</v>
      </c>
      <c r="JN12" s="126">
        <v>44268</v>
      </c>
      <c r="JO12" s="126">
        <v>44268</v>
      </c>
      <c r="JP12" s="126">
        <v>44275</v>
      </c>
      <c r="JQ12" s="126">
        <v>44275</v>
      </c>
      <c r="JR12" s="126">
        <v>44275</v>
      </c>
      <c r="JS12" s="126">
        <v>44275</v>
      </c>
      <c r="JT12" s="126">
        <v>44275</v>
      </c>
      <c r="JU12" s="126">
        <v>44275</v>
      </c>
      <c r="JV12" s="126">
        <v>44275</v>
      </c>
      <c r="JW12" s="126">
        <v>44282</v>
      </c>
      <c r="JX12" s="126">
        <v>44282</v>
      </c>
      <c r="JY12" s="126">
        <v>44282</v>
      </c>
      <c r="JZ12" s="126">
        <v>44282</v>
      </c>
      <c r="KA12" s="126">
        <v>44282</v>
      </c>
      <c r="KB12" s="126">
        <v>44282</v>
      </c>
      <c r="KC12" s="126">
        <v>44282</v>
      </c>
      <c r="KD12" s="126">
        <v>44289</v>
      </c>
      <c r="KE12" s="126">
        <v>44289</v>
      </c>
      <c r="KF12" s="126">
        <v>44289</v>
      </c>
      <c r="KG12" s="126">
        <v>44289</v>
      </c>
      <c r="KH12" s="126">
        <v>44289</v>
      </c>
      <c r="KI12" s="126">
        <v>44289</v>
      </c>
      <c r="KJ12" s="126">
        <v>44289</v>
      </c>
      <c r="KK12" s="126">
        <v>44296</v>
      </c>
      <c r="KL12" s="126">
        <v>44296</v>
      </c>
      <c r="KM12" s="126">
        <v>44296</v>
      </c>
      <c r="KN12" s="126">
        <v>44296</v>
      </c>
      <c r="KO12" s="126">
        <v>44296</v>
      </c>
      <c r="KP12" s="126">
        <v>44296</v>
      </c>
      <c r="KQ12" s="126">
        <v>44296</v>
      </c>
      <c r="KR12" s="126">
        <v>44303</v>
      </c>
      <c r="KS12" s="126">
        <v>44303</v>
      </c>
      <c r="KT12" s="126">
        <v>44303</v>
      </c>
      <c r="KU12" s="126">
        <v>44303</v>
      </c>
      <c r="KV12" s="126">
        <v>44303</v>
      </c>
      <c r="KW12" s="126">
        <v>44303</v>
      </c>
      <c r="KX12" s="126">
        <v>44303</v>
      </c>
      <c r="KY12" s="126">
        <v>44310</v>
      </c>
      <c r="KZ12" s="126">
        <v>44310</v>
      </c>
      <c r="LA12" s="126">
        <v>44310</v>
      </c>
      <c r="LB12" s="126">
        <v>44310</v>
      </c>
      <c r="LC12" s="126">
        <v>44310</v>
      </c>
      <c r="LD12" s="126">
        <v>44310</v>
      </c>
      <c r="LE12" s="126">
        <v>44310</v>
      </c>
      <c r="LF12" s="126">
        <v>44317</v>
      </c>
      <c r="LG12" s="126">
        <v>44317</v>
      </c>
      <c r="LH12" s="126">
        <v>44317</v>
      </c>
      <c r="LI12" s="126">
        <v>44317</v>
      </c>
      <c r="LJ12" s="126">
        <v>44317</v>
      </c>
      <c r="LK12" s="126">
        <v>44317</v>
      </c>
      <c r="LL12" s="126">
        <v>44317</v>
      </c>
      <c r="LM12" s="126">
        <v>44324</v>
      </c>
      <c r="LN12" s="126">
        <v>44324</v>
      </c>
      <c r="LO12" s="126">
        <v>44324</v>
      </c>
      <c r="LP12" s="126">
        <v>44324</v>
      </c>
      <c r="LQ12" s="126">
        <v>44324</v>
      </c>
      <c r="LR12" s="126">
        <v>44324</v>
      </c>
      <c r="LS12" s="126">
        <v>44324</v>
      </c>
      <c r="LT12" s="126">
        <v>44331</v>
      </c>
      <c r="LU12" s="126">
        <v>44331</v>
      </c>
      <c r="LV12" s="126">
        <v>44331</v>
      </c>
      <c r="LW12" s="126">
        <v>44331</v>
      </c>
      <c r="LX12" s="126">
        <v>44331</v>
      </c>
      <c r="LY12" s="126">
        <v>44331</v>
      </c>
      <c r="LZ12" s="126">
        <v>44331</v>
      </c>
      <c r="MA12" s="126">
        <v>44338</v>
      </c>
      <c r="MB12" s="126">
        <v>44338</v>
      </c>
      <c r="MC12" s="126">
        <v>44338</v>
      </c>
      <c r="MD12" s="126">
        <v>44338</v>
      </c>
      <c r="ME12" s="126">
        <v>44338</v>
      </c>
      <c r="MF12" s="126">
        <v>44338</v>
      </c>
      <c r="MG12" s="126">
        <v>44338</v>
      </c>
      <c r="MH12" s="126">
        <v>44345</v>
      </c>
      <c r="MI12" s="126">
        <v>44345</v>
      </c>
      <c r="MJ12" s="126">
        <v>44345</v>
      </c>
      <c r="MK12" s="126">
        <v>44345</v>
      </c>
      <c r="ML12" s="126">
        <v>44345</v>
      </c>
      <c r="MM12" s="126">
        <v>44345</v>
      </c>
      <c r="MN12" s="126">
        <v>44345</v>
      </c>
      <c r="MO12" s="126">
        <v>44352</v>
      </c>
      <c r="MP12" s="126">
        <v>44352</v>
      </c>
      <c r="MQ12" s="126">
        <v>44352</v>
      </c>
      <c r="MR12" s="126">
        <v>44352</v>
      </c>
      <c r="MS12" s="126">
        <v>44352</v>
      </c>
      <c r="MT12" s="126">
        <v>44352</v>
      </c>
      <c r="MU12" s="126">
        <v>44352</v>
      </c>
      <c r="MV12" s="126">
        <v>44359</v>
      </c>
      <c r="MW12" s="126"/>
    </row>
    <row r="13" spans="1:361">
      <c r="E13" s="4" t="s">
        <v>101</v>
      </c>
      <c r="G13" s="4" t="s">
        <v>98</v>
      </c>
      <c r="J13" s="126" cm="1">
        <f t="array" ref="J13:MV13" xml:space="preserve"> _xlfn.BYCOL(_xlfn.ANCHORARRAY( J11), _xlfn.LAMBDA(_xlpm.d, EOMONTH( _xlpm.d, 0 ) ) )</f>
        <v>44012</v>
      </c>
      <c r="K13" s="126">
        <v>44012</v>
      </c>
      <c r="L13" s="126">
        <v>44012</v>
      </c>
      <c r="M13" s="126">
        <v>44012</v>
      </c>
      <c r="N13" s="126">
        <v>44012</v>
      </c>
      <c r="O13" s="126">
        <v>44012</v>
      </c>
      <c r="P13" s="126">
        <v>44012</v>
      </c>
      <c r="Q13" s="126">
        <v>44012</v>
      </c>
      <c r="R13" s="126">
        <v>44012</v>
      </c>
      <c r="S13" s="126">
        <v>44012</v>
      </c>
      <c r="T13" s="126">
        <v>44043</v>
      </c>
      <c r="U13" s="126">
        <v>44043</v>
      </c>
      <c r="V13" s="126">
        <v>44043</v>
      </c>
      <c r="W13" s="126">
        <v>44043</v>
      </c>
      <c r="X13" s="126">
        <v>44043</v>
      </c>
      <c r="Y13" s="126">
        <v>44043</v>
      </c>
      <c r="Z13" s="126">
        <v>44043</v>
      </c>
      <c r="AA13" s="126">
        <v>44043</v>
      </c>
      <c r="AB13" s="126">
        <v>44043</v>
      </c>
      <c r="AC13" s="126">
        <v>44043</v>
      </c>
      <c r="AD13" s="126">
        <v>44043</v>
      </c>
      <c r="AE13" s="126">
        <v>44043</v>
      </c>
      <c r="AF13" s="126">
        <v>44043</v>
      </c>
      <c r="AG13" s="126">
        <v>44043</v>
      </c>
      <c r="AH13" s="126">
        <v>44043</v>
      </c>
      <c r="AI13" s="126">
        <v>44043</v>
      </c>
      <c r="AJ13" s="126">
        <v>44043</v>
      </c>
      <c r="AK13" s="126">
        <v>44043</v>
      </c>
      <c r="AL13" s="126">
        <v>44043</v>
      </c>
      <c r="AM13" s="126">
        <v>44043</v>
      </c>
      <c r="AN13" s="126">
        <v>44043</v>
      </c>
      <c r="AO13" s="126">
        <v>44043</v>
      </c>
      <c r="AP13" s="126">
        <v>44043</v>
      </c>
      <c r="AQ13" s="126">
        <v>44043</v>
      </c>
      <c r="AR13" s="126">
        <v>44043</v>
      </c>
      <c r="AS13" s="126">
        <v>44043</v>
      </c>
      <c r="AT13" s="126">
        <v>44043</v>
      </c>
      <c r="AU13" s="126">
        <v>44043</v>
      </c>
      <c r="AV13" s="126">
        <v>44043</v>
      </c>
      <c r="AW13" s="126">
        <v>44043</v>
      </c>
      <c r="AX13" s="126">
        <v>44043</v>
      </c>
      <c r="AY13" s="126">
        <v>44074</v>
      </c>
      <c r="AZ13" s="126">
        <v>44074</v>
      </c>
      <c r="BA13" s="126">
        <v>44074</v>
      </c>
      <c r="BB13" s="126">
        <v>44074</v>
      </c>
      <c r="BC13" s="126">
        <v>44074</v>
      </c>
      <c r="BD13" s="126">
        <v>44074</v>
      </c>
      <c r="BE13" s="126">
        <v>44074</v>
      </c>
      <c r="BF13" s="126">
        <v>44074</v>
      </c>
      <c r="BG13" s="126">
        <v>44074</v>
      </c>
      <c r="BH13" s="126">
        <v>44074</v>
      </c>
      <c r="BI13" s="126">
        <v>44074</v>
      </c>
      <c r="BJ13" s="126">
        <v>44074</v>
      </c>
      <c r="BK13" s="126">
        <v>44074</v>
      </c>
      <c r="BL13" s="126">
        <v>44074</v>
      </c>
      <c r="BM13" s="126">
        <v>44074</v>
      </c>
      <c r="BN13" s="126">
        <v>44074</v>
      </c>
      <c r="BO13" s="126">
        <v>44074</v>
      </c>
      <c r="BP13" s="126">
        <v>44074</v>
      </c>
      <c r="BQ13" s="126">
        <v>44074</v>
      </c>
      <c r="BR13" s="126">
        <v>44074</v>
      </c>
      <c r="BS13" s="126">
        <v>44074</v>
      </c>
      <c r="BT13" s="126">
        <v>44074</v>
      </c>
      <c r="BU13" s="126">
        <v>44074</v>
      </c>
      <c r="BV13" s="126">
        <v>44074</v>
      </c>
      <c r="BW13" s="126">
        <v>44074</v>
      </c>
      <c r="BX13" s="126">
        <v>44074</v>
      </c>
      <c r="BY13" s="126">
        <v>44074</v>
      </c>
      <c r="BZ13" s="126">
        <v>44074</v>
      </c>
      <c r="CA13" s="126">
        <v>44074</v>
      </c>
      <c r="CB13" s="126">
        <v>44074</v>
      </c>
      <c r="CC13" s="126">
        <v>44074</v>
      </c>
      <c r="CD13" s="126">
        <v>44104</v>
      </c>
      <c r="CE13" s="126">
        <v>44104</v>
      </c>
      <c r="CF13" s="126">
        <v>44104</v>
      </c>
      <c r="CG13" s="126">
        <v>44104</v>
      </c>
      <c r="CH13" s="126">
        <v>44104</v>
      </c>
      <c r="CI13" s="126">
        <v>44104</v>
      </c>
      <c r="CJ13" s="126">
        <v>44104</v>
      </c>
      <c r="CK13" s="126">
        <v>44104</v>
      </c>
      <c r="CL13" s="126">
        <v>44104</v>
      </c>
      <c r="CM13" s="126">
        <v>44104</v>
      </c>
      <c r="CN13" s="126">
        <v>44104</v>
      </c>
      <c r="CO13" s="126">
        <v>44104</v>
      </c>
      <c r="CP13" s="126">
        <v>44104</v>
      </c>
      <c r="CQ13" s="126">
        <v>44104</v>
      </c>
      <c r="CR13" s="126">
        <v>44104</v>
      </c>
      <c r="CS13" s="126">
        <v>44104</v>
      </c>
      <c r="CT13" s="126">
        <v>44104</v>
      </c>
      <c r="CU13" s="126">
        <v>44104</v>
      </c>
      <c r="CV13" s="126">
        <v>44104</v>
      </c>
      <c r="CW13" s="126">
        <v>44104</v>
      </c>
      <c r="CX13" s="126">
        <v>44104</v>
      </c>
      <c r="CY13" s="126">
        <v>44104</v>
      </c>
      <c r="CZ13" s="126">
        <v>44104</v>
      </c>
      <c r="DA13" s="126">
        <v>44104</v>
      </c>
      <c r="DB13" s="126">
        <v>44104</v>
      </c>
      <c r="DC13" s="126">
        <v>44104</v>
      </c>
      <c r="DD13" s="126">
        <v>44104</v>
      </c>
      <c r="DE13" s="126">
        <v>44104</v>
      </c>
      <c r="DF13" s="126">
        <v>44104</v>
      </c>
      <c r="DG13" s="126">
        <v>44104</v>
      </c>
      <c r="DH13" s="126">
        <v>44135</v>
      </c>
      <c r="DI13" s="126">
        <v>44135</v>
      </c>
      <c r="DJ13" s="126">
        <v>44135</v>
      </c>
      <c r="DK13" s="126">
        <v>44135</v>
      </c>
      <c r="DL13" s="126">
        <v>44135</v>
      </c>
      <c r="DM13" s="126">
        <v>44135</v>
      </c>
      <c r="DN13" s="126">
        <v>44135</v>
      </c>
      <c r="DO13" s="126">
        <v>44135</v>
      </c>
      <c r="DP13" s="126">
        <v>44135</v>
      </c>
      <c r="DQ13" s="126">
        <v>44135</v>
      </c>
      <c r="DR13" s="126">
        <v>44135</v>
      </c>
      <c r="DS13" s="126">
        <v>44135</v>
      </c>
      <c r="DT13" s="126">
        <v>44135</v>
      </c>
      <c r="DU13" s="126">
        <v>44135</v>
      </c>
      <c r="DV13" s="126">
        <v>44135</v>
      </c>
      <c r="DW13" s="126">
        <v>44135</v>
      </c>
      <c r="DX13" s="126">
        <v>44135</v>
      </c>
      <c r="DY13" s="126">
        <v>44135</v>
      </c>
      <c r="DZ13" s="126">
        <v>44135</v>
      </c>
      <c r="EA13" s="126">
        <v>44135</v>
      </c>
      <c r="EB13" s="126">
        <v>44135</v>
      </c>
      <c r="EC13" s="126">
        <v>44135</v>
      </c>
      <c r="ED13" s="126">
        <v>44135</v>
      </c>
      <c r="EE13" s="126">
        <v>44135</v>
      </c>
      <c r="EF13" s="126">
        <v>44135</v>
      </c>
      <c r="EG13" s="126">
        <v>44135</v>
      </c>
      <c r="EH13" s="126">
        <v>44135</v>
      </c>
      <c r="EI13" s="126">
        <v>44135</v>
      </c>
      <c r="EJ13" s="126">
        <v>44135</v>
      </c>
      <c r="EK13" s="126">
        <v>44135</v>
      </c>
      <c r="EL13" s="126">
        <v>44135</v>
      </c>
      <c r="EM13" s="126">
        <v>44165</v>
      </c>
      <c r="EN13" s="126">
        <v>44165</v>
      </c>
      <c r="EO13" s="126">
        <v>44165</v>
      </c>
      <c r="EP13" s="126">
        <v>44165</v>
      </c>
      <c r="EQ13" s="126">
        <v>44165</v>
      </c>
      <c r="ER13" s="126">
        <v>44165</v>
      </c>
      <c r="ES13" s="126">
        <v>44165</v>
      </c>
      <c r="ET13" s="126">
        <v>44165</v>
      </c>
      <c r="EU13" s="126">
        <v>44165</v>
      </c>
      <c r="EV13" s="126">
        <v>44165</v>
      </c>
      <c r="EW13" s="126">
        <v>44165</v>
      </c>
      <c r="EX13" s="126">
        <v>44165</v>
      </c>
      <c r="EY13" s="126">
        <v>44165</v>
      </c>
      <c r="EZ13" s="126">
        <v>44165</v>
      </c>
      <c r="FA13" s="126">
        <v>44165</v>
      </c>
      <c r="FB13" s="126">
        <v>44165</v>
      </c>
      <c r="FC13" s="126">
        <v>44165</v>
      </c>
      <c r="FD13" s="126">
        <v>44165</v>
      </c>
      <c r="FE13" s="126">
        <v>44165</v>
      </c>
      <c r="FF13" s="126">
        <v>44165</v>
      </c>
      <c r="FG13" s="126">
        <v>44165</v>
      </c>
      <c r="FH13" s="126">
        <v>44165</v>
      </c>
      <c r="FI13" s="126">
        <v>44165</v>
      </c>
      <c r="FJ13" s="126">
        <v>44165</v>
      </c>
      <c r="FK13" s="126">
        <v>44165</v>
      </c>
      <c r="FL13" s="126">
        <v>44165</v>
      </c>
      <c r="FM13" s="126">
        <v>44165</v>
      </c>
      <c r="FN13" s="126">
        <v>44165</v>
      </c>
      <c r="FO13" s="126">
        <v>44165</v>
      </c>
      <c r="FP13" s="126">
        <v>44165</v>
      </c>
      <c r="FQ13" s="126">
        <v>44196</v>
      </c>
      <c r="FR13" s="126">
        <v>44196</v>
      </c>
      <c r="FS13" s="126">
        <v>44196</v>
      </c>
      <c r="FT13" s="126">
        <v>44196</v>
      </c>
      <c r="FU13" s="126">
        <v>44196</v>
      </c>
      <c r="FV13" s="126">
        <v>44196</v>
      </c>
      <c r="FW13" s="126">
        <v>44196</v>
      </c>
      <c r="FX13" s="126">
        <v>44196</v>
      </c>
      <c r="FY13" s="126">
        <v>44196</v>
      </c>
      <c r="FZ13" s="126">
        <v>44196</v>
      </c>
      <c r="GA13" s="126">
        <v>44196</v>
      </c>
      <c r="GB13" s="126">
        <v>44196</v>
      </c>
      <c r="GC13" s="126">
        <v>44196</v>
      </c>
      <c r="GD13" s="126">
        <v>44196</v>
      </c>
      <c r="GE13" s="126">
        <v>44196</v>
      </c>
      <c r="GF13" s="126">
        <v>44196</v>
      </c>
      <c r="GG13" s="126">
        <v>44196</v>
      </c>
      <c r="GH13" s="126">
        <v>44196</v>
      </c>
      <c r="GI13" s="126">
        <v>44196</v>
      </c>
      <c r="GJ13" s="126">
        <v>44196</v>
      </c>
      <c r="GK13" s="126">
        <v>44196</v>
      </c>
      <c r="GL13" s="126">
        <v>44196</v>
      </c>
      <c r="GM13" s="126">
        <v>44196</v>
      </c>
      <c r="GN13" s="126">
        <v>44196</v>
      </c>
      <c r="GO13" s="126">
        <v>44196</v>
      </c>
      <c r="GP13" s="126">
        <v>44196</v>
      </c>
      <c r="GQ13" s="126">
        <v>44196</v>
      </c>
      <c r="GR13" s="126">
        <v>44196</v>
      </c>
      <c r="GS13" s="126">
        <v>44196</v>
      </c>
      <c r="GT13" s="126">
        <v>44196</v>
      </c>
      <c r="GU13" s="126">
        <v>44196</v>
      </c>
      <c r="GV13" s="126">
        <v>44227</v>
      </c>
      <c r="GW13" s="126">
        <v>44227</v>
      </c>
      <c r="GX13" s="126">
        <v>44227</v>
      </c>
      <c r="GY13" s="126">
        <v>44227</v>
      </c>
      <c r="GZ13" s="126">
        <v>44227</v>
      </c>
      <c r="HA13" s="126">
        <v>44227</v>
      </c>
      <c r="HB13" s="126">
        <v>44227</v>
      </c>
      <c r="HC13" s="126">
        <v>44227</v>
      </c>
      <c r="HD13" s="126">
        <v>44227</v>
      </c>
      <c r="HE13" s="126">
        <v>44227</v>
      </c>
      <c r="HF13" s="126">
        <v>44227</v>
      </c>
      <c r="HG13" s="126">
        <v>44227</v>
      </c>
      <c r="HH13" s="126">
        <v>44227</v>
      </c>
      <c r="HI13" s="126">
        <v>44227</v>
      </c>
      <c r="HJ13" s="126">
        <v>44227</v>
      </c>
      <c r="HK13" s="126">
        <v>44227</v>
      </c>
      <c r="HL13" s="126">
        <v>44227</v>
      </c>
      <c r="HM13" s="126">
        <v>44227</v>
      </c>
      <c r="HN13" s="126">
        <v>44227</v>
      </c>
      <c r="HO13" s="126">
        <v>44227</v>
      </c>
      <c r="HP13" s="126">
        <v>44227</v>
      </c>
      <c r="HQ13" s="126">
        <v>44227</v>
      </c>
      <c r="HR13" s="126">
        <v>44227</v>
      </c>
      <c r="HS13" s="126">
        <v>44227</v>
      </c>
      <c r="HT13" s="126">
        <v>44227</v>
      </c>
      <c r="HU13" s="126">
        <v>44227</v>
      </c>
      <c r="HV13" s="126">
        <v>44227</v>
      </c>
      <c r="HW13" s="126">
        <v>44227</v>
      </c>
      <c r="HX13" s="126">
        <v>44227</v>
      </c>
      <c r="HY13" s="126">
        <v>44227</v>
      </c>
      <c r="HZ13" s="126">
        <v>44227</v>
      </c>
      <c r="IA13" s="126">
        <v>44255</v>
      </c>
      <c r="IB13" s="126">
        <v>44255</v>
      </c>
      <c r="IC13" s="126">
        <v>44255</v>
      </c>
      <c r="ID13" s="126">
        <v>44255</v>
      </c>
      <c r="IE13" s="126">
        <v>44255</v>
      </c>
      <c r="IF13" s="126">
        <v>44255</v>
      </c>
      <c r="IG13" s="126">
        <v>44255</v>
      </c>
      <c r="IH13" s="126">
        <v>44255</v>
      </c>
      <c r="II13" s="126">
        <v>44255</v>
      </c>
      <c r="IJ13" s="126">
        <v>44255</v>
      </c>
      <c r="IK13" s="126">
        <v>44255</v>
      </c>
      <c r="IL13" s="126">
        <v>44255</v>
      </c>
      <c r="IM13" s="126">
        <v>44255</v>
      </c>
      <c r="IN13" s="126">
        <v>44255</v>
      </c>
      <c r="IO13" s="126">
        <v>44255</v>
      </c>
      <c r="IP13" s="126">
        <v>44255</v>
      </c>
      <c r="IQ13" s="126">
        <v>44255</v>
      </c>
      <c r="IR13" s="126">
        <v>44255</v>
      </c>
      <c r="IS13" s="126">
        <v>44255</v>
      </c>
      <c r="IT13" s="126">
        <v>44255</v>
      </c>
      <c r="IU13" s="126">
        <v>44255</v>
      </c>
      <c r="IV13" s="126">
        <v>44255</v>
      </c>
      <c r="IW13" s="126">
        <v>44255</v>
      </c>
      <c r="IX13" s="126">
        <v>44255</v>
      </c>
      <c r="IY13" s="126">
        <v>44255</v>
      </c>
      <c r="IZ13" s="126">
        <v>44255</v>
      </c>
      <c r="JA13" s="126">
        <v>44255</v>
      </c>
      <c r="JB13" s="126">
        <v>44255</v>
      </c>
      <c r="JC13" s="126">
        <v>44286</v>
      </c>
      <c r="JD13" s="126">
        <v>44286</v>
      </c>
      <c r="JE13" s="126">
        <v>44286</v>
      </c>
      <c r="JF13" s="126">
        <v>44286</v>
      </c>
      <c r="JG13" s="126">
        <v>44286</v>
      </c>
      <c r="JH13" s="126">
        <v>44286</v>
      </c>
      <c r="JI13" s="126">
        <v>44286</v>
      </c>
      <c r="JJ13" s="126">
        <v>44286</v>
      </c>
      <c r="JK13" s="126">
        <v>44286</v>
      </c>
      <c r="JL13" s="126">
        <v>44286</v>
      </c>
      <c r="JM13" s="126">
        <v>44286</v>
      </c>
      <c r="JN13" s="126">
        <v>44286</v>
      </c>
      <c r="JO13" s="126">
        <v>44286</v>
      </c>
      <c r="JP13" s="126">
        <v>44286</v>
      </c>
      <c r="JQ13" s="126">
        <v>44286</v>
      </c>
      <c r="JR13" s="126">
        <v>44286</v>
      </c>
      <c r="JS13" s="126">
        <v>44286</v>
      </c>
      <c r="JT13" s="126">
        <v>44286</v>
      </c>
      <c r="JU13" s="126">
        <v>44286</v>
      </c>
      <c r="JV13" s="126">
        <v>44286</v>
      </c>
      <c r="JW13" s="126">
        <v>44286</v>
      </c>
      <c r="JX13" s="126">
        <v>44286</v>
      </c>
      <c r="JY13" s="126">
        <v>44286</v>
      </c>
      <c r="JZ13" s="126">
        <v>44286</v>
      </c>
      <c r="KA13" s="126">
        <v>44286</v>
      </c>
      <c r="KB13" s="126">
        <v>44286</v>
      </c>
      <c r="KC13" s="126">
        <v>44286</v>
      </c>
      <c r="KD13" s="126">
        <v>44286</v>
      </c>
      <c r="KE13" s="126">
        <v>44286</v>
      </c>
      <c r="KF13" s="126">
        <v>44286</v>
      </c>
      <c r="KG13" s="126">
        <v>44286</v>
      </c>
      <c r="KH13" s="126">
        <v>44316</v>
      </c>
      <c r="KI13" s="126">
        <v>44316</v>
      </c>
      <c r="KJ13" s="126">
        <v>44316</v>
      </c>
      <c r="KK13" s="126">
        <v>44316</v>
      </c>
      <c r="KL13" s="126">
        <v>44316</v>
      </c>
      <c r="KM13" s="126">
        <v>44316</v>
      </c>
      <c r="KN13" s="126">
        <v>44316</v>
      </c>
      <c r="KO13" s="126">
        <v>44316</v>
      </c>
      <c r="KP13" s="126">
        <v>44316</v>
      </c>
      <c r="KQ13" s="126">
        <v>44316</v>
      </c>
      <c r="KR13" s="126">
        <v>44316</v>
      </c>
      <c r="KS13" s="126">
        <v>44316</v>
      </c>
      <c r="KT13" s="126">
        <v>44316</v>
      </c>
      <c r="KU13" s="126">
        <v>44316</v>
      </c>
      <c r="KV13" s="126">
        <v>44316</v>
      </c>
      <c r="KW13" s="126">
        <v>44316</v>
      </c>
      <c r="KX13" s="126">
        <v>44316</v>
      </c>
      <c r="KY13" s="126">
        <v>44316</v>
      </c>
      <c r="KZ13" s="126">
        <v>44316</v>
      </c>
      <c r="LA13" s="126">
        <v>44316</v>
      </c>
      <c r="LB13" s="126">
        <v>44316</v>
      </c>
      <c r="LC13" s="126">
        <v>44316</v>
      </c>
      <c r="LD13" s="126">
        <v>44316</v>
      </c>
      <c r="LE13" s="126">
        <v>44316</v>
      </c>
      <c r="LF13" s="126">
        <v>44316</v>
      </c>
      <c r="LG13" s="126">
        <v>44316</v>
      </c>
      <c r="LH13" s="126">
        <v>44316</v>
      </c>
      <c r="LI13" s="126">
        <v>44316</v>
      </c>
      <c r="LJ13" s="126">
        <v>44316</v>
      </c>
      <c r="LK13" s="126">
        <v>44316</v>
      </c>
      <c r="LL13" s="126">
        <v>44347</v>
      </c>
      <c r="LM13" s="126">
        <v>44347</v>
      </c>
      <c r="LN13" s="126">
        <v>44347</v>
      </c>
      <c r="LO13" s="126">
        <v>44347</v>
      </c>
      <c r="LP13" s="126">
        <v>44347</v>
      </c>
      <c r="LQ13" s="126">
        <v>44347</v>
      </c>
      <c r="LR13" s="126">
        <v>44347</v>
      </c>
      <c r="LS13" s="126">
        <v>44347</v>
      </c>
      <c r="LT13" s="126">
        <v>44347</v>
      </c>
      <c r="LU13" s="126">
        <v>44347</v>
      </c>
      <c r="LV13" s="126">
        <v>44347</v>
      </c>
      <c r="LW13" s="126">
        <v>44347</v>
      </c>
      <c r="LX13" s="126">
        <v>44347</v>
      </c>
      <c r="LY13" s="126">
        <v>44347</v>
      </c>
      <c r="LZ13" s="126">
        <v>44347</v>
      </c>
      <c r="MA13" s="126">
        <v>44347</v>
      </c>
      <c r="MB13" s="126">
        <v>44347</v>
      </c>
      <c r="MC13" s="126">
        <v>44347</v>
      </c>
      <c r="MD13" s="126">
        <v>44347</v>
      </c>
      <c r="ME13" s="126">
        <v>44347</v>
      </c>
      <c r="MF13" s="126">
        <v>44347</v>
      </c>
      <c r="MG13" s="126">
        <v>44347</v>
      </c>
      <c r="MH13" s="126">
        <v>44347</v>
      </c>
      <c r="MI13" s="126">
        <v>44347</v>
      </c>
      <c r="MJ13" s="126">
        <v>44347</v>
      </c>
      <c r="MK13" s="126">
        <v>44347</v>
      </c>
      <c r="ML13" s="126">
        <v>44347</v>
      </c>
      <c r="MM13" s="126">
        <v>44347</v>
      </c>
      <c r="MN13" s="126">
        <v>44347</v>
      </c>
      <c r="MO13" s="126">
        <v>44347</v>
      </c>
      <c r="MP13" s="126">
        <v>44347</v>
      </c>
      <c r="MQ13" s="126">
        <v>44377</v>
      </c>
      <c r="MR13" s="126">
        <v>44377</v>
      </c>
      <c r="MS13" s="126">
        <v>44377</v>
      </c>
      <c r="MT13" s="126">
        <v>44377</v>
      </c>
      <c r="MU13" s="126">
        <v>44377</v>
      </c>
      <c r="MV13" s="126">
        <v>44377</v>
      </c>
      <c r="MW13" s="126"/>
    </row>
    <row r="14" spans="1:361">
      <c r="E14" s="4" t="s">
        <v>102</v>
      </c>
      <c r="G14" s="4" t="s">
        <v>98</v>
      </c>
      <c r="J14" s="126" cm="1">
        <f t="array" ref="J14:MV14">_xlfn.XLOOKUP(_xlfn.ANCHORARRAY( J11), tbl_GameDates[Date], tbl_GameDates[Date], "n/a", 1 )</f>
        <v>44058</v>
      </c>
      <c r="K14" s="126">
        <v>44058</v>
      </c>
      <c r="L14" s="126">
        <v>44058</v>
      </c>
      <c r="M14" s="126">
        <v>44058</v>
      </c>
      <c r="N14" s="126">
        <v>44058</v>
      </c>
      <c r="O14" s="126">
        <v>44058</v>
      </c>
      <c r="P14" s="126">
        <v>44058</v>
      </c>
      <c r="Q14" s="126">
        <v>44058</v>
      </c>
      <c r="R14" s="126">
        <v>44058</v>
      </c>
      <c r="S14" s="126">
        <v>44058</v>
      </c>
      <c r="T14" s="126">
        <v>44058</v>
      </c>
      <c r="U14" s="126">
        <v>44058</v>
      </c>
      <c r="V14" s="126">
        <v>44058</v>
      </c>
      <c r="W14" s="126">
        <v>44058</v>
      </c>
      <c r="X14" s="126">
        <v>44058</v>
      </c>
      <c r="Y14" s="126">
        <v>44058</v>
      </c>
      <c r="Z14" s="126">
        <v>44058</v>
      </c>
      <c r="AA14" s="126">
        <v>44058</v>
      </c>
      <c r="AB14" s="126">
        <v>44058</v>
      </c>
      <c r="AC14" s="126">
        <v>44058</v>
      </c>
      <c r="AD14" s="126">
        <v>44058</v>
      </c>
      <c r="AE14" s="126">
        <v>44058</v>
      </c>
      <c r="AF14" s="126">
        <v>44058</v>
      </c>
      <c r="AG14" s="126">
        <v>44058</v>
      </c>
      <c r="AH14" s="126">
        <v>44058</v>
      </c>
      <c r="AI14" s="126">
        <v>44058</v>
      </c>
      <c r="AJ14" s="126">
        <v>44058</v>
      </c>
      <c r="AK14" s="126">
        <v>44058</v>
      </c>
      <c r="AL14" s="126">
        <v>44058</v>
      </c>
      <c r="AM14" s="126">
        <v>44058</v>
      </c>
      <c r="AN14" s="126">
        <v>44058</v>
      </c>
      <c r="AO14" s="126">
        <v>44058</v>
      </c>
      <c r="AP14" s="126">
        <v>44058</v>
      </c>
      <c r="AQ14" s="126">
        <v>44058</v>
      </c>
      <c r="AR14" s="126">
        <v>44058</v>
      </c>
      <c r="AS14" s="126">
        <v>44058</v>
      </c>
      <c r="AT14" s="126">
        <v>44058</v>
      </c>
      <c r="AU14" s="126">
        <v>44058</v>
      </c>
      <c r="AV14" s="126">
        <v>44058</v>
      </c>
      <c r="AW14" s="126">
        <v>44058</v>
      </c>
      <c r="AX14" s="126">
        <v>44058</v>
      </c>
      <c r="AY14" s="126">
        <v>44058</v>
      </c>
      <c r="AZ14" s="126">
        <v>44058</v>
      </c>
      <c r="BA14" s="126">
        <v>44058</v>
      </c>
      <c r="BB14" s="126">
        <v>44058</v>
      </c>
      <c r="BC14" s="126">
        <v>44058</v>
      </c>
      <c r="BD14" s="126">
        <v>44058</v>
      </c>
      <c r="BE14" s="126">
        <v>44058</v>
      </c>
      <c r="BF14" s="126">
        <v>44058</v>
      </c>
      <c r="BG14" s="126">
        <v>44058</v>
      </c>
      <c r="BH14" s="126">
        <v>44058</v>
      </c>
      <c r="BI14" s="126">
        <v>44058</v>
      </c>
      <c r="BJ14" s="126">
        <v>44058</v>
      </c>
      <c r="BK14" s="126">
        <v>44058</v>
      </c>
      <c r="BL14" s="126">
        <v>44058</v>
      </c>
      <c r="BM14" s="126">
        <v>44058</v>
      </c>
      <c r="BN14" s="126">
        <v>44065</v>
      </c>
      <c r="BO14" s="126">
        <v>44065</v>
      </c>
      <c r="BP14" s="126">
        <v>44065</v>
      </c>
      <c r="BQ14" s="126">
        <v>44065</v>
      </c>
      <c r="BR14" s="126">
        <v>44065</v>
      </c>
      <c r="BS14" s="126">
        <v>44065</v>
      </c>
      <c r="BT14" s="126">
        <v>44065</v>
      </c>
      <c r="BU14" s="126">
        <v>44072</v>
      </c>
      <c r="BV14" s="126">
        <v>44072</v>
      </c>
      <c r="BW14" s="126">
        <v>44072</v>
      </c>
      <c r="BX14" s="126">
        <v>44072</v>
      </c>
      <c r="BY14" s="126">
        <v>44072</v>
      </c>
      <c r="BZ14" s="126">
        <v>44072</v>
      </c>
      <c r="CA14" s="126">
        <v>44072</v>
      </c>
      <c r="CB14" s="126">
        <v>44079</v>
      </c>
      <c r="CC14" s="126">
        <v>44079</v>
      </c>
      <c r="CD14" s="126">
        <v>44079</v>
      </c>
      <c r="CE14" s="126">
        <v>44079</v>
      </c>
      <c r="CF14" s="126">
        <v>44079</v>
      </c>
      <c r="CG14" s="126">
        <v>44079</v>
      </c>
      <c r="CH14" s="126">
        <v>44079</v>
      </c>
      <c r="CI14" s="126">
        <v>44086</v>
      </c>
      <c r="CJ14" s="126">
        <v>44086</v>
      </c>
      <c r="CK14" s="126">
        <v>44086</v>
      </c>
      <c r="CL14" s="126">
        <v>44086</v>
      </c>
      <c r="CM14" s="126">
        <v>44086</v>
      </c>
      <c r="CN14" s="126">
        <v>44086</v>
      </c>
      <c r="CO14" s="126">
        <v>44086</v>
      </c>
      <c r="CP14" s="126">
        <v>44093</v>
      </c>
      <c r="CQ14" s="126">
        <v>44093</v>
      </c>
      <c r="CR14" s="126">
        <v>44093</v>
      </c>
      <c r="CS14" s="126">
        <v>44093</v>
      </c>
      <c r="CT14" s="126">
        <v>44093</v>
      </c>
      <c r="CU14" s="126">
        <v>44093</v>
      </c>
      <c r="CV14" s="126">
        <v>44093</v>
      </c>
      <c r="CW14" s="126">
        <v>44100</v>
      </c>
      <c r="CX14" s="126">
        <v>44100</v>
      </c>
      <c r="CY14" s="126">
        <v>44100</v>
      </c>
      <c r="CZ14" s="126">
        <v>44100</v>
      </c>
      <c r="DA14" s="126">
        <v>44100</v>
      </c>
      <c r="DB14" s="126">
        <v>44100</v>
      </c>
      <c r="DC14" s="126">
        <v>44100</v>
      </c>
      <c r="DD14" s="126">
        <v>44107</v>
      </c>
      <c r="DE14" s="126">
        <v>44107</v>
      </c>
      <c r="DF14" s="126">
        <v>44107</v>
      </c>
      <c r="DG14" s="126">
        <v>44107</v>
      </c>
      <c r="DH14" s="126">
        <v>44107</v>
      </c>
      <c r="DI14" s="126">
        <v>44107</v>
      </c>
      <c r="DJ14" s="126">
        <v>44107</v>
      </c>
      <c r="DK14" s="126">
        <v>44114</v>
      </c>
      <c r="DL14" s="126">
        <v>44114</v>
      </c>
      <c r="DM14" s="126">
        <v>44114</v>
      </c>
      <c r="DN14" s="126">
        <v>44114</v>
      </c>
      <c r="DO14" s="126">
        <v>44114</v>
      </c>
      <c r="DP14" s="126">
        <v>44114</v>
      </c>
      <c r="DQ14" s="126">
        <v>44114</v>
      </c>
      <c r="DR14" s="126">
        <v>44121</v>
      </c>
      <c r="DS14" s="126">
        <v>44121</v>
      </c>
      <c r="DT14" s="126">
        <v>44121</v>
      </c>
      <c r="DU14" s="126">
        <v>44121</v>
      </c>
      <c r="DV14" s="126">
        <v>44121</v>
      </c>
      <c r="DW14" s="126">
        <v>44121</v>
      </c>
      <c r="DX14" s="126">
        <v>44121</v>
      </c>
      <c r="DY14" s="126">
        <v>44128</v>
      </c>
      <c r="DZ14" s="126">
        <v>44128</v>
      </c>
      <c r="EA14" s="126">
        <v>44128</v>
      </c>
      <c r="EB14" s="126">
        <v>44128</v>
      </c>
      <c r="EC14" s="126">
        <v>44128</v>
      </c>
      <c r="ED14" s="126">
        <v>44128</v>
      </c>
      <c r="EE14" s="126">
        <v>44128</v>
      </c>
      <c r="EF14" s="126">
        <v>44135</v>
      </c>
      <c r="EG14" s="126">
        <v>44135</v>
      </c>
      <c r="EH14" s="126">
        <v>44135</v>
      </c>
      <c r="EI14" s="126">
        <v>44135</v>
      </c>
      <c r="EJ14" s="126">
        <v>44135</v>
      </c>
      <c r="EK14" s="126">
        <v>44135</v>
      </c>
      <c r="EL14" s="126">
        <v>44135</v>
      </c>
      <c r="EM14" s="126">
        <v>44142</v>
      </c>
      <c r="EN14" s="126">
        <v>44142</v>
      </c>
      <c r="EO14" s="126">
        <v>44142</v>
      </c>
      <c r="EP14" s="126">
        <v>44142</v>
      </c>
      <c r="EQ14" s="126">
        <v>44142</v>
      </c>
      <c r="ER14" s="126">
        <v>44142</v>
      </c>
      <c r="ES14" s="126">
        <v>44142</v>
      </c>
      <c r="ET14" s="126">
        <v>44149</v>
      </c>
      <c r="EU14" s="126">
        <v>44149</v>
      </c>
      <c r="EV14" s="126">
        <v>44149</v>
      </c>
      <c r="EW14" s="126">
        <v>44149</v>
      </c>
      <c r="EX14" s="126">
        <v>44149</v>
      </c>
      <c r="EY14" s="126">
        <v>44149</v>
      </c>
      <c r="EZ14" s="126">
        <v>44149</v>
      </c>
      <c r="FA14" s="126">
        <v>44156</v>
      </c>
      <c r="FB14" s="126">
        <v>44156</v>
      </c>
      <c r="FC14" s="126">
        <v>44156</v>
      </c>
      <c r="FD14" s="126">
        <v>44156</v>
      </c>
      <c r="FE14" s="126">
        <v>44156</v>
      </c>
      <c r="FF14" s="126">
        <v>44156</v>
      </c>
      <c r="FG14" s="126">
        <v>44156</v>
      </c>
      <c r="FH14" s="126">
        <v>44163</v>
      </c>
      <c r="FI14" s="126">
        <v>44163</v>
      </c>
      <c r="FJ14" s="126">
        <v>44163</v>
      </c>
      <c r="FK14" s="126">
        <v>44163</v>
      </c>
      <c r="FL14" s="126">
        <v>44163</v>
      </c>
      <c r="FM14" s="126">
        <v>44163</v>
      </c>
      <c r="FN14" s="126">
        <v>44163</v>
      </c>
      <c r="FO14" s="126">
        <v>44170</v>
      </c>
      <c r="FP14" s="126">
        <v>44170</v>
      </c>
      <c r="FQ14" s="126">
        <v>44170</v>
      </c>
      <c r="FR14" s="126">
        <v>44170</v>
      </c>
      <c r="FS14" s="126">
        <v>44170</v>
      </c>
      <c r="FT14" s="126">
        <v>44170</v>
      </c>
      <c r="FU14" s="126">
        <v>44170</v>
      </c>
      <c r="FV14" s="126">
        <v>44177</v>
      </c>
      <c r="FW14" s="126">
        <v>44177</v>
      </c>
      <c r="FX14" s="126">
        <v>44177</v>
      </c>
      <c r="FY14" s="126">
        <v>44177</v>
      </c>
      <c r="FZ14" s="126">
        <v>44177</v>
      </c>
      <c r="GA14" s="126">
        <v>44177</v>
      </c>
      <c r="GB14" s="126">
        <v>44177</v>
      </c>
      <c r="GC14" s="126">
        <v>44198</v>
      </c>
      <c r="GD14" s="126">
        <v>44198</v>
      </c>
      <c r="GE14" s="126">
        <v>44198</v>
      </c>
      <c r="GF14" s="126">
        <v>44198</v>
      </c>
      <c r="GG14" s="126">
        <v>44198</v>
      </c>
      <c r="GH14" s="126">
        <v>44198</v>
      </c>
      <c r="GI14" s="126">
        <v>44198</v>
      </c>
      <c r="GJ14" s="126">
        <v>44198</v>
      </c>
      <c r="GK14" s="126">
        <v>44198</v>
      </c>
      <c r="GL14" s="126">
        <v>44198</v>
      </c>
      <c r="GM14" s="126">
        <v>44198</v>
      </c>
      <c r="GN14" s="126">
        <v>44198</v>
      </c>
      <c r="GO14" s="126">
        <v>44198</v>
      </c>
      <c r="GP14" s="126">
        <v>44198</v>
      </c>
      <c r="GQ14" s="126">
        <v>44198</v>
      </c>
      <c r="GR14" s="126">
        <v>44198</v>
      </c>
      <c r="GS14" s="126">
        <v>44198</v>
      </c>
      <c r="GT14" s="126">
        <v>44198</v>
      </c>
      <c r="GU14" s="126">
        <v>44198</v>
      </c>
      <c r="GV14" s="126">
        <v>44198</v>
      </c>
      <c r="GW14" s="126">
        <v>44198</v>
      </c>
      <c r="GX14" s="126">
        <v>44205</v>
      </c>
      <c r="GY14" s="126">
        <v>44205</v>
      </c>
      <c r="GZ14" s="126">
        <v>44205</v>
      </c>
      <c r="HA14" s="126">
        <v>44205</v>
      </c>
      <c r="HB14" s="126">
        <v>44205</v>
      </c>
      <c r="HC14" s="126">
        <v>44205</v>
      </c>
      <c r="HD14" s="126">
        <v>44205</v>
      </c>
      <c r="HE14" s="126">
        <v>44212</v>
      </c>
      <c r="HF14" s="126">
        <v>44212</v>
      </c>
      <c r="HG14" s="126">
        <v>44212</v>
      </c>
      <c r="HH14" s="126">
        <v>44212</v>
      </c>
      <c r="HI14" s="126">
        <v>44212</v>
      </c>
      <c r="HJ14" s="126">
        <v>44212</v>
      </c>
      <c r="HK14" s="126">
        <v>44212</v>
      </c>
      <c r="HL14" s="126">
        <v>44219</v>
      </c>
      <c r="HM14" s="126">
        <v>44219</v>
      </c>
      <c r="HN14" s="126">
        <v>44219</v>
      </c>
      <c r="HO14" s="126">
        <v>44219</v>
      </c>
      <c r="HP14" s="126">
        <v>44219</v>
      </c>
      <c r="HQ14" s="126">
        <v>44219</v>
      </c>
      <c r="HR14" s="126">
        <v>44219</v>
      </c>
      <c r="HS14" s="126">
        <v>44226</v>
      </c>
      <c r="HT14" s="126">
        <v>44226</v>
      </c>
      <c r="HU14" s="126">
        <v>44226</v>
      </c>
      <c r="HV14" s="126">
        <v>44226</v>
      </c>
      <c r="HW14" s="126">
        <v>44226</v>
      </c>
      <c r="HX14" s="126">
        <v>44226</v>
      </c>
      <c r="HY14" s="126">
        <v>44226</v>
      </c>
      <c r="HZ14" s="126">
        <v>44233</v>
      </c>
      <c r="IA14" s="126">
        <v>44233</v>
      </c>
      <c r="IB14" s="126">
        <v>44233</v>
      </c>
      <c r="IC14" s="126">
        <v>44233</v>
      </c>
      <c r="ID14" s="126">
        <v>44233</v>
      </c>
      <c r="IE14" s="126">
        <v>44233</v>
      </c>
      <c r="IF14" s="126">
        <v>44233</v>
      </c>
      <c r="IG14" s="126">
        <v>44240</v>
      </c>
      <c r="IH14" s="126">
        <v>44240</v>
      </c>
      <c r="II14" s="126">
        <v>44240</v>
      </c>
      <c r="IJ14" s="126">
        <v>44240</v>
      </c>
      <c r="IK14" s="126">
        <v>44240</v>
      </c>
      <c r="IL14" s="126">
        <v>44240</v>
      </c>
      <c r="IM14" s="126">
        <v>44240</v>
      </c>
      <c r="IN14" s="126">
        <v>44247</v>
      </c>
      <c r="IO14" s="126">
        <v>44247</v>
      </c>
      <c r="IP14" s="126">
        <v>44247</v>
      </c>
      <c r="IQ14" s="126">
        <v>44247</v>
      </c>
      <c r="IR14" s="126">
        <v>44247</v>
      </c>
      <c r="IS14" s="126">
        <v>44247</v>
      </c>
      <c r="IT14" s="126">
        <v>44247</v>
      </c>
      <c r="IU14" s="126">
        <v>44254</v>
      </c>
      <c r="IV14" s="126">
        <v>44254</v>
      </c>
      <c r="IW14" s="126">
        <v>44254</v>
      </c>
      <c r="IX14" s="126">
        <v>44254</v>
      </c>
      <c r="IY14" s="126">
        <v>44254</v>
      </c>
      <c r="IZ14" s="126">
        <v>44254</v>
      </c>
      <c r="JA14" s="126">
        <v>44254</v>
      </c>
      <c r="JB14" s="126">
        <v>44261</v>
      </c>
      <c r="JC14" s="126">
        <v>44261</v>
      </c>
      <c r="JD14" s="126">
        <v>44261</v>
      </c>
      <c r="JE14" s="126">
        <v>44261</v>
      </c>
      <c r="JF14" s="126">
        <v>44261</v>
      </c>
      <c r="JG14" s="126">
        <v>44261</v>
      </c>
      <c r="JH14" s="126">
        <v>44261</v>
      </c>
      <c r="JI14" s="126">
        <v>44268</v>
      </c>
      <c r="JJ14" s="126">
        <v>44268</v>
      </c>
      <c r="JK14" s="126">
        <v>44268</v>
      </c>
      <c r="JL14" s="126">
        <v>44268</v>
      </c>
      <c r="JM14" s="126">
        <v>44268</v>
      </c>
      <c r="JN14" s="126">
        <v>44268</v>
      </c>
      <c r="JO14" s="126">
        <v>44268</v>
      </c>
      <c r="JP14" s="126">
        <v>44275</v>
      </c>
      <c r="JQ14" s="126">
        <v>44275</v>
      </c>
      <c r="JR14" s="126">
        <v>44275</v>
      </c>
      <c r="JS14" s="126">
        <v>44275</v>
      </c>
      <c r="JT14" s="126">
        <v>44275</v>
      </c>
      <c r="JU14" s="126">
        <v>44275</v>
      </c>
      <c r="JV14" s="126">
        <v>44275</v>
      </c>
      <c r="JW14" s="126">
        <v>44282</v>
      </c>
      <c r="JX14" s="126">
        <v>44282</v>
      </c>
      <c r="JY14" s="126">
        <v>44282</v>
      </c>
      <c r="JZ14" s="126">
        <v>44282</v>
      </c>
      <c r="KA14" s="126">
        <v>44282</v>
      </c>
      <c r="KB14" s="126">
        <v>44282</v>
      </c>
      <c r="KC14" s="126">
        <v>44282</v>
      </c>
      <c r="KD14" s="126">
        <v>44289</v>
      </c>
      <c r="KE14" s="126">
        <v>44289</v>
      </c>
      <c r="KF14" s="126">
        <v>44289</v>
      </c>
      <c r="KG14" s="126">
        <v>44289</v>
      </c>
      <c r="KH14" s="126">
        <v>44289</v>
      </c>
      <c r="KI14" s="126">
        <v>44289</v>
      </c>
      <c r="KJ14" s="126">
        <v>44289</v>
      </c>
      <c r="KK14" s="126">
        <v>44296</v>
      </c>
      <c r="KL14" s="126">
        <v>44296</v>
      </c>
      <c r="KM14" s="126">
        <v>44296</v>
      </c>
      <c r="KN14" s="126">
        <v>44296</v>
      </c>
      <c r="KO14" s="126">
        <v>44296</v>
      </c>
      <c r="KP14" s="126">
        <v>44296</v>
      </c>
      <c r="KQ14" s="126">
        <v>44296</v>
      </c>
      <c r="KR14" s="126">
        <v>44303</v>
      </c>
      <c r="KS14" s="126">
        <v>44303</v>
      </c>
      <c r="KT14" s="126">
        <v>44303</v>
      </c>
      <c r="KU14" s="126">
        <v>44303</v>
      </c>
      <c r="KV14" s="126">
        <v>44303</v>
      </c>
      <c r="KW14" s="126">
        <v>44303</v>
      </c>
      <c r="KX14" s="126">
        <v>44303</v>
      </c>
      <c r="KY14" s="126">
        <v>44310</v>
      </c>
      <c r="KZ14" s="126">
        <v>44310</v>
      </c>
      <c r="LA14" s="126">
        <v>44310</v>
      </c>
      <c r="LB14" s="126">
        <v>44310</v>
      </c>
      <c r="LC14" s="126">
        <v>44310</v>
      </c>
      <c r="LD14" s="126">
        <v>44310</v>
      </c>
      <c r="LE14" s="126">
        <v>44310</v>
      </c>
      <c r="LF14" s="126">
        <v>44317</v>
      </c>
      <c r="LG14" s="126">
        <v>44317</v>
      </c>
      <c r="LH14" s="126">
        <v>44317</v>
      </c>
      <c r="LI14" s="126">
        <v>44317</v>
      </c>
      <c r="LJ14" s="126">
        <v>44317</v>
      </c>
      <c r="LK14" s="126">
        <v>44317</v>
      </c>
      <c r="LL14" s="126">
        <v>44317</v>
      </c>
      <c r="LM14" s="126">
        <v>44324</v>
      </c>
      <c r="LN14" s="126">
        <v>44324</v>
      </c>
      <c r="LO14" s="126">
        <v>44324</v>
      </c>
      <c r="LP14" s="126">
        <v>44324</v>
      </c>
      <c r="LQ14" s="126">
        <v>44324</v>
      </c>
      <c r="LR14" s="126">
        <v>44324</v>
      </c>
      <c r="LS14" s="126">
        <v>44324</v>
      </c>
      <c r="LT14" s="126">
        <v>44331</v>
      </c>
      <c r="LU14" s="126">
        <v>44331</v>
      </c>
      <c r="LV14" s="126">
        <v>44331</v>
      </c>
      <c r="LW14" s="126">
        <v>44331</v>
      </c>
      <c r="LX14" s="126">
        <v>44331</v>
      </c>
      <c r="LY14" s="126">
        <v>44331</v>
      </c>
      <c r="LZ14" s="126">
        <v>44331</v>
      </c>
      <c r="MA14" s="126">
        <v>44338</v>
      </c>
      <c r="MB14" s="126">
        <v>44338</v>
      </c>
      <c r="MC14" s="126">
        <v>44338</v>
      </c>
      <c r="MD14" s="126">
        <v>44338</v>
      </c>
      <c r="ME14" s="126">
        <v>44338</v>
      </c>
      <c r="MF14" s="126">
        <v>44338</v>
      </c>
      <c r="MG14" s="126">
        <v>44338</v>
      </c>
      <c r="MH14" s="126">
        <v>44352</v>
      </c>
      <c r="MI14" s="126">
        <v>44352</v>
      </c>
      <c r="MJ14" s="126">
        <v>44352</v>
      </c>
      <c r="MK14" s="126">
        <v>44352</v>
      </c>
      <c r="ML14" s="126">
        <v>44352</v>
      </c>
      <c r="MM14" s="126">
        <v>44352</v>
      </c>
      <c r="MN14" s="126">
        <v>44352</v>
      </c>
      <c r="MO14" s="126">
        <v>44352</v>
      </c>
      <c r="MP14" s="126">
        <v>44352</v>
      </c>
      <c r="MQ14" s="126">
        <v>44352</v>
      </c>
      <c r="MR14" s="126">
        <v>44352</v>
      </c>
      <c r="MS14" s="126">
        <v>44352</v>
      </c>
      <c r="MT14" s="126">
        <v>44352</v>
      </c>
      <c r="MU14" s="126">
        <v>44352</v>
      </c>
      <c r="MV14" s="126" t="str">
        <v>n/a</v>
      </c>
      <c r="MW14" s="127"/>
    </row>
    <row r="15" spans="1:361">
      <c r="E15" s="4" t="s">
        <v>103</v>
      </c>
      <c r="G15" s="4" t="s">
        <v>100</v>
      </c>
      <c r="J15" s="4" cm="1">
        <f t="array" ref="J15:MV15" xml:space="preserve"> IFERROR(_xlfn.ANCHORARRAY( J14) -_xlfn.ANCHORARRAY( J11), "n/a" )</f>
        <v>55</v>
      </c>
      <c r="K15" s="4">
        <v>54</v>
      </c>
      <c r="L15" s="4">
        <v>53</v>
      </c>
      <c r="M15" s="4">
        <v>52</v>
      </c>
      <c r="N15" s="4">
        <v>51</v>
      </c>
      <c r="O15" s="4">
        <v>50</v>
      </c>
      <c r="P15" s="4">
        <v>49</v>
      </c>
      <c r="Q15" s="4">
        <v>48</v>
      </c>
      <c r="R15" s="4">
        <v>47</v>
      </c>
      <c r="S15" s="4">
        <v>46</v>
      </c>
      <c r="T15" s="4">
        <v>45</v>
      </c>
      <c r="U15" s="4">
        <v>44</v>
      </c>
      <c r="V15" s="4">
        <v>43</v>
      </c>
      <c r="W15" s="4">
        <v>42</v>
      </c>
      <c r="X15" s="4">
        <v>41</v>
      </c>
      <c r="Y15" s="4">
        <v>40</v>
      </c>
      <c r="Z15" s="4">
        <v>39</v>
      </c>
      <c r="AA15" s="4">
        <v>38</v>
      </c>
      <c r="AB15" s="4">
        <v>37</v>
      </c>
      <c r="AC15" s="4">
        <v>36</v>
      </c>
      <c r="AD15" s="4">
        <v>35</v>
      </c>
      <c r="AE15" s="4">
        <v>34</v>
      </c>
      <c r="AF15" s="4">
        <v>33</v>
      </c>
      <c r="AG15" s="4">
        <v>32</v>
      </c>
      <c r="AH15" s="4">
        <v>31</v>
      </c>
      <c r="AI15" s="4">
        <v>30</v>
      </c>
      <c r="AJ15" s="4">
        <v>29</v>
      </c>
      <c r="AK15" s="4">
        <v>28</v>
      </c>
      <c r="AL15" s="4">
        <v>27</v>
      </c>
      <c r="AM15" s="4">
        <v>26</v>
      </c>
      <c r="AN15" s="4">
        <v>25</v>
      </c>
      <c r="AO15" s="4">
        <v>24</v>
      </c>
      <c r="AP15" s="4">
        <v>23</v>
      </c>
      <c r="AQ15" s="4">
        <v>22</v>
      </c>
      <c r="AR15" s="4">
        <v>21</v>
      </c>
      <c r="AS15" s="4">
        <v>20</v>
      </c>
      <c r="AT15" s="4">
        <v>19</v>
      </c>
      <c r="AU15" s="4">
        <v>18</v>
      </c>
      <c r="AV15" s="4">
        <v>17</v>
      </c>
      <c r="AW15" s="4">
        <v>16</v>
      </c>
      <c r="AX15" s="4">
        <v>15</v>
      </c>
      <c r="AY15" s="4">
        <v>14</v>
      </c>
      <c r="AZ15" s="4">
        <v>13</v>
      </c>
      <c r="BA15" s="4">
        <v>12</v>
      </c>
      <c r="BB15" s="4">
        <v>11</v>
      </c>
      <c r="BC15" s="4">
        <v>10</v>
      </c>
      <c r="BD15" s="4">
        <v>9</v>
      </c>
      <c r="BE15" s="4">
        <v>8</v>
      </c>
      <c r="BF15" s="4">
        <v>7</v>
      </c>
      <c r="BG15" s="4">
        <v>6</v>
      </c>
      <c r="BH15" s="4">
        <v>5</v>
      </c>
      <c r="BI15" s="4">
        <v>4</v>
      </c>
      <c r="BJ15" s="4">
        <v>3</v>
      </c>
      <c r="BK15" s="4">
        <v>2</v>
      </c>
      <c r="BL15" s="4">
        <v>1</v>
      </c>
      <c r="BM15" s="4">
        <v>0</v>
      </c>
      <c r="BN15" s="4">
        <v>6</v>
      </c>
      <c r="BO15" s="4">
        <v>5</v>
      </c>
      <c r="BP15" s="4">
        <v>4</v>
      </c>
      <c r="BQ15" s="4">
        <v>3</v>
      </c>
      <c r="BR15" s="4">
        <v>2</v>
      </c>
      <c r="BS15" s="4">
        <v>1</v>
      </c>
      <c r="BT15" s="4">
        <v>0</v>
      </c>
      <c r="BU15" s="4">
        <v>6</v>
      </c>
      <c r="BV15" s="4">
        <v>5</v>
      </c>
      <c r="BW15" s="4">
        <v>4</v>
      </c>
      <c r="BX15" s="4">
        <v>3</v>
      </c>
      <c r="BY15" s="4">
        <v>2</v>
      </c>
      <c r="BZ15" s="4">
        <v>1</v>
      </c>
      <c r="CA15" s="4">
        <v>0</v>
      </c>
      <c r="CB15" s="4">
        <v>6</v>
      </c>
      <c r="CC15" s="4">
        <v>5</v>
      </c>
      <c r="CD15" s="4">
        <v>4</v>
      </c>
      <c r="CE15" s="4">
        <v>3</v>
      </c>
      <c r="CF15" s="4">
        <v>2</v>
      </c>
      <c r="CG15" s="4">
        <v>1</v>
      </c>
      <c r="CH15" s="4">
        <v>0</v>
      </c>
      <c r="CI15" s="4">
        <v>6</v>
      </c>
      <c r="CJ15" s="4">
        <v>5</v>
      </c>
      <c r="CK15" s="4">
        <v>4</v>
      </c>
      <c r="CL15" s="4">
        <v>3</v>
      </c>
      <c r="CM15" s="4">
        <v>2</v>
      </c>
      <c r="CN15" s="4">
        <v>1</v>
      </c>
      <c r="CO15" s="4">
        <v>0</v>
      </c>
      <c r="CP15" s="4">
        <v>6</v>
      </c>
      <c r="CQ15" s="4">
        <v>5</v>
      </c>
      <c r="CR15" s="4">
        <v>4</v>
      </c>
      <c r="CS15" s="4">
        <v>3</v>
      </c>
      <c r="CT15" s="4">
        <v>2</v>
      </c>
      <c r="CU15" s="4">
        <v>1</v>
      </c>
      <c r="CV15" s="4">
        <v>0</v>
      </c>
      <c r="CW15" s="4">
        <v>6</v>
      </c>
      <c r="CX15" s="4">
        <v>5</v>
      </c>
      <c r="CY15" s="4">
        <v>4</v>
      </c>
      <c r="CZ15" s="4">
        <v>3</v>
      </c>
      <c r="DA15" s="4">
        <v>2</v>
      </c>
      <c r="DB15" s="4">
        <v>1</v>
      </c>
      <c r="DC15" s="4">
        <v>0</v>
      </c>
      <c r="DD15" s="4">
        <v>6</v>
      </c>
      <c r="DE15" s="4">
        <v>5</v>
      </c>
      <c r="DF15" s="4">
        <v>4</v>
      </c>
      <c r="DG15" s="4">
        <v>3</v>
      </c>
      <c r="DH15" s="4">
        <v>2</v>
      </c>
      <c r="DI15" s="4">
        <v>1</v>
      </c>
      <c r="DJ15" s="4">
        <v>0</v>
      </c>
      <c r="DK15" s="4">
        <v>6</v>
      </c>
      <c r="DL15" s="4">
        <v>5</v>
      </c>
      <c r="DM15" s="4">
        <v>4</v>
      </c>
      <c r="DN15" s="4">
        <v>3</v>
      </c>
      <c r="DO15" s="4">
        <v>2</v>
      </c>
      <c r="DP15" s="4">
        <v>1</v>
      </c>
      <c r="DQ15" s="4">
        <v>0</v>
      </c>
      <c r="DR15" s="4">
        <v>6</v>
      </c>
      <c r="DS15" s="4">
        <v>5</v>
      </c>
      <c r="DT15" s="4">
        <v>4</v>
      </c>
      <c r="DU15" s="4">
        <v>3</v>
      </c>
      <c r="DV15" s="4">
        <v>2</v>
      </c>
      <c r="DW15" s="4">
        <v>1</v>
      </c>
      <c r="DX15" s="4">
        <v>0</v>
      </c>
      <c r="DY15" s="4">
        <v>6</v>
      </c>
      <c r="DZ15" s="4">
        <v>5</v>
      </c>
      <c r="EA15" s="4">
        <v>4</v>
      </c>
      <c r="EB15" s="4">
        <v>3</v>
      </c>
      <c r="EC15" s="4">
        <v>2</v>
      </c>
      <c r="ED15" s="4">
        <v>1</v>
      </c>
      <c r="EE15" s="4">
        <v>0</v>
      </c>
      <c r="EF15" s="4">
        <v>6</v>
      </c>
      <c r="EG15" s="4">
        <v>5</v>
      </c>
      <c r="EH15" s="4">
        <v>4</v>
      </c>
      <c r="EI15" s="4">
        <v>3</v>
      </c>
      <c r="EJ15" s="4">
        <v>2</v>
      </c>
      <c r="EK15" s="4">
        <v>1</v>
      </c>
      <c r="EL15" s="4">
        <v>0</v>
      </c>
      <c r="EM15" s="4">
        <v>6</v>
      </c>
      <c r="EN15" s="4">
        <v>5</v>
      </c>
      <c r="EO15" s="4">
        <v>4</v>
      </c>
      <c r="EP15" s="4">
        <v>3</v>
      </c>
      <c r="EQ15" s="4">
        <v>2</v>
      </c>
      <c r="ER15" s="4">
        <v>1</v>
      </c>
      <c r="ES15" s="4">
        <v>0</v>
      </c>
      <c r="ET15" s="4">
        <v>6</v>
      </c>
      <c r="EU15" s="4">
        <v>5</v>
      </c>
      <c r="EV15" s="4">
        <v>4</v>
      </c>
      <c r="EW15" s="4">
        <v>3</v>
      </c>
      <c r="EX15" s="4">
        <v>2</v>
      </c>
      <c r="EY15" s="4">
        <v>1</v>
      </c>
      <c r="EZ15" s="4">
        <v>0</v>
      </c>
      <c r="FA15" s="4">
        <v>6</v>
      </c>
      <c r="FB15" s="4">
        <v>5</v>
      </c>
      <c r="FC15" s="4">
        <v>4</v>
      </c>
      <c r="FD15" s="4">
        <v>3</v>
      </c>
      <c r="FE15" s="4">
        <v>2</v>
      </c>
      <c r="FF15" s="4">
        <v>1</v>
      </c>
      <c r="FG15" s="4">
        <v>0</v>
      </c>
      <c r="FH15" s="4">
        <v>6</v>
      </c>
      <c r="FI15" s="4">
        <v>5</v>
      </c>
      <c r="FJ15" s="4">
        <v>4</v>
      </c>
      <c r="FK15" s="4">
        <v>3</v>
      </c>
      <c r="FL15" s="4">
        <v>2</v>
      </c>
      <c r="FM15" s="4">
        <v>1</v>
      </c>
      <c r="FN15" s="4">
        <v>0</v>
      </c>
      <c r="FO15" s="4">
        <v>6</v>
      </c>
      <c r="FP15" s="4">
        <v>5</v>
      </c>
      <c r="FQ15" s="4">
        <v>4</v>
      </c>
      <c r="FR15" s="4">
        <v>3</v>
      </c>
      <c r="FS15" s="4">
        <v>2</v>
      </c>
      <c r="FT15" s="4">
        <v>1</v>
      </c>
      <c r="FU15" s="4">
        <v>0</v>
      </c>
      <c r="FV15" s="4">
        <v>6</v>
      </c>
      <c r="FW15" s="4">
        <v>5</v>
      </c>
      <c r="FX15" s="4">
        <v>4</v>
      </c>
      <c r="FY15" s="4">
        <v>3</v>
      </c>
      <c r="FZ15" s="4">
        <v>2</v>
      </c>
      <c r="GA15" s="4">
        <v>1</v>
      </c>
      <c r="GB15" s="4">
        <v>0</v>
      </c>
      <c r="GC15" s="4">
        <v>20</v>
      </c>
      <c r="GD15" s="4">
        <v>19</v>
      </c>
      <c r="GE15" s="4">
        <v>18</v>
      </c>
      <c r="GF15" s="4">
        <v>17</v>
      </c>
      <c r="GG15" s="4">
        <v>16</v>
      </c>
      <c r="GH15" s="4">
        <v>15</v>
      </c>
      <c r="GI15" s="4">
        <v>14</v>
      </c>
      <c r="GJ15" s="4">
        <v>13</v>
      </c>
      <c r="GK15" s="4">
        <v>12</v>
      </c>
      <c r="GL15" s="4">
        <v>11</v>
      </c>
      <c r="GM15" s="4">
        <v>10</v>
      </c>
      <c r="GN15" s="4">
        <v>9</v>
      </c>
      <c r="GO15" s="4">
        <v>8</v>
      </c>
      <c r="GP15" s="4">
        <v>7</v>
      </c>
      <c r="GQ15" s="4">
        <v>6</v>
      </c>
      <c r="GR15" s="4">
        <v>5</v>
      </c>
      <c r="GS15" s="4">
        <v>4</v>
      </c>
      <c r="GT15" s="4">
        <v>3</v>
      </c>
      <c r="GU15" s="4">
        <v>2</v>
      </c>
      <c r="GV15" s="4">
        <v>1</v>
      </c>
      <c r="GW15" s="4">
        <v>0</v>
      </c>
      <c r="GX15" s="4">
        <v>6</v>
      </c>
      <c r="GY15" s="4">
        <v>5</v>
      </c>
      <c r="GZ15" s="4">
        <v>4</v>
      </c>
      <c r="HA15" s="4">
        <v>3</v>
      </c>
      <c r="HB15" s="4">
        <v>2</v>
      </c>
      <c r="HC15" s="4">
        <v>1</v>
      </c>
      <c r="HD15" s="4">
        <v>0</v>
      </c>
      <c r="HE15" s="4">
        <v>6</v>
      </c>
      <c r="HF15" s="4">
        <v>5</v>
      </c>
      <c r="HG15" s="4">
        <v>4</v>
      </c>
      <c r="HH15" s="4">
        <v>3</v>
      </c>
      <c r="HI15" s="4">
        <v>2</v>
      </c>
      <c r="HJ15" s="4">
        <v>1</v>
      </c>
      <c r="HK15" s="4">
        <v>0</v>
      </c>
      <c r="HL15" s="4">
        <v>6</v>
      </c>
      <c r="HM15" s="4">
        <v>5</v>
      </c>
      <c r="HN15" s="4">
        <v>4</v>
      </c>
      <c r="HO15" s="4">
        <v>3</v>
      </c>
      <c r="HP15" s="4">
        <v>2</v>
      </c>
      <c r="HQ15" s="4">
        <v>1</v>
      </c>
      <c r="HR15" s="4">
        <v>0</v>
      </c>
      <c r="HS15" s="4">
        <v>6</v>
      </c>
      <c r="HT15" s="4">
        <v>5</v>
      </c>
      <c r="HU15" s="4">
        <v>4</v>
      </c>
      <c r="HV15" s="4">
        <v>3</v>
      </c>
      <c r="HW15" s="4">
        <v>2</v>
      </c>
      <c r="HX15" s="4">
        <v>1</v>
      </c>
      <c r="HY15" s="4">
        <v>0</v>
      </c>
      <c r="HZ15" s="4">
        <v>6</v>
      </c>
      <c r="IA15" s="4">
        <v>5</v>
      </c>
      <c r="IB15" s="4">
        <v>4</v>
      </c>
      <c r="IC15" s="4">
        <v>3</v>
      </c>
      <c r="ID15" s="4">
        <v>2</v>
      </c>
      <c r="IE15" s="4">
        <v>1</v>
      </c>
      <c r="IF15" s="4">
        <v>0</v>
      </c>
      <c r="IG15" s="4">
        <v>6</v>
      </c>
      <c r="IH15" s="4">
        <v>5</v>
      </c>
      <c r="II15" s="4">
        <v>4</v>
      </c>
      <c r="IJ15" s="4">
        <v>3</v>
      </c>
      <c r="IK15" s="4">
        <v>2</v>
      </c>
      <c r="IL15" s="4">
        <v>1</v>
      </c>
      <c r="IM15" s="4">
        <v>0</v>
      </c>
      <c r="IN15" s="4">
        <v>6</v>
      </c>
      <c r="IO15" s="4">
        <v>5</v>
      </c>
      <c r="IP15" s="4">
        <v>4</v>
      </c>
      <c r="IQ15" s="4">
        <v>3</v>
      </c>
      <c r="IR15" s="4">
        <v>2</v>
      </c>
      <c r="IS15" s="4">
        <v>1</v>
      </c>
      <c r="IT15" s="4">
        <v>0</v>
      </c>
      <c r="IU15" s="4">
        <v>6</v>
      </c>
      <c r="IV15" s="4">
        <v>5</v>
      </c>
      <c r="IW15" s="4">
        <v>4</v>
      </c>
      <c r="IX15" s="4">
        <v>3</v>
      </c>
      <c r="IY15" s="4">
        <v>2</v>
      </c>
      <c r="IZ15" s="4">
        <v>1</v>
      </c>
      <c r="JA15" s="4">
        <v>0</v>
      </c>
      <c r="JB15" s="4">
        <v>6</v>
      </c>
      <c r="JC15" s="4">
        <v>5</v>
      </c>
      <c r="JD15" s="4">
        <v>4</v>
      </c>
      <c r="JE15" s="4">
        <v>3</v>
      </c>
      <c r="JF15" s="4">
        <v>2</v>
      </c>
      <c r="JG15" s="4">
        <v>1</v>
      </c>
      <c r="JH15" s="4">
        <v>0</v>
      </c>
      <c r="JI15" s="4">
        <v>6</v>
      </c>
      <c r="JJ15" s="4">
        <v>5</v>
      </c>
      <c r="JK15" s="4">
        <v>4</v>
      </c>
      <c r="JL15" s="4">
        <v>3</v>
      </c>
      <c r="JM15" s="4">
        <v>2</v>
      </c>
      <c r="JN15" s="4">
        <v>1</v>
      </c>
      <c r="JO15" s="4">
        <v>0</v>
      </c>
      <c r="JP15" s="4">
        <v>6</v>
      </c>
      <c r="JQ15" s="4">
        <v>5</v>
      </c>
      <c r="JR15" s="4">
        <v>4</v>
      </c>
      <c r="JS15" s="4">
        <v>3</v>
      </c>
      <c r="JT15" s="4">
        <v>2</v>
      </c>
      <c r="JU15" s="4">
        <v>1</v>
      </c>
      <c r="JV15" s="4">
        <v>0</v>
      </c>
      <c r="JW15" s="4">
        <v>6</v>
      </c>
      <c r="JX15" s="4">
        <v>5</v>
      </c>
      <c r="JY15" s="4">
        <v>4</v>
      </c>
      <c r="JZ15" s="4">
        <v>3</v>
      </c>
      <c r="KA15" s="4">
        <v>2</v>
      </c>
      <c r="KB15" s="4">
        <v>1</v>
      </c>
      <c r="KC15" s="4">
        <v>0</v>
      </c>
      <c r="KD15" s="4">
        <v>6</v>
      </c>
      <c r="KE15" s="4">
        <v>5</v>
      </c>
      <c r="KF15" s="4">
        <v>4</v>
      </c>
      <c r="KG15" s="4">
        <v>3</v>
      </c>
      <c r="KH15" s="4">
        <v>2</v>
      </c>
      <c r="KI15" s="4">
        <v>1</v>
      </c>
      <c r="KJ15" s="4">
        <v>0</v>
      </c>
      <c r="KK15" s="4">
        <v>6</v>
      </c>
      <c r="KL15" s="4">
        <v>5</v>
      </c>
      <c r="KM15" s="4">
        <v>4</v>
      </c>
      <c r="KN15" s="4">
        <v>3</v>
      </c>
      <c r="KO15" s="4">
        <v>2</v>
      </c>
      <c r="KP15" s="4">
        <v>1</v>
      </c>
      <c r="KQ15" s="4">
        <v>0</v>
      </c>
      <c r="KR15" s="4">
        <v>6</v>
      </c>
      <c r="KS15" s="4">
        <v>5</v>
      </c>
      <c r="KT15" s="4">
        <v>4</v>
      </c>
      <c r="KU15" s="4">
        <v>3</v>
      </c>
      <c r="KV15" s="4">
        <v>2</v>
      </c>
      <c r="KW15" s="4">
        <v>1</v>
      </c>
      <c r="KX15" s="4">
        <v>0</v>
      </c>
      <c r="KY15" s="4">
        <v>6</v>
      </c>
      <c r="KZ15" s="4">
        <v>5</v>
      </c>
      <c r="LA15" s="4">
        <v>4</v>
      </c>
      <c r="LB15" s="4">
        <v>3</v>
      </c>
      <c r="LC15" s="4">
        <v>2</v>
      </c>
      <c r="LD15" s="4">
        <v>1</v>
      </c>
      <c r="LE15" s="4">
        <v>0</v>
      </c>
      <c r="LF15" s="4">
        <v>6</v>
      </c>
      <c r="LG15" s="4">
        <v>5</v>
      </c>
      <c r="LH15" s="4">
        <v>4</v>
      </c>
      <c r="LI15" s="4">
        <v>3</v>
      </c>
      <c r="LJ15" s="4">
        <v>2</v>
      </c>
      <c r="LK15" s="4">
        <v>1</v>
      </c>
      <c r="LL15" s="4">
        <v>0</v>
      </c>
      <c r="LM15" s="4">
        <v>6</v>
      </c>
      <c r="LN15" s="4">
        <v>5</v>
      </c>
      <c r="LO15" s="4">
        <v>4</v>
      </c>
      <c r="LP15" s="4">
        <v>3</v>
      </c>
      <c r="LQ15" s="4">
        <v>2</v>
      </c>
      <c r="LR15" s="4">
        <v>1</v>
      </c>
      <c r="LS15" s="4">
        <v>0</v>
      </c>
      <c r="LT15" s="4">
        <v>6</v>
      </c>
      <c r="LU15" s="4">
        <v>5</v>
      </c>
      <c r="LV15" s="4">
        <v>4</v>
      </c>
      <c r="LW15" s="4">
        <v>3</v>
      </c>
      <c r="LX15" s="4">
        <v>2</v>
      </c>
      <c r="LY15" s="4">
        <v>1</v>
      </c>
      <c r="LZ15" s="4">
        <v>0</v>
      </c>
      <c r="MA15" s="4">
        <v>6</v>
      </c>
      <c r="MB15" s="4">
        <v>5</v>
      </c>
      <c r="MC15" s="4">
        <v>4</v>
      </c>
      <c r="MD15" s="4">
        <v>3</v>
      </c>
      <c r="ME15" s="4">
        <v>2</v>
      </c>
      <c r="MF15" s="4">
        <v>1</v>
      </c>
      <c r="MG15" s="4">
        <v>0</v>
      </c>
      <c r="MH15" s="4">
        <v>13</v>
      </c>
      <c r="MI15" s="4">
        <v>12</v>
      </c>
      <c r="MJ15" s="4">
        <v>11</v>
      </c>
      <c r="MK15" s="4">
        <v>10</v>
      </c>
      <c r="ML15" s="4">
        <v>9</v>
      </c>
      <c r="MM15" s="4">
        <v>8</v>
      </c>
      <c r="MN15" s="4">
        <v>7</v>
      </c>
      <c r="MO15" s="4">
        <v>6</v>
      </c>
      <c r="MP15" s="4">
        <v>5</v>
      </c>
      <c r="MQ15" s="4">
        <v>4</v>
      </c>
      <c r="MR15" s="4">
        <v>3</v>
      </c>
      <c r="MS15" s="4">
        <v>2</v>
      </c>
      <c r="MT15" s="4">
        <v>1</v>
      </c>
      <c r="MU15" s="4">
        <v>0</v>
      </c>
      <c r="MV15" s="4" t="str">
        <v>n/a</v>
      </c>
      <c r="MW15" s="127"/>
    </row>
    <row r="16" spans="1:361">
      <c r="E16" s="4" t="s">
        <v>108</v>
      </c>
      <c r="G16" s="4" t="s">
        <v>107</v>
      </c>
      <c r="J16" s="4" cm="1">
        <f t="array" ref="J16:MV16" xml:space="preserve"> WEEKDAY(_xlfn.ANCHORARRAY( J11), 1 )</f>
        <v>1</v>
      </c>
      <c r="K16" s="4">
        <v>2</v>
      </c>
      <c r="L16" s="4">
        <v>3</v>
      </c>
      <c r="M16" s="4">
        <v>4</v>
      </c>
      <c r="N16" s="4">
        <v>5</v>
      </c>
      <c r="O16" s="4">
        <v>6</v>
      </c>
      <c r="P16" s="4">
        <v>7</v>
      </c>
      <c r="Q16" s="4">
        <v>1</v>
      </c>
      <c r="R16" s="4">
        <v>2</v>
      </c>
      <c r="S16" s="4">
        <v>3</v>
      </c>
      <c r="T16" s="4">
        <v>4</v>
      </c>
      <c r="U16" s="4">
        <v>5</v>
      </c>
      <c r="V16" s="4">
        <v>6</v>
      </c>
      <c r="W16" s="4">
        <v>7</v>
      </c>
      <c r="X16" s="4">
        <v>1</v>
      </c>
      <c r="Y16" s="4">
        <v>2</v>
      </c>
      <c r="Z16" s="4">
        <v>3</v>
      </c>
      <c r="AA16" s="4">
        <v>4</v>
      </c>
      <c r="AB16" s="4">
        <v>5</v>
      </c>
      <c r="AC16" s="4">
        <v>6</v>
      </c>
      <c r="AD16" s="4">
        <v>7</v>
      </c>
      <c r="AE16" s="4">
        <v>1</v>
      </c>
      <c r="AF16" s="4">
        <v>2</v>
      </c>
      <c r="AG16" s="4">
        <v>3</v>
      </c>
      <c r="AH16" s="4">
        <v>4</v>
      </c>
      <c r="AI16" s="4">
        <v>5</v>
      </c>
      <c r="AJ16" s="4">
        <v>6</v>
      </c>
      <c r="AK16" s="4">
        <v>7</v>
      </c>
      <c r="AL16" s="4">
        <v>1</v>
      </c>
      <c r="AM16" s="4">
        <v>2</v>
      </c>
      <c r="AN16" s="4">
        <v>3</v>
      </c>
      <c r="AO16" s="4">
        <v>4</v>
      </c>
      <c r="AP16" s="4">
        <v>5</v>
      </c>
      <c r="AQ16" s="4">
        <v>6</v>
      </c>
      <c r="AR16" s="4">
        <v>7</v>
      </c>
      <c r="AS16" s="4">
        <v>1</v>
      </c>
      <c r="AT16" s="4">
        <v>2</v>
      </c>
      <c r="AU16" s="4">
        <v>3</v>
      </c>
      <c r="AV16" s="4">
        <v>4</v>
      </c>
      <c r="AW16" s="4">
        <v>5</v>
      </c>
      <c r="AX16" s="4">
        <v>6</v>
      </c>
      <c r="AY16" s="4">
        <v>7</v>
      </c>
      <c r="AZ16" s="4">
        <v>1</v>
      </c>
      <c r="BA16" s="4">
        <v>2</v>
      </c>
      <c r="BB16" s="4">
        <v>3</v>
      </c>
      <c r="BC16" s="4">
        <v>4</v>
      </c>
      <c r="BD16" s="4">
        <v>5</v>
      </c>
      <c r="BE16" s="4">
        <v>6</v>
      </c>
      <c r="BF16" s="4">
        <v>7</v>
      </c>
      <c r="BG16" s="4">
        <v>1</v>
      </c>
      <c r="BH16" s="4">
        <v>2</v>
      </c>
      <c r="BI16" s="4">
        <v>3</v>
      </c>
      <c r="BJ16" s="4">
        <v>4</v>
      </c>
      <c r="BK16" s="4">
        <v>5</v>
      </c>
      <c r="BL16" s="4">
        <v>6</v>
      </c>
      <c r="BM16" s="4">
        <v>7</v>
      </c>
      <c r="BN16" s="4">
        <v>1</v>
      </c>
      <c r="BO16" s="4">
        <v>2</v>
      </c>
      <c r="BP16" s="4">
        <v>3</v>
      </c>
      <c r="BQ16" s="4">
        <v>4</v>
      </c>
      <c r="BR16" s="4">
        <v>5</v>
      </c>
      <c r="BS16" s="4">
        <v>6</v>
      </c>
      <c r="BT16" s="4">
        <v>7</v>
      </c>
      <c r="BU16" s="4">
        <v>1</v>
      </c>
      <c r="BV16" s="4">
        <v>2</v>
      </c>
      <c r="BW16" s="4">
        <v>3</v>
      </c>
      <c r="BX16" s="4">
        <v>4</v>
      </c>
      <c r="BY16" s="4">
        <v>5</v>
      </c>
      <c r="BZ16" s="4">
        <v>6</v>
      </c>
      <c r="CA16" s="4">
        <v>7</v>
      </c>
      <c r="CB16" s="4">
        <v>1</v>
      </c>
      <c r="CC16" s="4">
        <v>2</v>
      </c>
      <c r="CD16" s="4">
        <v>3</v>
      </c>
      <c r="CE16" s="4">
        <v>4</v>
      </c>
      <c r="CF16" s="4">
        <v>5</v>
      </c>
      <c r="CG16" s="4">
        <v>6</v>
      </c>
      <c r="CH16" s="4">
        <v>7</v>
      </c>
      <c r="CI16" s="4">
        <v>1</v>
      </c>
      <c r="CJ16" s="4">
        <v>2</v>
      </c>
      <c r="CK16" s="4">
        <v>3</v>
      </c>
      <c r="CL16" s="4">
        <v>4</v>
      </c>
      <c r="CM16" s="4">
        <v>5</v>
      </c>
      <c r="CN16" s="4">
        <v>6</v>
      </c>
      <c r="CO16" s="4">
        <v>7</v>
      </c>
      <c r="CP16" s="4">
        <v>1</v>
      </c>
      <c r="CQ16" s="4">
        <v>2</v>
      </c>
      <c r="CR16" s="4">
        <v>3</v>
      </c>
      <c r="CS16" s="4">
        <v>4</v>
      </c>
      <c r="CT16" s="4">
        <v>5</v>
      </c>
      <c r="CU16" s="4">
        <v>6</v>
      </c>
      <c r="CV16" s="4">
        <v>7</v>
      </c>
      <c r="CW16" s="4">
        <v>1</v>
      </c>
      <c r="CX16" s="4">
        <v>2</v>
      </c>
      <c r="CY16" s="4">
        <v>3</v>
      </c>
      <c r="CZ16" s="4">
        <v>4</v>
      </c>
      <c r="DA16" s="4">
        <v>5</v>
      </c>
      <c r="DB16" s="4">
        <v>6</v>
      </c>
      <c r="DC16" s="4">
        <v>7</v>
      </c>
      <c r="DD16" s="4">
        <v>1</v>
      </c>
      <c r="DE16" s="4">
        <v>2</v>
      </c>
      <c r="DF16" s="4">
        <v>3</v>
      </c>
      <c r="DG16" s="4">
        <v>4</v>
      </c>
      <c r="DH16" s="4">
        <v>5</v>
      </c>
      <c r="DI16" s="4">
        <v>6</v>
      </c>
      <c r="DJ16" s="4">
        <v>7</v>
      </c>
      <c r="DK16" s="4">
        <v>1</v>
      </c>
      <c r="DL16" s="4">
        <v>2</v>
      </c>
      <c r="DM16" s="4">
        <v>3</v>
      </c>
      <c r="DN16" s="4">
        <v>4</v>
      </c>
      <c r="DO16" s="4">
        <v>5</v>
      </c>
      <c r="DP16" s="4">
        <v>6</v>
      </c>
      <c r="DQ16" s="4">
        <v>7</v>
      </c>
      <c r="DR16" s="4">
        <v>1</v>
      </c>
      <c r="DS16" s="4">
        <v>2</v>
      </c>
      <c r="DT16" s="4">
        <v>3</v>
      </c>
      <c r="DU16" s="4">
        <v>4</v>
      </c>
      <c r="DV16" s="4">
        <v>5</v>
      </c>
      <c r="DW16" s="4">
        <v>6</v>
      </c>
      <c r="DX16" s="4">
        <v>7</v>
      </c>
      <c r="DY16" s="4">
        <v>1</v>
      </c>
      <c r="DZ16" s="4">
        <v>2</v>
      </c>
      <c r="EA16" s="4">
        <v>3</v>
      </c>
      <c r="EB16" s="4">
        <v>4</v>
      </c>
      <c r="EC16" s="4">
        <v>5</v>
      </c>
      <c r="ED16" s="4">
        <v>6</v>
      </c>
      <c r="EE16" s="4">
        <v>7</v>
      </c>
      <c r="EF16" s="4">
        <v>1</v>
      </c>
      <c r="EG16" s="4">
        <v>2</v>
      </c>
      <c r="EH16" s="4">
        <v>3</v>
      </c>
      <c r="EI16" s="4">
        <v>4</v>
      </c>
      <c r="EJ16" s="4">
        <v>5</v>
      </c>
      <c r="EK16" s="4">
        <v>6</v>
      </c>
      <c r="EL16" s="4">
        <v>7</v>
      </c>
      <c r="EM16" s="4">
        <v>1</v>
      </c>
      <c r="EN16" s="4">
        <v>2</v>
      </c>
      <c r="EO16" s="4">
        <v>3</v>
      </c>
      <c r="EP16" s="4">
        <v>4</v>
      </c>
      <c r="EQ16" s="4">
        <v>5</v>
      </c>
      <c r="ER16" s="4">
        <v>6</v>
      </c>
      <c r="ES16" s="4">
        <v>7</v>
      </c>
      <c r="ET16" s="4">
        <v>1</v>
      </c>
      <c r="EU16" s="4">
        <v>2</v>
      </c>
      <c r="EV16" s="4">
        <v>3</v>
      </c>
      <c r="EW16" s="4">
        <v>4</v>
      </c>
      <c r="EX16" s="4">
        <v>5</v>
      </c>
      <c r="EY16" s="4">
        <v>6</v>
      </c>
      <c r="EZ16" s="4">
        <v>7</v>
      </c>
      <c r="FA16" s="4">
        <v>1</v>
      </c>
      <c r="FB16" s="4">
        <v>2</v>
      </c>
      <c r="FC16" s="4">
        <v>3</v>
      </c>
      <c r="FD16" s="4">
        <v>4</v>
      </c>
      <c r="FE16" s="4">
        <v>5</v>
      </c>
      <c r="FF16" s="4">
        <v>6</v>
      </c>
      <c r="FG16" s="4">
        <v>7</v>
      </c>
      <c r="FH16" s="4">
        <v>1</v>
      </c>
      <c r="FI16" s="4">
        <v>2</v>
      </c>
      <c r="FJ16" s="4">
        <v>3</v>
      </c>
      <c r="FK16" s="4">
        <v>4</v>
      </c>
      <c r="FL16" s="4">
        <v>5</v>
      </c>
      <c r="FM16" s="4">
        <v>6</v>
      </c>
      <c r="FN16" s="4">
        <v>7</v>
      </c>
      <c r="FO16" s="4">
        <v>1</v>
      </c>
      <c r="FP16" s="4">
        <v>2</v>
      </c>
      <c r="FQ16" s="4">
        <v>3</v>
      </c>
      <c r="FR16" s="4">
        <v>4</v>
      </c>
      <c r="FS16" s="4">
        <v>5</v>
      </c>
      <c r="FT16" s="4">
        <v>6</v>
      </c>
      <c r="FU16" s="4">
        <v>7</v>
      </c>
      <c r="FV16" s="4">
        <v>1</v>
      </c>
      <c r="FW16" s="4">
        <v>2</v>
      </c>
      <c r="FX16" s="4">
        <v>3</v>
      </c>
      <c r="FY16" s="4">
        <v>4</v>
      </c>
      <c r="FZ16" s="4">
        <v>5</v>
      </c>
      <c r="GA16" s="4">
        <v>6</v>
      </c>
      <c r="GB16" s="4">
        <v>7</v>
      </c>
      <c r="GC16" s="4">
        <v>1</v>
      </c>
      <c r="GD16" s="4">
        <v>2</v>
      </c>
      <c r="GE16" s="4">
        <v>3</v>
      </c>
      <c r="GF16" s="4">
        <v>4</v>
      </c>
      <c r="GG16" s="4">
        <v>5</v>
      </c>
      <c r="GH16" s="4">
        <v>6</v>
      </c>
      <c r="GI16" s="4">
        <v>7</v>
      </c>
      <c r="GJ16" s="4">
        <v>1</v>
      </c>
      <c r="GK16" s="4">
        <v>2</v>
      </c>
      <c r="GL16" s="4">
        <v>3</v>
      </c>
      <c r="GM16" s="4">
        <v>4</v>
      </c>
      <c r="GN16" s="4">
        <v>5</v>
      </c>
      <c r="GO16" s="4">
        <v>6</v>
      </c>
      <c r="GP16" s="4">
        <v>7</v>
      </c>
      <c r="GQ16" s="4">
        <v>1</v>
      </c>
      <c r="GR16" s="4">
        <v>2</v>
      </c>
      <c r="GS16" s="4">
        <v>3</v>
      </c>
      <c r="GT16" s="4">
        <v>4</v>
      </c>
      <c r="GU16" s="4">
        <v>5</v>
      </c>
      <c r="GV16" s="4">
        <v>6</v>
      </c>
      <c r="GW16" s="4">
        <v>7</v>
      </c>
      <c r="GX16" s="4">
        <v>1</v>
      </c>
      <c r="GY16" s="4">
        <v>2</v>
      </c>
      <c r="GZ16" s="4">
        <v>3</v>
      </c>
      <c r="HA16" s="4">
        <v>4</v>
      </c>
      <c r="HB16" s="4">
        <v>5</v>
      </c>
      <c r="HC16" s="4">
        <v>6</v>
      </c>
      <c r="HD16" s="4">
        <v>7</v>
      </c>
      <c r="HE16" s="4">
        <v>1</v>
      </c>
      <c r="HF16" s="4">
        <v>2</v>
      </c>
      <c r="HG16" s="4">
        <v>3</v>
      </c>
      <c r="HH16" s="4">
        <v>4</v>
      </c>
      <c r="HI16" s="4">
        <v>5</v>
      </c>
      <c r="HJ16" s="4">
        <v>6</v>
      </c>
      <c r="HK16" s="4">
        <v>7</v>
      </c>
      <c r="HL16" s="4">
        <v>1</v>
      </c>
      <c r="HM16" s="4">
        <v>2</v>
      </c>
      <c r="HN16" s="4">
        <v>3</v>
      </c>
      <c r="HO16" s="4">
        <v>4</v>
      </c>
      <c r="HP16" s="4">
        <v>5</v>
      </c>
      <c r="HQ16" s="4">
        <v>6</v>
      </c>
      <c r="HR16" s="4">
        <v>7</v>
      </c>
      <c r="HS16" s="4">
        <v>1</v>
      </c>
      <c r="HT16" s="4">
        <v>2</v>
      </c>
      <c r="HU16" s="4">
        <v>3</v>
      </c>
      <c r="HV16" s="4">
        <v>4</v>
      </c>
      <c r="HW16" s="4">
        <v>5</v>
      </c>
      <c r="HX16" s="4">
        <v>6</v>
      </c>
      <c r="HY16" s="4">
        <v>7</v>
      </c>
      <c r="HZ16" s="4">
        <v>1</v>
      </c>
      <c r="IA16" s="4">
        <v>2</v>
      </c>
      <c r="IB16" s="4">
        <v>3</v>
      </c>
      <c r="IC16" s="4">
        <v>4</v>
      </c>
      <c r="ID16" s="4">
        <v>5</v>
      </c>
      <c r="IE16" s="4">
        <v>6</v>
      </c>
      <c r="IF16" s="4">
        <v>7</v>
      </c>
      <c r="IG16" s="4">
        <v>1</v>
      </c>
      <c r="IH16" s="4">
        <v>2</v>
      </c>
      <c r="II16" s="4">
        <v>3</v>
      </c>
      <c r="IJ16" s="4">
        <v>4</v>
      </c>
      <c r="IK16" s="4">
        <v>5</v>
      </c>
      <c r="IL16" s="4">
        <v>6</v>
      </c>
      <c r="IM16" s="4">
        <v>7</v>
      </c>
      <c r="IN16" s="4">
        <v>1</v>
      </c>
      <c r="IO16" s="4">
        <v>2</v>
      </c>
      <c r="IP16" s="4">
        <v>3</v>
      </c>
      <c r="IQ16" s="4">
        <v>4</v>
      </c>
      <c r="IR16" s="4">
        <v>5</v>
      </c>
      <c r="IS16" s="4">
        <v>6</v>
      </c>
      <c r="IT16" s="4">
        <v>7</v>
      </c>
      <c r="IU16" s="4">
        <v>1</v>
      </c>
      <c r="IV16" s="4">
        <v>2</v>
      </c>
      <c r="IW16" s="4">
        <v>3</v>
      </c>
      <c r="IX16" s="4">
        <v>4</v>
      </c>
      <c r="IY16" s="4">
        <v>5</v>
      </c>
      <c r="IZ16" s="4">
        <v>6</v>
      </c>
      <c r="JA16" s="4">
        <v>7</v>
      </c>
      <c r="JB16" s="4">
        <v>1</v>
      </c>
      <c r="JC16" s="4">
        <v>2</v>
      </c>
      <c r="JD16" s="4">
        <v>3</v>
      </c>
      <c r="JE16" s="4">
        <v>4</v>
      </c>
      <c r="JF16" s="4">
        <v>5</v>
      </c>
      <c r="JG16" s="4">
        <v>6</v>
      </c>
      <c r="JH16" s="4">
        <v>7</v>
      </c>
      <c r="JI16" s="4">
        <v>1</v>
      </c>
      <c r="JJ16" s="4">
        <v>2</v>
      </c>
      <c r="JK16" s="4">
        <v>3</v>
      </c>
      <c r="JL16" s="4">
        <v>4</v>
      </c>
      <c r="JM16" s="4">
        <v>5</v>
      </c>
      <c r="JN16" s="4">
        <v>6</v>
      </c>
      <c r="JO16" s="4">
        <v>7</v>
      </c>
      <c r="JP16" s="4">
        <v>1</v>
      </c>
      <c r="JQ16" s="4">
        <v>2</v>
      </c>
      <c r="JR16" s="4">
        <v>3</v>
      </c>
      <c r="JS16" s="4">
        <v>4</v>
      </c>
      <c r="JT16" s="4">
        <v>5</v>
      </c>
      <c r="JU16" s="4">
        <v>6</v>
      </c>
      <c r="JV16" s="4">
        <v>7</v>
      </c>
      <c r="JW16" s="4">
        <v>1</v>
      </c>
      <c r="JX16" s="4">
        <v>2</v>
      </c>
      <c r="JY16" s="4">
        <v>3</v>
      </c>
      <c r="JZ16" s="4">
        <v>4</v>
      </c>
      <c r="KA16" s="4">
        <v>5</v>
      </c>
      <c r="KB16" s="4">
        <v>6</v>
      </c>
      <c r="KC16" s="4">
        <v>7</v>
      </c>
      <c r="KD16" s="4">
        <v>1</v>
      </c>
      <c r="KE16" s="4">
        <v>2</v>
      </c>
      <c r="KF16" s="4">
        <v>3</v>
      </c>
      <c r="KG16" s="4">
        <v>4</v>
      </c>
      <c r="KH16" s="4">
        <v>5</v>
      </c>
      <c r="KI16" s="4">
        <v>6</v>
      </c>
      <c r="KJ16" s="4">
        <v>7</v>
      </c>
      <c r="KK16" s="4">
        <v>1</v>
      </c>
      <c r="KL16" s="4">
        <v>2</v>
      </c>
      <c r="KM16" s="4">
        <v>3</v>
      </c>
      <c r="KN16" s="4">
        <v>4</v>
      </c>
      <c r="KO16" s="4">
        <v>5</v>
      </c>
      <c r="KP16" s="4">
        <v>6</v>
      </c>
      <c r="KQ16" s="4">
        <v>7</v>
      </c>
      <c r="KR16" s="4">
        <v>1</v>
      </c>
      <c r="KS16" s="4">
        <v>2</v>
      </c>
      <c r="KT16" s="4">
        <v>3</v>
      </c>
      <c r="KU16" s="4">
        <v>4</v>
      </c>
      <c r="KV16" s="4">
        <v>5</v>
      </c>
      <c r="KW16" s="4">
        <v>6</v>
      </c>
      <c r="KX16" s="4">
        <v>7</v>
      </c>
      <c r="KY16" s="4">
        <v>1</v>
      </c>
      <c r="KZ16" s="4">
        <v>2</v>
      </c>
      <c r="LA16" s="4">
        <v>3</v>
      </c>
      <c r="LB16" s="4">
        <v>4</v>
      </c>
      <c r="LC16" s="4">
        <v>5</v>
      </c>
      <c r="LD16" s="4">
        <v>6</v>
      </c>
      <c r="LE16" s="4">
        <v>7</v>
      </c>
      <c r="LF16" s="4">
        <v>1</v>
      </c>
      <c r="LG16" s="4">
        <v>2</v>
      </c>
      <c r="LH16" s="4">
        <v>3</v>
      </c>
      <c r="LI16" s="4">
        <v>4</v>
      </c>
      <c r="LJ16" s="4">
        <v>5</v>
      </c>
      <c r="LK16" s="4">
        <v>6</v>
      </c>
      <c r="LL16" s="4">
        <v>7</v>
      </c>
      <c r="LM16" s="4">
        <v>1</v>
      </c>
      <c r="LN16" s="4">
        <v>2</v>
      </c>
      <c r="LO16" s="4">
        <v>3</v>
      </c>
      <c r="LP16" s="4">
        <v>4</v>
      </c>
      <c r="LQ16" s="4">
        <v>5</v>
      </c>
      <c r="LR16" s="4">
        <v>6</v>
      </c>
      <c r="LS16" s="4">
        <v>7</v>
      </c>
      <c r="LT16" s="4">
        <v>1</v>
      </c>
      <c r="LU16" s="4">
        <v>2</v>
      </c>
      <c r="LV16" s="4">
        <v>3</v>
      </c>
      <c r="LW16" s="4">
        <v>4</v>
      </c>
      <c r="LX16" s="4">
        <v>5</v>
      </c>
      <c r="LY16" s="4">
        <v>6</v>
      </c>
      <c r="LZ16" s="4">
        <v>7</v>
      </c>
      <c r="MA16" s="4">
        <v>1</v>
      </c>
      <c r="MB16" s="4">
        <v>2</v>
      </c>
      <c r="MC16" s="4">
        <v>3</v>
      </c>
      <c r="MD16" s="4">
        <v>4</v>
      </c>
      <c r="ME16" s="4">
        <v>5</v>
      </c>
      <c r="MF16" s="4">
        <v>6</v>
      </c>
      <c r="MG16" s="4">
        <v>7</v>
      </c>
      <c r="MH16" s="4">
        <v>1</v>
      </c>
      <c r="MI16" s="4">
        <v>2</v>
      </c>
      <c r="MJ16" s="4">
        <v>3</v>
      </c>
      <c r="MK16" s="4">
        <v>4</v>
      </c>
      <c r="ML16" s="4">
        <v>5</v>
      </c>
      <c r="MM16" s="4">
        <v>6</v>
      </c>
      <c r="MN16" s="4">
        <v>7</v>
      </c>
      <c r="MO16" s="4">
        <v>1</v>
      </c>
      <c r="MP16" s="4">
        <v>2</v>
      </c>
      <c r="MQ16" s="4">
        <v>3</v>
      </c>
      <c r="MR16" s="4">
        <v>4</v>
      </c>
      <c r="MS16" s="4">
        <v>5</v>
      </c>
      <c r="MT16" s="4">
        <v>6</v>
      </c>
      <c r="MU16" s="4">
        <v>7</v>
      </c>
      <c r="MV16" s="4">
        <v>1</v>
      </c>
      <c r="MW16" s="127"/>
    </row>
    <row r="17" spans="1:361"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2"/>
      <c r="CG17" s="132"/>
      <c r="CH17" s="132"/>
      <c r="CI17" s="132"/>
      <c r="CJ17" s="132"/>
      <c r="CK17" s="132"/>
      <c r="CL17" s="132"/>
      <c r="CM17" s="132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32"/>
      <c r="DM17" s="132"/>
      <c r="DN17" s="132"/>
      <c r="DO17" s="132"/>
      <c r="DP17" s="132"/>
      <c r="DQ17" s="132"/>
      <c r="DR17" s="132"/>
      <c r="DS17" s="132"/>
      <c r="DT17" s="132"/>
      <c r="DU17" s="132"/>
      <c r="DV17" s="132"/>
      <c r="DW17" s="132"/>
      <c r="DX17" s="132"/>
      <c r="DY17" s="132"/>
      <c r="DZ17" s="132"/>
      <c r="EA17" s="132"/>
      <c r="EB17" s="132"/>
      <c r="EC17" s="132"/>
      <c r="ED17" s="132"/>
      <c r="EE17" s="132"/>
      <c r="EF17" s="132"/>
      <c r="EG17" s="132"/>
      <c r="EH17" s="132"/>
      <c r="EI17" s="132"/>
      <c r="EJ17" s="132"/>
      <c r="EK17" s="132"/>
      <c r="EL17" s="132"/>
      <c r="EM17" s="132"/>
      <c r="EN17" s="132"/>
      <c r="EO17" s="132"/>
      <c r="EP17" s="132"/>
      <c r="EQ17" s="132"/>
      <c r="ER17" s="132"/>
      <c r="ES17" s="132"/>
      <c r="ET17" s="132"/>
      <c r="EU17" s="132"/>
      <c r="EV17" s="132"/>
      <c r="EW17" s="132"/>
      <c r="EX17" s="132"/>
      <c r="EY17" s="132"/>
      <c r="EZ17" s="132"/>
      <c r="FA17" s="132"/>
      <c r="FB17" s="132"/>
      <c r="FC17" s="132"/>
      <c r="FD17" s="132"/>
      <c r="FE17" s="132"/>
      <c r="FF17" s="132"/>
      <c r="FG17" s="132"/>
      <c r="FH17" s="132"/>
      <c r="FI17" s="132"/>
      <c r="FJ17" s="132"/>
      <c r="FK17" s="132"/>
      <c r="FL17" s="132"/>
      <c r="FM17" s="132"/>
      <c r="FN17" s="132"/>
      <c r="FO17" s="132"/>
      <c r="FP17" s="132"/>
      <c r="FQ17" s="132"/>
      <c r="FR17" s="132"/>
      <c r="FS17" s="132"/>
      <c r="FT17" s="132"/>
      <c r="FU17" s="132"/>
      <c r="FV17" s="132"/>
      <c r="FW17" s="132"/>
      <c r="FX17" s="132"/>
      <c r="FY17" s="132"/>
      <c r="FZ17" s="132"/>
      <c r="GA17" s="132"/>
      <c r="GB17" s="132"/>
      <c r="GC17" s="132"/>
      <c r="GD17" s="132"/>
      <c r="GE17" s="132"/>
      <c r="GF17" s="132"/>
      <c r="GG17" s="132"/>
      <c r="GH17" s="132"/>
      <c r="GI17" s="132"/>
      <c r="GJ17" s="132"/>
      <c r="GK17" s="132"/>
      <c r="GL17" s="132"/>
      <c r="GM17" s="132"/>
      <c r="GN17" s="132"/>
      <c r="GO17" s="132"/>
      <c r="GP17" s="132"/>
      <c r="GQ17" s="132"/>
      <c r="GR17" s="132"/>
      <c r="GS17" s="132"/>
      <c r="GT17" s="132"/>
      <c r="GU17" s="132"/>
      <c r="GV17" s="132"/>
      <c r="GW17" s="132"/>
      <c r="GX17" s="132"/>
      <c r="GY17" s="132"/>
      <c r="GZ17" s="132"/>
      <c r="HA17" s="132"/>
      <c r="HB17" s="132"/>
      <c r="HC17" s="132"/>
      <c r="HD17" s="132"/>
      <c r="HE17" s="132"/>
      <c r="HF17" s="132"/>
      <c r="HG17" s="132"/>
      <c r="HH17" s="132"/>
      <c r="HI17" s="132"/>
      <c r="HJ17" s="132"/>
      <c r="HK17" s="132"/>
      <c r="HL17" s="132"/>
      <c r="HM17" s="132"/>
      <c r="HN17" s="132"/>
      <c r="HO17" s="132"/>
      <c r="HP17" s="132"/>
      <c r="HQ17" s="132"/>
      <c r="HR17" s="132"/>
      <c r="HS17" s="132"/>
      <c r="HT17" s="132"/>
      <c r="HU17" s="132"/>
      <c r="HV17" s="132"/>
      <c r="HW17" s="132"/>
      <c r="HX17" s="132"/>
      <c r="HY17" s="132"/>
      <c r="HZ17" s="132"/>
      <c r="IA17" s="132"/>
      <c r="IB17" s="132"/>
      <c r="IC17" s="132"/>
      <c r="ID17" s="132"/>
      <c r="IE17" s="132"/>
      <c r="IF17" s="132"/>
      <c r="IG17" s="132"/>
      <c r="IH17" s="132"/>
      <c r="II17" s="132"/>
      <c r="IJ17" s="132"/>
      <c r="IK17" s="132"/>
      <c r="IL17" s="132"/>
      <c r="IM17" s="132"/>
      <c r="IN17" s="132"/>
      <c r="IO17" s="132"/>
      <c r="IP17" s="132"/>
      <c r="IQ17" s="132"/>
      <c r="IR17" s="132"/>
      <c r="IS17" s="132"/>
      <c r="IT17" s="132"/>
      <c r="IU17" s="132"/>
      <c r="IV17" s="132"/>
      <c r="IW17" s="132"/>
      <c r="IX17" s="132"/>
      <c r="IY17" s="132"/>
      <c r="IZ17" s="132"/>
      <c r="JA17" s="132"/>
      <c r="JB17" s="132"/>
      <c r="JC17" s="132"/>
      <c r="JD17" s="132"/>
      <c r="JE17" s="132"/>
      <c r="JF17" s="132"/>
      <c r="JG17" s="132"/>
      <c r="JH17" s="132"/>
      <c r="JI17" s="132"/>
      <c r="JJ17" s="132"/>
      <c r="JK17" s="132"/>
      <c r="JL17" s="132"/>
      <c r="JM17" s="132"/>
      <c r="JN17" s="132"/>
      <c r="JO17" s="132"/>
      <c r="JP17" s="132"/>
      <c r="JQ17" s="132"/>
      <c r="JR17" s="132"/>
      <c r="JS17" s="132"/>
      <c r="JT17" s="132"/>
      <c r="JU17" s="132"/>
      <c r="JV17" s="132"/>
      <c r="JW17" s="132"/>
      <c r="JX17" s="132"/>
      <c r="JY17" s="132"/>
      <c r="JZ17" s="132"/>
      <c r="KA17" s="132"/>
      <c r="KB17" s="132"/>
      <c r="KC17" s="132"/>
      <c r="KD17" s="132"/>
      <c r="KE17" s="132"/>
      <c r="KF17" s="132"/>
      <c r="KG17" s="132"/>
      <c r="KH17" s="132"/>
      <c r="KI17" s="132"/>
      <c r="KJ17" s="132"/>
      <c r="KK17" s="132"/>
      <c r="KL17" s="132"/>
      <c r="KM17" s="132"/>
      <c r="KN17" s="132"/>
      <c r="KO17" s="132"/>
      <c r="KP17" s="132"/>
      <c r="KQ17" s="132"/>
      <c r="KR17" s="132"/>
      <c r="KS17" s="132"/>
      <c r="KT17" s="132"/>
      <c r="KU17" s="132"/>
      <c r="KV17" s="132"/>
      <c r="KW17" s="132"/>
      <c r="KX17" s="132"/>
      <c r="KY17" s="132"/>
      <c r="KZ17" s="132"/>
      <c r="LA17" s="132"/>
      <c r="LB17" s="132"/>
      <c r="LC17" s="132"/>
      <c r="LD17" s="132"/>
      <c r="LE17" s="132"/>
      <c r="LF17" s="132"/>
      <c r="LG17" s="132"/>
      <c r="LH17" s="132"/>
      <c r="LI17" s="132"/>
      <c r="LJ17" s="132"/>
      <c r="LK17" s="132"/>
      <c r="LL17" s="132"/>
      <c r="LM17" s="132"/>
      <c r="LN17" s="132"/>
      <c r="LO17" s="132"/>
      <c r="LP17" s="132"/>
      <c r="LQ17" s="132"/>
      <c r="LR17" s="132"/>
      <c r="LS17" s="132"/>
      <c r="LT17" s="132"/>
      <c r="LU17" s="132"/>
      <c r="LV17" s="132"/>
      <c r="LW17" s="132"/>
      <c r="LX17" s="132"/>
      <c r="LY17" s="132"/>
      <c r="LZ17" s="132"/>
      <c r="MA17" s="132"/>
      <c r="MB17" s="132"/>
      <c r="MC17" s="132"/>
      <c r="MD17" s="132"/>
      <c r="ME17" s="132"/>
      <c r="MF17" s="132"/>
      <c r="MG17" s="132"/>
      <c r="MH17" s="132"/>
      <c r="MI17" s="132"/>
      <c r="MJ17" s="132"/>
      <c r="MK17" s="132"/>
      <c r="ML17" s="132"/>
      <c r="MM17" s="132"/>
      <c r="MN17" s="132"/>
      <c r="MO17" s="132"/>
      <c r="MP17" s="132"/>
      <c r="MQ17" s="132"/>
      <c r="MR17" s="132"/>
      <c r="MS17" s="132"/>
      <c r="MT17" s="132"/>
      <c r="MU17" s="132"/>
      <c r="MV17" s="132"/>
    </row>
    <row r="18" spans="1:361" s="123" customFormat="1">
      <c r="A18" s="124" t="s">
        <v>19</v>
      </c>
    </row>
    <row r="20" spans="1:361">
      <c r="E20" s="4" t="s">
        <v>110</v>
      </c>
      <c r="G20" s="4" t="s">
        <v>115</v>
      </c>
      <c r="J20" s="4" cm="1">
        <f t="array" ref="J20:MV20" xml:space="preserve"> _xlfn.XLOOKUP(_xlfn.ANCHORARRAY( J12), tbl_SeasonTicketSale[Week ending], tbl_SeasonTicketSale[Sales], 0,,)</f>
        <v>4800</v>
      </c>
      <c r="K20" s="4">
        <v>4800</v>
      </c>
      <c r="L20" s="4">
        <v>4800</v>
      </c>
      <c r="M20" s="4">
        <v>4800</v>
      </c>
      <c r="N20" s="4">
        <v>4800</v>
      </c>
      <c r="O20" s="4">
        <v>4800</v>
      </c>
      <c r="P20" s="4">
        <v>4800</v>
      </c>
      <c r="Q20" s="4">
        <v>3800</v>
      </c>
      <c r="R20" s="4">
        <v>3800</v>
      </c>
      <c r="S20" s="4">
        <v>3800</v>
      </c>
      <c r="T20" s="4">
        <v>3800</v>
      </c>
      <c r="U20" s="4">
        <v>3800</v>
      </c>
      <c r="V20" s="4">
        <v>3800</v>
      </c>
      <c r="W20" s="4">
        <v>3800</v>
      </c>
      <c r="X20" s="4">
        <v>3400</v>
      </c>
      <c r="Y20" s="4">
        <v>3400</v>
      </c>
      <c r="Z20" s="4">
        <v>3400</v>
      </c>
      <c r="AA20" s="4">
        <v>3400</v>
      </c>
      <c r="AB20" s="4">
        <v>3400</v>
      </c>
      <c r="AC20" s="4">
        <v>3400</v>
      </c>
      <c r="AD20" s="4">
        <v>3400</v>
      </c>
      <c r="AE20" s="4">
        <v>2800</v>
      </c>
      <c r="AF20" s="4">
        <v>2800</v>
      </c>
      <c r="AG20" s="4">
        <v>2800</v>
      </c>
      <c r="AH20" s="4">
        <v>2800</v>
      </c>
      <c r="AI20" s="4">
        <v>2800</v>
      </c>
      <c r="AJ20" s="4">
        <v>2800</v>
      </c>
      <c r="AK20" s="4">
        <v>2800</v>
      </c>
      <c r="AL20" s="4">
        <v>2700</v>
      </c>
      <c r="AM20" s="4">
        <v>2700</v>
      </c>
      <c r="AN20" s="4">
        <v>2700</v>
      </c>
      <c r="AO20" s="4">
        <v>2700</v>
      </c>
      <c r="AP20" s="4">
        <v>2700</v>
      </c>
      <c r="AQ20" s="4">
        <v>2700</v>
      </c>
      <c r="AR20" s="4">
        <v>2700</v>
      </c>
      <c r="AS20" s="4">
        <v>2750</v>
      </c>
      <c r="AT20" s="4">
        <v>2750</v>
      </c>
      <c r="AU20" s="4">
        <v>2750</v>
      </c>
      <c r="AV20" s="4">
        <v>2750</v>
      </c>
      <c r="AW20" s="4">
        <v>2750</v>
      </c>
      <c r="AX20" s="4">
        <v>2750</v>
      </c>
      <c r="AY20" s="4">
        <v>2750</v>
      </c>
      <c r="AZ20" s="4">
        <v>2600</v>
      </c>
      <c r="BA20" s="4">
        <v>2600</v>
      </c>
      <c r="BB20" s="4">
        <v>2600</v>
      </c>
      <c r="BC20" s="4">
        <v>2600</v>
      </c>
      <c r="BD20" s="4">
        <v>2600</v>
      </c>
      <c r="BE20" s="4">
        <v>2600</v>
      </c>
      <c r="BF20" s="4">
        <v>2600</v>
      </c>
      <c r="BG20" s="4">
        <v>2800</v>
      </c>
      <c r="BH20" s="4">
        <v>2800</v>
      </c>
      <c r="BI20" s="4">
        <v>2800</v>
      </c>
      <c r="BJ20" s="4">
        <v>2800</v>
      </c>
      <c r="BK20" s="4">
        <v>2800</v>
      </c>
      <c r="BL20" s="4">
        <v>2800</v>
      </c>
      <c r="BM20" s="4">
        <v>2800</v>
      </c>
      <c r="BN20" s="4">
        <v>1400</v>
      </c>
      <c r="BO20" s="4">
        <v>1400</v>
      </c>
      <c r="BP20" s="4">
        <v>1400</v>
      </c>
      <c r="BQ20" s="4">
        <v>1400</v>
      </c>
      <c r="BR20" s="4">
        <v>1400</v>
      </c>
      <c r="BS20" s="4">
        <v>1400</v>
      </c>
      <c r="BT20" s="4">
        <v>1400</v>
      </c>
      <c r="BU20" s="4">
        <v>800</v>
      </c>
      <c r="BV20" s="4">
        <v>800</v>
      </c>
      <c r="BW20" s="4">
        <v>800</v>
      </c>
      <c r="BX20" s="4">
        <v>800</v>
      </c>
      <c r="BY20" s="4">
        <v>800</v>
      </c>
      <c r="BZ20" s="4">
        <v>800</v>
      </c>
      <c r="CA20" s="4">
        <v>800</v>
      </c>
      <c r="CB20" s="4">
        <v>500</v>
      </c>
      <c r="CC20" s="4">
        <v>500</v>
      </c>
      <c r="CD20" s="4">
        <v>500</v>
      </c>
      <c r="CE20" s="4">
        <v>500</v>
      </c>
      <c r="CF20" s="4">
        <v>500</v>
      </c>
      <c r="CG20" s="4">
        <v>500</v>
      </c>
      <c r="CH20" s="4">
        <v>500</v>
      </c>
      <c r="CI20" s="4">
        <v>200</v>
      </c>
      <c r="CJ20" s="4">
        <v>200</v>
      </c>
      <c r="CK20" s="4">
        <v>200</v>
      </c>
      <c r="CL20" s="4">
        <v>200</v>
      </c>
      <c r="CM20" s="4">
        <v>200</v>
      </c>
      <c r="CN20" s="4">
        <v>200</v>
      </c>
      <c r="CO20" s="4">
        <v>200</v>
      </c>
      <c r="CP20" s="4">
        <v>150</v>
      </c>
      <c r="CQ20" s="4">
        <v>150</v>
      </c>
      <c r="CR20" s="4">
        <v>150</v>
      </c>
      <c r="CS20" s="4">
        <v>150</v>
      </c>
      <c r="CT20" s="4">
        <v>150</v>
      </c>
      <c r="CU20" s="4">
        <v>150</v>
      </c>
      <c r="CV20" s="4">
        <v>150</v>
      </c>
      <c r="CW20" s="4">
        <v>50</v>
      </c>
      <c r="CX20" s="4">
        <v>50</v>
      </c>
      <c r="CY20" s="4">
        <v>50</v>
      </c>
      <c r="CZ20" s="4">
        <v>50</v>
      </c>
      <c r="DA20" s="4">
        <v>50</v>
      </c>
      <c r="DB20" s="4">
        <v>50</v>
      </c>
      <c r="DC20" s="4">
        <v>50</v>
      </c>
      <c r="DD20" s="4">
        <v>50</v>
      </c>
      <c r="DE20" s="4">
        <v>50</v>
      </c>
      <c r="DF20" s="4">
        <v>50</v>
      </c>
      <c r="DG20" s="4">
        <v>50</v>
      </c>
      <c r="DH20" s="4">
        <v>50</v>
      </c>
      <c r="DI20" s="4">
        <v>50</v>
      </c>
      <c r="DJ20" s="4">
        <v>50</v>
      </c>
      <c r="DK20" s="4">
        <v>50</v>
      </c>
      <c r="DL20" s="4">
        <v>50</v>
      </c>
      <c r="DM20" s="4">
        <v>50</v>
      </c>
      <c r="DN20" s="4">
        <v>50</v>
      </c>
      <c r="DO20" s="4">
        <v>50</v>
      </c>
      <c r="DP20" s="4">
        <v>50</v>
      </c>
      <c r="DQ20" s="4">
        <v>50</v>
      </c>
      <c r="DR20" s="4">
        <v>50</v>
      </c>
      <c r="DS20" s="4">
        <v>50</v>
      </c>
      <c r="DT20" s="4">
        <v>50</v>
      </c>
      <c r="DU20" s="4">
        <v>50</v>
      </c>
      <c r="DV20" s="4">
        <v>50</v>
      </c>
      <c r="DW20" s="4">
        <v>50</v>
      </c>
      <c r="DX20" s="4">
        <v>50</v>
      </c>
      <c r="DY20" s="4">
        <v>50</v>
      </c>
      <c r="DZ20" s="4">
        <v>50</v>
      </c>
      <c r="EA20" s="4">
        <v>50</v>
      </c>
      <c r="EB20" s="4">
        <v>50</v>
      </c>
      <c r="EC20" s="4">
        <v>50</v>
      </c>
      <c r="ED20" s="4">
        <v>50</v>
      </c>
      <c r="EE20" s="4">
        <v>50</v>
      </c>
      <c r="EF20" s="4">
        <v>50</v>
      </c>
      <c r="EG20" s="4">
        <v>50</v>
      </c>
      <c r="EH20" s="4">
        <v>50</v>
      </c>
      <c r="EI20" s="4">
        <v>50</v>
      </c>
      <c r="EJ20" s="4">
        <v>50</v>
      </c>
      <c r="EK20" s="4">
        <v>50</v>
      </c>
      <c r="EL20" s="4">
        <v>50</v>
      </c>
      <c r="EM20" s="4">
        <v>50</v>
      </c>
      <c r="EN20" s="4">
        <v>50</v>
      </c>
      <c r="EO20" s="4">
        <v>50</v>
      </c>
      <c r="EP20" s="4">
        <v>50</v>
      </c>
      <c r="EQ20" s="4">
        <v>50</v>
      </c>
      <c r="ER20" s="4">
        <v>50</v>
      </c>
      <c r="ES20" s="4">
        <v>50</v>
      </c>
      <c r="ET20" s="4">
        <v>50</v>
      </c>
      <c r="EU20" s="4">
        <v>50</v>
      </c>
      <c r="EV20" s="4">
        <v>50</v>
      </c>
      <c r="EW20" s="4">
        <v>50</v>
      </c>
      <c r="EX20" s="4">
        <v>50</v>
      </c>
      <c r="EY20" s="4">
        <v>50</v>
      </c>
      <c r="EZ20" s="4">
        <v>50</v>
      </c>
      <c r="FA20" s="4">
        <v>50</v>
      </c>
      <c r="FB20" s="4">
        <v>50</v>
      </c>
      <c r="FC20" s="4">
        <v>50</v>
      </c>
      <c r="FD20" s="4">
        <v>50</v>
      </c>
      <c r="FE20" s="4">
        <v>50</v>
      </c>
      <c r="FF20" s="4">
        <v>50</v>
      </c>
      <c r="FG20" s="4">
        <v>50</v>
      </c>
      <c r="FH20" s="4">
        <v>50</v>
      </c>
      <c r="FI20" s="4">
        <v>50</v>
      </c>
      <c r="FJ20" s="4">
        <v>50</v>
      </c>
      <c r="FK20" s="4">
        <v>50</v>
      </c>
      <c r="FL20" s="4">
        <v>50</v>
      </c>
      <c r="FM20" s="4">
        <v>50</v>
      </c>
      <c r="FN20" s="4">
        <v>50</v>
      </c>
      <c r="FO20" s="4">
        <v>50</v>
      </c>
      <c r="FP20" s="4">
        <v>50</v>
      </c>
      <c r="FQ20" s="4">
        <v>50</v>
      </c>
      <c r="FR20" s="4">
        <v>50</v>
      </c>
      <c r="FS20" s="4">
        <v>50</v>
      </c>
      <c r="FT20" s="4">
        <v>50</v>
      </c>
      <c r="FU20" s="4">
        <v>50</v>
      </c>
      <c r="FV20" s="4">
        <v>250</v>
      </c>
      <c r="FW20" s="4">
        <v>250</v>
      </c>
      <c r="FX20" s="4">
        <v>250</v>
      </c>
      <c r="FY20" s="4">
        <v>250</v>
      </c>
      <c r="FZ20" s="4">
        <v>250</v>
      </c>
      <c r="GA20" s="4">
        <v>250</v>
      </c>
      <c r="GB20" s="4">
        <v>250</v>
      </c>
      <c r="GC20" s="4">
        <v>250</v>
      </c>
      <c r="GD20" s="4">
        <v>250</v>
      </c>
      <c r="GE20" s="4">
        <v>250</v>
      </c>
      <c r="GF20" s="4">
        <v>250</v>
      </c>
      <c r="GG20" s="4">
        <v>250</v>
      </c>
      <c r="GH20" s="4">
        <v>250</v>
      </c>
      <c r="GI20" s="4">
        <v>250</v>
      </c>
      <c r="GJ20" s="4">
        <v>50</v>
      </c>
      <c r="GK20" s="4">
        <v>50</v>
      </c>
      <c r="GL20" s="4">
        <v>50</v>
      </c>
      <c r="GM20" s="4">
        <v>50</v>
      </c>
      <c r="GN20" s="4">
        <v>50</v>
      </c>
      <c r="GO20" s="4">
        <v>50</v>
      </c>
      <c r="GP20" s="4">
        <v>50</v>
      </c>
      <c r="GQ20" s="4">
        <v>50</v>
      </c>
      <c r="GR20" s="4">
        <v>50</v>
      </c>
      <c r="GS20" s="4">
        <v>50</v>
      </c>
      <c r="GT20" s="4">
        <v>50</v>
      </c>
      <c r="GU20" s="4">
        <v>50</v>
      </c>
      <c r="GV20" s="4">
        <v>50</v>
      </c>
      <c r="GW20" s="4">
        <v>50</v>
      </c>
      <c r="GX20" s="4">
        <v>50</v>
      </c>
      <c r="GY20" s="4">
        <v>50</v>
      </c>
      <c r="GZ20" s="4">
        <v>50</v>
      </c>
      <c r="HA20" s="4">
        <v>50</v>
      </c>
      <c r="HB20" s="4">
        <v>50</v>
      </c>
      <c r="HC20" s="4">
        <v>50</v>
      </c>
      <c r="HD20" s="4">
        <v>50</v>
      </c>
      <c r="HE20" s="4">
        <v>50</v>
      </c>
      <c r="HF20" s="4">
        <v>50</v>
      </c>
      <c r="HG20" s="4">
        <v>50</v>
      </c>
      <c r="HH20" s="4">
        <v>50</v>
      </c>
      <c r="HI20" s="4">
        <v>50</v>
      </c>
      <c r="HJ20" s="4">
        <v>50</v>
      </c>
      <c r="HK20" s="4">
        <v>50</v>
      </c>
      <c r="HL20" s="4">
        <v>50</v>
      </c>
      <c r="HM20" s="4">
        <v>50</v>
      </c>
      <c r="HN20" s="4">
        <v>50</v>
      </c>
      <c r="HO20" s="4">
        <v>50</v>
      </c>
      <c r="HP20" s="4">
        <v>50</v>
      </c>
      <c r="HQ20" s="4">
        <v>50</v>
      </c>
      <c r="HR20" s="4">
        <v>50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</v>
      </c>
      <c r="JO20" s="4">
        <v>0</v>
      </c>
      <c r="JP20" s="4">
        <v>0</v>
      </c>
      <c r="JQ20" s="4">
        <v>0</v>
      </c>
      <c r="JR20" s="4">
        <v>0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0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0</v>
      </c>
      <c r="KY20" s="4">
        <v>0</v>
      </c>
      <c r="KZ20" s="4">
        <v>0</v>
      </c>
      <c r="LA20" s="4">
        <v>0</v>
      </c>
      <c r="LB20" s="4">
        <v>0</v>
      </c>
      <c r="LC20" s="4">
        <v>0</v>
      </c>
      <c r="LD20" s="4">
        <v>0</v>
      </c>
      <c r="LE20" s="4">
        <v>0</v>
      </c>
      <c r="LF20" s="4">
        <v>0</v>
      </c>
      <c r="LG20" s="4">
        <v>0</v>
      </c>
      <c r="LH20" s="4">
        <v>0</v>
      </c>
      <c r="LI20" s="4">
        <v>0</v>
      </c>
      <c r="LJ20" s="4">
        <v>0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0</v>
      </c>
      <c r="LW20" s="4">
        <v>0</v>
      </c>
      <c r="LX20" s="4">
        <v>0</v>
      </c>
      <c r="LY20" s="4">
        <v>0</v>
      </c>
      <c r="LZ20" s="4">
        <v>0</v>
      </c>
      <c r="MA20" s="4">
        <v>0</v>
      </c>
      <c r="MB20" s="4">
        <v>0</v>
      </c>
      <c r="MC20" s="4">
        <v>0</v>
      </c>
      <c r="MD20" s="4">
        <v>0</v>
      </c>
      <c r="ME20" s="4">
        <v>0</v>
      </c>
      <c r="MF20" s="4">
        <v>0</v>
      </c>
      <c r="MG20" s="4">
        <v>0</v>
      </c>
      <c r="MH20" s="4">
        <v>0</v>
      </c>
      <c r="MI20" s="4">
        <v>0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0</v>
      </c>
      <c r="MV20" s="4">
        <v>0</v>
      </c>
    </row>
    <row r="21" spans="1:361">
      <c r="E21" s="4" t="s">
        <v>113</v>
      </c>
      <c r="G21" s="4" t="s">
        <v>114</v>
      </c>
      <c r="J21" s="4" cm="1">
        <f t="array" ref="J21:MV21" xml:space="preserve"> IF( ISNUMBER( _xlfn.XMATCH(_xlfn.ANCHORARRAY( J11), tbl_SeasonTicketSale[Date sold] ) ), 1, 0 )</f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1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1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1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1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1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1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1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1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1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1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1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1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1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1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1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1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1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1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1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1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1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1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1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1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1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  <c r="IR21" s="4">
        <v>0</v>
      </c>
      <c r="IS21" s="4">
        <v>0</v>
      </c>
      <c r="IT21" s="4">
        <v>0</v>
      </c>
      <c r="IU21" s="4">
        <v>0</v>
      </c>
      <c r="IV21" s="4">
        <v>0</v>
      </c>
      <c r="IW21" s="4">
        <v>0</v>
      </c>
      <c r="IX21" s="4">
        <v>0</v>
      </c>
      <c r="IY21" s="4">
        <v>0</v>
      </c>
      <c r="IZ21" s="4">
        <v>0</v>
      </c>
      <c r="JA21" s="4">
        <v>0</v>
      </c>
      <c r="JB21" s="4">
        <v>0</v>
      </c>
      <c r="JC21" s="4">
        <v>0</v>
      </c>
      <c r="JD21" s="4">
        <v>0</v>
      </c>
      <c r="JE21" s="4">
        <v>0</v>
      </c>
      <c r="JF21" s="4">
        <v>0</v>
      </c>
      <c r="JG21" s="4">
        <v>0</v>
      </c>
      <c r="JH21" s="4">
        <v>0</v>
      </c>
      <c r="JI21" s="4">
        <v>0</v>
      </c>
      <c r="JJ21" s="4">
        <v>0</v>
      </c>
      <c r="JK21" s="4">
        <v>0</v>
      </c>
      <c r="JL21" s="4">
        <v>0</v>
      </c>
      <c r="JM21" s="4">
        <v>0</v>
      </c>
      <c r="JN21" s="4">
        <v>0</v>
      </c>
      <c r="JO21" s="4">
        <v>0</v>
      </c>
      <c r="JP21" s="4">
        <v>0</v>
      </c>
      <c r="JQ21" s="4">
        <v>0</v>
      </c>
      <c r="JR21" s="4">
        <v>0</v>
      </c>
      <c r="JS21" s="4">
        <v>0</v>
      </c>
      <c r="JT21" s="4">
        <v>0</v>
      </c>
      <c r="JU21" s="4">
        <v>0</v>
      </c>
      <c r="JV21" s="4">
        <v>0</v>
      </c>
      <c r="JW21" s="4">
        <v>0</v>
      </c>
      <c r="JX21" s="4">
        <v>0</v>
      </c>
      <c r="JY21" s="4">
        <v>0</v>
      </c>
      <c r="JZ21" s="4">
        <v>0</v>
      </c>
      <c r="KA21" s="4">
        <v>0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4">
        <v>0</v>
      </c>
      <c r="KH21" s="4">
        <v>0</v>
      </c>
      <c r="KI21" s="4">
        <v>0</v>
      </c>
      <c r="KJ21" s="4">
        <v>0</v>
      </c>
      <c r="KK21" s="4">
        <v>0</v>
      </c>
      <c r="KL21" s="4">
        <v>0</v>
      </c>
      <c r="KM21" s="4">
        <v>0</v>
      </c>
      <c r="KN21" s="4">
        <v>0</v>
      </c>
      <c r="KO21" s="4">
        <v>0</v>
      </c>
      <c r="KP21" s="4">
        <v>0</v>
      </c>
      <c r="KQ21" s="4">
        <v>0</v>
      </c>
      <c r="KR21" s="4">
        <v>0</v>
      </c>
      <c r="KS21" s="4">
        <v>0</v>
      </c>
      <c r="KT21" s="4">
        <v>0</v>
      </c>
      <c r="KU21" s="4">
        <v>0</v>
      </c>
      <c r="KV21" s="4">
        <v>0</v>
      </c>
      <c r="KW21" s="4">
        <v>0</v>
      </c>
      <c r="KX21" s="4">
        <v>0</v>
      </c>
      <c r="KY21" s="4">
        <v>0</v>
      </c>
      <c r="KZ21" s="4">
        <v>0</v>
      </c>
      <c r="LA21" s="4">
        <v>0</v>
      </c>
      <c r="LB21" s="4">
        <v>0</v>
      </c>
      <c r="LC21" s="4">
        <v>0</v>
      </c>
      <c r="LD21" s="4">
        <v>0</v>
      </c>
      <c r="LE21" s="4">
        <v>0</v>
      </c>
      <c r="LF21" s="4">
        <v>0</v>
      </c>
      <c r="LG21" s="4">
        <v>0</v>
      </c>
      <c r="LH21" s="4">
        <v>0</v>
      </c>
      <c r="LI21" s="4">
        <v>0</v>
      </c>
      <c r="LJ21" s="4">
        <v>0</v>
      </c>
      <c r="LK21" s="4">
        <v>0</v>
      </c>
      <c r="LL21" s="4">
        <v>0</v>
      </c>
      <c r="LM21" s="4">
        <v>0</v>
      </c>
      <c r="LN21" s="4">
        <v>0</v>
      </c>
      <c r="LO21" s="4">
        <v>0</v>
      </c>
      <c r="LP21" s="4">
        <v>0</v>
      </c>
      <c r="LQ21" s="4">
        <v>0</v>
      </c>
      <c r="LR21" s="4">
        <v>0</v>
      </c>
      <c r="LS21" s="4">
        <v>0</v>
      </c>
      <c r="LT21" s="4">
        <v>0</v>
      </c>
      <c r="LU21" s="4">
        <v>0</v>
      </c>
      <c r="LV21" s="4">
        <v>0</v>
      </c>
      <c r="LW21" s="4">
        <v>0</v>
      </c>
      <c r="LX21" s="4">
        <v>0</v>
      </c>
      <c r="LY21" s="4">
        <v>0</v>
      </c>
      <c r="LZ21" s="4">
        <v>0</v>
      </c>
      <c r="MA21" s="4">
        <v>0</v>
      </c>
      <c r="MB21" s="4">
        <v>0</v>
      </c>
      <c r="MC21" s="4">
        <v>0</v>
      </c>
      <c r="MD21" s="4">
        <v>0</v>
      </c>
      <c r="ME21" s="4">
        <v>0</v>
      </c>
      <c r="MF21" s="4">
        <v>0</v>
      </c>
      <c r="MG21" s="4">
        <v>0</v>
      </c>
      <c r="MH21" s="4">
        <v>0</v>
      </c>
      <c r="MI21" s="4">
        <v>0</v>
      </c>
      <c r="MJ21" s="4">
        <v>0</v>
      </c>
      <c r="MK21" s="4">
        <v>0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</row>
    <row r="22" spans="1:361">
      <c r="E22" s="131" t="s">
        <v>122</v>
      </c>
      <c r="F22" s="131"/>
      <c r="G22" s="131" t="s">
        <v>115</v>
      </c>
      <c r="H22" s="131" cm="1">
        <f t="array" ref="H22">_xlfn.BYROW(_xlfn.ANCHORARRAY( J22), _xleta.SUM )</f>
        <v>30000</v>
      </c>
      <c r="I22" s="131"/>
      <c r="J22" s="131" cm="1">
        <f t="array" ref="J22:MV22" xml:space="preserve"> IF( SpreadSTs,_xlfn.ANCHORARRAY( J20) / 7,_xlfn.ANCHORARRAY( J20) *_xlfn.ANCHORARRAY( J21) )</f>
        <v>4800</v>
      </c>
      <c r="K22" s="131">
        <v>0</v>
      </c>
      <c r="L22" s="131">
        <v>0</v>
      </c>
      <c r="M22" s="131">
        <v>0</v>
      </c>
      <c r="N22" s="131">
        <v>0</v>
      </c>
      <c r="O22" s="131">
        <v>0</v>
      </c>
      <c r="P22" s="131">
        <v>0</v>
      </c>
      <c r="Q22" s="131">
        <v>3800</v>
      </c>
      <c r="R22" s="131">
        <v>0</v>
      </c>
      <c r="S22" s="131">
        <v>0</v>
      </c>
      <c r="T22" s="131">
        <v>0</v>
      </c>
      <c r="U22" s="131">
        <v>0</v>
      </c>
      <c r="V22" s="131">
        <v>0</v>
      </c>
      <c r="W22" s="131">
        <v>0</v>
      </c>
      <c r="X22" s="131">
        <v>3400</v>
      </c>
      <c r="Y22" s="131">
        <v>0</v>
      </c>
      <c r="Z22" s="131">
        <v>0</v>
      </c>
      <c r="AA22" s="131">
        <v>0</v>
      </c>
      <c r="AB22" s="131">
        <v>0</v>
      </c>
      <c r="AC22" s="131">
        <v>0</v>
      </c>
      <c r="AD22" s="131">
        <v>0</v>
      </c>
      <c r="AE22" s="131">
        <v>2800</v>
      </c>
      <c r="AF22" s="131">
        <v>0</v>
      </c>
      <c r="AG22" s="131">
        <v>0</v>
      </c>
      <c r="AH22" s="131">
        <v>0</v>
      </c>
      <c r="AI22" s="131">
        <v>0</v>
      </c>
      <c r="AJ22" s="131">
        <v>0</v>
      </c>
      <c r="AK22" s="131">
        <v>0</v>
      </c>
      <c r="AL22" s="131">
        <v>2700</v>
      </c>
      <c r="AM22" s="131">
        <v>0</v>
      </c>
      <c r="AN22" s="131">
        <v>0</v>
      </c>
      <c r="AO22" s="131">
        <v>0</v>
      </c>
      <c r="AP22" s="131">
        <v>0</v>
      </c>
      <c r="AQ22" s="131">
        <v>0</v>
      </c>
      <c r="AR22" s="131">
        <v>0</v>
      </c>
      <c r="AS22" s="131">
        <v>2750</v>
      </c>
      <c r="AT22" s="131">
        <v>0</v>
      </c>
      <c r="AU22" s="131">
        <v>0</v>
      </c>
      <c r="AV22" s="131">
        <v>0</v>
      </c>
      <c r="AW22" s="131">
        <v>0</v>
      </c>
      <c r="AX22" s="131">
        <v>0</v>
      </c>
      <c r="AY22" s="131">
        <v>0</v>
      </c>
      <c r="AZ22" s="131">
        <v>2600</v>
      </c>
      <c r="BA22" s="131">
        <v>0</v>
      </c>
      <c r="BB22" s="131">
        <v>0</v>
      </c>
      <c r="BC22" s="131">
        <v>0</v>
      </c>
      <c r="BD22" s="131">
        <v>0</v>
      </c>
      <c r="BE22" s="131">
        <v>0</v>
      </c>
      <c r="BF22" s="131">
        <v>0</v>
      </c>
      <c r="BG22" s="131">
        <v>2800</v>
      </c>
      <c r="BH22" s="131">
        <v>0</v>
      </c>
      <c r="BI22" s="131">
        <v>0</v>
      </c>
      <c r="BJ22" s="131">
        <v>0</v>
      </c>
      <c r="BK22" s="131">
        <v>0</v>
      </c>
      <c r="BL22" s="131">
        <v>0</v>
      </c>
      <c r="BM22" s="131">
        <v>0</v>
      </c>
      <c r="BN22" s="131">
        <v>1400</v>
      </c>
      <c r="BO22" s="131">
        <v>0</v>
      </c>
      <c r="BP22" s="131">
        <v>0</v>
      </c>
      <c r="BQ22" s="131">
        <v>0</v>
      </c>
      <c r="BR22" s="131">
        <v>0</v>
      </c>
      <c r="BS22" s="131">
        <v>0</v>
      </c>
      <c r="BT22" s="131">
        <v>0</v>
      </c>
      <c r="BU22" s="131">
        <v>800</v>
      </c>
      <c r="BV22" s="131">
        <v>0</v>
      </c>
      <c r="BW22" s="131">
        <v>0</v>
      </c>
      <c r="BX22" s="131">
        <v>0</v>
      </c>
      <c r="BY22" s="131">
        <v>0</v>
      </c>
      <c r="BZ22" s="131">
        <v>0</v>
      </c>
      <c r="CA22" s="131">
        <v>0</v>
      </c>
      <c r="CB22" s="131">
        <v>500</v>
      </c>
      <c r="CC22" s="131">
        <v>0</v>
      </c>
      <c r="CD22" s="131">
        <v>0</v>
      </c>
      <c r="CE22" s="131">
        <v>0</v>
      </c>
      <c r="CF22" s="131">
        <v>0</v>
      </c>
      <c r="CG22" s="131">
        <v>0</v>
      </c>
      <c r="CH22" s="131">
        <v>0</v>
      </c>
      <c r="CI22" s="131">
        <v>200</v>
      </c>
      <c r="CJ22" s="131">
        <v>0</v>
      </c>
      <c r="CK22" s="131">
        <v>0</v>
      </c>
      <c r="CL22" s="131">
        <v>0</v>
      </c>
      <c r="CM22" s="131">
        <v>0</v>
      </c>
      <c r="CN22" s="131">
        <v>0</v>
      </c>
      <c r="CO22" s="131">
        <v>0</v>
      </c>
      <c r="CP22" s="131">
        <v>150</v>
      </c>
      <c r="CQ22" s="131">
        <v>0</v>
      </c>
      <c r="CR22" s="131">
        <v>0</v>
      </c>
      <c r="CS22" s="131">
        <v>0</v>
      </c>
      <c r="CT22" s="131">
        <v>0</v>
      </c>
      <c r="CU22" s="131">
        <v>0</v>
      </c>
      <c r="CV22" s="131">
        <v>0</v>
      </c>
      <c r="CW22" s="131">
        <v>50</v>
      </c>
      <c r="CX22" s="131">
        <v>0</v>
      </c>
      <c r="CY22" s="131">
        <v>0</v>
      </c>
      <c r="CZ22" s="131">
        <v>0</v>
      </c>
      <c r="DA22" s="131">
        <v>0</v>
      </c>
      <c r="DB22" s="131">
        <v>0</v>
      </c>
      <c r="DC22" s="131">
        <v>0</v>
      </c>
      <c r="DD22" s="131">
        <v>50</v>
      </c>
      <c r="DE22" s="131">
        <v>0</v>
      </c>
      <c r="DF22" s="131">
        <v>0</v>
      </c>
      <c r="DG22" s="131">
        <v>0</v>
      </c>
      <c r="DH22" s="131">
        <v>0</v>
      </c>
      <c r="DI22" s="131">
        <v>0</v>
      </c>
      <c r="DJ22" s="131">
        <v>0</v>
      </c>
      <c r="DK22" s="131">
        <v>50</v>
      </c>
      <c r="DL22" s="131">
        <v>0</v>
      </c>
      <c r="DM22" s="131">
        <v>0</v>
      </c>
      <c r="DN22" s="131">
        <v>0</v>
      </c>
      <c r="DO22" s="131">
        <v>0</v>
      </c>
      <c r="DP22" s="131">
        <v>0</v>
      </c>
      <c r="DQ22" s="131">
        <v>0</v>
      </c>
      <c r="DR22" s="131">
        <v>50</v>
      </c>
      <c r="DS22" s="131">
        <v>0</v>
      </c>
      <c r="DT22" s="131">
        <v>0</v>
      </c>
      <c r="DU22" s="131">
        <v>0</v>
      </c>
      <c r="DV22" s="131">
        <v>0</v>
      </c>
      <c r="DW22" s="131">
        <v>0</v>
      </c>
      <c r="DX22" s="131">
        <v>0</v>
      </c>
      <c r="DY22" s="131">
        <v>50</v>
      </c>
      <c r="DZ22" s="131">
        <v>0</v>
      </c>
      <c r="EA22" s="131">
        <v>0</v>
      </c>
      <c r="EB22" s="131">
        <v>0</v>
      </c>
      <c r="EC22" s="131">
        <v>0</v>
      </c>
      <c r="ED22" s="131">
        <v>0</v>
      </c>
      <c r="EE22" s="131">
        <v>0</v>
      </c>
      <c r="EF22" s="131">
        <v>50</v>
      </c>
      <c r="EG22" s="131">
        <v>0</v>
      </c>
      <c r="EH22" s="131">
        <v>0</v>
      </c>
      <c r="EI22" s="131">
        <v>0</v>
      </c>
      <c r="EJ22" s="131">
        <v>0</v>
      </c>
      <c r="EK22" s="131">
        <v>0</v>
      </c>
      <c r="EL22" s="131">
        <v>0</v>
      </c>
      <c r="EM22" s="131">
        <v>50</v>
      </c>
      <c r="EN22" s="131">
        <v>0</v>
      </c>
      <c r="EO22" s="131">
        <v>0</v>
      </c>
      <c r="EP22" s="131">
        <v>0</v>
      </c>
      <c r="EQ22" s="131">
        <v>0</v>
      </c>
      <c r="ER22" s="131">
        <v>0</v>
      </c>
      <c r="ES22" s="131">
        <v>0</v>
      </c>
      <c r="ET22" s="131">
        <v>50</v>
      </c>
      <c r="EU22" s="131">
        <v>0</v>
      </c>
      <c r="EV22" s="131">
        <v>0</v>
      </c>
      <c r="EW22" s="131">
        <v>0</v>
      </c>
      <c r="EX22" s="131">
        <v>0</v>
      </c>
      <c r="EY22" s="131">
        <v>0</v>
      </c>
      <c r="EZ22" s="131">
        <v>0</v>
      </c>
      <c r="FA22" s="131">
        <v>50</v>
      </c>
      <c r="FB22" s="131">
        <v>0</v>
      </c>
      <c r="FC22" s="131">
        <v>0</v>
      </c>
      <c r="FD22" s="131">
        <v>0</v>
      </c>
      <c r="FE22" s="131">
        <v>0</v>
      </c>
      <c r="FF22" s="131">
        <v>0</v>
      </c>
      <c r="FG22" s="131">
        <v>0</v>
      </c>
      <c r="FH22" s="131">
        <v>50</v>
      </c>
      <c r="FI22" s="131">
        <v>0</v>
      </c>
      <c r="FJ22" s="131">
        <v>0</v>
      </c>
      <c r="FK22" s="131">
        <v>0</v>
      </c>
      <c r="FL22" s="131">
        <v>0</v>
      </c>
      <c r="FM22" s="131">
        <v>0</v>
      </c>
      <c r="FN22" s="131">
        <v>0</v>
      </c>
      <c r="FO22" s="131">
        <v>50</v>
      </c>
      <c r="FP22" s="131">
        <v>0</v>
      </c>
      <c r="FQ22" s="131">
        <v>0</v>
      </c>
      <c r="FR22" s="131">
        <v>0</v>
      </c>
      <c r="FS22" s="131">
        <v>0</v>
      </c>
      <c r="FT22" s="131">
        <v>0</v>
      </c>
      <c r="FU22" s="131">
        <v>0</v>
      </c>
      <c r="FV22" s="131">
        <v>250</v>
      </c>
      <c r="FW22" s="131">
        <v>0</v>
      </c>
      <c r="FX22" s="131">
        <v>0</v>
      </c>
      <c r="FY22" s="131">
        <v>0</v>
      </c>
      <c r="FZ22" s="131">
        <v>0</v>
      </c>
      <c r="GA22" s="131">
        <v>0</v>
      </c>
      <c r="GB22" s="131">
        <v>0</v>
      </c>
      <c r="GC22" s="131">
        <v>250</v>
      </c>
      <c r="GD22" s="131">
        <v>0</v>
      </c>
      <c r="GE22" s="131">
        <v>0</v>
      </c>
      <c r="GF22" s="131">
        <v>0</v>
      </c>
      <c r="GG22" s="131">
        <v>0</v>
      </c>
      <c r="GH22" s="131">
        <v>0</v>
      </c>
      <c r="GI22" s="131">
        <v>0</v>
      </c>
      <c r="GJ22" s="131">
        <v>50</v>
      </c>
      <c r="GK22" s="131">
        <v>0</v>
      </c>
      <c r="GL22" s="131">
        <v>0</v>
      </c>
      <c r="GM22" s="131">
        <v>0</v>
      </c>
      <c r="GN22" s="131">
        <v>0</v>
      </c>
      <c r="GO22" s="131">
        <v>0</v>
      </c>
      <c r="GP22" s="131">
        <v>0</v>
      </c>
      <c r="GQ22" s="131">
        <v>50</v>
      </c>
      <c r="GR22" s="131">
        <v>0</v>
      </c>
      <c r="GS22" s="131">
        <v>0</v>
      </c>
      <c r="GT22" s="131">
        <v>0</v>
      </c>
      <c r="GU22" s="131">
        <v>0</v>
      </c>
      <c r="GV22" s="131">
        <v>0</v>
      </c>
      <c r="GW22" s="131">
        <v>0</v>
      </c>
      <c r="GX22" s="131">
        <v>50</v>
      </c>
      <c r="GY22" s="131">
        <v>0</v>
      </c>
      <c r="GZ22" s="131">
        <v>0</v>
      </c>
      <c r="HA22" s="131">
        <v>0</v>
      </c>
      <c r="HB22" s="131">
        <v>0</v>
      </c>
      <c r="HC22" s="131">
        <v>0</v>
      </c>
      <c r="HD22" s="131">
        <v>0</v>
      </c>
      <c r="HE22" s="131">
        <v>50</v>
      </c>
      <c r="HF22" s="131">
        <v>0</v>
      </c>
      <c r="HG22" s="131">
        <v>0</v>
      </c>
      <c r="HH22" s="131">
        <v>0</v>
      </c>
      <c r="HI22" s="131">
        <v>0</v>
      </c>
      <c r="HJ22" s="131">
        <v>0</v>
      </c>
      <c r="HK22" s="131">
        <v>0</v>
      </c>
      <c r="HL22" s="131">
        <v>50</v>
      </c>
      <c r="HM22" s="131">
        <v>0</v>
      </c>
      <c r="HN22" s="131">
        <v>0</v>
      </c>
      <c r="HO22" s="131">
        <v>0</v>
      </c>
      <c r="HP22" s="131">
        <v>0</v>
      </c>
      <c r="HQ22" s="131">
        <v>0</v>
      </c>
      <c r="HR22" s="131">
        <v>0</v>
      </c>
      <c r="HS22" s="131">
        <v>0</v>
      </c>
      <c r="HT22" s="131">
        <v>0</v>
      </c>
      <c r="HU22" s="131">
        <v>0</v>
      </c>
      <c r="HV22" s="131">
        <v>0</v>
      </c>
      <c r="HW22" s="131">
        <v>0</v>
      </c>
      <c r="HX22" s="131">
        <v>0</v>
      </c>
      <c r="HY22" s="131">
        <v>0</v>
      </c>
      <c r="HZ22" s="131">
        <v>0</v>
      </c>
      <c r="IA22" s="131">
        <v>0</v>
      </c>
      <c r="IB22" s="131">
        <v>0</v>
      </c>
      <c r="IC22" s="131">
        <v>0</v>
      </c>
      <c r="ID22" s="131">
        <v>0</v>
      </c>
      <c r="IE22" s="131">
        <v>0</v>
      </c>
      <c r="IF22" s="131">
        <v>0</v>
      </c>
      <c r="IG22" s="131">
        <v>0</v>
      </c>
      <c r="IH22" s="131">
        <v>0</v>
      </c>
      <c r="II22" s="131">
        <v>0</v>
      </c>
      <c r="IJ22" s="131">
        <v>0</v>
      </c>
      <c r="IK22" s="131">
        <v>0</v>
      </c>
      <c r="IL22" s="131">
        <v>0</v>
      </c>
      <c r="IM22" s="131">
        <v>0</v>
      </c>
      <c r="IN22" s="131">
        <v>0</v>
      </c>
      <c r="IO22" s="131">
        <v>0</v>
      </c>
      <c r="IP22" s="131">
        <v>0</v>
      </c>
      <c r="IQ22" s="131">
        <v>0</v>
      </c>
      <c r="IR22" s="131">
        <v>0</v>
      </c>
      <c r="IS22" s="131">
        <v>0</v>
      </c>
      <c r="IT22" s="131">
        <v>0</v>
      </c>
      <c r="IU22" s="131">
        <v>0</v>
      </c>
      <c r="IV22" s="131">
        <v>0</v>
      </c>
      <c r="IW22" s="131">
        <v>0</v>
      </c>
      <c r="IX22" s="131">
        <v>0</v>
      </c>
      <c r="IY22" s="131">
        <v>0</v>
      </c>
      <c r="IZ22" s="131">
        <v>0</v>
      </c>
      <c r="JA22" s="131">
        <v>0</v>
      </c>
      <c r="JB22" s="131">
        <v>0</v>
      </c>
      <c r="JC22" s="131">
        <v>0</v>
      </c>
      <c r="JD22" s="131">
        <v>0</v>
      </c>
      <c r="JE22" s="131">
        <v>0</v>
      </c>
      <c r="JF22" s="131">
        <v>0</v>
      </c>
      <c r="JG22" s="131">
        <v>0</v>
      </c>
      <c r="JH22" s="131">
        <v>0</v>
      </c>
      <c r="JI22" s="131">
        <v>0</v>
      </c>
      <c r="JJ22" s="131">
        <v>0</v>
      </c>
      <c r="JK22" s="131">
        <v>0</v>
      </c>
      <c r="JL22" s="131">
        <v>0</v>
      </c>
      <c r="JM22" s="131">
        <v>0</v>
      </c>
      <c r="JN22" s="131">
        <v>0</v>
      </c>
      <c r="JO22" s="131">
        <v>0</v>
      </c>
      <c r="JP22" s="131">
        <v>0</v>
      </c>
      <c r="JQ22" s="131">
        <v>0</v>
      </c>
      <c r="JR22" s="131">
        <v>0</v>
      </c>
      <c r="JS22" s="131">
        <v>0</v>
      </c>
      <c r="JT22" s="131">
        <v>0</v>
      </c>
      <c r="JU22" s="131">
        <v>0</v>
      </c>
      <c r="JV22" s="131">
        <v>0</v>
      </c>
      <c r="JW22" s="131">
        <v>0</v>
      </c>
      <c r="JX22" s="131">
        <v>0</v>
      </c>
      <c r="JY22" s="131">
        <v>0</v>
      </c>
      <c r="JZ22" s="131">
        <v>0</v>
      </c>
      <c r="KA22" s="131">
        <v>0</v>
      </c>
      <c r="KB22" s="131">
        <v>0</v>
      </c>
      <c r="KC22" s="131">
        <v>0</v>
      </c>
      <c r="KD22" s="131">
        <v>0</v>
      </c>
      <c r="KE22" s="131">
        <v>0</v>
      </c>
      <c r="KF22" s="131">
        <v>0</v>
      </c>
      <c r="KG22" s="131">
        <v>0</v>
      </c>
      <c r="KH22" s="131">
        <v>0</v>
      </c>
      <c r="KI22" s="131">
        <v>0</v>
      </c>
      <c r="KJ22" s="131">
        <v>0</v>
      </c>
      <c r="KK22" s="131">
        <v>0</v>
      </c>
      <c r="KL22" s="131">
        <v>0</v>
      </c>
      <c r="KM22" s="131">
        <v>0</v>
      </c>
      <c r="KN22" s="131">
        <v>0</v>
      </c>
      <c r="KO22" s="131">
        <v>0</v>
      </c>
      <c r="KP22" s="131">
        <v>0</v>
      </c>
      <c r="KQ22" s="131">
        <v>0</v>
      </c>
      <c r="KR22" s="131">
        <v>0</v>
      </c>
      <c r="KS22" s="131">
        <v>0</v>
      </c>
      <c r="KT22" s="131">
        <v>0</v>
      </c>
      <c r="KU22" s="131">
        <v>0</v>
      </c>
      <c r="KV22" s="131">
        <v>0</v>
      </c>
      <c r="KW22" s="131">
        <v>0</v>
      </c>
      <c r="KX22" s="131">
        <v>0</v>
      </c>
      <c r="KY22" s="131">
        <v>0</v>
      </c>
      <c r="KZ22" s="131">
        <v>0</v>
      </c>
      <c r="LA22" s="131">
        <v>0</v>
      </c>
      <c r="LB22" s="131">
        <v>0</v>
      </c>
      <c r="LC22" s="131">
        <v>0</v>
      </c>
      <c r="LD22" s="131">
        <v>0</v>
      </c>
      <c r="LE22" s="131">
        <v>0</v>
      </c>
      <c r="LF22" s="131">
        <v>0</v>
      </c>
      <c r="LG22" s="131">
        <v>0</v>
      </c>
      <c r="LH22" s="131">
        <v>0</v>
      </c>
      <c r="LI22" s="131">
        <v>0</v>
      </c>
      <c r="LJ22" s="131">
        <v>0</v>
      </c>
      <c r="LK22" s="131">
        <v>0</v>
      </c>
      <c r="LL22" s="131">
        <v>0</v>
      </c>
      <c r="LM22" s="131">
        <v>0</v>
      </c>
      <c r="LN22" s="131">
        <v>0</v>
      </c>
      <c r="LO22" s="131">
        <v>0</v>
      </c>
      <c r="LP22" s="131">
        <v>0</v>
      </c>
      <c r="LQ22" s="131">
        <v>0</v>
      </c>
      <c r="LR22" s="131">
        <v>0</v>
      </c>
      <c r="LS22" s="131">
        <v>0</v>
      </c>
      <c r="LT22" s="131">
        <v>0</v>
      </c>
      <c r="LU22" s="131">
        <v>0</v>
      </c>
      <c r="LV22" s="131">
        <v>0</v>
      </c>
      <c r="LW22" s="131">
        <v>0</v>
      </c>
      <c r="LX22" s="131">
        <v>0</v>
      </c>
      <c r="LY22" s="131">
        <v>0</v>
      </c>
      <c r="LZ22" s="131">
        <v>0</v>
      </c>
      <c r="MA22" s="131">
        <v>0</v>
      </c>
      <c r="MB22" s="131">
        <v>0</v>
      </c>
      <c r="MC22" s="131">
        <v>0</v>
      </c>
      <c r="MD22" s="131">
        <v>0</v>
      </c>
      <c r="ME22" s="131">
        <v>0</v>
      </c>
      <c r="MF22" s="131">
        <v>0</v>
      </c>
      <c r="MG22" s="131">
        <v>0</v>
      </c>
      <c r="MH22" s="131">
        <v>0</v>
      </c>
      <c r="MI22" s="131">
        <v>0</v>
      </c>
      <c r="MJ22" s="131">
        <v>0</v>
      </c>
      <c r="MK22" s="131">
        <v>0</v>
      </c>
      <c r="ML22" s="131">
        <v>0</v>
      </c>
      <c r="MM22" s="131">
        <v>0</v>
      </c>
      <c r="MN22" s="131">
        <v>0</v>
      </c>
      <c r="MO22" s="131">
        <v>0</v>
      </c>
      <c r="MP22" s="131">
        <v>0</v>
      </c>
      <c r="MQ22" s="131">
        <v>0</v>
      </c>
      <c r="MR22" s="131">
        <v>0</v>
      </c>
      <c r="MS22" s="131">
        <v>0</v>
      </c>
      <c r="MT22" s="131">
        <v>0</v>
      </c>
      <c r="MU22" s="131">
        <v>0</v>
      </c>
      <c r="MV22" s="131">
        <v>0</v>
      </c>
    </row>
    <row r="24" spans="1:361">
      <c r="E24" s="4" t="s">
        <v>116</v>
      </c>
      <c r="G24" s="4" t="s">
        <v>111</v>
      </c>
      <c r="H24" s="4" cm="1">
        <f t="array" ref="H24">_xlfn.BYROW(_xlfn.ANCHORARRAY( J24), _xleta.SUM )</f>
        <v>22500000</v>
      </c>
      <c r="J24" s="4" cm="1">
        <f t="array" ref="J24:MV24">_xlfn.ANCHORARRAY( J22) * SeasonTicketPrice</f>
        <v>3600000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2850000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2550000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2100000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2025000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2062500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1950000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2100000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1050000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600000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375000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150000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112500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37500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37500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37500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37500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37500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37500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37500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37500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37500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37500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37500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187500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187500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37500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37500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37500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37500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37500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  <c r="IR24" s="4">
        <v>0</v>
      </c>
      <c r="IS24" s="4">
        <v>0</v>
      </c>
      <c r="IT24" s="4">
        <v>0</v>
      </c>
      <c r="IU24" s="4">
        <v>0</v>
      </c>
      <c r="IV24" s="4">
        <v>0</v>
      </c>
      <c r="IW24" s="4">
        <v>0</v>
      </c>
      <c r="IX24" s="4">
        <v>0</v>
      </c>
      <c r="IY24" s="4">
        <v>0</v>
      </c>
      <c r="IZ24" s="4">
        <v>0</v>
      </c>
      <c r="JA24" s="4">
        <v>0</v>
      </c>
      <c r="JB24" s="4">
        <v>0</v>
      </c>
      <c r="JC24" s="4">
        <v>0</v>
      </c>
      <c r="JD24" s="4">
        <v>0</v>
      </c>
      <c r="JE24" s="4">
        <v>0</v>
      </c>
      <c r="JF24" s="4">
        <v>0</v>
      </c>
      <c r="JG24" s="4">
        <v>0</v>
      </c>
      <c r="JH24" s="4">
        <v>0</v>
      </c>
      <c r="JI24" s="4">
        <v>0</v>
      </c>
      <c r="JJ24" s="4">
        <v>0</v>
      </c>
      <c r="JK24" s="4">
        <v>0</v>
      </c>
      <c r="JL24" s="4">
        <v>0</v>
      </c>
      <c r="JM24" s="4">
        <v>0</v>
      </c>
      <c r="JN24" s="4">
        <v>0</v>
      </c>
      <c r="JO24" s="4">
        <v>0</v>
      </c>
      <c r="JP24" s="4">
        <v>0</v>
      </c>
      <c r="JQ24" s="4">
        <v>0</v>
      </c>
      <c r="JR24" s="4">
        <v>0</v>
      </c>
      <c r="JS24" s="4">
        <v>0</v>
      </c>
      <c r="JT24" s="4">
        <v>0</v>
      </c>
      <c r="JU24" s="4">
        <v>0</v>
      </c>
      <c r="JV24" s="4">
        <v>0</v>
      </c>
      <c r="JW24" s="4">
        <v>0</v>
      </c>
      <c r="JX24" s="4">
        <v>0</v>
      </c>
      <c r="JY24" s="4">
        <v>0</v>
      </c>
      <c r="JZ24" s="4">
        <v>0</v>
      </c>
      <c r="KA24" s="4">
        <v>0</v>
      </c>
      <c r="KB24" s="4">
        <v>0</v>
      </c>
      <c r="KC24" s="4">
        <v>0</v>
      </c>
      <c r="KD24" s="4">
        <v>0</v>
      </c>
      <c r="KE24" s="4">
        <v>0</v>
      </c>
      <c r="KF24" s="4">
        <v>0</v>
      </c>
      <c r="KG24" s="4">
        <v>0</v>
      </c>
      <c r="KH24" s="4">
        <v>0</v>
      </c>
      <c r="KI24" s="4">
        <v>0</v>
      </c>
      <c r="KJ24" s="4">
        <v>0</v>
      </c>
      <c r="KK24" s="4">
        <v>0</v>
      </c>
      <c r="KL24" s="4">
        <v>0</v>
      </c>
      <c r="KM24" s="4">
        <v>0</v>
      </c>
      <c r="KN24" s="4">
        <v>0</v>
      </c>
      <c r="KO24" s="4">
        <v>0</v>
      </c>
      <c r="KP24" s="4">
        <v>0</v>
      </c>
      <c r="KQ24" s="4">
        <v>0</v>
      </c>
      <c r="KR24" s="4">
        <v>0</v>
      </c>
      <c r="KS24" s="4">
        <v>0</v>
      </c>
      <c r="KT24" s="4">
        <v>0</v>
      </c>
      <c r="KU24" s="4">
        <v>0</v>
      </c>
      <c r="KV24" s="4">
        <v>0</v>
      </c>
      <c r="KW24" s="4">
        <v>0</v>
      </c>
      <c r="KX24" s="4">
        <v>0</v>
      </c>
      <c r="KY24" s="4">
        <v>0</v>
      </c>
      <c r="KZ24" s="4">
        <v>0</v>
      </c>
      <c r="LA24" s="4">
        <v>0</v>
      </c>
      <c r="LB24" s="4">
        <v>0</v>
      </c>
      <c r="LC24" s="4">
        <v>0</v>
      </c>
      <c r="LD24" s="4">
        <v>0</v>
      </c>
      <c r="LE24" s="4">
        <v>0</v>
      </c>
      <c r="LF24" s="4">
        <v>0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0</v>
      </c>
      <c r="LW24" s="4">
        <v>0</v>
      </c>
      <c r="LX24" s="4">
        <v>0</v>
      </c>
      <c r="LY24" s="4">
        <v>0</v>
      </c>
      <c r="LZ24" s="4">
        <v>0</v>
      </c>
      <c r="MA24" s="4">
        <v>0</v>
      </c>
      <c r="MB24" s="4">
        <v>0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0</v>
      </c>
      <c r="MV24" s="4">
        <v>0</v>
      </c>
    </row>
    <row r="25" spans="1:361">
      <c r="E25" s="4" t="s">
        <v>117</v>
      </c>
      <c r="G25" s="4" t="s">
        <v>118</v>
      </c>
      <c r="J25" s="129" cm="1">
        <f t="array" ref="J25:MV25" xml:space="preserve"> _xlfn.LET(
      _xlpm.days_to_game,_xlfn.ANCHORARRAY( J15),
      _xlpm.number_of_games, ROWS( tbl_GameDates[Date] ),
      _xlfn.SCAN( 0, _xlpm.days_to_game, _xlfn.LAMBDA(_xlpm.acc,_xlpm.dtg, IF( _xlpm.dtg = 0, _xlpm.acc + 1 / _xlpm.number_of_games, _xlpm.acc ) ) ) )</f>
        <v>0</v>
      </c>
      <c r="K25" s="129">
        <v>0</v>
      </c>
      <c r="L25" s="129">
        <v>0</v>
      </c>
      <c r="M25" s="129">
        <v>0</v>
      </c>
      <c r="N25" s="129">
        <v>0</v>
      </c>
      <c r="O25" s="129">
        <v>0</v>
      </c>
      <c r="P25" s="129">
        <v>0</v>
      </c>
      <c r="Q25" s="129">
        <v>0</v>
      </c>
      <c r="R25" s="129">
        <v>0</v>
      </c>
      <c r="S25" s="129">
        <v>0</v>
      </c>
      <c r="T25" s="129">
        <v>0</v>
      </c>
      <c r="U25" s="129">
        <v>0</v>
      </c>
      <c r="V25" s="129">
        <v>0</v>
      </c>
      <c r="W25" s="129">
        <v>0</v>
      </c>
      <c r="X25" s="129">
        <v>0</v>
      </c>
      <c r="Y25" s="129">
        <v>0</v>
      </c>
      <c r="Z25" s="129">
        <v>0</v>
      </c>
      <c r="AA25" s="129">
        <v>0</v>
      </c>
      <c r="AB25" s="129">
        <v>0</v>
      </c>
      <c r="AC25" s="129">
        <v>0</v>
      </c>
      <c r="AD25" s="129">
        <v>0</v>
      </c>
      <c r="AE25" s="129">
        <v>0</v>
      </c>
      <c r="AF25" s="129">
        <v>0</v>
      </c>
      <c r="AG25" s="129">
        <v>0</v>
      </c>
      <c r="AH25" s="129">
        <v>0</v>
      </c>
      <c r="AI25" s="129">
        <v>0</v>
      </c>
      <c r="AJ25" s="129">
        <v>0</v>
      </c>
      <c r="AK25" s="129">
        <v>0</v>
      </c>
      <c r="AL25" s="129">
        <v>0</v>
      </c>
      <c r="AM25" s="129">
        <v>0</v>
      </c>
      <c r="AN25" s="129">
        <v>0</v>
      </c>
      <c r="AO25" s="129">
        <v>0</v>
      </c>
      <c r="AP25" s="129">
        <v>0</v>
      </c>
      <c r="AQ25" s="129">
        <v>0</v>
      </c>
      <c r="AR25" s="129">
        <v>0</v>
      </c>
      <c r="AS25" s="129">
        <v>0</v>
      </c>
      <c r="AT25" s="129">
        <v>0</v>
      </c>
      <c r="AU25" s="129">
        <v>0</v>
      </c>
      <c r="AV25" s="129">
        <v>0</v>
      </c>
      <c r="AW25" s="129">
        <v>0</v>
      </c>
      <c r="AX25" s="129">
        <v>0</v>
      </c>
      <c r="AY25" s="129">
        <v>0</v>
      </c>
      <c r="AZ25" s="129">
        <v>0</v>
      </c>
      <c r="BA25" s="129">
        <v>0</v>
      </c>
      <c r="BB25" s="129">
        <v>0</v>
      </c>
      <c r="BC25" s="129">
        <v>0</v>
      </c>
      <c r="BD25" s="129">
        <v>0</v>
      </c>
      <c r="BE25" s="129">
        <v>0</v>
      </c>
      <c r="BF25" s="129">
        <v>0</v>
      </c>
      <c r="BG25" s="129">
        <v>0</v>
      </c>
      <c r="BH25" s="129">
        <v>0</v>
      </c>
      <c r="BI25" s="129">
        <v>0</v>
      </c>
      <c r="BJ25" s="129">
        <v>0</v>
      </c>
      <c r="BK25" s="129">
        <v>0</v>
      </c>
      <c r="BL25" s="129">
        <v>0</v>
      </c>
      <c r="BM25" s="129">
        <v>2.5000000000000001E-2</v>
      </c>
      <c r="BN25" s="129">
        <v>2.5000000000000001E-2</v>
      </c>
      <c r="BO25" s="129">
        <v>2.5000000000000001E-2</v>
      </c>
      <c r="BP25" s="129">
        <v>2.5000000000000001E-2</v>
      </c>
      <c r="BQ25" s="129">
        <v>2.5000000000000001E-2</v>
      </c>
      <c r="BR25" s="129">
        <v>2.5000000000000001E-2</v>
      </c>
      <c r="BS25" s="129">
        <v>2.5000000000000001E-2</v>
      </c>
      <c r="BT25" s="129">
        <v>0.05</v>
      </c>
      <c r="BU25" s="129">
        <v>0.05</v>
      </c>
      <c r="BV25" s="129">
        <v>0.05</v>
      </c>
      <c r="BW25" s="129">
        <v>0.05</v>
      </c>
      <c r="BX25" s="129">
        <v>0.05</v>
      </c>
      <c r="BY25" s="129">
        <v>0.05</v>
      </c>
      <c r="BZ25" s="129">
        <v>0.05</v>
      </c>
      <c r="CA25" s="129">
        <v>7.5000000000000011E-2</v>
      </c>
      <c r="CB25" s="129">
        <v>7.5000000000000011E-2</v>
      </c>
      <c r="CC25" s="129">
        <v>7.5000000000000011E-2</v>
      </c>
      <c r="CD25" s="129">
        <v>7.5000000000000011E-2</v>
      </c>
      <c r="CE25" s="129">
        <v>7.5000000000000011E-2</v>
      </c>
      <c r="CF25" s="129">
        <v>7.5000000000000011E-2</v>
      </c>
      <c r="CG25" s="129">
        <v>7.5000000000000011E-2</v>
      </c>
      <c r="CH25" s="129">
        <v>0.1</v>
      </c>
      <c r="CI25" s="129">
        <v>0.1</v>
      </c>
      <c r="CJ25" s="129">
        <v>0.1</v>
      </c>
      <c r="CK25" s="129">
        <v>0.1</v>
      </c>
      <c r="CL25" s="129">
        <v>0.1</v>
      </c>
      <c r="CM25" s="129">
        <v>0.1</v>
      </c>
      <c r="CN25" s="129">
        <v>0.1</v>
      </c>
      <c r="CO25" s="129">
        <v>0.125</v>
      </c>
      <c r="CP25" s="129">
        <v>0.125</v>
      </c>
      <c r="CQ25" s="129">
        <v>0.125</v>
      </c>
      <c r="CR25" s="129">
        <v>0.125</v>
      </c>
      <c r="CS25" s="129">
        <v>0.125</v>
      </c>
      <c r="CT25" s="129">
        <v>0.125</v>
      </c>
      <c r="CU25" s="129">
        <v>0.125</v>
      </c>
      <c r="CV25" s="129">
        <v>0.15</v>
      </c>
      <c r="CW25" s="129">
        <v>0.15</v>
      </c>
      <c r="CX25" s="129">
        <v>0.15</v>
      </c>
      <c r="CY25" s="129">
        <v>0.15</v>
      </c>
      <c r="CZ25" s="129">
        <v>0.15</v>
      </c>
      <c r="DA25" s="129">
        <v>0.15</v>
      </c>
      <c r="DB25" s="129">
        <v>0.15</v>
      </c>
      <c r="DC25" s="129">
        <v>0.17499999999999999</v>
      </c>
      <c r="DD25" s="129">
        <v>0.17499999999999999</v>
      </c>
      <c r="DE25" s="129">
        <v>0.17499999999999999</v>
      </c>
      <c r="DF25" s="129">
        <v>0.17499999999999999</v>
      </c>
      <c r="DG25" s="129">
        <v>0.17499999999999999</v>
      </c>
      <c r="DH25" s="129">
        <v>0.17499999999999999</v>
      </c>
      <c r="DI25" s="129">
        <v>0.17499999999999999</v>
      </c>
      <c r="DJ25" s="129">
        <v>0.19999999999999998</v>
      </c>
      <c r="DK25" s="129">
        <v>0.19999999999999998</v>
      </c>
      <c r="DL25" s="129">
        <v>0.19999999999999998</v>
      </c>
      <c r="DM25" s="129">
        <v>0.19999999999999998</v>
      </c>
      <c r="DN25" s="129">
        <v>0.19999999999999998</v>
      </c>
      <c r="DO25" s="129">
        <v>0.19999999999999998</v>
      </c>
      <c r="DP25" s="129">
        <v>0.19999999999999998</v>
      </c>
      <c r="DQ25" s="129">
        <v>0.22499999999999998</v>
      </c>
      <c r="DR25" s="129">
        <v>0.22499999999999998</v>
      </c>
      <c r="DS25" s="129">
        <v>0.22499999999999998</v>
      </c>
      <c r="DT25" s="129">
        <v>0.22499999999999998</v>
      </c>
      <c r="DU25" s="129">
        <v>0.22499999999999998</v>
      </c>
      <c r="DV25" s="129">
        <v>0.22499999999999998</v>
      </c>
      <c r="DW25" s="129">
        <v>0.22499999999999998</v>
      </c>
      <c r="DX25" s="129">
        <v>0.24999999999999997</v>
      </c>
      <c r="DY25" s="129">
        <v>0.24999999999999997</v>
      </c>
      <c r="DZ25" s="129">
        <v>0.24999999999999997</v>
      </c>
      <c r="EA25" s="129">
        <v>0.24999999999999997</v>
      </c>
      <c r="EB25" s="129">
        <v>0.24999999999999997</v>
      </c>
      <c r="EC25" s="129">
        <v>0.24999999999999997</v>
      </c>
      <c r="ED25" s="129">
        <v>0.24999999999999997</v>
      </c>
      <c r="EE25" s="129">
        <v>0.27499999999999997</v>
      </c>
      <c r="EF25" s="129">
        <v>0.27499999999999997</v>
      </c>
      <c r="EG25" s="129">
        <v>0.27499999999999997</v>
      </c>
      <c r="EH25" s="129">
        <v>0.27499999999999997</v>
      </c>
      <c r="EI25" s="129">
        <v>0.27499999999999997</v>
      </c>
      <c r="EJ25" s="129">
        <v>0.27499999999999997</v>
      </c>
      <c r="EK25" s="129">
        <v>0.27499999999999997</v>
      </c>
      <c r="EL25" s="129">
        <v>0.3</v>
      </c>
      <c r="EM25" s="129">
        <v>0.3</v>
      </c>
      <c r="EN25" s="129">
        <v>0.3</v>
      </c>
      <c r="EO25" s="129">
        <v>0.3</v>
      </c>
      <c r="EP25" s="129">
        <v>0.3</v>
      </c>
      <c r="EQ25" s="129">
        <v>0.3</v>
      </c>
      <c r="ER25" s="129">
        <v>0.3</v>
      </c>
      <c r="ES25" s="129">
        <v>0.32500000000000001</v>
      </c>
      <c r="ET25" s="129">
        <v>0.32500000000000001</v>
      </c>
      <c r="EU25" s="129">
        <v>0.32500000000000001</v>
      </c>
      <c r="EV25" s="129">
        <v>0.32500000000000001</v>
      </c>
      <c r="EW25" s="129">
        <v>0.32500000000000001</v>
      </c>
      <c r="EX25" s="129">
        <v>0.32500000000000001</v>
      </c>
      <c r="EY25" s="129">
        <v>0.32500000000000001</v>
      </c>
      <c r="EZ25" s="129">
        <v>0.35000000000000003</v>
      </c>
      <c r="FA25" s="129">
        <v>0.35000000000000003</v>
      </c>
      <c r="FB25" s="129">
        <v>0.35000000000000003</v>
      </c>
      <c r="FC25" s="129">
        <v>0.35000000000000003</v>
      </c>
      <c r="FD25" s="129">
        <v>0.35000000000000003</v>
      </c>
      <c r="FE25" s="129">
        <v>0.35000000000000003</v>
      </c>
      <c r="FF25" s="129">
        <v>0.35000000000000003</v>
      </c>
      <c r="FG25" s="129">
        <v>0.37500000000000006</v>
      </c>
      <c r="FH25" s="129">
        <v>0.37500000000000006</v>
      </c>
      <c r="FI25" s="129">
        <v>0.37500000000000006</v>
      </c>
      <c r="FJ25" s="129">
        <v>0.37500000000000006</v>
      </c>
      <c r="FK25" s="129">
        <v>0.37500000000000006</v>
      </c>
      <c r="FL25" s="129">
        <v>0.37500000000000006</v>
      </c>
      <c r="FM25" s="129">
        <v>0.37500000000000006</v>
      </c>
      <c r="FN25" s="129">
        <v>0.40000000000000008</v>
      </c>
      <c r="FO25" s="129">
        <v>0.40000000000000008</v>
      </c>
      <c r="FP25" s="129">
        <v>0.40000000000000008</v>
      </c>
      <c r="FQ25" s="129">
        <v>0.40000000000000008</v>
      </c>
      <c r="FR25" s="129">
        <v>0.40000000000000008</v>
      </c>
      <c r="FS25" s="129">
        <v>0.40000000000000008</v>
      </c>
      <c r="FT25" s="129">
        <v>0.40000000000000008</v>
      </c>
      <c r="FU25" s="129">
        <v>0.4250000000000001</v>
      </c>
      <c r="FV25" s="129">
        <v>0.4250000000000001</v>
      </c>
      <c r="FW25" s="129">
        <v>0.4250000000000001</v>
      </c>
      <c r="FX25" s="129">
        <v>0.4250000000000001</v>
      </c>
      <c r="FY25" s="129">
        <v>0.4250000000000001</v>
      </c>
      <c r="FZ25" s="129">
        <v>0.4250000000000001</v>
      </c>
      <c r="GA25" s="129">
        <v>0.4250000000000001</v>
      </c>
      <c r="GB25" s="129">
        <v>0.45000000000000012</v>
      </c>
      <c r="GC25" s="129">
        <v>0.45000000000000012</v>
      </c>
      <c r="GD25" s="129">
        <v>0.45000000000000012</v>
      </c>
      <c r="GE25" s="129">
        <v>0.45000000000000012</v>
      </c>
      <c r="GF25" s="129">
        <v>0.45000000000000012</v>
      </c>
      <c r="GG25" s="129">
        <v>0.45000000000000012</v>
      </c>
      <c r="GH25" s="129">
        <v>0.45000000000000012</v>
      </c>
      <c r="GI25" s="129">
        <v>0.45000000000000012</v>
      </c>
      <c r="GJ25" s="129">
        <v>0.45000000000000012</v>
      </c>
      <c r="GK25" s="129">
        <v>0.45000000000000012</v>
      </c>
      <c r="GL25" s="129">
        <v>0.45000000000000012</v>
      </c>
      <c r="GM25" s="129">
        <v>0.45000000000000012</v>
      </c>
      <c r="GN25" s="129">
        <v>0.45000000000000012</v>
      </c>
      <c r="GO25" s="129">
        <v>0.45000000000000012</v>
      </c>
      <c r="GP25" s="129">
        <v>0.45000000000000012</v>
      </c>
      <c r="GQ25" s="129">
        <v>0.45000000000000012</v>
      </c>
      <c r="GR25" s="129">
        <v>0.45000000000000012</v>
      </c>
      <c r="GS25" s="129">
        <v>0.45000000000000012</v>
      </c>
      <c r="GT25" s="129">
        <v>0.45000000000000012</v>
      </c>
      <c r="GU25" s="129">
        <v>0.45000000000000012</v>
      </c>
      <c r="GV25" s="129">
        <v>0.45000000000000012</v>
      </c>
      <c r="GW25" s="129">
        <v>0.47500000000000014</v>
      </c>
      <c r="GX25" s="129">
        <v>0.47500000000000014</v>
      </c>
      <c r="GY25" s="129">
        <v>0.47500000000000014</v>
      </c>
      <c r="GZ25" s="129">
        <v>0.47500000000000014</v>
      </c>
      <c r="HA25" s="129">
        <v>0.47500000000000014</v>
      </c>
      <c r="HB25" s="129">
        <v>0.47500000000000014</v>
      </c>
      <c r="HC25" s="129">
        <v>0.47500000000000014</v>
      </c>
      <c r="HD25" s="129">
        <v>0.50000000000000011</v>
      </c>
      <c r="HE25" s="129">
        <v>0.50000000000000011</v>
      </c>
      <c r="HF25" s="129">
        <v>0.50000000000000011</v>
      </c>
      <c r="HG25" s="129">
        <v>0.50000000000000011</v>
      </c>
      <c r="HH25" s="129">
        <v>0.50000000000000011</v>
      </c>
      <c r="HI25" s="129">
        <v>0.50000000000000011</v>
      </c>
      <c r="HJ25" s="129">
        <v>0.50000000000000011</v>
      </c>
      <c r="HK25" s="129">
        <v>0.52500000000000013</v>
      </c>
      <c r="HL25" s="129">
        <v>0.52500000000000013</v>
      </c>
      <c r="HM25" s="129">
        <v>0.52500000000000013</v>
      </c>
      <c r="HN25" s="129">
        <v>0.52500000000000013</v>
      </c>
      <c r="HO25" s="129">
        <v>0.52500000000000013</v>
      </c>
      <c r="HP25" s="129">
        <v>0.52500000000000013</v>
      </c>
      <c r="HQ25" s="129">
        <v>0.52500000000000013</v>
      </c>
      <c r="HR25" s="129">
        <v>0.55000000000000016</v>
      </c>
      <c r="HS25" s="129">
        <v>0.55000000000000016</v>
      </c>
      <c r="HT25" s="129">
        <v>0.55000000000000016</v>
      </c>
      <c r="HU25" s="129">
        <v>0.55000000000000016</v>
      </c>
      <c r="HV25" s="129">
        <v>0.55000000000000016</v>
      </c>
      <c r="HW25" s="129">
        <v>0.55000000000000016</v>
      </c>
      <c r="HX25" s="129">
        <v>0.55000000000000016</v>
      </c>
      <c r="HY25" s="129">
        <v>0.57500000000000018</v>
      </c>
      <c r="HZ25" s="129">
        <v>0.57500000000000018</v>
      </c>
      <c r="IA25" s="129">
        <v>0.57500000000000018</v>
      </c>
      <c r="IB25" s="129">
        <v>0.57500000000000018</v>
      </c>
      <c r="IC25" s="129">
        <v>0.57500000000000018</v>
      </c>
      <c r="ID25" s="129">
        <v>0.57500000000000018</v>
      </c>
      <c r="IE25" s="129">
        <v>0.57500000000000018</v>
      </c>
      <c r="IF25" s="129">
        <v>0.6000000000000002</v>
      </c>
      <c r="IG25" s="129">
        <v>0.6000000000000002</v>
      </c>
      <c r="IH25" s="129">
        <v>0.6000000000000002</v>
      </c>
      <c r="II25" s="129">
        <v>0.6000000000000002</v>
      </c>
      <c r="IJ25" s="129">
        <v>0.6000000000000002</v>
      </c>
      <c r="IK25" s="129">
        <v>0.6000000000000002</v>
      </c>
      <c r="IL25" s="129">
        <v>0.6000000000000002</v>
      </c>
      <c r="IM25" s="129">
        <v>0.62500000000000022</v>
      </c>
      <c r="IN25" s="129">
        <v>0.62500000000000022</v>
      </c>
      <c r="IO25" s="129">
        <v>0.62500000000000022</v>
      </c>
      <c r="IP25" s="129">
        <v>0.62500000000000022</v>
      </c>
      <c r="IQ25" s="129">
        <v>0.62500000000000022</v>
      </c>
      <c r="IR25" s="129">
        <v>0.62500000000000022</v>
      </c>
      <c r="IS25" s="129">
        <v>0.62500000000000022</v>
      </c>
      <c r="IT25" s="129">
        <v>0.65000000000000024</v>
      </c>
      <c r="IU25" s="129">
        <v>0.65000000000000024</v>
      </c>
      <c r="IV25" s="129">
        <v>0.65000000000000024</v>
      </c>
      <c r="IW25" s="129">
        <v>0.65000000000000024</v>
      </c>
      <c r="IX25" s="129">
        <v>0.65000000000000024</v>
      </c>
      <c r="IY25" s="129">
        <v>0.65000000000000024</v>
      </c>
      <c r="IZ25" s="129">
        <v>0.65000000000000024</v>
      </c>
      <c r="JA25" s="129">
        <v>0.67500000000000027</v>
      </c>
      <c r="JB25" s="129">
        <v>0.67500000000000027</v>
      </c>
      <c r="JC25" s="129">
        <v>0.67500000000000027</v>
      </c>
      <c r="JD25" s="129">
        <v>0.67500000000000027</v>
      </c>
      <c r="JE25" s="129">
        <v>0.67500000000000027</v>
      </c>
      <c r="JF25" s="129">
        <v>0.67500000000000027</v>
      </c>
      <c r="JG25" s="129">
        <v>0.67500000000000027</v>
      </c>
      <c r="JH25" s="129">
        <v>0.70000000000000029</v>
      </c>
      <c r="JI25" s="129">
        <v>0.70000000000000029</v>
      </c>
      <c r="JJ25" s="129">
        <v>0.70000000000000029</v>
      </c>
      <c r="JK25" s="129">
        <v>0.70000000000000029</v>
      </c>
      <c r="JL25" s="129">
        <v>0.70000000000000029</v>
      </c>
      <c r="JM25" s="129">
        <v>0.70000000000000029</v>
      </c>
      <c r="JN25" s="129">
        <v>0.70000000000000029</v>
      </c>
      <c r="JO25" s="129">
        <v>0.72500000000000031</v>
      </c>
      <c r="JP25" s="129">
        <v>0.72500000000000031</v>
      </c>
      <c r="JQ25" s="129">
        <v>0.72500000000000031</v>
      </c>
      <c r="JR25" s="129">
        <v>0.72500000000000031</v>
      </c>
      <c r="JS25" s="129">
        <v>0.72500000000000031</v>
      </c>
      <c r="JT25" s="129">
        <v>0.72500000000000031</v>
      </c>
      <c r="JU25" s="129">
        <v>0.72500000000000031</v>
      </c>
      <c r="JV25" s="129">
        <v>0.75000000000000033</v>
      </c>
      <c r="JW25" s="129">
        <v>0.75000000000000033</v>
      </c>
      <c r="JX25" s="129">
        <v>0.75000000000000033</v>
      </c>
      <c r="JY25" s="129">
        <v>0.75000000000000033</v>
      </c>
      <c r="JZ25" s="129">
        <v>0.75000000000000033</v>
      </c>
      <c r="KA25" s="129">
        <v>0.75000000000000033</v>
      </c>
      <c r="KB25" s="129">
        <v>0.75000000000000033</v>
      </c>
      <c r="KC25" s="129">
        <v>0.77500000000000036</v>
      </c>
      <c r="KD25" s="129">
        <v>0.77500000000000036</v>
      </c>
      <c r="KE25" s="129">
        <v>0.77500000000000036</v>
      </c>
      <c r="KF25" s="129">
        <v>0.77500000000000036</v>
      </c>
      <c r="KG25" s="129">
        <v>0.77500000000000036</v>
      </c>
      <c r="KH25" s="129">
        <v>0.77500000000000036</v>
      </c>
      <c r="KI25" s="129">
        <v>0.77500000000000036</v>
      </c>
      <c r="KJ25" s="129">
        <v>0.80000000000000038</v>
      </c>
      <c r="KK25" s="129">
        <v>0.80000000000000038</v>
      </c>
      <c r="KL25" s="129">
        <v>0.80000000000000038</v>
      </c>
      <c r="KM25" s="129">
        <v>0.80000000000000038</v>
      </c>
      <c r="KN25" s="129">
        <v>0.80000000000000038</v>
      </c>
      <c r="KO25" s="129">
        <v>0.80000000000000038</v>
      </c>
      <c r="KP25" s="129">
        <v>0.80000000000000038</v>
      </c>
      <c r="KQ25" s="129">
        <v>0.8250000000000004</v>
      </c>
      <c r="KR25" s="129">
        <v>0.8250000000000004</v>
      </c>
      <c r="KS25" s="129">
        <v>0.8250000000000004</v>
      </c>
      <c r="KT25" s="129">
        <v>0.8250000000000004</v>
      </c>
      <c r="KU25" s="129">
        <v>0.8250000000000004</v>
      </c>
      <c r="KV25" s="129">
        <v>0.8250000000000004</v>
      </c>
      <c r="KW25" s="129">
        <v>0.8250000000000004</v>
      </c>
      <c r="KX25" s="129">
        <v>0.85000000000000042</v>
      </c>
      <c r="KY25" s="129">
        <v>0.85000000000000042</v>
      </c>
      <c r="KZ25" s="129">
        <v>0.85000000000000042</v>
      </c>
      <c r="LA25" s="129">
        <v>0.85000000000000042</v>
      </c>
      <c r="LB25" s="129">
        <v>0.85000000000000042</v>
      </c>
      <c r="LC25" s="129">
        <v>0.85000000000000042</v>
      </c>
      <c r="LD25" s="129">
        <v>0.85000000000000042</v>
      </c>
      <c r="LE25" s="129">
        <v>0.87500000000000044</v>
      </c>
      <c r="LF25" s="129">
        <v>0.87500000000000044</v>
      </c>
      <c r="LG25" s="129">
        <v>0.87500000000000044</v>
      </c>
      <c r="LH25" s="129">
        <v>0.87500000000000044</v>
      </c>
      <c r="LI25" s="129">
        <v>0.87500000000000044</v>
      </c>
      <c r="LJ25" s="129">
        <v>0.87500000000000044</v>
      </c>
      <c r="LK25" s="129">
        <v>0.87500000000000044</v>
      </c>
      <c r="LL25" s="129">
        <v>0.90000000000000047</v>
      </c>
      <c r="LM25" s="129">
        <v>0.90000000000000047</v>
      </c>
      <c r="LN25" s="129">
        <v>0.90000000000000047</v>
      </c>
      <c r="LO25" s="129">
        <v>0.90000000000000047</v>
      </c>
      <c r="LP25" s="129">
        <v>0.90000000000000047</v>
      </c>
      <c r="LQ25" s="129">
        <v>0.90000000000000047</v>
      </c>
      <c r="LR25" s="129">
        <v>0.90000000000000047</v>
      </c>
      <c r="LS25" s="129">
        <v>0.92500000000000049</v>
      </c>
      <c r="LT25" s="129">
        <v>0.92500000000000049</v>
      </c>
      <c r="LU25" s="129">
        <v>0.92500000000000049</v>
      </c>
      <c r="LV25" s="129">
        <v>0.92500000000000049</v>
      </c>
      <c r="LW25" s="129">
        <v>0.92500000000000049</v>
      </c>
      <c r="LX25" s="129">
        <v>0.92500000000000049</v>
      </c>
      <c r="LY25" s="129">
        <v>0.92500000000000049</v>
      </c>
      <c r="LZ25" s="129">
        <v>0.95000000000000051</v>
      </c>
      <c r="MA25" s="129">
        <v>0.95000000000000051</v>
      </c>
      <c r="MB25" s="129">
        <v>0.95000000000000051</v>
      </c>
      <c r="MC25" s="129">
        <v>0.95000000000000051</v>
      </c>
      <c r="MD25" s="129">
        <v>0.95000000000000051</v>
      </c>
      <c r="ME25" s="129">
        <v>0.95000000000000051</v>
      </c>
      <c r="MF25" s="129">
        <v>0.95000000000000051</v>
      </c>
      <c r="MG25" s="129">
        <v>0.97500000000000053</v>
      </c>
      <c r="MH25" s="129">
        <v>0.97500000000000053</v>
      </c>
      <c r="MI25" s="129">
        <v>0.97500000000000053</v>
      </c>
      <c r="MJ25" s="129">
        <v>0.97500000000000053</v>
      </c>
      <c r="MK25" s="129">
        <v>0.97500000000000053</v>
      </c>
      <c r="ML25" s="129">
        <v>0.97500000000000053</v>
      </c>
      <c r="MM25" s="129">
        <v>0.97500000000000053</v>
      </c>
      <c r="MN25" s="129">
        <v>0.97500000000000053</v>
      </c>
      <c r="MO25" s="129">
        <v>0.97500000000000053</v>
      </c>
      <c r="MP25" s="129">
        <v>0.97500000000000053</v>
      </c>
      <c r="MQ25" s="129">
        <v>0.97500000000000053</v>
      </c>
      <c r="MR25" s="129">
        <v>0.97500000000000053</v>
      </c>
      <c r="MS25" s="129">
        <v>0.97500000000000053</v>
      </c>
      <c r="MT25" s="129">
        <v>0.97500000000000053</v>
      </c>
      <c r="MU25" s="129">
        <v>1.0000000000000004</v>
      </c>
      <c r="MV25" s="129">
        <v>1.0000000000000004</v>
      </c>
      <c r="MW25" s="129"/>
    </row>
    <row r="26" spans="1:361">
      <c r="E26" s="4" t="s">
        <v>119</v>
      </c>
      <c r="G26" s="4" t="s">
        <v>111</v>
      </c>
      <c r="J26" s="4" cm="1">
        <f t="array" ref="J26:MV26" xml:space="preserve"> _xlfn.LET(
      _xlpm.cash_from_sales,_xlfn.ANCHORARRAY( J24),
      _xlfn.SCAN( 0, _xlpm.cash_from_sales, _xlfn.LAMBDA(_xlpm.a,_xlpm.cash, _xlpm.a + _xlpm.cash ) ) )</f>
        <v>3600000</v>
      </c>
      <c r="K26" s="4">
        <v>3600000</v>
      </c>
      <c r="L26" s="4">
        <v>3600000</v>
      </c>
      <c r="M26" s="4">
        <v>3600000</v>
      </c>
      <c r="N26" s="4">
        <v>3600000</v>
      </c>
      <c r="O26" s="4">
        <v>3600000</v>
      </c>
      <c r="P26" s="4">
        <v>3600000</v>
      </c>
      <c r="Q26" s="4">
        <v>6450000</v>
      </c>
      <c r="R26" s="4">
        <v>6450000</v>
      </c>
      <c r="S26" s="4">
        <v>6450000</v>
      </c>
      <c r="T26" s="4">
        <v>6450000</v>
      </c>
      <c r="U26" s="4">
        <v>6450000</v>
      </c>
      <c r="V26" s="4">
        <v>6450000</v>
      </c>
      <c r="W26" s="4">
        <v>6450000</v>
      </c>
      <c r="X26" s="4">
        <v>9000000</v>
      </c>
      <c r="Y26" s="4">
        <v>9000000</v>
      </c>
      <c r="Z26" s="4">
        <v>9000000</v>
      </c>
      <c r="AA26" s="4">
        <v>9000000</v>
      </c>
      <c r="AB26" s="4">
        <v>9000000</v>
      </c>
      <c r="AC26" s="4">
        <v>9000000</v>
      </c>
      <c r="AD26" s="4">
        <v>9000000</v>
      </c>
      <c r="AE26" s="4">
        <v>11100000</v>
      </c>
      <c r="AF26" s="4">
        <v>11100000</v>
      </c>
      <c r="AG26" s="4">
        <v>11100000</v>
      </c>
      <c r="AH26" s="4">
        <v>11100000</v>
      </c>
      <c r="AI26" s="4">
        <v>11100000</v>
      </c>
      <c r="AJ26" s="4">
        <v>11100000</v>
      </c>
      <c r="AK26" s="4">
        <v>11100000</v>
      </c>
      <c r="AL26" s="4">
        <v>13125000</v>
      </c>
      <c r="AM26" s="4">
        <v>13125000</v>
      </c>
      <c r="AN26" s="4">
        <v>13125000</v>
      </c>
      <c r="AO26" s="4">
        <v>13125000</v>
      </c>
      <c r="AP26" s="4">
        <v>13125000</v>
      </c>
      <c r="AQ26" s="4">
        <v>13125000</v>
      </c>
      <c r="AR26" s="4">
        <v>13125000</v>
      </c>
      <c r="AS26" s="4">
        <v>15187500</v>
      </c>
      <c r="AT26" s="4">
        <v>15187500</v>
      </c>
      <c r="AU26" s="4">
        <v>15187500</v>
      </c>
      <c r="AV26" s="4">
        <v>15187500</v>
      </c>
      <c r="AW26" s="4">
        <v>15187500</v>
      </c>
      <c r="AX26" s="4">
        <v>15187500</v>
      </c>
      <c r="AY26" s="4">
        <v>15187500</v>
      </c>
      <c r="AZ26" s="4">
        <v>17137500</v>
      </c>
      <c r="BA26" s="4">
        <v>17137500</v>
      </c>
      <c r="BB26" s="4">
        <v>17137500</v>
      </c>
      <c r="BC26" s="4">
        <v>17137500</v>
      </c>
      <c r="BD26" s="4">
        <v>17137500</v>
      </c>
      <c r="BE26" s="4">
        <v>17137500</v>
      </c>
      <c r="BF26" s="4">
        <v>17137500</v>
      </c>
      <c r="BG26" s="4">
        <v>19237500</v>
      </c>
      <c r="BH26" s="4">
        <v>19237500</v>
      </c>
      <c r="BI26" s="4">
        <v>19237500</v>
      </c>
      <c r="BJ26" s="4">
        <v>19237500</v>
      </c>
      <c r="BK26" s="4">
        <v>19237500</v>
      </c>
      <c r="BL26" s="4">
        <v>19237500</v>
      </c>
      <c r="BM26" s="4">
        <v>19237500</v>
      </c>
      <c r="BN26" s="4">
        <v>20287500</v>
      </c>
      <c r="BO26" s="4">
        <v>20287500</v>
      </c>
      <c r="BP26" s="4">
        <v>20287500</v>
      </c>
      <c r="BQ26" s="4">
        <v>20287500</v>
      </c>
      <c r="BR26" s="4">
        <v>20287500</v>
      </c>
      <c r="BS26" s="4">
        <v>20287500</v>
      </c>
      <c r="BT26" s="4">
        <v>20287500</v>
      </c>
      <c r="BU26" s="4">
        <v>20887500</v>
      </c>
      <c r="BV26" s="4">
        <v>20887500</v>
      </c>
      <c r="BW26" s="4">
        <v>20887500</v>
      </c>
      <c r="BX26" s="4">
        <v>20887500</v>
      </c>
      <c r="BY26" s="4">
        <v>20887500</v>
      </c>
      <c r="BZ26" s="4">
        <v>20887500</v>
      </c>
      <c r="CA26" s="4">
        <v>20887500</v>
      </c>
      <c r="CB26" s="4">
        <v>21262500</v>
      </c>
      <c r="CC26" s="4">
        <v>21262500</v>
      </c>
      <c r="CD26" s="4">
        <v>21262500</v>
      </c>
      <c r="CE26" s="4">
        <v>21262500</v>
      </c>
      <c r="CF26" s="4">
        <v>21262500</v>
      </c>
      <c r="CG26" s="4">
        <v>21262500</v>
      </c>
      <c r="CH26" s="4">
        <v>21262500</v>
      </c>
      <c r="CI26" s="4">
        <v>21412500</v>
      </c>
      <c r="CJ26" s="4">
        <v>21412500</v>
      </c>
      <c r="CK26" s="4">
        <v>21412500</v>
      </c>
      <c r="CL26" s="4">
        <v>21412500</v>
      </c>
      <c r="CM26" s="4">
        <v>21412500</v>
      </c>
      <c r="CN26" s="4">
        <v>21412500</v>
      </c>
      <c r="CO26" s="4">
        <v>21412500</v>
      </c>
      <c r="CP26" s="4">
        <v>21525000</v>
      </c>
      <c r="CQ26" s="4">
        <v>21525000</v>
      </c>
      <c r="CR26" s="4">
        <v>21525000</v>
      </c>
      <c r="CS26" s="4">
        <v>21525000</v>
      </c>
      <c r="CT26" s="4">
        <v>21525000</v>
      </c>
      <c r="CU26" s="4">
        <v>21525000</v>
      </c>
      <c r="CV26" s="4">
        <v>21525000</v>
      </c>
      <c r="CW26" s="4">
        <v>21562500</v>
      </c>
      <c r="CX26" s="4">
        <v>21562500</v>
      </c>
      <c r="CY26" s="4">
        <v>21562500</v>
      </c>
      <c r="CZ26" s="4">
        <v>21562500</v>
      </c>
      <c r="DA26" s="4">
        <v>21562500</v>
      </c>
      <c r="DB26" s="4">
        <v>21562500</v>
      </c>
      <c r="DC26" s="4">
        <v>21562500</v>
      </c>
      <c r="DD26" s="4">
        <v>21600000</v>
      </c>
      <c r="DE26" s="4">
        <v>21600000</v>
      </c>
      <c r="DF26" s="4">
        <v>21600000</v>
      </c>
      <c r="DG26" s="4">
        <v>21600000</v>
      </c>
      <c r="DH26" s="4">
        <v>21600000</v>
      </c>
      <c r="DI26" s="4">
        <v>21600000</v>
      </c>
      <c r="DJ26" s="4">
        <v>21600000</v>
      </c>
      <c r="DK26" s="4">
        <v>21637500</v>
      </c>
      <c r="DL26" s="4">
        <v>21637500</v>
      </c>
      <c r="DM26" s="4">
        <v>21637500</v>
      </c>
      <c r="DN26" s="4">
        <v>21637500</v>
      </c>
      <c r="DO26" s="4">
        <v>21637500</v>
      </c>
      <c r="DP26" s="4">
        <v>21637500</v>
      </c>
      <c r="DQ26" s="4">
        <v>21637500</v>
      </c>
      <c r="DR26" s="4">
        <v>21675000</v>
      </c>
      <c r="DS26" s="4">
        <v>21675000</v>
      </c>
      <c r="DT26" s="4">
        <v>21675000</v>
      </c>
      <c r="DU26" s="4">
        <v>21675000</v>
      </c>
      <c r="DV26" s="4">
        <v>21675000</v>
      </c>
      <c r="DW26" s="4">
        <v>21675000</v>
      </c>
      <c r="DX26" s="4">
        <v>21675000</v>
      </c>
      <c r="DY26" s="4">
        <v>21712500</v>
      </c>
      <c r="DZ26" s="4">
        <v>21712500</v>
      </c>
      <c r="EA26" s="4">
        <v>21712500</v>
      </c>
      <c r="EB26" s="4">
        <v>21712500</v>
      </c>
      <c r="EC26" s="4">
        <v>21712500</v>
      </c>
      <c r="ED26" s="4">
        <v>21712500</v>
      </c>
      <c r="EE26" s="4">
        <v>21712500</v>
      </c>
      <c r="EF26" s="4">
        <v>21750000</v>
      </c>
      <c r="EG26" s="4">
        <v>21750000</v>
      </c>
      <c r="EH26" s="4">
        <v>21750000</v>
      </c>
      <c r="EI26" s="4">
        <v>21750000</v>
      </c>
      <c r="EJ26" s="4">
        <v>21750000</v>
      </c>
      <c r="EK26" s="4">
        <v>21750000</v>
      </c>
      <c r="EL26" s="4">
        <v>21750000</v>
      </c>
      <c r="EM26" s="4">
        <v>21787500</v>
      </c>
      <c r="EN26" s="4">
        <v>21787500</v>
      </c>
      <c r="EO26" s="4">
        <v>21787500</v>
      </c>
      <c r="EP26" s="4">
        <v>21787500</v>
      </c>
      <c r="EQ26" s="4">
        <v>21787500</v>
      </c>
      <c r="ER26" s="4">
        <v>21787500</v>
      </c>
      <c r="ES26" s="4">
        <v>21787500</v>
      </c>
      <c r="ET26" s="4">
        <v>21825000</v>
      </c>
      <c r="EU26" s="4">
        <v>21825000</v>
      </c>
      <c r="EV26" s="4">
        <v>21825000</v>
      </c>
      <c r="EW26" s="4">
        <v>21825000</v>
      </c>
      <c r="EX26" s="4">
        <v>21825000</v>
      </c>
      <c r="EY26" s="4">
        <v>21825000</v>
      </c>
      <c r="EZ26" s="4">
        <v>21825000</v>
      </c>
      <c r="FA26" s="4">
        <v>21862500</v>
      </c>
      <c r="FB26" s="4">
        <v>21862500</v>
      </c>
      <c r="FC26" s="4">
        <v>21862500</v>
      </c>
      <c r="FD26" s="4">
        <v>21862500</v>
      </c>
      <c r="FE26" s="4">
        <v>21862500</v>
      </c>
      <c r="FF26" s="4">
        <v>21862500</v>
      </c>
      <c r="FG26" s="4">
        <v>21862500</v>
      </c>
      <c r="FH26" s="4">
        <v>21900000</v>
      </c>
      <c r="FI26" s="4">
        <v>21900000</v>
      </c>
      <c r="FJ26" s="4">
        <v>21900000</v>
      </c>
      <c r="FK26" s="4">
        <v>21900000</v>
      </c>
      <c r="FL26" s="4">
        <v>21900000</v>
      </c>
      <c r="FM26" s="4">
        <v>21900000</v>
      </c>
      <c r="FN26" s="4">
        <v>21900000</v>
      </c>
      <c r="FO26" s="4">
        <v>21937500</v>
      </c>
      <c r="FP26" s="4">
        <v>21937500</v>
      </c>
      <c r="FQ26" s="4">
        <v>21937500</v>
      </c>
      <c r="FR26" s="4">
        <v>21937500</v>
      </c>
      <c r="FS26" s="4">
        <v>21937500</v>
      </c>
      <c r="FT26" s="4">
        <v>21937500</v>
      </c>
      <c r="FU26" s="4">
        <v>21937500</v>
      </c>
      <c r="FV26" s="4">
        <v>22125000</v>
      </c>
      <c r="FW26" s="4">
        <v>22125000</v>
      </c>
      <c r="FX26" s="4">
        <v>22125000</v>
      </c>
      <c r="FY26" s="4">
        <v>22125000</v>
      </c>
      <c r="FZ26" s="4">
        <v>22125000</v>
      </c>
      <c r="GA26" s="4">
        <v>22125000</v>
      </c>
      <c r="GB26" s="4">
        <v>22125000</v>
      </c>
      <c r="GC26" s="4">
        <v>22312500</v>
      </c>
      <c r="GD26" s="4">
        <v>22312500</v>
      </c>
      <c r="GE26" s="4">
        <v>22312500</v>
      </c>
      <c r="GF26" s="4">
        <v>22312500</v>
      </c>
      <c r="GG26" s="4">
        <v>22312500</v>
      </c>
      <c r="GH26" s="4">
        <v>22312500</v>
      </c>
      <c r="GI26" s="4">
        <v>22312500</v>
      </c>
      <c r="GJ26" s="4">
        <v>22350000</v>
      </c>
      <c r="GK26" s="4">
        <v>22350000</v>
      </c>
      <c r="GL26" s="4">
        <v>22350000</v>
      </c>
      <c r="GM26" s="4">
        <v>22350000</v>
      </c>
      <c r="GN26" s="4">
        <v>22350000</v>
      </c>
      <c r="GO26" s="4">
        <v>22350000</v>
      </c>
      <c r="GP26" s="4">
        <v>22350000</v>
      </c>
      <c r="GQ26" s="4">
        <v>22387500</v>
      </c>
      <c r="GR26" s="4">
        <v>22387500</v>
      </c>
      <c r="GS26" s="4">
        <v>22387500</v>
      </c>
      <c r="GT26" s="4">
        <v>22387500</v>
      </c>
      <c r="GU26" s="4">
        <v>22387500</v>
      </c>
      <c r="GV26" s="4">
        <v>22387500</v>
      </c>
      <c r="GW26" s="4">
        <v>22387500</v>
      </c>
      <c r="GX26" s="4">
        <v>22425000</v>
      </c>
      <c r="GY26" s="4">
        <v>22425000</v>
      </c>
      <c r="GZ26" s="4">
        <v>22425000</v>
      </c>
      <c r="HA26" s="4">
        <v>22425000</v>
      </c>
      <c r="HB26" s="4">
        <v>22425000</v>
      </c>
      <c r="HC26" s="4">
        <v>22425000</v>
      </c>
      <c r="HD26" s="4">
        <v>22425000</v>
      </c>
      <c r="HE26" s="4">
        <v>22462500</v>
      </c>
      <c r="HF26" s="4">
        <v>22462500</v>
      </c>
      <c r="HG26" s="4">
        <v>22462500</v>
      </c>
      <c r="HH26" s="4">
        <v>22462500</v>
      </c>
      <c r="HI26" s="4">
        <v>22462500</v>
      </c>
      <c r="HJ26" s="4">
        <v>22462500</v>
      </c>
      <c r="HK26" s="4">
        <v>22462500</v>
      </c>
      <c r="HL26" s="4">
        <v>22500000</v>
      </c>
      <c r="HM26" s="4">
        <v>22500000</v>
      </c>
      <c r="HN26" s="4">
        <v>22500000</v>
      </c>
      <c r="HO26" s="4">
        <v>22500000</v>
      </c>
      <c r="HP26" s="4">
        <v>22500000</v>
      </c>
      <c r="HQ26" s="4">
        <v>22500000</v>
      </c>
      <c r="HR26" s="4">
        <v>22500000</v>
      </c>
      <c r="HS26" s="4">
        <v>22500000</v>
      </c>
      <c r="HT26" s="4">
        <v>22500000</v>
      </c>
      <c r="HU26" s="4">
        <v>22500000</v>
      </c>
      <c r="HV26" s="4">
        <v>22500000</v>
      </c>
      <c r="HW26" s="4">
        <v>22500000</v>
      </c>
      <c r="HX26" s="4">
        <v>22500000</v>
      </c>
      <c r="HY26" s="4">
        <v>22500000</v>
      </c>
      <c r="HZ26" s="4">
        <v>22500000</v>
      </c>
      <c r="IA26" s="4">
        <v>22500000</v>
      </c>
      <c r="IB26" s="4">
        <v>22500000</v>
      </c>
      <c r="IC26" s="4">
        <v>22500000</v>
      </c>
      <c r="ID26" s="4">
        <v>22500000</v>
      </c>
      <c r="IE26" s="4">
        <v>22500000</v>
      </c>
      <c r="IF26" s="4">
        <v>22500000</v>
      </c>
      <c r="IG26" s="4">
        <v>22500000</v>
      </c>
      <c r="IH26" s="4">
        <v>22500000</v>
      </c>
      <c r="II26" s="4">
        <v>22500000</v>
      </c>
      <c r="IJ26" s="4">
        <v>22500000</v>
      </c>
      <c r="IK26" s="4">
        <v>22500000</v>
      </c>
      <c r="IL26" s="4">
        <v>22500000</v>
      </c>
      <c r="IM26" s="4">
        <v>22500000</v>
      </c>
      <c r="IN26" s="4">
        <v>22500000</v>
      </c>
      <c r="IO26" s="4">
        <v>22500000</v>
      </c>
      <c r="IP26" s="4">
        <v>22500000</v>
      </c>
      <c r="IQ26" s="4">
        <v>22500000</v>
      </c>
      <c r="IR26" s="4">
        <v>22500000</v>
      </c>
      <c r="IS26" s="4">
        <v>22500000</v>
      </c>
      <c r="IT26" s="4">
        <v>22500000</v>
      </c>
      <c r="IU26" s="4">
        <v>22500000</v>
      </c>
      <c r="IV26" s="4">
        <v>22500000</v>
      </c>
      <c r="IW26" s="4">
        <v>22500000</v>
      </c>
      <c r="IX26" s="4">
        <v>22500000</v>
      </c>
      <c r="IY26" s="4">
        <v>22500000</v>
      </c>
      <c r="IZ26" s="4">
        <v>22500000</v>
      </c>
      <c r="JA26" s="4">
        <v>22500000</v>
      </c>
      <c r="JB26" s="4">
        <v>22500000</v>
      </c>
      <c r="JC26" s="4">
        <v>22500000</v>
      </c>
      <c r="JD26" s="4">
        <v>22500000</v>
      </c>
      <c r="JE26" s="4">
        <v>22500000</v>
      </c>
      <c r="JF26" s="4">
        <v>22500000</v>
      </c>
      <c r="JG26" s="4">
        <v>22500000</v>
      </c>
      <c r="JH26" s="4">
        <v>22500000</v>
      </c>
      <c r="JI26" s="4">
        <v>22500000</v>
      </c>
      <c r="JJ26" s="4">
        <v>22500000</v>
      </c>
      <c r="JK26" s="4">
        <v>22500000</v>
      </c>
      <c r="JL26" s="4">
        <v>22500000</v>
      </c>
      <c r="JM26" s="4">
        <v>22500000</v>
      </c>
      <c r="JN26" s="4">
        <v>22500000</v>
      </c>
      <c r="JO26" s="4">
        <v>22500000</v>
      </c>
      <c r="JP26" s="4">
        <v>22500000</v>
      </c>
      <c r="JQ26" s="4">
        <v>22500000</v>
      </c>
      <c r="JR26" s="4">
        <v>22500000</v>
      </c>
      <c r="JS26" s="4">
        <v>22500000</v>
      </c>
      <c r="JT26" s="4">
        <v>22500000</v>
      </c>
      <c r="JU26" s="4">
        <v>22500000</v>
      </c>
      <c r="JV26" s="4">
        <v>22500000</v>
      </c>
      <c r="JW26" s="4">
        <v>22500000</v>
      </c>
      <c r="JX26" s="4">
        <v>22500000</v>
      </c>
      <c r="JY26" s="4">
        <v>22500000</v>
      </c>
      <c r="JZ26" s="4">
        <v>22500000</v>
      </c>
      <c r="KA26" s="4">
        <v>22500000</v>
      </c>
      <c r="KB26" s="4">
        <v>22500000</v>
      </c>
      <c r="KC26" s="4">
        <v>22500000</v>
      </c>
      <c r="KD26" s="4">
        <v>22500000</v>
      </c>
      <c r="KE26" s="4">
        <v>22500000</v>
      </c>
      <c r="KF26" s="4">
        <v>22500000</v>
      </c>
      <c r="KG26" s="4">
        <v>22500000</v>
      </c>
      <c r="KH26" s="4">
        <v>22500000</v>
      </c>
      <c r="KI26" s="4">
        <v>22500000</v>
      </c>
      <c r="KJ26" s="4">
        <v>22500000</v>
      </c>
      <c r="KK26" s="4">
        <v>22500000</v>
      </c>
      <c r="KL26" s="4">
        <v>22500000</v>
      </c>
      <c r="KM26" s="4">
        <v>22500000</v>
      </c>
      <c r="KN26" s="4">
        <v>22500000</v>
      </c>
      <c r="KO26" s="4">
        <v>22500000</v>
      </c>
      <c r="KP26" s="4">
        <v>22500000</v>
      </c>
      <c r="KQ26" s="4">
        <v>22500000</v>
      </c>
      <c r="KR26" s="4">
        <v>22500000</v>
      </c>
      <c r="KS26" s="4">
        <v>22500000</v>
      </c>
      <c r="KT26" s="4">
        <v>22500000</v>
      </c>
      <c r="KU26" s="4">
        <v>22500000</v>
      </c>
      <c r="KV26" s="4">
        <v>22500000</v>
      </c>
      <c r="KW26" s="4">
        <v>22500000</v>
      </c>
      <c r="KX26" s="4">
        <v>22500000</v>
      </c>
      <c r="KY26" s="4">
        <v>22500000</v>
      </c>
      <c r="KZ26" s="4">
        <v>22500000</v>
      </c>
      <c r="LA26" s="4">
        <v>22500000</v>
      </c>
      <c r="LB26" s="4">
        <v>22500000</v>
      </c>
      <c r="LC26" s="4">
        <v>22500000</v>
      </c>
      <c r="LD26" s="4">
        <v>22500000</v>
      </c>
      <c r="LE26" s="4">
        <v>22500000</v>
      </c>
      <c r="LF26" s="4">
        <v>22500000</v>
      </c>
      <c r="LG26" s="4">
        <v>22500000</v>
      </c>
      <c r="LH26" s="4">
        <v>22500000</v>
      </c>
      <c r="LI26" s="4">
        <v>22500000</v>
      </c>
      <c r="LJ26" s="4">
        <v>22500000</v>
      </c>
      <c r="LK26" s="4">
        <v>22500000</v>
      </c>
      <c r="LL26" s="4">
        <v>22500000</v>
      </c>
      <c r="LM26" s="4">
        <v>22500000</v>
      </c>
      <c r="LN26" s="4">
        <v>22500000</v>
      </c>
      <c r="LO26" s="4">
        <v>22500000</v>
      </c>
      <c r="LP26" s="4">
        <v>22500000</v>
      </c>
      <c r="LQ26" s="4">
        <v>22500000</v>
      </c>
      <c r="LR26" s="4">
        <v>22500000</v>
      </c>
      <c r="LS26" s="4">
        <v>22500000</v>
      </c>
      <c r="LT26" s="4">
        <v>22500000</v>
      </c>
      <c r="LU26" s="4">
        <v>22500000</v>
      </c>
      <c r="LV26" s="4">
        <v>22500000</v>
      </c>
      <c r="LW26" s="4">
        <v>22500000</v>
      </c>
      <c r="LX26" s="4">
        <v>22500000</v>
      </c>
      <c r="LY26" s="4">
        <v>22500000</v>
      </c>
      <c r="LZ26" s="4">
        <v>22500000</v>
      </c>
      <c r="MA26" s="4">
        <v>22500000</v>
      </c>
      <c r="MB26" s="4">
        <v>22500000</v>
      </c>
      <c r="MC26" s="4">
        <v>22500000</v>
      </c>
      <c r="MD26" s="4">
        <v>22500000</v>
      </c>
      <c r="ME26" s="4">
        <v>22500000</v>
      </c>
      <c r="MF26" s="4">
        <v>22500000</v>
      </c>
      <c r="MG26" s="4">
        <v>22500000</v>
      </c>
      <c r="MH26" s="4">
        <v>22500000</v>
      </c>
      <c r="MI26" s="4">
        <v>22500000</v>
      </c>
      <c r="MJ26" s="4">
        <v>22500000</v>
      </c>
      <c r="MK26" s="4">
        <v>22500000</v>
      </c>
      <c r="ML26" s="4">
        <v>22500000</v>
      </c>
      <c r="MM26" s="4">
        <v>22500000</v>
      </c>
      <c r="MN26" s="4">
        <v>22500000</v>
      </c>
      <c r="MO26" s="4">
        <v>22500000</v>
      </c>
      <c r="MP26" s="4">
        <v>22500000</v>
      </c>
      <c r="MQ26" s="4">
        <v>22500000</v>
      </c>
      <c r="MR26" s="4">
        <v>22500000</v>
      </c>
      <c r="MS26" s="4">
        <v>22500000</v>
      </c>
      <c r="MT26" s="4">
        <v>22500000</v>
      </c>
      <c r="MU26" s="4">
        <v>22500000</v>
      </c>
      <c r="MV26" s="4">
        <v>22500000</v>
      </c>
    </row>
    <row r="27" spans="1:361">
      <c r="E27" s="130" t="s">
        <v>121</v>
      </c>
      <c r="F27" s="130"/>
      <c r="G27" s="130" t="s">
        <v>111</v>
      </c>
      <c r="H27" s="130"/>
      <c r="I27" s="130"/>
      <c r="J27" s="130" cm="1">
        <f t="array" ref="J27:MV27" xml:space="preserve"> _xlfn.LET(
      _xlpm.pct_games_played,_xlfn.ANCHORARRAY( J25),
      _xlpm.cumulative_cash,_xlfn.ANCHORARRAY(  J26),
      _xlpm.cumulative_cash * _xlpm.pct_games_played )</f>
        <v>0</v>
      </c>
      <c r="K27" s="130">
        <v>0</v>
      </c>
      <c r="L27" s="130">
        <v>0</v>
      </c>
      <c r="M27" s="130">
        <v>0</v>
      </c>
      <c r="N27" s="130">
        <v>0</v>
      </c>
      <c r="O27" s="130">
        <v>0</v>
      </c>
      <c r="P27" s="130">
        <v>0</v>
      </c>
      <c r="Q27" s="130">
        <v>0</v>
      </c>
      <c r="R27" s="130">
        <v>0</v>
      </c>
      <c r="S27" s="130">
        <v>0</v>
      </c>
      <c r="T27" s="130">
        <v>0</v>
      </c>
      <c r="U27" s="130">
        <v>0</v>
      </c>
      <c r="V27" s="130">
        <v>0</v>
      </c>
      <c r="W27" s="130">
        <v>0</v>
      </c>
      <c r="X27" s="130">
        <v>0</v>
      </c>
      <c r="Y27" s="130">
        <v>0</v>
      </c>
      <c r="Z27" s="130">
        <v>0</v>
      </c>
      <c r="AA27" s="130">
        <v>0</v>
      </c>
      <c r="AB27" s="130">
        <v>0</v>
      </c>
      <c r="AC27" s="130">
        <v>0</v>
      </c>
      <c r="AD27" s="130">
        <v>0</v>
      </c>
      <c r="AE27" s="130">
        <v>0</v>
      </c>
      <c r="AF27" s="130">
        <v>0</v>
      </c>
      <c r="AG27" s="130">
        <v>0</v>
      </c>
      <c r="AH27" s="130">
        <v>0</v>
      </c>
      <c r="AI27" s="130">
        <v>0</v>
      </c>
      <c r="AJ27" s="130">
        <v>0</v>
      </c>
      <c r="AK27" s="130">
        <v>0</v>
      </c>
      <c r="AL27" s="130">
        <v>0</v>
      </c>
      <c r="AM27" s="130">
        <v>0</v>
      </c>
      <c r="AN27" s="130">
        <v>0</v>
      </c>
      <c r="AO27" s="130">
        <v>0</v>
      </c>
      <c r="AP27" s="130">
        <v>0</v>
      </c>
      <c r="AQ27" s="130">
        <v>0</v>
      </c>
      <c r="AR27" s="130">
        <v>0</v>
      </c>
      <c r="AS27" s="130">
        <v>0</v>
      </c>
      <c r="AT27" s="130">
        <v>0</v>
      </c>
      <c r="AU27" s="130">
        <v>0</v>
      </c>
      <c r="AV27" s="130">
        <v>0</v>
      </c>
      <c r="AW27" s="130">
        <v>0</v>
      </c>
      <c r="AX27" s="130">
        <v>0</v>
      </c>
      <c r="AY27" s="130">
        <v>0</v>
      </c>
      <c r="AZ27" s="130">
        <v>0</v>
      </c>
      <c r="BA27" s="130">
        <v>0</v>
      </c>
      <c r="BB27" s="130">
        <v>0</v>
      </c>
      <c r="BC27" s="130">
        <v>0</v>
      </c>
      <c r="BD27" s="130">
        <v>0</v>
      </c>
      <c r="BE27" s="130">
        <v>0</v>
      </c>
      <c r="BF27" s="130">
        <v>0</v>
      </c>
      <c r="BG27" s="130">
        <v>0</v>
      </c>
      <c r="BH27" s="130">
        <v>0</v>
      </c>
      <c r="BI27" s="130">
        <v>0</v>
      </c>
      <c r="BJ27" s="130">
        <v>0</v>
      </c>
      <c r="BK27" s="130">
        <v>0</v>
      </c>
      <c r="BL27" s="130">
        <v>0</v>
      </c>
      <c r="BM27" s="130">
        <v>480937.5</v>
      </c>
      <c r="BN27" s="130">
        <v>507187.5</v>
      </c>
      <c r="BO27" s="130">
        <v>507187.5</v>
      </c>
      <c r="BP27" s="130">
        <v>507187.5</v>
      </c>
      <c r="BQ27" s="130">
        <v>507187.5</v>
      </c>
      <c r="BR27" s="130">
        <v>507187.5</v>
      </c>
      <c r="BS27" s="130">
        <v>507187.5</v>
      </c>
      <c r="BT27" s="130">
        <v>1014375</v>
      </c>
      <c r="BU27" s="130">
        <v>1044375</v>
      </c>
      <c r="BV27" s="130">
        <v>1044375</v>
      </c>
      <c r="BW27" s="130">
        <v>1044375</v>
      </c>
      <c r="BX27" s="130">
        <v>1044375</v>
      </c>
      <c r="BY27" s="130">
        <v>1044375</v>
      </c>
      <c r="BZ27" s="130">
        <v>1044375</v>
      </c>
      <c r="CA27" s="130">
        <v>1566562.5000000002</v>
      </c>
      <c r="CB27" s="130">
        <v>1594687.5000000002</v>
      </c>
      <c r="CC27" s="130">
        <v>1594687.5000000002</v>
      </c>
      <c r="CD27" s="130">
        <v>1594687.5000000002</v>
      </c>
      <c r="CE27" s="130">
        <v>1594687.5000000002</v>
      </c>
      <c r="CF27" s="130">
        <v>1594687.5000000002</v>
      </c>
      <c r="CG27" s="130">
        <v>1594687.5000000002</v>
      </c>
      <c r="CH27" s="130">
        <v>2126250</v>
      </c>
      <c r="CI27" s="130">
        <v>2141250</v>
      </c>
      <c r="CJ27" s="130">
        <v>2141250</v>
      </c>
      <c r="CK27" s="130">
        <v>2141250</v>
      </c>
      <c r="CL27" s="130">
        <v>2141250</v>
      </c>
      <c r="CM27" s="130">
        <v>2141250</v>
      </c>
      <c r="CN27" s="130">
        <v>2141250</v>
      </c>
      <c r="CO27" s="130">
        <v>2676562.5</v>
      </c>
      <c r="CP27" s="130">
        <v>2690625</v>
      </c>
      <c r="CQ27" s="130">
        <v>2690625</v>
      </c>
      <c r="CR27" s="130">
        <v>2690625</v>
      </c>
      <c r="CS27" s="130">
        <v>2690625</v>
      </c>
      <c r="CT27" s="130">
        <v>2690625</v>
      </c>
      <c r="CU27" s="130">
        <v>2690625</v>
      </c>
      <c r="CV27" s="130">
        <v>3228750</v>
      </c>
      <c r="CW27" s="130">
        <v>3234375</v>
      </c>
      <c r="CX27" s="130">
        <v>3234375</v>
      </c>
      <c r="CY27" s="130">
        <v>3234375</v>
      </c>
      <c r="CZ27" s="130">
        <v>3234375</v>
      </c>
      <c r="DA27" s="130">
        <v>3234375</v>
      </c>
      <c r="DB27" s="130">
        <v>3234375</v>
      </c>
      <c r="DC27" s="130">
        <v>3773437.4999999995</v>
      </c>
      <c r="DD27" s="130">
        <v>3779999.9999999995</v>
      </c>
      <c r="DE27" s="130">
        <v>3779999.9999999995</v>
      </c>
      <c r="DF27" s="130">
        <v>3779999.9999999995</v>
      </c>
      <c r="DG27" s="130">
        <v>3779999.9999999995</v>
      </c>
      <c r="DH27" s="130">
        <v>3779999.9999999995</v>
      </c>
      <c r="DI27" s="130">
        <v>3779999.9999999995</v>
      </c>
      <c r="DJ27" s="130">
        <v>4320000</v>
      </c>
      <c r="DK27" s="130">
        <v>4327500</v>
      </c>
      <c r="DL27" s="130">
        <v>4327500</v>
      </c>
      <c r="DM27" s="130">
        <v>4327500</v>
      </c>
      <c r="DN27" s="130">
        <v>4327500</v>
      </c>
      <c r="DO27" s="130">
        <v>4327500</v>
      </c>
      <c r="DP27" s="130">
        <v>4327500</v>
      </c>
      <c r="DQ27" s="130">
        <v>4868437.4999999991</v>
      </c>
      <c r="DR27" s="130">
        <v>4876874.9999999991</v>
      </c>
      <c r="DS27" s="130">
        <v>4876874.9999999991</v>
      </c>
      <c r="DT27" s="130">
        <v>4876874.9999999991</v>
      </c>
      <c r="DU27" s="130">
        <v>4876874.9999999991</v>
      </c>
      <c r="DV27" s="130">
        <v>4876874.9999999991</v>
      </c>
      <c r="DW27" s="130">
        <v>4876874.9999999991</v>
      </c>
      <c r="DX27" s="130">
        <v>5418749.9999999991</v>
      </c>
      <c r="DY27" s="130">
        <v>5428124.9999999991</v>
      </c>
      <c r="DZ27" s="130">
        <v>5428124.9999999991</v>
      </c>
      <c r="EA27" s="130">
        <v>5428124.9999999991</v>
      </c>
      <c r="EB27" s="130">
        <v>5428124.9999999991</v>
      </c>
      <c r="EC27" s="130">
        <v>5428124.9999999991</v>
      </c>
      <c r="ED27" s="130">
        <v>5428124.9999999991</v>
      </c>
      <c r="EE27" s="130">
        <v>5970937.4999999991</v>
      </c>
      <c r="EF27" s="130">
        <v>5981249.9999999991</v>
      </c>
      <c r="EG27" s="130">
        <v>5981249.9999999991</v>
      </c>
      <c r="EH27" s="130">
        <v>5981249.9999999991</v>
      </c>
      <c r="EI27" s="130">
        <v>5981249.9999999991</v>
      </c>
      <c r="EJ27" s="130">
        <v>5981249.9999999991</v>
      </c>
      <c r="EK27" s="130">
        <v>5981249.9999999991</v>
      </c>
      <c r="EL27" s="130">
        <v>6525000</v>
      </c>
      <c r="EM27" s="130">
        <v>6536250</v>
      </c>
      <c r="EN27" s="130">
        <v>6536250</v>
      </c>
      <c r="EO27" s="130">
        <v>6536250</v>
      </c>
      <c r="EP27" s="130">
        <v>6536250</v>
      </c>
      <c r="EQ27" s="130">
        <v>6536250</v>
      </c>
      <c r="ER27" s="130">
        <v>6536250</v>
      </c>
      <c r="ES27" s="130">
        <v>7080937.5</v>
      </c>
      <c r="ET27" s="130">
        <v>7093125</v>
      </c>
      <c r="EU27" s="130">
        <v>7093125</v>
      </c>
      <c r="EV27" s="130">
        <v>7093125</v>
      </c>
      <c r="EW27" s="130">
        <v>7093125</v>
      </c>
      <c r="EX27" s="130">
        <v>7093125</v>
      </c>
      <c r="EY27" s="130">
        <v>7093125</v>
      </c>
      <c r="EZ27" s="130">
        <v>7638750.0000000009</v>
      </c>
      <c r="FA27" s="130">
        <v>7651875.0000000009</v>
      </c>
      <c r="FB27" s="130">
        <v>7651875.0000000009</v>
      </c>
      <c r="FC27" s="130">
        <v>7651875.0000000009</v>
      </c>
      <c r="FD27" s="130">
        <v>7651875.0000000009</v>
      </c>
      <c r="FE27" s="130">
        <v>7651875.0000000009</v>
      </c>
      <c r="FF27" s="130">
        <v>7651875.0000000009</v>
      </c>
      <c r="FG27" s="130">
        <v>8198437.5000000009</v>
      </c>
      <c r="FH27" s="130">
        <v>8212500.0000000009</v>
      </c>
      <c r="FI27" s="130">
        <v>8212500.0000000009</v>
      </c>
      <c r="FJ27" s="130">
        <v>8212500.0000000009</v>
      </c>
      <c r="FK27" s="130">
        <v>8212500.0000000009</v>
      </c>
      <c r="FL27" s="130">
        <v>8212500.0000000009</v>
      </c>
      <c r="FM27" s="130">
        <v>8212500.0000000009</v>
      </c>
      <c r="FN27" s="130">
        <v>8760000.0000000019</v>
      </c>
      <c r="FO27" s="130">
        <v>8775000.0000000019</v>
      </c>
      <c r="FP27" s="130">
        <v>8775000.0000000019</v>
      </c>
      <c r="FQ27" s="130">
        <v>8775000.0000000019</v>
      </c>
      <c r="FR27" s="130">
        <v>8775000.0000000019</v>
      </c>
      <c r="FS27" s="130">
        <v>8775000.0000000019</v>
      </c>
      <c r="FT27" s="130">
        <v>8775000.0000000019</v>
      </c>
      <c r="FU27" s="130">
        <v>9323437.5000000019</v>
      </c>
      <c r="FV27" s="130">
        <v>9403125.0000000019</v>
      </c>
      <c r="FW27" s="130">
        <v>9403125.0000000019</v>
      </c>
      <c r="FX27" s="130">
        <v>9403125.0000000019</v>
      </c>
      <c r="FY27" s="130">
        <v>9403125.0000000019</v>
      </c>
      <c r="FZ27" s="130">
        <v>9403125.0000000019</v>
      </c>
      <c r="GA27" s="130">
        <v>9403125.0000000019</v>
      </c>
      <c r="GB27" s="130">
        <v>9956250.0000000019</v>
      </c>
      <c r="GC27" s="130">
        <v>10040625.000000002</v>
      </c>
      <c r="GD27" s="130">
        <v>10040625.000000002</v>
      </c>
      <c r="GE27" s="130">
        <v>10040625.000000002</v>
      </c>
      <c r="GF27" s="130">
        <v>10040625.000000002</v>
      </c>
      <c r="GG27" s="130">
        <v>10040625.000000002</v>
      </c>
      <c r="GH27" s="130">
        <v>10040625.000000002</v>
      </c>
      <c r="GI27" s="130">
        <v>10040625.000000002</v>
      </c>
      <c r="GJ27" s="130">
        <v>10057500.000000002</v>
      </c>
      <c r="GK27" s="130">
        <v>10057500.000000002</v>
      </c>
      <c r="GL27" s="130">
        <v>10057500.000000002</v>
      </c>
      <c r="GM27" s="130">
        <v>10057500.000000002</v>
      </c>
      <c r="GN27" s="130">
        <v>10057500.000000002</v>
      </c>
      <c r="GO27" s="130">
        <v>10057500.000000002</v>
      </c>
      <c r="GP27" s="130">
        <v>10057500.000000002</v>
      </c>
      <c r="GQ27" s="130">
        <v>10074375.000000002</v>
      </c>
      <c r="GR27" s="130">
        <v>10074375.000000002</v>
      </c>
      <c r="GS27" s="130">
        <v>10074375.000000002</v>
      </c>
      <c r="GT27" s="130">
        <v>10074375.000000002</v>
      </c>
      <c r="GU27" s="130">
        <v>10074375.000000002</v>
      </c>
      <c r="GV27" s="130">
        <v>10074375.000000002</v>
      </c>
      <c r="GW27" s="130">
        <v>10634062.500000004</v>
      </c>
      <c r="GX27" s="130">
        <v>10651875.000000004</v>
      </c>
      <c r="GY27" s="130">
        <v>10651875.000000004</v>
      </c>
      <c r="GZ27" s="130">
        <v>10651875.000000004</v>
      </c>
      <c r="HA27" s="130">
        <v>10651875.000000004</v>
      </c>
      <c r="HB27" s="130">
        <v>10651875.000000004</v>
      </c>
      <c r="HC27" s="130">
        <v>10651875.000000004</v>
      </c>
      <c r="HD27" s="130">
        <v>11212500.000000002</v>
      </c>
      <c r="HE27" s="130">
        <v>11231250.000000002</v>
      </c>
      <c r="HF27" s="130">
        <v>11231250.000000002</v>
      </c>
      <c r="HG27" s="130">
        <v>11231250.000000002</v>
      </c>
      <c r="HH27" s="130">
        <v>11231250.000000002</v>
      </c>
      <c r="HI27" s="130">
        <v>11231250.000000002</v>
      </c>
      <c r="HJ27" s="130">
        <v>11231250.000000002</v>
      </c>
      <c r="HK27" s="130">
        <v>11792812.500000004</v>
      </c>
      <c r="HL27" s="130">
        <v>11812500.000000004</v>
      </c>
      <c r="HM27" s="130">
        <v>11812500.000000004</v>
      </c>
      <c r="HN27" s="130">
        <v>11812500.000000004</v>
      </c>
      <c r="HO27" s="130">
        <v>11812500.000000004</v>
      </c>
      <c r="HP27" s="130">
        <v>11812500.000000004</v>
      </c>
      <c r="HQ27" s="130">
        <v>11812500.000000004</v>
      </c>
      <c r="HR27" s="130">
        <v>12375000.000000004</v>
      </c>
      <c r="HS27" s="130">
        <v>12375000.000000004</v>
      </c>
      <c r="HT27" s="130">
        <v>12375000.000000004</v>
      </c>
      <c r="HU27" s="130">
        <v>12375000.000000004</v>
      </c>
      <c r="HV27" s="130">
        <v>12375000.000000004</v>
      </c>
      <c r="HW27" s="130">
        <v>12375000.000000004</v>
      </c>
      <c r="HX27" s="130">
        <v>12375000.000000004</v>
      </c>
      <c r="HY27" s="130">
        <v>12937500.000000004</v>
      </c>
      <c r="HZ27" s="130">
        <v>12937500.000000004</v>
      </c>
      <c r="IA27" s="130">
        <v>12937500.000000004</v>
      </c>
      <c r="IB27" s="130">
        <v>12937500.000000004</v>
      </c>
      <c r="IC27" s="130">
        <v>12937500.000000004</v>
      </c>
      <c r="ID27" s="130">
        <v>12937500.000000004</v>
      </c>
      <c r="IE27" s="130">
        <v>12937500.000000004</v>
      </c>
      <c r="IF27" s="130">
        <v>13500000.000000004</v>
      </c>
      <c r="IG27" s="130">
        <v>13500000.000000004</v>
      </c>
      <c r="IH27" s="130">
        <v>13500000.000000004</v>
      </c>
      <c r="II27" s="130">
        <v>13500000.000000004</v>
      </c>
      <c r="IJ27" s="130">
        <v>13500000.000000004</v>
      </c>
      <c r="IK27" s="130">
        <v>13500000.000000004</v>
      </c>
      <c r="IL27" s="130">
        <v>13500000.000000004</v>
      </c>
      <c r="IM27" s="130">
        <v>14062500.000000006</v>
      </c>
      <c r="IN27" s="130">
        <v>14062500.000000006</v>
      </c>
      <c r="IO27" s="130">
        <v>14062500.000000006</v>
      </c>
      <c r="IP27" s="130">
        <v>14062500.000000006</v>
      </c>
      <c r="IQ27" s="130">
        <v>14062500.000000006</v>
      </c>
      <c r="IR27" s="130">
        <v>14062500.000000006</v>
      </c>
      <c r="IS27" s="130">
        <v>14062500.000000006</v>
      </c>
      <c r="IT27" s="130">
        <v>14625000.000000006</v>
      </c>
      <c r="IU27" s="130">
        <v>14625000.000000006</v>
      </c>
      <c r="IV27" s="130">
        <v>14625000.000000006</v>
      </c>
      <c r="IW27" s="130">
        <v>14625000.000000006</v>
      </c>
      <c r="IX27" s="130">
        <v>14625000.000000006</v>
      </c>
      <c r="IY27" s="130">
        <v>14625000.000000006</v>
      </c>
      <c r="IZ27" s="130">
        <v>14625000.000000006</v>
      </c>
      <c r="JA27" s="130">
        <v>15187500.000000006</v>
      </c>
      <c r="JB27" s="130">
        <v>15187500.000000006</v>
      </c>
      <c r="JC27" s="130">
        <v>15187500.000000006</v>
      </c>
      <c r="JD27" s="130">
        <v>15187500.000000006</v>
      </c>
      <c r="JE27" s="130">
        <v>15187500.000000006</v>
      </c>
      <c r="JF27" s="130">
        <v>15187500.000000006</v>
      </c>
      <c r="JG27" s="130">
        <v>15187500.000000006</v>
      </c>
      <c r="JH27" s="130">
        <v>15750000.000000006</v>
      </c>
      <c r="JI27" s="130">
        <v>15750000.000000006</v>
      </c>
      <c r="JJ27" s="130">
        <v>15750000.000000006</v>
      </c>
      <c r="JK27" s="130">
        <v>15750000.000000006</v>
      </c>
      <c r="JL27" s="130">
        <v>15750000.000000006</v>
      </c>
      <c r="JM27" s="130">
        <v>15750000.000000006</v>
      </c>
      <c r="JN27" s="130">
        <v>15750000.000000006</v>
      </c>
      <c r="JO27" s="130">
        <v>16312500.000000007</v>
      </c>
      <c r="JP27" s="130">
        <v>16312500.000000007</v>
      </c>
      <c r="JQ27" s="130">
        <v>16312500.000000007</v>
      </c>
      <c r="JR27" s="130">
        <v>16312500.000000007</v>
      </c>
      <c r="JS27" s="130">
        <v>16312500.000000007</v>
      </c>
      <c r="JT27" s="130">
        <v>16312500.000000007</v>
      </c>
      <c r="JU27" s="130">
        <v>16312500.000000007</v>
      </c>
      <c r="JV27" s="130">
        <v>16875000.000000007</v>
      </c>
      <c r="JW27" s="130">
        <v>16875000.000000007</v>
      </c>
      <c r="JX27" s="130">
        <v>16875000.000000007</v>
      </c>
      <c r="JY27" s="130">
        <v>16875000.000000007</v>
      </c>
      <c r="JZ27" s="130">
        <v>16875000.000000007</v>
      </c>
      <c r="KA27" s="130">
        <v>16875000.000000007</v>
      </c>
      <c r="KB27" s="130">
        <v>16875000.000000007</v>
      </c>
      <c r="KC27" s="130">
        <v>17437500.000000007</v>
      </c>
      <c r="KD27" s="130">
        <v>17437500.000000007</v>
      </c>
      <c r="KE27" s="130">
        <v>17437500.000000007</v>
      </c>
      <c r="KF27" s="130">
        <v>17437500.000000007</v>
      </c>
      <c r="KG27" s="130">
        <v>17437500.000000007</v>
      </c>
      <c r="KH27" s="130">
        <v>17437500.000000007</v>
      </c>
      <c r="KI27" s="130">
        <v>17437500.000000007</v>
      </c>
      <c r="KJ27" s="130">
        <v>18000000.000000007</v>
      </c>
      <c r="KK27" s="130">
        <v>18000000.000000007</v>
      </c>
      <c r="KL27" s="130">
        <v>18000000.000000007</v>
      </c>
      <c r="KM27" s="130">
        <v>18000000.000000007</v>
      </c>
      <c r="KN27" s="130">
        <v>18000000.000000007</v>
      </c>
      <c r="KO27" s="130">
        <v>18000000.000000007</v>
      </c>
      <c r="KP27" s="130">
        <v>18000000.000000007</v>
      </c>
      <c r="KQ27" s="130">
        <v>18562500.000000007</v>
      </c>
      <c r="KR27" s="130">
        <v>18562500.000000007</v>
      </c>
      <c r="KS27" s="130">
        <v>18562500.000000007</v>
      </c>
      <c r="KT27" s="130">
        <v>18562500.000000007</v>
      </c>
      <c r="KU27" s="130">
        <v>18562500.000000007</v>
      </c>
      <c r="KV27" s="130">
        <v>18562500.000000007</v>
      </c>
      <c r="KW27" s="130">
        <v>18562500.000000007</v>
      </c>
      <c r="KX27" s="130">
        <v>19125000.000000011</v>
      </c>
      <c r="KY27" s="130">
        <v>19125000.000000011</v>
      </c>
      <c r="KZ27" s="130">
        <v>19125000.000000011</v>
      </c>
      <c r="LA27" s="130">
        <v>19125000.000000011</v>
      </c>
      <c r="LB27" s="130">
        <v>19125000.000000011</v>
      </c>
      <c r="LC27" s="130">
        <v>19125000.000000011</v>
      </c>
      <c r="LD27" s="130">
        <v>19125000.000000011</v>
      </c>
      <c r="LE27" s="130">
        <v>19687500.000000011</v>
      </c>
      <c r="LF27" s="130">
        <v>19687500.000000011</v>
      </c>
      <c r="LG27" s="130">
        <v>19687500.000000011</v>
      </c>
      <c r="LH27" s="130">
        <v>19687500.000000011</v>
      </c>
      <c r="LI27" s="130">
        <v>19687500.000000011</v>
      </c>
      <c r="LJ27" s="130">
        <v>19687500.000000011</v>
      </c>
      <c r="LK27" s="130">
        <v>19687500.000000011</v>
      </c>
      <c r="LL27" s="130">
        <v>20250000.000000011</v>
      </c>
      <c r="LM27" s="130">
        <v>20250000.000000011</v>
      </c>
      <c r="LN27" s="130">
        <v>20250000.000000011</v>
      </c>
      <c r="LO27" s="130">
        <v>20250000.000000011</v>
      </c>
      <c r="LP27" s="130">
        <v>20250000.000000011</v>
      </c>
      <c r="LQ27" s="130">
        <v>20250000.000000011</v>
      </c>
      <c r="LR27" s="130">
        <v>20250000.000000011</v>
      </c>
      <c r="LS27" s="130">
        <v>20812500.000000011</v>
      </c>
      <c r="LT27" s="130">
        <v>20812500.000000011</v>
      </c>
      <c r="LU27" s="130">
        <v>20812500.000000011</v>
      </c>
      <c r="LV27" s="130">
        <v>20812500.000000011</v>
      </c>
      <c r="LW27" s="130">
        <v>20812500.000000011</v>
      </c>
      <c r="LX27" s="130">
        <v>20812500.000000011</v>
      </c>
      <c r="LY27" s="130">
        <v>20812500.000000011</v>
      </c>
      <c r="LZ27" s="130">
        <v>21375000.000000011</v>
      </c>
      <c r="MA27" s="130">
        <v>21375000.000000011</v>
      </c>
      <c r="MB27" s="130">
        <v>21375000.000000011</v>
      </c>
      <c r="MC27" s="130">
        <v>21375000.000000011</v>
      </c>
      <c r="MD27" s="130">
        <v>21375000.000000011</v>
      </c>
      <c r="ME27" s="130">
        <v>21375000.000000011</v>
      </c>
      <c r="MF27" s="130">
        <v>21375000.000000011</v>
      </c>
      <c r="MG27" s="130">
        <v>21937500.000000011</v>
      </c>
      <c r="MH27" s="130">
        <v>21937500.000000011</v>
      </c>
      <c r="MI27" s="130">
        <v>21937500.000000011</v>
      </c>
      <c r="MJ27" s="130">
        <v>21937500.000000011</v>
      </c>
      <c r="MK27" s="130">
        <v>21937500.000000011</v>
      </c>
      <c r="ML27" s="130">
        <v>21937500.000000011</v>
      </c>
      <c r="MM27" s="130">
        <v>21937500.000000011</v>
      </c>
      <c r="MN27" s="130">
        <v>21937500.000000011</v>
      </c>
      <c r="MO27" s="130">
        <v>21937500.000000011</v>
      </c>
      <c r="MP27" s="130">
        <v>21937500.000000011</v>
      </c>
      <c r="MQ27" s="130">
        <v>21937500.000000011</v>
      </c>
      <c r="MR27" s="130">
        <v>21937500.000000011</v>
      </c>
      <c r="MS27" s="130">
        <v>21937500.000000011</v>
      </c>
      <c r="MT27" s="130">
        <v>21937500.000000011</v>
      </c>
      <c r="MU27" s="130">
        <v>22500000.000000011</v>
      </c>
      <c r="MV27" s="130">
        <v>22500000.000000011</v>
      </c>
      <c r="MW27" s="130"/>
    </row>
    <row r="28" spans="1:361">
      <c r="E28" s="131" t="s">
        <v>120</v>
      </c>
      <c r="F28" s="131"/>
      <c r="G28" s="131" t="s">
        <v>111</v>
      </c>
      <c r="H28" s="131"/>
      <c r="I28" s="131"/>
      <c r="J28" s="131" cm="1">
        <f t="array" ref="J28:MV28" xml:space="preserve"> _xlfn.LET(
      _xlpm.current_period_revenue,_xlfn.ANCHORARRAY( J27),
      _xlpm.prior_period_revenue,   _xlfn.HSTACK( 0, _xlfn.DROP( _xlpm.current_period_revenue,, -1 ) ),
      _xlpm.current_period_revenue - _xlpm.prior_period_revenue )</f>
        <v>0</v>
      </c>
      <c r="K28" s="131">
        <v>0</v>
      </c>
      <c r="L28" s="131">
        <v>0</v>
      </c>
      <c r="M28" s="131">
        <v>0</v>
      </c>
      <c r="N28" s="131">
        <v>0</v>
      </c>
      <c r="O28" s="131">
        <v>0</v>
      </c>
      <c r="P28" s="131">
        <v>0</v>
      </c>
      <c r="Q28" s="131">
        <v>0</v>
      </c>
      <c r="R28" s="131">
        <v>0</v>
      </c>
      <c r="S28" s="131">
        <v>0</v>
      </c>
      <c r="T28" s="131">
        <v>0</v>
      </c>
      <c r="U28" s="131">
        <v>0</v>
      </c>
      <c r="V28" s="131">
        <v>0</v>
      </c>
      <c r="W28" s="131">
        <v>0</v>
      </c>
      <c r="X28" s="131">
        <v>0</v>
      </c>
      <c r="Y28" s="131">
        <v>0</v>
      </c>
      <c r="Z28" s="131">
        <v>0</v>
      </c>
      <c r="AA28" s="131">
        <v>0</v>
      </c>
      <c r="AB28" s="131">
        <v>0</v>
      </c>
      <c r="AC28" s="131">
        <v>0</v>
      </c>
      <c r="AD28" s="131">
        <v>0</v>
      </c>
      <c r="AE28" s="131">
        <v>0</v>
      </c>
      <c r="AF28" s="131">
        <v>0</v>
      </c>
      <c r="AG28" s="131">
        <v>0</v>
      </c>
      <c r="AH28" s="131">
        <v>0</v>
      </c>
      <c r="AI28" s="131">
        <v>0</v>
      </c>
      <c r="AJ28" s="131">
        <v>0</v>
      </c>
      <c r="AK28" s="131">
        <v>0</v>
      </c>
      <c r="AL28" s="131">
        <v>0</v>
      </c>
      <c r="AM28" s="131">
        <v>0</v>
      </c>
      <c r="AN28" s="131">
        <v>0</v>
      </c>
      <c r="AO28" s="131">
        <v>0</v>
      </c>
      <c r="AP28" s="131">
        <v>0</v>
      </c>
      <c r="AQ28" s="131">
        <v>0</v>
      </c>
      <c r="AR28" s="131">
        <v>0</v>
      </c>
      <c r="AS28" s="131">
        <v>0</v>
      </c>
      <c r="AT28" s="131">
        <v>0</v>
      </c>
      <c r="AU28" s="131">
        <v>0</v>
      </c>
      <c r="AV28" s="131">
        <v>0</v>
      </c>
      <c r="AW28" s="131">
        <v>0</v>
      </c>
      <c r="AX28" s="131">
        <v>0</v>
      </c>
      <c r="AY28" s="131">
        <v>0</v>
      </c>
      <c r="AZ28" s="131">
        <v>0</v>
      </c>
      <c r="BA28" s="131">
        <v>0</v>
      </c>
      <c r="BB28" s="131">
        <v>0</v>
      </c>
      <c r="BC28" s="131">
        <v>0</v>
      </c>
      <c r="BD28" s="131">
        <v>0</v>
      </c>
      <c r="BE28" s="131">
        <v>0</v>
      </c>
      <c r="BF28" s="131">
        <v>0</v>
      </c>
      <c r="BG28" s="131">
        <v>0</v>
      </c>
      <c r="BH28" s="131">
        <v>0</v>
      </c>
      <c r="BI28" s="131">
        <v>0</v>
      </c>
      <c r="BJ28" s="131">
        <v>0</v>
      </c>
      <c r="BK28" s="131">
        <v>0</v>
      </c>
      <c r="BL28" s="131">
        <v>0</v>
      </c>
      <c r="BM28" s="131">
        <v>480937.5</v>
      </c>
      <c r="BN28" s="131">
        <v>26250</v>
      </c>
      <c r="BO28" s="131">
        <v>0</v>
      </c>
      <c r="BP28" s="131">
        <v>0</v>
      </c>
      <c r="BQ28" s="131">
        <v>0</v>
      </c>
      <c r="BR28" s="131">
        <v>0</v>
      </c>
      <c r="BS28" s="131">
        <v>0</v>
      </c>
      <c r="BT28" s="131">
        <v>507187.5</v>
      </c>
      <c r="BU28" s="131">
        <v>30000</v>
      </c>
      <c r="BV28" s="131">
        <v>0</v>
      </c>
      <c r="BW28" s="131">
        <v>0</v>
      </c>
      <c r="BX28" s="131">
        <v>0</v>
      </c>
      <c r="BY28" s="131">
        <v>0</v>
      </c>
      <c r="BZ28" s="131">
        <v>0</v>
      </c>
      <c r="CA28" s="131">
        <v>522187.50000000023</v>
      </c>
      <c r="CB28" s="131">
        <v>28125</v>
      </c>
      <c r="CC28" s="131">
        <v>0</v>
      </c>
      <c r="CD28" s="131">
        <v>0</v>
      </c>
      <c r="CE28" s="131">
        <v>0</v>
      </c>
      <c r="CF28" s="131">
        <v>0</v>
      </c>
      <c r="CG28" s="131">
        <v>0</v>
      </c>
      <c r="CH28" s="131">
        <v>531562.49999999977</v>
      </c>
      <c r="CI28" s="131">
        <v>15000</v>
      </c>
      <c r="CJ28" s="131">
        <v>0</v>
      </c>
      <c r="CK28" s="131">
        <v>0</v>
      </c>
      <c r="CL28" s="131">
        <v>0</v>
      </c>
      <c r="CM28" s="131">
        <v>0</v>
      </c>
      <c r="CN28" s="131">
        <v>0</v>
      </c>
      <c r="CO28" s="131">
        <v>535312.5</v>
      </c>
      <c r="CP28" s="131">
        <v>14062.5</v>
      </c>
      <c r="CQ28" s="131">
        <v>0</v>
      </c>
      <c r="CR28" s="131">
        <v>0</v>
      </c>
      <c r="CS28" s="131">
        <v>0</v>
      </c>
      <c r="CT28" s="131">
        <v>0</v>
      </c>
      <c r="CU28" s="131">
        <v>0</v>
      </c>
      <c r="CV28" s="131">
        <v>538125</v>
      </c>
      <c r="CW28" s="131">
        <v>5625</v>
      </c>
      <c r="CX28" s="131">
        <v>0</v>
      </c>
      <c r="CY28" s="131">
        <v>0</v>
      </c>
      <c r="CZ28" s="131">
        <v>0</v>
      </c>
      <c r="DA28" s="131">
        <v>0</v>
      </c>
      <c r="DB28" s="131">
        <v>0</v>
      </c>
      <c r="DC28" s="131">
        <v>539062.49999999953</v>
      </c>
      <c r="DD28" s="131">
        <v>6562.5</v>
      </c>
      <c r="DE28" s="131">
        <v>0</v>
      </c>
      <c r="DF28" s="131">
        <v>0</v>
      </c>
      <c r="DG28" s="131">
        <v>0</v>
      </c>
      <c r="DH28" s="131">
        <v>0</v>
      </c>
      <c r="DI28" s="131">
        <v>0</v>
      </c>
      <c r="DJ28" s="131">
        <v>540000.00000000047</v>
      </c>
      <c r="DK28" s="131">
        <v>7500</v>
      </c>
      <c r="DL28" s="131">
        <v>0</v>
      </c>
      <c r="DM28" s="131">
        <v>0</v>
      </c>
      <c r="DN28" s="131">
        <v>0</v>
      </c>
      <c r="DO28" s="131">
        <v>0</v>
      </c>
      <c r="DP28" s="131">
        <v>0</v>
      </c>
      <c r="DQ28" s="131">
        <v>540937.49999999907</v>
      </c>
      <c r="DR28" s="131">
        <v>8437.5</v>
      </c>
      <c r="DS28" s="131">
        <v>0</v>
      </c>
      <c r="DT28" s="131">
        <v>0</v>
      </c>
      <c r="DU28" s="131">
        <v>0</v>
      </c>
      <c r="DV28" s="131">
        <v>0</v>
      </c>
      <c r="DW28" s="131">
        <v>0</v>
      </c>
      <c r="DX28" s="131">
        <v>541875</v>
      </c>
      <c r="DY28" s="131">
        <v>9375</v>
      </c>
      <c r="DZ28" s="131">
        <v>0</v>
      </c>
      <c r="EA28" s="131">
        <v>0</v>
      </c>
      <c r="EB28" s="131">
        <v>0</v>
      </c>
      <c r="EC28" s="131">
        <v>0</v>
      </c>
      <c r="ED28" s="131">
        <v>0</v>
      </c>
      <c r="EE28" s="131">
        <v>542812.5</v>
      </c>
      <c r="EF28" s="131">
        <v>10312.5</v>
      </c>
      <c r="EG28" s="131">
        <v>0</v>
      </c>
      <c r="EH28" s="131">
        <v>0</v>
      </c>
      <c r="EI28" s="131">
        <v>0</v>
      </c>
      <c r="EJ28" s="131">
        <v>0</v>
      </c>
      <c r="EK28" s="131">
        <v>0</v>
      </c>
      <c r="EL28" s="131">
        <v>543750.00000000093</v>
      </c>
      <c r="EM28" s="131">
        <v>11250</v>
      </c>
      <c r="EN28" s="131">
        <v>0</v>
      </c>
      <c r="EO28" s="131">
        <v>0</v>
      </c>
      <c r="EP28" s="131">
        <v>0</v>
      </c>
      <c r="EQ28" s="131">
        <v>0</v>
      </c>
      <c r="ER28" s="131">
        <v>0</v>
      </c>
      <c r="ES28" s="131">
        <v>544687.5</v>
      </c>
      <c r="ET28" s="131">
        <v>12187.5</v>
      </c>
      <c r="EU28" s="131">
        <v>0</v>
      </c>
      <c r="EV28" s="131">
        <v>0</v>
      </c>
      <c r="EW28" s="131">
        <v>0</v>
      </c>
      <c r="EX28" s="131">
        <v>0</v>
      </c>
      <c r="EY28" s="131">
        <v>0</v>
      </c>
      <c r="EZ28" s="131">
        <v>545625.00000000093</v>
      </c>
      <c r="FA28" s="131">
        <v>13125</v>
      </c>
      <c r="FB28" s="131">
        <v>0</v>
      </c>
      <c r="FC28" s="131">
        <v>0</v>
      </c>
      <c r="FD28" s="131">
        <v>0</v>
      </c>
      <c r="FE28" s="131">
        <v>0</v>
      </c>
      <c r="FF28" s="131">
        <v>0</v>
      </c>
      <c r="FG28" s="131">
        <v>546562.5</v>
      </c>
      <c r="FH28" s="131">
        <v>14062.5</v>
      </c>
      <c r="FI28" s="131">
        <v>0</v>
      </c>
      <c r="FJ28" s="131">
        <v>0</v>
      </c>
      <c r="FK28" s="131">
        <v>0</v>
      </c>
      <c r="FL28" s="131">
        <v>0</v>
      </c>
      <c r="FM28" s="131">
        <v>0</v>
      </c>
      <c r="FN28" s="131">
        <v>547500.00000000093</v>
      </c>
      <c r="FO28" s="131">
        <v>15000</v>
      </c>
      <c r="FP28" s="131">
        <v>0</v>
      </c>
      <c r="FQ28" s="131">
        <v>0</v>
      </c>
      <c r="FR28" s="131">
        <v>0</v>
      </c>
      <c r="FS28" s="131">
        <v>0</v>
      </c>
      <c r="FT28" s="131">
        <v>0</v>
      </c>
      <c r="FU28" s="131">
        <v>548437.5</v>
      </c>
      <c r="FV28" s="131">
        <v>79687.5</v>
      </c>
      <c r="FW28" s="131">
        <v>0</v>
      </c>
      <c r="FX28" s="131">
        <v>0</v>
      </c>
      <c r="FY28" s="131">
        <v>0</v>
      </c>
      <c r="FZ28" s="131">
        <v>0</v>
      </c>
      <c r="GA28" s="131">
        <v>0</v>
      </c>
      <c r="GB28" s="131">
        <v>553125</v>
      </c>
      <c r="GC28" s="131">
        <v>84375</v>
      </c>
      <c r="GD28" s="131">
        <v>0</v>
      </c>
      <c r="GE28" s="131">
        <v>0</v>
      </c>
      <c r="GF28" s="131">
        <v>0</v>
      </c>
      <c r="GG28" s="131">
        <v>0</v>
      </c>
      <c r="GH28" s="131">
        <v>0</v>
      </c>
      <c r="GI28" s="131">
        <v>0</v>
      </c>
      <c r="GJ28" s="131">
        <v>16875</v>
      </c>
      <c r="GK28" s="131">
        <v>0</v>
      </c>
      <c r="GL28" s="131">
        <v>0</v>
      </c>
      <c r="GM28" s="131">
        <v>0</v>
      </c>
      <c r="GN28" s="131">
        <v>0</v>
      </c>
      <c r="GO28" s="131">
        <v>0</v>
      </c>
      <c r="GP28" s="131">
        <v>0</v>
      </c>
      <c r="GQ28" s="131">
        <v>16875</v>
      </c>
      <c r="GR28" s="131">
        <v>0</v>
      </c>
      <c r="GS28" s="131">
        <v>0</v>
      </c>
      <c r="GT28" s="131">
        <v>0</v>
      </c>
      <c r="GU28" s="131">
        <v>0</v>
      </c>
      <c r="GV28" s="131">
        <v>0</v>
      </c>
      <c r="GW28" s="131">
        <v>559687.50000000186</v>
      </c>
      <c r="GX28" s="131">
        <v>17812.5</v>
      </c>
      <c r="GY28" s="131">
        <v>0</v>
      </c>
      <c r="GZ28" s="131">
        <v>0</v>
      </c>
      <c r="HA28" s="131">
        <v>0</v>
      </c>
      <c r="HB28" s="131">
        <v>0</v>
      </c>
      <c r="HC28" s="131">
        <v>0</v>
      </c>
      <c r="HD28" s="131">
        <v>560624.99999999814</v>
      </c>
      <c r="HE28" s="131">
        <v>18750</v>
      </c>
      <c r="HF28" s="131">
        <v>0</v>
      </c>
      <c r="HG28" s="131">
        <v>0</v>
      </c>
      <c r="HH28" s="131">
        <v>0</v>
      </c>
      <c r="HI28" s="131">
        <v>0</v>
      </c>
      <c r="HJ28" s="131">
        <v>0</v>
      </c>
      <c r="HK28" s="131">
        <v>561562.50000000186</v>
      </c>
      <c r="HL28" s="131">
        <v>19687.5</v>
      </c>
      <c r="HM28" s="131">
        <v>0</v>
      </c>
      <c r="HN28" s="131">
        <v>0</v>
      </c>
      <c r="HO28" s="131">
        <v>0</v>
      </c>
      <c r="HP28" s="131">
        <v>0</v>
      </c>
      <c r="HQ28" s="131">
        <v>0</v>
      </c>
      <c r="HR28" s="131">
        <v>562500</v>
      </c>
      <c r="HS28" s="131">
        <v>0</v>
      </c>
      <c r="HT28" s="131">
        <v>0</v>
      </c>
      <c r="HU28" s="131">
        <v>0</v>
      </c>
      <c r="HV28" s="131">
        <v>0</v>
      </c>
      <c r="HW28" s="131">
        <v>0</v>
      </c>
      <c r="HX28" s="131">
        <v>0</v>
      </c>
      <c r="HY28" s="131">
        <v>562500</v>
      </c>
      <c r="HZ28" s="131">
        <v>0</v>
      </c>
      <c r="IA28" s="131">
        <v>0</v>
      </c>
      <c r="IB28" s="131">
        <v>0</v>
      </c>
      <c r="IC28" s="131">
        <v>0</v>
      </c>
      <c r="ID28" s="131">
        <v>0</v>
      </c>
      <c r="IE28" s="131">
        <v>0</v>
      </c>
      <c r="IF28" s="131">
        <v>562500</v>
      </c>
      <c r="IG28" s="131">
        <v>0</v>
      </c>
      <c r="IH28" s="131">
        <v>0</v>
      </c>
      <c r="II28" s="131">
        <v>0</v>
      </c>
      <c r="IJ28" s="131">
        <v>0</v>
      </c>
      <c r="IK28" s="131">
        <v>0</v>
      </c>
      <c r="IL28" s="131">
        <v>0</v>
      </c>
      <c r="IM28" s="131">
        <v>562500.00000000186</v>
      </c>
      <c r="IN28" s="131">
        <v>0</v>
      </c>
      <c r="IO28" s="131">
        <v>0</v>
      </c>
      <c r="IP28" s="131">
        <v>0</v>
      </c>
      <c r="IQ28" s="131">
        <v>0</v>
      </c>
      <c r="IR28" s="131">
        <v>0</v>
      </c>
      <c r="IS28" s="131">
        <v>0</v>
      </c>
      <c r="IT28" s="131">
        <v>562500</v>
      </c>
      <c r="IU28" s="131">
        <v>0</v>
      </c>
      <c r="IV28" s="131">
        <v>0</v>
      </c>
      <c r="IW28" s="131">
        <v>0</v>
      </c>
      <c r="IX28" s="131">
        <v>0</v>
      </c>
      <c r="IY28" s="131">
        <v>0</v>
      </c>
      <c r="IZ28" s="131">
        <v>0</v>
      </c>
      <c r="JA28" s="131">
        <v>562500</v>
      </c>
      <c r="JB28" s="131">
        <v>0</v>
      </c>
      <c r="JC28" s="131">
        <v>0</v>
      </c>
      <c r="JD28" s="131">
        <v>0</v>
      </c>
      <c r="JE28" s="131">
        <v>0</v>
      </c>
      <c r="JF28" s="131">
        <v>0</v>
      </c>
      <c r="JG28" s="131">
        <v>0</v>
      </c>
      <c r="JH28" s="131">
        <v>562500</v>
      </c>
      <c r="JI28" s="131">
        <v>0</v>
      </c>
      <c r="JJ28" s="131">
        <v>0</v>
      </c>
      <c r="JK28" s="131">
        <v>0</v>
      </c>
      <c r="JL28" s="131">
        <v>0</v>
      </c>
      <c r="JM28" s="131">
        <v>0</v>
      </c>
      <c r="JN28" s="131">
        <v>0</v>
      </c>
      <c r="JO28" s="131">
        <v>562500.00000000186</v>
      </c>
      <c r="JP28" s="131">
        <v>0</v>
      </c>
      <c r="JQ28" s="131">
        <v>0</v>
      </c>
      <c r="JR28" s="131">
        <v>0</v>
      </c>
      <c r="JS28" s="131">
        <v>0</v>
      </c>
      <c r="JT28" s="131">
        <v>0</v>
      </c>
      <c r="JU28" s="131">
        <v>0</v>
      </c>
      <c r="JV28" s="131">
        <v>562500</v>
      </c>
      <c r="JW28" s="131">
        <v>0</v>
      </c>
      <c r="JX28" s="131">
        <v>0</v>
      </c>
      <c r="JY28" s="131">
        <v>0</v>
      </c>
      <c r="JZ28" s="131">
        <v>0</v>
      </c>
      <c r="KA28" s="131">
        <v>0</v>
      </c>
      <c r="KB28" s="131">
        <v>0</v>
      </c>
      <c r="KC28" s="131">
        <v>562500</v>
      </c>
      <c r="KD28" s="131">
        <v>0</v>
      </c>
      <c r="KE28" s="131">
        <v>0</v>
      </c>
      <c r="KF28" s="131">
        <v>0</v>
      </c>
      <c r="KG28" s="131">
        <v>0</v>
      </c>
      <c r="KH28" s="131">
        <v>0</v>
      </c>
      <c r="KI28" s="131">
        <v>0</v>
      </c>
      <c r="KJ28" s="131">
        <v>562500</v>
      </c>
      <c r="KK28" s="131">
        <v>0</v>
      </c>
      <c r="KL28" s="131">
        <v>0</v>
      </c>
      <c r="KM28" s="131">
        <v>0</v>
      </c>
      <c r="KN28" s="131">
        <v>0</v>
      </c>
      <c r="KO28" s="131">
        <v>0</v>
      </c>
      <c r="KP28" s="131">
        <v>0</v>
      </c>
      <c r="KQ28" s="131">
        <v>562500</v>
      </c>
      <c r="KR28" s="131">
        <v>0</v>
      </c>
      <c r="KS28" s="131">
        <v>0</v>
      </c>
      <c r="KT28" s="131">
        <v>0</v>
      </c>
      <c r="KU28" s="131">
        <v>0</v>
      </c>
      <c r="KV28" s="131">
        <v>0</v>
      </c>
      <c r="KW28" s="131">
        <v>0</v>
      </c>
      <c r="KX28" s="131">
        <v>562500.00000000373</v>
      </c>
      <c r="KY28" s="131">
        <v>0</v>
      </c>
      <c r="KZ28" s="131">
        <v>0</v>
      </c>
      <c r="LA28" s="131">
        <v>0</v>
      </c>
      <c r="LB28" s="131">
        <v>0</v>
      </c>
      <c r="LC28" s="131">
        <v>0</v>
      </c>
      <c r="LD28" s="131">
        <v>0</v>
      </c>
      <c r="LE28" s="131">
        <v>562500</v>
      </c>
      <c r="LF28" s="131">
        <v>0</v>
      </c>
      <c r="LG28" s="131">
        <v>0</v>
      </c>
      <c r="LH28" s="131">
        <v>0</v>
      </c>
      <c r="LI28" s="131">
        <v>0</v>
      </c>
      <c r="LJ28" s="131">
        <v>0</v>
      </c>
      <c r="LK28" s="131">
        <v>0</v>
      </c>
      <c r="LL28" s="131">
        <v>562500</v>
      </c>
      <c r="LM28" s="131">
        <v>0</v>
      </c>
      <c r="LN28" s="131">
        <v>0</v>
      </c>
      <c r="LO28" s="131">
        <v>0</v>
      </c>
      <c r="LP28" s="131">
        <v>0</v>
      </c>
      <c r="LQ28" s="131">
        <v>0</v>
      </c>
      <c r="LR28" s="131">
        <v>0</v>
      </c>
      <c r="LS28" s="131">
        <v>562500</v>
      </c>
      <c r="LT28" s="131">
        <v>0</v>
      </c>
      <c r="LU28" s="131">
        <v>0</v>
      </c>
      <c r="LV28" s="131">
        <v>0</v>
      </c>
      <c r="LW28" s="131">
        <v>0</v>
      </c>
      <c r="LX28" s="131">
        <v>0</v>
      </c>
      <c r="LY28" s="131">
        <v>0</v>
      </c>
      <c r="LZ28" s="131">
        <v>562500</v>
      </c>
      <c r="MA28" s="131">
        <v>0</v>
      </c>
      <c r="MB28" s="131">
        <v>0</v>
      </c>
      <c r="MC28" s="131">
        <v>0</v>
      </c>
      <c r="MD28" s="131">
        <v>0</v>
      </c>
      <c r="ME28" s="131">
        <v>0</v>
      </c>
      <c r="MF28" s="131">
        <v>0</v>
      </c>
      <c r="MG28" s="131">
        <v>562500</v>
      </c>
      <c r="MH28" s="131">
        <v>0</v>
      </c>
      <c r="MI28" s="131">
        <v>0</v>
      </c>
      <c r="MJ28" s="131">
        <v>0</v>
      </c>
      <c r="MK28" s="131">
        <v>0</v>
      </c>
      <c r="ML28" s="131">
        <v>0</v>
      </c>
      <c r="MM28" s="131">
        <v>0</v>
      </c>
      <c r="MN28" s="131">
        <v>0</v>
      </c>
      <c r="MO28" s="131">
        <v>0</v>
      </c>
      <c r="MP28" s="131">
        <v>0</v>
      </c>
      <c r="MQ28" s="131">
        <v>0</v>
      </c>
      <c r="MR28" s="131">
        <v>0</v>
      </c>
      <c r="MS28" s="131">
        <v>0</v>
      </c>
      <c r="MT28" s="131">
        <v>0</v>
      </c>
      <c r="MU28" s="131">
        <v>562500</v>
      </c>
      <c r="MV28" s="131">
        <v>0</v>
      </c>
    </row>
    <row r="30" spans="1:361">
      <c r="E30" s="4" t="s">
        <v>123</v>
      </c>
      <c r="G30" s="4" t="s">
        <v>111</v>
      </c>
      <c r="J30" s="4" cm="1">
        <f t="array" ref="J30:MV30">_xlfn.ANCHORARRAY( J26) -_xlfn.ANCHORARRAY( J27)</f>
        <v>3600000</v>
      </c>
      <c r="K30" s="4">
        <v>3600000</v>
      </c>
      <c r="L30" s="4">
        <v>3600000</v>
      </c>
      <c r="M30" s="4">
        <v>3600000</v>
      </c>
      <c r="N30" s="4">
        <v>3600000</v>
      </c>
      <c r="O30" s="4">
        <v>3600000</v>
      </c>
      <c r="P30" s="4">
        <v>3600000</v>
      </c>
      <c r="Q30" s="4">
        <v>6450000</v>
      </c>
      <c r="R30" s="4">
        <v>6450000</v>
      </c>
      <c r="S30" s="4">
        <v>6450000</v>
      </c>
      <c r="T30" s="4">
        <v>6450000</v>
      </c>
      <c r="U30" s="4">
        <v>6450000</v>
      </c>
      <c r="V30" s="4">
        <v>6450000</v>
      </c>
      <c r="W30" s="4">
        <v>6450000</v>
      </c>
      <c r="X30" s="4">
        <v>9000000</v>
      </c>
      <c r="Y30" s="4">
        <v>9000000</v>
      </c>
      <c r="Z30" s="4">
        <v>9000000</v>
      </c>
      <c r="AA30" s="4">
        <v>9000000</v>
      </c>
      <c r="AB30" s="4">
        <v>9000000</v>
      </c>
      <c r="AC30" s="4">
        <v>9000000</v>
      </c>
      <c r="AD30" s="4">
        <v>9000000</v>
      </c>
      <c r="AE30" s="4">
        <v>11100000</v>
      </c>
      <c r="AF30" s="4">
        <v>11100000</v>
      </c>
      <c r="AG30" s="4">
        <v>11100000</v>
      </c>
      <c r="AH30" s="4">
        <v>11100000</v>
      </c>
      <c r="AI30" s="4">
        <v>11100000</v>
      </c>
      <c r="AJ30" s="4">
        <v>11100000</v>
      </c>
      <c r="AK30" s="4">
        <v>11100000</v>
      </c>
      <c r="AL30" s="4">
        <v>13125000</v>
      </c>
      <c r="AM30" s="4">
        <v>13125000</v>
      </c>
      <c r="AN30" s="4">
        <v>13125000</v>
      </c>
      <c r="AO30" s="4">
        <v>13125000</v>
      </c>
      <c r="AP30" s="4">
        <v>13125000</v>
      </c>
      <c r="AQ30" s="4">
        <v>13125000</v>
      </c>
      <c r="AR30" s="4">
        <v>13125000</v>
      </c>
      <c r="AS30" s="4">
        <v>15187500</v>
      </c>
      <c r="AT30" s="4">
        <v>15187500</v>
      </c>
      <c r="AU30" s="4">
        <v>15187500</v>
      </c>
      <c r="AV30" s="4">
        <v>15187500</v>
      </c>
      <c r="AW30" s="4">
        <v>15187500</v>
      </c>
      <c r="AX30" s="4">
        <v>15187500</v>
      </c>
      <c r="AY30" s="4">
        <v>15187500</v>
      </c>
      <c r="AZ30" s="4">
        <v>17137500</v>
      </c>
      <c r="BA30" s="4">
        <v>17137500</v>
      </c>
      <c r="BB30" s="4">
        <v>17137500</v>
      </c>
      <c r="BC30" s="4">
        <v>17137500</v>
      </c>
      <c r="BD30" s="4">
        <v>17137500</v>
      </c>
      <c r="BE30" s="4">
        <v>17137500</v>
      </c>
      <c r="BF30" s="4">
        <v>17137500</v>
      </c>
      <c r="BG30" s="4">
        <v>19237500</v>
      </c>
      <c r="BH30" s="4">
        <v>19237500</v>
      </c>
      <c r="BI30" s="4">
        <v>19237500</v>
      </c>
      <c r="BJ30" s="4">
        <v>19237500</v>
      </c>
      <c r="BK30" s="4">
        <v>19237500</v>
      </c>
      <c r="BL30" s="4">
        <v>19237500</v>
      </c>
      <c r="BM30" s="4">
        <v>18756562.5</v>
      </c>
      <c r="BN30" s="4">
        <v>19780312.5</v>
      </c>
      <c r="BO30" s="4">
        <v>19780312.5</v>
      </c>
      <c r="BP30" s="4">
        <v>19780312.5</v>
      </c>
      <c r="BQ30" s="4">
        <v>19780312.5</v>
      </c>
      <c r="BR30" s="4">
        <v>19780312.5</v>
      </c>
      <c r="BS30" s="4">
        <v>19780312.5</v>
      </c>
      <c r="BT30" s="4">
        <v>19273125</v>
      </c>
      <c r="BU30" s="4">
        <v>19843125</v>
      </c>
      <c r="BV30" s="4">
        <v>19843125</v>
      </c>
      <c r="BW30" s="4">
        <v>19843125</v>
      </c>
      <c r="BX30" s="4">
        <v>19843125</v>
      </c>
      <c r="BY30" s="4">
        <v>19843125</v>
      </c>
      <c r="BZ30" s="4">
        <v>19843125</v>
      </c>
      <c r="CA30" s="4">
        <v>19320937.5</v>
      </c>
      <c r="CB30" s="4">
        <v>19667812.5</v>
      </c>
      <c r="CC30" s="4">
        <v>19667812.5</v>
      </c>
      <c r="CD30" s="4">
        <v>19667812.5</v>
      </c>
      <c r="CE30" s="4">
        <v>19667812.5</v>
      </c>
      <c r="CF30" s="4">
        <v>19667812.5</v>
      </c>
      <c r="CG30" s="4">
        <v>19667812.5</v>
      </c>
      <c r="CH30" s="4">
        <v>19136250</v>
      </c>
      <c r="CI30" s="4">
        <v>19271250</v>
      </c>
      <c r="CJ30" s="4">
        <v>19271250</v>
      </c>
      <c r="CK30" s="4">
        <v>19271250</v>
      </c>
      <c r="CL30" s="4">
        <v>19271250</v>
      </c>
      <c r="CM30" s="4">
        <v>19271250</v>
      </c>
      <c r="CN30" s="4">
        <v>19271250</v>
      </c>
      <c r="CO30" s="4">
        <v>18735937.5</v>
      </c>
      <c r="CP30" s="4">
        <v>18834375</v>
      </c>
      <c r="CQ30" s="4">
        <v>18834375</v>
      </c>
      <c r="CR30" s="4">
        <v>18834375</v>
      </c>
      <c r="CS30" s="4">
        <v>18834375</v>
      </c>
      <c r="CT30" s="4">
        <v>18834375</v>
      </c>
      <c r="CU30" s="4">
        <v>18834375</v>
      </c>
      <c r="CV30" s="4">
        <v>18296250</v>
      </c>
      <c r="CW30" s="4">
        <v>18328125</v>
      </c>
      <c r="CX30" s="4">
        <v>18328125</v>
      </c>
      <c r="CY30" s="4">
        <v>18328125</v>
      </c>
      <c r="CZ30" s="4">
        <v>18328125</v>
      </c>
      <c r="DA30" s="4">
        <v>18328125</v>
      </c>
      <c r="DB30" s="4">
        <v>18328125</v>
      </c>
      <c r="DC30" s="4">
        <v>17789062.5</v>
      </c>
      <c r="DD30" s="4">
        <v>17820000</v>
      </c>
      <c r="DE30" s="4">
        <v>17820000</v>
      </c>
      <c r="DF30" s="4">
        <v>17820000</v>
      </c>
      <c r="DG30" s="4">
        <v>17820000</v>
      </c>
      <c r="DH30" s="4">
        <v>17820000</v>
      </c>
      <c r="DI30" s="4">
        <v>17820000</v>
      </c>
      <c r="DJ30" s="4">
        <v>17280000</v>
      </c>
      <c r="DK30" s="4">
        <v>17310000</v>
      </c>
      <c r="DL30" s="4">
        <v>17310000</v>
      </c>
      <c r="DM30" s="4">
        <v>17310000</v>
      </c>
      <c r="DN30" s="4">
        <v>17310000</v>
      </c>
      <c r="DO30" s="4">
        <v>17310000</v>
      </c>
      <c r="DP30" s="4">
        <v>17310000</v>
      </c>
      <c r="DQ30" s="4">
        <v>16769062.5</v>
      </c>
      <c r="DR30" s="4">
        <v>16798125</v>
      </c>
      <c r="DS30" s="4">
        <v>16798125</v>
      </c>
      <c r="DT30" s="4">
        <v>16798125</v>
      </c>
      <c r="DU30" s="4">
        <v>16798125</v>
      </c>
      <c r="DV30" s="4">
        <v>16798125</v>
      </c>
      <c r="DW30" s="4">
        <v>16798125</v>
      </c>
      <c r="DX30" s="4">
        <v>16256250</v>
      </c>
      <c r="DY30" s="4">
        <v>16284375</v>
      </c>
      <c r="DZ30" s="4">
        <v>16284375</v>
      </c>
      <c r="EA30" s="4">
        <v>16284375</v>
      </c>
      <c r="EB30" s="4">
        <v>16284375</v>
      </c>
      <c r="EC30" s="4">
        <v>16284375</v>
      </c>
      <c r="ED30" s="4">
        <v>16284375</v>
      </c>
      <c r="EE30" s="4">
        <v>15741562.5</v>
      </c>
      <c r="EF30" s="4">
        <v>15768750</v>
      </c>
      <c r="EG30" s="4">
        <v>15768750</v>
      </c>
      <c r="EH30" s="4">
        <v>15768750</v>
      </c>
      <c r="EI30" s="4">
        <v>15768750</v>
      </c>
      <c r="EJ30" s="4">
        <v>15768750</v>
      </c>
      <c r="EK30" s="4">
        <v>15768750</v>
      </c>
      <c r="EL30" s="4">
        <v>15225000</v>
      </c>
      <c r="EM30" s="4">
        <v>15251250</v>
      </c>
      <c r="EN30" s="4">
        <v>15251250</v>
      </c>
      <c r="EO30" s="4">
        <v>15251250</v>
      </c>
      <c r="EP30" s="4">
        <v>15251250</v>
      </c>
      <c r="EQ30" s="4">
        <v>15251250</v>
      </c>
      <c r="ER30" s="4">
        <v>15251250</v>
      </c>
      <c r="ES30" s="4">
        <v>14706562.5</v>
      </c>
      <c r="ET30" s="4">
        <v>14731875</v>
      </c>
      <c r="EU30" s="4">
        <v>14731875</v>
      </c>
      <c r="EV30" s="4">
        <v>14731875</v>
      </c>
      <c r="EW30" s="4">
        <v>14731875</v>
      </c>
      <c r="EX30" s="4">
        <v>14731875</v>
      </c>
      <c r="EY30" s="4">
        <v>14731875</v>
      </c>
      <c r="EZ30" s="4">
        <v>14186250</v>
      </c>
      <c r="FA30" s="4">
        <v>14210625</v>
      </c>
      <c r="FB30" s="4">
        <v>14210625</v>
      </c>
      <c r="FC30" s="4">
        <v>14210625</v>
      </c>
      <c r="FD30" s="4">
        <v>14210625</v>
      </c>
      <c r="FE30" s="4">
        <v>14210625</v>
      </c>
      <c r="FF30" s="4">
        <v>14210625</v>
      </c>
      <c r="FG30" s="4">
        <v>13664062.5</v>
      </c>
      <c r="FH30" s="4">
        <v>13687500</v>
      </c>
      <c r="FI30" s="4">
        <v>13687500</v>
      </c>
      <c r="FJ30" s="4">
        <v>13687500</v>
      </c>
      <c r="FK30" s="4">
        <v>13687500</v>
      </c>
      <c r="FL30" s="4">
        <v>13687500</v>
      </c>
      <c r="FM30" s="4">
        <v>13687500</v>
      </c>
      <c r="FN30" s="4">
        <v>13139999.999999998</v>
      </c>
      <c r="FO30" s="4">
        <v>13162499.999999998</v>
      </c>
      <c r="FP30" s="4">
        <v>13162499.999999998</v>
      </c>
      <c r="FQ30" s="4">
        <v>13162499.999999998</v>
      </c>
      <c r="FR30" s="4">
        <v>13162499.999999998</v>
      </c>
      <c r="FS30" s="4">
        <v>13162499.999999998</v>
      </c>
      <c r="FT30" s="4">
        <v>13162499.999999998</v>
      </c>
      <c r="FU30" s="4">
        <v>12614062.499999998</v>
      </c>
      <c r="FV30" s="4">
        <v>12721874.999999998</v>
      </c>
      <c r="FW30" s="4">
        <v>12721874.999999998</v>
      </c>
      <c r="FX30" s="4">
        <v>12721874.999999998</v>
      </c>
      <c r="FY30" s="4">
        <v>12721874.999999998</v>
      </c>
      <c r="FZ30" s="4">
        <v>12721874.999999998</v>
      </c>
      <c r="GA30" s="4">
        <v>12721874.999999998</v>
      </c>
      <c r="GB30" s="4">
        <v>12168749.999999998</v>
      </c>
      <c r="GC30" s="4">
        <v>12271874.999999998</v>
      </c>
      <c r="GD30" s="4">
        <v>12271874.999999998</v>
      </c>
      <c r="GE30" s="4">
        <v>12271874.999999998</v>
      </c>
      <c r="GF30" s="4">
        <v>12271874.999999998</v>
      </c>
      <c r="GG30" s="4">
        <v>12271874.999999998</v>
      </c>
      <c r="GH30" s="4">
        <v>12271874.999999998</v>
      </c>
      <c r="GI30" s="4">
        <v>12271874.999999998</v>
      </c>
      <c r="GJ30" s="4">
        <v>12292499.999999998</v>
      </c>
      <c r="GK30" s="4">
        <v>12292499.999999998</v>
      </c>
      <c r="GL30" s="4">
        <v>12292499.999999998</v>
      </c>
      <c r="GM30" s="4">
        <v>12292499.999999998</v>
      </c>
      <c r="GN30" s="4">
        <v>12292499.999999998</v>
      </c>
      <c r="GO30" s="4">
        <v>12292499.999999998</v>
      </c>
      <c r="GP30" s="4">
        <v>12292499.999999998</v>
      </c>
      <c r="GQ30" s="4">
        <v>12313124.999999998</v>
      </c>
      <c r="GR30" s="4">
        <v>12313124.999999998</v>
      </c>
      <c r="GS30" s="4">
        <v>12313124.999999998</v>
      </c>
      <c r="GT30" s="4">
        <v>12313124.999999998</v>
      </c>
      <c r="GU30" s="4">
        <v>12313124.999999998</v>
      </c>
      <c r="GV30" s="4">
        <v>12313124.999999998</v>
      </c>
      <c r="GW30" s="4">
        <v>11753437.499999996</v>
      </c>
      <c r="GX30" s="4">
        <v>11773124.999999996</v>
      </c>
      <c r="GY30" s="4">
        <v>11773124.999999996</v>
      </c>
      <c r="GZ30" s="4">
        <v>11773124.999999996</v>
      </c>
      <c r="HA30" s="4">
        <v>11773124.999999996</v>
      </c>
      <c r="HB30" s="4">
        <v>11773124.999999996</v>
      </c>
      <c r="HC30" s="4">
        <v>11773124.999999996</v>
      </c>
      <c r="HD30" s="4">
        <v>11212499.999999998</v>
      </c>
      <c r="HE30" s="4">
        <v>11231249.999999998</v>
      </c>
      <c r="HF30" s="4">
        <v>11231249.999999998</v>
      </c>
      <c r="HG30" s="4">
        <v>11231249.999999998</v>
      </c>
      <c r="HH30" s="4">
        <v>11231249.999999998</v>
      </c>
      <c r="HI30" s="4">
        <v>11231249.999999998</v>
      </c>
      <c r="HJ30" s="4">
        <v>11231249.999999998</v>
      </c>
      <c r="HK30" s="4">
        <v>10669687.499999996</v>
      </c>
      <c r="HL30" s="4">
        <v>10687499.999999996</v>
      </c>
      <c r="HM30" s="4">
        <v>10687499.999999996</v>
      </c>
      <c r="HN30" s="4">
        <v>10687499.999999996</v>
      </c>
      <c r="HO30" s="4">
        <v>10687499.999999996</v>
      </c>
      <c r="HP30" s="4">
        <v>10687499.999999996</v>
      </c>
      <c r="HQ30" s="4">
        <v>10687499.999999996</v>
      </c>
      <c r="HR30" s="4">
        <v>10124999.999999996</v>
      </c>
      <c r="HS30" s="4">
        <v>10124999.999999996</v>
      </c>
      <c r="HT30" s="4">
        <v>10124999.999999996</v>
      </c>
      <c r="HU30" s="4">
        <v>10124999.999999996</v>
      </c>
      <c r="HV30" s="4">
        <v>10124999.999999996</v>
      </c>
      <c r="HW30" s="4">
        <v>10124999.999999996</v>
      </c>
      <c r="HX30" s="4">
        <v>10124999.999999996</v>
      </c>
      <c r="HY30" s="4">
        <v>9562499.9999999963</v>
      </c>
      <c r="HZ30" s="4">
        <v>9562499.9999999963</v>
      </c>
      <c r="IA30" s="4">
        <v>9562499.9999999963</v>
      </c>
      <c r="IB30" s="4">
        <v>9562499.9999999963</v>
      </c>
      <c r="IC30" s="4">
        <v>9562499.9999999963</v>
      </c>
      <c r="ID30" s="4">
        <v>9562499.9999999963</v>
      </c>
      <c r="IE30" s="4">
        <v>9562499.9999999963</v>
      </c>
      <c r="IF30" s="4">
        <v>8999999.9999999963</v>
      </c>
      <c r="IG30" s="4">
        <v>8999999.9999999963</v>
      </c>
      <c r="IH30" s="4">
        <v>8999999.9999999963</v>
      </c>
      <c r="II30" s="4">
        <v>8999999.9999999963</v>
      </c>
      <c r="IJ30" s="4">
        <v>8999999.9999999963</v>
      </c>
      <c r="IK30" s="4">
        <v>8999999.9999999963</v>
      </c>
      <c r="IL30" s="4">
        <v>8999999.9999999963</v>
      </c>
      <c r="IM30" s="4">
        <v>8437499.9999999944</v>
      </c>
      <c r="IN30" s="4">
        <v>8437499.9999999944</v>
      </c>
      <c r="IO30" s="4">
        <v>8437499.9999999944</v>
      </c>
      <c r="IP30" s="4">
        <v>8437499.9999999944</v>
      </c>
      <c r="IQ30" s="4">
        <v>8437499.9999999944</v>
      </c>
      <c r="IR30" s="4">
        <v>8437499.9999999944</v>
      </c>
      <c r="IS30" s="4">
        <v>8437499.9999999944</v>
      </c>
      <c r="IT30" s="4">
        <v>7874999.9999999944</v>
      </c>
      <c r="IU30" s="4">
        <v>7874999.9999999944</v>
      </c>
      <c r="IV30" s="4">
        <v>7874999.9999999944</v>
      </c>
      <c r="IW30" s="4">
        <v>7874999.9999999944</v>
      </c>
      <c r="IX30" s="4">
        <v>7874999.9999999944</v>
      </c>
      <c r="IY30" s="4">
        <v>7874999.9999999944</v>
      </c>
      <c r="IZ30" s="4">
        <v>7874999.9999999944</v>
      </c>
      <c r="JA30" s="4">
        <v>7312499.9999999944</v>
      </c>
      <c r="JB30" s="4">
        <v>7312499.9999999944</v>
      </c>
      <c r="JC30" s="4">
        <v>7312499.9999999944</v>
      </c>
      <c r="JD30" s="4">
        <v>7312499.9999999944</v>
      </c>
      <c r="JE30" s="4">
        <v>7312499.9999999944</v>
      </c>
      <c r="JF30" s="4">
        <v>7312499.9999999944</v>
      </c>
      <c r="JG30" s="4">
        <v>7312499.9999999944</v>
      </c>
      <c r="JH30" s="4">
        <v>6749999.9999999944</v>
      </c>
      <c r="JI30" s="4">
        <v>6749999.9999999944</v>
      </c>
      <c r="JJ30" s="4">
        <v>6749999.9999999944</v>
      </c>
      <c r="JK30" s="4">
        <v>6749999.9999999944</v>
      </c>
      <c r="JL30" s="4">
        <v>6749999.9999999944</v>
      </c>
      <c r="JM30" s="4">
        <v>6749999.9999999944</v>
      </c>
      <c r="JN30" s="4">
        <v>6749999.9999999944</v>
      </c>
      <c r="JO30" s="4">
        <v>6187499.9999999925</v>
      </c>
      <c r="JP30" s="4">
        <v>6187499.9999999925</v>
      </c>
      <c r="JQ30" s="4">
        <v>6187499.9999999925</v>
      </c>
      <c r="JR30" s="4">
        <v>6187499.9999999925</v>
      </c>
      <c r="JS30" s="4">
        <v>6187499.9999999925</v>
      </c>
      <c r="JT30" s="4">
        <v>6187499.9999999925</v>
      </c>
      <c r="JU30" s="4">
        <v>6187499.9999999925</v>
      </c>
      <c r="JV30" s="4">
        <v>5624999.9999999925</v>
      </c>
      <c r="JW30" s="4">
        <v>5624999.9999999925</v>
      </c>
      <c r="JX30" s="4">
        <v>5624999.9999999925</v>
      </c>
      <c r="JY30" s="4">
        <v>5624999.9999999925</v>
      </c>
      <c r="JZ30" s="4">
        <v>5624999.9999999925</v>
      </c>
      <c r="KA30" s="4">
        <v>5624999.9999999925</v>
      </c>
      <c r="KB30" s="4">
        <v>5624999.9999999925</v>
      </c>
      <c r="KC30" s="4">
        <v>5062499.9999999925</v>
      </c>
      <c r="KD30" s="4">
        <v>5062499.9999999925</v>
      </c>
      <c r="KE30" s="4">
        <v>5062499.9999999925</v>
      </c>
      <c r="KF30" s="4">
        <v>5062499.9999999925</v>
      </c>
      <c r="KG30" s="4">
        <v>5062499.9999999925</v>
      </c>
      <c r="KH30" s="4">
        <v>5062499.9999999925</v>
      </c>
      <c r="KI30" s="4">
        <v>5062499.9999999925</v>
      </c>
      <c r="KJ30" s="4">
        <v>4499999.9999999925</v>
      </c>
      <c r="KK30" s="4">
        <v>4499999.9999999925</v>
      </c>
      <c r="KL30" s="4">
        <v>4499999.9999999925</v>
      </c>
      <c r="KM30" s="4">
        <v>4499999.9999999925</v>
      </c>
      <c r="KN30" s="4">
        <v>4499999.9999999925</v>
      </c>
      <c r="KO30" s="4">
        <v>4499999.9999999925</v>
      </c>
      <c r="KP30" s="4">
        <v>4499999.9999999925</v>
      </c>
      <c r="KQ30" s="4">
        <v>3937499.9999999925</v>
      </c>
      <c r="KR30" s="4">
        <v>3937499.9999999925</v>
      </c>
      <c r="KS30" s="4">
        <v>3937499.9999999925</v>
      </c>
      <c r="KT30" s="4">
        <v>3937499.9999999925</v>
      </c>
      <c r="KU30" s="4">
        <v>3937499.9999999925</v>
      </c>
      <c r="KV30" s="4">
        <v>3937499.9999999925</v>
      </c>
      <c r="KW30" s="4">
        <v>3937499.9999999925</v>
      </c>
      <c r="KX30" s="4">
        <v>3374999.9999999888</v>
      </c>
      <c r="KY30" s="4">
        <v>3374999.9999999888</v>
      </c>
      <c r="KZ30" s="4">
        <v>3374999.9999999888</v>
      </c>
      <c r="LA30" s="4">
        <v>3374999.9999999888</v>
      </c>
      <c r="LB30" s="4">
        <v>3374999.9999999888</v>
      </c>
      <c r="LC30" s="4">
        <v>3374999.9999999888</v>
      </c>
      <c r="LD30" s="4">
        <v>3374999.9999999888</v>
      </c>
      <c r="LE30" s="4">
        <v>2812499.9999999888</v>
      </c>
      <c r="LF30" s="4">
        <v>2812499.9999999888</v>
      </c>
      <c r="LG30" s="4">
        <v>2812499.9999999888</v>
      </c>
      <c r="LH30" s="4">
        <v>2812499.9999999888</v>
      </c>
      <c r="LI30" s="4">
        <v>2812499.9999999888</v>
      </c>
      <c r="LJ30" s="4">
        <v>2812499.9999999888</v>
      </c>
      <c r="LK30" s="4">
        <v>2812499.9999999888</v>
      </c>
      <c r="LL30" s="4">
        <v>2249999.9999999888</v>
      </c>
      <c r="LM30" s="4">
        <v>2249999.9999999888</v>
      </c>
      <c r="LN30" s="4">
        <v>2249999.9999999888</v>
      </c>
      <c r="LO30" s="4">
        <v>2249999.9999999888</v>
      </c>
      <c r="LP30" s="4">
        <v>2249999.9999999888</v>
      </c>
      <c r="LQ30" s="4">
        <v>2249999.9999999888</v>
      </c>
      <c r="LR30" s="4">
        <v>2249999.9999999888</v>
      </c>
      <c r="LS30" s="4">
        <v>1687499.9999999888</v>
      </c>
      <c r="LT30" s="4">
        <v>1687499.9999999888</v>
      </c>
      <c r="LU30" s="4">
        <v>1687499.9999999888</v>
      </c>
      <c r="LV30" s="4">
        <v>1687499.9999999888</v>
      </c>
      <c r="LW30" s="4">
        <v>1687499.9999999888</v>
      </c>
      <c r="LX30" s="4">
        <v>1687499.9999999888</v>
      </c>
      <c r="LY30" s="4">
        <v>1687499.9999999888</v>
      </c>
      <c r="LZ30" s="4">
        <v>1124999.9999999888</v>
      </c>
      <c r="MA30" s="4">
        <v>1124999.9999999888</v>
      </c>
      <c r="MB30" s="4">
        <v>1124999.9999999888</v>
      </c>
      <c r="MC30" s="4">
        <v>1124999.9999999888</v>
      </c>
      <c r="MD30" s="4">
        <v>1124999.9999999888</v>
      </c>
      <c r="ME30" s="4">
        <v>1124999.9999999888</v>
      </c>
      <c r="MF30" s="4">
        <v>1124999.9999999888</v>
      </c>
      <c r="MG30" s="4">
        <v>562499.99999998882</v>
      </c>
      <c r="MH30" s="4">
        <v>562499.99999998882</v>
      </c>
      <c r="MI30" s="4">
        <v>562499.99999998882</v>
      </c>
      <c r="MJ30" s="4">
        <v>562499.99999998882</v>
      </c>
      <c r="MK30" s="4">
        <v>562499.99999998882</v>
      </c>
      <c r="ML30" s="4">
        <v>562499.99999998882</v>
      </c>
      <c r="MM30" s="4">
        <v>562499.99999998882</v>
      </c>
      <c r="MN30" s="4">
        <v>562499.99999998882</v>
      </c>
      <c r="MO30" s="4">
        <v>562499.99999998882</v>
      </c>
      <c r="MP30" s="4">
        <v>562499.99999998882</v>
      </c>
      <c r="MQ30" s="4">
        <v>562499.99999998882</v>
      </c>
      <c r="MR30" s="4">
        <v>562499.99999998882</v>
      </c>
      <c r="MS30" s="4">
        <v>562499.99999998882</v>
      </c>
      <c r="MT30" s="4">
        <v>562499.99999998882</v>
      </c>
      <c r="MU30" s="4">
        <v>0</v>
      </c>
      <c r="MV30" s="4">
        <v>0</v>
      </c>
    </row>
    <row r="32" spans="1:361" s="123" customFormat="1">
      <c r="A32" s="124" t="s">
        <v>20</v>
      </c>
    </row>
    <row r="34" spans="5:360">
      <c r="E34" s="4" t="s">
        <v>125</v>
      </c>
      <c r="G34" s="4" t="s">
        <v>130</v>
      </c>
      <c r="J34" s="4" cm="1">
        <f t="array" ref="J34:MV34" xml:space="preserve"> _xlfn.XLOOKUP(_xlfn.ANCHORARRAY( J14), tbl_GameDates[Date], tbl_GameDates[Importance], "n/a" )</f>
        <v>3</v>
      </c>
      <c r="K34" s="4">
        <v>3</v>
      </c>
      <c r="L34" s="4">
        <v>3</v>
      </c>
      <c r="M34" s="4">
        <v>3</v>
      </c>
      <c r="N34" s="4">
        <v>3</v>
      </c>
      <c r="O34" s="4">
        <v>3</v>
      </c>
      <c r="P34" s="4">
        <v>3</v>
      </c>
      <c r="Q34" s="4">
        <v>3</v>
      </c>
      <c r="R34" s="4">
        <v>3</v>
      </c>
      <c r="S34" s="4">
        <v>3</v>
      </c>
      <c r="T34" s="4">
        <v>3</v>
      </c>
      <c r="U34" s="4">
        <v>3</v>
      </c>
      <c r="V34" s="4">
        <v>3</v>
      </c>
      <c r="W34" s="4">
        <v>3</v>
      </c>
      <c r="X34" s="4">
        <v>3</v>
      </c>
      <c r="Y34" s="4">
        <v>3</v>
      </c>
      <c r="Z34" s="4">
        <v>3</v>
      </c>
      <c r="AA34" s="4">
        <v>3</v>
      </c>
      <c r="AB34" s="4">
        <v>3</v>
      </c>
      <c r="AC34" s="4">
        <v>3</v>
      </c>
      <c r="AD34" s="4">
        <v>3</v>
      </c>
      <c r="AE34" s="4">
        <v>3</v>
      </c>
      <c r="AF34" s="4">
        <v>3</v>
      </c>
      <c r="AG34" s="4">
        <v>3</v>
      </c>
      <c r="AH34" s="4">
        <v>3</v>
      </c>
      <c r="AI34" s="4">
        <v>3</v>
      </c>
      <c r="AJ34" s="4">
        <v>3</v>
      </c>
      <c r="AK34" s="4">
        <v>3</v>
      </c>
      <c r="AL34" s="4">
        <v>3</v>
      </c>
      <c r="AM34" s="4">
        <v>3</v>
      </c>
      <c r="AN34" s="4">
        <v>3</v>
      </c>
      <c r="AO34" s="4">
        <v>3</v>
      </c>
      <c r="AP34" s="4">
        <v>3</v>
      </c>
      <c r="AQ34" s="4">
        <v>3</v>
      </c>
      <c r="AR34" s="4">
        <v>3</v>
      </c>
      <c r="AS34" s="4">
        <v>3</v>
      </c>
      <c r="AT34" s="4">
        <v>3</v>
      </c>
      <c r="AU34" s="4">
        <v>3</v>
      </c>
      <c r="AV34" s="4">
        <v>3</v>
      </c>
      <c r="AW34" s="4">
        <v>3</v>
      </c>
      <c r="AX34" s="4">
        <v>3</v>
      </c>
      <c r="AY34" s="4">
        <v>3</v>
      </c>
      <c r="AZ34" s="4">
        <v>3</v>
      </c>
      <c r="BA34" s="4">
        <v>3</v>
      </c>
      <c r="BB34" s="4">
        <v>3</v>
      </c>
      <c r="BC34" s="4">
        <v>3</v>
      </c>
      <c r="BD34" s="4">
        <v>3</v>
      </c>
      <c r="BE34" s="4">
        <v>3</v>
      </c>
      <c r="BF34" s="4">
        <v>3</v>
      </c>
      <c r="BG34" s="4">
        <v>3</v>
      </c>
      <c r="BH34" s="4">
        <v>3</v>
      </c>
      <c r="BI34" s="4">
        <v>3</v>
      </c>
      <c r="BJ34" s="4">
        <v>3</v>
      </c>
      <c r="BK34" s="4">
        <v>3</v>
      </c>
      <c r="BL34" s="4">
        <v>3</v>
      </c>
      <c r="BM34" s="4">
        <v>3</v>
      </c>
      <c r="BN34" s="4">
        <v>2</v>
      </c>
      <c r="BO34" s="4">
        <v>2</v>
      </c>
      <c r="BP34" s="4">
        <v>2</v>
      </c>
      <c r="BQ34" s="4">
        <v>2</v>
      </c>
      <c r="BR34" s="4">
        <v>2</v>
      </c>
      <c r="BS34" s="4">
        <v>2</v>
      </c>
      <c r="BT34" s="4">
        <v>2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3</v>
      </c>
      <c r="CC34" s="4">
        <v>3</v>
      </c>
      <c r="CD34" s="4">
        <v>3</v>
      </c>
      <c r="CE34" s="4">
        <v>3</v>
      </c>
      <c r="CF34" s="4">
        <v>3</v>
      </c>
      <c r="CG34" s="4">
        <v>3</v>
      </c>
      <c r="CH34" s="4">
        <v>3</v>
      </c>
      <c r="CI34" s="4">
        <v>1</v>
      </c>
      <c r="CJ34" s="4">
        <v>1</v>
      </c>
      <c r="CK34" s="4">
        <v>1</v>
      </c>
      <c r="CL34" s="4">
        <v>1</v>
      </c>
      <c r="CM34" s="4">
        <v>1</v>
      </c>
      <c r="CN34" s="4">
        <v>1</v>
      </c>
      <c r="CO34" s="4">
        <v>1</v>
      </c>
      <c r="CP34" s="4">
        <v>2</v>
      </c>
      <c r="CQ34" s="4">
        <v>2</v>
      </c>
      <c r="CR34" s="4">
        <v>2</v>
      </c>
      <c r="CS34" s="4">
        <v>2</v>
      </c>
      <c r="CT34" s="4">
        <v>2</v>
      </c>
      <c r="CU34" s="4">
        <v>2</v>
      </c>
      <c r="CV34" s="4">
        <v>2</v>
      </c>
      <c r="CW34" s="4">
        <v>1</v>
      </c>
      <c r="CX34" s="4">
        <v>1</v>
      </c>
      <c r="CY34" s="4">
        <v>1</v>
      </c>
      <c r="CZ34" s="4">
        <v>1</v>
      </c>
      <c r="DA34" s="4">
        <v>1</v>
      </c>
      <c r="DB34" s="4">
        <v>1</v>
      </c>
      <c r="DC34" s="4">
        <v>1</v>
      </c>
      <c r="DD34" s="4">
        <v>2</v>
      </c>
      <c r="DE34" s="4">
        <v>2</v>
      </c>
      <c r="DF34" s="4">
        <v>2</v>
      </c>
      <c r="DG34" s="4">
        <v>2</v>
      </c>
      <c r="DH34" s="4">
        <v>2</v>
      </c>
      <c r="DI34" s="4">
        <v>2</v>
      </c>
      <c r="DJ34" s="4">
        <v>2</v>
      </c>
      <c r="DK34" s="4">
        <v>2</v>
      </c>
      <c r="DL34" s="4">
        <v>2</v>
      </c>
      <c r="DM34" s="4">
        <v>2</v>
      </c>
      <c r="DN34" s="4">
        <v>2</v>
      </c>
      <c r="DO34" s="4">
        <v>2</v>
      </c>
      <c r="DP34" s="4">
        <v>2</v>
      </c>
      <c r="DQ34" s="4">
        <v>2</v>
      </c>
      <c r="DR34" s="4">
        <v>1</v>
      </c>
      <c r="DS34" s="4">
        <v>1</v>
      </c>
      <c r="DT34" s="4">
        <v>1</v>
      </c>
      <c r="DU34" s="4">
        <v>1</v>
      </c>
      <c r="DV34" s="4">
        <v>1</v>
      </c>
      <c r="DW34" s="4">
        <v>1</v>
      </c>
      <c r="DX34" s="4">
        <v>1</v>
      </c>
      <c r="DY34" s="4">
        <v>2</v>
      </c>
      <c r="DZ34" s="4">
        <v>2</v>
      </c>
      <c r="EA34" s="4">
        <v>2</v>
      </c>
      <c r="EB34" s="4">
        <v>2</v>
      </c>
      <c r="EC34" s="4">
        <v>2</v>
      </c>
      <c r="ED34" s="4">
        <v>2</v>
      </c>
      <c r="EE34" s="4">
        <v>2</v>
      </c>
      <c r="EF34" s="4">
        <v>1</v>
      </c>
      <c r="EG34" s="4">
        <v>1</v>
      </c>
      <c r="EH34" s="4">
        <v>1</v>
      </c>
      <c r="EI34" s="4">
        <v>1</v>
      </c>
      <c r="EJ34" s="4">
        <v>1</v>
      </c>
      <c r="EK34" s="4">
        <v>1</v>
      </c>
      <c r="EL34" s="4">
        <v>1</v>
      </c>
      <c r="EM34" s="4">
        <v>4</v>
      </c>
      <c r="EN34" s="4">
        <v>4</v>
      </c>
      <c r="EO34" s="4">
        <v>4</v>
      </c>
      <c r="EP34" s="4">
        <v>4</v>
      </c>
      <c r="EQ34" s="4">
        <v>4</v>
      </c>
      <c r="ER34" s="4">
        <v>4</v>
      </c>
      <c r="ES34" s="4">
        <v>4</v>
      </c>
      <c r="ET34" s="4">
        <v>1</v>
      </c>
      <c r="EU34" s="4">
        <v>1</v>
      </c>
      <c r="EV34" s="4">
        <v>1</v>
      </c>
      <c r="EW34" s="4">
        <v>1</v>
      </c>
      <c r="EX34" s="4">
        <v>1</v>
      </c>
      <c r="EY34" s="4">
        <v>1</v>
      </c>
      <c r="EZ34" s="4">
        <v>1</v>
      </c>
      <c r="FA34" s="4">
        <v>2</v>
      </c>
      <c r="FB34" s="4">
        <v>2</v>
      </c>
      <c r="FC34" s="4">
        <v>2</v>
      </c>
      <c r="FD34" s="4">
        <v>2</v>
      </c>
      <c r="FE34" s="4">
        <v>2</v>
      </c>
      <c r="FF34" s="4">
        <v>2</v>
      </c>
      <c r="FG34" s="4">
        <v>2</v>
      </c>
      <c r="FH34" s="4">
        <v>2</v>
      </c>
      <c r="FI34" s="4">
        <v>2</v>
      </c>
      <c r="FJ34" s="4">
        <v>2</v>
      </c>
      <c r="FK34" s="4">
        <v>2</v>
      </c>
      <c r="FL34" s="4">
        <v>2</v>
      </c>
      <c r="FM34" s="4">
        <v>2</v>
      </c>
      <c r="FN34" s="4">
        <v>2</v>
      </c>
      <c r="FO34" s="4">
        <v>2</v>
      </c>
      <c r="FP34" s="4">
        <v>2</v>
      </c>
      <c r="FQ34" s="4">
        <v>2</v>
      </c>
      <c r="FR34" s="4">
        <v>2</v>
      </c>
      <c r="FS34" s="4">
        <v>2</v>
      </c>
      <c r="FT34" s="4">
        <v>2</v>
      </c>
      <c r="FU34" s="4">
        <v>2</v>
      </c>
      <c r="FV34" s="4">
        <v>1</v>
      </c>
      <c r="FW34" s="4">
        <v>1</v>
      </c>
      <c r="FX34" s="4">
        <v>1</v>
      </c>
      <c r="FY34" s="4">
        <v>1</v>
      </c>
      <c r="FZ34" s="4">
        <v>1</v>
      </c>
      <c r="GA34" s="4">
        <v>1</v>
      </c>
      <c r="GB34" s="4">
        <v>1</v>
      </c>
      <c r="GC34" s="4">
        <v>1</v>
      </c>
      <c r="GD34" s="4">
        <v>1</v>
      </c>
      <c r="GE34" s="4">
        <v>1</v>
      </c>
      <c r="GF34" s="4">
        <v>1</v>
      </c>
      <c r="GG34" s="4">
        <v>1</v>
      </c>
      <c r="GH34" s="4">
        <v>1</v>
      </c>
      <c r="GI34" s="4">
        <v>1</v>
      </c>
      <c r="GJ34" s="4">
        <v>1</v>
      </c>
      <c r="GK34" s="4">
        <v>1</v>
      </c>
      <c r="GL34" s="4">
        <v>1</v>
      </c>
      <c r="GM34" s="4">
        <v>1</v>
      </c>
      <c r="GN34" s="4">
        <v>1</v>
      </c>
      <c r="GO34" s="4">
        <v>1</v>
      </c>
      <c r="GP34" s="4">
        <v>1</v>
      </c>
      <c r="GQ34" s="4">
        <v>1</v>
      </c>
      <c r="GR34" s="4">
        <v>1</v>
      </c>
      <c r="GS34" s="4">
        <v>1</v>
      </c>
      <c r="GT34" s="4">
        <v>1</v>
      </c>
      <c r="GU34" s="4">
        <v>1</v>
      </c>
      <c r="GV34" s="4">
        <v>1</v>
      </c>
      <c r="GW34" s="4">
        <v>1</v>
      </c>
      <c r="GX34" s="4">
        <v>1</v>
      </c>
      <c r="GY34" s="4">
        <v>1</v>
      </c>
      <c r="GZ34" s="4">
        <v>1</v>
      </c>
      <c r="HA34" s="4">
        <v>1</v>
      </c>
      <c r="HB34" s="4">
        <v>1</v>
      </c>
      <c r="HC34" s="4">
        <v>1</v>
      </c>
      <c r="HD34" s="4">
        <v>1</v>
      </c>
      <c r="HE34" s="4">
        <v>3</v>
      </c>
      <c r="HF34" s="4">
        <v>3</v>
      </c>
      <c r="HG34" s="4">
        <v>3</v>
      </c>
      <c r="HH34" s="4">
        <v>3</v>
      </c>
      <c r="HI34" s="4">
        <v>3</v>
      </c>
      <c r="HJ34" s="4">
        <v>3</v>
      </c>
      <c r="HK34" s="4">
        <v>3</v>
      </c>
      <c r="HL34" s="4">
        <v>1</v>
      </c>
      <c r="HM34" s="4">
        <v>1</v>
      </c>
      <c r="HN34" s="4">
        <v>1</v>
      </c>
      <c r="HO34" s="4">
        <v>1</v>
      </c>
      <c r="HP34" s="4">
        <v>1</v>
      </c>
      <c r="HQ34" s="4">
        <v>1</v>
      </c>
      <c r="HR34" s="4">
        <v>1</v>
      </c>
      <c r="HS34" s="4">
        <v>4</v>
      </c>
      <c r="HT34" s="4">
        <v>4</v>
      </c>
      <c r="HU34" s="4">
        <v>4</v>
      </c>
      <c r="HV34" s="4">
        <v>4</v>
      </c>
      <c r="HW34" s="4">
        <v>4</v>
      </c>
      <c r="HX34" s="4">
        <v>4</v>
      </c>
      <c r="HY34" s="4">
        <v>4</v>
      </c>
      <c r="HZ34" s="4">
        <v>2</v>
      </c>
      <c r="IA34" s="4">
        <v>2</v>
      </c>
      <c r="IB34" s="4">
        <v>2</v>
      </c>
      <c r="IC34" s="4">
        <v>2</v>
      </c>
      <c r="ID34" s="4">
        <v>2</v>
      </c>
      <c r="IE34" s="4">
        <v>2</v>
      </c>
      <c r="IF34" s="4">
        <v>2</v>
      </c>
      <c r="IG34" s="4">
        <v>2</v>
      </c>
      <c r="IH34" s="4">
        <v>2</v>
      </c>
      <c r="II34" s="4">
        <v>2</v>
      </c>
      <c r="IJ34" s="4">
        <v>2</v>
      </c>
      <c r="IK34" s="4">
        <v>2</v>
      </c>
      <c r="IL34" s="4">
        <v>2</v>
      </c>
      <c r="IM34" s="4">
        <v>2</v>
      </c>
      <c r="IN34" s="4">
        <v>2</v>
      </c>
      <c r="IO34" s="4">
        <v>2</v>
      </c>
      <c r="IP34" s="4">
        <v>2</v>
      </c>
      <c r="IQ34" s="4">
        <v>2</v>
      </c>
      <c r="IR34" s="4">
        <v>2</v>
      </c>
      <c r="IS34" s="4">
        <v>2</v>
      </c>
      <c r="IT34" s="4">
        <v>2</v>
      </c>
      <c r="IU34" s="4">
        <v>3</v>
      </c>
      <c r="IV34" s="4">
        <v>3</v>
      </c>
      <c r="IW34" s="4">
        <v>3</v>
      </c>
      <c r="IX34" s="4">
        <v>3</v>
      </c>
      <c r="IY34" s="4">
        <v>3</v>
      </c>
      <c r="IZ34" s="4">
        <v>3</v>
      </c>
      <c r="JA34" s="4">
        <v>3</v>
      </c>
      <c r="JB34" s="4">
        <v>1</v>
      </c>
      <c r="JC34" s="4">
        <v>1</v>
      </c>
      <c r="JD34" s="4">
        <v>1</v>
      </c>
      <c r="JE34" s="4">
        <v>1</v>
      </c>
      <c r="JF34" s="4">
        <v>1</v>
      </c>
      <c r="JG34" s="4">
        <v>1</v>
      </c>
      <c r="JH34" s="4">
        <v>1</v>
      </c>
      <c r="JI34" s="4">
        <v>2</v>
      </c>
      <c r="JJ34" s="4">
        <v>2</v>
      </c>
      <c r="JK34" s="4">
        <v>2</v>
      </c>
      <c r="JL34" s="4">
        <v>2</v>
      </c>
      <c r="JM34" s="4">
        <v>2</v>
      </c>
      <c r="JN34" s="4">
        <v>2</v>
      </c>
      <c r="JO34" s="4">
        <v>2</v>
      </c>
      <c r="JP34" s="4">
        <v>2</v>
      </c>
      <c r="JQ34" s="4">
        <v>2</v>
      </c>
      <c r="JR34" s="4">
        <v>2</v>
      </c>
      <c r="JS34" s="4">
        <v>2</v>
      </c>
      <c r="JT34" s="4">
        <v>2</v>
      </c>
      <c r="JU34" s="4">
        <v>2</v>
      </c>
      <c r="JV34" s="4">
        <v>2</v>
      </c>
      <c r="JW34" s="4">
        <v>3</v>
      </c>
      <c r="JX34" s="4">
        <v>3</v>
      </c>
      <c r="JY34" s="4">
        <v>3</v>
      </c>
      <c r="JZ34" s="4">
        <v>3</v>
      </c>
      <c r="KA34" s="4">
        <v>3</v>
      </c>
      <c r="KB34" s="4">
        <v>3</v>
      </c>
      <c r="KC34" s="4">
        <v>3</v>
      </c>
      <c r="KD34" s="4">
        <v>1</v>
      </c>
      <c r="KE34" s="4">
        <v>1</v>
      </c>
      <c r="KF34" s="4">
        <v>1</v>
      </c>
      <c r="KG34" s="4">
        <v>1</v>
      </c>
      <c r="KH34" s="4">
        <v>1</v>
      </c>
      <c r="KI34" s="4">
        <v>1</v>
      </c>
      <c r="KJ34" s="4">
        <v>1</v>
      </c>
      <c r="KK34" s="4">
        <v>2</v>
      </c>
      <c r="KL34" s="4">
        <v>2</v>
      </c>
      <c r="KM34" s="4">
        <v>2</v>
      </c>
      <c r="KN34" s="4">
        <v>2</v>
      </c>
      <c r="KO34" s="4">
        <v>2</v>
      </c>
      <c r="KP34" s="4">
        <v>2</v>
      </c>
      <c r="KQ34" s="4">
        <v>2</v>
      </c>
      <c r="KR34" s="4">
        <v>2</v>
      </c>
      <c r="KS34" s="4">
        <v>2</v>
      </c>
      <c r="KT34" s="4">
        <v>2</v>
      </c>
      <c r="KU34" s="4">
        <v>2</v>
      </c>
      <c r="KV34" s="4">
        <v>2</v>
      </c>
      <c r="KW34" s="4">
        <v>2</v>
      </c>
      <c r="KX34" s="4">
        <v>2</v>
      </c>
      <c r="KY34" s="4">
        <v>1</v>
      </c>
      <c r="KZ34" s="4">
        <v>1</v>
      </c>
      <c r="LA34" s="4">
        <v>1</v>
      </c>
      <c r="LB34" s="4">
        <v>1</v>
      </c>
      <c r="LC34" s="4">
        <v>1</v>
      </c>
      <c r="LD34" s="4">
        <v>1</v>
      </c>
      <c r="LE34" s="4">
        <v>1</v>
      </c>
      <c r="LF34" s="4">
        <v>1</v>
      </c>
      <c r="LG34" s="4">
        <v>1</v>
      </c>
      <c r="LH34" s="4">
        <v>1</v>
      </c>
      <c r="LI34" s="4">
        <v>1</v>
      </c>
      <c r="LJ34" s="4">
        <v>1</v>
      </c>
      <c r="LK34" s="4">
        <v>1</v>
      </c>
      <c r="LL34" s="4">
        <v>1</v>
      </c>
      <c r="LM34" s="4">
        <v>1</v>
      </c>
      <c r="LN34" s="4">
        <v>1</v>
      </c>
      <c r="LO34" s="4">
        <v>1</v>
      </c>
      <c r="LP34" s="4">
        <v>1</v>
      </c>
      <c r="LQ34" s="4">
        <v>1</v>
      </c>
      <c r="LR34" s="4">
        <v>1</v>
      </c>
      <c r="LS34" s="4">
        <v>1</v>
      </c>
      <c r="LT34" s="4">
        <v>3</v>
      </c>
      <c r="LU34" s="4">
        <v>3</v>
      </c>
      <c r="LV34" s="4">
        <v>3</v>
      </c>
      <c r="LW34" s="4">
        <v>3</v>
      </c>
      <c r="LX34" s="4">
        <v>3</v>
      </c>
      <c r="LY34" s="4">
        <v>3</v>
      </c>
      <c r="LZ34" s="4">
        <v>3</v>
      </c>
      <c r="MA34" s="4">
        <v>4</v>
      </c>
      <c r="MB34" s="4">
        <v>4</v>
      </c>
      <c r="MC34" s="4">
        <v>4</v>
      </c>
      <c r="MD34" s="4">
        <v>4</v>
      </c>
      <c r="ME34" s="4">
        <v>4</v>
      </c>
      <c r="MF34" s="4">
        <v>4</v>
      </c>
      <c r="MG34" s="4">
        <v>4</v>
      </c>
      <c r="MH34" s="4">
        <v>5</v>
      </c>
      <c r="MI34" s="4">
        <v>5</v>
      </c>
      <c r="MJ34" s="4">
        <v>5</v>
      </c>
      <c r="MK34" s="4">
        <v>5</v>
      </c>
      <c r="ML34" s="4">
        <v>5</v>
      </c>
      <c r="MM34" s="4">
        <v>5</v>
      </c>
      <c r="MN34" s="4">
        <v>5</v>
      </c>
      <c r="MO34" s="4">
        <v>5</v>
      </c>
      <c r="MP34" s="4">
        <v>5</v>
      </c>
      <c r="MQ34" s="4">
        <v>5</v>
      </c>
      <c r="MR34" s="4">
        <v>5</v>
      </c>
      <c r="MS34" s="4">
        <v>5</v>
      </c>
      <c r="MT34" s="4">
        <v>5</v>
      </c>
      <c r="MU34" s="4">
        <v>5</v>
      </c>
      <c r="MV34" s="4" t="str">
        <v>n/a</v>
      </c>
    </row>
    <row r="35" spans="5:360">
      <c r="E35" s="4" t="s">
        <v>15</v>
      </c>
      <c r="G35" s="4" t="s">
        <v>115</v>
      </c>
      <c r="J35" s="134" cm="1">
        <f t="array" ref="J35:MV35" xml:space="preserve"> _xlfn.XLOOKUP(_xlfn.ANCHORARRAY( J34), tbl_ImpLU[Importance], tbl_ImpLU[Base crowd], 0 )</f>
        <v>32000</v>
      </c>
      <c r="K35" s="4">
        <v>32000</v>
      </c>
      <c r="L35" s="4">
        <v>32000</v>
      </c>
      <c r="M35" s="4">
        <v>32000</v>
      </c>
      <c r="N35" s="4">
        <v>32000</v>
      </c>
      <c r="O35" s="4">
        <v>32000</v>
      </c>
      <c r="P35" s="4">
        <v>32000</v>
      </c>
      <c r="Q35" s="4">
        <v>32000</v>
      </c>
      <c r="R35" s="4">
        <v>32000</v>
      </c>
      <c r="S35" s="4">
        <v>32000</v>
      </c>
      <c r="T35" s="4">
        <v>32000</v>
      </c>
      <c r="U35" s="4">
        <v>32000</v>
      </c>
      <c r="V35" s="4">
        <v>32000</v>
      </c>
      <c r="W35" s="4">
        <v>32000</v>
      </c>
      <c r="X35" s="4">
        <v>32000</v>
      </c>
      <c r="Y35" s="4">
        <v>32000</v>
      </c>
      <c r="Z35" s="4">
        <v>32000</v>
      </c>
      <c r="AA35" s="4">
        <v>32000</v>
      </c>
      <c r="AB35" s="4">
        <v>32000</v>
      </c>
      <c r="AC35" s="4">
        <v>32000</v>
      </c>
      <c r="AD35" s="4">
        <v>32000</v>
      </c>
      <c r="AE35" s="4">
        <v>32000</v>
      </c>
      <c r="AF35" s="4">
        <v>32000</v>
      </c>
      <c r="AG35" s="4">
        <v>32000</v>
      </c>
      <c r="AH35" s="4">
        <v>32000</v>
      </c>
      <c r="AI35" s="4">
        <v>32000</v>
      </c>
      <c r="AJ35" s="4">
        <v>32000</v>
      </c>
      <c r="AK35" s="4">
        <v>32000</v>
      </c>
      <c r="AL35" s="4">
        <v>32000</v>
      </c>
      <c r="AM35" s="4">
        <v>32000</v>
      </c>
      <c r="AN35" s="4">
        <v>32000</v>
      </c>
      <c r="AO35" s="4">
        <v>32000</v>
      </c>
      <c r="AP35" s="4">
        <v>32000</v>
      </c>
      <c r="AQ35" s="4">
        <v>32000</v>
      </c>
      <c r="AR35" s="4">
        <v>32000</v>
      </c>
      <c r="AS35" s="4">
        <v>32000</v>
      </c>
      <c r="AT35" s="4">
        <v>32000</v>
      </c>
      <c r="AU35" s="4">
        <v>32000</v>
      </c>
      <c r="AV35" s="4">
        <v>32000</v>
      </c>
      <c r="AW35" s="4">
        <v>32000</v>
      </c>
      <c r="AX35" s="4">
        <v>32000</v>
      </c>
      <c r="AY35" s="4">
        <v>32000</v>
      </c>
      <c r="AZ35" s="4">
        <v>32000</v>
      </c>
      <c r="BA35" s="4">
        <v>32000</v>
      </c>
      <c r="BB35" s="4">
        <v>32000</v>
      </c>
      <c r="BC35" s="4">
        <v>32000</v>
      </c>
      <c r="BD35" s="4">
        <v>32000</v>
      </c>
      <c r="BE35" s="4">
        <v>32000</v>
      </c>
      <c r="BF35" s="4">
        <v>32000</v>
      </c>
      <c r="BG35" s="4">
        <v>32000</v>
      </c>
      <c r="BH35" s="4">
        <v>32000</v>
      </c>
      <c r="BI35" s="4">
        <v>32000</v>
      </c>
      <c r="BJ35" s="4">
        <v>32000</v>
      </c>
      <c r="BK35" s="4">
        <v>32000</v>
      </c>
      <c r="BL35" s="4">
        <v>32000</v>
      </c>
      <c r="BM35" s="4">
        <v>32000</v>
      </c>
      <c r="BN35" s="4">
        <v>25000</v>
      </c>
      <c r="BO35" s="4">
        <v>25000</v>
      </c>
      <c r="BP35" s="4">
        <v>25000</v>
      </c>
      <c r="BQ35" s="4">
        <v>25000</v>
      </c>
      <c r="BR35" s="4">
        <v>25000</v>
      </c>
      <c r="BS35" s="4">
        <v>25000</v>
      </c>
      <c r="BT35" s="4">
        <v>25000</v>
      </c>
      <c r="BU35" s="4">
        <v>15000</v>
      </c>
      <c r="BV35" s="4">
        <v>15000</v>
      </c>
      <c r="BW35" s="4">
        <v>15000</v>
      </c>
      <c r="BX35" s="4">
        <v>15000</v>
      </c>
      <c r="BY35" s="4">
        <v>15000</v>
      </c>
      <c r="BZ35" s="4">
        <v>15000</v>
      </c>
      <c r="CA35" s="4">
        <v>15000</v>
      </c>
      <c r="CB35" s="4">
        <v>32000</v>
      </c>
      <c r="CC35" s="4">
        <v>32000</v>
      </c>
      <c r="CD35" s="4">
        <v>32000</v>
      </c>
      <c r="CE35" s="4">
        <v>32000</v>
      </c>
      <c r="CF35" s="4">
        <v>32000</v>
      </c>
      <c r="CG35" s="4">
        <v>32000</v>
      </c>
      <c r="CH35" s="4">
        <v>32000</v>
      </c>
      <c r="CI35" s="4">
        <v>15000</v>
      </c>
      <c r="CJ35" s="4">
        <v>15000</v>
      </c>
      <c r="CK35" s="4">
        <v>15000</v>
      </c>
      <c r="CL35" s="4">
        <v>15000</v>
      </c>
      <c r="CM35" s="4">
        <v>15000</v>
      </c>
      <c r="CN35" s="4">
        <v>15000</v>
      </c>
      <c r="CO35" s="4">
        <v>15000</v>
      </c>
      <c r="CP35" s="4">
        <v>25000</v>
      </c>
      <c r="CQ35" s="4">
        <v>25000</v>
      </c>
      <c r="CR35" s="4">
        <v>25000</v>
      </c>
      <c r="CS35" s="4">
        <v>25000</v>
      </c>
      <c r="CT35" s="4">
        <v>25000</v>
      </c>
      <c r="CU35" s="4">
        <v>25000</v>
      </c>
      <c r="CV35" s="4">
        <v>25000</v>
      </c>
      <c r="CW35" s="4">
        <v>15000</v>
      </c>
      <c r="CX35" s="4">
        <v>15000</v>
      </c>
      <c r="CY35" s="4">
        <v>15000</v>
      </c>
      <c r="CZ35" s="4">
        <v>15000</v>
      </c>
      <c r="DA35" s="4">
        <v>15000</v>
      </c>
      <c r="DB35" s="4">
        <v>15000</v>
      </c>
      <c r="DC35" s="4">
        <v>15000</v>
      </c>
      <c r="DD35" s="4">
        <v>25000</v>
      </c>
      <c r="DE35" s="4">
        <v>25000</v>
      </c>
      <c r="DF35" s="4">
        <v>25000</v>
      </c>
      <c r="DG35" s="4">
        <v>25000</v>
      </c>
      <c r="DH35" s="4">
        <v>25000</v>
      </c>
      <c r="DI35" s="4">
        <v>25000</v>
      </c>
      <c r="DJ35" s="4">
        <v>25000</v>
      </c>
      <c r="DK35" s="4">
        <v>25000</v>
      </c>
      <c r="DL35" s="4">
        <v>25000</v>
      </c>
      <c r="DM35" s="4">
        <v>25000</v>
      </c>
      <c r="DN35" s="4">
        <v>25000</v>
      </c>
      <c r="DO35" s="4">
        <v>25000</v>
      </c>
      <c r="DP35" s="4">
        <v>25000</v>
      </c>
      <c r="DQ35" s="4">
        <v>25000</v>
      </c>
      <c r="DR35" s="4">
        <v>15000</v>
      </c>
      <c r="DS35" s="4">
        <v>15000</v>
      </c>
      <c r="DT35" s="4">
        <v>15000</v>
      </c>
      <c r="DU35" s="4">
        <v>15000</v>
      </c>
      <c r="DV35" s="4">
        <v>15000</v>
      </c>
      <c r="DW35" s="4">
        <v>15000</v>
      </c>
      <c r="DX35" s="4">
        <v>15000</v>
      </c>
      <c r="DY35" s="4">
        <v>25000</v>
      </c>
      <c r="DZ35" s="4">
        <v>25000</v>
      </c>
      <c r="EA35" s="4">
        <v>25000</v>
      </c>
      <c r="EB35" s="4">
        <v>25000</v>
      </c>
      <c r="EC35" s="4">
        <v>25000</v>
      </c>
      <c r="ED35" s="4">
        <v>25000</v>
      </c>
      <c r="EE35" s="4">
        <v>25000</v>
      </c>
      <c r="EF35" s="4">
        <v>15000</v>
      </c>
      <c r="EG35" s="4">
        <v>15000</v>
      </c>
      <c r="EH35" s="4">
        <v>15000</v>
      </c>
      <c r="EI35" s="4">
        <v>15000</v>
      </c>
      <c r="EJ35" s="4">
        <v>15000</v>
      </c>
      <c r="EK35" s="4">
        <v>15000</v>
      </c>
      <c r="EL35" s="4">
        <v>15000</v>
      </c>
      <c r="EM35" s="4">
        <v>40000</v>
      </c>
      <c r="EN35" s="4">
        <v>40000</v>
      </c>
      <c r="EO35" s="4">
        <v>40000</v>
      </c>
      <c r="EP35" s="4">
        <v>40000</v>
      </c>
      <c r="EQ35" s="4">
        <v>40000</v>
      </c>
      <c r="ER35" s="4">
        <v>40000</v>
      </c>
      <c r="ES35" s="4">
        <v>40000</v>
      </c>
      <c r="ET35" s="4">
        <v>15000</v>
      </c>
      <c r="EU35" s="4">
        <v>15000</v>
      </c>
      <c r="EV35" s="4">
        <v>15000</v>
      </c>
      <c r="EW35" s="4">
        <v>15000</v>
      </c>
      <c r="EX35" s="4">
        <v>15000</v>
      </c>
      <c r="EY35" s="4">
        <v>15000</v>
      </c>
      <c r="EZ35" s="4">
        <v>15000</v>
      </c>
      <c r="FA35" s="4">
        <v>25000</v>
      </c>
      <c r="FB35" s="4">
        <v>25000</v>
      </c>
      <c r="FC35" s="4">
        <v>25000</v>
      </c>
      <c r="FD35" s="4">
        <v>25000</v>
      </c>
      <c r="FE35" s="4">
        <v>25000</v>
      </c>
      <c r="FF35" s="4">
        <v>25000</v>
      </c>
      <c r="FG35" s="4">
        <v>25000</v>
      </c>
      <c r="FH35" s="4">
        <v>25000</v>
      </c>
      <c r="FI35" s="4">
        <v>25000</v>
      </c>
      <c r="FJ35" s="4">
        <v>25000</v>
      </c>
      <c r="FK35" s="4">
        <v>25000</v>
      </c>
      <c r="FL35" s="4">
        <v>25000</v>
      </c>
      <c r="FM35" s="4">
        <v>25000</v>
      </c>
      <c r="FN35" s="4">
        <v>25000</v>
      </c>
      <c r="FO35" s="4">
        <v>25000</v>
      </c>
      <c r="FP35" s="4">
        <v>25000</v>
      </c>
      <c r="FQ35" s="4">
        <v>25000</v>
      </c>
      <c r="FR35" s="4">
        <v>25000</v>
      </c>
      <c r="FS35" s="4">
        <v>25000</v>
      </c>
      <c r="FT35" s="4">
        <v>25000</v>
      </c>
      <c r="FU35" s="4">
        <v>25000</v>
      </c>
      <c r="FV35" s="4">
        <v>15000</v>
      </c>
      <c r="FW35" s="4">
        <v>15000</v>
      </c>
      <c r="FX35" s="4">
        <v>15000</v>
      </c>
      <c r="FY35" s="4">
        <v>15000</v>
      </c>
      <c r="FZ35" s="4">
        <v>15000</v>
      </c>
      <c r="GA35" s="4">
        <v>15000</v>
      </c>
      <c r="GB35" s="4">
        <v>15000</v>
      </c>
      <c r="GC35" s="4">
        <v>15000</v>
      </c>
      <c r="GD35" s="4">
        <v>15000</v>
      </c>
      <c r="GE35" s="4">
        <v>15000</v>
      </c>
      <c r="GF35" s="4">
        <v>15000</v>
      </c>
      <c r="GG35" s="4">
        <v>15000</v>
      </c>
      <c r="GH35" s="4">
        <v>15000</v>
      </c>
      <c r="GI35" s="4">
        <v>15000</v>
      </c>
      <c r="GJ35" s="4">
        <v>15000</v>
      </c>
      <c r="GK35" s="4">
        <v>15000</v>
      </c>
      <c r="GL35" s="4">
        <v>15000</v>
      </c>
      <c r="GM35" s="4">
        <v>15000</v>
      </c>
      <c r="GN35" s="4">
        <v>15000</v>
      </c>
      <c r="GO35" s="4">
        <v>15000</v>
      </c>
      <c r="GP35" s="4">
        <v>15000</v>
      </c>
      <c r="GQ35" s="4">
        <v>15000</v>
      </c>
      <c r="GR35" s="4">
        <v>15000</v>
      </c>
      <c r="GS35" s="4">
        <v>15000</v>
      </c>
      <c r="GT35" s="4">
        <v>15000</v>
      </c>
      <c r="GU35" s="4">
        <v>15000</v>
      </c>
      <c r="GV35" s="4">
        <v>15000</v>
      </c>
      <c r="GW35" s="4">
        <v>15000</v>
      </c>
      <c r="GX35" s="4">
        <v>15000</v>
      </c>
      <c r="GY35" s="4">
        <v>15000</v>
      </c>
      <c r="GZ35" s="4">
        <v>15000</v>
      </c>
      <c r="HA35" s="4">
        <v>15000</v>
      </c>
      <c r="HB35" s="4">
        <v>15000</v>
      </c>
      <c r="HC35" s="4">
        <v>15000</v>
      </c>
      <c r="HD35" s="4">
        <v>15000</v>
      </c>
      <c r="HE35" s="4">
        <v>32000</v>
      </c>
      <c r="HF35" s="4">
        <v>32000</v>
      </c>
      <c r="HG35" s="4">
        <v>32000</v>
      </c>
      <c r="HH35" s="4">
        <v>32000</v>
      </c>
      <c r="HI35" s="4">
        <v>32000</v>
      </c>
      <c r="HJ35" s="4">
        <v>32000</v>
      </c>
      <c r="HK35" s="4">
        <v>32000</v>
      </c>
      <c r="HL35" s="4">
        <v>15000</v>
      </c>
      <c r="HM35" s="4">
        <v>15000</v>
      </c>
      <c r="HN35" s="4">
        <v>15000</v>
      </c>
      <c r="HO35" s="4">
        <v>15000</v>
      </c>
      <c r="HP35" s="4">
        <v>15000</v>
      </c>
      <c r="HQ35" s="4">
        <v>15000</v>
      </c>
      <c r="HR35" s="4">
        <v>15000</v>
      </c>
      <c r="HS35" s="4">
        <v>40000</v>
      </c>
      <c r="HT35" s="4">
        <v>40000</v>
      </c>
      <c r="HU35" s="4">
        <v>40000</v>
      </c>
      <c r="HV35" s="4">
        <v>40000</v>
      </c>
      <c r="HW35" s="4">
        <v>40000</v>
      </c>
      <c r="HX35" s="4">
        <v>40000</v>
      </c>
      <c r="HY35" s="4">
        <v>40000</v>
      </c>
      <c r="HZ35" s="4">
        <v>25000</v>
      </c>
      <c r="IA35" s="4">
        <v>25000</v>
      </c>
      <c r="IB35" s="4">
        <v>25000</v>
      </c>
      <c r="IC35" s="4">
        <v>25000</v>
      </c>
      <c r="ID35" s="4">
        <v>25000</v>
      </c>
      <c r="IE35" s="4">
        <v>25000</v>
      </c>
      <c r="IF35" s="4">
        <v>25000</v>
      </c>
      <c r="IG35" s="4">
        <v>25000</v>
      </c>
      <c r="IH35" s="4">
        <v>25000</v>
      </c>
      <c r="II35" s="4">
        <v>25000</v>
      </c>
      <c r="IJ35" s="4">
        <v>25000</v>
      </c>
      <c r="IK35" s="4">
        <v>25000</v>
      </c>
      <c r="IL35" s="4">
        <v>25000</v>
      </c>
      <c r="IM35" s="4">
        <v>25000</v>
      </c>
      <c r="IN35" s="4">
        <v>25000</v>
      </c>
      <c r="IO35" s="4">
        <v>25000</v>
      </c>
      <c r="IP35" s="4">
        <v>25000</v>
      </c>
      <c r="IQ35" s="4">
        <v>25000</v>
      </c>
      <c r="IR35" s="4">
        <v>25000</v>
      </c>
      <c r="IS35" s="4">
        <v>25000</v>
      </c>
      <c r="IT35" s="4">
        <v>25000</v>
      </c>
      <c r="IU35" s="4">
        <v>32000</v>
      </c>
      <c r="IV35" s="4">
        <v>32000</v>
      </c>
      <c r="IW35" s="4">
        <v>32000</v>
      </c>
      <c r="IX35" s="4">
        <v>32000</v>
      </c>
      <c r="IY35" s="4">
        <v>32000</v>
      </c>
      <c r="IZ35" s="4">
        <v>32000</v>
      </c>
      <c r="JA35" s="4">
        <v>32000</v>
      </c>
      <c r="JB35" s="4">
        <v>15000</v>
      </c>
      <c r="JC35" s="4">
        <v>15000</v>
      </c>
      <c r="JD35" s="4">
        <v>15000</v>
      </c>
      <c r="JE35" s="4">
        <v>15000</v>
      </c>
      <c r="JF35" s="4">
        <v>15000</v>
      </c>
      <c r="JG35" s="4">
        <v>15000</v>
      </c>
      <c r="JH35" s="4">
        <v>15000</v>
      </c>
      <c r="JI35" s="4">
        <v>25000</v>
      </c>
      <c r="JJ35" s="4">
        <v>25000</v>
      </c>
      <c r="JK35" s="4">
        <v>25000</v>
      </c>
      <c r="JL35" s="4">
        <v>25000</v>
      </c>
      <c r="JM35" s="4">
        <v>25000</v>
      </c>
      <c r="JN35" s="4">
        <v>25000</v>
      </c>
      <c r="JO35" s="4">
        <v>25000</v>
      </c>
      <c r="JP35" s="4">
        <v>25000</v>
      </c>
      <c r="JQ35" s="4">
        <v>25000</v>
      </c>
      <c r="JR35" s="4">
        <v>25000</v>
      </c>
      <c r="JS35" s="4">
        <v>25000</v>
      </c>
      <c r="JT35" s="4">
        <v>25000</v>
      </c>
      <c r="JU35" s="4">
        <v>25000</v>
      </c>
      <c r="JV35" s="4">
        <v>25000</v>
      </c>
      <c r="JW35" s="4">
        <v>32000</v>
      </c>
      <c r="JX35" s="4">
        <v>32000</v>
      </c>
      <c r="JY35" s="4">
        <v>32000</v>
      </c>
      <c r="JZ35" s="4">
        <v>32000</v>
      </c>
      <c r="KA35" s="4">
        <v>32000</v>
      </c>
      <c r="KB35" s="4">
        <v>32000</v>
      </c>
      <c r="KC35" s="4">
        <v>32000</v>
      </c>
      <c r="KD35" s="4">
        <v>15000</v>
      </c>
      <c r="KE35" s="4">
        <v>15000</v>
      </c>
      <c r="KF35" s="4">
        <v>15000</v>
      </c>
      <c r="KG35" s="4">
        <v>15000</v>
      </c>
      <c r="KH35" s="4">
        <v>15000</v>
      </c>
      <c r="KI35" s="4">
        <v>15000</v>
      </c>
      <c r="KJ35" s="4">
        <v>15000</v>
      </c>
      <c r="KK35" s="4">
        <v>25000</v>
      </c>
      <c r="KL35" s="4">
        <v>25000</v>
      </c>
      <c r="KM35" s="4">
        <v>25000</v>
      </c>
      <c r="KN35" s="4">
        <v>25000</v>
      </c>
      <c r="KO35" s="4">
        <v>25000</v>
      </c>
      <c r="KP35" s="4">
        <v>25000</v>
      </c>
      <c r="KQ35" s="4">
        <v>25000</v>
      </c>
      <c r="KR35" s="4">
        <v>25000</v>
      </c>
      <c r="KS35" s="4">
        <v>25000</v>
      </c>
      <c r="KT35" s="4">
        <v>25000</v>
      </c>
      <c r="KU35" s="4">
        <v>25000</v>
      </c>
      <c r="KV35" s="4">
        <v>25000</v>
      </c>
      <c r="KW35" s="4">
        <v>25000</v>
      </c>
      <c r="KX35" s="4">
        <v>25000</v>
      </c>
      <c r="KY35" s="4">
        <v>15000</v>
      </c>
      <c r="KZ35" s="4">
        <v>15000</v>
      </c>
      <c r="LA35" s="4">
        <v>15000</v>
      </c>
      <c r="LB35" s="4">
        <v>15000</v>
      </c>
      <c r="LC35" s="4">
        <v>15000</v>
      </c>
      <c r="LD35" s="4">
        <v>15000</v>
      </c>
      <c r="LE35" s="4">
        <v>15000</v>
      </c>
      <c r="LF35" s="4">
        <v>15000</v>
      </c>
      <c r="LG35" s="4">
        <v>15000</v>
      </c>
      <c r="LH35" s="4">
        <v>15000</v>
      </c>
      <c r="LI35" s="4">
        <v>15000</v>
      </c>
      <c r="LJ35" s="4">
        <v>15000</v>
      </c>
      <c r="LK35" s="4">
        <v>15000</v>
      </c>
      <c r="LL35" s="4">
        <v>15000</v>
      </c>
      <c r="LM35" s="4">
        <v>15000</v>
      </c>
      <c r="LN35" s="4">
        <v>15000</v>
      </c>
      <c r="LO35" s="4">
        <v>15000</v>
      </c>
      <c r="LP35" s="4">
        <v>15000</v>
      </c>
      <c r="LQ35" s="4">
        <v>15000</v>
      </c>
      <c r="LR35" s="4">
        <v>15000</v>
      </c>
      <c r="LS35" s="4">
        <v>15000</v>
      </c>
      <c r="LT35" s="4">
        <v>32000</v>
      </c>
      <c r="LU35" s="4">
        <v>32000</v>
      </c>
      <c r="LV35" s="4">
        <v>32000</v>
      </c>
      <c r="LW35" s="4">
        <v>32000</v>
      </c>
      <c r="LX35" s="4">
        <v>32000</v>
      </c>
      <c r="LY35" s="4">
        <v>32000</v>
      </c>
      <c r="LZ35" s="4">
        <v>32000</v>
      </c>
      <c r="MA35" s="4">
        <v>40000</v>
      </c>
      <c r="MB35" s="4">
        <v>40000</v>
      </c>
      <c r="MC35" s="4">
        <v>40000</v>
      </c>
      <c r="MD35" s="4">
        <v>40000</v>
      </c>
      <c r="ME35" s="4">
        <v>40000</v>
      </c>
      <c r="MF35" s="4">
        <v>40000</v>
      </c>
      <c r="MG35" s="4">
        <v>40000</v>
      </c>
      <c r="MH35" s="4">
        <v>50000</v>
      </c>
      <c r="MI35" s="4">
        <v>50000</v>
      </c>
      <c r="MJ35" s="4">
        <v>50000</v>
      </c>
      <c r="MK35" s="4">
        <v>50000</v>
      </c>
      <c r="ML35" s="4">
        <v>50000</v>
      </c>
      <c r="MM35" s="4">
        <v>50000</v>
      </c>
      <c r="MN35" s="4">
        <v>50000</v>
      </c>
      <c r="MO35" s="4">
        <v>50000</v>
      </c>
      <c r="MP35" s="4">
        <v>50000</v>
      </c>
      <c r="MQ35" s="4">
        <v>50000</v>
      </c>
      <c r="MR35" s="4">
        <v>50000</v>
      </c>
      <c r="MS35" s="4">
        <v>50000</v>
      </c>
      <c r="MT35" s="4">
        <v>50000</v>
      </c>
      <c r="MU35" s="4">
        <v>50000</v>
      </c>
      <c r="MV35" s="4">
        <v>0</v>
      </c>
    </row>
    <row r="36" spans="5:360">
      <c r="E36" s="4" t="s">
        <v>129</v>
      </c>
      <c r="G36" s="4" t="s">
        <v>115</v>
      </c>
      <c r="J36" s="135" cm="1">
        <f t="array" ref="J36:MV36" xml:space="preserve"> _xlfn.XLOOKUP(_xlfn.ANCHORARRAY( J14), tbl_GameDates[Date], tbl_GameDates[Ticket availability], 0 )</f>
        <v>24350</v>
      </c>
      <c r="K36" s="4">
        <v>24350</v>
      </c>
      <c r="L36" s="4">
        <v>24350</v>
      </c>
      <c r="M36" s="4">
        <v>24350</v>
      </c>
      <c r="N36" s="4">
        <v>24350</v>
      </c>
      <c r="O36" s="4">
        <v>24350</v>
      </c>
      <c r="P36" s="4">
        <v>24350</v>
      </c>
      <c r="Q36" s="4">
        <v>24350</v>
      </c>
      <c r="R36" s="4">
        <v>24350</v>
      </c>
      <c r="S36" s="4">
        <v>24350</v>
      </c>
      <c r="T36" s="4">
        <v>24350</v>
      </c>
      <c r="U36" s="4">
        <v>24350</v>
      </c>
      <c r="V36" s="4">
        <v>24350</v>
      </c>
      <c r="W36" s="4">
        <v>24350</v>
      </c>
      <c r="X36" s="4">
        <v>24350</v>
      </c>
      <c r="Y36" s="4">
        <v>24350</v>
      </c>
      <c r="Z36" s="4">
        <v>24350</v>
      </c>
      <c r="AA36" s="4">
        <v>24350</v>
      </c>
      <c r="AB36" s="4">
        <v>24350</v>
      </c>
      <c r="AC36" s="4">
        <v>24350</v>
      </c>
      <c r="AD36" s="4">
        <v>24350</v>
      </c>
      <c r="AE36" s="4">
        <v>24350</v>
      </c>
      <c r="AF36" s="4">
        <v>24350</v>
      </c>
      <c r="AG36" s="4">
        <v>24350</v>
      </c>
      <c r="AH36" s="4">
        <v>24350</v>
      </c>
      <c r="AI36" s="4">
        <v>24350</v>
      </c>
      <c r="AJ36" s="4">
        <v>24350</v>
      </c>
      <c r="AK36" s="4">
        <v>24350</v>
      </c>
      <c r="AL36" s="4">
        <v>24350</v>
      </c>
      <c r="AM36" s="4">
        <v>24350</v>
      </c>
      <c r="AN36" s="4">
        <v>24350</v>
      </c>
      <c r="AO36" s="4">
        <v>24350</v>
      </c>
      <c r="AP36" s="4">
        <v>24350</v>
      </c>
      <c r="AQ36" s="4">
        <v>24350</v>
      </c>
      <c r="AR36" s="4">
        <v>24350</v>
      </c>
      <c r="AS36" s="4">
        <v>24350</v>
      </c>
      <c r="AT36" s="4">
        <v>24350</v>
      </c>
      <c r="AU36" s="4">
        <v>24350</v>
      </c>
      <c r="AV36" s="4">
        <v>24350</v>
      </c>
      <c r="AW36" s="4">
        <v>24350</v>
      </c>
      <c r="AX36" s="4">
        <v>24350</v>
      </c>
      <c r="AY36" s="4">
        <v>24350</v>
      </c>
      <c r="AZ36" s="4">
        <v>24350</v>
      </c>
      <c r="BA36" s="4">
        <v>24350</v>
      </c>
      <c r="BB36" s="4">
        <v>24350</v>
      </c>
      <c r="BC36" s="4">
        <v>24350</v>
      </c>
      <c r="BD36" s="4">
        <v>24350</v>
      </c>
      <c r="BE36" s="4">
        <v>24350</v>
      </c>
      <c r="BF36" s="4">
        <v>24350</v>
      </c>
      <c r="BG36" s="4">
        <v>24350</v>
      </c>
      <c r="BH36" s="4">
        <v>24350</v>
      </c>
      <c r="BI36" s="4">
        <v>24350</v>
      </c>
      <c r="BJ36" s="4">
        <v>24350</v>
      </c>
      <c r="BK36" s="4">
        <v>24350</v>
      </c>
      <c r="BL36" s="4">
        <v>24350</v>
      </c>
      <c r="BM36" s="4">
        <v>24350</v>
      </c>
      <c r="BN36" s="4">
        <v>22950</v>
      </c>
      <c r="BO36" s="4">
        <v>22950</v>
      </c>
      <c r="BP36" s="4">
        <v>22950</v>
      </c>
      <c r="BQ36" s="4">
        <v>22950</v>
      </c>
      <c r="BR36" s="4">
        <v>22950</v>
      </c>
      <c r="BS36" s="4">
        <v>22950</v>
      </c>
      <c r="BT36" s="4">
        <v>22950</v>
      </c>
      <c r="BU36" s="4">
        <v>22150</v>
      </c>
      <c r="BV36" s="4">
        <v>22150</v>
      </c>
      <c r="BW36" s="4">
        <v>22150</v>
      </c>
      <c r="BX36" s="4">
        <v>22150</v>
      </c>
      <c r="BY36" s="4">
        <v>22150</v>
      </c>
      <c r="BZ36" s="4">
        <v>22150</v>
      </c>
      <c r="CA36" s="4">
        <v>22150</v>
      </c>
      <c r="CB36" s="4">
        <v>21650</v>
      </c>
      <c r="CC36" s="4">
        <v>21650</v>
      </c>
      <c r="CD36" s="4">
        <v>21650</v>
      </c>
      <c r="CE36" s="4">
        <v>21650</v>
      </c>
      <c r="CF36" s="4">
        <v>21650</v>
      </c>
      <c r="CG36" s="4">
        <v>21650</v>
      </c>
      <c r="CH36" s="4">
        <v>21650</v>
      </c>
      <c r="CI36" s="4">
        <v>21450</v>
      </c>
      <c r="CJ36" s="4">
        <v>21450</v>
      </c>
      <c r="CK36" s="4">
        <v>21450</v>
      </c>
      <c r="CL36" s="4">
        <v>21450</v>
      </c>
      <c r="CM36" s="4">
        <v>21450</v>
      </c>
      <c r="CN36" s="4">
        <v>21450</v>
      </c>
      <c r="CO36" s="4">
        <v>21450</v>
      </c>
      <c r="CP36" s="4">
        <v>21300</v>
      </c>
      <c r="CQ36" s="4">
        <v>21300</v>
      </c>
      <c r="CR36" s="4">
        <v>21300</v>
      </c>
      <c r="CS36" s="4">
        <v>21300</v>
      </c>
      <c r="CT36" s="4">
        <v>21300</v>
      </c>
      <c r="CU36" s="4">
        <v>21300</v>
      </c>
      <c r="CV36" s="4">
        <v>21300</v>
      </c>
      <c r="CW36" s="4">
        <v>21250</v>
      </c>
      <c r="CX36" s="4">
        <v>21250</v>
      </c>
      <c r="CY36" s="4">
        <v>21250</v>
      </c>
      <c r="CZ36" s="4">
        <v>21250</v>
      </c>
      <c r="DA36" s="4">
        <v>21250</v>
      </c>
      <c r="DB36" s="4">
        <v>21250</v>
      </c>
      <c r="DC36" s="4">
        <v>21250</v>
      </c>
      <c r="DD36" s="4">
        <v>21200</v>
      </c>
      <c r="DE36" s="4">
        <v>21200</v>
      </c>
      <c r="DF36" s="4">
        <v>21200</v>
      </c>
      <c r="DG36" s="4">
        <v>21200</v>
      </c>
      <c r="DH36" s="4">
        <v>21200</v>
      </c>
      <c r="DI36" s="4">
        <v>21200</v>
      </c>
      <c r="DJ36" s="4">
        <v>21200</v>
      </c>
      <c r="DK36" s="4">
        <v>21150</v>
      </c>
      <c r="DL36" s="4">
        <v>21150</v>
      </c>
      <c r="DM36" s="4">
        <v>21150</v>
      </c>
      <c r="DN36" s="4">
        <v>21150</v>
      </c>
      <c r="DO36" s="4">
        <v>21150</v>
      </c>
      <c r="DP36" s="4">
        <v>21150</v>
      </c>
      <c r="DQ36" s="4">
        <v>21150</v>
      </c>
      <c r="DR36" s="4">
        <v>21100</v>
      </c>
      <c r="DS36" s="4">
        <v>21100</v>
      </c>
      <c r="DT36" s="4">
        <v>21100</v>
      </c>
      <c r="DU36" s="4">
        <v>21100</v>
      </c>
      <c r="DV36" s="4">
        <v>21100</v>
      </c>
      <c r="DW36" s="4">
        <v>21100</v>
      </c>
      <c r="DX36" s="4">
        <v>21100</v>
      </c>
      <c r="DY36" s="4">
        <v>21050</v>
      </c>
      <c r="DZ36" s="4">
        <v>21050</v>
      </c>
      <c r="EA36" s="4">
        <v>21050</v>
      </c>
      <c r="EB36" s="4">
        <v>21050</v>
      </c>
      <c r="EC36" s="4">
        <v>21050</v>
      </c>
      <c r="ED36" s="4">
        <v>21050</v>
      </c>
      <c r="EE36" s="4">
        <v>21050</v>
      </c>
      <c r="EF36" s="4">
        <v>21000</v>
      </c>
      <c r="EG36" s="4">
        <v>21000</v>
      </c>
      <c r="EH36" s="4">
        <v>21000</v>
      </c>
      <c r="EI36" s="4">
        <v>21000</v>
      </c>
      <c r="EJ36" s="4">
        <v>21000</v>
      </c>
      <c r="EK36" s="4">
        <v>21000</v>
      </c>
      <c r="EL36" s="4">
        <v>21000</v>
      </c>
      <c r="EM36" s="4">
        <v>20950</v>
      </c>
      <c r="EN36" s="4">
        <v>20950</v>
      </c>
      <c r="EO36" s="4">
        <v>20950</v>
      </c>
      <c r="EP36" s="4">
        <v>20950</v>
      </c>
      <c r="EQ36" s="4">
        <v>20950</v>
      </c>
      <c r="ER36" s="4">
        <v>20950</v>
      </c>
      <c r="ES36" s="4">
        <v>20950</v>
      </c>
      <c r="ET36" s="4">
        <v>20900</v>
      </c>
      <c r="EU36" s="4">
        <v>20900</v>
      </c>
      <c r="EV36" s="4">
        <v>20900</v>
      </c>
      <c r="EW36" s="4">
        <v>20900</v>
      </c>
      <c r="EX36" s="4">
        <v>20900</v>
      </c>
      <c r="EY36" s="4">
        <v>20900</v>
      </c>
      <c r="EZ36" s="4">
        <v>20900</v>
      </c>
      <c r="FA36" s="4">
        <v>20850</v>
      </c>
      <c r="FB36" s="4">
        <v>20850</v>
      </c>
      <c r="FC36" s="4">
        <v>20850</v>
      </c>
      <c r="FD36" s="4">
        <v>20850</v>
      </c>
      <c r="FE36" s="4">
        <v>20850</v>
      </c>
      <c r="FF36" s="4">
        <v>20850</v>
      </c>
      <c r="FG36" s="4">
        <v>20850</v>
      </c>
      <c r="FH36" s="4">
        <v>20800</v>
      </c>
      <c r="FI36" s="4">
        <v>20800</v>
      </c>
      <c r="FJ36" s="4">
        <v>20800</v>
      </c>
      <c r="FK36" s="4">
        <v>20800</v>
      </c>
      <c r="FL36" s="4">
        <v>20800</v>
      </c>
      <c r="FM36" s="4">
        <v>20800</v>
      </c>
      <c r="FN36" s="4">
        <v>20800</v>
      </c>
      <c r="FO36" s="4">
        <v>20750</v>
      </c>
      <c r="FP36" s="4">
        <v>20750</v>
      </c>
      <c r="FQ36" s="4">
        <v>20750</v>
      </c>
      <c r="FR36" s="4">
        <v>20750</v>
      </c>
      <c r="FS36" s="4">
        <v>20750</v>
      </c>
      <c r="FT36" s="4">
        <v>20750</v>
      </c>
      <c r="FU36" s="4">
        <v>20750</v>
      </c>
      <c r="FV36" s="4">
        <v>20500</v>
      </c>
      <c r="FW36" s="4">
        <v>20500</v>
      </c>
      <c r="FX36" s="4">
        <v>20500</v>
      </c>
      <c r="FY36" s="4">
        <v>20500</v>
      </c>
      <c r="FZ36" s="4">
        <v>20500</v>
      </c>
      <c r="GA36" s="4">
        <v>20500</v>
      </c>
      <c r="GB36" s="4">
        <v>20500</v>
      </c>
      <c r="GC36" s="4">
        <v>20150</v>
      </c>
      <c r="GD36" s="4">
        <v>20150</v>
      </c>
      <c r="GE36" s="4">
        <v>20150</v>
      </c>
      <c r="GF36" s="4">
        <v>20150</v>
      </c>
      <c r="GG36" s="4">
        <v>20150</v>
      </c>
      <c r="GH36" s="4">
        <v>20150</v>
      </c>
      <c r="GI36" s="4">
        <v>20150</v>
      </c>
      <c r="GJ36" s="4">
        <v>20150</v>
      </c>
      <c r="GK36" s="4">
        <v>20150</v>
      </c>
      <c r="GL36" s="4">
        <v>20150</v>
      </c>
      <c r="GM36" s="4">
        <v>20150</v>
      </c>
      <c r="GN36" s="4">
        <v>20150</v>
      </c>
      <c r="GO36" s="4">
        <v>20150</v>
      </c>
      <c r="GP36" s="4">
        <v>20150</v>
      </c>
      <c r="GQ36" s="4">
        <v>20150</v>
      </c>
      <c r="GR36" s="4">
        <v>20150</v>
      </c>
      <c r="GS36" s="4">
        <v>20150</v>
      </c>
      <c r="GT36" s="4">
        <v>20150</v>
      </c>
      <c r="GU36" s="4">
        <v>20150</v>
      </c>
      <c r="GV36" s="4">
        <v>20150</v>
      </c>
      <c r="GW36" s="4">
        <v>20150</v>
      </c>
      <c r="GX36" s="4">
        <v>20100</v>
      </c>
      <c r="GY36" s="4">
        <v>20100</v>
      </c>
      <c r="GZ36" s="4">
        <v>20100</v>
      </c>
      <c r="HA36" s="4">
        <v>20100</v>
      </c>
      <c r="HB36" s="4">
        <v>20100</v>
      </c>
      <c r="HC36" s="4">
        <v>20100</v>
      </c>
      <c r="HD36" s="4">
        <v>20100</v>
      </c>
      <c r="HE36" s="4">
        <v>20050</v>
      </c>
      <c r="HF36" s="4">
        <v>20050</v>
      </c>
      <c r="HG36" s="4">
        <v>20050</v>
      </c>
      <c r="HH36" s="4">
        <v>20050</v>
      </c>
      <c r="HI36" s="4">
        <v>20050</v>
      </c>
      <c r="HJ36" s="4">
        <v>20050</v>
      </c>
      <c r="HK36" s="4">
        <v>20050</v>
      </c>
      <c r="HL36" s="4">
        <v>20000</v>
      </c>
      <c r="HM36" s="4">
        <v>20000</v>
      </c>
      <c r="HN36" s="4">
        <v>20000</v>
      </c>
      <c r="HO36" s="4">
        <v>20000</v>
      </c>
      <c r="HP36" s="4">
        <v>20000</v>
      </c>
      <c r="HQ36" s="4">
        <v>20000</v>
      </c>
      <c r="HR36" s="4">
        <v>20000</v>
      </c>
      <c r="HS36" s="4">
        <v>20000</v>
      </c>
      <c r="HT36" s="4">
        <v>20000</v>
      </c>
      <c r="HU36" s="4">
        <v>20000</v>
      </c>
      <c r="HV36" s="4">
        <v>20000</v>
      </c>
      <c r="HW36" s="4">
        <v>20000</v>
      </c>
      <c r="HX36" s="4">
        <v>20000</v>
      </c>
      <c r="HY36" s="4">
        <v>20000</v>
      </c>
      <c r="HZ36" s="4">
        <v>20000</v>
      </c>
      <c r="IA36" s="4">
        <v>20000</v>
      </c>
      <c r="IB36" s="4">
        <v>20000</v>
      </c>
      <c r="IC36" s="4">
        <v>20000</v>
      </c>
      <c r="ID36" s="4">
        <v>20000</v>
      </c>
      <c r="IE36" s="4">
        <v>20000</v>
      </c>
      <c r="IF36" s="4">
        <v>20000</v>
      </c>
      <c r="IG36" s="4">
        <v>20000</v>
      </c>
      <c r="IH36" s="4">
        <v>20000</v>
      </c>
      <c r="II36" s="4">
        <v>20000</v>
      </c>
      <c r="IJ36" s="4">
        <v>20000</v>
      </c>
      <c r="IK36" s="4">
        <v>20000</v>
      </c>
      <c r="IL36" s="4">
        <v>20000</v>
      </c>
      <c r="IM36" s="4">
        <v>20000</v>
      </c>
      <c r="IN36" s="4">
        <v>20000</v>
      </c>
      <c r="IO36" s="4">
        <v>20000</v>
      </c>
      <c r="IP36" s="4">
        <v>20000</v>
      </c>
      <c r="IQ36" s="4">
        <v>20000</v>
      </c>
      <c r="IR36" s="4">
        <v>20000</v>
      </c>
      <c r="IS36" s="4">
        <v>20000</v>
      </c>
      <c r="IT36" s="4">
        <v>20000</v>
      </c>
      <c r="IU36" s="4">
        <v>20000</v>
      </c>
      <c r="IV36" s="4">
        <v>20000</v>
      </c>
      <c r="IW36" s="4">
        <v>20000</v>
      </c>
      <c r="IX36" s="4">
        <v>20000</v>
      </c>
      <c r="IY36" s="4">
        <v>20000</v>
      </c>
      <c r="IZ36" s="4">
        <v>20000</v>
      </c>
      <c r="JA36" s="4">
        <v>20000</v>
      </c>
      <c r="JB36" s="4">
        <v>20000</v>
      </c>
      <c r="JC36" s="4">
        <v>20000</v>
      </c>
      <c r="JD36" s="4">
        <v>20000</v>
      </c>
      <c r="JE36" s="4">
        <v>20000</v>
      </c>
      <c r="JF36" s="4">
        <v>20000</v>
      </c>
      <c r="JG36" s="4">
        <v>20000</v>
      </c>
      <c r="JH36" s="4">
        <v>20000</v>
      </c>
      <c r="JI36" s="4">
        <v>20000</v>
      </c>
      <c r="JJ36" s="4">
        <v>20000</v>
      </c>
      <c r="JK36" s="4">
        <v>20000</v>
      </c>
      <c r="JL36" s="4">
        <v>20000</v>
      </c>
      <c r="JM36" s="4">
        <v>20000</v>
      </c>
      <c r="JN36" s="4">
        <v>20000</v>
      </c>
      <c r="JO36" s="4">
        <v>20000</v>
      </c>
      <c r="JP36" s="4">
        <v>20000</v>
      </c>
      <c r="JQ36" s="4">
        <v>20000</v>
      </c>
      <c r="JR36" s="4">
        <v>20000</v>
      </c>
      <c r="JS36" s="4">
        <v>20000</v>
      </c>
      <c r="JT36" s="4">
        <v>20000</v>
      </c>
      <c r="JU36" s="4">
        <v>20000</v>
      </c>
      <c r="JV36" s="4">
        <v>20000</v>
      </c>
      <c r="JW36" s="4">
        <v>20000</v>
      </c>
      <c r="JX36" s="4">
        <v>20000</v>
      </c>
      <c r="JY36" s="4">
        <v>20000</v>
      </c>
      <c r="JZ36" s="4">
        <v>20000</v>
      </c>
      <c r="KA36" s="4">
        <v>20000</v>
      </c>
      <c r="KB36" s="4">
        <v>20000</v>
      </c>
      <c r="KC36" s="4">
        <v>20000</v>
      </c>
      <c r="KD36" s="4">
        <v>20000</v>
      </c>
      <c r="KE36" s="4">
        <v>20000</v>
      </c>
      <c r="KF36" s="4">
        <v>20000</v>
      </c>
      <c r="KG36" s="4">
        <v>20000</v>
      </c>
      <c r="KH36" s="4">
        <v>20000</v>
      </c>
      <c r="KI36" s="4">
        <v>20000</v>
      </c>
      <c r="KJ36" s="4">
        <v>20000</v>
      </c>
      <c r="KK36" s="4">
        <v>20000</v>
      </c>
      <c r="KL36" s="4">
        <v>20000</v>
      </c>
      <c r="KM36" s="4">
        <v>20000</v>
      </c>
      <c r="KN36" s="4">
        <v>20000</v>
      </c>
      <c r="KO36" s="4">
        <v>20000</v>
      </c>
      <c r="KP36" s="4">
        <v>20000</v>
      </c>
      <c r="KQ36" s="4">
        <v>20000</v>
      </c>
      <c r="KR36" s="4">
        <v>20000</v>
      </c>
      <c r="KS36" s="4">
        <v>20000</v>
      </c>
      <c r="KT36" s="4">
        <v>20000</v>
      </c>
      <c r="KU36" s="4">
        <v>20000</v>
      </c>
      <c r="KV36" s="4">
        <v>20000</v>
      </c>
      <c r="KW36" s="4">
        <v>20000</v>
      </c>
      <c r="KX36" s="4">
        <v>20000</v>
      </c>
      <c r="KY36" s="4">
        <v>20000</v>
      </c>
      <c r="KZ36" s="4">
        <v>20000</v>
      </c>
      <c r="LA36" s="4">
        <v>20000</v>
      </c>
      <c r="LB36" s="4">
        <v>20000</v>
      </c>
      <c r="LC36" s="4">
        <v>20000</v>
      </c>
      <c r="LD36" s="4">
        <v>20000</v>
      </c>
      <c r="LE36" s="4">
        <v>20000</v>
      </c>
      <c r="LF36" s="4">
        <v>20000</v>
      </c>
      <c r="LG36" s="4">
        <v>20000</v>
      </c>
      <c r="LH36" s="4">
        <v>20000</v>
      </c>
      <c r="LI36" s="4">
        <v>20000</v>
      </c>
      <c r="LJ36" s="4">
        <v>20000</v>
      </c>
      <c r="LK36" s="4">
        <v>20000</v>
      </c>
      <c r="LL36" s="4">
        <v>20000</v>
      </c>
      <c r="LM36" s="4">
        <v>20000</v>
      </c>
      <c r="LN36" s="4">
        <v>20000</v>
      </c>
      <c r="LO36" s="4">
        <v>20000</v>
      </c>
      <c r="LP36" s="4">
        <v>20000</v>
      </c>
      <c r="LQ36" s="4">
        <v>20000</v>
      </c>
      <c r="LR36" s="4">
        <v>20000</v>
      </c>
      <c r="LS36" s="4">
        <v>20000</v>
      </c>
      <c r="LT36" s="4">
        <v>20000</v>
      </c>
      <c r="LU36" s="4">
        <v>20000</v>
      </c>
      <c r="LV36" s="4">
        <v>20000</v>
      </c>
      <c r="LW36" s="4">
        <v>20000</v>
      </c>
      <c r="LX36" s="4">
        <v>20000</v>
      </c>
      <c r="LY36" s="4">
        <v>20000</v>
      </c>
      <c r="LZ36" s="4">
        <v>20000</v>
      </c>
      <c r="MA36" s="4">
        <v>20000</v>
      </c>
      <c r="MB36" s="4">
        <v>20000</v>
      </c>
      <c r="MC36" s="4">
        <v>20000</v>
      </c>
      <c r="MD36" s="4">
        <v>20000</v>
      </c>
      <c r="ME36" s="4">
        <v>20000</v>
      </c>
      <c r="MF36" s="4">
        <v>20000</v>
      </c>
      <c r="MG36" s="4">
        <v>20000</v>
      </c>
      <c r="MH36" s="4">
        <v>20000</v>
      </c>
      <c r="MI36" s="4">
        <v>20000</v>
      </c>
      <c r="MJ36" s="4">
        <v>20000</v>
      </c>
      <c r="MK36" s="4">
        <v>20000</v>
      </c>
      <c r="ML36" s="4">
        <v>20000</v>
      </c>
      <c r="MM36" s="4">
        <v>20000</v>
      </c>
      <c r="MN36" s="4">
        <v>20000</v>
      </c>
      <c r="MO36" s="4">
        <v>20000</v>
      </c>
      <c r="MP36" s="4">
        <v>20000</v>
      </c>
      <c r="MQ36" s="4">
        <v>20000</v>
      </c>
      <c r="MR36" s="4">
        <v>20000</v>
      </c>
      <c r="MS36" s="4">
        <v>20000</v>
      </c>
      <c r="MT36" s="4">
        <v>20000</v>
      </c>
      <c r="MU36" s="4">
        <v>20000</v>
      </c>
      <c r="MV36" s="4">
        <v>0</v>
      </c>
    </row>
    <row r="37" spans="5:360">
      <c r="J37" s="135"/>
    </row>
    <row r="38" spans="5:360">
      <c r="E38" s="4" t="s">
        <v>127</v>
      </c>
      <c r="G38" s="4" t="s">
        <v>118</v>
      </c>
      <c r="J38" s="136" cm="1">
        <f t="array" ref="J38:MV38" xml:space="preserve"> _xlfn.XLOOKUP(_xlfn.ANCHORARRAY( J15), tbl_Demand[Days to game], tbl_Demand[% of demand], 0 )</f>
        <v>0</v>
      </c>
      <c r="K38" s="136">
        <v>0</v>
      </c>
      <c r="L38" s="136">
        <v>0</v>
      </c>
      <c r="M38" s="136">
        <v>0</v>
      </c>
      <c r="N38" s="136">
        <v>0</v>
      </c>
      <c r="O38" s="136">
        <v>0</v>
      </c>
      <c r="P38" s="136">
        <v>0</v>
      </c>
      <c r="Q38" s="136">
        <v>0</v>
      </c>
      <c r="R38" s="136">
        <v>0</v>
      </c>
      <c r="S38" s="136">
        <v>0</v>
      </c>
      <c r="T38" s="136">
        <v>0</v>
      </c>
      <c r="U38" s="136">
        <v>0</v>
      </c>
      <c r="V38" s="136">
        <v>0</v>
      </c>
      <c r="W38" s="136">
        <v>0</v>
      </c>
      <c r="X38" s="136">
        <v>0</v>
      </c>
      <c r="Y38" s="136">
        <v>0</v>
      </c>
      <c r="Z38" s="136">
        <v>0</v>
      </c>
      <c r="AA38" s="136">
        <v>0</v>
      </c>
      <c r="AB38" s="136">
        <v>0</v>
      </c>
      <c r="AC38" s="136">
        <v>0</v>
      </c>
      <c r="AD38" s="136">
        <v>0</v>
      </c>
      <c r="AE38" s="136">
        <v>0</v>
      </c>
      <c r="AF38" s="136">
        <v>0</v>
      </c>
      <c r="AG38" s="136">
        <v>0</v>
      </c>
      <c r="AH38" s="136">
        <v>0</v>
      </c>
      <c r="AI38" s="136">
        <v>0</v>
      </c>
      <c r="AJ38" s="136">
        <v>0</v>
      </c>
      <c r="AK38" s="136">
        <v>0</v>
      </c>
      <c r="AL38" s="136">
        <v>0</v>
      </c>
      <c r="AM38" s="136">
        <v>0</v>
      </c>
      <c r="AN38" s="136">
        <v>0</v>
      </c>
      <c r="AO38" s="136">
        <v>0</v>
      </c>
      <c r="AP38" s="136">
        <v>0</v>
      </c>
      <c r="AQ38" s="136">
        <v>0</v>
      </c>
      <c r="AR38" s="136">
        <v>0</v>
      </c>
      <c r="AS38" s="136">
        <v>0</v>
      </c>
      <c r="AT38" s="136">
        <v>0</v>
      </c>
      <c r="AU38" s="136">
        <v>0</v>
      </c>
      <c r="AV38" s="136">
        <v>0</v>
      </c>
      <c r="AW38" s="136">
        <v>0</v>
      </c>
      <c r="AX38" s="136">
        <v>0</v>
      </c>
      <c r="AY38" s="136">
        <v>0</v>
      </c>
      <c r="AZ38" s="136">
        <v>0</v>
      </c>
      <c r="BA38" s="136">
        <v>0</v>
      </c>
      <c r="BB38" s="136">
        <v>0</v>
      </c>
      <c r="BC38" s="136">
        <v>0</v>
      </c>
      <c r="BD38" s="136">
        <v>0</v>
      </c>
      <c r="BE38" s="136">
        <v>0</v>
      </c>
      <c r="BF38" s="136">
        <v>0</v>
      </c>
      <c r="BG38" s="136">
        <v>0.25</v>
      </c>
      <c r="BH38" s="136">
        <v>0.22</v>
      </c>
      <c r="BI38" s="136">
        <v>0.08</v>
      </c>
      <c r="BJ38" s="136">
        <v>0.05</v>
      </c>
      <c r="BK38" s="136">
        <v>0.05</v>
      </c>
      <c r="BL38" s="136">
        <v>0.15</v>
      </c>
      <c r="BM38" s="136">
        <v>0.2</v>
      </c>
      <c r="BN38" s="136">
        <v>0.25</v>
      </c>
      <c r="BO38" s="136">
        <v>0.22</v>
      </c>
      <c r="BP38" s="136">
        <v>0.08</v>
      </c>
      <c r="BQ38" s="136">
        <v>0.05</v>
      </c>
      <c r="BR38" s="136">
        <v>0.05</v>
      </c>
      <c r="BS38" s="136">
        <v>0.15</v>
      </c>
      <c r="BT38" s="136">
        <v>0.2</v>
      </c>
      <c r="BU38" s="136">
        <v>0.25</v>
      </c>
      <c r="BV38" s="136">
        <v>0.22</v>
      </c>
      <c r="BW38" s="136">
        <v>0.08</v>
      </c>
      <c r="BX38" s="136">
        <v>0.05</v>
      </c>
      <c r="BY38" s="136">
        <v>0.05</v>
      </c>
      <c r="BZ38" s="136">
        <v>0.15</v>
      </c>
      <c r="CA38" s="136">
        <v>0.2</v>
      </c>
      <c r="CB38" s="136">
        <v>0.25</v>
      </c>
      <c r="CC38" s="136">
        <v>0.22</v>
      </c>
      <c r="CD38" s="136">
        <v>0.08</v>
      </c>
      <c r="CE38" s="136">
        <v>0.05</v>
      </c>
      <c r="CF38" s="136">
        <v>0.05</v>
      </c>
      <c r="CG38" s="136">
        <v>0.15</v>
      </c>
      <c r="CH38" s="136">
        <v>0.2</v>
      </c>
      <c r="CI38" s="136">
        <v>0.25</v>
      </c>
      <c r="CJ38" s="136">
        <v>0.22</v>
      </c>
      <c r="CK38" s="136">
        <v>0.08</v>
      </c>
      <c r="CL38" s="136">
        <v>0.05</v>
      </c>
      <c r="CM38" s="136">
        <v>0.05</v>
      </c>
      <c r="CN38" s="136">
        <v>0.15</v>
      </c>
      <c r="CO38" s="136">
        <v>0.2</v>
      </c>
      <c r="CP38" s="136">
        <v>0.25</v>
      </c>
      <c r="CQ38" s="136">
        <v>0.22</v>
      </c>
      <c r="CR38" s="136">
        <v>0.08</v>
      </c>
      <c r="CS38" s="136">
        <v>0.05</v>
      </c>
      <c r="CT38" s="136">
        <v>0.05</v>
      </c>
      <c r="CU38" s="136">
        <v>0.15</v>
      </c>
      <c r="CV38" s="136">
        <v>0.2</v>
      </c>
      <c r="CW38" s="136">
        <v>0.25</v>
      </c>
      <c r="CX38" s="136">
        <v>0.22</v>
      </c>
      <c r="CY38" s="136">
        <v>0.08</v>
      </c>
      <c r="CZ38" s="136">
        <v>0.05</v>
      </c>
      <c r="DA38" s="136">
        <v>0.05</v>
      </c>
      <c r="DB38" s="136">
        <v>0.15</v>
      </c>
      <c r="DC38" s="136">
        <v>0.2</v>
      </c>
      <c r="DD38" s="136">
        <v>0.25</v>
      </c>
      <c r="DE38" s="136">
        <v>0.22</v>
      </c>
      <c r="DF38" s="136">
        <v>0.08</v>
      </c>
      <c r="DG38" s="136">
        <v>0.05</v>
      </c>
      <c r="DH38" s="136">
        <v>0.05</v>
      </c>
      <c r="DI38" s="136">
        <v>0.15</v>
      </c>
      <c r="DJ38" s="136">
        <v>0.2</v>
      </c>
      <c r="DK38" s="136">
        <v>0.25</v>
      </c>
      <c r="DL38" s="136">
        <v>0.22</v>
      </c>
      <c r="DM38" s="136">
        <v>0.08</v>
      </c>
      <c r="DN38" s="136">
        <v>0.05</v>
      </c>
      <c r="DO38" s="136">
        <v>0.05</v>
      </c>
      <c r="DP38" s="136">
        <v>0.15</v>
      </c>
      <c r="DQ38" s="136">
        <v>0.2</v>
      </c>
      <c r="DR38" s="136">
        <v>0.25</v>
      </c>
      <c r="DS38" s="136">
        <v>0.22</v>
      </c>
      <c r="DT38" s="136">
        <v>0.08</v>
      </c>
      <c r="DU38" s="136">
        <v>0.05</v>
      </c>
      <c r="DV38" s="136">
        <v>0.05</v>
      </c>
      <c r="DW38" s="136">
        <v>0.15</v>
      </c>
      <c r="DX38" s="136">
        <v>0.2</v>
      </c>
      <c r="DY38" s="136">
        <v>0.25</v>
      </c>
      <c r="DZ38" s="136">
        <v>0.22</v>
      </c>
      <c r="EA38" s="136">
        <v>0.08</v>
      </c>
      <c r="EB38" s="136">
        <v>0.05</v>
      </c>
      <c r="EC38" s="136">
        <v>0.05</v>
      </c>
      <c r="ED38" s="136">
        <v>0.15</v>
      </c>
      <c r="EE38" s="136">
        <v>0.2</v>
      </c>
      <c r="EF38" s="136">
        <v>0.25</v>
      </c>
      <c r="EG38" s="136">
        <v>0.22</v>
      </c>
      <c r="EH38" s="136">
        <v>0.08</v>
      </c>
      <c r="EI38" s="136">
        <v>0.05</v>
      </c>
      <c r="EJ38" s="136">
        <v>0.05</v>
      </c>
      <c r="EK38" s="136">
        <v>0.15</v>
      </c>
      <c r="EL38" s="136">
        <v>0.2</v>
      </c>
      <c r="EM38" s="136">
        <v>0.25</v>
      </c>
      <c r="EN38" s="136">
        <v>0.22</v>
      </c>
      <c r="EO38" s="136">
        <v>0.08</v>
      </c>
      <c r="EP38" s="136">
        <v>0.05</v>
      </c>
      <c r="EQ38" s="136">
        <v>0.05</v>
      </c>
      <c r="ER38" s="136">
        <v>0.15</v>
      </c>
      <c r="ES38" s="136">
        <v>0.2</v>
      </c>
      <c r="ET38" s="136">
        <v>0.25</v>
      </c>
      <c r="EU38" s="136">
        <v>0.22</v>
      </c>
      <c r="EV38" s="136">
        <v>0.08</v>
      </c>
      <c r="EW38" s="136">
        <v>0.05</v>
      </c>
      <c r="EX38" s="136">
        <v>0.05</v>
      </c>
      <c r="EY38" s="136">
        <v>0.15</v>
      </c>
      <c r="EZ38" s="136">
        <v>0.2</v>
      </c>
      <c r="FA38" s="136">
        <v>0.25</v>
      </c>
      <c r="FB38" s="136">
        <v>0.22</v>
      </c>
      <c r="FC38" s="136">
        <v>0.08</v>
      </c>
      <c r="FD38" s="136">
        <v>0.05</v>
      </c>
      <c r="FE38" s="136">
        <v>0.05</v>
      </c>
      <c r="FF38" s="136">
        <v>0.15</v>
      </c>
      <c r="FG38" s="136">
        <v>0.2</v>
      </c>
      <c r="FH38" s="136">
        <v>0.25</v>
      </c>
      <c r="FI38" s="136">
        <v>0.22</v>
      </c>
      <c r="FJ38" s="136">
        <v>0.08</v>
      </c>
      <c r="FK38" s="136">
        <v>0.05</v>
      </c>
      <c r="FL38" s="136">
        <v>0.05</v>
      </c>
      <c r="FM38" s="136">
        <v>0.15</v>
      </c>
      <c r="FN38" s="136">
        <v>0.2</v>
      </c>
      <c r="FO38" s="136">
        <v>0.25</v>
      </c>
      <c r="FP38" s="136">
        <v>0.22</v>
      </c>
      <c r="FQ38" s="136">
        <v>0.08</v>
      </c>
      <c r="FR38" s="136">
        <v>0.05</v>
      </c>
      <c r="FS38" s="136">
        <v>0.05</v>
      </c>
      <c r="FT38" s="136">
        <v>0.15</v>
      </c>
      <c r="FU38" s="136">
        <v>0.2</v>
      </c>
      <c r="FV38" s="136">
        <v>0.25</v>
      </c>
      <c r="FW38" s="136">
        <v>0.22</v>
      </c>
      <c r="FX38" s="136">
        <v>0.08</v>
      </c>
      <c r="FY38" s="136">
        <v>0.05</v>
      </c>
      <c r="FZ38" s="136">
        <v>0.05</v>
      </c>
      <c r="GA38" s="136">
        <v>0.15</v>
      </c>
      <c r="GB38" s="136">
        <v>0.2</v>
      </c>
      <c r="GC38" s="136">
        <v>0</v>
      </c>
      <c r="GD38" s="136">
        <v>0</v>
      </c>
      <c r="GE38" s="136">
        <v>0</v>
      </c>
      <c r="GF38" s="136">
        <v>0</v>
      </c>
      <c r="GG38" s="136">
        <v>0</v>
      </c>
      <c r="GH38" s="136">
        <v>0</v>
      </c>
      <c r="GI38" s="136">
        <v>0</v>
      </c>
      <c r="GJ38" s="136">
        <v>0</v>
      </c>
      <c r="GK38" s="136">
        <v>0</v>
      </c>
      <c r="GL38" s="136">
        <v>0</v>
      </c>
      <c r="GM38" s="136">
        <v>0</v>
      </c>
      <c r="GN38" s="136">
        <v>0</v>
      </c>
      <c r="GO38" s="136">
        <v>0</v>
      </c>
      <c r="GP38" s="136">
        <v>0</v>
      </c>
      <c r="GQ38" s="136">
        <v>0.25</v>
      </c>
      <c r="GR38" s="136">
        <v>0.22</v>
      </c>
      <c r="GS38" s="136">
        <v>0.08</v>
      </c>
      <c r="GT38" s="136">
        <v>0.05</v>
      </c>
      <c r="GU38" s="136">
        <v>0.05</v>
      </c>
      <c r="GV38" s="136">
        <v>0.15</v>
      </c>
      <c r="GW38" s="136">
        <v>0.2</v>
      </c>
      <c r="GX38" s="136">
        <v>0.25</v>
      </c>
      <c r="GY38" s="136">
        <v>0.22</v>
      </c>
      <c r="GZ38" s="136">
        <v>0.08</v>
      </c>
      <c r="HA38" s="136">
        <v>0.05</v>
      </c>
      <c r="HB38" s="136">
        <v>0.05</v>
      </c>
      <c r="HC38" s="136">
        <v>0.15</v>
      </c>
      <c r="HD38" s="136">
        <v>0.2</v>
      </c>
      <c r="HE38" s="136">
        <v>0.25</v>
      </c>
      <c r="HF38" s="136">
        <v>0.22</v>
      </c>
      <c r="HG38" s="136">
        <v>0.08</v>
      </c>
      <c r="HH38" s="136">
        <v>0.05</v>
      </c>
      <c r="HI38" s="136">
        <v>0.05</v>
      </c>
      <c r="HJ38" s="136">
        <v>0.15</v>
      </c>
      <c r="HK38" s="136">
        <v>0.2</v>
      </c>
      <c r="HL38" s="136">
        <v>0.25</v>
      </c>
      <c r="HM38" s="136">
        <v>0.22</v>
      </c>
      <c r="HN38" s="136">
        <v>0.08</v>
      </c>
      <c r="HO38" s="136">
        <v>0.05</v>
      </c>
      <c r="HP38" s="136">
        <v>0.05</v>
      </c>
      <c r="HQ38" s="136">
        <v>0.15</v>
      </c>
      <c r="HR38" s="136">
        <v>0.2</v>
      </c>
      <c r="HS38" s="136">
        <v>0.25</v>
      </c>
      <c r="HT38" s="136">
        <v>0.22</v>
      </c>
      <c r="HU38" s="136">
        <v>0.08</v>
      </c>
      <c r="HV38" s="136">
        <v>0.05</v>
      </c>
      <c r="HW38" s="136">
        <v>0.05</v>
      </c>
      <c r="HX38" s="136">
        <v>0.15</v>
      </c>
      <c r="HY38" s="136">
        <v>0.2</v>
      </c>
      <c r="HZ38" s="136">
        <v>0.25</v>
      </c>
      <c r="IA38" s="136">
        <v>0.22</v>
      </c>
      <c r="IB38" s="136">
        <v>0.08</v>
      </c>
      <c r="IC38" s="136">
        <v>0.05</v>
      </c>
      <c r="ID38" s="136">
        <v>0.05</v>
      </c>
      <c r="IE38" s="136">
        <v>0.15</v>
      </c>
      <c r="IF38" s="136">
        <v>0.2</v>
      </c>
      <c r="IG38" s="136">
        <v>0.25</v>
      </c>
      <c r="IH38" s="136">
        <v>0.22</v>
      </c>
      <c r="II38" s="136">
        <v>0.08</v>
      </c>
      <c r="IJ38" s="136">
        <v>0.05</v>
      </c>
      <c r="IK38" s="136">
        <v>0.05</v>
      </c>
      <c r="IL38" s="136">
        <v>0.15</v>
      </c>
      <c r="IM38" s="136">
        <v>0.2</v>
      </c>
      <c r="IN38" s="136">
        <v>0.25</v>
      </c>
      <c r="IO38" s="136">
        <v>0.22</v>
      </c>
      <c r="IP38" s="136">
        <v>0.08</v>
      </c>
      <c r="IQ38" s="136">
        <v>0.05</v>
      </c>
      <c r="IR38" s="136">
        <v>0.05</v>
      </c>
      <c r="IS38" s="136">
        <v>0.15</v>
      </c>
      <c r="IT38" s="136">
        <v>0.2</v>
      </c>
      <c r="IU38" s="136">
        <v>0.25</v>
      </c>
      <c r="IV38" s="136">
        <v>0.22</v>
      </c>
      <c r="IW38" s="136">
        <v>0.08</v>
      </c>
      <c r="IX38" s="136">
        <v>0.05</v>
      </c>
      <c r="IY38" s="136">
        <v>0.05</v>
      </c>
      <c r="IZ38" s="136">
        <v>0.15</v>
      </c>
      <c r="JA38" s="136">
        <v>0.2</v>
      </c>
      <c r="JB38" s="136">
        <v>0.25</v>
      </c>
      <c r="JC38" s="136">
        <v>0.22</v>
      </c>
      <c r="JD38" s="136">
        <v>0.08</v>
      </c>
      <c r="JE38" s="136">
        <v>0.05</v>
      </c>
      <c r="JF38" s="136">
        <v>0.05</v>
      </c>
      <c r="JG38" s="136">
        <v>0.15</v>
      </c>
      <c r="JH38" s="136">
        <v>0.2</v>
      </c>
      <c r="JI38" s="136">
        <v>0.25</v>
      </c>
      <c r="JJ38" s="136">
        <v>0.22</v>
      </c>
      <c r="JK38" s="136">
        <v>0.08</v>
      </c>
      <c r="JL38" s="136">
        <v>0.05</v>
      </c>
      <c r="JM38" s="136">
        <v>0.05</v>
      </c>
      <c r="JN38" s="136">
        <v>0.15</v>
      </c>
      <c r="JO38" s="136">
        <v>0.2</v>
      </c>
      <c r="JP38" s="136">
        <v>0.25</v>
      </c>
      <c r="JQ38" s="136">
        <v>0.22</v>
      </c>
      <c r="JR38" s="136">
        <v>0.08</v>
      </c>
      <c r="JS38" s="136">
        <v>0.05</v>
      </c>
      <c r="JT38" s="136">
        <v>0.05</v>
      </c>
      <c r="JU38" s="136">
        <v>0.15</v>
      </c>
      <c r="JV38" s="136">
        <v>0.2</v>
      </c>
      <c r="JW38" s="136">
        <v>0.25</v>
      </c>
      <c r="JX38" s="136">
        <v>0.22</v>
      </c>
      <c r="JY38" s="136">
        <v>0.08</v>
      </c>
      <c r="JZ38" s="136">
        <v>0.05</v>
      </c>
      <c r="KA38" s="136">
        <v>0.05</v>
      </c>
      <c r="KB38" s="136">
        <v>0.15</v>
      </c>
      <c r="KC38" s="136">
        <v>0.2</v>
      </c>
      <c r="KD38" s="136">
        <v>0.25</v>
      </c>
      <c r="KE38" s="136">
        <v>0.22</v>
      </c>
      <c r="KF38" s="136">
        <v>0.08</v>
      </c>
      <c r="KG38" s="136">
        <v>0.05</v>
      </c>
      <c r="KH38" s="136">
        <v>0.05</v>
      </c>
      <c r="KI38" s="136">
        <v>0.15</v>
      </c>
      <c r="KJ38" s="136">
        <v>0.2</v>
      </c>
      <c r="KK38" s="136">
        <v>0.25</v>
      </c>
      <c r="KL38" s="136">
        <v>0.22</v>
      </c>
      <c r="KM38" s="136">
        <v>0.08</v>
      </c>
      <c r="KN38" s="136">
        <v>0.05</v>
      </c>
      <c r="KO38" s="136">
        <v>0.05</v>
      </c>
      <c r="KP38" s="136">
        <v>0.15</v>
      </c>
      <c r="KQ38" s="136">
        <v>0.2</v>
      </c>
      <c r="KR38" s="136">
        <v>0.25</v>
      </c>
      <c r="KS38" s="136">
        <v>0.22</v>
      </c>
      <c r="KT38" s="136">
        <v>0.08</v>
      </c>
      <c r="KU38" s="136">
        <v>0.05</v>
      </c>
      <c r="KV38" s="136">
        <v>0.05</v>
      </c>
      <c r="KW38" s="136">
        <v>0.15</v>
      </c>
      <c r="KX38" s="136">
        <v>0.2</v>
      </c>
      <c r="KY38" s="136">
        <v>0.25</v>
      </c>
      <c r="KZ38" s="136">
        <v>0.22</v>
      </c>
      <c r="LA38" s="136">
        <v>0.08</v>
      </c>
      <c r="LB38" s="136">
        <v>0.05</v>
      </c>
      <c r="LC38" s="136">
        <v>0.05</v>
      </c>
      <c r="LD38" s="136">
        <v>0.15</v>
      </c>
      <c r="LE38" s="136">
        <v>0.2</v>
      </c>
      <c r="LF38" s="136">
        <v>0.25</v>
      </c>
      <c r="LG38" s="136">
        <v>0.22</v>
      </c>
      <c r="LH38" s="136">
        <v>0.08</v>
      </c>
      <c r="LI38" s="136">
        <v>0.05</v>
      </c>
      <c r="LJ38" s="136">
        <v>0.05</v>
      </c>
      <c r="LK38" s="136">
        <v>0.15</v>
      </c>
      <c r="LL38" s="136">
        <v>0.2</v>
      </c>
      <c r="LM38" s="136">
        <v>0.25</v>
      </c>
      <c r="LN38" s="136">
        <v>0.22</v>
      </c>
      <c r="LO38" s="136">
        <v>0.08</v>
      </c>
      <c r="LP38" s="136">
        <v>0.05</v>
      </c>
      <c r="LQ38" s="136">
        <v>0.05</v>
      </c>
      <c r="LR38" s="136">
        <v>0.15</v>
      </c>
      <c r="LS38" s="136">
        <v>0.2</v>
      </c>
      <c r="LT38" s="136">
        <v>0.25</v>
      </c>
      <c r="LU38" s="136">
        <v>0.22</v>
      </c>
      <c r="LV38" s="136">
        <v>0.08</v>
      </c>
      <c r="LW38" s="136">
        <v>0.05</v>
      </c>
      <c r="LX38" s="136">
        <v>0.05</v>
      </c>
      <c r="LY38" s="136">
        <v>0.15</v>
      </c>
      <c r="LZ38" s="136">
        <v>0.2</v>
      </c>
      <c r="MA38" s="136">
        <v>0.25</v>
      </c>
      <c r="MB38" s="136">
        <v>0.22</v>
      </c>
      <c r="MC38" s="136">
        <v>0.08</v>
      </c>
      <c r="MD38" s="136">
        <v>0.05</v>
      </c>
      <c r="ME38" s="136">
        <v>0.05</v>
      </c>
      <c r="MF38" s="136">
        <v>0.15</v>
      </c>
      <c r="MG38" s="136">
        <v>0.2</v>
      </c>
      <c r="MH38" s="136">
        <v>0</v>
      </c>
      <c r="MI38" s="136">
        <v>0</v>
      </c>
      <c r="MJ38" s="136">
        <v>0</v>
      </c>
      <c r="MK38" s="136">
        <v>0</v>
      </c>
      <c r="ML38" s="136">
        <v>0</v>
      </c>
      <c r="MM38" s="136">
        <v>0</v>
      </c>
      <c r="MN38" s="136">
        <v>0</v>
      </c>
      <c r="MO38" s="136">
        <v>0.25</v>
      </c>
      <c r="MP38" s="136">
        <v>0.22</v>
      </c>
      <c r="MQ38" s="136">
        <v>0.08</v>
      </c>
      <c r="MR38" s="136">
        <v>0.05</v>
      </c>
      <c r="MS38" s="136">
        <v>0.05</v>
      </c>
      <c r="MT38" s="136">
        <v>0.15</v>
      </c>
      <c r="MU38" s="136">
        <v>0.2</v>
      </c>
      <c r="MV38" s="136">
        <v>0</v>
      </c>
    </row>
    <row r="39" spans="5:360">
      <c r="E39" s="4" t="s">
        <v>126</v>
      </c>
      <c r="G39" s="4" t="s">
        <v>115</v>
      </c>
      <c r="J39" s="4" cm="1">
        <f t="array" ref="J39:MV39">_xlfn.ANCHORARRAY( J35) *_xlfn.ANCHORARRAY( J38)</f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8000</v>
      </c>
      <c r="BH39" s="4">
        <v>7040</v>
      </c>
      <c r="BI39" s="4">
        <v>2560</v>
      </c>
      <c r="BJ39" s="4">
        <v>1600</v>
      </c>
      <c r="BK39" s="4">
        <v>1600</v>
      </c>
      <c r="BL39" s="4">
        <v>4800</v>
      </c>
      <c r="BM39" s="4">
        <v>6400</v>
      </c>
      <c r="BN39" s="4">
        <v>6250</v>
      </c>
      <c r="BO39" s="4">
        <v>5500</v>
      </c>
      <c r="BP39" s="4">
        <v>2000</v>
      </c>
      <c r="BQ39" s="4">
        <v>1250</v>
      </c>
      <c r="BR39" s="4">
        <v>1250</v>
      </c>
      <c r="BS39" s="4">
        <v>3750</v>
      </c>
      <c r="BT39" s="4">
        <v>5000</v>
      </c>
      <c r="BU39" s="4">
        <v>3750</v>
      </c>
      <c r="BV39" s="4">
        <v>3300</v>
      </c>
      <c r="BW39" s="4">
        <v>1200</v>
      </c>
      <c r="BX39" s="4">
        <v>750</v>
      </c>
      <c r="BY39" s="4">
        <v>750</v>
      </c>
      <c r="BZ39" s="4">
        <v>2250</v>
      </c>
      <c r="CA39" s="4">
        <v>3000</v>
      </c>
      <c r="CB39" s="4">
        <v>8000</v>
      </c>
      <c r="CC39" s="4">
        <v>7040</v>
      </c>
      <c r="CD39" s="4">
        <v>2560</v>
      </c>
      <c r="CE39" s="4">
        <v>1600</v>
      </c>
      <c r="CF39" s="4">
        <v>1600</v>
      </c>
      <c r="CG39" s="4">
        <v>4800</v>
      </c>
      <c r="CH39" s="4">
        <v>6400</v>
      </c>
      <c r="CI39" s="4">
        <v>3750</v>
      </c>
      <c r="CJ39" s="4">
        <v>3300</v>
      </c>
      <c r="CK39" s="4">
        <v>1200</v>
      </c>
      <c r="CL39" s="4">
        <v>750</v>
      </c>
      <c r="CM39" s="4">
        <v>750</v>
      </c>
      <c r="CN39" s="4">
        <v>2250</v>
      </c>
      <c r="CO39" s="4">
        <v>3000</v>
      </c>
      <c r="CP39" s="4">
        <v>6250</v>
      </c>
      <c r="CQ39" s="4">
        <v>5500</v>
      </c>
      <c r="CR39" s="4">
        <v>2000</v>
      </c>
      <c r="CS39" s="4">
        <v>1250</v>
      </c>
      <c r="CT39" s="4">
        <v>1250</v>
      </c>
      <c r="CU39" s="4">
        <v>3750</v>
      </c>
      <c r="CV39" s="4">
        <v>5000</v>
      </c>
      <c r="CW39" s="4">
        <v>3750</v>
      </c>
      <c r="CX39" s="4">
        <v>3300</v>
      </c>
      <c r="CY39" s="4">
        <v>1200</v>
      </c>
      <c r="CZ39" s="4">
        <v>750</v>
      </c>
      <c r="DA39" s="4">
        <v>750</v>
      </c>
      <c r="DB39" s="4">
        <v>2250</v>
      </c>
      <c r="DC39" s="4">
        <v>3000</v>
      </c>
      <c r="DD39" s="4">
        <v>6250</v>
      </c>
      <c r="DE39" s="4">
        <v>5500</v>
      </c>
      <c r="DF39" s="4">
        <v>2000</v>
      </c>
      <c r="DG39" s="4">
        <v>1250</v>
      </c>
      <c r="DH39" s="4">
        <v>1250</v>
      </c>
      <c r="DI39" s="4">
        <v>3750</v>
      </c>
      <c r="DJ39" s="4">
        <v>5000</v>
      </c>
      <c r="DK39" s="4">
        <v>6250</v>
      </c>
      <c r="DL39" s="4">
        <v>5500</v>
      </c>
      <c r="DM39" s="4">
        <v>2000</v>
      </c>
      <c r="DN39" s="4">
        <v>1250</v>
      </c>
      <c r="DO39" s="4">
        <v>1250</v>
      </c>
      <c r="DP39" s="4">
        <v>3750</v>
      </c>
      <c r="DQ39" s="4">
        <v>5000</v>
      </c>
      <c r="DR39" s="4">
        <v>3750</v>
      </c>
      <c r="DS39" s="4">
        <v>3300</v>
      </c>
      <c r="DT39" s="4">
        <v>1200</v>
      </c>
      <c r="DU39" s="4">
        <v>750</v>
      </c>
      <c r="DV39" s="4">
        <v>750</v>
      </c>
      <c r="DW39" s="4">
        <v>2250</v>
      </c>
      <c r="DX39" s="4">
        <v>3000</v>
      </c>
      <c r="DY39" s="4">
        <v>6250</v>
      </c>
      <c r="DZ39" s="4">
        <v>5500</v>
      </c>
      <c r="EA39" s="4">
        <v>2000</v>
      </c>
      <c r="EB39" s="4">
        <v>1250</v>
      </c>
      <c r="EC39" s="4">
        <v>1250</v>
      </c>
      <c r="ED39" s="4">
        <v>3750</v>
      </c>
      <c r="EE39" s="4">
        <v>5000</v>
      </c>
      <c r="EF39" s="4">
        <v>3750</v>
      </c>
      <c r="EG39" s="4">
        <v>3300</v>
      </c>
      <c r="EH39" s="4">
        <v>1200</v>
      </c>
      <c r="EI39" s="4">
        <v>750</v>
      </c>
      <c r="EJ39" s="4">
        <v>750</v>
      </c>
      <c r="EK39" s="4">
        <v>2250</v>
      </c>
      <c r="EL39" s="4">
        <v>3000</v>
      </c>
      <c r="EM39" s="4">
        <v>10000</v>
      </c>
      <c r="EN39" s="4">
        <v>8800</v>
      </c>
      <c r="EO39" s="4">
        <v>3200</v>
      </c>
      <c r="EP39" s="4">
        <v>2000</v>
      </c>
      <c r="EQ39" s="4">
        <v>2000</v>
      </c>
      <c r="ER39" s="4">
        <v>6000</v>
      </c>
      <c r="ES39" s="4">
        <v>8000</v>
      </c>
      <c r="ET39" s="4">
        <v>3750</v>
      </c>
      <c r="EU39" s="4">
        <v>3300</v>
      </c>
      <c r="EV39" s="4">
        <v>1200</v>
      </c>
      <c r="EW39" s="4">
        <v>750</v>
      </c>
      <c r="EX39" s="4">
        <v>750</v>
      </c>
      <c r="EY39" s="4">
        <v>2250</v>
      </c>
      <c r="EZ39" s="4">
        <v>3000</v>
      </c>
      <c r="FA39" s="4">
        <v>6250</v>
      </c>
      <c r="FB39" s="4">
        <v>5500</v>
      </c>
      <c r="FC39" s="4">
        <v>2000</v>
      </c>
      <c r="FD39" s="4">
        <v>1250</v>
      </c>
      <c r="FE39" s="4">
        <v>1250</v>
      </c>
      <c r="FF39" s="4">
        <v>3750</v>
      </c>
      <c r="FG39" s="4">
        <v>5000</v>
      </c>
      <c r="FH39" s="4">
        <v>6250</v>
      </c>
      <c r="FI39" s="4">
        <v>5500</v>
      </c>
      <c r="FJ39" s="4">
        <v>2000</v>
      </c>
      <c r="FK39" s="4">
        <v>1250</v>
      </c>
      <c r="FL39" s="4">
        <v>1250</v>
      </c>
      <c r="FM39" s="4">
        <v>3750</v>
      </c>
      <c r="FN39" s="4">
        <v>5000</v>
      </c>
      <c r="FO39" s="4">
        <v>6250</v>
      </c>
      <c r="FP39" s="4">
        <v>5500</v>
      </c>
      <c r="FQ39" s="4">
        <v>2000</v>
      </c>
      <c r="FR39" s="4">
        <v>1250</v>
      </c>
      <c r="FS39" s="4">
        <v>1250</v>
      </c>
      <c r="FT39" s="4">
        <v>3750</v>
      </c>
      <c r="FU39" s="4">
        <v>5000</v>
      </c>
      <c r="FV39" s="4">
        <v>3750</v>
      </c>
      <c r="FW39" s="4">
        <v>3300</v>
      </c>
      <c r="FX39" s="4">
        <v>1200</v>
      </c>
      <c r="FY39" s="4">
        <v>750</v>
      </c>
      <c r="FZ39" s="4">
        <v>750</v>
      </c>
      <c r="GA39" s="4">
        <v>2250</v>
      </c>
      <c r="GB39" s="4">
        <v>3000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3750</v>
      </c>
      <c r="GR39" s="4">
        <v>3300</v>
      </c>
      <c r="GS39" s="4">
        <v>1200</v>
      </c>
      <c r="GT39" s="4">
        <v>750</v>
      </c>
      <c r="GU39" s="4">
        <v>750</v>
      </c>
      <c r="GV39" s="4">
        <v>2250</v>
      </c>
      <c r="GW39" s="4">
        <v>3000</v>
      </c>
      <c r="GX39" s="4">
        <v>3750</v>
      </c>
      <c r="GY39" s="4">
        <v>3300</v>
      </c>
      <c r="GZ39" s="4">
        <v>1200</v>
      </c>
      <c r="HA39" s="4">
        <v>750</v>
      </c>
      <c r="HB39" s="4">
        <v>750</v>
      </c>
      <c r="HC39" s="4">
        <v>2250</v>
      </c>
      <c r="HD39" s="4">
        <v>3000</v>
      </c>
      <c r="HE39" s="4">
        <v>8000</v>
      </c>
      <c r="HF39" s="4">
        <v>7040</v>
      </c>
      <c r="HG39" s="4">
        <v>2560</v>
      </c>
      <c r="HH39" s="4">
        <v>1600</v>
      </c>
      <c r="HI39" s="4">
        <v>1600</v>
      </c>
      <c r="HJ39" s="4">
        <v>4800</v>
      </c>
      <c r="HK39" s="4">
        <v>6400</v>
      </c>
      <c r="HL39" s="4">
        <v>3750</v>
      </c>
      <c r="HM39" s="4">
        <v>3300</v>
      </c>
      <c r="HN39" s="4">
        <v>1200</v>
      </c>
      <c r="HO39" s="4">
        <v>750</v>
      </c>
      <c r="HP39" s="4">
        <v>750</v>
      </c>
      <c r="HQ39" s="4">
        <v>2250</v>
      </c>
      <c r="HR39" s="4">
        <v>3000</v>
      </c>
      <c r="HS39" s="4">
        <v>10000</v>
      </c>
      <c r="HT39" s="4">
        <v>8800</v>
      </c>
      <c r="HU39" s="4">
        <v>3200</v>
      </c>
      <c r="HV39" s="4">
        <v>2000</v>
      </c>
      <c r="HW39" s="4">
        <v>2000</v>
      </c>
      <c r="HX39" s="4">
        <v>6000</v>
      </c>
      <c r="HY39" s="4">
        <v>8000</v>
      </c>
      <c r="HZ39" s="4">
        <v>6250</v>
      </c>
      <c r="IA39" s="4">
        <v>5500</v>
      </c>
      <c r="IB39" s="4">
        <v>2000</v>
      </c>
      <c r="IC39" s="4">
        <v>1250</v>
      </c>
      <c r="ID39" s="4">
        <v>1250</v>
      </c>
      <c r="IE39" s="4">
        <v>3750</v>
      </c>
      <c r="IF39" s="4">
        <v>5000</v>
      </c>
      <c r="IG39" s="4">
        <v>6250</v>
      </c>
      <c r="IH39" s="4">
        <v>5500</v>
      </c>
      <c r="II39" s="4">
        <v>2000</v>
      </c>
      <c r="IJ39" s="4">
        <v>1250</v>
      </c>
      <c r="IK39" s="4">
        <v>1250</v>
      </c>
      <c r="IL39" s="4">
        <v>3750</v>
      </c>
      <c r="IM39" s="4">
        <v>5000</v>
      </c>
      <c r="IN39" s="4">
        <v>6250</v>
      </c>
      <c r="IO39" s="4">
        <v>5500</v>
      </c>
      <c r="IP39" s="4">
        <v>2000</v>
      </c>
      <c r="IQ39" s="4">
        <v>1250</v>
      </c>
      <c r="IR39" s="4">
        <v>1250</v>
      </c>
      <c r="IS39" s="4">
        <v>3750</v>
      </c>
      <c r="IT39" s="4">
        <v>5000</v>
      </c>
      <c r="IU39" s="4">
        <v>8000</v>
      </c>
      <c r="IV39" s="4">
        <v>7040</v>
      </c>
      <c r="IW39" s="4">
        <v>2560</v>
      </c>
      <c r="IX39" s="4">
        <v>1600</v>
      </c>
      <c r="IY39" s="4">
        <v>1600</v>
      </c>
      <c r="IZ39" s="4">
        <v>4800</v>
      </c>
      <c r="JA39" s="4">
        <v>6400</v>
      </c>
      <c r="JB39" s="4">
        <v>3750</v>
      </c>
      <c r="JC39" s="4">
        <v>3300</v>
      </c>
      <c r="JD39" s="4">
        <v>1200</v>
      </c>
      <c r="JE39" s="4">
        <v>750</v>
      </c>
      <c r="JF39" s="4">
        <v>750</v>
      </c>
      <c r="JG39" s="4">
        <v>2250</v>
      </c>
      <c r="JH39" s="4">
        <v>3000</v>
      </c>
      <c r="JI39" s="4">
        <v>6250</v>
      </c>
      <c r="JJ39" s="4">
        <v>5500</v>
      </c>
      <c r="JK39" s="4">
        <v>2000</v>
      </c>
      <c r="JL39" s="4">
        <v>1250</v>
      </c>
      <c r="JM39" s="4">
        <v>1250</v>
      </c>
      <c r="JN39" s="4">
        <v>3750</v>
      </c>
      <c r="JO39" s="4">
        <v>5000</v>
      </c>
      <c r="JP39" s="4">
        <v>6250</v>
      </c>
      <c r="JQ39" s="4">
        <v>5500</v>
      </c>
      <c r="JR39" s="4">
        <v>2000</v>
      </c>
      <c r="JS39" s="4">
        <v>1250</v>
      </c>
      <c r="JT39" s="4">
        <v>1250</v>
      </c>
      <c r="JU39" s="4">
        <v>3750</v>
      </c>
      <c r="JV39" s="4">
        <v>5000</v>
      </c>
      <c r="JW39" s="4">
        <v>8000</v>
      </c>
      <c r="JX39" s="4">
        <v>7040</v>
      </c>
      <c r="JY39" s="4">
        <v>2560</v>
      </c>
      <c r="JZ39" s="4">
        <v>1600</v>
      </c>
      <c r="KA39" s="4">
        <v>1600</v>
      </c>
      <c r="KB39" s="4">
        <v>4800</v>
      </c>
      <c r="KC39" s="4">
        <v>6400</v>
      </c>
      <c r="KD39" s="4">
        <v>3750</v>
      </c>
      <c r="KE39" s="4">
        <v>3300</v>
      </c>
      <c r="KF39" s="4">
        <v>1200</v>
      </c>
      <c r="KG39" s="4">
        <v>750</v>
      </c>
      <c r="KH39" s="4">
        <v>750</v>
      </c>
      <c r="KI39" s="4">
        <v>2250</v>
      </c>
      <c r="KJ39" s="4">
        <v>3000</v>
      </c>
      <c r="KK39" s="4">
        <v>6250</v>
      </c>
      <c r="KL39" s="4">
        <v>5500</v>
      </c>
      <c r="KM39" s="4">
        <v>2000</v>
      </c>
      <c r="KN39" s="4">
        <v>1250</v>
      </c>
      <c r="KO39" s="4">
        <v>1250</v>
      </c>
      <c r="KP39" s="4">
        <v>3750</v>
      </c>
      <c r="KQ39" s="4">
        <v>5000</v>
      </c>
      <c r="KR39" s="4">
        <v>6250</v>
      </c>
      <c r="KS39" s="4">
        <v>5500</v>
      </c>
      <c r="KT39" s="4">
        <v>2000</v>
      </c>
      <c r="KU39" s="4">
        <v>1250</v>
      </c>
      <c r="KV39" s="4">
        <v>1250</v>
      </c>
      <c r="KW39" s="4">
        <v>3750</v>
      </c>
      <c r="KX39" s="4">
        <v>5000</v>
      </c>
      <c r="KY39" s="4">
        <v>3750</v>
      </c>
      <c r="KZ39" s="4">
        <v>3300</v>
      </c>
      <c r="LA39" s="4">
        <v>1200</v>
      </c>
      <c r="LB39" s="4">
        <v>750</v>
      </c>
      <c r="LC39" s="4">
        <v>750</v>
      </c>
      <c r="LD39" s="4">
        <v>2250</v>
      </c>
      <c r="LE39" s="4">
        <v>3000</v>
      </c>
      <c r="LF39" s="4">
        <v>3750</v>
      </c>
      <c r="LG39" s="4">
        <v>3300</v>
      </c>
      <c r="LH39" s="4">
        <v>1200</v>
      </c>
      <c r="LI39" s="4">
        <v>750</v>
      </c>
      <c r="LJ39" s="4">
        <v>750</v>
      </c>
      <c r="LK39" s="4">
        <v>2250</v>
      </c>
      <c r="LL39" s="4">
        <v>3000</v>
      </c>
      <c r="LM39" s="4">
        <v>3750</v>
      </c>
      <c r="LN39" s="4">
        <v>3300</v>
      </c>
      <c r="LO39" s="4">
        <v>1200</v>
      </c>
      <c r="LP39" s="4">
        <v>750</v>
      </c>
      <c r="LQ39" s="4">
        <v>750</v>
      </c>
      <c r="LR39" s="4">
        <v>2250</v>
      </c>
      <c r="LS39" s="4">
        <v>3000</v>
      </c>
      <c r="LT39" s="4">
        <v>8000</v>
      </c>
      <c r="LU39" s="4">
        <v>7040</v>
      </c>
      <c r="LV39" s="4">
        <v>2560</v>
      </c>
      <c r="LW39" s="4">
        <v>1600</v>
      </c>
      <c r="LX39" s="4">
        <v>1600</v>
      </c>
      <c r="LY39" s="4">
        <v>4800</v>
      </c>
      <c r="LZ39" s="4">
        <v>6400</v>
      </c>
      <c r="MA39" s="4">
        <v>10000</v>
      </c>
      <c r="MB39" s="4">
        <v>8800</v>
      </c>
      <c r="MC39" s="4">
        <v>3200</v>
      </c>
      <c r="MD39" s="4">
        <v>2000</v>
      </c>
      <c r="ME39" s="4">
        <v>2000</v>
      </c>
      <c r="MF39" s="4">
        <v>6000</v>
      </c>
      <c r="MG39" s="4">
        <v>8000</v>
      </c>
      <c r="MH39" s="4">
        <v>0</v>
      </c>
      <c r="MI39" s="4">
        <v>0</v>
      </c>
      <c r="MJ39" s="4">
        <v>0</v>
      </c>
      <c r="MK39" s="4">
        <v>0</v>
      </c>
      <c r="ML39" s="4">
        <v>0</v>
      </c>
      <c r="MM39" s="4">
        <v>0</v>
      </c>
      <c r="MN39" s="4">
        <v>0</v>
      </c>
      <c r="MO39" s="4">
        <v>12500</v>
      </c>
      <c r="MP39" s="4">
        <v>11000</v>
      </c>
      <c r="MQ39" s="4">
        <v>4000</v>
      </c>
      <c r="MR39" s="4">
        <v>2500</v>
      </c>
      <c r="MS39" s="4">
        <v>2500</v>
      </c>
      <c r="MT39" s="4">
        <v>7500</v>
      </c>
      <c r="MU39" s="4">
        <v>10000</v>
      </c>
      <c r="MV39" s="4">
        <v>0</v>
      </c>
    </row>
    <row r="40" spans="5:360">
      <c r="E40" s="4" t="s">
        <v>131</v>
      </c>
      <c r="G40" s="4" t="s">
        <v>115</v>
      </c>
      <c r="J40" s="135" cm="1">
        <f t="array" ref="J40:MV40">_xlfn.LET(
    _xlpm.game_day,_xlfn.ANCHORARRAY(          J14),
    _xlpm.tickets_available,_xlfn.ANCHORARRAY( J36),
    _xlpm.demand_prev,       _xlfn.HSTACK( 0, _xlfn.TAKE(_xlfn.ANCHORARRAY( J39),, COLUMNS(_xlfn.ANCHORARRAY( J39) ) -1 ) ),
    _xlfn.SCAN( 0, _xlfn.SEQUENCE(,COLUMNS(_xlpm.game_day)),
        _xlfn.LAMBDA(_xlpm.rem,_xlpm.i,
            IF(
                OR( _xlpm.i = 1, INDEX( _xlpm.game_day, 1, _xlpm.i ) &lt;&gt; INDEX( _xlpm.game_day, 1, _xlpm.i - 1 ) ),
                INDEX( _xlpm.tickets_available, 1, _xlpm.i ), MAX( _xlpm.rem - INDEX( _xlpm.demand_prev, 1, _xlpm.i ), 0 ) ) ) ) )</f>
        <v>24350</v>
      </c>
      <c r="K40" s="135">
        <v>24350</v>
      </c>
      <c r="L40" s="135">
        <v>24350</v>
      </c>
      <c r="M40" s="135">
        <v>24350</v>
      </c>
      <c r="N40" s="135">
        <v>24350</v>
      </c>
      <c r="O40" s="135">
        <v>24350</v>
      </c>
      <c r="P40" s="135">
        <v>24350</v>
      </c>
      <c r="Q40" s="135">
        <v>24350</v>
      </c>
      <c r="R40" s="135">
        <v>24350</v>
      </c>
      <c r="S40" s="135">
        <v>24350</v>
      </c>
      <c r="T40" s="135">
        <v>24350</v>
      </c>
      <c r="U40" s="135">
        <v>24350</v>
      </c>
      <c r="V40" s="135">
        <v>24350</v>
      </c>
      <c r="W40" s="135">
        <v>24350</v>
      </c>
      <c r="X40" s="135">
        <v>24350</v>
      </c>
      <c r="Y40" s="135">
        <v>24350</v>
      </c>
      <c r="Z40" s="135">
        <v>24350</v>
      </c>
      <c r="AA40" s="135">
        <v>24350</v>
      </c>
      <c r="AB40" s="135">
        <v>24350</v>
      </c>
      <c r="AC40" s="135">
        <v>24350</v>
      </c>
      <c r="AD40" s="135">
        <v>24350</v>
      </c>
      <c r="AE40" s="135">
        <v>24350</v>
      </c>
      <c r="AF40" s="135">
        <v>24350</v>
      </c>
      <c r="AG40" s="135">
        <v>24350</v>
      </c>
      <c r="AH40" s="135">
        <v>24350</v>
      </c>
      <c r="AI40" s="135">
        <v>24350</v>
      </c>
      <c r="AJ40" s="135">
        <v>24350</v>
      </c>
      <c r="AK40" s="135">
        <v>24350</v>
      </c>
      <c r="AL40" s="135">
        <v>24350</v>
      </c>
      <c r="AM40" s="135">
        <v>24350</v>
      </c>
      <c r="AN40" s="135">
        <v>24350</v>
      </c>
      <c r="AO40" s="135">
        <v>24350</v>
      </c>
      <c r="AP40" s="135">
        <v>24350</v>
      </c>
      <c r="AQ40" s="135">
        <v>24350</v>
      </c>
      <c r="AR40" s="135">
        <v>24350</v>
      </c>
      <c r="AS40" s="135">
        <v>24350</v>
      </c>
      <c r="AT40" s="135">
        <v>24350</v>
      </c>
      <c r="AU40" s="135">
        <v>24350</v>
      </c>
      <c r="AV40" s="135">
        <v>24350</v>
      </c>
      <c r="AW40" s="135">
        <v>24350</v>
      </c>
      <c r="AX40" s="135">
        <v>24350</v>
      </c>
      <c r="AY40" s="135">
        <v>24350</v>
      </c>
      <c r="AZ40" s="135">
        <v>24350</v>
      </c>
      <c r="BA40" s="135">
        <v>24350</v>
      </c>
      <c r="BB40" s="135">
        <v>24350</v>
      </c>
      <c r="BC40" s="135">
        <v>24350</v>
      </c>
      <c r="BD40" s="135">
        <v>24350</v>
      </c>
      <c r="BE40" s="135">
        <v>24350</v>
      </c>
      <c r="BF40" s="135">
        <v>24350</v>
      </c>
      <c r="BG40" s="135">
        <v>24350</v>
      </c>
      <c r="BH40" s="135">
        <v>16350</v>
      </c>
      <c r="BI40" s="135">
        <v>9310</v>
      </c>
      <c r="BJ40" s="135">
        <v>6750</v>
      </c>
      <c r="BK40" s="135">
        <v>5150</v>
      </c>
      <c r="BL40" s="135">
        <v>3550</v>
      </c>
      <c r="BM40" s="135">
        <v>0</v>
      </c>
      <c r="BN40" s="135">
        <v>22950</v>
      </c>
      <c r="BO40" s="135">
        <v>16700</v>
      </c>
      <c r="BP40" s="135">
        <v>11200</v>
      </c>
      <c r="BQ40" s="135">
        <v>9200</v>
      </c>
      <c r="BR40" s="135">
        <v>7950</v>
      </c>
      <c r="BS40" s="135">
        <v>6700</v>
      </c>
      <c r="BT40" s="135">
        <v>2950</v>
      </c>
      <c r="BU40" s="135">
        <v>22150</v>
      </c>
      <c r="BV40" s="135">
        <v>18400</v>
      </c>
      <c r="BW40" s="135">
        <v>15100</v>
      </c>
      <c r="BX40" s="135">
        <v>13900</v>
      </c>
      <c r="BY40" s="135">
        <v>13150</v>
      </c>
      <c r="BZ40" s="135">
        <v>12400</v>
      </c>
      <c r="CA40" s="135">
        <v>10150</v>
      </c>
      <c r="CB40" s="135">
        <v>21650</v>
      </c>
      <c r="CC40" s="135">
        <v>13650</v>
      </c>
      <c r="CD40" s="135">
        <v>6610</v>
      </c>
      <c r="CE40" s="135">
        <v>4050</v>
      </c>
      <c r="CF40" s="135">
        <v>2450</v>
      </c>
      <c r="CG40" s="135">
        <v>850</v>
      </c>
      <c r="CH40" s="135">
        <v>0</v>
      </c>
      <c r="CI40" s="135">
        <v>21450</v>
      </c>
      <c r="CJ40" s="135">
        <v>17700</v>
      </c>
      <c r="CK40" s="135">
        <v>14400</v>
      </c>
      <c r="CL40" s="135">
        <v>13200</v>
      </c>
      <c r="CM40" s="135">
        <v>12450</v>
      </c>
      <c r="CN40" s="135">
        <v>11700</v>
      </c>
      <c r="CO40" s="135">
        <v>9450</v>
      </c>
      <c r="CP40" s="135">
        <v>21300</v>
      </c>
      <c r="CQ40" s="135">
        <v>15050</v>
      </c>
      <c r="CR40" s="135">
        <v>9550</v>
      </c>
      <c r="CS40" s="135">
        <v>7550</v>
      </c>
      <c r="CT40" s="135">
        <v>6300</v>
      </c>
      <c r="CU40" s="135">
        <v>5050</v>
      </c>
      <c r="CV40" s="135">
        <v>1300</v>
      </c>
      <c r="CW40" s="135">
        <v>21250</v>
      </c>
      <c r="CX40" s="135">
        <v>17500</v>
      </c>
      <c r="CY40" s="135">
        <v>14200</v>
      </c>
      <c r="CZ40" s="135">
        <v>13000</v>
      </c>
      <c r="DA40" s="135">
        <v>12250</v>
      </c>
      <c r="DB40" s="135">
        <v>11500</v>
      </c>
      <c r="DC40" s="135">
        <v>9250</v>
      </c>
      <c r="DD40" s="135">
        <v>21200</v>
      </c>
      <c r="DE40" s="135">
        <v>14950</v>
      </c>
      <c r="DF40" s="135">
        <v>9450</v>
      </c>
      <c r="DG40" s="135">
        <v>7450</v>
      </c>
      <c r="DH40" s="135">
        <v>6200</v>
      </c>
      <c r="DI40" s="135">
        <v>4950</v>
      </c>
      <c r="DJ40" s="135">
        <v>1200</v>
      </c>
      <c r="DK40" s="135">
        <v>21150</v>
      </c>
      <c r="DL40" s="135">
        <v>14900</v>
      </c>
      <c r="DM40" s="135">
        <v>9400</v>
      </c>
      <c r="DN40" s="135">
        <v>7400</v>
      </c>
      <c r="DO40" s="135">
        <v>6150</v>
      </c>
      <c r="DP40" s="135">
        <v>4900</v>
      </c>
      <c r="DQ40" s="135">
        <v>1150</v>
      </c>
      <c r="DR40" s="135">
        <v>21100</v>
      </c>
      <c r="DS40" s="135">
        <v>17350</v>
      </c>
      <c r="DT40" s="135">
        <v>14050</v>
      </c>
      <c r="DU40" s="135">
        <v>12850</v>
      </c>
      <c r="DV40" s="135">
        <v>12100</v>
      </c>
      <c r="DW40" s="135">
        <v>11350</v>
      </c>
      <c r="DX40" s="135">
        <v>9100</v>
      </c>
      <c r="DY40" s="135">
        <v>21050</v>
      </c>
      <c r="DZ40" s="135">
        <v>14800</v>
      </c>
      <c r="EA40" s="135">
        <v>9300</v>
      </c>
      <c r="EB40" s="135">
        <v>7300</v>
      </c>
      <c r="EC40" s="135">
        <v>6050</v>
      </c>
      <c r="ED40" s="135">
        <v>4800</v>
      </c>
      <c r="EE40" s="135">
        <v>1050</v>
      </c>
      <c r="EF40" s="135">
        <v>21000</v>
      </c>
      <c r="EG40" s="135">
        <v>17250</v>
      </c>
      <c r="EH40" s="135">
        <v>13950</v>
      </c>
      <c r="EI40" s="135">
        <v>12750</v>
      </c>
      <c r="EJ40" s="135">
        <v>12000</v>
      </c>
      <c r="EK40" s="135">
        <v>11250</v>
      </c>
      <c r="EL40" s="135">
        <v>9000</v>
      </c>
      <c r="EM40" s="135">
        <v>20950</v>
      </c>
      <c r="EN40" s="135">
        <v>10950</v>
      </c>
      <c r="EO40" s="135">
        <v>2150</v>
      </c>
      <c r="EP40" s="135">
        <v>0</v>
      </c>
      <c r="EQ40" s="135">
        <v>0</v>
      </c>
      <c r="ER40" s="135">
        <v>0</v>
      </c>
      <c r="ES40" s="135">
        <v>0</v>
      </c>
      <c r="ET40" s="135">
        <v>20900</v>
      </c>
      <c r="EU40" s="135">
        <v>17150</v>
      </c>
      <c r="EV40" s="135">
        <v>13850</v>
      </c>
      <c r="EW40" s="135">
        <v>12650</v>
      </c>
      <c r="EX40" s="135">
        <v>11900</v>
      </c>
      <c r="EY40" s="135">
        <v>11150</v>
      </c>
      <c r="EZ40" s="135">
        <v>8900</v>
      </c>
      <c r="FA40" s="135">
        <v>20850</v>
      </c>
      <c r="FB40" s="135">
        <v>14600</v>
      </c>
      <c r="FC40" s="135">
        <v>9100</v>
      </c>
      <c r="FD40" s="135">
        <v>7100</v>
      </c>
      <c r="FE40" s="135">
        <v>5850</v>
      </c>
      <c r="FF40" s="135">
        <v>4600</v>
      </c>
      <c r="FG40" s="135">
        <v>850</v>
      </c>
      <c r="FH40" s="135">
        <v>20800</v>
      </c>
      <c r="FI40" s="135">
        <v>14550</v>
      </c>
      <c r="FJ40" s="135">
        <v>9050</v>
      </c>
      <c r="FK40" s="135">
        <v>7050</v>
      </c>
      <c r="FL40" s="135">
        <v>5800</v>
      </c>
      <c r="FM40" s="135">
        <v>4550</v>
      </c>
      <c r="FN40" s="135">
        <v>800</v>
      </c>
      <c r="FO40" s="135">
        <v>20750</v>
      </c>
      <c r="FP40" s="135">
        <v>14500</v>
      </c>
      <c r="FQ40" s="135">
        <v>9000</v>
      </c>
      <c r="FR40" s="135">
        <v>7000</v>
      </c>
      <c r="FS40" s="135">
        <v>5750</v>
      </c>
      <c r="FT40" s="135">
        <v>4500</v>
      </c>
      <c r="FU40" s="135">
        <v>750</v>
      </c>
      <c r="FV40" s="135">
        <v>20500</v>
      </c>
      <c r="FW40" s="135">
        <v>16750</v>
      </c>
      <c r="FX40" s="135">
        <v>13450</v>
      </c>
      <c r="FY40" s="135">
        <v>12250</v>
      </c>
      <c r="FZ40" s="135">
        <v>11500</v>
      </c>
      <c r="GA40" s="135">
        <v>10750</v>
      </c>
      <c r="GB40" s="135">
        <v>8500</v>
      </c>
      <c r="GC40" s="135">
        <v>20150</v>
      </c>
      <c r="GD40" s="135">
        <v>20150</v>
      </c>
      <c r="GE40" s="135">
        <v>20150</v>
      </c>
      <c r="GF40" s="135">
        <v>20150</v>
      </c>
      <c r="GG40" s="135">
        <v>20150</v>
      </c>
      <c r="GH40" s="135">
        <v>20150</v>
      </c>
      <c r="GI40" s="135">
        <v>20150</v>
      </c>
      <c r="GJ40" s="135">
        <v>20150</v>
      </c>
      <c r="GK40" s="135">
        <v>20150</v>
      </c>
      <c r="GL40" s="135">
        <v>20150</v>
      </c>
      <c r="GM40" s="135">
        <v>20150</v>
      </c>
      <c r="GN40" s="135">
        <v>20150</v>
      </c>
      <c r="GO40" s="135">
        <v>20150</v>
      </c>
      <c r="GP40" s="135">
        <v>20150</v>
      </c>
      <c r="GQ40" s="135">
        <v>20150</v>
      </c>
      <c r="GR40" s="135">
        <v>16400</v>
      </c>
      <c r="GS40" s="135">
        <v>13100</v>
      </c>
      <c r="GT40" s="135">
        <v>11900</v>
      </c>
      <c r="GU40" s="135">
        <v>11150</v>
      </c>
      <c r="GV40" s="135">
        <v>10400</v>
      </c>
      <c r="GW40" s="135">
        <v>8150</v>
      </c>
      <c r="GX40" s="135">
        <v>20100</v>
      </c>
      <c r="GY40" s="135">
        <v>16350</v>
      </c>
      <c r="GZ40" s="135">
        <v>13050</v>
      </c>
      <c r="HA40" s="135">
        <v>11850</v>
      </c>
      <c r="HB40" s="135">
        <v>11100</v>
      </c>
      <c r="HC40" s="135">
        <v>10350</v>
      </c>
      <c r="HD40" s="135">
        <v>8100</v>
      </c>
      <c r="HE40" s="135">
        <v>20050</v>
      </c>
      <c r="HF40" s="135">
        <v>12050</v>
      </c>
      <c r="HG40" s="135">
        <v>5010</v>
      </c>
      <c r="HH40" s="135">
        <v>2450</v>
      </c>
      <c r="HI40" s="135">
        <v>850</v>
      </c>
      <c r="HJ40" s="135">
        <v>0</v>
      </c>
      <c r="HK40" s="135">
        <v>0</v>
      </c>
      <c r="HL40" s="135">
        <v>20000</v>
      </c>
      <c r="HM40" s="135">
        <v>16250</v>
      </c>
      <c r="HN40" s="135">
        <v>12950</v>
      </c>
      <c r="HO40" s="135">
        <v>11750</v>
      </c>
      <c r="HP40" s="135">
        <v>11000</v>
      </c>
      <c r="HQ40" s="135">
        <v>10250</v>
      </c>
      <c r="HR40" s="135">
        <v>8000</v>
      </c>
      <c r="HS40" s="135">
        <v>20000</v>
      </c>
      <c r="HT40" s="135">
        <v>10000</v>
      </c>
      <c r="HU40" s="135">
        <v>1200</v>
      </c>
      <c r="HV40" s="135">
        <v>0</v>
      </c>
      <c r="HW40" s="135">
        <v>0</v>
      </c>
      <c r="HX40" s="135">
        <v>0</v>
      </c>
      <c r="HY40" s="135">
        <v>0</v>
      </c>
      <c r="HZ40" s="135">
        <v>20000</v>
      </c>
      <c r="IA40" s="135">
        <v>13750</v>
      </c>
      <c r="IB40" s="135">
        <v>8250</v>
      </c>
      <c r="IC40" s="135">
        <v>6250</v>
      </c>
      <c r="ID40" s="135">
        <v>5000</v>
      </c>
      <c r="IE40" s="135">
        <v>3750</v>
      </c>
      <c r="IF40" s="135">
        <v>0</v>
      </c>
      <c r="IG40" s="135">
        <v>20000</v>
      </c>
      <c r="IH40" s="135">
        <v>13750</v>
      </c>
      <c r="II40" s="135">
        <v>8250</v>
      </c>
      <c r="IJ40" s="135">
        <v>6250</v>
      </c>
      <c r="IK40" s="135">
        <v>5000</v>
      </c>
      <c r="IL40" s="135">
        <v>3750</v>
      </c>
      <c r="IM40" s="135">
        <v>0</v>
      </c>
      <c r="IN40" s="135">
        <v>20000</v>
      </c>
      <c r="IO40" s="135">
        <v>13750</v>
      </c>
      <c r="IP40" s="135">
        <v>8250</v>
      </c>
      <c r="IQ40" s="135">
        <v>6250</v>
      </c>
      <c r="IR40" s="135">
        <v>5000</v>
      </c>
      <c r="IS40" s="135">
        <v>3750</v>
      </c>
      <c r="IT40" s="135">
        <v>0</v>
      </c>
      <c r="IU40" s="135">
        <v>20000</v>
      </c>
      <c r="IV40" s="135">
        <v>12000</v>
      </c>
      <c r="IW40" s="135">
        <v>4960</v>
      </c>
      <c r="IX40" s="135">
        <v>2400</v>
      </c>
      <c r="IY40" s="135">
        <v>800</v>
      </c>
      <c r="IZ40" s="135">
        <v>0</v>
      </c>
      <c r="JA40" s="135">
        <v>0</v>
      </c>
      <c r="JB40" s="135">
        <v>20000</v>
      </c>
      <c r="JC40" s="135">
        <v>16250</v>
      </c>
      <c r="JD40" s="135">
        <v>12950</v>
      </c>
      <c r="JE40" s="135">
        <v>11750</v>
      </c>
      <c r="JF40" s="135">
        <v>11000</v>
      </c>
      <c r="JG40" s="135">
        <v>10250</v>
      </c>
      <c r="JH40" s="135">
        <v>8000</v>
      </c>
      <c r="JI40" s="135">
        <v>20000</v>
      </c>
      <c r="JJ40" s="135">
        <v>13750</v>
      </c>
      <c r="JK40" s="135">
        <v>8250</v>
      </c>
      <c r="JL40" s="135">
        <v>6250</v>
      </c>
      <c r="JM40" s="135">
        <v>5000</v>
      </c>
      <c r="JN40" s="135">
        <v>3750</v>
      </c>
      <c r="JO40" s="135">
        <v>0</v>
      </c>
      <c r="JP40" s="135">
        <v>20000</v>
      </c>
      <c r="JQ40" s="135">
        <v>13750</v>
      </c>
      <c r="JR40" s="135">
        <v>8250</v>
      </c>
      <c r="JS40" s="135">
        <v>6250</v>
      </c>
      <c r="JT40" s="135">
        <v>5000</v>
      </c>
      <c r="JU40" s="135">
        <v>3750</v>
      </c>
      <c r="JV40" s="135">
        <v>0</v>
      </c>
      <c r="JW40" s="135">
        <v>20000</v>
      </c>
      <c r="JX40" s="135">
        <v>12000</v>
      </c>
      <c r="JY40" s="135">
        <v>4960</v>
      </c>
      <c r="JZ40" s="135">
        <v>2400</v>
      </c>
      <c r="KA40" s="135">
        <v>800</v>
      </c>
      <c r="KB40" s="135">
        <v>0</v>
      </c>
      <c r="KC40" s="135">
        <v>0</v>
      </c>
      <c r="KD40" s="135">
        <v>20000</v>
      </c>
      <c r="KE40" s="135">
        <v>16250</v>
      </c>
      <c r="KF40" s="135">
        <v>12950</v>
      </c>
      <c r="KG40" s="135">
        <v>11750</v>
      </c>
      <c r="KH40" s="135">
        <v>11000</v>
      </c>
      <c r="KI40" s="135">
        <v>10250</v>
      </c>
      <c r="KJ40" s="135">
        <v>8000</v>
      </c>
      <c r="KK40" s="135">
        <v>20000</v>
      </c>
      <c r="KL40" s="135">
        <v>13750</v>
      </c>
      <c r="KM40" s="135">
        <v>8250</v>
      </c>
      <c r="KN40" s="135">
        <v>6250</v>
      </c>
      <c r="KO40" s="135">
        <v>5000</v>
      </c>
      <c r="KP40" s="135">
        <v>3750</v>
      </c>
      <c r="KQ40" s="135">
        <v>0</v>
      </c>
      <c r="KR40" s="135">
        <v>20000</v>
      </c>
      <c r="KS40" s="135">
        <v>13750</v>
      </c>
      <c r="KT40" s="135">
        <v>8250</v>
      </c>
      <c r="KU40" s="135">
        <v>6250</v>
      </c>
      <c r="KV40" s="135">
        <v>5000</v>
      </c>
      <c r="KW40" s="135">
        <v>3750</v>
      </c>
      <c r="KX40" s="135">
        <v>0</v>
      </c>
      <c r="KY40" s="135">
        <v>20000</v>
      </c>
      <c r="KZ40" s="135">
        <v>16250</v>
      </c>
      <c r="LA40" s="135">
        <v>12950</v>
      </c>
      <c r="LB40" s="135">
        <v>11750</v>
      </c>
      <c r="LC40" s="135">
        <v>11000</v>
      </c>
      <c r="LD40" s="135">
        <v>10250</v>
      </c>
      <c r="LE40" s="135">
        <v>8000</v>
      </c>
      <c r="LF40" s="135">
        <v>20000</v>
      </c>
      <c r="LG40" s="135">
        <v>16250</v>
      </c>
      <c r="LH40" s="135">
        <v>12950</v>
      </c>
      <c r="LI40" s="135">
        <v>11750</v>
      </c>
      <c r="LJ40" s="135">
        <v>11000</v>
      </c>
      <c r="LK40" s="135">
        <v>10250</v>
      </c>
      <c r="LL40" s="135">
        <v>8000</v>
      </c>
      <c r="LM40" s="135">
        <v>20000</v>
      </c>
      <c r="LN40" s="135">
        <v>16250</v>
      </c>
      <c r="LO40" s="135">
        <v>12950</v>
      </c>
      <c r="LP40" s="135">
        <v>11750</v>
      </c>
      <c r="LQ40" s="135">
        <v>11000</v>
      </c>
      <c r="LR40" s="135">
        <v>10250</v>
      </c>
      <c r="LS40" s="135">
        <v>8000</v>
      </c>
      <c r="LT40" s="135">
        <v>20000</v>
      </c>
      <c r="LU40" s="135">
        <v>12000</v>
      </c>
      <c r="LV40" s="135">
        <v>4960</v>
      </c>
      <c r="LW40" s="135">
        <v>2400</v>
      </c>
      <c r="LX40" s="135">
        <v>800</v>
      </c>
      <c r="LY40" s="135">
        <v>0</v>
      </c>
      <c r="LZ40" s="135">
        <v>0</v>
      </c>
      <c r="MA40" s="135">
        <v>20000</v>
      </c>
      <c r="MB40" s="135">
        <v>10000</v>
      </c>
      <c r="MC40" s="135">
        <v>1200</v>
      </c>
      <c r="MD40" s="135">
        <v>0</v>
      </c>
      <c r="ME40" s="135">
        <v>0</v>
      </c>
      <c r="MF40" s="135">
        <v>0</v>
      </c>
      <c r="MG40" s="135">
        <v>0</v>
      </c>
      <c r="MH40" s="135">
        <v>20000</v>
      </c>
      <c r="MI40" s="135">
        <v>20000</v>
      </c>
      <c r="MJ40" s="135">
        <v>20000</v>
      </c>
      <c r="MK40" s="135">
        <v>20000</v>
      </c>
      <c r="ML40" s="135">
        <v>20000</v>
      </c>
      <c r="MM40" s="135">
        <v>20000</v>
      </c>
      <c r="MN40" s="135">
        <v>20000</v>
      </c>
      <c r="MO40" s="135">
        <v>20000</v>
      </c>
      <c r="MP40" s="135">
        <v>7500</v>
      </c>
      <c r="MQ40" s="135">
        <v>0</v>
      </c>
      <c r="MR40" s="135">
        <v>0</v>
      </c>
      <c r="MS40" s="135">
        <v>0</v>
      </c>
      <c r="MT40" s="135">
        <v>0</v>
      </c>
      <c r="MU40" s="135">
        <v>0</v>
      </c>
      <c r="MV40" s="135">
        <v>0</v>
      </c>
    </row>
    <row r="41" spans="5:360">
      <c r="E41" s="131" t="s">
        <v>124</v>
      </c>
      <c r="F41" s="131"/>
      <c r="G41" s="131" t="s">
        <v>115</v>
      </c>
      <c r="H41" s="131"/>
      <c r="I41" s="131"/>
      <c r="J41" s="131" cm="1">
        <f t="array" ref="J41:MV41">_xlfn.BYCOL( J39:MV40, _xleta.MIN )</f>
        <v>0</v>
      </c>
      <c r="K41" s="131">
        <v>0</v>
      </c>
      <c r="L41" s="131">
        <v>0</v>
      </c>
      <c r="M41" s="131">
        <v>0</v>
      </c>
      <c r="N41" s="131">
        <v>0</v>
      </c>
      <c r="O41" s="131">
        <v>0</v>
      </c>
      <c r="P41" s="131">
        <v>0</v>
      </c>
      <c r="Q41" s="131">
        <v>0</v>
      </c>
      <c r="R41" s="131">
        <v>0</v>
      </c>
      <c r="S41" s="131">
        <v>0</v>
      </c>
      <c r="T41" s="131">
        <v>0</v>
      </c>
      <c r="U41" s="131">
        <v>0</v>
      </c>
      <c r="V41" s="131">
        <v>0</v>
      </c>
      <c r="W41" s="131">
        <v>0</v>
      </c>
      <c r="X41" s="131">
        <v>0</v>
      </c>
      <c r="Y41" s="131">
        <v>0</v>
      </c>
      <c r="Z41" s="131">
        <v>0</v>
      </c>
      <c r="AA41" s="131">
        <v>0</v>
      </c>
      <c r="AB41" s="131">
        <v>0</v>
      </c>
      <c r="AC41" s="131">
        <v>0</v>
      </c>
      <c r="AD41" s="131">
        <v>0</v>
      </c>
      <c r="AE41" s="131">
        <v>0</v>
      </c>
      <c r="AF41" s="131">
        <v>0</v>
      </c>
      <c r="AG41" s="131">
        <v>0</v>
      </c>
      <c r="AH41" s="131">
        <v>0</v>
      </c>
      <c r="AI41" s="131">
        <v>0</v>
      </c>
      <c r="AJ41" s="131">
        <v>0</v>
      </c>
      <c r="AK41" s="131">
        <v>0</v>
      </c>
      <c r="AL41" s="131">
        <v>0</v>
      </c>
      <c r="AM41" s="131">
        <v>0</v>
      </c>
      <c r="AN41" s="131">
        <v>0</v>
      </c>
      <c r="AO41" s="131">
        <v>0</v>
      </c>
      <c r="AP41" s="131">
        <v>0</v>
      </c>
      <c r="AQ41" s="131">
        <v>0</v>
      </c>
      <c r="AR41" s="131">
        <v>0</v>
      </c>
      <c r="AS41" s="131">
        <v>0</v>
      </c>
      <c r="AT41" s="131">
        <v>0</v>
      </c>
      <c r="AU41" s="131">
        <v>0</v>
      </c>
      <c r="AV41" s="131">
        <v>0</v>
      </c>
      <c r="AW41" s="131">
        <v>0</v>
      </c>
      <c r="AX41" s="131">
        <v>0</v>
      </c>
      <c r="AY41" s="131">
        <v>0</v>
      </c>
      <c r="AZ41" s="131">
        <v>0</v>
      </c>
      <c r="BA41" s="131">
        <v>0</v>
      </c>
      <c r="BB41" s="131">
        <v>0</v>
      </c>
      <c r="BC41" s="131">
        <v>0</v>
      </c>
      <c r="BD41" s="131">
        <v>0</v>
      </c>
      <c r="BE41" s="131">
        <v>0</v>
      </c>
      <c r="BF41" s="131">
        <v>0</v>
      </c>
      <c r="BG41" s="131">
        <v>8000</v>
      </c>
      <c r="BH41" s="131">
        <v>7040</v>
      </c>
      <c r="BI41" s="131">
        <v>2560</v>
      </c>
      <c r="BJ41" s="131">
        <v>1600</v>
      </c>
      <c r="BK41" s="131">
        <v>1600</v>
      </c>
      <c r="BL41" s="131">
        <v>3550</v>
      </c>
      <c r="BM41" s="131">
        <v>0</v>
      </c>
      <c r="BN41" s="131">
        <v>6250</v>
      </c>
      <c r="BO41" s="131">
        <v>5500</v>
      </c>
      <c r="BP41" s="131">
        <v>2000</v>
      </c>
      <c r="BQ41" s="131">
        <v>1250</v>
      </c>
      <c r="BR41" s="131">
        <v>1250</v>
      </c>
      <c r="BS41" s="131">
        <v>3750</v>
      </c>
      <c r="BT41" s="131">
        <v>2950</v>
      </c>
      <c r="BU41" s="131">
        <v>3750</v>
      </c>
      <c r="BV41" s="131">
        <v>3300</v>
      </c>
      <c r="BW41" s="131">
        <v>1200</v>
      </c>
      <c r="BX41" s="131">
        <v>750</v>
      </c>
      <c r="BY41" s="131">
        <v>750</v>
      </c>
      <c r="BZ41" s="131">
        <v>2250</v>
      </c>
      <c r="CA41" s="131">
        <v>3000</v>
      </c>
      <c r="CB41" s="131">
        <v>8000</v>
      </c>
      <c r="CC41" s="131">
        <v>7040</v>
      </c>
      <c r="CD41" s="131">
        <v>2560</v>
      </c>
      <c r="CE41" s="131">
        <v>1600</v>
      </c>
      <c r="CF41" s="131">
        <v>1600</v>
      </c>
      <c r="CG41" s="131">
        <v>850</v>
      </c>
      <c r="CH41" s="131">
        <v>0</v>
      </c>
      <c r="CI41" s="131">
        <v>3750</v>
      </c>
      <c r="CJ41" s="131">
        <v>3300</v>
      </c>
      <c r="CK41" s="131">
        <v>1200</v>
      </c>
      <c r="CL41" s="131">
        <v>750</v>
      </c>
      <c r="CM41" s="131">
        <v>750</v>
      </c>
      <c r="CN41" s="131">
        <v>2250</v>
      </c>
      <c r="CO41" s="131">
        <v>3000</v>
      </c>
      <c r="CP41" s="131">
        <v>6250</v>
      </c>
      <c r="CQ41" s="131">
        <v>5500</v>
      </c>
      <c r="CR41" s="131">
        <v>2000</v>
      </c>
      <c r="CS41" s="131">
        <v>1250</v>
      </c>
      <c r="CT41" s="131">
        <v>1250</v>
      </c>
      <c r="CU41" s="131">
        <v>3750</v>
      </c>
      <c r="CV41" s="131">
        <v>1300</v>
      </c>
      <c r="CW41" s="131">
        <v>3750</v>
      </c>
      <c r="CX41" s="131">
        <v>3300</v>
      </c>
      <c r="CY41" s="131">
        <v>1200</v>
      </c>
      <c r="CZ41" s="131">
        <v>750</v>
      </c>
      <c r="DA41" s="131">
        <v>750</v>
      </c>
      <c r="DB41" s="131">
        <v>2250</v>
      </c>
      <c r="DC41" s="131">
        <v>3000</v>
      </c>
      <c r="DD41" s="131">
        <v>6250</v>
      </c>
      <c r="DE41" s="131">
        <v>5500</v>
      </c>
      <c r="DF41" s="131">
        <v>2000</v>
      </c>
      <c r="DG41" s="131">
        <v>1250</v>
      </c>
      <c r="DH41" s="131">
        <v>1250</v>
      </c>
      <c r="DI41" s="131">
        <v>3750</v>
      </c>
      <c r="DJ41" s="131">
        <v>1200</v>
      </c>
      <c r="DK41" s="131">
        <v>6250</v>
      </c>
      <c r="DL41" s="131">
        <v>5500</v>
      </c>
      <c r="DM41" s="131">
        <v>2000</v>
      </c>
      <c r="DN41" s="131">
        <v>1250</v>
      </c>
      <c r="DO41" s="131">
        <v>1250</v>
      </c>
      <c r="DP41" s="131">
        <v>3750</v>
      </c>
      <c r="DQ41" s="131">
        <v>1150</v>
      </c>
      <c r="DR41" s="131">
        <v>3750</v>
      </c>
      <c r="DS41" s="131">
        <v>3300</v>
      </c>
      <c r="DT41" s="131">
        <v>1200</v>
      </c>
      <c r="DU41" s="131">
        <v>750</v>
      </c>
      <c r="DV41" s="131">
        <v>750</v>
      </c>
      <c r="DW41" s="131">
        <v>2250</v>
      </c>
      <c r="DX41" s="131">
        <v>3000</v>
      </c>
      <c r="DY41" s="131">
        <v>6250</v>
      </c>
      <c r="DZ41" s="131">
        <v>5500</v>
      </c>
      <c r="EA41" s="131">
        <v>2000</v>
      </c>
      <c r="EB41" s="131">
        <v>1250</v>
      </c>
      <c r="EC41" s="131">
        <v>1250</v>
      </c>
      <c r="ED41" s="131">
        <v>3750</v>
      </c>
      <c r="EE41" s="131">
        <v>1050</v>
      </c>
      <c r="EF41" s="131">
        <v>3750</v>
      </c>
      <c r="EG41" s="131">
        <v>3300</v>
      </c>
      <c r="EH41" s="131">
        <v>1200</v>
      </c>
      <c r="EI41" s="131">
        <v>750</v>
      </c>
      <c r="EJ41" s="131">
        <v>750</v>
      </c>
      <c r="EK41" s="131">
        <v>2250</v>
      </c>
      <c r="EL41" s="131">
        <v>3000</v>
      </c>
      <c r="EM41" s="131">
        <v>10000</v>
      </c>
      <c r="EN41" s="131">
        <v>8800</v>
      </c>
      <c r="EO41" s="131">
        <v>2150</v>
      </c>
      <c r="EP41" s="131">
        <v>0</v>
      </c>
      <c r="EQ41" s="131">
        <v>0</v>
      </c>
      <c r="ER41" s="131">
        <v>0</v>
      </c>
      <c r="ES41" s="131">
        <v>0</v>
      </c>
      <c r="ET41" s="131">
        <v>3750</v>
      </c>
      <c r="EU41" s="131">
        <v>3300</v>
      </c>
      <c r="EV41" s="131">
        <v>1200</v>
      </c>
      <c r="EW41" s="131">
        <v>750</v>
      </c>
      <c r="EX41" s="131">
        <v>750</v>
      </c>
      <c r="EY41" s="131">
        <v>2250</v>
      </c>
      <c r="EZ41" s="131">
        <v>3000</v>
      </c>
      <c r="FA41" s="131">
        <v>6250</v>
      </c>
      <c r="FB41" s="131">
        <v>5500</v>
      </c>
      <c r="FC41" s="131">
        <v>2000</v>
      </c>
      <c r="FD41" s="131">
        <v>1250</v>
      </c>
      <c r="FE41" s="131">
        <v>1250</v>
      </c>
      <c r="FF41" s="131">
        <v>3750</v>
      </c>
      <c r="FG41" s="131">
        <v>850</v>
      </c>
      <c r="FH41" s="131">
        <v>6250</v>
      </c>
      <c r="FI41" s="131">
        <v>5500</v>
      </c>
      <c r="FJ41" s="131">
        <v>2000</v>
      </c>
      <c r="FK41" s="131">
        <v>1250</v>
      </c>
      <c r="FL41" s="131">
        <v>1250</v>
      </c>
      <c r="FM41" s="131">
        <v>3750</v>
      </c>
      <c r="FN41" s="131">
        <v>800</v>
      </c>
      <c r="FO41" s="131">
        <v>6250</v>
      </c>
      <c r="FP41" s="131">
        <v>5500</v>
      </c>
      <c r="FQ41" s="131">
        <v>2000</v>
      </c>
      <c r="FR41" s="131">
        <v>1250</v>
      </c>
      <c r="FS41" s="131">
        <v>1250</v>
      </c>
      <c r="FT41" s="131">
        <v>3750</v>
      </c>
      <c r="FU41" s="131">
        <v>750</v>
      </c>
      <c r="FV41" s="131">
        <v>3750</v>
      </c>
      <c r="FW41" s="131">
        <v>3300</v>
      </c>
      <c r="FX41" s="131">
        <v>1200</v>
      </c>
      <c r="FY41" s="131">
        <v>750</v>
      </c>
      <c r="FZ41" s="131">
        <v>750</v>
      </c>
      <c r="GA41" s="131">
        <v>2250</v>
      </c>
      <c r="GB41" s="131">
        <v>3000</v>
      </c>
      <c r="GC41" s="131">
        <v>0</v>
      </c>
      <c r="GD41" s="131">
        <v>0</v>
      </c>
      <c r="GE41" s="131">
        <v>0</v>
      </c>
      <c r="GF41" s="131">
        <v>0</v>
      </c>
      <c r="GG41" s="131">
        <v>0</v>
      </c>
      <c r="GH41" s="131">
        <v>0</v>
      </c>
      <c r="GI41" s="131">
        <v>0</v>
      </c>
      <c r="GJ41" s="131">
        <v>0</v>
      </c>
      <c r="GK41" s="131">
        <v>0</v>
      </c>
      <c r="GL41" s="131">
        <v>0</v>
      </c>
      <c r="GM41" s="131">
        <v>0</v>
      </c>
      <c r="GN41" s="131">
        <v>0</v>
      </c>
      <c r="GO41" s="131">
        <v>0</v>
      </c>
      <c r="GP41" s="131">
        <v>0</v>
      </c>
      <c r="GQ41" s="131">
        <v>3750</v>
      </c>
      <c r="GR41" s="131">
        <v>3300</v>
      </c>
      <c r="GS41" s="131">
        <v>1200</v>
      </c>
      <c r="GT41" s="131">
        <v>750</v>
      </c>
      <c r="GU41" s="131">
        <v>750</v>
      </c>
      <c r="GV41" s="131">
        <v>2250</v>
      </c>
      <c r="GW41" s="131">
        <v>3000</v>
      </c>
      <c r="GX41" s="131">
        <v>3750</v>
      </c>
      <c r="GY41" s="131">
        <v>3300</v>
      </c>
      <c r="GZ41" s="131">
        <v>1200</v>
      </c>
      <c r="HA41" s="131">
        <v>750</v>
      </c>
      <c r="HB41" s="131">
        <v>750</v>
      </c>
      <c r="HC41" s="131">
        <v>2250</v>
      </c>
      <c r="HD41" s="131">
        <v>3000</v>
      </c>
      <c r="HE41" s="131">
        <v>8000</v>
      </c>
      <c r="HF41" s="131">
        <v>7040</v>
      </c>
      <c r="HG41" s="131">
        <v>2560</v>
      </c>
      <c r="HH41" s="131">
        <v>1600</v>
      </c>
      <c r="HI41" s="131">
        <v>850</v>
      </c>
      <c r="HJ41" s="131">
        <v>0</v>
      </c>
      <c r="HK41" s="131">
        <v>0</v>
      </c>
      <c r="HL41" s="131">
        <v>3750</v>
      </c>
      <c r="HM41" s="131">
        <v>3300</v>
      </c>
      <c r="HN41" s="131">
        <v>1200</v>
      </c>
      <c r="HO41" s="131">
        <v>750</v>
      </c>
      <c r="HP41" s="131">
        <v>750</v>
      </c>
      <c r="HQ41" s="131">
        <v>2250</v>
      </c>
      <c r="HR41" s="131">
        <v>3000</v>
      </c>
      <c r="HS41" s="131">
        <v>10000</v>
      </c>
      <c r="HT41" s="131">
        <v>8800</v>
      </c>
      <c r="HU41" s="131">
        <v>1200</v>
      </c>
      <c r="HV41" s="131">
        <v>0</v>
      </c>
      <c r="HW41" s="131">
        <v>0</v>
      </c>
      <c r="HX41" s="131">
        <v>0</v>
      </c>
      <c r="HY41" s="131">
        <v>0</v>
      </c>
      <c r="HZ41" s="131">
        <v>6250</v>
      </c>
      <c r="IA41" s="131">
        <v>5500</v>
      </c>
      <c r="IB41" s="131">
        <v>2000</v>
      </c>
      <c r="IC41" s="131">
        <v>1250</v>
      </c>
      <c r="ID41" s="131">
        <v>1250</v>
      </c>
      <c r="IE41" s="131">
        <v>3750</v>
      </c>
      <c r="IF41" s="131">
        <v>0</v>
      </c>
      <c r="IG41" s="131">
        <v>6250</v>
      </c>
      <c r="IH41" s="131">
        <v>5500</v>
      </c>
      <c r="II41" s="131">
        <v>2000</v>
      </c>
      <c r="IJ41" s="131">
        <v>1250</v>
      </c>
      <c r="IK41" s="131">
        <v>1250</v>
      </c>
      <c r="IL41" s="131">
        <v>3750</v>
      </c>
      <c r="IM41" s="131">
        <v>0</v>
      </c>
      <c r="IN41" s="131">
        <v>6250</v>
      </c>
      <c r="IO41" s="131">
        <v>5500</v>
      </c>
      <c r="IP41" s="131">
        <v>2000</v>
      </c>
      <c r="IQ41" s="131">
        <v>1250</v>
      </c>
      <c r="IR41" s="131">
        <v>1250</v>
      </c>
      <c r="IS41" s="131">
        <v>3750</v>
      </c>
      <c r="IT41" s="131">
        <v>0</v>
      </c>
      <c r="IU41" s="131">
        <v>8000</v>
      </c>
      <c r="IV41" s="131">
        <v>7040</v>
      </c>
      <c r="IW41" s="131">
        <v>2560</v>
      </c>
      <c r="IX41" s="131">
        <v>1600</v>
      </c>
      <c r="IY41" s="131">
        <v>800</v>
      </c>
      <c r="IZ41" s="131">
        <v>0</v>
      </c>
      <c r="JA41" s="131">
        <v>0</v>
      </c>
      <c r="JB41" s="131">
        <v>3750</v>
      </c>
      <c r="JC41" s="131">
        <v>3300</v>
      </c>
      <c r="JD41" s="131">
        <v>1200</v>
      </c>
      <c r="JE41" s="131">
        <v>750</v>
      </c>
      <c r="JF41" s="131">
        <v>750</v>
      </c>
      <c r="JG41" s="131">
        <v>2250</v>
      </c>
      <c r="JH41" s="131">
        <v>3000</v>
      </c>
      <c r="JI41" s="131">
        <v>6250</v>
      </c>
      <c r="JJ41" s="131">
        <v>5500</v>
      </c>
      <c r="JK41" s="131">
        <v>2000</v>
      </c>
      <c r="JL41" s="131">
        <v>1250</v>
      </c>
      <c r="JM41" s="131">
        <v>1250</v>
      </c>
      <c r="JN41" s="131">
        <v>3750</v>
      </c>
      <c r="JO41" s="131">
        <v>0</v>
      </c>
      <c r="JP41" s="131">
        <v>6250</v>
      </c>
      <c r="JQ41" s="131">
        <v>5500</v>
      </c>
      <c r="JR41" s="131">
        <v>2000</v>
      </c>
      <c r="JS41" s="131">
        <v>1250</v>
      </c>
      <c r="JT41" s="131">
        <v>1250</v>
      </c>
      <c r="JU41" s="131">
        <v>3750</v>
      </c>
      <c r="JV41" s="131">
        <v>0</v>
      </c>
      <c r="JW41" s="131">
        <v>8000</v>
      </c>
      <c r="JX41" s="131">
        <v>7040</v>
      </c>
      <c r="JY41" s="131">
        <v>2560</v>
      </c>
      <c r="JZ41" s="131">
        <v>1600</v>
      </c>
      <c r="KA41" s="131">
        <v>800</v>
      </c>
      <c r="KB41" s="131">
        <v>0</v>
      </c>
      <c r="KC41" s="131">
        <v>0</v>
      </c>
      <c r="KD41" s="131">
        <v>3750</v>
      </c>
      <c r="KE41" s="131">
        <v>3300</v>
      </c>
      <c r="KF41" s="131">
        <v>1200</v>
      </c>
      <c r="KG41" s="131">
        <v>750</v>
      </c>
      <c r="KH41" s="131">
        <v>750</v>
      </c>
      <c r="KI41" s="131">
        <v>2250</v>
      </c>
      <c r="KJ41" s="131">
        <v>3000</v>
      </c>
      <c r="KK41" s="131">
        <v>6250</v>
      </c>
      <c r="KL41" s="131">
        <v>5500</v>
      </c>
      <c r="KM41" s="131">
        <v>2000</v>
      </c>
      <c r="KN41" s="131">
        <v>1250</v>
      </c>
      <c r="KO41" s="131">
        <v>1250</v>
      </c>
      <c r="KP41" s="131">
        <v>3750</v>
      </c>
      <c r="KQ41" s="131">
        <v>0</v>
      </c>
      <c r="KR41" s="131">
        <v>6250</v>
      </c>
      <c r="KS41" s="131">
        <v>5500</v>
      </c>
      <c r="KT41" s="131">
        <v>2000</v>
      </c>
      <c r="KU41" s="131">
        <v>1250</v>
      </c>
      <c r="KV41" s="131">
        <v>1250</v>
      </c>
      <c r="KW41" s="131">
        <v>3750</v>
      </c>
      <c r="KX41" s="131">
        <v>0</v>
      </c>
      <c r="KY41" s="131">
        <v>3750</v>
      </c>
      <c r="KZ41" s="131">
        <v>3300</v>
      </c>
      <c r="LA41" s="131">
        <v>1200</v>
      </c>
      <c r="LB41" s="131">
        <v>750</v>
      </c>
      <c r="LC41" s="131">
        <v>750</v>
      </c>
      <c r="LD41" s="131">
        <v>2250</v>
      </c>
      <c r="LE41" s="131">
        <v>3000</v>
      </c>
      <c r="LF41" s="131">
        <v>3750</v>
      </c>
      <c r="LG41" s="131">
        <v>3300</v>
      </c>
      <c r="LH41" s="131">
        <v>1200</v>
      </c>
      <c r="LI41" s="131">
        <v>750</v>
      </c>
      <c r="LJ41" s="131">
        <v>750</v>
      </c>
      <c r="LK41" s="131">
        <v>2250</v>
      </c>
      <c r="LL41" s="131">
        <v>3000</v>
      </c>
      <c r="LM41" s="131">
        <v>3750</v>
      </c>
      <c r="LN41" s="131">
        <v>3300</v>
      </c>
      <c r="LO41" s="131">
        <v>1200</v>
      </c>
      <c r="LP41" s="131">
        <v>750</v>
      </c>
      <c r="LQ41" s="131">
        <v>750</v>
      </c>
      <c r="LR41" s="131">
        <v>2250</v>
      </c>
      <c r="LS41" s="131">
        <v>3000</v>
      </c>
      <c r="LT41" s="131">
        <v>8000</v>
      </c>
      <c r="LU41" s="131">
        <v>7040</v>
      </c>
      <c r="LV41" s="131">
        <v>2560</v>
      </c>
      <c r="LW41" s="131">
        <v>1600</v>
      </c>
      <c r="LX41" s="131">
        <v>800</v>
      </c>
      <c r="LY41" s="131">
        <v>0</v>
      </c>
      <c r="LZ41" s="131">
        <v>0</v>
      </c>
      <c r="MA41" s="131">
        <v>10000</v>
      </c>
      <c r="MB41" s="131">
        <v>8800</v>
      </c>
      <c r="MC41" s="131">
        <v>1200</v>
      </c>
      <c r="MD41" s="131">
        <v>0</v>
      </c>
      <c r="ME41" s="131">
        <v>0</v>
      </c>
      <c r="MF41" s="131">
        <v>0</v>
      </c>
      <c r="MG41" s="131">
        <v>0</v>
      </c>
      <c r="MH41" s="131">
        <v>0</v>
      </c>
      <c r="MI41" s="131">
        <v>0</v>
      </c>
      <c r="MJ41" s="131">
        <v>0</v>
      </c>
      <c r="MK41" s="131">
        <v>0</v>
      </c>
      <c r="ML41" s="131">
        <v>0</v>
      </c>
      <c r="MM41" s="131">
        <v>0</v>
      </c>
      <c r="MN41" s="131">
        <v>0</v>
      </c>
      <c r="MO41" s="131">
        <v>12500</v>
      </c>
      <c r="MP41" s="131">
        <v>7500</v>
      </c>
      <c r="MQ41" s="131">
        <v>0</v>
      </c>
      <c r="MR41" s="131">
        <v>0</v>
      </c>
      <c r="MS41" s="131">
        <v>0</v>
      </c>
      <c r="MT41" s="131">
        <v>0</v>
      </c>
      <c r="MU41" s="131">
        <v>0</v>
      </c>
      <c r="MV41" s="131">
        <v>0</v>
      </c>
    </row>
    <row r="43" spans="5:360">
      <c r="E43" s="4" t="s">
        <v>132</v>
      </c>
      <c r="G43" s="4" t="s">
        <v>111</v>
      </c>
      <c r="H43" s="4" cm="1">
        <f t="array" ref="H43">_xlfn.BYROW(_xlfn.ANCHORARRAY( J43), _xleta.SUM )</f>
        <v>30611500</v>
      </c>
      <c r="J43" s="4" cm="1">
        <f t="array" ref="J43:MV43" xml:space="preserve"> _xlfn.LET(
      _xlpm.price,   _xlfn.XLOOKUP(_xlfn.ANCHORARRAY( J34), tbl_ImpLU[Importance], tbl_ImpLU[Ticket price ($)], 0 ),
      _xlpm.volume,_xlfn.ANCHORARRAY(  J41),
      _xlpm.price * _xlpm.volume )</f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400000</v>
      </c>
      <c r="BH43" s="4">
        <v>352000</v>
      </c>
      <c r="BI43" s="4">
        <v>128000</v>
      </c>
      <c r="BJ43" s="4">
        <v>80000</v>
      </c>
      <c r="BK43" s="4">
        <v>80000</v>
      </c>
      <c r="BL43" s="4">
        <v>177500</v>
      </c>
      <c r="BM43" s="4">
        <v>0</v>
      </c>
      <c r="BN43" s="4">
        <v>250000</v>
      </c>
      <c r="BO43" s="4">
        <v>220000</v>
      </c>
      <c r="BP43" s="4">
        <v>80000</v>
      </c>
      <c r="BQ43" s="4">
        <v>50000</v>
      </c>
      <c r="BR43" s="4">
        <v>50000</v>
      </c>
      <c r="BS43" s="4">
        <v>150000</v>
      </c>
      <c r="BT43" s="4">
        <v>118000</v>
      </c>
      <c r="BU43" s="4">
        <v>112500</v>
      </c>
      <c r="BV43" s="4">
        <v>99000</v>
      </c>
      <c r="BW43" s="4">
        <v>36000</v>
      </c>
      <c r="BX43" s="4">
        <v>22500</v>
      </c>
      <c r="BY43" s="4">
        <v>22500</v>
      </c>
      <c r="BZ43" s="4">
        <v>67500</v>
      </c>
      <c r="CA43" s="4">
        <v>90000</v>
      </c>
      <c r="CB43" s="4">
        <v>400000</v>
      </c>
      <c r="CC43" s="4">
        <v>352000</v>
      </c>
      <c r="CD43" s="4">
        <v>128000</v>
      </c>
      <c r="CE43" s="4">
        <v>80000</v>
      </c>
      <c r="CF43" s="4">
        <v>80000</v>
      </c>
      <c r="CG43" s="4">
        <v>42500</v>
      </c>
      <c r="CH43" s="4">
        <v>0</v>
      </c>
      <c r="CI43" s="4">
        <v>112500</v>
      </c>
      <c r="CJ43" s="4">
        <v>99000</v>
      </c>
      <c r="CK43" s="4">
        <v>36000</v>
      </c>
      <c r="CL43" s="4">
        <v>22500</v>
      </c>
      <c r="CM43" s="4">
        <v>22500</v>
      </c>
      <c r="CN43" s="4">
        <v>67500</v>
      </c>
      <c r="CO43" s="4">
        <v>90000</v>
      </c>
      <c r="CP43" s="4">
        <v>250000</v>
      </c>
      <c r="CQ43" s="4">
        <v>220000</v>
      </c>
      <c r="CR43" s="4">
        <v>80000</v>
      </c>
      <c r="CS43" s="4">
        <v>50000</v>
      </c>
      <c r="CT43" s="4">
        <v>50000</v>
      </c>
      <c r="CU43" s="4">
        <v>150000</v>
      </c>
      <c r="CV43" s="4">
        <v>52000</v>
      </c>
      <c r="CW43" s="4">
        <v>112500</v>
      </c>
      <c r="CX43" s="4">
        <v>99000</v>
      </c>
      <c r="CY43" s="4">
        <v>36000</v>
      </c>
      <c r="CZ43" s="4">
        <v>22500</v>
      </c>
      <c r="DA43" s="4">
        <v>22500</v>
      </c>
      <c r="DB43" s="4">
        <v>67500</v>
      </c>
      <c r="DC43" s="4">
        <v>90000</v>
      </c>
      <c r="DD43" s="4">
        <v>250000</v>
      </c>
      <c r="DE43" s="4">
        <v>220000</v>
      </c>
      <c r="DF43" s="4">
        <v>80000</v>
      </c>
      <c r="DG43" s="4">
        <v>50000</v>
      </c>
      <c r="DH43" s="4">
        <v>50000</v>
      </c>
      <c r="DI43" s="4">
        <v>150000</v>
      </c>
      <c r="DJ43" s="4">
        <v>48000</v>
      </c>
      <c r="DK43" s="4">
        <v>250000</v>
      </c>
      <c r="DL43" s="4">
        <v>220000</v>
      </c>
      <c r="DM43" s="4">
        <v>80000</v>
      </c>
      <c r="DN43" s="4">
        <v>50000</v>
      </c>
      <c r="DO43" s="4">
        <v>50000</v>
      </c>
      <c r="DP43" s="4">
        <v>150000</v>
      </c>
      <c r="DQ43" s="4">
        <v>46000</v>
      </c>
      <c r="DR43" s="4">
        <v>112500</v>
      </c>
      <c r="DS43" s="4">
        <v>99000</v>
      </c>
      <c r="DT43" s="4">
        <v>36000</v>
      </c>
      <c r="DU43" s="4">
        <v>22500</v>
      </c>
      <c r="DV43" s="4">
        <v>22500</v>
      </c>
      <c r="DW43" s="4">
        <v>67500</v>
      </c>
      <c r="DX43" s="4">
        <v>90000</v>
      </c>
      <c r="DY43" s="4">
        <v>250000</v>
      </c>
      <c r="DZ43" s="4">
        <v>220000</v>
      </c>
      <c r="EA43" s="4">
        <v>80000</v>
      </c>
      <c r="EB43" s="4">
        <v>50000</v>
      </c>
      <c r="EC43" s="4">
        <v>50000</v>
      </c>
      <c r="ED43" s="4">
        <v>150000</v>
      </c>
      <c r="EE43" s="4">
        <v>42000</v>
      </c>
      <c r="EF43" s="4">
        <v>112500</v>
      </c>
      <c r="EG43" s="4">
        <v>99000</v>
      </c>
      <c r="EH43" s="4">
        <v>36000</v>
      </c>
      <c r="EI43" s="4">
        <v>22500</v>
      </c>
      <c r="EJ43" s="4">
        <v>22500</v>
      </c>
      <c r="EK43" s="4">
        <v>67500</v>
      </c>
      <c r="EL43" s="4">
        <v>90000</v>
      </c>
      <c r="EM43" s="4">
        <v>600000</v>
      </c>
      <c r="EN43" s="4">
        <v>528000</v>
      </c>
      <c r="EO43" s="4">
        <v>129000</v>
      </c>
      <c r="EP43" s="4">
        <v>0</v>
      </c>
      <c r="EQ43" s="4">
        <v>0</v>
      </c>
      <c r="ER43" s="4">
        <v>0</v>
      </c>
      <c r="ES43" s="4">
        <v>0</v>
      </c>
      <c r="ET43" s="4">
        <v>112500</v>
      </c>
      <c r="EU43" s="4">
        <v>99000</v>
      </c>
      <c r="EV43" s="4">
        <v>36000</v>
      </c>
      <c r="EW43" s="4">
        <v>22500</v>
      </c>
      <c r="EX43" s="4">
        <v>22500</v>
      </c>
      <c r="EY43" s="4">
        <v>67500</v>
      </c>
      <c r="EZ43" s="4">
        <v>90000</v>
      </c>
      <c r="FA43" s="4">
        <v>250000</v>
      </c>
      <c r="FB43" s="4">
        <v>220000</v>
      </c>
      <c r="FC43" s="4">
        <v>80000</v>
      </c>
      <c r="FD43" s="4">
        <v>50000</v>
      </c>
      <c r="FE43" s="4">
        <v>50000</v>
      </c>
      <c r="FF43" s="4">
        <v>150000</v>
      </c>
      <c r="FG43" s="4">
        <v>34000</v>
      </c>
      <c r="FH43" s="4">
        <v>250000</v>
      </c>
      <c r="FI43" s="4">
        <v>220000</v>
      </c>
      <c r="FJ43" s="4">
        <v>80000</v>
      </c>
      <c r="FK43" s="4">
        <v>50000</v>
      </c>
      <c r="FL43" s="4">
        <v>50000</v>
      </c>
      <c r="FM43" s="4">
        <v>150000</v>
      </c>
      <c r="FN43" s="4">
        <v>32000</v>
      </c>
      <c r="FO43" s="4">
        <v>250000</v>
      </c>
      <c r="FP43" s="4">
        <v>220000</v>
      </c>
      <c r="FQ43" s="4">
        <v>80000</v>
      </c>
      <c r="FR43" s="4">
        <v>50000</v>
      </c>
      <c r="FS43" s="4">
        <v>50000</v>
      </c>
      <c r="FT43" s="4">
        <v>150000</v>
      </c>
      <c r="FU43" s="4">
        <v>30000</v>
      </c>
      <c r="FV43" s="4">
        <v>112500</v>
      </c>
      <c r="FW43" s="4">
        <v>99000</v>
      </c>
      <c r="FX43" s="4">
        <v>36000</v>
      </c>
      <c r="FY43" s="4">
        <v>22500</v>
      </c>
      <c r="FZ43" s="4">
        <v>22500</v>
      </c>
      <c r="GA43" s="4">
        <v>67500</v>
      </c>
      <c r="GB43" s="4">
        <v>90000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112500</v>
      </c>
      <c r="GR43" s="4">
        <v>99000</v>
      </c>
      <c r="GS43" s="4">
        <v>36000</v>
      </c>
      <c r="GT43" s="4">
        <v>22500</v>
      </c>
      <c r="GU43" s="4">
        <v>22500</v>
      </c>
      <c r="GV43" s="4">
        <v>67500</v>
      </c>
      <c r="GW43" s="4">
        <v>90000</v>
      </c>
      <c r="GX43" s="4">
        <v>112500</v>
      </c>
      <c r="GY43" s="4">
        <v>99000</v>
      </c>
      <c r="GZ43" s="4">
        <v>36000</v>
      </c>
      <c r="HA43" s="4">
        <v>22500</v>
      </c>
      <c r="HB43" s="4">
        <v>22500</v>
      </c>
      <c r="HC43" s="4">
        <v>67500</v>
      </c>
      <c r="HD43" s="4">
        <v>90000</v>
      </c>
      <c r="HE43" s="4">
        <v>400000</v>
      </c>
      <c r="HF43" s="4">
        <v>352000</v>
      </c>
      <c r="HG43" s="4">
        <v>128000</v>
      </c>
      <c r="HH43" s="4">
        <v>80000</v>
      </c>
      <c r="HI43" s="4">
        <v>42500</v>
      </c>
      <c r="HJ43" s="4">
        <v>0</v>
      </c>
      <c r="HK43" s="4">
        <v>0</v>
      </c>
      <c r="HL43" s="4">
        <v>112500</v>
      </c>
      <c r="HM43" s="4">
        <v>99000</v>
      </c>
      <c r="HN43" s="4">
        <v>36000</v>
      </c>
      <c r="HO43" s="4">
        <v>22500</v>
      </c>
      <c r="HP43" s="4">
        <v>22500</v>
      </c>
      <c r="HQ43" s="4">
        <v>67500</v>
      </c>
      <c r="HR43" s="4">
        <v>90000</v>
      </c>
      <c r="HS43" s="4">
        <v>600000</v>
      </c>
      <c r="HT43" s="4">
        <v>528000</v>
      </c>
      <c r="HU43" s="4">
        <v>72000</v>
      </c>
      <c r="HV43" s="4">
        <v>0</v>
      </c>
      <c r="HW43" s="4">
        <v>0</v>
      </c>
      <c r="HX43" s="4">
        <v>0</v>
      </c>
      <c r="HY43" s="4">
        <v>0</v>
      </c>
      <c r="HZ43" s="4">
        <v>250000</v>
      </c>
      <c r="IA43" s="4">
        <v>220000</v>
      </c>
      <c r="IB43" s="4">
        <v>80000</v>
      </c>
      <c r="IC43" s="4">
        <v>50000</v>
      </c>
      <c r="ID43" s="4">
        <v>50000</v>
      </c>
      <c r="IE43" s="4">
        <v>150000</v>
      </c>
      <c r="IF43" s="4">
        <v>0</v>
      </c>
      <c r="IG43" s="4">
        <v>250000</v>
      </c>
      <c r="IH43" s="4">
        <v>220000</v>
      </c>
      <c r="II43" s="4">
        <v>80000</v>
      </c>
      <c r="IJ43" s="4">
        <v>50000</v>
      </c>
      <c r="IK43" s="4">
        <v>50000</v>
      </c>
      <c r="IL43" s="4">
        <v>150000</v>
      </c>
      <c r="IM43" s="4">
        <v>0</v>
      </c>
      <c r="IN43" s="4">
        <v>250000</v>
      </c>
      <c r="IO43" s="4">
        <v>220000</v>
      </c>
      <c r="IP43" s="4">
        <v>80000</v>
      </c>
      <c r="IQ43" s="4">
        <v>50000</v>
      </c>
      <c r="IR43" s="4">
        <v>50000</v>
      </c>
      <c r="IS43" s="4">
        <v>150000</v>
      </c>
      <c r="IT43" s="4">
        <v>0</v>
      </c>
      <c r="IU43" s="4">
        <v>400000</v>
      </c>
      <c r="IV43" s="4">
        <v>352000</v>
      </c>
      <c r="IW43" s="4">
        <v>128000</v>
      </c>
      <c r="IX43" s="4">
        <v>80000</v>
      </c>
      <c r="IY43" s="4">
        <v>40000</v>
      </c>
      <c r="IZ43" s="4">
        <v>0</v>
      </c>
      <c r="JA43" s="4">
        <v>0</v>
      </c>
      <c r="JB43" s="4">
        <v>112500</v>
      </c>
      <c r="JC43" s="4">
        <v>99000</v>
      </c>
      <c r="JD43" s="4">
        <v>36000</v>
      </c>
      <c r="JE43" s="4">
        <v>22500</v>
      </c>
      <c r="JF43" s="4">
        <v>22500</v>
      </c>
      <c r="JG43" s="4">
        <v>67500</v>
      </c>
      <c r="JH43" s="4">
        <v>90000</v>
      </c>
      <c r="JI43" s="4">
        <v>250000</v>
      </c>
      <c r="JJ43" s="4">
        <v>220000</v>
      </c>
      <c r="JK43" s="4">
        <v>80000</v>
      </c>
      <c r="JL43" s="4">
        <v>50000</v>
      </c>
      <c r="JM43" s="4">
        <v>50000</v>
      </c>
      <c r="JN43" s="4">
        <v>150000</v>
      </c>
      <c r="JO43" s="4">
        <v>0</v>
      </c>
      <c r="JP43" s="4">
        <v>250000</v>
      </c>
      <c r="JQ43" s="4">
        <v>220000</v>
      </c>
      <c r="JR43" s="4">
        <v>80000</v>
      </c>
      <c r="JS43" s="4">
        <v>50000</v>
      </c>
      <c r="JT43" s="4">
        <v>50000</v>
      </c>
      <c r="JU43" s="4">
        <v>150000</v>
      </c>
      <c r="JV43" s="4">
        <v>0</v>
      </c>
      <c r="JW43" s="4">
        <v>400000</v>
      </c>
      <c r="JX43" s="4">
        <v>352000</v>
      </c>
      <c r="JY43" s="4">
        <v>128000</v>
      </c>
      <c r="JZ43" s="4">
        <v>80000</v>
      </c>
      <c r="KA43" s="4">
        <v>40000</v>
      </c>
      <c r="KB43" s="4">
        <v>0</v>
      </c>
      <c r="KC43" s="4">
        <v>0</v>
      </c>
      <c r="KD43" s="4">
        <v>112500</v>
      </c>
      <c r="KE43" s="4">
        <v>99000</v>
      </c>
      <c r="KF43" s="4">
        <v>36000</v>
      </c>
      <c r="KG43" s="4">
        <v>22500</v>
      </c>
      <c r="KH43" s="4">
        <v>22500</v>
      </c>
      <c r="KI43" s="4">
        <v>67500</v>
      </c>
      <c r="KJ43" s="4">
        <v>90000</v>
      </c>
      <c r="KK43" s="4">
        <v>250000</v>
      </c>
      <c r="KL43" s="4">
        <v>220000</v>
      </c>
      <c r="KM43" s="4">
        <v>80000</v>
      </c>
      <c r="KN43" s="4">
        <v>50000</v>
      </c>
      <c r="KO43" s="4">
        <v>50000</v>
      </c>
      <c r="KP43" s="4">
        <v>150000</v>
      </c>
      <c r="KQ43" s="4">
        <v>0</v>
      </c>
      <c r="KR43" s="4">
        <v>250000</v>
      </c>
      <c r="KS43" s="4">
        <v>220000</v>
      </c>
      <c r="KT43" s="4">
        <v>80000</v>
      </c>
      <c r="KU43" s="4">
        <v>50000</v>
      </c>
      <c r="KV43" s="4">
        <v>50000</v>
      </c>
      <c r="KW43" s="4">
        <v>150000</v>
      </c>
      <c r="KX43" s="4">
        <v>0</v>
      </c>
      <c r="KY43" s="4">
        <v>112500</v>
      </c>
      <c r="KZ43" s="4">
        <v>99000</v>
      </c>
      <c r="LA43" s="4">
        <v>36000</v>
      </c>
      <c r="LB43" s="4">
        <v>22500</v>
      </c>
      <c r="LC43" s="4">
        <v>22500</v>
      </c>
      <c r="LD43" s="4">
        <v>67500</v>
      </c>
      <c r="LE43" s="4">
        <v>90000</v>
      </c>
      <c r="LF43" s="4">
        <v>112500</v>
      </c>
      <c r="LG43" s="4">
        <v>99000</v>
      </c>
      <c r="LH43" s="4">
        <v>36000</v>
      </c>
      <c r="LI43" s="4">
        <v>22500</v>
      </c>
      <c r="LJ43" s="4">
        <v>22500</v>
      </c>
      <c r="LK43" s="4">
        <v>67500</v>
      </c>
      <c r="LL43" s="4">
        <v>90000</v>
      </c>
      <c r="LM43" s="4">
        <v>112500</v>
      </c>
      <c r="LN43" s="4">
        <v>99000</v>
      </c>
      <c r="LO43" s="4">
        <v>36000</v>
      </c>
      <c r="LP43" s="4">
        <v>22500</v>
      </c>
      <c r="LQ43" s="4">
        <v>22500</v>
      </c>
      <c r="LR43" s="4">
        <v>67500</v>
      </c>
      <c r="LS43" s="4">
        <v>90000</v>
      </c>
      <c r="LT43" s="4">
        <v>400000</v>
      </c>
      <c r="LU43" s="4">
        <v>352000</v>
      </c>
      <c r="LV43" s="4">
        <v>128000</v>
      </c>
      <c r="LW43" s="4">
        <v>80000</v>
      </c>
      <c r="LX43" s="4">
        <v>40000</v>
      </c>
      <c r="LY43" s="4">
        <v>0</v>
      </c>
      <c r="LZ43" s="4">
        <v>0</v>
      </c>
      <c r="MA43" s="4">
        <v>600000</v>
      </c>
      <c r="MB43" s="4">
        <v>528000</v>
      </c>
      <c r="MC43" s="4">
        <v>72000</v>
      </c>
      <c r="MD43" s="4">
        <v>0</v>
      </c>
      <c r="ME43" s="4">
        <v>0</v>
      </c>
      <c r="MF43" s="4">
        <v>0</v>
      </c>
      <c r="MG43" s="4">
        <v>0</v>
      </c>
      <c r="MH43" s="4">
        <v>0</v>
      </c>
      <c r="MI43" s="4">
        <v>0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937500</v>
      </c>
      <c r="MP43" s="4">
        <v>562500</v>
      </c>
      <c r="MQ43" s="4">
        <v>0</v>
      </c>
      <c r="MR43" s="4">
        <v>0</v>
      </c>
      <c r="MS43" s="4">
        <v>0</v>
      </c>
      <c r="MT43" s="4">
        <v>0</v>
      </c>
      <c r="MU43" s="4">
        <v>0</v>
      </c>
      <c r="MV43" s="4">
        <v>0</v>
      </c>
    </row>
    <row r="44" spans="5:360">
      <c r="E44" s="131" t="s">
        <v>133</v>
      </c>
      <c r="F44" s="131"/>
      <c r="G44" s="131" t="s">
        <v>111</v>
      </c>
      <c r="H44" s="131"/>
      <c r="I44" s="131"/>
      <c r="J44" s="131" cm="1">
        <f t="array" ref="J44:MV44" xml:space="preserve"> IF(_xlfn.ANCHORARRAY( J15) = 0, SUMIFS(_xlfn.ANCHORARRAY( J43),_xlfn.ANCHORARRAY( J14),_xlfn.ANCHORARRAY( J11) ), 0 )</f>
        <v>0</v>
      </c>
      <c r="K44" s="131">
        <v>0</v>
      </c>
      <c r="L44" s="131">
        <v>0</v>
      </c>
      <c r="M44" s="131">
        <v>0</v>
      </c>
      <c r="N44" s="131">
        <v>0</v>
      </c>
      <c r="O44" s="131">
        <v>0</v>
      </c>
      <c r="P44" s="131">
        <v>0</v>
      </c>
      <c r="Q44" s="131">
        <v>0</v>
      </c>
      <c r="R44" s="131">
        <v>0</v>
      </c>
      <c r="S44" s="131">
        <v>0</v>
      </c>
      <c r="T44" s="131">
        <v>0</v>
      </c>
      <c r="U44" s="131">
        <v>0</v>
      </c>
      <c r="V44" s="131">
        <v>0</v>
      </c>
      <c r="W44" s="131">
        <v>0</v>
      </c>
      <c r="X44" s="131">
        <v>0</v>
      </c>
      <c r="Y44" s="131">
        <v>0</v>
      </c>
      <c r="Z44" s="131">
        <v>0</v>
      </c>
      <c r="AA44" s="131">
        <v>0</v>
      </c>
      <c r="AB44" s="131">
        <v>0</v>
      </c>
      <c r="AC44" s="131">
        <v>0</v>
      </c>
      <c r="AD44" s="131">
        <v>0</v>
      </c>
      <c r="AE44" s="131">
        <v>0</v>
      </c>
      <c r="AF44" s="131">
        <v>0</v>
      </c>
      <c r="AG44" s="131">
        <v>0</v>
      </c>
      <c r="AH44" s="131">
        <v>0</v>
      </c>
      <c r="AI44" s="131">
        <v>0</v>
      </c>
      <c r="AJ44" s="131">
        <v>0</v>
      </c>
      <c r="AK44" s="131">
        <v>0</v>
      </c>
      <c r="AL44" s="131">
        <v>0</v>
      </c>
      <c r="AM44" s="131">
        <v>0</v>
      </c>
      <c r="AN44" s="131">
        <v>0</v>
      </c>
      <c r="AO44" s="131">
        <v>0</v>
      </c>
      <c r="AP44" s="131">
        <v>0</v>
      </c>
      <c r="AQ44" s="131">
        <v>0</v>
      </c>
      <c r="AR44" s="131">
        <v>0</v>
      </c>
      <c r="AS44" s="131">
        <v>0</v>
      </c>
      <c r="AT44" s="131">
        <v>0</v>
      </c>
      <c r="AU44" s="131">
        <v>0</v>
      </c>
      <c r="AV44" s="131">
        <v>0</v>
      </c>
      <c r="AW44" s="131">
        <v>0</v>
      </c>
      <c r="AX44" s="131">
        <v>0</v>
      </c>
      <c r="AY44" s="131">
        <v>0</v>
      </c>
      <c r="AZ44" s="131">
        <v>0</v>
      </c>
      <c r="BA44" s="131">
        <v>0</v>
      </c>
      <c r="BB44" s="131">
        <v>0</v>
      </c>
      <c r="BC44" s="131">
        <v>0</v>
      </c>
      <c r="BD44" s="131">
        <v>0</v>
      </c>
      <c r="BE44" s="131">
        <v>0</v>
      </c>
      <c r="BF44" s="131">
        <v>0</v>
      </c>
      <c r="BG44" s="131">
        <v>0</v>
      </c>
      <c r="BH44" s="131">
        <v>0</v>
      </c>
      <c r="BI44" s="131">
        <v>0</v>
      </c>
      <c r="BJ44" s="131">
        <v>0</v>
      </c>
      <c r="BK44" s="131">
        <v>0</v>
      </c>
      <c r="BL44" s="131">
        <v>0</v>
      </c>
      <c r="BM44" s="131">
        <v>1217500</v>
      </c>
      <c r="BN44" s="131">
        <v>0</v>
      </c>
      <c r="BO44" s="131">
        <v>0</v>
      </c>
      <c r="BP44" s="131">
        <v>0</v>
      </c>
      <c r="BQ44" s="131">
        <v>0</v>
      </c>
      <c r="BR44" s="131">
        <v>0</v>
      </c>
      <c r="BS44" s="131">
        <v>0</v>
      </c>
      <c r="BT44" s="131">
        <v>918000</v>
      </c>
      <c r="BU44" s="131">
        <v>0</v>
      </c>
      <c r="BV44" s="131">
        <v>0</v>
      </c>
      <c r="BW44" s="131">
        <v>0</v>
      </c>
      <c r="BX44" s="131">
        <v>0</v>
      </c>
      <c r="BY44" s="131">
        <v>0</v>
      </c>
      <c r="BZ44" s="131">
        <v>0</v>
      </c>
      <c r="CA44" s="131">
        <v>450000</v>
      </c>
      <c r="CB44" s="131">
        <v>0</v>
      </c>
      <c r="CC44" s="131">
        <v>0</v>
      </c>
      <c r="CD44" s="131">
        <v>0</v>
      </c>
      <c r="CE44" s="131">
        <v>0</v>
      </c>
      <c r="CF44" s="131">
        <v>0</v>
      </c>
      <c r="CG44" s="131">
        <v>0</v>
      </c>
      <c r="CH44" s="131">
        <v>1082500</v>
      </c>
      <c r="CI44" s="131">
        <v>0</v>
      </c>
      <c r="CJ44" s="131">
        <v>0</v>
      </c>
      <c r="CK44" s="131">
        <v>0</v>
      </c>
      <c r="CL44" s="131">
        <v>0</v>
      </c>
      <c r="CM44" s="131">
        <v>0</v>
      </c>
      <c r="CN44" s="131">
        <v>0</v>
      </c>
      <c r="CO44" s="131">
        <v>450000</v>
      </c>
      <c r="CP44" s="131">
        <v>0</v>
      </c>
      <c r="CQ44" s="131">
        <v>0</v>
      </c>
      <c r="CR44" s="131">
        <v>0</v>
      </c>
      <c r="CS44" s="131">
        <v>0</v>
      </c>
      <c r="CT44" s="131">
        <v>0</v>
      </c>
      <c r="CU44" s="131">
        <v>0</v>
      </c>
      <c r="CV44" s="131">
        <v>852000</v>
      </c>
      <c r="CW44" s="131">
        <v>0</v>
      </c>
      <c r="CX44" s="131">
        <v>0</v>
      </c>
      <c r="CY44" s="131">
        <v>0</v>
      </c>
      <c r="CZ44" s="131">
        <v>0</v>
      </c>
      <c r="DA44" s="131">
        <v>0</v>
      </c>
      <c r="DB44" s="131">
        <v>0</v>
      </c>
      <c r="DC44" s="131">
        <v>450000</v>
      </c>
      <c r="DD44" s="131">
        <v>0</v>
      </c>
      <c r="DE44" s="131">
        <v>0</v>
      </c>
      <c r="DF44" s="131">
        <v>0</v>
      </c>
      <c r="DG44" s="131">
        <v>0</v>
      </c>
      <c r="DH44" s="131">
        <v>0</v>
      </c>
      <c r="DI44" s="131">
        <v>0</v>
      </c>
      <c r="DJ44" s="131">
        <v>848000</v>
      </c>
      <c r="DK44" s="131">
        <v>0</v>
      </c>
      <c r="DL44" s="131">
        <v>0</v>
      </c>
      <c r="DM44" s="131">
        <v>0</v>
      </c>
      <c r="DN44" s="131">
        <v>0</v>
      </c>
      <c r="DO44" s="131">
        <v>0</v>
      </c>
      <c r="DP44" s="131">
        <v>0</v>
      </c>
      <c r="DQ44" s="131">
        <v>846000</v>
      </c>
      <c r="DR44" s="131">
        <v>0</v>
      </c>
      <c r="DS44" s="131">
        <v>0</v>
      </c>
      <c r="DT44" s="131">
        <v>0</v>
      </c>
      <c r="DU44" s="131">
        <v>0</v>
      </c>
      <c r="DV44" s="131">
        <v>0</v>
      </c>
      <c r="DW44" s="131">
        <v>0</v>
      </c>
      <c r="DX44" s="131">
        <v>450000</v>
      </c>
      <c r="DY44" s="131">
        <v>0</v>
      </c>
      <c r="DZ44" s="131">
        <v>0</v>
      </c>
      <c r="EA44" s="131">
        <v>0</v>
      </c>
      <c r="EB44" s="131">
        <v>0</v>
      </c>
      <c r="EC44" s="131">
        <v>0</v>
      </c>
      <c r="ED44" s="131">
        <v>0</v>
      </c>
      <c r="EE44" s="131">
        <v>842000</v>
      </c>
      <c r="EF44" s="131">
        <v>0</v>
      </c>
      <c r="EG44" s="131">
        <v>0</v>
      </c>
      <c r="EH44" s="131">
        <v>0</v>
      </c>
      <c r="EI44" s="131">
        <v>0</v>
      </c>
      <c r="EJ44" s="131">
        <v>0</v>
      </c>
      <c r="EK44" s="131">
        <v>0</v>
      </c>
      <c r="EL44" s="131">
        <v>450000</v>
      </c>
      <c r="EM44" s="131">
        <v>0</v>
      </c>
      <c r="EN44" s="131">
        <v>0</v>
      </c>
      <c r="EO44" s="131">
        <v>0</v>
      </c>
      <c r="EP44" s="131">
        <v>0</v>
      </c>
      <c r="EQ44" s="131">
        <v>0</v>
      </c>
      <c r="ER44" s="131">
        <v>0</v>
      </c>
      <c r="ES44" s="131">
        <v>1257000</v>
      </c>
      <c r="ET44" s="131">
        <v>0</v>
      </c>
      <c r="EU44" s="131">
        <v>0</v>
      </c>
      <c r="EV44" s="131">
        <v>0</v>
      </c>
      <c r="EW44" s="131">
        <v>0</v>
      </c>
      <c r="EX44" s="131">
        <v>0</v>
      </c>
      <c r="EY44" s="131">
        <v>0</v>
      </c>
      <c r="EZ44" s="131">
        <v>450000</v>
      </c>
      <c r="FA44" s="131">
        <v>0</v>
      </c>
      <c r="FB44" s="131">
        <v>0</v>
      </c>
      <c r="FC44" s="131">
        <v>0</v>
      </c>
      <c r="FD44" s="131">
        <v>0</v>
      </c>
      <c r="FE44" s="131">
        <v>0</v>
      </c>
      <c r="FF44" s="131">
        <v>0</v>
      </c>
      <c r="FG44" s="131">
        <v>834000</v>
      </c>
      <c r="FH44" s="131">
        <v>0</v>
      </c>
      <c r="FI44" s="131">
        <v>0</v>
      </c>
      <c r="FJ44" s="131">
        <v>0</v>
      </c>
      <c r="FK44" s="131">
        <v>0</v>
      </c>
      <c r="FL44" s="131">
        <v>0</v>
      </c>
      <c r="FM44" s="131">
        <v>0</v>
      </c>
      <c r="FN44" s="131">
        <v>832000</v>
      </c>
      <c r="FO44" s="131">
        <v>0</v>
      </c>
      <c r="FP44" s="131">
        <v>0</v>
      </c>
      <c r="FQ44" s="131">
        <v>0</v>
      </c>
      <c r="FR44" s="131">
        <v>0</v>
      </c>
      <c r="FS44" s="131">
        <v>0</v>
      </c>
      <c r="FT44" s="131">
        <v>0</v>
      </c>
      <c r="FU44" s="131">
        <v>830000</v>
      </c>
      <c r="FV44" s="131">
        <v>0</v>
      </c>
      <c r="FW44" s="131">
        <v>0</v>
      </c>
      <c r="FX44" s="131">
        <v>0</v>
      </c>
      <c r="FY44" s="131">
        <v>0</v>
      </c>
      <c r="FZ44" s="131">
        <v>0</v>
      </c>
      <c r="GA44" s="131">
        <v>0</v>
      </c>
      <c r="GB44" s="131">
        <v>450000</v>
      </c>
      <c r="GC44" s="131">
        <v>0</v>
      </c>
      <c r="GD44" s="131">
        <v>0</v>
      </c>
      <c r="GE44" s="131">
        <v>0</v>
      </c>
      <c r="GF44" s="131">
        <v>0</v>
      </c>
      <c r="GG44" s="131">
        <v>0</v>
      </c>
      <c r="GH44" s="131">
        <v>0</v>
      </c>
      <c r="GI44" s="131">
        <v>0</v>
      </c>
      <c r="GJ44" s="131">
        <v>0</v>
      </c>
      <c r="GK44" s="131">
        <v>0</v>
      </c>
      <c r="GL44" s="131">
        <v>0</v>
      </c>
      <c r="GM44" s="131">
        <v>0</v>
      </c>
      <c r="GN44" s="131">
        <v>0</v>
      </c>
      <c r="GO44" s="131">
        <v>0</v>
      </c>
      <c r="GP44" s="131">
        <v>0</v>
      </c>
      <c r="GQ44" s="131">
        <v>0</v>
      </c>
      <c r="GR44" s="131">
        <v>0</v>
      </c>
      <c r="GS44" s="131">
        <v>0</v>
      </c>
      <c r="GT44" s="131">
        <v>0</v>
      </c>
      <c r="GU44" s="131">
        <v>0</v>
      </c>
      <c r="GV44" s="131">
        <v>0</v>
      </c>
      <c r="GW44" s="131">
        <v>450000</v>
      </c>
      <c r="GX44" s="131">
        <v>0</v>
      </c>
      <c r="GY44" s="131">
        <v>0</v>
      </c>
      <c r="GZ44" s="131">
        <v>0</v>
      </c>
      <c r="HA44" s="131">
        <v>0</v>
      </c>
      <c r="HB44" s="131">
        <v>0</v>
      </c>
      <c r="HC44" s="131">
        <v>0</v>
      </c>
      <c r="HD44" s="131">
        <v>450000</v>
      </c>
      <c r="HE44" s="131">
        <v>0</v>
      </c>
      <c r="HF44" s="131">
        <v>0</v>
      </c>
      <c r="HG44" s="131">
        <v>0</v>
      </c>
      <c r="HH44" s="131">
        <v>0</v>
      </c>
      <c r="HI44" s="131">
        <v>0</v>
      </c>
      <c r="HJ44" s="131">
        <v>0</v>
      </c>
      <c r="HK44" s="131">
        <v>1002500</v>
      </c>
      <c r="HL44" s="131">
        <v>0</v>
      </c>
      <c r="HM44" s="131">
        <v>0</v>
      </c>
      <c r="HN44" s="131">
        <v>0</v>
      </c>
      <c r="HO44" s="131">
        <v>0</v>
      </c>
      <c r="HP44" s="131">
        <v>0</v>
      </c>
      <c r="HQ44" s="131">
        <v>0</v>
      </c>
      <c r="HR44" s="131">
        <v>450000</v>
      </c>
      <c r="HS44" s="131">
        <v>0</v>
      </c>
      <c r="HT44" s="131">
        <v>0</v>
      </c>
      <c r="HU44" s="131">
        <v>0</v>
      </c>
      <c r="HV44" s="131">
        <v>0</v>
      </c>
      <c r="HW44" s="131">
        <v>0</v>
      </c>
      <c r="HX44" s="131">
        <v>0</v>
      </c>
      <c r="HY44" s="131">
        <v>1200000</v>
      </c>
      <c r="HZ44" s="131">
        <v>0</v>
      </c>
      <c r="IA44" s="131">
        <v>0</v>
      </c>
      <c r="IB44" s="131">
        <v>0</v>
      </c>
      <c r="IC44" s="131">
        <v>0</v>
      </c>
      <c r="ID44" s="131">
        <v>0</v>
      </c>
      <c r="IE44" s="131">
        <v>0</v>
      </c>
      <c r="IF44" s="131">
        <v>800000</v>
      </c>
      <c r="IG44" s="131">
        <v>0</v>
      </c>
      <c r="IH44" s="131">
        <v>0</v>
      </c>
      <c r="II44" s="131">
        <v>0</v>
      </c>
      <c r="IJ44" s="131">
        <v>0</v>
      </c>
      <c r="IK44" s="131">
        <v>0</v>
      </c>
      <c r="IL44" s="131">
        <v>0</v>
      </c>
      <c r="IM44" s="131">
        <v>800000</v>
      </c>
      <c r="IN44" s="131">
        <v>0</v>
      </c>
      <c r="IO44" s="131">
        <v>0</v>
      </c>
      <c r="IP44" s="131">
        <v>0</v>
      </c>
      <c r="IQ44" s="131">
        <v>0</v>
      </c>
      <c r="IR44" s="131">
        <v>0</v>
      </c>
      <c r="IS44" s="131">
        <v>0</v>
      </c>
      <c r="IT44" s="131">
        <v>800000</v>
      </c>
      <c r="IU44" s="131">
        <v>0</v>
      </c>
      <c r="IV44" s="131">
        <v>0</v>
      </c>
      <c r="IW44" s="131">
        <v>0</v>
      </c>
      <c r="IX44" s="131">
        <v>0</v>
      </c>
      <c r="IY44" s="131">
        <v>0</v>
      </c>
      <c r="IZ44" s="131">
        <v>0</v>
      </c>
      <c r="JA44" s="131">
        <v>1000000</v>
      </c>
      <c r="JB44" s="131">
        <v>0</v>
      </c>
      <c r="JC44" s="131">
        <v>0</v>
      </c>
      <c r="JD44" s="131">
        <v>0</v>
      </c>
      <c r="JE44" s="131">
        <v>0</v>
      </c>
      <c r="JF44" s="131">
        <v>0</v>
      </c>
      <c r="JG44" s="131">
        <v>0</v>
      </c>
      <c r="JH44" s="131">
        <v>450000</v>
      </c>
      <c r="JI44" s="131">
        <v>0</v>
      </c>
      <c r="JJ44" s="131">
        <v>0</v>
      </c>
      <c r="JK44" s="131">
        <v>0</v>
      </c>
      <c r="JL44" s="131">
        <v>0</v>
      </c>
      <c r="JM44" s="131">
        <v>0</v>
      </c>
      <c r="JN44" s="131">
        <v>0</v>
      </c>
      <c r="JO44" s="131">
        <v>800000</v>
      </c>
      <c r="JP44" s="131">
        <v>0</v>
      </c>
      <c r="JQ44" s="131">
        <v>0</v>
      </c>
      <c r="JR44" s="131">
        <v>0</v>
      </c>
      <c r="JS44" s="131">
        <v>0</v>
      </c>
      <c r="JT44" s="131">
        <v>0</v>
      </c>
      <c r="JU44" s="131">
        <v>0</v>
      </c>
      <c r="JV44" s="131">
        <v>800000</v>
      </c>
      <c r="JW44" s="131">
        <v>0</v>
      </c>
      <c r="JX44" s="131">
        <v>0</v>
      </c>
      <c r="JY44" s="131">
        <v>0</v>
      </c>
      <c r="JZ44" s="131">
        <v>0</v>
      </c>
      <c r="KA44" s="131">
        <v>0</v>
      </c>
      <c r="KB44" s="131">
        <v>0</v>
      </c>
      <c r="KC44" s="131">
        <v>1000000</v>
      </c>
      <c r="KD44" s="131">
        <v>0</v>
      </c>
      <c r="KE44" s="131">
        <v>0</v>
      </c>
      <c r="KF44" s="131">
        <v>0</v>
      </c>
      <c r="KG44" s="131">
        <v>0</v>
      </c>
      <c r="KH44" s="131">
        <v>0</v>
      </c>
      <c r="KI44" s="131">
        <v>0</v>
      </c>
      <c r="KJ44" s="131">
        <v>450000</v>
      </c>
      <c r="KK44" s="131">
        <v>0</v>
      </c>
      <c r="KL44" s="131">
        <v>0</v>
      </c>
      <c r="KM44" s="131">
        <v>0</v>
      </c>
      <c r="KN44" s="131">
        <v>0</v>
      </c>
      <c r="KO44" s="131">
        <v>0</v>
      </c>
      <c r="KP44" s="131">
        <v>0</v>
      </c>
      <c r="KQ44" s="131">
        <v>800000</v>
      </c>
      <c r="KR44" s="131">
        <v>0</v>
      </c>
      <c r="KS44" s="131">
        <v>0</v>
      </c>
      <c r="KT44" s="131">
        <v>0</v>
      </c>
      <c r="KU44" s="131">
        <v>0</v>
      </c>
      <c r="KV44" s="131">
        <v>0</v>
      </c>
      <c r="KW44" s="131">
        <v>0</v>
      </c>
      <c r="KX44" s="131">
        <v>800000</v>
      </c>
      <c r="KY44" s="131">
        <v>0</v>
      </c>
      <c r="KZ44" s="131">
        <v>0</v>
      </c>
      <c r="LA44" s="131">
        <v>0</v>
      </c>
      <c r="LB44" s="131">
        <v>0</v>
      </c>
      <c r="LC44" s="131">
        <v>0</v>
      </c>
      <c r="LD44" s="131">
        <v>0</v>
      </c>
      <c r="LE44" s="131">
        <v>450000</v>
      </c>
      <c r="LF44" s="131">
        <v>0</v>
      </c>
      <c r="LG44" s="131">
        <v>0</v>
      </c>
      <c r="LH44" s="131">
        <v>0</v>
      </c>
      <c r="LI44" s="131">
        <v>0</v>
      </c>
      <c r="LJ44" s="131">
        <v>0</v>
      </c>
      <c r="LK44" s="131">
        <v>0</v>
      </c>
      <c r="LL44" s="131">
        <v>450000</v>
      </c>
      <c r="LM44" s="131">
        <v>0</v>
      </c>
      <c r="LN44" s="131">
        <v>0</v>
      </c>
      <c r="LO44" s="131">
        <v>0</v>
      </c>
      <c r="LP44" s="131">
        <v>0</v>
      </c>
      <c r="LQ44" s="131">
        <v>0</v>
      </c>
      <c r="LR44" s="131">
        <v>0</v>
      </c>
      <c r="LS44" s="131">
        <v>450000</v>
      </c>
      <c r="LT44" s="131">
        <v>0</v>
      </c>
      <c r="LU44" s="131">
        <v>0</v>
      </c>
      <c r="LV44" s="131">
        <v>0</v>
      </c>
      <c r="LW44" s="131">
        <v>0</v>
      </c>
      <c r="LX44" s="131">
        <v>0</v>
      </c>
      <c r="LY44" s="131">
        <v>0</v>
      </c>
      <c r="LZ44" s="131">
        <v>1000000</v>
      </c>
      <c r="MA44" s="131">
        <v>0</v>
      </c>
      <c r="MB44" s="131">
        <v>0</v>
      </c>
      <c r="MC44" s="131">
        <v>0</v>
      </c>
      <c r="MD44" s="131">
        <v>0</v>
      </c>
      <c r="ME44" s="131">
        <v>0</v>
      </c>
      <c r="MF44" s="131">
        <v>0</v>
      </c>
      <c r="MG44" s="131">
        <v>1200000</v>
      </c>
      <c r="MH44" s="131">
        <v>0</v>
      </c>
      <c r="MI44" s="131">
        <v>0</v>
      </c>
      <c r="MJ44" s="131">
        <v>0</v>
      </c>
      <c r="MK44" s="131">
        <v>0</v>
      </c>
      <c r="ML44" s="131">
        <v>0</v>
      </c>
      <c r="MM44" s="131">
        <v>0</v>
      </c>
      <c r="MN44" s="131">
        <v>0</v>
      </c>
      <c r="MO44" s="131">
        <v>0</v>
      </c>
      <c r="MP44" s="131">
        <v>0</v>
      </c>
      <c r="MQ44" s="131">
        <v>0</v>
      </c>
      <c r="MR44" s="131">
        <v>0</v>
      </c>
      <c r="MS44" s="131">
        <v>0</v>
      </c>
      <c r="MT44" s="131">
        <v>0</v>
      </c>
      <c r="MU44" s="131">
        <v>1500000</v>
      </c>
      <c r="MV44" s="131">
        <v>0</v>
      </c>
    </row>
    <row r="46" spans="5:360">
      <c r="E46" s="4" t="s">
        <v>134</v>
      </c>
      <c r="G46" s="4" t="s">
        <v>111</v>
      </c>
      <c r="J46" s="4" cm="1">
        <f t="array" ref="J46:MV46" xml:space="preserve"> _xlfn.SCAN( 0,_xlfn.ANCHORARRAY( J43) -_xlfn.ANCHORARRAY( J44), _xleta.SUM )</f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400000</v>
      </c>
      <c r="BH46" s="4">
        <v>752000</v>
      </c>
      <c r="BI46" s="4">
        <v>880000</v>
      </c>
      <c r="BJ46" s="4">
        <v>960000</v>
      </c>
      <c r="BK46" s="4">
        <v>1040000</v>
      </c>
      <c r="BL46" s="4">
        <v>1217500</v>
      </c>
      <c r="BM46" s="4">
        <v>0</v>
      </c>
      <c r="BN46" s="4">
        <v>250000</v>
      </c>
      <c r="BO46" s="4">
        <v>470000</v>
      </c>
      <c r="BP46" s="4">
        <v>550000</v>
      </c>
      <c r="BQ46" s="4">
        <v>600000</v>
      </c>
      <c r="BR46" s="4">
        <v>650000</v>
      </c>
      <c r="BS46" s="4">
        <v>800000</v>
      </c>
      <c r="BT46" s="4">
        <v>0</v>
      </c>
      <c r="BU46" s="4">
        <v>112500</v>
      </c>
      <c r="BV46" s="4">
        <v>211500</v>
      </c>
      <c r="BW46" s="4">
        <v>247500</v>
      </c>
      <c r="BX46" s="4">
        <v>270000</v>
      </c>
      <c r="BY46" s="4">
        <v>292500</v>
      </c>
      <c r="BZ46" s="4">
        <v>360000</v>
      </c>
      <c r="CA46" s="4">
        <v>0</v>
      </c>
      <c r="CB46" s="4">
        <v>400000</v>
      </c>
      <c r="CC46" s="4">
        <v>752000</v>
      </c>
      <c r="CD46" s="4">
        <v>880000</v>
      </c>
      <c r="CE46" s="4">
        <v>960000</v>
      </c>
      <c r="CF46" s="4">
        <v>1040000</v>
      </c>
      <c r="CG46" s="4">
        <v>1082500</v>
      </c>
      <c r="CH46" s="4">
        <v>0</v>
      </c>
      <c r="CI46" s="4">
        <v>112500</v>
      </c>
      <c r="CJ46" s="4">
        <v>211500</v>
      </c>
      <c r="CK46" s="4">
        <v>247500</v>
      </c>
      <c r="CL46" s="4">
        <v>270000</v>
      </c>
      <c r="CM46" s="4">
        <v>292500</v>
      </c>
      <c r="CN46" s="4">
        <v>360000</v>
      </c>
      <c r="CO46" s="4">
        <v>0</v>
      </c>
      <c r="CP46" s="4">
        <v>250000</v>
      </c>
      <c r="CQ46" s="4">
        <v>470000</v>
      </c>
      <c r="CR46" s="4">
        <v>550000</v>
      </c>
      <c r="CS46" s="4">
        <v>600000</v>
      </c>
      <c r="CT46" s="4">
        <v>650000</v>
      </c>
      <c r="CU46" s="4">
        <v>800000</v>
      </c>
      <c r="CV46" s="4">
        <v>0</v>
      </c>
      <c r="CW46" s="4">
        <v>112500</v>
      </c>
      <c r="CX46" s="4">
        <v>211500</v>
      </c>
      <c r="CY46" s="4">
        <v>247500</v>
      </c>
      <c r="CZ46" s="4">
        <v>270000</v>
      </c>
      <c r="DA46" s="4">
        <v>292500</v>
      </c>
      <c r="DB46" s="4">
        <v>360000</v>
      </c>
      <c r="DC46" s="4">
        <v>0</v>
      </c>
      <c r="DD46" s="4">
        <v>250000</v>
      </c>
      <c r="DE46" s="4">
        <v>470000</v>
      </c>
      <c r="DF46" s="4">
        <v>550000</v>
      </c>
      <c r="DG46" s="4">
        <v>600000</v>
      </c>
      <c r="DH46" s="4">
        <v>650000</v>
      </c>
      <c r="DI46" s="4">
        <v>800000</v>
      </c>
      <c r="DJ46" s="4">
        <v>0</v>
      </c>
      <c r="DK46" s="4">
        <v>250000</v>
      </c>
      <c r="DL46" s="4">
        <v>470000</v>
      </c>
      <c r="DM46" s="4">
        <v>550000</v>
      </c>
      <c r="DN46" s="4">
        <v>600000</v>
      </c>
      <c r="DO46" s="4">
        <v>650000</v>
      </c>
      <c r="DP46" s="4">
        <v>800000</v>
      </c>
      <c r="DQ46" s="4">
        <v>0</v>
      </c>
      <c r="DR46" s="4">
        <v>112500</v>
      </c>
      <c r="DS46" s="4">
        <v>211500</v>
      </c>
      <c r="DT46" s="4">
        <v>247500</v>
      </c>
      <c r="DU46" s="4">
        <v>270000</v>
      </c>
      <c r="DV46" s="4">
        <v>292500</v>
      </c>
      <c r="DW46" s="4">
        <v>360000</v>
      </c>
      <c r="DX46" s="4">
        <v>0</v>
      </c>
      <c r="DY46" s="4">
        <v>250000</v>
      </c>
      <c r="DZ46" s="4">
        <v>470000</v>
      </c>
      <c r="EA46" s="4">
        <v>550000</v>
      </c>
      <c r="EB46" s="4">
        <v>600000</v>
      </c>
      <c r="EC46" s="4">
        <v>650000</v>
      </c>
      <c r="ED46" s="4">
        <v>800000</v>
      </c>
      <c r="EE46" s="4">
        <v>0</v>
      </c>
      <c r="EF46" s="4">
        <v>112500</v>
      </c>
      <c r="EG46" s="4">
        <v>211500</v>
      </c>
      <c r="EH46" s="4">
        <v>247500</v>
      </c>
      <c r="EI46" s="4">
        <v>270000</v>
      </c>
      <c r="EJ46" s="4">
        <v>292500</v>
      </c>
      <c r="EK46" s="4">
        <v>360000</v>
      </c>
      <c r="EL46" s="4">
        <v>0</v>
      </c>
      <c r="EM46" s="4">
        <v>600000</v>
      </c>
      <c r="EN46" s="4">
        <v>1128000</v>
      </c>
      <c r="EO46" s="4">
        <v>1257000</v>
      </c>
      <c r="EP46" s="4">
        <v>1257000</v>
      </c>
      <c r="EQ46" s="4">
        <v>1257000</v>
      </c>
      <c r="ER46" s="4">
        <v>1257000</v>
      </c>
      <c r="ES46" s="4">
        <v>0</v>
      </c>
      <c r="ET46" s="4">
        <v>112500</v>
      </c>
      <c r="EU46" s="4">
        <v>211500</v>
      </c>
      <c r="EV46" s="4">
        <v>247500</v>
      </c>
      <c r="EW46" s="4">
        <v>270000</v>
      </c>
      <c r="EX46" s="4">
        <v>292500</v>
      </c>
      <c r="EY46" s="4">
        <v>360000</v>
      </c>
      <c r="EZ46" s="4">
        <v>0</v>
      </c>
      <c r="FA46" s="4">
        <v>250000</v>
      </c>
      <c r="FB46" s="4">
        <v>470000</v>
      </c>
      <c r="FC46" s="4">
        <v>550000</v>
      </c>
      <c r="FD46" s="4">
        <v>600000</v>
      </c>
      <c r="FE46" s="4">
        <v>650000</v>
      </c>
      <c r="FF46" s="4">
        <v>800000</v>
      </c>
      <c r="FG46" s="4">
        <v>0</v>
      </c>
      <c r="FH46" s="4">
        <v>250000</v>
      </c>
      <c r="FI46" s="4">
        <v>470000</v>
      </c>
      <c r="FJ46" s="4">
        <v>550000</v>
      </c>
      <c r="FK46" s="4">
        <v>600000</v>
      </c>
      <c r="FL46" s="4">
        <v>650000</v>
      </c>
      <c r="FM46" s="4">
        <v>800000</v>
      </c>
      <c r="FN46" s="4">
        <v>0</v>
      </c>
      <c r="FO46" s="4">
        <v>250000</v>
      </c>
      <c r="FP46" s="4">
        <v>470000</v>
      </c>
      <c r="FQ46" s="4">
        <v>550000</v>
      </c>
      <c r="FR46" s="4">
        <v>600000</v>
      </c>
      <c r="FS46" s="4">
        <v>650000</v>
      </c>
      <c r="FT46" s="4">
        <v>800000</v>
      </c>
      <c r="FU46" s="4">
        <v>0</v>
      </c>
      <c r="FV46" s="4">
        <v>112500</v>
      </c>
      <c r="FW46" s="4">
        <v>211500</v>
      </c>
      <c r="FX46" s="4">
        <v>247500</v>
      </c>
      <c r="FY46" s="4">
        <v>270000</v>
      </c>
      <c r="FZ46" s="4">
        <v>292500</v>
      </c>
      <c r="GA46" s="4">
        <v>360000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112500</v>
      </c>
      <c r="GR46" s="4">
        <v>211500</v>
      </c>
      <c r="GS46" s="4">
        <v>247500</v>
      </c>
      <c r="GT46" s="4">
        <v>270000</v>
      </c>
      <c r="GU46" s="4">
        <v>292500</v>
      </c>
      <c r="GV46" s="4">
        <v>360000</v>
      </c>
      <c r="GW46" s="4">
        <v>0</v>
      </c>
      <c r="GX46" s="4">
        <v>112500</v>
      </c>
      <c r="GY46" s="4">
        <v>211500</v>
      </c>
      <c r="GZ46" s="4">
        <v>247500</v>
      </c>
      <c r="HA46" s="4">
        <v>270000</v>
      </c>
      <c r="HB46" s="4">
        <v>292500</v>
      </c>
      <c r="HC46" s="4">
        <v>360000</v>
      </c>
      <c r="HD46" s="4">
        <v>0</v>
      </c>
      <c r="HE46" s="4">
        <v>400000</v>
      </c>
      <c r="HF46" s="4">
        <v>752000</v>
      </c>
      <c r="HG46" s="4">
        <v>880000</v>
      </c>
      <c r="HH46" s="4">
        <v>960000</v>
      </c>
      <c r="HI46" s="4">
        <v>1002500</v>
      </c>
      <c r="HJ46" s="4">
        <v>1002500</v>
      </c>
      <c r="HK46" s="4">
        <v>0</v>
      </c>
      <c r="HL46" s="4">
        <v>112500</v>
      </c>
      <c r="HM46" s="4">
        <v>211500</v>
      </c>
      <c r="HN46" s="4">
        <v>247500</v>
      </c>
      <c r="HO46" s="4">
        <v>270000</v>
      </c>
      <c r="HP46" s="4">
        <v>292500</v>
      </c>
      <c r="HQ46" s="4">
        <v>360000</v>
      </c>
      <c r="HR46" s="4">
        <v>0</v>
      </c>
      <c r="HS46" s="4">
        <v>600000</v>
      </c>
      <c r="HT46" s="4">
        <v>1128000</v>
      </c>
      <c r="HU46" s="4">
        <v>1200000</v>
      </c>
      <c r="HV46" s="4">
        <v>1200000</v>
      </c>
      <c r="HW46" s="4">
        <v>1200000</v>
      </c>
      <c r="HX46" s="4">
        <v>1200000</v>
      </c>
      <c r="HY46" s="4">
        <v>0</v>
      </c>
      <c r="HZ46" s="4">
        <v>250000</v>
      </c>
      <c r="IA46" s="4">
        <v>470000</v>
      </c>
      <c r="IB46" s="4">
        <v>550000</v>
      </c>
      <c r="IC46" s="4">
        <v>600000</v>
      </c>
      <c r="ID46" s="4">
        <v>650000</v>
      </c>
      <c r="IE46" s="4">
        <v>800000</v>
      </c>
      <c r="IF46" s="4">
        <v>0</v>
      </c>
      <c r="IG46" s="4">
        <v>250000</v>
      </c>
      <c r="IH46" s="4">
        <v>470000</v>
      </c>
      <c r="II46" s="4">
        <v>550000</v>
      </c>
      <c r="IJ46" s="4">
        <v>600000</v>
      </c>
      <c r="IK46" s="4">
        <v>650000</v>
      </c>
      <c r="IL46" s="4">
        <v>800000</v>
      </c>
      <c r="IM46" s="4">
        <v>0</v>
      </c>
      <c r="IN46" s="4">
        <v>250000</v>
      </c>
      <c r="IO46" s="4">
        <v>470000</v>
      </c>
      <c r="IP46" s="4">
        <v>550000</v>
      </c>
      <c r="IQ46" s="4">
        <v>600000</v>
      </c>
      <c r="IR46" s="4">
        <v>650000</v>
      </c>
      <c r="IS46" s="4">
        <v>800000</v>
      </c>
      <c r="IT46" s="4">
        <v>0</v>
      </c>
      <c r="IU46" s="4">
        <v>400000</v>
      </c>
      <c r="IV46" s="4">
        <v>752000</v>
      </c>
      <c r="IW46" s="4">
        <v>880000</v>
      </c>
      <c r="IX46" s="4">
        <v>960000</v>
      </c>
      <c r="IY46" s="4">
        <v>1000000</v>
      </c>
      <c r="IZ46" s="4">
        <v>1000000</v>
      </c>
      <c r="JA46" s="4">
        <v>0</v>
      </c>
      <c r="JB46" s="4">
        <v>112500</v>
      </c>
      <c r="JC46" s="4">
        <v>211500</v>
      </c>
      <c r="JD46" s="4">
        <v>247500</v>
      </c>
      <c r="JE46" s="4">
        <v>270000</v>
      </c>
      <c r="JF46" s="4">
        <v>292500</v>
      </c>
      <c r="JG46" s="4">
        <v>360000</v>
      </c>
      <c r="JH46" s="4">
        <v>0</v>
      </c>
      <c r="JI46" s="4">
        <v>250000</v>
      </c>
      <c r="JJ46" s="4">
        <v>470000</v>
      </c>
      <c r="JK46" s="4">
        <v>550000</v>
      </c>
      <c r="JL46" s="4">
        <v>600000</v>
      </c>
      <c r="JM46" s="4">
        <v>650000</v>
      </c>
      <c r="JN46" s="4">
        <v>800000</v>
      </c>
      <c r="JO46" s="4">
        <v>0</v>
      </c>
      <c r="JP46" s="4">
        <v>250000</v>
      </c>
      <c r="JQ46" s="4">
        <v>470000</v>
      </c>
      <c r="JR46" s="4">
        <v>550000</v>
      </c>
      <c r="JS46" s="4">
        <v>600000</v>
      </c>
      <c r="JT46" s="4">
        <v>650000</v>
      </c>
      <c r="JU46" s="4">
        <v>800000</v>
      </c>
      <c r="JV46" s="4">
        <v>0</v>
      </c>
      <c r="JW46" s="4">
        <v>400000</v>
      </c>
      <c r="JX46" s="4">
        <v>752000</v>
      </c>
      <c r="JY46" s="4">
        <v>880000</v>
      </c>
      <c r="JZ46" s="4">
        <v>960000</v>
      </c>
      <c r="KA46" s="4">
        <v>1000000</v>
      </c>
      <c r="KB46" s="4">
        <v>1000000</v>
      </c>
      <c r="KC46" s="4">
        <v>0</v>
      </c>
      <c r="KD46" s="4">
        <v>112500</v>
      </c>
      <c r="KE46" s="4">
        <v>211500</v>
      </c>
      <c r="KF46" s="4">
        <v>247500</v>
      </c>
      <c r="KG46" s="4">
        <v>270000</v>
      </c>
      <c r="KH46" s="4">
        <v>292500</v>
      </c>
      <c r="KI46" s="4">
        <v>360000</v>
      </c>
      <c r="KJ46" s="4">
        <v>0</v>
      </c>
      <c r="KK46" s="4">
        <v>250000</v>
      </c>
      <c r="KL46" s="4">
        <v>470000</v>
      </c>
      <c r="KM46" s="4">
        <v>550000</v>
      </c>
      <c r="KN46" s="4">
        <v>600000</v>
      </c>
      <c r="KO46" s="4">
        <v>650000</v>
      </c>
      <c r="KP46" s="4">
        <v>800000</v>
      </c>
      <c r="KQ46" s="4">
        <v>0</v>
      </c>
      <c r="KR46" s="4">
        <v>250000</v>
      </c>
      <c r="KS46" s="4">
        <v>470000</v>
      </c>
      <c r="KT46" s="4">
        <v>550000</v>
      </c>
      <c r="KU46" s="4">
        <v>600000</v>
      </c>
      <c r="KV46" s="4">
        <v>650000</v>
      </c>
      <c r="KW46" s="4">
        <v>800000</v>
      </c>
      <c r="KX46" s="4">
        <v>0</v>
      </c>
      <c r="KY46" s="4">
        <v>112500</v>
      </c>
      <c r="KZ46" s="4">
        <v>211500</v>
      </c>
      <c r="LA46" s="4">
        <v>247500</v>
      </c>
      <c r="LB46" s="4">
        <v>270000</v>
      </c>
      <c r="LC46" s="4">
        <v>292500</v>
      </c>
      <c r="LD46" s="4">
        <v>360000</v>
      </c>
      <c r="LE46" s="4">
        <v>0</v>
      </c>
      <c r="LF46" s="4">
        <v>112500</v>
      </c>
      <c r="LG46" s="4">
        <v>211500</v>
      </c>
      <c r="LH46" s="4">
        <v>247500</v>
      </c>
      <c r="LI46" s="4">
        <v>270000</v>
      </c>
      <c r="LJ46" s="4">
        <v>292500</v>
      </c>
      <c r="LK46" s="4">
        <v>360000</v>
      </c>
      <c r="LL46" s="4">
        <v>0</v>
      </c>
      <c r="LM46" s="4">
        <v>112500</v>
      </c>
      <c r="LN46" s="4">
        <v>211500</v>
      </c>
      <c r="LO46" s="4">
        <v>247500</v>
      </c>
      <c r="LP46" s="4">
        <v>270000</v>
      </c>
      <c r="LQ46" s="4">
        <v>292500</v>
      </c>
      <c r="LR46" s="4">
        <v>360000</v>
      </c>
      <c r="LS46" s="4">
        <v>0</v>
      </c>
      <c r="LT46" s="4">
        <v>400000</v>
      </c>
      <c r="LU46" s="4">
        <v>752000</v>
      </c>
      <c r="LV46" s="4">
        <v>880000</v>
      </c>
      <c r="LW46" s="4">
        <v>960000</v>
      </c>
      <c r="LX46" s="4">
        <v>1000000</v>
      </c>
      <c r="LY46" s="4">
        <v>1000000</v>
      </c>
      <c r="LZ46" s="4">
        <v>0</v>
      </c>
      <c r="MA46" s="4">
        <v>600000</v>
      </c>
      <c r="MB46" s="4">
        <v>1128000</v>
      </c>
      <c r="MC46" s="4">
        <v>1200000</v>
      </c>
      <c r="MD46" s="4">
        <v>1200000</v>
      </c>
      <c r="ME46" s="4">
        <v>1200000</v>
      </c>
      <c r="MF46" s="4">
        <v>1200000</v>
      </c>
      <c r="MG46" s="4">
        <v>0</v>
      </c>
      <c r="MH46" s="4">
        <v>0</v>
      </c>
      <c r="MI46" s="4">
        <v>0</v>
      </c>
      <c r="MJ46" s="4">
        <v>0</v>
      </c>
      <c r="MK46" s="4">
        <v>0</v>
      </c>
      <c r="ML46" s="4">
        <v>0</v>
      </c>
      <c r="MM46" s="4">
        <v>0</v>
      </c>
      <c r="MN46" s="4">
        <v>0</v>
      </c>
      <c r="MO46" s="4">
        <v>937500</v>
      </c>
      <c r="MP46" s="4">
        <v>1500000</v>
      </c>
      <c r="MQ46" s="4">
        <v>1500000</v>
      </c>
      <c r="MR46" s="4">
        <v>1500000</v>
      </c>
      <c r="MS46" s="4">
        <v>1500000</v>
      </c>
      <c r="MT46" s="4">
        <v>1500000</v>
      </c>
      <c r="MU46" s="4">
        <v>0</v>
      </c>
      <c r="MV46" s="4">
        <v>0</v>
      </c>
    </row>
    <row r="49" spans="1:1" s="123" customFormat="1">
      <c r="A49" s="124" t="s">
        <v>91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fitToHeight="0" orientation="landscape" r:id="rId1"/>
  <headerFooter>
    <oddFooter>&amp;L&amp;"Arial,Regular"Financial Modeling Institute
CFM October 2026&amp;C&amp;"Arial,Regular"Page &amp;P of &amp;N&amp;R&amp;"Arial,Regular"&amp;D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X275"/>
  <sheetViews>
    <sheetView showGridLines="0" zoomScaleNormal="100" workbookViewId="0">
      <pane ySplit="1" topLeftCell="A2" activePane="bottomLeft" state="frozen"/>
      <selection activeCell="C67" sqref="C67"/>
      <selection pane="bottomLeft" activeCell="H105" sqref="H105"/>
    </sheetView>
  </sheetViews>
  <sheetFormatPr defaultColWidth="8.6640625" defaultRowHeight="14.4"/>
  <cols>
    <col min="1" max="1" width="2.5546875" style="4" customWidth="1"/>
    <col min="2" max="2" width="14.5546875" style="4" customWidth="1"/>
    <col min="3" max="9" width="13.109375" style="4" customWidth="1"/>
    <col min="10" max="10" width="14.88671875" style="4" customWidth="1"/>
    <col min="11" max="11" width="14.33203125" style="4" customWidth="1"/>
    <col min="12" max="13" width="13.109375" style="4" customWidth="1"/>
    <col min="14" max="14" width="13.33203125" style="4" customWidth="1"/>
    <col min="15" max="15" width="15.88671875" style="4" customWidth="1"/>
    <col min="16" max="16" width="13.109375" style="4" customWidth="1"/>
    <col min="17" max="17" width="8.6640625" style="4"/>
    <col min="19" max="16384" width="8.6640625" style="4"/>
  </cols>
  <sheetData>
    <row r="1" spans="1:24" s="1" customFormat="1" ht="13.2">
      <c r="A1" s="2" t="s">
        <v>33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6"/>
      <c r="S1" s="6"/>
      <c r="T1" s="6"/>
      <c r="U1" s="6"/>
      <c r="V1" s="6"/>
      <c r="W1" s="6"/>
      <c r="X1" s="6"/>
    </row>
    <row r="2" spans="1:24" s="6" customFormat="1" ht="13.2"/>
    <row r="3" spans="1:24" s="6" customFormat="1" ht="13.2">
      <c r="B3" s="7" t="s">
        <v>0</v>
      </c>
      <c r="C3" s="7"/>
      <c r="D3" s="5" t="s">
        <v>1</v>
      </c>
      <c r="E3" s="8">
        <v>750</v>
      </c>
    </row>
    <row r="4" spans="1:24" s="6" customFormat="1" ht="13.2">
      <c r="B4" s="7" t="s">
        <v>2</v>
      </c>
      <c r="C4" s="7"/>
      <c r="D4" s="5" t="s">
        <v>3</v>
      </c>
      <c r="E4" s="9">
        <v>50000</v>
      </c>
    </row>
    <row r="5" spans="1:24" s="6" customFormat="1" ht="13.2">
      <c r="B5" s="7" t="s">
        <v>105</v>
      </c>
      <c r="C5" s="7"/>
      <c r="D5" s="5" t="s">
        <v>106</v>
      </c>
      <c r="E5" s="9" t="b">
        <v>0</v>
      </c>
    </row>
    <row r="6" spans="1:24" s="6" customFormat="1" ht="13.2">
      <c r="M6" s="10"/>
    </row>
    <row r="7" spans="1:24" s="6" customFormat="1" ht="13.2">
      <c r="B7" s="7" t="s">
        <v>4</v>
      </c>
      <c r="C7" s="7"/>
      <c r="D7" s="11"/>
      <c r="F7" s="7" t="s">
        <v>5</v>
      </c>
      <c r="G7" s="11"/>
      <c r="H7" s="11"/>
      <c r="J7" s="7" t="s">
        <v>6</v>
      </c>
      <c r="K7" s="11"/>
      <c r="M7" s="7" t="s">
        <v>7</v>
      </c>
      <c r="N7" s="11"/>
      <c r="O7" s="11"/>
    </row>
    <row r="8" spans="1:24" s="6" customFormat="1" ht="13.2">
      <c r="B8" s="119" t="s">
        <v>8</v>
      </c>
      <c r="C8" s="119" t="s">
        <v>112</v>
      </c>
      <c r="D8" s="119" t="s">
        <v>10</v>
      </c>
      <c r="F8" s="119" t="s">
        <v>11</v>
      </c>
      <c r="G8" s="119" t="s">
        <v>12</v>
      </c>
      <c r="H8" s="119" t="s">
        <v>128</v>
      </c>
      <c r="J8" s="119" t="s">
        <v>13</v>
      </c>
      <c r="K8" s="119" t="s">
        <v>14</v>
      </c>
      <c r="M8" s="119" t="s">
        <v>12</v>
      </c>
      <c r="N8" s="119" t="s">
        <v>15</v>
      </c>
      <c r="O8" s="119" t="s">
        <v>16</v>
      </c>
    </row>
    <row r="9" spans="1:24" s="6" customFormat="1" ht="13.2">
      <c r="B9" s="21">
        <v>44009</v>
      </c>
      <c r="C9" s="22">
        <f t="shared" ref="C9:C39" si="0">B9-6</f>
        <v>44003</v>
      </c>
      <c r="D9" s="26">
        <v>4800</v>
      </c>
      <c r="F9" s="21">
        <v>44058</v>
      </c>
      <c r="G9" s="31">
        <v>3</v>
      </c>
      <c r="H9" s="133">
        <f>Capacity - SUMIFS( tbl_SeasonTicketSale[Sales], tbl_SeasonTicketSale[Week ending], "&lt;=" &amp; tbl_GameDates[[#This Row],[Date]] )</f>
        <v>24350</v>
      </c>
      <c r="J9" s="35">
        <v>6</v>
      </c>
      <c r="K9" s="37">
        <v>0.25</v>
      </c>
      <c r="M9" s="35">
        <v>1</v>
      </c>
      <c r="N9" s="23">
        <v>15000</v>
      </c>
      <c r="O9" s="26">
        <v>30</v>
      </c>
    </row>
    <row r="10" spans="1:24" s="6" customFormat="1" ht="13.2">
      <c r="B10" s="24">
        <v>44016</v>
      </c>
      <c r="C10" s="13">
        <f t="shared" si="0"/>
        <v>44010</v>
      </c>
      <c r="D10" s="27">
        <v>3800</v>
      </c>
      <c r="F10" s="24">
        <v>44065</v>
      </c>
      <c r="G10" s="32">
        <v>2</v>
      </c>
      <c r="H10" s="133">
        <f>Capacity - SUMIFS( tbl_SeasonTicketSale[Sales], tbl_SeasonTicketSale[Week ending], "&lt;=" &amp; tbl_GameDates[[#This Row],[Date]] )</f>
        <v>22950</v>
      </c>
      <c r="J10" s="36">
        <v>5</v>
      </c>
      <c r="K10" s="38">
        <v>0.22</v>
      </c>
      <c r="M10" s="36">
        <v>2</v>
      </c>
      <c r="N10" s="25">
        <v>25000</v>
      </c>
      <c r="O10" s="27">
        <v>40</v>
      </c>
    </row>
    <row r="11" spans="1:24" s="6" customFormat="1" ht="13.2">
      <c r="B11" s="24">
        <v>44023</v>
      </c>
      <c r="C11" s="13">
        <f t="shared" si="0"/>
        <v>44017</v>
      </c>
      <c r="D11" s="27">
        <v>3400</v>
      </c>
      <c r="F11" s="24">
        <v>44072</v>
      </c>
      <c r="G11" s="32">
        <v>1</v>
      </c>
      <c r="H11" s="133">
        <f>Capacity - SUMIFS( tbl_SeasonTicketSale[Sales], tbl_SeasonTicketSale[Week ending], "&lt;=" &amp; tbl_GameDates[[#This Row],[Date]] )</f>
        <v>22150</v>
      </c>
      <c r="J11" s="36">
        <v>4</v>
      </c>
      <c r="K11" s="38">
        <v>0.08</v>
      </c>
      <c r="M11" s="36">
        <v>3</v>
      </c>
      <c r="N11" s="25">
        <v>32000</v>
      </c>
      <c r="O11" s="27">
        <v>50</v>
      </c>
    </row>
    <row r="12" spans="1:24" s="6" customFormat="1" ht="13.2">
      <c r="B12" s="24">
        <v>44030</v>
      </c>
      <c r="C12" s="13">
        <f t="shared" si="0"/>
        <v>44024</v>
      </c>
      <c r="D12" s="27">
        <v>2800</v>
      </c>
      <c r="F12" s="24">
        <v>44079</v>
      </c>
      <c r="G12" s="32">
        <v>3</v>
      </c>
      <c r="H12" s="133">
        <f>Capacity - SUMIFS( tbl_SeasonTicketSale[Sales], tbl_SeasonTicketSale[Week ending], "&lt;=" &amp; tbl_GameDates[[#This Row],[Date]] )</f>
        <v>21650</v>
      </c>
      <c r="J12" s="36">
        <v>3</v>
      </c>
      <c r="K12" s="38">
        <v>0.05</v>
      </c>
      <c r="M12" s="36">
        <v>4</v>
      </c>
      <c r="N12" s="25">
        <v>40000</v>
      </c>
      <c r="O12" s="27">
        <v>60</v>
      </c>
    </row>
    <row r="13" spans="1:24" s="6" customFormat="1" ht="13.2">
      <c r="B13" s="24">
        <v>44037</v>
      </c>
      <c r="C13" s="13">
        <f t="shared" si="0"/>
        <v>44031</v>
      </c>
      <c r="D13" s="27">
        <v>2700</v>
      </c>
      <c r="F13" s="24">
        <v>44086</v>
      </c>
      <c r="G13" s="32">
        <v>1</v>
      </c>
      <c r="H13" s="133">
        <f>Capacity - SUMIFS( tbl_SeasonTicketSale[Sales], tbl_SeasonTicketSale[Week ending], "&lt;=" &amp; tbl_GameDates[[#This Row],[Date]] )</f>
        <v>21450</v>
      </c>
      <c r="J13" s="36">
        <v>2</v>
      </c>
      <c r="K13" s="38">
        <v>0.05</v>
      </c>
      <c r="M13" s="36">
        <v>5</v>
      </c>
      <c r="N13" s="120">
        <v>50000</v>
      </c>
      <c r="O13" s="27">
        <v>75</v>
      </c>
    </row>
    <row r="14" spans="1:24" s="6" customFormat="1" ht="13.2">
      <c r="B14" s="24">
        <v>44044</v>
      </c>
      <c r="C14" s="13">
        <f t="shared" si="0"/>
        <v>44038</v>
      </c>
      <c r="D14" s="27">
        <v>2750</v>
      </c>
      <c r="F14" s="24">
        <v>44093</v>
      </c>
      <c r="G14" s="32">
        <v>2</v>
      </c>
      <c r="H14" s="133">
        <f>Capacity - SUMIFS( tbl_SeasonTicketSale[Sales], tbl_SeasonTicketSale[Week ending], "&lt;=" &amp; tbl_GameDates[[#This Row],[Date]] )</f>
        <v>21300</v>
      </c>
      <c r="J14" s="36">
        <v>1</v>
      </c>
      <c r="K14" s="38">
        <v>0.15</v>
      </c>
    </row>
    <row r="15" spans="1:24" s="6" customFormat="1" ht="13.2">
      <c r="B15" s="24">
        <v>44051</v>
      </c>
      <c r="C15" s="13">
        <f t="shared" si="0"/>
        <v>44045</v>
      </c>
      <c r="D15" s="27">
        <v>2600</v>
      </c>
      <c r="F15" s="24">
        <v>44100</v>
      </c>
      <c r="G15" s="32">
        <v>1</v>
      </c>
      <c r="H15" s="133">
        <f>Capacity - SUMIFS( tbl_SeasonTicketSale[Sales], tbl_SeasonTicketSale[Week ending], "&lt;=" &amp; tbl_GameDates[[#This Row],[Date]] )</f>
        <v>21250</v>
      </c>
      <c r="J15" s="36">
        <v>0</v>
      </c>
      <c r="K15" s="38">
        <v>0.2</v>
      </c>
    </row>
    <row r="16" spans="1:24" s="6" customFormat="1" ht="13.2">
      <c r="B16" s="24">
        <v>44058</v>
      </c>
      <c r="C16" s="13">
        <f t="shared" si="0"/>
        <v>44052</v>
      </c>
      <c r="D16" s="27">
        <v>2800</v>
      </c>
      <c r="F16" s="24">
        <v>44107</v>
      </c>
      <c r="G16" s="32">
        <v>2</v>
      </c>
      <c r="H16" s="133">
        <f>Capacity - SUMIFS( tbl_SeasonTicketSale[Sales], tbl_SeasonTicketSale[Week ending], "&lt;=" &amp; tbl_GameDates[[#This Row],[Date]] )</f>
        <v>21200</v>
      </c>
      <c r="J16" s="28" t="s">
        <v>17</v>
      </c>
      <c r="K16" s="39">
        <f>SUM(K9:K15)</f>
        <v>1</v>
      </c>
    </row>
    <row r="17" spans="2:16" s="6" customFormat="1" ht="13.2">
      <c r="B17" s="24">
        <v>44065</v>
      </c>
      <c r="C17" s="13">
        <f t="shared" si="0"/>
        <v>44059</v>
      </c>
      <c r="D17" s="27">
        <v>1400</v>
      </c>
      <c r="F17" s="24">
        <v>44114</v>
      </c>
      <c r="G17" s="32">
        <v>2</v>
      </c>
      <c r="H17" s="133">
        <f>Capacity - SUMIFS( tbl_SeasonTicketSale[Sales], tbl_SeasonTicketSale[Week ending], "&lt;=" &amp; tbl_GameDates[[#This Row],[Date]] )</f>
        <v>21150</v>
      </c>
    </row>
    <row r="18" spans="2:16" s="6" customFormat="1" ht="13.2">
      <c r="B18" s="24">
        <v>44072</v>
      </c>
      <c r="C18" s="13">
        <f t="shared" si="0"/>
        <v>44066</v>
      </c>
      <c r="D18" s="27">
        <v>800</v>
      </c>
      <c r="F18" s="24">
        <v>44121</v>
      </c>
      <c r="G18" s="32">
        <v>1</v>
      </c>
      <c r="H18" s="133">
        <f>Capacity - SUMIFS( tbl_SeasonTicketSale[Sales], tbl_SeasonTicketSale[Week ending], "&lt;=" &amp; tbl_GameDates[[#This Row],[Date]] )</f>
        <v>21100</v>
      </c>
      <c r="N18" s="14"/>
      <c r="O18" s="14"/>
    </row>
    <row r="19" spans="2:16" s="6" customFormat="1" ht="13.2">
      <c r="B19" s="24">
        <v>44079</v>
      </c>
      <c r="C19" s="13">
        <f t="shared" si="0"/>
        <v>44073</v>
      </c>
      <c r="D19" s="27">
        <v>500</v>
      </c>
      <c r="F19" s="24">
        <v>44128</v>
      </c>
      <c r="G19" s="32">
        <v>2</v>
      </c>
      <c r="H19" s="133">
        <f>Capacity - SUMIFS( tbl_SeasonTicketSale[Sales], tbl_SeasonTicketSale[Week ending], "&lt;=" &amp; tbl_GameDates[[#This Row],[Date]] )</f>
        <v>21050</v>
      </c>
      <c r="N19" s="14"/>
      <c r="O19" s="14"/>
    </row>
    <row r="20" spans="2:16" s="6" customFormat="1" ht="13.2">
      <c r="B20" s="24">
        <v>44086</v>
      </c>
      <c r="C20" s="13">
        <f t="shared" si="0"/>
        <v>44080</v>
      </c>
      <c r="D20" s="27">
        <v>200</v>
      </c>
      <c r="F20" s="24">
        <v>44135</v>
      </c>
      <c r="G20" s="32">
        <v>1</v>
      </c>
      <c r="H20" s="133">
        <f>Capacity - SUMIFS( tbl_SeasonTicketSale[Sales], tbl_SeasonTicketSale[Week ending], "&lt;=" &amp; tbl_GameDates[[#This Row],[Date]] )</f>
        <v>21000</v>
      </c>
      <c r="N20" s="14"/>
      <c r="O20" s="14"/>
    </row>
    <row r="21" spans="2:16" s="6" customFormat="1" ht="13.2">
      <c r="B21" s="24">
        <v>44093</v>
      </c>
      <c r="C21" s="13">
        <f t="shared" si="0"/>
        <v>44087</v>
      </c>
      <c r="D21" s="27">
        <v>150</v>
      </c>
      <c r="F21" s="24">
        <v>44142</v>
      </c>
      <c r="G21" s="32">
        <v>4</v>
      </c>
      <c r="H21" s="133">
        <f>Capacity - SUMIFS( tbl_SeasonTicketSale[Sales], tbl_SeasonTicketSale[Week ending], "&lt;=" &amp; tbl_GameDates[[#This Row],[Date]] )</f>
        <v>20950</v>
      </c>
    </row>
    <row r="22" spans="2:16" s="6" customFormat="1" ht="13.2">
      <c r="B22" s="24">
        <v>44100</v>
      </c>
      <c r="C22" s="13">
        <f t="shared" si="0"/>
        <v>44094</v>
      </c>
      <c r="D22" s="27">
        <v>50</v>
      </c>
      <c r="F22" s="24">
        <v>44149</v>
      </c>
      <c r="G22" s="32">
        <v>1</v>
      </c>
      <c r="H22" s="133">
        <f>Capacity - SUMIFS( tbl_SeasonTicketSale[Sales], tbl_SeasonTicketSale[Week ending], "&lt;=" &amp; tbl_GameDates[[#This Row],[Date]] )</f>
        <v>20900</v>
      </c>
    </row>
    <row r="23" spans="2:16" s="6" customFormat="1" ht="13.2">
      <c r="B23" s="24">
        <v>44107</v>
      </c>
      <c r="C23" s="13">
        <f t="shared" si="0"/>
        <v>44101</v>
      </c>
      <c r="D23" s="27">
        <v>50</v>
      </c>
      <c r="F23" s="24">
        <v>44156</v>
      </c>
      <c r="G23" s="32">
        <v>2</v>
      </c>
      <c r="H23" s="133">
        <f>Capacity - SUMIFS( tbl_SeasonTicketSale[Sales], tbl_SeasonTicketSale[Week ending], "&lt;=" &amp; tbl_GameDates[[#This Row],[Date]] )</f>
        <v>20850</v>
      </c>
    </row>
    <row r="24" spans="2:16" s="6" customFormat="1" ht="13.2">
      <c r="B24" s="24">
        <v>44114</v>
      </c>
      <c r="C24" s="13">
        <f t="shared" si="0"/>
        <v>44108</v>
      </c>
      <c r="D24" s="27">
        <v>50</v>
      </c>
      <c r="F24" s="24">
        <v>44163</v>
      </c>
      <c r="G24" s="32">
        <v>2</v>
      </c>
      <c r="H24" s="133">
        <f>Capacity - SUMIFS( tbl_SeasonTicketSale[Sales], tbl_SeasonTicketSale[Week ending], "&lt;=" &amp; tbl_GameDates[[#This Row],[Date]] )</f>
        <v>20800</v>
      </c>
      <c r="J24" s="122" t="s">
        <v>89</v>
      </c>
      <c r="P24" s="10"/>
    </row>
    <row r="25" spans="2:16" s="6" customFormat="1" ht="13.2">
      <c r="B25" s="24">
        <v>44121</v>
      </c>
      <c r="C25" s="13">
        <f t="shared" si="0"/>
        <v>44115</v>
      </c>
      <c r="D25" s="27">
        <v>50</v>
      </c>
      <c r="F25" s="24">
        <v>44170</v>
      </c>
      <c r="G25" s="32">
        <v>2</v>
      </c>
      <c r="H25" s="133">
        <f>Capacity - SUMIFS( tbl_SeasonTicketSale[Sales], tbl_SeasonTicketSale[Week ending], "&lt;=" &amp; tbl_GameDates[[#This Row],[Date]] )</f>
        <v>20750</v>
      </c>
      <c r="P25" s="10"/>
    </row>
    <row r="26" spans="2:16" s="6" customFormat="1" ht="13.2">
      <c r="B26" s="24">
        <v>44128</v>
      </c>
      <c r="C26" s="13">
        <f t="shared" si="0"/>
        <v>44122</v>
      </c>
      <c r="D26" s="27">
        <v>50</v>
      </c>
      <c r="F26" s="24">
        <v>44177</v>
      </c>
      <c r="G26" s="32">
        <v>1</v>
      </c>
      <c r="H26" s="133">
        <f>Capacity - SUMIFS( tbl_SeasonTicketSale[Sales], tbl_SeasonTicketSale[Week ending], "&lt;=" &amp; tbl_GameDates[[#This Row],[Date]] )</f>
        <v>20500</v>
      </c>
      <c r="P26" s="10"/>
    </row>
    <row r="27" spans="2:16" s="6" customFormat="1" ht="13.2">
      <c r="B27" s="24">
        <v>44135</v>
      </c>
      <c r="C27" s="13">
        <f t="shared" si="0"/>
        <v>44129</v>
      </c>
      <c r="D27" s="27">
        <v>50</v>
      </c>
      <c r="F27" s="24">
        <v>44198</v>
      </c>
      <c r="G27" s="32">
        <v>1</v>
      </c>
      <c r="H27" s="133">
        <f>Capacity - SUMIFS( tbl_SeasonTicketSale[Sales], tbl_SeasonTicketSale[Week ending], "&lt;=" &amp; tbl_GameDates[[#This Row],[Date]] )</f>
        <v>20150</v>
      </c>
      <c r="P27" s="10"/>
    </row>
    <row r="28" spans="2:16" s="6" customFormat="1" ht="13.2">
      <c r="B28" s="24">
        <v>44142</v>
      </c>
      <c r="C28" s="13">
        <f t="shared" si="0"/>
        <v>44136</v>
      </c>
      <c r="D28" s="27">
        <v>50</v>
      </c>
      <c r="F28" s="24">
        <v>44205</v>
      </c>
      <c r="G28" s="32">
        <v>1</v>
      </c>
      <c r="H28" s="133">
        <f>Capacity - SUMIFS( tbl_SeasonTicketSale[Sales], tbl_SeasonTicketSale[Week ending], "&lt;=" &amp; tbl_GameDates[[#This Row],[Date]] )</f>
        <v>20100</v>
      </c>
      <c r="P28" s="10"/>
    </row>
    <row r="29" spans="2:16" s="6" customFormat="1" ht="13.2">
      <c r="B29" s="24">
        <v>44149</v>
      </c>
      <c r="C29" s="13">
        <f t="shared" si="0"/>
        <v>44143</v>
      </c>
      <c r="D29" s="27">
        <v>50</v>
      </c>
      <c r="F29" s="24">
        <v>44212</v>
      </c>
      <c r="G29" s="32">
        <v>3</v>
      </c>
      <c r="H29" s="133">
        <f>Capacity - SUMIFS( tbl_SeasonTicketSale[Sales], tbl_SeasonTicketSale[Week ending], "&lt;=" &amp; tbl_GameDates[[#This Row],[Date]] )</f>
        <v>20050</v>
      </c>
    </row>
    <row r="30" spans="2:16" s="6" customFormat="1" ht="13.2">
      <c r="B30" s="24">
        <v>44156</v>
      </c>
      <c r="C30" s="13">
        <f t="shared" si="0"/>
        <v>44150</v>
      </c>
      <c r="D30" s="27">
        <v>50</v>
      </c>
      <c r="F30" s="24">
        <v>44219</v>
      </c>
      <c r="G30" s="32">
        <v>1</v>
      </c>
      <c r="H30" s="133">
        <f>Capacity - SUMIFS( tbl_SeasonTicketSale[Sales], tbl_SeasonTicketSale[Week ending], "&lt;=" &amp; tbl_GameDates[[#This Row],[Date]] )</f>
        <v>20000</v>
      </c>
    </row>
    <row r="31" spans="2:16" s="6" customFormat="1" ht="13.2">
      <c r="B31" s="24">
        <v>44163</v>
      </c>
      <c r="C31" s="13">
        <f t="shared" si="0"/>
        <v>44157</v>
      </c>
      <c r="D31" s="27">
        <v>50</v>
      </c>
      <c r="F31" s="24">
        <v>44226</v>
      </c>
      <c r="G31" s="32">
        <v>4</v>
      </c>
      <c r="H31" s="133">
        <f>Capacity - SUMIFS( tbl_SeasonTicketSale[Sales], tbl_SeasonTicketSale[Week ending], "&lt;=" &amp; tbl_GameDates[[#This Row],[Date]] )</f>
        <v>20000</v>
      </c>
    </row>
    <row r="32" spans="2:16" s="6" customFormat="1" ht="13.2">
      <c r="B32" s="24">
        <v>44170</v>
      </c>
      <c r="C32" s="13">
        <f t="shared" si="0"/>
        <v>44164</v>
      </c>
      <c r="D32" s="27">
        <v>50</v>
      </c>
      <c r="F32" s="24">
        <v>44233</v>
      </c>
      <c r="G32" s="32">
        <v>2</v>
      </c>
      <c r="H32" s="133">
        <f>Capacity - SUMIFS( tbl_SeasonTicketSale[Sales], tbl_SeasonTicketSale[Week ending], "&lt;=" &amp; tbl_GameDates[[#This Row],[Date]] )</f>
        <v>20000</v>
      </c>
    </row>
    <row r="33" spans="2:8" s="6" customFormat="1" ht="13.2">
      <c r="B33" s="24">
        <v>44177</v>
      </c>
      <c r="C33" s="13">
        <f t="shared" si="0"/>
        <v>44171</v>
      </c>
      <c r="D33" s="27">
        <v>250</v>
      </c>
      <c r="F33" s="24">
        <v>44240</v>
      </c>
      <c r="G33" s="32">
        <v>2</v>
      </c>
      <c r="H33" s="133">
        <f>Capacity - SUMIFS( tbl_SeasonTicketSale[Sales], tbl_SeasonTicketSale[Week ending], "&lt;=" &amp; tbl_GameDates[[#This Row],[Date]] )</f>
        <v>20000</v>
      </c>
    </row>
    <row r="34" spans="2:8" s="6" customFormat="1" ht="13.2">
      <c r="B34" s="24">
        <v>44184</v>
      </c>
      <c r="C34" s="13">
        <f t="shared" si="0"/>
        <v>44178</v>
      </c>
      <c r="D34" s="27">
        <v>250</v>
      </c>
      <c r="F34" s="24">
        <v>44247</v>
      </c>
      <c r="G34" s="32">
        <v>2</v>
      </c>
      <c r="H34" s="133">
        <f>Capacity - SUMIFS( tbl_SeasonTicketSale[Sales], tbl_SeasonTicketSale[Week ending], "&lt;=" &amp; tbl_GameDates[[#This Row],[Date]] )</f>
        <v>20000</v>
      </c>
    </row>
    <row r="35" spans="2:8" s="6" customFormat="1" ht="13.2">
      <c r="B35" s="24">
        <v>44191</v>
      </c>
      <c r="C35" s="13">
        <f t="shared" si="0"/>
        <v>44185</v>
      </c>
      <c r="D35" s="27">
        <v>50</v>
      </c>
      <c r="F35" s="24">
        <v>44254</v>
      </c>
      <c r="G35" s="32">
        <v>3</v>
      </c>
      <c r="H35" s="133">
        <f>Capacity - SUMIFS( tbl_SeasonTicketSale[Sales], tbl_SeasonTicketSale[Week ending], "&lt;=" &amp; tbl_GameDates[[#This Row],[Date]] )</f>
        <v>20000</v>
      </c>
    </row>
    <row r="36" spans="2:8" s="6" customFormat="1" ht="13.2">
      <c r="B36" s="24">
        <v>44198</v>
      </c>
      <c r="C36" s="13">
        <f t="shared" si="0"/>
        <v>44192</v>
      </c>
      <c r="D36" s="27">
        <v>50</v>
      </c>
      <c r="F36" s="24">
        <v>44261</v>
      </c>
      <c r="G36" s="32">
        <v>1</v>
      </c>
      <c r="H36" s="133">
        <f>Capacity - SUMIFS( tbl_SeasonTicketSale[Sales], tbl_SeasonTicketSale[Week ending], "&lt;=" &amp; tbl_GameDates[[#This Row],[Date]] )</f>
        <v>20000</v>
      </c>
    </row>
    <row r="37" spans="2:8" s="6" customFormat="1" ht="13.2">
      <c r="B37" s="24">
        <v>44205</v>
      </c>
      <c r="C37" s="13">
        <f t="shared" si="0"/>
        <v>44199</v>
      </c>
      <c r="D37" s="27">
        <v>50</v>
      </c>
      <c r="F37" s="24">
        <v>44268</v>
      </c>
      <c r="G37" s="32">
        <v>2</v>
      </c>
      <c r="H37" s="133">
        <f>Capacity - SUMIFS( tbl_SeasonTicketSale[Sales], tbl_SeasonTicketSale[Week ending], "&lt;=" &amp; tbl_GameDates[[#This Row],[Date]] )</f>
        <v>20000</v>
      </c>
    </row>
    <row r="38" spans="2:8" s="6" customFormat="1" ht="13.2">
      <c r="B38" s="24">
        <v>44212</v>
      </c>
      <c r="C38" s="13">
        <f t="shared" si="0"/>
        <v>44206</v>
      </c>
      <c r="D38" s="27">
        <v>50</v>
      </c>
      <c r="F38" s="24">
        <v>44275</v>
      </c>
      <c r="G38" s="32">
        <v>2</v>
      </c>
      <c r="H38" s="133">
        <f>Capacity - SUMIFS( tbl_SeasonTicketSale[Sales], tbl_SeasonTicketSale[Week ending], "&lt;=" &amp; tbl_GameDates[[#This Row],[Date]] )</f>
        <v>20000</v>
      </c>
    </row>
    <row r="39" spans="2:8" s="6" customFormat="1" ht="13.8" thickBot="1">
      <c r="B39" s="24">
        <v>44219</v>
      </c>
      <c r="C39" s="13">
        <f t="shared" si="0"/>
        <v>44213</v>
      </c>
      <c r="D39" s="27">
        <v>50</v>
      </c>
      <c r="F39" s="24">
        <v>44282</v>
      </c>
      <c r="G39" s="32">
        <v>3</v>
      </c>
      <c r="H39" s="133">
        <f>Capacity - SUMIFS( tbl_SeasonTicketSale[Sales], tbl_SeasonTicketSale[Week ending], "&lt;=" &amp; tbl_GameDates[[#This Row],[Date]] )</f>
        <v>20000</v>
      </c>
    </row>
    <row r="40" spans="2:8" s="6" customFormat="1" ht="13.2">
      <c r="B40" s="28" t="s">
        <v>17</v>
      </c>
      <c r="C40" s="29"/>
      <c r="D40" s="30">
        <f>SUM(D9:D39)</f>
        <v>30000</v>
      </c>
      <c r="F40" s="24">
        <v>44289</v>
      </c>
      <c r="G40" s="32">
        <v>1</v>
      </c>
      <c r="H40" s="133">
        <f>Capacity - SUMIFS( tbl_SeasonTicketSale[Sales], tbl_SeasonTicketSale[Week ending], "&lt;=" &amp; tbl_GameDates[[#This Row],[Date]] )</f>
        <v>20000</v>
      </c>
    </row>
    <row r="41" spans="2:8" s="6" customFormat="1" ht="13.2">
      <c r="F41" s="24">
        <v>44296</v>
      </c>
      <c r="G41" s="32">
        <v>2</v>
      </c>
      <c r="H41" s="133">
        <f>Capacity - SUMIFS( tbl_SeasonTicketSale[Sales], tbl_SeasonTicketSale[Week ending], "&lt;=" &amp; tbl_GameDates[[#This Row],[Date]] )</f>
        <v>20000</v>
      </c>
    </row>
    <row r="42" spans="2:8" s="6" customFormat="1" ht="13.2">
      <c r="F42" s="24">
        <v>44303</v>
      </c>
      <c r="G42" s="32">
        <v>2</v>
      </c>
      <c r="H42" s="133">
        <f>Capacity - SUMIFS( tbl_SeasonTicketSale[Sales], tbl_SeasonTicketSale[Week ending], "&lt;=" &amp; tbl_GameDates[[#This Row],[Date]] )</f>
        <v>20000</v>
      </c>
    </row>
    <row r="43" spans="2:8" s="6" customFormat="1" ht="13.2">
      <c r="F43" s="24">
        <v>44310</v>
      </c>
      <c r="G43" s="32">
        <v>1</v>
      </c>
      <c r="H43" s="133">
        <f>Capacity - SUMIFS( tbl_SeasonTicketSale[Sales], tbl_SeasonTicketSale[Week ending], "&lt;=" &amp; tbl_GameDates[[#This Row],[Date]] )</f>
        <v>20000</v>
      </c>
    </row>
    <row r="44" spans="2:8" s="6" customFormat="1" ht="13.2">
      <c r="F44" s="24">
        <v>44317</v>
      </c>
      <c r="G44" s="32">
        <v>1</v>
      </c>
      <c r="H44" s="133">
        <f>Capacity - SUMIFS( tbl_SeasonTicketSale[Sales], tbl_SeasonTicketSale[Week ending], "&lt;=" &amp; tbl_GameDates[[#This Row],[Date]] )</f>
        <v>20000</v>
      </c>
    </row>
    <row r="45" spans="2:8" s="6" customFormat="1" ht="13.2">
      <c r="F45" s="24">
        <v>44324</v>
      </c>
      <c r="G45" s="32">
        <v>1</v>
      </c>
      <c r="H45" s="133">
        <f>Capacity - SUMIFS( tbl_SeasonTicketSale[Sales], tbl_SeasonTicketSale[Week ending], "&lt;=" &amp; tbl_GameDates[[#This Row],[Date]] )</f>
        <v>20000</v>
      </c>
    </row>
    <row r="46" spans="2:8" s="6" customFormat="1" ht="13.2">
      <c r="F46" s="24">
        <v>44331</v>
      </c>
      <c r="G46" s="32">
        <v>3</v>
      </c>
      <c r="H46" s="133">
        <f>Capacity - SUMIFS( tbl_SeasonTicketSale[Sales], tbl_SeasonTicketSale[Week ending], "&lt;=" &amp; tbl_GameDates[[#This Row],[Date]] )</f>
        <v>20000</v>
      </c>
    </row>
    <row r="47" spans="2:8" s="6" customFormat="1" ht="13.2">
      <c r="F47" s="24">
        <v>44338</v>
      </c>
      <c r="G47" s="32">
        <v>4</v>
      </c>
      <c r="H47" s="133">
        <f>Capacity - SUMIFS( tbl_SeasonTicketSale[Sales], tbl_SeasonTicketSale[Week ending], "&lt;=" &amp; tbl_GameDates[[#This Row],[Date]] )</f>
        <v>20000</v>
      </c>
    </row>
    <row r="48" spans="2:8" s="6" customFormat="1" ht="13.2">
      <c r="F48" s="24">
        <v>44352</v>
      </c>
      <c r="G48" s="32">
        <v>5</v>
      </c>
      <c r="H48" s="133">
        <f>Capacity - SUMIFS( tbl_SeasonTicketSale[Sales], tbl_SeasonTicketSale[Week ending], "&lt;=" &amp; tbl_GameDates[[#This Row],[Date]] )</f>
        <v>20000</v>
      </c>
    </row>
    <row r="49" spans="1:16" s="6" customFormat="1" ht="13.2"/>
    <row r="50" spans="1:16" s="6" customFormat="1" ht="13.2"/>
    <row r="51" spans="1:16" s="6" customFormat="1" ht="13.2">
      <c r="A51" s="15" t="s">
        <v>18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s="6" customFormat="1" ht="13.2"/>
    <row r="53" spans="1:16" s="6" customFormat="1" ht="16.8">
      <c r="C53" s="16" t="s">
        <v>19</v>
      </c>
      <c r="D53" s="16"/>
      <c r="E53" s="16"/>
      <c r="F53" s="16"/>
      <c r="G53" s="16" t="s">
        <v>20</v>
      </c>
      <c r="H53" s="16"/>
      <c r="I53" s="16"/>
      <c r="J53" s="16"/>
      <c r="K53" s="16"/>
      <c r="L53" s="16" t="s">
        <v>17</v>
      </c>
      <c r="M53" s="16"/>
      <c r="N53" s="16"/>
      <c r="O53" s="16"/>
    </row>
    <row r="54" spans="1:16" s="6" customFormat="1" ht="50.4">
      <c r="B54" s="19" t="s">
        <v>21</v>
      </c>
      <c r="C54" s="19" t="s">
        <v>22</v>
      </c>
      <c r="D54" s="19" t="s">
        <v>23</v>
      </c>
      <c r="E54" s="19" t="s">
        <v>24</v>
      </c>
      <c r="F54" s="19" t="s">
        <v>25</v>
      </c>
      <c r="G54" s="19" t="s">
        <v>26</v>
      </c>
      <c r="H54" s="19" t="s">
        <v>27</v>
      </c>
      <c r="I54" s="19" t="s">
        <v>28</v>
      </c>
      <c r="J54" s="19" t="s">
        <v>25</v>
      </c>
      <c r="K54" s="19" t="s">
        <v>26</v>
      </c>
      <c r="L54" s="19" t="s">
        <v>27</v>
      </c>
      <c r="M54" s="19" t="s">
        <v>29</v>
      </c>
      <c r="N54" s="19" t="s">
        <v>25</v>
      </c>
    </row>
    <row r="55" spans="1:16" s="6" customFormat="1" ht="13.2">
      <c r="B55" s="13">
        <v>44012</v>
      </c>
      <c r="C55" s="17" cm="1">
        <f t="array" ref="C55:C67" xml:space="preserve"> SUMIFS(_xlfn.ANCHORARRAY( Calculations!J24),_xlfn.ANCHORARRAY( Calculations!J13), CaseData!$B$55:$B$67 )</f>
        <v>6450000</v>
      </c>
      <c r="D55" s="17" cm="1">
        <f t="array" ref="D55:D67">SUMIFS(_xlfn.ANCHORARRAY( Calculations!J28),_xlfn.ANCHORARRAY( Calculations!J13), CaseData!B55:B67)</f>
        <v>0</v>
      </c>
      <c r="E55" s="17" cm="1">
        <f t="array" ref="E55:E67">_xlfn.XLOOKUP( $B$55:$B$67,_xlfn.ANCHORARRAY( Calculations!J11),_xlfn.ANCHORARRAY( Calculations!J30),, -1 )</f>
        <v>6450000</v>
      </c>
      <c r="F55" s="17" cm="1">
        <f t="array" ref="F55:F67">SUMIFS(_xlfn.ANCHORARRAY( Calculations!J22),_xlfn.ANCHORARRAY( Calculations!$J$13), CaseData!$B$55:$B$67)</f>
        <v>8600</v>
      </c>
      <c r="G55" s="17" cm="1">
        <f t="array" ref="G55:G67" xml:space="preserve"> SUMIFS(_xlfn.ANCHORARRAY( Calculations!J$43),_xlfn.ANCHORARRAY( Calculations!J$13), CaseData!$B$55:$B$67 )</f>
        <v>0</v>
      </c>
      <c r="H55" s="17" cm="1">
        <f t="array" ref="H55:H67" xml:space="preserve"> SUMIFS(_xlfn.ANCHORARRAY( Calculations!J44),_xlfn.ANCHORARRAY( Calculations!J13), CaseData!$B$55:$B$67 )</f>
        <v>0</v>
      </c>
      <c r="I55" s="17" cm="1">
        <f t="array" ref="I55:I67">_xlfn.XLOOKUP( $B$55:$B$67,_xlfn.ANCHORARRAY( Calculations!J11),_xlfn.ANCHORARRAY( Calculations!J46),, -1 )</f>
        <v>0</v>
      </c>
      <c r="J55" s="17" cm="1">
        <f t="array" ref="J55:J67">SUMIFS(_xlfn.ANCHORARRAY( Calculations!J41),_xlfn.ANCHORARRAY( Calculations!$J$13), CaseData!$B$55:$B$67)</f>
        <v>0</v>
      </c>
      <c r="K55" s="17" cm="1">
        <f t="array" ref="K55:K67">_xlfn.ANCHORARRAY( C55) +_xlfn.ANCHORARRAY( G55)</f>
        <v>6450000</v>
      </c>
      <c r="L55" s="17" cm="1">
        <f t="array" ref="L55:L67">_xlfn.ANCHORARRAY( D55) +_xlfn.ANCHORARRAY( H55)</f>
        <v>0</v>
      </c>
      <c r="M55" s="17" cm="1">
        <f t="array" ref="M55:M67">_xlfn.ANCHORARRAY( E55) +_xlfn.ANCHORARRAY( I55)</f>
        <v>6450000</v>
      </c>
      <c r="N55" s="17" cm="1">
        <f t="array" ref="N55:N67">_xlfn.ANCHORARRAY( F55) +_xlfn.ANCHORARRAY( J55)</f>
        <v>8600</v>
      </c>
    </row>
    <row r="56" spans="1:16" s="6" customFormat="1" ht="13.2">
      <c r="B56" s="13">
        <v>44043</v>
      </c>
      <c r="C56" s="17">
        <v>8737500</v>
      </c>
      <c r="D56" s="17">
        <v>0</v>
      </c>
      <c r="E56" s="17">
        <v>15187500</v>
      </c>
      <c r="F56" s="17">
        <v>11650</v>
      </c>
      <c r="G56" s="17">
        <v>0</v>
      </c>
      <c r="H56" s="17">
        <v>0</v>
      </c>
      <c r="I56" s="17">
        <v>0</v>
      </c>
      <c r="J56" s="17">
        <v>0</v>
      </c>
      <c r="K56" s="17">
        <v>8737500</v>
      </c>
      <c r="L56" s="17">
        <v>0</v>
      </c>
      <c r="M56" s="17">
        <v>15187500</v>
      </c>
      <c r="N56" s="17">
        <v>11650</v>
      </c>
    </row>
    <row r="57" spans="1:16" s="6" customFormat="1" ht="13.2">
      <c r="B57" s="13">
        <v>44074</v>
      </c>
      <c r="C57" s="17">
        <v>6075000</v>
      </c>
      <c r="D57" s="17">
        <v>1594687.5000000002</v>
      </c>
      <c r="E57" s="17">
        <v>19667812.5</v>
      </c>
      <c r="F57" s="17">
        <v>8100</v>
      </c>
      <c r="G57" s="17">
        <v>3337500</v>
      </c>
      <c r="H57" s="17">
        <v>2585500</v>
      </c>
      <c r="I57" s="17">
        <v>752000</v>
      </c>
      <c r="J57" s="17">
        <v>77340</v>
      </c>
      <c r="K57" s="17">
        <v>9412500</v>
      </c>
      <c r="L57" s="17">
        <v>4180187.5</v>
      </c>
      <c r="M57" s="17">
        <v>20419812.5</v>
      </c>
      <c r="N57" s="17">
        <v>85440</v>
      </c>
    </row>
    <row r="58" spans="1:16" s="6" customFormat="1" ht="13.2">
      <c r="B58" s="13">
        <v>44104</v>
      </c>
      <c r="C58" s="17">
        <v>337500</v>
      </c>
      <c r="D58" s="17">
        <v>2185312.4999999991</v>
      </c>
      <c r="E58" s="17">
        <v>17820000</v>
      </c>
      <c r="F58" s="17">
        <v>450</v>
      </c>
      <c r="G58" s="17">
        <v>2682500</v>
      </c>
      <c r="H58" s="17">
        <v>2834500</v>
      </c>
      <c r="I58" s="17">
        <v>600000</v>
      </c>
      <c r="J58" s="17">
        <v>72910</v>
      </c>
      <c r="K58" s="17">
        <v>3020000</v>
      </c>
      <c r="L58" s="17">
        <v>5019812.4999999991</v>
      </c>
      <c r="M58" s="17">
        <v>18420000</v>
      </c>
      <c r="N58" s="17">
        <v>73360</v>
      </c>
    </row>
    <row r="59" spans="1:16" s="6" customFormat="1" ht="13.2">
      <c r="B59" s="13">
        <v>44135</v>
      </c>
      <c r="C59" s="17">
        <v>150000</v>
      </c>
      <c r="D59" s="17">
        <v>2745000.0000000005</v>
      </c>
      <c r="E59" s="17">
        <v>15225000</v>
      </c>
      <c r="F59" s="17">
        <v>200</v>
      </c>
      <c r="G59" s="17">
        <v>2836000</v>
      </c>
      <c r="H59" s="17">
        <v>3436000</v>
      </c>
      <c r="I59" s="17">
        <v>0</v>
      </c>
      <c r="J59" s="17">
        <v>78400</v>
      </c>
      <c r="K59" s="17">
        <v>2986000</v>
      </c>
      <c r="L59" s="17">
        <v>6181000</v>
      </c>
      <c r="M59" s="17">
        <v>15225000</v>
      </c>
      <c r="N59" s="17">
        <v>78600</v>
      </c>
    </row>
    <row r="60" spans="1:16" s="6" customFormat="1" ht="13.2">
      <c r="B60" s="13">
        <v>44165</v>
      </c>
      <c r="C60" s="17">
        <v>187500</v>
      </c>
      <c r="D60" s="17">
        <v>2250000.0000000019</v>
      </c>
      <c r="E60" s="17">
        <v>13162499.999999998</v>
      </c>
      <c r="F60" s="17">
        <v>250</v>
      </c>
      <c r="G60" s="17">
        <v>3843000</v>
      </c>
      <c r="H60" s="17">
        <v>3373000</v>
      </c>
      <c r="I60" s="17">
        <v>470000</v>
      </c>
      <c r="J60" s="17">
        <v>89350</v>
      </c>
      <c r="K60" s="17">
        <v>4030500</v>
      </c>
      <c r="L60" s="17">
        <v>5623000.0000000019</v>
      </c>
      <c r="M60" s="17">
        <v>13632499.999999998</v>
      </c>
      <c r="N60" s="17">
        <v>89600</v>
      </c>
    </row>
    <row r="61" spans="1:16" s="6" customFormat="1" ht="13.2">
      <c r="B61" s="13">
        <v>44196</v>
      </c>
      <c r="C61" s="17">
        <v>450000</v>
      </c>
      <c r="D61" s="17">
        <v>1299375</v>
      </c>
      <c r="E61" s="17">
        <v>12313124.999999998</v>
      </c>
      <c r="F61" s="17">
        <v>600</v>
      </c>
      <c r="G61" s="17">
        <v>1102500</v>
      </c>
      <c r="H61" s="17">
        <v>1280000</v>
      </c>
      <c r="I61" s="17">
        <v>292500</v>
      </c>
      <c r="J61" s="17">
        <v>33750</v>
      </c>
      <c r="K61" s="17">
        <v>1552500</v>
      </c>
      <c r="L61" s="17">
        <v>2579375</v>
      </c>
      <c r="M61" s="17">
        <v>12605624.999999998</v>
      </c>
      <c r="N61" s="17">
        <v>34350</v>
      </c>
    </row>
    <row r="62" spans="1:16" s="6" customFormat="1" ht="13.2">
      <c r="B62" s="13">
        <v>44227</v>
      </c>
      <c r="C62" s="17">
        <v>112500</v>
      </c>
      <c r="D62" s="17">
        <v>2863125.0000000019</v>
      </c>
      <c r="E62" s="17">
        <v>9562499.9999999963</v>
      </c>
      <c r="F62" s="17">
        <v>150</v>
      </c>
      <c r="G62" s="17">
        <v>3510000</v>
      </c>
      <c r="H62" s="17">
        <v>3552500</v>
      </c>
      <c r="I62" s="17">
        <v>250000</v>
      </c>
      <c r="J62" s="17">
        <v>81550</v>
      </c>
      <c r="K62" s="17">
        <v>3622500</v>
      </c>
      <c r="L62" s="17">
        <v>6415625.0000000019</v>
      </c>
      <c r="M62" s="17">
        <v>9812499.9999999963</v>
      </c>
      <c r="N62" s="17">
        <v>81700</v>
      </c>
    </row>
    <row r="63" spans="1:16" s="6" customFormat="1" ht="13.2">
      <c r="B63" s="13">
        <v>44255</v>
      </c>
      <c r="C63" s="17">
        <v>0</v>
      </c>
      <c r="D63" s="17">
        <v>2250000.0000000019</v>
      </c>
      <c r="E63" s="17">
        <v>7312499.9999999944</v>
      </c>
      <c r="F63" s="17">
        <v>0</v>
      </c>
      <c r="G63" s="17">
        <v>3262500</v>
      </c>
      <c r="H63" s="17">
        <v>3400000</v>
      </c>
      <c r="I63" s="17">
        <v>112500</v>
      </c>
      <c r="J63" s="17">
        <v>77500</v>
      </c>
      <c r="K63" s="17">
        <v>3262500</v>
      </c>
      <c r="L63" s="17">
        <v>5650000.0000000019</v>
      </c>
      <c r="M63" s="17">
        <v>7424999.9999999944</v>
      </c>
      <c r="N63" s="17">
        <v>77500</v>
      </c>
    </row>
    <row r="64" spans="1:16" s="6" customFormat="1" ht="13.2">
      <c r="B64" s="13">
        <v>44286</v>
      </c>
      <c r="C64" s="17">
        <v>0</v>
      </c>
      <c r="D64" s="17">
        <v>2250000.0000000019</v>
      </c>
      <c r="E64" s="17">
        <v>5062499.9999999925</v>
      </c>
      <c r="F64" s="17">
        <v>0</v>
      </c>
      <c r="G64" s="17">
        <v>3207500</v>
      </c>
      <c r="H64" s="17">
        <v>3050000</v>
      </c>
      <c r="I64" s="17">
        <v>270000</v>
      </c>
      <c r="J64" s="17">
        <v>80250</v>
      </c>
      <c r="K64" s="17">
        <v>3207500</v>
      </c>
      <c r="L64" s="17">
        <v>5300000.0000000019</v>
      </c>
      <c r="M64" s="17">
        <v>5332499.9999999925</v>
      </c>
      <c r="N64" s="17">
        <v>80250</v>
      </c>
    </row>
    <row r="65" spans="1:16" s="6" customFormat="1" ht="13.2">
      <c r="B65" s="13">
        <v>44316</v>
      </c>
      <c r="C65" s="17">
        <v>0</v>
      </c>
      <c r="D65" s="17">
        <v>2250000.0000000037</v>
      </c>
      <c r="E65" s="17">
        <v>2812499.9999999888</v>
      </c>
      <c r="F65" s="17">
        <v>0</v>
      </c>
      <c r="G65" s="17">
        <v>2590000</v>
      </c>
      <c r="H65" s="17">
        <v>2500000</v>
      </c>
      <c r="I65" s="17">
        <v>360000</v>
      </c>
      <c r="J65" s="17">
        <v>73000</v>
      </c>
      <c r="K65" s="17">
        <v>2590000</v>
      </c>
      <c r="L65" s="17">
        <v>4750000.0000000037</v>
      </c>
      <c r="M65" s="17">
        <v>3172499.9999999888</v>
      </c>
      <c r="N65" s="17">
        <v>73000</v>
      </c>
    </row>
    <row r="66" spans="1:16" s="6" customFormat="1" ht="13.2">
      <c r="B66" s="13">
        <v>44347</v>
      </c>
      <c r="C66" s="17">
        <v>0</v>
      </c>
      <c r="D66" s="17">
        <v>2250000</v>
      </c>
      <c r="E66" s="17">
        <v>562499.99999998882</v>
      </c>
      <c r="F66" s="17">
        <v>0</v>
      </c>
      <c r="G66" s="17">
        <v>4240000</v>
      </c>
      <c r="H66" s="17">
        <v>3100000</v>
      </c>
      <c r="I66" s="17">
        <v>1500000</v>
      </c>
      <c r="J66" s="17">
        <v>78000</v>
      </c>
      <c r="K66" s="17">
        <v>4240000</v>
      </c>
      <c r="L66" s="17">
        <v>5350000</v>
      </c>
      <c r="M66" s="17">
        <v>2062499.9999999888</v>
      </c>
      <c r="N66" s="17">
        <v>78000</v>
      </c>
    </row>
    <row r="67" spans="1:16" s="6" customFormat="1" ht="13.2">
      <c r="B67" s="13">
        <v>44377</v>
      </c>
      <c r="C67" s="17">
        <v>0</v>
      </c>
      <c r="D67" s="17">
        <v>562500</v>
      </c>
      <c r="E67" s="17">
        <v>0</v>
      </c>
      <c r="F67" s="17">
        <v>0</v>
      </c>
      <c r="G67" s="17">
        <v>0</v>
      </c>
      <c r="H67" s="17">
        <v>1500000</v>
      </c>
      <c r="I67" s="17">
        <v>0</v>
      </c>
      <c r="J67" s="17">
        <v>0</v>
      </c>
      <c r="K67" s="17">
        <v>0</v>
      </c>
      <c r="L67" s="17">
        <v>2062500</v>
      </c>
      <c r="M67" s="17">
        <v>0</v>
      </c>
      <c r="N67" s="17">
        <v>0</v>
      </c>
    </row>
    <row r="68" spans="1:16" s="6" customFormat="1" ht="13.2">
      <c r="C68" s="6">
        <f>SUM(_xlfn.ANCHORARRAY(C55))</f>
        <v>22500000</v>
      </c>
      <c r="D68" s="6">
        <f>SUM(_xlfn.ANCHORARRAY(D55))</f>
        <v>22500000.000000011</v>
      </c>
      <c r="F68" s="6">
        <f>SUM(_xlfn.ANCHORARRAY(F55))</f>
        <v>30000</v>
      </c>
      <c r="G68" s="6">
        <f>SUM(_xlfn.ANCHORARRAY(G55))</f>
        <v>30611500</v>
      </c>
      <c r="H68" s="6">
        <f>SUM(_xlfn.ANCHORARRAY(H55))</f>
        <v>30611500</v>
      </c>
      <c r="K68" s="6">
        <f>SUM(_xlfn.ANCHORARRAY(K55))</f>
        <v>53111500</v>
      </c>
      <c r="L68" s="6">
        <f>SUM(_xlfn.ANCHORARRAY(L55))</f>
        <v>53111500</v>
      </c>
    </row>
    <row r="69" spans="1:16" s="6" customFormat="1" ht="13.2"/>
    <row r="70" spans="1:16" s="6" customFormat="1" ht="13.2">
      <c r="A70" s="15" t="s">
        <v>30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s="6" customFormat="1" ht="16.8">
      <c r="C71" s="16" t="s">
        <v>23</v>
      </c>
      <c r="D71" s="16"/>
      <c r="E71" s="16"/>
      <c r="F71" s="16" t="s">
        <v>25</v>
      </c>
      <c r="G71" s="16"/>
      <c r="H71" s="16"/>
      <c r="I71" s="16"/>
      <c r="J71" s="16" t="s">
        <v>32</v>
      </c>
      <c r="K71" s="16"/>
      <c r="L71" s="16"/>
      <c r="M71" s="16"/>
      <c r="N71" s="16"/>
      <c r="O71" s="16"/>
      <c r="P71" s="16"/>
    </row>
    <row r="72" spans="1:16" s="6" customFormat="1" ht="26.4">
      <c r="B72" s="20" t="s">
        <v>31</v>
      </c>
      <c r="C72" s="20" t="s">
        <v>19</v>
      </c>
      <c r="D72" s="20" t="s">
        <v>20</v>
      </c>
      <c r="E72" s="20" t="s">
        <v>17</v>
      </c>
      <c r="F72" s="20" t="s">
        <v>19</v>
      </c>
      <c r="G72" s="20" t="s">
        <v>20</v>
      </c>
      <c r="H72" s="20" t="s">
        <v>17</v>
      </c>
      <c r="I72" s="20">
        <v>6</v>
      </c>
      <c r="J72" s="20">
        <v>5</v>
      </c>
      <c r="K72" s="20">
        <v>4</v>
      </c>
      <c r="L72" s="20">
        <v>3</v>
      </c>
      <c r="M72" s="20">
        <v>2</v>
      </c>
      <c r="N72" s="20">
        <v>1</v>
      </c>
      <c r="O72" s="20">
        <v>0</v>
      </c>
      <c r="P72" s="20" t="s">
        <v>17</v>
      </c>
    </row>
    <row r="73" spans="1:16" s="6" customFormat="1" ht="13.2">
      <c r="B73" s="18">
        <f t="shared" ref="B73:B112" si="1">F9</f>
        <v>44058</v>
      </c>
      <c r="C73" s="17" cm="1">
        <f t="array" ref="C73:C112" xml:space="preserve"> SUMIFS(_xlfn.ANCHORARRAY( Calculations!J28),_xlfn.ANCHORARRAY( Calculations!J14), CaseData!$B$73:$B$112 )</f>
        <v>480937.5</v>
      </c>
      <c r="D73" s="17" cm="1">
        <f t="array" ref="D73:D112" xml:space="preserve"> SUMIFS(_xlfn.ANCHORARRAY( Calculations!J44),_xlfn.ANCHORARRAY( Calculations!J14), CaseData!$B$73:$B$112 )</f>
        <v>1217500</v>
      </c>
      <c r="E73" s="17" cm="1">
        <f t="array" ref="E73:E112">_xlfn.ANCHORARRAY( C73) +_xlfn.ANCHORARRAY( D73)</f>
        <v>1698437.5</v>
      </c>
      <c r="F73" s="17" cm="1">
        <f t="array" ref="F73:F112">SUMIFS(_xlfn.ANCHORARRAY( Calculations!J22),_xlfn.ANCHORARRAY( Calculations!J14), "&lt;=" &amp; CaseData!$B$73:$B$112 )</f>
        <v>25650</v>
      </c>
      <c r="G73" s="17" cm="1">
        <f t="array" ref="G73:G112">SUMIFS(_xlfn.ANCHORARRAY( Calculations!J41),_xlfn.ANCHORARRAY( Calculations!J14), CaseData!$B$73:$B$112 )</f>
        <v>24350</v>
      </c>
      <c r="H73" s="17" cm="1">
        <f t="array" ref="H73:H112">_xlfn.ANCHORARRAY( F73) +_xlfn.ANCHORARRAY( G73)</f>
        <v>50000</v>
      </c>
      <c r="I73" s="17" cm="1">
        <f t="array" ref="I73:O112">SUMIFS(_xlfn.ANCHORARRAY( Calculations!J41),_xlfn.ANCHORARRAY( Calculations!J14), CaseData!$B$73:$B$112,_xlfn.ANCHORARRAY( Calculations!J15), CaseData!$I$72:$O$72 )</f>
        <v>8000</v>
      </c>
      <c r="J73" s="17">
        <v>7040</v>
      </c>
      <c r="K73" s="17">
        <v>2560</v>
      </c>
      <c r="L73" s="17">
        <v>1600</v>
      </c>
      <c r="M73" s="17">
        <v>1600</v>
      </c>
      <c r="N73" s="17">
        <v>3550</v>
      </c>
      <c r="O73" s="17">
        <v>0</v>
      </c>
      <c r="P73" s="17" cm="1">
        <f t="array" ref="P73:P112" xml:space="preserve"> _xlfn.BYROW(_xlfn.ANCHORARRAY( I73), _xleta.SUM )</f>
        <v>24350</v>
      </c>
    </row>
    <row r="74" spans="1:16" s="6" customFormat="1" ht="13.2">
      <c r="B74" s="18">
        <f t="shared" si="1"/>
        <v>44065</v>
      </c>
      <c r="C74" s="17">
        <v>533437.5</v>
      </c>
      <c r="D74" s="17">
        <v>918000</v>
      </c>
      <c r="E74" s="17">
        <v>1451437.5</v>
      </c>
      <c r="F74" s="17">
        <v>27050</v>
      </c>
      <c r="G74" s="17">
        <v>22950</v>
      </c>
      <c r="H74" s="17">
        <v>50000</v>
      </c>
      <c r="I74" s="17">
        <v>6250</v>
      </c>
      <c r="J74" s="17">
        <v>5500</v>
      </c>
      <c r="K74" s="17">
        <v>2000</v>
      </c>
      <c r="L74" s="17">
        <v>1250</v>
      </c>
      <c r="M74" s="17">
        <v>1250</v>
      </c>
      <c r="N74" s="17">
        <v>3750</v>
      </c>
      <c r="O74" s="17">
        <v>2950</v>
      </c>
      <c r="P74" s="17">
        <v>22950</v>
      </c>
    </row>
    <row r="75" spans="1:16" s="6" customFormat="1" ht="13.2">
      <c r="B75" s="18">
        <f t="shared" si="1"/>
        <v>44072</v>
      </c>
      <c r="C75" s="17">
        <v>552187.50000000023</v>
      </c>
      <c r="D75" s="17">
        <v>450000</v>
      </c>
      <c r="E75" s="17">
        <v>1002187.5000000002</v>
      </c>
      <c r="F75" s="17">
        <v>27850</v>
      </c>
      <c r="G75" s="17">
        <v>15000</v>
      </c>
      <c r="H75" s="17">
        <v>42850</v>
      </c>
      <c r="I75" s="17">
        <v>3750</v>
      </c>
      <c r="J75" s="17">
        <v>3300</v>
      </c>
      <c r="K75" s="17">
        <v>1200</v>
      </c>
      <c r="L75" s="17">
        <v>750</v>
      </c>
      <c r="M75" s="17">
        <v>750</v>
      </c>
      <c r="N75" s="17">
        <v>2250</v>
      </c>
      <c r="O75" s="17">
        <v>3000</v>
      </c>
      <c r="P75" s="17">
        <v>15000</v>
      </c>
    </row>
    <row r="76" spans="1:16" s="6" customFormat="1" ht="13.2">
      <c r="B76" s="18">
        <f t="shared" si="1"/>
        <v>44079</v>
      </c>
      <c r="C76" s="17">
        <v>559687.49999999977</v>
      </c>
      <c r="D76" s="17">
        <v>1082500</v>
      </c>
      <c r="E76" s="17">
        <v>1642187.4999999998</v>
      </c>
      <c r="F76" s="17">
        <v>28350</v>
      </c>
      <c r="G76" s="17">
        <v>21650</v>
      </c>
      <c r="H76" s="17">
        <v>50000</v>
      </c>
      <c r="I76" s="17">
        <v>8000</v>
      </c>
      <c r="J76" s="17">
        <v>7040</v>
      </c>
      <c r="K76" s="17">
        <v>2560</v>
      </c>
      <c r="L76" s="17">
        <v>1600</v>
      </c>
      <c r="M76" s="17">
        <v>1600</v>
      </c>
      <c r="N76" s="17">
        <v>850</v>
      </c>
      <c r="O76" s="17">
        <v>0</v>
      </c>
      <c r="P76" s="17">
        <v>21650</v>
      </c>
    </row>
    <row r="77" spans="1:16" s="6" customFormat="1" ht="13.2">
      <c r="B77" s="18">
        <f t="shared" si="1"/>
        <v>44086</v>
      </c>
      <c r="C77" s="17">
        <v>550312.5</v>
      </c>
      <c r="D77" s="17">
        <v>450000</v>
      </c>
      <c r="E77" s="17">
        <v>1000312.5</v>
      </c>
      <c r="F77" s="17">
        <v>28550</v>
      </c>
      <c r="G77" s="17">
        <v>15000</v>
      </c>
      <c r="H77" s="17">
        <v>43550</v>
      </c>
      <c r="I77" s="17">
        <v>3750</v>
      </c>
      <c r="J77" s="17">
        <v>3300</v>
      </c>
      <c r="K77" s="17">
        <v>1200</v>
      </c>
      <c r="L77" s="17">
        <v>750</v>
      </c>
      <c r="M77" s="17">
        <v>750</v>
      </c>
      <c r="N77" s="17">
        <v>2250</v>
      </c>
      <c r="O77" s="17">
        <v>3000</v>
      </c>
      <c r="P77" s="17">
        <v>15000</v>
      </c>
    </row>
    <row r="78" spans="1:16" s="6" customFormat="1" ht="13.2">
      <c r="B78" s="18">
        <f t="shared" si="1"/>
        <v>44093</v>
      </c>
      <c r="C78" s="17">
        <v>552187.5</v>
      </c>
      <c r="D78" s="17">
        <v>852000</v>
      </c>
      <c r="E78" s="17">
        <v>1404187.5</v>
      </c>
      <c r="F78" s="17">
        <v>28700</v>
      </c>
      <c r="G78" s="17">
        <v>21300</v>
      </c>
      <c r="H78" s="17">
        <v>50000</v>
      </c>
      <c r="I78" s="17">
        <v>6250</v>
      </c>
      <c r="J78" s="17">
        <v>5500</v>
      </c>
      <c r="K78" s="17">
        <v>2000</v>
      </c>
      <c r="L78" s="17">
        <v>1250</v>
      </c>
      <c r="M78" s="17">
        <v>1250</v>
      </c>
      <c r="N78" s="17">
        <v>3750</v>
      </c>
      <c r="O78" s="17">
        <v>1300</v>
      </c>
      <c r="P78" s="17">
        <v>21300</v>
      </c>
    </row>
    <row r="79" spans="1:16" s="6" customFormat="1" ht="13.2">
      <c r="B79" s="18">
        <f t="shared" si="1"/>
        <v>44100</v>
      </c>
      <c r="C79" s="17">
        <v>544687.49999999953</v>
      </c>
      <c r="D79" s="17">
        <v>450000</v>
      </c>
      <c r="E79" s="17">
        <v>994687.49999999953</v>
      </c>
      <c r="F79" s="17">
        <v>28750</v>
      </c>
      <c r="G79" s="17">
        <v>15000</v>
      </c>
      <c r="H79" s="17">
        <v>43750</v>
      </c>
      <c r="I79" s="17">
        <v>3750</v>
      </c>
      <c r="J79" s="17">
        <v>3300</v>
      </c>
      <c r="K79" s="17">
        <v>1200</v>
      </c>
      <c r="L79" s="17">
        <v>750</v>
      </c>
      <c r="M79" s="17">
        <v>750</v>
      </c>
      <c r="N79" s="17">
        <v>2250</v>
      </c>
      <c r="O79" s="17">
        <v>3000</v>
      </c>
      <c r="P79" s="17">
        <v>15000</v>
      </c>
    </row>
    <row r="80" spans="1:16" s="6" customFormat="1" ht="13.2">
      <c r="B80" s="18">
        <f t="shared" si="1"/>
        <v>44107</v>
      </c>
      <c r="C80" s="17">
        <v>546562.50000000047</v>
      </c>
      <c r="D80" s="17">
        <v>848000</v>
      </c>
      <c r="E80" s="17">
        <v>1394562.5000000005</v>
      </c>
      <c r="F80" s="17">
        <v>28800</v>
      </c>
      <c r="G80" s="17">
        <v>21200</v>
      </c>
      <c r="H80" s="17">
        <v>50000</v>
      </c>
      <c r="I80" s="17">
        <v>6250</v>
      </c>
      <c r="J80" s="17">
        <v>5500</v>
      </c>
      <c r="K80" s="17">
        <v>2000</v>
      </c>
      <c r="L80" s="17">
        <v>1250</v>
      </c>
      <c r="M80" s="17">
        <v>1250</v>
      </c>
      <c r="N80" s="17">
        <v>3750</v>
      </c>
      <c r="O80" s="17">
        <v>1200</v>
      </c>
      <c r="P80" s="17">
        <v>21200</v>
      </c>
    </row>
    <row r="81" spans="2:16" s="6" customFormat="1" ht="13.2">
      <c r="B81" s="18">
        <f t="shared" si="1"/>
        <v>44114</v>
      </c>
      <c r="C81" s="17">
        <v>548437.49999999907</v>
      </c>
      <c r="D81" s="17">
        <v>846000</v>
      </c>
      <c r="E81" s="17">
        <v>1394437.4999999991</v>
      </c>
      <c r="F81" s="17">
        <v>28850</v>
      </c>
      <c r="G81" s="17">
        <v>21150</v>
      </c>
      <c r="H81" s="17">
        <v>50000</v>
      </c>
      <c r="I81" s="17">
        <v>6250</v>
      </c>
      <c r="J81" s="17">
        <v>5500</v>
      </c>
      <c r="K81" s="17">
        <v>2000</v>
      </c>
      <c r="L81" s="17">
        <v>1250</v>
      </c>
      <c r="M81" s="17">
        <v>1250</v>
      </c>
      <c r="N81" s="17">
        <v>3750</v>
      </c>
      <c r="O81" s="17">
        <v>1150</v>
      </c>
      <c r="P81" s="17">
        <v>21150</v>
      </c>
    </row>
    <row r="82" spans="2:16" s="6" customFormat="1" ht="13.2">
      <c r="B82" s="18">
        <f t="shared" si="1"/>
        <v>44121</v>
      </c>
      <c r="C82" s="17">
        <v>550312.5</v>
      </c>
      <c r="D82" s="17">
        <v>450000</v>
      </c>
      <c r="E82" s="17">
        <v>1000312.5</v>
      </c>
      <c r="F82" s="17">
        <v>28900</v>
      </c>
      <c r="G82" s="17">
        <v>15000</v>
      </c>
      <c r="H82" s="17">
        <v>43900</v>
      </c>
      <c r="I82" s="17">
        <v>3750</v>
      </c>
      <c r="J82" s="17">
        <v>3300</v>
      </c>
      <c r="K82" s="17">
        <v>1200</v>
      </c>
      <c r="L82" s="17">
        <v>750</v>
      </c>
      <c r="M82" s="17">
        <v>750</v>
      </c>
      <c r="N82" s="17">
        <v>2250</v>
      </c>
      <c r="O82" s="17">
        <v>3000</v>
      </c>
      <c r="P82" s="17">
        <v>15000</v>
      </c>
    </row>
    <row r="83" spans="2:16" s="6" customFormat="1" ht="13.2">
      <c r="B83" s="18">
        <f t="shared" si="1"/>
        <v>44128</v>
      </c>
      <c r="C83" s="17">
        <v>552187.5</v>
      </c>
      <c r="D83" s="17">
        <v>842000</v>
      </c>
      <c r="E83" s="17">
        <v>1394187.5</v>
      </c>
      <c r="F83" s="17">
        <v>28950</v>
      </c>
      <c r="G83" s="17">
        <v>21050</v>
      </c>
      <c r="H83" s="17">
        <v>50000</v>
      </c>
      <c r="I83" s="17">
        <v>6250</v>
      </c>
      <c r="J83" s="17">
        <v>5500</v>
      </c>
      <c r="K83" s="17">
        <v>2000</v>
      </c>
      <c r="L83" s="17">
        <v>1250</v>
      </c>
      <c r="M83" s="17">
        <v>1250</v>
      </c>
      <c r="N83" s="17">
        <v>3750</v>
      </c>
      <c r="O83" s="17">
        <v>1050</v>
      </c>
      <c r="P83" s="17">
        <v>21050</v>
      </c>
    </row>
    <row r="84" spans="2:16" s="6" customFormat="1" ht="13.2">
      <c r="B84" s="18">
        <f t="shared" si="1"/>
        <v>44135</v>
      </c>
      <c r="C84" s="17">
        <v>554062.50000000093</v>
      </c>
      <c r="D84" s="17">
        <v>450000</v>
      </c>
      <c r="E84" s="17">
        <v>1004062.5000000009</v>
      </c>
      <c r="F84" s="17">
        <v>29000</v>
      </c>
      <c r="G84" s="17">
        <v>15000</v>
      </c>
      <c r="H84" s="17">
        <v>44000</v>
      </c>
      <c r="I84" s="17">
        <v>3750</v>
      </c>
      <c r="J84" s="17">
        <v>3300</v>
      </c>
      <c r="K84" s="17">
        <v>1200</v>
      </c>
      <c r="L84" s="17">
        <v>750</v>
      </c>
      <c r="M84" s="17">
        <v>750</v>
      </c>
      <c r="N84" s="17">
        <v>2250</v>
      </c>
      <c r="O84" s="17">
        <v>3000</v>
      </c>
      <c r="P84" s="17">
        <v>15000</v>
      </c>
    </row>
    <row r="85" spans="2:16" s="6" customFormat="1" ht="13.2">
      <c r="B85" s="18">
        <f t="shared" si="1"/>
        <v>44142</v>
      </c>
      <c r="C85" s="17">
        <v>555937.5</v>
      </c>
      <c r="D85" s="17">
        <v>1257000</v>
      </c>
      <c r="E85" s="17">
        <v>1812937.5</v>
      </c>
      <c r="F85" s="17">
        <v>29050</v>
      </c>
      <c r="G85" s="17">
        <v>20950</v>
      </c>
      <c r="H85" s="17">
        <v>50000</v>
      </c>
      <c r="I85" s="17">
        <v>10000</v>
      </c>
      <c r="J85" s="17">
        <v>8800</v>
      </c>
      <c r="K85" s="17">
        <v>2150</v>
      </c>
      <c r="L85" s="17">
        <v>0</v>
      </c>
      <c r="M85" s="17">
        <v>0</v>
      </c>
      <c r="N85" s="17">
        <v>0</v>
      </c>
      <c r="O85" s="17">
        <v>0</v>
      </c>
      <c r="P85" s="17">
        <v>20950</v>
      </c>
    </row>
    <row r="86" spans="2:16" s="6" customFormat="1" ht="13.2">
      <c r="B86" s="18">
        <f t="shared" si="1"/>
        <v>44149</v>
      </c>
      <c r="C86" s="17">
        <v>557812.50000000093</v>
      </c>
      <c r="D86" s="17">
        <v>450000</v>
      </c>
      <c r="E86" s="17">
        <v>1007812.5000000009</v>
      </c>
      <c r="F86" s="17">
        <v>29100</v>
      </c>
      <c r="G86" s="17">
        <v>15000</v>
      </c>
      <c r="H86" s="17">
        <v>44100</v>
      </c>
      <c r="I86" s="17">
        <v>3750</v>
      </c>
      <c r="J86" s="17">
        <v>3300</v>
      </c>
      <c r="K86" s="17">
        <v>1200</v>
      </c>
      <c r="L86" s="17">
        <v>750</v>
      </c>
      <c r="M86" s="17">
        <v>750</v>
      </c>
      <c r="N86" s="17">
        <v>2250</v>
      </c>
      <c r="O86" s="17">
        <v>3000</v>
      </c>
      <c r="P86" s="17">
        <v>15000</v>
      </c>
    </row>
    <row r="87" spans="2:16" s="6" customFormat="1" ht="13.2">
      <c r="B87" s="18">
        <f t="shared" si="1"/>
        <v>44156</v>
      </c>
      <c r="C87" s="17">
        <v>559687.5</v>
      </c>
      <c r="D87" s="17">
        <v>834000</v>
      </c>
      <c r="E87" s="17">
        <v>1393687.5</v>
      </c>
      <c r="F87" s="17">
        <v>29150</v>
      </c>
      <c r="G87" s="17">
        <v>20850</v>
      </c>
      <c r="H87" s="17">
        <v>50000</v>
      </c>
      <c r="I87" s="17">
        <v>6250</v>
      </c>
      <c r="J87" s="17">
        <v>5500</v>
      </c>
      <c r="K87" s="17">
        <v>2000</v>
      </c>
      <c r="L87" s="17">
        <v>1250</v>
      </c>
      <c r="M87" s="17">
        <v>1250</v>
      </c>
      <c r="N87" s="17">
        <v>3750</v>
      </c>
      <c r="O87" s="17">
        <v>850</v>
      </c>
      <c r="P87" s="17">
        <v>20850</v>
      </c>
    </row>
    <row r="88" spans="2:16" s="6" customFormat="1" ht="13.2">
      <c r="B88" s="18">
        <f t="shared" si="1"/>
        <v>44163</v>
      </c>
      <c r="C88" s="17">
        <v>561562.50000000093</v>
      </c>
      <c r="D88" s="17">
        <v>832000</v>
      </c>
      <c r="E88" s="17">
        <v>1393562.5000000009</v>
      </c>
      <c r="F88" s="17">
        <v>29200</v>
      </c>
      <c r="G88" s="17">
        <v>20800</v>
      </c>
      <c r="H88" s="17">
        <v>50000</v>
      </c>
      <c r="I88" s="17">
        <v>6250</v>
      </c>
      <c r="J88" s="17">
        <v>5500</v>
      </c>
      <c r="K88" s="17">
        <v>2000</v>
      </c>
      <c r="L88" s="17">
        <v>1250</v>
      </c>
      <c r="M88" s="17">
        <v>1250</v>
      </c>
      <c r="N88" s="17">
        <v>3750</v>
      </c>
      <c r="O88" s="17">
        <v>800</v>
      </c>
      <c r="P88" s="17">
        <v>20800</v>
      </c>
    </row>
    <row r="89" spans="2:16" s="6" customFormat="1" ht="13.2">
      <c r="B89" s="18">
        <f t="shared" si="1"/>
        <v>44170</v>
      </c>
      <c r="C89" s="17">
        <v>563437.5</v>
      </c>
      <c r="D89" s="17">
        <v>830000</v>
      </c>
      <c r="E89" s="17">
        <v>1393437.5</v>
      </c>
      <c r="F89" s="17">
        <v>29250</v>
      </c>
      <c r="G89" s="17">
        <v>20750</v>
      </c>
      <c r="H89" s="17">
        <v>50000</v>
      </c>
      <c r="I89" s="17">
        <v>6250</v>
      </c>
      <c r="J89" s="17">
        <v>5500</v>
      </c>
      <c r="K89" s="17">
        <v>2000</v>
      </c>
      <c r="L89" s="17">
        <v>1250</v>
      </c>
      <c r="M89" s="17">
        <v>1250</v>
      </c>
      <c r="N89" s="17">
        <v>3750</v>
      </c>
      <c r="O89" s="17">
        <v>750</v>
      </c>
      <c r="P89" s="17">
        <v>20750</v>
      </c>
    </row>
    <row r="90" spans="2:16" s="6" customFormat="1" ht="13.2">
      <c r="B90" s="18">
        <f t="shared" si="1"/>
        <v>44177</v>
      </c>
      <c r="C90" s="17">
        <v>632812.5</v>
      </c>
      <c r="D90" s="17">
        <v>450000</v>
      </c>
      <c r="E90" s="17">
        <v>1082812.5</v>
      </c>
      <c r="F90" s="17">
        <v>29500</v>
      </c>
      <c r="G90" s="17">
        <v>15000</v>
      </c>
      <c r="H90" s="17">
        <v>44500</v>
      </c>
      <c r="I90" s="17">
        <v>3750</v>
      </c>
      <c r="J90" s="17">
        <v>3300</v>
      </c>
      <c r="K90" s="17">
        <v>1200</v>
      </c>
      <c r="L90" s="17">
        <v>750</v>
      </c>
      <c r="M90" s="17">
        <v>750</v>
      </c>
      <c r="N90" s="17">
        <v>2250</v>
      </c>
      <c r="O90" s="17">
        <v>3000</v>
      </c>
      <c r="P90" s="17">
        <v>15000</v>
      </c>
    </row>
    <row r="91" spans="2:16" s="6" customFormat="1" ht="13.2">
      <c r="B91" s="18">
        <f t="shared" si="1"/>
        <v>44198</v>
      </c>
      <c r="C91" s="17">
        <v>677812.50000000186</v>
      </c>
      <c r="D91" s="17">
        <v>450000</v>
      </c>
      <c r="E91" s="17">
        <v>1127812.5000000019</v>
      </c>
      <c r="F91" s="17">
        <v>29850</v>
      </c>
      <c r="G91" s="17">
        <v>15000</v>
      </c>
      <c r="H91" s="17">
        <v>44850</v>
      </c>
      <c r="I91" s="17">
        <v>3750</v>
      </c>
      <c r="J91" s="17">
        <v>3300</v>
      </c>
      <c r="K91" s="17">
        <v>1200</v>
      </c>
      <c r="L91" s="17">
        <v>750</v>
      </c>
      <c r="M91" s="17">
        <v>750</v>
      </c>
      <c r="N91" s="17">
        <v>2250</v>
      </c>
      <c r="O91" s="17">
        <v>3000</v>
      </c>
      <c r="P91" s="17">
        <v>15000</v>
      </c>
    </row>
    <row r="92" spans="2:16" s="6" customFormat="1" ht="13.2">
      <c r="B92" s="18">
        <f t="shared" si="1"/>
        <v>44205</v>
      </c>
      <c r="C92" s="17">
        <v>578437.49999999814</v>
      </c>
      <c r="D92" s="17">
        <v>450000</v>
      </c>
      <c r="E92" s="17">
        <v>1028437.4999999981</v>
      </c>
      <c r="F92" s="17">
        <v>29900</v>
      </c>
      <c r="G92" s="17">
        <v>15000</v>
      </c>
      <c r="H92" s="17">
        <v>44900</v>
      </c>
      <c r="I92" s="17">
        <v>3750</v>
      </c>
      <c r="J92" s="17">
        <v>3300</v>
      </c>
      <c r="K92" s="17">
        <v>1200</v>
      </c>
      <c r="L92" s="17">
        <v>750</v>
      </c>
      <c r="M92" s="17">
        <v>750</v>
      </c>
      <c r="N92" s="17">
        <v>2250</v>
      </c>
      <c r="O92" s="17">
        <v>3000</v>
      </c>
      <c r="P92" s="17">
        <v>15000</v>
      </c>
    </row>
    <row r="93" spans="2:16" s="6" customFormat="1" ht="13.2">
      <c r="B93" s="18">
        <f t="shared" si="1"/>
        <v>44212</v>
      </c>
      <c r="C93" s="17">
        <v>580312.50000000186</v>
      </c>
      <c r="D93" s="17">
        <v>1002500</v>
      </c>
      <c r="E93" s="17">
        <v>1582812.5000000019</v>
      </c>
      <c r="F93" s="17">
        <v>29950</v>
      </c>
      <c r="G93" s="17">
        <v>20050</v>
      </c>
      <c r="H93" s="17">
        <v>50000</v>
      </c>
      <c r="I93" s="17">
        <v>8000</v>
      </c>
      <c r="J93" s="17">
        <v>7040</v>
      </c>
      <c r="K93" s="17">
        <v>2560</v>
      </c>
      <c r="L93" s="17">
        <v>1600</v>
      </c>
      <c r="M93" s="17">
        <v>850</v>
      </c>
      <c r="N93" s="17">
        <v>0</v>
      </c>
      <c r="O93" s="17">
        <v>0</v>
      </c>
      <c r="P93" s="17">
        <v>20050</v>
      </c>
    </row>
    <row r="94" spans="2:16" s="6" customFormat="1" ht="13.2">
      <c r="B94" s="18">
        <f t="shared" si="1"/>
        <v>44219</v>
      </c>
      <c r="C94" s="17">
        <v>582187.5</v>
      </c>
      <c r="D94" s="17">
        <v>450000</v>
      </c>
      <c r="E94" s="17">
        <v>1032187.5</v>
      </c>
      <c r="F94" s="17">
        <v>30000</v>
      </c>
      <c r="G94" s="17">
        <v>15000</v>
      </c>
      <c r="H94" s="17">
        <v>45000</v>
      </c>
      <c r="I94" s="17">
        <v>3750</v>
      </c>
      <c r="J94" s="17">
        <v>3300</v>
      </c>
      <c r="K94" s="17">
        <v>1200</v>
      </c>
      <c r="L94" s="17">
        <v>750</v>
      </c>
      <c r="M94" s="17">
        <v>750</v>
      </c>
      <c r="N94" s="17">
        <v>2250</v>
      </c>
      <c r="O94" s="17">
        <v>3000</v>
      </c>
      <c r="P94" s="17">
        <v>15000</v>
      </c>
    </row>
    <row r="95" spans="2:16" s="6" customFormat="1" ht="13.2">
      <c r="B95" s="18">
        <f t="shared" si="1"/>
        <v>44226</v>
      </c>
      <c r="C95" s="17">
        <v>562500</v>
      </c>
      <c r="D95" s="17">
        <v>1200000</v>
      </c>
      <c r="E95" s="17">
        <v>1762500</v>
      </c>
      <c r="F95" s="17">
        <v>30000</v>
      </c>
      <c r="G95" s="17">
        <v>20000</v>
      </c>
      <c r="H95" s="17">
        <v>50000</v>
      </c>
      <c r="I95" s="17">
        <v>10000</v>
      </c>
      <c r="J95" s="17">
        <v>8800</v>
      </c>
      <c r="K95" s="17">
        <v>1200</v>
      </c>
      <c r="L95" s="17">
        <v>0</v>
      </c>
      <c r="M95" s="17">
        <v>0</v>
      </c>
      <c r="N95" s="17">
        <v>0</v>
      </c>
      <c r="O95" s="17">
        <v>0</v>
      </c>
      <c r="P95" s="17">
        <v>20000</v>
      </c>
    </row>
    <row r="96" spans="2:16" s="6" customFormat="1" ht="13.2">
      <c r="B96" s="18">
        <f t="shared" si="1"/>
        <v>44233</v>
      </c>
      <c r="C96" s="17">
        <v>562500</v>
      </c>
      <c r="D96" s="17">
        <v>800000</v>
      </c>
      <c r="E96" s="17">
        <v>1362500</v>
      </c>
      <c r="F96" s="17">
        <v>30000</v>
      </c>
      <c r="G96" s="17">
        <v>20000</v>
      </c>
      <c r="H96" s="17">
        <v>50000</v>
      </c>
      <c r="I96" s="17">
        <v>6250</v>
      </c>
      <c r="J96" s="17">
        <v>5500</v>
      </c>
      <c r="K96" s="17">
        <v>2000</v>
      </c>
      <c r="L96" s="17">
        <v>1250</v>
      </c>
      <c r="M96" s="17">
        <v>1250</v>
      </c>
      <c r="N96" s="17">
        <v>3750</v>
      </c>
      <c r="O96" s="17">
        <v>0</v>
      </c>
      <c r="P96" s="17">
        <v>20000</v>
      </c>
    </row>
    <row r="97" spans="2:16" s="6" customFormat="1" ht="13.2">
      <c r="B97" s="18">
        <f t="shared" si="1"/>
        <v>44240</v>
      </c>
      <c r="C97" s="17">
        <v>562500.00000000186</v>
      </c>
      <c r="D97" s="17">
        <v>800000</v>
      </c>
      <c r="E97" s="17">
        <v>1362500.0000000019</v>
      </c>
      <c r="F97" s="17">
        <v>30000</v>
      </c>
      <c r="G97" s="17">
        <v>20000</v>
      </c>
      <c r="H97" s="17">
        <v>50000</v>
      </c>
      <c r="I97" s="17">
        <v>6250</v>
      </c>
      <c r="J97" s="17">
        <v>5500</v>
      </c>
      <c r="K97" s="17">
        <v>2000</v>
      </c>
      <c r="L97" s="17">
        <v>1250</v>
      </c>
      <c r="M97" s="17">
        <v>1250</v>
      </c>
      <c r="N97" s="17">
        <v>3750</v>
      </c>
      <c r="O97" s="17">
        <v>0</v>
      </c>
      <c r="P97" s="17">
        <v>20000</v>
      </c>
    </row>
    <row r="98" spans="2:16" s="6" customFormat="1" ht="13.2">
      <c r="B98" s="18">
        <f t="shared" si="1"/>
        <v>44247</v>
      </c>
      <c r="C98" s="17">
        <v>562500</v>
      </c>
      <c r="D98" s="17">
        <v>800000</v>
      </c>
      <c r="E98" s="17">
        <v>1362500</v>
      </c>
      <c r="F98" s="17">
        <v>30000</v>
      </c>
      <c r="G98" s="17">
        <v>20000</v>
      </c>
      <c r="H98" s="17">
        <v>50000</v>
      </c>
      <c r="I98" s="17">
        <v>6250</v>
      </c>
      <c r="J98" s="17">
        <v>5500</v>
      </c>
      <c r="K98" s="17">
        <v>2000</v>
      </c>
      <c r="L98" s="17">
        <v>1250</v>
      </c>
      <c r="M98" s="17">
        <v>1250</v>
      </c>
      <c r="N98" s="17">
        <v>3750</v>
      </c>
      <c r="O98" s="17">
        <v>0</v>
      </c>
      <c r="P98" s="17">
        <v>20000</v>
      </c>
    </row>
    <row r="99" spans="2:16" s="6" customFormat="1" ht="13.2">
      <c r="B99" s="18">
        <f t="shared" si="1"/>
        <v>44254</v>
      </c>
      <c r="C99" s="17">
        <v>562500</v>
      </c>
      <c r="D99" s="17">
        <v>1000000</v>
      </c>
      <c r="E99" s="17">
        <v>1562500</v>
      </c>
      <c r="F99" s="17">
        <v>30000</v>
      </c>
      <c r="G99" s="17">
        <v>20000</v>
      </c>
      <c r="H99" s="17">
        <v>50000</v>
      </c>
      <c r="I99" s="17">
        <v>8000</v>
      </c>
      <c r="J99" s="17">
        <v>7040</v>
      </c>
      <c r="K99" s="17">
        <v>2560</v>
      </c>
      <c r="L99" s="17">
        <v>1600</v>
      </c>
      <c r="M99" s="17">
        <v>800</v>
      </c>
      <c r="N99" s="17">
        <v>0</v>
      </c>
      <c r="O99" s="17">
        <v>0</v>
      </c>
      <c r="P99" s="17">
        <v>20000</v>
      </c>
    </row>
    <row r="100" spans="2:16" s="6" customFormat="1" ht="13.2">
      <c r="B100" s="18">
        <f t="shared" si="1"/>
        <v>44261</v>
      </c>
      <c r="C100" s="17">
        <v>562500</v>
      </c>
      <c r="D100" s="17">
        <v>450000</v>
      </c>
      <c r="E100" s="17">
        <v>1012500</v>
      </c>
      <c r="F100" s="17">
        <v>30000</v>
      </c>
      <c r="G100" s="17">
        <v>15000</v>
      </c>
      <c r="H100" s="17">
        <v>45000</v>
      </c>
      <c r="I100" s="17">
        <v>3750</v>
      </c>
      <c r="J100" s="17">
        <v>3300</v>
      </c>
      <c r="K100" s="17">
        <v>1200</v>
      </c>
      <c r="L100" s="17">
        <v>750</v>
      </c>
      <c r="M100" s="17">
        <v>750</v>
      </c>
      <c r="N100" s="17">
        <v>2250</v>
      </c>
      <c r="O100" s="17">
        <v>3000</v>
      </c>
      <c r="P100" s="17">
        <v>15000</v>
      </c>
    </row>
    <row r="101" spans="2:16" s="6" customFormat="1" ht="13.2">
      <c r="B101" s="18">
        <f t="shared" si="1"/>
        <v>44268</v>
      </c>
      <c r="C101" s="17">
        <v>562500.00000000186</v>
      </c>
      <c r="D101" s="17">
        <v>800000</v>
      </c>
      <c r="E101" s="17">
        <v>1362500.0000000019</v>
      </c>
      <c r="F101" s="17">
        <v>30000</v>
      </c>
      <c r="G101" s="17">
        <v>20000</v>
      </c>
      <c r="H101" s="17">
        <v>50000</v>
      </c>
      <c r="I101" s="17">
        <v>6250</v>
      </c>
      <c r="J101" s="17">
        <v>5500</v>
      </c>
      <c r="K101" s="17">
        <v>2000</v>
      </c>
      <c r="L101" s="17">
        <v>1250</v>
      </c>
      <c r="M101" s="17">
        <v>1250</v>
      </c>
      <c r="N101" s="17">
        <v>3750</v>
      </c>
      <c r="O101" s="17">
        <v>0</v>
      </c>
      <c r="P101" s="17">
        <v>20000</v>
      </c>
    </row>
    <row r="102" spans="2:16" s="6" customFormat="1" ht="13.2">
      <c r="B102" s="18">
        <f t="shared" si="1"/>
        <v>44275</v>
      </c>
      <c r="C102" s="17">
        <v>562500</v>
      </c>
      <c r="D102" s="17">
        <v>800000</v>
      </c>
      <c r="E102" s="17">
        <v>1362500</v>
      </c>
      <c r="F102" s="17">
        <v>30000</v>
      </c>
      <c r="G102" s="17">
        <v>20000</v>
      </c>
      <c r="H102" s="17">
        <v>50000</v>
      </c>
      <c r="I102" s="17">
        <v>6250</v>
      </c>
      <c r="J102" s="17">
        <v>5500</v>
      </c>
      <c r="K102" s="17">
        <v>2000</v>
      </c>
      <c r="L102" s="17">
        <v>1250</v>
      </c>
      <c r="M102" s="17">
        <v>1250</v>
      </c>
      <c r="N102" s="17">
        <v>3750</v>
      </c>
      <c r="O102" s="17">
        <v>0</v>
      </c>
      <c r="P102" s="17">
        <v>20000</v>
      </c>
    </row>
    <row r="103" spans="2:16" s="6" customFormat="1" ht="13.2">
      <c r="B103" s="18">
        <f t="shared" si="1"/>
        <v>44282</v>
      </c>
      <c r="C103" s="17">
        <v>562500</v>
      </c>
      <c r="D103" s="17">
        <v>1000000</v>
      </c>
      <c r="E103" s="17">
        <v>1562500</v>
      </c>
      <c r="F103" s="17">
        <v>30000</v>
      </c>
      <c r="G103" s="17">
        <v>20000</v>
      </c>
      <c r="H103" s="17">
        <v>50000</v>
      </c>
      <c r="I103" s="17">
        <v>8000</v>
      </c>
      <c r="J103" s="17">
        <v>7040</v>
      </c>
      <c r="K103" s="17">
        <v>2560</v>
      </c>
      <c r="L103" s="17">
        <v>1600</v>
      </c>
      <c r="M103" s="17">
        <v>800</v>
      </c>
      <c r="N103" s="17">
        <v>0</v>
      </c>
      <c r="O103" s="17">
        <v>0</v>
      </c>
      <c r="P103" s="17">
        <v>20000</v>
      </c>
    </row>
    <row r="104" spans="2:16" s="6" customFormat="1" ht="13.2">
      <c r="B104" s="18">
        <f t="shared" si="1"/>
        <v>44289</v>
      </c>
      <c r="C104" s="17">
        <v>562500</v>
      </c>
      <c r="D104" s="17">
        <v>450000</v>
      </c>
      <c r="E104" s="17">
        <v>1012500</v>
      </c>
      <c r="F104" s="17">
        <v>30000</v>
      </c>
      <c r="G104" s="17">
        <v>15000</v>
      </c>
      <c r="H104" s="17">
        <v>45000</v>
      </c>
      <c r="I104" s="17">
        <v>3750</v>
      </c>
      <c r="J104" s="17">
        <v>3300</v>
      </c>
      <c r="K104" s="17">
        <v>1200</v>
      </c>
      <c r="L104" s="17">
        <v>750</v>
      </c>
      <c r="M104" s="17">
        <v>750</v>
      </c>
      <c r="N104" s="17">
        <v>2250</v>
      </c>
      <c r="O104" s="17">
        <v>3000</v>
      </c>
      <c r="P104" s="17">
        <v>15000</v>
      </c>
    </row>
    <row r="105" spans="2:16" s="6" customFormat="1" ht="13.2">
      <c r="B105" s="18">
        <f t="shared" si="1"/>
        <v>44296</v>
      </c>
      <c r="C105" s="17">
        <v>562500</v>
      </c>
      <c r="D105" s="17">
        <v>800000</v>
      </c>
      <c r="E105" s="17">
        <v>1362500</v>
      </c>
      <c r="F105" s="17">
        <v>30000</v>
      </c>
      <c r="G105" s="17">
        <v>20000</v>
      </c>
      <c r="H105" s="17">
        <v>50000</v>
      </c>
      <c r="I105" s="17">
        <v>6250</v>
      </c>
      <c r="J105" s="17">
        <v>5500</v>
      </c>
      <c r="K105" s="17">
        <v>2000</v>
      </c>
      <c r="L105" s="17">
        <v>1250</v>
      </c>
      <c r="M105" s="17">
        <v>1250</v>
      </c>
      <c r="N105" s="17">
        <v>3750</v>
      </c>
      <c r="O105" s="17">
        <v>0</v>
      </c>
      <c r="P105" s="17">
        <v>20000</v>
      </c>
    </row>
    <row r="106" spans="2:16" s="6" customFormat="1" ht="13.2">
      <c r="B106" s="18">
        <f t="shared" si="1"/>
        <v>44303</v>
      </c>
      <c r="C106" s="17">
        <v>562500.00000000373</v>
      </c>
      <c r="D106" s="17">
        <v>800000</v>
      </c>
      <c r="E106" s="17">
        <v>1362500.0000000037</v>
      </c>
      <c r="F106" s="17">
        <v>30000</v>
      </c>
      <c r="G106" s="17">
        <v>20000</v>
      </c>
      <c r="H106" s="17">
        <v>50000</v>
      </c>
      <c r="I106" s="17">
        <v>6250</v>
      </c>
      <c r="J106" s="17">
        <v>5500</v>
      </c>
      <c r="K106" s="17">
        <v>2000</v>
      </c>
      <c r="L106" s="17">
        <v>1250</v>
      </c>
      <c r="M106" s="17">
        <v>1250</v>
      </c>
      <c r="N106" s="17">
        <v>3750</v>
      </c>
      <c r="O106" s="17">
        <v>0</v>
      </c>
      <c r="P106" s="17">
        <v>20000</v>
      </c>
    </row>
    <row r="107" spans="2:16" s="6" customFormat="1" ht="13.2">
      <c r="B107" s="18">
        <f t="shared" si="1"/>
        <v>44310</v>
      </c>
      <c r="C107" s="17">
        <v>562500</v>
      </c>
      <c r="D107" s="17">
        <v>450000</v>
      </c>
      <c r="E107" s="17">
        <v>1012500</v>
      </c>
      <c r="F107" s="17">
        <v>30000</v>
      </c>
      <c r="G107" s="17">
        <v>15000</v>
      </c>
      <c r="H107" s="17">
        <v>45000</v>
      </c>
      <c r="I107" s="17">
        <v>3750</v>
      </c>
      <c r="J107" s="17">
        <v>3300</v>
      </c>
      <c r="K107" s="17">
        <v>1200</v>
      </c>
      <c r="L107" s="17">
        <v>750</v>
      </c>
      <c r="M107" s="17">
        <v>750</v>
      </c>
      <c r="N107" s="17">
        <v>2250</v>
      </c>
      <c r="O107" s="17">
        <v>3000</v>
      </c>
      <c r="P107" s="17">
        <v>15000</v>
      </c>
    </row>
    <row r="108" spans="2:16" s="6" customFormat="1" ht="13.2">
      <c r="B108" s="18">
        <f t="shared" si="1"/>
        <v>44317</v>
      </c>
      <c r="C108" s="17">
        <v>562500</v>
      </c>
      <c r="D108" s="17">
        <v>450000</v>
      </c>
      <c r="E108" s="17">
        <v>1012500</v>
      </c>
      <c r="F108" s="17">
        <v>30000</v>
      </c>
      <c r="G108" s="17">
        <v>15000</v>
      </c>
      <c r="H108" s="17">
        <v>45000</v>
      </c>
      <c r="I108" s="17">
        <v>3750</v>
      </c>
      <c r="J108" s="17">
        <v>3300</v>
      </c>
      <c r="K108" s="17">
        <v>1200</v>
      </c>
      <c r="L108" s="17">
        <v>750</v>
      </c>
      <c r="M108" s="17">
        <v>750</v>
      </c>
      <c r="N108" s="17">
        <v>2250</v>
      </c>
      <c r="O108" s="17">
        <v>3000</v>
      </c>
      <c r="P108" s="17">
        <v>15000</v>
      </c>
    </row>
    <row r="109" spans="2:16" s="6" customFormat="1" ht="13.2">
      <c r="B109" s="18">
        <f t="shared" si="1"/>
        <v>44324</v>
      </c>
      <c r="C109" s="17">
        <v>562500</v>
      </c>
      <c r="D109" s="17">
        <v>450000</v>
      </c>
      <c r="E109" s="17">
        <v>1012500</v>
      </c>
      <c r="F109" s="17">
        <v>30000</v>
      </c>
      <c r="G109" s="17">
        <v>15000</v>
      </c>
      <c r="H109" s="17">
        <v>45000</v>
      </c>
      <c r="I109" s="17">
        <v>3750</v>
      </c>
      <c r="J109" s="17">
        <v>3300</v>
      </c>
      <c r="K109" s="17">
        <v>1200</v>
      </c>
      <c r="L109" s="17">
        <v>750</v>
      </c>
      <c r="M109" s="17">
        <v>750</v>
      </c>
      <c r="N109" s="17">
        <v>2250</v>
      </c>
      <c r="O109" s="17">
        <v>3000</v>
      </c>
      <c r="P109" s="17">
        <v>15000</v>
      </c>
    </row>
    <row r="110" spans="2:16" s="6" customFormat="1" ht="13.2">
      <c r="B110" s="18">
        <f t="shared" si="1"/>
        <v>44331</v>
      </c>
      <c r="C110" s="17">
        <v>562500</v>
      </c>
      <c r="D110" s="17">
        <v>1000000</v>
      </c>
      <c r="E110" s="17">
        <v>1562500</v>
      </c>
      <c r="F110" s="17">
        <v>30000</v>
      </c>
      <c r="G110" s="17">
        <v>20000</v>
      </c>
      <c r="H110" s="17">
        <v>50000</v>
      </c>
      <c r="I110" s="17">
        <v>8000</v>
      </c>
      <c r="J110" s="17">
        <v>7040</v>
      </c>
      <c r="K110" s="17">
        <v>2560</v>
      </c>
      <c r="L110" s="17">
        <v>1600</v>
      </c>
      <c r="M110" s="17">
        <v>800</v>
      </c>
      <c r="N110" s="17">
        <v>0</v>
      </c>
      <c r="O110" s="17">
        <v>0</v>
      </c>
      <c r="P110" s="17">
        <v>20000</v>
      </c>
    </row>
    <row r="111" spans="2:16" s="6" customFormat="1" ht="13.2">
      <c r="B111" s="18">
        <f t="shared" si="1"/>
        <v>44338</v>
      </c>
      <c r="C111" s="17">
        <v>562500</v>
      </c>
      <c r="D111" s="17">
        <v>1200000</v>
      </c>
      <c r="E111" s="17">
        <v>1762500</v>
      </c>
      <c r="F111" s="17">
        <v>30000</v>
      </c>
      <c r="G111" s="17">
        <v>20000</v>
      </c>
      <c r="H111" s="17">
        <v>50000</v>
      </c>
      <c r="I111" s="17">
        <v>10000</v>
      </c>
      <c r="J111" s="17">
        <v>8800</v>
      </c>
      <c r="K111" s="17">
        <v>1200</v>
      </c>
      <c r="L111" s="17">
        <v>0</v>
      </c>
      <c r="M111" s="17">
        <v>0</v>
      </c>
      <c r="N111" s="17">
        <v>0</v>
      </c>
      <c r="O111" s="17">
        <v>0</v>
      </c>
      <c r="P111" s="17">
        <v>20000</v>
      </c>
    </row>
    <row r="112" spans="2:16" s="6" customFormat="1" ht="13.2">
      <c r="B112" s="18">
        <f t="shared" si="1"/>
        <v>44352</v>
      </c>
      <c r="C112" s="17">
        <v>562500</v>
      </c>
      <c r="D112" s="17">
        <v>1500000</v>
      </c>
      <c r="E112" s="17">
        <v>2062500</v>
      </c>
      <c r="F112" s="17">
        <v>30000</v>
      </c>
      <c r="G112" s="17">
        <v>20000</v>
      </c>
      <c r="H112" s="17">
        <v>50000</v>
      </c>
      <c r="I112" s="17">
        <v>12500</v>
      </c>
      <c r="J112" s="17">
        <v>7500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20000</v>
      </c>
    </row>
    <row r="113" s="6" customFormat="1" ht="13.2"/>
    <row r="114" s="6" customFormat="1" ht="13.2"/>
    <row r="115" s="6" customFormat="1" ht="13.2"/>
    <row r="116" s="6" customFormat="1" ht="13.2"/>
    <row r="117" s="6" customFormat="1" ht="13.2"/>
    <row r="118" s="6" customFormat="1" ht="13.2"/>
    <row r="119" s="6" customFormat="1" ht="13.2"/>
    <row r="120" s="6" customFormat="1" ht="13.2"/>
    <row r="121" s="6" customFormat="1" ht="13.2"/>
    <row r="122" s="6" customFormat="1" ht="13.2"/>
    <row r="123" s="6" customFormat="1" ht="13.2"/>
    <row r="124" s="6" customFormat="1" ht="13.2"/>
    <row r="125" s="6" customFormat="1" ht="13.2"/>
    <row r="126" s="6" customFormat="1" ht="13.2"/>
    <row r="127" s="6" customFormat="1" ht="13.2"/>
    <row r="128" s="6" customFormat="1" ht="13.2"/>
    <row r="129" s="6" customFormat="1" ht="13.2"/>
    <row r="130" s="6" customFormat="1" ht="13.2"/>
    <row r="131" s="6" customFormat="1" ht="13.2"/>
    <row r="132" s="6" customFormat="1" ht="13.2"/>
    <row r="133" s="6" customFormat="1" ht="13.2"/>
    <row r="134" s="6" customFormat="1" ht="13.2"/>
    <row r="135" s="6" customFormat="1" ht="13.2"/>
    <row r="136" s="6" customFormat="1" ht="13.2"/>
    <row r="137" s="6" customFormat="1" ht="13.2"/>
    <row r="138" s="6" customFormat="1" ht="13.2"/>
    <row r="139" s="6" customFormat="1" ht="13.2"/>
    <row r="140" s="6" customFormat="1" ht="13.2"/>
    <row r="141" s="6" customFormat="1" ht="13.2"/>
    <row r="142" s="6" customFormat="1" ht="13.2"/>
    <row r="143" s="6" customFormat="1" ht="13.2"/>
    <row r="144" s="6" customFormat="1" ht="13.2"/>
    <row r="145" s="6" customFormat="1" ht="13.2"/>
    <row r="146" s="6" customFormat="1" ht="13.2"/>
    <row r="147" s="6" customFormat="1" ht="13.2"/>
    <row r="148" s="6" customFormat="1" ht="13.2"/>
    <row r="149" s="6" customFormat="1" ht="13.2"/>
    <row r="150" s="6" customFormat="1" ht="13.2"/>
    <row r="151" s="6" customFormat="1" ht="13.2"/>
    <row r="152" s="6" customFormat="1" ht="13.2"/>
    <row r="153" s="6" customFormat="1" ht="13.2"/>
    <row r="154" s="6" customFormat="1" ht="13.2"/>
    <row r="155" s="6" customFormat="1" ht="13.2"/>
    <row r="156" s="6" customFormat="1" ht="13.2"/>
    <row r="157" s="6" customFormat="1" ht="13.2"/>
    <row r="158" s="6" customFormat="1" ht="13.2"/>
    <row r="159" s="6" customFormat="1" ht="13.2"/>
    <row r="160" s="6" customFormat="1" ht="13.2"/>
    <row r="161" s="6" customFormat="1" ht="13.2"/>
    <row r="162" s="6" customFormat="1" ht="13.2"/>
    <row r="163" s="6" customFormat="1" ht="13.2"/>
    <row r="164" s="6" customFormat="1" ht="13.2"/>
    <row r="165" s="6" customFormat="1" ht="13.2"/>
    <row r="166" s="6" customFormat="1" ht="13.2"/>
    <row r="167" s="6" customFormat="1" ht="13.2"/>
    <row r="168" s="6" customFormat="1" ht="13.2"/>
    <row r="169" s="6" customFormat="1" ht="13.2"/>
    <row r="170" s="6" customFormat="1" ht="13.2"/>
    <row r="171" s="6" customFormat="1" ht="13.2"/>
    <row r="172" s="6" customFormat="1" ht="13.2"/>
    <row r="173" s="6" customFormat="1" ht="13.2"/>
    <row r="174" s="6" customFormat="1" ht="13.2"/>
    <row r="175" s="6" customFormat="1" ht="13.2"/>
    <row r="176" s="6" customFormat="1" ht="13.2"/>
    <row r="177" s="6" customFormat="1" ht="13.2"/>
    <row r="178" s="6" customFormat="1" ht="13.2"/>
    <row r="179" s="6" customFormat="1" ht="13.2"/>
    <row r="180" s="6" customFormat="1" ht="13.2"/>
    <row r="181" s="6" customFormat="1" ht="13.2"/>
    <row r="182" s="6" customFormat="1" ht="13.2"/>
    <row r="183" s="6" customFormat="1" ht="13.2"/>
    <row r="184" s="6" customFormat="1" ht="13.2"/>
    <row r="185" s="6" customFormat="1" ht="13.2"/>
    <row r="186" s="6" customFormat="1" ht="13.2"/>
    <row r="187" s="6" customFormat="1" ht="13.2"/>
    <row r="188" s="6" customFormat="1" ht="13.2"/>
    <row r="189" s="6" customFormat="1" ht="13.2"/>
    <row r="190" s="6" customFormat="1" ht="13.2"/>
    <row r="191" s="6" customFormat="1" ht="13.2"/>
    <row r="192" s="6" customFormat="1" ht="13.2"/>
    <row r="193" s="6" customFormat="1" ht="13.2"/>
    <row r="194" s="6" customFormat="1" ht="13.2"/>
    <row r="195" s="6" customFormat="1" ht="13.2"/>
    <row r="196" s="6" customFormat="1" ht="13.2"/>
    <row r="197" s="6" customFormat="1" ht="13.2"/>
    <row r="198" s="6" customFormat="1" ht="13.2"/>
    <row r="199" s="6" customFormat="1" ht="13.2"/>
    <row r="200" s="6" customFormat="1" ht="13.2"/>
    <row r="201" s="6" customFormat="1" ht="13.2"/>
    <row r="202" s="6" customFormat="1" ht="13.2"/>
    <row r="203" s="6" customFormat="1" ht="13.2"/>
    <row r="204" s="6" customFormat="1" ht="13.2"/>
    <row r="205" s="6" customFormat="1" ht="13.2"/>
    <row r="206" s="6" customFormat="1" ht="13.2"/>
    <row r="207" s="6" customFormat="1" ht="13.2"/>
    <row r="208" s="6" customFormat="1" ht="13.2"/>
    <row r="209" s="6" customFormat="1" ht="13.2"/>
    <row r="210" s="6" customFormat="1" ht="13.2"/>
    <row r="211" s="6" customFormat="1" ht="13.2"/>
    <row r="212" s="6" customFormat="1" ht="13.2"/>
    <row r="213" s="6" customFormat="1" ht="13.2"/>
    <row r="214" s="6" customFormat="1" ht="13.2"/>
    <row r="215" s="6" customFormat="1" ht="13.2"/>
    <row r="216" s="6" customFormat="1" ht="13.2"/>
    <row r="217" s="6" customFormat="1" ht="13.2"/>
    <row r="218" s="6" customFormat="1" ht="13.2"/>
    <row r="219" s="6" customFormat="1" ht="13.2"/>
    <row r="220" s="6" customFormat="1" ht="13.2"/>
    <row r="221" s="6" customFormat="1" ht="13.2"/>
    <row r="222" s="6" customFormat="1" ht="13.2"/>
    <row r="223" s="6" customFormat="1" ht="13.2"/>
    <row r="224" s="6" customFormat="1" ht="13.2"/>
    <row r="225" s="6" customFormat="1" ht="13.2"/>
    <row r="226" s="6" customFormat="1" ht="13.2"/>
    <row r="227" s="6" customFormat="1" ht="13.2"/>
    <row r="228" s="6" customFormat="1" ht="13.2"/>
    <row r="229" s="6" customFormat="1" ht="13.2"/>
    <row r="230" s="6" customFormat="1" ht="13.2"/>
    <row r="231" s="6" customFormat="1" ht="13.2"/>
    <row r="232" s="6" customFormat="1" ht="13.2"/>
    <row r="233" s="6" customFormat="1" ht="13.2"/>
    <row r="234" s="6" customFormat="1" ht="13.2"/>
    <row r="235" s="6" customFormat="1" ht="13.2"/>
    <row r="236" s="6" customFormat="1" ht="13.2"/>
    <row r="237" s="6" customFormat="1" ht="13.2"/>
    <row r="238" s="6" customFormat="1" ht="13.2"/>
    <row r="239" s="6" customFormat="1" ht="13.2"/>
    <row r="240" s="6" customFormat="1" ht="13.2"/>
    <row r="241" s="6" customFormat="1" ht="13.2"/>
    <row r="242" s="6" customFormat="1" ht="13.2"/>
    <row r="243" s="6" customFormat="1" ht="13.2"/>
    <row r="244" s="6" customFormat="1" ht="13.2"/>
    <row r="245" s="6" customFormat="1" ht="13.2"/>
    <row r="246" s="6" customFormat="1" ht="13.2"/>
    <row r="247" s="6" customFormat="1" ht="13.2"/>
    <row r="248" s="6" customFormat="1" ht="13.2"/>
    <row r="249" s="6" customFormat="1" ht="13.2"/>
    <row r="250" s="6" customFormat="1" ht="13.2"/>
    <row r="251" s="6" customFormat="1" ht="13.2"/>
    <row r="252" s="6" customFormat="1" ht="13.2"/>
    <row r="253" s="6" customFormat="1" ht="13.2"/>
    <row r="254" s="6" customFormat="1" ht="13.2"/>
    <row r="255" s="6" customFormat="1" ht="13.2"/>
    <row r="256" s="6" customFormat="1" ht="13.2"/>
    <row r="257" s="6" customFormat="1" ht="13.2"/>
    <row r="258" s="6" customFormat="1" ht="13.2"/>
    <row r="259" s="6" customFormat="1" ht="13.2"/>
    <row r="260" s="6" customFormat="1" ht="13.2"/>
    <row r="261" s="6" customFormat="1" ht="13.2"/>
    <row r="262" s="6" customFormat="1" ht="13.2"/>
    <row r="263" s="6" customFormat="1" ht="13.2"/>
    <row r="264" s="6" customFormat="1" ht="13.2"/>
    <row r="265" s="6" customFormat="1" ht="13.2"/>
    <row r="266" s="6" customFormat="1" ht="13.2"/>
    <row r="267" s="6" customFormat="1" ht="13.2"/>
    <row r="268" s="6" customFormat="1" ht="13.2"/>
    <row r="269" s="6" customFormat="1" ht="13.2"/>
    <row r="270" s="6" customFormat="1" ht="13.2"/>
    <row r="271" s="6" customFormat="1" ht="13.2"/>
    <row r="272" s="6" customFormat="1" ht="13.2"/>
    <row r="273" s="6" customFormat="1" ht="13.2"/>
    <row r="274" s="6" customFormat="1" ht="13.2"/>
    <row r="275" s="6" customFormat="1" ht="13.2"/>
  </sheetData>
  <dataValidations disablePrompts="1" count="1">
    <dataValidation type="list" allowBlank="1" showInputMessage="1" showErrorMessage="1" sqref="E5" xr:uid="{3E85E6A2-0CB0-4069-8A06-7EE07C175991}">
      <formula1>"TRUE, FALSE"</formula1>
    </dataValidation>
  </dataValidations>
  <pageMargins left="0.25" right="0.25" top="0.25" bottom="0.25" header="0.3" footer="0.3"/>
  <pageSetup orientation="landscape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AP348"/>
  <sheetViews>
    <sheetView showGridLines="0" zoomScaleNormal="100" workbookViewId="0">
      <pane ySplit="1" topLeftCell="A56" activePane="bottomLeft" state="frozen"/>
      <selection activeCell="N26" sqref="N26"/>
      <selection pane="bottomLeft" activeCell="F55" sqref="F55"/>
    </sheetView>
  </sheetViews>
  <sheetFormatPr defaultColWidth="8.6640625" defaultRowHeight="13.8"/>
  <cols>
    <col min="1" max="1" width="2.5546875" style="4" customWidth="1"/>
    <col min="2" max="2" width="20.88671875" style="4" bestFit="1" customWidth="1"/>
    <col min="3" max="4" width="13.109375" style="4" customWidth="1"/>
    <col min="5" max="5" width="19.44140625" style="4" bestFit="1" customWidth="1"/>
    <col min="6" max="6" width="17.33203125" style="4" bestFit="1" customWidth="1"/>
    <col min="7" max="7" width="17.5546875" style="4" bestFit="1" customWidth="1"/>
    <col min="8" max="8" width="14.44140625" style="4" bestFit="1" customWidth="1"/>
    <col min="9" max="39" width="13.109375" style="4" customWidth="1"/>
    <col min="40" max="16384" width="8.6640625" style="4"/>
  </cols>
  <sheetData>
    <row r="1" spans="1:23" s="1" customFormat="1" ht="13.2">
      <c r="A1" s="2" t="s">
        <v>33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6"/>
      <c r="R1" s="6"/>
      <c r="S1" s="6"/>
      <c r="T1" s="6"/>
      <c r="U1" s="6"/>
      <c r="V1" s="6"/>
      <c r="W1" s="6"/>
    </row>
    <row r="2" spans="1:23" s="6" customFormat="1" ht="13.2"/>
    <row r="3" spans="1:23" s="6" customFormat="1" ht="13.2">
      <c r="B3" s="7" t="s">
        <v>0</v>
      </c>
      <c r="C3" s="7"/>
      <c r="D3" s="5" t="s">
        <v>1</v>
      </c>
      <c r="E3" s="8">
        <v>750</v>
      </c>
    </row>
    <row r="4" spans="1:23" s="6" customFormat="1" ht="13.2">
      <c r="B4" s="7" t="s">
        <v>2</v>
      </c>
      <c r="C4" s="7"/>
      <c r="D4" s="5" t="s">
        <v>3</v>
      </c>
      <c r="E4" s="9">
        <v>50000</v>
      </c>
    </row>
    <row r="5" spans="1:23" s="6" customFormat="1" ht="13.2">
      <c r="L5" s="10"/>
    </row>
    <row r="6" spans="1:23" s="6" customFormat="1" ht="13.2">
      <c r="B6" s="7" t="s">
        <v>4</v>
      </c>
      <c r="C6" s="7"/>
      <c r="D6" s="11"/>
      <c r="F6" s="7" t="s">
        <v>5</v>
      </c>
      <c r="G6" s="11"/>
      <c r="I6" s="7" t="s">
        <v>6</v>
      </c>
      <c r="J6" s="11"/>
      <c r="L6" s="7" t="s">
        <v>7</v>
      </c>
      <c r="M6" s="11"/>
      <c r="N6" s="11"/>
    </row>
    <row r="7" spans="1:23" s="6" customFormat="1" ht="13.2">
      <c r="B7" s="12" t="s">
        <v>8</v>
      </c>
      <c r="C7" s="12" t="s">
        <v>88</v>
      </c>
      <c r="D7" s="12" t="s">
        <v>10</v>
      </c>
      <c r="F7" s="12" t="s">
        <v>11</v>
      </c>
      <c r="G7" s="12" t="s">
        <v>12</v>
      </c>
      <c r="I7" s="12" t="s">
        <v>13</v>
      </c>
      <c r="J7" s="12" t="s">
        <v>14</v>
      </c>
      <c r="L7" s="12" t="s">
        <v>12</v>
      </c>
      <c r="M7" s="12" t="s">
        <v>15</v>
      </c>
      <c r="N7" s="12" t="s">
        <v>16</v>
      </c>
    </row>
    <row r="8" spans="1:23" s="6" customFormat="1" ht="13.2">
      <c r="B8" s="21">
        <v>44009</v>
      </c>
      <c r="C8" s="22">
        <f>B8-6</f>
        <v>44003</v>
      </c>
      <c r="D8" s="26">
        <v>4800</v>
      </c>
      <c r="F8" s="21">
        <v>44058</v>
      </c>
      <c r="G8" s="31">
        <v>3</v>
      </c>
      <c r="I8" s="35">
        <v>6</v>
      </c>
      <c r="J8" s="37">
        <v>0.25</v>
      </c>
      <c r="L8" s="35">
        <v>1</v>
      </c>
      <c r="M8" s="23">
        <v>15000</v>
      </c>
      <c r="N8" s="26">
        <v>30</v>
      </c>
    </row>
    <row r="9" spans="1:23" s="6" customFormat="1" ht="13.2">
      <c r="B9" s="24">
        <v>44016</v>
      </c>
      <c r="C9" s="13">
        <f t="shared" ref="C9:C38" si="0">B9-6</f>
        <v>44010</v>
      </c>
      <c r="D9" s="27">
        <v>3800</v>
      </c>
      <c r="F9" s="24">
        <v>44065</v>
      </c>
      <c r="G9" s="32">
        <v>2</v>
      </c>
      <c r="I9" s="36">
        <v>5</v>
      </c>
      <c r="J9" s="38">
        <v>0.22</v>
      </c>
      <c r="L9" s="36">
        <v>2</v>
      </c>
      <c r="M9" s="25">
        <v>25000</v>
      </c>
      <c r="N9" s="27">
        <v>40</v>
      </c>
    </row>
    <row r="10" spans="1:23" s="6" customFormat="1" ht="13.2">
      <c r="B10" s="24">
        <v>44023</v>
      </c>
      <c r="C10" s="13">
        <f t="shared" si="0"/>
        <v>44017</v>
      </c>
      <c r="D10" s="27">
        <v>3400</v>
      </c>
      <c r="F10" s="24">
        <v>44072</v>
      </c>
      <c r="G10" s="32">
        <v>1</v>
      </c>
      <c r="I10" s="36">
        <v>4</v>
      </c>
      <c r="J10" s="38">
        <v>0.08</v>
      </c>
      <c r="L10" s="36">
        <v>3</v>
      </c>
      <c r="M10" s="25">
        <v>32000</v>
      </c>
      <c r="N10" s="27">
        <v>50</v>
      </c>
    </row>
    <row r="11" spans="1:23" s="6" customFormat="1" ht="13.2">
      <c r="B11" s="24">
        <v>44030</v>
      </c>
      <c r="C11" s="13">
        <f t="shared" si="0"/>
        <v>44024</v>
      </c>
      <c r="D11" s="27">
        <v>2800</v>
      </c>
      <c r="F11" s="24">
        <v>44079</v>
      </c>
      <c r="G11" s="32">
        <v>3</v>
      </c>
      <c r="I11" s="36">
        <v>3</v>
      </c>
      <c r="J11" s="38">
        <v>0.05</v>
      </c>
      <c r="L11" s="36">
        <v>4</v>
      </c>
      <c r="M11" s="25">
        <v>40000</v>
      </c>
      <c r="N11" s="27">
        <v>60</v>
      </c>
    </row>
    <row r="12" spans="1:23" s="6" customFormat="1" ht="13.2">
      <c r="B12" s="24">
        <v>44037</v>
      </c>
      <c r="C12" s="13">
        <f t="shared" si="0"/>
        <v>44031</v>
      </c>
      <c r="D12" s="27">
        <v>2700</v>
      </c>
      <c r="F12" s="24">
        <v>44086</v>
      </c>
      <c r="G12" s="32">
        <v>1</v>
      </c>
      <c r="I12" s="36">
        <v>2</v>
      </c>
      <c r="J12" s="38">
        <v>0.05</v>
      </c>
      <c r="L12" s="40">
        <v>5</v>
      </c>
      <c r="M12" s="41">
        <v>50000</v>
      </c>
      <c r="N12" s="42">
        <v>75</v>
      </c>
    </row>
    <row r="13" spans="1:23" s="6" customFormat="1" ht="13.2">
      <c r="B13" s="24">
        <v>44044</v>
      </c>
      <c r="C13" s="13">
        <f t="shared" si="0"/>
        <v>44038</v>
      </c>
      <c r="D13" s="27">
        <v>2750</v>
      </c>
      <c r="F13" s="24">
        <v>44093</v>
      </c>
      <c r="G13" s="32">
        <v>2</v>
      </c>
      <c r="I13" s="36">
        <v>1</v>
      </c>
      <c r="J13" s="38">
        <v>0.15</v>
      </c>
    </row>
    <row r="14" spans="1:23" s="6" customFormat="1" ht="13.2">
      <c r="B14" s="24">
        <v>44051</v>
      </c>
      <c r="C14" s="13">
        <f t="shared" si="0"/>
        <v>44045</v>
      </c>
      <c r="D14" s="27">
        <v>2600</v>
      </c>
      <c r="F14" s="24">
        <v>44100</v>
      </c>
      <c r="G14" s="32">
        <v>1</v>
      </c>
      <c r="I14" s="36">
        <v>0</v>
      </c>
      <c r="J14" s="38">
        <v>0.2</v>
      </c>
    </row>
    <row r="15" spans="1:23" s="6" customFormat="1" ht="13.2">
      <c r="B15" s="24">
        <v>44058</v>
      </c>
      <c r="C15" s="13">
        <f t="shared" si="0"/>
        <v>44052</v>
      </c>
      <c r="D15" s="27">
        <v>2800</v>
      </c>
      <c r="F15" s="24">
        <v>44107</v>
      </c>
      <c r="G15" s="32">
        <v>2</v>
      </c>
      <c r="I15" s="28" t="s">
        <v>17</v>
      </c>
      <c r="J15" s="39">
        <f>SUM(J8:J14)</f>
        <v>1</v>
      </c>
    </row>
    <row r="16" spans="1:23" s="6" customFormat="1" ht="13.2">
      <c r="B16" s="24">
        <v>44065</v>
      </c>
      <c r="C16" s="13">
        <f t="shared" si="0"/>
        <v>44059</v>
      </c>
      <c r="D16" s="27">
        <v>1400</v>
      </c>
      <c r="F16" s="24">
        <v>44114</v>
      </c>
      <c r="G16" s="32">
        <v>2</v>
      </c>
    </row>
    <row r="17" spans="2:15" s="6" customFormat="1" ht="13.2">
      <c r="B17" s="24">
        <v>44072</v>
      </c>
      <c r="C17" s="13">
        <f t="shared" si="0"/>
        <v>44066</v>
      </c>
      <c r="D17" s="27">
        <v>800</v>
      </c>
      <c r="F17" s="24">
        <v>44121</v>
      </c>
      <c r="G17" s="32">
        <v>1</v>
      </c>
      <c r="M17" s="14"/>
      <c r="N17" s="14"/>
    </row>
    <row r="18" spans="2:15" s="6" customFormat="1" ht="13.2">
      <c r="B18" s="24">
        <v>44079</v>
      </c>
      <c r="C18" s="13">
        <f t="shared" si="0"/>
        <v>44073</v>
      </c>
      <c r="D18" s="27">
        <v>500</v>
      </c>
      <c r="F18" s="24">
        <v>44128</v>
      </c>
      <c r="G18" s="32">
        <v>2</v>
      </c>
    </row>
    <row r="19" spans="2:15" s="6" customFormat="1" ht="13.2">
      <c r="B19" s="24">
        <v>44086</v>
      </c>
      <c r="C19" s="13">
        <f t="shared" si="0"/>
        <v>44080</v>
      </c>
      <c r="D19" s="27">
        <v>200</v>
      </c>
      <c r="F19" s="24">
        <v>44135</v>
      </c>
      <c r="G19" s="32">
        <v>1</v>
      </c>
    </row>
    <row r="20" spans="2:15" s="6" customFormat="1" ht="13.2">
      <c r="B20" s="24">
        <v>44093</v>
      </c>
      <c r="C20" s="13">
        <f t="shared" si="0"/>
        <v>44087</v>
      </c>
      <c r="D20" s="27">
        <v>150</v>
      </c>
      <c r="F20" s="24">
        <v>44142</v>
      </c>
      <c r="G20" s="32">
        <v>4</v>
      </c>
    </row>
    <row r="21" spans="2:15" s="6" customFormat="1" ht="12.75" customHeight="1">
      <c r="B21" s="24">
        <v>44100</v>
      </c>
      <c r="C21" s="13">
        <f t="shared" si="0"/>
        <v>44094</v>
      </c>
      <c r="D21" s="27">
        <v>50</v>
      </c>
      <c r="F21" s="24">
        <v>44149</v>
      </c>
      <c r="G21" s="32">
        <v>1</v>
      </c>
    </row>
    <row r="22" spans="2:15" s="6" customFormat="1" ht="13.2">
      <c r="B22" s="24">
        <v>44107</v>
      </c>
      <c r="C22" s="13">
        <f t="shared" si="0"/>
        <v>44101</v>
      </c>
      <c r="D22" s="27">
        <v>50</v>
      </c>
      <c r="F22" s="24">
        <v>44156</v>
      </c>
      <c r="G22" s="32">
        <v>2</v>
      </c>
    </row>
    <row r="23" spans="2:15" s="6" customFormat="1" ht="13.2">
      <c r="B23" s="24">
        <v>44114</v>
      </c>
      <c r="C23" s="13">
        <f t="shared" si="0"/>
        <v>44108</v>
      </c>
      <c r="D23" s="27">
        <v>50</v>
      </c>
      <c r="F23" s="24">
        <v>44163</v>
      </c>
      <c r="G23" s="32">
        <v>2</v>
      </c>
      <c r="O23" s="10"/>
    </row>
    <row r="24" spans="2:15" s="6" customFormat="1" ht="13.2">
      <c r="B24" s="24">
        <v>44121</v>
      </c>
      <c r="C24" s="13">
        <f t="shared" si="0"/>
        <v>44115</v>
      </c>
      <c r="D24" s="27">
        <v>50</v>
      </c>
      <c r="F24" s="24">
        <v>44170</v>
      </c>
      <c r="G24" s="32">
        <v>2</v>
      </c>
      <c r="O24" s="10"/>
    </row>
    <row r="25" spans="2:15" s="6" customFormat="1" ht="13.2">
      <c r="B25" s="24">
        <v>44128</v>
      </c>
      <c r="C25" s="13">
        <f t="shared" si="0"/>
        <v>44122</v>
      </c>
      <c r="D25" s="27">
        <v>50</v>
      </c>
      <c r="F25" s="24">
        <v>44177</v>
      </c>
      <c r="G25" s="32">
        <v>1</v>
      </c>
      <c r="O25" s="10"/>
    </row>
    <row r="26" spans="2:15" s="6" customFormat="1" ht="13.2">
      <c r="B26" s="24">
        <v>44135</v>
      </c>
      <c r="C26" s="13">
        <f t="shared" si="0"/>
        <v>44129</v>
      </c>
      <c r="D26" s="27">
        <v>50</v>
      </c>
      <c r="F26" s="24">
        <v>44198</v>
      </c>
      <c r="G26" s="32">
        <v>1</v>
      </c>
      <c r="O26" s="10"/>
    </row>
    <row r="27" spans="2:15" s="6" customFormat="1" ht="13.2">
      <c r="B27" s="24">
        <v>44142</v>
      </c>
      <c r="C27" s="13">
        <f t="shared" si="0"/>
        <v>44136</v>
      </c>
      <c r="D27" s="27">
        <v>50</v>
      </c>
      <c r="F27" s="24">
        <v>44205</v>
      </c>
      <c r="G27" s="32">
        <v>1</v>
      </c>
      <c r="O27" s="10"/>
    </row>
    <row r="28" spans="2:15" s="6" customFormat="1" ht="13.2">
      <c r="B28" s="24">
        <v>44149</v>
      </c>
      <c r="C28" s="13">
        <f t="shared" si="0"/>
        <v>44143</v>
      </c>
      <c r="D28" s="27">
        <v>50</v>
      </c>
      <c r="F28" s="24">
        <v>44212</v>
      </c>
      <c r="G28" s="32">
        <v>3</v>
      </c>
    </row>
    <row r="29" spans="2:15" s="6" customFormat="1" ht="13.2">
      <c r="B29" s="24">
        <v>44156</v>
      </c>
      <c r="C29" s="13">
        <f t="shared" si="0"/>
        <v>44150</v>
      </c>
      <c r="D29" s="27">
        <v>50</v>
      </c>
      <c r="F29" s="24">
        <v>44219</v>
      </c>
      <c r="G29" s="32">
        <v>1</v>
      </c>
    </row>
    <row r="30" spans="2:15" s="6" customFormat="1" ht="13.2">
      <c r="B30" s="24">
        <v>44163</v>
      </c>
      <c r="C30" s="13">
        <f t="shared" si="0"/>
        <v>44157</v>
      </c>
      <c r="D30" s="27">
        <v>50</v>
      </c>
      <c r="F30" s="24">
        <v>44226</v>
      </c>
      <c r="G30" s="32">
        <v>4</v>
      </c>
    </row>
    <row r="31" spans="2:15" s="6" customFormat="1" ht="13.2">
      <c r="B31" s="24">
        <v>44170</v>
      </c>
      <c r="C31" s="13">
        <f t="shared" si="0"/>
        <v>44164</v>
      </c>
      <c r="D31" s="27">
        <v>50</v>
      </c>
      <c r="F31" s="24">
        <v>44233</v>
      </c>
      <c r="G31" s="32">
        <v>2</v>
      </c>
    </row>
    <row r="32" spans="2:15" s="6" customFormat="1" ht="13.2">
      <c r="B32" s="24">
        <v>44177</v>
      </c>
      <c r="C32" s="13">
        <f t="shared" si="0"/>
        <v>44171</v>
      </c>
      <c r="D32" s="27">
        <v>250</v>
      </c>
      <c r="F32" s="24">
        <v>44240</v>
      </c>
      <c r="G32" s="32">
        <v>2</v>
      </c>
    </row>
    <row r="33" spans="2:7" s="6" customFormat="1" ht="13.2">
      <c r="B33" s="24">
        <v>44184</v>
      </c>
      <c r="C33" s="13">
        <f t="shared" si="0"/>
        <v>44178</v>
      </c>
      <c r="D33" s="27">
        <v>250</v>
      </c>
      <c r="F33" s="24">
        <v>44247</v>
      </c>
      <c r="G33" s="32">
        <v>2</v>
      </c>
    </row>
    <row r="34" spans="2:7" s="6" customFormat="1" ht="13.2">
      <c r="B34" s="24">
        <v>44191</v>
      </c>
      <c r="C34" s="13">
        <f t="shared" si="0"/>
        <v>44185</v>
      </c>
      <c r="D34" s="27">
        <v>50</v>
      </c>
      <c r="F34" s="24">
        <v>44254</v>
      </c>
      <c r="G34" s="32">
        <v>3</v>
      </c>
    </row>
    <row r="35" spans="2:7" s="6" customFormat="1" ht="13.2">
      <c r="B35" s="24">
        <v>44198</v>
      </c>
      <c r="C35" s="13">
        <f t="shared" si="0"/>
        <v>44192</v>
      </c>
      <c r="D35" s="27">
        <v>50</v>
      </c>
      <c r="F35" s="24">
        <v>44261</v>
      </c>
      <c r="G35" s="32">
        <v>1</v>
      </c>
    </row>
    <row r="36" spans="2:7" s="6" customFormat="1" ht="13.2">
      <c r="B36" s="24">
        <v>44205</v>
      </c>
      <c r="C36" s="13">
        <f t="shared" si="0"/>
        <v>44199</v>
      </c>
      <c r="D36" s="27">
        <v>50</v>
      </c>
      <c r="F36" s="24">
        <v>44268</v>
      </c>
      <c r="G36" s="32">
        <v>2</v>
      </c>
    </row>
    <row r="37" spans="2:7" s="6" customFormat="1" ht="13.2">
      <c r="B37" s="24">
        <v>44212</v>
      </c>
      <c r="C37" s="13">
        <f t="shared" si="0"/>
        <v>44206</v>
      </c>
      <c r="D37" s="27">
        <v>50</v>
      </c>
      <c r="F37" s="24">
        <v>44275</v>
      </c>
      <c r="G37" s="32">
        <v>2</v>
      </c>
    </row>
    <row r="38" spans="2:7" s="6" customFormat="1" thickBot="1">
      <c r="B38" s="24">
        <v>44219</v>
      </c>
      <c r="C38" s="13">
        <f t="shared" si="0"/>
        <v>44213</v>
      </c>
      <c r="D38" s="27">
        <v>50</v>
      </c>
      <c r="F38" s="24">
        <v>44282</v>
      </c>
      <c r="G38" s="32">
        <v>3</v>
      </c>
    </row>
    <row r="39" spans="2:7" s="6" customFormat="1" ht="13.2">
      <c r="B39" s="28" t="s">
        <v>17</v>
      </c>
      <c r="C39" s="29"/>
      <c r="D39" s="30">
        <f>SUM(D8:D38)</f>
        <v>30000</v>
      </c>
      <c r="F39" s="24">
        <v>44289</v>
      </c>
      <c r="G39" s="32">
        <v>1</v>
      </c>
    </row>
    <row r="40" spans="2:7" s="6" customFormat="1" ht="13.2">
      <c r="F40" s="24">
        <v>44296</v>
      </c>
      <c r="G40" s="32">
        <v>2</v>
      </c>
    </row>
    <row r="41" spans="2:7" s="6" customFormat="1" ht="13.2">
      <c r="F41" s="24">
        <v>44303</v>
      </c>
      <c r="G41" s="32">
        <v>2</v>
      </c>
    </row>
    <row r="42" spans="2:7" s="6" customFormat="1" ht="13.2">
      <c r="F42" s="24">
        <v>44310</v>
      </c>
      <c r="G42" s="32">
        <v>1</v>
      </c>
    </row>
    <row r="43" spans="2:7" s="6" customFormat="1" ht="13.2">
      <c r="F43" s="24">
        <v>44317</v>
      </c>
      <c r="G43" s="32">
        <v>1</v>
      </c>
    </row>
    <row r="44" spans="2:7" s="6" customFormat="1" ht="13.2">
      <c r="F44" s="24">
        <v>44324</v>
      </c>
      <c r="G44" s="32">
        <v>1</v>
      </c>
    </row>
    <row r="45" spans="2:7" s="6" customFormat="1" ht="13.2">
      <c r="F45" s="24">
        <v>44331</v>
      </c>
      <c r="G45" s="32">
        <v>3</v>
      </c>
    </row>
    <row r="46" spans="2:7" s="6" customFormat="1" ht="13.2">
      <c r="F46" s="24">
        <v>44338</v>
      </c>
      <c r="G46" s="32">
        <v>4</v>
      </c>
    </row>
    <row r="47" spans="2:7" s="6" customFormat="1" ht="13.2">
      <c r="F47" s="33">
        <v>44352</v>
      </c>
      <c r="G47" s="34">
        <v>5</v>
      </c>
    </row>
    <row r="48" spans="2:7" s="6" customFormat="1" ht="13.2">
      <c r="F48" s="43" t="s">
        <v>34</v>
      </c>
      <c r="G48" s="6">
        <f>COUNT(G8:G47)</f>
        <v>40</v>
      </c>
    </row>
    <row r="49" spans="1:16" s="6" customFormat="1" ht="13.2">
      <c r="F49" s="43"/>
    </row>
    <row r="50" spans="1:16" s="6" customFormat="1" ht="13.2"/>
    <row r="51" spans="1:16" s="6" customFormat="1" ht="13.2">
      <c r="A51" s="15" t="s">
        <v>18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s="6" customFormat="1" ht="13.2"/>
    <row r="53" spans="1:16" s="6" customFormat="1" ht="16.8">
      <c r="C53" s="16" t="s">
        <v>19</v>
      </c>
      <c r="D53" s="16"/>
      <c r="E53" s="16"/>
      <c r="F53" s="16"/>
      <c r="G53" s="16" t="s">
        <v>20</v>
      </c>
      <c r="H53" s="16"/>
      <c r="I53" s="16"/>
      <c r="J53" s="16"/>
      <c r="K53" s="16" t="s">
        <v>17</v>
      </c>
      <c r="L53" s="16"/>
      <c r="M53" s="16"/>
      <c r="N53" s="16"/>
    </row>
    <row r="54" spans="1:16" s="6" customFormat="1" ht="50.4">
      <c r="B54" s="19" t="s">
        <v>21</v>
      </c>
      <c r="C54" s="19" t="s">
        <v>22</v>
      </c>
      <c r="D54" s="19" t="s">
        <v>23</v>
      </c>
      <c r="E54" s="19" t="s">
        <v>24</v>
      </c>
      <c r="F54" s="19" t="s">
        <v>25</v>
      </c>
      <c r="G54" s="19" t="s">
        <v>26</v>
      </c>
      <c r="H54" s="19" t="s">
        <v>27</v>
      </c>
      <c r="I54" s="19" t="s">
        <v>28</v>
      </c>
      <c r="J54" s="19" t="s">
        <v>25</v>
      </c>
      <c r="K54" s="19" t="s">
        <v>26</v>
      </c>
      <c r="L54" s="19" t="s">
        <v>27</v>
      </c>
      <c r="M54" s="19" t="s">
        <v>29</v>
      </c>
      <c r="N54" s="19" t="s">
        <v>25</v>
      </c>
    </row>
    <row r="55" spans="1:16" s="6" customFormat="1" ht="13.2">
      <c r="B55" s="13">
        <v>44012</v>
      </c>
      <c r="C55" s="44">
        <f>G183</f>
        <v>6450000</v>
      </c>
      <c r="D55" s="44">
        <f t="shared" ref="D55:D67" si="1">K183</f>
        <v>0</v>
      </c>
      <c r="E55" s="44">
        <f>SUM(C$55:C55)-SUM(D$55:D55)</f>
        <v>6450000</v>
      </c>
      <c r="F55" s="45">
        <f t="shared" ref="F55:F67" si="2">F183</f>
        <v>8600</v>
      </c>
      <c r="G55" s="44">
        <f t="shared" ref="G55:H67" si="3">D304</f>
        <v>0</v>
      </c>
      <c r="H55" s="44">
        <f t="shared" si="3"/>
        <v>0</v>
      </c>
      <c r="I55" s="44">
        <f>SUM(G$55:G55)-SUM(H$55:H55)</f>
        <v>0</v>
      </c>
      <c r="J55" s="45">
        <f t="shared" ref="J55:J67" si="4">C304</f>
        <v>0</v>
      </c>
      <c r="K55" s="44">
        <f>G55+C55</f>
        <v>6450000</v>
      </c>
      <c r="L55" s="44">
        <f>H55+D55</f>
        <v>0</v>
      </c>
      <c r="M55" s="44">
        <f>I55+E55</f>
        <v>6450000</v>
      </c>
      <c r="N55" s="45">
        <f>F55+J55</f>
        <v>8600</v>
      </c>
    </row>
    <row r="56" spans="1:16" s="6" customFormat="1" ht="13.2">
      <c r="B56" s="13">
        <v>44043</v>
      </c>
      <c r="C56" s="44">
        <f t="shared" ref="C56:C67" si="5">G184</f>
        <v>8737500</v>
      </c>
      <c r="D56" s="44">
        <f t="shared" si="1"/>
        <v>0</v>
      </c>
      <c r="E56" s="44">
        <f>SUM(C$55:C56)-SUM(D$55:D56)</f>
        <v>15187500</v>
      </c>
      <c r="F56" s="45">
        <f t="shared" si="2"/>
        <v>11650</v>
      </c>
      <c r="G56" s="44">
        <f t="shared" si="3"/>
        <v>0</v>
      </c>
      <c r="H56" s="44">
        <f t="shared" si="3"/>
        <v>0</v>
      </c>
      <c r="I56" s="44">
        <f>SUM(G$55:G56)-SUM(H$55:H56)</f>
        <v>0</v>
      </c>
      <c r="J56" s="45">
        <f t="shared" si="4"/>
        <v>0</v>
      </c>
      <c r="K56" s="44">
        <f t="shared" ref="K56:M67" si="6">G56+C56</f>
        <v>8737500</v>
      </c>
      <c r="L56" s="44">
        <f t="shared" si="6"/>
        <v>0</v>
      </c>
      <c r="M56" s="44">
        <f t="shared" si="6"/>
        <v>15187500</v>
      </c>
      <c r="N56" s="45">
        <f t="shared" ref="N56:N67" si="7">F56+J56</f>
        <v>11650</v>
      </c>
    </row>
    <row r="57" spans="1:16" s="6" customFormat="1" ht="13.2">
      <c r="B57" s="13">
        <v>44074</v>
      </c>
      <c r="C57" s="44">
        <f t="shared" si="5"/>
        <v>6075000</v>
      </c>
      <c r="D57" s="44">
        <f t="shared" si="1"/>
        <v>1594687.5</v>
      </c>
      <c r="E57" s="44">
        <f>SUM(C$55:C57)-SUM(D$55:D57)</f>
        <v>19667812.5</v>
      </c>
      <c r="F57" s="45">
        <f t="shared" si="2"/>
        <v>8100</v>
      </c>
      <c r="G57" s="44">
        <f t="shared" si="3"/>
        <v>3337500</v>
      </c>
      <c r="H57" s="44">
        <f t="shared" si="3"/>
        <v>2585500</v>
      </c>
      <c r="I57" s="44">
        <f>SUM(G$55:G57)-SUM(H$55:H57)</f>
        <v>752000</v>
      </c>
      <c r="J57" s="45">
        <f t="shared" si="4"/>
        <v>77340</v>
      </c>
      <c r="K57" s="44">
        <f t="shared" si="6"/>
        <v>9412500</v>
      </c>
      <c r="L57" s="44">
        <f t="shared" si="6"/>
        <v>4180187.5</v>
      </c>
      <c r="M57" s="44">
        <f t="shared" si="6"/>
        <v>20419812.5</v>
      </c>
      <c r="N57" s="45">
        <f t="shared" si="7"/>
        <v>85440</v>
      </c>
    </row>
    <row r="58" spans="1:16" s="6" customFormat="1" ht="13.2">
      <c r="B58" s="13">
        <v>44104</v>
      </c>
      <c r="C58" s="44">
        <f t="shared" si="5"/>
        <v>337500</v>
      </c>
      <c r="D58" s="44">
        <f t="shared" si="1"/>
        <v>2185312.4999999995</v>
      </c>
      <c r="E58" s="44">
        <f>SUM(C$55:C58)-SUM(D$55:D58)</f>
        <v>17820000</v>
      </c>
      <c r="F58" s="45">
        <f t="shared" si="2"/>
        <v>450</v>
      </c>
      <c r="G58" s="44">
        <f t="shared" si="3"/>
        <v>2682500</v>
      </c>
      <c r="H58" s="44">
        <f t="shared" si="3"/>
        <v>2834500</v>
      </c>
      <c r="I58" s="44">
        <f>SUM(G$55:G58)-SUM(H$55:H58)</f>
        <v>600000</v>
      </c>
      <c r="J58" s="45">
        <f t="shared" si="4"/>
        <v>72910</v>
      </c>
      <c r="K58" s="44">
        <f t="shared" si="6"/>
        <v>3020000</v>
      </c>
      <c r="L58" s="44">
        <f t="shared" si="6"/>
        <v>5019812.5</v>
      </c>
      <c r="M58" s="44">
        <f t="shared" si="6"/>
        <v>18420000</v>
      </c>
      <c r="N58" s="45">
        <f t="shared" si="7"/>
        <v>73360</v>
      </c>
    </row>
    <row r="59" spans="1:16" s="6" customFormat="1" ht="13.2">
      <c r="B59" s="13">
        <v>44135</v>
      </c>
      <c r="C59" s="44">
        <f t="shared" si="5"/>
        <v>150000</v>
      </c>
      <c r="D59" s="44">
        <f t="shared" si="1"/>
        <v>2745000.0000000005</v>
      </c>
      <c r="E59" s="44">
        <f>SUM(C$55:C59)-SUM(D$55:D59)</f>
        <v>15225000</v>
      </c>
      <c r="F59" s="45">
        <f t="shared" si="2"/>
        <v>200</v>
      </c>
      <c r="G59" s="44">
        <f t="shared" si="3"/>
        <v>2836000</v>
      </c>
      <c r="H59" s="44">
        <f t="shared" si="3"/>
        <v>3436000</v>
      </c>
      <c r="I59" s="44">
        <f>SUM(G$55:G59)-SUM(H$55:H59)</f>
        <v>0</v>
      </c>
      <c r="J59" s="45">
        <f t="shared" si="4"/>
        <v>78400</v>
      </c>
      <c r="K59" s="44">
        <f t="shared" si="6"/>
        <v>2986000</v>
      </c>
      <c r="L59" s="44">
        <f t="shared" si="6"/>
        <v>6181000</v>
      </c>
      <c r="M59" s="44">
        <f t="shared" si="6"/>
        <v>15225000</v>
      </c>
      <c r="N59" s="45">
        <f t="shared" si="7"/>
        <v>78600</v>
      </c>
    </row>
    <row r="60" spans="1:16" s="6" customFormat="1" ht="13.2">
      <c r="B60" s="13">
        <v>44165</v>
      </c>
      <c r="C60" s="44">
        <f t="shared" si="5"/>
        <v>187500</v>
      </c>
      <c r="D60" s="44">
        <f t="shared" si="1"/>
        <v>2250000</v>
      </c>
      <c r="E60" s="44">
        <f>SUM(C$55:C60)-SUM(D$55:D60)</f>
        <v>13162500</v>
      </c>
      <c r="F60" s="45">
        <f t="shared" si="2"/>
        <v>250</v>
      </c>
      <c r="G60" s="44">
        <f t="shared" si="3"/>
        <v>3843000</v>
      </c>
      <c r="H60" s="44">
        <f t="shared" si="3"/>
        <v>3373000</v>
      </c>
      <c r="I60" s="44">
        <f>SUM(G$55:G60)-SUM(H$55:H60)</f>
        <v>470000</v>
      </c>
      <c r="J60" s="45">
        <f t="shared" si="4"/>
        <v>89350</v>
      </c>
      <c r="K60" s="44">
        <f t="shared" si="6"/>
        <v>4030500</v>
      </c>
      <c r="L60" s="44">
        <f t="shared" si="6"/>
        <v>5623000</v>
      </c>
      <c r="M60" s="44">
        <f t="shared" si="6"/>
        <v>13632500</v>
      </c>
      <c r="N60" s="45">
        <f t="shared" si="7"/>
        <v>89600</v>
      </c>
    </row>
    <row r="61" spans="1:16" s="6" customFormat="1" ht="13.2">
      <c r="B61" s="13">
        <v>44196</v>
      </c>
      <c r="C61" s="44">
        <f t="shared" si="5"/>
        <v>450000</v>
      </c>
      <c r="D61" s="44">
        <f t="shared" si="1"/>
        <v>1299375</v>
      </c>
      <c r="E61" s="44">
        <f>SUM(C$55:C61)-SUM(D$55:D61)</f>
        <v>12313125</v>
      </c>
      <c r="F61" s="45">
        <f t="shared" si="2"/>
        <v>600</v>
      </c>
      <c r="G61" s="44">
        <f t="shared" si="3"/>
        <v>1102500</v>
      </c>
      <c r="H61" s="44">
        <f t="shared" si="3"/>
        <v>1280000</v>
      </c>
      <c r="I61" s="44">
        <f>SUM(G$55:G61)-SUM(H$55:H61)</f>
        <v>292500</v>
      </c>
      <c r="J61" s="45">
        <f t="shared" si="4"/>
        <v>33750</v>
      </c>
      <c r="K61" s="44">
        <f t="shared" si="6"/>
        <v>1552500</v>
      </c>
      <c r="L61" s="44">
        <f t="shared" si="6"/>
        <v>2579375</v>
      </c>
      <c r="M61" s="44">
        <f t="shared" si="6"/>
        <v>12605625</v>
      </c>
      <c r="N61" s="45">
        <f t="shared" si="7"/>
        <v>34350</v>
      </c>
    </row>
    <row r="62" spans="1:16" s="6" customFormat="1" ht="13.2">
      <c r="B62" s="13">
        <v>44227</v>
      </c>
      <c r="C62" s="44">
        <f t="shared" si="5"/>
        <v>112500</v>
      </c>
      <c r="D62" s="44">
        <f t="shared" si="1"/>
        <v>2863124.9999999981</v>
      </c>
      <c r="E62" s="44">
        <f>SUM(C$55:C62)-SUM(D$55:D62)</f>
        <v>9562500.0000000019</v>
      </c>
      <c r="F62" s="45">
        <f t="shared" si="2"/>
        <v>150</v>
      </c>
      <c r="G62" s="44">
        <f t="shared" si="3"/>
        <v>3510000</v>
      </c>
      <c r="H62" s="44">
        <f t="shared" si="3"/>
        <v>3552500</v>
      </c>
      <c r="I62" s="44">
        <f>SUM(G$55:G62)-SUM(H$55:H62)</f>
        <v>250000</v>
      </c>
      <c r="J62" s="45">
        <f t="shared" si="4"/>
        <v>81550</v>
      </c>
      <c r="K62" s="44">
        <f t="shared" si="6"/>
        <v>3622500</v>
      </c>
      <c r="L62" s="44">
        <f t="shared" si="6"/>
        <v>6415624.9999999981</v>
      </c>
      <c r="M62" s="44">
        <f t="shared" si="6"/>
        <v>9812500.0000000019</v>
      </c>
      <c r="N62" s="45">
        <f t="shared" si="7"/>
        <v>81700</v>
      </c>
    </row>
    <row r="63" spans="1:16" s="6" customFormat="1" ht="13.2">
      <c r="B63" s="13">
        <v>44255</v>
      </c>
      <c r="C63" s="44">
        <f t="shared" si="5"/>
        <v>0</v>
      </c>
      <c r="D63" s="44">
        <f t="shared" si="1"/>
        <v>2250000.0000000037</v>
      </c>
      <c r="E63" s="44">
        <f>SUM(C$55:C63)-SUM(D$55:D63)</f>
        <v>7312499.9999999981</v>
      </c>
      <c r="F63" s="45">
        <f t="shared" si="2"/>
        <v>0</v>
      </c>
      <c r="G63" s="44">
        <f t="shared" si="3"/>
        <v>3262500</v>
      </c>
      <c r="H63" s="44">
        <f t="shared" si="3"/>
        <v>3400000</v>
      </c>
      <c r="I63" s="44">
        <f>SUM(G$55:G63)-SUM(H$55:H63)</f>
        <v>112500</v>
      </c>
      <c r="J63" s="45">
        <f t="shared" si="4"/>
        <v>77500</v>
      </c>
      <c r="K63" s="44">
        <f t="shared" si="6"/>
        <v>3262500</v>
      </c>
      <c r="L63" s="44">
        <f t="shared" si="6"/>
        <v>5650000.0000000037</v>
      </c>
      <c r="M63" s="44">
        <f t="shared" si="6"/>
        <v>7424999.9999999981</v>
      </c>
      <c r="N63" s="45">
        <f t="shared" si="7"/>
        <v>77500</v>
      </c>
    </row>
    <row r="64" spans="1:16" s="6" customFormat="1" ht="13.2">
      <c r="B64" s="13">
        <v>44286</v>
      </c>
      <c r="C64" s="44">
        <f t="shared" si="5"/>
        <v>0</v>
      </c>
      <c r="D64" s="44">
        <f t="shared" si="1"/>
        <v>2249999.9999999981</v>
      </c>
      <c r="E64" s="44">
        <f>SUM(C$55:C64)-SUM(D$55:D64)</f>
        <v>5062500</v>
      </c>
      <c r="F64" s="45">
        <f t="shared" si="2"/>
        <v>0</v>
      </c>
      <c r="G64" s="44">
        <f t="shared" si="3"/>
        <v>3207500</v>
      </c>
      <c r="H64" s="44">
        <f t="shared" si="3"/>
        <v>3050000</v>
      </c>
      <c r="I64" s="44">
        <f>SUM(G$55:G64)-SUM(H$55:H64)</f>
        <v>270000</v>
      </c>
      <c r="J64" s="45">
        <f t="shared" si="4"/>
        <v>80250</v>
      </c>
      <c r="K64" s="44">
        <f t="shared" si="6"/>
        <v>3207500</v>
      </c>
      <c r="L64" s="44">
        <f t="shared" si="6"/>
        <v>5299999.9999999981</v>
      </c>
      <c r="M64" s="44">
        <f t="shared" si="6"/>
        <v>5332500</v>
      </c>
      <c r="N64" s="45">
        <f t="shared" si="7"/>
        <v>80250</v>
      </c>
    </row>
    <row r="65" spans="1:17" s="6" customFormat="1" ht="13.2">
      <c r="B65" s="13">
        <v>44316</v>
      </c>
      <c r="C65" s="44">
        <f t="shared" si="5"/>
        <v>0</v>
      </c>
      <c r="D65" s="44">
        <f t="shared" si="1"/>
        <v>2250000</v>
      </c>
      <c r="E65" s="44">
        <f>SUM(C$55:C65)-SUM(D$55:D65)</f>
        <v>2812500</v>
      </c>
      <c r="F65" s="45">
        <f t="shared" si="2"/>
        <v>0</v>
      </c>
      <c r="G65" s="44">
        <f t="shared" si="3"/>
        <v>2590000</v>
      </c>
      <c r="H65" s="44">
        <f t="shared" si="3"/>
        <v>2500000</v>
      </c>
      <c r="I65" s="44">
        <f>SUM(G$55:G65)-SUM(H$55:H65)</f>
        <v>360000</v>
      </c>
      <c r="J65" s="45">
        <f t="shared" si="4"/>
        <v>73000</v>
      </c>
      <c r="K65" s="44">
        <f t="shared" si="6"/>
        <v>2590000</v>
      </c>
      <c r="L65" s="44">
        <f t="shared" si="6"/>
        <v>4750000</v>
      </c>
      <c r="M65" s="44">
        <f t="shared" si="6"/>
        <v>3172500</v>
      </c>
      <c r="N65" s="45">
        <f t="shared" si="7"/>
        <v>73000</v>
      </c>
    </row>
    <row r="66" spans="1:17" s="6" customFormat="1" ht="13.2">
      <c r="B66" s="13">
        <v>44347</v>
      </c>
      <c r="C66" s="44">
        <f t="shared" si="5"/>
        <v>0</v>
      </c>
      <c r="D66" s="44">
        <f t="shared" si="1"/>
        <v>2250000</v>
      </c>
      <c r="E66" s="44">
        <f>SUM(C$55:C66)-SUM(D$55:D66)</f>
        <v>562500</v>
      </c>
      <c r="F66" s="45">
        <f t="shared" si="2"/>
        <v>0</v>
      </c>
      <c r="G66" s="44">
        <f t="shared" si="3"/>
        <v>4240000</v>
      </c>
      <c r="H66" s="44">
        <f t="shared" si="3"/>
        <v>3100000</v>
      </c>
      <c r="I66" s="44">
        <f>SUM(G$55:G66)-SUM(H$55:H66)</f>
        <v>1500000</v>
      </c>
      <c r="J66" s="45">
        <f t="shared" si="4"/>
        <v>78000</v>
      </c>
      <c r="K66" s="44">
        <f t="shared" si="6"/>
        <v>4240000</v>
      </c>
      <c r="L66" s="44">
        <f t="shared" si="6"/>
        <v>5350000</v>
      </c>
      <c r="M66" s="44">
        <f t="shared" si="6"/>
        <v>2062500</v>
      </c>
      <c r="N66" s="45">
        <f t="shared" si="7"/>
        <v>78000</v>
      </c>
    </row>
    <row r="67" spans="1:17" s="6" customFormat="1" ht="13.2">
      <c r="B67" s="13">
        <v>44377</v>
      </c>
      <c r="C67" s="44">
        <f t="shared" si="5"/>
        <v>0</v>
      </c>
      <c r="D67" s="44">
        <f t="shared" si="1"/>
        <v>562500</v>
      </c>
      <c r="E67" s="44">
        <f>SUM(C$55:C67)-SUM(D$55:D67)</f>
        <v>0</v>
      </c>
      <c r="F67" s="45">
        <f t="shared" si="2"/>
        <v>0</v>
      </c>
      <c r="G67" s="44">
        <f t="shared" si="3"/>
        <v>0</v>
      </c>
      <c r="H67" s="44">
        <f t="shared" si="3"/>
        <v>1500000</v>
      </c>
      <c r="I67" s="44">
        <f>SUM(G$55:G67)-SUM(H$55:H67)</f>
        <v>0</v>
      </c>
      <c r="J67" s="46">
        <f t="shared" si="4"/>
        <v>0</v>
      </c>
      <c r="K67" s="44">
        <f t="shared" si="6"/>
        <v>0</v>
      </c>
      <c r="L67" s="44">
        <f t="shared" si="6"/>
        <v>2062500</v>
      </c>
      <c r="M67" s="44">
        <f t="shared" si="6"/>
        <v>0</v>
      </c>
      <c r="N67" s="45">
        <f t="shared" si="7"/>
        <v>0</v>
      </c>
    </row>
    <row r="68" spans="1:17" s="6" customFormat="1" ht="13.2">
      <c r="C68" s="47">
        <f>SUM(C55:C67)</f>
        <v>22500000</v>
      </c>
      <c r="D68" s="47">
        <f>SUM(D55:D67)</f>
        <v>22500000</v>
      </c>
      <c r="E68" s="47"/>
      <c r="F68" s="48">
        <f>SUM(F55:F67)</f>
        <v>30000</v>
      </c>
      <c r="G68" s="47">
        <f>SUM(G55:G67)</f>
        <v>30611500</v>
      </c>
      <c r="H68" s="47">
        <f>SUM(H55:H67)</f>
        <v>30611500</v>
      </c>
      <c r="I68" s="49"/>
      <c r="K68" s="47">
        <f>SUM(K55:K67)</f>
        <v>53111500</v>
      </c>
      <c r="L68" s="47">
        <f>SUM(L55:L67)</f>
        <v>53111500</v>
      </c>
      <c r="M68" s="47"/>
      <c r="N68" s="48">
        <f>SUM(N55:N67)</f>
        <v>772050</v>
      </c>
    </row>
    <row r="69" spans="1:17" s="6" customFormat="1" ht="13.2">
      <c r="C69" s="100"/>
      <c r="D69" s="100"/>
      <c r="E69" s="100"/>
      <c r="F69" s="101"/>
      <c r="G69" s="100"/>
      <c r="H69" s="100"/>
      <c r="K69" s="100"/>
      <c r="L69" s="100"/>
      <c r="M69" s="100"/>
      <c r="N69" s="101"/>
    </row>
    <row r="70" spans="1:17" s="6" customFormat="1" ht="13.2">
      <c r="C70" s="100"/>
      <c r="D70" s="100"/>
      <c r="E70" s="100"/>
      <c r="F70" s="101"/>
      <c r="G70" s="100"/>
      <c r="H70" s="100"/>
      <c r="K70" s="100"/>
      <c r="L70" s="100"/>
      <c r="M70" s="100"/>
      <c r="N70" s="101"/>
    </row>
    <row r="71" spans="1:17" s="6" customFormat="1" ht="13.2">
      <c r="A71" s="15" t="s">
        <v>30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spans="1:17" s="6" customFormat="1" ht="13.2">
      <c r="C72" s="100"/>
      <c r="D72" s="100"/>
      <c r="E72" s="100"/>
    </row>
    <row r="73" spans="1:17" s="6" customFormat="1" ht="16.8">
      <c r="C73" s="16" t="s">
        <v>23</v>
      </c>
      <c r="D73" s="16"/>
      <c r="E73" s="16"/>
      <c r="F73" s="16" t="s">
        <v>25</v>
      </c>
      <c r="G73" s="16"/>
      <c r="H73" s="16"/>
      <c r="I73" s="16" t="s">
        <v>32</v>
      </c>
      <c r="J73" s="16"/>
      <c r="K73" s="16"/>
      <c r="L73" s="16"/>
      <c r="M73" s="16"/>
      <c r="N73" s="16"/>
      <c r="O73" s="16"/>
      <c r="P73" s="16"/>
    </row>
    <row r="74" spans="1:17" s="6" customFormat="1" ht="26.4">
      <c r="B74" s="20" t="s">
        <v>31</v>
      </c>
      <c r="C74" s="20" t="s">
        <v>19</v>
      </c>
      <c r="D74" s="20" t="s">
        <v>20</v>
      </c>
      <c r="E74" s="20" t="s">
        <v>17</v>
      </c>
      <c r="F74" s="20" t="s">
        <v>19</v>
      </c>
      <c r="G74" s="20" t="s">
        <v>20</v>
      </c>
      <c r="H74" s="20" t="s">
        <v>17</v>
      </c>
      <c r="I74" s="20">
        <v>6</v>
      </c>
      <c r="J74" s="20">
        <v>5</v>
      </c>
      <c r="K74" s="20">
        <v>4</v>
      </c>
      <c r="L74" s="20">
        <v>3</v>
      </c>
      <c r="M74" s="20">
        <v>2</v>
      </c>
      <c r="N74" s="20">
        <v>1</v>
      </c>
      <c r="O74" s="20">
        <v>0</v>
      </c>
      <c r="P74" s="20" t="s">
        <v>17</v>
      </c>
      <c r="Q74" s="20" t="s">
        <v>66</v>
      </c>
    </row>
    <row r="75" spans="1:17" s="6" customFormat="1" ht="13.2">
      <c r="B75" s="18">
        <f t="shared" ref="B75:B114" si="8">F8</f>
        <v>44058</v>
      </c>
      <c r="C75" s="50">
        <f>SUMIF($B$125:$B$174,"&lt;="&amp;B75,$J$125:$J$174)</f>
        <v>480937.5</v>
      </c>
      <c r="D75" s="50">
        <f>Y206</f>
        <v>1217500</v>
      </c>
      <c r="E75" s="50">
        <f>SUM(C75:D75)</f>
        <v>1698437.5</v>
      </c>
      <c r="F75" s="51">
        <f t="shared" ref="F75:F114" si="9">F206</f>
        <v>25650</v>
      </c>
      <c r="G75" s="51">
        <f t="shared" ref="G75:G114" si="10">H206</f>
        <v>24350</v>
      </c>
      <c r="H75" s="51">
        <f>SUM(F75:G75)</f>
        <v>50000</v>
      </c>
      <c r="I75" s="45">
        <f t="shared" ref="I75:O111" si="11">P206</f>
        <v>8000</v>
      </c>
      <c r="J75" s="45">
        <f t="shared" si="11"/>
        <v>7040</v>
      </c>
      <c r="K75" s="45">
        <f t="shared" si="11"/>
        <v>2560</v>
      </c>
      <c r="L75" s="45">
        <f t="shared" si="11"/>
        <v>1600</v>
      </c>
      <c r="M75" s="45">
        <f t="shared" si="11"/>
        <v>1600</v>
      </c>
      <c r="N75" s="45">
        <f t="shared" si="11"/>
        <v>3550</v>
      </c>
      <c r="O75" s="45">
        <f t="shared" si="11"/>
        <v>0</v>
      </c>
      <c r="P75" s="45">
        <f>SUM(I75:O75)</f>
        <v>24350</v>
      </c>
      <c r="Q75" s="6" t="b">
        <f>P75=G75</f>
        <v>1</v>
      </c>
    </row>
    <row r="76" spans="1:17" s="6" customFormat="1" ht="13.2">
      <c r="B76" s="18">
        <f t="shared" si="8"/>
        <v>44065</v>
      </c>
      <c r="C76" s="50">
        <f t="shared" ref="C76:C114" si="12">SUMIFS($J$125:$J$174,$B$125:$B$174,"&lt;="&amp;B76,$B$125:$B$174,"&gt;"&amp;B75)</f>
        <v>533437.5</v>
      </c>
      <c r="D76" s="50">
        <f t="shared" ref="D76:D114" si="13">Y207</f>
        <v>918000</v>
      </c>
      <c r="E76" s="50">
        <f t="shared" ref="E76:E114" si="14">SUM(C76:D76)</f>
        <v>1451437.5</v>
      </c>
      <c r="F76" s="51">
        <f t="shared" si="9"/>
        <v>27050</v>
      </c>
      <c r="G76" s="51">
        <f t="shared" si="10"/>
        <v>22950</v>
      </c>
      <c r="H76" s="51">
        <f t="shared" ref="H76:H114" si="15">SUM(F76:G76)</f>
        <v>50000</v>
      </c>
      <c r="I76" s="45">
        <f t="shared" si="11"/>
        <v>6250</v>
      </c>
      <c r="J76" s="45">
        <f t="shared" si="11"/>
        <v>5500</v>
      </c>
      <c r="K76" s="45">
        <f t="shared" si="11"/>
        <v>2000</v>
      </c>
      <c r="L76" s="45">
        <f t="shared" si="11"/>
        <v>1250</v>
      </c>
      <c r="M76" s="45">
        <f t="shared" si="11"/>
        <v>1250</v>
      </c>
      <c r="N76" s="45">
        <f t="shared" si="11"/>
        <v>3750</v>
      </c>
      <c r="O76" s="45">
        <f t="shared" si="11"/>
        <v>2950</v>
      </c>
      <c r="P76" s="45">
        <f t="shared" ref="P76:P114" si="16">SUM(I76:O76)</f>
        <v>22950</v>
      </c>
      <c r="Q76" s="6" t="b">
        <f t="shared" ref="Q76:Q114" si="17">P76=G76</f>
        <v>1</v>
      </c>
    </row>
    <row r="77" spans="1:17" s="6" customFormat="1" ht="13.2">
      <c r="B77" s="18">
        <f t="shared" si="8"/>
        <v>44072</v>
      </c>
      <c r="C77" s="50">
        <f t="shared" si="12"/>
        <v>552187.5</v>
      </c>
      <c r="D77" s="50">
        <f t="shared" si="13"/>
        <v>450000</v>
      </c>
      <c r="E77" s="50">
        <f t="shared" si="14"/>
        <v>1002187.5</v>
      </c>
      <c r="F77" s="51">
        <f t="shared" si="9"/>
        <v>27850</v>
      </c>
      <c r="G77" s="51">
        <f t="shared" si="10"/>
        <v>15000</v>
      </c>
      <c r="H77" s="51">
        <f t="shared" si="15"/>
        <v>42850</v>
      </c>
      <c r="I77" s="45">
        <f t="shared" si="11"/>
        <v>3750</v>
      </c>
      <c r="J77" s="45">
        <f t="shared" si="11"/>
        <v>3300</v>
      </c>
      <c r="K77" s="45">
        <f t="shared" si="11"/>
        <v>1200</v>
      </c>
      <c r="L77" s="45">
        <f t="shared" si="11"/>
        <v>750</v>
      </c>
      <c r="M77" s="45">
        <f t="shared" si="11"/>
        <v>750</v>
      </c>
      <c r="N77" s="45">
        <f t="shared" si="11"/>
        <v>2250</v>
      </c>
      <c r="O77" s="45">
        <f t="shared" si="11"/>
        <v>3000</v>
      </c>
      <c r="P77" s="45">
        <f t="shared" si="16"/>
        <v>15000</v>
      </c>
      <c r="Q77" s="6" t="b">
        <f t="shared" si="17"/>
        <v>1</v>
      </c>
    </row>
    <row r="78" spans="1:17" s="6" customFormat="1" ht="13.2">
      <c r="B78" s="18">
        <f t="shared" si="8"/>
        <v>44079</v>
      </c>
      <c r="C78" s="50">
        <f t="shared" si="12"/>
        <v>559687.5</v>
      </c>
      <c r="D78" s="50">
        <f t="shared" si="13"/>
        <v>1082500</v>
      </c>
      <c r="E78" s="50">
        <f t="shared" si="14"/>
        <v>1642187.5</v>
      </c>
      <c r="F78" s="51">
        <f t="shared" si="9"/>
        <v>28350</v>
      </c>
      <c r="G78" s="51">
        <f t="shared" si="10"/>
        <v>21650</v>
      </c>
      <c r="H78" s="51">
        <f t="shared" si="15"/>
        <v>50000</v>
      </c>
      <c r="I78" s="45">
        <f t="shared" si="11"/>
        <v>8000</v>
      </c>
      <c r="J78" s="45">
        <f t="shared" si="11"/>
        <v>7040</v>
      </c>
      <c r="K78" s="45">
        <f t="shared" si="11"/>
        <v>2560</v>
      </c>
      <c r="L78" s="45">
        <f t="shared" si="11"/>
        <v>1600</v>
      </c>
      <c r="M78" s="45">
        <f t="shared" si="11"/>
        <v>1600</v>
      </c>
      <c r="N78" s="45">
        <f t="shared" si="11"/>
        <v>850</v>
      </c>
      <c r="O78" s="45">
        <f t="shared" si="11"/>
        <v>0</v>
      </c>
      <c r="P78" s="45">
        <f t="shared" si="16"/>
        <v>21650</v>
      </c>
      <c r="Q78" s="6" t="b">
        <f t="shared" si="17"/>
        <v>1</v>
      </c>
    </row>
    <row r="79" spans="1:17" s="6" customFormat="1" ht="13.2">
      <c r="B79" s="18">
        <f t="shared" si="8"/>
        <v>44086</v>
      </c>
      <c r="C79" s="50">
        <f t="shared" si="12"/>
        <v>550312.5</v>
      </c>
      <c r="D79" s="50">
        <f t="shared" si="13"/>
        <v>450000</v>
      </c>
      <c r="E79" s="50">
        <f t="shared" si="14"/>
        <v>1000312.5</v>
      </c>
      <c r="F79" s="51">
        <f t="shared" si="9"/>
        <v>28550</v>
      </c>
      <c r="G79" s="51">
        <f t="shared" si="10"/>
        <v>15000</v>
      </c>
      <c r="H79" s="51">
        <f t="shared" si="15"/>
        <v>43550</v>
      </c>
      <c r="I79" s="45">
        <f t="shared" si="11"/>
        <v>3750</v>
      </c>
      <c r="J79" s="45">
        <f t="shared" si="11"/>
        <v>3300</v>
      </c>
      <c r="K79" s="45">
        <f t="shared" si="11"/>
        <v>1200</v>
      </c>
      <c r="L79" s="45">
        <f t="shared" si="11"/>
        <v>750</v>
      </c>
      <c r="M79" s="45">
        <f t="shared" si="11"/>
        <v>750</v>
      </c>
      <c r="N79" s="45">
        <f t="shared" si="11"/>
        <v>2250</v>
      </c>
      <c r="O79" s="45">
        <f t="shared" si="11"/>
        <v>3000</v>
      </c>
      <c r="P79" s="45">
        <f t="shared" si="16"/>
        <v>15000</v>
      </c>
      <c r="Q79" s="6" t="b">
        <f t="shared" si="17"/>
        <v>1</v>
      </c>
    </row>
    <row r="80" spans="1:17" s="6" customFormat="1" ht="13.2">
      <c r="B80" s="18">
        <f t="shared" si="8"/>
        <v>44093</v>
      </c>
      <c r="C80" s="50">
        <f t="shared" si="12"/>
        <v>552187.5</v>
      </c>
      <c r="D80" s="50">
        <f t="shared" si="13"/>
        <v>852000</v>
      </c>
      <c r="E80" s="50">
        <f t="shared" si="14"/>
        <v>1404187.5</v>
      </c>
      <c r="F80" s="51">
        <f t="shared" si="9"/>
        <v>28700</v>
      </c>
      <c r="G80" s="51">
        <f t="shared" si="10"/>
        <v>21300</v>
      </c>
      <c r="H80" s="51">
        <f t="shared" si="15"/>
        <v>50000</v>
      </c>
      <c r="I80" s="45">
        <f t="shared" si="11"/>
        <v>6250</v>
      </c>
      <c r="J80" s="45">
        <f t="shared" si="11"/>
        <v>5500</v>
      </c>
      <c r="K80" s="45">
        <f t="shared" si="11"/>
        <v>2000</v>
      </c>
      <c r="L80" s="45">
        <f t="shared" si="11"/>
        <v>1250</v>
      </c>
      <c r="M80" s="45">
        <f t="shared" si="11"/>
        <v>1250</v>
      </c>
      <c r="N80" s="45">
        <f t="shared" si="11"/>
        <v>3750</v>
      </c>
      <c r="O80" s="45">
        <f t="shared" si="11"/>
        <v>1300</v>
      </c>
      <c r="P80" s="45">
        <f t="shared" si="16"/>
        <v>21300</v>
      </c>
      <c r="Q80" s="6" t="b">
        <f t="shared" si="17"/>
        <v>1</v>
      </c>
    </row>
    <row r="81" spans="2:17" s="6" customFormat="1" ht="13.2">
      <c r="B81" s="18">
        <f t="shared" si="8"/>
        <v>44100</v>
      </c>
      <c r="C81" s="50">
        <f t="shared" si="12"/>
        <v>544687.49999999953</v>
      </c>
      <c r="D81" s="50">
        <f t="shared" si="13"/>
        <v>450000</v>
      </c>
      <c r="E81" s="50">
        <f t="shared" si="14"/>
        <v>994687.49999999953</v>
      </c>
      <c r="F81" s="51">
        <f t="shared" si="9"/>
        <v>28750</v>
      </c>
      <c r="G81" s="51">
        <f t="shared" si="10"/>
        <v>15000</v>
      </c>
      <c r="H81" s="51">
        <f t="shared" si="15"/>
        <v>43750</v>
      </c>
      <c r="I81" s="45">
        <f t="shared" si="11"/>
        <v>3750</v>
      </c>
      <c r="J81" s="45">
        <f t="shared" si="11"/>
        <v>3300</v>
      </c>
      <c r="K81" s="45">
        <f t="shared" si="11"/>
        <v>1200</v>
      </c>
      <c r="L81" s="45">
        <f t="shared" si="11"/>
        <v>750</v>
      </c>
      <c r="M81" s="45">
        <f t="shared" si="11"/>
        <v>750</v>
      </c>
      <c r="N81" s="45">
        <f t="shared" si="11"/>
        <v>2250</v>
      </c>
      <c r="O81" s="45">
        <f t="shared" si="11"/>
        <v>3000</v>
      </c>
      <c r="P81" s="45">
        <f t="shared" si="16"/>
        <v>15000</v>
      </c>
      <c r="Q81" s="6" t="b">
        <f t="shared" si="17"/>
        <v>1</v>
      </c>
    </row>
    <row r="82" spans="2:17" s="6" customFormat="1" ht="13.2">
      <c r="B82" s="18">
        <f t="shared" si="8"/>
        <v>44107</v>
      </c>
      <c r="C82" s="50">
        <f t="shared" si="12"/>
        <v>546562.50000000047</v>
      </c>
      <c r="D82" s="50">
        <f t="shared" si="13"/>
        <v>848000</v>
      </c>
      <c r="E82" s="50">
        <f t="shared" si="14"/>
        <v>1394562.5000000005</v>
      </c>
      <c r="F82" s="51">
        <f t="shared" si="9"/>
        <v>28800</v>
      </c>
      <c r="G82" s="51">
        <f t="shared" si="10"/>
        <v>21200</v>
      </c>
      <c r="H82" s="51">
        <f t="shared" si="15"/>
        <v>50000</v>
      </c>
      <c r="I82" s="45">
        <f t="shared" si="11"/>
        <v>6250</v>
      </c>
      <c r="J82" s="45">
        <f t="shared" si="11"/>
        <v>5500</v>
      </c>
      <c r="K82" s="45">
        <f t="shared" si="11"/>
        <v>2000</v>
      </c>
      <c r="L82" s="45">
        <f t="shared" si="11"/>
        <v>1250</v>
      </c>
      <c r="M82" s="45">
        <f t="shared" si="11"/>
        <v>1250</v>
      </c>
      <c r="N82" s="45">
        <f t="shared" si="11"/>
        <v>3750</v>
      </c>
      <c r="O82" s="45">
        <f t="shared" si="11"/>
        <v>1200</v>
      </c>
      <c r="P82" s="45">
        <f t="shared" si="16"/>
        <v>21200</v>
      </c>
      <c r="Q82" s="6" t="b">
        <f t="shared" si="17"/>
        <v>1</v>
      </c>
    </row>
    <row r="83" spans="2:17" s="6" customFormat="1" ht="13.2">
      <c r="B83" s="18">
        <f t="shared" si="8"/>
        <v>44114</v>
      </c>
      <c r="C83" s="50">
        <f t="shared" si="12"/>
        <v>548437.5</v>
      </c>
      <c r="D83" s="50">
        <f t="shared" si="13"/>
        <v>846000</v>
      </c>
      <c r="E83" s="50">
        <f t="shared" si="14"/>
        <v>1394437.5</v>
      </c>
      <c r="F83" s="51">
        <f t="shared" si="9"/>
        <v>28850</v>
      </c>
      <c r="G83" s="51">
        <f t="shared" si="10"/>
        <v>21150</v>
      </c>
      <c r="H83" s="51">
        <f t="shared" si="15"/>
        <v>50000</v>
      </c>
      <c r="I83" s="45">
        <f t="shared" si="11"/>
        <v>6250</v>
      </c>
      <c r="J83" s="45">
        <f t="shared" si="11"/>
        <v>5500</v>
      </c>
      <c r="K83" s="45">
        <f t="shared" si="11"/>
        <v>2000</v>
      </c>
      <c r="L83" s="45">
        <f t="shared" si="11"/>
        <v>1250</v>
      </c>
      <c r="M83" s="45">
        <f t="shared" si="11"/>
        <v>1250</v>
      </c>
      <c r="N83" s="45">
        <f t="shared" si="11"/>
        <v>3750</v>
      </c>
      <c r="O83" s="45">
        <f t="shared" si="11"/>
        <v>1150</v>
      </c>
      <c r="P83" s="45">
        <f t="shared" si="16"/>
        <v>21150</v>
      </c>
      <c r="Q83" s="6" t="b">
        <f t="shared" si="17"/>
        <v>1</v>
      </c>
    </row>
    <row r="84" spans="2:17" s="6" customFormat="1" ht="13.2">
      <c r="B84" s="18">
        <f t="shared" si="8"/>
        <v>44121</v>
      </c>
      <c r="C84" s="50">
        <f t="shared" si="12"/>
        <v>550312.5</v>
      </c>
      <c r="D84" s="50">
        <f t="shared" si="13"/>
        <v>450000</v>
      </c>
      <c r="E84" s="50">
        <f t="shared" si="14"/>
        <v>1000312.5</v>
      </c>
      <c r="F84" s="51">
        <f t="shared" si="9"/>
        <v>28900</v>
      </c>
      <c r="G84" s="51">
        <f t="shared" si="10"/>
        <v>15000</v>
      </c>
      <c r="H84" s="51">
        <f t="shared" si="15"/>
        <v>43900</v>
      </c>
      <c r="I84" s="45">
        <f t="shared" si="11"/>
        <v>3750</v>
      </c>
      <c r="J84" s="45">
        <f t="shared" si="11"/>
        <v>3300</v>
      </c>
      <c r="K84" s="45">
        <f t="shared" si="11"/>
        <v>1200</v>
      </c>
      <c r="L84" s="45">
        <f t="shared" si="11"/>
        <v>750</v>
      </c>
      <c r="M84" s="45">
        <f t="shared" si="11"/>
        <v>750</v>
      </c>
      <c r="N84" s="45">
        <f t="shared" si="11"/>
        <v>2250</v>
      </c>
      <c r="O84" s="45">
        <f t="shared" si="11"/>
        <v>3000</v>
      </c>
      <c r="P84" s="45">
        <f t="shared" si="16"/>
        <v>15000</v>
      </c>
      <c r="Q84" s="6" t="b">
        <f t="shared" si="17"/>
        <v>1</v>
      </c>
    </row>
    <row r="85" spans="2:17" s="6" customFormat="1" ht="13.2">
      <c r="B85" s="18">
        <f t="shared" si="8"/>
        <v>44128</v>
      </c>
      <c r="C85" s="50">
        <f t="shared" si="12"/>
        <v>552187.50000000093</v>
      </c>
      <c r="D85" s="50">
        <f t="shared" si="13"/>
        <v>842000</v>
      </c>
      <c r="E85" s="50">
        <f t="shared" si="14"/>
        <v>1394187.5000000009</v>
      </c>
      <c r="F85" s="51">
        <f t="shared" si="9"/>
        <v>28950</v>
      </c>
      <c r="G85" s="51">
        <f t="shared" si="10"/>
        <v>21050</v>
      </c>
      <c r="H85" s="51">
        <f t="shared" si="15"/>
        <v>50000</v>
      </c>
      <c r="I85" s="45">
        <f t="shared" si="11"/>
        <v>6250</v>
      </c>
      <c r="J85" s="45">
        <f t="shared" si="11"/>
        <v>5500</v>
      </c>
      <c r="K85" s="45">
        <f t="shared" si="11"/>
        <v>2000</v>
      </c>
      <c r="L85" s="45">
        <f t="shared" si="11"/>
        <v>1250</v>
      </c>
      <c r="M85" s="45">
        <f t="shared" si="11"/>
        <v>1250</v>
      </c>
      <c r="N85" s="45">
        <f t="shared" si="11"/>
        <v>3750</v>
      </c>
      <c r="O85" s="45">
        <f t="shared" si="11"/>
        <v>1050</v>
      </c>
      <c r="P85" s="45">
        <f t="shared" si="16"/>
        <v>21050</v>
      </c>
      <c r="Q85" s="6" t="b">
        <f t="shared" si="17"/>
        <v>1</v>
      </c>
    </row>
    <row r="86" spans="2:17" s="6" customFormat="1" ht="13.2">
      <c r="B86" s="18">
        <f t="shared" si="8"/>
        <v>44135</v>
      </c>
      <c r="C86" s="50">
        <f t="shared" si="12"/>
        <v>554062.49999999907</v>
      </c>
      <c r="D86" s="50">
        <f t="shared" si="13"/>
        <v>450000</v>
      </c>
      <c r="E86" s="50">
        <f t="shared" si="14"/>
        <v>1004062.4999999991</v>
      </c>
      <c r="F86" s="51">
        <f t="shared" si="9"/>
        <v>29000</v>
      </c>
      <c r="G86" s="51">
        <f t="shared" si="10"/>
        <v>15000</v>
      </c>
      <c r="H86" s="51">
        <f t="shared" si="15"/>
        <v>44000</v>
      </c>
      <c r="I86" s="45">
        <f t="shared" si="11"/>
        <v>3750</v>
      </c>
      <c r="J86" s="45">
        <f t="shared" si="11"/>
        <v>3300</v>
      </c>
      <c r="K86" s="45">
        <f t="shared" si="11"/>
        <v>1200</v>
      </c>
      <c r="L86" s="45">
        <f t="shared" si="11"/>
        <v>750</v>
      </c>
      <c r="M86" s="45">
        <f t="shared" si="11"/>
        <v>750</v>
      </c>
      <c r="N86" s="45">
        <f t="shared" si="11"/>
        <v>2250</v>
      </c>
      <c r="O86" s="45">
        <f t="shared" si="11"/>
        <v>3000</v>
      </c>
      <c r="P86" s="45">
        <f t="shared" si="16"/>
        <v>15000</v>
      </c>
      <c r="Q86" s="6" t="b">
        <f t="shared" si="17"/>
        <v>1</v>
      </c>
    </row>
    <row r="87" spans="2:17" s="6" customFormat="1" ht="13.2">
      <c r="B87" s="18">
        <f t="shared" si="8"/>
        <v>44142</v>
      </c>
      <c r="C87" s="50">
        <f t="shared" si="12"/>
        <v>555937.5</v>
      </c>
      <c r="D87" s="50">
        <f t="shared" si="13"/>
        <v>1257000</v>
      </c>
      <c r="E87" s="50">
        <f t="shared" si="14"/>
        <v>1812937.5</v>
      </c>
      <c r="F87" s="51">
        <f t="shared" si="9"/>
        <v>29050</v>
      </c>
      <c r="G87" s="51">
        <f t="shared" si="10"/>
        <v>20950</v>
      </c>
      <c r="H87" s="51">
        <f t="shared" si="15"/>
        <v>50000</v>
      </c>
      <c r="I87" s="45">
        <f t="shared" si="11"/>
        <v>10000</v>
      </c>
      <c r="J87" s="45">
        <f t="shared" si="11"/>
        <v>8800</v>
      </c>
      <c r="K87" s="45">
        <f t="shared" si="11"/>
        <v>2150</v>
      </c>
      <c r="L87" s="45">
        <f t="shared" si="11"/>
        <v>0</v>
      </c>
      <c r="M87" s="45">
        <f t="shared" si="11"/>
        <v>0</v>
      </c>
      <c r="N87" s="45">
        <f t="shared" si="11"/>
        <v>0</v>
      </c>
      <c r="O87" s="45">
        <f t="shared" si="11"/>
        <v>0</v>
      </c>
      <c r="P87" s="45">
        <f t="shared" si="16"/>
        <v>20950</v>
      </c>
      <c r="Q87" s="6" t="b">
        <f t="shared" si="17"/>
        <v>1</v>
      </c>
    </row>
    <row r="88" spans="2:17" s="6" customFormat="1" ht="13.2">
      <c r="B88" s="18">
        <f t="shared" si="8"/>
        <v>44149</v>
      </c>
      <c r="C88" s="50">
        <f t="shared" si="12"/>
        <v>557812.49999999907</v>
      </c>
      <c r="D88" s="50">
        <f t="shared" si="13"/>
        <v>450000</v>
      </c>
      <c r="E88" s="50">
        <f t="shared" si="14"/>
        <v>1007812.4999999991</v>
      </c>
      <c r="F88" s="51">
        <f t="shared" si="9"/>
        <v>29100</v>
      </c>
      <c r="G88" s="51">
        <f t="shared" si="10"/>
        <v>15000</v>
      </c>
      <c r="H88" s="51">
        <f t="shared" si="15"/>
        <v>44100</v>
      </c>
      <c r="I88" s="45">
        <f t="shared" si="11"/>
        <v>3750</v>
      </c>
      <c r="J88" s="45">
        <f t="shared" si="11"/>
        <v>3300</v>
      </c>
      <c r="K88" s="45">
        <f t="shared" si="11"/>
        <v>1200</v>
      </c>
      <c r="L88" s="45">
        <f t="shared" si="11"/>
        <v>750</v>
      </c>
      <c r="M88" s="45">
        <f t="shared" si="11"/>
        <v>750</v>
      </c>
      <c r="N88" s="45">
        <f t="shared" si="11"/>
        <v>2250</v>
      </c>
      <c r="O88" s="45">
        <f t="shared" si="11"/>
        <v>3000</v>
      </c>
      <c r="P88" s="45">
        <f t="shared" si="16"/>
        <v>15000</v>
      </c>
      <c r="Q88" s="6" t="b">
        <f t="shared" si="17"/>
        <v>1</v>
      </c>
    </row>
    <row r="89" spans="2:17" s="6" customFormat="1" ht="13.2">
      <c r="B89" s="18">
        <f t="shared" si="8"/>
        <v>44156</v>
      </c>
      <c r="C89" s="50">
        <f t="shared" si="12"/>
        <v>559687.50000000093</v>
      </c>
      <c r="D89" s="50">
        <f t="shared" si="13"/>
        <v>834000</v>
      </c>
      <c r="E89" s="50">
        <f t="shared" si="14"/>
        <v>1393687.5000000009</v>
      </c>
      <c r="F89" s="51">
        <f t="shared" si="9"/>
        <v>29150</v>
      </c>
      <c r="G89" s="51">
        <f t="shared" si="10"/>
        <v>20850</v>
      </c>
      <c r="H89" s="51">
        <f t="shared" si="15"/>
        <v>50000</v>
      </c>
      <c r="I89" s="45">
        <f t="shared" si="11"/>
        <v>6250</v>
      </c>
      <c r="J89" s="45">
        <f t="shared" si="11"/>
        <v>5500</v>
      </c>
      <c r="K89" s="45">
        <f t="shared" si="11"/>
        <v>2000</v>
      </c>
      <c r="L89" s="45">
        <f t="shared" si="11"/>
        <v>1250</v>
      </c>
      <c r="M89" s="45">
        <f t="shared" si="11"/>
        <v>1250</v>
      </c>
      <c r="N89" s="45">
        <f t="shared" si="11"/>
        <v>3750</v>
      </c>
      <c r="O89" s="45">
        <f t="shared" si="11"/>
        <v>850</v>
      </c>
      <c r="P89" s="45">
        <f t="shared" si="16"/>
        <v>20850</v>
      </c>
      <c r="Q89" s="6" t="b">
        <f t="shared" si="17"/>
        <v>1</v>
      </c>
    </row>
    <row r="90" spans="2:17" s="6" customFormat="1" ht="13.2">
      <c r="B90" s="18">
        <f t="shared" si="8"/>
        <v>44163</v>
      </c>
      <c r="C90" s="50">
        <f t="shared" si="12"/>
        <v>561562.5</v>
      </c>
      <c r="D90" s="50">
        <f t="shared" si="13"/>
        <v>832000</v>
      </c>
      <c r="E90" s="50">
        <f t="shared" si="14"/>
        <v>1393562.5</v>
      </c>
      <c r="F90" s="51">
        <f t="shared" si="9"/>
        <v>29200</v>
      </c>
      <c r="G90" s="51">
        <f t="shared" si="10"/>
        <v>20800</v>
      </c>
      <c r="H90" s="51">
        <f t="shared" si="15"/>
        <v>50000</v>
      </c>
      <c r="I90" s="45">
        <f t="shared" si="11"/>
        <v>6250</v>
      </c>
      <c r="J90" s="45">
        <f t="shared" si="11"/>
        <v>5500</v>
      </c>
      <c r="K90" s="45">
        <f t="shared" si="11"/>
        <v>2000</v>
      </c>
      <c r="L90" s="45">
        <f t="shared" si="11"/>
        <v>1250</v>
      </c>
      <c r="M90" s="45">
        <f t="shared" si="11"/>
        <v>1250</v>
      </c>
      <c r="N90" s="45">
        <f t="shared" si="11"/>
        <v>3750</v>
      </c>
      <c r="O90" s="45">
        <f t="shared" si="11"/>
        <v>800</v>
      </c>
      <c r="P90" s="45">
        <f t="shared" si="16"/>
        <v>20800</v>
      </c>
      <c r="Q90" s="6" t="b">
        <f t="shared" si="17"/>
        <v>1</v>
      </c>
    </row>
    <row r="91" spans="2:17" s="6" customFormat="1" ht="13.2">
      <c r="B91" s="18">
        <f t="shared" si="8"/>
        <v>44170</v>
      </c>
      <c r="C91" s="50">
        <f t="shared" si="12"/>
        <v>563437.5</v>
      </c>
      <c r="D91" s="50">
        <f t="shared" si="13"/>
        <v>830000</v>
      </c>
      <c r="E91" s="50">
        <f t="shared" si="14"/>
        <v>1393437.5</v>
      </c>
      <c r="F91" s="51">
        <f t="shared" si="9"/>
        <v>29250</v>
      </c>
      <c r="G91" s="51">
        <f t="shared" si="10"/>
        <v>20750</v>
      </c>
      <c r="H91" s="51">
        <f t="shared" si="15"/>
        <v>50000</v>
      </c>
      <c r="I91" s="45">
        <f t="shared" si="11"/>
        <v>6250</v>
      </c>
      <c r="J91" s="45">
        <f t="shared" si="11"/>
        <v>5500</v>
      </c>
      <c r="K91" s="45">
        <f t="shared" si="11"/>
        <v>2000</v>
      </c>
      <c r="L91" s="45">
        <f t="shared" si="11"/>
        <v>1250</v>
      </c>
      <c r="M91" s="45">
        <f t="shared" si="11"/>
        <v>1250</v>
      </c>
      <c r="N91" s="45">
        <f t="shared" si="11"/>
        <v>3750</v>
      </c>
      <c r="O91" s="45">
        <f t="shared" si="11"/>
        <v>750</v>
      </c>
      <c r="P91" s="45">
        <f t="shared" si="16"/>
        <v>20750</v>
      </c>
      <c r="Q91" s="6" t="b">
        <f t="shared" si="17"/>
        <v>1</v>
      </c>
    </row>
    <row r="92" spans="2:17" s="6" customFormat="1" ht="13.2">
      <c r="B92" s="18">
        <f t="shared" si="8"/>
        <v>44177</v>
      </c>
      <c r="C92" s="50">
        <f t="shared" si="12"/>
        <v>632812.5</v>
      </c>
      <c r="D92" s="50">
        <f t="shared" si="13"/>
        <v>450000</v>
      </c>
      <c r="E92" s="50">
        <f t="shared" si="14"/>
        <v>1082812.5</v>
      </c>
      <c r="F92" s="51">
        <f t="shared" si="9"/>
        <v>29500</v>
      </c>
      <c r="G92" s="51">
        <f t="shared" si="10"/>
        <v>15000</v>
      </c>
      <c r="H92" s="51">
        <f t="shared" si="15"/>
        <v>44500</v>
      </c>
      <c r="I92" s="45">
        <f t="shared" si="11"/>
        <v>3750</v>
      </c>
      <c r="J92" s="45">
        <f t="shared" si="11"/>
        <v>3300</v>
      </c>
      <c r="K92" s="45">
        <f t="shared" si="11"/>
        <v>1200</v>
      </c>
      <c r="L92" s="45">
        <f t="shared" si="11"/>
        <v>750</v>
      </c>
      <c r="M92" s="45">
        <f t="shared" si="11"/>
        <v>750</v>
      </c>
      <c r="N92" s="45">
        <f t="shared" si="11"/>
        <v>2250</v>
      </c>
      <c r="O92" s="45">
        <f t="shared" si="11"/>
        <v>3000</v>
      </c>
      <c r="P92" s="45">
        <f t="shared" si="16"/>
        <v>15000</v>
      </c>
      <c r="Q92" s="6" t="b">
        <f t="shared" si="17"/>
        <v>1</v>
      </c>
    </row>
    <row r="93" spans="2:17" s="6" customFormat="1" ht="13.2">
      <c r="B93" s="18">
        <f t="shared" si="8"/>
        <v>44198</v>
      </c>
      <c r="C93" s="50">
        <f t="shared" si="12"/>
        <v>677812.5</v>
      </c>
      <c r="D93" s="50">
        <f t="shared" si="13"/>
        <v>450000</v>
      </c>
      <c r="E93" s="50">
        <f t="shared" si="14"/>
        <v>1127812.5</v>
      </c>
      <c r="F93" s="51">
        <f t="shared" si="9"/>
        <v>29850</v>
      </c>
      <c r="G93" s="51">
        <f t="shared" si="10"/>
        <v>15000</v>
      </c>
      <c r="H93" s="51">
        <f t="shared" si="15"/>
        <v>44850</v>
      </c>
      <c r="I93" s="45">
        <f t="shared" si="11"/>
        <v>3750</v>
      </c>
      <c r="J93" s="45">
        <f t="shared" si="11"/>
        <v>3300</v>
      </c>
      <c r="K93" s="45">
        <f t="shared" si="11"/>
        <v>1200</v>
      </c>
      <c r="L93" s="45">
        <f t="shared" si="11"/>
        <v>750</v>
      </c>
      <c r="M93" s="45">
        <f t="shared" si="11"/>
        <v>750</v>
      </c>
      <c r="N93" s="45">
        <f t="shared" si="11"/>
        <v>2250</v>
      </c>
      <c r="O93" s="45">
        <f t="shared" si="11"/>
        <v>3000</v>
      </c>
      <c r="P93" s="45">
        <f t="shared" si="16"/>
        <v>15000</v>
      </c>
      <c r="Q93" s="6" t="b">
        <f t="shared" si="17"/>
        <v>1</v>
      </c>
    </row>
    <row r="94" spans="2:17" s="6" customFormat="1" ht="13.2">
      <c r="B94" s="18">
        <f t="shared" si="8"/>
        <v>44205</v>
      </c>
      <c r="C94" s="50">
        <f t="shared" si="12"/>
        <v>578437.5</v>
      </c>
      <c r="D94" s="50">
        <f t="shared" si="13"/>
        <v>450000</v>
      </c>
      <c r="E94" s="50">
        <f t="shared" si="14"/>
        <v>1028437.5</v>
      </c>
      <c r="F94" s="51">
        <f t="shared" si="9"/>
        <v>29900</v>
      </c>
      <c r="G94" s="51">
        <f t="shared" si="10"/>
        <v>15000</v>
      </c>
      <c r="H94" s="51">
        <f t="shared" si="15"/>
        <v>44900</v>
      </c>
      <c r="I94" s="45">
        <f t="shared" si="11"/>
        <v>3750</v>
      </c>
      <c r="J94" s="45">
        <f t="shared" si="11"/>
        <v>3300</v>
      </c>
      <c r="K94" s="45">
        <f t="shared" si="11"/>
        <v>1200</v>
      </c>
      <c r="L94" s="45">
        <f t="shared" si="11"/>
        <v>750</v>
      </c>
      <c r="M94" s="45">
        <f t="shared" si="11"/>
        <v>750</v>
      </c>
      <c r="N94" s="45">
        <f t="shared" si="11"/>
        <v>2250</v>
      </c>
      <c r="O94" s="45">
        <f t="shared" si="11"/>
        <v>3000</v>
      </c>
      <c r="P94" s="45">
        <f t="shared" si="16"/>
        <v>15000</v>
      </c>
      <c r="Q94" s="6" t="b">
        <f t="shared" si="17"/>
        <v>1</v>
      </c>
    </row>
    <row r="95" spans="2:17" s="6" customFormat="1" ht="13.2">
      <c r="B95" s="18">
        <f t="shared" si="8"/>
        <v>44212</v>
      </c>
      <c r="C95" s="50">
        <f t="shared" si="12"/>
        <v>580312.5</v>
      </c>
      <c r="D95" s="50">
        <f t="shared" si="13"/>
        <v>1002500</v>
      </c>
      <c r="E95" s="50">
        <f t="shared" si="14"/>
        <v>1582812.5</v>
      </c>
      <c r="F95" s="51">
        <f t="shared" si="9"/>
        <v>29950</v>
      </c>
      <c r="G95" s="51">
        <f t="shared" si="10"/>
        <v>20050</v>
      </c>
      <c r="H95" s="51">
        <f t="shared" si="15"/>
        <v>50000</v>
      </c>
      <c r="I95" s="45">
        <f t="shared" si="11"/>
        <v>8000</v>
      </c>
      <c r="J95" s="45">
        <f t="shared" si="11"/>
        <v>7040</v>
      </c>
      <c r="K95" s="45">
        <f t="shared" si="11"/>
        <v>2560</v>
      </c>
      <c r="L95" s="45">
        <f t="shared" si="11"/>
        <v>1600</v>
      </c>
      <c r="M95" s="45">
        <f t="shared" si="11"/>
        <v>850</v>
      </c>
      <c r="N95" s="45">
        <f t="shared" si="11"/>
        <v>0</v>
      </c>
      <c r="O95" s="45">
        <f t="shared" si="11"/>
        <v>0</v>
      </c>
      <c r="P95" s="45">
        <f t="shared" si="16"/>
        <v>20050</v>
      </c>
      <c r="Q95" s="6" t="b">
        <f t="shared" si="17"/>
        <v>1</v>
      </c>
    </row>
    <row r="96" spans="2:17" s="6" customFormat="1" ht="13.2">
      <c r="B96" s="18">
        <f t="shared" si="8"/>
        <v>44219</v>
      </c>
      <c r="C96" s="50">
        <f t="shared" si="12"/>
        <v>582187.50000000186</v>
      </c>
      <c r="D96" s="50">
        <f t="shared" si="13"/>
        <v>450000</v>
      </c>
      <c r="E96" s="50">
        <f t="shared" si="14"/>
        <v>1032187.5000000019</v>
      </c>
      <c r="F96" s="51">
        <f t="shared" si="9"/>
        <v>30000</v>
      </c>
      <c r="G96" s="51">
        <f t="shared" si="10"/>
        <v>15000</v>
      </c>
      <c r="H96" s="51">
        <f t="shared" si="15"/>
        <v>45000</v>
      </c>
      <c r="I96" s="45">
        <f t="shared" si="11"/>
        <v>3750</v>
      </c>
      <c r="J96" s="45">
        <f t="shared" si="11"/>
        <v>3300</v>
      </c>
      <c r="K96" s="45">
        <f t="shared" si="11"/>
        <v>1200</v>
      </c>
      <c r="L96" s="45">
        <f t="shared" si="11"/>
        <v>750</v>
      </c>
      <c r="M96" s="45">
        <f t="shared" si="11"/>
        <v>750</v>
      </c>
      <c r="N96" s="45">
        <f t="shared" si="11"/>
        <v>2250</v>
      </c>
      <c r="O96" s="45">
        <f t="shared" si="11"/>
        <v>3000</v>
      </c>
      <c r="P96" s="45">
        <f t="shared" si="16"/>
        <v>15000</v>
      </c>
      <c r="Q96" s="6" t="b">
        <f t="shared" si="17"/>
        <v>1</v>
      </c>
    </row>
    <row r="97" spans="2:17" s="6" customFormat="1" ht="13.2">
      <c r="B97" s="18">
        <f t="shared" si="8"/>
        <v>44226</v>
      </c>
      <c r="C97" s="50">
        <f t="shared" si="12"/>
        <v>562499.99999999627</v>
      </c>
      <c r="D97" s="50">
        <f t="shared" si="13"/>
        <v>1200000</v>
      </c>
      <c r="E97" s="50">
        <f t="shared" si="14"/>
        <v>1762499.9999999963</v>
      </c>
      <c r="F97" s="51">
        <f t="shared" si="9"/>
        <v>30000</v>
      </c>
      <c r="G97" s="51">
        <f t="shared" si="10"/>
        <v>20000</v>
      </c>
      <c r="H97" s="51">
        <f t="shared" si="15"/>
        <v>50000</v>
      </c>
      <c r="I97" s="45">
        <f t="shared" si="11"/>
        <v>10000</v>
      </c>
      <c r="J97" s="45">
        <f t="shared" si="11"/>
        <v>8800</v>
      </c>
      <c r="K97" s="45">
        <f t="shared" si="11"/>
        <v>1200</v>
      </c>
      <c r="L97" s="45">
        <f t="shared" si="11"/>
        <v>0</v>
      </c>
      <c r="M97" s="45">
        <f t="shared" si="11"/>
        <v>0</v>
      </c>
      <c r="N97" s="45">
        <f t="shared" si="11"/>
        <v>0</v>
      </c>
      <c r="O97" s="45">
        <f t="shared" si="11"/>
        <v>0</v>
      </c>
      <c r="P97" s="45">
        <f t="shared" si="16"/>
        <v>20000</v>
      </c>
      <c r="Q97" s="6" t="b">
        <f t="shared" si="17"/>
        <v>1</v>
      </c>
    </row>
    <row r="98" spans="2:17" s="6" customFormat="1" ht="13.2">
      <c r="B98" s="18">
        <f t="shared" si="8"/>
        <v>44233</v>
      </c>
      <c r="C98" s="50">
        <f t="shared" si="12"/>
        <v>562500.00000000186</v>
      </c>
      <c r="D98" s="50">
        <f t="shared" si="13"/>
        <v>800000</v>
      </c>
      <c r="E98" s="50">
        <f t="shared" si="14"/>
        <v>1362500.0000000019</v>
      </c>
      <c r="F98" s="51">
        <f t="shared" si="9"/>
        <v>30000</v>
      </c>
      <c r="G98" s="51">
        <f t="shared" si="10"/>
        <v>20000</v>
      </c>
      <c r="H98" s="51">
        <f t="shared" si="15"/>
        <v>50000</v>
      </c>
      <c r="I98" s="45">
        <f t="shared" si="11"/>
        <v>6250</v>
      </c>
      <c r="J98" s="45">
        <f t="shared" si="11"/>
        <v>5500</v>
      </c>
      <c r="K98" s="45">
        <f t="shared" si="11"/>
        <v>2000</v>
      </c>
      <c r="L98" s="45">
        <f t="shared" si="11"/>
        <v>1250</v>
      </c>
      <c r="M98" s="45">
        <f t="shared" si="11"/>
        <v>1250</v>
      </c>
      <c r="N98" s="45">
        <f t="shared" si="11"/>
        <v>3750</v>
      </c>
      <c r="O98" s="45">
        <f t="shared" si="11"/>
        <v>0</v>
      </c>
      <c r="P98" s="45">
        <f t="shared" si="16"/>
        <v>20000</v>
      </c>
      <c r="Q98" s="6" t="b">
        <f t="shared" si="17"/>
        <v>1</v>
      </c>
    </row>
    <row r="99" spans="2:17" s="6" customFormat="1" ht="13.2">
      <c r="B99" s="18">
        <f t="shared" si="8"/>
        <v>44240</v>
      </c>
      <c r="C99" s="50">
        <f t="shared" si="12"/>
        <v>562500</v>
      </c>
      <c r="D99" s="50">
        <f t="shared" si="13"/>
        <v>800000</v>
      </c>
      <c r="E99" s="50">
        <f t="shared" si="14"/>
        <v>1362500</v>
      </c>
      <c r="F99" s="51">
        <f t="shared" si="9"/>
        <v>30000</v>
      </c>
      <c r="G99" s="51">
        <f t="shared" si="10"/>
        <v>20000</v>
      </c>
      <c r="H99" s="51">
        <f t="shared" si="15"/>
        <v>50000</v>
      </c>
      <c r="I99" s="45">
        <f t="shared" si="11"/>
        <v>6250</v>
      </c>
      <c r="J99" s="45">
        <f t="shared" si="11"/>
        <v>5500</v>
      </c>
      <c r="K99" s="45">
        <f t="shared" si="11"/>
        <v>2000</v>
      </c>
      <c r="L99" s="45">
        <f t="shared" si="11"/>
        <v>1250</v>
      </c>
      <c r="M99" s="45">
        <f t="shared" si="11"/>
        <v>1250</v>
      </c>
      <c r="N99" s="45">
        <f t="shared" si="11"/>
        <v>3750</v>
      </c>
      <c r="O99" s="45">
        <f t="shared" si="11"/>
        <v>0</v>
      </c>
      <c r="P99" s="45">
        <f t="shared" si="16"/>
        <v>20000</v>
      </c>
      <c r="Q99" s="6" t="b">
        <f t="shared" si="17"/>
        <v>1</v>
      </c>
    </row>
    <row r="100" spans="2:17" s="6" customFormat="1" ht="13.2">
      <c r="B100" s="18">
        <f t="shared" si="8"/>
        <v>44247</v>
      </c>
      <c r="C100" s="50">
        <f t="shared" si="12"/>
        <v>562500</v>
      </c>
      <c r="D100" s="50">
        <f t="shared" si="13"/>
        <v>800000</v>
      </c>
      <c r="E100" s="50">
        <f t="shared" si="14"/>
        <v>1362500</v>
      </c>
      <c r="F100" s="51">
        <f t="shared" si="9"/>
        <v>30000</v>
      </c>
      <c r="G100" s="51">
        <f t="shared" si="10"/>
        <v>20000</v>
      </c>
      <c r="H100" s="51">
        <f t="shared" si="15"/>
        <v>50000</v>
      </c>
      <c r="I100" s="45">
        <f t="shared" si="11"/>
        <v>6250</v>
      </c>
      <c r="J100" s="45">
        <f t="shared" si="11"/>
        <v>5500</v>
      </c>
      <c r="K100" s="45">
        <f t="shared" si="11"/>
        <v>2000</v>
      </c>
      <c r="L100" s="45">
        <f t="shared" si="11"/>
        <v>1250</v>
      </c>
      <c r="M100" s="45">
        <f t="shared" si="11"/>
        <v>1250</v>
      </c>
      <c r="N100" s="45">
        <f t="shared" si="11"/>
        <v>3750</v>
      </c>
      <c r="O100" s="45">
        <f t="shared" si="11"/>
        <v>0</v>
      </c>
      <c r="P100" s="45">
        <f t="shared" si="16"/>
        <v>20000</v>
      </c>
      <c r="Q100" s="6" t="b">
        <f t="shared" si="17"/>
        <v>1</v>
      </c>
    </row>
    <row r="101" spans="2:17" s="6" customFormat="1" ht="13.2">
      <c r="B101" s="18">
        <f t="shared" si="8"/>
        <v>44254</v>
      </c>
      <c r="C101" s="50">
        <f t="shared" si="12"/>
        <v>562500.00000000186</v>
      </c>
      <c r="D101" s="50">
        <f t="shared" si="13"/>
        <v>1000000</v>
      </c>
      <c r="E101" s="50">
        <f t="shared" si="14"/>
        <v>1562500.0000000019</v>
      </c>
      <c r="F101" s="51">
        <f t="shared" si="9"/>
        <v>30000</v>
      </c>
      <c r="G101" s="51">
        <f t="shared" si="10"/>
        <v>20000</v>
      </c>
      <c r="H101" s="51">
        <f t="shared" si="15"/>
        <v>50000</v>
      </c>
      <c r="I101" s="45">
        <f t="shared" si="11"/>
        <v>8000</v>
      </c>
      <c r="J101" s="45">
        <f t="shared" si="11"/>
        <v>7040</v>
      </c>
      <c r="K101" s="45">
        <f t="shared" si="11"/>
        <v>2560</v>
      </c>
      <c r="L101" s="45">
        <f t="shared" si="11"/>
        <v>1600</v>
      </c>
      <c r="M101" s="45">
        <f t="shared" si="11"/>
        <v>800</v>
      </c>
      <c r="N101" s="45">
        <f t="shared" si="11"/>
        <v>0</v>
      </c>
      <c r="O101" s="45">
        <f t="shared" si="11"/>
        <v>0</v>
      </c>
      <c r="P101" s="45">
        <f t="shared" si="16"/>
        <v>20000</v>
      </c>
      <c r="Q101" s="6" t="b">
        <f t="shared" si="17"/>
        <v>1</v>
      </c>
    </row>
    <row r="102" spans="2:17" s="6" customFormat="1" ht="13.2">
      <c r="B102" s="18">
        <f t="shared" si="8"/>
        <v>44261</v>
      </c>
      <c r="C102" s="50">
        <f t="shared" si="12"/>
        <v>562499.99999999627</v>
      </c>
      <c r="D102" s="50">
        <f t="shared" si="13"/>
        <v>450000</v>
      </c>
      <c r="E102" s="50">
        <f t="shared" si="14"/>
        <v>1012499.9999999963</v>
      </c>
      <c r="F102" s="51">
        <f t="shared" si="9"/>
        <v>30000</v>
      </c>
      <c r="G102" s="51">
        <f t="shared" si="10"/>
        <v>15000</v>
      </c>
      <c r="H102" s="51">
        <f t="shared" si="15"/>
        <v>45000</v>
      </c>
      <c r="I102" s="45">
        <f t="shared" si="11"/>
        <v>3750</v>
      </c>
      <c r="J102" s="45">
        <f t="shared" si="11"/>
        <v>3300</v>
      </c>
      <c r="K102" s="45">
        <f t="shared" si="11"/>
        <v>1200</v>
      </c>
      <c r="L102" s="45">
        <f t="shared" si="11"/>
        <v>750</v>
      </c>
      <c r="M102" s="45">
        <f t="shared" si="11"/>
        <v>750</v>
      </c>
      <c r="N102" s="45">
        <f t="shared" si="11"/>
        <v>2250</v>
      </c>
      <c r="O102" s="45">
        <f t="shared" si="11"/>
        <v>3000</v>
      </c>
      <c r="P102" s="45">
        <f t="shared" si="16"/>
        <v>15000</v>
      </c>
      <c r="Q102" s="6" t="b">
        <f t="shared" si="17"/>
        <v>1</v>
      </c>
    </row>
    <row r="103" spans="2:17" s="6" customFormat="1" ht="13.2">
      <c r="B103" s="18">
        <f t="shared" si="8"/>
        <v>44268</v>
      </c>
      <c r="C103" s="50">
        <f t="shared" si="12"/>
        <v>562500.00000000186</v>
      </c>
      <c r="D103" s="50">
        <f t="shared" si="13"/>
        <v>800000</v>
      </c>
      <c r="E103" s="50">
        <f t="shared" si="14"/>
        <v>1362500.0000000019</v>
      </c>
      <c r="F103" s="51">
        <f t="shared" si="9"/>
        <v>30000</v>
      </c>
      <c r="G103" s="51">
        <f t="shared" si="10"/>
        <v>20000</v>
      </c>
      <c r="H103" s="51">
        <f t="shared" si="15"/>
        <v>50000</v>
      </c>
      <c r="I103" s="45">
        <f t="shared" si="11"/>
        <v>6250</v>
      </c>
      <c r="J103" s="45">
        <f t="shared" si="11"/>
        <v>5500</v>
      </c>
      <c r="K103" s="45">
        <f t="shared" si="11"/>
        <v>2000</v>
      </c>
      <c r="L103" s="45">
        <f t="shared" si="11"/>
        <v>1250</v>
      </c>
      <c r="M103" s="45">
        <f t="shared" si="11"/>
        <v>1250</v>
      </c>
      <c r="N103" s="45">
        <f t="shared" si="11"/>
        <v>3750</v>
      </c>
      <c r="O103" s="45">
        <f t="shared" si="11"/>
        <v>0</v>
      </c>
      <c r="P103" s="45">
        <f t="shared" si="16"/>
        <v>20000</v>
      </c>
      <c r="Q103" s="6" t="b">
        <f t="shared" si="17"/>
        <v>1</v>
      </c>
    </row>
    <row r="104" spans="2:17" s="6" customFormat="1" ht="13.2">
      <c r="B104" s="18">
        <f t="shared" si="8"/>
        <v>44275</v>
      </c>
      <c r="C104" s="50">
        <f t="shared" si="12"/>
        <v>562500</v>
      </c>
      <c r="D104" s="50">
        <f t="shared" si="13"/>
        <v>800000</v>
      </c>
      <c r="E104" s="50">
        <f t="shared" si="14"/>
        <v>1362500</v>
      </c>
      <c r="F104" s="51">
        <f t="shared" si="9"/>
        <v>30000</v>
      </c>
      <c r="G104" s="51">
        <f t="shared" si="10"/>
        <v>20000</v>
      </c>
      <c r="H104" s="51">
        <f t="shared" si="15"/>
        <v>50000</v>
      </c>
      <c r="I104" s="45">
        <f t="shared" si="11"/>
        <v>6250</v>
      </c>
      <c r="J104" s="45">
        <f t="shared" si="11"/>
        <v>5500</v>
      </c>
      <c r="K104" s="45">
        <f t="shared" si="11"/>
        <v>2000</v>
      </c>
      <c r="L104" s="45">
        <f t="shared" si="11"/>
        <v>1250</v>
      </c>
      <c r="M104" s="45">
        <f t="shared" si="11"/>
        <v>1250</v>
      </c>
      <c r="N104" s="45">
        <f t="shared" si="11"/>
        <v>3750</v>
      </c>
      <c r="O104" s="45">
        <f t="shared" si="11"/>
        <v>0</v>
      </c>
      <c r="P104" s="45">
        <f t="shared" si="16"/>
        <v>20000</v>
      </c>
      <c r="Q104" s="6" t="b">
        <f t="shared" si="17"/>
        <v>1</v>
      </c>
    </row>
    <row r="105" spans="2:17" s="6" customFormat="1" ht="13.2">
      <c r="B105" s="18">
        <f t="shared" si="8"/>
        <v>44282</v>
      </c>
      <c r="C105" s="50">
        <f t="shared" si="12"/>
        <v>562500</v>
      </c>
      <c r="D105" s="50">
        <f t="shared" si="13"/>
        <v>1000000</v>
      </c>
      <c r="E105" s="50">
        <f t="shared" si="14"/>
        <v>1562500</v>
      </c>
      <c r="F105" s="51">
        <f t="shared" si="9"/>
        <v>30000</v>
      </c>
      <c r="G105" s="51">
        <f t="shared" si="10"/>
        <v>20000</v>
      </c>
      <c r="H105" s="51">
        <f t="shared" si="15"/>
        <v>50000</v>
      </c>
      <c r="I105" s="45">
        <f t="shared" si="11"/>
        <v>8000</v>
      </c>
      <c r="J105" s="45">
        <f t="shared" si="11"/>
        <v>7040</v>
      </c>
      <c r="K105" s="45">
        <f t="shared" si="11"/>
        <v>2560</v>
      </c>
      <c r="L105" s="45">
        <f t="shared" si="11"/>
        <v>1600</v>
      </c>
      <c r="M105" s="45">
        <f t="shared" si="11"/>
        <v>800</v>
      </c>
      <c r="N105" s="45">
        <f t="shared" si="11"/>
        <v>0</v>
      </c>
      <c r="O105" s="45">
        <f t="shared" si="11"/>
        <v>0</v>
      </c>
      <c r="P105" s="45">
        <f t="shared" si="16"/>
        <v>20000</v>
      </c>
      <c r="Q105" s="6" t="b">
        <f t="shared" si="17"/>
        <v>1</v>
      </c>
    </row>
    <row r="106" spans="2:17" s="6" customFormat="1" ht="13.2">
      <c r="B106" s="18">
        <f t="shared" si="8"/>
        <v>44289</v>
      </c>
      <c r="C106" s="50">
        <f t="shared" si="12"/>
        <v>562500</v>
      </c>
      <c r="D106" s="50">
        <f t="shared" si="13"/>
        <v>450000</v>
      </c>
      <c r="E106" s="50">
        <f t="shared" si="14"/>
        <v>1012500</v>
      </c>
      <c r="F106" s="51">
        <f t="shared" si="9"/>
        <v>30000</v>
      </c>
      <c r="G106" s="51">
        <f t="shared" si="10"/>
        <v>15000</v>
      </c>
      <c r="H106" s="51">
        <f t="shared" si="15"/>
        <v>45000</v>
      </c>
      <c r="I106" s="45">
        <f t="shared" si="11"/>
        <v>3750</v>
      </c>
      <c r="J106" s="45">
        <f t="shared" si="11"/>
        <v>3300</v>
      </c>
      <c r="K106" s="45">
        <f t="shared" si="11"/>
        <v>1200</v>
      </c>
      <c r="L106" s="45">
        <f t="shared" si="11"/>
        <v>750</v>
      </c>
      <c r="M106" s="45">
        <f t="shared" si="11"/>
        <v>750</v>
      </c>
      <c r="N106" s="45">
        <f t="shared" si="11"/>
        <v>2250</v>
      </c>
      <c r="O106" s="45">
        <f t="shared" si="11"/>
        <v>3000</v>
      </c>
      <c r="P106" s="45">
        <f t="shared" si="16"/>
        <v>15000</v>
      </c>
      <c r="Q106" s="6" t="b">
        <f t="shared" si="17"/>
        <v>1</v>
      </c>
    </row>
    <row r="107" spans="2:17" s="6" customFormat="1" ht="13.2">
      <c r="B107" s="18">
        <f t="shared" si="8"/>
        <v>44296</v>
      </c>
      <c r="C107" s="50">
        <f t="shared" si="12"/>
        <v>562500</v>
      </c>
      <c r="D107" s="50">
        <f t="shared" si="13"/>
        <v>800000</v>
      </c>
      <c r="E107" s="50">
        <f t="shared" si="14"/>
        <v>1362500</v>
      </c>
      <c r="F107" s="51">
        <f t="shared" si="9"/>
        <v>30000</v>
      </c>
      <c r="G107" s="51">
        <f t="shared" si="10"/>
        <v>20000</v>
      </c>
      <c r="H107" s="51">
        <f t="shared" si="15"/>
        <v>50000</v>
      </c>
      <c r="I107" s="45">
        <f t="shared" si="11"/>
        <v>6250</v>
      </c>
      <c r="J107" s="45">
        <f t="shared" si="11"/>
        <v>5500</v>
      </c>
      <c r="K107" s="45">
        <f t="shared" si="11"/>
        <v>2000</v>
      </c>
      <c r="L107" s="45">
        <f t="shared" si="11"/>
        <v>1250</v>
      </c>
      <c r="M107" s="45">
        <f t="shared" si="11"/>
        <v>1250</v>
      </c>
      <c r="N107" s="45">
        <f t="shared" si="11"/>
        <v>3750</v>
      </c>
      <c r="O107" s="45">
        <f t="shared" si="11"/>
        <v>0</v>
      </c>
      <c r="P107" s="45">
        <f t="shared" si="16"/>
        <v>20000</v>
      </c>
      <c r="Q107" s="6" t="b">
        <f t="shared" si="17"/>
        <v>1</v>
      </c>
    </row>
    <row r="108" spans="2:17" s="6" customFormat="1" ht="13.2">
      <c r="B108" s="18">
        <f t="shared" si="8"/>
        <v>44303</v>
      </c>
      <c r="C108" s="50">
        <f t="shared" si="12"/>
        <v>562500</v>
      </c>
      <c r="D108" s="50">
        <f t="shared" si="13"/>
        <v>800000</v>
      </c>
      <c r="E108" s="50">
        <f t="shared" si="14"/>
        <v>1362500</v>
      </c>
      <c r="F108" s="51">
        <f t="shared" si="9"/>
        <v>30000</v>
      </c>
      <c r="G108" s="51">
        <f t="shared" si="10"/>
        <v>20000</v>
      </c>
      <c r="H108" s="51">
        <f t="shared" si="15"/>
        <v>50000</v>
      </c>
      <c r="I108" s="45">
        <f t="shared" si="11"/>
        <v>6250</v>
      </c>
      <c r="J108" s="45">
        <f t="shared" si="11"/>
        <v>5500</v>
      </c>
      <c r="K108" s="45">
        <f t="shared" si="11"/>
        <v>2000</v>
      </c>
      <c r="L108" s="45">
        <f t="shared" si="11"/>
        <v>1250</v>
      </c>
      <c r="M108" s="45">
        <f t="shared" si="11"/>
        <v>1250</v>
      </c>
      <c r="N108" s="45">
        <f t="shared" si="11"/>
        <v>3750</v>
      </c>
      <c r="O108" s="45">
        <f t="shared" si="11"/>
        <v>0</v>
      </c>
      <c r="P108" s="45">
        <f t="shared" si="16"/>
        <v>20000</v>
      </c>
      <c r="Q108" s="6" t="b">
        <f t="shared" si="17"/>
        <v>1</v>
      </c>
    </row>
    <row r="109" spans="2:17" s="6" customFormat="1" ht="13.2">
      <c r="B109" s="18">
        <f t="shared" si="8"/>
        <v>44310</v>
      </c>
      <c r="C109" s="50">
        <f t="shared" si="12"/>
        <v>562500</v>
      </c>
      <c r="D109" s="50">
        <f t="shared" si="13"/>
        <v>450000</v>
      </c>
      <c r="E109" s="50">
        <f t="shared" si="14"/>
        <v>1012500</v>
      </c>
      <c r="F109" s="51">
        <f t="shared" si="9"/>
        <v>30000</v>
      </c>
      <c r="G109" s="51">
        <f t="shared" si="10"/>
        <v>15000</v>
      </c>
      <c r="H109" s="51">
        <f t="shared" si="15"/>
        <v>45000</v>
      </c>
      <c r="I109" s="45">
        <f t="shared" si="11"/>
        <v>3750</v>
      </c>
      <c r="J109" s="45">
        <f t="shared" si="11"/>
        <v>3300</v>
      </c>
      <c r="K109" s="45">
        <f t="shared" si="11"/>
        <v>1200</v>
      </c>
      <c r="L109" s="45">
        <f t="shared" si="11"/>
        <v>750</v>
      </c>
      <c r="M109" s="45">
        <f t="shared" si="11"/>
        <v>750</v>
      </c>
      <c r="N109" s="45">
        <f t="shared" si="11"/>
        <v>2250</v>
      </c>
      <c r="O109" s="45">
        <f t="shared" si="11"/>
        <v>3000</v>
      </c>
      <c r="P109" s="45">
        <f t="shared" si="16"/>
        <v>15000</v>
      </c>
      <c r="Q109" s="6" t="b">
        <f t="shared" si="17"/>
        <v>1</v>
      </c>
    </row>
    <row r="110" spans="2:17" s="6" customFormat="1" ht="13.2">
      <c r="B110" s="18">
        <f t="shared" si="8"/>
        <v>44317</v>
      </c>
      <c r="C110" s="50">
        <f t="shared" si="12"/>
        <v>562500</v>
      </c>
      <c r="D110" s="50">
        <f t="shared" si="13"/>
        <v>450000</v>
      </c>
      <c r="E110" s="50">
        <f t="shared" si="14"/>
        <v>1012500</v>
      </c>
      <c r="F110" s="51">
        <f t="shared" si="9"/>
        <v>30000</v>
      </c>
      <c r="G110" s="51">
        <f t="shared" si="10"/>
        <v>15000</v>
      </c>
      <c r="H110" s="51">
        <f t="shared" si="15"/>
        <v>45000</v>
      </c>
      <c r="I110" s="45">
        <f t="shared" si="11"/>
        <v>3750</v>
      </c>
      <c r="J110" s="45">
        <f t="shared" si="11"/>
        <v>3300</v>
      </c>
      <c r="K110" s="45">
        <f t="shared" si="11"/>
        <v>1200</v>
      </c>
      <c r="L110" s="45">
        <f t="shared" si="11"/>
        <v>750</v>
      </c>
      <c r="M110" s="45">
        <f t="shared" si="11"/>
        <v>750</v>
      </c>
      <c r="N110" s="45">
        <f t="shared" si="11"/>
        <v>2250</v>
      </c>
      <c r="O110" s="45">
        <f t="shared" si="11"/>
        <v>3000</v>
      </c>
      <c r="P110" s="45">
        <f t="shared" si="16"/>
        <v>15000</v>
      </c>
      <c r="Q110" s="6" t="b">
        <f t="shared" si="17"/>
        <v>1</v>
      </c>
    </row>
    <row r="111" spans="2:17" s="6" customFormat="1" ht="13.2">
      <c r="B111" s="18">
        <f t="shared" si="8"/>
        <v>44324</v>
      </c>
      <c r="C111" s="50">
        <f t="shared" si="12"/>
        <v>562500</v>
      </c>
      <c r="D111" s="50">
        <f t="shared" si="13"/>
        <v>450000</v>
      </c>
      <c r="E111" s="50">
        <f t="shared" si="14"/>
        <v>1012500</v>
      </c>
      <c r="F111" s="51">
        <f t="shared" si="9"/>
        <v>30000</v>
      </c>
      <c r="G111" s="51">
        <f t="shared" si="10"/>
        <v>15000</v>
      </c>
      <c r="H111" s="51">
        <f t="shared" si="15"/>
        <v>45000</v>
      </c>
      <c r="I111" s="45">
        <f t="shared" si="11"/>
        <v>3750</v>
      </c>
      <c r="J111" s="45">
        <f t="shared" si="11"/>
        <v>3300</v>
      </c>
      <c r="K111" s="45">
        <f t="shared" si="11"/>
        <v>1200</v>
      </c>
      <c r="L111" s="45">
        <f t="shared" ref="L111:O114" si="18">S242</f>
        <v>750</v>
      </c>
      <c r="M111" s="45">
        <f t="shared" si="18"/>
        <v>750</v>
      </c>
      <c r="N111" s="45">
        <f t="shared" si="18"/>
        <v>2250</v>
      </c>
      <c r="O111" s="45">
        <f t="shared" si="18"/>
        <v>3000</v>
      </c>
      <c r="P111" s="45">
        <f t="shared" si="16"/>
        <v>15000</v>
      </c>
      <c r="Q111" s="6" t="b">
        <f t="shared" si="17"/>
        <v>1</v>
      </c>
    </row>
    <row r="112" spans="2:17" s="6" customFormat="1" ht="13.2">
      <c r="B112" s="18">
        <f t="shared" si="8"/>
        <v>44331</v>
      </c>
      <c r="C112" s="50">
        <f t="shared" si="12"/>
        <v>562500</v>
      </c>
      <c r="D112" s="50">
        <f t="shared" si="13"/>
        <v>1000000</v>
      </c>
      <c r="E112" s="50">
        <f t="shared" si="14"/>
        <v>1562500</v>
      </c>
      <c r="F112" s="51">
        <f t="shared" si="9"/>
        <v>30000</v>
      </c>
      <c r="G112" s="51">
        <f t="shared" si="10"/>
        <v>20000</v>
      </c>
      <c r="H112" s="51">
        <f t="shared" si="15"/>
        <v>50000</v>
      </c>
      <c r="I112" s="45">
        <f t="shared" ref="I112:K114" si="19">P243</f>
        <v>8000</v>
      </c>
      <c r="J112" s="45">
        <f t="shared" si="19"/>
        <v>7040</v>
      </c>
      <c r="K112" s="45">
        <f t="shared" si="19"/>
        <v>2560</v>
      </c>
      <c r="L112" s="45">
        <f t="shared" si="18"/>
        <v>1600</v>
      </c>
      <c r="M112" s="45">
        <f t="shared" si="18"/>
        <v>800</v>
      </c>
      <c r="N112" s="45">
        <f t="shared" si="18"/>
        <v>0</v>
      </c>
      <c r="O112" s="45">
        <f t="shared" si="18"/>
        <v>0</v>
      </c>
      <c r="P112" s="45">
        <f t="shared" si="16"/>
        <v>20000</v>
      </c>
      <c r="Q112" s="6" t="b">
        <f t="shared" si="17"/>
        <v>1</v>
      </c>
    </row>
    <row r="113" spans="1:19" s="6" customFormat="1" ht="13.2">
      <c r="B113" s="18">
        <f t="shared" si="8"/>
        <v>44338</v>
      </c>
      <c r="C113" s="50">
        <f t="shared" si="12"/>
        <v>562500</v>
      </c>
      <c r="D113" s="50">
        <f t="shared" si="13"/>
        <v>1200000</v>
      </c>
      <c r="E113" s="50">
        <f t="shared" si="14"/>
        <v>1762500</v>
      </c>
      <c r="F113" s="51">
        <f t="shared" si="9"/>
        <v>30000</v>
      </c>
      <c r="G113" s="51">
        <f t="shared" si="10"/>
        <v>20000</v>
      </c>
      <c r="H113" s="51">
        <f t="shared" si="15"/>
        <v>50000</v>
      </c>
      <c r="I113" s="45">
        <f t="shared" si="19"/>
        <v>10000</v>
      </c>
      <c r="J113" s="45">
        <f t="shared" si="19"/>
        <v>8800</v>
      </c>
      <c r="K113" s="45">
        <f t="shared" si="19"/>
        <v>1200</v>
      </c>
      <c r="L113" s="45">
        <f t="shared" si="18"/>
        <v>0</v>
      </c>
      <c r="M113" s="45">
        <f t="shared" si="18"/>
        <v>0</v>
      </c>
      <c r="N113" s="45">
        <f t="shared" si="18"/>
        <v>0</v>
      </c>
      <c r="O113" s="45">
        <f t="shared" si="18"/>
        <v>0</v>
      </c>
      <c r="P113" s="45">
        <f t="shared" si="16"/>
        <v>20000</v>
      </c>
      <c r="Q113" s="6" t="b">
        <f t="shared" si="17"/>
        <v>1</v>
      </c>
    </row>
    <row r="114" spans="1:19" s="6" customFormat="1" ht="13.2">
      <c r="B114" s="18">
        <f t="shared" si="8"/>
        <v>44352</v>
      </c>
      <c r="C114" s="50">
        <f t="shared" si="12"/>
        <v>562500</v>
      </c>
      <c r="D114" s="50">
        <f t="shared" si="13"/>
        <v>1500000</v>
      </c>
      <c r="E114" s="50">
        <f t="shared" si="14"/>
        <v>2062500</v>
      </c>
      <c r="F114" s="51">
        <f t="shared" si="9"/>
        <v>30000</v>
      </c>
      <c r="G114" s="51">
        <f t="shared" si="10"/>
        <v>20000</v>
      </c>
      <c r="H114" s="51">
        <f t="shared" si="15"/>
        <v>50000</v>
      </c>
      <c r="I114" s="45">
        <f t="shared" si="19"/>
        <v>12500</v>
      </c>
      <c r="J114" s="45">
        <f t="shared" si="19"/>
        <v>7500</v>
      </c>
      <c r="K114" s="45">
        <f t="shared" si="19"/>
        <v>0</v>
      </c>
      <c r="L114" s="45">
        <f t="shared" si="18"/>
        <v>0</v>
      </c>
      <c r="M114" s="45">
        <f t="shared" si="18"/>
        <v>0</v>
      </c>
      <c r="N114" s="45">
        <f t="shared" si="18"/>
        <v>0</v>
      </c>
      <c r="O114" s="45">
        <f t="shared" si="18"/>
        <v>0</v>
      </c>
      <c r="P114" s="45">
        <f t="shared" si="16"/>
        <v>20000</v>
      </c>
      <c r="Q114" s="6" t="b">
        <f t="shared" si="17"/>
        <v>1</v>
      </c>
    </row>
    <row r="115" spans="1:19" s="6" customFormat="1" ht="13.2">
      <c r="C115" s="47">
        <f>SUM(C75:C114)</f>
        <v>22500000</v>
      </c>
      <c r="D115" s="47">
        <f>SUM(D75:D114)</f>
        <v>30611500</v>
      </c>
      <c r="E115" s="47">
        <f>SUM(E75:E114)</f>
        <v>53111500</v>
      </c>
    </row>
    <row r="116" spans="1:19" s="6" customFormat="1" ht="13.2"/>
    <row r="117" spans="1:19" s="6" customFormat="1" ht="13.2">
      <c r="A117" s="15" t="s">
        <v>35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 spans="1:19" s="6" customFormat="1" ht="13.2"/>
    <row r="119" spans="1:19" s="6" customFormat="1" ht="13.2">
      <c r="B119" s="43" t="s">
        <v>36</v>
      </c>
      <c r="D119" s="52">
        <f>homeGames</f>
        <v>40</v>
      </c>
    </row>
    <row r="120" spans="1:19" s="6" customFormat="1" ht="13.2">
      <c r="B120" s="53" t="s">
        <v>37</v>
      </c>
      <c r="C120" s="7"/>
      <c r="D120" s="54">
        <f>soldPrice</f>
        <v>750</v>
      </c>
    </row>
    <row r="121" spans="1:19" s="6" customFormat="1" ht="13.2">
      <c r="B121" s="53"/>
      <c r="C121" s="7"/>
      <c r="D121" s="54"/>
    </row>
    <row r="122" spans="1:19" s="6" customFormat="1" ht="13.2">
      <c r="A122" s="55" t="s">
        <v>38</v>
      </c>
      <c r="B122" s="55"/>
      <c r="C122" s="56"/>
      <c r="D122" s="57"/>
      <c r="E122" s="58"/>
      <c r="F122" s="58"/>
      <c r="G122" s="58"/>
      <c r="H122" s="58"/>
      <c r="I122" s="58"/>
      <c r="J122" s="58"/>
      <c r="K122" s="58"/>
      <c r="L122" s="58"/>
      <c r="M122" s="58"/>
      <c r="O122" s="59"/>
    </row>
    <row r="123" spans="1:19" s="6" customFormat="1" ht="13.2">
      <c r="N123" s="59"/>
    </row>
    <row r="124" spans="1:19" s="6" customFormat="1" ht="39" customHeight="1">
      <c r="B124" s="20" t="s">
        <v>8</v>
      </c>
      <c r="C124" s="20" t="s">
        <v>9</v>
      </c>
      <c r="D124" s="20" t="s">
        <v>25</v>
      </c>
      <c r="E124" s="20" t="s">
        <v>22</v>
      </c>
      <c r="F124" s="20" t="s">
        <v>40</v>
      </c>
      <c r="G124" s="20" t="s">
        <v>41</v>
      </c>
      <c r="H124" s="20" t="s">
        <v>42</v>
      </c>
      <c r="I124" s="20" t="s">
        <v>43</v>
      </c>
      <c r="J124" s="20" t="s">
        <v>23</v>
      </c>
      <c r="K124" s="20" t="s">
        <v>24</v>
      </c>
      <c r="L124" s="20" t="s">
        <v>44</v>
      </c>
      <c r="M124" s="20" t="s">
        <v>21</v>
      </c>
      <c r="N124" s="99"/>
      <c r="O124" s="20" t="s">
        <v>45</v>
      </c>
      <c r="P124" s="20" t="s">
        <v>46</v>
      </c>
      <c r="Q124" s="20" t="s">
        <v>47</v>
      </c>
      <c r="R124" s="20" t="s">
        <v>66</v>
      </c>
      <c r="S124" s="61"/>
    </row>
    <row r="125" spans="1:19" s="6" customFormat="1" ht="13.2">
      <c r="B125" s="13">
        <f t="shared" ref="B125:D155" si="20">B8</f>
        <v>44009</v>
      </c>
      <c r="C125" s="13">
        <f t="shared" si="20"/>
        <v>44003</v>
      </c>
      <c r="D125" s="106">
        <f t="shared" si="20"/>
        <v>4800</v>
      </c>
      <c r="E125" s="63">
        <f>D125*$D$120</f>
        <v>3600000</v>
      </c>
      <c r="F125" s="63">
        <f>SUM($E$125:$E125)</f>
        <v>3600000</v>
      </c>
      <c r="G125" s="62">
        <f t="shared" ref="G125:G174" si="21">COUNTIF($F$8:$F$47,"&lt;="&amp;B125)</f>
        <v>0</v>
      </c>
      <c r="H125" s="64">
        <f>G125/$D$119</f>
        <v>0</v>
      </c>
      <c r="I125" s="65">
        <f>H125*F125</f>
        <v>0</v>
      </c>
      <c r="J125" s="66">
        <v>0</v>
      </c>
      <c r="K125" s="63">
        <f>F125-I125</f>
        <v>3600000</v>
      </c>
      <c r="L125" s="10">
        <f>SUM($D$125:$D125)</f>
        <v>4800</v>
      </c>
      <c r="M125" s="13">
        <f>EOMONTH(C125,0)</f>
        <v>44012</v>
      </c>
      <c r="O125" s="67"/>
      <c r="P125" s="67"/>
      <c r="Q125" s="67"/>
    </row>
    <row r="126" spans="1:19" s="6" customFormat="1" ht="13.2">
      <c r="B126" s="13">
        <f t="shared" si="20"/>
        <v>44016</v>
      </c>
      <c r="C126" s="13">
        <f t="shared" si="20"/>
        <v>44010</v>
      </c>
      <c r="D126" s="104">
        <f t="shared" si="20"/>
        <v>3800</v>
      </c>
      <c r="E126" s="63">
        <f t="shared" ref="E126:E174" si="22">D126*$D$120</f>
        <v>2850000</v>
      </c>
      <c r="F126" s="63">
        <f>SUM($E$125:$E126)</f>
        <v>6450000</v>
      </c>
      <c r="G126" s="62">
        <f t="shared" si="21"/>
        <v>0</v>
      </c>
      <c r="H126" s="64">
        <f t="shared" ref="H126:H174" si="23">G126/$D$119</f>
        <v>0</v>
      </c>
      <c r="I126" s="65">
        <f t="shared" ref="I126:I174" si="24">H126*F126</f>
        <v>0</v>
      </c>
      <c r="J126" s="67">
        <f>I126-I125</f>
        <v>0</v>
      </c>
      <c r="K126" s="63">
        <f t="shared" ref="K126:K174" si="25">F126-I126</f>
        <v>6450000</v>
      </c>
      <c r="L126" s="10">
        <f>SUM($D$125:$D126)</f>
        <v>8600</v>
      </c>
      <c r="M126" s="13">
        <f t="shared" ref="M126:M155" si="26">EOMONTH(C126,0)</f>
        <v>44012</v>
      </c>
      <c r="O126" s="67">
        <f t="shared" ref="O126:O174" si="27">$H126*E126</f>
        <v>0</v>
      </c>
      <c r="P126" s="67">
        <f t="shared" ref="P126:P174" si="28">$H126*F125</f>
        <v>0</v>
      </c>
      <c r="Q126" s="67">
        <f t="shared" ref="Q126:Q174" si="29">SUM(O126:P126)</f>
        <v>0</v>
      </c>
      <c r="R126" s="6" t="b">
        <f t="shared" ref="R126:R174" si="30">Q126=I126</f>
        <v>1</v>
      </c>
    </row>
    <row r="127" spans="1:19" s="6" customFormat="1" ht="13.2">
      <c r="B127" s="13">
        <f t="shared" si="20"/>
        <v>44023</v>
      </c>
      <c r="C127" s="13">
        <f t="shared" si="20"/>
        <v>44017</v>
      </c>
      <c r="D127" s="104">
        <f t="shared" si="20"/>
        <v>3400</v>
      </c>
      <c r="E127" s="63">
        <f t="shared" si="22"/>
        <v>2550000</v>
      </c>
      <c r="F127" s="63">
        <f>SUM($E$125:$E127)</f>
        <v>9000000</v>
      </c>
      <c r="G127" s="62">
        <f t="shared" si="21"/>
        <v>0</v>
      </c>
      <c r="H127" s="64">
        <f t="shared" si="23"/>
        <v>0</v>
      </c>
      <c r="I127" s="65">
        <f t="shared" si="24"/>
        <v>0</v>
      </c>
      <c r="J127" s="67">
        <f t="shared" ref="J127:J174" si="31">I127-I126</f>
        <v>0</v>
      </c>
      <c r="K127" s="63">
        <f t="shared" si="25"/>
        <v>9000000</v>
      </c>
      <c r="L127" s="10">
        <f>SUM($D$125:$D127)</f>
        <v>12000</v>
      </c>
      <c r="M127" s="13">
        <f t="shared" si="26"/>
        <v>44043</v>
      </c>
      <c r="O127" s="67">
        <f t="shared" si="27"/>
        <v>0</v>
      </c>
      <c r="P127" s="67">
        <f t="shared" si="28"/>
        <v>0</v>
      </c>
      <c r="Q127" s="67">
        <f t="shared" si="29"/>
        <v>0</v>
      </c>
      <c r="R127" s="6" t="b">
        <f t="shared" si="30"/>
        <v>1</v>
      </c>
    </row>
    <row r="128" spans="1:19" s="6" customFormat="1" ht="13.2">
      <c r="B128" s="13">
        <f t="shared" si="20"/>
        <v>44030</v>
      </c>
      <c r="C128" s="13">
        <f t="shared" si="20"/>
        <v>44024</v>
      </c>
      <c r="D128" s="104">
        <f t="shared" si="20"/>
        <v>2800</v>
      </c>
      <c r="E128" s="63">
        <f t="shared" si="22"/>
        <v>2100000</v>
      </c>
      <c r="F128" s="63">
        <f>SUM($E$125:$E128)</f>
        <v>11100000</v>
      </c>
      <c r="G128" s="62">
        <f t="shared" si="21"/>
        <v>0</v>
      </c>
      <c r="H128" s="64">
        <f t="shared" si="23"/>
        <v>0</v>
      </c>
      <c r="I128" s="65">
        <f t="shared" si="24"/>
        <v>0</v>
      </c>
      <c r="J128" s="67">
        <f t="shared" si="31"/>
        <v>0</v>
      </c>
      <c r="K128" s="63">
        <f t="shared" si="25"/>
        <v>11100000</v>
      </c>
      <c r="L128" s="10">
        <f>SUM($D$125:$D128)</f>
        <v>14800</v>
      </c>
      <c r="M128" s="13">
        <f t="shared" si="26"/>
        <v>44043</v>
      </c>
      <c r="O128" s="67">
        <f t="shared" si="27"/>
        <v>0</v>
      </c>
      <c r="P128" s="67">
        <f t="shared" si="28"/>
        <v>0</v>
      </c>
      <c r="Q128" s="67">
        <f t="shared" si="29"/>
        <v>0</v>
      </c>
      <c r="R128" s="6" t="b">
        <f t="shared" si="30"/>
        <v>1</v>
      </c>
    </row>
    <row r="129" spans="2:24" s="6" customFormat="1" ht="13.2">
      <c r="B129" s="13">
        <f t="shared" si="20"/>
        <v>44037</v>
      </c>
      <c r="C129" s="13">
        <f t="shared" si="20"/>
        <v>44031</v>
      </c>
      <c r="D129" s="104">
        <f t="shared" si="20"/>
        <v>2700</v>
      </c>
      <c r="E129" s="63">
        <f t="shared" si="22"/>
        <v>2025000</v>
      </c>
      <c r="F129" s="63">
        <f>SUM($E$125:$E129)</f>
        <v>13125000</v>
      </c>
      <c r="G129" s="62">
        <f t="shared" si="21"/>
        <v>0</v>
      </c>
      <c r="H129" s="64">
        <f t="shared" si="23"/>
        <v>0</v>
      </c>
      <c r="I129" s="65">
        <f t="shared" si="24"/>
        <v>0</v>
      </c>
      <c r="J129" s="67">
        <f t="shared" si="31"/>
        <v>0</v>
      </c>
      <c r="K129" s="63">
        <f t="shared" si="25"/>
        <v>13125000</v>
      </c>
      <c r="L129" s="10">
        <f>SUM($D$125:$D129)</f>
        <v>17500</v>
      </c>
      <c r="M129" s="13">
        <f t="shared" si="26"/>
        <v>44043</v>
      </c>
      <c r="O129" s="67">
        <f t="shared" si="27"/>
        <v>0</v>
      </c>
      <c r="P129" s="67">
        <f t="shared" si="28"/>
        <v>0</v>
      </c>
      <c r="Q129" s="67">
        <f t="shared" si="29"/>
        <v>0</v>
      </c>
      <c r="R129" s="6" t="b">
        <f t="shared" si="30"/>
        <v>1</v>
      </c>
    </row>
    <row r="130" spans="2:24" s="6" customFormat="1" ht="13.2">
      <c r="B130" s="13">
        <f t="shared" si="20"/>
        <v>44044</v>
      </c>
      <c r="C130" s="13">
        <f t="shared" si="20"/>
        <v>44038</v>
      </c>
      <c r="D130" s="104">
        <f t="shared" si="20"/>
        <v>2750</v>
      </c>
      <c r="E130" s="63">
        <f t="shared" si="22"/>
        <v>2062500</v>
      </c>
      <c r="F130" s="63">
        <f>SUM($E$125:$E130)</f>
        <v>15187500</v>
      </c>
      <c r="G130" s="62">
        <f t="shared" si="21"/>
        <v>0</v>
      </c>
      <c r="H130" s="64">
        <f t="shared" si="23"/>
        <v>0</v>
      </c>
      <c r="I130" s="65">
        <f t="shared" si="24"/>
        <v>0</v>
      </c>
      <c r="J130" s="67">
        <f t="shared" si="31"/>
        <v>0</v>
      </c>
      <c r="K130" s="63">
        <f t="shared" si="25"/>
        <v>15187500</v>
      </c>
      <c r="L130" s="10">
        <f>SUM($D$125:$D130)</f>
        <v>20250</v>
      </c>
      <c r="M130" s="13">
        <f t="shared" si="26"/>
        <v>44043</v>
      </c>
      <c r="O130" s="67">
        <f t="shared" si="27"/>
        <v>0</v>
      </c>
      <c r="P130" s="67">
        <f t="shared" si="28"/>
        <v>0</v>
      </c>
      <c r="Q130" s="67">
        <f t="shared" si="29"/>
        <v>0</v>
      </c>
      <c r="R130" s="6" t="b">
        <f t="shared" si="30"/>
        <v>1</v>
      </c>
      <c r="V130" s="65"/>
      <c r="W130" s="65"/>
    </row>
    <row r="131" spans="2:24" s="6" customFormat="1" ht="13.2">
      <c r="B131" s="13">
        <f t="shared" si="20"/>
        <v>44051</v>
      </c>
      <c r="C131" s="13">
        <f t="shared" si="20"/>
        <v>44045</v>
      </c>
      <c r="D131" s="104">
        <f t="shared" si="20"/>
        <v>2600</v>
      </c>
      <c r="E131" s="63">
        <f t="shared" si="22"/>
        <v>1950000</v>
      </c>
      <c r="F131" s="63">
        <f>SUM($E$125:$E131)</f>
        <v>17137500</v>
      </c>
      <c r="G131" s="62">
        <f t="shared" si="21"/>
        <v>0</v>
      </c>
      <c r="H131" s="64">
        <f t="shared" si="23"/>
        <v>0</v>
      </c>
      <c r="I131" s="65">
        <f t="shared" si="24"/>
        <v>0</v>
      </c>
      <c r="J131" s="67">
        <f t="shared" si="31"/>
        <v>0</v>
      </c>
      <c r="K131" s="63">
        <f t="shared" si="25"/>
        <v>17137500</v>
      </c>
      <c r="L131" s="10">
        <f>SUM($D$125:$D131)</f>
        <v>22850</v>
      </c>
      <c r="M131" s="13">
        <f t="shared" si="26"/>
        <v>44074</v>
      </c>
      <c r="O131" s="67">
        <f t="shared" si="27"/>
        <v>0</v>
      </c>
      <c r="P131" s="67">
        <f t="shared" si="28"/>
        <v>0</v>
      </c>
      <c r="Q131" s="67">
        <f t="shared" si="29"/>
        <v>0</v>
      </c>
      <c r="R131" s="6" t="b">
        <f t="shared" si="30"/>
        <v>1</v>
      </c>
      <c r="V131" s="65"/>
      <c r="W131" s="65"/>
    </row>
    <row r="132" spans="2:24" s="6" customFormat="1" ht="13.2">
      <c r="B132" s="13">
        <f t="shared" si="20"/>
        <v>44058</v>
      </c>
      <c r="C132" s="13">
        <f t="shared" si="20"/>
        <v>44052</v>
      </c>
      <c r="D132" s="104">
        <f t="shared" si="20"/>
        <v>2800</v>
      </c>
      <c r="E132" s="63">
        <f t="shared" si="22"/>
        <v>2100000</v>
      </c>
      <c r="F132" s="63">
        <f>SUM($E$125:$E132)</f>
        <v>19237500</v>
      </c>
      <c r="G132" s="62">
        <f t="shared" si="21"/>
        <v>1</v>
      </c>
      <c r="H132" s="64">
        <f t="shared" si="23"/>
        <v>2.5000000000000001E-2</v>
      </c>
      <c r="I132" s="65">
        <f t="shared" si="24"/>
        <v>480937.5</v>
      </c>
      <c r="J132" s="67">
        <f t="shared" si="31"/>
        <v>480937.5</v>
      </c>
      <c r="K132" s="63">
        <f t="shared" si="25"/>
        <v>18756562.5</v>
      </c>
      <c r="L132" s="10">
        <f>SUM($D$125:$D132)</f>
        <v>25650</v>
      </c>
      <c r="M132" s="13">
        <f t="shared" si="26"/>
        <v>44074</v>
      </c>
      <c r="O132" s="67">
        <f t="shared" si="27"/>
        <v>52500</v>
      </c>
      <c r="P132" s="67">
        <f t="shared" si="28"/>
        <v>428437.5</v>
      </c>
      <c r="Q132" s="67">
        <f t="shared" si="29"/>
        <v>480937.5</v>
      </c>
      <c r="R132" s="6" t="b">
        <f t="shared" si="30"/>
        <v>1</v>
      </c>
      <c r="S132" s="67"/>
      <c r="T132" s="67"/>
      <c r="V132" s="65"/>
      <c r="W132" s="65"/>
      <c r="X132" s="65"/>
    </row>
    <row r="133" spans="2:24" s="6" customFormat="1" ht="13.2">
      <c r="B133" s="13">
        <f t="shared" si="20"/>
        <v>44065</v>
      </c>
      <c r="C133" s="13">
        <f t="shared" si="20"/>
        <v>44059</v>
      </c>
      <c r="D133" s="104">
        <f t="shared" si="20"/>
        <v>1400</v>
      </c>
      <c r="E133" s="63">
        <f t="shared" si="22"/>
        <v>1050000</v>
      </c>
      <c r="F133" s="63">
        <f>SUM($E$125:$E133)</f>
        <v>20287500</v>
      </c>
      <c r="G133" s="62">
        <f t="shared" si="21"/>
        <v>2</v>
      </c>
      <c r="H133" s="64">
        <f t="shared" si="23"/>
        <v>0.05</v>
      </c>
      <c r="I133" s="65">
        <f t="shared" si="24"/>
        <v>1014375</v>
      </c>
      <c r="J133" s="67">
        <f t="shared" si="31"/>
        <v>533437.5</v>
      </c>
      <c r="K133" s="63">
        <f t="shared" si="25"/>
        <v>19273125</v>
      </c>
      <c r="L133" s="10">
        <f>SUM($D$125:$D133)</f>
        <v>27050</v>
      </c>
      <c r="M133" s="13">
        <f t="shared" si="26"/>
        <v>44074</v>
      </c>
      <c r="O133" s="67">
        <f t="shared" si="27"/>
        <v>52500</v>
      </c>
      <c r="P133" s="67">
        <f t="shared" si="28"/>
        <v>961875</v>
      </c>
      <c r="Q133" s="67">
        <f t="shared" si="29"/>
        <v>1014375</v>
      </c>
      <c r="R133" s="6" t="b">
        <f t="shared" si="30"/>
        <v>1</v>
      </c>
      <c r="S133" s="67"/>
      <c r="T133" s="67"/>
      <c r="V133" s="65"/>
      <c r="W133" s="65"/>
      <c r="X133" s="65"/>
    </row>
    <row r="134" spans="2:24" s="6" customFormat="1" ht="13.2">
      <c r="B134" s="13">
        <f t="shared" si="20"/>
        <v>44072</v>
      </c>
      <c r="C134" s="13">
        <f t="shared" si="20"/>
        <v>44066</v>
      </c>
      <c r="D134" s="104">
        <f t="shared" si="20"/>
        <v>800</v>
      </c>
      <c r="E134" s="63">
        <f t="shared" si="22"/>
        <v>600000</v>
      </c>
      <c r="F134" s="63">
        <f>SUM($E$125:$E134)</f>
        <v>20887500</v>
      </c>
      <c r="G134" s="62">
        <f t="shared" si="21"/>
        <v>3</v>
      </c>
      <c r="H134" s="64">
        <f t="shared" si="23"/>
        <v>7.4999999999999997E-2</v>
      </c>
      <c r="I134" s="65">
        <f t="shared" si="24"/>
        <v>1566562.5</v>
      </c>
      <c r="J134" s="67">
        <f t="shared" si="31"/>
        <v>552187.5</v>
      </c>
      <c r="K134" s="63">
        <f t="shared" si="25"/>
        <v>19320937.5</v>
      </c>
      <c r="L134" s="10">
        <f>SUM($D$125:$D134)</f>
        <v>27850</v>
      </c>
      <c r="M134" s="13">
        <f t="shared" si="26"/>
        <v>44074</v>
      </c>
      <c r="O134" s="67">
        <f t="shared" si="27"/>
        <v>45000</v>
      </c>
      <c r="P134" s="67">
        <f t="shared" si="28"/>
        <v>1521562.5</v>
      </c>
      <c r="Q134" s="67">
        <f t="shared" si="29"/>
        <v>1566562.5</v>
      </c>
      <c r="R134" s="6" t="b">
        <f t="shared" si="30"/>
        <v>1</v>
      </c>
      <c r="S134" s="67"/>
      <c r="T134" s="67"/>
    </row>
    <row r="135" spans="2:24" s="6" customFormat="1" ht="13.2">
      <c r="B135" s="13">
        <f t="shared" si="20"/>
        <v>44079</v>
      </c>
      <c r="C135" s="13">
        <f t="shared" si="20"/>
        <v>44073</v>
      </c>
      <c r="D135" s="104">
        <f t="shared" si="20"/>
        <v>500</v>
      </c>
      <c r="E135" s="63">
        <f t="shared" si="22"/>
        <v>375000</v>
      </c>
      <c r="F135" s="63">
        <f>SUM($E$125:$E135)</f>
        <v>21262500</v>
      </c>
      <c r="G135" s="62">
        <f t="shared" si="21"/>
        <v>4</v>
      </c>
      <c r="H135" s="64">
        <f t="shared" si="23"/>
        <v>0.1</v>
      </c>
      <c r="I135" s="65">
        <f t="shared" si="24"/>
        <v>2126250</v>
      </c>
      <c r="J135" s="67">
        <f t="shared" si="31"/>
        <v>559687.5</v>
      </c>
      <c r="K135" s="63">
        <f t="shared" si="25"/>
        <v>19136250</v>
      </c>
      <c r="L135" s="10">
        <f>SUM($D$125:$D135)</f>
        <v>28350</v>
      </c>
      <c r="M135" s="13">
        <f t="shared" si="26"/>
        <v>44074</v>
      </c>
      <c r="O135" s="67">
        <f t="shared" si="27"/>
        <v>37500</v>
      </c>
      <c r="P135" s="67">
        <f t="shared" si="28"/>
        <v>2088750</v>
      </c>
      <c r="Q135" s="67">
        <f t="shared" si="29"/>
        <v>2126250</v>
      </c>
      <c r="R135" s="6" t="b">
        <f t="shared" si="30"/>
        <v>1</v>
      </c>
      <c r="S135" s="67"/>
      <c r="T135" s="67"/>
    </row>
    <row r="136" spans="2:24" s="6" customFormat="1" ht="13.2">
      <c r="B136" s="13">
        <f t="shared" si="20"/>
        <v>44086</v>
      </c>
      <c r="C136" s="13">
        <f t="shared" si="20"/>
        <v>44080</v>
      </c>
      <c r="D136" s="104">
        <f t="shared" si="20"/>
        <v>200</v>
      </c>
      <c r="E136" s="63">
        <f t="shared" si="22"/>
        <v>150000</v>
      </c>
      <c r="F136" s="63">
        <f>SUM($E$125:$E136)</f>
        <v>21412500</v>
      </c>
      <c r="G136" s="62">
        <f t="shared" si="21"/>
        <v>5</v>
      </c>
      <c r="H136" s="64">
        <f t="shared" si="23"/>
        <v>0.125</v>
      </c>
      <c r="I136" s="65">
        <f t="shared" si="24"/>
        <v>2676562.5</v>
      </c>
      <c r="J136" s="67">
        <f t="shared" si="31"/>
        <v>550312.5</v>
      </c>
      <c r="K136" s="63">
        <f t="shared" si="25"/>
        <v>18735937.5</v>
      </c>
      <c r="L136" s="10">
        <f>SUM($D$125:$D136)</f>
        <v>28550</v>
      </c>
      <c r="M136" s="13">
        <f t="shared" si="26"/>
        <v>44104</v>
      </c>
      <c r="O136" s="67">
        <f t="shared" si="27"/>
        <v>18750</v>
      </c>
      <c r="P136" s="67">
        <f t="shared" si="28"/>
        <v>2657812.5</v>
      </c>
      <c r="Q136" s="67">
        <f t="shared" si="29"/>
        <v>2676562.5</v>
      </c>
      <c r="R136" s="6" t="b">
        <f t="shared" si="30"/>
        <v>1</v>
      </c>
      <c r="S136" s="67"/>
    </row>
    <row r="137" spans="2:24" s="6" customFormat="1" ht="13.2">
      <c r="B137" s="13">
        <f t="shared" si="20"/>
        <v>44093</v>
      </c>
      <c r="C137" s="13">
        <f t="shared" si="20"/>
        <v>44087</v>
      </c>
      <c r="D137" s="104">
        <f t="shared" si="20"/>
        <v>150</v>
      </c>
      <c r="E137" s="63">
        <f t="shared" si="22"/>
        <v>112500</v>
      </c>
      <c r="F137" s="63">
        <f>SUM($E$125:$E137)</f>
        <v>21525000</v>
      </c>
      <c r="G137" s="62">
        <f t="shared" si="21"/>
        <v>6</v>
      </c>
      <c r="H137" s="64">
        <f t="shared" si="23"/>
        <v>0.15</v>
      </c>
      <c r="I137" s="65">
        <f t="shared" si="24"/>
        <v>3228750</v>
      </c>
      <c r="J137" s="67">
        <f t="shared" si="31"/>
        <v>552187.5</v>
      </c>
      <c r="K137" s="63">
        <f t="shared" si="25"/>
        <v>18296250</v>
      </c>
      <c r="L137" s="10">
        <f>SUM($D$125:$D137)</f>
        <v>28700</v>
      </c>
      <c r="M137" s="13">
        <f t="shared" si="26"/>
        <v>44104</v>
      </c>
      <c r="O137" s="67">
        <f t="shared" si="27"/>
        <v>16875</v>
      </c>
      <c r="P137" s="67">
        <f t="shared" si="28"/>
        <v>3211875</v>
      </c>
      <c r="Q137" s="67">
        <f t="shared" si="29"/>
        <v>3228750</v>
      </c>
      <c r="R137" s="6" t="b">
        <f t="shared" si="30"/>
        <v>1</v>
      </c>
      <c r="S137" s="67"/>
    </row>
    <row r="138" spans="2:24" s="6" customFormat="1" ht="13.2">
      <c r="B138" s="13">
        <f t="shared" si="20"/>
        <v>44100</v>
      </c>
      <c r="C138" s="13">
        <f t="shared" si="20"/>
        <v>44094</v>
      </c>
      <c r="D138" s="104">
        <f t="shared" si="20"/>
        <v>50</v>
      </c>
      <c r="E138" s="63">
        <f t="shared" si="22"/>
        <v>37500</v>
      </c>
      <c r="F138" s="63">
        <f>SUM($E$125:$E138)</f>
        <v>21562500</v>
      </c>
      <c r="G138" s="62">
        <f t="shared" si="21"/>
        <v>7</v>
      </c>
      <c r="H138" s="64">
        <f t="shared" si="23"/>
        <v>0.17499999999999999</v>
      </c>
      <c r="I138" s="65">
        <f t="shared" si="24"/>
        <v>3773437.4999999995</v>
      </c>
      <c r="J138" s="67">
        <f t="shared" si="31"/>
        <v>544687.49999999953</v>
      </c>
      <c r="K138" s="63">
        <f t="shared" si="25"/>
        <v>17789062.5</v>
      </c>
      <c r="L138" s="10">
        <f>SUM($D$125:$D138)</f>
        <v>28750</v>
      </c>
      <c r="M138" s="13">
        <f t="shared" si="26"/>
        <v>44104</v>
      </c>
      <c r="O138" s="67">
        <f t="shared" si="27"/>
        <v>6562.5</v>
      </c>
      <c r="P138" s="67">
        <f t="shared" si="28"/>
        <v>3766874.9999999995</v>
      </c>
      <c r="Q138" s="67">
        <f t="shared" si="29"/>
        <v>3773437.4999999995</v>
      </c>
      <c r="R138" s="6" t="b">
        <f t="shared" si="30"/>
        <v>1</v>
      </c>
      <c r="S138" s="67"/>
    </row>
    <row r="139" spans="2:24" s="6" customFormat="1" ht="13.2">
      <c r="B139" s="13">
        <f t="shared" si="20"/>
        <v>44107</v>
      </c>
      <c r="C139" s="13">
        <f t="shared" si="20"/>
        <v>44101</v>
      </c>
      <c r="D139" s="104">
        <f t="shared" si="20"/>
        <v>50</v>
      </c>
      <c r="E139" s="63">
        <f t="shared" si="22"/>
        <v>37500</v>
      </c>
      <c r="F139" s="63">
        <f>SUM($E$125:$E139)</f>
        <v>21600000</v>
      </c>
      <c r="G139" s="62">
        <f t="shared" si="21"/>
        <v>8</v>
      </c>
      <c r="H139" s="64">
        <f t="shared" si="23"/>
        <v>0.2</v>
      </c>
      <c r="I139" s="65">
        <f t="shared" si="24"/>
        <v>4320000</v>
      </c>
      <c r="J139" s="67">
        <f t="shared" si="31"/>
        <v>546562.50000000047</v>
      </c>
      <c r="K139" s="63">
        <f t="shared" si="25"/>
        <v>17280000</v>
      </c>
      <c r="L139" s="10">
        <f>SUM($D$125:$D139)</f>
        <v>28800</v>
      </c>
      <c r="M139" s="13">
        <f t="shared" si="26"/>
        <v>44104</v>
      </c>
      <c r="O139" s="67">
        <f t="shared" si="27"/>
        <v>7500</v>
      </c>
      <c r="P139" s="67">
        <f t="shared" si="28"/>
        <v>4312500</v>
      </c>
      <c r="Q139" s="67">
        <f t="shared" si="29"/>
        <v>4320000</v>
      </c>
      <c r="R139" s="6" t="b">
        <f t="shared" si="30"/>
        <v>1</v>
      </c>
      <c r="S139" s="67"/>
    </row>
    <row r="140" spans="2:24" s="6" customFormat="1" ht="13.2">
      <c r="B140" s="13">
        <f t="shared" si="20"/>
        <v>44114</v>
      </c>
      <c r="C140" s="13">
        <f t="shared" si="20"/>
        <v>44108</v>
      </c>
      <c r="D140" s="104">
        <f t="shared" si="20"/>
        <v>50</v>
      </c>
      <c r="E140" s="63">
        <f t="shared" si="22"/>
        <v>37500</v>
      </c>
      <c r="F140" s="63">
        <f>SUM($E$125:$E140)</f>
        <v>21637500</v>
      </c>
      <c r="G140" s="62">
        <f t="shared" si="21"/>
        <v>9</v>
      </c>
      <c r="H140" s="64">
        <f t="shared" si="23"/>
        <v>0.22500000000000001</v>
      </c>
      <c r="I140" s="65">
        <f t="shared" si="24"/>
        <v>4868437.5</v>
      </c>
      <c r="J140" s="67">
        <f t="shared" si="31"/>
        <v>548437.5</v>
      </c>
      <c r="K140" s="63">
        <f t="shared" si="25"/>
        <v>16769062.5</v>
      </c>
      <c r="L140" s="10">
        <f>SUM($D$125:$D140)</f>
        <v>28850</v>
      </c>
      <c r="M140" s="13">
        <f t="shared" si="26"/>
        <v>44135</v>
      </c>
      <c r="O140" s="67">
        <f t="shared" si="27"/>
        <v>8437.5</v>
      </c>
      <c r="P140" s="67">
        <f t="shared" si="28"/>
        <v>4860000</v>
      </c>
      <c r="Q140" s="67">
        <f t="shared" si="29"/>
        <v>4868437.5</v>
      </c>
      <c r="R140" s="6" t="b">
        <f t="shared" si="30"/>
        <v>1</v>
      </c>
      <c r="S140" s="67"/>
    </row>
    <row r="141" spans="2:24" s="6" customFormat="1" ht="13.2">
      <c r="B141" s="13">
        <f t="shared" si="20"/>
        <v>44121</v>
      </c>
      <c r="C141" s="13">
        <f t="shared" si="20"/>
        <v>44115</v>
      </c>
      <c r="D141" s="104">
        <f t="shared" si="20"/>
        <v>50</v>
      </c>
      <c r="E141" s="63">
        <f t="shared" si="22"/>
        <v>37500</v>
      </c>
      <c r="F141" s="63">
        <f>SUM($E$125:$E141)</f>
        <v>21675000</v>
      </c>
      <c r="G141" s="62">
        <f t="shared" si="21"/>
        <v>10</v>
      </c>
      <c r="H141" s="64">
        <f t="shared" si="23"/>
        <v>0.25</v>
      </c>
      <c r="I141" s="65">
        <f t="shared" si="24"/>
        <v>5418750</v>
      </c>
      <c r="J141" s="67">
        <f t="shared" si="31"/>
        <v>550312.5</v>
      </c>
      <c r="K141" s="63">
        <f t="shared" si="25"/>
        <v>16256250</v>
      </c>
      <c r="L141" s="10">
        <f>SUM($D$125:$D141)</f>
        <v>28900</v>
      </c>
      <c r="M141" s="13">
        <f t="shared" si="26"/>
        <v>44135</v>
      </c>
      <c r="O141" s="67">
        <f t="shared" si="27"/>
        <v>9375</v>
      </c>
      <c r="P141" s="67">
        <f t="shared" si="28"/>
        <v>5409375</v>
      </c>
      <c r="Q141" s="67">
        <f t="shared" si="29"/>
        <v>5418750</v>
      </c>
      <c r="R141" s="6" t="b">
        <f t="shared" si="30"/>
        <v>1</v>
      </c>
      <c r="S141" s="67"/>
    </row>
    <row r="142" spans="2:24" s="6" customFormat="1" ht="13.2">
      <c r="B142" s="13">
        <f t="shared" si="20"/>
        <v>44128</v>
      </c>
      <c r="C142" s="13">
        <f t="shared" si="20"/>
        <v>44122</v>
      </c>
      <c r="D142" s="104">
        <f t="shared" si="20"/>
        <v>50</v>
      </c>
      <c r="E142" s="63">
        <f t="shared" si="22"/>
        <v>37500</v>
      </c>
      <c r="F142" s="63">
        <f>SUM($E$125:$E142)</f>
        <v>21712500</v>
      </c>
      <c r="G142" s="62">
        <f t="shared" si="21"/>
        <v>11</v>
      </c>
      <c r="H142" s="64">
        <f t="shared" si="23"/>
        <v>0.27500000000000002</v>
      </c>
      <c r="I142" s="65">
        <f t="shared" si="24"/>
        <v>5970937.5000000009</v>
      </c>
      <c r="J142" s="67">
        <f t="shared" si="31"/>
        <v>552187.50000000093</v>
      </c>
      <c r="K142" s="63">
        <f t="shared" si="25"/>
        <v>15741562.5</v>
      </c>
      <c r="L142" s="10">
        <f>SUM($D$125:$D142)</f>
        <v>28950</v>
      </c>
      <c r="M142" s="13">
        <f t="shared" si="26"/>
        <v>44135</v>
      </c>
      <c r="O142" s="67">
        <f t="shared" si="27"/>
        <v>10312.5</v>
      </c>
      <c r="P142" s="67">
        <f t="shared" si="28"/>
        <v>5960625.0000000009</v>
      </c>
      <c r="Q142" s="67">
        <f t="shared" si="29"/>
        <v>5970937.5000000009</v>
      </c>
      <c r="R142" s="6" t="b">
        <f t="shared" si="30"/>
        <v>1</v>
      </c>
      <c r="S142" s="67"/>
    </row>
    <row r="143" spans="2:24" s="6" customFormat="1" ht="13.2">
      <c r="B143" s="13">
        <f t="shared" si="20"/>
        <v>44135</v>
      </c>
      <c r="C143" s="13">
        <f t="shared" si="20"/>
        <v>44129</v>
      </c>
      <c r="D143" s="104">
        <f t="shared" si="20"/>
        <v>50</v>
      </c>
      <c r="E143" s="63">
        <f t="shared" si="22"/>
        <v>37500</v>
      </c>
      <c r="F143" s="63">
        <f>SUM($E$125:$E143)</f>
        <v>21750000</v>
      </c>
      <c r="G143" s="62">
        <f t="shared" si="21"/>
        <v>12</v>
      </c>
      <c r="H143" s="64">
        <f t="shared" si="23"/>
        <v>0.3</v>
      </c>
      <c r="I143" s="65">
        <f t="shared" si="24"/>
        <v>6525000</v>
      </c>
      <c r="J143" s="67">
        <f t="shared" si="31"/>
        <v>554062.49999999907</v>
      </c>
      <c r="K143" s="63">
        <f t="shared" si="25"/>
        <v>15225000</v>
      </c>
      <c r="L143" s="10">
        <f>SUM($D$125:$D143)</f>
        <v>29000</v>
      </c>
      <c r="M143" s="13">
        <f t="shared" si="26"/>
        <v>44135</v>
      </c>
      <c r="O143" s="67">
        <f t="shared" si="27"/>
        <v>11250</v>
      </c>
      <c r="P143" s="67">
        <f t="shared" si="28"/>
        <v>6513750</v>
      </c>
      <c r="Q143" s="67">
        <f t="shared" si="29"/>
        <v>6525000</v>
      </c>
      <c r="R143" s="6" t="b">
        <f t="shared" si="30"/>
        <v>1</v>
      </c>
      <c r="S143" s="67"/>
    </row>
    <row r="144" spans="2:24" s="6" customFormat="1" ht="13.2">
      <c r="B144" s="13">
        <f t="shared" si="20"/>
        <v>44142</v>
      </c>
      <c r="C144" s="13">
        <f t="shared" si="20"/>
        <v>44136</v>
      </c>
      <c r="D144" s="104">
        <f t="shared" si="20"/>
        <v>50</v>
      </c>
      <c r="E144" s="63">
        <f t="shared" si="22"/>
        <v>37500</v>
      </c>
      <c r="F144" s="63">
        <f>SUM($E$125:$E144)</f>
        <v>21787500</v>
      </c>
      <c r="G144" s="62">
        <f t="shared" si="21"/>
        <v>13</v>
      </c>
      <c r="H144" s="64">
        <f t="shared" si="23"/>
        <v>0.32500000000000001</v>
      </c>
      <c r="I144" s="65">
        <f t="shared" si="24"/>
        <v>7080937.5</v>
      </c>
      <c r="J144" s="67">
        <f t="shared" si="31"/>
        <v>555937.5</v>
      </c>
      <c r="K144" s="63">
        <f t="shared" si="25"/>
        <v>14706562.5</v>
      </c>
      <c r="L144" s="10">
        <f>SUM($D$125:$D144)</f>
        <v>29050</v>
      </c>
      <c r="M144" s="13">
        <f t="shared" si="26"/>
        <v>44165</v>
      </c>
      <c r="O144" s="67">
        <f t="shared" si="27"/>
        <v>12187.5</v>
      </c>
      <c r="P144" s="67">
        <f t="shared" si="28"/>
        <v>7068750</v>
      </c>
      <c r="Q144" s="67">
        <f t="shared" si="29"/>
        <v>7080937.5</v>
      </c>
      <c r="R144" s="6" t="b">
        <f t="shared" si="30"/>
        <v>1</v>
      </c>
      <c r="S144" s="67"/>
    </row>
    <row r="145" spans="2:19" s="6" customFormat="1" ht="13.2">
      <c r="B145" s="13">
        <f t="shared" si="20"/>
        <v>44149</v>
      </c>
      <c r="C145" s="13">
        <f t="shared" si="20"/>
        <v>44143</v>
      </c>
      <c r="D145" s="104">
        <f t="shared" si="20"/>
        <v>50</v>
      </c>
      <c r="E145" s="63">
        <f t="shared" si="22"/>
        <v>37500</v>
      </c>
      <c r="F145" s="63">
        <f>SUM($E$125:$E145)</f>
        <v>21825000</v>
      </c>
      <c r="G145" s="62">
        <f t="shared" si="21"/>
        <v>14</v>
      </c>
      <c r="H145" s="64">
        <f t="shared" si="23"/>
        <v>0.35</v>
      </c>
      <c r="I145" s="65">
        <f t="shared" si="24"/>
        <v>7638749.9999999991</v>
      </c>
      <c r="J145" s="67">
        <f t="shared" si="31"/>
        <v>557812.49999999907</v>
      </c>
      <c r="K145" s="63">
        <f t="shared" si="25"/>
        <v>14186250</v>
      </c>
      <c r="L145" s="10">
        <f>SUM($D$125:$D145)</f>
        <v>29100</v>
      </c>
      <c r="M145" s="13">
        <f t="shared" si="26"/>
        <v>44165</v>
      </c>
      <c r="O145" s="67">
        <f t="shared" si="27"/>
        <v>13125</v>
      </c>
      <c r="P145" s="67">
        <f t="shared" si="28"/>
        <v>7625624.9999999991</v>
      </c>
      <c r="Q145" s="67">
        <f t="shared" si="29"/>
        <v>7638749.9999999991</v>
      </c>
      <c r="R145" s="6" t="b">
        <f t="shared" si="30"/>
        <v>1</v>
      </c>
      <c r="S145" s="67"/>
    </row>
    <row r="146" spans="2:19" s="6" customFormat="1" ht="13.2">
      <c r="B146" s="13">
        <f t="shared" si="20"/>
        <v>44156</v>
      </c>
      <c r="C146" s="13">
        <f t="shared" si="20"/>
        <v>44150</v>
      </c>
      <c r="D146" s="104">
        <f t="shared" si="20"/>
        <v>50</v>
      </c>
      <c r="E146" s="63">
        <f t="shared" si="22"/>
        <v>37500</v>
      </c>
      <c r="F146" s="63">
        <f>SUM($E$125:$E146)</f>
        <v>21862500</v>
      </c>
      <c r="G146" s="62">
        <f t="shared" si="21"/>
        <v>15</v>
      </c>
      <c r="H146" s="64">
        <f t="shared" si="23"/>
        <v>0.375</v>
      </c>
      <c r="I146" s="65">
        <f t="shared" si="24"/>
        <v>8198437.5</v>
      </c>
      <c r="J146" s="67">
        <f t="shared" si="31"/>
        <v>559687.50000000093</v>
      </c>
      <c r="K146" s="63">
        <f t="shared" si="25"/>
        <v>13664062.5</v>
      </c>
      <c r="L146" s="10">
        <f>SUM($D$125:$D146)</f>
        <v>29150</v>
      </c>
      <c r="M146" s="13">
        <f t="shared" si="26"/>
        <v>44165</v>
      </c>
      <c r="O146" s="67">
        <f t="shared" si="27"/>
        <v>14062.5</v>
      </c>
      <c r="P146" s="67">
        <f t="shared" si="28"/>
        <v>8184375</v>
      </c>
      <c r="Q146" s="67">
        <f t="shared" si="29"/>
        <v>8198437.5</v>
      </c>
      <c r="R146" s="6" t="b">
        <f t="shared" si="30"/>
        <v>1</v>
      </c>
      <c r="S146" s="67"/>
    </row>
    <row r="147" spans="2:19" s="6" customFormat="1" ht="13.2">
      <c r="B147" s="13">
        <f t="shared" si="20"/>
        <v>44163</v>
      </c>
      <c r="C147" s="13">
        <f t="shared" si="20"/>
        <v>44157</v>
      </c>
      <c r="D147" s="104">
        <f t="shared" si="20"/>
        <v>50</v>
      </c>
      <c r="E147" s="63">
        <f t="shared" si="22"/>
        <v>37500</v>
      </c>
      <c r="F147" s="63">
        <f>SUM($E$125:$E147)</f>
        <v>21900000</v>
      </c>
      <c r="G147" s="62">
        <f t="shared" si="21"/>
        <v>16</v>
      </c>
      <c r="H147" s="64">
        <f t="shared" si="23"/>
        <v>0.4</v>
      </c>
      <c r="I147" s="65">
        <f t="shared" si="24"/>
        <v>8760000</v>
      </c>
      <c r="J147" s="67">
        <f t="shared" si="31"/>
        <v>561562.5</v>
      </c>
      <c r="K147" s="63">
        <f t="shared" si="25"/>
        <v>13140000</v>
      </c>
      <c r="L147" s="10">
        <f>SUM($D$125:$D147)</f>
        <v>29200</v>
      </c>
      <c r="M147" s="13">
        <f t="shared" si="26"/>
        <v>44165</v>
      </c>
      <c r="O147" s="67">
        <f t="shared" si="27"/>
        <v>15000</v>
      </c>
      <c r="P147" s="67">
        <f t="shared" si="28"/>
        <v>8745000</v>
      </c>
      <c r="Q147" s="67">
        <f t="shared" si="29"/>
        <v>8760000</v>
      </c>
      <c r="R147" s="6" t="b">
        <f t="shared" si="30"/>
        <v>1</v>
      </c>
      <c r="S147" s="67"/>
    </row>
    <row r="148" spans="2:19" s="6" customFormat="1" ht="13.2">
      <c r="B148" s="13">
        <f t="shared" si="20"/>
        <v>44170</v>
      </c>
      <c r="C148" s="13">
        <f t="shared" si="20"/>
        <v>44164</v>
      </c>
      <c r="D148" s="104">
        <f t="shared" si="20"/>
        <v>50</v>
      </c>
      <c r="E148" s="63">
        <f t="shared" si="22"/>
        <v>37500</v>
      </c>
      <c r="F148" s="63">
        <f>SUM($E$125:$E148)</f>
        <v>21937500</v>
      </c>
      <c r="G148" s="62">
        <f t="shared" si="21"/>
        <v>17</v>
      </c>
      <c r="H148" s="64">
        <f t="shared" si="23"/>
        <v>0.42499999999999999</v>
      </c>
      <c r="I148" s="65">
        <f t="shared" si="24"/>
        <v>9323437.5</v>
      </c>
      <c r="J148" s="67">
        <f t="shared" si="31"/>
        <v>563437.5</v>
      </c>
      <c r="K148" s="63">
        <f t="shared" si="25"/>
        <v>12614062.5</v>
      </c>
      <c r="L148" s="10">
        <f>SUM($D$125:$D148)</f>
        <v>29250</v>
      </c>
      <c r="M148" s="13">
        <f t="shared" si="26"/>
        <v>44165</v>
      </c>
      <c r="O148" s="67">
        <f t="shared" si="27"/>
        <v>15937.5</v>
      </c>
      <c r="P148" s="67">
        <f t="shared" si="28"/>
        <v>9307500</v>
      </c>
      <c r="Q148" s="67">
        <f t="shared" si="29"/>
        <v>9323437.5</v>
      </c>
      <c r="R148" s="6" t="b">
        <f t="shared" si="30"/>
        <v>1</v>
      </c>
      <c r="S148" s="67"/>
    </row>
    <row r="149" spans="2:19" s="6" customFormat="1" ht="13.2">
      <c r="B149" s="13">
        <f t="shared" si="20"/>
        <v>44177</v>
      </c>
      <c r="C149" s="13">
        <f t="shared" si="20"/>
        <v>44171</v>
      </c>
      <c r="D149" s="104">
        <f t="shared" si="20"/>
        <v>250</v>
      </c>
      <c r="E149" s="63">
        <f t="shared" si="22"/>
        <v>187500</v>
      </c>
      <c r="F149" s="63">
        <f>SUM($E$125:$E149)</f>
        <v>22125000</v>
      </c>
      <c r="G149" s="62">
        <f t="shared" si="21"/>
        <v>18</v>
      </c>
      <c r="H149" s="64">
        <f t="shared" si="23"/>
        <v>0.45</v>
      </c>
      <c r="I149" s="65">
        <f t="shared" si="24"/>
        <v>9956250</v>
      </c>
      <c r="J149" s="67">
        <f t="shared" si="31"/>
        <v>632812.5</v>
      </c>
      <c r="K149" s="63">
        <f t="shared" si="25"/>
        <v>12168750</v>
      </c>
      <c r="L149" s="10">
        <f>SUM($D$125:$D149)</f>
        <v>29500</v>
      </c>
      <c r="M149" s="13">
        <f t="shared" si="26"/>
        <v>44196</v>
      </c>
      <c r="O149" s="67">
        <f t="shared" si="27"/>
        <v>84375</v>
      </c>
      <c r="P149" s="67">
        <f t="shared" si="28"/>
        <v>9871875</v>
      </c>
      <c r="Q149" s="67">
        <f t="shared" si="29"/>
        <v>9956250</v>
      </c>
      <c r="R149" s="6" t="b">
        <f t="shared" si="30"/>
        <v>1</v>
      </c>
      <c r="S149" s="67"/>
    </row>
    <row r="150" spans="2:19" s="6" customFormat="1" ht="13.2">
      <c r="B150" s="13">
        <f t="shared" si="20"/>
        <v>44184</v>
      </c>
      <c r="C150" s="13">
        <f t="shared" si="20"/>
        <v>44178</v>
      </c>
      <c r="D150" s="104">
        <f t="shared" si="20"/>
        <v>250</v>
      </c>
      <c r="E150" s="63">
        <f t="shared" si="22"/>
        <v>187500</v>
      </c>
      <c r="F150" s="63">
        <f>SUM($E$125:$E150)</f>
        <v>22312500</v>
      </c>
      <c r="G150" s="62">
        <f t="shared" si="21"/>
        <v>18</v>
      </c>
      <c r="H150" s="64">
        <f t="shared" si="23"/>
        <v>0.45</v>
      </c>
      <c r="I150" s="65">
        <f t="shared" si="24"/>
        <v>10040625</v>
      </c>
      <c r="J150" s="67">
        <f t="shared" si="31"/>
        <v>84375</v>
      </c>
      <c r="K150" s="63">
        <f t="shared" si="25"/>
        <v>12271875</v>
      </c>
      <c r="L150" s="10">
        <f>SUM($D$125:$D150)</f>
        <v>29750</v>
      </c>
      <c r="M150" s="13">
        <f t="shared" si="26"/>
        <v>44196</v>
      </c>
      <c r="O150" s="67">
        <f t="shared" si="27"/>
        <v>84375</v>
      </c>
      <c r="P150" s="67">
        <f t="shared" si="28"/>
        <v>9956250</v>
      </c>
      <c r="Q150" s="67">
        <f t="shared" si="29"/>
        <v>10040625</v>
      </c>
      <c r="R150" s="6" t="b">
        <f t="shared" si="30"/>
        <v>1</v>
      </c>
      <c r="S150" s="67"/>
    </row>
    <row r="151" spans="2:19" s="6" customFormat="1" ht="13.2">
      <c r="B151" s="13">
        <f t="shared" si="20"/>
        <v>44191</v>
      </c>
      <c r="C151" s="13">
        <f t="shared" si="20"/>
        <v>44185</v>
      </c>
      <c r="D151" s="104">
        <f t="shared" si="20"/>
        <v>50</v>
      </c>
      <c r="E151" s="63">
        <f t="shared" si="22"/>
        <v>37500</v>
      </c>
      <c r="F151" s="63">
        <f>SUM($E$125:$E151)</f>
        <v>22350000</v>
      </c>
      <c r="G151" s="62">
        <f t="shared" si="21"/>
        <v>18</v>
      </c>
      <c r="H151" s="64">
        <f t="shared" si="23"/>
        <v>0.45</v>
      </c>
      <c r="I151" s="65">
        <f t="shared" si="24"/>
        <v>10057500</v>
      </c>
      <c r="J151" s="67">
        <f t="shared" si="31"/>
        <v>16875</v>
      </c>
      <c r="K151" s="63">
        <f t="shared" si="25"/>
        <v>12292500</v>
      </c>
      <c r="L151" s="10">
        <f>SUM($D$125:$D151)</f>
        <v>29800</v>
      </c>
      <c r="M151" s="13">
        <f t="shared" si="26"/>
        <v>44196</v>
      </c>
      <c r="O151" s="67">
        <f t="shared" si="27"/>
        <v>16875</v>
      </c>
      <c r="P151" s="67">
        <f t="shared" si="28"/>
        <v>10040625</v>
      </c>
      <c r="Q151" s="67">
        <f t="shared" si="29"/>
        <v>10057500</v>
      </c>
      <c r="R151" s="6" t="b">
        <f t="shared" si="30"/>
        <v>1</v>
      </c>
      <c r="S151" s="67"/>
    </row>
    <row r="152" spans="2:19" s="6" customFormat="1" ht="13.2">
      <c r="B152" s="13">
        <f t="shared" si="20"/>
        <v>44198</v>
      </c>
      <c r="C152" s="13">
        <f t="shared" si="20"/>
        <v>44192</v>
      </c>
      <c r="D152" s="104">
        <f t="shared" si="20"/>
        <v>50</v>
      </c>
      <c r="E152" s="63">
        <f t="shared" si="22"/>
        <v>37500</v>
      </c>
      <c r="F152" s="63">
        <f>SUM($E$125:$E152)</f>
        <v>22387500</v>
      </c>
      <c r="G152" s="62">
        <f t="shared" si="21"/>
        <v>19</v>
      </c>
      <c r="H152" s="64">
        <f t="shared" si="23"/>
        <v>0.47499999999999998</v>
      </c>
      <c r="I152" s="65">
        <f t="shared" si="24"/>
        <v>10634062.5</v>
      </c>
      <c r="J152" s="67">
        <f t="shared" si="31"/>
        <v>576562.5</v>
      </c>
      <c r="K152" s="63">
        <f t="shared" si="25"/>
        <v>11753437.5</v>
      </c>
      <c r="L152" s="10">
        <f>SUM($D$125:$D152)</f>
        <v>29850</v>
      </c>
      <c r="M152" s="13">
        <f t="shared" si="26"/>
        <v>44196</v>
      </c>
      <c r="O152" s="67">
        <f t="shared" si="27"/>
        <v>17812.5</v>
      </c>
      <c r="P152" s="67">
        <f t="shared" si="28"/>
        <v>10616250</v>
      </c>
      <c r="Q152" s="67">
        <f t="shared" si="29"/>
        <v>10634062.5</v>
      </c>
      <c r="R152" s="6" t="b">
        <f t="shared" si="30"/>
        <v>1</v>
      </c>
      <c r="S152" s="67"/>
    </row>
    <row r="153" spans="2:19" s="6" customFormat="1" ht="13.2">
      <c r="B153" s="13">
        <f t="shared" si="20"/>
        <v>44205</v>
      </c>
      <c r="C153" s="13">
        <f t="shared" si="20"/>
        <v>44199</v>
      </c>
      <c r="D153" s="104">
        <f t="shared" si="20"/>
        <v>50</v>
      </c>
      <c r="E153" s="63">
        <f t="shared" si="22"/>
        <v>37500</v>
      </c>
      <c r="F153" s="63">
        <f>SUM($E$125:$E153)</f>
        <v>22425000</v>
      </c>
      <c r="G153" s="62">
        <f t="shared" si="21"/>
        <v>20</v>
      </c>
      <c r="H153" s="64">
        <f t="shared" si="23"/>
        <v>0.5</v>
      </c>
      <c r="I153" s="65">
        <f t="shared" si="24"/>
        <v>11212500</v>
      </c>
      <c r="J153" s="67">
        <f t="shared" si="31"/>
        <v>578437.5</v>
      </c>
      <c r="K153" s="63">
        <f t="shared" si="25"/>
        <v>11212500</v>
      </c>
      <c r="L153" s="10">
        <f>SUM($D$125:$D153)</f>
        <v>29900</v>
      </c>
      <c r="M153" s="13">
        <f t="shared" si="26"/>
        <v>44227</v>
      </c>
      <c r="O153" s="67">
        <f t="shared" si="27"/>
        <v>18750</v>
      </c>
      <c r="P153" s="67">
        <f t="shared" si="28"/>
        <v>11193750</v>
      </c>
      <c r="Q153" s="67">
        <f t="shared" si="29"/>
        <v>11212500</v>
      </c>
      <c r="R153" s="6" t="b">
        <f t="shared" si="30"/>
        <v>1</v>
      </c>
      <c r="S153" s="67"/>
    </row>
    <row r="154" spans="2:19" s="6" customFormat="1" ht="13.2">
      <c r="B154" s="13">
        <f t="shared" si="20"/>
        <v>44212</v>
      </c>
      <c r="C154" s="13">
        <f t="shared" si="20"/>
        <v>44206</v>
      </c>
      <c r="D154" s="104">
        <f t="shared" si="20"/>
        <v>50</v>
      </c>
      <c r="E154" s="63">
        <f t="shared" si="22"/>
        <v>37500</v>
      </c>
      <c r="F154" s="63">
        <f>SUM($E$125:$E154)</f>
        <v>22462500</v>
      </c>
      <c r="G154" s="62">
        <f t="shared" si="21"/>
        <v>21</v>
      </c>
      <c r="H154" s="64">
        <f t="shared" si="23"/>
        <v>0.52500000000000002</v>
      </c>
      <c r="I154" s="65">
        <f t="shared" si="24"/>
        <v>11792812.5</v>
      </c>
      <c r="J154" s="67">
        <f t="shared" si="31"/>
        <v>580312.5</v>
      </c>
      <c r="K154" s="63">
        <f t="shared" si="25"/>
        <v>10669687.5</v>
      </c>
      <c r="L154" s="10">
        <f>SUM($D$125:$D154)</f>
        <v>29950</v>
      </c>
      <c r="M154" s="13">
        <f t="shared" si="26"/>
        <v>44227</v>
      </c>
      <c r="O154" s="67">
        <f t="shared" si="27"/>
        <v>19687.5</v>
      </c>
      <c r="P154" s="67">
        <f t="shared" si="28"/>
        <v>11773125</v>
      </c>
      <c r="Q154" s="67">
        <f t="shared" si="29"/>
        <v>11792812.5</v>
      </c>
      <c r="R154" s="6" t="b">
        <f t="shared" si="30"/>
        <v>1</v>
      </c>
      <c r="S154" s="67"/>
    </row>
    <row r="155" spans="2:19" s="6" customFormat="1" ht="13.2">
      <c r="B155" s="68">
        <f t="shared" si="20"/>
        <v>44219</v>
      </c>
      <c r="C155" s="68">
        <f t="shared" si="20"/>
        <v>44213</v>
      </c>
      <c r="D155" s="105">
        <f t="shared" si="20"/>
        <v>50</v>
      </c>
      <c r="E155" s="63">
        <f t="shared" si="22"/>
        <v>37500</v>
      </c>
      <c r="F155" s="63">
        <f>SUM($E$125:$E155)</f>
        <v>22500000</v>
      </c>
      <c r="G155" s="69">
        <f t="shared" si="21"/>
        <v>22</v>
      </c>
      <c r="H155" s="70">
        <f t="shared" si="23"/>
        <v>0.55000000000000004</v>
      </c>
      <c r="I155" s="71">
        <f t="shared" si="24"/>
        <v>12375000.000000002</v>
      </c>
      <c r="J155" s="67">
        <f t="shared" si="31"/>
        <v>582187.50000000186</v>
      </c>
      <c r="K155" s="63">
        <f t="shared" si="25"/>
        <v>10124999.999999998</v>
      </c>
      <c r="L155" s="72">
        <f>SUM($D$125:$D155)</f>
        <v>30000</v>
      </c>
      <c r="M155" s="68">
        <f t="shared" si="26"/>
        <v>44227</v>
      </c>
      <c r="O155" s="73">
        <f t="shared" si="27"/>
        <v>20625</v>
      </c>
      <c r="P155" s="73">
        <f t="shared" si="28"/>
        <v>12354375.000000002</v>
      </c>
      <c r="Q155" s="73">
        <f t="shared" si="29"/>
        <v>12375000.000000002</v>
      </c>
      <c r="R155" s="74" t="b">
        <f t="shared" si="30"/>
        <v>1</v>
      </c>
      <c r="S155" s="67"/>
    </row>
    <row r="156" spans="2:19" s="6" customFormat="1" ht="13.2">
      <c r="B156" s="13">
        <f>B155+7</f>
        <v>44226</v>
      </c>
      <c r="D156" s="75">
        <v>0</v>
      </c>
      <c r="E156" s="76">
        <f t="shared" si="22"/>
        <v>0</v>
      </c>
      <c r="F156" s="76">
        <f>SUM($E$125:$E156)</f>
        <v>22500000</v>
      </c>
      <c r="G156" s="62">
        <f t="shared" si="21"/>
        <v>23</v>
      </c>
      <c r="H156" s="64">
        <f t="shared" si="23"/>
        <v>0.57499999999999996</v>
      </c>
      <c r="I156" s="65">
        <f t="shared" si="24"/>
        <v>12937499.999999998</v>
      </c>
      <c r="J156" s="77">
        <f t="shared" si="31"/>
        <v>562499.99999999627</v>
      </c>
      <c r="K156" s="76">
        <f t="shared" si="25"/>
        <v>9562500.0000000019</v>
      </c>
      <c r="L156" s="10">
        <f>SUM($D$125:$D156)</f>
        <v>30000</v>
      </c>
      <c r="M156" s="13"/>
      <c r="O156" s="67">
        <f t="shared" si="27"/>
        <v>0</v>
      </c>
      <c r="P156" s="67">
        <f t="shared" si="28"/>
        <v>12937499.999999998</v>
      </c>
      <c r="Q156" s="67">
        <f t="shared" si="29"/>
        <v>12937499.999999998</v>
      </c>
      <c r="R156" s="6" t="b">
        <f t="shared" si="30"/>
        <v>1</v>
      </c>
    </row>
    <row r="157" spans="2:19" s="6" customFormat="1" ht="13.2">
      <c r="B157" s="13">
        <f t="shared" ref="B157:B174" si="32">B156+7</f>
        <v>44233</v>
      </c>
      <c r="D157" s="75">
        <v>0</v>
      </c>
      <c r="E157" s="63">
        <f t="shared" si="22"/>
        <v>0</v>
      </c>
      <c r="F157" s="63">
        <f>SUM($E$125:$E157)</f>
        <v>22500000</v>
      </c>
      <c r="G157" s="62">
        <f t="shared" si="21"/>
        <v>24</v>
      </c>
      <c r="H157" s="64">
        <f t="shared" si="23"/>
        <v>0.6</v>
      </c>
      <c r="I157" s="65">
        <f t="shared" si="24"/>
        <v>13500000</v>
      </c>
      <c r="J157" s="67">
        <f t="shared" si="31"/>
        <v>562500.00000000186</v>
      </c>
      <c r="K157" s="63">
        <f t="shared" si="25"/>
        <v>9000000</v>
      </c>
      <c r="L157" s="10">
        <f>SUM($D$125:$D157)</f>
        <v>30000</v>
      </c>
      <c r="M157" s="13"/>
      <c r="O157" s="67">
        <f t="shared" si="27"/>
        <v>0</v>
      </c>
      <c r="P157" s="67">
        <f t="shared" si="28"/>
        <v>13500000</v>
      </c>
      <c r="Q157" s="67">
        <f t="shared" si="29"/>
        <v>13500000</v>
      </c>
      <c r="R157" s="6" t="b">
        <f t="shared" si="30"/>
        <v>1</v>
      </c>
    </row>
    <row r="158" spans="2:19" s="6" customFormat="1" ht="13.2">
      <c r="B158" s="13">
        <f t="shared" si="32"/>
        <v>44240</v>
      </c>
      <c r="D158" s="75">
        <v>0</v>
      </c>
      <c r="E158" s="63">
        <f t="shared" si="22"/>
        <v>0</v>
      </c>
      <c r="F158" s="63">
        <f>SUM($E$125:$E158)</f>
        <v>22500000</v>
      </c>
      <c r="G158" s="62">
        <f t="shared" si="21"/>
        <v>25</v>
      </c>
      <c r="H158" s="64">
        <f t="shared" si="23"/>
        <v>0.625</v>
      </c>
      <c r="I158" s="65">
        <f t="shared" si="24"/>
        <v>14062500</v>
      </c>
      <c r="J158" s="67">
        <f t="shared" si="31"/>
        <v>562500</v>
      </c>
      <c r="K158" s="63">
        <f t="shared" si="25"/>
        <v>8437500</v>
      </c>
      <c r="L158" s="10">
        <f>SUM($D$125:$D158)</f>
        <v>30000</v>
      </c>
      <c r="M158" s="13"/>
      <c r="O158" s="67">
        <f t="shared" si="27"/>
        <v>0</v>
      </c>
      <c r="P158" s="67">
        <f t="shared" si="28"/>
        <v>14062500</v>
      </c>
      <c r="Q158" s="67">
        <f t="shared" si="29"/>
        <v>14062500</v>
      </c>
      <c r="R158" s="6" t="b">
        <f t="shared" si="30"/>
        <v>1</v>
      </c>
    </row>
    <row r="159" spans="2:19" s="6" customFormat="1" ht="13.2">
      <c r="B159" s="13">
        <f t="shared" si="32"/>
        <v>44247</v>
      </c>
      <c r="D159" s="75">
        <v>0</v>
      </c>
      <c r="E159" s="63">
        <f t="shared" si="22"/>
        <v>0</v>
      </c>
      <c r="F159" s="63">
        <f>SUM($E$125:$E159)</f>
        <v>22500000</v>
      </c>
      <c r="G159" s="62">
        <f t="shared" si="21"/>
        <v>26</v>
      </c>
      <c r="H159" s="64">
        <f t="shared" si="23"/>
        <v>0.65</v>
      </c>
      <c r="I159" s="65">
        <f t="shared" si="24"/>
        <v>14625000</v>
      </c>
      <c r="J159" s="67">
        <f t="shared" si="31"/>
        <v>562500</v>
      </c>
      <c r="K159" s="63">
        <f t="shared" si="25"/>
        <v>7875000</v>
      </c>
      <c r="L159" s="10">
        <f>SUM($D$125:$D159)</f>
        <v>30000</v>
      </c>
      <c r="M159" s="13"/>
      <c r="O159" s="67">
        <f t="shared" si="27"/>
        <v>0</v>
      </c>
      <c r="P159" s="67">
        <f t="shared" si="28"/>
        <v>14625000</v>
      </c>
      <c r="Q159" s="67">
        <f t="shared" si="29"/>
        <v>14625000</v>
      </c>
      <c r="R159" s="6" t="b">
        <f t="shared" si="30"/>
        <v>1</v>
      </c>
    </row>
    <row r="160" spans="2:19" s="6" customFormat="1" ht="13.2">
      <c r="B160" s="13">
        <f t="shared" si="32"/>
        <v>44254</v>
      </c>
      <c r="D160" s="75">
        <v>0</v>
      </c>
      <c r="E160" s="63">
        <f t="shared" si="22"/>
        <v>0</v>
      </c>
      <c r="F160" s="63">
        <f>SUM($E$125:$E160)</f>
        <v>22500000</v>
      </c>
      <c r="G160" s="62">
        <f t="shared" si="21"/>
        <v>27</v>
      </c>
      <c r="H160" s="64">
        <f t="shared" si="23"/>
        <v>0.67500000000000004</v>
      </c>
      <c r="I160" s="65">
        <f t="shared" si="24"/>
        <v>15187500.000000002</v>
      </c>
      <c r="J160" s="67">
        <f t="shared" si="31"/>
        <v>562500.00000000186</v>
      </c>
      <c r="K160" s="63">
        <f t="shared" si="25"/>
        <v>7312499.9999999981</v>
      </c>
      <c r="L160" s="10">
        <f>SUM($D$125:$D160)</f>
        <v>30000</v>
      </c>
      <c r="M160" s="13"/>
      <c r="O160" s="67">
        <f t="shared" si="27"/>
        <v>0</v>
      </c>
      <c r="P160" s="67">
        <f t="shared" si="28"/>
        <v>15187500.000000002</v>
      </c>
      <c r="Q160" s="67">
        <f t="shared" si="29"/>
        <v>15187500.000000002</v>
      </c>
      <c r="R160" s="6" t="b">
        <f t="shared" si="30"/>
        <v>1</v>
      </c>
    </row>
    <row r="161" spans="2:18" s="6" customFormat="1" ht="13.2">
      <c r="B161" s="13">
        <f t="shared" si="32"/>
        <v>44261</v>
      </c>
      <c r="D161" s="75">
        <v>0</v>
      </c>
      <c r="E161" s="63">
        <f t="shared" si="22"/>
        <v>0</v>
      </c>
      <c r="F161" s="63">
        <f>SUM($E$125:$E161)</f>
        <v>22500000</v>
      </c>
      <c r="G161" s="62">
        <f t="shared" si="21"/>
        <v>28</v>
      </c>
      <c r="H161" s="64">
        <f t="shared" si="23"/>
        <v>0.7</v>
      </c>
      <c r="I161" s="65">
        <f t="shared" si="24"/>
        <v>15749999.999999998</v>
      </c>
      <c r="J161" s="67">
        <f t="shared" si="31"/>
        <v>562499.99999999627</v>
      </c>
      <c r="K161" s="63">
        <f t="shared" si="25"/>
        <v>6750000.0000000019</v>
      </c>
      <c r="L161" s="10">
        <f>SUM($D$125:$D161)</f>
        <v>30000</v>
      </c>
      <c r="M161" s="13"/>
      <c r="O161" s="67">
        <f t="shared" si="27"/>
        <v>0</v>
      </c>
      <c r="P161" s="67">
        <f t="shared" si="28"/>
        <v>15749999.999999998</v>
      </c>
      <c r="Q161" s="67">
        <f t="shared" si="29"/>
        <v>15749999.999999998</v>
      </c>
      <c r="R161" s="6" t="b">
        <f t="shared" si="30"/>
        <v>1</v>
      </c>
    </row>
    <row r="162" spans="2:18" s="6" customFormat="1" ht="13.2">
      <c r="B162" s="13">
        <f t="shared" si="32"/>
        <v>44268</v>
      </c>
      <c r="D162" s="75">
        <v>0</v>
      </c>
      <c r="E162" s="63">
        <f t="shared" si="22"/>
        <v>0</v>
      </c>
      <c r="F162" s="63">
        <f>SUM($E$125:$E162)</f>
        <v>22500000</v>
      </c>
      <c r="G162" s="62">
        <f t="shared" si="21"/>
        <v>29</v>
      </c>
      <c r="H162" s="64">
        <f t="shared" si="23"/>
        <v>0.72499999999999998</v>
      </c>
      <c r="I162" s="65">
        <f t="shared" si="24"/>
        <v>16312500</v>
      </c>
      <c r="J162" s="67">
        <f t="shared" si="31"/>
        <v>562500.00000000186</v>
      </c>
      <c r="K162" s="63">
        <f t="shared" si="25"/>
        <v>6187500</v>
      </c>
      <c r="L162" s="10">
        <f>SUM($D$125:$D162)</f>
        <v>30000</v>
      </c>
      <c r="M162" s="13"/>
      <c r="O162" s="67">
        <f t="shared" si="27"/>
        <v>0</v>
      </c>
      <c r="P162" s="67">
        <f t="shared" si="28"/>
        <v>16312500</v>
      </c>
      <c r="Q162" s="67">
        <f t="shared" si="29"/>
        <v>16312500</v>
      </c>
      <c r="R162" s="6" t="b">
        <f t="shared" si="30"/>
        <v>1</v>
      </c>
    </row>
    <row r="163" spans="2:18" s="6" customFormat="1" ht="13.2">
      <c r="B163" s="13">
        <f t="shared" si="32"/>
        <v>44275</v>
      </c>
      <c r="D163" s="75">
        <v>0</v>
      </c>
      <c r="E163" s="63">
        <f t="shared" si="22"/>
        <v>0</v>
      </c>
      <c r="F163" s="63">
        <f>SUM($E$125:$E163)</f>
        <v>22500000</v>
      </c>
      <c r="G163" s="62">
        <f t="shared" si="21"/>
        <v>30</v>
      </c>
      <c r="H163" s="64">
        <f t="shared" si="23"/>
        <v>0.75</v>
      </c>
      <c r="I163" s="65">
        <f t="shared" si="24"/>
        <v>16875000</v>
      </c>
      <c r="J163" s="67">
        <f t="shared" si="31"/>
        <v>562500</v>
      </c>
      <c r="K163" s="63">
        <f t="shared" si="25"/>
        <v>5625000</v>
      </c>
      <c r="L163" s="10">
        <f>SUM($D$125:$D163)</f>
        <v>30000</v>
      </c>
      <c r="M163" s="13"/>
      <c r="O163" s="67">
        <f t="shared" si="27"/>
        <v>0</v>
      </c>
      <c r="P163" s="67">
        <f t="shared" si="28"/>
        <v>16875000</v>
      </c>
      <c r="Q163" s="67">
        <f t="shared" si="29"/>
        <v>16875000</v>
      </c>
      <c r="R163" s="6" t="b">
        <f t="shared" si="30"/>
        <v>1</v>
      </c>
    </row>
    <row r="164" spans="2:18" s="6" customFormat="1" ht="13.2">
      <c r="B164" s="13">
        <f t="shared" si="32"/>
        <v>44282</v>
      </c>
      <c r="D164" s="75">
        <v>0</v>
      </c>
      <c r="E164" s="63">
        <f t="shared" si="22"/>
        <v>0</v>
      </c>
      <c r="F164" s="63">
        <f>SUM($E$125:$E164)</f>
        <v>22500000</v>
      </c>
      <c r="G164" s="62">
        <f t="shared" si="21"/>
        <v>31</v>
      </c>
      <c r="H164" s="64">
        <f t="shared" si="23"/>
        <v>0.77500000000000002</v>
      </c>
      <c r="I164" s="65">
        <f t="shared" si="24"/>
        <v>17437500</v>
      </c>
      <c r="J164" s="67">
        <f t="shared" si="31"/>
        <v>562500</v>
      </c>
      <c r="K164" s="63">
        <f t="shared" si="25"/>
        <v>5062500</v>
      </c>
      <c r="L164" s="10">
        <f>SUM($D$125:$D164)</f>
        <v>30000</v>
      </c>
      <c r="M164" s="13"/>
      <c r="O164" s="67">
        <f t="shared" si="27"/>
        <v>0</v>
      </c>
      <c r="P164" s="67">
        <f t="shared" si="28"/>
        <v>17437500</v>
      </c>
      <c r="Q164" s="67">
        <f t="shared" si="29"/>
        <v>17437500</v>
      </c>
      <c r="R164" s="6" t="b">
        <f t="shared" si="30"/>
        <v>1</v>
      </c>
    </row>
    <row r="165" spans="2:18" s="6" customFormat="1" ht="13.2">
      <c r="B165" s="13">
        <f t="shared" si="32"/>
        <v>44289</v>
      </c>
      <c r="D165" s="75">
        <v>0</v>
      </c>
      <c r="E165" s="63">
        <f t="shared" si="22"/>
        <v>0</v>
      </c>
      <c r="F165" s="63">
        <f>SUM($E$125:$E165)</f>
        <v>22500000</v>
      </c>
      <c r="G165" s="62">
        <f t="shared" si="21"/>
        <v>32</v>
      </c>
      <c r="H165" s="64">
        <f t="shared" si="23"/>
        <v>0.8</v>
      </c>
      <c r="I165" s="65">
        <f t="shared" si="24"/>
        <v>18000000</v>
      </c>
      <c r="J165" s="67">
        <f t="shared" si="31"/>
        <v>562500</v>
      </c>
      <c r="K165" s="63">
        <f t="shared" si="25"/>
        <v>4500000</v>
      </c>
      <c r="L165" s="10">
        <f>SUM($D$125:$D165)</f>
        <v>30000</v>
      </c>
      <c r="M165" s="13"/>
      <c r="O165" s="67">
        <f t="shared" si="27"/>
        <v>0</v>
      </c>
      <c r="P165" s="67">
        <f t="shared" si="28"/>
        <v>18000000</v>
      </c>
      <c r="Q165" s="67">
        <f t="shared" si="29"/>
        <v>18000000</v>
      </c>
      <c r="R165" s="6" t="b">
        <f t="shared" si="30"/>
        <v>1</v>
      </c>
    </row>
    <row r="166" spans="2:18" s="6" customFormat="1" ht="13.2">
      <c r="B166" s="13">
        <f t="shared" si="32"/>
        <v>44296</v>
      </c>
      <c r="D166" s="75">
        <v>0</v>
      </c>
      <c r="E166" s="63">
        <f t="shared" si="22"/>
        <v>0</v>
      </c>
      <c r="F166" s="63">
        <f>SUM($E$125:$E166)</f>
        <v>22500000</v>
      </c>
      <c r="G166" s="62">
        <f t="shared" si="21"/>
        <v>33</v>
      </c>
      <c r="H166" s="64">
        <f t="shared" si="23"/>
        <v>0.82499999999999996</v>
      </c>
      <c r="I166" s="65">
        <f t="shared" si="24"/>
        <v>18562500</v>
      </c>
      <c r="J166" s="67">
        <f t="shared" si="31"/>
        <v>562500</v>
      </c>
      <c r="K166" s="63">
        <f t="shared" si="25"/>
        <v>3937500</v>
      </c>
      <c r="L166" s="10">
        <f>SUM($D$125:$D166)</f>
        <v>30000</v>
      </c>
      <c r="M166" s="13"/>
      <c r="O166" s="67">
        <f t="shared" si="27"/>
        <v>0</v>
      </c>
      <c r="P166" s="67">
        <f t="shared" si="28"/>
        <v>18562500</v>
      </c>
      <c r="Q166" s="67">
        <f t="shared" si="29"/>
        <v>18562500</v>
      </c>
      <c r="R166" s="6" t="b">
        <f t="shared" si="30"/>
        <v>1</v>
      </c>
    </row>
    <row r="167" spans="2:18" s="6" customFormat="1" ht="13.2">
      <c r="B167" s="13">
        <f t="shared" si="32"/>
        <v>44303</v>
      </c>
      <c r="D167" s="75">
        <v>0</v>
      </c>
      <c r="E167" s="63">
        <f t="shared" si="22"/>
        <v>0</v>
      </c>
      <c r="F167" s="63">
        <f>SUM($E$125:$E167)</f>
        <v>22500000</v>
      </c>
      <c r="G167" s="62">
        <f t="shared" si="21"/>
        <v>34</v>
      </c>
      <c r="H167" s="64">
        <f t="shared" si="23"/>
        <v>0.85</v>
      </c>
      <c r="I167" s="65">
        <f t="shared" si="24"/>
        <v>19125000</v>
      </c>
      <c r="J167" s="67">
        <f t="shared" si="31"/>
        <v>562500</v>
      </c>
      <c r="K167" s="63">
        <f t="shared" si="25"/>
        <v>3375000</v>
      </c>
      <c r="L167" s="10">
        <f>SUM($D$125:$D167)</f>
        <v>30000</v>
      </c>
      <c r="M167" s="13"/>
      <c r="O167" s="67">
        <f t="shared" si="27"/>
        <v>0</v>
      </c>
      <c r="P167" s="67">
        <f t="shared" si="28"/>
        <v>19125000</v>
      </c>
      <c r="Q167" s="67">
        <f t="shared" si="29"/>
        <v>19125000</v>
      </c>
      <c r="R167" s="6" t="b">
        <f t="shared" si="30"/>
        <v>1</v>
      </c>
    </row>
    <row r="168" spans="2:18" s="6" customFormat="1" ht="13.2">
      <c r="B168" s="13">
        <f t="shared" si="32"/>
        <v>44310</v>
      </c>
      <c r="D168" s="75">
        <v>0</v>
      </c>
      <c r="E168" s="63">
        <f t="shared" si="22"/>
        <v>0</v>
      </c>
      <c r="F168" s="63">
        <f>SUM($E$125:$E168)</f>
        <v>22500000</v>
      </c>
      <c r="G168" s="62">
        <f t="shared" si="21"/>
        <v>35</v>
      </c>
      <c r="H168" s="64">
        <f t="shared" si="23"/>
        <v>0.875</v>
      </c>
      <c r="I168" s="65">
        <f t="shared" si="24"/>
        <v>19687500</v>
      </c>
      <c r="J168" s="67">
        <f t="shared" si="31"/>
        <v>562500</v>
      </c>
      <c r="K168" s="63">
        <f t="shared" si="25"/>
        <v>2812500</v>
      </c>
      <c r="L168" s="10">
        <f>SUM($D$125:$D168)</f>
        <v>30000</v>
      </c>
      <c r="M168" s="13"/>
      <c r="O168" s="67">
        <f t="shared" si="27"/>
        <v>0</v>
      </c>
      <c r="P168" s="67">
        <f t="shared" si="28"/>
        <v>19687500</v>
      </c>
      <c r="Q168" s="67">
        <f t="shared" si="29"/>
        <v>19687500</v>
      </c>
      <c r="R168" s="6" t="b">
        <f t="shared" si="30"/>
        <v>1</v>
      </c>
    </row>
    <row r="169" spans="2:18" s="6" customFormat="1" ht="13.2">
      <c r="B169" s="13">
        <f t="shared" si="32"/>
        <v>44317</v>
      </c>
      <c r="D169" s="75">
        <v>0</v>
      </c>
      <c r="E169" s="63">
        <f t="shared" si="22"/>
        <v>0</v>
      </c>
      <c r="F169" s="63">
        <f>SUM($E$125:$E169)</f>
        <v>22500000</v>
      </c>
      <c r="G169" s="62">
        <f t="shared" si="21"/>
        <v>36</v>
      </c>
      <c r="H169" s="64">
        <f t="shared" si="23"/>
        <v>0.9</v>
      </c>
      <c r="I169" s="65">
        <f t="shared" si="24"/>
        <v>20250000</v>
      </c>
      <c r="J169" s="67">
        <f t="shared" si="31"/>
        <v>562500</v>
      </c>
      <c r="K169" s="63">
        <f t="shared" si="25"/>
        <v>2250000</v>
      </c>
      <c r="L169" s="10">
        <f>SUM($D$125:$D169)</f>
        <v>30000</v>
      </c>
      <c r="M169" s="13"/>
      <c r="O169" s="67">
        <f t="shared" si="27"/>
        <v>0</v>
      </c>
      <c r="P169" s="67">
        <f t="shared" si="28"/>
        <v>20250000</v>
      </c>
      <c r="Q169" s="67">
        <f t="shared" si="29"/>
        <v>20250000</v>
      </c>
      <c r="R169" s="6" t="b">
        <f t="shared" si="30"/>
        <v>1</v>
      </c>
    </row>
    <row r="170" spans="2:18" s="6" customFormat="1" ht="13.2">
      <c r="B170" s="13">
        <f t="shared" si="32"/>
        <v>44324</v>
      </c>
      <c r="D170" s="75">
        <v>0</v>
      </c>
      <c r="E170" s="63">
        <f t="shared" si="22"/>
        <v>0</v>
      </c>
      <c r="F170" s="63">
        <f>SUM($E$125:$E170)</f>
        <v>22500000</v>
      </c>
      <c r="G170" s="62">
        <f t="shared" si="21"/>
        <v>37</v>
      </c>
      <c r="H170" s="64">
        <f t="shared" si="23"/>
        <v>0.92500000000000004</v>
      </c>
      <c r="I170" s="65">
        <f t="shared" si="24"/>
        <v>20812500</v>
      </c>
      <c r="J170" s="67">
        <f t="shared" si="31"/>
        <v>562500</v>
      </c>
      <c r="K170" s="63">
        <f t="shared" si="25"/>
        <v>1687500</v>
      </c>
      <c r="L170" s="10">
        <f>SUM($D$125:$D170)</f>
        <v>30000</v>
      </c>
      <c r="M170" s="13"/>
      <c r="O170" s="67">
        <f t="shared" si="27"/>
        <v>0</v>
      </c>
      <c r="P170" s="67">
        <f t="shared" si="28"/>
        <v>20812500</v>
      </c>
      <c r="Q170" s="67">
        <f t="shared" si="29"/>
        <v>20812500</v>
      </c>
      <c r="R170" s="6" t="b">
        <f t="shared" si="30"/>
        <v>1</v>
      </c>
    </row>
    <row r="171" spans="2:18" s="6" customFormat="1" ht="13.2">
      <c r="B171" s="13">
        <f t="shared" si="32"/>
        <v>44331</v>
      </c>
      <c r="D171" s="75">
        <v>0</v>
      </c>
      <c r="E171" s="63">
        <f t="shared" si="22"/>
        <v>0</v>
      </c>
      <c r="F171" s="63">
        <f>SUM($E$125:$E171)</f>
        <v>22500000</v>
      </c>
      <c r="G171" s="62">
        <f t="shared" si="21"/>
        <v>38</v>
      </c>
      <c r="H171" s="64">
        <f t="shared" si="23"/>
        <v>0.95</v>
      </c>
      <c r="I171" s="65">
        <f t="shared" si="24"/>
        <v>21375000</v>
      </c>
      <c r="J171" s="67">
        <f t="shared" si="31"/>
        <v>562500</v>
      </c>
      <c r="K171" s="63">
        <f t="shared" si="25"/>
        <v>1125000</v>
      </c>
      <c r="L171" s="10">
        <f>SUM($D$125:$D171)</f>
        <v>30000</v>
      </c>
      <c r="M171" s="13"/>
      <c r="O171" s="67">
        <f t="shared" si="27"/>
        <v>0</v>
      </c>
      <c r="P171" s="67">
        <f t="shared" si="28"/>
        <v>21375000</v>
      </c>
      <c r="Q171" s="67">
        <f t="shared" si="29"/>
        <v>21375000</v>
      </c>
      <c r="R171" s="6" t="b">
        <f t="shared" si="30"/>
        <v>1</v>
      </c>
    </row>
    <row r="172" spans="2:18" s="6" customFormat="1" ht="13.2">
      <c r="B172" s="13">
        <f t="shared" si="32"/>
        <v>44338</v>
      </c>
      <c r="D172" s="75">
        <v>0</v>
      </c>
      <c r="E172" s="63">
        <f t="shared" si="22"/>
        <v>0</v>
      </c>
      <c r="F172" s="63">
        <f>SUM($E$125:$E172)</f>
        <v>22500000</v>
      </c>
      <c r="G172" s="62">
        <f t="shared" si="21"/>
        <v>39</v>
      </c>
      <c r="H172" s="64">
        <f t="shared" si="23"/>
        <v>0.97499999999999998</v>
      </c>
      <c r="I172" s="65">
        <f t="shared" si="24"/>
        <v>21937500</v>
      </c>
      <c r="J172" s="67">
        <f t="shared" si="31"/>
        <v>562500</v>
      </c>
      <c r="K172" s="63">
        <f t="shared" si="25"/>
        <v>562500</v>
      </c>
      <c r="L172" s="10">
        <f>SUM($D$125:$D172)</f>
        <v>30000</v>
      </c>
      <c r="M172" s="13"/>
      <c r="O172" s="67">
        <f t="shared" si="27"/>
        <v>0</v>
      </c>
      <c r="P172" s="67">
        <f t="shared" si="28"/>
        <v>21937500</v>
      </c>
      <c r="Q172" s="67">
        <f t="shared" si="29"/>
        <v>21937500</v>
      </c>
      <c r="R172" s="6" t="b">
        <f t="shared" si="30"/>
        <v>1</v>
      </c>
    </row>
    <row r="173" spans="2:18" s="6" customFormat="1" ht="13.2">
      <c r="B173" s="13">
        <f t="shared" si="32"/>
        <v>44345</v>
      </c>
      <c r="D173" s="75">
        <v>0</v>
      </c>
      <c r="E173" s="63">
        <f t="shared" si="22"/>
        <v>0</v>
      </c>
      <c r="F173" s="63">
        <f>SUM($E$125:$E173)</f>
        <v>22500000</v>
      </c>
      <c r="G173" s="62">
        <f t="shared" si="21"/>
        <v>39</v>
      </c>
      <c r="H173" s="64">
        <f t="shared" si="23"/>
        <v>0.97499999999999998</v>
      </c>
      <c r="I173" s="65">
        <f t="shared" si="24"/>
        <v>21937500</v>
      </c>
      <c r="J173" s="67">
        <f t="shared" si="31"/>
        <v>0</v>
      </c>
      <c r="K173" s="63">
        <f t="shared" si="25"/>
        <v>562500</v>
      </c>
      <c r="L173" s="10">
        <f>SUM($D$125:$D173)</f>
        <v>30000</v>
      </c>
      <c r="M173" s="13"/>
      <c r="O173" s="67">
        <f t="shared" si="27"/>
        <v>0</v>
      </c>
      <c r="P173" s="67">
        <f t="shared" si="28"/>
        <v>21937500</v>
      </c>
      <c r="Q173" s="67">
        <f t="shared" si="29"/>
        <v>21937500</v>
      </c>
      <c r="R173" s="6" t="b">
        <f t="shared" si="30"/>
        <v>1</v>
      </c>
    </row>
    <row r="174" spans="2:18" s="6" customFormat="1" ht="13.2">
      <c r="B174" s="13">
        <f t="shared" si="32"/>
        <v>44352</v>
      </c>
      <c r="D174" s="75">
        <v>0</v>
      </c>
      <c r="E174" s="63">
        <f t="shared" si="22"/>
        <v>0</v>
      </c>
      <c r="F174" s="63">
        <f>SUM($E$125:$E174)</f>
        <v>22500000</v>
      </c>
      <c r="G174" s="62">
        <f t="shared" si="21"/>
        <v>40</v>
      </c>
      <c r="H174" s="64">
        <f t="shared" si="23"/>
        <v>1</v>
      </c>
      <c r="I174" s="65">
        <f t="shared" si="24"/>
        <v>22500000</v>
      </c>
      <c r="J174" s="67">
        <f t="shared" si="31"/>
        <v>562500</v>
      </c>
      <c r="K174" s="63">
        <f t="shared" si="25"/>
        <v>0</v>
      </c>
      <c r="L174" s="10">
        <f>SUM($D$125:$D174)</f>
        <v>30000</v>
      </c>
      <c r="M174" s="13"/>
      <c r="O174" s="67">
        <f t="shared" si="27"/>
        <v>0</v>
      </c>
      <c r="P174" s="67">
        <f t="shared" si="28"/>
        <v>22500000</v>
      </c>
      <c r="Q174" s="67">
        <f t="shared" si="29"/>
        <v>22500000</v>
      </c>
      <c r="R174" s="6" t="b">
        <f t="shared" si="30"/>
        <v>1</v>
      </c>
    </row>
    <row r="175" spans="2:18" s="6" customFormat="1" ht="13.2">
      <c r="B175" s="78" t="s">
        <v>17</v>
      </c>
      <c r="D175" s="79">
        <f>SUM(D125:D174)</f>
        <v>30000</v>
      </c>
      <c r="E175" s="47">
        <f>SUM(E125:E174)</f>
        <v>22500000</v>
      </c>
      <c r="J175" s="47">
        <f>SUM(J125:J174)</f>
        <v>22500000</v>
      </c>
    </row>
    <row r="176" spans="2:18" s="6" customFormat="1" ht="13.2">
      <c r="B176" s="13"/>
    </row>
    <row r="177" spans="1:17" s="6" customFormat="1" ht="13.2">
      <c r="A177" s="55" t="s">
        <v>48</v>
      </c>
      <c r="B177" s="55"/>
      <c r="C177" s="56"/>
      <c r="D177" s="57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</row>
    <row r="178" spans="1:17" s="6" customFormat="1" ht="13.2">
      <c r="N178" s="59"/>
    </row>
    <row r="179" spans="1:17" s="6" customFormat="1" ht="13.2">
      <c r="B179" s="103" t="s">
        <v>73</v>
      </c>
      <c r="N179" s="59"/>
    </row>
    <row r="180" spans="1:17" s="6" customFormat="1" ht="13.2">
      <c r="B180" s="103" t="s">
        <v>74</v>
      </c>
      <c r="N180" s="59"/>
    </row>
    <row r="181" spans="1:17" s="6" customFormat="1" ht="13.2">
      <c r="N181" s="59"/>
    </row>
    <row r="182" spans="1:17" s="6" customFormat="1" ht="39" customHeight="1">
      <c r="B182" s="60" t="s">
        <v>21</v>
      </c>
      <c r="C182" s="60" t="s">
        <v>49</v>
      </c>
      <c r="D182" s="60" t="s">
        <v>50</v>
      </c>
      <c r="E182" s="60" t="s">
        <v>51</v>
      </c>
      <c r="F182" s="60" t="s">
        <v>52</v>
      </c>
      <c r="G182" s="60" t="s">
        <v>22</v>
      </c>
      <c r="H182" s="60" t="s">
        <v>40</v>
      </c>
      <c r="I182" s="60" t="s">
        <v>42</v>
      </c>
      <c r="J182" s="60" t="s">
        <v>47</v>
      </c>
      <c r="K182" s="60" t="s">
        <v>53</v>
      </c>
      <c r="L182" s="60" t="s">
        <v>54</v>
      </c>
      <c r="N182" s="60" t="s">
        <v>55</v>
      </c>
      <c r="O182" s="60" t="s">
        <v>56</v>
      </c>
      <c r="P182" s="60" t="s">
        <v>47</v>
      </c>
      <c r="Q182" s="60" t="s">
        <v>66</v>
      </c>
    </row>
    <row r="183" spans="1:17" s="6" customFormat="1" ht="13.2">
      <c r="B183" s="13">
        <f t="shared" ref="B183:B195" si="33">B55</f>
        <v>44012</v>
      </c>
      <c r="C183" s="80">
        <f>COUNTIF($F$8:$F$47,"&lt;="&amp;B183)</f>
        <v>0</v>
      </c>
      <c r="D183" s="80">
        <f>C183</f>
        <v>0</v>
      </c>
      <c r="E183" s="80">
        <f>INDEX($L$125:$L$174,MATCH(B183,$C$125:$C$174,1))</f>
        <v>8600</v>
      </c>
      <c r="F183" s="80">
        <f>SUMIF($M$125:$M$174,$B183,$D$125:$D$174)</f>
        <v>8600</v>
      </c>
      <c r="G183" s="67">
        <f>F183*$D$120</f>
        <v>6450000</v>
      </c>
      <c r="H183" s="67">
        <f>SUM($G$183:$G183)</f>
        <v>6450000</v>
      </c>
      <c r="I183" s="81">
        <f t="shared" ref="I183:I195" si="34">C183/$D$119</f>
        <v>0</v>
      </c>
      <c r="J183" s="67">
        <f>I183*H183</f>
        <v>0</v>
      </c>
      <c r="K183" s="66">
        <v>0</v>
      </c>
      <c r="L183" s="67">
        <f>H183-J183</f>
        <v>6450000</v>
      </c>
      <c r="N183" s="67">
        <f t="shared" ref="N183:N195" si="35">I183*G183</f>
        <v>0</v>
      </c>
      <c r="O183" s="65"/>
      <c r="P183" s="67"/>
      <c r="Q183" s="67"/>
    </row>
    <row r="184" spans="1:17" s="6" customFormat="1" ht="13.2">
      <c r="B184" s="13">
        <f t="shared" si="33"/>
        <v>44043</v>
      </c>
      <c r="C184" s="80">
        <f t="shared" ref="C184:C195" si="36">COUNTIF($F$8:$F$47,"&lt;="&amp;B184)</f>
        <v>0</v>
      </c>
      <c r="D184" s="80">
        <f>C184-C183</f>
        <v>0</v>
      </c>
      <c r="E184" s="80">
        <f t="shared" ref="E184:E195" si="37">INDEX($L$125:$L$174,MATCH(B184,$C$125:$C$174,1))</f>
        <v>20250</v>
      </c>
      <c r="F184" s="80">
        <f t="shared" ref="F184:F195" si="38">SUMIF($M$125:$M$174,B184,$D$125:$D$174)</f>
        <v>11650</v>
      </c>
      <c r="G184" s="67">
        <f t="shared" ref="G184:G195" si="39">F184*$D$120</f>
        <v>8737500</v>
      </c>
      <c r="H184" s="67">
        <f>SUM($G$183:$G184)</f>
        <v>15187500</v>
      </c>
      <c r="I184" s="81">
        <f t="shared" si="34"/>
        <v>0</v>
      </c>
      <c r="J184" s="67">
        <f>I184*H184</f>
        <v>0</v>
      </c>
      <c r="K184" s="67">
        <f>J184-J183</f>
        <v>0</v>
      </c>
      <c r="L184" s="67">
        <f t="shared" ref="L184:L195" si="40">H184-J184</f>
        <v>15187500</v>
      </c>
      <c r="N184" s="67">
        <f t="shared" si="35"/>
        <v>0</v>
      </c>
      <c r="O184" s="67">
        <f>I184*H183</f>
        <v>0</v>
      </c>
      <c r="P184" s="67">
        <f>SUM(N184:O184)</f>
        <v>0</v>
      </c>
      <c r="Q184" s="67">
        <f>J184-P184</f>
        <v>0</v>
      </c>
    </row>
    <row r="185" spans="1:17" s="6" customFormat="1" ht="13.2">
      <c r="B185" s="13">
        <f t="shared" si="33"/>
        <v>44074</v>
      </c>
      <c r="C185" s="80">
        <f t="shared" si="36"/>
        <v>3</v>
      </c>
      <c r="D185" s="80">
        <f t="shared" ref="D185:D195" si="41">C185-C184</f>
        <v>3</v>
      </c>
      <c r="E185" s="80">
        <f t="shared" si="37"/>
        <v>28350</v>
      </c>
      <c r="F185" s="80">
        <f t="shared" si="38"/>
        <v>8100</v>
      </c>
      <c r="G185" s="67">
        <f t="shared" si="39"/>
        <v>6075000</v>
      </c>
      <c r="H185" s="67">
        <f>SUM($G$183:$G185)</f>
        <v>21262500</v>
      </c>
      <c r="I185" s="81">
        <f t="shared" si="34"/>
        <v>7.4999999999999997E-2</v>
      </c>
      <c r="J185" s="67">
        <f>I185*H185</f>
        <v>1594687.5</v>
      </c>
      <c r="K185" s="67">
        <f>J185-J184</f>
        <v>1594687.5</v>
      </c>
      <c r="L185" s="67">
        <f t="shared" si="40"/>
        <v>19667812.5</v>
      </c>
      <c r="N185" s="67">
        <f t="shared" si="35"/>
        <v>455625</v>
      </c>
      <c r="O185" s="67">
        <f>I185*H184</f>
        <v>1139062.5</v>
      </c>
      <c r="P185" s="67">
        <f>SUM(N185:O185)</f>
        <v>1594687.5</v>
      </c>
      <c r="Q185" s="67">
        <f>J185-P185</f>
        <v>0</v>
      </c>
    </row>
    <row r="186" spans="1:17" s="6" customFormat="1" ht="13.2">
      <c r="B186" s="13">
        <f t="shared" si="33"/>
        <v>44104</v>
      </c>
      <c r="C186" s="80">
        <f t="shared" si="36"/>
        <v>7</v>
      </c>
      <c r="D186" s="80">
        <f t="shared" si="41"/>
        <v>4</v>
      </c>
      <c r="E186" s="80">
        <f t="shared" si="37"/>
        <v>28800</v>
      </c>
      <c r="F186" s="80">
        <f t="shared" si="38"/>
        <v>450</v>
      </c>
      <c r="G186" s="67">
        <f t="shared" si="39"/>
        <v>337500</v>
      </c>
      <c r="H186" s="67">
        <f>SUM($G$183:$G186)</f>
        <v>21600000</v>
      </c>
      <c r="I186" s="81">
        <f t="shared" si="34"/>
        <v>0.17499999999999999</v>
      </c>
      <c r="J186" s="67">
        <f>I186*H186</f>
        <v>3779999.9999999995</v>
      </c>
      <c r="K186" s="67">
        <f>J186-J185</f>
        <v>2185312.4999999995</v>
      </c>
      <c r="L186" s="67">
        <f t="shared" si="40"/>
        <v>17820000</v>
      </c>
      <c r="N186" s="67">
        <f t="shared" si="35"/>
        <v>59062.499999999993</v>
      </c>
      <c r="O186" s="67">
        <f t="shared" ref="O186:O195" si="42">I186*H185</f>
        <v>3720937.4999999995</v>
      </c>
      <c r="P186" s="67">
        <f t="shared" ref="P186:P195" si="43">SUM(N186:O186)</f>
        <v>3779999.9999999995</v>
      </c>
      <c r="Q186" s="67">
        <f t="shared" ref="Q186:Q195" si="44">J186-P186</f>
        <v>0</v>
      </c>
    </row>
    <row r="187" spans="1:17" s="6" customFormat="1" ht="13.2">
      <c r="B187" s="13">
        <f t="shared" si="33"/>
        <v>44135</v>
      </c>
      <c r="C187" s="80">
        <f t="shared" si="36"/>
        <v>12</v>
      </c>
      <c r="D187" s="80">
        <f t="shared" si="41"/>
        <v>5</v>
      </c>
      <c r="E187" s="80">
        <f t="shared" si="37"/>
        <v>29000</v>
      </c>
      <c r="F187" s="80">
        <f t="shared" si="38"/>
        <v>200</v>
      </c>
      <c r="G187" s="67">
        <f t="shared" si="39"/>
        <v>150000</v>
      </c>
      <c r="H187" s="67">
        <f>SUM($G$183:$G187)</f>
        <v>21750000</v>
      </c>
      <c r="I187" s="81">
        <f t="shared" si="34"/>
        <v>0.3</v>
      </c>
      <c r="J187" s="67">
        <f t="shared" ref="J187:J195" si="45">I187*H187</f>
        <v>6525000</v>
      </c>
      <c r="K187" s="67">
        <f t="shared" ref="K187:K195" si="46">J187-J186</f>
        <v>2745000.0000000005</v>
      </c>
      <c r="L187" s="67">
        <f t="shared" si="40"/>
        <v>15225000</v>
      </c>
      <c r="N187" s="67">
        <f t="shared" si="35"/>
        <v>45000</v>
      </c>
      <c r="O187" s="67">
        <f t="shared" si="42"/>
        <v>6480000</v>
      </c>
      <c r="P187" s="67">
        <f t="shared" si="43"/>
        <v>6525000</v>
      </c>
      <c r="Q187" s="67">
        <f t="shared" si="44"/>
        <v>0</v>
      </c>
    </row>
    <row r="188" spans="1:17" s="6" customFormat="1" ht="13.2">
      <c r="B188" s="13">
        <f t="shared" si="33"/>
        <v>44165</v>
      </c>
      <c r="C188" s="80">
        <f t="shared" si="36"/>
        <v>16</v>
      </c>
      <c r="D188" s="80">
        <f t="shared" si="41"/>
        <v>4</v>
      </c>
      <c r="E188" s="80">
        <f t="shared" si="37"/>
        <v>29250</v>
      </c>
      <c r="F188" s="80">
        <f t="shared" si="38"/>
        <v>250</v>
      </c>
      <c r="G188" s="67">
        <f t="shared" si="39"/>
        <v>187500</v>
      </c>
      <c r="H188" s="67">
        <f>SUM($G$183:$G188)</f>
        <v>21937500</v>
      </c>
      <c r="I188" s="81">
        <f t="shared" si="34"/>
        <v>0.4</v>
      </c>
      <c r="J188" s="67">
        <f t="shared" si="45"/>
        <v>8775000</v>
      </c>
      <c r="K188" s="67">
        <f t="shared" si="46"/>
        <v>2250000</v>
      </c>
      <c r="L188" s="67">
        <f t="shared" si="40"/>
        <v>13162500</v>
      </c>
      <c r="N188" s="67">
        <f t="shared" si="35"/>
        <v>75000</v>
      </c>
      <c r="O188" s="67">
        <f t="shared" si="42"/>
        <v>8700000</v>
      </c>
      <c r="P188" s="67">
        <f t="shared" si="43"/>
        <v>8775000</v>
      </c>
      <c r="Q188" s="67">
        <f t="shared" si="44"/>
        <v>0</v>
      </c>
    </row>
    <row r="189" spans="1:17" s="6" customFormat="1" ht="13.2">
      <c r="B189" s="13">
        <f t="shared" si="33"/>
        <v>44196</v>
      </c>
      <c r="C189" s="80">
        <f t="shared" si="36"/>
        <v>18</v>
      </c>
      <c r="D189" s="80">
        <f t="shared" si="41"/>
        <v>2</v>
      </c>
      <c r="E189" s="80">
        <f t="shared" si="37"/>
        <v>29850</v>
      </c>
      <c r="F189" s="80">
        <f t="shared" si="38"/>
        <v>600</v>
      </c>
      <c r="G189" s="67">
        <f t="shared" si="39"/>
        <v>450000</v>
      </c>
      <c r="H189" s="67">
        <f>SUM($G$183:$G189)</f>
        <v>22387500</v>
      </c>
      <c r="I189" s="81">
        <f t="shared" si="34"/>
        <v>0.45</v>
      </c>
      <c r="J189" s="67">
        <f t="shared" si="45"/>
        <v>10074375</v>
      </c>
      <c r="K189" s="67">
        <f t="shared" si="46"/>
        <v>1299375</v>
      </c>
      <c r="L189" s="67">
        <f t="shared" si="40"/>
        <v>12313125</v>
      </c>
      <c r="N189" s="67">
        <f t="shared" si="35"/>
        <v>202500</v>
      </c>
      <c r="O189" s="67">
        <f t="shared" si="42"/>
        <v>9871875</v>
      </c>
      <c r="P189" s="67">
        <f t="shared" si="43"/>
        <v>10074375</v>
      </c>
      <c r="Q189" s="67">
        <f t="shared" si="44"/>
        <v>0</v>
      </c>
    </row>
    <row r="190" spans="1:17" s="6" customFormat="1" ht="13.2">
      <c r="B190" s="13">
        <f t="shared" si="33"/>
        <v>44227</v>
      </c>
      <c r="C190" s="80">
        <f t="shared" si="36"/>
        <v>23</v>
      </c>
      <c r="D190" s="80">
        <f t="shared" si="41"/>
        <v>5</v>
      </c>
      <c r="E190" s="80">
        <f t="shared" si="37"/>
        <v>30000</v>
      </c>
      <c r="F190" s="80">
        <f t="shared" si="38"/>
        <v>150</v>
      </c>
      <c r="G190" s="67">
        <f t="shared" si="39"/>
        <v>112500</v>
      </c>
      <c r="H190" s="67">
        <f>SUM($G$183:$G190)</f>
        <v>22500000</v>
      </c>
      <c r="I190" s="81">
        <f t="shared" si="34"/>
        <v>0.57499999999999996</v>
      </c>
      <c r="J190" s="67">
        <f t="shared" si="45"/>
        <v>12937499.999999998</v>
      </c>
      <c r="K190" s="67">
        <f t="shared" si="46"/>
        <v>2863124.9999999981</v>
      </c>
      <c r="L190" s="67">
        <f t="shared" si="40"/>
        <v>9562500.0000000019</v>
      </c>
      <c r="N190" s="67">
        <f t="shared" si="35"/>
        <v>64687.499999999993</v>
      </c>
      <c r="O190" s="67">
        <f t="shared" si="42"/>
        <v>12872812.499999998</v>
      </c>
      <c r="P190" s="67">
        <f t="shared" si="43"/>
        <v>12937499.999999998</v>
      </c>
      <c r="Q190" s="67">
        <f t="shared" si="44"/>
        <v>0</v>
      </c>
    </row>
    <row r="191" spans="1:17" s="6" customFormat="1" ht="13.2">
      <c r="B191" s="13">
        <f t="shared" si="33"/>
        <v>44255</v>
      </c>
      <c r="C191" s="80">
        <f t="shared" si="36"/>
        <v>27</v>
      </c>
      <c r="D191" s="80">
        <f t="shared" si="41"/>
        <v>4</v>
      </c>
      <c r="E191" s="80">
        <f t="shared" si="37"/>
        <v>30000</v>
      </c>
      <c r="F191" s="80">
        <f t="shared" si="38"/>
        <v>0</v>
      </c>
      <c r="G191" s="67">
        <f t="shared" si="39"/>
        <v>0</v>
      </c>
      <c r="H191" s="67">
        <f>SUM($G$183:$G191)</f>
        <v>22500000</v>
      </c>
      <c r="I191" s="81">
        <f t="shared" si="34"/>
        <v>0.67500000000000004</v>
      </c>
      <c r="J191" s="67">
        <f t="shared" si="45"/>
        <v>15187500.000000002</v>
      </c>
      <c r="K191" s="67">
        <f t="shared" si="46"/>
        <v>2250000.0000000037</v>
      </c>
      <c r="L191" s="67">
        <f t="shared" si="40"/>
        <v>7312499.9999999981</v>
      </c>
      <c r="N191" s="67">
        <f t="shared" si="35"/>
        <v>0</v>
      </c>
      <c r="O191" s="67">
        <f t="shared" si="42"/>
        <v>15187500.000000002</v>
      </c>
      <c r="P191" s="67">
        <f t="shared" si="43"/>
        <v>15187500.000000002</v>
      </c>
      <c r="Q191" s="67">
        <f t="shared" si="44"/>
        <v>0</v>
      </c>
    </row>
    <row r="192" spans="1:17" s="6" customFormat="1" ht="13.2">
      <c r="B192" s="13">
        <f t="shared" si="33"/>
        <v>44286</v>
      </c>
      <c r="C192" s="80">
        <f t="shared" si="36"/>
        <v>31</v>
      </c>
      <c r="D192" s="80">
        <f t="shared" si="41"/>
        <v>4</v>
      </c>
      <c r="E192" s="80">
        <f t="shared" si="37"/>
        <v>30000</v>
      </c>
      <c r="F192" s="80">
        <f t="shared" si="38"/>
        <v>0</v>
      </c>
      <c r="G192" s="67">
        <f t="shared" si="39"/>
        <v>0</v>
      </c>
      <c r="H192" s="67">
        <f>SUM($G$183:$G192)</f>
        <v>22500000</v>
      </c>
      <c r="I192" s="81">
        <f t="shared" si="34"/>
        <v>0.77500000000000002</v>
      </c>
      <c r="J192" s="67">
        <f t="shared" si="45"/>
        <v>17437500</v>
      </c>
      <c r="K192" s="67">
        <f t="shared" si="46"/>
        <v>2249999.9999999981</v>
      </c>
      <c r="L192" s="67">
        <f t="shared" si="40"/>
        <v>5062500</v>
      </c>
      <c r="N192" s="67">
        <f t="shared" si="35"/>
        <v>0</v>
      </c>
      <c r="O192" s="67">
        <f t="shared" si="42"/>
        <v>17437500</v>
      </c>
      <c r="P192" s="67">
        <f t="shared" si="43"/>
        <v>17437500</v>
      </c>
      <c r="Q192" s="67">
        <f t="shared" si="44"/>
        <v>0</v>
      </c>
    </row>
    <row r="193" spans="1:42" s="6" customFormat="1" ht="13.2">
      <c r="B193" s="13">
        <f t="shared" si="33"/>
        <v>44316</v>
      </c>
      <c r="C193" s="80">
        <f t="shared" si="36"/>
        <v>35</v>
      </c>
      <c r="D193" s="80">
        <f t="shared" si="41"/>
        <v>4</v>
      </c>
      <c r="E193" s="80">
        <f t="shared" si="37"/>
        <v>30000</v>
      </c>
      <c r="F193" s="80">
        <f t="shared" si="38"/>
        <v>0</v>
      </c>
      <c r="G193" s="67">
        <f t="shared" si="39"/>
        <v>0</v>
      </c>
      <c r="H193" s="67">
        <f>SUM($G$183:$G193)</f>
        <v>22500000</v>
      </c>
      <c r="I193" s="81">
        <f t="shared" si="34"/>
        <v>0.875</v>
      </c>
      <c r="J193" s="67">
        <f t="shared" si="45"/>
        <v>19687500</v>
      </c>
      <c r="K193" s="67">
        <f t="shared" si="46"/>
        <v>2250000</v>
      </c>
      <c r="L193" s="67">
        <f t="shared" si="40"/>
        <v>2812500</v>
      </c>
      <c r="N193" s="67">
        <f t="shared" si="35"/>
        <v>0</v>
      </c>
      <c r="O193" s="67">
        <f t="shared" si="42"/>
        <v>19687500</v>
      </c>
      <c r="P193" s="67">
        <f t="shared" si="43"/>
        <v>19687500</v>
      </c>
      <c r="Q193" s="67">
        <f t="shared" si="44"/>
        <v>0</v>
      </c>
    </row>
    <row r="194" spans="1:42" s="6" customFormat="1" ht="13.2">
      <c r="B194" s="13">
        <f t="shared" si="33"/>
        <v>44347</v>
      </c>
      <c r="C194" s="80">
        <f t="shared" si="36"/>
        <v>39</v>
      </c>
      <c r="D194" s="80">
        <f t="shared" si="41"/>
        <v>4</v>
      </c>
      <c r="E194" s="80">
        <f t="shared" si="37"/>
        <v>30000</v>
      </c>
      <c r="F194" s="80">
        <f t="shared" si="38"/>
        <v>0</v>
      </c>
      <c r="G194" s="67">
        <f t="shared" si="39"/>
        <v>0</v>
      </c>
      <c r="H194" s="67">
        <f>SUM($G$183:$G194)</f>
        <v>22500000</v>
      </c>
      <c r="I194" s="81">
        <f t="shared" si="34"/>
        <v>0.97499999999999998</v>
      </c>
      <c r="J194" s="67">
        <f t="shared" si="45"/>
        <v>21937500</v>
      </c>
      <c r="K194" s="67">
        <f t="shared" si="46"/>
        <v>2250000</v>
      </c>
      <c r="L194" s="67">
        <f t="shared" si="40"/>
        <v>562500</v>
      </c>
      <c r="N194" s="67">
        <f t="shared" si="35"/>
        <v>0</v>
      </c>
      <c r="O194" s="67">
        <f t="shared" si="42"/>
        <v>21937500</v>
      </c>
      <c r="P194" s="67">
        <f t="shared" si="43"/>
        <v>21937500</v>
      </c>
      <c r="Q194" s="67">
        <f t="shared" si="44"/>
        <v>0</v>
      </c>
    </row>
    <row r="195" spans="1:42" s="6" customFormat="1" ht="13.2">
      <c r="B195" s="13">
        <f t="shared" si="33"/>
        <v>44377</v>
      </c>
      <c r="C195" s="80">
        <f t="shared" si="36"/>
        <v>40</v>
      </c>
      <c r="D195" s="80">
        <f t="shared" si="41"/>
        <v>1</v>
      </c>
      <c r="E195" s="80">
        <f t="shared" si="37"/>
        <v>30000</v>
      </c>
      <c r="F195" s="80">
        <f t="shared" si="38"/>
        <v>0</v>
      </c>
      <c r="G195" s="67">
        <f t="shared" si="39"/>
        <v>0</v>
      </c>
      <c r="H195" s="67">
        <f>SUM($G$183:$G195)</f>
        <v>22500000</v>
      </c>
      <c r="I195" s="81">
        <f t="shared" si="34"/>
        <v>1</v>
      </c>
      <c r="J195" s="67">
        <f t="shared" si="45"/>
        <v>22500000</v>
      </c>
      <c r="K195" s="67">
        <f t="shared" si="46"/>
        <v>562500</v>
      </c>
      <c r="L195" s="67">
        <f t="shared" si="40"/>
        <v>0</v>
      </c>
      <c r="N195" s="67">
        <f t="shared" si="35"/>
        <v>0</v>
      </c>
      <c r="O195" s="67">
        <f t="shared" si="42"/>
        <v>22500000</v>
      </c>
      <c r="P195" s="67">
        <f t="shared" si="43"/>
        <v>22500000</v>
      </c>
      <c r="Q195" s="67">
        <f t="shared" si="44"/>
        <v>0</v>
      </c>
    </row>
    <row r="196" spans="1:42" s="6" customFormat="1" ht="13.2">
      <c r="B196" s="78" t="s">
        <v>17</v>
      </c>
      <c r="C196" s="48"/>
      <c r="D196" s="48">
        <f>SUM(D183:D195)</f>
        <v>40</v>
      </c>
      <c r="E196" s="48"/>
      <c r="F196" s="48">
        <f>SUM(F183:F195)</f>
        <v>30000</v>
      </c>
      <c r="G196" s="82">
        <f>SUM(G183:G195)</f>
        <v>22500000</v>
      </c>
      <c r="H196" s="49"/>
      <c r="I196" s="49"/>
      <c r="J196" s="49"/>
      <c r="K196" s="82">
        <f>SUM(K183:K195)</f>
        <v>22500000</v>
      </c>
      <c r="L196" s="82"/>
    </row>
    <row r="197" spans="1:42" s="6" customFormat="1" ht="13.2">
      <c r="B197" s="78"/>
      <c r="C197" s="101"/>
      <c r="D197" s="101"/>
      <c r="E197" s="101"/>
      <c r="F197" s="101"/>
      <c r="G197" s="102"/>
      <c r="K197" s="102"/>
      <c r="L197" s="102"/>
    </row>
    <row r="198" spans="1:42" s="6" customFormat="1" ht="13.2">
      <c r="B198" s="13"/>
    </row>
    <row r="199" spans="1:42" s="6" customFormat="1" ht="13.2">
      <c r="A199" s="15" t="s">
        <v>20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1:42" s="6" customFormat="1" ht="13.2"/>
    <row r="201" spans="1:42" s="6" customFormat="1" ht="13.2">
      <c r="B201" s="78" t="s">
        <v>57</v>
      </c>
      <c r="C201" s="83">
        <f>$E$4</f>
        <v>50000</v>
      </c>
    </row>
    <row r="202" spans="1:42" s="6" customFormat="1" ht="13.2"/>
    <row r="203" spans="1:42" s="6" customFormat="1" ht="13.2">
      <c r="B203" s="78" t="s">
        <v>58</v>
      </c>
      <c r="C203" s="83">
        <f>$E$4</f>
        <v>50000</v>
      </c>
      <c r="G203" s="10"/>
      <c r="H203" s="64"/>
      <c r="I203" s="14">
        <f>$J8</f>
        <v>0.25</v>
      </c>
      <c r="J203" s="14">
        <f>$J9</f>
        <v>0.22</v>
      </c>
      <c r="K203" s="14">
        <f>$J10</f>
        <v>0.08</v>
      </c>
      <c r="L203" s="14">
        <f>$J11</f>
        <v>0.05</v>
      </c>
      <c r="M203" s="14">
        <f>$J12</f>
        <v>0.05</v>
      </c>
      <c r="N203" s="14">
        <f>$J13</f>
        <v>0.15</v>
      </c>
      <c r="O203" s="14">
        <f>$J14</f>
        <v>0.2</v>
      </c>
    </row>
    <row r="204" spans="1:42" s="6" customFormat="1" ht="13.2">
      <c r="B204" s="13"/>
      <c r="G204" s="10"/>
      <c r="H204" s="64"/>
      <c r="I204" s="84" t="s">
        <v>59</v>
      </c>
      <c r="J204" s="84"/>
      <c r="K204" s="84"/>
      <c r="L204" s="84"/>
      <c r="M204" s="84"/>
      <c r="N204" s="84"/>
      <c r="O204" s="84"/>
      <c r="P204" s="84" t="s">
        <v>60</v>
      </c>
      <c r="Q204" s="84"/>
      <c r="R204" s="84"/>
      <c r="S204" s="84"/>
      <c r="T204" s="84"/>
      <c r="U204" s="84"/>
      <c r="V204" s="84"/>
      <c r="Z204" s="84" t="s">
        <v>61</v>
      </c>
      <c r="AA204" s="84"/>
      <c r="AB204" s="84"/>
      <c r="AC204" s="84"/>
      <c r="AD204" s="84"/>
      <c r="AE204" s="84"/>
      <c r="AF204" s="84"/>
      <c r="AG204" s="84" t="s">
        <v>62</v>
      </c>
      <c r="AH204" s="84"/>
      <c r="AI204" s="84"/>
      <c r="AJ204" s="84"/>
      <c r="AK204" s="84"/>
      <c r="AL204" s="84"/>
      <c r="AM204" s="84"/>
    </row>
    <row r="205" spans="1:42" s="6" customFormat="1" thickBot="1">
      <c r="B205" s="12" t="s">
        <v>11</v>
      </c>
      <c r="C205" s="12" t="s">
        <v>12</v>
      </c>
      <c r="D205" s="12" t="s">
        <v>15</v>
      </c>
      <c r="E205" s="12" t="s">
        <v>16</v>
      </c>
      <c r="F205" s="12" t="s">
        <v>19</v>
      </c>
      <c r="G205" s="12" t="s">
        <v>63</v>
      </c>
      <c r="H205" s="84" t="s">
        <v>64</v>
      </c>
      <c r="I205" s="92">
        <v>-6</v>
      </c>
      <c r="J205" s="93">
        <f t="shared" ref="J205:O205" si="47">I205+1</f>
        <v>-5</v>
      </c>
      <c r="K205" s="93">
        <f t="shared" si="47"/>
        <v>-4</v>
      </c>
      <c r="L205" s="93">
        <f t="shared" si="47"/>
        <v>-3</v>
      </c>
      <c r="M205" s="93">
        <f t="shared" si="47"/>
        <v>-2</v>
      </c>
      <c r="N205" s="93">
        <f t="shared" si="47"/>
        <v>-1</v>
      </c>
      <c r="O205" s="94">
        <f t="shared" si="47"/>
        <v>0</v>
      </c>
      <c r="P205" s="95">
        <v>-6</v>
      </c>
      <c r="Q205" s="93">
        <f t="shared" ref="Q205:V205" si="48">P205+1</f>
        <v>-5</v>
      </c>
      <c r="R205" s="93">
        <f t="shared" si="48"/>
        <v>-4</v>
      </c>
      <c r="S205" s="93">
        <f t="shared" si="48"/>
        <v>-3</v>
      </c>
      <c r="T205" s="93">
        <f t="shared" si="48"/>
        <v>-2</v>
      </c>
      <c r="U205" s="93">
        <f t="shared" si="48"/>
        <v>-1</v>
      </c>
      <c r="V205" s="94">
        <f t="shared" si="48"/>
        <v>0</v>
      </c>
      <c r="W205" s="12" t="s">
        <v>65</v>
      </c>
      <c r="X205" s="12" t="s">
        <v>66</v>
      </c>
      <c r="Y205" s="96" t="s">
        <v>67</v>
      </c>
      <c r="Z205" s="97">
        <v>-6</v>
      </c>
      <c r="AA205" s="93">
        <f t="shared" ref="AA205:AF205" si="49">Z205+1</f>
        <v>-5</v>
      </c>
      <c r="AB205" s="93">
        <f t="shared" si="49"/>
        <v>-4</v>
      </c>
      <c r="AC205" s="93">
        <f t="shared" si="49"/>
        <v>-3</v>
      </c>
      <c r="AD205" s="93">
        <f t="shared" si="49"/>
        <v>-2</v>
      </c>
      <c r="AE205" s="93">
        <f t="shared" si="49"/>
        <v>-1</v>
      </c>
      <c r="AF205" s="93">
        <f t="shared" si="49"/>
        <v>0</v>
      </c>
      <c r="AG205" s="98">
        <v>-6</v>
      </c>
      <c r="AH205" s="93">
        <f t="shared" ref="AH205:AM205" si="50">AG205+1</f>
        <v>-5</v>
      </c>
      <c r="AI205" s="93">
        <f t="shared" si="50"/>
        <v>-4</v>
      </c>
      <c r="AJ205" s="93">
        <f t="shared" si="50"/>
        <v>-3</v>
      </c>
      <c r="AK205" s="93">
        <f t="shared" si="50"/>
        <v>-2</v>
      </c>
      <c r="AL205" s="93">
        <f t="shared" si="50"/>
        <v>-1</v>
      </c>
      <c r="AM205" s="94">
        <f t="shared" si="50"/>
        <v>0</v>
      </c>
    </row>
    <row r="206" spans="1:42" s="6" customFormat="1" ht="13.2">
      <c r="B206" s="13">
        <f t="shared" ref="B206:B245" si="51">F8</f>
        <v>44058</v>
      </c>
      <c r="C206" s="10">
        <f t="shared" ref="C206:C245" si="52">G8</f>
        <v>3</v>
      </c>
      <c r="D206" s="10">
        <f>INDEX($M$8:$M$12,MATCH($C206,$L$8:$L$12,0))</f>
        <v>32000</v>
      </c>
      <c r="E206" s="65">
        <f>INDEX($N$8:$N$12,MATCH($C206,$L$8:$L$12,0))</f>
        <v>50</v>
      </c>
      <c r="F206" s="10">
        <f t="shared" ref="F206:F245" si="53">INDEX($L$125:$L$174,MATCH(B206,$B$125:$B$174,1))</f>
        <v>25650</v>
      </c>
      <c r="G206" s="83">
        <f t="shared" ref="G206:G245" si="54">$C$203-F206</f>
        <v>24350</v>
      </c>
      <c r="H206" s="10">
        <f t="shared" ref="H206:H245" si="55">MIN(D206,G206)</f>
        <v>24350</v>
      </c>
      <c r="I206" s="85">
        <f t="shared" ref="I206:O221" si="56">I$203*$D206</f>
        <v>8000</v>
      </c>
      <c r="J206" s="80">
        <f t="shared" si="56"/>
        <v>7040</v>
      </c>
      <c r="K206" s="80">
        <f t="shared" si="56"/>
        <v>2560</v>
      </c>
      <c r="L206" s="80">
        <f t="shared" si="56"/>
        <v>1600</v>
      </c>
      <c r="M206" s="80">
        <f t="shared" si="56"/>
        <v>1600</v>
      </c>
      <c r="N206" s="80">
        <f t="shared" si="56"/>
        <v>4800</v>
      </c>
      <c r="O206" s="80">
        <f t="shared" si="56"/>
        <v>6400</v>
      </c>
      <c r="P206" s="85">
        <f t="shared" ref="P206:P245" si="57">MIN(I206,G206)</f>
        <v>8000</v>
      </c>
      <c r="Q206" s="80">
        <f>MIN($G206-SUM($P206:P206),J206)</f>
        <v>7040</v>
      </c>
      <c r="R206" s="80">
        <f>MIN($G206-SUM($P206:Q206),K206)</f>
        <v>2560</v>
      </c>
      <c r="S206" s="80">
        <f>MIN($G206-SUM($P206:R206),L206)</f>
        <v>1600</v>
      </c>
      <c r="T206" s="80">
        <f>MIN($G206-SUM($P206:S206),M206)</f>
        <v>1600</v>
      </c>
      <c r="U206" s="80">
        <f>MIN($G206-SUM($P206:T206),N206)</f>
        <v>3550</v>
      </c>
      <c r="V206" s="86">
        <f>MIN($G206-SUM($P206:U206),O206)</f>
        <v>0</v>
      </c>
      <c r="W206" s="10">
        <f t="shared" ref="W206:W245" si="58">SUM(P206:V206)</f>
        <v>24350</v>
      </c>
      <c r="X206" s="10">
        <f t="shared" ref="X206:X245" si="59">W206-H206</f>
        <v>0</v>
      </c>
      <c r="Y206" s="65">
        <f t="shared" ref="Y206:Y245" si="60">W206*E206</f>
        <v>1217500</v>
      </c>
      <c r="Z206" s="87">
        <f t="shared" ref="Z206:AF221" si="61">$B206+Z$205</f>
        <v>44052</v>
      </c>
      <c r="AA206" s="13">
        <f t="shared" si="61"/>
        <v>44053</v>
      </c>
      <c r="AB206" s="13">
        <f t="shared" si="61"/>
        <v>44054</v>
      </c>
      <c r="AC206" s="13">
        <f t="shared" si="61"/>
        <v>44055</v>
      </c>
      <c r="AD206" s="13">
        <f t="shared" si="61"/>
        <v>44056</v>
      </c>
      <c r="AE206" s="13">
        <f t="shared" si="61"/>
        <v>44057</v>
      </c>
      <c r="AF206" s="13">
        <f t="shared" si="61"/>
        <v>44058</v>
      </c>
      <c r="AG206" s="88">
        <f t="shared" ref="AG206:AM242" si="62">P206*$E206</f>
        <v>400000</v>
      </c>
      <c r="AH206" s="67">
        <f t="shared" si="62"/>
        <v>352000</v>
      </c>
      <c r="AI206" s="67">
        <f t="shared" si="62"/>
        <v>128000</v>
      </c>
      <c r="AJ206" s="67">
        <f t="shared" si="62"/>
        <v>80000</v>
      </c>
      <c r="AK206" s="67">
        <f t="shared" si="62"/>
        <v>80000</v>
      </c>
      <c r="AL206" s="67">
        <f t="shared" si="62"/>
        <v>177500</v>
      </c>
      <c r="AM206" s="89">
        <f t="shared" si="62"/>
        <v>0</v>
      </c>
      <c r="AP206" s="10"/>
    </row>
    <row r="207" spans="1:42" s="6" customFormat="1" ht="13.2">
      <c r="B207" s="13">
        <f t="shared" si="51"/>
        <v>44065</v>
      </c>
      <c r="C207" s="10">
        <f t="shared" si="52"/>
        <v>2</v>
      </c>
      <c r="D207" s="10">
        <f t="shared" ref="D207:D245" si="63">INDEX($M$8:$M$12,MATCH($C207,$L$8:$L$12,0))</f>
        <v>25000</v>
      </c>
      <c r="E207" s="65">
        <f t="shared" ref="E207:E245" si="64">INDEX($N$8:$N$12,MATCH($C207,$L$8:$L$12,0))</f>
        <v>40</v>
      </c>
      <c r="F207" s="10">
        <f t="shared" si="53"/>
        <v>27050</v>
      </c>
      <c r="G207" s="83">
        <f t="shared" si="54"/>
        <v>22950</v>
      </c>
      <c r="H207" s="10">
        <f t="shared" si="55"/>
        <v>22950</v>
      </c>
      <c r="I207" s="85">
        <f t="shared" si="56"/>
        <v>6250</v>
      </c>
      <c r="J207" s="80">
        <f t="shared" si="56"/>
        <v>5500</v>
      </c>
      <c r="K207" s="80">
        <f t="shared" si="56"/>
        <v>2000</v>
      </c>
      <c r="L207" s="80">
        <f t="shared" si="56"/>
        <v>1250</v>
      </c>
      <c r="M207" s="80">
        <f t="shared" si="56"/>
        <v>1250</v>
      </c>
      <c r="N207" s="80">
        <f t="shared" si="56"/>
        <v>3750</v>
      </c>
      <c r="O207" s="80">
        <f t="shared" si="56"/>
        <v>5000</v>
      </c>
      <c r="P207" s="85">
        <f t="shared" si="57"/>
        <v>6250</v>
      </c>
      <c r="Q207" s="80">
        <f>MIN($G207-SUM($P207:P207),J207)</f>
        <v>5500</v>
      </c>
      <c r="R207" s="80">
        <f>MIN($G207-SUM($P207:Q207),K207)</f>
        <v>2000</v>
      </c>
      <c r="S207" s="80">
        <f>MIN($G207-SUM($P207:R207),L207)</f>
        <v>1250</v>
      </c>
      <c r="T207" s="80">
        <f>MIN($G207-SUM($P207:S207),M207)</f>
        <v>1250</v>
      </c>
      <c r="U207" s="80">
        <f>MIN($G207-SUM($P207:T207),N207)</f>
        <v>3750</v>
      </c>
      <c r="V207" s="86">
        <f>MIN($G207-SUM($P207:U207),O207)</f>
        <v>2950</v>
      </c>
      <c r="W207" s="10">
        <f t="shared" si="58"/>
        <v>22950</v>
      </c>
      <c r="X207" s="10">
        <f t="shared" si="59"/>
        <v>0</v>
      </c>
      <c r="Y207" s="65">
        <f t="shared" si="60"/>
        <v>918000</v>
      </c>
      <c r="Z207" s="87">
        <f t="shared" si="61"/>
        <v>44059</v>
      </c>
      <c r="AA207" s="13">
        <f t="shared" si="61"/>
        <v>44060</v>
      </c>
      <c r="AB207" s="13">
        <f t="shared" si="61"/>
        <v>44061</v>
      </c>
      <c r="AC207" s="13">
        <f t="shared" si="61"/>
        <v>44062</v>
      </c>
      <c r="AD207" s="13">
        <f t="shared" si="61"/>
        <v>44063</v>
      </c>
      <c r="AE207" s="13">
        <f t="shared" si="61"/>
        <v>44064</v>
      </c>
      <c r="AF207" s="13">
        <f t="shared" si="61"/>
        <v>44065</v>
      </c>
      <c r="AG207" s="88">
        <f t="shared" si="62"/>
        <v>250000</v>
      </c>
      <c r="AH207" s="67">
        <f t="shared" si="62"/>
        <v>220000</v>
      </c>
      <c r="AI207" s="67">
        <f t="shared" si="62"/>
        <v>80000</v>
      </c>
      <c r="AJ207" s="67">
        <f t="shared" si="62"/>
        <v>50000</v>
      </c>
      <c r="AK207" s="67">
        <f t="shared" si="62"/>
        <v>50000</v>
      </c>
      <c r="AL207" s="67">
        <f t="shared" si="62"/>
        <v>150000</v>
      </c>
      <c r="AM207" s="90">
        <f t="shared" si="62"/>
        <v>118000</v>
      </c>
      <c r="AP207" s="10"/>
    </row>
    <row r="208" spans="1:42" s="6" customFormat="1" ht="13.2">
      <c r="B208" s="13">
        <f t="shared" si="51"/>
        <v>44072</v>
      </c>
      <c r="C208" s="10">
        <f t="shared" si="52"/>
        <v>1</v>
      </c>
      <c r="D208" s="10">
        <f t="shared" si="63"/>
        <v>15000</v>
      </c>
      <c r="E208" s="65">
        <f t="shared" si="64"/>
        <v>30</v>
      </c>
      <c r="F208" s="10">
        <f t="shared" si="53"/>
        <v>27850</v>
      </c>
      <c r="G208" s="83">
        <f t="shared" si="54"/>
        <v>22150</v>
      </c>
      <c r="H208" s="10">
        <f t="shared" si="55"/>
        <v>15000</v>
      </c>
      <c r="I208" s="85">
        <f t="shared" si="56"/>
        <v>3750</v>
      </c>
      <c r="J208" s="80">
        <f t="shared" si="56"/>
        <v>3300</v>
      </c>
      <c r="K208" s="80">
        <f t="shared" si="56"/>
        <v>1200</v>
      </c>
      <c r="L208" s="80">
        <f t="shared" si="56"/>
        <v>750</v>
      </c>
      <c r="M208" s="80">
        <f t="shared" si="56"/>
        <v>750</v>
      </c>
      <c r="N208" s="80">
        <f t="shared" si="56"/>
        <v>2250</v>
      </c>
      <c r="O208" s="80">
        <f t="shared" si="56"/>
        <v>3000</v>
      </c>
      <c r="P208" s="85">
        <f t="shared" si="57"/>
        <v>3750</v>
      </c>
      <c r="Q208" s="80">
        <f>MIN($G208-SUM($P208:P208),J208)</f>
        <v>3300</v>
      </c>
      <c r="R208" s="80">
        <f>MIN($G208-SUM($P208:Q208),K208)</f>
        <v>1200</v>
      </c>
      <c r="S208" s="80">
        <f>MIN($G208-SUM($P208:R208),L208)</f>
        <v>750</v>
      </c>
      <c r="T208" s="80">
        <f>MIN($G208-SUM($P208:S208),M208)</f>
        <v>750</v>
      </c>
      <c r="U208" s="80">
        <f>MIN($G208-SUM($P208:T208),N208)</f>
        <v>2250</v>
      </c>
      <c r="V208" s="86">
        <f>MIN($G208-SUM($P208:U208),O208)</f>
        <v>3000</v>
      </c>
      <c r="W208" s="10">
        <f t="shared" si="58"/>
        <v>15000</v>
      </c>
      <c r="X208" s="10">
        <f t="shared" si="59"/>
        <v>0</v>
      </c>
      <c r="Y208" s="65">
        <f t="shared" si="60"/>
        <v>450000</v>
      </c>
      <c r="Z208" s="87">
        <f t="shared" si="61"/>
        <v>44066</v>
      </c>
      <c r="AA208" s="13">
        <f t="shared" si="61"/>
        <v>44067</v>
      </c>
      <c r="AB208" s="13">
        <f t="shared" si="61"/>
        <v>44068</v>
      </c>
      <c r="AC208" s="13">
        <f t="shared" si="61"/>
        <v>44069</v>
      </c>
      <c r="AD208" s="13">
        <f t="shared" si="61"/>
        <v>44070</v>
      </c>
      <c r="AE208" s="13">
        <f t="shared" si="61"/>
        <v>44071</v>
      </c>
      <c r="AF208" s="13">
        <f t="shared" si="61"/>
        <v>44072</v>
      </c>
      <c r="AG208" s="88">
        <f t="shared" si="62"/>
        <v>112500</v>
      </c>
      <c r="AH208" s="67">
        <f t="shared" si="62"/>
        <v>99000</v>
      </c>
      <c r="AI208" s="67">
        <f t="shared" si="62"/>
        <v>36000</v>
      </c>
      <c r="AJ208" s="67">
        <f t="shared" si="62"/>
        <v>22500</v>
      </c>
      <c r="AK208" s="67">
        <f t="shared" si="62"/>
        <v>22500</v>
      </c>
      <c r="AL208" s="67">
        <f t="shared" si="62"/>
        <v>67500</v>
      </c>
      <c r="AM208" s="90">
        <f t="shared" si="62"/>
        <v>90000</v>
      </c>
      <c r="AP208" s="10"/>
    </row>
    <row r="209" spans="2:42" s="6" customFormat="1" ht="13.2">
      <c r="B209" s="13">
        <f t="shared" si="51"/>
        <v>44079</v>
      </c>
      <c r="C209" s="10">
        <f t="shared" si="52"/>
        <v>3</v>
      </c>
      <c r="D209" s="10">
        <f t="shared" si="63"/>
        <v>32000</v>
      </c>
      <c r="E209" s="65">
        <f t="shared" si="64"/>
        <v>50</v>
      </c>
      <c r="F209" s="10">
        <f t="shared" si="53"/>
        <v>28350</v>
      </c>
      <c r="G209" s="83">
        <f t="shared" si="54"/>
        <v>21650</v>
      </c>
      <c r="H209" s="10">
        <f t="shared" si="55"/>
        <v>21650</v>
      </c>
      <c r="I209" s="85">
        <f t="shared" si="56"/>
        <v>8000</v>
      </c>
      <c r="J209" s="80">
        <f t="shared" si="56"/>
        <v>7040</v>
      </c>
      <c r="K209" s="80">
        <f t="shared" si="56"/>
        <v>2560</v>
      </c>
      <c r="L209" s="80">
        <f t="shared" si="56"/>
        <v>1600</v>
      </c>
      <c r="M209" s="80">
        <f t="shared" si="56"/>
        <v>1600</v>
      </c>
      <c r="N209" s="80">
        <f t="shared" si="56"/>
        <v>4800</v>
      </c>
      <c r="O209" s="80">
        <f t="shared" si="56"/>
        <v>6400</v>
      </c>
      <c r="P209" s="85">
        <f t="shared" si="57"/>
        <v>8000</v>
      </c>
      <c r="Q209" s="80">
        <f>MIN($G209-SUM($P209:P209),J209)</f>
        <v>7040</v>
      </c>
      <c r="R209" s="80">
        <f>MIN($G209-SUM($P209:Q209),K209)</f>
        <v>2560</v>
      </c>
      <c r="S209" s="80">
        <f>MIN($G209-SUM($P209:R209),L209)</f>
        <v>1600</v>
      </c>
      <c r="T209" s="80">
        <f>MIN($G209-SUM($P209:S209),M209)</f>
        <v>1600</v>
      </c>
      <c r="U209" s="80">
        <f>MIN($G209-SUM($P209:T209),N209)</f>
        <v>850</v>
      </c>
      <c r="V209" s="86">
        <f>MIN($G209-SUM($P209:U209),O209)</f>
        <v>0</v>
      </c>
      <c r="W209" s="10">
        <f t="shared" si="58"/>
        <v>21650</v>
      </c>
      <c r="X209" s="10">
        <f t="shared" si="59"/>
        <v>0</v>
      </c>
      <c r="Y209" s="65">
        <f t="shared" si="60"/>
        <v>1082500</v>
      </c>
      <c r="Z209" s="87">
        <f t="shared" si="61"/>
        <v>44073</v>
      </c>
      <c r="AA209" s="13">
        <f t="shared" si="61"/>
        <v>44074</v>
      </c>
      <c r="AB209" s="13">
        <f t="shared" si="61"/>
        <v>44075</v>
      </c>
      <c r="AC209" s="13">
        <f t="shared" si="61"/>
        <v>44076</v>
      </c>
      <c r="AD209" s="13">
        <f t="shared" si="61"/>
        <v>44077</v>
      </c>
      <c r="AE209" s="13">
        <f t="shared" si="61"/>
        <v>44078</v>
      </c>
      <c r="AF209" s="13">
        <f t="shared" si="61"/>
        <v>44079</v>
      </c>
      <c r="AG209" s="88">
        <f t="shared" si="62"/>
        <v>400000</v>
      </c>
      <c r="AH209" s="67">
        <f t="shared" si="62"/>
        <v>352000</v>
      </c>
      <c r="AI209" s="67">
        <f t="shared" si="62"/>
        <v>128000</v>
      </c>
      <c r="AJ209" s="67">
        <f t="shared" si="62"/>
        <v>80000</v>
      </c>
      <c r="AK209" s="67">
        <f t="shared" si="62"/>
        <v>80000</v>
      </c>
      <c r="AL209" s="67">
        <f t="shared" si="62"/>
        <v>42500</v>
      </c>
      <c r="AM209" s="90">
        <f t="shared" si="62"/>
        <v>0</v>
      </c>
      <c r="AP209" s="10"/>
    </row>
    <row r="210" spans="2:42" s="6" customFormat="1" ht="13.2">
      <c r="B210" s="13">
        <f t="shared" si="51"/>
        <v>44086</v>
      </c>
      <c r="C210" s="10">
        <f t="shared" si="52"/>
        <v>1</v>
      </c>
      <c r="D210" s="10">
        <f t="shared" si="63"/>
        <v>15000</v>
      </c>
      <c r="E210" s="65">
        <f t="shared" si="64"/>
        <v>30</v>
      </c>
      <c r="F210" s="10">
        <f t="shared" si="53"/>
        <v>28550</v>
      </c>
      <c r="G210" s="83">
        <f t="shared" si="54"/>
        <v>21450</v>
      </c>
      <c r="H210" s="10">
        <f t="shared" si="55"/>
        <v>15000</v>
      </c>
      <c r="I210" s="85">
        <f t="shared" si="56"/>
        <v>3750</v>
      </c>
      <c r="J210" s="80">
        <f t="shared" si="56"/>
        <v>3300</v>
      </c>
      <c r="K210" s="80">
        <f t="shared" si="56"/>
        <v>1200</v>
      </c>
      <c r="L210" s="80">
        <f t="shared" si="56"/>
        <v>750</v>
      </c>
      <c r="M210" s="80">
        <f t="shared" si="56"/>
        <v>750</v>
      </c>
      <c r="N210" s="80">
        <f t="shared" si="56"/>
        <v>2250</v>
      </c>
      <c r="O210" s="80">
        <f t="shared" si="56"/>
        <v>3000</v>
      </c>
      <c r="P210" s="85">
        <f t="shared" si="57"/>
        <v>3750</v>
      </c>
      <c r="Q210" s="80">
        <f>MIN($G210-SUM($P210:P210),J210)</f>
        <v>3300</v>
      </c>
      <c r="R210" s="80">
        <f>MIN($G210-SUM($P210:Q210),K210)</f>
        <v>1200</v>
      </c>
      <c r="S210" s="80">
        <f>MIN($G210-SUM($P210:R210),L210)</f>
        <v>750</v>
      </c>
      <c r="T210" s="80">
        <f>MIN($G210-SUM($P210:S210),M210)</f>
        <v>750</v>
      </c>
      <c r="U210" s="80">
        <f>MIN($G210-SUM($P210:T210),N210)</f>
        <v>2250</v>
      </c>
      <c r="V210" s="86">
        <f>MIN($G210-SUM($P210:U210),O210)</f>
        <v>3000</v>
      </c>
      <c r="W210" s="10">
        <f t="shared" si="58"/>
        <v>15000</v>
      </c>
      <c r="X210" s="10">
        <f t="shared" si="59"/>
        <v>0</v>
      </c>
      <c r="Y210" s="65">
        <f t="shared" si="60"/>
        <v>450000</v>
      </c>
      <c r="Z210" s="87">
        <f t="shared" si="61"/>
        <v>44080</v>
      </c>
      <c r="AA210" s="13">
        <f t="shared" si="61"/>
        <v>44081</v>
      </c>
      <c r="AB210" s="13">
        <f t="shared" si="61"/>
        <v>44082</v>
      </c>
      <c r="AC210" s="13">
        <f t="shared" si="61"/>
        <v>44083</v>
      </c>
      <c r="AD210" s="13">
        <f t="shared" si="61"/>
        <v>44084</v>
      </c>
      <c r="AE210" s="13">
        <f t="shared" si="61"/>
        <v>44085</v>
      </c>
      <c r="AF210" s="13">
        <f t="shared" si="61"/>
        <v>44086</v>
      </c>
      <c r="AG210" s="88">
        <f t="shared" si="62"/>
        <v>112500</v>
      </c>
      <c r="AH210" s="67">
        <f t="shared" si="62"/>
        <v>99000</v>
      </c>
      <c r="AI210" s="67">
        <f t="shared" si="62"/>
        <v>36000</v>
      </c>
      <c r="AJ210" s="67">
        <f t="shared" si="62"/>
        <v>22500</v>
      </c>
      <c r="AK210" s="67">
        <f t="shared" si="62"/>
        <v>22500</v>
      </c>
      <c r="AL210" s="67">
        <f t="shared" si="62"/>
        <v>67500</v>
      </c>
      <c r="AM210" s="90">
        <f t="shared" si="62"/>
        <v>90000</v>
      </c>
      <c r="AP210" s="10"/>
    </row>
    <row r="211" spans="2:42" s="6" customFormat="1" ht="13.2">
      <c r="B211" s="13">
        <f t="shared" si="51"/>
        <v>44093</v>
      </c>
      <c r="C211" s="10">
        <f t="shared" si="52"/>
        <v>2</v>
      </c>
      <c r="D211" s="10">
        <f t="shared" si="63"/>
        <v>25000</v>
      </c>
      <c r="E211" s="65">
        <f t="shared" si="64"/>
        <v>40</v>
      </c>
      <c r="F211" s="10">
        <f t="shared" si="53"/>
        <v>28700</v>
      </c>
      <c r="G211" s="83">
        <f t="shared" si="54"/>
        <v>21300</v>
      </c>
      <c r="H211" s="10">
        <f t="shared" si="55"/>
        <v>21300</v>
      </c>
      <c r="I211" s="85">
        <f t="shared" si="56"/>
        <v>6250</v>
      </c>
      <c r="J211" s="80">
        <f t="shared" si="56"/>
        <v>5500</v>
      </c>
      <c r="K211" s="80">
        <f t="shared" si="56"/>
        <v>2000</v>
      </c>
      <c r="L211" s="80">
        <f t="shared" si="56"/>
        <v>1250</v>
      </c>
      <c r="M211" s="80">
        <f t="shared" si="56"/>
        <v>1250</v>
      </c>
      <c r="N211" s="80">
        <f t="shared" si="56"/>
        <v>3750</v>
      </c>
      <c r="O211" s="80">
        <f t="shared" si="56"/>
        <v>5000</v>
      </c>
      <c r="P211" s="85">
        <f t="shared" si="57"/>
        <v>6250</v>
      </c>
      <c r="Q211" s="80">
        <f>MIN($G211-SUM($P211:P211),J211)</f>
        <v>5500</v>
      </c>
      <c r="R211" s="80">
        <f>MIN($G211-SUM($P211:Q211),K211)</f>
        <v>2000</v>
      </c>
      <c r="S211" s="80">
        <f>MIN($G211-SUM($P211:R211),L211)</f>
        <v>1250</v>
      </c>
      <c r="T211" s="80">
        <f>MIN($G211-SUM($P211:S211),M211)</f>
        <v>1250</v>
      </c>
      <c r="U211" s="80">
        <f>MIN($G211-SUM($P211:T211),N211)</f>
        <v>3750</v>
      </c>
      <c r="V211" s="86">
        <f>MIN($G211-SUM($P211:U211),O211)</f>
        <v>1300</v>
      </c>
      <c r="W211" s="10">
        <f t="shared" si="58"/>
        <v>21300</v>
      </c>
      <c r="X211" s="10">
        <f t="shared" si="59"/>
        <v>0</v>
      </c>
      <c r="Y211" s="65">
        <f t="shared" si="60"/>
        <v>852000</v>
      </c>
      <c r="Z211" s="87">
        <f t="shared" si="61"/>
        <v>44087</v>
      </c>
      <c r="AA211" s="13">
        <f t="shared" si="61"/>
        <v>44088</v>
      </c>
      <c r="AB211" s="13">
        <f t="shared" si="61"/>
        <v>44089</v>
      </c>
      <c r="AC211" s="13">
        <f t="shared" si="61"/>
        <v>44090</v>
      </c>
      <c r="AD211" s="13">
        <f t="shared" si="61"/>
        <v>44091</v>
      </c>
      <c r="AE211" s="13">
        <f t="shared" si="61"/>
        <v>44092</v>
      </c>
      <c r="AF211" s="13">
        <f t="shared" si="61"/>
        <v>44093</v>
      </c>
      <c r="AG211" s="88">
        <f t="shared" si="62"/>
        <v>250000</v>
      </c>
      <c r="AH211" s="67">
        <f t="shared" si="62"/>
        <v>220000</v>
      </c>
      <c r="AI211" s="67">
        <f t="shared" si="62"/>
        <v>80000</v>
      </c>
      <c r="AJ211" s="67">
        <f t="shared" si="62"/>
        <v>50000</v>
      </c>
      <c r="AK211" s="67">
        <f t="shared" si="62"/>
        <v>50000</v>
      </c>
      <c r="AL211" s="67">
        <f t="shared" si="62"/>
        <v>150000</v>
      </c>
      <c r="AM211" s="90">
        <f t="shared" si="62"/>
        <v>52000</v>
      </c>
      <c r="AP211" s="10"/>
    </row>
    <row r="212" spans="2:42" s="6" customFormat="1" ht="13.2">
      <c r="B212" s="13">
        <f t="shared" si="51"/>
        <v>44100</v>
      </c>
      <c r="C212" s="10">
        <f t="shared" si="52"/>
        <v>1</v>
      </c>
      <c r="D212" s="10">
        <f t="shared" si="63"/>
        <v>15000</v>
      </c>
      <c r="E212" s="65">
        <f t="shared" si="64"/>
        <v>30</v>
      </c>
      <c r="F212" s="10">
        <f t="shared" si="53"/>
        <v>28750</v>
      </c>
      <c r="G212" s="83">
        <f t="shared" si="54"/>
        <v>21250</v>
      </c>
      <c r="H212" s="10">
        <f t="shared" si="55"/>
        <v>15000</v>
      </c>
      <c r="I212" s="85">
        <f t="shared" si="56"/>
        <v>3750</v>
      </c>
      <c r="J212" s="80">
        <f t="shared" si="56"/>
        <v>3300</v>
      </c>
      <c r="K212" s="80">
        <f t="shared" si="56"/>
        <v>1200</v>
      </c>
      <c r="L212" s="80">
        <f t="shared" si="56"/>
        <v>750</v>
      </c>
      <c r="M212" s="80">
        <f t="shared" si="56"/>
        <v>750</v>
      </c>
      <c r="N212" s="80">
        <f t="shared" si="56"/>
        <v>2250</v>
      </c>
      <c r="O212" s="80">
        <f t="shared" si="56"/>
        <v>3000</v>
      </c>
      <c r="P212" s="85">
        <f t="shared" si="57"/>
        <v>3750</v>
      </c>
      <c r="Q212" s="80">
        <f>MIN($G212-SUM($P212:P212),J212)</f>
        <v>3300</v>
      </c>
      <c r="R212" s="80">
        <f>MIN($G212-SUM($P212:Q212),K212)</f>
        <v>1200</v>
      </c>
      <c r="S212" s="80">
        <f>MIN($G212-SUM($P212:R212),L212)</f>
        <v>750</v>
      </c>
      <c r="T212" s="80">
        <f>MIN($G212-SUM($P212:S212),M212)</f>
        <v>750</v>
      </c>
      <c r="U212" s="80">
        <f>MIN($G212-SUM($P212:T212),N212)</f>
        <v>2250</v>
      </c>
      <c r="V212" s="86">
        <f>MIN($G212-SUM($P212:U212),O212)</f>
        <v>3000</v>
      </c>
      <c r="W212" s="10">
        <f t="shared" si="58"/>
        <v>15000</v>
      </c>
      <c r="X212" s="10">
        <f t="shared" si="59"/>
        <v>0</v>
      </c>
      <c r="Y212" s="65">
        <f t="shared" si="60"/>
        <v>450000</v>
      </c>
      <c r="Z212" s="87">
        <f t="shared" si="61"/>
        <v>44094</v>
      </c>
      <c r="AA212" s="13">
        <f t="shared" si="61"/>
        <v>44095</v>
      </c>
      <c r="AB212" s="13">
        <f t="shared" si="61"/>
        <v>44096</v>
      </c>
      <c r="AC212" s="13">
        <f t="shared" si="61"/>
        <v>44097</v>
      </c>
      <c r="AD212" s="13">
        <f t="shared" si="61"/>
        <v>44098</v>
      </c>
      <c r="AE212" s="13">
        <f t="shared" si="61"/>
        <v>44099</v>
      </c>
      <c r="AF212" s="13">
        <f t="shared" si="61"/>
        <v>44100</v>
      </c>
      <c r="AG212" s="88">
        <f t="shared" si="62"/>
        <v>112500</v>
      </c>
      <c r="AH212" s="67">
        <f t="shared" si="62"/>
        <v>99000</v>
      </c>
      <c r="AI212" s="67">
        <f t="shared" si="62"/>
        <v>36000</v>
      </c>
      <c r="AJ212" s="67">
        <f t="shared" si="62"/>
        <v>22500</v>
      </c>
      <c r="AK212" s="67">
        <f t="shared" si="62"/>
        <v>22500</v>
      </c>
      <c r="AL212" s="67">
        <f t="shared" si="62"/>
        <v>67500</v>
      </c>
      <c r="AM212" s="90">
        <f t="shared" si="62"/>
        <v>90000</v>
      </c>
      <c r="AP212" s="10"/>
    </row>
    <row r="213" spans="2:42" s="6" customFormat="1" ht="13.2">
      <c r="B213" s="13">
        <f t="shared" si="51"/>
        <v>44107</v>
      </c>
      <c r="C213" s="10">
        <f t="shared" si="52"/>
        <v>2</v>
      </c>
      <c r="D213" s="10">
        <f t="shared" si="63"/>
        <v>25000</v>
      </c>
      <c r="E213" s="65">
        <f t="shared" si="64"/>
        <v>40</v>
      </c>
      <c r="F213" s="10">
        <f t="shared" si="53"/>
        <v>28800</v>
      </c>
      <c r="G213" s="83">
        <f t="shared" si="54"/>
        <v>21200</v>
      </c>
      <c r="H213" s="10">
        <f t="shared" si="55"/>
        <v>21200</v>
      </c>
      <c r="I213" s="85">
        <f t="shared" si="56"/>
        <v>6250</v>
      </c>
      <c r="J213" s="80">
        <f t="shared" si="56"/>
        <v>5500</v>
      </c>
      <c r="K213" s="80">
        <f t="shared" si="56"/>
        <v>2000</v>
      </c>
      <c r="L213" s="80">
        <f t="shared" si="56"/>
        <v>1250</v>
      </c>
      <c r="M213" s="80">
        <f t="shared" si="56"/>
        <v>1250</v>
      </c>
      <c r="N213" s="80">
        <f t="shared" si="56"/>
        <v>3750</v>
      </c>
      <c r="O213" s="80">
        <f t="shared" si="56"/>
        <v>5000</v>
      </c>
      <c r="P213" s="85">
        <f t="shared" si="57"/>
        <v>6250</v>
      </c>
      <c r="Q213" s="80">
        <f>MIN($G213-SUM($P213:P213),J213)</f>
        <v>5500</v>
      </c>
      <c r="R213" s="80">
        <f>MIN($G213-SUM($P213:Q213),K213)</f>
        <v>2000</v>
      </c>
      <c r="S213" s="80">
        <f>MIN($G213-SUM($P213:R213),L213)</f>
        <v>1250</v>
      </c>
      <c r="T213" s="80">
        <f>MIN($G213-SUM($P213:S213),M213)</f>
        <v>1250</v>
      </c>
      <c r="U213" s="80">
        <f>MIN($G213-SUM($P213:T213),N213)</f>
        <v>3750</v>
      </c>
      <c r="V213" s="86">
        <f>MIN($G213-SUM($P213:U213),O213)</f>
        <v>1200</v>
      </c>
      <c r="W213" s="10">
        <f t="shared" si="58"/>
        <v>21200</v>
      </c>
      <c r="X213" s="10">
        <f t="shared" si="59"/>
        <v>0</v>
      </c>
      <c r="Y213" s="65">
        <f t="shared" si="60"/>
        <v>848000</v>
      </c>
      <c r="Z213" s="87">
        <f t="shared" si="61"/>
        <v>44101</v>
      </c>
      <c r="AA213" s="13">
        <f t="shared" si="61"/>
        <v>44102</v>
      </c>
      <c r="AB213" s="13">
        <f t="shared" si="61"/>
        <v>44103</v>
      </c>
      <c r="AC213" s="13">
        <f t="shared" si="61"/>
        <v>44104</v>
      </c>
      <c r="AD213" s="13">
        <f t="shared" si="61"/>
        <v>44105</v>
      </c>
      <c r="AE213" s="13">
        <f t="shared" si="61"/>
        <v>44106</v>
      </c>
      <c r="AF213" s="13">
        <f t="shared" si="61"/>
        <v>44107</v>
      </c>
      <c r="AG213" s="88">
        <f t="shared" si="62"/>
        <v>250000</v>
      </c>
      <c r="AH213" s="67">
        <f t="shared" si="62"/>
        <v>220000</v>
      </c>
      <c r="AI213" s="67">
        <f t="shared" si="62"/>
        <v>80000</v>
      </c>
      <c r="AJ213" s="67">
        <f t="shared" si="62"/>
        <v>50000</v>
      </c>
      <c r="AK213" s="67">
        <f t="shared" si="62"/>
        <v>50000</v>
      </c>
      <c r="AL213" s="67">
        <f t="shared" si="62"/>
        <v>150000</v>
      </c>
      <c r="AM213" s="90">
        <f t="shared" si="62"/>
        <v>48000</v>
      </c>
      <c r="AP213" s="10"/>
    </row>
    <row r="214" spans="2:42" s="6" customFormat="1" ht="13.2">
      <c r="B214" s="13">
        <f t="shared" si="51"/>
        <v>44114</v>
      </c>
      <c r="C214" s="10">
        <f t="shared" si="52"/>
        <v>2</v>
      </c>
      <c r="D214" s="10">
        <f t="shared" si="63"/>
        <v>25000</v>
      </c>
      <c r="E214" s="65">
        <f t="shared" si="64"/>
        <v>40</v>
      </c>
      <c r="F214" s="10">
        <f t="shared" si="53"/>
        <v>28850</v>
      </c>
      <c r="G214" s="83">
        <f t="shared" si="54"/>
        <v>21150</v>
      </c>
      <c r="H214" s="10">
        <f t="shared" si="55"/>
        <v>21150</v>
      </c>
      <c r="I214" s="85">
        <f t="shared" si="56"/>
        <v>6250</v>
      </c>
      <c r="J214" s="80">
        <f t="shared" si="56"/>
        <v>5500</v>
      </c>
      <c r="K214" s="80">
        <f t="shared" si="56"/>
        <v>2000</v>
      </c>
      <c r="L214" s="80">
        <f t="shared" si="56"/>
        <v>1250</v>
      </c>
      <c r="M214" s="80">
        <f t="shared" si="56"/>
        <v>1250</v>
      </c>
      <c r="N214" s="80">
        <f t="shared" si="56"/>
        <v>3750</v>
      </c>
      <c r="O214" s="80">
        <f t="shared" si="56"/>
        <v>5000</v>
      </c>
      <c r="P214" s="85">
        <f t="shared" si="57"/>
        <v>6250</v>
      </c>
      <c r="Q214" s="80">
        <f>MIN($G214-SUM($P214:P214),J214)</f>
        <v>5500</v>
      </c>
      <c r="R214" s="80">
        <f>MIN($G214-SUM($P214:Q214),K214)</f>
        <v>2000</v>
      </c>
      <c r="S214" s="80">
        <f>MIN($G214-SUM($P214:R214),L214)</f>
        <v>1250</v>
      </c>
      <c r="T214" s="80">
        <f>MIN($G214-SUM($P214:S214),M214)</f>
        <v>1250</v>
      </c>
      <c r="U214" s="80">
        <f>MIN($G214-SUM($P214:T214),N214)</f>
        <v>3750</v>
      </c>
      <c r="V214" s="86">
        <f>MIN($G214-SUM($P214:U214),O214)</f>
        <v>1150</v>
      </c>
      <c r="W214" s="10">
        <f t="shared" si="58"/>
        <v>21150</v>
      </c>
      <c r="X214" s="10">
        <f t="shared" si="59"/>
        <v>0</v>
      </c>
      <c r="Y214" s="65">
        <f t="shared" si="60"/>
        <v>846000</v>
      </c>
      <c r="Z214" s="87">
        <f t="shared" si="61"/>
        <v>44108</v>
      </c>
      <c r="AA214" s="13">
        <f t="shared" si="61"/>
        <v>44109</v>
      </c>
      <c r="AB214" s="13">
        <f t="shared" si="61"/>
        <v>44110</v>
      </c>
      <c r="AC214" s="13">
        <f t="shared" si="61"/>
        <v>44111</v>
      </c>
      <c r="AD214" s="13">
        <f t="shared" si="61"/>
        <v>44112</v>
      </c>
      <c r="AE214" s="13">
        <f t="shared" si="61"/>
        <v>44113</v>
      </c>
      <c r="AF214" s="13">
        <f t="shared" si="61"/>
        <v>44114</v>
      </c>
      <c r="AG214" s="88">
        <f t="shared" si="62"/>
        <v>250000</v>
      </c>
      <c r="AH214" s="67">
        <f t="shared" si="62"/>
        <v>220000</v>
      </c>
      <c r="AI214" s="67">
        <f t="shared" si="62"/>
        <v>80000</v>
      </c>
      <c r="AJ214" s="67">
        <f t="shared" si="62"/>
        <v>50000</v>
      </c>
      <c r="AK214" s="67">
        <f t="shared" si="62"/>
        <v>50000</v>
      </c>
      <c r="AL214" s="67">
        <f t="shared" si="62"/>
        <v>150000</v>
      </c>
      <c r="AM214" s="90">
        <f t="shared" si="62"/>
        <v>46000</v>
      </c>
      <c r="AP214" s="10"/>
    </row>
    <row r="215" spans="2:42" s="6" customFormat="1" ht="13.2">
      <c r="B215" s="13">
        <f t="shared" si="51"/>
        <v>44121</v>
      </c>
      <c r="C215" s="10">
        <f t="shared" si="52"/>
        <v>1</v>
      </c>
      <c r="D215" s="10">
        <f t="shared" si="63"/>
        <v>15000</v>
      </c>
      <c r="E215" s="65">
        <f t="shared" si="64"/>
        <v>30</v>
      </c>
      <c r="F215" s="10">
        <f t="shared" si="53"/>
        <v>28900</v>
      </c>
      <c r="G215" s="83">
        <f t="shared" si="54"/>
        <v>21100</v>
      </c>
      <c r="H215" s="10">
        <f t="shared" si="55"/>
        <v>15000</v>
      </c>
      <c r="I215" s="85">
        <f t="shared" si="56"/>
        <v>3750</v>
      </c>
      <c r="J215" s="80">
        <f t="shared" si="56"/>
        <v>3300</v>
      </c>
      <c r="K215" s="80">
        <f t="shared" si="56"/>
        <v>1200</v>
      </c>
      <c r="L215" s="80">
        <f t="shared" si="56"/>
        <v>750</v>
      </c>
      <c r="M215" s="80">
        <f t="shared" si="56"/>
        <v>750</v>
      </c>
      <c r="N215" s="80">
        <f t="shared" si="56"/>
        <v>2250</v>
      </c>
      <c r="O215" s="80">
        <f t="shared" si="56"/>
        <v>3000</v>
      </c>
      <c r="P215" s="85">
        <f t="shared" si="57"/>
        <v>3750</v>
      </c>
      <c r="Q215" s="80">
        <f>MIN($G215-SUM($P215:P215),J215)</f>
        <v>3300</v>
      </c>
      <c r="R215" s="80">
        <f>MIN($G215-SUM($P215:Q215),K215)</f>
        <v>1200</v>
      </c>
      <c r="S215" s="80">
        <f>MIN($G215-SUM($P215:R215),L215)</f>
        <v>750</v>
      </c>
      <c r="T215" s="80">
        <f>MIN($G215-SUM($P215:S215),M215)</f>
        <v>750</v>
      </c>
      <c r="U215" s="80">
        <f>MIN($G215-SUM($P215:T215),N215)</f>
        <v>2250</v>
      </c>
      <c r="V215" s="86">
        <f>MIN($G215-SUM($P215:U215),O215)</f>
        <v>3000</v>
      </c>
      <c r="W215" s="10">
        <f t="shared" si="58"/>
        <v>15000</v>
      </c>
      <c r="X215" s="10">
        <f t="shared" si="59"/>
        <v>0</v>
      </c>
      <c r="Y215" s="65">
        <f t="shared" si="60"/>
        <v>450000</v>
      </c>
      <c r="Z215" s="87">
        <f t="shared" si="61"/>
        <v>44115</v>
      </c>
      <c r="AA215" s="13">
        <f t="shared" si="61"/>
        <v>44116</v>
      </c>
      <c r="AB215" s="13">
        <f t="shared" si="61"/>
        <v>44117</v>
      </c>
      <c r="AC215" s="13">
        <f t="shared" si="61"/>
        <v>44118</v>
      </c>
      <c r="AD215" s="13">
        <f t="shared" si="61"/>
        <v>44119</v>
      </c>
      <c r="AE215" s="13">
        <f t="shared" si="61"/>
        <v>44120</v>
      </c>
      <c r="AF215" s="13">
        <f t="shared" si="61"/>
        <v>44121</v>
      </c>
      <c r="AG215" s="88">
        <f t="shared" si="62"/>
        <v>112500</v>
      </c>
      <c r="AH215" s="67">
        <f t="shared" si="62"/>
        <v>99000</v>
      </c>
      <c r="AI215" s="67">
        <f t="shared" si="62"/>
        <v>36000</v>
      </c>
      <c r="AJ215" s="67">
        <f t="shared" si="62"/>
        <v>22500</v>
      </c>
      <c r="AK215" s="67">
        <f t="shared" si="62"/>
        <v>22500</v>
      </c>
      <c r="AL215" s="67">
        <f t="shared" si="62"/>
        <v>67500</v>
      </c>
      <c r="AM215" s="90">
        <f t="shared" si="62"/>
        <v>90000</v>
      </c>
      <c r="AP215" s="10"/>
    </row>
    <row r="216" spans="2:42" s="6" customFormat="1" ht="13.2">
      <c r="B216" s="13">
        <f t="shared" si="51"/>
        <v>44128</v>
      </c>
      <c r="C216" s="10">
        <f t="shared" si="52"/>
        <v>2</v>
      </c>
      <c r="D216" s="10">
        <f t="shared" si="63"/>
        <v>25000</v>
      </c>
      <c r="E216" s="65">
        <f t="shared" si="64"/>
        <v>40</v>
      </c>
      <c r="F216" s="10">
        <f t="shared" si="53"/>
        <v>28950</v>
      </c>
      <c r="G216" s="83">
        <f t="shared" si="54"/>
        <v>21050</v>
      </c>
      <c r="H216" s="10">
        <f t="shared" si="55"/>
        <v>21050</v>
      </c>
      <c r="I216" s="85">
        <f t="shared" si="56"/>
        <v>6250</v>
      </c>
      <c r="J216" s="80">
        <f t="shared" si="56"/>
        <v>5500</v>
      </c>
      <c r="K216" s="80">
        <f t="shared" si="56"/>
        <v>2000</v>
      </c>
      <c r="L216" s="80">
        <f t="shared" si="56"/>
        <v>1250</v>
      </c>
      <c r="M216" s="80">
        <f t="shared" si="56"/>
        <v>1250</v>
      </c>
      <c r="N216" s="80">
        <f t="shared" si="56"/>
        <v>3750</v>
      </c>
      <c r="O216" s="80">
        <f t="shared" si="56"/>
        <v>5000</v>
      </c>
      <c r="P216" s="85">
        <f t="shared" si="57"/>
        <v>6250</v>
      </c>
      <c r="Q216" s="80">
        <f>MIN($G216-SUM($P216:P216),J216)</f>
        <v>5500</v>
      </c>
      <c r="R216" s="80">
        <f>MIN($G216-SUM($P216:Q216),K216)</f>
        <v>2000</v>
      </c>
      <c r="S216" s="80">
        <f>MIN($G216-SUM($P216:R216),L216)</f>
        <v>1250</v>
      </c>
      <c r="T216" s="80">
        <f>MIN($G216-SUM($P216:S216),M216)</f>
        <v>1250</v>
      </c>
      <c r="U216" s="80">
        <f>MIN($G216-SUM($P216:T216),N216)</f>
        <v>3750</v>
      </c>
      <c r="V216" s="86">
        <f>MIN($G216-SUM($P216:U216),O216)</f>
        <v>1050</v>
      </c>
      <c r="W216" s="10">
        <f t="shared" si="58"/>
        <v>21050</v>
      </c>
      <c r="X216" s="10">
        <f t="shared" si="59"/>
        <v>0</v>
      </c>
      <c r="Y216" s="65">
        <f t="shared" si="60"/>
        <v>842000</v>
      </c>
      <c r="Z216" s="87">
        <f t="shared" si="61"/>
        <v>44122</v>
      </c>
      <c r="AA216" s="13">
        <f t="shared" si="61"/>
        <v>44123</v>
      </c>
      <c r="AB216" s="13">
        <f t="shared" si="61"/>
        <v>44124</v>
      </c>
      <c r="AC216" s="13">
        <f t="shared" si="61"/>
        <v>44125</v>
      </c>
      <c r="AD216" s="13">
        <f t="shared" si="61"/>
        <v>44126</v>
      </c>
      <c r="AE216" s="13">
        <f t="shared" si="61"/>
        <v>44127</v>
      </c>
      <c r="AF216" s="13">
        <f t="shared" si="61"/>
        <v>44128</v>
      </c>
      <c r="AG216" s="88">
        <f t="shared" si="62"/>
        <v>250000</v>
      </c>
      <c r="AH216" s="67">
        <f t="shared" si="62"/>
        <v>220000</v>
      </c>
      <c r="AI216" s="67">
        <f t="shared" si="62"/>
        <v>80000</v>
      </c>
      <c r="AJ216" s="67">
        <f t="shared" si="62"/>
        <v>50000</v>
      </c>
      <c r="AK216" s="67">
        <f t="shared" si="62"/>
        <v>50000</v>
      </c>
      <c r="AL216" s="67">
        <f t="shared" si="62"/>
        <v>150000</v>
      </c>
      <c r="AM216" s="90">
        <f t="shared" si="62"/>
        <v>42000</v>
      </c>
      <c r="AP216" s="10"/>
    </row>
    <row r="217" spans="2:42" s="6" customFormat="1" ht="13.2">
      <c r="B217" s="13">
        <f t="shared" si="51"/>
        <v>44135</v>
      </c>
      <c r="C217" s="10">
        <f t="shared" si="52"/>
        <v>1</v>
      </c>
      <c r="D217" s="10">
        <f t="shared" si="63"/>
        <v>15000</v>
      </c>
      <c r="E217" s="65">
        <f t="shared" si="64"/>
        <v>30</v>
      </c>
      <c r="F217" s="10">
        <f t="shared" si="53"/>
        <v>29000</v>
      </c>
      <c r="G217" s="83">
        <f t="shared" si="54"/>
        <v>21000</v>
      </c>
      <c r="H217" s="10">
        <f t="shared" si="55"/>
        <v>15000</v>
      </c>
      <c r="I217" s="85">
        <f t="shared" si="56"/>
        <v>3750</v>
      </c>
      <c r="J217" s="80">
        <f t="shared" si="56"/>
        <v>3300</v>
      </c>
      <c r="K217" s="80">
        <f t="shared" si="56"/>
        <v>1200</v>
      </c>
      <c r="L217" s="80">
        <f t="shared" si="56"/>
        <v>750</v>
      </c>
      <c r="M217" s="80">
        <f t="shared" si="56"/>
        <v>750</v>
      </c>
      <c r="N217" s="80">
        <f t="shared" si="56"/>
        <v>2250</v>
      </c>
      <c r="O217" s="80">
        <f t="shared" si="56"/>
        <v>3000</v>
      </c>
      <c r="P217" s="85">
        <f t="shared" si="57"/>
        <v>3750</v>
      </c>
      <c r="Q217" s="80">
        <f>MIN($G217-SUM($P217:P217),J217)</f>
        <v>3300</v>
      </c>
      <c r="R217" s="80">
        <f>MIN($G217-SUM($P217:Q217),K217)</f>
        <v>1200</v>
      </c>
      <c r="S217" s="80">
        <f>MIN($G217-SUM($P217:R217),L217)</f>
        <v>750</v>
      </c>
      <c r="T217" s="80">
        <f>MIN($G217-SUM($P217:S217),M217)</f>
        <v>750</v>
      </c>
      <c r="U217" s="80">
        <f>MIN($G217-SUM($P217:T217),N217)</f>
        <v>2250</v>
      </c>
      <c r="V217" s="86">
        <f>MIN($G217-SUM($P217:U217),O217)</f>
        <v>3000</v>
      </c>
      <c r="W217" s="10">
        <f t="shared" si="58"/>
        <v>15000</v>
      </c>
      <c r="X217" s="10">
        <f t="shared" si="59"/>
        <v>0</v>
      </c>
      <c r="Y217" s="65">
        <f t="shared" si="60"/>
        <v>450000</v>
      </c>
      <c r="Z217" s="87">
        <f t="shared" si="61"/>
        <v>44129</v>
      </c>
      <c r="AA217" s="13">
        <f t="shared" si="61"/>
        <v>44130</v>
      </c>
      <c r="AB217" s="13">
        <f t="shared" si="61"/>
        <v>44131</v>
      </c>
      <c r="AC217" s="13">
        <f t="shared" si="61"/>
        <v>44132</v>
      </c>
      <c r="AD217" s="13">
        <f t="shared" si="61"/>
        <v>44133</v>
      </c>
      <c r="AE217" s="13">
        <f t="shared" si="61"/>
        <v>44134</v>
      </c>
      <c r="AF217" s="13">
        <f t="shared" si="61"/>
        <v>44135</v>
      </c>
      <c r="AG217" s="88">
        <f t="shared" si="62"/>
        <v>112500</v>
      </c>
      <c r="AH217" s="67">
        <f t="shared" si="62"/>
        <v>99000</v>
      </c>
      <c r="AI217" s="67">
        <f t="shared" si="62"/>
        <v>36000</v>
      </c>
      <c r="AJ217" s="67">
        <f t="shared" si="62"/>
        <v>22500</v>
      </c>
      <c r="AK217" s="67">
        <f t="shared" si="62"/>
        <v>22500</v>
      </c>
      <c r="AL217" s="67">
        <f t="shared" si="62"/>
        <v>67500</v>
      </c>
      <c r="AM217" s="90">
        <f t="shared" si="62"/>
        <v>90000</v>
      </c>
      <c r="AP217" s="10"/>
    </row>
    <row r="218" spans="2:42" s="6" customFormat="1" ht="13.2">
      <c r="B218" s="13">
        <f t="shared" si="51"/>
        <v>44142</v>
      </c>
      <c r="C218" s="10">
        <f t="shared" si="52"/>
        <v>4</v>
      </c>
      <c r="D218" s="10">
        <f t="shared" si="63"/>
        <v>40000</v>
      </c>
      <c r="E218" s="65">
        <f t="shared" si="64"/>
        <v>60</v>
      </c>
      <c r="F218" s="10">
        <f t="shared" si="53"/>
        <v>29050</v>
      </c>
      <c r="G218" s="83">
        <f t="shared" si="54"/>
        <v>20950</v>
      </c>
      <c r="H218" s="10">
        <f t="shared" si="55"/>
        <v>20950</v>
      </c>
      <c r="I218" s="85">
        <f t="shared" si="56"/>
        <v>10000</v>
      </c>
      <c r="J218" s="80">
        <f t="shared" si="56"/>
        <v>8800</v>
      </c>
      <c r="K218" s="80">
        <f t="shared" si="56"/>
        <v>3200</v>
      </c>
      <c r="L218" s="80">
        <f t="shared" si="56"/>
        <v>2000</v>
      </c>
      <c r="M218" s="80">
        <f t="shared" si="56"/>
        <v>2000</v>
      </c>
      <c r="N218" s="80">
        <f t="shared" si="56"/>
        <v>6000</v>
      </c>
      <c r="O218" s="80">
        <f t="shared" si="56"/>
        <v>8000</v>
      </c>
      <c r="P218" s="85">
        <f t="shared" si="57"/>
        <v>10000</v>
      </c>
      <c r="Q218" s="80">
        <f>MIN($G218-SUM($P218:P218),J218)</f>
        <v>8800</v>
      </c>
      <c r="R218" s="80">
        <f>MIN($G218-SUM($P218:Q218),K218)</f>
        <v>2150</v>
      </c>
      <c r="S218" s="80">
        <f>MIN($G218-SUM($P218:R218),L218)</f>
        <v>0</v>
      </c>
      <c r="T218" s="80">
        <f>MIN($G218-SUM($P218:S218),M218)</f>
        <v>0</v>
      </c>
      <c r="U218" s="80">
        <f>MIN($G218-SUM($P218:T218),N218)</f>
        <v>0</v>
      </c>
      <c r="V218" s="86">
        <f>MIN($G218-SUM($P218:U218),O218)</f>
        <v>0</v>
      </c>
      <c r="W218" s="10">
        <f t="shared" si="58"/>
        <v>20950</v>
      </c>
      <c r="X218" s="10">
        <f t="shared" si="59"/>
        <v>0</v>
      </c>
      <c r="Y218" s="65">
        <f t="shared" si="60"/>
        <v>1257000</v>
      </c>
      <c r="Z218" s="87">
        <f t="shared" si="61"/>
        <v>44136</v>
      </c>
      <c r="AA218" s="13">
        <f t="shared" si="61"/>
        <v>44137</v>
      </c>
      <c r="AB218" s="13">
        <f t="shared" si="61"/>
        <v>44138</v>
      </c>
      <c r="AC218" s="13">
        <f t="shared" si="61"/>
        <v>44139</v>
      </c>
      <c r="AD218" s="13">
        <f t="shared" si="61"/>
        <v>44140</v>
      </c>
      <c r="AE218" s="13">
        <f t="shared" si="61"/>
        <v>44141</v>
      </c>
      <c r="AF218" s="13">
        <f t="shared" si="61"/>
        <v>44142</v>
      </c>
      <c r="AG218" s="88">
        <f t="shared" si="62"/>
        <v>600000</v>
      </c>
      <c r="AH218" s="67">
        <f t="shared" si="62"/>
        <v>528000</v>
      </c>
      <c r="AI218" s="67">
        <f t="shared" si="62"/>
        <v>129000</v>
      </c>
      <c r="AJ218" s="67">
        <f t="shared" si="62"/>
        <v>0</v>
      </c>
      <c r="AK218" s="67">
        <f t="shared" si="62"/>
        <v>0</v>
      </c>
      <c r="AL218" s="67">
        <f t="shared" si="62"/>
        <v>0</v>
      </c>
      <c r="AM218" s="90">
        <f t="shared" si="62"/>
        <v>0</v>
      </c>
      <c r="AP218" s="10"/>
    </row>
    <row r="219" spans="2:42" s="6" customFormat="1" ht="13.2">
      <c r="B219" s="13">
        <f t="shared" si="51"/>
        <v>44149</v>
      </c>
      <c r="C219" s="10">
        <f t="shared" si="52"/>
        <v>1</v>
      </c>
      <c r="D219" s="10">
        <f t="shared" si="63"/>
        <v>15000</v>
      </c>
      <c r="E219" s="65">
        <f t="shared" si="64"/>
        <v>30</v>
      </c>
      <c r="F219" s="10">
        <f t="shared" si="53"/>
        <v>29100</v>
      </c>
      <c r="G219" s="83">
        <f t="shared" si="54"/>
        <v>20900</v>
      </c>
      <c r="H219" s="10">
        <f t="shared" si="55"/>
        <v>15000</v>
      </c>
      <c r="I219" s="85">
        <f t="shared" si="56"/>
        <v>3750</v>
      </c>
      <c r="J219" s="80">
        <f t="shared" si="56"/>
        <v>3300</v>
      </c>
      <c r="K219" s="80">
        <f t="shared" si="56"/>
        <v>1200</v>
      </c>
      <c r="L219" s="80">
        <f t="shared" si="56"/>
        <v>750</v>
      </c>
      <c r="M219" s="80">
        <f t="shared" si="56"/>
        <v>750</v>
      </c>
      <c r="N219" s="80">
        <f t="shared" si="56"/>
        <v>2250</v>
      </c>
      <c r="O219" s="80">
        <f t="shared" si="56"/>
        <v>3000</v>
      </c>
      <c r="P219" s="85">
        <f t="shared" si="57"/>
        <v>3750</v>
      </c>
      <c r="Q219" s="80">
        <f>MIN($G219-SUM($P219:P219),J219)</f>
        <v>3300</v>
      </c>
      <c r="R219" s="80">
        <f>MIN($G219-SUM($P219:Q219),K219)</f>
        <v>1200</v>
      </c>
      <c r="S219" s="80">
        <f>MIN($G219-SUM($P219:R219),L219)</f>
        <v>750</v>
      </c>
      <c r="T219" s="80">
        <f>MIN($G219-SUM($P219:S219),M219)</f>
        <v>750</v>
      </c>
      <c r="U219" s="80">
        <f>MIN($G219-SUM($P219:T219),N219)</f>
        <v>2250</v>
      </c>
      <c r="V219" s="86">
        <f>MIN($G219-SUM($P219:U219),O219)</f>
        <v>3000</v>
      </c>
      <c r="W219" s="10">
        <f t="shared" si="58"/>
        <v>15000</v>
      </c>
      <c r="X219" s="10">
        <f t="shared" si="59"/>
        <v>0</v>
      </c>
      <c r="Y219" s="65">
        <f t="shared" si="60"/>
        <v>450000</v>
      </c>
      <c r="Z219" s="87">
        <f t="shared" si="61"/>
        <v>44143</v>
      </c>
      <c r="AA219" s="13">
        <f t="shared" si="61"/>
        <v>44144</v>
      </c>
      <c r="AB219" s="13">
        <f t="shared" si="61"/>
        <v>44145</v>
      </c>
      <c r="AC219" s="13">
        <f t="shared" si="61"/>
        <v>44146</v>
      </c>
      <c r="AD219" s="13">
        <f t="shared" si="61"/>
        <v>44147</v>
      </c>
      <c r="AE219" s="13">
        <f t="shared" si="61"/>
        <v>44148</v>
      </c>
      <c r="AF219" s="13">
        <f t="shared" si="61"/>
        <v>44149</v>
      </c>
      <c r="AG219" s="88">
        <f t="shared" si="62"/>
        <v>112500</v>
      </c>
      <c r="AH219" s="67">
        <f t="shared" si="62"/>
        <v>99000</v>
      </c>
      <c r="AI219" s="67">
        <f t="shared" si="62"/>
        <v>36000</v>
      </c>
      <c r="AJ219" s="67">
        <f t="shared" si="62"/>
        <v>22500</v>
      </c>
      <c r="AK219" s="67">
        <f t="shared" si="62"/>
        <v>22500</v>
      </c>
      <c r="AL219" s="67">
        <f t="shared" si="62"/>
        <v>67500</v>
      </c>
      <c r="AM219" s="90">
        <f t="shared" si="62"/>
        <v>90000</v>
      </c>
      <c r="AP219" s="10"/>
    </row>
    <row r="220" spans="2:42" s="6" customFormat="1" ht="13.2">
      <c r="B220" s="13">
        <f t="shared" si="51"/>
        <v>44156</v>
      </c>
      <c r="C220" s="10">
        <f t="shared" si="52"/>
        <v>2</v>
      </c>
      <c r="D220" s="10">
        <f t="shared" si="63"/>
        <v>25000</v>
      </c>
      <c r="E220" s="65">
        <f t="shared" si="64"/>
        <v>40</v>
      </c>
      <c r="F220" s="10">
        <f t="shared" si="53"/>
        <v>29150</v>
      </c>
      <c r="G220" s="83">
        <f t="shared" si="54"/>
        <v>20850</v>
      </c>
      <c r="H220" s="10">
        <f t="shared" si="55"/>
        <v>20850</v>
      </c>
      <c r="I220" s="85">
        <f t="shared" si="56"/>
        <v>6250</v>
      </c>
      <c r="J220" s="80">
        <f t="shared" si="56"/>
        <v>5500</v>
      </c>
      <c r="K220" s="80">
        <f t="shared" si="56"/>
        <v>2000</v>
      </c>
      <c r="L220" s="80">
        <f t="shared" si="56"/>
        <v>1250</v>
      </c>
      <c r="M220" s="80">
        <f t="shared" si="56"/>
        <v>1250</v>
      </c>
      <c r="N220" s="80">
        <f t="shared" si="56"/>
        <v>3750</v>
      </c>
      <c r="O220" s="80">
        <f t="shared" si="56"/>
        <v>5000</v>
      </c>
      <c r="P220" s="85">
        <f t="shared" si="57"/>
        <v>6250</v>
      </c>
      <c r="Q220" s="80">
        <f>MIN($G220-SUM($P220:P220),J220)</f>
        <v>5500</v>
      </c>
      <c r="R220" s="80">
        <f>MIN($G220-SUM($P220:Q220),K220)</f>
        <v>2000</v>
      </c>
      <c r="S220" s="80">
        <f>MIN($G220-SUM($P220:R220),L220)</f>
        <v>1250</v>
      </c>
      <c r="T220" s="80">
        <f>MIN($G220-SUM($P220:S220),M220)</f>
        <v>1250</v>
      </c>
      <c r="U220" s="80">
        <f>MIN($G220-SUM($P220:T220),N220)</f>
        <v>3750</v>
      </c>
      <c r="V220" s="86">
        <f>MIN($G220-SUM($P220:U220),O220)</f>
        <v>850</v>
      </c>
      <c r="W220" s="10">
        <f t="shared" si="58"/>
        <v>20850</v>
      </c>
      <c r="X220" s="10">
        <f t="shared" si="59"/>
        <v>0</v>
      </c>
      <c r="Y220" s="65">
        <f t="shared" si="60"/>
        <v>834000</v>
      </c>
      <c r="Z220" s="87">
        <f t="shared" si="61"/>
        <v>44150</v>
      </c>
      <c r="AA220" s="13">
        <f t="shared" si="61"/>
        <v>44151</v>
      </c>
      <c r="AB220" s="13">
        <f t="shared" si="61"/>
        <v>44152</v>
      </c>
      <c r="AC220" s="13">
        <f t="shared" si="61"/>
        <v>44153</v>
      </c>
      <c r="AD220" s="13">
        <f t="shared" si="61"/>
        <v>44154</v>
      </c>
      <c r="AE220" s="13">
        <f t="shared" si="61"/>
        <v>44155</v>
      </c>
      <c r="AF220" s="13">
        <f t="shared" si="61"/>
        <v>44156</v>
      </c>
      <c r="AG220" s="88">
        <f t="shared" si="62"/>
        <v>250000</v>
      </c>
      <c r="AH220" s="67">
        <f t="shared" si="62"/>
        <v>220000</v>
      </c>
      <c r="AI220" s="67">
        <f t="shared" si="62"/>
        <v>80000</v>
      </c>
      <c r="AJ220" s="67">
        <f t="shared" si="62"/>
        <v>50000</v>
      </c>
      <c r="AK220" s="67">
        <f t="shared" si="62"/>
        <v>50000</v>
      </c>
      <c r="AL220" s="67">
        <f t="shared" si="62"/>
        <v>150000</v>
      </c>
      <c r="AM220" s="90">
        <f t="shared" si="62"/>
        <v>34000</v>
      </c>
      <c r="AP220" s="10"/>
    </row>
    <row r="221" spans="2:42" s="6" customFormat="1" ht="13.2">
      <c r="B221" s="13">
        <f t="shared" si="51"/>
        <v>44163</v>
      </c>
      <c r="C221" s="10">
        <f t="shared" si="52"/>
        <v>2</v>
      </c>
      <c r="D221" s="10">
        <f t="shared" si="63"/>
        <v>25000</v>
      </c>
      <c r="E221" s="65">
        <f t="shared" si="64"/>
        <v>40</v>
      </c>
      <c r="F221" s="10">
        <f t="shared" si="53"/>
        <v>29200</v>
      </c>
      <c r="G221" s="83">
        <f t="shared" si="54"/>
        <v>20800</v>
      </c>
      <c r="H221" s="10">
        <f t="shared" si="55"/>
        <v>20800</v>
      </c>
      <c r="I221" s="85">
        <f t="shared" si="56"/>
        <v>6250</v>
      </c>
      <c r="J221" s="80">
        <f t="shared" si="56"/>
        <v>5500</v>
      </c>
      <c r="K221" s="80">
        <f t="shared" si="56"/>
        <v>2000</v>
      </c>
      <c r="L221" s="80">
        <f t="shared" si="56"/>
        <v>1250</v>
      </c>
      <c r="M221" s="80">
        <f t="shared" si="56"/>
        <v>1250</v>
      </c>
      <c r="N221" s="80">
        <f t="shared" si="56"/>
        <v>3750</v>
      </c>
      <c r="O221" s="80">
        <f t="shared" si="56"/>
        <v>5000</v>
      </c>
      <c r="P221" s="85">
        <f t="shared" si="57"/>
        <v>6250</v>
      </c>
      <c r="Q221" s="80">
        <f>MIN($G221-SUM($P221:P221),J221)</f>
        <v>5500</v>
      </c>
      <c r="R221" s="80">
        <f>MIN($G221-SUM($P221:Q221),K221)</f>
        <v>2000</v>
      </c>
      <c r="S221" s="80">
        <f>MIN($G221-SUM($P221:R221),L221)</f>
        <v>1250</v>
      </c>
      <c r="T221" s="80">
        <f>MIN($G221-SUM($P221:S221),M221)</f>
        <v>1250</v>
      </c>
      <c r="U221" s="80">
        <f>MIN($G221-SUM($P221:T221),N221)</f>
        <v>3750</v>
      </c>
      <c r="V221" s="86">
        <f>MIN($G221-SUM($P221:U221),O221)</f>
        <v>800</v>
      </c>
      <c r="W221" s="10">
        <f t="shared" si="58"/>
        <v>20800</v>
      </c>
      <c r="X221" s="10">
        <f t="shared" si="59"/>
        <v>0</v>
      </c>
      <c r="Y221" s="65">
        <f t="shared" si="60"/>
        <v>832000</v>
      </c>
      <c r="Z221" s="87">
        <f t="shared" si="61"/>
        <v>44157</v>
      </c>
      <c r="AA221" s="13">
        <f t="shared" si="61"/>
        <v>44158</v>
      </c>
      <c r="AB221" s="13">
        <f t="shared" si="61"/>
        <v>44159</v>
      </c>
      <c r="AC221" s="13">
        <f t="shared" si="61"/>
        <v>44160</v>
      </c>
      <c r="AD221" s="13">
        <f t="shared" si="61"/>
        <v>44161</v>
      </c>
      <c r="AE221" s="13">
        <f t="shared" si="61"/>
        <v>44162</v>
      </c>
      <c r="AF221" s="13">
        <f t="shared" si="61"/>
        <v>44163</v>
      </c>
      <c r="AG221" s="88">
        <f t="shared" si="62"/>
        <v>250000</v>
      </c>
      <c r="AH221" s="67">
        <f t="shared" si="62"/>
        <v>220000</v>
      </c>
      <c r="AI221" s="67">
        <f t="shared" si="62"/>
        <v>80000</v>
      </c>
      <c r="AJ221" s="67">
        <f t="shared" si="62"/>
        <v>50000</v>
      </c>
      <c r="AK221" s="67">
        <f t="shared" si="62"/>
        <v>50000</v>
      </c>
      <c r="AL221" s="67">
        <f t="shared" si="62"/>
        <v>150000</v>
      </c>
      <c r="AM221" s="90">
        <f t="shared" si="62"/>
        <v>32000</v>
      </c>
      <c r="AP221" s="10"/>
    </row>
    <row r="222" spans="2:42" s="6" customFormat="1" ht="13.2">
      <c r="B222" s="13">
        <f t="shared" si="51"/>
        <v>44170</v>
      </c>
      <c r="C222" s="10">
        <f t="shared" si="52"/>
        <v>2</v>
      </c>
      <c r="D222" s="10">
        <f t="shared" si="63"/>
        <v>25000</v>
      </c>
      <c r="E222" s="65">
        <f t="shared" si="64"/>
        <v>40</v>
      </c>
      <c r="F222" s="10">
        <f t="shared" si="53"/>
        <v>29250</v>
      </c>
      <c r="G222" s="83">
        <f t="shared" si="54"/>
        <v>20750</v>
      </c>
      <c r="H222" s="10">
        <f t="shared" si="55"/>
        <v>20750</v>
      </c>
      <c r="I222" s="85">
        <f t="shared" ref="I222:O237" si="65">I$203*$D222</f>
        <v>6250</v>
      </c>
      <c r="J222" s="80">
        <f t="shared" si="65"/>
        <v>5500</v>
      </c>
      <c r="K222" s="80">
        <f t="shared" si="65"/>
        <v>2000</v>
      </c>
      <c r="L222" s="80">
        <f t="shared" si="65"/>
        <v>1250</v>
      </c>
      <c r="M222" s="80">
        <f t="shared" si="65"/>
        <v>1250</v>
      </c>
      <c r="N222" s="80">
        <f t="shared" si="65"/>
        <v>3750</v>
      </c>
      <c r="O222" s="80">
        <f t="shared" si="65"/>
        <v>5000</v>
      </c>
      <c r="P222" s="85">
        <f t="shared" si="57"/>
        <v>6250</v>
      </c>
      <c r="Q222" s="80">
        <f>MIN($G222-SUM($P222:P222),J222)</f>
        <v>5500</v>
      </c>
      <c r="R222" s="80">
        <f>MIN($G222-SUM($P222:Q222),K222)</f>
        <v>2000</v>
      </c>
      <c r="S222" s="80">
        <f>MIN($G222-SUM($P222:R222),L222)</f>
        <v>1250</v>
      </c>
      <c r="T222" s="80">
        <f>MIN($G222-SUM($P222:S222),M222)</f>
        <v>1250</v>
      </c>
      <c r="U222" s="80">
        <f>MIN($G222-SUM($P222:T222),N222)</f>
        <v>3750</v>
      </c>
      <c r="V222" s="86">
        <f>MIN($G222-SUM($P222:U222),O222)</f>
        <v>750</v>
      </c>
      <c r="W222" s="10">
        <f t="shared" si="58"/>
        <v>20750</v>
      </c>
      <c r="X222" s="10">
        <f t="shared" si="59"/>
        <v>0</v>
      </c>
      <c r="Y222" s="65">
        <f t="shared" si="60"/>
        <v>830000</v>
      </c>
      <c r="Z222" s="87">
        <f t="shared" ref="Z222:AF237" si="66">$B222+Z$205</f>
        <v>44164</v>
      </c>
      <c r="AA222" s="13">
        <f t="shared" si="66"/>
        <v>44165</v>
      </c>
      <c r="AB222" s="13">
        <f t="shared" si="66"/>
        <v>44166</v>
      </c>
      <c r="AC222" s="13">
        <f t="shared" si="66"/>
        <v>44167</v>
      </c>
      <c r="AD222" s="13">
        <f t="shared" si="66"/>
        <v>44168</v>
      </c>
      <c r="AE222" s="13">
        <f t="shared" si="66"/>
        <v>44169</v>
      </c>
      <c r="AF222" s="13">
        <f t="shared" si="66"/>
        <v>44170</v>
      </c>
      <c r="AG222" s="88">
        <f t="shared" si="62"/>
        <v>250000</v>
      </c>
      <c r="AH222" s="67">
        <f t="shared" si="62"/>
        <v>220000</v>
      </c>
      <c r="AI222" s="67">
        <f t="shared" si="62"/>
        <v>80000</v>
      </c>
      <c r="AJ222" s="67">
        <f t="shared" si="62"/>
        <v>50000</v>
      </c>
      <c r="AK222" s="67">
        <f t="shared" si="62"/>
        <v>50000</v>
      </c>
      <c r="AL222" s="67">
        <f t="shared" si="62"/>
        <v>150000</v>
      </c>
      <c r="AM222" s="90">
        <f t="shared" si="62"/>
        <v>30000</v>
      </c>
      <c r="AP222" s="10"/>
    </row>
    <row r="223" spans="2:42" s="6" customFormat="1" ht="13.2">
      <c r="B223" s="13">
        <f t="shared" si="51"/>
        <v>44177</v>
      </c>
      <c r="C223" s="10">
        <f t="shared" si="52"/>
        <v>1</v>
      </c>
      <c r="D223" s="10">
        <f t="shared" si="63"/>
        <v>15000</v>
      </c>
      <c r="E223" s="65">
        <f t="shared" si="64"/>
        <v>30</v>
      </c>
      <c r="F223" s="10">
        <f t="shared" si="53"/>
        <v>29500</v>
      </c>
      <c r="G223" s="83">
        <f t="shared" si="54"/>
        <v>20500</v>
      </c>
      <c r="H223" s="10">
        <f t="shared" si="55"/>
        <v>15000</v>
      </c>
      <c r="I223" s="85">
        <f t="shared" si="65"/>
        <v>3750</v>
      </c>
      <c r="J223" s="80">
        <f t="shared" si="65"/>
        <v>3300</v>
      </c>
      <c r="K223" s="80">
        <f t="shared" si="65"/>
        <v>1200</v>
      </c>
      <c r="L223" s="80">
        <f t="shared" si="65"/>
        <v>750</v>
      </c>
      <c r="M223" s="80">
        <f t="shared" si="65"/>
        <v>750</v>
      </c>
      <c r="N223" s="80">
        <f t="shared" si="65"/>
        <v>2250</v>
      </c>
      <c r="O223" s="80">
        <f t="shared" si="65"/>
        <v>3000</v>
      </c>
      <c r="P223" s="85">
        <f t="shared" si="57"/>
        <v>3750</v>
      </c>
      <c r="Q223" s="80">
        <f>MIN($G223-SUM($P223:P223),J223)</f>
        <v>3300</v>
      </c>
      <c r="R223" s="80">
        <f>MIN($G223-SUM($P223:Q223),K223)</f>
        <v>1200</v>
      </c>
      <c r="S223" s="80">
        <f>MIN($G223-SUM($P223:R223),L223)</f>
        <v>750</v>
      </c>
      <c r="T223" s="80">
        <f>MIN($G223-SUM($P223:S223),M223)</f>
        <v>750</v>
      </c>
      <c r="U223" s="80">
        <f>MIN($G223-SUM($P223:T223),N223)</f>
        <v>2250</v>
      </c>
      <c r="V223" s="86">
        <f>MIN($G223-SUM($P223:U223),O223)</f>
        <v>3000</v>
      </c>
      <c r="W223" s="10">
        <f t="shared" si="58"/>
        <v>15000</v>
      </c>
      <c r="X223" s="10">
        <f t="shared" si="59"/>
        <v>0</v>
      </c>
      <c r="Y223" s="65">
        <f t="shared" si="60"/>
        <v>450000</v>
      </c>
      <c r="Z223" s="87">
        <f t="shared" si="66"/>
        <v>44171</v>
      </c>
      <c r="AA223" s="13">
        <f t="shared" si="66"/>
        <v>44172</v>
      </c>
      <c r="AB223" s="13">
        <f t="shared" si="66"/>
        <v>44173</v>
      </c>
      <c r="AC223" s="13">
        <f t="shared" si="66"/>
        <v>44174</v>
      </c>
      <c r="AD223" s="13">
        <f t="shared" si="66"/>
        <v>44175</v>
      </c>
      <c r="AE223" s="13">
        <f t="shared" si="66"/>
        <v>44176</v>
      </c>
      <c r="AF223" s="13">
        <f t="shared" si="66"/>
        <v>44177</v>
      </c>
      <c r="AG223" s="88">
        <f t="shared" si="62"/>
        <v>112500</v>
      </c>
      <c r="AH223" s="67">
        <f t="shared" si="62"/>
        <v>99000</v>
      </c>
      <c r="AI223" s="67">
        <f t="shared" si="62"/>
        <v>36000</v>
      </c>
      <c r="AJ223" s="67">
        <f t="shared" si="62"/>
        <v>22500</v>
      </c>
      <c r="AK223" s="67">
        <f t="shared" si="62"/>
        <v>22500</v>
      </c>
      <c r="AL223" s="67">
        <f t="shared" si="62"/>
        <v>67500</v>
      </c>
      <c r="AM223" s="90">
        <f t="shared" si="62"/>
        <v>90000</v>
      </c>
      <c r="AP223" s="10"/>
    </row>
    <row r="224" spans="2:42" s="6" customFormat="1" ht="13.2">
      <c r="B224" s="13">
        <f t="shared" si="51"/>
        <v>44198</v>
      </c>
      <c r="C224" s="10">
        <f t="shared" si="52"/>
        <v>1</v>
      </c>
      <c r="D224" s="10">
        <f t="shared" si="63"/>
        <v>15000</v>
      </c>
      <c r="E224" s="65">
        <f t="shared" si="64"/>
        <v>30</v>
      </c>
      <c r="F224" s="10">
        <f t="shared" si="53"/>
        <v>29850</v>
      </c>
      <c r="G224" s="83">
        <f t="shared" si="54"/>
        <v>20150</v>
      </c>
      <c r="H224" s="10">
        <f t="shared" si="55"/>
        <v>15000</v>
      </c>
      <c r="I224" s="85">
        <f t="shared" si="65"/>
        <v>3750</v>
      </c>
      <c r="J224" s="80">
        <f t="shared" si="65"/>
        <v>3300</v>
      </c>
      <c r="K224" s="80">
        <f t="shared" si="65"/>
        <v>1200</v>
      </c>
      <c r="L224" s="80">
        <f t="shared" si="65"/>
        <v>750</v>
      </c>
      <c r="M224" s="80">
        <f t="shared" si="65"/>
        <v>750</v>
      </c>
      <c r="N224" s="80">
        <f t="shared" si="65"/>
        <v>2250</v>
      </c>
      <c r="O224" s="80">
        <f t="shared" si="65"/>
        <v>3000</v>
      </c>
      <c r="P224" s="85">
        <f t="shared" si="57"/>
        <v>3750</v>
      </c>
      <c r="Q224" s="80">
        <f>MIN($G224-SUM($P224:P224),J224)</f>
        <v>3300</v>
      </c>
      <c r="R224" s="80">
        <f>MIN($G224-SUM($P224:Q224),K224)</f>
        <v>1200</v>
      </c>
      <c r="S224" s="80">
        <f>MIN($G224-SUM($P224:R224),L224)</f>
        <v>750</v>
      </c>
      <c r="T224" s="80">
        <f>MIN($G224-SUM($P224:S224),M224)</f>
        <v>750</v>
      </c>
      <c r="U224" s="80">
        <f>MIN($G224-SUM($P224:T224),N224)</f>
        <v>2250</v>
      </c>
      <c r="V224" s="86">
        <f>MIN($G224-SUM($P224:U224),O224)</f>
        <v>3000</v>
      </c>
      <c r="W224" s="10">
        <f t="shared" si="58"/>
        <v>15000</v>
      </c>
      <c r="X224" s="10">
        <f t="shared" si="59"/>
        <v>0</v>
      </c>
      <c r="Y224" s="65">
        <f t="shared" si="60"/>
        <v>450000</v>
      </c>
      <c r="Z224" s="87">
        <f t="shared" si="66"/>
        <v>44192</v>
      </c>
      <c r="AA224" s="13">
        <f t="shared" si="66"/>
        <v>44193</v>
      </c>
      <c r="AB224" s="13">
        <f t="shared" si="66"/>
        <v>44194</v>
      </c>
      <c r="AC224" s="13">
        <f t="shared" si="66"/>
        <v>44195</v>
      </c>
      <c r="AD224" s="13">
        <f t="shared" si="66"/>
        <v>44196</v>
      </c>
      <c r="AE224" s="13">
        <f t="shared" si="66"/>
        <v>44197</v>
      </c>
      <c r="AF224" s="13">
        <f t="shared" si="66"/>
        <v>44198</v>
      </c>
      <c r="AG224" s="88">
        <f t="shared" si="62"/>
        <v>112500</v>
      </c>
      <c r="AH224" s="67">
        <f t="shared" si="62"/>
        <v>99000</v>
      </c>
      <c r="AI224" s="67">
        <f t="shared" si="62"/>
        <v>36000</v>
      </c>
      <c r="AJ224" s="67">
        <f t="shared" si="62"/>
        <v>22500</v>
      </c>
      <c r="AK224" s="67">
        <f t="shared" si="62"/>
        <v>22500</v>
      </c>
      <c r="AL224" s="67">
        <f t="shared" si="62"/>
        <v>67500</v>
      </c>
      <c r="AM224" s="90">
        <f t="shared" si="62"/>
        <v>90000</v>
      </c>
      <c r="AP224" s="10"/>
    </row>
    <row r="225" spans="2:42" s="6" customFormat="1" ht="13.2">
      <c r="B225" s="13">
        <f t="shared" si="51"/>
        <v>44205</v>
      </c>
      <c r="C225" s="10">
        <f t="shared" si="52"/>
        <v>1</v>
      </c>
      <c r="D225" s="10">
        <f t="shared" si="63"/>
        <v>15000</v>
      </c>
      <c r="E225" s="65">
        <f t="shared" si="64"/>
        <v>30</v>
      </c>
      <c r="F225" s="10">
        <f t="shared" si="53"/>
        <v>29900</v>
      </c>
      <c r="G225" s="83">
        <f t="shared" si="54"/>
        <v>20100</v>
      </c>
      <c r="H225" s="10">
        <f t="shared" si="55"/>
        <v>15000</v>
      </c>
      <c r="I225" s="85">
        <f t="shared" si="65"/>
        <v>3750</v>
      </c>
      <c r="J225" s="80">
        <f t="shared" si="65"/>
        <v>3300</v>
      </c>
      <c r="K225" s="80">
        <f t="shared" si="65"/>
        <v>1200</v>
      </c>
      <c r="L225" s="80">
        <f t="shared" si="65"/>
        <v>750</v>
      </c>
      <c r="M225" s="80">
        <f t="shared" si="65"/>
        <v>750</v>
      </c>
      <c r="N225" s="80">
        <f t="shared" si="65"/>
        <v>2250</v>
      </c>
      <c r="O225" s="80">
        <f t="shared" si="65"/>
        <v>3000</v>
      </c>
      <c r="P225" s="85">
        <f t="shared" si="57"/>
        <v>3750</v>
      </c>
      <c r="Q225" s="80">
        <f>MIN($G225-SUM($P225:P225),J225)</f>
        <v>3300</v>
      </c>
      <c r="R225" s="80">
        <f>MIN($G225-SUM($P225:Q225),K225)</f>
        <v>1200</v>
      </c>
      <c r="S225" s="80">
        <f>MIN($G225-SUM($P225:R225),L225)</f>
        <v>750</v>
      </c>
      <c r="T225" s="80">
        <f>MIN($G225-SUM($P225:S225),M225)</f>
        <v>750</v>
      </c>
      <c r="U225" s="80">
        <f>MIN($G225-SUM($P225:T225),N225)</f>
        <v>2250</v>
      </c>
      <c r="V225" s="86">
        <f>MIN($G225-SUM($P225:U225),O225)</f>
        <v>3000</v>
      </c>
      <c r="W225" s="10">
        <f t="shared" si="58"/>
        <v>15000</v>
      </c>
      <c r="X225" s="10">
        <f t="shared" si="59"/>
        <v>0</v>
      </c>
      <c r="Y225" s="65">
        <f t="shared" si="60"/>
        <v>450000</v>
      </c>
      <c r="Z225" s="87">
        <f t="shared" si="66"/>
        <v>44199</v>
      </c>
      <c r="AA225" s="13">
        <f t="shared" si="66"/>
        <v>44200</v>
      </c>
      <c r="AB225" s="13">
        <f t="shared" si="66"/>
        <v>44201</v>
      </c>
      <c r="AC225" s="13">
        <f t="shared" si="66"/>
        <v>44202</v>
      </c>
      <c r="AD225" s="13">
        <f t="shared" si="66"/>
        <v>44203</v>
      </c>
      <c r="AE225" s="13">
        <f t="shared" si="66"/>
        <v>44204</v>
      </c>
      <c r="AF225" s="13">
        <f t="shared" si="66"/>
        <v>44205</v>
      </c>
      <c r="AG225" s="88">
        <f t="shared" si="62"/>
        <v>112500</v>
      </c>
      <c r="AH225" s="67">
        <f t="shared" si="62"/>
        <v>99000</v>
      </c>
      <c r="AI225" s="67">
        <f t="shared" si="62"/>
        <v>36000</v>
      </c>
      <c r="AJ225" s="67">
        <f t="shared" si="62"/>
        <v>22500</v>
      </c>
      <c r="AK225" s="67">
        <f t="shared" si="62"/>
        <v>22500</v>
      </c>
      <c r="AL225" s="67">
        <f t="shared" si="62"/>
        <v>67500</v>
      </c>
      <c r="AM225" s="90">
        <f t="shared" si="62"/>
        <v>90000</v>
      </c>
      <c r="AP225" s="10"/>
    </row>
    <row r="226" spans="2:42" s="6" customFormat="1" ht="13.2">
      <c r="B226" s="13">
        <f t="shared" si="51"/>
        <v>44212</v>
      </c>
      <c r="C226" s="10">
        <f t="shared" si="52"/>
        <v>3</v>
      </c>
      <c r="D226" s="10">
        <f t="shared" si="63"/>
        <v>32000</v>
      </c>
      <c r="E226" s="65">
        <f t="shared" si="64"/>
        <v>50</v>
      </c>
      <c r="F226" s="10">
        <f t="shared" si="53"/>
        <v>29950</v>
      </c>
      <c r="G226" s="83">
        <f t="shared" si="54"/>
        <v>20050</v>
      </c>
      <c r="H226" s="10">
        <f t="shared" si="55"/>
        <v>20050</v>
      </c>
      <c r="I226" s="85">
        <f t="shared" si="65"/>
        <v>8000</v>
      </c>
      <c r="J226" s="80">
        <f t="shared" si="65"/>
        <v>7040</v>
      </c>
      <c r="K226" s="80">
        <f t="shared" si="65"/>
        <v>2560</v>
      </c>
      <c r="L226" s="80">
        <f t="shared" si="65"/>
        <v>1600</v>
      </c>
      <c r="M226" s="80">
        <f t="shared" si="65"/>
        <v>1600</v>
      </c>
      <c r="N226" s="80">
        <f t="shared" si="65"/>
        <v>4800</v>
      </c>
      <c r="O226" s="80">
        <f t="shared" si="65"/>
        <v>6400</v>
      </c>
      <c r="P226" s="85">
        <f t="shared" si="57"/>
        <v>8000</v>
      </c>
      <c r="Q226" s="80">
        <f>MIN($G226-SUM($P226:P226),J226)</f>
        <v>7040</v>
      </c>
      <c r="R226" s="80">
        <f>MIN($G226-SUM($P226:Q226),K226)</f>
        <v>2560</v>
      </c>
      <c r="S226" s="80">
        <f>MIN($G226-SUM($P226:R226),L226)</f>
        <v>1600</v>
      </c>
      <c r="T226" s="80">
        <f>MIN($G226-SUM($P226:S226),M226)</f>
        <v>850</v>
      </c>
      <c r="U226" s="80">
        <f>MIN($G226-SUM($P226:T226),N226)</f>
        <v>0</v>
      </c>
      <c r="V226" s="86">
        <f>MIN($G226-SUM($P226:U226),O226)</f>
        <v>0</v>
      </c>
      <c r="W226" s="10">
        <f t="shared" si="58"/>
        <v>20050</v>
      </c>
      <c r="X226" s="10">
        <f t="shared" si="59"/>
        <v>0</v>
      </c>
      <c r="Y226" s="65">
        <f t="shared" si="60"/>
        <v>1002500</v>
      </c>
      <c r="Z226" s="87">
        <f t="shared" si="66"/>
        <v>44206</v>
      </c>
      <c r="AA226" s="13">
        <f t="shared" si="66"/>
        <v>44207</v>
      </c>
      <c r="AB226" s="13">
        <f t="shared" si="66"/>
        <v>44208</v>
      </c>
      <c r="AC226" s="13">
        <f t="shared" si="66"/>
        <v>44209</v>
      </c>
      <c r="AD226" s="13">
        <f t="shared" si="66"/>
        <v>44210</v>
      </c>
      <c r="AE226" s="13">
        <f t="shared" si="66"/>
        <v>44211</v>
      </c>
      <c r="AF226" s="13">
        <f t="shared" si="66"/>
        <v>44212</v>
      </c>
      <c r="AG226" s="88">
        <f t="shared" si="62"/>
        <v>400000</v>
      </c>
      <c r="AH226" s="67">
        <f t="shared" si="62"/>
        <v>352000</v>
      </c>
      <c r="AI226" s="67">
        <f t="shared" si="62"/>
        <v>128000</v>
      </c>
      <c r="AJ226" s="67">
        <f t="shared" si="62"/>
        <v>80000</v>
      </c>
      <c r="AK226" s="67">
        <f t="shared" si="62"/>
        <v>42500</v>
      </c>
      <c r="AL226" s="67">
        <f t="shared" si="62"/>
        <v>0</v>
      </c>
      <c r="AM226" s="90">
        <f t="shared" si="62"/>
        <v>0</v>
      </c>
      <c r="AP226" s="10"/>
    </row>
    <row r="227" spans="2:42" s="6" customFormat="1" ht="13.2">
      <c r="B227" s="13">
        <f t="shared" si="51"/>
        <v>44219</v>
      </c>
      <c r="C227" s="10">
        <f t="shared" si="52"/>
        <v>1</v>
      </c>
      <c r="D227" s="10">
        <f t="shared" si="63"/>
        <v>15000</v>
      </c>
      <c r="E227" s="65">
        <f t="shared" si="64"/>
        <v>30</v>
      </c>
      <c r="F227" s="10">
        <f t="shared" si="53"/>
        <v>30000</v>
      </c>
      <c r="G227" s="83">
        <f t="shared" si="54"/>
        <v>20000</v>
      </c>
      <c r="H227" s="10">
        <f t="shared" si="55"/>
        <v>15000</v>
      </c>
      <c r="I227" s="85">
        <f t="shared" si="65"/>
        <v>3750</v>
      </c>
      <c r="J227" s="80">
        <f t="shared" si="65"/>
        <v>3300</v>
      </c>
      <c r="K227" s="80">
        <f t="shared" si="65"/>
        <v>1200</v>
      </c>
      <c r="L227" s="80">
        <f t="shared" si="65"/>
        <v>750</v>
      </c>
      <c r="M227" s="80">
        <f t="shared" si="65"/>
        <v>750</v>
      </c>
      <c r="N227" s="80">
        <f t="shared" si="65"/>
        <v>2250</v>
      </c>
      <c r="O227" s="80">
        <f t="shared" si="65"/>
        <v>3000</v>
      </c>
      <c r="P227" s="85">
        <f t="shared" si="57"/>
        <v>3750</v>
      </c>
      <c r="Q227" s="80">
        <f>MIN($G227-SUM($P227:P227),J227)</f>
        <v>3300</v>
      </c>
      <c r="R227" s="80">
        <f>MIN($G227-SUM($P227:Q227),K227)</f>
        <v>1200</v>
      </c>
      <c r="S227" s="80">
        <f>MIN($G227-SUM($P227:R227),L227)</f>
        <v>750</v>
      </c>
      <c r="T227" s="80">
        <f>MIN($G227-SUM($P227:S227),M227)</f>
        <v>750</v>
      </c>
      <c r="U227" s="80">
        <f>MIN($G227-SUM($P227:T227),N227)</f>
        <v>2250</v>
      </c>
      <c r="V227" s="86">
        <f>MIN($G227-SUM($P227:U227),O227)</f>
        <v>3000</v>
      </c>
      <c r="W227" s="10">
        <f t="shared" si="58"/>
        <v>15000</v>
      </c>
      <c r="X227" s="10">
        <f t="shared" si="59"/>
        <v>0</v>
      </c>
      <c r="Y227" s="65">
        <f t="shared" si="60"/>
        <v>450000</v>
      </c>
      <c r="Z227" s="87">
        <f t="shared" si="66"/>
        <v>44213</v>
      </c>
      <c r="AA227" s="13">
        <f t="shared" si="66"/>
        <v>44214</v>
      </c>
      <c r="AB227" s="13">
        <f t="shared" si="66"/>
        <v>44215</v>
      </c>
      <c r="AC227" s="13">
        <f t="shared" si="66"/>
        <v>44216</v>
      </c>
      <c r="AD227" s="13">
        <f t="shared" si="66"/>
        <v>44217</v>
      </c>
      <c r="AE227" s="13">
        <f t="shared" si="66"/>
        <v>44218</v>
      </c>
      <c r="AF227" s="13">
        <f t="shared" si="66"/>
        <v>44219</v>
      </c>
      <c r="AG227" s="88">
        <f t="shared" si="62"/>
        <v>112500</v>
      </c>
      <c r="AH227" s="67">
        <f t="shared" si="62"/>
        <v>99000</v>
      </c>
      <c r="AI227" s="67">
        <f t="shared" si="62"/>
        <v>36000</v>
      </c>
      <c r="AJ227" s="67">
        <f t="shared" si="62"/>
        <v>22500</v>
      </c>
      <c r="AK227" s="67">
        <f t="shared" si="62"/>
        <v>22500</v>
      </c>
      <c r="AL227" s="67">
        <f t="shared" si="62"/>
        <v>67500</v>
      </c>
      <c r="AM227" s="90">
        <f t="shared" si="62"/>
        <v>90000</v>
      </c>
      <c r="AP227" s="10"/>
    </row>
    <row r="228" spans="2:42" s="6" customFormat="1" ht="13.2">
      <c r="B228" s="13">
        <f t="shared" si="51"/>
        <v>44226</v>
      </c>
      <c r="C228" s="10">
        <f t="shared" si="52"/>
        <v>4</v>
      </c>
      <c r="D228" s="10">
        <f t="shared" si="63"/>
        <v>40000</v>
      </c>
      <c r="E228" s="65">
        <f t="shared" si="64"/>
        <v>60</v>
      </c>
      <c r="F228" s="10">
        <f t="shared" si="53"/>
        <v>30000</v>
      </c>
      <c r="G228" s="83">
        <f t="shared" si="54"/>
        <v>20000</v>
      </c>
      <c r="H228" s="10">
        <f t="shared" si="55"/>
        <v>20000</v>
      </c>
      <c r="I228" s="85">
        <f t="shared" si="65"/>
        <v>10000</v>
      </c>
      <c r="J228" s="80">
        <f t="shared" si="65"/>
        <v>8800</v>
      </c>
      <c r="K228" s="80">
        <f t="shared" si="65"/>
        <v>3200</v>
      </c>
      <c r="L228" s="80">
        <f t="shared" si="65"/>
        <v>2000</v>
      </c>
      <c r="M228" s="80">
        <f t="shared" si="65"/>
        <v>2000</v>
      </c>
      <c r="N228" s="80">
        <f t="shared" si="65"/>
        <v>6000</v>
      </c>
      <c r="O228" s="80">
        <f t="shared" si="65"/>
        <v>8000</v>
      </c>
      <c r="P228" s="85">
        <f t="shared" si="57"/>
        <v>10000</v>
      </c>
      <c r="Q228" s="80">
        <f>MIN($G228-SUM($P228:P228),J228)</f>
        <v>8800</v>
      </c>
      <c r="R228" s="80">
        <f>MIN($G228-SUM($P228:Q228),K228)</f>
        <v>1200</v>
      </c>
      <c r="S228" s="80">
        <f>MIN($G228-SUM($P228:R228),L228)</f>
        <v>0</v>
      </c>
      <c r="T228" s="80">
        <f>MIN($G228-SUM($P228:S228),M228)</f>
        <v>0</v>
      </c>
      <c r="U228" s="80">
        <f>MIN($G228-SUM($P228:T228),N228)</f>
        <v>0</v>
      </c>
      <c r="V228" s="86">
        <f>MIN($G228-SUM($P228:U228),O228)</f>
        <v>0</v>
      </c>
      <c r="W228" s="10">
        <f t="shared" si="58"/>
        <v>20000</v>
      </c>
      <c r="X228" s="10">
        <f t="shared" si="59"/>
        <v>0</v>
      </c>
      <c r="Y228" s="65">
        <f t="shared" si="60"/>
        <v>1200000</v>
      </c>
      <c r="Z228" s="87">
        <f t="shared" si="66"/>
        <v>44220</v>
      </c>
      <c r="AA228" s="13">
        <f t="shared" si="66"/>
        <v>44221</v>
      </c>
      <c r="AB228" s="13">
        <f t="shared" si="66"/>
        <v>44222</v>
      </c>
      <c r="AC228" s="13">
        <f t="shared" si="66"/>
        <v>44223</v>
      </c>
      <c r="AD228" s="13">
        <f t="shared" si="66"/>
        <v>44224</v>
      </c>
      <c r="AE228" s="13">
        <f t="shared" si="66"/>
        <v>44225</v>
      </c>
      <c r="AF228" s="13">
        <f t="shared" si="66"/>
        <v>44226</v>
      </c>
      <c r="AG228" s="88">
        <f t="shared" si="62"/>
        <v>600000</v>
      </c>
      <c r="AH228" s="67">
        <f t="shared" si="62"/>
        <v>528000</v>
      </c>
      <c r="AI228" s="67">
        <f t="shared" si="62"/>
        <v>72000</v>
      </c>
      <c r="AJ228" s="67">
        <f t="shared" si="62"/>
        <v>0</v>
      </c>
      <c r="AK228" s="67">
        <f t="shared" si="62"/>
        <v>0</v>
      </c>
      <c r="AL228" s="67">
        <f t="shared" si="62"/>
        <v>0</v>
      </c>
      <c r="AM228" s="90">
        <f t="shared" si="62"/>
        <v>0</v>
      </c>
      <c r="AP228" s="10"/>
    </row>
    <row r="229" spans="2:42" s="6" customFormat="1" ht="13.2">
      <c r="B229" s="13">
        <f t="shared" si="51"/>
        <v>44233</v>
      </c>
      <c r="C229" s="10">
        <f t="shared" si="52"/>
        <v>2</v>
      </c>
      <c r="D229" s="10">
        <f t="shared" si="63"/>
        <v>25000</v>
      </c>
      <c r="E229" s="65">
        <f t="shared" si="64"/>
        <v>40</v>
      </c>
      <c r="F229" s="10">
        <f t="shared" si="53"/>
        <v>30000</v>
      </c>
      <c r="G229" s="83">
        <f t="shared" si="54"/>
        <v>20000</v>
      </c>
      <c r="H229" s="10">
        <f t="shared" si="55"/>
        <v>20000</v>
      </c>
      <c r="I229" s="85">
        <f t="shared" si="65"/>
        <v>6250</v>
      </c>
      <c r="J229" s="80">
        <f t="shared" si="65"/>
        <v>5500</v>
      </c>
      <c r="K229" s="80">
        <f t="shared" si="65"/>
        <v>2000</v>
      </c>
      <c r="L229" s="80">
        <f t="shared" si="65"/>
        <v>1250</v>
      </c>
      <c r="M229" s="80">
        <f t="shared" si="65"/>
        <v>1250</v>
      </c>
      <c r="N229" s="80">
        <f t="shared" si="65"/>
        <v>3750</v>
      </c>
      <c r="O229" s="80">
        <f t="shared" si="65"/>
        <v>5000</v>
      </c>
      <c r="P229" s="85">
        <f t="shared" si="57"/>
        <v>6250</v>
      </c>
      <c r="Q229" s="80">
        <f>MIN($G229-SUM($P229:P229),J229)</f>
        <v>5500</v>
      </c>
      <c r="R229" s="80">
        <f>MIN($G229-SUM($P229:Q229),K229)</f>
        <v>2000</v>
      </c>
      <c r="S229" s="80">
        <f>MIN($G229-SUM($P229:R229),L229)</f>
        <v>1250</v>
      </c>
      <c r="T229" s="80">
        <f>MIN($G229-SUM($P229:S229),M229)</f>
        <v>1250</v>
      </c>
      <c r="U229" s="80">
        <f>MIN($G229-SUM($P229:T229),N229)</f>
        <v>3750</v>
      </c>
      <c r="V229" s="86">
        <f>MIN($G229-SUM($P229:U229),O229)</f>
        <v>0</v>
      </c>
      <c r="W229" s="10">
        <f t="shared" si="58"/>
        <v>20000</v>
      </c>
      <c r="X229" s="10">
        <f t="shared" si="59"/>
        <v>0</v>
      </c>
      <c r="Y229" s="65">
        <f t="shared" si="60"/>
        <v>800000</v>
      </c>
      <c r="Z229" s="87">
        <f t="shared" si="66"/>
        <v>44227</v>
      </c>
      <c r="AA229" s="13">
        <f t="shared" si="66"/>
        <v>44228</v>
      </c>
      <c r="AB229" s="13">
        <f t="shared" si="66"/>
        <v>44229</v>
      </c>
      <c r="AC229" s="13">
        <f t="shared" si="66"/>
        <v>44230</v>
      </c>
      <c r="AD229" s="13">
        <f t="shared" si="66"/>
        <v>44231</v>
      </c>
      <c r="AE229" s="13">
        <f t="shared" si="66"/>
        <v>44232</v>
      </c>
      <c r="AF229" s="13">
        <f t="shared" si="66"/>
        <v>44233</v>
      </c>
      <c r="AG229" s="88">
        <f t="shared" si="62"/>
        <v>250000</v>
      </c>
      <c r="AH229" s="67">
        <f t="shared" si="62"/>
        <v>220000</v>
      </c>
      <c r="AI229" s="67">
        <f t="shared" si="62"/>
        <v>80000</v>
      </c>
      <c r="AJ229" s="67">
        <f t="shared" si="62"/>
        <v>50000</v>
      </c>
      <c r="AK229" s="67">
        <f t="shared" si="62"/>
        <v>50000</v>
      </c>
      <c r="AL229" s="67">
        <f t="shared" si="62"/>
        <v>150000</v>
      </c>
      <c r="AM229" s="90">
        <f t="shared" si="62"/>
        <v>0</v>
      </c>
      <c r="AP229" s="10"/>
    </row>
    <row r="230" spans="2:42" s="6" customFormat="1" ht="13.2">
      <c r="B230" s="13">
        <f t="shared" si="51"/>
        <v>44240</v>
      </c>
      <c r="C230" s="10">
        <f t="shared" si="52"/>
        <v>2</v>
      </c>
      <c r="D230" s="10">
        <f t="shared" si="63"/>
        <v>25000</v>
      </c>
      <c r="E230" s="65">
        <f t="shared" si="64"/>
        <v>40</v>
      </c>
      <c r="F230" s="10">
        <f t="shared" si="53"/>
        <v>30000</v>
      </c>
      <c r="G230" s="83">
        <f t="shared" si="54"/>
        <v>20000</v>
      </c>
      <c r="H230" s="10">
        <f t="shared" si="55"/>
        <v>20000</v>
      </c>
      <c r="I230" s="85">
        <f t="shared" si="65"/>
        <v>6250</v>
      </c>
      <c r="J230" s="80">
        <f t="shared" si="65"/>
        <v>5500</v>
      </c>
      <c r="K230" s="80">
        <f t="shared" si="65"/>
        <v>2000</v>
      </c>
      <c r="L230" s="80">
        <f t="shared" si="65"/>
        <v>1250</v>
      </c>
      <c r="M230" s="80">
        <f t="shared" si="65"/>
        <v>1250</v>
      </c>
      <c r="N230" s="80">
        <f t="shared" si="65"/>
        <v>3750</v>
      </c>
      <c r="O230" s="80">
        <f t="shared" si="65"/>
        <v>5000</v>
      </c>
      <c r="P230" s="85">
        <f t="shared" si="57"/>
        <v>6250</v>
      </c>
      <c r="Q230" s="80">
        <f>MIN($G230-SUM($P230:P230),J230)</f>
        <v>5500</v>
      </c>
      <c r="R230" s="80">
        <f>MIN($G230-SUM($P230:Q230),K230)</f>
        <v>2000</v>
      </c>
      <c r="S230" s="80">
        <f>MIN($G230-SUM($P230:R230),L230)</f>
        <v>1250</v>
      </c>
      <c r="T230" s="80">
        <f>MIN($G230-SUM($P230:S230),M230)</f>
        <v>1250</v>
      </c>
      <c r="U230" s="80">
        <f>MIN($G230-SUM($P230:T230),N230)</f>
        <v>3750</v>
      </c>
      <c r="V230" s="86">
        <f>MIN($G230-SUM($P230:U230),O230)</f>
        <v>0</v>
      </c>
      <c r="W230" s="10">
        <f t="shared" si="58"/>
        <v>20000</v>
      </c>
      <c r="X230" s="10">
        <f t="shared" si="59"/>
        <v>0</v>
      </c>
      <c r="Y230" s="65">
        <f t="shared" si="60"/>
        <v>800000</v>
      </c>
      <c r="Z230" s="87">
        <f t="shared" si="66"/>
        <v>44234</v>
      </c>
      <c r="AA230" s="13">
        <f t="shared" si="66"/>
        <v>44235</v>
      </c>
      <c r="AB230" s="13">
        <f t="shared" si="66"/>
        <v>44236</v>
      </c>
      <c r="AC230" s="13">
        <f t="shared" si="66"/>
        <v>44237</v>
      </c>
      <c r="AD230" s="13">
        <f t="shared" si="66"/>
        <v>44238</v>
      </c>
      <c r="AE230" s="13">
        <f t="shared" si="66"/>
        <v>44239</v>
      </c>
      <c r="AF230" s="13">
        <f t="shared" si="66"/>
        <v>44240</v>
      </c>
      <c r="AG230" s="88">
        <f t="shared" si="62"/>
        <v>250000</v>
      </c>
      <c r="AH230" s="67">
        <f t="shared" si="62"/>
        <v>220000</v>
      </c>
      <c r="AI230" s="67">
        <f t="shared" si="62"/>
        <v>80000</v>
      </c>
      <c r="AJ230" s="67">
        <f t="shared" si="62"/>
        <v>50000</v>
      </c>
      <c r="AK230" s="67">
        <f t="shared" si="62"/>
        <v>50000</v>
      </c>
      <c r="AL230" s="67">
        <f t="shared" si="62"/>
        <v>150000</v>
      </c>
      <c r="AM230" s="90">
        <f t="shared" si="62"/>
        <v>0</v>
      </c>
      <c r="AP230" s="10"/>
    </row>
    <row r="231" spans="2:42" s="6" customFormat="1" ht="13.2">
      <c r="B231" s="13">
        <f t="shared" si="51"/>
        <v>44247</v>
      </c>
      <c r="C231" s="10">
        <f t="shared" si="52"/>
        <v>2</v>
      </c>
      <c r="D231" s="10">
        <f t="shared" si="63"/>
        <v>25000</v>
      </c>
      <c r="E231" s="65">
        <f t="shared" si="64"/>
        <v>40</v>
      </c>
      <c r="F231" s="10">
        <f t="shared" si="53"/>
        <v>30000</v>
      </c>
      <c r="G231" s="83">
        <f t="shared" si="54"/>
        <v>20000</v>
      </c>
      <c r="H231" s="10">
        <f t="shared" si="55"/>
        <v>20000</v>
      </c>
      <c r="I231" s="85">
        <f t="shared" si="65"/>
        <v>6250</v>
      </c>
      <c r="J231" s="80">
        <f t="shared" si="65"/>
        <v>5500</v>
      </c>
      <c r="K231" s="80">
        <f t="shared" si="65"/>
        <v>2000</v>
      </c>
      <c r="L231" s="80">
        <f t="shared" si="65"/>
        <v>1250</v>
      </c>
      <c r="M231" s="80">
        <f t="shared" si="65"/>
        <v>1250</v>
      </c>
      <c r="N231" s="80">
        <f t="shared" si="65"/>
        <v>3750</v>
      </c>
      <c r="O231" s="80">
        <f t="shared" si="65"/>
        <v>5000</v>
      </c>
      <c r="P231" s="85">
        <f t="shared" si="57"/>
        <v>6250</v>
      </c>
      <c r="Q231" s="80">
        <f>MIN($G231-SUM($P231:P231),J231)</f>
        <v>5500</v>
      </c>
      <c r="R231" s="80">
        <f>MIN($G231-SUM($P231:Q231),K231)</f>
        <v>2000</v>
      </c>
      <c r="S231" s="80">
        <f>MIN($G231-SUM($P231:R231),L231)</f>
        <v>1250</v>
      </c>
      <c r="T231" s="80">
        <f>MIN($G231-SUM($P231:S231),M231)</f>
        <v>1250</v>
      </c>
      <c r="U231" s="80">
        <f>MIN($G231-SUM($P231:T231),N231)</f>
        <v>3750</v>
      </c>
      <c r="V231" s="86">
        <f>MIN($G231-SUM($P231:U231),O231)</f>
        <v>0</v>
      </c>
      <c r="W231" s="10">
        <f t="shared" si="58"/>
        <v>20000</v>
      </c>
      <c r="X231" s="10">
        <f t="shared" si="59"/>
        <v>0</v>
      </c>
      <c r="Y231" s="65">
        <f t="shared" si="60"/>
        <v>800000</v>
      </c>
      <c r="Z231" s="87">
        <f t="shared" si="66"/>
        <v>44241</v>
      </c>
      <c r="AA231" s="13">
        <f t="shared" si="66"/>
        <v>44242</v>
      </c>
      <c r="AB231" s="13">
        <f t="shared" si="66"/>
        <v>44243</v>
      </c>
      <c r="AC231" s="13">
        <f t="shared" si="66"/>
        <v>44244</v>
      </c>
      <c r="AD231" s="13">
        <f t="shared" si="66"/>
        <v>44245</v>
      </c>
      <c r="AE231" s="13">
        <f t="shared" si="66"/>
        <v>44246</v>
      </c>
      <c r="AF231" s="13">
        <f t="shared" si="66"/>
        <v>44247</v>
      </c>
      <c r="AG231" s="88">
        <f t="shared" si="62"/>
        <v>250000</v>
      </c>
      <c r="AH231" s="67">
        <f t="shared" si="62"/>
        <v>220000</v>
      </c>
      <c r="AI231" s="67">
        <f t="shared" si="62"/>
        <v>80000</v>
      </c>
      <c r="AJ231" s="67">
        <f t="shared" si="62"/>
        <v>50000</v>
      </c>
      <c r="AK231" s="67">
        <f t="shared" si="62"/>
        <v>50000</v>
      </c>
      <c r="AL231" s="67">
        <f t="shared" si="62"/>
        <v>150000</v>
      </c>
      <c r="AM231" s="90">
        <f t="shared" si="62"/>
        <v>0</v>
      </c>
    </row>
    <row r="232" spans="2:42" s="6" customFormat="1" ht="13.2">
      <c r="B232" s="13">
        <f t="shared" si="51"/>
        <v>44254</v>
      </c>
      <c r="C232" s="10">
        <f t="shared" si="52"/>
        <v>3</v>
      </c>
      <c r="D232" s="10">
        <f t="shared" si="63"/>
        <v>32000</v>
      </c>
      <c r="E232" s="65">
        <f t="shared" si="64"/>
        <v>50</v>
      </c>
      <c r="F232" s="10">
        <f t="shared" si="53"/>
        <v>30000</v>
      </c>
      <c r="G232" s="83">
        <f t="shared" si="54"/>
        <v>20000</v>
      </c>
      <c r="H232" s="10">
        <f t="shared" si="55"/>
        <v>20000</v>
      </c>
      <c r="I232" s="85">
        <f t="shared" si="65"/>
        <v>8000</v>
      </c>
      <c r="J232" s="80">
        <f t="shared" si="65"/>
        <v>7040</v>
      </c>
      <c r="K232" s="80">
        <f t="shared" si="65"/>
        <v>2560</v>
      </c>
      <c r="L232" s="80">
        <f t="shared" si="65"/>
        <v>1600</v>
      </c>
      <c r="M232" s="80">
        <f t="shared" si="65"/>
        <v>1600</v>
      </c>
      <c r="N232" s="80">
        <f t="shared" si="65"/>
        <v>4800</v>
      </c>
      <c r="O232" s="80">
        <f t="shared" si="65"/>
        <v>6400</v>
      </c>
      <c r="P232" s="85">
        <f t="shared" si="57"/>
        <v>8000</v>
      </c>
      <c r="Q232" s="80">
        <f>MIN($G232-SUM($P232:P232),J232)</f>
        <v>7040</v>
      </c>
      <c r="R232" s="80">
        <f>MIN($G232-SUM($P232:Q232),K232)</f>
        <v>2560</v>
      </c>
      <c r="S232" s="80">
        <f>MIN($G232-SUM($P232:R232),L232)</f>
        <v>1600</v>
      </c>
      <c r="T232" s="80">
        <f>MIN($G232-SUM($P232:S232),M232)</f>
        <v>800</v>
      </c>
      <c r="U232" s="80">
        <f>MIN($G232-SUM($P232:T232),N232)</f>
        <v>0</v>
      </c>
      <c r="V232" s="86">
        <f>MIN($G232-SUM($P232:U232),O232)</f>
        <v>0</v>
      </c>
      <c r="W232" s="10">
        <f t="shared" si="58"/>
        <v>20000</v>
      </c>
      <c r="X232" s="10">
        <f t="shared" si="59"/>
        <v>0</v>
      </c>
      <c r="Y232" s="65">
        <f t="shared" si="60"/>
        <v>1000000</v>
      </c>
      <c r="Z232" s="87">
        <f t="shared" si="66"/>
        <v>44248</v>
      </c>
      <c r="AA232" s="13">
        <f t="shared" si="66"/>
        <v>44249</v>
      </c>
      <c r="AB232" s="13">
        <f t="shared" si="66"/>
        <v>44250</v>
      </c>
      <c r="AC232" s="13">
        <f t="shared" si="66"/>
        <v>44251</v>
      </c>
      <c r="AD232" s="13">
        <f t="shared" si="66"/>
        <v>44252</v>
      </c>
      <c r="AE232" s="13">
        <f t="shared" si="66"/>
        <v>44253</v>
      </c>
      <c r="AF232" s="13">
        <f t="shared" si="66"/>
        <v>44254</v>
      </c>
      <c r="AG232" s="88">
        <f t="shared" si="62"/>
        <v>400000</v>
      </c>
      <c r="AH232" s="67">
        <f t="shared" si="62"/>
        <v>352000</v>
      </c>
      <c r="AI232" s="67">
        <f t="shared" si="62"/>
        <v>128000</v>
      </c>
      <c r="AJ232" s="67">
        <f t="shared" si="62"/>
        <v>80000</v>
      </c>
      <c r="AK232" s="67">
        <f t="shared" si="62"/>
        <v>40000</v>
      </c>
      <c r="AL232" s="67">
        <f t="shared" si="62"/>
        <v>0</v>
      </c>
      <c r="AM232" s="90">
        <f t="shared" si="62"/>
        <v>0</v>
      </c>
    </row>
    <row r="233" spans="2:42" s="6" customFormat="1" ht="13.2">
      <c r="B233" s="13">
        <f t="shared" si="51"/>
        <v>44261</v>
      </c>
      <c r="C233" s="10">
        <f t="shared" si="52"/>
        <v>1</v>
      </c>
      <c r="D233" s="10">
        <f t="shared" si="63"/>
        <v>15000</v>
      </c>
      <c r="E233" s="65">
        <f t="shared" si="64"/>
        <v>30</v>
      </c>
      <c r="F233" s="10">
        <f t="shared" si="53"/>
        <v>30000</v>
      </c>
      <c r="G233" s="83">
        <f t="shared" si="54"/>
        <v>20000</v>
      </c>
      <c r="H233" s="10">
        <f t="shared" si="55"/>
        <v>15000</v>
      </c>
      <c r="I233" s="85">
        <f t="shared" si="65"/>
        <v>3750</v>
      </c>
      <c r="J233" s="80">
        <f t="shared" si="65"/>
        <v>3300</v>
      </c>
      <c r="K233" s="80">
        <f t="shared" si="65"/>
        <v>1200</v>
      </c>
      <c r="L233" s="80">
        <f t="shared" si="65"/>
        <v>750</v>
      </c>
      <c r="M233" s="80">
        <f t="shared" si="65"/>
        <v>750</v>
      </c>
      <c r="N233" s="80">
        <f t="shared" si="65"/>
        <v>2250</v>
      </c>
      <c r="O233" s="80">
        <f t="shared" si="65"/>
        <v>3000</v>
      </c>
      <c r="P233" s="85">
        <f t="shared" si="57"/>
        <v>3750</v>
      </c>
      <c r="Q233" s="80">
        <f>MIN($G233-SUM($P233:P233),J233)</f>
        <v>3300</v>
      </c>
      <c r="R233" s="80">
        <f>MIN($G233-SUM($P233:Q233),K233)</f>
        <v>1200</v>
      </c>
      <c r="S233" s="80">
        <f>MIN($G233-SUM($P233:R233),L233)</f>
        <v>750</v>
      </c>
      <c r="T233" s="80">
        <f>MIN($G233-SUM($P233:S233),M233)</f>
        <v>750</v>
      </c>
      <c r="U233" s="80">
        <f>MIN($G233-SUM($P233:T233),N233)</f>
        <v>2250</v>
      </c>
      <c r="V233" s="86">
        <f>MIN($G233-SUM($P233:U233),O233)</f>
        <v>3000</v>
      </c>
      <c r="W233" s="10">
        <f t="shared" si="58"/>
        <v>15000</v>
      </c>
      <c r="X233" s="10">
        <f t="shared" si="59"/>
        <v>0</v>
      </c>
      <c r="Y233" s="65">
        <f t="shared" si="60"/>
        <v>450000</v>
      </c>
      <c r="Z233" s="87">
        <f t="shared" si="66"/>
        <v>44255</v>
      </c>
      <c r="AA233" s="13">
        <f t="shared" si="66"/>
        <v>44256</v>
      </c>
      <c r="AB233" s="13">
        <f t="shared" si="66"/>
        <v>44257</v>
      </c>
      <c r="AC233" s="13">
        <f t="shared" si="66"/>
        <v>44258</v>
      </c>
      <c r="AD233" s="13">
        <f t="shared" si="66"/>
        <v>44259</v>
      </c>
      <c r="AE233" s="13">
        <f t="shared" si="66"/>
        <v>44260</v>
      </c>
      <c r="AF233" s="13">
        <f t="shared" si="66"/>
        <v>44261</v>
      </c>
      <c r="AG233" s="88">
        <f t="shared" si="62"/>
        <v>112500</v>
      </c>
      <c r="AH233" s="67">
        <f t="shared" si="62"/>
        <v>99000</v>
      </c>
      <c r="AI233" s="67">
        <f t="shared" si="62"/>
        <v>36000</v>
      </c>
      <c r="AJ233" s="67">
        <f t="shared" si="62"/>
        <v>22500</v>
      </c>
      <c r="AK233" s="67">
        <f t="shared" si="62"/>
        <v>22500</v>
      </c>
      <c r="AL233" s="67">
        <f t="shared" si="62"/>
        <v>67500</v>
      </c>
      <c r="AM233" s="90">
        <f t="shared" si="62"/>
        <v>90000</v>
      </c>
    </row>
    <row r="234" spans="2:42" s="6" customFormat="1" ht="13.2">
      <c r="B234" s="13">
        <f t="shared" si="51"/>
        <v>44268</v>
      </c>
      <c r="C234" s="10">
        <f t="shared" si="52"/>
        <v>2</v>
      </c>
      <c r="D234" s="10">
        <f t="shared" si="63"/>
        <v>25000</v>
      </c>
      <c r="E234" s="65">
        <f t="shared" si="64"/>
        <v>40</v>
      </c>
      <c r="F234" s="10">
        <f t="shared" si="53"/>
        <v>30000</v>
      </c>
      <c r="G234" s="83">
        <f t="shared" si="54"/>
        <v>20000</v>
      </c>
      <c r="H234" s="10">
        <f t="shared" si="55"/>
        <v>20000</v>
      </c>
      <c r="I234" s="85">
        <f t="shared" si="65"/>
        <v>6250</v>
      </c>
      <c r="J234" s="80">
        <f t="shared" si="65"/>
        <v>5500</v>
      </c>
      <c r="K234" s="80">
        <f t="shared" si="65"/>
        <v>2000</v>
      </c>
      <c r="L234" s="80">
        <f t="shared" si="65"/>
        <v>1250</v>
      </c>
      <c r="M234" s="80">
        <f t="shared" si="65"/>
        <v>1250</v>
      </c>
      <c r="N234" s="80">
        <f t="shared" si="65"/>
        <v>3750</v>
      </c>
      <c r="O234" s="80">
        <f t="shared" si="65"/>
        <v>5000</v>
      </c>
      <c r="P234" s="85">
        <f t="shared" si="57"/>
        <v>6250</v>
      </c>
      <c r="Q234" s="80">
        <f>MIN($G234-SUM($P234:P234),J234)</f>
        <v>5500</v>
      </c>
      <c r="R234" s="80">
        <f>MIN($G234-SUM($P234:Q234),K234)</f>
        <v>2000</v>
      </c>
      <c r="S234" s="80">
        <f>MIN($G234-SUM($P234:R234),L234)</f>
        <v>1250</v>
      </c>
      <c r="T234" s="80">
        <f>MIN($G234-SUM($P234:S234),M234)</f>
        <v>1250</v>
      </c>
      <c r="U234" s="80">
        <f>MIN($G234-SUM($P234:T234),N234)</f>
        <v>3750</v>
      </c>
      <c r="V234" s="86">
        <f>MIN($G234-SUM($P234:U234),O234)</f>
        <v>0</v>
      </c>
      <c r="W234" s="10">
        <f t="shared" si="58"/>
        <v>20000</v>
      </c>
      <c r="X234" s="10">
        <f t="shared" si="59"/>
        <v>0</v>
      </c>
      <c r="Y234" s="65">
        <f t="shared" si="60"/>
        <v>800000</v>
      </c>
      <c r="Z234" s="87">
        <f t="shared" si="66"/>
        <v>44262</v>
      </c>
      <c r="AA234" s="13">
        <f t="shared" si="66"/>
        <v>44263</v>
      </c>
      <c r="AB234" s="13">
        <f t="shared" si="66"/>
        <v>44264</v>
      </c>
      <c r="AC234" s="13">
        <f t="shared" si="66"/>
        <v>44265</v>
      </c>
      <c r="AD234" s="13">
        <f t="shared" si="66"/>
        <v>44266</v>
      </c>
      <c r="AE234" s="13">
        <f t="shared" si="66"/>
        <v>44267</v>
      </c>
      <c r="AF234" s="13">
        <f t="shared" si="66"/>
        <v>44268</v>
      </c>
      <c r="AG234" s="88">
        <f t="shared" si="62"/>
        <v>250000</v>
      </c>
      <c r="AH234" s="67">
        <f t="shared" si="62"/>
        <v>220000</v>
      </c>
      <c r="AI234" s="67">
        <f t="shared" si="62"/>
        <v>80000</v>
      </c>
      <c r="AJ234" s="67">
        <f t="shared" si="62"/>
        <v>50000</v>
      </c>
      <c r="AK234" s="67">
        <f t="shared" si="62"/>
        <v>50000</v>
      </c>
      <c r="AL234" s="67">
        <f t="shared" si="62"/>
        <v>150000</v>
      </c>
      <c r="AM234" s="90">
        <f t="shared" si="62"/>
        <v>0</v>
      </c>
    </row>
    <row r="235" spans="2:42" s="6" customFormat="1" ht="13.2">
      <c r="B235" s="13">
        <f t="shared" si="51"/>
        <v>44275</v>
      </c>
      <c r="C235" s="10">
        <f t="shared" si="52"/>
        <v>2</v>
      </c>
      <c r="D235" s="10">
        <f t="shared" si="63"/>
        <v>25000</v>
      </c>
      <c r="E235" s="65">
        <f t="shared" si="64"/>
        <v>40</v>
      </c>
      <c r="F235" s="10">
        <f t="shared" si="53"/>
        <v>30000</v>
      </c>
      <c r="G235" s="83">
        <f t="shared" si="54"/>
        <v>20000</v>
      </c>
      <c r="H235" s="10">
        <f t="shared" si="55"/>
        <v>20000</v>
      </c>
      <c r="I235" s="85">
        <f t="shared" si="65"/>
        <v>6250</v>
      </c>
      <c r="J235" s="80">
        <f t="shared" si="65"/>
        <v>5500</v>
      </c>
      <c r="K235" s="80">
        <f t="shared" si="65"/>
        <v>2000</v>
      </c>
      <c r="L235" s="80">
        <f t="shared" si="65"/>
        <v>1250</v>
      </c>
      <c r="M235" s="80">
        <f t="shared" si="65"/>
        <v>1250</v>
      </c>
      <c r="N235" s="80">
        <f t="shared" si="65"/>
        <v>3750</v>
      </c>
      <c r="O235" s="80">
        <f t="shared" si="65"/>
        <v>5000</v>
      </c>
      <c r="P235" s="85">
        <f t="shared" si="57"/>
        <v>6250</v>
      </c>
      <c r="Q235" s="80">
        <f>MIN($G235-SUM($P235:P235),J235)</f>
        <v>5500</v>
      </c>
      <c r="R235" s="80">
        <f>MIN($G235-SUM($P235:Q235),K235)</f>
        <v>2000</v>
      </c>
      <c r="S235" s="80">
        <f>MIN($G235-SUM($P235:R235),L235)</f>
        <v>1250</v>
      </c>
      <c r="T235" s="80">
        <f>MIN($G235-SUM($P235:S235),M235)</f>
        <v>1250</v>
      </c>
      <c r="U235" s="80">
        <f>MIN($G235-SUM($P235:T235),N235)</f>
        <v>3750</v>
      </c>
      <c r="V235" s="86">
        <f>MIN($G235-SUM($P235:U235),O235)</f>
        <v>0</v>
      </c>
      <c r="W235" s="10">
        <f t="shared" si="58"/>
        <v>20000</v>
      </c>
      <c r="X235" s="10">
        <f t="shared" si="59"/>
        <v>0</v>
      </c>
      <c r="Y235" s="65">
        <f t="shared" si="60"/>
        <v>800000</v>
      </c>
      <c r="Z235" s="87">
        <f t="shared" si="66"/>
        <v>44269</v>
      </c>
      <c r="AA235" s="13">
        <f t="shared" si="66"/>
        <v>44270</v>
      </c>
      <c r="AB235" s="13">
        <f t="shared" si="66"/>
        <v>44271</v>
      </c>
      <c r="AC235" s="13">
        <f t="shared" si="66"/>
        <v>44272</v>
      </c>
      <c r="AD235" s="13">
        <f t="shared" si="66"/>
        <v>44273</v>
      </c>
      <c r="AE235" s="13">
        <f t="shared" si="66"/>
        <v>44274</v>
      </c>
      <c r="AF235" s="13">
        <f t="shared" si="66"/>
        <v>44275</v>
      </c>
      <c r="AG235" s="88">
        <f t="shared" si="62"/>
        <v>250000</v>
      </c>
      <c r="AH235" s="67">
        <f t="shared" si="62"/>
        <v>220000</v>
      </c>
      <c r="AI235" s="67">
        <f t="shared" si="62"/>
        <v>80000</v>
      </c>
      <c r="AJ235" s="67">
        <f t="shared" si="62"/>
        <v>50000</v>
      </c>
      <c r="AK235" s="67">
        <f t="shared" si="62"/>
        <v>50000</v>
      </c>
      <c r="AL235" s="67">
        <f t="shared" si="62"/>
        <v>150000</v>
      </c>
      <c r="AM235" s="90">
        <f t="shared" si="62"/>
        <v>0</v>
      </c>
    </row>
    <row r="236" spans="2:42" s="6" customFormat="1" ht="13.2">
      <c r="B236" s="13">
        <f t="shared" si="51"/>
        <v>44282</v>
      </c>
      <c r="C236" s="10">
        <f t="shared" si="52"/>
        <v>3</v>
      </c>
      <c r="D236" s="10">
        <f t="shared" si="63"/>
        <v>32000</v>
      </c>
      <c r="E236" s="65">
        <f t="shared" si="64"/>
        <v>50</v>
      </c>
      <c r="F236" s="10">
        <f t="shared" si="53"/>
        <v>30000</v>
      </c>
      <c r="G236" s="83">
        <f t="shared" si="54"/>
        <v>20000</v>
      </c>
      <c r="H236" s="10">
        <f t="shared" si="55"/>
        <v>20000</v>
      </c>
      <c r="I236" s="85">
        <f t="shared" si="65"/>
        <v>8000</v>
      </c>
      <c r="J236" s="80">
        <f t="shared" si="65"/>
        <v>7040</v>
      </c>
      <c r="K236" s="80">
        <f t="shared" si="65"/>
        <v>2560</v>
      </c>
      <c r="L236" s="80">
        <f t="shared" si="65"/>
        <v>1600</v>
      </c>
      <c r="M236" s="80">
        <f t="shared" si="65"/>
        <v>1600</v>
      </c>
      <c r="N236" s="80">
        <f t="shared" si="65"/>
        <v>4800</v>
      </c>
      <c r="O236" s="80">
        <f t="shared" si="65"/>
        <v>6400</v>
      </c>
      <c r="P236" s="85">
        <f t="shared" si="57"/>
        <v>8000</v>
      </c>
      <c r="Q236" s="80">
        <f>MIN($G236-SUM($P236:P236),J236)</f>
        <v>7040</v>
      </c>
      <c r="R236" s="80">
        <f>MIN($G236-SUM($P236:Q236),K236)</f>
        <v>2560</v>
      </c>
      <c r="S236" s="80">
        <f>MIN($G236-SUM($P236:R236),L236)</f>
        <v>1600</v>
      </c>
      <c r="T236" s="80">
        <f>MIN($G236-SUM($P236:S236),M236)</f>
        <v>800</v>
      </c>
      <c r="U236" s="80">
        <f>MIN($G236-SUM($P236:T236),N236)</f>
        <v>0</v>
      </c>
      <c r="V236" s="86">
        <f>MIN($G236-SUM($P236:U236),O236)</f>
        <v>0</v>
      </c>
      <c r="W236" s="10">
        <f t="shared" si="58"/>
        <v>20000</v>
      </c>
      <c r="X236" s="10">
        <f t="shared" si="59"/>
        <v>0</v>
      </c>
      <c r="Y236" s="65">
        <f t="shared" si="60"/>
        <v>1000000</v>
      </c>
      <c r="Z236" s="87">
        <f t="shared" si="66"/>
        <v>44276</v>
      </c>
      <c r="AA236" s="13">
        <f t="shared" si="66"/>
        <v>44277</v>
      </c>
      <c r="AB236" s="13">
        <f t="shared" si="66"/>
        <v>44278</v>
      </c>
      <c r="AC236" s="13">
        <f t="shared" si="66"/>
        <v>44279</v>
      </c>
      <c r="AD236" s="13">
        <f t="shared" si="66"/>
        <v>44280</v>
      </c>
      <c r="AE236" s="13">
        <f t="shared" si="66"/>
        <v>44281</v>
      </c>
      <c r="AF236" s="13">
        <f t="shared" si="66"/>
        <v>44282</v>
      </c>
      <c r="AG236" s="88">
        <f t="shared" si="62"/>
        <v>400000</v>
      </c>
      <c r="AH236" s="67">
        <f t="shared" si="62"/>
        <v>352000</v>
      </c>
      <c r="AI236" s="67">
        <f t="shared" si="62"/>
        <v>128000</v>
      </c>
      <c r="AJ236" s="67">
        <f t="shared" si="62"/>
        <v>80000</v>
      </c>
      <c r="AK236" s="67">
        <f t="shared" si="62"/>
        <v>40000</v>
      </c>
      <c r="AL236" s="67">
        <f t="shared" si="62"/>
        <v>0</v>
      </c>
      <c r="AM236" s="90">
        <f t="shared" si="62"/>
        <v>0</v>
      </c>
    </row>
    <row r="237" spans="2:42" s="6" customFormat="1" ht="13.2">
      <c r="B237" s="13">
        <f t="shared" si="51"/>
        <v>44289</v>
      </c>
      <c r="C237" s="10">
        <f t="shared" si="52"/>
        <v>1</v>
      </c>
      <c r="D237" s="10">
        <f t="shared" si="63"/>
        <v>15000</v>
      </c>
      <c r="E237" s="65">
        <f t="shared" si="64"/>
        <v>30</v>
      </c>
      <c r="F237" s="10">
        <f t="shared" si="53"/>
        <v>30000</v>
      </c>
      <c r="G237" s="83">
        <f t="shared" si="54"/>
        <v>20000</v>
      </c>
      <c r="H237" s="10">
        <f t="shared" si="55"/>
        <v>15000</v>
      </c>
      <c r="I237" s="85">
        <f t="shared" si="65"/>
        <v>3750</v>
      </c>
      <c r="J237" s="80">
        <f t="shared" si="65"/>
        <v>3300</v>
      </c>
      <c r="K237" s="80">
        <f t="shared" si="65"/>
        <v>1200</v>
      </c>
      <c r="L237" s="80">
        <f t="shared" si="65"/>
        <v>750</v>
      </c>
      <c r="M237" s="80">
        <f t="shared" si="65"/>
        <v>750</v>
      </c>
      <c r="N237" s="80">
        <f t="shared" si="65"/>
        <v>2250</v>
      </c>
      <c r="O237" s="80">
        <f t="shared" si="65"/>
        <v>3000</v>
      </c>
      <c r="P237" s="85">
        <f t="shared" si="57"/>
        <v>3750</v>
      </c>
      <c r="Q237" s="80">
        <f>MIN($G237-SUM($P237:P237),J237)</f>
        <v>3300</v>
      </c>
      <c r="R237" s="80">
        <f>MIN($G237-SUM($P237:Q237),K237)</f>
        <v>1200</v>
      </c>
      <c r="S237" s="80">
        <f>MIN($G237-SUM($P237:R237),L237)</f>
        <v>750</v>
      </c>
      <c r="T237" s="80">
        <f>MIN($G237-SUM($P237:S237),M237)</f>
        <v>750</v>
      </c>
      <c r="U237" s="80">
        <f>MIN($G237-SUM($P237:T237),N237)</f>
        <v>2250</v>
      </c>
      <c r="V237" s="86">
        <f>MIN($G237-SUM($P237:U237),O237)</f>
        <v>3000</v>
      </c>
      <c r="W237" s="10">
        <f t="shared" si="58"/>
        <v>15000</v>
      </c>
      <c r="X237" s="10">
        <f t="shared" si="59"/>
        <v>0</v>
      </c>
      <c r="Y237" s="65">
        <f t="shared" si="60"/>
        <v>450000</v>
      </c>
      <c r="Z237" s="87">
        <f t="shared" si="66"/>
        <v>44283</v>
      </c>
      <c r="AA237" s="13">
        <f t="shared" si="66"/>
        <v>44284</v>
      </c>
      <c r="AB237" s="13">
        <f t="shared" si="66"/>
        <v>44285</v>
      </c>
      <c r="AC237" s="13">
        <f t="shared" si="66"/>
        <v>44286</v>
      </c>
      <c r="AD237" s="13">
        <f t="shared" si="66"/>
        <v>44287</v>
      </c>
      <c r="AE237" s="13">
        <f t="shared" si="66"/>
        <v>44288</v>
      </c>
      <c r="AF237" s="13">
        <f t="shared" si="66"/>
        <v>44289</v>
      </c>
      <c r="AG237" s="88">
        <f t="shared" si="62"/>
        <v>112500</v>
      </c>
      <c r="AH237" s="67">
        <f t="shared" si="62"/>
        <v>99000</v>
      </c>
      <c r="AI237" s="67">
        <f t="shared" si="62"/>
        <v>36000</v>
      </c>
      <c r="AJ237" s="67">
        <f t="shared" si="62"/>
        <v>22500</v>
      </c>
      <c r="AK237" s="67">
        <f t="shared" si="62"/>
        <v>22500</v>
      </c>
      <c r="AL237" s="67">
        <f t="shared" si="62"/>
        <v>67500</v>
      </c>
      <c r="AM237" s="90">
        <f t="shared" si="62"/>
        <v>90000</v>
      </c>
    </row>
    <row r="238" spans="2:42" s="6" customFormat="1" ht="13.2">
      <c r="B238" s="13">
        <f t="shared" si="51"/>
        <v>44296</v>
      </c>
      <c r="C238" s="10">
        <f t="shared" si="52"/>
        <v>2</v>
      </c>
      <c r="D238" s="10">
        <f t="shared" si="63"/>
        <v>25000</v>
      </c>
      <c r="E238" s="65">
        <f t="shared" si="64"/>
        <v>40</v>
      </c>
      <c r="F238" s="10">
        <f t="shared" si="53"/>
        <v>30000</v>
      </c>
      <c r="G238" s="83">
        <f t="shared" si="54"/>
        <v>20000</v>
      </c>
      <c r="H238" s="10">
        <f t="shared" si="55"/>
        <v>20000</v>
      </c>
      <c r="I238" s="85">
        <f t="shared" ref="I238:O245" si="67">I$203*$D238</f>
        <v>6250</v>
      </c>
      <c r="J238" s="80">
        <f t="shared" si="67"/>
        <v>5500</v>
      </c>
      <c r="K238" s="80">
        <f t="shared" si="67"/>
        <v>2000</v>
      </c>
      <c r="L238" s="80">
        <f t="shared" si="67"/>
        <v>1250</v>
      </c>
      <c r="M238" s="80">
        <f t="shared" si="67"/>
        <v>1250</v>
      </c>
      <c r="N238" s="80">
        <f t="shared" si="67"/>
        <v>3750</v>
      </c>
      <c r="O238" s="80">
        <f t="shared" si="67"/>
        <v>5000</v>
      </c>
      <c r="P238" s="85">
        <f t="shared" si="57"/>
        <v>6250</v>
      </c>
      <c r="Q238" s="80">
        <f>MIN($G238-SUM($P238:P238),J238)</f>
        <v>5500</v>
      </c>
      <c r="R238" s="80">
        <f>MIN($G238-SUM($P238:Q238),K238)</f>
        <v>2000</v>
      </c>
      <c r="S238" s="80">
        <f>MIN($G238-SUM($P238:R238),L238)</f>
        <v>1250</v>
      </c>
      <c r="T238" s="80">
        <f>MIN($G238-SUM($P238:S238),M238)</f>
        <v>1250</v>
      </c>
      <c r="U238" s="80">
        <f>MIN($G238-SUM($P238:T238),N238)</f>
        <v>3750</v>
      </c>
      <c r="V238" s="86">
        <f>MIN($G238-SUM($P238:U238),O238)</f>
        <v>0</v>
      </c>
      <c r="W238" s="10">
        <f t="shared" si="58"/>
        <v>20000</v>
      </c>
      <c r="X238" s="10">
        <f t="shared" si="59"/>
        <v>0</v>
      </c>
      <c r="Y238" s="65">
        <f t="shared" si="60"/>
        <v>800000</v>
      </c>
      <c r="Z238" s="87">
        <f t="shared" ref="Z238:AF245" si="68">$B238+Z$205</f>
        <v>44290</v>
      </c>
      <c r="AA238" s="13">
        <f t="shared" si="68"/>
        <v>44291</v>
      </c>
      <c r="AB238" s="13">
        <f t="shared" si="68"/>
        <v>44292</v>
      </c>
      <c r="AC238" s="13">
        <f t="shared" si="68"/>
        <v>44293</v>
      </c>
      <c r="AD238" s="13">
        <f t="shared" si="68"/>
        <v>44294</v>
      </c>
      <c r="AE238" s="13">
        <f t="shared" si="68"/>
        <v>44295</v>
      </c>
      <c r="AF238" s="13">
        <f t="shared" si="68"/>
        <v>44296</v>
      </c>
      <c r="AG238" s="88">
        <f t="shared" si="62"/>
        <v>250000</v>
      </c>
      <c r="AH238" s="67">
        <f t="shared" si="62"/>
        <v>220000</v>
      </c>
      <c r="AI238" s="67">
        <f t="shared" si="62"/>
        <v>80000</v>
      </c>
      <c r="AJ238" s="67">
        <f t="shared" si="62"/>
        <v>50000</v>
      </c>
      <c r="AK238" s="67">
        <f t="shared" si="62"/>
        <v>50000</v>
      </c>
      <c r="AL238" s="67">
        <f t="shared" si="62"/>
        <v>150000</v>
      </c>
      <c r="AM238" s="90">
        <f t="shared" si="62"/>
        <v>0</v>
      </c>
    </row>
    <row r="239" spans="2:42" s="6" customFormat="1" ht="13.2">
      <c r="B239" s="13">
        <f t="shared" si="51"/>
        <v>44303</v>
      </c>
      <c r="C239" s="10">
        <f t="shared" si="52"/>
        <v>2</v>
      </c>
      <c r="D239" s="10">
        <f t="shared" si="63"/>
        <v>25000</v>
      </c>
      <c r="E239" s="65">
        <f t="shared" si="64"/>
        <v>40</v>
      </c>
      <c r="F239" s="10">
        <f t="shared" si="53"/>
        <v>30000</v>
      </c>
      <c r="G239" s="83">
        <f t="shared" si="54"/>
        <v>20000</v>
      </c>
      <c r="H239" s="10">
        <f t="shared" si="55"/>
        <v>20000</v>
      </c>
      <c r="I239" s="85">
        <f t="shared" si="67"/>
        <v>6250</v>
      </c>
      <c r="J239" s="80">
        <f t="shared" si="67"/>
        <v>5500</v>
      </c>
      <c r="K239" s="80">
        <f t="shared" si="67"/>
        <v>2000</v>
      </c>
      <c r="L239" s="80">
        <f t="shared" si="67"/>
        <v>1250</v>
      </c>
      <c r="M239" s="80">
        <f t="shared" si="67"/>
        <v>1250</v>
      </c>
      <c r="N239" s="80">
        <f t="shared" si="67"/>
        <v>3750</v>
      </c>
      <c r="O239" s="80">
        <f t="shared" si="67"/>
        <v>5000</v>
      </c>
      <c r="P239" s="85">
        <f t="shared" si="57"/>
        <v>6250</v>
      </c>
      <c r="Q239" s="80">
        <f>MIN($G239-SUM($P239:P239),J239)</f>
        <v>5500</v>
      </c>
      <c r="R239" s="80">
        <f>MIN($G239-SUM($P239:Q239),K239)</f>
        <v>2000</v>
      </c>
      <c r="S239" s="80">
        <f>MIN($G239-SUM($P239:R239),L239)</f>
        <v>1250</v>
      </c>
      <c r="T239" s="80">
        <f>MIN($G239-SUM($P239:S239),M239)</f>
        <v>1250</v>
      </c>
      <c r="U239" s="80">
        <f>MIN($G239-SUM($P239:T239),N239)</f>
        <v>3750</v>
      </c>
      <c r="V239" s="86">
        <f>MIN($G239-SUM($P239:U239),O239)</f>
        <v>0</v>
      </c>
      <c r="W239" s="10">
        <f t="shared" si="58"/>
        <v>20000</v>
      </c>
      <c r="X239" s="10">
        <f t="shared" si="59"/>
        <v>0</v>
      </c>
      <c r="Y239" s="65">
        <f t="shared" si="60"/>
        <v>800000</v>
      </c>
      <c r="Z239" s="87">
        <f t="shared" si="68"/>
        <v>44297</v>
      </c>
      <c r="AA239" s="13">
        <f t="shared" si="68"/>
        <v>44298</v>
      </c>
      <c r="AB239" s="13">
        <f t="shared" si="68"/>
        <v>44299</v>
      </c>
      <c r="AC239" s="13">
        <f t="shared" si="68"/>
        <v>44300</v>
      </c>
      <c r="AD239" s="13">
        <f t="shared" si="68"/>
        <v>44301</v>
      </c>
      <c r="AE239" s="13">
        <f t="shared" si="68"/>
        <v>44302</v>
      </c>
      <c r="AF239" s="13">
        <f t="shared" si="68"/>
        <v>44303</v>
      </c>
      <c r="AG239" s="88">
        <f t="shared" si="62"/>
        <v>250000</v>
      </c>
      <c r="AH239" s="67">
        <f t="shared" si="62"/>
        <v>220000</v>
      </c>
      <c r="AI239" s="67">
        <f t="shared" si="62"/>
        <v>80000</v>
      </c>
      <c r="AJ239" s="67">
        <f t="shared" si="62"/>
        <v>50000</v>
      </c>
      <c r="AK239" s="67">
        <f t="shared" si="62"/>
        <v>50000</v>
      </c>
      <c r="AL239" s="67">
        <f t="shared" si="62"/>
        <v>150000</v>
      </c>
      <c r="AM239" s="90">
        <f t="shared" si="62"/>
        <v>0</v>
      </c>
    </row>
    <row r="240" spans="2:42" s="6" customFormat="1" ht="13.2">
      <c r="B240" s="13">
        <f t="shared" si="51"/>
        <v>44310</v>
      </c>
      <c r="C240" s="10">
        <f t="shared" si="52"/>
        <v>1</v>
      </c>
      <c r="D240" s="10">
        <f t="shared" si="63"/>
        <v>15000</v>
      </c>
      <c r="E240" s="65">
        <f t="shared" si="64"/>
        <v>30</v>
      </c>
      <c r="F240" s="10">
        <f t="shared" si="53"/>
        <v>30000</v>
      </c>
      <c r="G240" s="83">
        <f t="shared" si="54"/>
        <v>20000</v>
      </c>
      <c r="H240" s="10">
        <f t="shared" si="55"/>
        <v>15000</v>
      </c>
      <c r="I240" s="85">
        <f t="shared" si="67"/>
        <v>3750</v>
      </c>
      <c r="J240" s="80">
        <f t="shared" si="67"/>
        <v>3300</v>
      </c>
      <c r="K240" s="80">
        <f t="shared" si="67"/>
        <v>1200</v>
      </c>
      <c r="L240" s="80">
        <f t="shared" si="67"/>
        <v>750</v>
      </c>
      <c r="M240" s="80">
        <f t="shared" si="67"/>
        <v>750</v>
      </c>
      <c r="N240" s="80">
        <f t="shared" si="67"/>
        <v>2250</v>
      </c>
      <c r="O240" s="80">
        <f t="shared" si="67"/>
        <v>3000</v>
      </c>
      <c r="P240" s="85">
        <f t="shared" si="57"/>
        <v>3750</v>
      </c>
      <c r="Q240" s="80">
        <f>MIN($G240-SUM($P240:P240),J240)</f>
        <v>3300</v>
      </c>
      <c r="R240" s="80">
        <f>MIN($G240-SUM($P240:Q240),K240)</f>
        <v>1200</v>
      </c>
      <c r="S240" s="80">
        <f>MIN($G240-SUM($P240:R240),L240)</f>
        <v>750</v>
      </c>
      <c r="T240" s="80">
        <f>MIN($G240-SUM($P240:S240),M240)</f>
        <v>750</v>
      </c>
      <c r="U240" s="80">
        <f>MIN($G240-SUM($P240:T240),N240)</f>
        <v>2250</v>
      </c>
      <c r="V240" s="86">
        <f>MIN($G240-SUM($P240:U240),O240)</f>
        <v>3000</v>
      </c>
      <c r="W240" s="10">
        <f t="shared" si="58"/>
        <v>15000</v>
      </c>
      <c r="X240" s="10">
        <f t="shared" si="59"/>
        <v>0</v>
      </c>
      <c r="Y240" s="65">
        <f t="shared" si="60"/>
        <v>450000</v>
      </c>
      <c r="Z240" s="87">
        <f t="shared" si="68"/>
        <v>44304</v>
      </c>
      <c r="AA240" s="13">
        <f t="shared" si="68"/>
        <v>44305</v>
      </c>
      <c r="AB240" s="13">
        <f t="shared" si="68"/>
        <v>44306</v>
      </c>
      <c r="AC240" s="13">
        <f t="shared" si="68"/>
        <v>44307</v>
      </c>
      <c r="AD240" s="13">
        <f t="shared" si="68"/>
        <v>44308</v>
      </c>
      <c r="AE240" s="13">
        <f t="shared" si="68"/>
        <v>44309</v>
      </c>
      <c r="AF240" s="13">
        <f t="shared" si="68"/>
        <v>44310</v>
      </c>
      <c r="AG240" s="88">
        <f t="shared" si="62"/>
        <v>112500</v>
      </c>
      <c r="AH240" s="67">
        <f t="shared" si="62"/>
        <v>99000</v>
      </c>
      <c r="AI240" s="67">
        <f t="shared" si="62"/>
        <v>36000</v>
      </c>
      <c r="AJ240" s="67">
        <f t="shared" si="62"/>
        <v>22500</v>
      </c>
      <c r="AK240" s="67">
        <f t="shared" si="62"/>
        <v>22500</v>
      </c>
      <c r="AL240" s="67">
        <f t="shared" si="62"/>
        <v>67500</v>
      </c>
      <c r="AM240" s="90">
        <f t="shared" si="62"/>
        <v>90000</v>
      </c>
    </row>
    <row r="241" spans="1:39" s="6" customFormat="1" ht="13.2">
      <c r="B241" s="13">
        <f t="shared" si="51"/>
        <v>44317</v>
      </c>
      <c r="C241" s="10">
        <f t="shared" si="52"/>
        <v>1</v>
      </c>
      <c r="D241" s="10">
        <f t="shared" si="63"/>
        <v>15000</v>
      </c>
      <c r="E241" s="65">
        <f t="shared" si="64"/>
        <v>30</v>
      </c>
      <c r="F241" s="10">
        <f t="shared" si="53"/>
        <v>30000</v>
      </c>
      <c r="G241" s="83">
        <f t="shared" si="54"/>
        <v>20000</v>
      </c>
      <c r="H241" s="10">
        <f t="shared" si="55"/>
        <v>15000</v>
      </c>
      <c r="I241" s="85">
        <f t="shared" si="67"/>
        <v>3750</v>
      </c>
      <c r="J241" s="80">
        <f t="shared" si="67"/>
        <v>3300</v>
      </c>
      <c r="K241" s="80">
        <f t="shared" si="67"/>
        <v>1200</v>
      </c>
      <c r="L241" s="80">
        <f t="shared" si="67"/>
        <v>750</v>
      </c>
      <c r="M241" s="80">
        <f t="shared" si="67"/>
        <v>750</v>
      </c>
      <c r="N241" s="80">
        <f t="shared" si="67"/>
        <v>2250</v>
      </c>
      <c r="O241" s="80">
        <f t="shared" si="67"/>
        <v>3000</v>
      </c>
      <c r="P241" s="85">
        <f t="shared" si="57"/>
        <v>3750</v>
      </c>
      <c r="Q241" s="80">
        <f>MIN($G241-SUM($P241:P241),J241)</f>
        <v>3300</v>
      </c>
      <c r="R241" s="80">
        <f>MIN($G241-SUM($P241:Q241),K241)</f>
        <v>1200</v>
      </c>
      <c r="S241" s="80">
        <f>MIN($G241-SUM($P241:R241),L241)</f>
        <v>750</v>
      </c>
      <c r="T241" s="80">
        <f>MIN($G241-SUM($P241:S241),M241)</f>
        <v>750</v>
      </c>
      <c r="U241" s="80">
        <f>MIN($G241-SUM($P241:T241),N241)</f>
        <v>2250</v>
      </c>
      <c r="V241" s="86">
        <f>MIN($G241-SUM($P241:U241),O241)</f>
        <v>3000</v>
      </c>
      <c r="W241" s="10">
        <f t="shared" si="58"/>
        <v>15000</v>
      </c>
      <c r="X241" s="10">
        <f t="shared" si="59"/>
        <v>0</v>
      </c>
      <c r="Y241" s="65">
        <f t="shared" si="60"/>
        <v>450000</v>
      </c>
      <c r="Z241" s="87">
        <f t="shared" si="68"/>
        <v>44311</v>
      </c>
      <c r="AA241" s="13">
        <f t="shared" si="68"/>
        <v>44312</v>
      </c>
      <c r="AB241" s="13">
        <f t="shared" si="68"/>
        <v>44313</v>
      </c>
      <c r="AC241" s="13">
        <f t="shared" si="68"/>
        <v>44314</v>
      </c>
      <c r="AD241" s="13">
        <f t="shared" si="68"/>
        <v>44315</v>
      </c>
      <c r="AE241" s="13">
        <f t="shared" si="68"/>
        <v>44316</v>
      </c>
      <c r="AF241" s="13">
        <f t="shared" si="68"/>
        <v>44317</v>
      </c>
      <c r="AG241" s="88">
        <f t="shared" si="62"/>
        <v>112500</v>
      </c>
      <c r="AH241" s="67">
        <f t="shared" si="62"/>
        <v>99000</v>
      </c>
      <c r="AI241" s="67">
        <f t="shared" si="62"/>
        <v>36000</v>
      </c>
      <c r="AJ241" s="67">
        <f t="shared" si="62"/>
        <v>22500</v>
      </c>
      <c r="AK241" s="67">
        <f t="shared" si="62"/>
        <v>22500</v>
      </c>
      <c r="AL241" s="67">
        <f t="shared" si="62"/>
        <v>67500</v>
      </c>
      <c r="AM241" s="90">
        <f t="shared" si="62"/>
        <v>90000</v>
      </c>
    </row>
    <row r="242" spans="1:39" s="6" customFormat="1" ht="13.2">
      <c r="B242" s="13">
        <f t="shared" si="51"/>
        <v>44324</v>
      </c>
      <c r="C242" s="10">
        <f t="shared" si="52"/>
        <v>1</v>
      </c>
      <c r="D242" s="10">
        <f t="shared" si="63"/>
        <v>15000</v>
      </c>
      <c r="E242" s="65">
        <f t="shared" si="64"/>
        <v>30</v>
      </c>
      <c r="F242" s="10">
        <f t="shared" si="53"/>
        <v>30000</v>
      </c>
      <c r="G242" s="83">
        <f t="shared" si="54"/>
        <v>20000</v>
      </c>
      <c r="H242" s="10">
        <f t="shared" si="55"/>
        <v>15000</v>
      </c>
      <c r="I242" s="85">
        <f t="shared" si="67"/>
        <v>3750</v>
      </c>
      <c r="J242" s="80">
        <f t="shared" si="67"/>
        <v>3300</v>
      </c>
      <c r="K242" s="80">
        <f t="shared" si="67"/>
        <v>1200</v>
      </c>
      <c r="L242" s="80">
        <f t="shared" si="67"/>
        <v>750</v>
      </c>
      <c r="M242" s="80">
        <f t="shared" si="67"/>
        <v>750</v>
      </c>
      <c r="N242" s="80">
        <f t="shared" si="67"/>
        <v>2250</v>
      </c>
      <c r="O242" s="80">
        <f t="shared" si="67"/>
        <v>3000</v>
      </c>
      <c r="P242" s="85">
        <f t="shared" si="57"/>
        <v>3750</v>
      </c>
      <c r="Q242" s="80">
        <f>MIN($G242-SUM($P242:P242),J242)</f>
        <v>3300</v>
      </c>
      <c r="R242" s="80">
        <f>MIN($G242-SUM($P242:Q242),K242)</f>
        <v>1200</v>
      </c>
      <c r="S242" s="80">
        <f>MIN($G242-SUM($P242:R242),L242)</f>
        <v>750</v>
      </c>
      <c r="T242" s="80">
        <f>MIN($G242-SUM($P242:S242),M242)</f>
        <v>750</v>
      </c>
      <c r="U242" s="80">
        <f>MIN($G242-SUM($P242:T242),N242)</f>
        <v>2250</v>
      </c>
      <c r="V242" s="86">
        <f>MIN($G242-SUM($P242:U242),O242)</f>
        <v>3000</v>
      </c>
      <c r="W242" s="10">
        <f t="shared" si="58"/>
        <v>15000</v>
      </c>
      <c r="X242" s="10">
        <f t="shared" si="59"/>
        <v>0</v>
      </c>
      <c r="Y242" s="65">
        <f t="shared" si="60"/>
        <v>450000</v>
      </c>
      <c r="Z242" s="87">
        <f t="shared" si="68"/>
        <v>44318</v>
      </c>
      <c r="AA242" s="13">
        <f t="shared" si="68"/>
        <v>44319</v>
      </c>
      <c r="AB242" s="13">
        <f t="shared" si="68"/>
        <v>44320</v>
      </c>
      <c r="AC242" s="13">
        <f t="shared" si="68"/>
        <v>44321</v>
      </c>
      <c r="AD242" s="13">
        <f t="shared" si="68"/>
        <v>44322</v>
      </c>
      <c r="AE242" s="13">
        <f t="shared" si="68"/>
        <v>44323</v>
      </c>
      <c r="AF242" s="13">
        <f t="shared" si="68"/>
        <v>44324</v>
      </c>
      <c r="AG242" s="88">
        <f t="shared" si="62"/>
        <v>112500</v>
      </c>
      <c r="AH242" s="67">
        <f t="shared" si="62"/>
        <v>99000</v>
      </c>
      <c r="AI242" s="67">
        <f t="shared" si="62"/>
        <v>36000</v>
      </c>
      <c r="AJ242" s="67">
        <f t="shared" ref="AJ242:AM245" si="69">S242*$E242</f>
        <v>22500</v>
      </c>
      <c r="AK242" s="67">
        <f t="shared" si="69"/>
        <v>22500</v>
      </c>
      <c r="AL242" s="67">
        <f t="shared" si="69"/>
        <v>67500</v>
      </c>
      <c r="AM242" s="90">
        <f t="shared" si="69"/>
        <v>90000</v>
      </c>
    </row>
    <row r="243" spans="1:39" s="6" customFormat="1" ht="13.2">
      <c r="B243" s="13">
        <f t="shared" si="51"/>
        <v>44331</v>
      </c>
      <c r="C243" s="10">
        <f t="shared" si="52"/>
        <v>3</v>
      </c>
      <c r="D243" s="10">
        <f t="shared" si="63"/>
        <v>32000</v>
      </c>
      <c r="E243" s="65">
        <f t="shared" si="64"/>
        <v>50</v>
      </c>
      <c r="F243" s="10">
        <f t="shared" si="53"/>
        <v>30000</v>
      </c>
      <c r="G243" s="83">
        <f t="shared" si="54"/>
        <v>20000</v>
      </c>
      <c r="H243" s="10">
        <f t="shared" si="55"/>
        <v>20000</v>
      </c>
      <c r="I243" s="85">
        <f t="shared" si="67"/>
        <v>8000</v>
      </c>
      <c r="J243" s="80">
        <f t="shared" si="67"/>
        <v>7040</v>
      </c>
      <c r="K243" s="80">
        <f t="shared" si="67"/>
        <v>2560</v>
      </c>
      <c r="L243" s="80">
        <f t="shared" si="67"/>
        <v>1600</v>
      </c>
      <c r="M243" s="80">
        <f t="shared" si="67"/>
        <v>1600</v>
      </c>
      <c r="N243" s="80">
        <f t="shared" si="67"/>
        <v>4800</v>
      </c>
      <c r="O243" s="80">
        <f t="shared" si="67"/>
        <v>6400</v>
      </c>
      <c r="P243" s="85">
        <f t="shared" si="57"/>
        <v>8000</v>
      </c>
      <c r="Q243" s="80">
        <f>MIN($G243-SUM($P243:P243),J243)</f>
        <v>7040</v>
      </c>
      <c r="R243" s="80">
        <f>MIN($G243-SUM($P243:Q243),K243)</f>
        <v>2560</v>
      </c>
      <c r="S243" s="80">
        <f>MIN($G243-SUM($P243:R243),L243)</f>
        <v>1600</v>
      </c>
      <c r="T243" s="80">
        <f>MIN($G243-SUM($P243:S243),M243)</f>
        <v>800</v>
      </c>
      <c r="U243" s="80">
        <f>MIN($G243-SUM($P243:T243),N243)</f>
        <v>0</v>
      </c>
      <c r="V243" s="86">
        <f>MIN($G243-SUM($P243:U243),O243)</f>
        <v>0</v>
      </c>
      <c r="W243" s="10">
        <f t="shared" si="58"/>
        <v>20000</v>
      </c>
      <c r="X243" s="10">
        <f t="shared" si="59"/>
        <v>0</v>
      </c>
      <c r="Y243" s="65">
        <f t="shared" si="60"/>
        <v>1000000</v>
      </c>
      <c r="Z243" s="87">
        <f t="shared" si="68"/>
        <v>44325</v>
      </c>
      <c r="AA243" s="13">
        <f t="shared" si="68"/>
        <v>44326</v>
      </c>
      <c r="AB243" s="13">
        <f t="shared" si="68"/>
        <v>44327</v>
      </c>
      <c r="AC243" s="13">
        <f t="shared" si="68"/>
        <v>44328</v>
      </c>
      <c r="AD243" s="13">
        <f t="shared" si="68"/>
        <v>44329</v>
      </c>
      <c r="AE243" s="13">
        <f t="shared" si="68"/>
        <v>44330</v>
      </c>
      <c r="AF243" s="13">
        <f t="shared" si="68"/>
        <v>44331</v>
      </c>
      <c r="AG243" s="88">
        <f t="shared" ref="AG243:AI245" si="70">P243*$E243</f>
        <v>400000</v>
      </c>
      <c r="AH243" s="67">
        <f t="shared" si="70"/>
        <v>352000</v>
      </c>
      <c r="AI243" s="67">
        <f t="shared" si="70"/>
        <v>128000</v>
      </c>
      <c r="AJ243" s="67">
        <f t="shared" si="69"/>
        <v>80000</v>
      </c>
      <c r="AK243" s="67">
        <f t="shared" si="69"/>
        <v>40000</v>
      </c>
      <c r="AL243" s="67">
        <f t="shared" si="69"/>
        <v>0</v>
      </c>
      <c r="AM243" s="90">
        <f t="shared" si="69"/>
        <v>0</v>
      </c>
    </row>
    <row r="244" spans="1:39" s="6" customFormat="1" ht="13.2">
      <c r="B244" s="13">
        <f t="shared" si="51"/>
        <v>44338</v>
      </c>
      <c r="C244" s="10">
        <f t="shared" si="52"/>
        <v>4</v>
      </c>
      <c r="D244" s="10">
        <f t="shared" si="63"/>
        <v>40000</v>
      </c>
      <c r="E244" s="65">
        <f t="shared" si="64"/>
        <v>60</v>
      </c>
      <c r="F244" s="10">
        <f t="shared" si="53"/>
        <v>30000</v>
      </c>
      <c r="G244" s="83">
        <f t="shared" si="54"/>
        <v>20000</v>
      </c>
      <c r="H244" s="10">
        <f t="shared" si="55"/>
        <v>20000</v>
      </c>
      <c r="I244" s="85">
        <f t="shared" si="67"/>
        <v>10000</v>
      </c>
      <c r="J244" s="80">
        <f t="shared" si="67"/>
        <v>8800</v>
      </c>
      <c r="K244" s="80">
        <f t="shared" si="67"/>
        <v>3200</v>
      </c>
      <c r="L244" s="80">
        <f t="shared" si="67"/>
        <v>2000</v>
      </c>
      <c r="M244" s="80">
        <f t="shared" si="67"/>
        <v>2000</v>
      </c>
      <c r="N244" s="80">
        <f t="shared" si="67"/>
        <v>6000</v>
      </c>
      <c r="O244" s="80">
        <f t="shared" si="67"/>
        <v>8000</v>
      </c>
      <c r="P244" s="85">
        <f t="shared" si="57"/>
        <v>10000</v>
      </c>
      <c r="Q244" s="80">
        <f>MIN($G244-SUM($P244:P244),J244)</f>
        <v>8800</v>
      </c>
      <c r="R244" s="80">
        <f>MIN($G244-SUM($P244:Q244),K244)</f>
        <v>1200</v>
      </c>
      <c r="S244" s="80">
        <f>MIN($G244-SUM($P244:R244),L244)</f>
        <v>0</v>
      </c>
      <c r="T244" s="80">
        <f>MIN($G244-SUM($P244:S244),M244)</f>
        <v>0</v>
      </c>
      <c r="U244" s="80">
        <f>MIN($G244-SUM($P244:T244),N244)</f>
        <v>0</v>
      </c>
      <c r="V244" s="86">
        <f>MIN($G244-SUM($P244:U244),O244)</f>
        <v>0</v>
      </c>
      <c r="W244" s="10">
        <f t="shared" si="58"/>
        <v>20000</v>
      </c>
      <c r="X244" s="10">
        <f t="shared" si="59"/>
        <v>0</v>
      </c>
      <c r="Y244" s="65">
        <f t="shared" si="60"/>
        <v>1200000</v>
      </c>
      <c r="Z244" s="87">
        <f t="shared" si="68"/>
        <v>44332</v>
      </c>
      <c r="AA244" s="13">
        <f t="shared" si="68"/>
        <v>44333</v>
      </c>
      <c r="AB244" s="13">
        <f t="shared" si="68"/>
        <v>44334</v>
      </c>
      <c r="AC244" s="13">
        <f t="shared" si="68"/>
        <v>44335</v>
      </c>
      <c r="AD244" s="13">
        <f t="shared" si="68"/>
        <v>44336</v>
      </c>
      <c r="AE244" s="13">
        <f t="shared" si="68"/>
        <v>44337</v>
      </c>
      <c r="AF244" s="13">
        <f t="shared" si="68"/>
        <v>44338</v>
      </c>
      <c r="AG244" s="88">
        <f t="shared" si="70"/>
        <v>600000</v>
      </c>
      <c r="AH244" s="67">
        <f t="shared" si="70"/>
        <v>528000</v>
      </c>
      <c r="AI244" s="67">
        <f t="shared" si="70"/>
        <v>72000</v>
      </c>
      <c r="AJ244" s="67">
        <f t="shared" si="69"/>
        <v>0</v>
      </c>
      <c r="AK244" s="67">
        <f t="shared" si="69"/>
        <v>0</v>
      </c>
      <c r="AL244" s="67">
        <f t="shared" si="69"/>
        <v>0</v>
      </c>
      <c r="AM244" s="90">
        <f t="shared" si="69"/>
        <v>0</v>
      </c>
    </row>
    <row r="245" spans="1:39" s="6" customFormat="1" ht="13.2">
      <c r="B245" s="13">
        <f t="shared" si="51"/>
        <v>44352</v>
      </c>
      <c r="C245" s="10">
        <f t="shared" si="52"/>
        <v>5</v>
      </c>
      <c r="D245" s="10">
        <f t="shared" si="63"/>
        <v>50000</v>
      </c>
      <c r="E245" s="65">
        <f t="shared" si="64"/>
        <v>75</v>
      </c>
      <c r="F245" s="10">
        <f t="shared" si="53"/>
        <v>30000</v>
      </c>
      <c r="G245" s="83">
        <f t="shared" si="54"/>
        <v>20000</v>
      </c>
      <c r="H245" s="10">
        <f t="shared" si="55"/>
        <v>20000</v>
      </c>
      <c r="I245" s="85">
        <f t="shared" si="67"/>
        <v>12500</v>
      </c>
      <c r="J245" s="80">
        <f t="shared" si="67"/>
        <v>11000</v>
      </c>
      <c r="K245" s="80">
        <f t="shared" si="67"/>
        <v>4000</v>
      </c>
      <c r="L245" s="80">
        <f t="shared" si="67"/>
        <v>2500</v>
      </c>
      <c r="M245" s="80">
        <f t="shared" si="67"/>
        <v>2500</v>
      </c>
      <c r="N245" s="80">
        <f t="shared" si="67"/>
        <v>7500</v>
      </c>
      <c r="O245" s="80">
        <f t="shared" si="67"/>
        <v>10000</v>
      </c>
      <c r="P245" s="85">
        <f t="shared" si="57"/>
        <v>12500</v>
      </c>
      <c r="Q245" s="80">
        <f>MIN($G245-SUM($P245:P245),J245)</f>
        <v>7500</v>
      </c>
      <c r="R245" s="80">
        <f>MIN($G245-SUM($P245:Q245),K245)</f>
        <v>0</v>
      </c>
      <c r="S245" s="80">
        <f>MIN($G245-SUM($P245:R245),L245)</f>
        <v>0</v>
      </c>
      <c r="T245" s="80">
        <f>MIN($G245-SUM($P245:S245),M245)</f>
        <v>0</v>
      </c>
      <c r="U245" s="80">
        <f>MIN($G245-SUM($P245:T245),N245)</f>
        <v>0</v>
      </c>
      <c r="V245" s="86">
        <f>MIN($G245-SUM($P245:U245),O245)</f>
        <v>0</v>
      </c>
      <c r="W245" s="10">
        <f t="shared" si="58"/>
        <v>20000</v>
      </c>
      <c r="X245" s="10">
        <f t="shared" si="59"/>
        <v>0</v>
      </c>
      <c r="Y245" s="65">
        <f t="shared" si="60"/>
        <v>1500000</v>
      </c>
      <c r="Z245" s="87">
        <f t="shared" si="68"/>
        <v>44346</v>
      </c>
      <c r="AA245" s="13">
        <f t="shared" si="68"/>
        <v>44347</v>
      </c>
      <c r="AB245" s="13">
        <f t="shared" si="68"/>
        <v>44348</v>
      </c>
      <c r="AC245" s="13">
        <f t="shared" si="68"/>
        <v>44349</v>
      </c>
      <c r="AD245" s="13">
        <f t="shared" si="68"/>
        <v>44350</v>
      </c>
      <c r="AE245" s="13">
        <f t="shared" si="68"/>
        <v>44351</v>
      </c>
      <c r="AF245" s="13">
        <f t="shared" si="68"/>
        <v>44352</v>
      </c>
      <c r="AG245" s="88">
        <f t="shared" si="70"/>
        <v>937500</v>
      </c>
      <c r="AH245" s="67">
        <f t="shared" si="70"/>
        <v>562500</v>
      </c>
      <c r="AI245" s="67">
        <f t="shared" si="70"/>
        <v>0</v>
      </c>
      <c r="AJ245" s="67">
        <f t="shared" si="69"/>
        <v>0</v>
      </c>
      <c r="AK245" s="67">
        <f t="shared" si="69"/>
        <v>0</v>
      </c>
      <c r="AL245" s="67">
        <f t="shared" si="69"/>
        <v>0</v>
      </c>
      <c r="AM245" s="90">
        <f t="shared" si="69"/>
        <v>0</v>
      </c>
    </row>
    <row r="246" spans="1:39" s="6" customFormat="1" ht="13.2"/>
    <row r="247" spans="1:39" s="6" customFormat="1" ht="13.2"/>
    <row r="248" spans="1:39" s="6" customFormat="1" ht="13.2">
      <c r="A248" s="55" t="s">
        <v>68</v>
      </c>
      <c r="B248" s="55"/>
      <c r="C248" s="56"/>
      <c r="D248" s="57"/>
      <c r="E248" s="58"/>
      <c r="F248" s="58"/>
      <c r="G248" s="58"/>
      <c r="H248" s="58"/>
      <c r="K248" s="59" t="s">
        <v>39</v>
      </c>
    </row>
    <row r="249" spans="1:39" s="6" customFormat="1" ht="39" customHeight="1">
      <c r="B249" s="91" t="s">
        <v>69</v>
      </c>
      <c r="C249" s="20" t="s">
        <v>70</v>
      </c>
      <c r="D249" s="20" t="s">
        <v>22</v>
      </c>
      <c r="E249" s="20" t="s">
        <v>53</v>
      </c>
      <c r="F249" s="20" t="s">
        <v>40</v>
      </c>
      <c r="G249" s="20" t="s">
        <v>47</v>
      </c>
      <c r="H249" s="20" t="s">
        <v>71</v>
      </c>
      <c r="K249" s="60" t="s">
        <v>70</v>
      </c>
      <c r="L249" s="60" t="s">
        <v>66</v>
      </c>
      <c r="M249" s="61"/>
    </row>
    <row r="250" spans="1:39" s="6" customFormat="1" ht="12.6" customHeight="1">
      <c r="B250" s="13">
        <f>$B$8</f>
        <v>44009</v>
      </c>
      <c r="C250" s="75">
        <v>0</v>
      </c>
      <c r="D250" s="67">
        <v>0</v>
      </c>
      <c r="E250" s="66">
        <v>0</v>
      </c>
      <c r="F250" s="67">
        <f>SUM(D$249:D250)</f>
        <v>0</v>
      </c>
      <c r="G250" s="67">
        <f>SUM(E$249:E250)</f>
        <v>0</v>
      </c>
      <c r="H250" s="67">
        <f t="shared" ref="H250:H299" si="71">F250-G250</f>
        <v>0</v>
      </c>
      <c r="K250" s="62">
        <f>IFERROR(INDEX($H$206:$H$245,MATCH($B250,$B$206:$B$245,0)),0)</f>
        <v>0</v>
      </c>
      <c r="L250" s="6" t="b">
        <f>K250=C250</f>
        <v>1</v>
      </c>
      <c r="M250" s="62"/>
    </row>
    <row r="251" spans="1:39" s="6" customFormat="1" ht="13.2">
      <c r="B251" s="13">
        <f t="shared" ref="B251:B299" si="72">B250+7</f>
        <v>44016</v>
      </c>
      <c r="C251" s="62">
        <f>SUMIFS($P$206:$V$245,$Z$206:$AF$245,"&gt;"&amp;$B250,$Z$206:$AF$245,"&lt;="&amp;$B251)</f>
        <v>0</v>
      </c>
      <c r="D251" s="67">
        <f>SUMIFS($AG$206:$AM$245,$Z$206:$AF$245,"&gt;"&amp;$B250,$Z$206:$AF$245,"&lt;="&amp;$B251)</f>
        <v>0</v>
      </c>
      <c r="E251" s="67">
        <f>SUMIFS($Y$206:$Y$245,$B$206:$B$245,"&gt;"&amp;$B250,$B$206:$B$245,"&lt;="&amp;$B251)</f>
        <v>0</v>
      </c>
      <c r="F251" s="67">
        <f>SUM(D$249:D251)</f>
        <v>0</v>
      </c>
      <c r="G251" s="67">
        <f>SUM(E$249:E251)</f>
        <v>0</v>
      </c>
      <c r="H251" s="67">
        <f t="shared" si="71"/>
        <v>0</v>
      </c>
      <c r="K251" s="62">
        <f t="shared" ref="K251:K299" si="73">IFERROR(INDEX($H$206:$H$245,MATCH($B251,$B$206:$B$245,0)),0)</f>
        <v>0</v>
      </c>
      <c r="L251" s="6" t="b">
        <f t="shared" ref="L251:L299" si="74">K251=C251</f>
        <v>1</v>
      </c>
      <c r="M251" s="62"/>
    </row>
    <row r="252" spans="1:39" s="6" customFormat="1" ht="13.2">
      <c r="B252" s="13">
        <f t="shared" si="72"/>
        <v>44023</v>
      </c>
      <c r="C252" s="62">
        <f t="shared" ref="C252:C299" si="75">SUMIFS($P$206:$V$245,$Z$206:$AF$245,"&gt;"&amp;$B251,$Z$206:$AF$245,"&lt;="&amp;$B252)</f>
        <v>0</v>
      </c>
      <c r="D252" s="67">
        <f t="shared" ref="D252:D299" si="76">SUMIFS($AG$206:$AM$245,$Z$206:$AF$245,"&gt;"&amp;$B251,$Z$206:$AF$245,"&lt;="&amp;$B252)</f>
        <v>0</v>
      </c>
      <c r="E252" s="67">
        <f t="shared" ref="E252:E299" si="77">SUMIFS($Y$206:$Y$245,$B$206:$B$245,"&gt;"&amp;$B251,$B$206:$B$245,"&lt;="&amp;$B252)</f>
        <v>0</v>
      </c>
      <c r="F252" s="67">
        <f>SUM(D$249:D252)</f>
        <v>0</v>
      </c>
      <c r="G252" s="67">
        <f>SUM(E$249:E252)</f>
        <v>0</v>
      </c>
      <c r="H252" s="67">
        <f t="shared" si="71"/>
        <v>0</v>
      </c>
      <c r="K252" s="62">
        <f t="shared" si="73"/>
        <v>0</v>
      </c>
      <c r="L252" s="6" t="b">
        <f t="shared" si="74"/>
        <v>1</v>
      </c>
      <c r="M252" s="62"/>
    </row>
    <row r="253" spans="1:39" s="6" customFormat="1" ht="13.2">
      <c r="B253" s="13">
        <f t="shared" si="72"/>
        <v>44030</v>
      </c>
      <c r="C253" s="62">
        <f t="shared" si="75"/>
        <v>0</v>
      </c>
      <c r="D253" s="67">
        <f t="shared" si="76"/>
        <v>0</v>
      </c>
      <c r="E253" s="67">
        <f t="shared" si="77"/>
        <v>0</v>
      </c>
      <c r="F253" s="67">
        <f>SUM(D$249:D253)</f>
        <v>0</v>
      </c>
      <c r="G253" s="67">
        <f>SUM(E$249:E253)</f>
        <v>0</v>
      </c>
      <c r="H253" s="67">
        <f t="shared" si="71"/>
        <v>0</v>
      </c>
      <c r="K253" s="62">
        <f t="shared" si="73"/>
        <v>0</v>
      </c>
      <c r="L253" s="6" t="b">
        <f t="shared" si="74"/>
        <v>1</v>
      </c>
      <c r="M253" s="62"/>
    </row>
    <row r="254" spans="1:39" s="6" customFormat="1" ht="13.2">
      <c r="B254" s="13">
        <f t="shared" si="72"/>
        <v>44037</v>
      </c>
      <c r="C254" s="62">
        <f t="shared" si="75"/>
        <v>0</v>
      </c>
      <c r="D254" s="67">
        <f t="shared" si="76"/>
        <v>0</v>
      </c>
      <c r="E254" s="67">
        <f t="shared" si="77"/>
        <v>0</v>
      </c>
      <c r="F254" s="67">
        <f>SUM(D$249:D254)</f>
        <v>0</v>
      </c>
      <c r="G254" s="67">
        <f>SUM(E$249:E254)</f>
        <v>0</v>
      </c>
      <c r="H254" s="67">
        <f t="shared" si="71"/>
        <v>0</v>
      </c>
      <c r="K254" s="62">
        <f t="shared" si="73"/>
        <v>0</v>
      </c>
      <c r="L254" s="6" t="b">
        <f t="shared" si="74"/>
        <v>1</v>
      </c>
      <c r="M254" s="62"/>
    </row>
    <row r="255" spans="1:39" s="6" customFormat="1" ht="13.2">
      <c r="B255" s="13">
        <f t="shared" si="72"/>
        <v>44044</v>
      </c>
      <c r="C255" s="62">
        <f t="shared" si="75"/>
        <v>0</v>
      </c>
      <c r="D255" s="67">
        <f t="shared" si="76"/>
        <v>0</v>
      </c>
      <c r="E255" s="67">
        <f t="shared" si="77"/>
        <v>0</v>
      </c>
      <c r="F255" s="67">
        <f>SUM(D$249:D255)</f>
        <v>0</v>
      </c>
      <c r="G255" s="67">
        <f>SUM(E$249:E255)</f>
        <v>0</v>
      </c>
      <c r="H255" s="67">
        <f t="shared" si="71"/>
        <v>0</v>
      </c>
      <c r="K255" s="62">
        <f t="shared" si="73"/>
        <v>0</v>
      </c>
      <c r="L255" s="6" t="b">
        <f t="shared" si="74"/>
        <v>1</v>
      </c>
      <c r="M255" s="62"/>
    </row>
    <row r="256" spans="1:39" s="6" customFormat="1" ht="13.2">
      <c r="B256" s="13">
        <f t="shared" si="72"/>
        <v>44051</v>
      </c>
      <c r="C256" s="62">
        <f t="shared" si="75"/>
        <v>0</v>
      </c>
      <c r="D256" s="67">
        <f t="shared" si="76"/>
        <v>0</v>
      </c>
      <c r="E256" s="67">
        <f t="shared" si="77"/>
        <v>0</v>
      </c>
      <c r="F256" s="67">
        <f>SUM(D$249:D256)</f>
        <v>0</v>
      </c>
      <c r="G256" s="67">
        <f>SUM(E$249:E256)</f>
        <v>0</v>
      </c>
      <c r="H256" s="67">
        <f t="shared" si="71"/>
        <v>0</v>
      </c>
      <c r="K256" s="62">
        <f t="shared" si="73"/>
        <v>0</v>
      </c>
      <c r="L256" s="6" t="b">
        <f t="shared" si="74"/>
        <v>1</v>
      </c>
      <c r="M256" s="62"/>
    </row>
    <row r="257" spans="2:13" s="6" customFormat="1" ht="13.2">
      <c r="B257" s="13">
        <f t="shared" si="72"/>
        <v>44058</v>
      </c>
      <c r="C257" s="62">
        <f t="shared" si="75"/>
        <v>24350</v>
      </c>
      <c r="D257" s="67">
        <f t="shared" si="76"/>
        <v>1217500</v>
      </c>
      <c r="E257" s="67">
        <f t="shared" si="77"/>
        <v>1217500</v>
      </c>
      <c r="F257" s="67">
        <f>SUM(D$249:D257)</f>
        <v>1217500</v>
      </c>
      <c r="G257" s="67">
        <f>SUM(E$249:E257)</f>
        <v>1217500</v>
      </c>
      <c r="H257" s="67">
        <f t="shared" si="71"/>
        <v>0</v>
      </c>
      <c r="K257" s="62">
        <f t="shared" si="73"/>
        <v>24350</v>
      </c>
      <c r="L257" s="6" t="b">
        <f t="shared" si="74"/>
        <v>1</v>
      </c>
      <c r="M257" s="62"/>
    </row>
    <row r="258" spans="2:13" s="6" customFormat="1" ht="13.2">
      <c r="B258" s="13">
        <f t="shared" si="72"/>
        <v>44065</v>
      </c>
      <c r="C258" s="62">
        <f t="shared" si="75"/>
        <v>22950</v>
      </c>
      <c r="D258" s="67">
        <f t="shared" si="76"/>
        <v>918000</v>
      </c>
      <c r="E258" s="67">
        <f t="shared" si="77"/>
        <v>918000</v>
      </c>
      <c r="F258" s="67">
        <f>SUM(D$249:D258)</f>
        <v>2135500</v>
      </c>
      <c r="G258" s="67">
        <f>SUM(E$249:E258)</f>
        <v>2135500</v>
      </c>
      <c r="H258" s="67">
        <f t="shared" si="71"/>
        <v>0</v>
      </c>
      <c r="K258" s="62">
        <f t="shared" si="73"/>
        <v>22950</v>
      </c>
      <c r="L258" s="6" t="b">
        <f t="shared" si="74"/>
        <v>1</v>
      </c>
      <c r="M258" s="62"/>
    </row>
    <row r="259" spans="2:13" s="6" customFormat="1" ht="13.2">
      <c r="B259" s="13">
        <f t="shared" si="72"/>
        <v>44072</v>
      </c>
      <c r="C259" s="62">
        <f t="shared" si="75"/>
        <v>15000</v>
      </c>
      <c r="D259" s="67">
        <f t="shared" si="76"/>
        <v>450000</v>
      </c>
      <c r="E259" s="67">
        <f t="shared" si="77"/>
        <v>450000</v>
      </c>
      <c r="F259" s="67">
        <f>SUM(D$249:D259)</f>
        <v>2585500</v>
      </c>
      <c r="G259" s="67">
        <f>SUM(E$249:E259)</f>
        <v>2585500</v>
      </c>
      <c r="H259" s="67">
        <f t="shared" si="71"/>
        <v>0</v>
      </c>
      <c r="K259" s="62">
        <f t="shared" si="73"/>
        <v>15000</v>
      </c>
      <c r="L259" s="6" t="b">
        <f t="shared" si="74"/>
        <v>1</v>
      </c>
      <c r="M259" s="62"/>
    </row>
    <row r="260" spans="2:13" s="6" customFormat="1" ht="13.2">
      <c r="B260" s="13">
        <f t="shared" si="72"/>
        <v>44079</v>
      </c>
      <c r="C260" s="62">
        <f t="shared" si="75"/>
        <v>21650</v>
      </c>
      <c r="D260" s="67">
        <f t="shared" si="76"/>
        <v>1082500</v>
      </c>
      <c r="E260" s="67">
        <f t="shared" si="77"/>
        <v>1082500</v>
      </c>
      <c r="F260" s="67">
        <f>SUM(D$249:D260)</f>
        <v>3668000</v>
      </c>
      <c r="G260" s="67">
        <f>SUM(E$249:E260)</f>
        <v>3668000</v>
      </c>
      <c r="H260" s="67">
        <f t="shared" si="71"/>
        <v>0</v>
      </c>
      <c r="K260" s="62">
        <f t="shared" si="73"/>
        <v>21650</v>
      </c>
      <c r="L260" s="6" t="b">
        <f t="shared" si="74"/>
        <v>1</v>
      </c>
      <c r="M260" s="62"/>
    </row>
    <row r="261" spans="2:13" s="6" customFormat="1" ht="13.2">
      <c r="B261" s="13">
        <f t="shared" si="72"/>
        <v>44086</v>
      </c>
      <c r="C261" s="62">
        <f t="shared" si="75"/>
        <v>15000</v>
      </c>
      <c r="D261" s="67">
        <f t="shared" si="76"/>
        <v>450000</v>
      </c>
      <c r="E261" s="67">
        <f t="shared" si="77"/>
        <v>450000</v>
      </c>
      <c r="F261" s="67">
        <f>SUM(D$249:D261)</f>
        <v>4118000</v>
      </c>
      <c r="G261" s="67">
        <f>SUM(E$249:E261)</f>
        <v>4118000</v>
      </c>
      <c r="H261" s="67">
        <f t="shared" si="71"/>
        <v>0</v>
      </c>
      <c r="K261" s="62">
        <f t="shared" si="73"/>
        <v>15000</v>
      </c>
      <c r="L261" s="6" t="b">
        <f t="shared" si="74"/>
        <v>1</v>
      </c>
      <c r="M261" s="62"/>
    </row>
    <row r="262" spans="2:13" s="6" customFormat="1" ht="13.2">
      <c r="B262" s="13">
        <f t="shared" si="72"/>
        <v>44093</v>
      </c>
      <c r="C262" s="62">
        <f t="shared" si="75"/>
        <v>21300</v>
      </c>
      <c r="D262" s="67">
        <f t="shared" si="76"/>
        <v>852000</v>
      </c>
      <c r="E262" s="67">
        <f t="shared" si="77"/>
        <v>852000</v>
      </c>
      <c r="F262" s="67">
        <f>SUM(D$249:D262)</f>
        <v>4970000</v>
      </c>
      <c r="G262" s="67">
        <f>SUM(E$249:E262)</f>
        <v>4970000</v>
      </c>
      <c r="H262" s="67">
        <f t="shared" si="71"/>
        <v>0</v>
      </c>
      <c r="K262" s="62">
        <f t="shared" si="73"/>
        <v>21300</v>
      </c>
      <c r="L262" s="6" t="b">
        <f t="shared" si="74"/>
        <v>1</v>
      </c>
      <c r="M262" s="62"/>
    </row>
    <row r="263" spans="2:13" s="6" customFormat="1" ht="13.2">
      <c r="B263" s="13">
        <f t="shared" si="72"/>
        <v>44100</v>
      </c>
      <c r="C263" s="62">
        <f t="shared" si="75"/>
        <v>15000</v>
      </c>
      <c r="D263" s="67">
        <f t="shared" si="76"/>
        <v>450000</v>
      </c>
      <c r="E263" s="67">
        <f t="shared" si="77"/>
        <v>450000</v>
      </c>
      <c r="F263" s="67">
        <f>SUM(D$249:D263)</f>
        <v>5420000</v>
      </c>
      <c r="G263" s="67">
        <f>SUM(E$249:E263)</f>
        <v>5420000</v>
      </c>
      <c r="H263" s="67">
        <f t="shared" si="71"/>
        <v>0</v>
      </c>
      <c r="K263" s="62">
        <f t="shared" si="73"/>
        <v>15000</v>
      </c>
      <c r="L263" s="6" t="b">
        <f t="shared" si="74"/>
        <v>1</v>
      </c>
      <c r="M263" s="62"/>
    </row>
    <row r="264" spans="2:13" s="6" customFormat="1" ht="13.2">
      <c r="B264" s="13">
        <f t="shared" si="72"/>
        <v>44107</v>
      </c>
      <c r="C264" s="62">
        <f t="shared" si="75"/>
        <v>21200</v>
      </c>
      <c r="D264" s="67">
        <f t="shared" si="76"/>
        <v>848000</v>
      </c>
      <c r="E264" s="67">
        <f t="shared" si="77"/>
        <v>848000</v>
      </c>
      <c r="F264" s="67">
        <f>SUM(D$249:D264)</f>
        <v>6268000</v>
      </c>
      <c r="G264" s="67">
        <f>SUM(E$249:E264)</f>
        <v>6268000</v>
      </c>
      <c r="H264" s="67">
        <f t="shared" si="71"/>
        <v>0</v>
      </c>
      <c r="K264" s="62">
        <f t="shared" si="73"/>
        <v>21200</v>
      </c>
      <c r="L264" s="6" t="b">
        <f t="shared" si="74"/>
        <v>1</v>
      </c>
      <c r="M264" s="62"/>
    </row>
    <row r="265" spans="2:13" s="6" customFormat="1" ht="13.2">
      <c r="B265" s="13">
        <f t="shared" si="72"/>
        <v>44114</v>
      </c>
      <c r="C265" s="62">
        <f t="shared" si="75"/>
        <v>21150</v>
      </c>
      <c r="D265" s="67">
        <f t="shared" si="76"/>
        <v>846000</v>
      </c>
      <c r="E265" s="67">
        <f t="shared" si="77"/>
        <v>846000</v>
      </c>
      <c r="F265" s="67">
        <f>SUM(D$249:D265)</f>
        <v>7114000</v>
      </c>
      <c r="G265" s="67">
        <f>SUM(E$249:E265)</f>
        <v>7114000</v>
      </c>
      <c r="H265" s="67">
        <f t="shared" si="71"/>
        <v>0</v>
      </c>
      <c r="K265" s="62">
        <f t="shared" si="73"/>
        <v>21150</v>
      </c>
      <c r="L265" s="6" t="b">
        <f t="shared" si="74"/>
        <v>1</v>
      </c>
      <c r="M265" s="62"/>
    </row>
    <row r="266" spans="2:13" s="6" customFormat="1" ht="13.2">
      <c r="B266" s="13">
        <f t="shared" si="72"/>
        <v>44121</v>
      </c>
      <c r="C266" s="62">
        <f t="shared" si="75"/>
        <v>15000</v>
      </c>
      <c r="D266" s="67">
        <f t="shared" si="76"/>
        <v>450000</v>
      </c>
      <c r="E266" s="67">
        <f t="shared" si="77"/>
        <v>450000</v>
      </c>
      <c r="F266" s="67">
        <f>SUM(D$249:D266)</f>
        <v>7564000</v>
      </c>
      <c r="G266" s="67">
        <f>SUM(E$249:E266)</f>
        <v>7564000</v>
      </c>
      <c r="H266" s="67">
        <f t="shared" si="71"/>
        <v>0</v>
      </c>
      <c r="K266" s="62">
        <f t="shared" si="73"/>
        <v>15000</v>
      </c>
      <c r="L266" s="6" t="b">
        <f t="shared" si="74"/>
        <v>1</v>
      </c>
      <c r="M266" s="62"/>
    </row>
    <row r="267" spans="2:13" s="6" customFormat="1" ht="13.2">
      <c r="B267" s="13">
        <f t="shared" si="72"/>
        <v>44128</v>
      </c>
      <c r="C267" s="62">
        <f t="shared" si="75"/>
        <v>21050</v>
      </c>
      <c r="D267" s="67">
        <f t="shared" si="76"/>
        <v>842000</v>
      </c>
      <c r="E267" s="67">
        <f t="shared" si="77"/>
        <v>842000</v>
      </c>
      <c r="F267" s="67">
        <f>SUM(D$249:D267)</f>
        <v>8406000</v>
      </c>
      <c r="G267" s="67">
        <f>SUM(E$249:E267)</f>
        <v>8406000</v>
      </c>
      <c r="H267" s="67">
        <f t="shared" si="71"/>
        <v>0</v>
      </c>
      <c r="K267" s="62">
        <f t="shared" si="73"/>
        <v>21050</v>
      </c>
      <c r="L267" s="6" t="b">
        <f t="shared" si="74"/>
        <v>1</v>
      </c>
      <c r="M267" s="62"/>
    </row>
    <row r="268" spans="2:13" s="6" customFormat="1" ht="13.2">
      <c r="B268" s="13">
        <f t="shared" si="72"/>
        <v>44135</v>
      </c>
      <c r="C268" s="62">
        <f t="shared" si="75"/>
        <v>15000</v>
      </c>
      <c r="D268" s="67">
        <f t="shared" si="76"/>
        <v>450000</v>
      </c>
      <c r="E268" s="67">
        <f t="shared" si="77"/>
        <v>450000</v>
      </c>
      <c r="F268" s="67">
        <f>SUM(D$249:D268)</f>
        <v>8856000</v>
      </c>
      <c r="G268" s="67">
        <f>SUM(E$249:E268)</f>
        <v>8856000</v>
      </c>
      <c r="H268" s="67">
        <f t="shared" si="71"/>
        <v>0</v>
      </c>
      <c r="K268" s="62">
        <f t="shared" si="73"/>
        <v>15000</v>
      </c>
      <c r="L268" s="6" t="b">
        <f t="shared" si="74"/>
        <v>1</v>
      </c>
      <c r="M268" s="62"/>
    </row>
    <row r="269" spans="2:13" s="6" customFormat="1" ht="13.2">
      <c r="B269" s="13">
        <f t="shared" si="72"/>
        <v>44142</v>
      </c>
      <c r="C269" s="62">
        <f t="shared" si="75"/>
        <v>20950</v>
      </c>
      <c r="D269" s="67">
        <f t="shared" si="76"/>
        <v>1257000</v>
      </c>
      <c r="E269" s="67">
        <f t="shared" si="77"/>
        <v>1257000</v>
      </c>
      <c r="F269" s="67">
        <f>SUM(D$249:D269)</f>
        <v>10113000</v>
      </c>
      <c r="G269" s="67">
        <f>SUM(E$249:E269)</f>
        <v>10113000</v>
      </c>
      <c r="H269" s="67">
        <f t="shared" si="71"/>
        <v>0</v>
      </c>
      <c r="K269" s="62">
        <f t="shared" si="73"/>
        <v>20950</v>
      </c>
      <c r="L269" s="6" t="b">
        <f t="shared" si="74"/>
        <v>1</v>
      </c>
      <c r="M269" s="62"/>
    </row>
    <row r="270" spans="2:13" s="6" customFormat="1" ht="13.2">
      <c r="B270" s="13">
        <f t="shared" si="72"/>
        <v>44149</v>
      </c>
      <c r="C270" s="62">
        <f t="shared" si="75"/>
        <v>15000</v>
      </c>
      <c r="D270" s="67">
        <f t="shared" si="76"/>
        <v>450000</v>
      </c>
      <c r="E270" s="67">
        <f t="shared" si="77"/>
        <v>450000</v>
      </c>
      <c r="F270" s="67">
        <f>SUM(D$249:D270)</f>
        <v>10563000</v>
      </c>
      <c r="G270" s="67">
        <f>SUM(E$249:E270)</f>
        <v>10563000</v>
      </c>
      <c r="H270" s="67">
        <f t="shared" si="71"/>
        <v>0</v>
      </c>
      <c r="K270" s="62">
        <f t="shared" si="73"/>
        <v>15000</v>
      </c>
      <c r="L270" s="6" t="b">
        <f t="shared" si="74"/>
        <v>1</v>
      </c>
      <c r="M270" s="62"/>
    </row>
    <row r="271" spans="2:13" s="6" customFormat="1" ht="13.2">
      <c r="B271" s="13">
        <f t="shared" si="72"/>
        <v>44156</v>
      </c>
      <c r="C271" s="62">
        <f t="shared" si="75"/>
        <v>20850</v>
      </c>
      <c r="D271" s="67">
        <f t="shared" si="76"/>
        <v>834000</v>
      </c>
      <c r="E271" s="67">
        <f t="shared" si="77"/>
        <v>834000</v>
      </c>
      <c r="F271" s="67">
        <f>SUM(D$249:D271)</f>
        <v>11397000</v>
      </c>
      <c r="G271" s="67">
        <f>SUM(E$249:E271)</f>
        <v>11397000</v>
      </c>
      <c r="H271" s="67">
        <f t="shared" si="71"/>
        <v>0</v>
      </c>
      <c r="K271" s="62">
        <f t="shared" si="73"/>
        <v>20850</v>
      </c>
      <c r="L271" s="6" t="b">
        <f t="shared" si="74"/>
        <v>1</v>
      </c>
      <c r="M271" s="62"/>
    </row>
    <row r="272" spans="2:13" s="6" customFormat="1" ht="13.2">
      <c r="B272" s="13">
        <f t="shared" si="72"/>
        <v>44163</v>
      </c>
      <c r="C272" s="62">
        <f t="shared" si="75"/>
        <v>20800</v>
      </c>
      <c r="D272" s="67">
        <f t="shared" si="76"/>
        <v>832000</v>
      </c>
      <c r="E272" s="67">
        <f t="shared" si="77"/>
        <v>832000</v>
      </c>
      <c r="F272" s="67">
        <f>SUM(D$249:D272)</f>
        <v>12229000</v>
      </c>
      <c r="G272" s="67">
        <f>SUM(E$249:E272)</f>
        <v>12229000</v>
      </c>
      <c r="H272" s="67">
        <f t="shared" si="71"/>
        <v>0</v>
      </c>
      <c r="K272" s="62">
        <f t="shared" si="73"/>
        <v>20800</v>
      </c>
      <c r="L272" s="6" t="b">
        <f t="shared" si="74"/>
        <v>1</v>
      </c>
      <c r="M272" s="62"/>
    </row>
    <row r="273" spans="2:13" s="6" customFormat="1" ht="13.2">
      <c r="B273" s="13">
        <f t="shared" si="72"/>
        <v>44170</v>
      </c>
      <c r="C273" s="62">
        <f t="shared" si="75"/>
        <v>20750</v>
      </c>
      <c r="D273" s="67">
        <f t="shared" si="76"/>
        <v>830000</v>
      </c>
      <c r="E273" s="67">
        <f t="shared" si="77"/>
        <v>830000</v>
      </c>
      <c r="F273" s="67">
        <f>SUM(D$249:D273)</f>
        <v>13059000</v>
      </c>
      <c r="G273" s="67">
        <f>SUM(E$249:E273)</f>
        <v>13059000</v>
      </c>
      <c r="H273" s="67">
        <f t="shared" si="71"/>
        <v>0</v>
      </c>
      <c r="K273" s="62">
        <f t="shared" si="73"/>
        <v>20750</v>
      </c>
      <c r="L273" s="6" t="b">
        <f t="shared" si="74"/>
        <v>1</v>
      </c>
      <c r="M273" s="62"/>
    </row>
    <row r="274" spans="2:13" s="6" customFormat="1" ht="13.2">
      <c r="B274" s="13">
        <f t="shared" si="72"/>
        <v>44177</v>
      </c>
      <c r="C274" s="62">
        <f t="shared" si="75"/>
        <v>15000</v>
      </c>
      <c r="D274" s="67">
        <f t="shared" si="76"/>
        <v>450000</v>
      </c>
      <c r="E274" s="67">
        <f t="shared" si="77"/>
        <v>450000</v>
      </c>
      <c r="F274" s="67">
        <f>SUM(D$249:D274)</f>
        <v>13509000</v>
      </c>
      <c r="G274" s="67">
        <f>SUM(E$249:E274)</f>
        <v>13509000</v>
      </c>
      <c r="H274" s="67">
        <f t="shared" si="71"/>
        <v>0</v>
      </c>
      <c r="K274" s="62">
        <f t="shared" si="73"/>
        <v>15000</v>
      </c>
      <c r="L274" s="6" t="b">
        <f t="shared" si="74"/>
        <v>1</v>
      </c>
      <c r="M274" s="62"/>
    </row>
    <row r="275" spans="2:13" s="6" customFormat="1" ht="13.2">
      <c r="B275" s="13">
        <f t="shared" si="72"/>
        <v>44184</v>
      </c>
      <c r="C275" s="62">
        <f t="shared" si="75"/>
        <v>0</v>
      </c>
      <c r="D275" s="67">
        <f t="shared" si="76"/>
        <v>0</v>
      </c>
      <c r="E275" s="67">
        <f t="shared" si="77"/>
        <v>0</v>
      </c>
      <c r="F275" s="67">
        <f>SUM(D$249:D275)</f>
        <v>13509000</v>
      </c>
      <c r="G275" s="67">
        <f>SUM(E$249:E275)</f>
        <v>13509000</v>
      </c>
      <c r="H275" s="67">
        <f t="shared" si="71"/>
        <v>0</v>
      </c>
      <c r="K275" s="62">
        <f t="shared" si="73"/>
        <v>0</v>
      </c>
      <c r="L275" s="6" t="b">
        <f t="shared" si="74"/>
        <v>1</v>
      </c>
      <c r="M275" s="62"/>
    </row>
    <row r="276" spans="2:13" s="6" customFormat="1" ht="13.2">
      <c r="B276" s="13">
        <f t="shared" si="72"/>
        <v>44191</v>
      </c>
      <c r="C276" s="62">
        <f t="shared" si="75"/>
        <v>0</v>
      </c>
      <c r="D276" s="67">
        <f t="shared" si="76"/>
        <v>0</v>
      </c>
      <c r="E276" s="67">
        <f t="shared" si="77"/>
        <v>0</v>
      </c>
      <c r="F276" s="67">
        <f>SUM(D$249:D276)</f>
        <v>13509000</v>
      </c>
      <c r="G276" s="67">
        <f>SUM(E$249:E276)</f>
        <v>13509000</v>
      </c>
      <c r="H276" s="67">
        <f t="shared" si="71"/>
        <v>0</v>
      </c>
      <c r="K276" s="62">
        <f t="shared" si="73"/>
        <v>0</v>
      </c>
      <c r="L276" s="6" t="b">
        <f t="shared" si="74"/>
        <v>1</v>
      </c>
      <c r="M276" s="62"/>
    </row>
    <row r="277" spans="2:13" s="6" customFormat="1" ht="13.2">
      <c r="B277" s="13">
        <f t="shared" si="72"/>
        <v>44198</v>
      </c>
      <c r="C277" s="62">
        <f t="shared" si="75"/>
        <v>15000</v>
      </c>
      <c r="D277" s="67">
        <f t="shared" si="76"/>
        <v>450000</v>
      </c>
      <c r="E277" s="67">
        <f t="shared" si="77"/>
        <v>450000</v>
      </c>
      <c r="F277" s="67">
        <f>SUM(D$249:D277)</f>
        <v>13959000</v>
      </c>
      <c r="G277" s="67">
        <f>SUM(E$249:E277)</f>
        <v>13959000</v>
      </c>
      <c r="H277" s="67">
        <f t="shared" si="71"/>
        <v>0</v>
      </c>
      <c r="K277" s="62">
        <f t="shared" si="73"/>
        <v>15000</v>
      </c>
      <c r="L277" s="6" t="b">
        <f t="shared" si="74"/>
        <v>1</v>
      </c>
      <c r="M277" s="62"/>
    </row>
    <row r="278" spans="2:13" s="6" customFormat="1" ht="13.2">
      <c r="B278" s="13">
        <f t="shared" si="72"/>
        <v>44205</v>
      </c>
      <c r="C278" s="62">
        <f t="shared" si="75"/>
        <v>15000</v>
      </c>
      <c r="D278" s="67">
        <f t="shared" si="76"/>
        <v>450000</v>
      </c>
      <c r="E278" s="67">
        <f t="shared" si="77"/>
        <v>450000</v>
      </c>
      <c r="F278" s="67">
        <f>SUM(D$249:D278)</f>
        <v>14409000</v>
      </c>
      <c r="G278" s="67">
        <f>SUM(E$249:E278)</f>
        <v>14409000</v>
      </c>
      <c r="H278" s="67">
        <f t="shared" si="71"/>
        <v>0</v>
      </c>
      <c r="K278" s="62">
        <f t="shared" si="73"/>
        <v>15000</v>
      </c>
      <c r="L278" s="6" t="b">
        <f t="shared" si="74"/>
        <v>1</v>
      </c>
      <c r="M278" s="62"/>
    </row>
    <row r="279" spans="2:13" s="6" customFormat="1" ht="13.2">
      <c r="B279" s="13">
        <f t="shared" si="72"/>
        <v>44212</v>
      </c>
      <c r="C279" s="62">
        <f t="shared" si="75"/>
        <v>20050</v>
      </c>
      <c r="D279" s="67">
        <f t="shared" si="76"/>
        <v>1002500</v>
      </c>
      <c r="E279" s="67">
        <f t="shared" si="77"/>
        <v>1002500</v>
      </c>
      <c r="F279" s="67">
        <f>SUM(D$249:D279)</f>
        <v>15411500</v>
      </c>
      <c r="G279" s="67">
        <f>SUM(E$249:E279)</f>
        <v>15411500</v>
      </c>
      <c r="H279" s="67">
        <f t="shared" si="71"/>
        <v>0</v>
      </c>
      <c r="K279" s="62">
        <f t="shared" si="73"/>
        <v>20050</v>
      </c>
      <c r="L279" s="6" t="b">
        <f t="shared" si="74"/>
        <v>1</v>
      </c>
      <c r="M279" s="62"/>
    </row>
    <row r="280" spans="2:13" s="6" customFormat="1" ht="13.2">
      <c r="B280" s="13">
        <f t="shared" si="72"/>
        <v>44219</v>
      </c>
      <c r="C280" s="62">
        <f t="shared" si="75"/>
        <v>15000</v>
      </c>
      <c r="D280" s="67">
        <f t="shared" si="76"/>
        <v>450000</v>
      </c>
      <c r="E280" s="67">
        <f t="shared" si="77"/>
        <v>450000</v>
      </c>
      <c r="F280" s="67">
        <f>SUM(D$249:D280)</f>
        <v>15861500</v>
      </c>
      <c r="G280" s="67">
        <f>SUM(E$249:E280)</f>
        <v>15861500</v>
      </c>
      <c r="H280" s="67">
        <f t="shared" si="71"/>
        <v>0</v>
      </c>
      <c r="K280" s="62">
        <f t="shared" si="73"/>
        <v>15000</v>
      </c>
      <c r="L280" s="6" t="b">
        <f t="shared" si="74"/>
        <v>1</v>
      </c>
      <c r="M280" s="62"/>
    </row>
    <row r="281" spans="2:13" s="6" customFormat="1" ht="13.2">
      <c r="B281" s="13">
        <f t="shared" si="72"/>
        <v>44226</v>
      </c>
      <c r="C281" s="62">
        <f t="shared" si="75"/>
        <v>20000</v>
      </c>
      <c r="D281" s="67">
        <f t="shared" si="76"/>
        <v>1200000</v>
      </c>
      <c r="E281" s="67">
        <f t="shared" si="77"/>
        <v>1200000</v>
      </c>
      <c r="F281" s="67">
        <f>SUM(D$249:D281)</f>
        <v>17061500</v>
      </c>
      <c r="G281" s="67">
        <f>SUM(E$249:E281)</f>
        <v>17061500</v>
      </c>
      <c r="H281" s="67">
        <f t="shared" si="71"/>
        <v>0</v>
      </c>
      <c r="K281" s="62">
        <f t="shared" si="73"/>
        <v>20000</v>
      </c>
      <c r="L281" s="6" t="b">
        <f t="shared" si="74"/>
        <v>1</v>
      </c>
      <c r="M281" s="62"/>
    </row>
    <row r="282" spans="2:13" s="6" customFormat="1" ht="13.2">
      <c r="B282" s="13">
        <f t="shared" si="72"/>
        <v>44233</v>
      </c>
      <c r="C282" s="62">
        <f t="shared" si="75"/>
        <v>20000</v>
      </c>
      <c r="D282" s="67">
        <f t="shared" si="76"/>
        <v>800000</v>
      </c>
      <c r="E282" s="67">
        <f t="shared" si="77"/>
        <v>800000</v>
      </c>
      <c r="F282" s="67">
        <f>SUM(D$249:D282)</f>
        <v>17861500</v>
      </c>
      <c r="G282" s="67">
        <f>SUM(E$249:E282)</f>
        <v>17861500</v>
      </c>
      <c r="H282" s="67">
        <f t="shared" si="71"/>
        <v>0</v>
      </c>
      <c r="K282" s="62">
        <f t="shared" si="73"/>
        <v>20000</v>
      </c>
      <c r="L282" s="6" t="b">
        <f t="shared" si="74"/>
        <v>1</v>
      </c>
      <c r="M282" s="62"/>
    </row>
    <row r="283" spans="2:13" s="6" customFormat="1" ht="13.2">
      <c r="B283" s="13">
        <f t="shared" si="72"/>
        <v>44240</v>
      </c>
      <c r="C283" s="62">
        <f t="shared" si="75"/>
        <v>20000</v>
      </c>
      <c r="D283" s="67">
        <f t="shared" si="76"/>
        <v>800000</v>
      </c>
      <c r="E283" s="67">
        <f t="shared" si="77"/>
        <v>800000</v>
      </c>
      <c r="F283" s="67">
        <f>SUM(D$249:D283)</f>
        <v>18661500</v>
      </c>
      <c r="G283" s="67">
        <f>SUM(E$249:E283)</f>
        <v>18661500</v>
      </c>
      <c r="H283" s="67">
        <f t="shared" si="71"/>
        <v>0</v>
      </c>
      <c r="K283" s="62">
        <f t="shared" si="73"/>
        <v>20000</v>
      </c>
      <c r="L283" s="6" t="b">
        <f t="shared" si="74"/>
        <v>1</v>
      </c>
      <c r="M283" s="62"/>
    </row>
    <row r="284" spans="2:13" s="6" customFormat="1" ht="13.2">
      <c r="B284" s="13">
        <f t="shared" si="72"/>
        <v>44247</v>
      </c>
      <c r="C284" s="62">
        <f t="shared" si="75"/>
        <v>20000</v>
      </c>
      <c r="D284" s="67">
        <f t="shared" si="76"/>
        <v>800000</v>
      </c>
      <c r="E284" s="67">
        <f t="shared" si="77"/>
        <v>800000</v>
      </c>
      <c r="F284" s="67">
        <f>SUM(D$249:D284)</f>
        <v>19461500</v>
      </c>
      <c r="G284" s="67">
        <f>SUM(E$249:E284)</f>
        <v>19461500</v>
      </c>
      <c r="H284" s="67">
        <f t="shared" si="71"/>
        <v>0</v>
      </c>
      <c r="K284" s="62">
        <f t="shared" si="73"/>
        <v>20000</v>
      </c>
      <c r="L284" s="6" t="b">
        <f t="shared" si="74"/>
        <v>1</v>
      </c>
      <c r="M284" s="62"/>
    </row>
    <row r="285" spans="2:13" s="6" customFormat="1" ht="13.2">
      <c r="B285" s="13">
        <f t="shared" si="72"/>
        <v>44254</v>
      </c>
      <c r="C285" s="62">
        <f t="shared" si="75"/>
        <v>20000</v>
      </c>
      <c r="D285" s="67">
        <f t="shared" si="76"/>
        <v>1000000</v>
      </c>
      <c r="E285" s="67">
        <f t="shared" si="77"/>
        <v>1000000</v>
      </c>
      <c r="F285" s="67">
        <f>SUM(D$249:D285)</f>
        <v>20461500</v>
      </c>
      <c r="G285" s="67">
        <f>SUM(E$249:E285)</f>
        <v>20461500</v>
      </c>
      <c r="H285" s="67">
        <f t="shared" si="71"/>
        <v>0</v>
      </c>
      <c r="K285" s="62">
        <f t="shared" si="73"/>
        <v>20000</v>
      </c>
      <c r="L285" s="6" t="b">
        <f t="shared" si="74"/>
        <v>1</v>
      </c>
      <c r="M285" s="62"/>
    </row>
    <row r="286" spans="2:13">
      <c r="B286" s="13">
        <f t="shared" si="72"/>
        <v>44261</v>
      </c>
      <c r="C286" s="62">
        <f t="shared" si="75"/>
        <v>15000</v>
      </c>
      <c r="D286" s="67">
        <f t="shared" si="76"/>
        <v>450000</v>
      </c>
      <c r="E286" s="67">
        <f t="shared" si="77"/>
        <v>450000</v>
      </c>
      <c r="F286" s="67">
        <f>SUM(D$249:D286)</f>
        <v>20911500</v>
      </c>
      <c r="G286" s="67">
        <f>SUM(E$249:E286)</f>
        <v>20911500</v>
      </c>
      <c r="H286" s="67">
        <f t="shared" si="71"/>
        <v>0</v>
      </c>
      <c r="I286" s="6"/>
      <c r="K286" s="62">
        <f t="shared" si="73"/>
        <v>15000</v>
      </c>
      <c r="L286" s="6" t="b">
        <f t="shared" si="74"/>
        <v>1</v>
      </c>
      <c r="M286" s="62"/>
    </row>
    <row r="287" spans="2:13">
      <c r="B287" s="13">
        <f t="shared" si="72"/>
        <v>44268</v>
      </c>
      <c r="C287" s="62">
        <f t="shared" si="75"/>
        <v>20000</v>
      </c>
      <c r="D287" s="67">
        <f t="shared" si="76"/>
        <v>800000</v>
      </c>
      <c r="E287" s="67">
        <f t="shared" si="77"/>
        <v>800000</v>
      </c>
      <c r="F287" s="67">
        <f>SUM(D$249:D287)</f>
        <v>21711500</v>
      </c>
      <c r="G287" s="67">
        <f>SUM(E$249:E287)</f>
        <v>21711500</v>
      </c>
      <c r="H287" s="67">
        <f t="shared" si="71"/>
        <v>0</v>
      </c>
      <c r="I287" s="6"/>
      <c r="K287" s="62">
        <f t="shared" si="73"/>
        <v>20000</v>
      </c>
      <c r="L287" s="6" t="b">
        <f t="shared" si="74"/>
        <v>1</v>
      </c>
      <c r="M287" s="62"/>
    </row>
    <row r="288" spans="2:13">
      <c r="B288" s="13">
        <f t="shared" si="72"/>
        <v>44275</v>
      </c>
      <c r="C288" s="62">
        <f t="shared" si="75"/>
        <v>20000</v>
      </c>
      <c r="D288" s="67">
        <f t="shared" si="76"/>
        <v>800000</v>
      </c>
      <c r="E288" s="67">
        <f t="shared" si="77"/>
        <v>800000</v>
      </c>
      <c r="F288" s="67">
        <f>SUM(D$249:D288)</f>
        <v>22511500</v>
      </c>
      <c r="G288" s="67">
        <f>SUM(E$249:E288)</f>
        <v>22511500</v>
      </c>
      <c r="H288" s="67">
        <f t="shared" si="71"/>
        <v>0</v>
      </c>
      <c r="I288" s="6"/>
      <c r="K288" s="62">
        <f t="shared" si="73"/>
        <v>20000</v>
      </c>
      <c r="L288" s="6" t="b">
        <f t="shared" si="74"/>
        <v>1</v>
      </c>
      <c r="M288" s="62"/>
    </row>
    <row r="289" spans="1:13">
      <c r="B289" s="13">
        <f t="shared" si="72"/>
        <v>44282</v>
      </c>
      <c r="C289" s="62">
        <f t="shared" si="75"/>
        <v>20000</v>
      </c>
      <c r="D289" s="67">
        <f t="shared" si="76"/>
        <v>1000000</v>
      </c>
      <c r="E289" s="67">
        <f t="shared" si="77"/>
        <v>1000000</v>
      </c>
      <c r="F289" s="67">
        <f>SUM(D$249:D289)</f>
        <v>23511500</v>
      </c>
      <c r="G289" s="67">
        <f>SUM(E$249:E289)</f>
        <v>23511500</v>
      </c>
      <c r="H289" s="67">
        <f t="shared" si="71"/>
        <v>0</v>
      </c>
      <c r="I289" s="6"/>
      <c r="K289" s="62">
        <f t="shared" si="73"/>
        <v>20000</v>
      </c>
      <c r="L289" s="6" t="b">
        <f t="shared" si="74"/>
        <v>1</v>
      </c>
      <c r="M289" s="62"/>
    </row>
    <row r="290" spans="1:13">
      <c r="B290" s="13">
        <f t="shared" si="72"/>
        <v>44289</v>
      </c>
      <c r="C290" s="62">
        <f t="shared" si="75"/>
        <v>15000</v>
      </c>
      <c r="D290" s="67">
        <f t="shared" si="76"/>
        <v>450000</v>
      </c>
      <c r="E290" s="67">
        <f t="shared" si="77"/>
        <v>450000</v>
      </c>
      <c r="F290" s="67">
        <f>SUM(D$249:D290)</f>
        <v>23961500</v>
      </c>
      <c r="G290" s="67">
        <f>SUM(E$249:E290)</f>
        <v>23961500</v>
      </c>
      <c r="H290" s="67">
        <f t="shared" si="71"/>
        <v>0</v>
      </c>
      <c r="I290" s="6"/>
      <c r="K290" s="62">
        <f t="shared" si="73"/>
        <v>15000</v>
      </c>
      <c r="L290" s="6" t="b">
        <f t="shared" si="74"/>
        <v>1</v>
      </c>
      <c r="M290" s="62"/>
    </row>
    <row r="291" spans="1:13">
      <c r="B291" s="13">
        <f t="shared" si="72"/>
        <v>44296</v>
      </c>
      <c r="C291" s="62">
        <f t="shared" si="75"/>
        <v>20000</v>
      </c>
      <c r="D291" s="67">
        <f t="shared" si="76"/>
        <v>800000</v>
      </c>
      <c r="E291" s="67">
        <f t="shared" si="77"/>
        <v>800000</v>
      </c>
      <c r="F291" s="67">
        <f>SUM(D$249:D291)</f>
        <v>24761500</v>
      </c>
      <c r="G291" s="67">
        <f>SUM(E$249:E291)</f>
        <v>24761500</v>
      </c>
      <c r="H291" s="67">
        <f t="shared" si="71"/>
        <v>0</v>
      </c>
      <c r="I291" s="6"/>
      <c r="K291" s="62">
        <f t="shared" si="73"/>
        <v>20000</v>
      </c>
      <c r="L291" s="6" t="b">
        <f t="shared" si="74"/>
        <v>1</v>
      </c>
      <c r="M291" s="62"/>
    </row>
    <row r="292" spans="1:13">
      <c r="B292" s="13">
        <f t="shared" si="72"/>
        <v>44303</v>
      </c>
      <c r="C292" s="62">
        <f t="shared" si="75"/>
        <v>20000</v>
      </c>
      <c r="D292" s="67">
        <f t="shared" si="76"/>
        <v>800000</v>
      </c>
      <c r="E292" s="67">
        <f t="shared" si="77"/>
        <v>800000</v>
      </c>
      <c r="F292" s="67">
        <f>SUM(D$249:D292)</f>
        <v>25561500</v>
      </c>
      <c r="G292" s="67">
        <f>SUM(E$249:E292)</f>
        <v>25561500</v>
      </c>
      <c r="H292" s="67">
        <f t="shared" si="71"/>
        <v>0</v>
      </c>
      <c r="I292" s="6"/>
      <c r="K292" s="62">
        <f t="shared" si="73"/>
        <v>20000</v>
      </c>
      <c r="L292" s="6" t="b">
        <f t="shared" si="74"/>
        <v>1</v>
      </c>
      <c r="M292" s="62"/>
    </row>
    <row r="293" spans="1:13">
      <c r="B293" s="13">
        <f t="shared" si="72"/>
        <v>44310</v>
      </c>
      <c r="C293" s="62">
        <f t="shared" si="75"/>
        <v>15000</v>
      </c>
      <c r="D293" s="67">
        <f t="shared" si="76"/>
        <v>450000</v>
      </c>
      <c r="E293" s="67">
        <f t="shared" si="77"/>
        <v>450000</v>
      </c>
      <c r="F293" s="67">
        <f>SUM(D$249:D293)</f>
        <v>26011500</v>
      </c>
      <c r="G293" s="67">
        <f>SUM(E$249:E293)</f>
        <v>26011500</v>
      </c>
      <c r="H293" s="67">
        <f t="shared" si="71"/>
        <v>0</v>
      </c>
      <c r="I293" s="6"/>
      <c r="K293" s="62">
        <f t="shared" si="73"/>
        <v>15000</v>
      </c>
      <c r="L293" s="6" t="b">
        <f t="shared" si="74"/>
        <v>1</v>
      </c>
      <c r="M293" s="62"/>
    </row>
    <row r="294" spans="1:13">
      <c r="B294" s="13">
        <f t="shared" si="72"/>
        <v>44317</v>
      </c>
      <c r="C294" s="62">
        <f t="shared" si="75"/>
        <v>15000</v>
      </c>
      <c r="D294" s="67">
        <f t="shared" si="76"/>
        <v>450000</v>
      </c>
      <c r="E294" s="67">
        <f t="shared" si="77"/>
        <v>450000</v>
      </c>
      <c r="F294" s="67">
        <f>SUM(D$249:D294)</f>
        <v>26461500</v>
      </c>
      <c r="G294" s="67">
        <f>SUM(E$249:E294)</f>
        <v>26461500</v>
      </c>
      <c r="H294" s="67">
        <f t="shared" si="71"/>
        <v>0</v>
      </c>
      <c r="I294" s="6"/>
      <c r="K294" s="62">
        <f t="shared" si="73"/>
        <v>15000</v>
      </c>
      <c r="L294" s="6" t="b">
        <f t="shared" si="74"/>
        <v>1</v>
      </c>
      <c r="M294" s="62"/>
    </row>
    <row r="295" spans="1:13">
      <c r="B295" s="13">
        <f t="shared" si="72"/>
        <v>44324</v>
      </c>
      <c r="C295" s="62">
        <f t="shared" si="75"/>
        <v>15000</v>
      </c>
      <c r="D295" s="67">
        <f t="shared" si="76"/>
        <v>450000</v>
      </c>
      <c r="E295" s="67">
        <f t="shared" si="77"/>
        <v>450000</v>
      </c>
      <c r="F295" s="67">
        <f>SUM(D$249:D295)</f>
        <v>26911500</v>
      </c>
      <c r="G295" s="67">
        <f>SUM(E$249:E295)</f>
        <v>26911500</v>
      </c>
      <c r="H295" s="67">
        <f t="shared" si="71"/>
        <v>0</v>
      </c>
      <c r="I295" s="6"/>
      <c r="K295" s="62">
        <f t="shared" si="73"/>
        <v>15000</v>
      </c>
      <c r="L295" s="6" t="b">
        <f t="shared" si="74"/>
        <v>1</v>
      </c>
      <c r="M295" s="62"/>
    </row>
    <row r="296" spans="1:13">
      <c r="B296" s="13">
        <f t="shared" si="72"/>
        <v>44331</v>
      </c>
      <c r="C296" s="62">
        <f t="shared" si="75"/>
        <v>20000</v>
      </c>
      <c r="D296" s="67">
        <f t="shared" si="76"/>
        <v>1000000</v>
      </c>
      <c r="E296" s="67">
        <f t="shared" si="77"/>
        <v>1000000</v>
      </c>
      <c r="F296" s="67">
        <f>SUM(D$249:D296)</f>
        <v>27911500</v>
      </c>
      <c r="G296" s="67">
        <f>SUM(E$249:E296)</f>
        <v>27911500</v>
      </c>
      <c r="H296" s="67">
        <f t="shared" si="71"/>
        <v>0</v>
      </c>
      <c r="I296" s="6"/>
      <c r="K296" s="62">
        <f t="shared" si="73"/>
        <v>20000</v>
      </c>
      <c r="L296" s="6" t="b">
        <f t="shared" si="74"/>
        <v>1</v>
      </c>
      <c r="M296" s="62"/>
    </row>
    <row r="297" spans="1:13">
      <c r="B297" s="13">
        <f t="shared" si="72"/>
        <v>44338</v>
      </c>
      <c r="C297" s="62">
        <f t="shared" si="75"/>
        <v>20000</v>
      </c>
      <c r="D297" s="67">
        <f t="shared" si="76"/>
        <v>1200000</v>
      </c>
      <c r="E297" s="67">
        <f t="shared" si="77"/>
        <v>1200000</v>
      </c>
      <c r="F297" s="67">
        <f>SUM(D$249:D297)</f>
        <v>29111500</v>
      </c>
      <c r="G297" s="67">
        <f>SUM(E$249:E297)</f>
        <v>29111500</v>
      </c>
      <c r="H297" s="67">
        <f t="shared" si="71"/>
        <v>0</v>
      </c>
      <c r="I297" s="6"/>
      <c r="K297" s="62">
        <f t="shared" si="73"/>
        <v>20000</v>
      </c>
      <c r="L297" s="6" t="b">
        <f t="shared" si="74"/>
        <v>1</v>
      </c>
      <c r="M297" s="62"/>
    </row>
    <row r="298" spans="1:13">
      <c r="B298" s="13">
        <f t="shared" si="72"/>
        <v>44345</v>
      </c>
      <c r="C298" s="62">
        <f t="shared" si="75"/>
        <v>0</v>
      </c>
      <c r="D298" s="67">
        <f t="shared" si="76"/>
        <v>0</v>
      </c>
      <c r="E298" s="67">
        <f t="shared" si="77"/>
        <v>0</v>
      </c>
      <c r="F298" s="67">
        <f>SUM(D$249:D298)</f>
        <v>29111500</v>
      </c>
      <c r="G298" s="67">
        <f>SUM(E$249:E298)</f>
        <v>29111500</v>
      </c>
      <c r="H298" s="67">
        <f t="shared" si="71"/>
        <v>0</v>
      </c>
      <c r="I298" s="6"/>
      <c r="K298" s="62">
        <f t="shared" si="73"/>
        <v>0</v>
      </c>
      <c r="L298" s="6" t="b">
        <f t="shared" si="74"/>
        <v>1</v>
      </c>
      <c r="M298" s="62"/>
    </row>
    <row r="299" spans="1:13">
      <c r="B299" s="13">
        <f t="shared" si="72"/>
        <v>44352</v>
      </c>
      <c r="C299" s="62">
        <f t="shared" si="75"/>
        <v>20000</v>
      </c>
      <c r="D299" s="67">
        <f t="shared" si="76"/>
        <v>1500000</v>
      </c>
      <c r="E299" s="67">
        <f t="shared" si="77"/>
        <v>1500000</v>
      </c>
      <c r="F299" s="67">
        <f>SUM(D$249:D299)</f>
        <v>30611500</v>
      </c>
      <c r="G299" s="67">
        <f>SUM(E$249:E299)</f>
        <v>30611500</v>
      </c>
      <c r="H299" s="67">
        <f t="shared" si="71"/>
        <v>0</v>
      </c>
      <c r="I299" s="6"/>
      <c r="K299" s="62">
        <f t="shared" si="73"/>
        <v>20000</v>
      </c>
      <c r="L299" s="6" t="b">
        <f t="shared" si="74"/>
        <v>1</v>
      </c>
      <c r="M299" s="62"/>
    </row>
    <row r="300" spans="1:13">
      <c r="B300" s="13"/>
    </row>
    <row r="301" spans="1:13">
      <c r="B301" s="13"/>
    </row>
    <row r="302" spans="1:13">
      <c r="A302" s="55" t="s">
        <v>72</v>
      </c>
      <c r="B302" s="55"/>
      <c r="C302" s="56"/>
      <c r="D302" s="57"/>
      <c r="E302" s="58"/>
      <c r="F302" s="58"/>
      <c r="G302" s="58"/>
      <c r="H302" s="58"/>
    </row>
    <row r="303" spans="1:13" ht="26.4">
      <c r="B303" s="91" t="s">
        <v>21</v>
      </c>
      <c r="C303" s="20" t="s">
        <v>70</v>
      </c>
      <c r="D303" s="20" t="s">
        <v>22</v>
      </c>
      <c r="E303" s="20" t="s">
        <v>53</v>
      </c>
      <c r="F303" s="20" t="s">
        <v>40</v>
      </c>
      <c r="G303" s="20" t="s">
        <v>47</v>
      </c>
      <c r="H303" s="20" t="s">
        <v>71</v>
      </c>
    </row>
    <row r="304" spans="1:13">
      <c r="B304" s="13">
        <f t="shared" ref="B304:B316" si="78">B55</f>
        <v>44012</v>
      </c>
      <c r="C304" s="75">
        <v>0</v>
      </c>
      <c r="D304" s="67">
        <v>0</v>
      </c>
      <c r="E304" s="66">
        <v>0</v>
      </c>
      <c r="F304" s="67">
        <f>SUM(D$304:D304)</f>
        <v>0</v>
      </c>
      <c r="G304" s="67">
        <f>SUM(E$304:E304)</f>
        <v>0</v>
      </c>
      <c r="H304" s="67">
        <f>F304-G304</f>
        <v>0</v>
      </c>
    </row>
    <row r="305" spans="2:8">
      <c r="B305" s="13">
        <f t="shared" si="78"/>
        <v>44043</v>
      </c>
      <c r="C305" s="62">
        <f>SUMIFS($P$206:$V$245,$Z$206:$AF$245,"&gt;"&amp;$B304,$Z$206:$AF$245,"&lt;="&amp;$B305)</f>
        <v>0</v>
      </c>
      <c r="D305" s="67">
        <f>SUMIFS($AG$206:$AM$245,$Z$206:$AF$245,"&gt;"&amp;$B304,$Z$206:$AF$245,"&lt;="&amp;$B305)</f>
        <v>0</v>
      </c>
      <c r="E305" s="67">
        <f>SUMIFS($Y$206:$Y$245,$B$206:$B$245,"&gt;"&amp;$B304,$B$206:$B$245,"&lt;="&amp;$B305)</f>
        <v>0</v>
      </c>
      <c r="F305" s="67">
        <f>SUM(D$304:D305)</f>
        <v>0</v>
      </c>
      <c r="G305" s="67">
        <f>SUM(E$304:E305)</f>
        <v>0</v>
      </c>
      <c r="H305" s="67">
        <f>F305-G305</f>
        <v>0</v>
      </c>
    </row>
    <row r="306" spans="2:8">
      <c r="B306" s="13">
        <f t="shared" si="78"/>
        <v>44074</v>
      </c>
      <c r="C306" s="62">
        <f t="shared" ref="C306:C316" si="79">SUMIFS($P$206:$V$245,$Z$206:$AF$245,"&gt;"&amp;$B305,$Z$206:$AF$245,"&lt;="&amp;$B306)</f>
        <v>77340</v>
      </c>
      <c r="D306" s="67">
        <f t="shared" ref="D306:D316" si="80">SUMIFS($AG$206:$AM$245,$Z$206:$AF$245,"&gt;"&amp;$B305,$Z$206:$AF$245,"&lt;="&amp;$B306)</f>
        <v>3337500</v>
      </c>
      <c r="E306" s="67">
        <f t="shared" ref="E306:E316" si="81">SUMIFS($Y$206:$Y$245,$B$206:$B$245,"&gt;"&amp;$B305,$B$206:$B$245,"&lt;="&amp;$B306)</f>
        <v>2585500</v>
      </c>
      <c r="F306" s="67">
        <f>SUM(D$304:D306)</f>
        <v>3337500</v>
      </c>
      <c r="G306" s="67">
        <f>SUM(E$304:E306)</f>
        <v>2585500</v>
      </c>
      <c r="H306" s="67">
        <f t="shared" ref="H306:H316" si="82">F306-G306</f>
        <v>752000</v>
      </c>
    </row>
    <row r="307" spans="2:8">
      <c r="B307" s="13">
        <f t="shared" si="78"/>
        <v>44104</v>
      </c>
      <c r="C307" s="62">
        <f t="shared" si="79"/>
        <v>72910</v>
      </c>
      <c r="D307" s="67">
        <f t="shared" si="80"/>
        <v>2682500</v>
      </c>
      <c r="E307" s="67">
        <f t="shared" si="81"/>
        <v>2834500</v>
      </c>
      <c r="F307" s="67">
        <f>SUM(D$304:D307)</f>
        <v>6020000</v>
      </c>
      <c r="G307" s="67">
        <f>SUM(E$304:E307)</f>
        <v>5420000</v>
      </c>
      <c r="H307" s="67">
        <f t="shared" si="82"/>
        <v>600000</v>
      </c>
    </row>
    <row r="308" spans="2:8">
      <c r="B308" s="13">
        <f t="shared" si="78"/>
        <v>44135</v>
      </c>
      <c r="C308" s="62">
        <f t="shared" si="79"/>
        <v>78400</v>
      </c>
      <c r="D308" s="67">
        <f t="shared" si="80"/>
        <v>2836000</v>
      </c>
      <c r="E308" s="67">
        <f t="shared" si="81"/>
        <v>3436000</v>
      </c>
      <c r="F308" s="67">
        <f>SUM(D$304:D308)</f>
        <v>8856000</v>
      </c>
      <c r="G308" s="67">
        <f>SUM(E$304:E308)</f>
        <v>8856000</v>
      </c>
      <c r="H308" s="67">
        <f t="shared" si="82"/>
        <v>0</v>
      </c>
    </row>
    <row r="309" spans="2:8">
      <c r="B309" s="13">
        <f t="shared" si="78"/>
        <v>44165</v>
      </c>
      <c r="C309" s="62">
        <f t="shared" si="79"/>
        <v>89350</v>
      </c>
      <c r="D309" s="67">
        <f t="shared" si="80"/>
        <v>3843000</v>
      </c>
      <c r="E309" s="67">
        <f t="shared" si="81"/>
        <v>3373000</v>
      </c>
      <c r="F309" s="67">
        <f>SUM(D$304:D309)</f>
        <v>12699000</v>
      </c>
      <c r="G309" s="67">
        <f>SUM(E$304:E309)</f>
        <v>12229000</v>
      </c>
      <c r="H309" s="67">
        <f t="shared" si="82"/>
        <v>470000</v>
      </c>
    </row>
    <row r="310" spans="2:8">
      <c r="B310" s="13">
        <f t="shared" si="78"/>
        <v>44196</v>
      </c>
      <c r="C310" s="62">
        <f t="shared" si="79"/>
        <v>33750</v>
      </c>
      <c r="D310" s="67">
        <f t="shared" si="80"/>
        <v>1102500</v>
      </c>
      <c r="E310" s="67">
        <f t="shared" si="81"/>
        <v>1280000</v>
      </c>
      <c r="F310" s="67">
        <f>SUM(D$304:D310)</f>
        <v>13801500</v>
      </c>
      <c r="G310" s="67">
        <f>SUM(E$304:E310)</f>
        <v>13509000</v>
      </c>
      <c r="H310" s="67">
        <f t="shared" si="82"/>
        <v>292500</v>
      </c>
    </row>
    <row r="311" spans="2:8">
      <c r="B311" s="13">
        <f t="shared" si="78"/>
        <v>44227</v>
      </c>
      <c r="C311" s="62">
        <f t="shared" si="79"/>
        <v>81550</v>
      </c>
      <c r="D311" s="67">
        <f t="shared" si="80"/>
        <v>3510000</v>
      </c>
      <c r="E311" s="67">
        <f t="shared" si="81"/>
        <v>3552500</v>
      </c>
      <c r="F311" s="67">
        <f>SUM(D$304:D311)</f>
        <v>17311500</v>
      </c>
      <c r="G311" s="67">
        <f>SUM(E$304:E311)</f>
        <v>17061500</v>
      </c>
      <c r="H311" s="67">
        <f t="shared" si="82"/>
        <v>250000</v>
      </c>
    </row>
    <row r="312" spans="2:8">
      <c r="B312" s="13">
        <f t="shared" si="78"/>
        <v>44255</v>
      </c>
      <c r="C312" s="62">
        <f t="shared" si="79"/>
        <v>77500</v>
      </c>
      <c r="D312" s="67">
        <f t="shared" si="80"/>
        <v>3262500</v>
      </c>
      <c r="E312" s="67">
        <f t="shared" si="81"/>
        <v>3400000</v>
      </c>
      <c r="F312" s="67">
        <f>SUM(D$304:D312)</f>
        <v>20574000</v>
      </c>
      <c r="G312" s="67">
        <f>SUM(E$304:E312)</f>
        <v>20461500</v>
      </c>
      <c r="H312" s="67">
        <f t="shared" si="82"/>
        <v>112500</v>
      </c>
    </row>
    <row r="313" spans="2:8">
      <c r="B313" s="13">
        <f t="shared" si="78"/>
        <v>44286</v>
      </c>
      <c r="C313" s="62">
        <f t="shared" si="79"/>
        <v>80250</v>
      </c>
      <c r="D313" s="67">
        <f t="shared" si="80"/>
        <v>3207500</v>
      </c>
      <c r="E313" s="67">
        <f t="shared" si="81"/>
        <v>3050000</v>
      </c>
      <c r="F313" s="67">
        <f>SUM(D$304:D313)</f>
        <v>23781500</v>
      </c>
      <c r="G313" s="67">
        <f>SUM(E$304:E313)</f>
        <v>23511500</v>
      </c>
      <c r="H313" s="67">
        <f t="shared" si="82"/>
        <v>270000</v>
      </c>
    </row>
    <row r="314" spans="2:8">
      <c r="B314" s="13">
        <f t="shared" si="78"/>
        <v>44316</v>
      </c>
      <c r="C314" s="62">
        <f t="shared" si="79"/>
        <v>73000</v>
      </c>
      <c r="D314" s="67">
        <f t="shared" si="80"/>
        <v>2590000</v>
      </c>
      <c r="E314" s="67">
        <f t="shared" si="81"/>
        <v>2500000</v>
      </c>
      <c r="F314" s="67">
        <f>SUM(D$304:D314)</f>
        <v>26371500</v>
      </c>
      <c r="G314" s="67">
        <f>SUM(E$304:E314)</f>
        <v>26011500</v>
      </c>
      <c r="H314" s="67">
        <f t="shared" si="82"/>
        <v>360000</v>
      </c>
    </row>
    <row r="315" spans="2:8">
      <c r="B315" s="13">
        <f t="shared" si="78"/>
        <v>44347</v>
      </c>
      <c r="C315" s="62">
        <f t="shared" si="79"/>
        <v>78000</v>
      </c>
      <c r="D315" s="67">
        <f t="shared" si="80"/>
        <v>4240000</v>
      </c>
      <c r="E315" s="67">
        <f t="shared" si="81"/>
        <v>3100000</v>
      </c>
      <c r="F315" s="67">
        <f>SUM(D$304:D315)</f>
        <v>30611500</v>
      </c>
      <c r="G315" s="67">
        <f>SUM(E$304:E315)</f>
        <v>29111500</v>
      </c>
      <c r="H315" s="67">
        <f t="shared" si="82"/>
        <v>1500000</v>
      </c>
    </row>
    <row r="316" spans="2:8">
      <c r="B316" s="13">
        <f t="shared" si="78"/>
        <v>44377</v>
      </c>
      <c r="C316" s="62">
        <f t="shared" si="79"/>
        <v>0</v>
      </c>
      <c r="D316" s="67">
        <f t="shared" si="80"/>
        <v>0</v>
      </c>
      <c r="E316" s="67">
        <f t="shared" si="81"/>
        <v>1500000</v>
      </c>
      <c r="F316" s="67">
        <f>SUM(D$304:D316)</f>
        <v>30611500</v>
      </c>
      <c r="G316" s="67">
        <f>SUM(E$304:E316)</f>
        <v>30611500</v>
      </c>
      <c r="H316" s="67">
        <f t="shared" si="82"/>
        <v>0</v>
      </c>
    </row>
    <row r="317" spans="2:8">
      <c r="B317" s="13"/>
    </row>
    <row r="318" spans="2:8">
      <c r="B318" s="13"/>
    </row>
    <row r="319" spans="2:8">
      <c r="B319" s="13"/>
    </row>
    <row r="320" spans="2:8">
      <c r="B320" s="13"/>
    </row>
    <row r="321" spans="2:2">
      <c r="B321" s="13"/>
    </row>
    <row r="322" spans="2:2">
      <c r="B322" s="13"/>
    </row>
    <row r="323" spans="2:2">
      <c r="B323" s="13"/>
    </row>
    <row r="324" spans="2:2">
      <c r="B324" s="13"/>
    </row>
    <row r="325" spans="2:2">
      <c r="B325" s="13"/>
    </row>
    <row r="326" spans="2:2">
      <c r="B326" s="13"/>
    </row>
    <row r="327" spans="2:2">
      <c r="B327" s="13"/>
    </row>
    <row r="328" spans="2:2">
      <c r="B328" s="13"/>
    </row>
    <row r="329" spans="2:2">
      <c r="B329" s="13"/>
    </row>
    <row r="330" spans="2:2">
      <c r="B330" s="13"/>
    </row>
    <row r="331" spans="2:2">
      <c r="B331" s="13"/>
    </row>
    <row r="332" spans="2:2">
      <c r="B332" s="13"/>
    </row>
    <row r="333" spans="2:2">
      <c r="B333" s="13"/>
    </row>
    <row r="334" spans="2:2">
      <c r="B334" s="13"/>
    </row>
    <row r="335" spans="2:2">
      <c r="B335" s="13"/>
    </row>
    <row r="336" spans="2:2">
      <c r="B336" s="13"/>
    </row>
    <row r="337" spans="2:2">
      <c r="B337" s="13"/>
    </row>
    <row r="338" spans="2:2">
      <c r="B338" s="13"/>
    </row>
    <row r="339" spans="2:2">
      <c r="B339" s="13"/>
    </row>
    <row r="340" spans="2:2">
      <c r="B340" s="13"/>
    </row>
    <row r="341" spans="2:2">
      <c r="B341" s="13"/>
    </row>
    <row r="342" spans="2:2">
      <c r="B342" s="13"/>
    </row>
    <row r="343" spans="2:2">
      <c r="B343" s="13"/>
    </row>
    <row r="344" spans="2:2">
      <c r="B344" s="13"/>
    </row>
    <row r="345" spans="2:2">
      <c r="B345" s="13"/>
    </row>
    <row r="346" spans="2:2">
      <c r="B346" s="13"/>
    </row>
    <row r="347" spans="2:2">
      <c r="B347" s="13"/>
    </row>
    <row r="348" spans="2:2">
      <c r="B348" s="13"/>
    </row>
  </sheetData>
  <pageMargins left="0.25" right="0.25" top="0.25" bottom="0.25" header="0.3" footer="0.3"/>
  <pageSetup scale="3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14B3-198B-457F-8494-5B6485F8F53B}">
  <sheetPr>
    <pageSetUpPr autoPageBreaks="0" fitToPage="1"/>
  </sheetPr>
  <dimension ref="A1:BA348"/>
  <sheetViews>
    <sheetView showGridLines="0" zoomScaleNormal="100" workbookViewId="0">
      <pane ySplit="1" topLeftCell="A2" activePane="bottomLeft" state="frozen"/>
      <selection activeCell="N26" sqref="N26"/>
      <selection pane="bottomLeft" activeCell="A2" sqref="A2"/>
    </sheetView>
  </sheetViews>
  <sheetFormatPr defaultColWidth="8.6640625" defaultRowHeight="13.8"/>
  <cols>
    <col min="1" max="1" width="2.5546875" style="4" customWidth="1"/>
    <col min="2" max="2" width="20.88671875" style="4" bestFit="1" customWidth="1"/>
    <col min="3" max="4" width="13.109375" style="4" customWidth="1"/>
    <col min="5" max="5" width="19.33203125" style="4" bestFit="1" customWidth="1"/>
    <col min="6" max="6" width="17.33203125" style="4" bestFit="1" customWidth="1"/>
    <col min="7" max="7" width="17.5546875" style="4" bestFit="1" customWidth="1"/>
    <col min="8" max="8" width="14.44140625" style="4" bestFit="1" customWidth="1"/>
    <col min="9" max="14" width="13.109375" style="4" customWidth="1"/>
    <col min="15" max="15" width="13.6640625" style="4" customWidth="1"/>
    <col min="16" max="16" width="17.6640625" style="4" customWidth="1"/>
    <col min="17" max="39" width="13.109375" style="4" customWidth="1"/>
    <col min="40" max="53" width="10.5546875" style="4" customWidth="1"/>
    <col min="54" max="16384" width="8.6640625" style="4"/>
  </cols>
  <sheetData>
    <row r="1" spans="1:23" s="1" customFormat="1" ht="13.2">
      <c r="A1" s="2" t="s">
        <v>33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6"/>
      <c r="R1" s="6"/>
      <c r="S1" s="6"/>
      <c r="T1" s="6"/>
      <c r="U1" s="6"/>
      <c r="V1" s="6"/>
      <c r="W1" s="6"/>
    </row>
    <row r="2" spans="1:23" s="6" customFormat="1" ht="13.2"/>
    <row r="3" spans="1:23" s="6" customFormat="1" ht="13.2">
      <c r="B3" s="7" t="s">
        <v>0</v>
      </c>
      <c r="C3" s="7"/>
      <c r="D3" s="5" t="s">
        <v>1</v>
      </c>
      <c r="E3" s="8">
        <v>750</v>
      </c>
    </row>
    <row r="4" spans="1:23" s="6" customFormat="1" ht="13.2">
      <c r="B4" s="7" t="s">
        <v>2</v>
      </c>
      <c r="C4" s="7"/>
      <c r="D4" s="5" t="s">
        <v>3</v>
      </c>
      <c r="E4" s="9">
        <v>50000</v>
      </c>
    </row>
    <row r="5" spans="1:23" s="6" customFormat="1" ht="13.2">
      <c r="L5" s="10"/>
    </row>
    <row r="6" spans="1:23" s="6" customFormat="1" ht="13.2">
      <c r="B6" s="7" t="s">
        <v>4</v>
      </c>
      <c r="C6" s="7"/>
      <c r="D6" s="11"/>
      <c r="H6" s="7" t="s">
        <v>5</v>
      </c>
      <c r="I6" s="11"/>
      <c r="K6" s="7" t="s">
        <v>6</v>
      </c>
      <c r="L6" s="11"/>
      <c r="N6" s="7" t="s">
        <v>7</v>
      </c>
      <c r="O6" s="11"/>
      <c r="P6" s="11"/>
    </row>
    <row r="7" spans="1:23" s="6" customFormat="1" ht="13.2">
      <c r="B7" s="12" t="s">
        <v>8</v>
      </c>
      <c r="C7" s="12" t="s">
        <v>88</v>
      </c>
      <c r="D7" s="12" t="s">
        <v>76</v>
      </c>
      <c r="E7" s="12" t="s">
        <v>75</v>
      </c>
      <c r="F7" s="12" t="s">
        <v>10</v>
      </c>
      <c r="H7" s="12" t="s">
        <v>11</v>
      </c>
      <c r="I7" s="12" t="s">
        <v>12</v>
      </c>
      <c r="K7" s="12" t="s">
        <v>13</v>
      </c>
      <c r="L7" s="12" t="s">
        <v>14</v>
      </c>
      <c r="N7" s="12" t="s">
        <v>12</v>
      </c>
      <c r="O7" s="12" t="s">
        <v>15</v>
      </c>
      <c r="P7" s="12" t="s">
        <v>16</v>
      </c>
    </row>
    <row r="8" spans="1:23" s="6" customFormat="1" ht="13.2">
      <c r="B8" s="21">
        <v>44009</v>
      </c>
      <c r="C8" s="22">
        <f>B8-6</f>
        <v>44003</v>
      </c>
      <c r="D8" s="109">
        <f>7-E8</f>
        <v>7</v>
      </c>
      <c r="E8" s="109">
        <f>IF(MONTH(B8)=MONTH(C8),0,DAY(B8))</f>
        <v>0</v>
      </c>
      <c r="F8" s="26">
        <v>4800</v>
      </c>
      <c r="H8" s="21">
        <v>44058</v>
      </c>
      <c r="I8" s="31">
        <v>3</v>
      </c>
      <c r="K8" s="35">
        <v>6</v>
      </c>
      <c r="L8" s="37">
        <v>0.25</v>
      </c>
      <c r="N8" s="35">
        <v>1</v>
      </c>
      <c r="O8" s="23">
        <v>15000</v>
      </c>
      <c r="P8" s="26">
        <v>30</v>
      </c>
    </row>
    <row r="9" spans="1:23" s="6" customFormat="1" ht="13.2">
      <c r="B9" s="24">
        <v>44016</v>
      </c>
      <c r="C9" s="13">
        <f t="shared" ref="C9:C38" si="0">B9-6</f>
        <v>44010</v>
      </c>
      <c r="D9" s="109">
        <f t="shared" ref="D9:D38" si="1">7-E9</f>
        <v>3</v>
      </c>
      <c r="E9" s="109">
        <f t="shared" ref="E9:E38" si="2">IF(MONTH(B9)=MONTH(C9),0,DAY(B9))</f>
        <v>4</v>
      </c>
      <c r="F9" s="27">
        <v>3800</v>
      </c>
      <c r="H9" s="24">
        <v>44065</v>
      </c>
      <c r="I9" s="32">
        <v>2</v>
      </c>
      <c r="K9" s="36">
        <v>5</v>
      </c>
      <c r="L9" s="38">
        <v>0.22</v>
      </c>
      <c r="N9" s="36">
        <v>2</v>
      </c>
      <c r="O9" s="25">
        <v>25000</v>
      </c>
      <c r="P9" s="27">
        <v>40</v>
      </c>
    </row>
    <row r="10" spans="1:23" s="6" customFormat="1" ht="13.2">
      <c r="B10" s="24">
        <v>44023</v>
      </c>
      <c r="C10" s="13">
        <f t="shared" si="0"/>
        <v>44017</v>
      </c>
      <c r="D10" s="109">
        <f t="shared" si="1"/>
        <v>7</v>
      </c>
      <c r="E10" s="109">
        <f t="shared" si="2"/>
        <v>0</v>
      </c>
      <c r="F10" s="27">
        <v>3400</v>
      </c>
      <c r="H10" s="24">
        <v>44072</v>
      </c>
      <c r="I10" s="32">
        <v>1</v>
      </c>
      <c r="K10" s="36">
        <v>4</v>
      </c>
      <c r="L10" s="38">
        <v>0.08</v>
      </c>
      <c r="N10" s="36">
        <v>3</v>
      </c>
      <c r="O10" s="25">
        <v>32000</v>
      </c>
      <c r="P10" s="27">
        <v>50</v>
      </c>
    </row>
    <row r="11" spans="1:23" s="6" customFormat="1" ht="13.2">
      <c r="B11" s="24">
        <v>44030</v>
      </c>
      <c r="C11" s="13">
        <f t="shared" si="0"/>
        <v>44024</v>
      </c>
      <c r="D11" s="109">
        <f t="shared" si="1"/>
        <v>7</v>
      </c>
      <c r="E11" s="109">
        <f t="shared" si="2"/>
        <v>0</v>
      </c>
      <c r="F11" s="27">
        <v>2800</v>
      </c>
      <c r="H11" s="24">
        <v>44079</v>
      </c>
      <c r="I11" s="32">
        <v>3</v>
      </c>
      <c r="K11" s="36">
        <v>3</v>
      </c>
      <c r="L11" s="38">
        <v>0.05</v>
      </c>
      <c r="N11" s="36">
        <v>4</v>
      </c>
      <c r="O11" s="25">
        <v>40000</v>
      </c>
      <c r="P11" s="27">
        <v>60</v>
      </c>
    </row>
    <row r="12" spans="1:23" s="6" customFormat="1" ht="13.2">
      <c r="B12" s="24">
        <v>44037</v>
      </c>
      <c r="C12" s="13">
        <f t="shared" si="0"/>
        <v>44031</v>
      </c>
      <c r="D12" s="109">
        <f t="shared" si="1"/>
        <v>7</v>
      </c>
      <c r="E12" s="109">
        <f t="shared" si="2"/>
        <v>0</v>
      </c>
      <c r="F12" s="27">
        <v>2700</v>
      </c>
      <c r="H12" s="24">
        <v>44086</v>
      </c>
      <c r="I12" s="32">
        <v>1</v>
      </c>
      <c r="K12" s="36">
        <v>2</v>
      </c>
      <c r="L12" s="38">
        <v>0.05</v>
      </c>
      <c r="N12" s="40">
        <v>5</v>
      </c>
      <c r="O12" s="41">
        <v>50000</v>
      </c>
      <c r="P12" s="42">
        <v>75</v>
      </c>
    </row>
    <row r="13" spans="1:23" s="6" customFormat="1" ht="13.2">
      <c r="B13" s="24">
        <v>44044</v>
      </c>
      <c r="C13" s="13">
        <f t="shared" si="0"/>
        <v>44038</v>
      </c>
      <c r="D13" s="109">
        <f t="shared" si="1"/>
        <v>6</v>
      </c>
      <c r="E13" s="109">
        <f t="shared" si="2"/>
        <v>1</v>
      </c>
      <c r="F13" s="27">
        <v>2750</v>
      </c>
      <c r="H13" s="24">
        <v>44093</v>
      </c>
      <c r="I13" s="32">
        <v>2</v>
      </c>
      <c r="K13" s="36">
        <v>1</v>
      </c>
      <c r="L13" s="38">
        <v>0.15</v>
      </c>
    </row>
    <row r="14" spans="1:23" s="6" customFormat="1" ht="13.2">
      <c r="B14" s="24">
        <v>44051</v>
      </c>
      <c r="C14" s="13">
        <f t="shared" si="0"/>
        <v>44045</v>
      </c>
      <c r="D14" s="109">
        <f t="shared" si="1"/>
        <v>7</v>
      </c>
      <c r="E14" s="109">
        <f t="shared" si="2"/>
        <v>0</v>
      </c>
      <c r="F14" s="27">
        <v>2600</v>
      </c>
      <c r="H14" s="24">
        <v>44100</v>
      </c>
      <c r="I14" s="32">
        <v>1</v>
      </c>
      <c r="K14" s="36">
        <v>0</v>
      </c>
      <c r="L14" s="38">
        <v>0.2</v>
      </c>
    </row>
    <row r="15" spans="1:23" s="6" customFormat="1" ht="13.2">
      <c r="B15" s="24">
        <v>44058</v>
      </c>
      <c r="C15" s="13">
        <f t="shared" si="0"/>
        <v>44052</v>
      </c>
      <c r="D15" s="109">
        <f t="shared" si="1"/>
        <v>7</v>
      </c>
      <c r="E15" s="109">
        <f t="shared" si="2"/>
        <v>0</v>
      </c>
      <c r="F15" s="27">
        <v>2800</v>
      </c>
      <c r="H15" s="24">
        <v>44107</v>
      </c>
      <c r="I15" s="32">
        <v>2</v>
      </c>
      <c r="K15" s="28" t="s">
        <v>17</v>
      </c>
      <c r="L15" s="39">
        <f>SUM(L8:L14)</f>
        <v>1</v>
      </c>
    </row>
    <row r="16" spans="1:23" s="6" customFormat="1" ht="13.2">
      <c r="B16" s="24">
        <v>44065</v>
      </c>
      <c r="C16" s="13">
        <f t="shared" si="0"/>
        <v>44059</v>
      </c>
      <c r="D16" s="109">
        <f t="shared" si="1"/>
        <v>7</v>
      </c>
      <c r="E16" s="109">
        <f t="shared" si="2"/>
        <v>0</v>
      </c>
      <c r="F16" s="27">
        <v>1400</v>
      </c>
      <c r="H16" s="24">
        <v>44114</v>
      </c>
      <c r="I16" s="32">
        <v>2</v>
      </c>
    </row>
    <row r="17" spans="2:12" s="6" customFormat="1" ht="13.2">
      <c r="B17" s="24">
        <v>44072</v>
      </c>
      <c r="C17" s="13">
        <f t="shared" si="0"/>
        <v>44066</v>
      </c>
      <c r="D17" s="109">
        <f t="shared" si="1"/>
        <v>7</v>
      </c>
      <c r="E17" s="109">
        <f t="shared" si="2"/>
        <v>0</v>
      </c>
      <c r="F17" s="27">
        <v>800</v>
      </c>
      <c r="H17" s="24">
        <v>44121</v>
      </c>
      <c r="I17" s="32">
        <v>1</v>
      </c>
    </row>
    <row r="18" spans="2:12" s="6" customFormat="1" ht="13.2">
      <c r="B18" s="24">
        <v>44079</v>
      </c>
      <c r="C18" s="13">
        <f t="shared" si="0"/>
        <v>44073</v>
      </c>
      <c r="D18" s="109">
        <f t="shared" si="1"/>
        <v>2</v>
      </c>
      <c r="E18" s="109">
        <f t="shared" si="2"/>
        <v>5</v>
      </c>
      <c r="F18" s="27">
        <v>500</v>
      </c>
      <c r="H18" s="24">
        <v>44128</v>
      </c>
      <c r="I18" s="32">
        <v>2</v>
      </c>
    </row>
    <row r="19" spans="2:12" s="6" customFormat="1" ht="13.2">
      <c r="B19" s="24">
        <v>44086</v>
      </c>
      <c r="C19" s="13">
        <f t="shared" si="0"/>
        <v>44080</v>
      </c>
      <c r="D19" s="109">
        <f t="shared" si="1"/>
        <v>7</v>
      </c>
      <c r="E19" s="109">
        <f t="shared" si="2"/>
        <v>0</v>
      </c>
      <c r="F19" s="27">
        <v>200</v>
      </c>
      <c r="H19" s="24">
        <v>44135</v>
      </c>
      <c r="I19" s="32">
        <v>1</v>
      </c>
    </row>
    <row r="20" spans="2:12" s="6" customFormat="1" ht="13.2">
      <c r="B20" s="24">
        <v>44093</v>
      </c>
      <c r="C20" s="13">
        <f t="shared" si="0"/>
        <v>44087</v>
      </c>
      <c r="D20" s="109">
        <f t="shared" si="1"/>
        <v>7</v>
      </c>
      <c r="E20" s="109">
        <f t="shared" si="2"/>
        <v>0</v>
      </c>
      <c r="F20" s="27">
        <v>150</v>
      </c>
      <c r="H20" s="24">
        <v>44142</v>
      </c>
      <c r="I20" s="32">
        <v>4</v>
      </c>
      <c r="K20" s="43" t="s">
        <v>84</v>
      </c>
    </row>
    <row r="21" spans="2:12" s="6" customFormat="1" ht="13.2">
      <c r="B21" s="24">
        <v>44100</v>
      </c>
      <c r="C21" s="13">
        <f t="shared" si="0"/>
        <v>44094</v>
      </c>
      <c r="D21" s="109">
        <f t="shared" si="1"/>
        <v>7</v>
      </c>
      <c r="E21" s="109">
        <f t="shared" si="2"/>
        <v>0</v>
      </c>
      <c r="F21" s="27">
        <v>50</v>
      </c>
      <c r="H21" s="24">
        <v>44149</v>
      </c>
      <c r="I21" s="32">
        <v>1</v>
      </c>
      <c r="K21" s="109"/>
      <c r="L21" s="6" t="s">
        <v>83</v>
      </c>
    </row>
    <row r="22" spans="2:12" s="6" customFormat="1" ht="13.2">
      <c r="B22" s="24">
        <v>44107</v>
      </c>
      <c r="C22" s="13">
        <f t="shared" si="0"/>
        <v>44101</v>
      </c>
      <c r="D22" s="109">
        <f t="shared" si="1"/>
        <v>4</v>
      </c>
      <c r="E22" s="109">
        <f t="shared" si="2"/>
        <v>3</v>
      </c>
      <c r="F22" s="27">
        <v>50</v>
      </c>
      <c r="H22" s="24">
        <v>44156</v>
      </c>
      <c r="I22" s="32">
        <v>2</v>
      </c>
      <c r="K22" s="108"/>
      <c r="L22" s="6" t="s">
        <v>82</v>
      </c>
    </row>
    <row r="23" spans="2:12" s="6" customFormat="1" ht="13.2">
      <c r="B23" s="24">
        <v>44114</v>
      </c>
      <c r="C23" s="13">
        <f t="shared" si="0"/>
        <v>44108</v>
      </c>
      <c r="D23" s="109">
        <f t="shared" si="1"/>
        <v>7</v>
      </c>
      <c r="E23" s="109">
        <f t="shared" si="2"/>
        <v>0</v>
      </c>
      <c r="F23" s="27">
        <v>50</v>
      </c>
      <c r="H23" s="24">
        <v>44163</v>
      </c>
      <c r="I23" s="32">
        <v>2</v>
      </c>
    </row>
    <row r="24" spans="2:12" s="6" customFormat="1" ht="13.2">
      <c r="B24" s="24">
        <v>44121</v>
      </c>
      <c r="C24" s="13">
        <f t="shared" si="0"/>
        <v>44115</v>
      </c>
      <c r="D24" s="109">
        <f t="shared" si="1"/>
        <v>7</v>
      </c>
      <c r="E24" s="109">
        <f t="shared" si="2"/>
        <v>0</v>
      </c>
      <c r="F24" s="27">
        <v>50</v>
      </c>
      <c r="H24" s="24">
        <v>44170</v>
      </c>
      <c r="I24" s="32">
        <v>2</v>
      </c>
    </row>
    <row r="25" spans="2:12" s="6" customFormat="1" ht="13.2">
      <c r="B25" s="24">
        <v>44128</v>
      </c>
      <c r="C25" s="13">
        <f t="shared" si="0"/>
        <v>44122</v>
      </c>
      <c r="D25" s="109">
        <f t="shared" si="1"/>
        <v>7</v>
      </c>
      <c r="E25" s="109">
        <f t="shared" si="2"/>
        <v>0</v>
      </c>
      <c r="F25" s="27">
        <v>50</v>
      </c>
      <c r="H25" s="24">
        <v>44177</v>
      </c>
      <c r="I25" s="32">
        <v>1</v>
      </c>
    </row>
    <row r="26" spans="2:12" s="6" customFormat="1" ht="13.2">
      <c r="B26" s="24">
        <v>44135</v>
      </c>
      <c r="C26" s="13">
        <f t="shared" si="0"/>
        <v>44129</v>
      </c>
      <c r="D26" s="109">
        <f t="shared" si="1"/>
        <v>7</v>
      </c>
      <c r="E26" s="109">
        <f t="shared" si="2"/>
        <v>0</v>
      </c>
      <c r="F26" s="27">
        <v>50</v>
      </c>
      <c r="H26" s="24">
        <v>44198</v>
      </c>
      <c r="I26" s="32">
        <v>1</v>
      </c>
    </row>
    <row r="27" spans="2:12" s="6" customFormat="1" ht="13.2">
      <c r="B27" s="24">
        <v>44142</v>
      </c>
      <c r="C27" s="13">
        <f t="shared" si="0"/>
        <v>44136</v>
      </c>
      <c r="D27" s="109">
        <f t="shared" si="1"/>
        <v>7</v>
      </c>
      <c r="E27" s="109">
        <f t="shared" si="2"/>
        <v>0</v>
      </c>
      <c r="F27" s="27">
        <v>50</v>
      </c>
      <c r="H27" s="24">
        <v>44205</v>
      </c>
      <c r="I27" s="32">
        <v>1</v>
      </c>
    </row>
    <row r="28" spans="2:12" s="6" customFormat="1" ht="13.2">
      <c r="B28" s="24">
        <v>44149</v>
      </c>
      <c r="C28" s="13">
        <f t="shared" si="0"/>
        <v>44143</v>
      </c>
      <c r="D28" s="109">
        <f t="shared" si="1"/>
        <v>7</v>
      </c>
      <c r="E28" s="109">
        <f t="shared" si="2"/>
        <v>0</v>
      </c>
      <c r="F28" s="27">
        <v>50</v>
      </c>
      <c r="H28" s="24">
        <v>44212</v>
      </c>
      <c r="I28" s="32">
        <v>3</v>
      </c>
    </row>
    <row r="29" spans="2:12" s="6" customFormat="1" ht="13.2">
      <c r="B29" s="24">
        <v>44156</v>
      </c>
      <c r="C29" s="13">
        <f t="shared" si="0"/>
        <v>44150</v>
      </c>
      <c r="D29" s="109">
        <f t="shared" si="1"/>
        <v>7</v>
      </c>
      <c r="E29" s="109">
        <f t="shared" si="2"/>
        <v>0</v>
      </c>
      <c r="F29" s="27">
        <v>50</v>
      </c>
      <c r="H29" s="24">
        <v>44219</v>
      </c>
      <c r="I29" s="32">
        <v>1</v>
      </c>
    </row>
    <row r="30" spans="2:12" s="6" customFormat="1" ht="13.2">
      <c r="B30" s="24">
        <v>44163</v>
      </c>
      <c r="C30" s="13">
        <f t="shared" si="0"/>
        <v>44157</v>
      </c>
      <c r="D30" s="109">
        <f t="shared" si="1"/>
        <v>7</v>
      </c>
      <c r="E30" s="109">
        <f t="shared" si="2"/>
        <v>0</v>
      </c>
      <c r="F30" s="27">
        <v>50</v>
      </c>
      <c r="H30" s="24">
        <v>44226</v>
      </c>
      <c r="I30" s="32">
        <v>4</v>
      </c>
    </row>
    <row r="31" spans="2:12" s="6" customFormat="1" ht="13.2">
      <c r="B31" s="24">
        <v>44170</v>
      </c>
      <c r="C31" s="13">
        <f t="shared" si="0"/>
        <v>44164</v>
      </c>
      <c r="D31" s="109">
        <f t="shared" si="1"/>
        <v>2</v>
      </c>
      <c r="E31" s="109">
        <f t="shared" si="2"/>
        <v>5</v>
      </c>
      <c r="F31" s="27">
        <v>50</v>
      </c>
      <c r="H31" s="24">
        <v>44233</v>
      </c>
      <c r="I31" s="32">
        <v>2</v>
      </c>
    </row>
    <row r="32" spans="2:12" s="6" customFormat="1" ht="13.2">
      <c r="B32" s="24">
        <v>44177</v>
      </c>
      <c r="C32" s="13">
        <f t="shared" si="0"/>
        <v>44171</v>
      </c>
      <c r="D32" s="109">
        <f t="shared" si="1"/>
        <v>7</v>
      </c>
      <c r="E32" s="109">
        <f t="shared" si="2"/>
        <v>0</v>
      </c>
      <c r="F32" s="27">
        <v>250</v>
      </c>
      <c r="H32" s="24">
        <v>44240</v>
      </c>
      <c r="I32" s="32">
        <v>2</v>
      </c>
    </row>
    <row r="33" spans="2:9" s="6" customFormat="1" ht="13.2">
      <c r="B33" s="24">
        <v>44184</v>
      </c>
      <c r="C33" s="13">
        <f t="shared" si="0"/>
        <v>44178</v>
      </c>
      <c r="D33" s="109">
        <f t="shared" si="1"/>
        <v>7</v>
      </c>
      <c r="E33" s="109">
        <f t="shared" si="2"/>
        <v>0</v>
      </c>
      <c r="F33" s="27">
        <v>250</v>
      </c>
      <c r="H33" s="24">
        <v>44247</v>
      </c>
      <c r="I33" s="32">
        <v>2</v>
      </c>
    </row>
    <row r="34" spans="2:9" s="6" customFormat="1" ht="13.2">
      <c r="B34" s="24">
        <v>44191</v>
      </c>
      <c r="C34" s="13">
        <f t="shared" si="0"/>
        <v>44185</v>
      </c>
      <c r="D34" s="109">
        <f t="shared" si="1"/>
        <v>7</v>
      </c>
      <c r="E34" s="109">
        <f t="shared" si="2"/>
        <v>0</v>
      </c>
      <c r="F34" s="27">
        <v>50</v>
      </c>
      <c r="H34" s="24">
        <v>44254</v>
      </c>
      <c r="I34" s="32">
        <v>3</v>
      </c>
    </row>
    <row r="35" spans="2:9" s="6" customFormat="1" ht="13.2">
      <c r="B35" s="24">
        <v>44198</v>
      </c>
      <c r="C35" s="13">
        <f t="shared" si="0"/>
        <v>44192</v>
      </c>
      <c r="D35" s="109">
        <f t="shared" si="1"/>
        <v>5</v>
      </c>
      <c r="E35" s="109">
        <f t="shared" si="2"/>
        <v>2</v>
      </c>
      <c r="F35" s="27">
        <v>50</v>
      </c>
      <c r="H35" s="24">
        <v>44261</v>
      </c>
      <c r="I35" s="32">
        <v>1</v>
      </c>
    </row>
    <row r="36" spans="2:9" s="6" customFormat="1" ht="13.2">
      <c r="B36" s="24">
        <v>44205</v>
      </c>
      <c r="C36" s="13">
        <f t="shared" si="0"/>
        <v>44199</v>
      </c>
      <c r="D36" s="109">
        <f t="shared" si="1"/>
        <v>7</v>
      </c>
      <c r="E36" s="109">
        <f t="shared" si="2"/>
        <v>0</v>
      </c>
      <c r="F36" s="27">
        <v>50</v>
      </c>
      <c r="H36" s="24">
        <v>44268</v>
      </c>
      <c r="I36" s="32">
        <v>2</v>
      </c>
    </row>
    <row r="37" spans="2:9" s="6" customFormat="1" ht="13.2">
      <c r="B37" s="24">
        <v>44212</v>
      </c>
      <c r="C37" s="13">
        <f t="shared" si="0"/>
        <v>44206</v>
      </c>
      <c r="D37" s="109">
        <f t="shared" si="1"/>
        <v>7</v>
      </c>
      <c r="E37" s="109">
        <f t="shared" si="2"/>
        <v>0</v>
      </c>
      <c r="F37" s="27">
        <v>50</v>
      </c>
      <c r="H37" s="24">
        <v>44275</v>
      </c>
      <c r="I37" s="32">
        <v>2</v>
      </c>
    </row>
    <row r="38" spans="2:9" s="6" customFormat="1" thickBot="1">
      <c r="B38" s="24">
        <v>44219</v>
      </c>
      <c r="C38" s="13">
        <f t="shared" si="0"/>
        <v>44213</v>
      </c>
      <c r="D38" s="109">
        <f t="shared" si="1"/>
        <v>7</v>
      </c>
      <c r="E38" s="109">
        <f t="shared" si="2"/>
        <v>0</v>
      </c>
      <c r="F38" s="27">
        <v>50</v>
      </c>
      <c r="H38" s="24">
        <v>44282</v>
      </c>
      <c r="I38" s="32">
        <v>3</v>
      </c>
    </row>
    <row r="39" spans="2:9" s="6" customFormat="1" ht="13.2">
      <c r="B39" s="28" t="s">
        <v>17</v>
      </c>
      <c r="C39" s="29"/>
      <c r="D39" s="29"/>
      <c r="E39" s="29"/>
      <c r="F39" s="30">
        <f>SUM(F8:F38)</f>
        <v>30000</v>
      </c>
      <c r="H39" s="24">
        <v>44289</v>
      </c>
      <c r="I39" s="32">
        <v>1</v>
      </c>
    </row>
    <row r="40" spans="2:9" s="6" customFormat="1" ht="13.2">
      <c r="H40" s="24">
        <v>44296</v>
      </c>
      <c r="I40" s="32">
        <v>2</v>
      </c>
    </row>
    <row r="41" spans="2:9" s="6" customFormat="1" ht="13.2">
      <c r="H41" s="24">
        <v>44303</v>
      </c>
      <c r="I41" s="32">
        <v>2</v>
      </c>
    </row>
    <row r="42" spans="2:9" s="6" customFormat="1" ht="13.2">
      <c r="H42" s="24">
        <v>44310</v>
      </c>
      <c r="I42" s="32">
        <v>1</v>
      </c>
    </row>
    <row r="43" spans="2:9" s="6" customFormat="1" ht="13.2">
      <c r="H43" s="24">
        <v>44317</v>
      </c>
      <c r="I43" s="32">
        <v>1</v>
      </c>
    </row>
    <row r="44" spans="2:9" s="6" customFormat="1" ht="13.2">
      <c r="H44" s="24">
        <v>44324</v>
      </c>
      <c r="I44" s="32">
        <v>1</v>
      </c>
    </row>
    <row r="45" spans="2:9" s="6" customFormat="1" ht="13.2">
      <c r="H45" s="24">
        <v>44331</v>
      </c>
      <c r="I45" s="32">
        <v>3</v>
      </c>
    </row>
    <row r="46" spans="2:9" s="6" customFormat="1" ht="13.2">
      <c r="H46" s="24">
        <v>44338</v>
      </c>
      <c r="I46" s="32">
        <v>4</v>
      </c>
    </row>
    <row r="47" spans="2:9" s="6" customFormat="1" ht="13.2">
      <c r="H47" s="33">
        <v>44352</v>
      </c>
      <c r="I47" s="34">
        <v>5</v>
      </c>
    </row>
    <row r="48" spans="2:9" s="6" customFormat="1" ht="13.2">
      <c r="H48" s="43" t="s">
        <v>34</v>
      </c>
      <c r="I48" s="6">
        <f>COUNT(I8:I47)</f>
        <v>40</v>
      </c>
    </row>
    <row r="49" spans="1:16" s="6" customFormat="1" ht="13.2">
      <c r="F49" s="43"/>
    </row>
    <row r="50" spans="1:16" s="6" customFormat="1" ht="13.2"/>
    <row r="51" spans="1:16" s="6" customFormat="1" ht="13.2">
      <c r="A51" s="15" t="s">
        <v>18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s="6" customFormat="1" ht="13.2"/>
    <row r="53" spans="1:16" s="6" customFormat="1" ht="16.8">
      <c r="C53" s="16" t="s">
        <v>19</v>
      </c>
      <c r="D53" s="16"/>
      <c r="E53" s="16"/>
      <c r="F53" s="16"/>
      <c r="G53" s="16" t="s">
        <v>20</v>
      </c>
      <c r="H53" s="16"/>
      <c r="I53" s="16"/>
      <c r="J53" s="16"/>
      <c r="K53" s="16" t="s">
        <v>17</v>
      </c>
      <c r="L53" s="16"/>
      <c r="M53" s="16"/>
      <c r="N53" s="16"/>
    </row>
    <row r="54" spans="1:16" s="6" customFormat="1" ht="50.4">
      <c r="B54" s="19" t="s">
        <v>21</v>
      </c>
      <c r="C54" s="19" t="s">
        <v>22</v>
      </c>
      <c r="D54" s="19" t="s">
        <v>23</v>
      </c>
      <c r="E54" s="19" t="s">
        <v>24</v>
      </c>
      <c r="F54" s="19" t="s">
        <v>25</v>
      </c>
      <c r="G54" s="19" t="s">
        <v>26</v>
      </c>
      <c r="H54" s="19" t="s">
        <v>27</v>
      </c>
      <c r="I54" s="19" t="s">
        <v>28</v>
      </c>
      <c r="J54" s="19" t="s">
        <v>25</v>
      </c>
      <c r="K54" s="19" t="s">
        <v>26</v>
      </c>
      <c r="L54" s="19" t="s">
        <v>27</v>
      </c>
      <c r="M54" s="19" t="s">
        <v>29</v>
      </c>
      <c r="N54" s="19" t="s">
        <v>25</v>
      </c>
    </row>
    <row r="55" spans="1:16" s="6" customFormat="1" ht="13.2">
      <c r="B55" s="13">
        <v>44012</v>
      </c>
      <c r="C55" s="44">
        <f>G183</f>
        <v>4821428.5714285709</v>
      </c>
      <c r="D55" s="44">
        <f t="shared" ref="D55:D67" si="3">K183</f>
        <v>0</v>
      </c>
      <c r="E55" s="44">
        <f>SUM(C$55:C55)-SUM(D$55:D55)</f>
        <v>4821428.5714285709</v>
      </c>
      <c r="F55" s="45">
        <f t="shared" ref="F55:F67" si="4">F183</f>
        <v>6428.5714285714284</v>
      </c>
      <c r="G55" s="44">
        <f t="shared" ref="G55:H67" si="5">D304</f>
        <v>0</v>
      </c>
      <c r="H55" s="44">
        <f t="shared" si="5"/>
        <v>0</v>
      </c>
      <c r="I55" s="44">
        <f>SUM(G$55:G55)-SUM(H$55:H55)</f>
        <v>0</v>
      </c>
      <c r="J55" s="45">
        <f t="shared" ref="J55:J67" si="6">C304</f>
        <v>0</v>
      </c>
      <c r="K55" s="44">
        <f>G55+C55</f>
        <v>4821428.5714285709</v>
      </c>
      <c r="L55" s="44">
        <f>H55+D55</f>
        <v>0</v>
      </c>
      <c r="M55" s="44">
        <f>I55+E55</f>
        <v>4821428.5714285709</v>
      </c>
      <c r="N55" s="45">
        <f>F55+J55</f>
        <v>6428.5714285714284</v>
      </c>
    </row>
    <row r="56" spans="1:16" s="6" customFormat="1" ht="13.2">
      <c r="B56" s="13">
        <v>44043</v>
      </c>
      <c r="C56" s="44">
        <f t="shared" ref="C56:C67" si="7">G184</f>
        <v>10071428.571428571</v>
      </c>
      <c r="D56" s="44">
        <f t="shared" si="3"/>
        <v>0</v>
      </c>
      <c r="E56" s="44">
        <f>SUM(C$55:C56)-SUM(D$55:D56)</f>
        <v>14892857.142857142</v>
      </c>
      <c r="F56" s="45">
        <f t="shared" si="4"/>
        <v>13428.571428571428</v>
      </c>
      <c r="G56" s="44">
        <f t="shared" si="5"/>
        <v>0</v>
      </c>
      <c r="H56" s="44">
        <f t="shared" si="5"/>
        <v>0</v>
      </c>
      <c r="I56" s="44">
        <f>SUM(G$55:G56)-SUM(H$55:H56)</f>
        <v>0</v>
      </c>
      <c r="J56" s="45">
        <f t="shared" si="6"/>
        <v>0</v>
      </c>
      <c r="K56" s="44">
        <f t="shared" ref="K56:M67" si="8">G56+C56</f>
        <v>10071428.571428571</v>
      </c>
      <c r="L56" s="44">
        <f t="shared" si="8"/>
        <v>0</v>
      </c>
      <c r="M56" s="44">
        <f t="shared" si="8"/>
        <v>14892857.142857142</v>
      </c>
      <c r="N56" s="45">
        <f t="shared" ref="N56:N67" si="9">F56+J56</f>
        <v>13428.571428571428</v>
      </c>
    </row>
    <row r="57" spans="1:16" s="6" customFormat="1" ht="13.2">
      <c r="B57" s="13">
        <v>44074</v>
      </c>
      <c r="C57" s="44">
        <f t="shared" si="7"/>
        <v>6101785.7142857146</v>
      </c>
      <c r="D57" s="44">
        <f t="shared" si="3"/>
        <v>1574598.2142857143</v>
      </c>
      <c r="E57" s="44">
        <f>SUM(C$55:C57)-SUM(D$55:D57)</f>
        <v>19420044.642857146</v>
      </c>
      <c r="F57" s="45">
        <f t="shared" si="4"/>
        <v>8135.7142857142862</v>
      </c>
      <c r="G57" s="44">
        <f t="shared" si="5"/>
        <v>3337500.0000000005</v>
      </c>
      <c r="H57" s="44">
        <f t="shared" si="5"/>
        <v>2585500.0000000005</v>
      </c>
      <c r="I57" s="44">
        <f>SUM(G$55:G57)-SUM(H$55:H57)</f>
        <v>752000</v>
      </c>
      <c r="J57" s="45">
        <f t="shared" si="6"/>
        <v>77340</v>
      </c>
      <c r="K57" s="44">
        <f t="shared" si="8"/>
        <v>9439285.7142857146</v>
      </c>
      <c r="L57" s="44">
        <f t="shared" si="8"/>
        <v>4160098.2142857146</v>
      </c>
      <c r="M57" s="44">
        <f t="shared" si="8"/>
        <v>20172044.642857146</v>
      </c>
      <c r="N57" s="45">
        <f t="shared" si="9"/>
        <v>85475.71428571429</v>
      </c>
    </row>
    <row r="58" spans="1:16" s="6" customFormat="1" ht="13.2">
      <c r="B58" s="13">
        <v>44104</v>
      </c>
      <c r="C58" s="44">
        <f t="shared" si="7"/>
        <v>589285.71428571432</v>
      </c>
      <c r="D58" s="44">
        <f t="shared" si="3"/>
        <v>2202589.2857142854</v>
      </c>
      <c r="E58" s="44">
        <f>SUM(C$55:C58)-SUM(D$55:D58)</f>
        <v>17806741.071428571</v>
      </c>
      <c r="F58" s="45">
        <f t="shared" si="4"/>
        <v>785.71428571428578</v>
      </c>
      <c r="G58" s="44">
        <f t="shared" si="5"/>
        <v>2682500.0000000005</v>
      </c>
      <c r="H58" s="44">
        <f t="shared" si="5"/>
        <v>2834500.0000000005</v>
      </c>
      <c r="I58" s="44">
        <f>SUM(G$55:G58)-SUM(H$55:H58)</f>
        <v>600000</v>
      </c>
      <c r="J58" s="45">
        <f t="shared" si="6"/>
        <v>72910</v>
      </c>
      <c r="K58" s="44">
        <f t="shared" si="8"/>
        <v>3271785.7142857146</v>
      </c>
      <c r="L58" s="44">
        <f t="shared" si="8"/>
        <v>5037089.2857142854</v>
      </c>
      <c r="M58" s="44">
        <f t="shared" si="8"/>
        <v>18406741.071428571</v>
      </c>
      <c r="N58" s="45">
        <f t="shared" si="9"/>
        <v>73695.71428571429</v>
      </c>
    </row>
    <row r="59" spans="1:16" s="6" customFormat="1" ht="13.2">
      <c r="B59" s="13">
        <v>44135</v>
      </c>
      <c r="C59" s="44">
        <f t="shared" si="7"/>
        <v>166071.42857142855</v>
      </c>
      <c r="D59" s="44">
        <f t="shared" si="3"/>
        <v>2747812.5000000005</v>
      </c>
      <c r="E59" s="44">
        <f>SUM(C$55:C59)-SUM(D$55:D59)</f>
        <v>15225000</v>
      </c>
      <c r="F59" s="45">
        <f t="shared" si="4"/>
        <v>221.42857142857142</v>
      </c>
      <c r="G59" s="44">
        <f t="shared" si="5"/>
        <v>2836000</v>
      </c>
      <c r="H59" s="44">
        <f t="shared" si="5"/>
        <v>3436000</v>
      </c>
      <c r="I59" s="44">
        <f>SUM(G$55:G59)-SUM(H$55:H59)</f>
        <v>0</v>
      </c>
      <c r="J59" s="45">
        <f t="shared" si="6"/>
        <v>78400.000000000015</v>
      </c>
      <c r="K59" s="44">
        <f t="shared" si="8"/>
        <v>3002071.4285714286</v>
      </c>
      <c r="L59" s="44">
        <f t="shared" si="8"/>
        <v>6183812.5</v>
      </c>
      <c r="M59" s="44">
        <f t="shared" si="8"/>
        <v>15225000</v>
      </c>
      <c r="N59" s="45">
        <f t="shared" si="9"/>
        <v>78621.42857142858</v>
      </c>
    </row>
    <row r="60" spans="1:16" s="6" customFormat="1" ht="13.2">
      <c r="B60" s="13">
        <v>44165</v>
      </c>
      <c r="C60" s="44">
        <f t="shared" si="7"/>
        <v>160714.28571428571</v>
      </c>
      <c r="D60" s="44">
        <f t="shared" si="3"/>
        <v>2239285.7142857146</v>
      </c>
      <c r="E60" s="44">
        <f>SUM(C$55:C60)-SUM(D$55:D60)</f>
        <v>13146428.571428573</v>
      </c>
      <c r="F60" s="45">
        <f t="shared" si="4"/>
        <v>214.28571428571428</v>
      </c>
      <c r="G60" s="44">
        <f t="shared" si="5"/>
        <v>3843000</v>
      </c>
      <c r="H60" s="44">
        <f t="shared" si="5"/>
        <v>3373000.0000000005</v>
      </c>
      <c r="I60" s="44">
        <f>SUM(G$55:G60)-SUM(H$55:H60)</f>
        <v>470000</v>
      </c>
      <c r="J60" s="45">
        <f t="shared" si="6"/>
        <v>89350</v>
      </c>
      <c r="K60" s="44">
        <f t="shared" si="8"/>
        <v>4003714.2857142859</v>
      </c>
      <c r="L60" s="44">
        <f t="shared" si="8"/>
        <v>5612285.7142857146</v>
      </c>
      <c r="M60" s="44">
        <f t="shared" si="8"/>
        <v>13616428.571428573</v>
      </c>
      <c r="N60" s="45">
        <f t="shared" si="9"/>
        <v>89564.28571428571</v>
      </c>
    </row>
    <row r="61" spans="1:16" s="6" customFormat="1" ht="13.2">
      <c r="B61" s="13">
        <v>44196</v>
      </c>
      <c r="C61" s="44">
        <f t="shared" si="7"/>
        <v>466071.42857142852</v>
      </c>
      <c r="D61" s="44">
        <f t="shared" si="3"/>
        <v>1305267.8571428582</v>
      </c>
      <c r="E61" s="44">
        <f>SUM(C$55:C61)-SUM(D$55:D61)</f>
        <v>12307232.142857144</v>
      </c>
      <c r="F61" s="45">
        <f t="shared" si="4"/>
        <v>621.42857142857133</v>
      </c>
      <c r="G61" s="44">
        <f t="shared" si="5"/>
        <v>1102500</v>
      </c>
      <c r="H61" s="44">
        <f t="shared" si="5"/>
        <v>1280000</v>
      </c>
      <c r="I61" s="44">
        <f>SUM(G$55:G61)-SUM(H$55:H61)</f>
        <v>292500</v>
      </c>
      <c r="J61" s="45">
        <f t="shared" si="6"/>
        <v>33750</v>
      </c>
      <c r="K61" s="44">
        <f t="shared" si="8"/>
        <v>1568571.4285714286</v>
      </c>
      <c r="L61" s="44">
        <f t="shared" si="8"/>
        <v>2585267.8571428582</v>
      </c>
      <c r="M61" s="44">
        <f t="shared" si="8"/>
        <v>12599732.142857144</v>
      </c>
      <c r="N61" s="45">
        <f t="shared" si="9"/>
        <v>34371.428571428572</v>
      </c>
    </row>
    <row r="62" spans="1:16" s="6" customFormat="1" ht="13.2">
      <c r="B62" s="13">
        <v>44227</v>
      </c>
      <c r="C62" s="44">
        <f t="shared" si="7"/>
        <v>123214.28571428571</v>
      </c>
      <c r="D62" s="44">
        <f t="shared" si="3"/>
        <v>2867946.4285714291</v>
      </c>
      <c r="E62" s="44">
        <f>SUM(C$55:C62)-SUM(D$55:D62)</f>
        <v>9562500.0000000019</v>
      </c>
      <c r="F62" s="45">
        <f t="shared" si="4"/>
        <v>164.28571428571428</v>
      </c>
      <c r="G62" s="44">
        <f t="shared" si="5"/>
        <v>3510000</v>
      </c>
      <c r="H62" s="44">
        <f t="shared" si="5"/>
        <v>3552500</v>
      </c>
      <c r="I62" s="44">
        <f>SUM(G$55:G62)-SUM(H$55:H62)</f>
        <v>250000</v>
      </c>
      <c r="J62" s="45">
        <f t="shared" si="6"/>
        <v>81550</v>
      </c>
      <c r="K62" s="44">
        <f t="shared" si="8"/>
        <v>3633214.2857142859</v>
      </c>
      <c r="L62" s="44">
        <f t="shared" si="8"/>
        <v>6420446.4285714291</v>
      </c>
      <c r="M62" s="44">
        <f t="shared" si="8"/>
        <v>9812500.0000000019</v>
      </c>
      <c r="N62" s="45">
        <f t="shared" si="9"/>
        <v>81714.28571428571</v>
      </c>
    </row>
    <row r="63" spans="1:16" s="6" customFormat="1" ht="13.2">
      <c r="B63" s="13">
        <v>44255</v>
      </c>
      <c r="C63" s="44">
        <f t="shared" si="7"/>
        <v>0</v>
      </c>
      <c r="D63" s="44">
        <f t="shared" si="3"/>
        <v>2250000.0000000019</v>
      </c>
      <c r="E63" s="44">
        <f>SUM(C$55:C63)-SUM(D$55:D63)</f>
        <v>7312500</v>
      </c>
      <c r="F63" s="45">
        <f t="shared" si="4"/>
        <v>0</v>
      </c>
      <c r="G63" s="44">
        <f t="shared" si="5"/>
        <v>3262500</v>
      </c>
      <c r="H63" s="44">
        <f t="shared" si="5"/>
        <v>3400000.0000000009</v>
      </c>
      <c r="I63" s="44">
        <f>SUM(G$55:G63)-SUM(H$55:H63)</f>
        <v>112500</v>
      </c>
      <c r="J63" s="45">
        <f t="shared" si="6"/>
        <v>77500</v>
      </c>
      <c r="K63" s="44">
        <f t="shared" si="8"/>
        <v>3262500</v>
      </c>
      <c r="L63" s="44">
        <f t="shared" si="8"/>
        <v>5650000.0000000028</v>
      </c>
      <c r="M63" s="44">
        <f t="shared" si="8"/>
        <v>7425000</v>
      </c>
      <c r="N63" s="45">
        <f t="shared" si="9"/>
        <v>77500</v>
      </c>
    </row>
    <row r="64" spans="1:16" s="6" customFormat="1" ht="13.2">
      <c r="B64" s="13">
        <v>44286</v>
      </c>
      <c r="C64" s="44">
        <f t="shared" si="7"/>
        <v>0</v>
      </c>
      <c r="D64" s="44">
        <f t="shared" si="3"/>
        <v>2250000</v>
      </c>
      <c r="E64" s="44">
        <f>SUM(C$55:C64)-SUM(D$55:D64)</f>
        <v>5062500</v>
      </c>
      <c r="F64" s="45">
        <f t="shared" si="4"/>
        <v>0</v>
      </c>
      <c r="G64" s="44">
        <f t="shared" si="5"/>
        <v>3207500.0000000005</v>
      </c>
      <c r="H64" s="44">
        <f t="shared" si="5"/>
        <v>3050000</v>
      </c>
      <c r="I64" s="44">
        <f>SUM(G$55:G64)-SUM(H$55:H64)</f>
        <v>270000</v>
      </c>
      <c r="J64" s="45">
        <f t="shared" si="6"/>
        <v>80250</v>
      </c>
      <c r="K64" s="44">
        <f t="shared" si="8"/>
        <v>3207500.0000000005</v>
      </c>
      <c r="L64" s="44">
        <f t="shared" si="8"/>
        <v>5300000</v>
      </c>
      <c r="M64" s="44">
        <f t="shared" si="8"/>
        <v>5332500</v>
      </c>
      <c r="N64" s="45">
        <f t="shared" si="9"/>
        <v>80250</v>
      </c>
    </row>
    <row r="65" spans="1:17" s="6" customFormat="1" ht="13.2">
      <c r="B65" s="13">
        <v>44316</v>
      </c>
      <c r="C65" s="44">
        <f t="shared" si="7"/>
        <v>0</v>
      </c>
      <c r="D65" s="44">
        <f t="shared" si="3"/>
        <v>2250000</v>
      </c>
      <c r="E65" s="44">
        <f>SUM(C$55:C65)-SUM(D$55:D65)</f>
        <v>2812500</v>
      </c>
      <c r="F65" s="45">
        <f t="shared" si="4"/>
        <v>0</v>
      </c>
      <c r="G65" s="44">
        <f t="shared" si="5"/>
        <v>2590000</v>
      </c>
      <c r="H65" s="44">
        <f t="shared" si="5"/>
        <v>2500000</v>
      </c>
      <c r="I65" s="44">
        <f>SUM(G$55:G65)-SUM(H$55:H65)</f>
        <v>360000</v>
      </c>
      <c r="J65" s="45">
        <f t="shared" si="6"/>
        <v>73000</v>
      </c>
      <c r="K65" s="44">
        <f t="shared" si="8"/>
        <v>2590000</v>
      </c>
      <c r="L65" s="44">
        <f t="shared" si="8"/>
        <v>4750000</v>
      </c>
      <c r="M65" s="44">
        <f t="shared" si="8"/>
        <v>3172500</v>
      </c>
      <c r="N65" s="45">
        <f t="shared" si="9"/>
        <v>73000</v>
      </c>
    </row>
    <row r="66" spans="1:17" s="6" customFormat="1" ht="13.2">
      <c r="B66" s="13">
        <v>44347</v>
      </c>
      <c r="C66" s="44">
        <f t="shared" si="7"/>
        <v>0</v>
      </c>
      <c r="D66" s="44">
        <f t="shared" si="3"/>
        <v>2250000</v>
      </c>
      <c r="E66" s="44">
        <f>SUM(C$55:C66)-SUM(D$55:D66)</f>
        <v>562500</v>
      </c>
      <c r="F66" s="45">
        <f t="shared" si="4"/>
        <v>0</v>
      </c>
      <c r="G66" s="44">
        <f t="shared" si="5"/>
        <v>4240000</v>
      </c>
      <c r="H66" s="44">
        <f t="shared" si="5"/>
        <v>3100000.0000000005</v>
      </c>
      <c r="I66" s="44">
        <f>SUM(G$55:G66)-SUM(H$55:H66)</f>
        <v>1500000</v>
      </c>
      <c r="J66" s="45">
        <f t="shared" si="6"/>
        <v>78000</v>
      </c>
      <c r="K66" s="44">
        <f t="shared" si="8"/>
        <v>4240000</v>
      </c>
      <c r="L66" s="44">
        <f t="shared" si="8"/>
        <v>5350000</v>
      </c>
      <c r="M66" s="44">
        <f t="shared" si="8"/>
        <v>2062500</v>
      </c>
      <c r="N66" s="45">
        <f t="shared" si="9"/>
        <v>78000</v>
      </c>
    </row>
    <row r="67" spans="1:17" s="6" customFormat="1" ht="13.2">
      <c r="B67" s="13">
        <v>44377</v>
      </c>
      <c r="C67" s="44">
        <f t="shared" si="7"/>
        <v>0</v>
      </c>
      <c r="D67" s="44">
        <f t="shared" si="3"/>
        <v>562500</v>
      </c>
      <c r="E67" s="44">
        <f>SUM(C$55:C67)-SUM(D$55:D67)</f>
        <v>0</v>
      </c>
      <c r="F67" s="45">
        <f t="shared" si="4"/>
        <v>0</v>
      </c>
      <c r="G67" s="44">
        <f t="shared" si="5"/>
        <v>0</v>
      </c>
      <c r="H67" s="44">
        <f t="shared" si="5"/>
        <v>1500000.0000000002</v>
      </c>
      <c r="I67" s="44">
        <f>SUM(G$55:G67)-SUM(H$55:H67)</f>
        <v>0</v>
      </c>
      <c r="J67" s="46">
        <f t="shared" si="6"/>
        <v>0</v>
      </c>
      <c r="K67" s="44">
        <f t="shared" si="8"/>
        <v>0</v>
      </c>
      <c r="L67" s="44">
        <f t="shared" si="8"/>
        <v>2062500.0000000002</v>
      </c>
      <c r="M67" s="44">
        <f t="shared" si="8"/>
        <v>0</v>
      </c>
      <c r="N67" s="45">
        <f t="shared" si="9"/>
        <v>0</v>
      </c>
    </row>
    <row r="68" spans="1:17" s="6" customFormat="1" ht="13.2">
      <c r="C68" s="47">
        <f>SUM(C55:C67)</f>
        <v>22500000.000000004</v>
      </c>
      <c r="D68" s="47">
        <f>SUM(D55:D67)</f>
        <v>22500000.000000004</v>
      </c>
      <c r="E68" s="47"/>
      <c r="F68" s="48">
        <f>SUM(F55:F67)</f>
        <v>30000</v>
      </c>
      <c r="G68" s="47">
        <f>SUM(G55:G67)</f>
        <v>30611500</v>
      </c>
      <c r="H68" s="47">
        <f>SUM(H55:H67)</f>
        <v>30611500</v>
      </c>
      <c r="I68" s="49"/>
      <c r="K68" s="47">
        <f>SUM(K55:K67)</f>
        <v>53111500</v>
      </c>
      <c r="L68" s="47">
        <f>SUM(L55:L67)</f>
        <v>53111500.000000007</v>
      </c>
      <c r="M68" s="47"/>
      <c r="N68" s="48">
        <f>SUM(N55:N67)</f>
        <v>772050</v>
      </c>
    </row>
    <row r="69" spans="1:17" s="6" customFormat="1" ht="13.2">
      <c r="B69" s="116" t="s">
        <v>81</v>
      </c>
      <c r="C69" s="65">
        <f>C68-'CaseSolution (Original)'!C68</f>
        <v>0</v>
      </c>
      <c r="D69" s="65">
        <f>D68-'CaseSolution (Original)'!D68</f>
        <v>0</v>
      </c>
      <c r="E69" s="65"/>
      <c r="F69" s="65">
        <f>F68-'CaseSolution (Original)'!F68</f>
        <v>0</v>
      </c>
      <c r="G69" s="65">
        <f>G68-'CaseSolution (Original)'!G68</f>
        <v>0</v>
      </c>
      <c r="H69" s="65">
        <f>H68-'CaseSolution (Original)'!H68</f>
        <v>0</v>
      </c>
      <c r="K69" s="65">
        <f>K68-'CaseSolution (Original)'!K68</f>
        <v>0</v>
      </c>
      <c r="L69" s="65">
        <f>L68-'CaseSolution (Original)'!L68</f>
        <v>0</v>
      </c>
      <c r="M69" s="65"/>
      <c r="N69" s="65">
        <f>N68-'CaseSolution (Original)'!N68</f>
        <v>0</v>
      </c>
    </row>
    <row r="70" spans="1:17" s="6" customFormat="1" ht="13.2">
      <c r="C70" s="100"/>
      <c r="D70" s="100"/>
      <c r="E70" s="100"/>
      <c r="F70" s="101"/>
      <c r="G70" s="100"/>
      <c r="H70" s="100"/>
      <c r="K70" s="100"/>
      <c r="L70" s="100"/>
      <c r="M70" s="100"/>
      <c r="N70" s="101"/>
    </row>
    <row r="71" spans="1:17" s="6" customFormat="1" ht="13.2">
      <c r="A71" s="15" t="s">
        <v>30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spans="1:17" s="6" customFormat="1" ht="13.2">
      <c r="C72" s="100"/>
      <c r="D72" s="100"/>
      <c r="E72" s="100"/>
    </row>
    <row r="73" spans="1:17" s="6" customFormat="1" ht="16.8">
      <c r="C73" s="16" t="s">
        <v>23</v>
      </c>
      <c r="D73" s="16"/>
      <c r="E73" s="16"/>
      <c r="F73" s="16" t="s">
        <v>25</v>
      </c>
      <c r="G73" s="16"/>
      <c r="H73" s="16"/>
      <c r="I73" s="16" t="s">
        <v>32</v>
      </c>
      <c r="J73" s="16"/>
      <c r="K73" s="16"/>
      <c r="L73" s="16"/>
      <c r="M73" s="16"/>
      <c r="N73" s="16"/>
      <c r="O73" s="16"/>
      <c r="P73" s="16"/>
    </row>
    <row r="74" spans="1:17" s="6" customFormat="1" ht="26.4">
      <c r="B74" s="20" t="s">
        <v>31</v>
      </c>
      <c r="C74" s="20" t="s">
        <v>19</v>
      </c>
      <c r="D74" s="20" t="s">
        <v>20</v>
      </c>
      <c r="E74" s="20" t="s">
        <v>17</v>
      </c>
      <c r="F74" s="20" t="s">
        <v>19</v>
      </c>
      <c r="G74" s="20" t="s">
        <v>20</v>
      </c>
      <c r="H74" s="20" t="s">
        <v>17</v>
      </c>
      <c r="I74" s="20">
        <v>6</v>
      </c>
      <c r="J74" s="20">
        <v>5</v>
      </c>
      <c r="K74" s="20">
        <v>4</v>
      </c>
      <c r="L74" s="20">
        <v>3</v>
      </c>
      <c r="M74" s="20">
        <v>2</v>
      </c>
      <c r="N74" s="20">
        <v>1</v>
      </c>
      <c r="O74" s="20">
        <v>0</v>
      </c>
      <c r="P74" s="20" t="s">
        <v>17</v>
      </c>
      <c r="Q74" s="20" t="s">
        <v>66</v>
      </c>
    </row>
    <row r="75" spans="1:17" s="6" customFormat="1" ht="13.2">
      <c r="B75" s="18">
        <f t="shared" ref="B75:B114" si="10">H8</f>
        <v>44058</v>
      </c>
      <c r="C75" s="50">
        <f>SUMIF($B$125:$B$174,"&lt;="&amp;B75,$K$125:$K$174)</f>
        <v>480937.5</v>
      </c>
      <c r="D75" s="50">
        <f t="shared" ref="D75:D114" si="11">AM206</f>
        <v>1217500.0000000002</v>
      </c>
      <c r="E75" s="50">
        <f>SUM(C75:D75)</f>
        <v>1698437.5000000002</v>
      </c>
      <c r="F75" s="51">
        <f t="shared" ref="F75:F114" si="12">F206</f>
        <v>25649.999999999996</v>
      </c>
      <c r="G75" s="51">
        <f t="shared" ref="G75:G114" si="13">H206</f>
        <v>24350.000000000004</v>
      </c>
      <c r="H75" s="51">
        <f>SUM(F75:G75)</f>
        <v>50000</v>
      </c>
      <c r="I75" s="45">
        <f t="shared" ref="I75:I114" si="14">AD206</f>
        <v>8000</v>
      </c>
      <c r="J75" s="45">
        <f t="shared" ref="J75:J114" si="15">AE206</f>
        <v>7040</v>
      </c>
      <c r="K75" s="45">
        <f t="shared" ref="K75:K114" si="16">AF206</f>
        <v>2560</v>
      </c>
      <c r="L75" s="45">
        <f t="shared" ref="L75:L114" si="17">AG206</f>
        <v>1600</v>
      </c>
      <c r="M75" s="45">
        <f t="shared" ref="M75:M114" si="18">AH206</f>
        <v>1600</v>
      </c>
      <c r="N75" s="45">
        <f t="shared" ref="N75:N114" si="19">AI206</f>
        <v>3550.0000000000036</v>
      </c>
      <c r="O75" s="45">
        <f t="shared" ref="O75:O114" si="20">AJ206</f>
        <v>0</v>
      </c>
      <c r="P75" s="45">
        <f>SUM(I75:O75)</f>
        <v>24350.000000000004</v>
      </c>
      <c r="Q75" s="6" t="b">
        <f>P75=G75</f>
        <v>1</v>
      </c>
    </row>
    <row r="76" spans="1:17" s="6" customFormat="1" ht="13.2">
      <c r="B76" s="18">
        <f t="shared" si="10"/>
        <v>44065</v>
      </c>
      <c r="C76" s="50">
        <f t="shared" ref="C76:C114" si="21">SUMIFS($K$125:$K$174,$B$125:$B$174,"&lt;="&amp;B76,$B$125:$B$174,"&gt;"&amp;B75)</f>
        <v>533437.5</v>
      </c>
      <c r="D76" s="50">
        <f t="shared" si="11"/>
        <v>918000.00000000012</v>
      </c>
      <c r="E76" s="50">
        <f t="shared" ref="E76:E114" si="22">SUM(C76:D76)</f>
        <v>1451437.5</v>
      </c>
      <c r="F76" s="51">
        <f t="shared" si="12"/>
        <v>27049.999999999996</v>
      </c>
      <c r="G76" s="51">
        <f t="shared" si="13"/>
        <v>22950.000000000004</v>
      </c>
      <c r="H76" s="51">
        <f t="shared" ref="H76:H114" si="23">SUM(F76:G76)</f>
        <v>50000</v>
      </c>
      <c r="I76" s="45">
        <f t="shared" si="14"/>
        <v>6250</v>
      </c>
      <c r="J76" s="45">
        <f t="shared" si="15"/>
        <v>5500</v>
      </c>
      <c r="K76" s="45">
        <f t="shared" si="16"/>
        <v>2000</v>
      </c>
      <c r="L76" s="45">
        <f t="shared" si="17"/>
        <v>1250</v>
      </c>
      <c r="M76" s="45">
        <f t="shared" si="18"/>
        <v>1250</v>
      </c>
      <c r="N76" s="45">
        <f t="shared" si="19"/>
        <v>3750</v>
      </c>
      <c r="O76" s="45">
        <f t="shared" si="20"/>
        <v>2950.0000000000036</v>
      </c>
      <c r="P76" s="45">
        <f t="shared" ref="P76:P114" si="24">SUM(I76:O76)</f>
        <v>22950.000000000004</v>
      </c>
      <c r="Q76" s="6" t="b">
        <f t="shared" ref="Q76:Q114" si="25">P76=G76</f>
        <v>1</v>
      </c>
    </row>
    <row r="77" spans="1:17" s="6" customFormat="1" ht="13.2">
      <c r="B77" s="18">
        <f t="shared" si="10"/>
        <v>44072</v>
      </c>
      <c r="C77" s="50">
        <f t="shared" si="21"/>
        <v>552187.5</v>
      </c>
      <c r="D77" s="50">
        <f t="shared" si="11"/>
        <v>450000</v>
      </c>
      <c r="E77" s="50">
        <f t="shared" si="22"/>
        <v>1002187.5</v>
      </c>
      <c r="F77" s="51">
        <f t="shared" si="12"/>
        <v>27849.999999999996</v>
      </c>
      <c r="G77" s="51">
        <f t="shared" si="13"/>
        <v>15000</v>
      </c>
      <c r="H77" s="51">
        <f t="shared" si="23"/>
        <v>42850</v>
      </c>
      <c r="I77" s="45">
        <f t="shared" si="14"/>
        <v>3750</v>
      </c>
      <c r="J77" s="45">
        <f t="shared" si="15"/>
        <v>3300</v>
      </c>
      <c r="K77" s="45">
        <f t="shared" si="16"/>
        <v>1200</v>
      </c>
      <c r="L77" s="45">
        <f t="shared" si="17"/>
        <v>750</v>
      </c>
      <c r="M77" s="45">
        <f t="shared" si="18"/>
        <v>750</v>
      </c>
      <c r="N77" s="45">
        <f t="shared" si="19"/>
        <v>2250</v>
      </c>
      <c r="O77" s="45">
        <f t="shared" si="20"/>
        <v>3000</v>
      </c>
      <c r="P77" s="45">
        <f t="shared" si="24"/>
        <v>15000</v>
      </c>
      <c r="Q77" s="6" t="b">
        <f t="shared" si="25"/>
        <v>1</v>
      </c>
    </row>
    <row r="78" spans="1:17" s="6" customFormat="1" ht="13.2">
      <c r="B78" s="18">
        <f t="shared" si="10"/>
        <v>44079</v>
      </c>
      <c r="C78" s="50">
        <f t="shared" si="21"/>
        <v>559687.5</v>
      </c>
      <c r="D78" s="50">
        <f t="shared" si="11"/>
        <v>1082500.0000000002</v>
      </c>
      <c r="E78" s="50">
        <f t="shared" si="22"/>
        <v>1642187.5000000002</v>
      </c>
      <c r="F78" s="51">
        <f t="shared" si="12"/>
        <v>28349.999999999996</v>
      </c>
      <c r="G78" s="51">
        <f t="shared" si="13"/>
        <v>21650.000000000004</v>
      </c>
      <c r="H78" s="51">
        <f t="shared" si="23"/>
        <v>50000</v>
      </c>
      <c r="I78" s="45">
        <f t="shared" si="14"/>
        <v>8000</v>
      </c>
      <c r="J78" s="45">
        <f t="shared" si="15"/>
        <v>7040</v>
      </c>
      <c r="K78" s="45">
        <f t="shared" si="16"/>
        <v>2560</v>
      </c>
      <c r="L78" s="45">
        <f t="shared" si="17"/>
        <v>1600</v>
      </c>
      <c r="M78" s="45">
        <f t="shared" si="18"/>
        <v>1600</v>
      </c>
      <c r="N78" s="45">
        <f t="shared" si="19"/>
        <v>850.00000000000364</v>
      </c>
      <c r="O78" s="45">
        <f t="shared" si="20"/>
        <v>0</v>
      </c>
      <c r="P78" s="45">
        <f t="shared" si="24"/>
        <v>21650.000000000004</v>
      </c>
      <c r="Q78" s="6" t="b">
        <f t="shared" si="25"/>
        <v>1</v>
      </c>
    </row>
    <row r="79" spans="1:17" s="6" customFormat="1" ht="13.2">
      <c r="B79" s="18">
        <f t="shared" si="10"/>
        <v>44086</v>
      </c>
      <c r="C79" s="50">
        <f t="shared" si="21"/>
        <v>550312.5</v>
      </c>
      <c r="D79" s="50">
        <f t="shared" si="11"/>
        <v>450000</v>
      </c>
      <c r="E79" s="50">
        <f t="shared" si="22"/>
        <v>1000312.5</v>
      </c>
      <c r="F79" s="51">
        <f t="shared" si="12"/>
        <v>28549.999999999996</v>
      </c>
      <c r="G79" s="51">
        <f t="shared" si="13"/>
        <v>15000</v>
      </c>
      <c r="H79" s="51">
        <f t="shared" si="23"/>
        <v>43550</v>
      </c>
      <c r="I79" s="45">
        <f t="shared" si="14"/>
        <v>3750</v>
      </c>
      <c r="J79" s="45">
        <f t="shared" si="15"/>
        <v>3300</v>
      </c>
      <c r="K79" s="45">
        <f t="shared" si="16"/>
        <v>1200</v>
      </c>
      <c r="L79" s="45">
        <f t="shared" si="17"/>
        <v>750</v>
      </c>
      <c r="M79" s="45">
        <f t="shared" si="18"/>
        <v>750</v>
      </c>
      <c r="N79" s="45">
        <f t="shared" si="19"/>
        <v>2250</v>
      </c>
      <c r="O79" s="45">
        <f t="shared" si="20"/>
        <v>3000</v>
      </c>
      <c r="P79" s="45">
        <f t="shared" si="24"/>
        <v>15000</v>
      </c>
      <c r="Q79" s="6" t="b">
        <f t="shared" si="25"/>
        <v>1</v>
      </c>
    </row>
    <row r="80" spans="1:17" s="6" customFormat="1" ht="13.2">
      <c r="B80" s="18">
        <f t="shared" si="10"/>
        <v>44093</v>
      </c>
      <c r="C80" s="50">
        <f t="shared" si="21"/>
        <v>552187.5</v>
      </c>
      <c r="D80" s="50">
        <f t="shared" si="11"/>
        <v>852000.00000000012</v>
      </c>
      <c r="E80" s="50">
        <f t="shared" si="22"/>
        <v>1404187.5</v>
      </c>
      <c r="F80" s="51">
        <f t="shared" si="12"/>
        <v>28699.999999999996</v>
      </c>
      <c r="G80" s="51">
        <f t="shared" si="13"/>
        <v>21300.000000000004</v>
      </c>
      <c r="H80" s="51">
        <f t="shared" si="23"/>
        <v>50000</v>
      </c>
      <c r="I80" s="45">
        <f t="shared" si="14"/>
        <v>6250</v>
      </c>
      <c r="J80" s="45">
        <f t="shared" si="15"/>
        <v>5500</v>
      </c>
      <c r="K80" s="45">
        <f t="shared" si="16"/>
        <v>2000</v>
      </c>
      <c r="L80" s="45">
        <f t="shared" si="17"/>
        <v>1250</v>
      </c>
      <c r="M80" s="45">
        <f t="shared" si="18"/>
        <v>1250</v>
      </c>
      <c r="N80" s="45">
        <f t="shared" si="19"/>
        <v>3750</v>
      </c>
      <c r="O80" s="45">
        <f t="shared" si="20"/>
        <v>1300.0000000000036</v>
      </c>
      <c r="P80" s="45">
        <f t="shared" si="24"/>
        <v>21300.000000000004</v>
      </c>
      <c r="Q80" s="6" t="b">
        <f t="shared" si="25"/>
        <v>1</v>
      </c>
    </row>
    <row r="81" spans="2:17" s="6" customFormat="1" ht="13.2">
      <c r="B81" s="18">
        <f t="shared" si="10"/>
        <v>44100</v>
      </c>
      <c r="C81" s="50">
        <f t="shared" si="21"/>
        <v>544687.49999999953</v>
      </c>
      <c r="D81" s="50">
        <f t="shared" si="11"/>
        <v>450000</v>
      </c>
      <c r="E81" s="50">
        <f t="shared" si="22"/>
        <v>994687.49999999953</v>
      </c>
      <c r="F81" s="51">
        <f t="shared" si="12"/>
        <v>28749.999999999996</v>
      </c>
      <c r="G81" s="51">
        <f t="shared" si="13"/>
        <v>15000</v>
      </c>
      <c r="H81" s="51">
        <f t="shared" si="23"/>
        <v>43750</v>
      </c>
      <c r="I81" s="45">
        <f t="shared" si="14"/>
        <v>3750</v>
      </c>
      <c r="J81" s="45">
        <f t="shared" si="15"/>
        <v>3300</v>
      </c>
      <c r="K81" s="45">
        <f t="shared" si="16"/>
        <v>1200</v>
      </c>
      <c r="L81" s="45">
        <f t="shared" si="17"/>
        <v>750</v>
      </c>
      <c r="M81" s="45">
        <f t="shared" si="18"/>
        <v>750</v>
      </c>
      <c r="N81" s="45">
        <f t="shared" si="19"/>
        <v>2250</v>
      </c>
      <c r="O81" s="45">
        <f t="shared" si="20"/>
        <v>3000</v>
      </c>
      <c r="P81" s="45">
        <f t="shared" si="24"/>
        <v>15000</v>
      </c>
      <c r="Q81" s="6" t="b">
        <f t="shared" si="25"/>
        <v>1</v>
      </c>
    </row>
    <row r="82" spans="2:17" s="6" customFormat="1" ht="13.2">
      <c r="B82" s="18">
        <f t="shared" si="10"/>
        <v>44107</v>
      </c>
      <c r="C82" s="50">
        <f t="shared" si="21"/>
        <v>546562.50000000047</v>
      </c>
      <c r="D82" s="50">
        <f t="shared" si="11"/>
        <v>848000.00000000012</v>
      </c>
      <c r="E82" s="50">
        <f t="shared" si="22"/>
        <v>1394562.5000000005</v>
      </c>
      <c r="F82" s="51">
        <f t="shared" si="12"/>
        <v>28799.999999999996</v>
      </c>
      <c r="G82" s="51">
        <f t="shared" si="13"/>
        <v>21200.000000000004</v>
      </c>
      <c r="H82" s="51">
        <f t="shared" si="23"/>
        <v>50000</v>
      </c>
      <c r="I82" s="45">
        <f t="shared" si="14"/>
        <v>6250</v>
      </c>
      <c r="J82" s="45">
        <f t="shared" si="15"/>
        <v>5500</v>
      </c>
      <c r="K82" s="45">
        <f t="shared" si="16"/>
        <v>2000</v>
      </c>
      <c r="L82" s="45">
        <f t="shared" si="17"/>
        <v>1250</v>
      </c>
      <c r="M82" s="45">
        <f t="shared" si="18"/>
        <v>1250</v>
      </c>
      <c r="N82" s="45">
        <f t="shared" si="19"/>
        <v>3750</v>
      </c>
      <c r="O82" s="45">
        <f t="shared" si="20"/>
        <v>1200.0000000000036</v>
      </c>
      <c r="P82" s="45">
        <f t="shared" si="24"/>
        <v>21200.000000000004</v>
      </c>
      <c r="Q82" s="6" t="b">
        <f t="shared" si="25"/>
        <v>1</v>
      </c>
    </row>
    <row r="83" spans="2:17" s="6" customFormat="1" ht="13.2">
      <c r="B83" s="18">
        <f t="shared" si="10"/>
        <v>44114</v>
      </c>
      <c r="C83" s="50">
        <f t="shared" si="21"/>
        <v>548437.5</v>
      </c>
      <c r="D83" s="50">
        <f t="shared" si="11"/>
        <v>846000.00000000012</v>
      </c>
      <c r="E83" s="50">
        <f t="shared" si="22"/>
        <v>1394437.5</v>
      </c>
      <c r="F83" s="51">
        <f t="shared" si="12"/>
        <v>28849.999999999996</v>
      </c>
      <c r="G83" s="51">
        <f t="shared" si="13"/>
        <v>21150.000000000004</v>
      </c>
      <c r="H83" s="51">
        <f t="shared" si="23"/>
        <v>50000</v>
      </c>
      <c r="I83" s="45">
        <f t="shared" si="14"/>
        <v>6250</v>
      </c>
      <c r="J83" s="45">
        <f t="shared" si="15"/>
        <v>5500</v>
      </c>
      <c r="K83" s="45">
        <f t="shared" si="16"/>
        <v>2000</v>
      </c>
      <c r="L83" s="45">
        <f t="shared" si="17"/>
        <v>1250</v>
      </c>
      <c r="M83" s="45">
        <f t="shared" si="18"/>
        <v>1250</v>
      </c>
      <c r="N83" s="45">
        <f t="shared" si="19"/>
        <v>3750</v>
      </c>
      <c r="O83" s="45">
        <f t="shared" si="20"/>
        <v>1150.0000000000036</v>
      </c>
      <c r="P83" s="45">
        <f t="shared" si="24"/>
        <v>21150.000000000004</v>
      </c>
      <c r="Q83" s="6" t="b">
        <f t="shared" si="25"/>
        <v>1</v>
      </c>
    </row>
    <row r="84" spans="2:17" s="6" customFormat="1" ht="13.2">
      <c r="B84" s="18">
        <f t="shared" si="10"/>
        <v>44121</v>
      </c>
      <c r="C84" s="50">
        <f t="shared" si="21"/>
        <v>550312.5</v>
      </c>
      <c r="D84" s="50">
        <f t="shared" si="11"/>
        <v>450000</v>
      </c>
      <c r="E84" s="50">
        <f t="shared" si="22"/>
        <v>1000312.5</v>
      </c>
      <c r="F84" s="51">
        <f t="shared" si="12"/>
        <v>28899.999999999996</v>
      </c>
      <c r="G84" s="51">
        <f t="shared" si="13"/>
        <v>15000</v>
      </c>
      <c r="H84" s="51">
        <f t="shared" si="23"/>
        <v>43900</v>
      </c>
      <c r="I84" s="45">
        <f t="shared" si="14"/>
        <v>3750</v>
      </c>
      <c r="J84" s="45">
        <f t="shared" si="15"/>
        <v>3300</v>
      </c>
      <c r="K84" s="45">
        <f t="shared" si="16"/>
        <v>1200</v>
      </c>
      <c r="L84" s="45">
        <f t="shared" si="17"/>
        <v>750</v>
      </c>
      <c r="M84" s="45">
        <f t="shared" si="18"/>
        <v>750</v>
      </c>
      <c r="N84" s="45">
        <f t="shared" si="19"/>
        <v>2250</v>
      </c>
      <c r="O84" s="45">
        <f t="shared" si="20"/>
        <v>3000</v>
      </c>
      <c r="P84" s="45">
        <f t="shared" si="24"/>
        <v>15000</v>
      </c>
      <c r="Q84" s="6" t="b">
        <f t="shared" si="25"/>
        <v>1</v>
      </c>
    </row>
    <row r="85" spans="2:17" s="6" customFormat="1" ht="13.2">
      <c r="B85" s="18">
        <f t="shared" si="10"/>
        <v>44128</v>
      </c>
      <c r="C85" s="50">
        <f t="shared" si="21"/>
        <v>552187.50000000093</v>
      </c>
      <c r="D85" s="50">
        <f t="shared" si="11"/>
        <v>842000.00000000012</v>
      </c>
      <c r="E85" s="50">
        <f t="shared" si="22"/>
        <v>1394187.5000000009</v>
      </c>
      <c r="F85" s="51">
        <f t="shared" si="12"/>
        <v>28949.999999999996</v>
      </c>
      <c r="G85" s="51">
        <f t="shared" si="13"/>
        <v>21050.000000000004</v>
      </c>
      <c r="H85" s="51">
        <f t="shared" si="23"/>
        <v>50000</v>
      </c>
      <c r="I85" s="45">
        <f t="shared" si="14"/>
        <v>6250</v>
      </c>
      <c r="J85" s="45">
        <f t="shared" si="15"/>
        <v>5500</v>
      </c>
      <c r="K85" s="45">
        <f t="shared" si="16"/>
        <v>2000</v>
      </c>
      <c r="L85" s="45">
        <f t="shared" si="17"/>
        <v>1250</v>
      </c>
      <c r="M85" s="45">
        <f t="shared" si="18"/>
        <v>1250</v>
      </c>
      <c r="N85" s="45">
        <f t="shared" si="19"/>
        <v>3750</v>
      </c>
      <c r="O85" s="45">
        <f t="shared" si="20"/>
        <v>1050.0000000000036</v>
      </c>
      <c r="P85" s="45">
        <f t="shared" si="24"/>
        <v>21050.000000000004</v>
      </c>
      <c r="Q85" s="6" t="b">
        <f t="shared" si="25"/>
        <v>1</v>
      </c>
    </row>
    <row r="86" spans="2:17" s="6" customFormat="1" ht="13.2">
      <c r="B86" s="18">
        <f t="shared" si="10"/>
        <v>44135</v>
      </c>
      <c r="C86" s="50">
        <f t="shared" si="21"/>
        <v>554062.49999999907</v>
      </c>
      <c r="D86" s="50">
        <f t="shared" si="11"/>
        <v>450000</v>
      </c>
      <c r="E86" s="50">
        <f t="shared" si="22"/>
        <v>1004062.4999999991</v>
      </c>
      <c r="F86" s="51">
        <f t="shared" si="12"/>
        <v>28999.999999999996</v>
      </c>
      <c r="G86" s="51">
        <f t="shared" si="13"/>
        <v>15000</v>
      </c>
      <c r="H86" s="51">
        <f t="shared" si="23"/>
        <v>44000</v>
      </c>
      <c r="I86" s="45">
        <f t="shared" si="14"/>
        <v>3750</v>
      </c>
      <c r="J86" s="45">
        <f t="shared" si="15"/>
        <v>3300</v>
      </c>
      <c r="K86" s="45">
        <f t="shared" si="16"/>
        <v>1200</v>
      </c>
      <c r="L86" s="45">
        <f t="shared" si="17"/>
        <v>750</v>
      </c>
      <c r="M86" s="45">
        <f t="shared" si="18"/>
        <v>750</v>
      </c>
      <c r="N86" s="45">
        <f t="shared" si="19"/>
        <v>2250</v>
      </c>
      <c r="O86" s="45">
        <f t="shared" si="20"/>
        <v>3000</v>
      </c>
      <c r="P86" s="45">
        <f t="shared" si="24"/>
        <v>15000</v>
      </c>
      <c r="Q86" s="6" t="b">
        <f t="shared" si="25"/>
        <v>1</v>
      </c>
    </row>
    <row r="87" spans="2:17" s="6" customFormat="1" ht="13.2">
      <c r="B87" s="18">
        <f t="shared" si="10"/>
        <v>44142</v>
      </c>
      <c r="C87" s="50">
        <f t="shared" si="21"/>
        <v>555937.5</v>
      </c>
      <c r="D87" s="50">
        <f t="shared" si="11"/>
        <v>1257000.0000000002</v>
      </c>
      <c r="E87" s="50">
        <f t="shared" si="22"/>
        <v>1812937.5000000002</v>
      </c>
      <c r="F87" s="51">
        <f t="shared" si="12"/>
        <v>29049.999999999996</v>
      </c>
      <c r="G87" s="51">
        <f t="shared" si="13"/>
        <v>20950.000000000004</v>
      </c>
      <c r="H87" s="51">
        <f t="shared" si="23"/>
        <v>50000</v>
      </c>
      <c r="I87" s="45">
        <f t="shared" si="14"/>
        <v>10000</v>
      </c>
      <c r="J87" s="45">
        <f t="shared" si="15"/>
        <v>8800</v>
      </c>
      <c r="K87" s="45">
        <f t="shared" si="16"/>
        <v>2150.0000000000036</v>
      </c>
      <c r="L87" s="45">
        <f t="shared" si="17"/>
        <v>0</v>
      </c>
      <c r="M87" s="45">
        <f t="shared" si="18"/>
        <v>0</v>
      </c>
      <c r="N87" s="45">
        <f t="shared" si="19"/>
        <v>0</v>
      </c>
      <c r="O87" s="45">
        <f t="shared" si="20"/>
        <v>0</v>
      </c>
      <c r="P87" s="45">
        <f t="shared" si="24"/>
        <v>20950.000000000004</v>
      </c>
      <c r="Q87" s="6" t="b">
        <f t="shared" si="25"/>
        <v>1</v>
      </c>
    </row>
    <row r="88" spans="2:17" s="6" customFormat="1" ht="13.2">
      <c r="B88" s="18">
        <f t="shared" si="10"/>
        <v>44149</v>
      </c>
      <c r="C88" s="50">
        <f t="shared" si="21"/>
        <v>557812.49999999907</v>
      </c>
      <c r="D88" s="50">
        <f t="shared" si="11"/>
        <v>450000</v>
      </c>
      <c r="E88" s="50">
        <f t="shared" si="22"/>
        <v>1007812.4999999991</v>
      </c>
      <c r="F88" s="51">
        <f t="shared" si="12"/>
        <v>29099.999999999996</v>
      </c>
      <c r="G88" s="51">
        <f t="shared" si="13"/>
        <v>15000</v>
      </c>
      <c r="H88" s="51">
        <f t="shared" si="23"/>
        <v>44100</v>
      </c>
      <c r="I88" s="45">
        <f t="shared" si="14"/>
        <v>3750</v>
      </c>
      <c r="J88" s="45">
        <f t="shared" si="15"/>
        <v>3300</v>
      </c>
      <c r="K88" s="45">
        <f t="shared" si="16"/>
        <v>1200</v>
      </c>
      <c r="L88" s="45">
        <f t="shared" si="17"/>
        <v>750</v>
      </c>
      <c r="M88" s="45">
        <f t="shared" si="18"/>
        <v>750</v>
      </c>
      <c r="N88" s="45">
        <f t="shared" si="19"/>
        <v>2250</v>
      </c>
      <c r="O88" s="45">
        <f t="shared" si="20"/>
        <v>3000</v>
      </c>
      <c r="P88" s="45">
        <f t="shared" si="24"/>
        <v>15000</v>
      </c>
      <c r="Q88" s="6" t="b">
        <f t="shared" si="25"/>
        <v>1</v>
      </c>
    </row>
    <row r="89" spans="2:17" s="6" customFormat="1" ht="13.2">
      <c r="B89" s="18">
        <f t="shared" si="10"/>
        <v>44156</v>
      </c>
      <c r="C89" s="50">
        <f t="shared" si="21"/>
        <v>559687.50000000093</v>
      </c>
      <c r="D89" s="50">
        <f t="shared" si="11"/>
        <v>834000.00000000012</v>
      </c>
      <c r="E89" s="50">
        <f t="shared" si="22"/>
        <v>1393687.5000000009</v>
      </c>
      <c r="F89" s="51">
        <f t="shared" si="12"/>
        <v>29149.999999999996</v>
      </c>
      <c r="G89" s="51">
        <f t="shared" si="13"/>
        <v>20850.000000000004</v>
      </c>
      <c r="H89" s="51">
        <f t="shared" si="23"/>
        <v>50000</v>
      </c>
      <c r="I89" s="45">
        <f t="shared" si="14"/>
        <v>6250</v>
      </c>
      <c r="J89" s="45">
        <f t="shared" si="15"/>
        <v>5500</v>
      </c>
      <c r="K89" s="45">
        <f t="shared" si="16"/>
        <v>2000</v>
      </c>
      <c r="L89" s="45">
        <f t="shared" si="17"/>
        <v>1250</v>
      </c>
      <c r="M89" s="45">
        <f t="shared" si="18"/>
        <v>1250</v>
      </c>
      <c r="N89" s="45">
        <f t="shared" si="19"/>
        <v>3750</v>
      </c>
      <c r="O89" s="45">
        <f t="shared" si="20"/>
        <v>850.00000000000364</v>
      </c>
      <c r="P89" s="45">
        <f t="shared" si="24"/>
        <v>20850.000000000004</v>
      </c>
      <c r="Q89" s="6" t="b">
        <f t="shared" si="25"/>
        <v>1</v>
      </c>
    </row>
    <row r="90" spans="2:17" s="6" customFormat="1" ht="13.2">
      <c r="B90" s="18">
        <f t="shared" si="10"/>
        <v>44163</v>
      </c>
      <c r="C90" s="50">
        <f t="shared" si="21"/>
        <v>561562.5</v>
      </c>
      <c r="D90" s="50">
        <f t="shared" si="11"/>
        <v>832000.00000000012</v>
      </c>
      <c r="E90" s="50">
        <f t="shared" si="22"/>
        <v>1393562.5</v>
      </c>
      <c r="F90" s="51">
        <f t="shared" si="12"/>
        <v>29199.999999999996</v>
      </c>
      <c r="G90" s="51">
        <f t="shared" si="13"/>
        <v>20800.000000000004</v>
      </c>
      <c r="H90" s="51">
        <f t="shared" si="23"/>
        <v>50000</v>
      </c>
      <c r="I90" s="45">
        <f t="shared" si="14"/>
        <v>6250</v>
      </c>
      <c r="J90" s="45">
        <f t="shared" si="15"/>
        <v>5500</v>
      </c>
      <c r="K90" s="45">
        <f t="shared" si="16"/>
        <v>2000</v>
      </c>
      <c r="L90" s="45">
        <f t="shared" si="17"/>
        <v>1250</v>
      </c>
      <c r="M90" s="45">
        <f t="shared" si="18"/>
        <v>1250</v>
      </c>
      <c r="N90" s="45">
        <f t="shared" si="19"/>
        <v>3750</v>
      </c>
      <c r="O90" s="45">
        <f t="shared" si="20"/>
        <v>800.00000000000364</v>
      </c>
      <c r="P90" s="45">
        <f t="shared" si="24"/>
        <v>20800.000000000004</v>
      </c>
      <c r="Q90" s="6" t="b">
        <f t="shared" si="25"/>
        <v>1</v>
      </c>
    </row>
    <row r="91" spans="2:17" s="6" customFormat="1" ht="13.2">
      <c r="B91" s="18">
        <f t="shared" si="10"/>
        <v>44170</v>
      </c>
      <c r="C91" s="50">
        <f t="shared" si="21"/>
        <v>563437.5</v>
      </c>
      <c r="D91" s="50">
        <f t="shared" si="11"/>
        <v>830000.00000000012</v>
      </c>
      <c r="E91" s="50">
        <f t="shared" si="22"/>
        <v>1393437.5</v>
      </c>
      <c r="F91" s="51">
        <f t="shared" si="12"/>
        <v>29249.999999999996</v>
      </c>
      <c r="G91" s="51">
        <f t="shared" si="13"/>
        <v>20750.000000000004</v>
      </c>
      <c r="H91" s="51">
        <f t="shared" si="23"/>
        <v>50000</v>
      </c>
      <c r="I91" s="45">
        <f t="shared" si="14"/>
        <v>6250</v>
      </c>
      <c r="J91" s="45">
        <f t="shared" si="15"/>
        <v>5500</v>
      </c>
      <c r="K91" s="45">
        <f t="shared" si="16"/>
        <v>2000</v>
      </c>
      <c r="L91" s="45">
        <f t="shared" si="17"/>
        <v>1250</v>
      </c>
      <c r="M91" s="45">
        <f t="shared" si="18"/>
        <v>1250</v>
      </c>
      <c r="N91" s="45">
        <f t="shared" si="19"/>
        <v>3750</v>
      </c>
      <c r="O91" s="45">
        <f t="shared" si="20"/>
        <v>750.00000000000364</v>
      </c>
      <c r="P91" s="45">
        <f t="shared" si="24"/>
        <v>20750.000000000004</v>
      </c>
      <c r="Q91" s="6" t="b">
        <f t="shared" si="25"/>
        <v>1</v>
      </c>
    </row>
    <row r="92" spans="2:17" s="6" customFormat="1" ht="13.2">
      <c r="B92" s="18">
        <f t="shared" si="10"/>
        <v>44177</v>
      </c>
      <c r="C92" s="50">
        <f t="shared" si="21"/>
        <v>632812.5</v>
      </c>
      <c r="D92" s="50">
        <f t="shared" si="11"/>
        <v>450000</v>
      </c>
      <c r="E92" s="50">
        <f t="shared" si="22"/>
        <v>1082812.5</v>
      </c>
      <c r="F92" s="51">
        <f t="shared" si="12"/>
        <v>29499.999999999996</v>
      </c>
      <c r="G92" s="51">
        <f t="shared" si="13"/>
        <v>15000</v>
      </c>
      <c r="H92" s="51">
        <f t="shared" si="23"/>
        <v>44500</v>
      </c>
      <c r="I92" s="45">
        <f t="shared" si="14"/>
        <v>3750</v>
      </c>
      <c r="J92" s="45">
        <f t="shared" si="15"/>
        <v>3300</v>
      </c>
      <c r="K92" s="45">
        <f t="shared" si="16"/>
        <v>1200</v>
      </c>
      <c r="L92" s="45">
        <f t="shared" si="17"/>
        <v>750</v>
      </c>
      <c r="M92" s="45">
        <f t="shared" si="18"/>
        <v>750</v>
      </c>
      <c r="N92" s="45">
        <f t="shared" si="19"/>
        <v>2250</v>
      </c>
      <c r="O92" s="45">
        <f t="shared" si="20"/>
        <v>3000</v>
      </c>
      <c r="P92" s="45">
        <f t="shared" si="24"/>
        <v>15000</v>
      </c>
      <c r="Q92" s="6" t="b">
        <f t="shared" si="25"/>
        <v>1</v>
      </c>
    </row>
    <row r="93" spans="2:17" s="6" customFormat="1" ht="13.2">
      <c r="B93" s="18">
        <f t="shared" si="10"/>
        <v>44198</v>
      </c>
      <c r="C93" s="50">
        <f t="shared" si="21"/>
        <v>677812.5</v>
      </c>
      <c r="D93" s="50">
        <f t="shared" si="11"/>
        <v>450000</v>
      </c>
      <c r="E93" s="50">
        <f t="shared" si="22"/>
        <v>1127812.5</v>
      </c>
      <c r="F93" s="51">
        <f t="shared" si="12"/>
        <v>29849.999999999996</v>
      </c>
      <c r="G93" s="51">
        <f t="shared" si="13"/>
        <v>15000</v>
      </c>
      <c r="H93" s="51">
        <f t="shared" si="23"/>
        <v>44850</v>
      </c>
      <c r="I93" s="45">
        <f t="shared" si="14"/>
        <v>3750</v>
      </c>
      <c r="J93" s="45">
        <f t="shared" si="15"/>
        <v>3300</v>
      </c>
      <c r="K93" s="45">
        <f t="shared" si="16"/>
        <v>1200</v>
      </c>
      <c r="L93" s="45">
        <f t="shared" si="17"/>
        <v>750</v>
      </c>
      <c r="M93" s="45">
        <f t="shared" si="18"/>
        <v>750</v>
      </c>
      <c r="N93" s="45">
        <f t="shared" si="19"/>
        <v>2250</v>
      </c>
      <c r="O93" s="45">
        <f t="shared" si="20"/>
        <v>3000</v>
      </c>
      <c r="P93" s="45">
        <f t="shared" si="24"/>
        <v>15000</v>
      </c>
      <c r="Q93" s="6" t="b">
        <f t="shared" si="25"/>
        <v>1</v>
      </c>
    </row>
    <row r="94" spans="2:17" s="6" customFormat="1" ht="13.2">
      <c r="B94" s="18">
        <f t="shared" si="10"/>
        <v>44205</v>
      </c>
      <c r="C94" s="50">
        <f t="shared" si="21"/>
        <v>578437.5</v>
      </c>
      <c r="D94" s="50">
        <f t="shared" si="11"/>
        <v>450000</v>
      </c>
      <c r="E94" s="50">
        <f t="shared" si="22"/>
        <v>1028437.5</v>
      </c>
      <c r="F94" s="51">
        <f t="shared" si="12"/>
        <v>29899.999999999996</v>
      </c>
      <c r="G94" s="51">
        <f t="shared" si="13"/>
        <v>15000</v>
      </c>
      <c r="H94" s="51">
        <f t="shared" si="23"/>
        <v>44900</v>
      </c>
      <c r="I94" s="45">
        <f t="shared" si="14"/>
        <v>3750</v>
      </c>
      <c r="J94" s="45">
        <f t="shared" si="15"/>
        <v>3300</v>
      </c>
      <c r="K94" s="45">
        <f t="shared" si="16"/>
        <v>1200</v>
      </c>
      <c r="L94" s="45">
        <f t="shared" si="17"/>
        <v>750</v>
      </c>
      <c r="M94" s="45">
        <f t="shared" si="18"/>
        <v>750</v>
      </c>
      <c r="N94" s="45">
        <f t="shared" si="19"/>
        <v>2250</v>
      </c>
      <c r="O94" s="45">
        <f t="shared" si="20"/>
        <v>3000</v>
      </c>
      <c r="P94" s="45">
        <f t="shared" si="24"/>
        <v>15000</v>
      </c>
      <c r="Q94" s="6" t="b">
        <f t="shared" si="25"/>
        <v>1</v>
      </c>
    </row>
    <row r="95" spans="2:17" s="6" customFormat="1" ht="13.2">
      <c r="B95" s="18">
        <f t="shared" si="10"/>
        <v>44212</v>
      </c>
      <c r="C95" s="50">
        <f t="shared" si="21"/>
        <v>580312.5</v>
      </c>
      <c r="D95" s="50">
        <f t="shared" si="11"/>
        <v>1002500.0000000002</v>
      </c>
      <c r="E95" s="50">
        <f t="shared" si="22"/>
        <v>1582812.5000000002</v>
      </c>
      <c r="F95" s="51">
        <f t="shared" si="12"/>
        <v>29949.999999999996</v>
      </c>
      <c r="G95" s="51">
        <f t="shared" si="13"/>
        <v>20050.000000000004</v>
      </c>
      <c r="H95" s="51">
        <f t="shared" si="23"/>
        <v>50000</v>
      </c>
      <c r="I95" s="45">
        <f t="shared" si="14"/>
        <v>8000</v>
      </c>
      <c r="J95" s="45">
        <f t="shared" si="15"/>
        <v>7040</v>
      </c>
      <c r="K95" s="45">
        <f t="shared" si="16"/>
        <v>2560</v>
      </c>
      <c r="L95" s="45">
        <f t="shared" si="17"/>
        <v>1600</v>
      </c>
      <c r="M95" s="45">
        <f t="shared" si="18"/>
        <v>850.00000000000364</v>
      </c>
      <c r="N95" s="45">
        <f t="shared" si="19"/>
        <v>0</v>
      </c>
      <c r="O95" s="45">
        <f t="shared" si="20"/>
        <v>0</v>
      </c>
      <c r="P95" s="45">
        <f t="shared" si="24"/>
        <v>20050.000000000004</v>
      </c>
      <c r="Q95" s="6" t="b">
        <f t="shared" si="25"/>
        <v>1</v>
      </c>
    </row>
    <row r="96" spans="2:17" s="6" customFormat="1" ht="13.2">
      <c r="B96" s="18">
        <f t="shared" si="10"/>
        <v>44219</v>
      </c>
      <c r="C96" s="50">
        <f t="shared" si="21"/>
        <v>582187.50000000186</v>
      </c>
      <c r="D96" s="50">
        <f t="shared" si="11"/>
        <v>450000</v>
      </c>
      <c r="E96" s="50">
        <f t="shared" si="22"/>
        <v>1032187.5000000019</v>
      </c>
      <c r="F96" s="51">
        <f t="shared" si="12"/>
        <v>29999.999999999996</v>
      </c>
      <c r="G96" s="51">
        <f t="shared" si="13"/>
        <v>15000</v>
      </c>
      <c r="H96" s="51">
        <f t="shared" si="23"/>
        <v>45000</v>
      </c>
      <c r="I96" s="45">
        <f t="shared" si="14"/>
        <v>3750</v>
      </c>
      <c r="J96" s="45">
        <f t="shared" si="15"/>
        <v>3300</v>
      </c>
      <c r="K96" s="45">
        <f t="shared" si="16"/>
        <v>1200</v>
      </c>
      <c r="L96" s="45">
        <f t="shared" si="17"/>
        <v>750</v>
      </c>
      <c r="M96" s="45">
        <f t="shared" si="18"/>
        <v>750</v>
      </c>
      <c r="N96" s="45">
        <f t="shared" si="19"/>
        <v>2250</v>
      </c>
      <c r="O96" s="45">
        <f t="shared" si="20"/>
        <v>3000</v>
      </c>
      <c r="P96" s="45">
        <f t="shared" si="24"/>
        <v>15000</v>
      </c>
      <c r="Q96" s="6" t="b">
        <f t="shared" si="25"/>
        <v>1</v>
      </c>
    </row>
    <row r="97" spans="2:17" s="6" customFormat="1" ht="13.2">
      <c r="B97" s="18">
        <f t="shared" si="10"/>
        <v>44226</v>
      </c>
      <c r="C97" s="50">
        <f t="shared" si="21"/>
        <v>562499.99999999627</v>
      </c>
      <c r="D97" s="50">
        <f t="shared" si="11"/>
        <v>1200000.0000000002</v>
      </c>
      <c r="E97" s="50">
        <f t="shared" si="22"/>
        <v>1762499.9999999965</v>
      </c>
      <c r="F97" s="51">
        <f t="shared" si="12"/>
        <v>29999.999999999996</v>
      </c>
      <c r="G97" s="51">
        <f t="shared" si="13"/>
        <v>20000.000000000004</v>
      </c>
      <c r="H97" s="51">
        <f t="shared" si="23"/>
        <v>50000</v>
      </c>
      <c r="I97" s="45">
        <f t="shared" si="14"/>
        <v>10000</v>
      </c>
      <c r="J97" s="45">
        <f t="shared" si="15"/>
        <v>8800</v>
      </c>
      <c r="K97" s="45">
        <f t="shared" si="16"/>
        <v>1200.0000000000036</v>
      </c>
      <c r="L97" s="45">
        <f t="shared" si="17"/>
        <v>0</v>
      </c>
      <c r="M97" s="45">
        <f t="shared" si="18"/>
        <v>0</v>
      </c>
      <c r="N97" s="45">
        <f t="shared" si="19"/>
        <v>0</v>
      </c>
      <c r="O97" s="45">
        <f t="shared" si="20"/>
        <v>0</v>
      </c>
      <c r="P97" s="45">
        <f t="shared" si="24"/>
        <v>20000.000000000004</v>
      </c>
      <c r="Q97" s="6" t="b">
        <f t="shared" si="25"/>
        <v>1</v>
      </c>
    </row>
    <row r="98" spans="2:17" s="6" customFormat="1" ht="13.2">
      <c r="B98" s="18">
        <f t="shared" si="10"/>
        <v>44233</v>
      </c>
      <c r="C98" s="50">
        <f t="shared" si="21"/>
        <v>562500.00000000186</v>
      </c>
      <c r="D98" s="50">
        <f t="shared" si="11"/>
        <v>800000.00000000012</v>
      </c>
      <c r="E98" s="50">
        <f t="shared" si="22"/>
        <v>1362500.0000000019</v>
      </c>
      <c r="F98" s="51">
        <f t="shared" si="12"/>
        <v>29999.999999999996</v>
      </c>
      <c r="G98" s="51">
        <f t="shared" si="13"/>
        <v>20000.000000000004</v>
      </c>
      <c r="H98" s="51">
        <f t="shared" si="23"/>
        <v>50000</v>
      </c>
      <c r="I98" s="45">
        <f t="shared" si="14"/>
        <v>6250</v>
      </c>
      <c r="J98" s="45">
        <f t="shared" si="15"/>
        <v>5500</v>
      </c>
      <c r="K98" s="45">
        <f t="shared" si="16"/>
        <v>2000</v>
      </c>
      <c r="L98" s="45">
        <f t="shared" si="17"/>
        <v>1250</v>
      </c>
      <c r="M98" s="45">
        <f t="shared" si="18"/>
        <v>1250</v>
      </c>
      <c r="N98" s="45">
        <f t="shared" si="19"/>
        <v>3750</v>
      </c>
      <c r="O98" s="45">
        <f t="shared" si="20"/>
        <v>3.637978807091713E-12</v>
      </c>
      <c r="P98" s="45">
        <f t="shared" si="24"/>
        <v>20000.000000000004</v>
      </c>
      <c r="Q98" s="6" t="b">
        <f t="shared" si="25"/>
        <v>1</v>
      </c>
    </row>
    <row r="99" spans="2:17" s="6" customFormat="1" ht="13.2">
      <c r="B99" s="18">
        <f t="shared" si="10"/>
        <v>44240</v>
      </c>
      <c r="C99" s="50">
        <f t="shared" si="21"/>
        <v>562500</v>
      </c>
      <c r="D99" s="50">
        <f t="shared" si="11"/>
        <v>800000.00000000012</v>
      </c>
      <c r="E99" s="50">
        <f t="shared" si="22"/>
        <v>1362500</v>
      </c>
      <c r="F99" s="51">
        <f t="shared" si="12"/>
        <v>29999.999999999996</v>
      </c>
      <c r="G99" s="51">
        <f t="shared" si="13"/>
        <v>20000.000000000004</v>
      </c>
      <c r="H99" s="51">
        <f t="shared" si="23"/>
        <v>50000</v>
      </c>
      <c r="I99" s="45">
        <f t="shared" si="14"/>
        <v>6250</v>
      </c>
      <c r="J99" s="45">
        <f t="shared" si="15"/>
        <v>5500</v>
      </c>
      <c r="K99" s="45">
        <f t="shared" si="16"/>
        <v>2000</v>
      </c>
      <c r="L99" s="45">
        <f t="shared" si="17"/>
        <v>1250</v>
      </c>
      <c r="M99" s="45">
        <f t="shared" si="18"/>
        <v>1250</v>
      </c>
      <c r="N99" s="45">
        <f t="shared" si="19"/>
        <v>3750</v>
      </c>
      <c r="O99" s="45">
        <f t="shared" si="20"/>
        <v>3.637978807091713E-12</v>
      </c>
      <c r="P99" s="45">
        <f t="shared" si="24"/>
        <v>20000.000000000004</v>
      </c>
      <c r="Q99" s="6" t="b">
        <f t="shared" si="25"/>
        <v>1</v>
      </c>
    </row>
    <row r="100" spans="2:17" s="6" customFormat="1" ht="13.2">
      <c r="B100" s="18">
        <f t="shared" si="10"/>
        <v>44247</v>
      </c>
      <c r="C100" s="50">
        <f t="shared" si="21"/>
        <v>562500</v>
      </c>
      <c r="D100" s="50">
        <f t="shared" si="11"/>
        <v>800000.00000000012</v>
      </c>
      <c r="E100" s="50">
        <f t="shared" si="22"/>
        <v>1362500</v>
      </c>
      <c r="F100" s="51">
        <f t="shared" si="12"/>
        <v>29999.999999999996</v>
      </c>
      <c r="G100" s="51">
        <f t="shared" si="13"/>
        <v>20000.000000000004</v>
      </c>
      <c r="H100" s="51">
        <f t="shared" si="23"/>
        <v>50000</v>
      </c>
      <c r="I100" s="45">
        <f t="shared" si="14"/>
        <v>6250</v>
      </c>
      <c r="J100" s="45">
        <f t="shared" si="15"/>
        <v>5500</v>
      </c>
      <c r="K100" s="45">
        <f t="shared" si="16"/>
        <v>2000</v>
      </c>
      <c r="L100" s="45">
        <f t="shared" si="17"/>
        <v>1250</v>
      </c>
      <c r="M100" s="45">
        <f t="shared" si="18"/>
        <v>1250</v>
      </c>
      <c r="N100" s="45">
        <f t="shared" si="19"/>
        <v>3750</v>
      </c>
      <c r="O100" s="45">
        <f t="shared" si="20"/>
        <v>3.637978807091713E-12</v>
      </c>
      <c r="P100" s="45">
        <f t="shared" si="24"/>
        <v>20000.000000000004</v>
      </c>
      <c r="Q100" s="6" t="b">
        <f t="shared" si="25"/>
        <v>1</v>
      </c>
    </row>
    <row r="101" spans="2:17" s="6" customFormat="1" ht="13.2">
      <c r="B101" s="18">
        <f t="shared" si="10"/>
        <v>44254</v>
      </c>
      <c r="C101" s="50">
        <f t="shared" si="21"/>
        <v>562500.00000000186</v>
      </c>
      <c r="D101" s="50">
        <f t="shared" si="11"/>
        <v>1000000.0000000002</v>
      </c>
      <c r="E101" s="50">
        <f t="shared" si="22"/>
        <v>1562500.0000000021</v>
      </c>
      <c r="F101" s="51">
        <f t="shared" si="12"/>
        <v>29999.999999999996</v>
      </c>
      <c r="G101" s="51">
        <f t="shared" si="13"/>
        <v>20000.000000000004</v>
      </c>
      <c r="H101" s="51">
        <f t="shared" si="23"/>
        <v>50000</v>
      </c>
      <c r="I101" s="45">
        <f t="shared" si="14"/>
        <v>8000</v>
      </c>
      <c r="J101" s="45">
        <f t="shared" si="15"/>
        <v>7040</v>
      </c>
      <c r="K101" s="45">
        <f t="shared" si="16"/>
        <v>2560</v>
      </c>
      <c r="L101" s="45">
        <f t="shared" si="17"/>
        <v>1600</v>
      </c>
      <c r="M101" s="45">
        <f t="shared" si="18"/>
        <v>800.00000000000364</v>
      </c>
      <c r="N101" s="45">
        <f t="shared" si="19"/>
        <v>0</v>
      </c>
      <c r="O101" s="45">
        <f t="shared" si="20"/>
        <v>0</v>
      </c>
      <c r="P101" s="45">
        <f t="shared" si="24"/>
        <v>20000.000000000004</v>
      </c>
      <c r="Q101" s="6" t="b">
        <f t="shared" si="25"/>
        <v>1</v>
      </c>
    </row>
    <row r="102" spans="2:17" s="6" customFormat="1" ht="13.2">
      <c r="B102" s="18">
        <f t="shared" si="10"/>
        <v>44261</v>
      </c>
      <c r="C102" s="50">
        <f t="shared" si="21"/>
        <v>562499.99999999627</v>
      </c>
      <c r="D102" s="50">
        <f t="shared" si="11"/>
        <v>450000</v>
      </c>
      <c r="E102" s="50">
        <f t="shared" si="22"/>
        <v>1012499.9999999963</v>
      </c>
      <c r="F102" s="51">
        <f t="shared" si="12"/>
        <v>29999.999999999996</v>
      </c>
      <c r="G102" s="51">
        <f t="shared" si="13"/>
        <v>15000</v>
      </c>
      <c r="H102" s="51">
        <f t="shared" si="23"/>
        <v>45000</v>
      </c>
      <c r="I102" s="45">
        <f t="shared" si="14"/>
        <v>3750</v>
      </c>
      <c r="J102" s="45">
        <f t="shared" si="15"/>
        <v>3300</v>
      </c>
      <c r="K102" s="45">
        <f t="shared" si="16"/>
        <v>1200</v>
      </c>
      <c r="L102" s="45">
        <f t="shared" si="17"/>
        <v>750</v>
      </c>
      <c r="M102" s="45">
        <f t="shared" si="18"/>
        <v>750</v>
      </c>
      <c r="N102" s="45">
        <f t="shared" si="19"/>
        <v>2250</v>
      </c>
      <c r="O102" s="45">
        <f t="shared" si="20"/>
        <v>3000</v>
      </c>
      <c r="P102" s="45">
        <f t="shared" si="24"/>
        <v>15000</v>
      </c>
      <c r="Q102" s="6" t="b">
        <f t="shared" si="25"/>
        <v>1</v>
      </c>
    </row>
    <row r="103" spans="2:17" s="6" customFormat="1" ht="13.2">
      <c r="B103" s="18">
        <f t="shared" si="10"/>
        <v>44268</v>
      </c>
      <c r="C103" s="50">
        <f t="shared" si="21"/>
        <v>562500.00000000186</v>
      </c>
      <c r="D103" s="50">
        <f t="shared" si="11"/>
        <v>800000.00000000012</v>
      </c>
      <c r="E103" s="50">
        <f t="shared" si="22"/>
        <v>1362500.0000000019</v>
      </c>
      <c r="F103" s="51">
        <f t="shared" si="12"/>
        <v>29999.999999999996</v>
      </c>
      <c r="G103" s="51">
        <f t="shared" si="13"/>
        <v>20000.000000000004</v>
      </c>
      <c r="H103" s="51">
        <f t="shared" si="23"/>
        <v>50000</v>
      </c>
      <c r="I103" s="45">
        <f t="shared" si="14"/>
        <v>6250</v>
      </c>
      <c r="J103" s="45">
        <f t="shared" si="15"/>
        <v>5500</v>
      </c>
      <c r="K103" s="45">
        <f t="shared" si="16"/>
        <v>2000</v>
      </c>
      <c r="L103" s="45">
        <f t="shared" si="17"/>
        <v>1250</v>
      </c>
      <c r="M103" s="45">
        <f t="shared" si="18"/>
        <v>1250</v>
      </c>
      <c r="N103" s="45">
        <f t="shared" si="19"/>
        <v>3750</v>
      </c>
      <c r="O103" s="45">
        <f t="shared" si="20"/>
        <v>3.637978807091713E-12</v>
      </c>
      <c r="P103" s="45">
        <f t="shared" si="24"/>
        <v>20000.000000000004</v>
      </c>
      <c r="Q103" s="6" t="b">
        <f t="shared" si="25"/>
        <v>1</v>
      </c>
    </row>
    <row r="104" spans="2:17" s="6" customFormat="1" ht="13.2">
      <c r="B104" s="18">
        <f t="shared" si="10"/>
        <v>44275</v>
      </c>
      <c r="C104" s="50">
        <f t="shared" si="21"/>
        <v>562500</v>
      </c>
      <c r="D104" s="50">
        <f t="shared" si="11"/>
        <v>800000.00000000012</v>
      </c>
      <c r="E104" s="50">
        <f t="shared" si="22"/>
        <v>1362500</v>
      </c>
      <c r="F104" s="51">
        <f t="shared" si="12"/>
        <v>29999.999999999996</v>
      </c>
      <c r="G104" s="51">
        <f t="shared" si="13"/>
        <v>20000.000000000004</v>
      </c>
      <c r="H104" s="51">
        <f t="shared" si="23"/>
        <v>50000</v>
      </c>
      <c r="I104" s="45">
        <f t="shared" si="14"/>
        <v>6250</v>
      </c>
      <c r="J104" s="45">
        <f t="shared" si="15"/>
        <v>5500</v>
      </c>
      <c r="K104" s="45">
        <f t="shared" si="16"/>
        <v>2000</v>
      </c>
      <c r="L104" s="45">
        <f t="shared" si="17"/>
        <v>1250</v>
      </c>
      <c r="M104" s="45">
        <f t="shared" si="18"/>
        <v>1250</v>
      </c>
      <c r="N104" s="45">
        <f t="shared" si="19"/>
        <v>3750</v>
      </c>
      <c r="O104" s="45">
        <f t="shared" si="20"/>
        <v>3.637978807091713E-12</v>
      </c>
      <c r="P104" s="45">
        <f t="shared" si="24"/>
        <v>20000.000000000004</v>
      </c>
      <c r="Q104" s="6" t="b">
        <f t="shared" si="25"/>
        <v>1</v>
      </c>
    </row>
    <row r="105" spans="2:17" s="6" customFormat="1" ht="13.2">
      <c r="B105" s="18">
        <f t="shared" si="10"/>
        <v>44282</v>
      </c>
      <c r="C105" s="50">
        <f t="shared" si="21"/>
        <v>562500</v>
      </c>
      <c r="D105" s="50">
        <f t="shared" si="11"/>
        <v>1000000.0000000002</v>
      </c>
      <c r="E105" s="50">
        <f t="shared" si="22"/>
        <v>1562500.0000000002</v>
      </c>
      <c r="F105" s="51">
        <f t="shared" si="12"/>
        <v>29999.999999999996</v>
      </c>
      <c r="G105" s="51">
        <f t="shared" si="13"/>
        <v>20000.000000000004</v>
      </c>
      <c r="H105" s="51">
        <f t="shared" si="23"/>
        <v>50000</v>
      </c>
      <c r="I105" s="45">
        <f t="shared" si="14"/>
        <v>8000</v>
      </c>
      <c r="J105" s="45">
        <f t="shared" si="15"/>
        <v>7040</v>
      </c>
      <c r="K105" s="45">
        <f t="shared" si="16"/>
        <v>2560</v>
      </c>
      <c r="L105" s="45">
        <f t="shared" si="17"/>
        <v>1600</v>
      </c>
      <c r="M105" s="45">
        <f t="shared" si="18"/>
        <v>800.00000000000364</v>
      </c>
      <c r="N105" s="45">
        <f t="shared" si="19"/>
        <v>0</v>
      </c>
      <c r="O105" s="45">
        <f t="shared" si="20"/>
        <v>0</v>
      </c>
      <c r="P105" s="45">
        <f t="shared" si="24"/>
        <v>20000.000000000004</v>
      </c>
      <c r="Q105" s="6" t="b">
        <f t="shared" si="25"/>
        <v>1</v>
      </c>
    </row>
    <row r="106" spans="2:17" s="6" customFormat="1" ht="13.2">
      <c r="B106" s="18">
        <f t="shared" si="10"/>
        <v>44289</v>
      </c>
      <c r="C106" s="50">
        <f t="shared" si="21"/>
        <v>562500</v>
      </c>
      <c r="D106" s="50">
        <f t="shared" si="11"/>
        <v>450000</v>
      </c>
      <c r="E106" s="50">
        <f t="shared" si="22"/>
        <v>1012500</v>
      </c>
      <c r="F106" s="51">
        <f t="shared" si="12"/>
        <v>29999.999999999996</v>
      </c>
      <c r="G106" s="51">
        <f t="shared" si="13"/>
        <v>15000</v>
      </c>
      <c r="H106" s="51">
        <f t="shared" si="23"/>
        <v>45000</v>
      </c>
      <c r="I106" s="45">
        <f t="shared" si="14"/>
        <v>3750</v>
      </c>
      <c r="J106" s="45">
        <f t="shared" si="15"/>
        <v>3300</v>
      </c>
      <c r="K106" s="45">
        <f t="shared" si="16"/>
        <v>1200</v>
      </c>
      <c r="L106" s="45">
        <f t="shared" si="17"/>
        <v>750</v>
      </c>
      <c r="M106" s="45">
        <f t="shared" si="18"/>
        <v>750</v>
      </c>
      <c r="N106" s="45">
        <f t="shared" si="19"/>
        <v>2250</v>
      </c>
      <c r="O106" s="45">
        <f t="shared" si="20"/>
        <v>3000</v>
      </c>
      <c r="P106" s="45">
        <f t="shared" si="24"/>
        <v>15000</v>
      </c>
      <c r="Q106" s="6" t="b">
        <f t="shared" si="25"/>
        <v>1</v>
      </c>
    </row>
    <row r="107" spans="2:17" s="6" customFormat="1" ht="13.2">
      <c r="B107" s="18">
        <f t="shared" si="10"/>
        <v>44296</v>
      </c>
      <c r="C107" s="50">
        <f t="shared" si="21"/>
        <v>562500</v>
      </c>
      <c r="D107" s="50">
        <f t="shared" si="11"/>
        <v>800000.00000000012</v>
      </c>
      <c r="E107" s="50">
        <f t="shared" si="22"/>
        <v>1362500</v>
      </c>
      <c r="F107" s="51">
        <f t="shared" si="12"/>
        <v>29999.999999999996</v>
      </c>
      <c r="G107" s="51">
        <f t="shared" si="13"/>
        <v>20000.000000000004</v>
      </c>
      <c r="H107" s="51">
        <f t="shared" si="23"/>
        <v>50000</v>
      </c>
      <c r="I107" s="45">
        <f t="shared" si="14"/>
        <v>6250</v>
      </c>
      <c r="J107" s="45">
        <f t="shared" si="15"/>
        <v>5500</v>
      </c>
      <c r="K107" s="45">
        <f t="shared" si="16"/>
        <v>2000</v>
      </c>
      <c r="L107" s="45">
        <f t="shared" si="17"/>
        <v>1250</v>
      </c>
      <c r="M107" s="45">
        <f t="shared" si="18"/>
        <v>1250</v>
      </c>
      <c r="N107" s="45">
        <f t="shared" si="19"/>
        <v>3750</v>
      </c>
      <c r="O107" s="45">
        <f t="shared" si="20"/>
        <v>3.637978807091713E-12</v>
      </c>
      <c r="P107" s="45">
        <f t="shared" si="24"/>
        <v>20000.000000000004</v>
      </c>
      <c r="Q107" s="6" t="b">
        <f t="shared" si="25"/>
        <v>1</v>
      </c>
    </row>
    <row r="108" spans="2:17" s="6" customFormat="1" ht="13.2">
      <c r="B108" s="18">
        <f t="shared" si="10"/>
        <v>44303</v>
      </c>
      <c r="C108" s="50">
        <f t="shared" si="21"/>
        <v>562500</v>
      </c>
      <c r="D108" s="50">
        <f t="shared" si="11"/>
        <v>800000.00000000012</v>
      </c>
      <c r="E108" s="50">
        <f t="shared" si="22"/>
        <v>1362500</v>
      </c>
      <c r="F108" s="51">
        <f t="shared" si="12"/>
        <v>29999.999999999996</v>
      </c>
      <c r="G108" s="51">
        <f t="shared" si="13"/>
        <v>20000.000000000004</v>
      </c>
      <c r="H108" s="51">
        <f t="shared" si="23"/>
        <v>50000</v>
      </c>
      <c r="I108" s="45">
        <f t="shared" si="14"/>
        <v>6250</v>
      </c>
      <c r="J108" s="45">
        <f t="shared" si="15"/>
        <v>5500</v>
      </c>
      <c r="K108" s="45">
        <f t="shared" si="16"/>
        <v>2000</v>
      </c>
      <c r="L108" s="45">
        <f t="shared" si="17"/>
        <v>1250</v>
      </c>
      <c r="M108" s="45">
        <f t="shared" si="18"/>
        <v>1250</v>
      </c>
      <c r="N108" s="45">
        <f t="shared" si="19"/>
        <v>3750</v>
      </c>
      <c r="O108" s="45">
        <f t="shared" si="20"/>
        <v>3.637978807091713E-12</v>
      </c>
      <c r="P108" s="45">
        <f t="shared" si="24"/>
        <v>20000.000000000004</v>
      </c>
      <c r="Q108" s="6" t="b">
        <f t="shared" si="25"/>
        <v>1</v>
      </c>
    </row>
    <row r="109" spans="2:17" s="6" customFormat="1" ht="13.2">
      <c r="B109" s="18">
        <f t="shared" si="10"/>
        <v>44310</v>
      </c>
      <c r="C109" s="50">
        <f t="shared" si="21"/>
        <v>562500</v>
      </c>
      <c r="D109" s="50">
        <f t="shared" si="11"/>
        <v>450000</v>
      </c>
      <c r="E109" s="50">
        <f t="shared" si="22"/>
        <v>1012500</v>
      </c>
      <c r="F109" s="51">
        <f t="shared" si="12"/>
        <v>29999.999999999996</v>
      </c>
      <c r="G109" s="51">
        <f t="shared" si="13"/>
        <v>15000</v>
      </c>
      <c r="H109" s="51">
        <f t="shared" si="23"/>
        <v>45000</v>
      </c>
      <c r="I109" s="45">
        <f t="shared" si="14"/>
        <v>3750</v>
      </c>
      <c r="J109" s="45">
        <f t="shared" si="15"/>
        <v>3300</v>
      </c>
      <c r="K109" s="45">
        <f t="shared" si="16"/>
        <v>1200</v>
      </c>
      <c r="L109" s="45">
        <f t="shared" si="17"/>
        <v>750</v>
      </c>
      <c r="M109" s="45">
        <f t="shared" si="18"/>
        <v>750</v>
      </c>
      <c r="N109" s="45">
        <f t="shared" si="19"/>
        <v>2250</v>
      </c>
      <c r="O109" s="45">
        <f t="shared" si="20"/>
        <v>3000</v>
      </c>
      <c r="P109" s="45">
        <f t="shared" si="24"/>
        <v>15000</v>
      </c>
      <c r="Q109" s="6" t="b">
        <f t="shared" si="25"/>
        <v>1</v>
      </c>
    </row>
    <row r="110" spans="2:17" s="6" customFormat="1" ht="13.2">
      <c r="B110" s="18">
        <f t="shared" si="10"/>
        <v>44317</v>
      </c>
      <c r="C110" s="50">
        <f t="shared" si="21"/>
        <v>562500</v>
      </c>
      <c r="D110" s="50">
        <f t="shared" si="11"/>
        <v>450000</v>
      </c>
      <c r="E110" s="50">
        <f t="shared" si="22"/>
        <v>1012500</v>
      </c>
      <c r="F110" s="51">
        <f t="shared" si="12"/>
        <v>29999.999999999996</v>
      </c>
      <c r="G110" s="51">
        <f t="shared" si="13"/>
        <v>15000</v>
      </c>
      <c r="H110" s="51">
        <f t="shared" si="23"/>
        <v>45000</v>
      </c>
      <c r="I110" s="45">
        <f t="shared" si="14"/>
        <v>3750</v>
      </c>
      <c r="J110" s="45">
        <f t="shared" si="15"/>
        <v>3300</v>
      </c>
      <c r="K110" s="45">
        <f t="shared" si="16"/>
        <v>1200</v>
      </c>
      <c r="L110" s="45">
        <f t="shared" si="17"/>
        <v>750</v>
      </c>
      <c r="M110" s="45">
        <f t="shared" si="18"/>
        <v>750</v>
      </c>
      <c r="N110" s="45">
        <f t="shared" si="19"/>
        <v>2250</v>
      </c>
      <c r="O110" s="45">
        <f t="shared" si="20"/>
        <v>3000</v>
      </c>
      <c r="P110" s="45">
        <f t="shared" si="24"/>
        <v>15000</v>
      </c>
      <c r="Q110" s="6" t="b">
        <f t="shared" si="25"/>
        <v>1</v>
      </c>
    </row>
    <row r="111" spans="2:17" s="6" customFormat="1" ht="13.2">
      <c r="B111" s="18">
        <f t="shared" si="10"/>
        <v>44324</v>
      </c>
      <c r="C111" s="50">
        <f t="shared" si="21"/>
        <v>562500</v>
      </c>
      <c r="D111" s="50">
        <f t="shared" si="11"/>
        <v>450000</v>
      </c>
      <c r="E111" s="50">
        <f t="shared" si="22"/>
        <v>1012500</v>
      </c>
      <c r="F111" s="51">
        <f t="shared" si="12"/>
        <v>29999.999999999996</v>
      </c>
      <c r="G111" s="51">
        <f t="shared" si="13"/>
        <v>15000</v>
      </c>
      <c r="H111" s="51">
        <f t="shared" si="23"/>
        <v>45000</v>
      </c>
      <c r="I111" s="45">
        <f t="shared" si="14"/>
        <v>3750</v>
      </c>
      <c r="J111" s="45">
        <f t="shared" si="15"/>
        <v>3300</v>
      </c>
      <c r="K111" s="45">
        <f t="shared" si="16"/>
        <v>1200</v>
      </c>
      <c r="L111" s="45">
        <f t="shared" si="17"/>
        <v>750</v>
      </c>
      <c r="M111" s="45">
        <f t="shared" si="18"/>
        <v>750</v>
      </c>
      <c r="N111" s="45">
        <f t="shared" si="19"/>
        <v>2250</v>
      </c>
      <c r="O111" s="45">
        <f t="shared" si="20"/>
        <v>3000</v>
      </c>
      <c r="P111" s="45">
        <f t="shared" si="24"/>
        <v>15000</v>
      </c>
      <c r="Q111" s="6" t="b">
        <f t="shared" si="25"/>
        <v>1</v>
      </c>
    </row>
    <row r="112" spans="2:17" s="6" customFormat="1" ht="13.2">
      <c r="B112" s="18">
        <f t="shared" si="10"/>
        <v>44331</v>
      </c>
      <c r="C112" s="50">
        <f t="shared" si="21"/>
        <v>562500</v>
      </c>
      <c r="D112" s="50">
        <f t="shared" si="11"/>
        <v>1000000.0000000002</v>
      </c>
      <c r="E112" s="50">
        <f t="shared" si="22"/>
        <v>1562500.0000000002</v>
      </c>
      <c r="F112" s="51">
        <f t="shared" si="12"/>
        <v>29999.999999999996</v>
      </c>
      <c r="G112" s="51">
        <f t="shared" si="13"/>
        <v>20000.000000000004</v>
      </c>
      <c r="H112" s="51">
        <f t="shared" si="23"/>
        <v>50000</v>
      </c>
      <c r="I112" s="45">
        <f t="shared" si="14"/>
        <v>8000</v>
      </c>
      <c r="J112" s="45">
        <f t="shared" si="15"/>
        <v>7040</v>
      </c>
      <c r="K112" s="45">
        <f t="shared" si="16"/>
        <v>2560</v>
      </c>
      <c r="L112" s="45">
        <f t="shared" si="17"/>
        <v>1600</v>
      </c>
      <c r="M112" s="45">
        <f t="shared" si="18"/>
        <v>800.00000000000364</v>
      </c>
      <c r="N112" s="45">
        <f t="shared" si="19"/>
        <v>0</v>
      </c>
      <c r="O112" s="45">
        <f t="shared" si="20"/>
        <v>0</v>
      </c>
      <c r="P112" s="45">
        <f t="shared" si="24"/>
        <v>20000.000000000004</v>
      </c>
      <c r="Q112" s="6" t="b">
        <f t="shared" si="25"/>
        <v>1</v>
      </c>
    </row>
    <row r="113" spans="1:19" s="6" customFormat="1" ht="13.2">
      <c r="B113" s="18">
        <f t="shared" si="10"/>
        <v>44338</v>
      </c>
      <c r="C113" s="50">
        <f t="shared" si="21"/>
        <v>562500</v>
      </c>
      <c r="D113" s="50">
        <f t="shared" si="11"/>
        <v>1200000.0000000002</v>
      </c>
      <c r="E113" s="50">
        <f t="shared" si="22"/>
        <v>1762500.0000000002</v>
      </c>
      <c r="F113" s="51">
        <f t="shared" si="12"/>
        <v>29999.999999999996</v>
      </c>
      <c r="G113" s="51">
        <f t="shared" si="13"/>
        <v>20000.000000000004</v>
      </c>
      <c r="H113" s="51">
        <f t="shared" si="23"/>
        <v>50000</v>
      </c>
      <c r="I113" s="45">
        <f t="shared" si="14"/>
        <v>10000</v>
      </c>
      <c r="J113" s="45">
        <f t="shared" si="15"/>
        <v>8800</v>
      </c>
      <c r="K113" s="45">
        <f t="shared" si="16"/>
        <v>1200.0000000000036</v>
      </c>
      <c r="L113" s="45">
        <f t="shared" si="17"/>
        <v>0</v>
      </c>
      <c r="M113" s="45">
        <f t="shared" si="18"/>
        <v>0</v>
      </c>
      <c r="N113" s="45">
        <f t="shared" si="19"/>
        <v>0</v>
      </c>
      <c r="O113" s="45">
        <f t="shared" si="20"/>
        <v>0</v>
      </c>
      <c r="P113" s="45">
        <f t="shared" si="24"/>
        <v>20000.000000000004</v>
      </c>
      <c r="Q113" s="6" t="b">
        <f t="shared" si="25"/>
        <v>1</v>
      </c>
    </row>
    <row r="114" spans="1:19" s="6" customFormat="1" ht="13.2">
      <c r="B114" s="18">
        <f t="shared" si="10"/>
        <v>44352</v>
      </c>
      <c r="C114" s="50">
        <f t="shared" si="21"/>
        <v>562500</v>
      </c>
      <c r="D114" s="50">
        <f t="shared" si="11"/>
        <v>1500000.0000000002</v>
      </c>
      <c r="E114" s="50">
        <f t="shared" si="22"/>
        <v>2062500.0000000002</v>
      </c>
      <c r="F114" s="51">
        <f t="shared" si="12"/>
        <v>29999.999999999996</v>
      </c>
      <c r="G114" s="51">
        <f t="shared" si="13"/>
        <v>20000.000000000004</v>
      </c>
      <c r="H114" s="51">
        <f t="shared" si="23"/>
        <v>50000</v>
      </c>
      <c r="I114" s="45">
        <f t="shared" si="14"/>
        <v>12500</v>
      </c>
      <c r="J114" s="45">
        <f t="shared" si="15"/>
        <v>7500.0000000000036</v>
      </c>
      <c r="K114" s="45">
        <f t="shared" si="16"/>
        <v>0</v>
      </c>
      <c r="L114" s="45">
        <f t="shared" si="17"/>
        <v>0</v>
      </c>
      <c r="M114" s="45">
        <f t="shared" si="18"/>
        <v>0</v>
      </c>
      <c r="N114" s="45">
        <f t="shared" si="19"/>
        <v>0</v>
      </c>
      <c r="O114" s="45">
        <f t="shared" si="20"/>
        <v>0</v>
      </c>
      <c r="P114" s="45">
        <f t="shared" si="24"/>
        <v>20000.000000000004</v>
      </c>
      <c r="Q114" s="6" t="b">
        <f t="shared" si="25"/>
        <v>1</v>
      </c>
    </row>
    <row r="115" spans="1:19" s="6" customFormat="1" ht="13.2">
      <c r="C115" s="47">
        <f>SUM(C75:C114)</f>
        <v>22500000</v>
      </c>
      <c r="D115" s="47">
        <f>SUM(D75:D114)</f>
        <v>30611500.000000004</v>
      </c>
      <c r="E115" s="47">
        <f>SUM(E75:E114)</f>
        <v>53111500</v>
      </c>
    </row>
    <row r="116" spans="1:19" s="6" customFormat="1" ht="13.2">
      <c r="B116" s="116" t="s">
        <v>81</v>
      </c>
      <c r="C116" s="65">
        <f>C115-'CaseSolution (Original)'!C115</f>
        <v>0</v>
      </c>
      <c r="D116" s="65">
        <f>D115-'CaseSolution (Original)'!D115</f>
        <v>0</v>
      </c>
      <c r="E116" s="65">
        <f>E115-'CaseSolution (Original)'!E115</f>
        <v>0</v>
      </c>
    </row>
    <row r="117" spans="1:19" s="6" customFormat="1" ht="13.2">
      <c r="A117" s="15" t="s">
        <v>35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 spans="1:19" s="6" customFormat="1" ht="13.2"/>
    <row r="119" spans="1:19" s="6" customFormat="1" ht="13.2">
      <c r="B119" s="43" t="s">
        <v>36</v>
      </c>
      <c r="D119" s="52">
        <f>homeGames</f>
        <v>40</v>
      </c>
    </row>
    <row r="120" spans="1:19" s="6" customFormat="1" ht="13.2">
      <c r="B120" s="53" t="s">
        <v>37</v>
      </c>
      <c r="C120" s="7"/>
      <c r="D120" s="54">
        <f>soldPrice</f>
        <v>750</v>
      </c>
    </row>
    <row r="121" spans="1:19" s="6" customFormat="1" ht="13.2">
      <c r="B121" s="53"/>
      <c r="C121" s="7"/>
      <c r="D121" s="54"/>
    </row>
    <row r="122" spans="1:19" s="6" customFormat="1" ht="13.2">
      <c r="A122" s="55" t="s">
        <v>38</v>
      </c>
      <c r="B122" s="55"/>
      <c r="C122" s="56"/>
      <c r="D122" s="57"/>
      <c r="E122" s="58"/>
      <c r="F122" s="58"/>
      <c r="G122" s="58"/>
      <c r="H122" s="58"/>
      <c r="I122" s="58"/>
      <c r="J122" s="58"/>
      <c r="K122" s="58"/>
      <c r="L122" s="58"/>
      <c r="M122" s="58"/>
      <c r="O122" s="59"/>
    </row>
    <row r="123" spans="1:19" s="6" customFormat="1" ht="13.2">
      <c r="N123" s="59"/>
    </row>
    <row r="124" spans="1:19" s="6" customFormat="1" ht="39" customHeight="1">
      <c r="B124" s="20" t="s">
        <v>8</v>
      </c>
      <c r="C124" s="20" t="s">
        <v>9</v>
      </c>
      <c r="D124" s="20" t="s">
        <v>77</v>
      </c>
      <c r="E124" s="20" t="s">
        <v>78</v>
      </c>
      <c r="F124" s="20" t="s">
        <v>22</v>
      </c>
      <c r="G124" s="20" t="s">
        <v>40</v>
      </c>
      <c r="H124" s="20" t="s">
        <v>41</v>
      </c>
      <c r="I124" s="20" t="s">
        <v>42</v>
      </c>
      <c r="J124" s="20" t="s">
        <v>43</v>
      </c>
      <c r="K124" s="20" t="s">
        <v>23</v>
      </c>
      <c r="L124" s="20" t="s">
        <v>24</v>
      </c>
      <c r="M124" s="20" t="s">
        <v>44</v>
      </c>
      <c r="N124" s="20" t="s">
        <v>79</v>
      </c>
      <c r="O124" s="20" t="s">
        <v>80</v>
      </c>
      <c r="P124" s="20" t="s">
        <v>45</v>
      </c>
      <c r="Q124" s="20" t="s">
        <v>46</v>
      </c>
      <c r="R124" s="20" t="s">
        <v>47</v>
      </c>
      <c r="S124" s="20" t="s">
        <v>66</v>
      </c>
    </row>
    <row r="125" spans="1:19" s="6" customFormat="1" ht="13.2">
      <c r="B125" s="13">
        <f t="shared" ref="B125:C140" si="26">B8</f>
        <v>44009</v>
      </c>
      <c r="C125" s="13">
        <f t="shared" si="26"/>
        <v>44003</v>
      </c>
      <c r="D125" s="106">
        <f>(D8/7)*$F8</f>
        <v>4800</v>
      </c>
      <c r="E125" s="110">
        <f>(E8/7)*$F8</f>
        <v>0</v>
      </c>
      <c r="F125" s="111">
        <f>(D125+E125)*$D$120</f>
        <v>3600000</v>
      </c>
      <c r="G125" s="63">
        <f>SUM($F$125:$F125)</f>
        <v>3600000</v>
      </c>
      <c r="H125" s="62">
        <f t="shared" ref="H125:H174" si="27">COUNTIF($H$8:$H$47,"&lt;="&amp;B125)</f>
        <v>0</v>
      </c>
      <c r="I125" s="64">
        <f>H125/$D$119</f>
        <v>0</v>
      </c>
      <c r="J125" s="65">
        <f>I125*G125</f>
        <v>0</v>
      </c>
      <c r="K125" s="66">
        <v>0</v>
      </c>
      <c r="L125" s="63">
        <f>G125-J125</f>
        <v>3600000</v>
      </c>
      <c r="M125" s="114">
        <f>SUM($D$125:$E125)</f>
        <v>4800</v>
      </c>
      <c r="N125" s="13">
        <f>EOMONTH(C125,0)</f>
        <v>44012</v>
      </c>
      <c r="O125" s="112">
        <f t="shared" ref="O125:O155" si="28">EOMONTH(B125,0)</f>
        <v>44012</v>
      </c>
      <c r="P125" s="67"/>
      <c r="Q125" s="67"/>
      <c r="R125" s="67"/>
    </row>
    <row r="126" spans="1:19" s="6" customFormat="1" ht="13.2">
      <c r="B126" s="13">
        <f t="shared" si="26"/>
        <v>44016</v>
      </c>
      <c r="C126" s="13">
        <f t="shared" si="26"/>
        <v>44010</v>
      </c>
      <c r="D126" s="106">
        <f t="shared" ref="D126:E155" si="29">(D9/7)*$F9</f>
        <v>1628.5714285714284</v>
      </c>
      <c r="E126" s="110">
        <f t="shared" si="29"/>
        <v>2171.4285714285711</v>
      </c>
      <c r="F126" s="111">
        <f t="shared" ref="F126:F155" si="30">(D126+E126)*$D$120</f>
        <v>2849999.9999999995</v>
      </c>
      <c r="G126" s="63">
        <f>SUM($F$125:$F126)</f>
        <v>6450000</v>
      </c>
      <c r="H126" s="62">
        <f t="shared" si="27"/>
        <v>0</v>
      </c>
      <c r="I126" s="64">
        <f t="shared" ref="I126:I174" si="31">H126/$D$119</f>
        <v>0</v>
      </c>
      <c r="J126" s="65">
        <f t="shared" ref="J126:J174" si="32">I126*G126</f>
        <v>0</v>
      </c>
      <c r="K126" s="67">
        <f>J126-J125</f>
        <v>0</v>
      </c>
      <c r="L126" s="63">
        <f t="shared" ref="L126:L174" si="33">G126-J126</f>
        <v>6450000</v>
      </c>
      <c r="M126" s="114">
        <f>SUM($D$125:$E126)</f>
        <v>8600</v>
      </c>
      <c r="N126" s="13">
        <f t="shared" ref="N126:N155" si="34">EOMONTH(C126,0)</f>
        <v>44012</v>
      </c>
      <c r="O126" s="112">
        <f t="shared" si="28"/>
        <v>44043</v>
      </c>
      <c r="P126" s="67">
        <f t="shared" ref="P126:P174" si="35">$I126*F126</f>
        <v>0</v>
      </c>
      <c r="Q126" s="67">
        <f t="shared" ref="Q126:Q174" si="36">$I126*G125</f>
        <v>0</v>
      </c>
      <c r="R126" s="67">
        <f t="shared" ref="R126:R174" si="37">SUM(P126:Q126)</f>
        <v>0</v>
      </c>
      <c r="S126" s="6" t="b">
        <f t="shared" ref="S126:S174" si="38">R126=J126</f>
        <v>1</v>
      </c>
    </row>
    <row r="127" spans="1:19" s="6" customFormat="1" ht="13.2">
      <c r="B127" s="13">
        <f t="shared" si="26"/>
        <v>44023</v>
      </c>
      <c r="C127" s="13">
        <f t="shared" si="26"/>
        <v>44017</v>
      </c>
      <c r="D127" s="106">
        <f t="shared" si="29"/>
        <v>3400</v>
      </c>
      <c r="E127" s="110">
        <f t="shared" si="29"/>
        <v>0</v>
      </c>
      <c r="F127" s="111">
        <f t="shared" si="30"/>
        <v>2550000</v>
      </c>
      <c r="G127" s="63">
        <f>SUM($F$125:$F127)</f>
        <v>9000000</v>
      </c>
      <c r="H127" s="62">
        <f t="shared" si="27"/>
        <v>0</v>
      </c>
      <c r="I127" s="64">
        <f t="shared" si="31"/>
        <v>0</v>
      </c>
      <c r="J127" s="65">
        <f t="shared" si="32"/>
        <v>0</v>
      </c>
      <c r="K127" s="67">
        <f t="shared" ref="K127:K174" si="39">J127-J126</f>
        <v>0</v>
      </c>
      <c r="L127" s="63">
        <f t="shared" si="33"/>
        <v>9000000</v>
      </c>
      <c r="M127" s="114">
        <f>SUM($D$125:$E127)</f>
        <v>12000</v>
      </c>
      <c r="N127" s="13">
        <f t="shared" si="34"/>
        <v>44043</v>
      </c>
      <c r="O127" s="112">
        <f t="shared" si="28"/>
        <v>44043</v>
      </c>
      <c r="P127" s="67">
        <f t="shared" si="35"/>
        <v>0</v>
      </c>
      <c r="Q127" s="67">
        <f t="shared" si="36"/>
        <v>0</v>
      </c>
      <c r="R127" s="67">
        <f t="shared" si="37"/>
        <v>0</v>
      </c>
      <c r="S127" s="6" t="b">
        <f t="shared" si="38"/>
        <v>1</v>
      </c>
    </row>
    <row r="128" spans="1:19" s="6" customFormat="1" ht="13.2">
      <c r="B128" s="13">
        <f t="shared" si="26"/>
        <v>44030</v>
      </c>
      <c r="C128" s="13">
        <f t="shared" si="26"/>
        <v>44024</v>
      </c>
      <c r="D128" s="106">
        <f t="shared" si="29"/>
        <v>2800</v>
      </c>
      <c r="E128" s="110">
        <f t="shared" si="29"/>
        <v>0</v>
      </c>
      <c r="F128" s="111">
        <f t="shared" si="30"/>
        <v>2100000</v>
      </c>
      <c r="G128" s="63">
        <f>SUM($F$125:$F128)</f>
        <v>11100000</v>
      </c>
      <c r="H128" s="62">
        <f t="shared" si="27"/>
        <v>0</v>
      </c>
      <c r="I128" s="64">
        <f t="shared" si="31"/>
        <v>0</v>
      </c>
      <c r="J128" s="65">
        <f t="shared" si="32"/>
        <v>0</v>
      </c>
      <c r="K128" s="67">
        <f t="shared" si="39"/>
        <v>0</v>
      </c>
      <c r="L128" s="63">
        <f t="shared" si="33"/>
        <v>11100000</v>
      </c>
      <c r="M128" s="114">
        <f>SUM($D$125:$E128)</f>
        <v>14800</v>
      </c>
      <c r="N128" s="13">
        <f t="shared" si="34"/>
        <v>44043</v>
      </c>
      <c r="O128" s="112">
        <f t="shared" si="28"/>
        <v>44043</v>
      </c>
      <c r="P128" s="67">
        <f t="shared" si="35"/>
        <v>0</v>
      </c>
      <c r="Q128" s="67">
        <f t="shared" si="36"/>
        <v>0</v>
      </c>
      <c r="R128" s="67">
        <f t="shared" si="37"/>
        <v>0</v>
      </c>
      <c r="S128" s="6" t="b">
        <f t="shared" si="38"/>
        <v>1</v>
      </c>
    </row>
    <row r="129" spans="2:24" s="6" customFormat="1" ht="13.2">
      <c r="B129" s="13">
        <f t="shared" si="26"/>
        <v>44037</v>
      </c>
      <c r="C129" s="13">
        <f t="shared" si="26"/>
        <v>44031</v>
      </c>
      <c r="D129" s="106">
        <f t="shared" si="29"/>
        <v>2700</v>
      </c>
      <c r="E129" s="110">
        <f t="shared" si="29"/>
        <v>0</v>
      </c>
      <c r="F129" s="111">
        <f t="shared" si="30"/>
        <v>2025000</v>
      </c>
      <c r="G129" s="63">
        <f>SUM($F$125:$F129)</f>
        <v>13125000</v>
      </c>
      <c r="H129" s="62">
        <f t="shared" si="27"/>
        <v>0</v>
      </c>
      <c r="I129" s="64">
        <f t="shared" si="31"/>
        <v>0</v>
      </c>
      <c r="J129" s="65">
        <f t="shared" si="32"/>
        <v>0</v>
      </c>
      <c r="K129" s="67">
        <f t="shared" si="39"/>
        <v>0</v>
      </c>
      <c r="L129" s="63">
        <f t="shared" si="33"/>
        <v>13125000</v>
      </c>
      <c r="M129" s="114">
        <f>SUM($D$125:$E129)</f>
        <v>17500</v>
      </c>
      <c r="N129" s="13">
        <f t="shared" si="34"/>
        <v>44043</v>
      </c>
      <c r="O129" s="112">
        <f t="shared" si="28"/>
        <v>44043</v>
      </c>
      <c r="P129" s="67">
        <f t="shared" si="35"/>
        <v>0</v>
      </c>
      <c r="Q129" s="67">
        <f t="shared" si="36"/>
        <v>0</v>
      </c>
      <c r="R129" s="67">
        <f t="shared" si="37"/>
        <v>0</v>
      </c>
      <c r="S129" s="6" t="b">
        <f t="shared" si="38"/>
        <v>1</v>
      </c>
    </row>
    <row r="130" spans="2:24" s="6" customFormat="1" ht="13.2">
      <c r="B130" s="13">
        <f t="shared" si="26"/>
        <v>44044</v>
      </c>
      <c r="C130" s="13">
        <f t="shared" si="26"/>
        <v>44038</v>
      </c>
      <c r="D130" s="106">
        <f t="shared" si="29"/>
        <v>2357.1428571428569</v>
      </c>
      <c r="E130" s="110">
        <f t="shared" si="29"/>
        <v>392.85714285714283</v>
      </c>
      <c r="F130" s="111">
        <f t="shared" si="30"/>
        <v>2062499.9999999998</v>
      </c>
      <c r="G130" s="63">
        <f>SUM($F$125:$F130)</f>
        <v>15187500</v>
      </c>
      <c r="H130" s="62">
        <f t="shared" si="27"/>
        <v>0</v>
      </c>
      <c r="I130" s="64">
        <f t="shared" si="31"/>
        <v>0</v>
      </c>
      <c r="J130" s="65">
        <f t="shared" si="32"/>
        <v>0</v>
      </c>
      <c r="K130" s="67">
        <f t="shared" si="39"/>
        <v>0</v>
      </c>
      <c r="L130" s="63">
        <f t="shared" si="33"/>
        <v>15187500</v>
      </c>
      <c r="M130" s="114">
        <f>SUM($D$125:$E130)</f>
        <v>20249.999999999996</v>
      </c>
      <c r="N130" s="13">
        <f t="shared" si="34"/>
        <v>44043</v>
      </c>
      <c r="O130" s="112">
        <f t="shared" si="28"/>
        <v>44074</v>
      </c>
      <c r="P130" s="67">
        <f t="shared" si="35"/>
        <v>0</v>
      </c>
      <c r="Q130" s="67">
        <f t="shared" si="36"/>
        <v>0</v>
      </c>
      <c r="R130" s="67">
        <f t="shared" si="37"/>
        <v>0</v>
      </c>
      <c r="S130" s="6" t="b">
        <f t="shared" si="38"/>
        <v>1</v>
      </c>
      <c r="V130" s="65"/>
      <c r="W130" s="65"/>
    </row>
    <row r="131" spans="2:24" s="6" customFormat="1" ht="13.2">
      <c r="B131" s="13">
        <f t="shared" si="26"/>
        <v>44051</v>
      </c>
      <c r="C131" s="13">
        <f t="shared" si="26"/>
        <v>44045</v>
      </c>
      <c r="D131" s="106">
        <f t="shared" si="29"/>
        <v>2600</v>
      </c>
      <c r="E131" s="110">
        <f t="shared" si="29"/>
        <v>0</v>
      </c>
      <c r="F131" s="111">
        <f t="shared" si="30"/>
        <v>1950000</v>
      </c>
      <c r="G131" s="63">
        <f>SUM($F$125:$F131)</f>
        <v>17137500</v>
      </c>
      <c r="H131" s="62">
        <f t="shared" si="27"/>
        <v>0</v>
      </c>
      <c r="I131" s="64">
        <f t="shared" si="31"/>
        <v>0</v>
      </c>
      <c r="J131" s="65">
        <f t="shared" si="32"/>
        <v>0</v>
      </c>
      <c r="K131" s="67">
        <f t="shared" si="39"/>
        <v>0</v>
      </c>
      <c r="L131" s="63">
        <f t="shared" si="33"/>
        <v>17137500</v>
      </c>
      <c r="M131" s="114">
        <f>SUM($D$125:$E131)</f>
        <v>22849.999999999996</v>
      </c>
      <c r="N131" s="13">
        <f t="shared" si="34"/>
        <v>44074</v>
      </c>
      <c r="O131" s="112">
        <f t="shared" si="28"/>
        <v>44074</v>
      </c>
      <c r="P131" s="67">
        <f t="shared" si="35"/>
        <v>0</v>
      </c>
      <c r="Q131" s="67">
        <f t="shared" si="36"/>
        <v>0</v>
      </c>
      <c r="R131" s="67">
        <f t="shared" si="37"/>
        <v>0</v>
      </c>
      <c r="S131" s="6" t="b">
        <f t="shared" si="38"/>
        <v>1</v>
      </c>
      <c r="V131" s="65"/>
      <c r="W131" s="65"/>
    </row>
    <row r="132" spans="2:24" s="6" customFormat="1" ht="13.2">
      <c r="B132" s="13">
        <f t="shared" si="26"/>
        <v>44058</v>
      </c>
      <c r="C132" s="13">
        <f t="shared" si="26"/>
        <v>44052</v>
      </c>
      <c r="D132" s="106">
        <f t="shared" si="29"/>
        <v>2800</v>
      </c>
      <c r="E132" s="110">
        <f t="shared" si="29"/>
        <v>0</v>
      </c>
      <c r="F132" s="111">
        <f t="shared" si="30"/>
        <v>2100000</v>
      </c>
      <c r="G132" s="63">
        <f>SUM($F$125:$F132)</f>
        <v>19237500</v>
      </c>
      <c r="H132" s="62">
        <f t="shared" si="27"/>
        <v>1</v>
      </c>
      <c r="I132" s="64">
        <f t="shared" si="31"/>
        <v>2.5000000000000001E-2</v>
      </c>
      <c r="J132" s="65">
        <f t="shared" si="32"/>
        <v>480937.5</v>
      </c>
      <c r="K132" s="67">
        <f t="shared" si="39"/>
        <v>480937.5</v>
      </c>
      <c r="L132" s="63">
        <f t="shared" si="33"/>
        <v>18756562.5</v>
      </c>
      <c r="M132" s="114">
        <f>SUM($D$125:$E132)</f>
        <v>25649.999999999996</v>
      </c>
      <c r="N132" s="13">
        <f t="shared" si="34"/>
        <v>44074</v>
      </c>
      <c r="O132" s="112">
        <f t="shared" si="28"/>
        <v>44074</v>
      </c>
      <c r="P132" s="67">
        <f t="shared" si="35"/>
        <v>52500</v>
      </c>
      <c r="Q132" s="67">
        <f t="shared" si="36"/>
        <v>428437.5</v>
      </c>
      <c r="R132" s="67">
        <f t="shared" si="37"/>
        <v>480937.5</v>
      </c>
      <c r="S132" s="6" t="b">
        <f t="shared" si="38"/>
        <v>1</v>
      </c>
      <c r="T132" s="67"/>
      <c r="V132" s="65"/>
      <c r="W132" s="65"/>
      <c r="X132" s="65"/>
    </row>
    <row r="133" spans="2:24" s="6" customFormat="1" ht="13.2">
      <c r="B133" s="13">
        <f t="shared" si="26"/>
        <v>44065</v>
      </c>
      <c r="C133" s="13">
        <f t="shared" si="26"/>
        <v>44059</v>
      </c>
      <c r="D133" s="106">
        <f t="shared" si="29"/>
        <v>1400</v>
      </c>
      <c r="E133" s="110">
        <f t="shared" si="29"/>
        <v>0</v>
      </c>
      <c r="F133" s="111">
        <f t="shared" si="30"/>
        <v>1050000</v>
      </c>
      <c r="G133" s="63">
        <f>SUM($F$125:$F133)</f>
        <v>20287500</v>
      </c>
      <c r="H133" s="62">
        <f t="shared" si="27"/>
        <v>2</v>
      </c>
      <c r="I133" s="64">
        <f t="shared" si="31"/>
        <v>0.05</v>
      </c>
      <c r="J133" s="65">
        <f t="shared" si="32"/>
        <v>1014375</v>
      </c>
      <c r="K133" s="67">
        <f t="shared" si="39"/>
        <v>533437.5</v>
      </c>
      <c r="L133" s="63">
        <f t="shared" si="33"/>
        <v>19273125</v>
      </c>
      <c r="M133" s="114">
        <f>SUM($D$125:$E133)</f>
        <v>27049.999999999996</v>
      </c>
      <c r="N133" s="13">
        <f t="shared" si="34"/>
        <v>44074</v>
      </c>
      <c r="O133" s="112">
        <f t="shared" si="28"/>
        <v>44074</v>
      </c>
      <c r="P133" s="67">
        <f t="shared" si="35"/>
        <v>52500</v>
      </c>
      <c r="Q133" s="67">
        <f t="shared" si="36"/>
        <v>961875</v>
      </c>
      <c r="R133" s="67">
        <f t="shared" si="37"/>
        <v>1014375</v>
      </c>
      <c r="S133" s="6" t="b">
        <f t="shared" si="38"/>
        <v>1</v>
      </c>
      <c r="T133" s="67"/>
      <c r="V133" s="65"/>
      <c r="W133" s="65"/>
      <c r="X133" s="65"/>
    </row>
    <row r="134" spans="2:24" s="6" customFormat="1" ht="13.2">
      <c r="B134" s="13">
        <f t="shared" si="26"/>
        <v>44072</v>
      </c>
      <c r="C134" s="13">
        <f t="shared" si="26"/>
        <v>44066</v>
      </c>
      <c r="D134" s="106">
        <f t="shared" si="29"/>
        <v>800</v>
      </c>
      <c r="E134" s="110">
        <f t="shared" si="29"/>
        <v>0</v>
      </c>
      <c r="F134" s="111">
        <f t="shared" si="30"/>
        <v>600000</v>
      </c>
      <c r="G134" s="63">
        <f>SUM($F$125:$F134)</f>
        <v>20887500</v>
      </c>
      <c r="H134" s="62">
        <f t="shared" si="27"/>
        <v>3</v>
      </c>
      <c r="I134" s="64">
        <f t="shared" si="31"/>
        <v>7.4999999999999997E-2</v>
      </c>
      <c r="J134" s="65">
        <f t="shared" si="32"/>
        <v>1566562.5</v>
      </c>
      <c r="K134" s="67">
        <f t="shared" si="39"/>
        <v>552187.5</v>
      </c>
      <c r="L134" s="63">
        <f t="shared" si="33"/>
        <v>19320937.5</v>
      </c>
      <c r="M134" s="114">
        <f>SUM($D$125:$E134)</f>
        <v>27849.999999999996</v>
      </c>
      <c r="N134" s="13">
        <f t="shared" si="34"/>
        <v>44074</v>
      </c>
      <c r="O134" s="112">
        <f t="shared" si="28"/>
        <v>44074</v>
      </c>
      <c r="P134" s="67">
        <f t="shared" si="35"/>
        <v>45000</v>
      </c>
      <c r="Q134" s="67">
        <f t="shared" si="36"/>
        <v>1521562.5</v>
      </c>
      <c r="R134" s="67">
        <f t="shared" si="37"/>
        <v>1566562.5</v>
      </c>
      <c r="S134" s="6" t="b">
        <f t="shared" si="38"/>
        <v>1</v>
      </c>
      <c r="T134" s="67"/>
    </row>
    <row r="135" spans="2:24" s="6" customFormat="1" ht="13.2">
      <c r="B135" s="13">
        <f t="shared" si="26"/>
        <v>44079</v>
      </c>
      <c r="C135" s="13">
        <f t="shared" si="26"/>
        <v>44073</v>
      </c>
      <c r="D135" s="106">
        <f t="shared" si="29"/>
        <v>142.85714285714286</v>
      </c>
      <c r="E135" s="110">
        <f t="shared" si="29"/>
        <v>357.14285714285717</v>
      </c>
      <c r="F135" s="111">
        <f t="shared" si="30"/>
        <v>375000</v>
      </c>
      <c r="G135" s="63">
        <f>SUM($F$125:$F135)</f>
        <v>21262500</v>
      </c>
      <c r="H135" s="62">
        <f t="shared" si="27"/>
        <v>4</v>
      </c>
      <c r="I135" s="64">
        <f t="shared" si="31"/>
        <v>0.1</v>
      </c>
      <c r="J135" s="65">
        <f t="shared" si="32"/>
        <v>2126250</v>
      </c>
      <c r="K135" s="67">
        <f t="shared" si="39"/>
        <v>559687.5</v>
      </c>
      <c r="L135" s="63">
        <f t="shared" si="33"/>
        <v>19136250</v>
      </c>
      <c r="M135" s="114">
        <f>SUM($D$125:$E135)</f>
        <v>28349.999999999996</v>
      </c>
      <c r="N135" s="13">
        <f t="shared" si="34"/>
        <v>44074</v>
      </c>
      <c r="O135" s="112">
        <f t="shared" si="28"/>
        <v>44104</v>
      </c>
      <c r="P135" s="67">
        <f t="shared" si="35"/>
        <v>37500</v>
      </c>
      <c r="Q135" s="67">
        <f t="shared" si="36"/>
        <v>2088750</v>
      </c>
      <c r="R135" s="67">
        <f t="shared" si="37"/>
        <v>2126250</v>
      </c>
      <c r="S135" s="6" t="b">
        <f t="shared" si="38"/>
        <v>1</v>
      </c>
      <c r="T135" s="67"/>
    </row>
    <row r="136" spans="2:24" s="6" customFormat="1" ht="13.2">
      <c r="B136" s="13">
        <f t="shared" si="26"/>
        <v>44086</v>
      </c>
      <c r="C136" s="13">
        <f t="shared" si="26"/>
        <v>44080</v>
      </c>
      <c r="D136" s="106">
        <f t="shared" si="29"/>
        <v>200</v>
      </c>
      <c r="E136" s="110">
        <f t="shared" si="29"/>
        <v>0</v>
      </c>
      <c r="F136" s="111">
        <f t="shared" si="30"/>
        <v>150000</v>
      </c>
      <c r="G136" s="63">
        <f>SUM($F$125:$F136)</f>
        <v>21412500</v>
      </c>
      <c r="H136" s="62">
        <f t="shared" si="27"/>
        <v>5</v>
      </c>
      <c r="I136" s="64">
        <f t="shared" si="31"/>
        <v>0.125</v>
      </c>
      <c r="J136" s="65">
        <f t="shared" si="32"/>
        <v>2676562.5</v>
      </c>
      <c r="K136" s="67">
        <f t="shared" si="39"/>
        <v>550312.5</v>
      </c>
      <c r="L136" s="63">
        <f t="shared" si="33"/>
        <v>18735937.5</v>
      </c>
      <c r="M136" s="114">
        <f>SUM($D$125:$E136)</f>
        <v>28549.999999999996</v>
      </c>
      <c r="N136" s="13">
        <f t="shared" si="34"/>
        <v>44104</v>
      </c>
      <c r="O136" s="112">
        <f t="shared" si="28"/>
        <v>44104</v>
      </c>
      <c r="P136" s="67">
        <f t="shared" si="35"/>
        <v>18750</v>
      </c>
      <c r="Q136" s="67">
        <f t="shared" si="36"/>
        <v>2657812.5</v>
      </c>
      <c r="R136" s="67">
        <f t="shared" si="37"/>
        <v>2676562.5</v>
      </c>
      <c r="S136" s="6" t="b">
        <f t="shared" si="38"/>
        <v>1</v>
      </c>
    </row>
    <row r="137" spans="2:24" s="6" customFormat="1" ht="13.2">
      <c r="B137" s="13">
        <f t="shared" si="26"/>
        <v>44093</v>
      </c>
      <c r="C137" s="13">
        <f t="shared" si="26"/>
        <v>44087</v>
      </c>
      <c r="D137" s="106">
        <f t="shared" si="29"/>
        <v>150</v>
      </c>
      <c r="E137" s="110">
        <f t="shared" si="29"/>
        <v>0</v>
      </c>
      <c r="F137" s="111">
        <f t="shared" si="30"/>
        <v>112500</v>
      </c>
      <c r="G137" s="63">
        <f>SUM($F$125:$F137)</f>
        <v>21525000</v>
      </c>
      <c r="H137" s="62">
        <f t="shared" si="27"/>
        <v>6</v>
      </c>
      <c r="I137" s="64">
        <f t="shared" si="31"/>
        <v>0.15</v>
      </c>
      <c r="J137" s="65">
        <f t="shared" si="32"/>
        <v>3228750</v>
      </c>
      <c r="K137" s="67">
        <f t="shared" si="39"/>
        <v>552187.5</v>
      </c>
      <c r="L137" s="63">
        <f t="shared" si="33"/>
        <v>18296250</v>
      </c>
      <c r="M137" s="114">
        <f>SUM($D$125:$E137)</f>
        <v>28699.999999999996</v>
      </c>
      <c r="N137" s="13">
        <f t="shared" si="34"/>
        <v>44104</v>
      </c>
      <c r="O137" s="112">
        <f t="shared" si="28"/>
        <v>44104</v>
      </c>
      <c r="P137" s="67">
        <f t="shared" si="35"/>
        <v>16875</v>
      </c>
      <c r="Q137" s="67">
        <f t="shared" si="36"/>
        <v>3211875</v>
      </c>
      <c r="R137" s="67">
        <f t="shared" si="37"/>
        <v>3228750</v>
      </c>
      <c r="S137" s="6" t="b">
        <f t="shared" si="38"/>
        <v>1</v>
      </c>
    </row>
    <row r="138" spans="2:24" s="6" customFormat="1" ht="13.2">
      <c r="B138" s="13">
        <f t="shared" si="26"/>
        <v>44100</v>
      </c>
      <c r="C138" s="13">
        <f t="shared" si="26"/>
        <v>44094</v>
      </c>
      <c r="D138" s="106">
        <f t="shared" si="29"/>
        <v>50</v>
      </c>
      <c r="E138" s="110">
        <f t="shared" si="29"/>
        <v>0</v>
      </c>
      <c r="F138" s="111">
        <f t="shared" si="30"/>
        <v>37500</v>
      </c>
      <c r="G138" s="63">
        <f>SUM($F$125:$F138)</f>
        <v>21562500</v>
      </c>
      <c r="H138" s="62">
        <f t="shared" si="27"/>
        <v>7</v>
      </c>
      <c r="I138" s="64">
        <f t="shared" si="31"/>
        <v>0.17499999999999999</v>
      </c>
      <c r="J138" s="65">
        <f t="shared" si="32"/>
        <v>3773437.4999999995</v>
      </c>
      <c r="K138" s="67">
        <f t="shared" si="39"/>
        <v>544687.49999999953</v>
      </c>
      <c r="L138" s="63">
        <f t="shared" si="33"/>
        <v>17789062.5</v>
      </c>
      <c r="M138" s="114">
        <f>SUM($D$125:$E138)</f>
        <v>28749.999999999996</v>
      </c>
      <c r="N138" s="13">
        <f t="shared" si="34"/>
        <v>44104</v>
      </c>
      <c r="O138" s="112">
        <f t="shared" si="28"/>
        <v>44104</v>
      </c>
      <c r="P138" s="67">
        <f t="shared" si="35"/>
        <v>6562.5</v>
      </c>
      <c r="Q138" s="67">
        <f t="shared" si="36"/>
        <v>3766874.9999999995</v>
      </c>
      <c r="R138" s="67">
        <f t="shared" si="37"/>
        <v>3773437.4999999995</v>
      </c>
      <c r="S138" s="6" t="b">
        <f t="shared" si="38"/>
        <v>1</v>
      </c>
    </row>
    <row r="139" spans="2:24" s="6" customFormat="1" ht="13.2">
      <c r="B139" s="13">
        <f t="shared" si="26"/>
        <v>44107</v>
      </c>
      <c r="C139" s="13">
        <f t="shared" si="26"/>
        <v>44101</v>
      </c>
      <c r="D139" s="106">
        <f t="shared" si="29"/>
        <v>28.571428571428569</v>
      </c>
      <c r="E139" s="110">
        <f t="shared" si="29"/>
        <v>21.428571428571427</v>
      </c>
      <c r="F139" s="111">
        <f t="shared" si="30"/>
        <v>37500</v>
      </c>
      <c r="G139" s="63">
        <f>SUM($F$125:$F139)</f>
        <v>21600000</v>
      </c>
      <c r="H139" s="62">
        <f t="shared" si="27"/>
        <v>8</v>
      </c>
      <c r="I139" s="64">
        <f t="shared" si="31"/>
        <v>0.2</v>
      </c>
      <c r="J139" s="65">
        <f t="shared" si="32"/>
        <v>4320000</v>
      </c>
      <c r="K139" s="67">
        <f t="shared" si="39"/>
        <v>546562.50000000047</v>
      </c>
      <c r="L139" s="63">
        <f t="shared" si="33"/>
        <v>17280000</v>
      </c>
      <c r="M139" s="114">
        <f>SUM($D$125:$E139)</f>
        <v>28799.999999999996</v>
      </c>
      <c r="N139" s="13">
        <f t="shared" si="34"/>
        <v>44104</v>
      </c>
      <c r="O139" s="112">
        <f t="shared" si="28"/>
        <v>44135</v>
      </c>
      <c r="P139" s="67">
        <f t="shared" si="35"/>
        <v>7500</v>
      </c>
      <c r="Q139" s="67">
        <f t="shared" si="36"/>
        <v>4312500</v>
      </c>
      <c r="R139" s="67">
        <f t="shared" si="37"/>
        <v>4320000</v>
      </c>
      <c r="S139" s="6" t="b">
        <f t="shared" si="38"/>
        <v>1</v>
      </c>
    </row>
    <row r="140" spans="2:24" s="6" customFormat="1" ht="13.2">
      <c r="B140" s="13">
        <f t="shared" si="26"/>
        <v>44114</v>
      </c>
      <c r="C140" s="13">
        <f t="shared" si="26"/>
        <v>44108</v>
      </c>
      <c r="D140" s="106">
        <f t="shared" si="29"/>
        <v>50</v>
      </c>
      <c r="E140" s="110">
        <f t="shared" si="29"/>
        <v>0</v>
      </c>
      <c r="F140" s="111">
        <f t="shared" si="30"/>
        <v>37500</v>
      </c>
      <c r="G140" s="63">
        <f>SUM($F$125:$F140)</f>
        <v>21637500</v>
      </c>
      <c r="H140" s="62">
        <f t="shared" si="27"/>
        <v>9</v>
      </c>
      <c r="I140" s="64">
        <f t="shared" si="31"/>
        <v>0.22500000000000001</v>
      </c>
      <c r="J140" s="65">
        <f t="shared" si="32"/>
        <v>4868437.5</v>
      </c>
      <c r="K140" s="67">
        <f t="shared" si="39"/>
        <v>548437.5</v>
      </c>
      <c r="L140" s="63">
        <f t="shared" si="33"/>
        <v>16769062.5</v>
      </c>
      <c r="M140" s="114">
        <f>SUM($D$125:$E140)</f>
        <v>28849.999999999996</v>
      </c>
      <c r="N140" s="13">
        <f t="shared" si="34"/>
        <v>44135</v>
      </c>
      <c r="O140" s="112">
        <f t="shared" si="28"/>
        <v>44135</v>
      </c>
      <c r="P140" s="67">
        <f t="shared" si="35"/>
        <v>8437.5</v>
      </c>
      <c r="Q140" s="67">
        <f t="shared" si="36"/>
        <v>4860000</v>
      </c>
      <c r="R140" s="67">
        <f t="shared" si="37"/>
        <v>4868437.5</v>
      </c>
      <c r="S140" s="6" t="b">
        <f t="shared" si="38"/>
        <v>1</v>
      </c>
    </row>
    <row r="141" spans="2:24" s="6" customFormat="1" ht="13.2">
      <c r="B141" s="13">
        <f t="shared" ref="B141:C155" si="40">B24</f>
        <v>44121</v>
      </c>
      <c r="C141" s="13">
        <f t="shared" si="40"/>
        <v>44115</v>
      </c>
      <c r="D141" s="106">
        <f t="shared" si="29"/>
        <v>50</v>
      </c>
      <c r="E141" s="110">
        <f t="shared" si="29"/>
        <v>0</v>
      </c>
      <c r="F141" s="111">
        <f t="shared" si="30"/>
        <v>37500</v>
      </c>
      <c r="G141" s="63">
        <f>SUM($F$125:$F141)</f>
        <v>21675000</v>
      </c>
      <c r="H141" s="62">
        <f t="shared" si="27"/>
        <v>10</v>
      </c>
      <c r="I141" s="64">
        <f t="shared" si="31"/>
        <v>0.25</v>
      </c>
      <c r="J141" s="65">
        <f t="shared" si="32"/>
        <v>5418750</v>
      </c>
      <c r="K141" s="67">
        <f t="shared" si="39"/>
        <v>550312.5</v>
      </c>
      <c r="L141" s="63">
        <f t="shared" si="33"/>
        <v>16256250</v>
      </c>
      <c r="M141" s="114">
        <f>SUM($D$125:$E141)</f>
        <v>28899.999999999996</v>
      </c>
      <c r="N141" s="13">
        <f t="shared" si="34"/>
        <v>44135</v>
      </c>
      <c r="O141" s="112">
        <f t="shared" si="28"/>
        <v>44135</v>
      </c>
      <c r="P141" s="67">
        <f t="shared" si="35"/>
        <v>9375</v>
      </c>
      <c r="Q141" s="67">
        <f t="shared" si="36"/>
        <v>5409375</v>
      </c>
      <c r="R141" s="67">
        <f t="shared" si="37"/>
        <v>5418750</v>
      </c>
      <c r="S141" s="6" t="b">
        <f t="shared" si="38"/>
        <v>1</v>
      </c>
    </row>
    <row r="142" spans="2:24" s="6" customFormat="1" ht="13.2">
      <c r="B142" s="13">
        <f t="shared" si="40"/>
        <v>44128</v>
      </c>
      <c r="C142" s="13">
        <f t="shared" si="40"/>
        <v>44122</v>
      </c>
      <c r="D142" s="106">
        <f t="shared" si="29"/>
        <v>50</v>
      </c>
      <c r="E142" s="110">
        <f t="shared" si="29"/>
        <v>0</v>
      </c>
      <c r="F142" s="111">
        <f t="shared" si="30"/>
        <v>37500</v>
      </c>
      <c r="G142" s="63">
        <f>SUM($F$125:$F142)</f>
        <v>21712500</v>
      </c>
      <c r="H142" s="62">
        <f t="shared" si="27"/>
        <v>11</v>
      </c>
      <c r="I142" s="64">
        <f t="shared" si="31"/>
        <v>0.27500000000000002</v>
      </c>
      <c r="J142" s="65">
        <f t="shared" si="32"/>
        <v>5970937.5000000009</v>
      </c>
      <c r="K142" s="67">
        <f t="shared" si="39"/>
        <v>552187.50000000093</v>
      </c>
      <c r="L142" s="63">
        <f t="shared" si="33"/>
        <v>15741562.5</v>
      </c>
      <c r="M142" s="114">
        <f>SUM($D$125:$E142)</f>
        <v>28949.999999999996</v>
      </c>
      <c r="N142" s="13">
        <f t="shared" si="34"/>
        <v>44135</v>
      </c>
      <c r="O142" s="112">
        <f t="shared" si="28"/>
        <v>44135</v>
      </c>
      <c r="P142" s="67">
        <f t="shared" si="35"/>
        <v>10312.5</v>
      </c>
      <c r="Q142" s="67">
        <f t="shared" si="36"/>
        <v>5960625.0000000009</v>
      </c>
      <c r="R142" s="67">
        <f t="shared" si="37"/>
        <v>5970937.5000000009</v>
      </c>
      <c r="S142" s="6" t="b">
        <f t="shared" si="38"/>
        <v>1</v>
      </c>
    </row>
    <row r="143" spans="2:24" s="6" customFormat="1" ht="13.2">
      <c r="B143" s="13">
        <f t="shared" si="40"/>
        <v>44135</v>
      </c>
      <c r="C143" s="13">
        <f t="shared" si="40"/>
        <v>44129</v>
      </c>
      <c r="D143" s="106">
        <f t="shared" si="29"/>
        <v>50</v>
      </c>
      <c r="E143" s="110">
        <f t="shared" si="29"/>
        <v>0</v>
      </c>
      <c r="F143" s="111">
        <f t="shared" si="30"/>
        <v>37500</v>
      </c>
      <c r="G143" s="63">
        <f>SUM($F$125:$F143)</f>
        <v>21750000</v>
      </c>
      <c r="H143" s="62">
        <f t="shared" si="27"/>
        <v>12</v>
      </c>
      <c r="I143" s="64">
        <f t="shared" si="31"/>
        <v>0.3</v>
      </c>
      <c r="J143" s="65">
        <f t="shared" si="32"/>
        <v>6525000</v>
      </c>
      <c r="K143" s="67">
        <f t="shared" si="39"/>
        <v>554062.49999999907</v>
      </c>
      <c r="L143" s="63">
        <f t="shared" si="33"/>
        <v>15225000</v>
      </c>
      <c r="M143" s="114">
        <f>SUM($D$125:$E143)</f>
        <v>28999.999999999996</v>
      </c>
      <c r="N143" s="13">
        <f t="shared" si="34"/>
        <v>44135</v>
      </c>
      <c r="O143" s="112">
        <f t="shared" si="28"/>
        <v>44135</v>
      </c>
      <c r="P143" s="67">
        <f t="shared" si="35"/>
        <v>11250</v>
      </c>
      <c r="Q143" s="67">
        <f t="shared" si="36"/>
        <v>6513750</v>
      </c>
      <c r="R143" s="67">
        <f t="shared" si="37"/>
        <v>6525000</v>
      </c>
      <c r="S143" s="6" t="b">
        <f t="shared" si="38"/>
        <v>1</v>
      </c>
    </row>
    <row r="144" spans="2:24" s="6" customFormat="1" ht="13.2">
      <c r="B144" s="13">
        <f t="shared" si="40"/>
        <v>44142</v>
      </c>
      <c r="C144" s="13">
        <f t="shared" si="40"/>
        <v>44136</v>
      </c>
      <c r="D144" s="106">
        <f t="shared" si="29"/>
        <v>50</v>
      </c>
      <c r="E144" s="110">
        <f t="shared" si="29"/>
        <v>0</v>
      </c>
      <c r="F144" s="111">
        <f t="shared" si="30"/>
        <v>37500</v>
      </c>
      <c r="G144" s="63">
        <f>SUM($F$125:$F144)</f>
        <v>21787500</v>
      </c>
      <c r="H144" s="62">
        <f t="shared" si="27"/>
        <v>13</v>
      </c>
      <c r="I144" s="64">
        <f t="shared" si="31"/>
        <v>0.32500000000000001</v>
      </c>
      <c r="J144" s="65">
        <f t="shared" si="32"/>
        <v>7080937.5</v>
      </c>
      <c r="K144" s="67">
        <f t="shared" si="39"/>
        <v>555937.5</v>
      </c>
      <c r="L144" s="63">
        <f t="shared" si="33"/>
        <v>14706562.5</v>
      </c>
      <c r="M144" s="114">
        <f>SUM($D$125:$E144)</f>
        <v>29049.999999999996</v>
      </c>
      <c r="N144" s="13">
        <f t="shared" si="34"/>
        <v>44165</v>
      </c>
      <c r="O144" s="112">
        <f t="shared" si="28"/>
        <v>44165</v>
      </c>
      <c r="P144" s="67">
        <f t="shared" si="35"/>
        <v>12187.5</v>
      </c>
      <c r="Q144" s="67">
        <f t="shared" si="36"/>
        <v>7068750</v>
      </c>
      <c r="R144" s="67">
        <f t="shared" si="37"/>
        <v>7080937.5</v>
      </c>
      <c r="S144" s="6" t="b">
        <f t="shared" si="38"/>
        <v>1</v>
      </c>
    </row>
    <row r="145" spans="2:19" s="6" customFormat="1" ht="13.2">
      <c r="B145" s="13">
        <f t="shared" si="40"/>
        <v>44149</v>
      </c>
      <c r="C145" s="13">
        <f t="shared" si="40"/>
        <v>44143</v>
      </c>
      <c r="D145" s="106">
        <f t="shared" si="29"/>
        <v>50</v>
      </c>
      <c r="E145" s="110">
        <f t="shared" si="29"/>
        <v>0</v>
      </c>
      <c r="F145" s="111">
        <f t="shared" si="30"/>
        <v>37500</v>
      </c>
      <c r="G145" s="63">
        <f>SUM($F$125:$F145)</f>
        <v>21825000</v>
      </c>
      <c r="H145" s="62">
        <f t="shared" si="27"/>
        <v>14</v>
      </c>
      <c r="I145" s="64">
        <f t="shared" si="31"/>
        <v>0.35</v>
      </c>
      <c r="J145" s="65">
        <f t="shared" si="32"/>
        <v>7638749.9999999991</v>
      </c>
      <c r="K145" s="67">
        <f t="shared" si="39"/>
        <v>557812.49999999907</v>
      </c>
      <c r="L145" s="63">
        <f t="shared" si="33"/>
        <v>14186250</v>
      </c>
      <c r="M145" s="114">
        <f>SUM($D$125:$E145)</f>
        <v>29099.999999999996</v>
      </c>
      <c r="N145" s="13">
        <f t="shared" si="34"/>
        <v>44165</v>
      </c>
      <c r="O145" s="112">
        <f t="shared" si="28"/>
        <v>44165</v>
      </c>
      <c r="P145" s="67">
        <f t="shared" si="35"/>
        <v>13125</v>
      </c>
      <c r="Q145" s="67">
        <f t="shared" si="36"/>
        <v>7625624.9999999991</v>
      </c>
      <c r="R145" s="67">
        <f t="shared" si="37"/>
        <v>7638749.9999999991</v>
      </c>
      <c r="S145" s="6" t="b">
        <f t="shared" si="38"/>
        <v>1</v>
      </c>
    </row>
    <row r="146" spans="2:19" s="6" customFormat="1" ht="13.2">
      <c r="B146" s="13">
        <f t="shared" si="40"/>
        <v>44156</v>
      </c>
      <c r="C146" s="13">
        <f t="shared" si="40"/>
        <v>44150</v>
      </c>
      <c r="D146" s="106">
        <f t="shared" si="29"/>
        <v>50</v>
      </c>
      <c r="E146" s="110">
        <f t="shared" si="29"/>
        <v>0</v>
      </c>
      <c r="F146" s="111">
        <f t="shared" si="30"/>
        <v>37500</v>
      </c>
      <c r="G146" s="63">
        <f>SUM($F$125:$F146)</f>
        <v>21862500</v>
      </c>
      <c r="H146" s="62">
        <f t="shared" si="27"/>
        <v>15</v>
      </c>
      <c r="I146" s="64">
        <f t="shared" si="31"/>
        <v>0.375</v>
      </c>
      <c r="J146" s="65">
        <f t="shared" si="32"/>
        <v>8198437.5</v>
      </c>
      <c r="K146" s="67">
        <f t="shared" si="39"/>
        <v>559687.50000000093</v>
      </c>
      <c r="L146" s="63">
        <f t="shared" si="33"/>
        <v>13664062.5</v>
      </c>
      <c r="M146" s="114">
        <f>SUM($D$125:$E146)</f>
        <v>29149.999999999996</v>
      </c>
      <c r="N146" s="13">
        <f t="shared" si="34"/>
        <v>44165</v>
      </c>
      <c r="O146" s="112">
        <f t="shared" si="28"/>
        <v>44165</v>
      </c>
      <c r="P146" s="67">
        <f t="shared" si="35"/>
        <v>14062.5</v>
      </c>
      <c r="Q146" s="67">
        <f t="shared" si="36"/>
        <v>8184375</v>
      </c>
      <c r="R146" s="67">
        <f t="shared" si="37"/>
        <v>8198437.5</v>
      </c>
      <c r="S146" s="6" t="b">
        <f t="shared" si="38"/>
        <v>1</v>
      </c>
    </row>
    <row r="147" spans="2:19" s="6" customFormat="1" ht="13.2">
      <c r="B147" s="13">
        <f t="shared" si="40"/>
        <v>44163</v>
      </c>
      <c r="C147" s="13">
        <f t="shared" si="40"/>
        <v>44157</v>
      </c>
      <c r="D147" s="106">
        <f t="shared" si="29"/>
        <v>50</v>
      </c>
      <c r="E147" s="110">
        <f t="shared" si="29"/>
        <v>0</v>
      </c>
      <c r="F147" s="111">
        <f t="shared" si="30"/>
        <v>37500</v>
      </c>
      <c r="G147" s="63">
        <f>SUM($F$125:$F147)</f>
        <v>21900000</v>
      </c>
      <c r="H147" s="62">
        <f t="shared" si="27"/>
        <v>16</v>
      </c>
      <c r="I147" s="64">
        <f t="shared" si="31"/>
        <v>0.4</v>
      </c>
      <c r="J147" s="65">
        <f t="shared" si="32"/>
        <v>8760000</v>
      </c>
      <c r="K147" s="67">
        <f t="shared" si="39"/>
        <v>561562.5</v>
      </c>
      <c r="L147" s="63">
        <f t="shared" si="33"/>
        <v>13140000</v>
      </c>
      <c r="M147" s="114">
        <f>SUM($D$125:$E147)</f>
        <v>29199.999999999996</v>
      </c>
      <c r="N147" s="13">
        <f t="shared" si="34"/>
        <v>44165</v>
      </c>
      <c r="O147" s="112">
        <f t="shared" si="28"/>
        <v>44165</v>
      </c>
      <c r="P147" s="67">
        <f t="shared" si="35"/>
        <v>15000</v>
      </c>
      <c r="Q147" s="67">
        <f t="shared" si="36"/>
        <v>8745000</v>
      </c>
      <c r="R147" s="67">
        <f t="shared" si="37"/>
        <v>8760000</v>
      </c>
      <c r="S147" s="6" t="b">
        <f t="shared" si="38"/>
        <v>1</v>
      </c>
    </row>
    <row r="148" spans="2:19" s="6" customFormat="1" ht="13.2">
      <c r="B148" s="13">
        <f t="shared" si="40"/>
        <v>44170</v>
      </c>
      <c r="C148" s="13">
        <f t="shared" si="40"/>
        <v>44164</v>
      </c>
      <c r="D148" s="106">
        <f t="shared" si="29"/>
        <v>14.285714285714285</v>
      </c>
      <c r="E148" s="110">
        <f t="shared" si="29"/>
        <v>35.714285714285715</v>
      </c>
      <c r="F148" s="111">
        <f t="shared" si="30"/>
        <v>37500</v>
      </c>
      <c r="G148" s="63">
        <f>SUM($F$125:$F148)</f>
        <v>21937500</v>
      </c>
      <c r="H148" s="62">
        <f t="shared" si="27"/>
        <v>17</v>
      </c>
      <c r="I148" s="64">
        <f t="shared" si="31"/>
        <v>0.42499999999999999</v>
      </c>
      <c r="J148" s="65">
        <f t="shared" si="32"/>
        <v>9323437.5</v>
      </c>
      <c r="K148" s="67">
        <f t="shared" si="39"/>
        <v>563437.5</v>
      </c>
      <c r="L148" s="63">
        <f t="shared" si="33"/>
        <v>12614062.5</v>
      </c>
      <c r="M148" s="114">
        <f>SUM($D$125:$E148)</f>
        <v>29249.999999999996</v>
      </c>
      <c r="N148" s="13">
        <f t="shared" si="34"/>
        <v>44165</v>
      </c>
      <c r="O148" s="112">
        <f t="shared" si="28"/>
        <v>44196</v>
      </c>
      <c r="P148" s="67">
        <f t="shared" si="35"/>
        <v>15937.5</v>
      </c>
      <c r="Q148" s="67">
        <f t="shared" si="36"/>
        <v>9307500</v>
      </c>
      <c r="R148" s="67">
        <f t="shared" si="37"/>
        <v>9323437.5</v>
      </c>
      <c r="S148" s="6" t="b">
        <f t="shared" si="38"/>
        <v>1</v>
      </c>
    </row>
    <row r="149" spans="2:19" s="6" customFormat="1" ht="13.2">
      <c r="B149" s="13">
        <f t="shared" si="40"/>
        <v>44177</v>
      </c>
      <c r="C149" s="13">
        <f t="shared" si="40"/>
        <v>44171</v>
      </c>
      <c r="D149" s="106">
        <f t="shared" si="29"/>
        <v>250</v>
      </c>
      <c r="E149" s="110">
        <f t="shared" si="29"/>
        <v>0</v>
      </c>
      <c r="F149" s="111">
        <f t="shared" si="30"/>
        <v>187500</v>
      </c>
      <c r="G149" s="63">
        <f>SUM($F$125:$F149)</f>
        <v>22125000</v>
      </c>
      <c r="H149" s="62">
        <f t="shared" si="27"/>
        <v>18</v>
      </c>
      <c r="I149" s="64">
        <f t="shared" si="31"/>
        <v>0.45</v>
      </c>
      <c r="J149" s="65">
        <f t="shared" si="32"/>
        <v>9956250</v>
      </c>
      <c r="K149" s="67">
        <f t="shared" si="39"/>
        <v>632812.5</v>
      </c>
      <c r="L149" s="63">
        <f t="shared" si="33"/>
        <v>12168750</v>
      </c>
      <c r="M149" s="114">
        <f>SUM($D$125:$E149)</f>
        <v>29499.999999999996</v>
      </c>
      <c r="N149" s="13">
        <f t="shared" si="34"/>
        <v>44196</v>
      </c>
      <c r="O149" s="112">
        <f t="shared" si="28"/>
        <v>44196</v>
      </c>
      <c r="P149" s="67">
        <f t="shared" si="35"/>
        <v>84375</v>
      </c>
      <c r="Q149" s="67">
        <f t="shared" si="36"/>
        <v>9871875</v>
      </c>
      <c r="R149" s="67">
        <f t="shared" si="37"/>
        <v>9956250</v>
      </c>
      <c r="S149" s="6" t="b">
        <f t="shared" si="38"/>
        <v>1</v>
      </c>
    </row>
    <row r="150" spans="2:19" s="6" customFormat="1" ht="13.2">
      <c r="B150" s="13">
        <f t="shared" si="40"/>
        <v>44184</v>
      </c>
      <c r="C150" s="13">
        <f t="shared" si="40"/>
        <v>44178</v>
      </c>
      <c r="D150" s="106">
        <f t="shared" si="29"/>
        <v>250</v>
      </c>
      <c r="E150" s="110">
        <f t="shared" si="29"/>
        <v>0</v>
      </c>
      <c r="F150" s="111">
        <f t="shared" si="30"/>
        <v>187500</v>
      </c>
      <c r="G150" s="63">
        <f>SUM($F$125:$F150)</f>
        <v>22312500</v>
      </c>
      <c r="H150" s="62">
        <f t="shared" si="27"/>
        <v>18</v>
      </c>
      <c r="I150" s="64">
        <f t="shared" si="31"/>
        <v>0.45</v>
      </c>
      <c r="J150" s="65">
        <f t="shared" si="32"/>
        <v>10040625</v>
      </c>
      <c r="K150" s="67">
        <f t="shared" si="39"/>
        <v>84375</v>
      </c>
      <c r="L150" s="63">
        <f t="shared" si="33"/>
        <v>12271875</v>
      </c>
      <c r="M150" s="114">
        <f>SUM($D$125:$E150)</f>
        <v>29749.999999999996</v>
      </c>
      <c r="N150" s="13">
        <f t="shared" si="34"/>
        <v>44196</v>
      </c>
      <c r="O150" s="112">
        <f t="shared" si="28"/>
        <v>44196</v>
      </c>
      <c r="P150" s="67">
        <f t="shared" si="35"/>
        <v>84375</v>
      </c>
      <c r="Q150" s="67">
        <f t="shared" si="36"/>
        <v>9956250</v>
      </c>
      <c r="R150" s="67">
        <f t="shared" si="37"/>
        <v>10040625</v>
      </c>
      <c r="S150" s="6" t="b">
        <f t="shared" si="38"/>
        <v>1</v>
      </c>
    </row>
    <row r="151" spans="2:19" s="6" customFormat="1" ht="13.2">
      <c r="B151" s="13">
        <f t="shared" si="40"/>
        <v>44191</v>
      </c>
      <c r="C151" s="13">
        <f t="shared" si="40"/>
        <v>44185</v>
      </c>
      <c r="D151" s="106">
        <f t="shared" si="29"/>
        <v>50</v>
      </c>
      <c r="E151" s="110">
        <f t="shared" si="29"/>
        <v>0</v>
      </c>
      <c r="F151" s="111">
        <f t="shared" si="30"/>
        <v>37500</v>
      </c>
      <c r="G151" s="63">
        <f>SUM($F$125:$F151)</f>
        <v>22350000</v>
      </c>
      <c r="H151" s="62">
        <f t="shared" si="27"/>
        <v>18</v>
      </c>
      <c r="I151" s="64">
        <f t="shared" si="31"/>
        <v>0.45</v>
      </c>
      <c r="J151" s="65">
        <f t="shared" si="32"/>
        <v>10057500</v>
      </c>
      <c r="K151" s="67">
        <f t="shared" si="39"/>
        <v>16875</v>
      </c>
      <c r="L151" s="63">
        <f t="shared" si="33"/>
        <v>12292500</v>
      </c>
      <c r="M151" s="114">
        <f>SUM($D$125:$E151)</f>
        <v>29799.999999999996</v>
      </c>
      <c r="N151" s="13">
        <f t="shared" si="34"/>
        <v>44196</v>
      </c>
      <c r="O151" s="112">
        <f t="shared" si="28"/>
        <v>44196</v>
      </c>
      <c r="P151" s="67">
        <f t="shared" si="35"/>
        <v>16875</v>
      </c>
      <c r="Q151" s="67">
        <f t="shared" si="36"/>
        <v>10040625</v>
      </c>
      <c r="R151" s="67">
        <f t="shared" si="37"/>
        <v>10057500</v>
      </c>
      <c r="S151" s="6" t="b">
        <f t="shared" si="38"/>
        <v>1</v>
      </c>
    </row>
    <row r="152" spans="2:19" s="6" customFormat="1" ht="13.2">
      <c r="B152" s="13">
        <f t="shared" si="40"/>
        <v>44198</v>
      </c>
      <c r="C152" s="13">
        <f t="shared" si="40"/>
        <v>44192</v>
      </c>
      <c r="D152" s="106">
        <f t="shared" si="29"/>
        <v>35.714285714285715</v>
      </c>
      <c r="E152" s="110">
        <f t="shared" si="29"/>
        <v>14.285714285714285</v>
      </c>
      <c r="F152" s="111">
        <f t="shared" si="30"/>
        <v>37500</v>
      </c>
      <c r="G152" s="63">
        <f>SUM($F$125:$F152)</f>
        <v>22387500</v>
      </c>
      <c r="H152" s="62">
        <f t="shared" si="27"/>
        <v>19</v>
      </c>
      <c r="I152" s="64">
        <f t="shared" si="31"/>
        <v>0.47499999999999998</v>
      </c>
      <c r="J152" s="65">
        <f t="shared" si="32"/>
        <v>10634062.5</v>
      </c>
      <c r="K152" s="67">
        <f t="shared" si="39"/>
        <v>576562.5</v>
      </c>
      <c r="L152" s="63">
        <f t="shared" si="33"/>
        <v>11753437.5</v>
      </c>
      <c r="M152" s="114">
        <f>SUM($D$125:$E152)</f>
        <v>29849.999999999996</v>
      </c>
      <c r="N152" s="13">
        <f t="shared" si="34"/>
        <v>44196</v>
      </c>
      <c r="O152" s="112">
        <f t="shared" si="28"/>
        <v>44227</v>
      </c>
      <c r="P152" s="67">
        <f t="shared" si="35"/>
        <v>17812.5</v>
      </c>
      <c r="Q152" s="67">
        <f t="shared" si="36"/>
        <v>10616250</v>
      </c>
      <c r="R152" s="67">
        <f t="shared" si="37"/>
        <v>10634062.5</v>
      </c>
      <c r="S152" s="6" t="b">
        <f t="shared" si="38"/>
        <v>1</v>
      </c>
    </row>
    <row r="153" spans="2:19" s="6" customFormat="1" ht="13.2">
      <c r="B153" s="13">
        <f t="shared" si="40"/>
        <v>44205</v>
      </c>
      <c r="C153" s="13">
        <f t="shared" si="40"/>
        <v>44199</v>
      </c>
      <c r="D153" s="106">
        <f t="shared" si="29"/>
        <v>50</v>
      </c>
      <c r="E153" s="110">
        <f t="shared" si="29"/>
        <v>0</v>
      </c>
      <c r="F153" s="111">
        <f t="shared" si="30"/>
        <v>37500</v>
      </c>
      <c r="G153" s="63">
        <f>SUM($F$125:$F153)</f>
        <v>22425000</v>
      </c>
      <c r="H153" s="62">
        <f t="shared" si="27"/>
        <v>20</v>
      </c>
      <c r="I153" s="64">
        <f t="shared" si="31"/>
        <v>0.5</v>
      </c>
      <c r="J153" s="65">
        <f t="shared" si="32"/>
        <v>11212500</v>
      </c>
      <c r="K153" s="67">
        <f t="shared" si="39"/>
        <v>578437.5</v>
      </c>
      <c r="L153" s="63">
        <f t="shared" si="33"/>
        <v>11212500</v>
      </c>
      <c r="M153" s="114">
        <f>SUM($D$125:$E153)</f>
        <v>29899.999999999996</v>
      </c>
      <c r="N153" s="13">
        <f t="shared" si="34"/>
        <v>44227</v>
      </c>
      <c r="O153" s="112">
        <f t="shared" si="28"/>
        <v>44227</v>
      </c>
      <c r="P153" s="67">
        <f t="shared" si="35"/>
        <v>18750</v>
      </c>
      <c r="Q153" s="67">
        <f t="shared" si="36"/>
        <v>11193750</v>
      </c>
      <c r="R153" s="67">
        <f t="shared" si="37"/>
        <v>11212500</v>
      </c>
      <c r="S153" s="6" t="b">
        <f t="shared" si="38"/>
        <v>1</v>
      </c>
    </row>
    <row r="154" spans="2:19" s="6" customFormat="1" ht="13.2">
      <c r="B154" s="13">
        <f t="shared" si="40"/>
        <v>44212</v>
      </c>
      <c r="C154" s="13">
        <f t="shared" si="40"/>
        <v>44206</v>
      </c>
      <c r="D154" s="106">
        <f t="shared" si="29"/>
        <v>50</v>
      </c>
      <c r="E154" s="110">
        <f t="shared" si="29"/>
        <v>0</v>
      </c>
      <c r="F154" s="111">
        <f t="shared" si="30"/>
        <v>37500</v>
      </c>
      <c r="G154" s="63">
        <f>SUM($F$125:$F154)</f>
        <v>22462500</v>
      </c>
      <c r="H154" s="62">
        <f t="shared" si="27"/>
        <v>21</v>
      </c>
      <c r="I154" s="64">
        <f t="shared" si="31"/>
        <v>0.52500000000000002</v>
      </c>
      <c r="J154" s="65">
        <f t="shared" si="32"/>
        <v>11792812.5</v>
      </c>
      <c r="K154" s="67">
        <f t="shared" si="39"/>
        <v>580312.5</v>
      </c>
      <c r="L154" s="63">
        <f t="shared" si="33"/>
        <v>10669687.5</v>
      </c>
      <c r="M154" s="114">
        <f>SUM($D$125:$E154)</f>
        <v>29949.999999999996</v>
      </c>
      <c r="N154" s="13">
        <f t="shared" si="34"/>
        <v>44227</v>
      </c>
      <c r="O154" s="112">
        <f t="shared" si="28"/>
        <v>44227</v>
      </c>
      <c r="P154" s="67">
        <f t="shared" si="35"/>
        <v>19687.5</v>
      </c>
      <c r="Q154" s="67">
        <f t="shared" si="36"/>
        <v>11773125</v>
      </c>
      <c r="R154" s="67">
        <f t="shared" si="37"/>
        <v>11792812.5</v>
      </c>
      <c r="S154" s="6" t="b">
        <f t="shared" si="38"/>
        <v>1</v>
      </c>
    </row>
    <row r="155" spans="2:19" s="6" customFormat="1" ht="13.2">
      <c r="B155" s="68">
        <f t="shared" si="40"/>
        <v>44219</v>
      </c>
      <c r="C155" s="68">
        <f t="shared" si="40"/>
        <v>44213</v>
      </c>
      <c r="D155" s="117">
        <f t="shared" si="29"/>
        <v>50</v>
      </c>
      <c r="E155" s="118">
        <f t="shared" si="29"/>
        <v>0</v>
      </c>
      <c r="F155" s="111">
        <f t="shared" si="30"/>
        <v>37500</v>
      </c>
      <c r="G155" s="63">
        <f>SUM($F$125:$F155)</f>
        <v>22500000</v>
      </c>
      <c r="H155" s="69">
        <f t="shared" si="27"/>
        <v>22</v>
      </c>
      <c r="I155" s="70">
        <f t="shared" si="31"/>
        <v>0.55000000000000004</v>
      </c>
      <c r="J155" s="71">
        <f t="shared" si="32"/>
        <v>12375000.000000002</v>
      </c>
      <c r="K155" s="67">
        <f t="shared" si="39"/>
        <v>582187.50000000186</v>
      </c>
      <c r="L155" s="63">
        <f t="shared" si="33"/>
        <v>10124999.999999998</v>
      </c>
      <c r="M155" s="115">
        <f>SUM($D$125:$E155)</f>
        <v>29999.999999999996</v>
      </c>
      <c r="N155" s="68">
        <f t="shared" si="34"/>
        <v>44227</v>
      </c>
      <c r="O155" s="113">
        <f t="shared" si="28"/>
        <v>44227</v>
      </c>
      <c r="P155" s="73">
        <f t="shared" si="35"/>
        <v>20625</v>
      </c>
      <c r="Q155" s="73">
        <f t="shared" si="36"/>
        <v>12354375.000000002</v>
      </c>
      <c r="R155" s="73">
        <f t="shared" si="37"/>
        <v>12375000.000000002</v>
      </c>
      <c r="S155" s="74" t="b">
        <f t="shared" si="38"/>
        <v>1</v>
      </c>
    </row>
    <row r="156" spans="2:19" s="6" customFormat="1" ht="13.2">
      <c r="B156" s="13">
        <f>B155+7</f>
        <v>44226</v>
      </c>
      <c r="D156" s="75">
        <v>0</v>
      </c>
      <c r="E156" s="75">
        <v>0</v>
      </c>
      <c r="F156" s="76">
        <f t="shared" ref="F156:F174" si="41">D156*$D$120</f>
        <v>0</v>
      </c>
      <c r="G156" s="76">
        <f>SUM($F$125:$F156)</f>
        <v>22500000</v>
      </c>
      <c r="H156" s="62">
        <f t="shared" si="27"/>
        <v>23</v>
      </c>
      <c r="I156" s="64">
        <f t="shared" si="31"/>
        <v>0.57499999999999996</v>
      </c>
      <c r="J156" s="65">
        <f t="shared" si="32"/>
        <v>12937499.999999998</v>
      </c>
      <c r="K156" s="77">
        <f t="shared" si="39"/>
        <v>562499.99999999627</v>
      </c>
      <c r="L156" s="76">
        <f t="shared" si="33"/>
        <v>9562500.0000000019</v>
      </c>
      <c r="M156" s="114">
        <f>SUM($D$125:$E156)</f>
        <v>29999.999999999996</v>
      </c>
      <c r="N156" s="13"/>
      <c r="O156" s="13"/>
      <c r="P156" s="67">
        <f t="shared" si="35"/>
        <v>0</v>
      </c>
      <c r="Q156" s="67">
        <f t="shared" si="36"/>
        <v>12937499.999999998</v>
      </c>
      <c r="R156" s="67">
        <f t="shared" si="37"/>
        <v>12937499.999999998</v>
      </c>
      <c r="S156" s="6" t="b">
        <f t="shared" si="38"/>
        <v>1</v>
      </c>
    </row>
    <row r="157" spans="2:19" s="6" customFormat="1" ht="13.2">
      <c r="B157" s="13">
        <f t="shared" ref="B157:B174" si="42">B156+7</f>
        <v>44233</v>
      </c>
      <c r="D157" s="75">
        <v>0</v>
      </c>
      <c r="E157" s="75">
        <v>0</v>
      </c>
      <c r="F157" s="63">
        <f t="shared" si="41"/>
        <v>0</v>
      </c>
      <c r="G157" s="63">
        <f>SUM($F$125:$F157)</f>
        <v>22500000</v>
      </c>
      <c r="H157" s="62">
        <f t="shared" si="27"/>
        <v>24</v>
      </c>
      <c r="I157" s="64">
        <f t="shared" si="31"/>
        <v>0.6</v>
      </c>
      <c r="J157" s="65">
        <f t="shared" si="32"/>
        <v>13500000</v>
      </c>
      <c r="K157" s="67">
        <f t="shared" si="39"/>
        <v>562500.00000000186</v>
      </c>
      <c r="L157" s="63">
        <f t="shared" si="33"/>
        <v>9000000</v>
      </c>
      <c r="M157" s="114">
        <f>SUM($D$125:$E157)</f>
        <v>29999.999999999996</v>
      </c>
      <c r="N157" s="13"/>
      <c r="O157" s="13"/>
      <c r="P157" s="67">
        <f t="shared" si="35"/>
        <v>0</v>
      </c>
      <c r="Q157" s="67">
        <f t="shared" si="36"/>
        <v>13500000</v>
      </c>
      <c r="R157" s="67">
        <f t="shared" si="37"/>
        <v>13500000</v>
      </c>
      <c r="S157" s="6" t="b">
        <f t="shared" si="38"/>
        <v>1</v>
      </c>
    </row>
    <row r="158" spans="2:19" s="6" customFormat="1" ht="13.2">
      <c r="B158" s="13">
        <f t="shared" si="42"/>
        <v>44240</v>
      </c>
      <c r="D158" s="75">
        <v>0</v>
      </c>
      <c r="E158" s="75">
        <v>0</v>
      </c>
      <c r="F158" s="63">
        <f t="shared" si="41"/>
        <v>0</v>
      </c>
      <c r="G158" s="63">
        <f>SUM($F$125:$F158)</f>
        <v>22500000</v>
      </c>
      <c r="H158" s="62">
        <f t="shared" si="27"/>
        <v>25</v>
      </c>
      <c r="I158" s="64">
        <f t="shared" si="31"/>
        <v>0.625</v>
      </c>
      <c r="J158" s="65">
        <f t="shared" si="32"/>
        <v>14062500</v>
      </c>
      <c r="K158" s="67">
        <f t="shared" si="39"/>
        <v>562500</v>
      </c>
      <c r="L158" s="63">
        <f t="shared" si="33"/>
        <v>8437500</v>
      </c>
      <c r="M158" s="114">
        <f>SUM($D$125:$E158)</f>
        <v>29999.999999999996</v>
      </c>
      <c r="N158" s="13"/>
      <c r="O158" s="13"/>
      <c r="P158" s="67">
        <f t="shared" si="35"/>
        <v>0</v>
      </c>
      <c r="Q158" s="67">
        <f t="shared" si="36"/>
        <v>14062500</v>
      </c>
      <c r="R158" s="67">
        <f t="shared" si="37"/>
        <v>14062500</v>
      </c>
      <c r="S158" s="6" t="b">
        <f t="shared" si="38"/>
        <v>1</v>
      </c>
    </row>
    <row r="159" spans="2:19" s="6" customFormat="1" ht="13.2">
      <c r="B159" s="13">
        <f t="shared" si="42"/>
        <v>44247</v>
      </c>
      <c r="D159" s="75">
        <v>0</v>
      </c>
      <c r="E159" s="75">
        <v>0</v>
      </c>
      <c r="F159" s="63">
        <f t="shared" si="41"/>
        <v>0</v>
      </c>
      <c r="G159" s="63">
        <f>SUM($F$125:$F159)</f>
        <v>22500000</v>
      </c>
      <c r="H159" s="62">
        <f t="shared" si="27"/>
        <v>26</v>
      </c>
      <c r="I159" s="64">
        <f t="shared" si="31"/>
        <v>0.65</v>
      </c>
      <c r="J159" s="65">
        <f t="shared" si="32"/>
        <v>14625000</v>
      </c>
      <c r="K159" s="67">
        <f t="shared" si="39"/>
        <v>562500</v>
      </c>
      <c r="L159" s="63">
        <f t="shared" si="33"/>
        <v>7875000</v>
      </c>
      <c r="M159" s="114">
        <f>SUM($D$125:$E159)</f>
        <v>29999.999999999996</v>
      </c>
      <c r="N159" s="13"/>
      <c r="O159" s="13"/>
      <c r="P159" s="67">
        <f t="shared" si="35"/>
        <v>0</v>
      </c>
      <c r="Q159" s="67">
        <f t="shared" si="36"/>
        <v>14625000</v>
      </c>
      <c r="R159" s="67">
        <f t="shared" si="37"/>
        <v>14625000</v>
      </c>
      <c r="S159" s="6" t="b">
        <f t="shared" si="38"/>
        <v>1</v>
      </c>
    </row>
    <row r="160" spans="2:19" s="6" customFormat="1" ht="13.2">
      <c r="B160" s="13">
        <f t="shared" si="42"/>
        <v>44254</v>
      </c>
      <c r="D160" s="75">
        <v>0</v>
      </c>
      <c r="E160" s="75">
        <v>0</v>
      </c>
      <c r="F160" s="63">
        <f t="shared" si="41"/>
        <v>0</v>
      </c>
      <c r="G160" s="63">
        <f>SUM($F$125:$F160)</f>
        <v>22500000</v>
      </c>
      <c r="H160" s="62">
        <f t="shared" si="27"/>
        <v>27</v>
      </c>
      <c r="I160" s="64">
        <f t="shared" si="31"/>
        <v>0.67500000000000004</v>
      </c>
      <c r="J160" s="65">
        <f t="shared" si="32"/>
        <v>15187500.000000002</v>
      </c>
      <c r="K160" s="67">
        <f t="shared" si="39"/>
        <v>562500.00000000186</v>
      </c>
      <c r="L160" s="63">
        <f t="shared" si="33"/>
        <v>7312499.9999999981</v>
      </c>
      <c r="M160" s="114">
        <f>SUM($D$125:$E160)</f>
        <v>29999.999999999996</v>
      </c>
      <c r="N160" s="13"/>
      <c r="O160" s="13"/>
      <c r="P160" s="67">
        <f t="shared" si="35"/>
        <v>0</v>
      </c>
      <c r="Q160" s="67">
        <f t="shared" si="36"/>
        <v>15187500.000000002</v>
      </c>
      <c r="R160" s="67">
        <f t="shared" si="37"/>
        <v>15187500.000000002</v>
      </c>
      <c r="S160" s="6" t="b">
        <f t="shared" si="38"/>
        <v>1</v>
      </c>
    </row>
    <row r="161" spans="2:19" s="6" customFormat="1" ht="13.2">
      <c r="B161" s="13">
        <f t="shared" si="42"/>
        <v>44261</v>
      </c>
      <c r="D161" s="75">
        <v>0</v>
      </c>
      <c r="E161" s="75">
        <v>0</v>
      </c>
      <c r="F161" s="63">
        <f t="shared" si="41"/>
        <v>0</v>
      </c>
      <c r="G161" s="63">
        <f>SUM($F$125:$F161)</f>
        <v>22500000</v>
      </c>
      <c r="H161" s="62">
        <f t="shared" si="27"/>
        <v>28</v>
      </c>
      <c r="I161" s="64">
        <f t="shared" si="31"/>
        <v>0.7</v>
      </c>
      <c r="J161" s="65">
        <f t="shared" si="32"/>
        <v>15749999.999999998</v>
      </c>
      <c r="K161" s="67">
        <f t="shared" si="39"/>
        <v>562499.99999999627</v>
      </c>
      <c r="L161" s="63">
        <f t="shared" si="33"/>
        <v>6750000.0000000019</v>
      </c>
      <c r="M161" s="114">
        <f>SUM($D$125:$E161)</f>
        <v>29999.999999999996</v>
      </c>
      <c r="N161" s="13"/>
      <c r="O161" s="13"/>
      <c r="P161" s="67">
        <f t="shared" si="35"/>
        <v>0</v>
      </c>
      <c r="Q161" s="67">
        <f t="shared" si="36"/>
        <v>15749999.999999998</v>
      </c>
      <c r="R161" s="67">
        <f t="shared" si="37"/>
        <v>15749999.999999998</v>
      </c>
      <c r="S161" s="6" t="b">
        <f t="shared" si="38"/>
        <v>1</v>
      </c>
    </row>
    <row r="162" spans="2:19" s="6" customFormat="1" ht="13.2">
      <c r="B162" s="13">
        <f t="shared" si="42"/>
        <v>44268</v>
      </c>
      <c r="D162" s="75">
        <v>0</v>
      </c>
      <c r="E162" s="75">
        <v>0</v>
      </c>
      <c r="F162" s="63">
        <f t="shared" si="41"/>
        <v>0</v>
      </c>
      <c r="G162" s="63">
        <f>SUM($F$125:$F162)</f>
        <v>22500000</v>
      </c>
      <c r="H162" s="62">
        <f t="shared" si="27"/>
        <v>29</v>
      </c>
      <c r="I162" s="64">
        <f t="shared" si="31"/>
        <v>0.72499999999999998</v>
      </c>
      <c r="J162" s="65">
        <f t="shared" si="32"/>
        <v>16312500</v>
      </c>
      <c r="K162" s="67">
        <f t="shared" si="39"/>
        <v>562500.00000000186</v>
      </c>
      <c r="L162" s="63">
        <f t="shared" si="33"/>
        <v>6187500</v>
      </c>
      <c r="M162" s="114">
        <f>SUM($D$125:$E162)</f>
        <v>29999.999999999996</v>
      </c>
      <c r="N162" s="13"/>
      <c r="O162" s="13"/>
      <c r="P162" s="67">
        <f t="shared" si="35"/>
        <v>0</v>
      </c>
      <c r="Q162" s="67">
        <f t="shared" si="36"/>
        <v>16312500</v>
      </c>
      <c r="R162" s="67">
        <f t="shared" si="37"/>
        <v>16312500</v>
      </c>
      <c r="S162" s="6" t="b">
        <f t="shared" si="38"/>
        <v>1</v>
      </c>
    </row>
    <row r="163" spans="2:19" s="6" customFormat="1" ht="13.2">
      <c r="B163" s="13">
        <f t="shared" si="42"/>
        <v>44275</v>
      </c>
      <c r="D163" s="75">
        <v>0</v>
      </c>
      <c r="E163" s="75">
        <v>0</v>
      </c>
      <c r="F163" s="63">
        <f t="shared" si="41"/>
        <v>0</v>
      </c>
      <c r="G163" s="63">
        <f>SUM($F$125:$F163)</f>
        <v>22500000</v>
      </c>
      <c r="H163" s="62">
        <f t="shared" si="27"/>
        <v>30</v>
      </c>
      <c r="I163" s="64">
        <f t="shared" si="31"/>
        <v>0.75</v>
      </c>
      <c r="J163" s="65">
        <f t="shared" si="32"/>
        <v>16875000</v>
      </c>
      <c r="K163" s="67">
        <f t="shared" si="39"/>
        <v>562500</v>
      </c>
      <c r="L163" s="63">
        <f t="shared" si="33"/>
        <v>5625000</v>
      </c>
      <c r="M163" s="114">
        <f>SUM($D$125:$E163)</f>
        <v>29999.999999999996</v>
      </c>
      <c r="N163" s="13"/>
      <c r="O163" s="13"/>
      <c r="P163" s="67">
        <f t="shared" si="35"/>
        <v>0</v>
      </c>
      <c r="Q163" s="67">
        <f t="shared" si="36"/>
        <v>16875000</v>
      </c>
      <c r="R163" s="67">
        <f t="shared" si="37"/>
        <v>16875000</v>
      </c>
      <c r="S163" s="6" t="b">
        <f t="shared" si="38"/>
        <v>1</v>
      </c>
    </row>
    <row r="164" spans="2:19" s="6" customFormat="1" ht="13.2">
      <c r="B164" s="13">
        <f t="shared" si="42"/>
        <v>44282</v>
      </c>
      <c r="D164" s="75">
        <v>0</v>
      </c>
      <c r="E164" s="75">
        <v>0</v>
      </c>
      <c r="F164" s="63">
        <f t="shared" si="41"/>
        <v>0</v>
      </c>
      <c r="G164" s="63">
        <f>SUM($F$125:$F164)</f>
        <v>22500000</v>
      </c>
      <c r="H164" s="62">
        <f t="shared" si="27"/>
        <v>31</v>
      </c>
      <c r="I164" s="64">
        <f t="shared" si="31"/>
        <v>0.77500000000000002</v>
      </c>
      <c r="J164" s="65">
        <f t="shared" si="32"/>
        <v>17437500</v>
      </c>
      <c r="K164" s="67">
        <f t="shared" si="39"/>
        <v>562500</v>
      </c>
      <c r="L164" s="63">
        <f t="shared" si="33"/>
        <v>5062500</v>
      </c>
      <c r="M164" s="114">
        <f>SUM($D$125:$E164)</f>
        <v>29999.999999999996</v>
      </c>
      <c r="N164" s="13"/>
      <c r="O164" s="13"/>
      <c r="P164" s="67">
        <f t="shared" si="35"/>
        <v>0</v>
      </c>
      <c r="Q164" s="67">
        <f t="shared" si="36"/>
        <v>17437500</v>
      </c>
      <c r="R164" s="67">
        <f t="shared" si="37"/>
        <v>17437500</v>
      </c>
      <c r="S164" s="6" t="b">
        <f t="shared" si="38"/>
        <v>1</v>
      </c>
    </row>
    <row r="165" spans="2:19" s="6" customFormat="1" ht="13.2">
      <c r="B165" s="13">
        <f t="shared" si="42"/>
        <v>44289</v>
      </c>
      <c r="D165" s="75">
        <v>0</v>
      </c>
      <c r="E165" s="75">
        <v>0</v>
      </c>
      <c r="F165" s="63">
        <f t="shared" si="41"/>
        <v>0</v>
      </c>
      <c r="G165" s="63">
        <f>SUM($F$125:$F165)</f>
        <v>22500000</v>
      </c>
      <c r="H165" s="62">
        <f t="shared" si="27"/>
        <v>32</v>
      </c>
      <c r="I165" s="64">
        <f t="shared" si="31"/>
        <v>0.8</v>
      </c>
      <c r="J165" s="65">
        <f t="shared" si="32"/>
        <v>18000000</v>
      </c>
      <c r="K165" s="67">
        <f t="shared" si="39"/>
        <v>562500</v>
      </c>
      <c r="L165" s="63">
        <f t="shared" si="33"/>
        <v>4500000</v>
      </c>
      <c r="M165" s="114">
        <f>SUM($D$125:$E165)</f>
        <v>29999.999999999996</v>
      </c>
      <c r="N165" s="13"/>
      <c r="O165" s="13"/>
      <c r="P165" s="67">
        <f t="shared" si="35"/>
        <v>0</v>
      </c>
      <c r="Q165" s="67">
        <f t="shared" si="36"/>
        <v>18000000</v>
      </c>
      <c r="R165" s="67">
        <f t="shared" si="37"/>
        <v>18000000</v>
      </c>
      <c r="S165" s="6" t="b">
        <f t="shared" si="38"/>
        <v>1</v>
      </c>
    </row>
    <row r="166" spans="2:19" s="6" customFormat="1" ht="13.2">
      <c r="B166" s="13">
        <f t="shared" si="42"/>
        <v>44296</v>
      </c>
      <c r="D166" s="75">
        <v>0</v>
      </c>
      <c r="E166" s="75">
        <v>0</v>
      </c>
      <c r="F166" s="63">
        <f t="shared" si="41"/>
        <v>0</v>
      </c>
      <c r="G166" s="63">
        <f>SUM($F$125:$F166)</f>
        <v>22500000</v>
      </c>
      <c r="H166" s="62">
        <f t="shared" si="27"/>
        <v>33</v>
      </c>
      <c r="I166" s="64">
        <f t="shared" si="31"/>
        <v>0.82499999999999996</v>
      </c>
      <c r="J166" s="65">
        <f t="shared" si="32"/>
        <v>18562500</v>
      </c>
      <c r="K166" s="67">
        <f t="shared" si="39"/>
        <v>562500</v>
      </c>
      <c r="L166" s="63">
        <f t="shared" si="33"/>
        <v>3937500</v>
      </c>
      <c r="M166" s="114">
        <f>SUM($D$125:$E166)</f>
        <v>29999.999999999996</v>
      </c>
      <c r="N166" s="13"/>
      <c r="O166" s="13"/>
      <c r="P166" s="67">
        <f t="shared" si="35"/>
        <v>0</v>
      </c>
      <c r="Q166" s="67">
        <f t="shared" si="36"/>
        <v>18562500</v>
      </c>
      <c r="R166" s="67">
        <f t="shared" si="37"/>
        <v>18562500</v>
      </c>
      <c r="S166" s="6" t="b">
        <f t="shared" si="38"/>
        <v>1</v>
      </c>
    </row>
    <row r="167" spans="2:19" s="6" customFormat="1" ht="13.2">
      <c r="B167" s="13">
        <f t="shared" si="42"/>
        <v>44303</v>
      </c>
      <c r="D167" s="75">
        <v>0</v>
      </c>
      <c r="E167" s="75">
        <v>0</v>
      </c>
      <c r="F167" s="63">
        <f t="shared" si="41"/>
        <v>0</v>
      </c>
      <c r="G167" s="63">
        <f>SUM($F$125:$F167)</f>
        <v>22500000</v>
      </c>
      <c r="H167" s="62">
        <f t="shared" si="27"/>
        <v>34</v>
      </c>
      <c r="I167" s="64">
        <f t="shared" si="31"/>
        <v>0.85</v>
      </c>
      <c r="J167" s="65">
        <f t="shared" si="32"/>
        <v>19125000</v>
      </c>
      <c r="K167" s="67">
        <f t="shared" si="39"/>
        <v>562500</v>
      </c>
      <c r="L167" s="63">
        <f t="shared" si="33"/>
        <v>3375000</v>
      </c>
      <c r="M167" s="114">
        <f>SUM($D$125:$E167)</f>
        <v>29999.999999999996</v>
      </c>
      <c r="N167" s="13"/>
      <c r="O167" s="13"/>
      <c r="P167" s="67">
        <f t="shared" si="35"/>
        <v>0</v>
      </c>
      <c r="Q167" s="67">
        <f t="shared" si="36"/>
        <v>19125000</v>
      </c>
      <c r="R167" s="67">
        <f t="shared" si="37"/>
        <v>19125000</v>
      </c>
      <c r="S167" s="6" t="b">
        <f t="shared" si="38"/>
        <v>1</v>
      </c>
    </row>
    <row r="168" spans="2:19" s="6" customFormat="1" ht="13.2">
      <c r="B168" s="13">
        <f t="shared" si="42"/>
        <v>44310</v>
      </c>
      <c r="D168" s="75">
        <v>0</v>
      </c>
      <c r="E168" s="75">
        <v>0</v>
      </c>
      <c r="F168" s="63">
        <f t="shared" si="41"/>
        <v>0</v>
      </c>
      <c r="G168" s="63">
        <f>SUM($F$125:$F168)</f>
        <v>22500000</v>
      </c>
      <c r="H168" s="62">
        <f t="shared" si="27"/>
        <v>35</v>
      </c>
      <c r="I168" s="64">
        <f t="shared" si="31"/>
        <v>0.875</v>
      </c>
      <c r="J168" s="65">
        <f t="shared" si="32"/>
        <v>19687500</v>
      </c>
      <c r="K168" s="67">
        <f t="shared" si="39"/>
        <v>562500</v>
      </c>
      <c r="L168" s="63">
        <f t="shared" si="33"/>
        <v>2812500</v>
      </c>
      <c r="M168" s="114">
        <f>SUM($D$125:$E168)</f>
        <v>29999.999999999996</v>
      </c>
      <c r="N168" s="13"/>
      <c r="O168" s="13"/>
      <c r="P168" s="67">
        <f t="shared" si="35"/>
        <v>0</v>
      </c>
      <c r="Q168" s="67">
        <f t="shared" si="36"/>
        <v>19687500</v>
      </c>
      <c r="R168" s="67">
        <f t="shared" si="37"/>
        <v>19687500</v>
      </c>
      <c r="S168" s="6" t="b">
        <f t="shared" si="38"/>
        <v>1</v>
      </c>
    </row>
    <row r="169" spans="2:19" s="6" customFormat="1" ht="13.2">
      <c r="B169" s="13">
        <f t="shared" si="42"/>
        <v>44317</v>
      </c>
      <c r="D169" s="75">
        <v>0</v>
      </c>
      <c r="E169" s="75">
        <v>0</v>
      </c>
      <c r="F169" s="63">
        <f t="shared" si="41"/>
        <v>0</v>
      </c>
      <c r="G169" s="63">
        <f>SUM($F$125:$F169)</f>
        <v>22500000</v>
      </c>
      <c r="H169" s="62">
        <f t="shared" si="27"/>
        <v>36</v>
      </c>
      <c r="I169" s="64">
        <f t="shared" si="31"/>
        <v>0.9</v>
      </c>
      <c r="J169" s="65">
        <f t="shared" si="32"/>
        <v>20250000</v>
      </c>
      <c r="K169" s="67">
        <f t="shared" si="39"/>
        <v>562500</v>
      </c>
      <c r="L169" s="63">
        <f t="shared" si="33"/>
        <v>2250000</v>
      </c>
      <c r="M169" s="114">
        <f>SUM($D$125:$E169)</f>
        <v>29999.999999999996</v>
      </c>
      <c r="N169" s="13"/>
      <c r="O169" s="13"/>
      <c r="P169" s="67">
        <f t="shared" si="35"/>
        <v>0</v>
      </c>
      <c r="Q169" s="67">
        <f t="shared" si="36"/>
        <v>20250000</v>
      </c>
      <c r="R169" s="67">
        <f t="shared" si="37"/>
        <v>20250000</v>
      </c>
      <c r="S169" s="6" t="b">
        <f t="shared" si="38"/>
        <v>1</v>
      </c>
    </row>
    <row r="170" spans="2:19" s="6" customFormat="1" ht="13.2">
      <c r="B170" s="13">
        <f t="shared" si="42"/>
        <v>44324</v>
      </c>
      <c r="D170" s="75">
        <v>0</v>
      </c>
      <c r="E170" s="75">
        <v>0</v>
      </c>
      <c r="F170" s="63">
        <f t="shared" si="41"/>
        <v>0</v>
      </c>
      <c r="G170" s="63">
        <f>SUM($F$125:$F170)</f>
        <v>22500000</v>
      </c>
      <c r="H170" s="62">
        <f t="shared" si="27"/>
        <v>37</v>
      </c>
      <c r="I170" s="64">
        <f t="shared" si="31"/>
        <v>0.92500000000000004</v>
      </c>
      <c r="J170" s="65">
        <f t="shared" si="32"/>
        <v>20812500</v>
      </c>
      <c r="K170" s="67">
        <f t="shared" si="39"/>
        <v>562500</v>
      </c>
      <c r="L170" s="63">
        <f t="shared" si="33"/>
        <v>1687500</v>
      </c>
      <c r="M170" s="114">
        <f>SUM($D$125:$E170)</f>
        <v>29999.999999999996</v>
      </c>
      <c r="N170" s="13"/>
      <c r="O170" s="13"/>
      <c r="P170" s="67">
        <f t="shared" si="35"/>
        <v>0</v>
      </c>
      <c r="Q170" s="67">
        <f t="shared" si="36"/>
        <v>20812500</v>
      </c>
      <c r="R170" s="67">
        <f t="shared" si="37"/>
        <v>20812500</v>
      </c>
      <c r="S170" s="6" t="b">
        <f t="shared" si="38"/>
        <v>1</v>
      </c>
    </row>
    <row r="171" spans="2:19" s="6" customFormat="1" ht="13.2">
      <c r="B171" s="13">
        <f t="shared" si="42"/>
        <v>44331</v>
      </c>
      <c r="D171" s="75">
        <v>0</v>
      </c>
      <c r="E171" s="75">
        <v>0</v>
      </c>
      <c r="F171" s="63">
        <f t="shared" si="41"/>
        <v>0</v>
      </c>
      <c r="G171" s="63">
        <f>SUM($F$125:$F171)</f>
        <v>22500000</v>
      </c>
      <c r="H171" s="62">
        <f t="shared" si="27"/>
        <v>38</v>
      </c>
      <c r="I171" s="64">
        <f t="shared" si="31"/>
        <v>0.95</v>
      </c>
      <c r="J171" s="65">
        <f t="shared" si="32"/>
        <v>21375000</v>
      </c>
      <c r="K171" s="67">
        <f t="shared" si="39"/>
        <v>562500</v>
      </c>
      <c r="L171" s="63">
        <f t="shared" si="33"/>
        <v>1125000</v>
      </c>
      <c r="M171" s="114">
        <f>SUM($D$125:$E171)</f>
        <v>29999.999999999996</v>
      </c>
      <c r="N171" s="13"/>
      <c r="O171" s="13"/>
      <c r="P171" s="67">
        <f t="shared" si="35"/>
        <v>0</v>
      </c>
      <c r="Q171" s="67">
        <f t="shared" si="36"/>
        <v>21375000</v>
      </c>
      <c r="R171" s="67">
        <f t="shared" si="37"/>
        <v>21375000</v>
      </c>
      <c r="S171" s="6" t="b">
        <f t="shared" si="38"/>
        <v>1</v>
      </c>
    </row>
    <row r="172" spans="2:19" s="6" customFormat="1" ht="13.2">
      <c r="B172" s="13">
        <f t="shared" si="42"/>
        <v>44338</v>
      </c>
      <c r="D172" s="75">
        <v>0</v>
      </c>
      <c r="E172" s="75">
        <v>0</v>
      </c>
      <c r="F172" s="63">
        <f t="shared" si="41"/>
        <v>0</v>
      </c>
      <c r="G172" s="63">
        <f>SUM($F$125:$F172)</f>
        <v>22500000</v>
      </c>
      <c r="H172" s="62">
        <f t="shared" si="27"/>
        <v>39</v>
      </c>
      <c r="I172" s="64">
        <f t="shared" si="31"/>
        <v>0.97499999999999998</v>
      </c>
      <c r="J172" s="65">
        <f t="shared" si="32"/>
        <v>21937500</v>
      </c>
      <c r="K172" s="67">
        <f t="shared" si="39"/>
        <v>562500</v>
      </c>
      <c r="L172" s="63">
        <f t="shared" si="33"/>
        <v>562500</v>
      </c>
      <c r="M172" s="114">
        <f>SUM($D$125:$E172)</f>
        <v>29999.999999999996</v>
      </c>
      <c r="N172" s="13"/>
      <c r="O172" s="13"/>
      <c r="P172" s="67">
        <f t="shared" si="35"/>
        <v>0</v>
      </c>
      <c r="Q172" s="67">
        <f t="shared" si="36"/>
        <v>21937500</v>
      </c>
      <c r="R172" s="67">
        <f t="shared" si="37"/>
        <v>21937500</v>
      </c>
      <c r="S172" s="6" t="b">
        <f t="shared" si="38"/>
        <v>1</v>
      </c>
    </row>
    <row r="173" spans="2:19" s="6" customFormat="1" ht="13.2">
      <c r="B173" s="13">
        <f t="shared" si="42"/>
        <v>44345</v>
      </c>
      <c r="D173" s="75">
        <v>0</v>
      </c>
      <c r="E173" s="75">
        <v>0</v>
      </c>
      <c r="F173" s="63">
        <f t="shared" si="41"/>
        <v>0</v>
      </c>
      <c r="G173" s="63">
        <f>SUM($F$125:$F173)</f>
        <v>22500000</v>
      </c>
      <c r="H173" s="62">
        <f t="shared" si="27"/>
        <v>39</v>
      </c>
      <c r="I173" s="64">
        <f t="shared" si="31"/>
        <v>0.97499999999999998</v>
      </c>
      <c r="J173" s="65">
        <f t="shared" si="32"/>
        <v>21937500</v>
      </c>
      <c r="K173" s="67">
        <f t="shared" si="39"/>
        <v>0</v>
      </c>
      <c r="L173" s="63">
        <f t="shared" si="33"/>
        <v>562500</v>
      </c>
      <c r="M173" s="114">
        <f>SUM($D$125:$E173)</f>
        <v>29999.999999999996</v>
      </c>
      <c r="N173" s="13"/>
      <c r="O173" s="13"/>
      <c r="P173" s="67">
        <f t="shared" si="35"/>
        <v>0</v>
      </c>
      <c r="Q173" s="67">
        <f t="shared" si="36"/>
        <v>21937500</v>
      </c>
      <c r="R173" s="67">
        <f t="shared" si="37"/>
        <v>21937500</v>
      </c>
      <c r="S173" s="6" t="b">
        <f t="shared" si="38"/>
        <v>1</v>
      </c>
    </row>
    <row r="174" spans="2:19" s="6" customFormat="1" ht="13.2">
      <c r="B174" s="13">
        <f t="shared" si="42"/>
        <v>44352</v>
      </c>
      <c r="D174" s="75">
        <v>0</v>
      </c>
      <c r="E174" s="75">
        <v>0</v>
      </c>
      <c r="F174" s="63">
        <f t="shared" si="41"/>
        <v>0</v>
      </c>
      <c r="G174" s="63">
        <f>SUM($F$125:$F174)</f>
        <v>22500000</v>
      </c>
      <c r="H174" s="62">
        <f t="shared" si="27"/>
        <v>40</v>
      </c>
      <c r="I174" s="64">
        <f t="shared" si="31"/>
        <v>1</v>
      </c>
      <c r="J174" s="65">
        <f t="shared" si="32"/>
        <v>22500000</v>
      </c>
      <c r="K174" s="67">
        <f t="shared" si="39"/>
        <v>562500</v>
      </c>
      <c r="L174" s="63">
        <f t="shared" si="33"/>
        <v>0</v>
      </c>
      <c r="M174" s="114">
        <f>SUM($D$125:$E174)</f>
        <v>29999.999999999996</v>
      </c>
      <c r="N174" s="13"/>
      <c r="O174" s="13"/>
      <c r="P174" s="67">
        <f t="shared" si="35"/>
        <v>0</v>
      </c>
      <c r="Q174" s="67">
        <f t="shared" si="36"/>
        <v>22500000</v>
      </c>
      <c r="R174" s="67">
        <f t="shared" si="37"/>
        <v>22500000</v>
      </c>
      <c r="S174" s="6" t="b">
        <f t="shared" si="38"/>
        <v>1</v>
      </c>
    </row>
    <row r="175" spans="2:19" s="6" customFormat="1" ht="13.2">
      <c r="B175" s="78" t="s">
        <v>17</v>
      </c>
      <c r="D175" s="79">
        <f>SUM(D125:D174)</f>
        <v>27007.142857142851</v>
      </c>
      <c r="E175" s="79">
        <f>SUM(E125:E174)</f>
        <v>2992.8571428571427</v>
      </c>
      <c r="F175" s="47">
        <f>SUM(F125:F174)</f>
        <v>22500000</v>
      </c>
      <c r="K175" s="47">
        <f>SUM(K125:K174)</f>
        <v>22500000</v>
      </c>
    </row>
    <row r="176" spans="2:19" s="6" customFormat="1" ht="13.2">
      <c r="B176" s="13"/>
      <c r="D176" s="137">
        <f>SUM(D175:E175)</f>
        <v>29999.999999999993</v>
      </c>
      <c r="E176" s="138"/>
    </row>
    <row r="177" spans="1:17" s="6" customFormat="1" ht="13.2">
      <c r="A177" s="55" t="s">
        <v>48</v>
      </c>
      <c r="B177" s="55"/>
      <c r="C177" s="56"/>
      <c r="D177" s="57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</row>
    <row r="178" spans="1:17" s="6" customFormat="1" ht="13.2">
      <c r="N178" s="59"/>
    </row>
    <row r="179" spans="1:17" s="6" customFormat="1" ht="13.2">
      <c r="B179" s="103"/>
      <c r="N179" s="59"/>
    </row>
    <row r="180" spans="1:17" s="6" customFormat="1" ht="13.2">
      <c r="B180" s="103"/>
      <c r="N180" s="59"/>
    </row>
    <row r="181" spans="1:17" s="6" customFormat="1" ht="13.2">
      <c r="N181" s="59"/>
    </row>
    <row r="182" spans="1:17" s="6" customFormat="1" ht="39" customHeight="1">
      <c r="B182" s="60" t="s">
        <v>21</v>
      </c>
      <c r="C182" s="60" t="s">
        <v>49</v>
      </c>
      <c r="D182" s="60" t="s">
        <v>50</v>
      </c>
      <c r="E182" s="60" t="s">
        <v>51</v>
      </c>
      <c r="F182" s="60" t="s">
        <v>52</v>
      </c>
      <c r="G182" s="60" t="s">
        <v>22</v>
      </c>
      <c r="H182" s="60" t="s">
        <v>40</v>
      </c>
      <c r="I182" s="60" t="s">
        <v>42</v>
      </c>
      <c r="J182" s="60" t="s">
        <v>47</v>
      </c>
      <c r="K182" s="60" t="s">
        <v>53</v>
      </c>
      <c r="L182" s="60" t="s">
        <v>54</v>
      </c>
      <c r="N182" s="60" t="s">
        <v>55</v>
      </c>
      <c r="O182" s="60" t="s">
        <v>56</v>
      </c>
      <c r="P182" s="60" t="s">
        <v>47</v>
      </c>
      <c r="Q182" s="60" t="s">
        <v>66</v>
      </c>
    </row>
    <row r="183" spans="1:17" s="6" customFormat="1" ht="13.2">
      <c r="B183" s="13">
        <f t="shared" ref="B183:B195" si="43">B55</f>
        <v>44012</v>
      </c>
      <c r="C183" s="80">
        <f t="shared" ref="C183:C195" si="44">COUNTIF($H$8:$H$47,"&lt;="&amp;B183)</f>
        <v>0</v>
      </c>
      <c r="D183" s="80">
        <f>C183</f>
        <v>0</v>
      </c>
      <c r="E183" s="80">
        <f t="shared" ref="E183:E195" si="45">INDEX($M$125:$M$174,MATCH(B183,$C$125:$C$174,1))</f>
        <v>8600</v>
      </c>
      <c r="F183" s="107">
        <f>SUMIF($N$125:$N$174,$B183,$D$125:$D$174)+SUMIF($O$125:$O$174,$B183,$E$125:$E$174)</f>
        <v>6428.5714285714284</v>
      </c>
      <c r="G183" s="67">
        <f>F183*$D$120</f>
        <v>4821428.5714285709</v>
      </c>
      <c r="H183" s="67">
        <f>SUM($G$183:$G183)</f>
        <v>4821428.5714285709</v>
      </c>
      <c r="I183" s="81">
        <f t="shared" ref="I183:I195" si="46">C183/$D$119</f>
        <v>0</v>
      </c>
      <c r="J183" s="67">
        <f>I183*H183</f>
        <v>0</v>
      </c>
      <c r="K183" s="66">
        <v>0</v>
      </c>
      <c r="L183" s="67">
        <f>H183-J183</f>
        <v>4821428.5714285709</v>
      </c>
      <c r="N183" s="67">
        <f t="shared" ref="N183:N195" si="47">I183*G183</f>
        <v>0</v>
      </c>
      <c r="O183" s="65"/>
      <c r="P183" s="67"/>
      <c r="Q183" s="67"/>
    </row>
    <row r="184" spans="1:17" s="6" customFormat="1" ht="13.2">
      <c r="B184" s="13">
        <f t="shared" si="43"/>
        <v>44043</v>
      </c>
      <c r="C184" s="80">
        <f t="shared" si="44"/>
        <v>0</v>
      </c>
      <c r="D184" s="80">
        <f>C184-C183</f>
        <v>0</v>
      </c>
      <c r="E184" s="80">
        <f t="shared" si="45"/>
        <v>20249.999999999996</v>
      </c>
      <c r="F184" s="107">
        <f t="shared" ref="F184:F195" si="48">SUMIF($N$125:$N$174,$B184,$D$125:$D$174)+SUMIF($O$125:$O$174,$B184,$E$125:$E$174)</f>
        <v>13428.571428571428</v>
      </c>
      <c r="G184" s="67">
        <f t="shared" ref="G184:G195" si="49">F184*$D$120</f>
        <v>10071428.571428571</v>
      </c>
      <c r="H184" s="67">
        <f>SUM($G$183:$G184)</f>
        <v>14892857.142857142</v>
      </c>
      <c r="I184" s="81">
        <f t="shared" si="46"/>
        <v>0</v>
      </c>
      <c r="J184" s="67">
        <f>I184*H184</f>
        <v>0</v>
      </c>
      <c r="K184" s="67">
        <f>J184-J183</f>
        <v>0</v>
      </c>
      <c r="L184" s="67">
        <f t="shared" ref="L184:L195" si="50">H184-J184</f>
        <v>14892857.142857142</v>
      </c>
      <c r="N184" s="67">
        <f t="shared" si="47"/>
        <v>0</v>
      </c>
      <c r="O184" s="67">
        <f>I184*H183</f>
        <v>0</v>
      </c>
      <c r="P184" s="67">
        <f>SUM(N184:O184)</f>
        <v>0</v>
      </c>
      <c r="Q184" s="67">
        <f>J184-P184</f>
        <v>0</v>
      </c>
    </row>
    <row r="185" spans="1:17" s="6" customFormat="1" ht="13.2">
      <c r="B185" s="13">
        <f t="shared" si="43"/>
        <v>44074</v>
      </c>
      <c r="C185" s="80">
        <f t="shared" si="44"/>
        <v>3</v>
      </c>
      <c r="D185" s="80">
        <f t="shared" ref="D185:D195" si="51">C185-C184</f>
        <v>3</v>
      </c>
      <c r="E185" s="80">
        <f t="shared" si="45"/>
        <v>28349.999999999996</v>
      </c>
      <c r="F185" s="107">
        <f t="shared" si="48"/>
        <v>8135.7142857142862</v>
      </c>
      <c r="G185" s="67">
        <f t="shared" si="49"/>
        <v>6101785.7142857146</v>
      </c>
      <c r="H185" s="67">
        <f>SUM($G$183:$G185)</f>
        <v>20994642.857142858</v>
      </c>
      <c r="I185" s="81">
        <f t="shared" si="46"/>
        <v>7.4999999999999997E-2</v>
      </c>
      <c r="J185" s="67">
        <f>I185*H185</f>
        <v>1574598.2142857143</v>
      </c>
      <c r="K185" s="67">
        <f>J185-J184</f>
        <v>1574598.2142857143</v>
      </c>
      <c r="L185" s="67">
        <f t="shared" si="50"/>
        <v>19420044.642857146</v>
      </c>
      <c r="N185" s="67">
        <f t="shared" si="47"/>
        <v>457633.92857142858</v>
      </c>
      <c r="O185" s="67">
        <f>I185*H184</f>
        <v>1116964.2857142857</v>
      </c>
      <c r="P185" s="67">
        <f>SUM(N185:O185)</f>
        <v>1574598.2142857143</v>
      </c>
      <c r="Q185" s="67">
        <f>J185-P185</f>
        <v>0</v>
      </c>
    </row>
    <row r="186" spans="1:17" s="6" customFormat="1" ht="13.2">
      <c r="B186" s="13">
        <f t="shared" si="43"/>
        <v>44104</v>
      </c>
      <c r="C186" s="80">
        <f t="shared" si="44"/>
        <v>7</v>
      </c>
      <c r="D186" s="80">
        <f t="shared" si="51"/>
        <v>4</v>
      </c>
      <c r="E186" s="80">
        <f t="shared" si="45"/>
        <v>28799.999999999996</v>
      </c>
      <c r="F186" s="107">
        <f t="shared" si="48"/>
        <v>785.71428571428578</v>
      </c>
      <c r="G186" s="67">
        <f t="shared" si="49"/>
        <v>589285.71428571432</v>
      </c>
      <c r="H186" s="67">
        <f>SUM($G$183:$G186)</f>
        <v>21583928.571428571</v>
      </c>
      <c r="I186" s="81">
        <f t="shared" si="46"/>
        <v>0.17499999999999999</v>
      </c>
      <c r="J186" s="67">
        <f>I186*H186</f>
        <v>3777187.4999999995</v>
      </c>
      <c r="K186" s="67">
        <f>J186-J185</f>
        <v>2202589.2857142854</v>
      </c>
      <c r="L186" s="67">
        <f t="shared" si="50"/>
        <v>17806741.071428571</v>
      </c>
      <c r="N186" s="67">
        <f t="shared" si="47"/>
        <v>103125</v>
      </c>
      <c r="O186" s="67">
        <f t="shared" ref="O186:O195" si="52">I186*H185</f>
        <v>3674062.5</v>
      </c>
      <c r="P186" s="67">
        <f t="shared" ref="P186:P195" si="53">SUM(N186:O186)</f>
        <v>3777187.5</v>
      </c>
      <c r="Q186" s="67">
        <f t="shared" ref="Q186:Q195" si="54">J186-P186</f>
        <v>0</v>
      </c>
    </row>
    <row r="187" spans="1:17" s="6" customFormat="1" ht="13.2">
      <c r="B187" s="13">
        <f t="shared" si="43"/>
        <v>44135</v>
      </c>
      <c r="C187" s="80">
        <f t="shared" si="44"/>
        <v>12</v>
      </c>
      <c r="D187" s="80">
        <f t="shared" si="51"/>
        <v>5</v>
      </c>
      <c r="E187" s="80">
        <f t="shared" si="45"/>
        <v>28999.999999999996</v>
      </c>
      <c r="F187" s="107">
        <f t="shared" si="48"/>
        <v>221.42857142857142</v>
      </c>
      <c r="G187" s="67">
        <f t="shared" si="49"/>
        <v>166071.42857142855</v>
      </c>
      <c r="H187" s="67">
        <f>SUM($G$183:$G187)</f>
        <v>21750000</v>
      </c>
      <c r="I187" s="81">
        <f t="shared" si="46"/>
        <v>0.3</v>
      </c>
      <c r="J187" s="67">
        <f t="shared" ref="J187:J195" si="55">I187*H187</f>
        <v>6525000</v>
      </c>
      <c r="K187" s="67">
        <f t="shared" ref="K187:K195" si="56">J187-J186</f>
        <v>2747812.5000000005</v>
      </c>
      <c r="L187" s="67">
        <f t="shared" si="50"/>
        <v>15225000</v>
      </c>
      <c r="N187" s="67">
        <f t="shared" si="47"/>
        <v>49821.428571428565</v>
      </c>
      <c r="O187" s="67">
        <f t="shared" si="52"/>
        <v>6475178.5714285709</v>
      </c>
      <c r="P187" s="67">
        <f t="shared" si="53"/>
        <v>6524999.9999999991</v>
      </c>
      <c r="Q187" s="67">
        <f t="shared" si="54"/>
        <v>0</v>
      </c>
    </row>
    <row r="188" spans="1:17" s="6" customFormat="1" ht="13.2">
      <c r="B188" s="13">
        <f t="shared" si="43"/>
        <v>44165</v>
      </c>
      <c r="C188" s="80">
        <f t="shared" si="44"/>
        <v>16</v>
      </c>
      <c r="D188" s="80">
        <f t="shared" si="51"/>
        <v>4</v>
      </c>
      <c r="E188" s="80">
        <f t="shared" si="45"/>
        <v>29249.999999999996</v>
      </c>
      <c r="F188" s="107">
        <f t="shared" si="48"/>
        <v>214.28571428571428</v>
      </c>
      <c r="G188" s="67">
        <f t="shared" si="49"/>
        <v>160714.28571428571</v>
      </c>
      <c r="H188" s="67">
        <f>SUM($G$183:$G188)</f>
        <v>21910714.285714287</v>
      </c>
      <c r="I188" s="81">
        <f t="shared" si="46"/>
        <v>0.4</v>
      </c>
      <c r="J188" s="67">
        <f t="shared" si="55"/>
        <v>8764285.7142857146</v>
      </c>
      <c r="K188" s="67">
        <f t="shared" si="56"/>
        <v>2239285.7142857146</v>
      </c>
      <c r="L188" s="67">
        <f t="shared" si="50"/>
        <v>13146428.571428573</v>
      </c>
      <c r="N188" s="67">
        <f t="shared" si="47"/>
        <v>64285.71428571429</v>
      </c>
      <c r="O188" s="67">
        <f t="shared" si="52"/>
        <v>8700000</v>
      </c>
      <c r="P188" s="67">
        <f t="shared" si="53"/>
        <v>8764285.7142857146</v>
      </c>
      <c r="Q188" s="67">
        <f t="shared" si="54"/>
        <v>0</v>
      </c>
    </row>
    <row r="189" spans="1:17" s="6" customFormat="1" ht="13.2">
      <c r="B189" s="13">
        <f t="shared" si="43"/>
        <v>44196</v>
      </c>
      <c r="C189" s="80">
        <f t="shared" si="44"/>
        <v>18</v>
      </c>
      <c r="D189" s="80">
        <f t="shared" si="51"/>
        <v>2</v>
      </c>
      <c r="E189" s="80">
        <f t="shared" si="45"/>
        <v>29849.999999999996</v>
      </c>
      <c r="F189" s="107">
        <f t="shared" si="48"/>
        <v>621.42857142857133</v>
      </c>
      <c r="G189" s="67">
        <f t="shared" si="49"/>
        <v>466071.42857142852</v>
      </c>
      <c r="H189" s="67">
        <f>SUM($G$183:$G189)</f>
        <v>22376785.714285716</v>
      </c>
      <c r="I189" s="81">
        <f t="shared" si="46"/>
        <v>0.45</v>
      </c>
      <c r="J189" s="67">
        <f t="shared" si="55"/>
        <v>10069553.571428573</v>
      </c>
      <c r="K189" s="67">
        <f t="shared" si="56"/>
        <v>1305267.8571428582</v>
      </c>
      <c r="L189" s="67">
        <f t="shared" si="50"/>
        <v>12307232.142857144</v>
      </c>
      <c r="N189" s="67">
        <f t="shared" si="47"/>
        <v>209732.14285714284</v>
      </c>
      <c r="O189" s="67">
        <f t="shared" si="52"/>
        <v>9859821.4285714291</v>
      </c>
      <c r="P189" s="67">
        <f t="shared" si="53"/>
        <v>10069553.571428573</v>
      </c>
      <c r="Q189" s="67">
        <f t="shared" si="54"/>
        <v>0</v>
      </c>
    </row>
    <row r="190" spans="1:17" s="6" customFormat="1" ht="13.2">
      <c r="B190" s="13">
        <f t="shared" si="43"/>
        <v>44227</v>
      </c>
      <c r="C190" s="80">
        <f t="shared" si="44"/>
        <v>23</v>
      </c>
      <c r="D190" s="80">
        <f t="shared" si="51"/>
        <v>5</v>
      </c>
      <c r="E190" s="80">
        <f t="shared" si="45"/>
        <v>29999.999999999996</v>
      </c>
      <c r="F190" s="107">
        <f t="shared" si="48"/>
        <v>164.28571428571428</v>
      </c>
      <c r="G190" s="67">
        <f t="shared" si="49"/>
        <v>123214.28571428571</v>
      </c>
      <c r="H190" s="67">
        <f>SUM($G$183:$G190)</f>
        <v>22500000.000000004</v>
      </c>
      <c r="I190" s="81">
        <f t="shared" si="46"/>
        <v>0.57499999999999996</v>
      </c>
      <c r="J190" s="67">
        <f t="shared" si="55"/>
        <v>12937500.000000002</v>
      </c>
      <c r="K190" s="67">
        <f t="shared" si="56"/>
        <v>2867946.4285714291</v>
      </c>
      <c r="L190" s="67">
        <f t="shared" si="50"/>
        <v>9562500.0000000019</v>
      </c>
      <c r="N190" s="67">
        <f t="shared" si="47"/>
        <v>70848.214285714275</v>
      </c>
      <c r="O190" s="67">
        <f t="shared" si="52"/>
        <v>12866651.785714285</v>
      </c>
      <c r="P190" s="67">
        <f t="shared" si="53"/>
        <v>12937500</v>
      </c>
      <c r="Q190" s="67">
        <f t="shared" si="54"/>
        <v>0</v>
      </c>
    </row>
    <row r="191" spans="1:17" s="6" customFormat="1" ht="13.2">
      <c r="B191" s="13">
        <f t="shared" si="43"/>
        <v>44255</v>
      </c>
      <c r="C191" s="80">
        <f t="shared" si="44"/>
        <v>27</v>
      </c>
      <c r="D191" s="80">
        <f t="shared" si="51"/>
        <v>4</v>
      </c>
      <c r="E191" s="80">
        <f t="shared" si="45"/>
        <v>29999.999999999996</v>
      </c>
      <c r="F191" s="107">
        <f t="shared" si="48"/>
        <v>0</v>
      </c>
      <c r="G191" s="67">
        <f t="shared" si="49"/>
        <v>0</v>
      </c>
      <c r="H191" s="67">
        <f>SUM($G$183:$G191)</f>
        <v>22500000.000000004</v>
      </c>
      <c r="I191" s="81">
        <f t="shared" si="46"/>
        <v>0.67500000000000004</v>
      </c>
      <c r="J191" s="67">
        <f t="shared" si="55"/>
        <v>15187500.000000004</v>
      </c>
      <c r="K191" s="67">
        <f t="shared" si="56"/>
        <v>2250000.0000000019</v>
      </c>
      <c r="L191" s="67">
        <f t="shared" si="50"/>
        <v>7312500</v>
      </c>
      <c r="N191" s="67">
        <f t="shared" si="47"/>
        <v>0</v>
      </c>
      <c r="O191" s="67">
        <f t="shared" si="52"/>
        <v>15187500.000000004</v>
      </c>
      <c r="P191" s="67">
        <f t="shared" si="53"/>
        <v>15187500.000000004</v>
      </c>
      <c r="Q191" s="67">
        <f t="shared" si="54"/>
        <v>0</v>
      </c>
    </row>
    <row r="192" spans="1:17" s="6" customFormat="1" ht="13.2">
      <c r="B192" s="13">
        <f t="shared" si="43"/>
        <v>44286</v>
      </c>
      <c r="C192" s="80">
        <f t="shared" si="44"/>
        <v>31</v>
      </c>
      <c r="D192" s="80">
        <f t="shared" si="51"/>
        <v>4</v>
      </c>
      <c r="E192" s="80">
        <f t="shared" si="45"/>
        <v>29999.999999999996</v>
      </c>
      <c r="F192" s="107">
        <f t="shared" si="48"/>
        <v>0</v>
      </c>
      <c r="G192" s="67">
        <f t="shared" si="49"/>
        <v>0</v>
      </c>
      <c r="H192" s="67">
        <f>SUM($G$183:$G192)</f>
        <v>22500000.000000004</v>
      </c>
      <c r="I192" s="81">
        <f t="shared" si="46"/>
        <v>0.77500000000000002</v>
      </c>
      <c r="J192" s="67">
        <f t="shared" si="55"/>
        <v>17437500.000000004</v>
      </c>
      <c r="K192" s="67">
        <f t="shared" si="56"/>
        <v>2250000</v>
      </c>
      <c r="L192" s="67">
        <f t="shared" si="50"/>
        <v>5062500</v>
      </c>
      <c r="N192" s="67">
        <f t="shared" si="47"/>
        <v>0</v>
      </c>
      <c r="O192" s="67">
        <f t="shared" si="52"/>
        <v>17437500.000000004</v>
      </c>
      <c r="P192" s="67">
        <f t="shared" si="53"/>
        <v>17437500.000000004</v>
      </c>
      <c r="Q192" s="67">
        <f t="shared" si="54"/>
        <v>0</v>
      </c>
    </row>
    <row r="193" spans="1:53" s="6" customFormat="1" ht="13.2">
      <c r="B193" s="13">
        <f t="shared" si="43"/>
        <v>44316</v>
      </c>
      <c r="C193" s="80">
        <f t="shared" si="44"/>
        <v>35</v>
      </c>
      <c r="D193" s="80">
        <f t="shared" si="51"/>
        <v>4</v>
      </c>
      <c r="E193" s="80">
        <f t="shared" si="45"/>
        <v>29999.999999999996</v>
      </c>
      <c r="F193" s="107">
        <f t="shared" si="48"/>
        <v>0</v>
      </c>
      <c r="G193" s="67">
        <f t="shared" si="49"/>
        <v>0</v>
      </c>
      <c r="H193" s="67">
        <f>SUM($G$183:$G193)</f>
        <v>22500000.000000004</v>
      </c>
      <c r="I193" s="81">
        <f t="shared" si="46"/>
        <v>0.875</v>
      </c>
      <c r="J193" s="67">
        <f t="shared" si="55"/>
        <v>19687500.000000004</v>
      </c>
      <c r="K193" s="67">
        <f t="shared" si="56"/>
        <v>2250000</v>
      </c>
      <c r="L193" s="67">
        <f t="shared" si="50"/>
        <v>2812500</v>
      </c>
      <c r="N193" s="67">
        <f t="shared" si="47"/>
        <v>0</v>
      </c>
      <c r="O193" s="67">
        <f t="shared" si="52"/>
        <v>19687500.000000004</v>
      </c>
      <c r="P193" s="67">
        <f t="shared" si="53"/>
        <v>19687500.000000004</v>
      </c>
      <c r="Q193" s="67">
        <f t="shared" si="54"/>
        <v>0</v>
      </c>
    </row>
    <row r="194" spans="1:53" s="6" customFormat="1" ht="13.2">
      <c r="B194" s="13">
        <f t="shared" si="43"/>
        <v>44347</v>
      </c>
      <c r="C194" s="80">
        <f t="shared" si="44"/>
        <v>39</v>
      </c>
      <c r="D194" s="80">
        <f t="shared" si="51"/>
        <v>4</v>
      </c>
      <c r="E194" s="80">
        <f t="shared" si="45"/>
        <v>29999.999999999996</v>
      </c>
      <c r="F194" s="107">
        <f t="shared" si="48"/>
        <v>0</v>
      </c>
      <c r="G194" s="67">
        <f t="shared" si="49"/>
        <v>0</v>
      </c>
      <c r="H194" s="67">
        <f>SUM($G$183:$G194)</f>
        <v>22500000.000000004</v>
      </c>
      <c r="I194" s="81">
        <f t="shared" si="46"/>
        <v>0.97499999999999998</v>
      </c>
      <c r="J194" s="67">
        <f t="shared" si="55"/>
        <v>21937500.000000004</v>
      </c>
      <c r="K194" s="67">
        <f t="shared" si="56"/>
        <v>2250000</v>
      </c>
      <c r="L194" s="67">
        <f t="shared" si="50"/>
        <v>562500</v>
      </c>
      <c r="N194" s="67">
        <f t="shared" si="47"/>
        <v>0</v>
      </c>
      <c r="O194" s="67">
        <f t="shared" si="52"/>
        <v>21937500.000000004</v>
      </c>
      <c r="P194" s="67">
        <f t="shared" si="53"/>
        <v>21937500.000000004</v>
      </c>
      <c r="Q194" s="67">
        <f t="shared" si="54"/>
        <v>0</v>
      </c>
    </row>
    <row r="195" spans="1:53" s="6" customFormat="1" ht="13.2">
      <c r="B195" s="13">
        <f t="shared" si="43"/>
        <v>44377</v>
      </c>
      <c r="C195" s="80">
        <f t="shared" si="44"/>
        <v>40</v>
      </c>
      <c r="D195" s="80">
        <f t="shared" si="51"/>
        <v>1</v>
      </c>
      <c r="E195" s="80">
        <f t="shared" si="45"/>
        <v>29999.999999999996</v>
      </c>
      <c r="F195" s="107">
        <f t="shared" si="48"/>
        <v>0</v>
      </c>
      <c r="G195" s="67">
        <f t="shared" si="49"/>
        <v>0</v>
      </c>
      <c r="H195" s="67">
        <f>SUM($G$183:$G195)</f>
        <v>22500000.000000004</v>
      </c>
      <c r="I195" s="81">
        <f t="shared" si="46"/>
        <v>1</v>
      </c>
      <c r="J195" s="67">
        <f t="shared" si="55"/>
        <v>22500000.000000004</v>
      </c>
      <c r="K195" s="67">
        <f t="shared" si="56"/>
        <v>562500</v>
      </c>
      <c r="L195" s="67">
        <f t="shared" si="50"/>
        <v>0</v>
      </c>
      <c r="N195" s="67">
        <f t="shared" si="47"/>
        <v>0</v>
      </c>
      <c r="O195" s="67">
        <f t="shared" si="52"/>
        <v>22500000.000000004</v>
      </c>
      <c r="P195" s="67">
        <f t="shared" si="53"/>
        <v>22500000.000000004</v>
      </c>
      <c r="Q195" s="67">
        <f t="shared" si="54"/>
        <v>0</v>
      </c>
    </row>
    <row r="196" spans="1:53" s="6" customFormat="1" ht="13.2">
      <c r="B196" s="78" t="s">
        <v>17</v>
      </c>
      <c r="C196" s="48"/>
      <c r="D196" s="48">
        <f>SUM(D183:D195)</f>
        <v>40</v>
      </c>
      <c r="E196" s="48"/>
      <c r="F196" s="48">
        <f>SUM(F183:F195)</f>
        <v>30000</v>
      </c>
      <c r="G196" s="82">
        <f>SUM(G183:G195)</f>
        <v>22500000.000000004</v>
      </c>
      <c r="H196" s="49"/>
      <c r="I196" s="49"/>
      <c r="J196" s="49"/>
      <c r="K196" s="82">
        <f>SUM(K183:K195)</f>
        <v>22500000.000000004</v>
      </c>
      <c r="L196" s="82"/>
    </row>
    <row r="197" spans="1:53" s="6" customFormat="1" ht="13.2">
      <c r="B197" s="78"/>
      <c r="C197" s="101"/>
      <c r="D197" s="101"/>
      <c r="E197" s="101"/>
      <c r="F197" s="101"/>
      <c r="G197" s="102"/>
      <c r="K197" s="102"/>
      <c r="L197" s="102"/>
    </row>
    <row r="198" spans="1:53" s="6" customFormat="1" ht="13.2">
      <c r="B198" s="13"/>
    </row>
    <row r="199" spans="1:53" s="6" customFormat="1" ht="13.2">
      <c r="A199" s="15" t="s">
        <v>20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1:53" s="6" customFormat="1" ht="13.2"/>
    <row r="201" spans="1:53" s="6" customFormat="1" ht="13.2">
      <c r="B201" s="78" t="s">
        <v>57</v>
      </c>
      <c r="C201" s="83">
        <f>$E$4</f>
        <v>50000</v>
      </c>
    </row>
    <row r="202" spans="1:53" s="6" customFormat="1" ht="13.2"/>
    <row r="203" spans="1:53" s="6" customFormat="1" ht="13.2">
      <c r="B203" s="78" t="s">
        <v>58</v>
      </c>
      <c r="C203" s="83">
        <f>$E$4</f>
        <v>50000</v>
      </c>
      <c r="G203" s="10"/>
      <c r="H203" s="64"/>
      <c r="I203" s="14">
        <f>1/7</f>
        <v>0.14285714285714285</v>
      </c>
      <c r="J203" s="14">
        <f t="shared" ref="J203:O203" si="57">1/7</f>
        <v>0.14285714285714285</v>
      </c>
      <c r="K203" s="14">
        <f t="shared" si="57"/>
        <v>0.14285714285714285</v>
      </c>
      <c r="L203" s="14">
        <f t="shared" si="57"/>
        <v>0.14285714285714285</v>
      </c>
      <c r="M203" s="14">
        <f t="shared" si="57"/>
        <v>0.14285714285714285</v>
      </c>
      <c r="N203" s="14">
        <f t="shared" si="57"/>
        <v>0.14285714285714285</v>
      </c>
      <c r="O203" s="14">
        <f t="shared" si="57"/>
        <v>0.14285714285714285</v>
      </c>
      <c r="P203" s="14"/>
      <c r="Q203" s="14"/>
      <c r="R203" s="14"/>
      <c r="S203" s="14"/>
      <c r="T203" s="14"/>
      <c r="U203" s="14"/>
      <c r="V203" s="14"/>
      <c r="W203" s="14">
        <f>$L8</f>
        <v>0.25</v>
      </c>
      <c r="X203" s="14">
        <f>$L9</f>
        <v>0.22</v>
      </c>
      <c r="Y203" s="14">
        <f>$L10</f>
        <v>0.08</v>
      </c>
      <c r="Z203" s="14">
        <f>$L11</f>
        <v>0.05</v>
      </c>
      <c r="AA203" s="14">
        <f>$L12</f>
        <v>0.05</v>
      </c>
      <c r="AB203" s="14">
        <f>$L13</f>
        <v>0.15</v>
      </c>
      <c r="AC203" s="14">
        <f>$L14</f>
        <v>0.2</v>
      </c>
    </row>
    <row r="204" spans="1:53" s="6" customFormat="1" ht="13.2">
      <c r="B204" s="13"/>
      <c r="G204" s="10"/>
      <c r="H204" s="64"/>
      <c r="I204" s="84" t="s">
        <v>86</v>
      </c>
      <c r="J204" s="84"/>
      <c r="K204" s="84"/>
      <c r="L204" s="84"/>
      <c r="M204" s="84"/>
      <c r="N204" s="84"/>
      <c r="O204" s="84"/>
      <c r="P204" s="84" t="s">
        <v>87</v>
      </c>
      <c r="Q204" s="84"/>
      <c r="R204" s="84"/>
      <c r="S204" s="84"/>
      <c r="T204" s="84"/>
      <c r="U204" s="84"/>
      <c r="V204" s="84"/>
      <c r="W204" s="84" t="s">
        <v>85</v>
      </c>
      <c r="X204" s="84"/>
      <c r="Y204" s="84"/>
      <c r="Z204" s="84"/>
      <c r="AA204" s="84"/>
      <c r="AB204" s="84"/>
      <c r="AC204" s="84"/>
      <c r="AD204" s="84" t="s">
        <v>60</v>
      </c>
      <c r="AE204" s="84"/>
      <c r="AF204" s="84"/>
      <c r="AG204" s="84"/>
      <c r="AH204" s="84"/>
      <c r="AI204" s="84"/>
      <c r="AJ204" s="84"/>
      <c r="AN204" s="84" t="s">
        <v>61</v>
      </c>
      <c r="AO204" s="84"/>
      <c r="AP204" s="84"/>
      <c r="AQ204" s="84"/>
      <c r="AR204" s="84"/>
      <c r="AS204" s="84"/>
      <c r="AT204" s="84"/>
      <c r="AU204" s="84" t="s">
        <v>62</v>
      </c>
      <c r="AV204" s="84"/>
      <c r="AW204" s="84"/>
      <c r="AX204" s="84"/>
      <c r="AY204" s="84"/>
      <c r="AZ204" s="84"/>
      <c r="BA204" s="84"/>
    </row>
    <row r="205" spans="1:53" s="6" customFormat="1" thickBot="1">
      <c r="B205" s="12" t="s">
        <v>11</v>
      </c>
      <c r="C205" s="12" t="s">
        <v>12</v>
      </c>
      <c r="D205" s="12" t="s">
        <v>15</v>
      </c>
      <c r="E205" s="12" t="s">
        <v>16</v>
      </c>
      <c r="F205" s="12" t="s">
        <v>19</v>
      </c>
      <c r="G205" s="12" t="s">
        <v>63</v>
      </c>
      <c r="H205" s="84" t="s">
        <v>64</v>
      </c>
      <c r="I205" s="92">
        <v>-6</v>
      </c>
      <c r="J205" s="93">
        <f t="shared" ref="J205" si="58">I205+1</f>
        <v>-5</v>
      </c>
      <c r="K205" s="93">
        <f t="shared" ref="K205" si="59">J205+1</f>
        <v>-4</v>
      </c>
      <c r="L205" s="93">
        <f t="shared" ref="L205" si="60">K205+1</f>
        <v>-3</v>
      </c>
      <c r="M205" s="93">
        <f t="shared" ref="M205" si="61">L205+1</f>
        <v>-2</v>
      </c>
      <c r="N205" s="93">
        <f t="shared" ref="N205" si="62">M205+1</f>
        <v>-1</v>
      </c>
      <c r="O205" s="94">
        <f t="shared" ref="O205" si="63">N205+1</f>
        <v>0</v>
      </c>
      <c r="P205" s="92">
        <v>-6</v>
      </c>
      <c r="Q205" s="93">
        <f t="shared" ref="Q205" si="64">P205+1</f>
        <v>-5</v>
      </c>
      <c r="R205" s="93">
        <f t="shared" ref="R205" si="65">Q205+1</f>
        <v>-4</v>
      </c>
      <c r="S205" s="93">
        <f t="shared" ref="S205" si="66">R205+1</f>
        <v>-3</v>
      </c>
      <c r="T205" s="93">
        <f t="shared" ref="T205" si="67">S205+1</f>
        <v>-2</v>
      </c>
      <c r="U205" s="93">
        <f t="shared" ref="U205" si="68">T205+1</f>
        <v>-1</v>
      </c>
      <c r="V205" s="94">
        <f t="shared" ref="V205" si="69">U205+1</f>
        <v>0</v>
      </c>
      <c r="W205" s="92">
        <v>-6</v>
      </c>
      <c r="X205" s="93">
        <f t="shared" ref="X205:AC205" si="70">W205+1</f>
        <v>-5</v>
      </c>
      <c r="Y205" s="93">
        <f t="shared" si="70"/>
        <v>-4</v>
      </c>
      <c r="Z205" s="93">
        <f t="shared" si="70"/>
        <v>-3</v>
      </c>
      <c r="AA205" s="93">
        <f t="shared" si="70"/>
        <v>-2</v>
      </c>
      <c r="AB205" s="93">
        <f t="shared" si="70"/>
        <v>-1</v>
      </c>
      <c r="AC205" s="94">
        <f t="shared" si="70"/>
        <v>0</v>
      </c>
      <c r="AD205" s="95">
        <v>-6</v>
      </c>
      <c r="AE205" s="93">
        <f t="shared" ref="AE205:AJ205" si="71">AD205+1</f>
        <v>-5</v>
      </c>
      <c r="AF205" s="93">
        <f t="shared" si="71"/>
        <v>-4</v>
      </c>
      <c r="AG205" s="93">
        <f t="shared" si="71"/>
        <v>-3</v>
      </c>
      <c r="AH205" s="93">
        <f t="shared" si="71"/>
        <v>-2</v>
      </c>
      <c r="AI205" s="93">
        <f t="shared" si="71"/>
        <v>-1</v>
      </c>
      <c r="AJ205" s="94">
        <f t="shared" si="71"/>
        <v>0</v>
      </c>
      <c r="AK205" s="12" t="s">
        <v>65</v>
      </c>
      <c r="AL205" s="12" t="s">
        <v>66</v>
      </c>
      <c r="AM205" s="96" t="s">
        <v>67</v>
      </c>
      <c r="AN205" s="97">
        <v>-6</v>
      </c>
      <c r="AO205" s="93">
        <f t="shared" ref="AO205:AT205" si="72">AN205+1</f>
        <v>-5</v>
      </c>
      <c r="AP205" s="93">
        <f t="shared" si="72"/>
        <v>-4</v>
      </c>
      <c r="AQ205" s="93">
        <f t="shared" si="72"/>
        <v>-3</v>
      </c>
      <c r="AR205" s="93">
        <f t="shared" si="72"/>
        <v>-2</v>
      </c>
      <c r="AS205" s="93">
        <f t="shared" si="72"/>
        <v>-1</v>
      </c>
      <c r="AT205" s="93">
        <f t="shared" si="72"/>
        <v>0</v>
      </c>
      <c r="AU205" s="98">
        <v>-6</v>
      </c>
      <c r="AV205" s="93">
        <f t="shared" ref="AV205:BA205" si="73">AU205+1</f>
        <v>-5</v>
      </c>
      <c r="AW205" s="93">
        <f t="shared" si="73"/>
        <v>-4</v>
      </c>
      <c r="AX205" s="93">
        <f t="shared" si="73"/>
        <v>-3</v>
      </c>
      <c r="AY205" s="93">
        <f t="shared" si="73"/>
        <v>-2</v>
      </c>
      <c r="AZ205" s="93">
        <f t="shared" si="73"/>
        <v>-1</v>
      </c>
      <c r="BA205" s="94">
        <f t="shared" si="73"/>
        <v>0</v>
      </c>
    </row>
    <row r="206" spans="1:53" s="6" customFormat="1" ht="13.2">
      <c r="A206" s="6">
        <v>1</v>
      </c>
      <c r="B206" s="13">
        <f t="shared" ref="B206:C245" si="74">H8</f>
        <v>44058</v>
      </c>
      <c r="C206" s="10">
        <f t="shared" si="74"/>
        <v>3</v>
      </c>
      <c r="D206" s="10">
        <f t="shared" ref="D206:D245" si="75">INDEX($O$8:$O$12,MATCH($C206,$N$8:$N$12,0))</f>
        <v>32000</v>
      </c>
      <c r="E206" s="65">
        <f t="shared" ref="E206:E245" si="76">INDEX($P$8:$P$12,MATCH($C206,$N$8:$N$12,0))</f>
        <v>50</v>
      </c>
      <c r="F206" s="10">
        <f t="shared" ref="F206:F245" si="77">INDEX($M$125:$M$174,MATCH(B206,$B$125:$B$174,1))</f>
        <v>25649.999999999996</v>
      </c>
      <c r="G206" s="83">
        <f t="shared" ref="G206:G245" si="78">$C$203-F206</f>
        <v>24350.000000000004</v>
      </c>
      <c r="H206" s="10">
        <f t="shared" ref="H206:H245" si="79">MIN(D206,G206)</f>
        <v>24350.000000000004</v>
      </c>
      <c r="I206" s="85">
        <f>I$203*$D132</f>
        <v>400</v>
      </c>
      <c r="J206" s="80">
        <f t="shared" ref="J206:O206" si="80">J$203*$D132</f>
        <v>400</v>
      </c>
      <c r="K206" s="80">
        <f t="shared" si="80"/>
        <v>400</v>
      </c>
      <c r="L206" s="80">
        <f t="shared" si="80"/>
        <v>400</v>
      </c>
      <c r="M206" s="80">
        <f t="shared" si="80"/>
        <v>400</v>
      </c>
      <c r="N206" s="80">
        <f t="shared" si="80"/>
        <v>400</v>
      </c>
      <c r="O206" s="80">
        <f t="shared" si="80"/>
        <v>400</v>
      </c>
      <c r="P206" s="85" cm="1">
        <f t="array" ref="P206">INDEX($M$131:$M$174,$A206)+SUM($I206:I206)</f>
        <v>23249.999999999996</v>
      </c>
      <c r="Q206" s="80" cm="1">
        <f t="array" ref="Q206">INDEX($M$131:$M$174,$A206)+SUM($I206:J206)</f>
        <v>23649.999999999996</v>
      </c>
      <c r="R206" s="80" cm="1">
        <f t="array" ref="R206">INDEX($M$131:$M$174,$A206)+SUM($I206:K206)</f>
        <v>24049.999999999996</v>
      </c>
      <c r="S206" s="80" cm="1">
        <f t="array" ref="S206">INDEX($M$131:$M$174,$A206)+SUM($I206:L206)</f>
        <v>24449.999999999996</v>
      </c>
      <c r="T206" s="80" cm="1">
        <f t="array" ref="T206">INDEX($M$131:$M$174,$A206)+SUM($I206:M206)</f>
        <v>24849.999999999996</v>
      </c>
      <c r="U206" s="80" cm="1">
        <f t="array" ref="U206">INDEX($M$131:$M$174,$A206)+SUM($I206:N206)</f>
        <v>25249.999999999996</v>
      </c>
      <c r="V206" s="80" cm="1">
        <f t="array" ref="V206">INDEX($M$131:$M$174,$A206)+SUM($I206:O206)</f>
        <v>25649.999999999996</v>
      </c>
      <c r="W206" s="85">
        <f t="shared" ref="W206:AC215" si="81">W$203*$D206</f>
        <v>8000</v>
      </c>
      <c r="X206" s="80">
        <f t="shared" si="81"/>
        <v>7040</v>
      </c>
      <c r="Y206" s="80">
        <f t="shared" si="81"/>
        <v>2560</v>
      </c>
      <c r="Z206" s="80">
        <f t="shared" si="81"/>
        <v>1600</v>
      </c>
      <c r="AA206" s="80">
        <f t="shared" si="81"/>
        <v>1600</v>
      </c>
      <c r="AB206" s="80">
        <f t="shared" si="81"/>
        <v>4800</v>
      </c>
      <c r="AC206" s="80">
        <f t="shared" si="81"/>
        <v>6400</v>
      </c>
      <c r="AD206" s="85">
        <f t="shared" ref="AD206:AD245" si="82">MIN(W206,G206)</f>
        <v>8000</v>
      </c>
      <c r="AE206" s="80">
        <f>MIN($G206-SUM($AD206:AD206),X206)</f>
        <v>7040</v>
      </c>
      <c r="AF206" s="80">
        <f>MIN($G206-SUM($AD206:AE206),Y206)</f>
        <v>2560</v>
      </c>
      <c r="AG206" s="80">
        <f>MIN($G206-SUM($AD206:AF206),Z206)</f>
        <v>1600</v>
      </c>
      <c r="AH206" s="80">
        <f>MIN($G206-SUM($AD206:AG206),AA206)</f>
        <v>1600</v>
      </c>
      <c r="AI206" s="80">
        <f>MIN($G206-SUM($AD206:AH206),AB206)</f>
        <v>3550.0000000000036</v>
      </c>
      <c r="AJ206" s="86">
        <f>MIN($G206-SUM($AD206:AI206),AC206)</f>
        <v>0</v>
      </c>
      <c r="AK206" s="10">
        <f t="shared" ref="AK206:AK245" si="83">SUM(AD206:AJ206)</f>
        <v>24350.000000000004</v>
      </c>
      <c r="AL206" s="10">
        <f t="shared" ref="AL206:AL245" si="84">AK206-H206</f>
        <v>0</v>
      </c>
      <c r="AM206" s="65">
        <f t="shared" ref="AM206:AM245" si="85">AK206*E206</f>
        <v>1217500.0000000002</v>
      </c>
      <c r="AN206" s="87">
        <f t="shared" ref="AN206:AT215" si="86">$B206+AN$205</f>
        <v>44052</v>
      </c>
      <c r="AO206" s="13">
        <f t="shared" si="86"/>
        <v>44053</v>
      </c>
      <c r="AP206" s="13">
        <f t="shared" si="86"/>
        <v>44054</v>
      </c>
      <c r="AQ206" s="13">
        <f t="shared" si="86"/>
        <v>44055</v>
      </c>
      <c r="AR206" s="13">
        <f t="shared" si="86"/>
        <v>44056</v>
      </c>
      <c r="AS206" s="13">
        <f t="shared" si="86"/>
        <v>44057</v>
      </c>
      <c r="AT206" s="13">
        <f t="shared" si="86"/>
        <v>44058</v>
      </c>
      <c r="AU206" s="88">
        <f t="shared" ref="AU206:AU245" si="87">AD206*$E206</f>
        <v>400000</v>
      </c>
      <c r="AV206" s="67">
        <f t="shared" ref="AV206:AV245" si="88">AE206*$E206</f>
        <v>352000</v>
      </c>
      <c r="AW206" s="67">
        <f t="shared" ref="AW206:AW245" si="89">AF206*$E206</f>
        <v>128000</v>
      </c>
      <c r="AX206" s="67">
        <f t="shared" ref="AX206:AX245" si="90">AG206*$E206</f>
        <v>80000</v>
      </c>
      <c r="AY206" s="67">
        <f t="shared" ref="AY206:AY245" si="91">AH206*$E206</f>
        <v>80000</v>
      </c>
      <c r="AZ206" s="67">
        <f t="shared" ref="AZ206:AZ245" si="92">AI206*$E206</f>
        <v>177500.00000000017</v>
      </c>
      <c r="BA206" s="89">
        <f t="shared" ref="BA206:BA245" si="93">AJ206*$E206</f>
        <v>0</v>
      </c>
    </row>
    <row r="207" spans="1:53" s="6" customFormat="1" ht="13.2">
      <c r="A207" s="6">
        <v>2</v>
      </c>
      <c r="B207" s="13">
        <f t="shared" si="74"/>
        <v>44065</v>
      </c>
      <c r="C207" s="10">
        <f t="shared" si="74"/>
        <v>2</v>
      </c>
      <c r="D207" s="10">
        <f t="shared" si="75"/>
        <v>25000</v>
      </c>
      <c r="E207" s="65">
        <f t="shared" si="76"/>
        <v>40</v>
      </c>
      <c r="F207" s="10">
        <f t="shared" si="77"/>
        <v>27049.999999999996</v>
      </c>
      <c r="G207" s="83">
        <f t="shared" si="78"/>
        <v>22950.000000000004</v>
      </c>
      <c r="H207" s="10">
        <f t="shared" si="79"/>
        <v>22950.000000000004</v>
      </c>
      <c r="I207" s="85">
        <f t="shared" ref="I207:O245" si="94">I$203*$D133</f>
        <v>200</v>
      </c>
      <c r="J207" s="80">
        <f t="shared" si="94"/>
        <v>200</v>
      </c>
      <c r="K207" s="80">
        <f t="shared" si="94"/>
        <v>200</v>
      </c>
      <c r="L207" s="80">
        <f t="shared" si="94"/>
        <v>200</v>
      </c>
      <c r="M207" s="80">
        <f t="shared" si="94"/>
        <v>200</v>
      </c>
      <c r="N207" s="80">
        <f t="shared" si="94"/>
        <v>200</v>
      </c>
      <c r="O207" s="80">
        <f t="shared" si="94"/>
        <v>200</v>
      </c>
      <c r="P207" s="85" cm="1">
        <f t="array" ref="P207">INDEX($M$131:$M$174,$A207)+SUM($I207:I207)</f>
        <v>25849.999999999996</v>
      </c>
      <c r="Q207" s="80" cm="1">
        <f t="array" ref="Q207">INDEX($M$131:$M$174,$A207)+SUM($I207:J207)</f>
        <v>26049.999999999996</v>
      </c>
      <c r="R207" s="80" cm="1">
        <f t="array" ref="R207">INDEX($M$131:$M$174,$A207)+SUM($I207:K207)</f>
        <v>26249.999999999996</v>
      </c>
      <c r="S207" s="80" cm="1">
        <f t="array" ref="S207">INDEX($M$131:$M$174,$A207)+SUM($I207:L207)</f>
        <v>26449.999999999996</v>
      </c>
      <c r="T207" s="80" cm="1">
        <f t="array" ref="T207">INDEX($M$131:$M$174,$A207)+SUM($I207:M207)</f>
        <v>26649.999999999996</v>
      </c>
      <c r="U207" s="80" cm="1">
        <f t="array" ref="U207">INDEX($M$131:$M$174,$A207)+SUM($I207:N207)</f>
        <v>26849.999999999996</v>
      </c>
      <c r="V207" s="80" cm="1">
        <f t="array" ref="V207">INDEX($M$131:$M$174,$A207)+SUM($I207:O207)</f>
        <v>27049.999999999996</v>
      </c>
      <c r="W207" s="85">
        <f t="shared" si="81"/>
        <v>6250</v>
      </c>
      <c r="X207" s="80">
        <f t="shared" si="81"/>
        <v>5500</v>
      </c>
      <c r="Y207" s="80">
        <f t="shared" si="81"/>
        <v>2000</v>
      </c>
      <c r="Z207" s="80">
        <f t="shared" si="81"/>
        <v>1250</v>
      </c>
      <c r="AA207" s="80">
        <f t="shared" si="81"/>
        <v>1250</v>
      </c>
      <c r="AB207" s="80">
        <f t="shared" si="81"/>
        <v>3750</v>
      </c>
      <c r="AC207" s="80">
        <f t="shared" si="81"/>
        <v>5000</v>
      </c>
      <c r="AD207" s="85">
        <f t="shared" si="82"/>
        <v>6250</v>
      </c>
      <c r="AE207" s="80">
        <f>MIN($G207-SUM($AD207:AD207),X207)</f>
        <v>5500</v>
      </c>
      <c r="AF207" s="80">
        <f>MIN($G207-SUM($AD207:AE207),Y207)</f>
        <v>2000</v>
      </c>
      <c r="AG207" s="80">
        <f>MIN($G207-SUM($AD207:AF207),Z207)</f>
        <v>1250</v>
      </c>
      <c r="AH207" s="80">
        <f>MIN($G207-SUM($AD207:AG207),AA207)</f>
        <v>1250</v>
      </c>
      <c r="AI207" s="80">
        <f>MIN($G207-SUM($AD207:AH207),AB207)</f>
        <v>3750</v>
      </c>
      <c r="AJ207" s="86">
        <f>MIN($G207-SUM($AD207:AI207),AC207)</f>
        <v>2950.0000000000036</v>
      </c>
      <c r="AK207" s="10">
        <f t="shared" si="83"/>
        <v>22950.000000000004</v>
      </c>
      <c r="AL207" s="10">
        <f t="shared" si="84"/>
        <v>0</v>
      </c>
      <c r="AM207" s="65">
        <f t="shared" si="85"/>
        <v>918000.00000000012</v>
      </c>
      <c r="AN207" s="87">
        <f t="shared" si="86"/>
        <v>44059</v>
      </c>
      <c r="AO207" s="13">
        <f t="shared" si="86"/>
        <v>44060</v>
      </c>
      <c r="AP207" s="13">
        <f t="shared" si="86"/>
        <v>44061</v>
      </c>
      <c r="AQ207" s="13">
        <f t="shared" si="86"/>
        <v>44062</v>
      </c>
      <c r="AR207" s="13">
        <f t="shared" si="86"/>
        <v>44063</v>
      </c>
      <c r="AS207" s="13">
        <f t="shared" si="86"/>
        <v>44064</v>
      </c>
      <c r="AT207" s="13">
        <f t="shared" si="86"/>
        <v>44065</v>
      </c>
      <c r="AU207" s="88">
        <f t="shared" si="87"/>
        <v>250000</v>
      </c>
      <c r="AV207" s="67">
        <f t="shared" si="88"/>
        <v>220000</v>
      </c>
      <c r="AW207" s="67">
        <f t="shared" si="89"/>
        <v>80000</v>
      </c>
      <c r="AX207" s="67">
        <f t="shared" si="90"/>
        <v>50000</v>
      </c>
      <c r="AY207" s="67">
        <f t="shared" si="91"/>
        <v>50000</v>
      </c>
      <c r="AZ207" s="67">
        <f t="shared" si="92"/>
        <v>150000</v>
      </c>
      <c r="BA207" s="90">
        <f t="shared" si="93"/>
        <v>118000.00000000015</v>
      </c>
    </row>
    <row r="208" spans="1:53" s="6" customFormat="1" ht="13.2">
      <c r="A208" s="6">
        <v>3</v>
      </c>
      <c r="B208" s="13">
        <f t="shared" si="74"/>
        <v>44072</v>
      </c>
      <c r="C208" s="10">
        <f t="shared" si="74"/>
        <v>1</v>
      </c>
      <c r="D208" s="10">
        <f t="shared" si="75"/>
        <v>15000</v>
      </c>
      <c r="E208" s="65">
        <f t="shared" si="76"/>
        <v>30</v>
      </c>
      <c r="F208" s="10">
        <f t="shared" si="77"/>
        <v>27849.999999999996</v>
      </c>
      <c r="G208" s="83">
        <f t="shared" si="78"/>
        <v>22150.000000000004</v>
      </c>
      <c r="H208" s="10">
        <f t="shared" si="79"/>
        <v>15000</v>
      </c>
      <c r="I208" s="85">
        <f t="shared" si="94"/>
        <v>114.28571428571428</v>
      </c>
      <c r="J208" s="80">
        <f t="shared" si="94"/>
        <v>114.28571428571428</v>
      </c>
      <c r="K208" s="80">
        <f t="shared" si="94"/>
        <v>114.28571428571428</v>
      </c>
      <c r="L208" s="80">
        <f t="shared" si="94"/>
        <v>114.28571428571428</v>
      </c>
      <c r="M208" s="80">
        <f t="shared" si="94"/>
        <v>114.28571428571428</v>
      </c>
      <c r="N208" s="80">
        <f t="shared" si="94"/>
        <v>114.28571428571428</v>
      </c>
      <c r="O208" s="80">
        <f t="shared" si="94"/>
        <v>114.28571428571428</v>
      </c>
      <c r="P208" s="85" cm="1">
        <f t="array" ref="P208">INDEX($M$131:$M$174,$A208)+SUM($I208:I208)</f>
        <v>27164.28571428571</v>
      </c>
      <c r="Q208" s="80" cm="1">
        <f t="array" ref="Q208">INDEX($M$131:$M$174,$A208)+SUM($I208:J208)</f>
        <v>27278.571428571424</v>
      </c>
      <c r="R208" s="80" cm="1">
        <f t="array" ref="R208">INDEX($M$131:$M$174,$A208)+SUM($I208:K208)</f>
        <v>27392.857142857138</v>
      </c>
      <c r="S208" s="80" cm="1">
        <f t="array" ref="S208">INDEX($M$131:$M$174,$A208)+SUM($I208:L208)</f>
        <v>27507.142857142855</v>
      </c>
      <c r="T208" s="80" cm="1">
        <f t="array" ref="T208">INDEX($M$131:$M$174,$A208)+SUM($I208:M208)</f>
        <v>27621.428571428569</v>
      </c>
      <c r="U208" s="80" cm="1">
        <f t="array" ref="U208">INDEX($M$131:$M$174,$A208)+SUM($I208:N208)</f>
        <v>27735.714285714283</v>
      </c>
      <c r="V208" s="80" cm="1">
        <f t="array" ref="V208">INDEX($M$131:$M$174,$A208)+SUM($I208:O208)</f>
        <v>27849.999999999996</v>
      </c>
      <c r="W208" s="85">
        <f t="shared" si="81"/>
        <v>3750</v>
      </c>
      <c r="X208" s="80">
        <f t="shared" si="81"/>
        <v>3300</v>
      </c>
      <c r="Y208" s="80">
        <f t="shared" si="81"/>
        <v>1200</v>
      </c>
      <c r="Z208" s="80">
        <f t="shared" si="81"/>
        <v>750</v>
      </c>
      <c r="AA208" s="80">
        <f t="shared" si="81"/>
        <v>750</v>
      </c>
      <c r="AB208" s="80">
        <f t="shared" si="81"/>
        <v>2250</v>
      </c>
      <c r="AC208" s="80">
        <f t="shared" si="81"/>
        <v>3000</v>
      </c>
      <c r="AD208" s="85">
        <f t="shared" si="82"/>
        <v>3750</v>
      </c>
      <c r="AE208" s="80">
        <f>MIN($G208-SUM($AD208:AD208),X208)</f>
        <v>3300</v>
      </c>
      <c r="AF208" s="80">
        <f>MIN($G208-SUM($AD208:AE208),Y208)</f>
        <v>1200</v>
      </c>
      <c r="AG208" s="80">
        <f>MIN($G208-SUM($AD208:AF208),Z208)</f>
        <v>750</v>
      </c>
      <c r="AH208" s="80">
        <f>MIN($G208-SUM($AD208:AG208),AA208)</f>
        <v>750</v>
      </c>
      <c r="AI208" s="80">
        <f>MIN($G208-SUM($AD208:AH208),AB208)</f>
        <v>2250</v>
      </c>
      <c r="AJ208" s="86">
        <f>MIN($G208-SUM($AD208:AI208),AC208)</f>
        <v>3000</v>
      </c>
      <c r="AK208" s="10">
        <f t="shared" si="83"/>
        <v>15000</v>
      </c>
      <c r="AL208" s="10">
        <f t="shared" si="84"/>
        <v>0</v>
      </c>
      <c r="AM208" s="65">
        <f t="shared" si="85"/>
        <v>450000</v>
      </c>
      <c r="AN208" s="87">
        <f t="shared" si="86"/>
        <v>44066</v>
      </c>
      <c r="AO208" s="13">
        <f t="shared" si="86"/>
        <v>44067</v>
      </c>
      <c r="AP208" s="13">
        <f t="shared" si="86"/>
        <v>44068</v>
      </c>
      <c r="AQ208" s="13">
        <f t="shared" si="86"/>
        <v>44069</v>
      </c>
      <c r="AR208" s="13">
        <f t="shared" si="86"/>
        <v>44070</v>
      </c>
      <c r="AS208" s="13">
        <f t="shared" si="86"/>
        <v>44071</v>
      </c>
      <c r="AT208" s="13">
        <f t="shared" si="86"/>
        <v>44072</v>
      </c>
      <c r="AU208" s="88">
        <f t="shared" si="87"/>
        <v>112500</v>
      </c>
      <c r="AV208" s="67">
        <f t="shared" si="88"/>
        <v>99000</v>
      </c>
      <c r="AW208" s="67">
        <f t="shared" si="89"/>
        <v>36000</v>
      </c>
      <c r="AX208" s="67">
        <f t="shared" si="90"/>
        <v>22500</v>
      </c>
      <c r="AY208" s="67">
        <f t="shared" si="91"/>
        <v>22500</v>
      </c>
      <c r="AZ208" s="67">
        <f t="shared" si="92"/>
        <v>67500</v>
      </c>
      <c r="BA208" s="90">
        <f t="shared" si="93"/>
        <v>90000</v>
      </c>
    </row>
    <row r="209" spans="1:53" s="6" customFormat="1" ht="13.2">
      <c r="A209" s="6">
        <v>4</v>
      </c>
      <c r="B209" s="13">
        <f t="shared" si="74"/>
        <v>44079</v>
      </c>
      <c r="C209" s="10">
        <f t="shared" si="74"/>
        <v>3</v>
      </c>
      <c r="D209" s="10">
        <f t="shared" si="75"/>
        <v>32000</v>
      </c>
      <c r="E209" s="65">
        <f t="shared" si="76"/>
        <v>50</v>
      </c>
      <c r="F209" s="10">
        <f t="shared" si="77"/>
        <v>28349.999999999996</v>
      </c>
      <c r="G209" s="83">
        <f t="shared" si="78"/>
        <v>21650.000000000004</v>
      </c>
      <c r="H209" s="10">
        <f t="shared" si="79"/>
        <v>21650.000000000004</v>
      </c>
      <c r="I209" s="85">
        <f t="shared" si="94"/>
        <v>20.408163265306122</v>
      </c>
      <c r="J209" s="80">
        <f t="shared" si="94"/>
        <v>20.408163265306122</v>
      </c>
      <c r="K209" s="80">
        <f t="shared" si="94"/>
        <v>20.408163265306122</v>
      </c>
      <c r="L209" s="80">
        <f t="shared" si="94"/>
        <v>20.408163265306122</v>
      </c>
      <c r="M209" s="80">
        <f t="shared" si="94"/>
        <v>20.408163265306122</v>
      </c>
      <c r="N209" s="80">
        <f t="shared" si="94"/>
        <v>20.408163265306122</v>
      </c>
      <c r="O209" s="80">
        <f t="shared" si="94"/>
        <v>20.408163265306122</v>
      </c>
      <c r="P209" s="85" cm="1">
        <f t="array" ref="P209">INDEX($M$131:$M$174,$A209)+SUM($I209:I209)</f>
        <v>27870.408163265303</v>
      </c>
      <c r="Q209" s="80" cm="1">
        <f t="array" ref="Q209">INDEX($M$131:$M$174,$A209)+SUM($I209:J209)</f>
        <v>27890.81632653061</v>
      </c>
      <c r="R209" s="80" cm="1">
        <f t="array" ref="R209">INDEX($M$131:$M$174,$A209)+SUM($I209:K209)</f>
        <v>27911.224489795914</v>
      </c>
      <c r="S209" s="80" cm="1">
        <f t="array" ref="S209">INDEX($M$131:$M$174,$A209)+SUM($I209:L209)</f>
        <v>27931.63265306122</v>
      </c>
      <c r="T209" s="80" cm="1">
        <f t="array" ref="T209">INDEX($M$131:$M$174,$A209)+SUM($I209:M209)</f>
        <v>27952.040816326527</v>
      </c>
      <c r="U209" s="80" cm="1">
        <f t="array" ref="U209">INDEX($M$131:$M$174,$A209)+SUM($I209:N209)</f>
        <v>27972.448979591834</v>
      </c>
      <c r="V209" s="80" cm="1">
        <f t="array" ref="V209">INDEX($M$131:$M$174,$A209)+SUM($I209:O209)</f>
        <v>27992.857142857138</v>
      </c>
      <c r="W209" s="85">
        <f t="shared" si="81"/>
        <v>8000</v>
      </c>
      <c r="X209" s="80">
        <f t="shared" si="81"/>
        <v>7040</v>
      </c>
      <c r="Y209" s="80">
        <f t="shared" si="81"/>
        <v>2560</v>
      </c>
      <c r="Z209" s="80">
        <f t="shared" si="81"/>
        <v>1600</v>
      </c>
      <c r="AA209" s="80">
        <f t="shared" si="81"/>
        <v>1600</v>
      </c>
      <c r="AB209" s="80">
        <f t="shared" si="81"/>
        <v>4800</v>
      </c>
      <c r="AC209" s="80">
        <f t="shared" si="81"/>
        <v>6400</v>
      </c>
      <c r="AD209" s="85">
        <f t="shared" si="82"/>
        <v>8000</v>
      </c>
      <c r="AE209" s="80">
        <f>MIN($G209-SUM($AD209:AD209),X209)</f>
        <v>7040</v>
      </c>
      <c r="AF209" s="80">
        <f>MIN($G209-SUM($AD209:AE209),Y209)</f>
        <v>2560</v>
      </c>
      <c r="AG209" s="80">
        <f>MIN($G209-SUM($AD209:AF209),Z209)</f>
        <v>1600</v>
      </c>
      <c r="AH209" s="80">
        <f>MIN($G209-SUM($AD209:AG209),AA209)</f>
        <v>1600</v>
      </c>
      <c r="AI209" s="80">
        <f>MIN($G209-SUM($AD209:AH209),AB209)</f>
        <v>850.00000000000364</v>
      </c>
      <c r="AJ209" s="86">
        <f>MIN($G209-SUM($AD209:AI209),AC209)</f>
        <v>0</v>
      </c>
      <c r="AK209" s="10">
        <f t="shared" si="83"/>
        <v>21650.000000000004</v>
      </c>
      <c r="AL209" s="10">
        <f t="shared" si="84"/>
        <v>0</v>
      </c>
      <c r="AM209" s="65">
        <f t="shared" si="85"/>
        <v>1082500.0000000002</v>
      </c>
      <c r="AN209" s="87">
        <f t="shared" si="86"/>
        <v>44073</v>
      </c>
      <c r="AO209" s="13">
        <f t="shared" si="86"/>
        <v>44074</v>
      </c>
      <c r="AP209" s="13">
        <f t="shared" si="86"/>
        <v>44075</v>
      </c>
      <c r="AQ209" s="13">
        <f t="shared" si="86"/>
        <v>44076</v>
      </c>
      <c r="AR209" s="13">
        <f t="shared" si="86"/>
        <v>44077</v>
      </c>
      <c r="AS209" s="13">
        <f t="shared" si="86"/>
        <v>44078</v>
      </c>
      <c r="AT209" s="13">
        <f t="shared" si="86"/>
        <v>44079</v>
      </c>
      <c r="AU209" s="88">
        <f t="shared" si="87"/>
        <v>400000</v>
      </c>
      <c r="AV209" s="67">
        <f t="shared" si="88"/>
        <v>352000</v>
      </c>
      <c r="AW209" s="67">
        <f t="shared" si="89"/>
        <v>128000</v>
      </c>
      <c r="AX209" s="67">
        <f t="shared" si="90"/>
        <v>80000</v>
      </c>
      <c r="AY209" s="67">
        <f t="shared" si="91"/>
        <v>80000</v>
      </c>
      <c r="AZ209" s="67">
        <f t="shared" si="92"/>
        <v>42500.000000000182</v>
      </c>
      <c r="BA209" s="90">
        <f t="shared" si="93"/>
        <v>0</v>
      </c>
    </row>
    <row r="210" spans="1:53" s="6" customFormat="1" ht="13.2">
      <c r="A210" s="6">
        <v>5</v>
      </c>
      <c r="B210" s="13">
        <f t="shared" si="74"/>
        <v>44086</v>
      </c>
      <c r="C210" s="10">
        <f t="shared" si="74"/>
        <v>1</v>
      </c>
      <c r="D210" s="10">
        <f t="shared" si="75"/>
        <v>15000</v>
      </c>
      <c r="E210" s="65">
        <f t="shared" si="76"/>
        <v>30</v>
      </c>
      <c r="F210" s="10">
        <f t="shared" si="77"/>
        <v>28549.999999999996</v>
      </c>
      <c r="G210" s="83">
        <f t="shared" si="78"/>
        <v>21450.000000000004</v>
      </c>
      <c r="H210" s="10">
        <f t="shared" si="79"/>
        <v>15000</v>
      </c>
      <c r="I210" s="85">
        <f t="shared" si="94"/>
        <v>28.571428571428569</v>
      </c>
      <c r="J210" s="80">
        <f t="shared" si="94"/>
        <v>28.571428571428569</v>
      </c>
      <c r="K210" s="80">
        <f t="shared" si="94"/>
        <v>28.571428571428569</v>
      </c>
      <c r="L210" s="80">
        <f t="shared" si="94"/>
        <v>28.571428571428569</v>
      </c>
      <c r="M210" s="80">
        <f t="shared" si="94"/>
        <v>28.571428571428569</v>
      </c>
      <c r="N210" s="80">
        <f t="shared" si="94"/>
        <v>28.571428571428569</v>
      </c>
      <c r="O210" s="80">
        <f t="shared" si="94"/>
        <v>28.571428571428569</v>
      </c>
      <c r="P210" s="85" cm="1">
        <f t="array" ref="P210">INDEX($M$131:$M$174,$A210)+SUM($I210:I210)</f>
        <v>28378.571428571424</v>
      </c>
      <c r="Q210" s="80" cm="1">
        <f t="array" ref="Q210">INDEX($M$131:$M$174,$A210)+SUM($I210:J210)</f>
        <v>28407.142857142855</v>
      </c>
      <c r="R210" s="80" cm="1">
        <f t="array" ref="R210">INDEX($M$131:$M$174,$A210)+SUM($I210:K210)</f>
        <v>28435.714285714283</v>
      </c>
      <c r="S210" s="80" cm="1">
        <f t="array" ref="S210">INDEX($M$131:$M$174,$A210)+SUM($I210:L210)</f>
        <v>28464.28571428571</v>
      </c>
      <c r="T210" s="80" cm="1">
        <f t="array" ref="T210">INDEX($M$131:$M$174,$A210)+SUM($I210:M210)</f>
        <v>28492.857142857138</v>
      </c>
      <c r="U210" s="80" cm="1">
        <f t="array" ref="U210">INDEX($M$131:$M$174,$A210)+SUM($I210:N210)</f>
        <v>28521.428571428569</v>
      </c>
      <c r="V210" s="80" cm="1">
        <f t="array" ref="V210">INDEX($M$131:$M$174,$A210)+SUM($I210:O210)</f>
        <v>28549.999999999996</v>
      </c>
      <c r="W210" s="85">
        <f t="shared" si="81"/>
        <v>3750</v>
      </c>
      <c r="X210" s="80">
        <f t="shared" si="81"/>
        <v>3300</v>
      </c>
      <c r="Y210" s="80">
        <f t="shared" si="81"/>
        <v>1200</v>
      </c>
      <c r="Z210" s="80">
        <f t="shared" si="81"/>
        <v>750</v>
      </c>
      <c r="AA210" s="80">
        <f t="shared" si="81"/>
        <v>750</v>
      </c>
      <c r="AB210" s="80">
        <f t="shared" si="81"/>
        <v>2250</v>
      </c>
      <c r="AC210" s="80">
        <f t="shared" si="81"/>
        <v>3000</v>
      </c>
      <c r="AD210" s="85">
        <f t="shared" si="82"/>
        <v>3750</v>
      </c>
      <c r="AE210" s="80">
        <f>MIN($G210-SUM($AD210:AD210),X210)</f>
        <v>3300</v>
      </c>
      <c r="AF210" s="80">
        <f>MIN($G210-SUM($AD210:AE210),Y210)</f>
        <v>1200</v>
      </c>
      <c r="AG210" s="80">
        <f>MIN($G210-SUM($AD210:AF210),Z210)</f>
        <v>750</v>
      </c>
      <c r="AH210" s="80">
        <f>MIN($G210-SUM($AD210:AG210),AA210)</f>
        <v>750</v>
      </c>
      <c r="AI210" s="80">
        <f>MIN($G210-SUM($AD210:AH210),AB210)</f>
        <v>2250</v>
      </c>
      <c r="AJ210" s="86">
        <f>MIN($G210-SUM($AD210:AI210),AC210)</f>
        <v>3000</v>
      </c>
      <c r="AK210" s="10">
        <f t="shared" si="83"/>
        <v>15000</v>
      </c>
      <c r="AL210" s="10">
        <f t="shared" si="84"/>
        <v>0</v>
      </c>
      <c r="AM210" s="65">
        <f t="shared" si="85"/>
        <v>450000</v>
      </c>
      <c r="AN210" s="87">
        <f t="shared" si="86"/>
        <v>44080</v>
      </c>
      <c r="AO210" s="13">
        <f t="shared" si="86"/>
        <v>44081</v>
      </c>
      <c r="AP210" s="13">
        <f t="shared" si="86"/>
        <v>44082</v>
      </c>
      <c r="AQ210" s="13">
        <f t="shared" si="86"/>
        <v>44083</v>
      </c>
      <c r="AR210" s="13">
        <f t="shared" si="86"/>
        <v>44084</v>
      </c>
      <c r="AS210" s="13">
        <f t="shared" si="86"/>
        <v>44085</v>
      </c>
      <c r="AT210" s="13">
        <f t="shared" si="86"/>
        <v>44086</v>
      </c>
      <c r="AU210" s="88">
        <f t="shared" si="87"/>
        <v>112500</v>
      </c>
      <c r="AV210" s="67">
        <f t="shared" si="88"/>
        <v>99000</v>
      </c>
      <c r="AW210" s="67">
        <f t="shared" si="89"/>
        <v>36000</v>
      </c>
      <c r="AX210" s="67">
        <f t="shared" si="90"/>
        <v>22500</v>
      </c>
      <c r="AY210" s="67">
        <f t="shared" si="91"/>
        <v>22500</v>
      </c>
      <c r="AZ210" s="67">
        <f t="shared" si="92"/>
        <v>67500</v>
      </c>
      <c r="BA210" s="90">
        <f t="shared" si="93"/>
        <v>90000</v>
      </c>
    </row>
    <row r="211" spans="1:53" s="6" customFormat="1" ht="13.2">
      <c r="A211" s="6">
        <v>6</v>
      </c>
      <c r="B211" s="13">
        <f t="shared" si="74"/>
        <v>44093</v>
      </c>
      <c r="C211" s="10">
        <f t="shared" si="74"/>
        <v>2</v>
      </c>
      <c r="D211" s="10">
        <f t="shared" si="75"/>
        <v>25000</v>
      </c>
      <c r="E211" s="65">
        <f t="shared" si="76"/>
        <v>40</v>
      </c>
      <c r="F211" s="10">
        <f t="shared" si="77"/>
        <v>28699.999999999996</v>
      </c>
      <c r="G211" s="83">
        <f t="shared" si="78"/>
        <v>21300.000000000004</v>
      </c>
      <c r="H211" s="10">
        <f t="shared" si="79"/>
        <v>21300.000000000004</v>
      </c>
      <c r="I211" s="85">
        <f t="shared" si="94"/>
        <v>21.428571428571427</v>
      </c>
      <c r="J211" s="80">
        <f t="shared" si="94"/>
        <v>21.428571428571427</v>
      </c>
      <c r="K211" s="80">
        <f t="shared" si="94"/>
        <v>21.428571428571427</v>
      </c>
      <c r="L211" s="80">
        <f t="shared" si="94"/>
        <v>21.428571428571427</v>
      </c>
      <c r="M211" s="80">
        <f t="shared" si="94"/>
        <v>21.428571428571427</v>
      </c>
      <c r="N211" s="80">
        <f t="shared" si="94"/>
        <v>21.428571428571427</v>
      </c>
      <c r="O211" s="80">
        <f t="shared" si="94"/>
        <v>21.428571428571427</v>
      </c>
      <c r="P211" s="85" cm="1">
        <f t="array" ref="P211">INDEX($M$131:$M$174,$A211)+SUM($I211:I211)</f>
        <v>28571.428571428569</v>
      </c>
      <c r="Q211" s="80" cm="1">
        <f t="array" ref="Q211">INDEX($M$131:$M$174,$A211)+SUM($I211:J211)</f>
        <v>28592.857142857138</v>
      </c>
      <c r="R211" s="80" cm="1">
        <f t="array" ref="R211">INDEX($M$131:$M$174,$A211)+SUM($I211:K211)</f>
        <v>28614.28571428571</v>
      </c>
      <c r="S211" s="80" cm="1">
        <f t="array" ref="S211">INDEX($M$131:$M$174,$A211)+SUM($I211:L211)</f>
        <v>28635.714285714283</v>
      </c>
      <c r="T211" s="80" cm="1">
        <f t="array" ref="T211">INDEX($M$131:$M$174,$A211)+SUM($I211:M211)</f>
        <v>28657.142857142855</v>
      </c>
      <c r="U211" s="80" cm="1">
        <f t="array" ref="U211">INDEX($M$131:$M$174,$A211)+SUM($I211:N211)</f>
        <v>28678.571428571424</v>
      </c>
      <c r="V211" s="80" cm="1">
        <f t="array" ref="V211">INDEX($M$131:$M$174,$A211)+SUM($I211:O211)</f>
        <v>28699.999999999996</v>
      </c>
      <c r="W211" s="85">
        <f t="shared" si="81"/>
        <v>6250</v>
      </c>
      <c r="X211" s="80">
        <f t="shared" si="81"/>
        <v>5500</v>
      </c>
      <c r="Y211" s="80">
        <f t="shared" si="81"/>
        <v>2000</v>
      </c>
      <c r="Z211" s="80">
        <f t="shared" si="81"/>
        <v>1250</v>
      </c>
      <c r="AA211" s="80">
        <f t="shared" si="81"/>
        <v>1250</v>
      </c>
      <c r="AB211" s="80">
        <f t="shared" si="81"/>
        <v>3750</v>
      </c>
      <c r="AC211" s="80">
        <f t="shared" si="81"/>
        <v>5000</v>
      </c>
      <c r="AD211" s="85">
        <f t="shared" si="82"/>
        <v>6250</v>
      </c>
      <c r="AE211" s="80">
        <f>MIN($G211-SUM($AD211:AD211),X211)</f>
        <v>5500</v>
      </c>
      <c r="AF211" s="80">
        <f>MIN($G211-SUM($AD211:AE211),Y211)</f>
        <v>2000</v>
      </c>
      <c r="AG211" s="80">
        <f>MIN($G211-SUM($AD211:AF211),Z211)</f>
        <v>1250</v>
      </c>
      <c r="AH211" s="80">
        <f>MIN($G211-SUM($AD211:AG211),AA211)</f>
        <v>1250</v>
      </c>
      <c r="AI211" s="80">
        <f>MIN($G211-SUM($AD211:AH211),AB211)</f>
        <v>3750</v>
      </c>
      <c r="AJ211" s="86">
        <f>MIN($G211-SUM($AD211:AI211),AC211)</f>
        <v>1300.0000000000036</v>
      </c>
      <c r="AK211" s="10">
        <f t="shared" si="83"/>
        <v>21300.000000000004</v>
      </c>
      <c r="AL211" s="10">
        <f t="shared" si="84"/>
        <v>0</v>
      </c>
      <c r="AM211" s="65">
        <f t="shared" si="85"/>
        <v>852000.00000000012</v>
      </c>
      <c r="AN211" s="87">
        <f t="shared" si="86"/>
        <v>44087</v>
      </c>
      <c r="AO211" s="13">
        <f t="shared" si="86"/>
        <v>44088</v>
      </c>
      <c r="AP211" s="13">
        <f t="shared" si="86"/>
        <v>44089</v>
      </c>
      <c r="AQ211" s="13">
        <f t="shared" si="86"/>
        <v>44090</v>
      </c>
      <c r="AR211" s="13">
        <f t="shared" si="86"/>
        <v>44091</v>
      </c>
      <c r="AS211" s="13">
        <f t="shared" si="86"/>
        <v>44092</v>
      </c>
      <c r="AT211" s="13">
        <f t="shared" si="86"/>
        <v>44093</v>
      </c>
      <c r="AU211" s="88">
        <f t="shared" si="87"/>
        <v>250000</v>
      </c>
      <c r="AV211" s="67">
        <f t="shared" si="88"/>
        <v>220000</v>
      </c>
      <c r="AW211" s="67">
        <f t="shared" si="89"/>
        <v>80000</v>
      </c>
      <c r="AX211" s="67">
        <f t="shared" si="90"/>
        <v>50000</v>
      </c>
      <c r="AY211" s="67">
        <f t="shared" si="91"/>
        <v>50000</v>
      </c>
      <c r="AZ211" s="67">
        <f t="shared" si="92"/>
        <v>150000</v>
      </c>
      <c r="BA211" s="90">
        <f t="shared" si="93"/>
        <v>52000.000000000146</v>
      </c>
    </row>
    <row r="212" spans="1:53" s="6" customFormat="1" ht="13.2">
      <c r="A212" s="6">
        <v>7</v>
      </c>
      <c r="B212" s="13">
        <f t="shared" si="74"/>
        <v>44100</v>
      </c>
      <c r="C212" s="10">
        <f t="shared" si="74"/>
        <v>1</v>
      </c>
      <c r="D212" s="10">
        <f t="shared" si="75"/>
        <v>15000</v>
      </c>
      <c r="E212" s="65">
        <f t="shared" si="76"/>
        <v>30</v>
      </c>
      <c r="F212" s="10">
        <f t="shared" si="77"/>
        <v>28749.999999999996</v>
      </c>
      <c r="G212" s="83">
        <f t="shared" si="78"/>
        <v>21250.000000000004</v>
      </c>
      <c r="H212" s="10">
        <f t="shared" si="79"/>
        <v>15000</v>
      </c>
      <c r="I212" s="85">
        <f t="shared" si="94"/>
        <v>7.1428571428571423</v>
      </c>
      <c r="J212" s="80">
        <f t="shared" si="94"/>
        <v>7.1428571428571423</v>
      </c>
      <c r="K212" s="80">
        <f t="shared" si="94"/>
        <v>7.1428571428571423</v>
      </c>
      <c r="L212" s="80">
        <f t="shared" si="94"/>
        <v>7.1428571428571423</v>
      </c>
      <c r="M212" s="80">
        <f t="shared" si="94"/>
        <v>7.1428571428571423</v>
      </c>
      <c r="N212" s="80">
        <f t="shared" si="94"/>
        <v>7.1428571428571423</v>
      </c>
      <c r="O212" s="80">
        <f t="shared" si="94"/>
        <v>7.1428571428571423</v>
      </c>
      <c r="P212" s="85" cm="1">
        <f t="array" ref="P212">INDEX($M$131:$M$174,$A212)+SUM($I212:I212)</f>
        <v>28707.142857142855</v>
      </c>
      <c r="Q212" s="80" cm="1">
        <f t="array" ref="Q212">INDEX($M$131:$M$174,$A212)+SUM($I212:J212)</f>
        <v>28714.28571428571</v>
      </c>
      <c r="R212" s="80" cm="1">
        <f t="array" ref="R212">INDEX($M$131:$M$174,$A212)+SUM($I212:K212)</f>
        <v>28721.428571428569</v>
      </c>
      <c r="S212" s="80" cm="1">
        <f t="array" ref="S212">INDEX($M$131:$M$174,$A212)+SUM($I212:L212)</f>
        <v>28728.571428571424</v>
      </c>
      <c r="T212" s="80" cm="1">
        <f t="array" ref="T212">INDEX($M$131:$M$174,$A212)+SUM($I212:M212)</f>
        <v>28735.714285714283</v>
      </c>
      <c r="U212" s="80" cm="1">
        <f t="array" ref="U212">INDEX($M$131:$M$174,$A212)+SUM($I212:N212)</f>
        <v>28742.857142857138</v>
      </c>
      <c r="V212" s="80" cm="1">
        <f t="array" ref="V212">INDEX($M$131:$M$174,$A212)+SUM($I212:O212)</f>
        <v>28749.999999999996</v>
      </c>
      <c r="W212" s="85">
        <f t="shared" si="81"/>
        <v>3750</v>
      </c>
      <c r="X212" s="80">
        <f t="shared" si="81"/>
        <v>3300</v>
      </c>
      <c r="Y212" s="80">
        <f t="shared" si="81"/>
        <v>1200</v>
      </c>
      <c r="Z212" s="80">
        <f t="shared" si="81"/>
        <v>750</v>
      </c>
      <c r="AA212" s="80">
        <f t="shared" si="81"/>
        <v>750</v>
      </c>
      <c r="AB212" s="80">
        <f t="shared" si="81"/>
        <v>2250</v>
      </c>
      <c r="AC212" s="80">
        <f t="shared" si="81"/>
        <v>3000</v>
      </c>
      <c r="AD212" s="85">
        <f t="shared" si="82"/>
        <v>3750</v>
      </c>
      <c r="AE212" s="80">
        <f>MIN($G212-SUM($AD212:AD212),X212)</f>
        <v>3300</v>
      </c>
      <c r="AF212" s="80">
        <f>MIN($G212-SUM($AD212:AE212),Y212)</f>
        <v>1200</v>
      </c>
      <c r="AG212" s="80">
        <f>MIN($G212-SUM($AD212:AF212),Z212)</f>
        <v>750</v>
      </c>
      <c r="AH212" s="80">
        <f>MIN($G212-SUM($AD212:AG212),AA212)</f>
        <v>750</v>
      </c>
      <c r="AI212" s="80">
        <f>MIN($G212-SUM($AD212:AH212),AB212)</f>
        <v>2250</v>
      </c>
      <c r="AJ212" s="86">
        <f>MIN($G212-SUM($AD212:AI212),AC212)</f>
        <v>3000</v>
      </c>
      <c r="AK212" s="10">
        <f t="shared" si="83"/>
        <v>15000</v>
      </c>
      <c r="AL212" s="10">
        <f t="shared" si="84"/>
        <v>0</v>
      </c>
      <c r="AM212" s="65">
        <f t="shared" si="85"/>
        <v>450000</v>
      </c>
      <c r="AN212" s="87">
        <f t="shared" si="86"/>
        <v>44094</v>
      </c>
      <c r="AO212" s="13">
        <f t="shared" si="86"/>
        <v>44095</v>
      </c>
      <c r="AP212" s="13">
        <f t="shared" si="86"/>
        <v>44096</v>
      </c>
      <c r="AQ212" s="13">
        <f t="shared" si="86"/>
        <v>44097</v>
      </c>
      <c r="AR212" s="13">
        <f t="shared" si="86"/>
        <v>44098</v>
      </c>
      <c r="AS212" s="13">
        <f t="shared" si="86"/>
        <v>44099</v>
      </c>
      <c r="AT212" s="13">
        <f t="shared" si="86"/>
        <v>44100</v>
      </c>
      <c r="AU212" s="88">
        <f t="shared" si="87"/>
        <v>112500</v>
      </c>
      <c r="AV212" s="67">
        <f t="shared" si="88"/>
        <v>99000</v>
      </c>
      <c r="AW212" s="67">
        <f t="shared" si="89"/>
        <v>36000</v>
      </c>
      <c r="AX212" s="67">
        <f t="shared" si="90"/>
        <v>22500</v>
      </c>
      <c r="AY212" s="67">
        <f t="shared" si="91"/>
        <v>22500</v>
      </c>
      <c r="AZ212" s="67">
        <f t="shared" si="92"/>
        <v>67500</v>
      </c>
      <c r="BA212" s="90">
        <f t="shared" si="93"/>
        <v>90000</v>
      </c>
    </row>
    <row r="213" spans="1:53" s="6" customFormat="1" ht="13.2">
      <c r="A213" s="6">
        <v>8</v>
      </c>
      <c r="B213" s="13">
        <f t="shared" si="74"/>
        <v>44107</v>
      </c>
      <c r="C213" s="10">
        <f t="shared" si="74"/>
        <v>2</v>
      </c>
      <c r="D213" s="10">
        <f t="shared" si="75"/>
        <v>25000</v>
      </c>
      <c r="E213" s="65">
        <f t="shared" si="76"/>
        <v>40</v>
      </c>
      <c r="F213" s="10">
        <f t="shared" si="77"/>
        <v>28799.999999999996</v>
      </c>
      <c r="G213" s="83">
        <f t="shared" si="78"/>
        <v>21200.000000000004</v>
      </c>
      <c r="H213" s="10">
        <f t="shared" si="79"/>
        <v>21200.000000000004</v>
      </c>
      <c r="I213" s="85">
        <f t="shared" si="94"/>
        <v>4.0816326530612237</v>
      </c>
      <c r="J213" s="80">
        <f t="shared" si="94"/>
        <v>4.0816326530612237</v>
      </c>
      <c r="K213" s="80">
        <f t="shared" si="94"/>
        <v>4.0816326530612237</v>
      </c>
      <c r="L213" s="80">
        <f t="shared" si="94"/>
        <v>4.0816326530612237</v>
      </c>
      <c r="M213" s="80">
        <f t="shared" si="94"/>
        <v>4.0816326530612237</v>
      </c>
      <c r="N213" s="80">
        <f t="shared" si="94"/>
        <v>4.0816326530612237</v>
      </c>
      <c r="O213" s="80">
        <f t="shared" si="94"/>
        <v>4.0816326530612237</v>
      </c>
      <c r="P213" s="85" cm="1">
        <f t="array" ref="P213">INDEX($M$131:$M$174,$A213)+SUM($I213:I213)</f>
        <v>28754.081632653058</v>
      </c>
      <c r="Q213" s="80" cm="1">
        <f t="array" ref="Q213">INDEX($M$131:$M$174,$A213)+SUM($I213:J213)</f>
        <v>28758.163265306121</v>
      </c>
      <c r="R213" s="80" cm="1">
        <f t="array" ref="R213">INDEX($M$131:$M$174,$A213)+SUM($I213:K213)</f>
        <v>28762.244897959179</v>
      </c>
      <c r="S213" s="80" cm="1">
        <f t="array" ref="S213">INDEX($M$131:$M$174,$A213)+SUM($I213:L213)</f>
        <v>28766.326530612241</v>
      </c>
      <c r="T213" s="80" cm="1">
        <f t="array" ref="T213">INDEX($M$131:$M$174,$A213)+SUM($I213:M213)</f>
        <v>28770.408163265303</v>
      </c>
      <c r="U213" s="80" cm="1">
        <f t="array" ref="U213">INDEX($M$131:$M$174,$A213)+SUM($I213:N213)</f>
        <v>28774.489795918365</v>
      </c>
      <c r="V213" s="80" cm="1">
        <f t="array" ref="V213">INDEX($M$131:$M$174,$A213)+SUM($I213:O213)</f>
        <v>28778.571428571424</v>
      </c>
      <c r="W213" s="85">
        <f t="shared" si="81"/>
        <v>6250</v>
      </c>
      <c r="X213" s="80">
        <f t="shared" si="81"/>
        <v>5500</v>
      </c>
      <c r="Y213" s="80">
        <f t="shared" si="81"/>
        <v>2000</v>
      </c>
      <c r="Z213" s="80">
        <f t="shared" si="81"/>
        <v>1250</v>
      </c>
      <c r="AA213" s="80">
        <f t="shared" si="81"/>
        <v>1250</v>
      </c>
      <c r="AB213" s="80">
        <f t="shared" si="81"/>
        <v>3750</v>
      </c>
      <c r="AC213" s="80">
        <f t="shared" si="81"/>
        <v>5000</v>
      </c>
      <c r="AD213" s="85">
        <f t="shared" si="82"/>
        <v>6250</v>
      </c>
      <c r="AE213" s="80">
        <f>MIN($G213-SUM($AD213:AD213),X213)</f>
        <v>5500</v>
      </c>
      <c r="AF213" s="80">
        <f>MIN($G213-SUM($AD213:AE213),Y213)</f>
        <v>2000</v>
      </c>
      <c r="AG213" s="80">
        <f>MIN($G213-SUM($AD213:AF213),Z213)</f>
        <v>1250</v>
      </c>
      <c r="AH213" s="80">
        <f>MIN($G213-SUM($AD213:AG213),AA213)</f>
        <v>1250</v>
      </c>
      <c r="AI213" s="80">
        <f>MIN($G213-SUM($AD213:AH213),AB213)</f>
        <v>3750</v>
      </c>
      <c r="AJ213" s="86">
        <f>MIN($G213-SUM($AD213:AI213),AC213)</f>
        <v>1200.0000000000036</v>
      </c>
      <c r="AK213" s="10">
        <f t="shared" si="83"/>
        <v>21200.000000000004</v>
      </c>
      <c r="AL213" s="10">
        <f t="shared" si="84"/>
        <v>0</v>
      </c>
      <c r="AM213" s="65">
        <f t="shared" si="85"/>
        <v>848000.00000000012</v>
      </c>
      <c r="AN213" s="87">
        <f t="shared" si="86"/>
        <v>44101</v>
      </c>
      <c r="AO213" s="13">
        <f t="shared" si="86"/>
        <v>44102</v>
      </c>
      <c r="AP213" s="13">
        <f t="shared" si="86"/>
        <v>44103</v>
      </c>
      <c r="AQ213" s="13">
        <f t="shared" si="86"/>
        <v>44104</v>
      </c>
      <c r="AR213" s="13">
        <f t="shared" si="86"/>
        <v>44105</v>
      </c>
      <c r="AS213" s="13">
        <f t="shared" si="86"/>
        <v>44106</v>
      </c>
      <c r="AT213" s="13">
        <f t="shared" si="86"/>
        <v>44107</v>
      </c>
      <c r="AU213" s="88">
        <f t="shared" si="87"/>
        <v>250000</v>
      </c>
      <c r="AV213" s="67">
        <f t="shared" si="88"/>
        <v>220000</v>
      </c>
      <c r="AW213" s="67">
        <f t="shared" si="89"/>
        <v>80000</v>
      </c>
      <c r="AX213" s="67">
        <f t="shared" si="90"/>
        <v>50000</v>
      </c>
      <c r="AY213" s="67">
        <f t="shared" si="91"/>
        <v>50000</v>
      </c>
      <c r="AZ213" s="67">
        <f t="shared" si="92"/>
        <v>150000</v>
      </c>
      <c r="BA213" s="90">
        <f t="shared" si="93"/>
        <v>48000.000000000146</v>
      </c>
    </row>
    <row r="214" spans="1:53" s="6" customFormat="1" ht="13.2">
      <c r="A214" s="6">
        <v>9</v>
      </c>
      <c r="B214" s="13">
        <f t="shared" si="74"/>
        <v>44114</v>
      </c>
      <c r="C214" s="10">
        <f t="shared" si="74"/>
        <v>2</v>
      </c>
      <c r="D214" s="10">
        <f t="shared" si="75"/>
        <v>25000</v>
      </c>
      <c r="E214" s="65">
        <f t="shared" si="76"/>
        <v>40</v>
      </c>
      <c r="F214" s="10">
        <f t="shared" si="77"/>
        <v>28849.999999999996</v>
      </c>
      <c r="G214" s="83">
        <f t="shared" si="78"/>
        <v>21150.000000000004</v>
      </c>
      <c r="H214" s="10">
        <f t="shared" si="79"/>
        <v>21150.000000000004</v>
      </c>
      <c r="I214" s="85">
        <f t="shared" si="94"/>
        <v>7.1428571428571423</v>
      </c>
      <c r="J214" s="80">
        <f t="shared" si="94"/>
        <v>7.1428571428571423</v>
      </c>
      <c r="K214" s="80">
        <f t="shared" si="94"/>
        <v>7.1428571428571423</v>
      </c>
      <c r="L214" s="80">
        <f t="shared" si="94"/>
        <v>7.1428571428571423</v>
      </c>
      <c r="M214" s="80">
        <f t="shared" si="94"/>
        <v>7.1428571428571423</v>
      </c>
      <c r="N214" s="80">
        <f t="shared" si="94"/>
        <v>7.1428571428571423</v>
      </c>
      <c r="O214" s="80">
        <f t="shared" si="94"/>
        <v>7.1428571428571423</v>
      </c>
      <c r="P214" s="85" cm="1">
        <f t="array" ref="P214">INDEX($M$131:$M$174,$A214)+SUM($I214:I214)</f>
        <v>28807.142857142855</v>
      </c>
      <c r="Q214" s="80" cm="1">
        <f t="array" ref="Q214">INDEX($M$131:$M$174,$A214)+SUM($I214:J214)</f>
        <v>28814.28571428571</v>
      </c>
      <c r="R214" s="80" cm="1">
        <f t="array" ref="R214">INDEX($M$131:$M$174,$A214)+SUM($I214:K214)</f>
        <v>28821.428571428569</v>
      </c>
      <c r="S214" s="80" cm="1">
        <f t="array" ref="S214">INDEX($M$131:$M$174,$A214)+SUM($I214:L214)</f>
        <v>28828.571428571424</v>
      </c>
      <c r="T214" s="80" cm="1">
        <f t="array" ref="T214">INDEX($M$131:$M$174,$A214)+SUM($I214:M214)</f>
        <v>28835.714285714283</v>
      </c>
      <c r="U214" s="80" cm="1">
        <f t="array" ref="U214">INDEX($M$131:$M$174,$A214)+SUM($I214:N214)</f>
        <v>28842.857142857138</v>
      </c>
      <c r="V214" s="80" cm="1">
        <f t="array" ref="V214">INDEX($M$131:$M$174,$A214)+SUM($I214:O214)</f>
        <v>28849.999999999996</v>
      </c>
      <c r="W214" s="85">
        <f t="shared" si="81"/>
        <v>6250</v>
      </c>
      <c r="X214" s="80">
        <f t="shared" si="81"/>
        <v>5500</v>
      </c>
      <c r="Y214" s="80">
        <f t="shared" si="81"/>
        <v>2000</v>
      </c>
      <c r="Z214" s="80">
        <f t="shared" si="81"/>
        <v>1250</v>
      </c>
      <c r="AA214" s="80">
        <f t="shared" si="81"/>
        <v>1250</v>
      </c>
      <c r="AB214" s="80">
        <f t="shared" si="81"/>
        <v>3750</v>
      </c>
      <c r="AC214" s="80">
        <f t="shared" si="81"/>
        <v>5000</v>
      </c>
      <c r="AD214" s="85">
        <f t="shared" si="82"/>
        <v>6250</v>
      </c>
      <c r="AE214" s="80">
        <f>MIN($G214-SUM($AD214:AD214),X214)</f>
        <v>5500</v>
      </c>
      <c r="AF214" s="80">
        <f>MIN($G214-SUM($AD214:AE214),Y214)</f>
        <v>2000</v>
      </c>
      <c r="AG214" s="80">
        <f>MIN($G214-SUM($AD214:AF214),Z214)</f>
        <v>1250</v>
      </c>
      <c r="AH214" s="80">
        <f>MIN($G214-SUM($AD214:AG214),AA214)</f>
        <v>1250</v>
      </c>
      <c r="AI214" s="80">
        <f>MIN($G214-SUM($AD214:AH214),AB214)</f>
        <v>3750</v>
      </c>
      <c r="AJ214" s="86">
        <f>MIN($G214-SUM($AD214:AI214),AC214)</f>
        <v>1150.0000000000036</v>
      </c>
      <c r="AK214" s="10">
        <f t="shared" si="83"/>
        <v>21150.000000000004</v>
      </c>
      <c r="AL214" s="10">
        <f t="shared" si="84"/>
        <v>0</v>
      </c>
      <c r="AM214" s="65">
        <f t="shared" si="85"/>
        <v>846000.00000000012</v>
      </c>
      <c r="AN214" s="87">
        <f t="shared" si="86"/>
        <v>44108</v>
      </c>
      <c r="AO214" s="13">
        <f t="shared" si="86"/>
        <v>44109</v>
      </c>
      <c r="AP214" s="13">
        <f t="shared" si="86"/>
        <v>44110</v>
      </c>
      <c r="AQ214" s="13">
        <f t="shared" si="86"/>
        <v>44111</v>
      </c>
      <c r="AR214" s="13">
        <f t="shared" si="86"/>
        <v>44112</v>
      </c>
      <c r="AS214" s="13">
        <f t="shared" si="86"/>
        <v>44113</v>
      </c>
      <c r="AT214" s="13">
        <f t="shared" si="86"/>
        <v>44114</v>
      </c>
      <c r="AU214" s="88">
        <f t="shared" si="87"/>
        <v>250000</v>
      </c>
      <c r="AV214" s="67">
        <f t="shared" si="88"/>
        <v>220000</v>
      </c>
      <c r="AW214" s="67">
        <f t="shared" si="89"/>
        <v>80000</v>
      </c>
      <c r="AX214" s="67">
        <f t="shared" si="90"/>
        <v>50000</v>
      </c>
      <c r="AY214" s="67">
        <f t="shared" si="91"/>
        <v>50000</v>
      </c>
      <c r="AZ214" s="67">
        <f t="shared" si="92"/>
        <v>150000</v>
      </c>
      <c r="BA214" s="90">
        <f t="shared" si="93"/>
        <v>46000.000000000146</v>
      </c>
    </row>
    <row r="215" spans="1:53" s="6" customFormat="1" ht="13.2">
      <c r="A215" s="6">
        <v>10</v>
      </c>
      <c r="B215" s="13">
        <f t="shared" si="74"/>
        <v>44121</v>
      </c>
      <c r="C215" s="10">
        <f t="shared" si="74"/>
        <v>1</v>
      </c>
      <c r="D215" s="10">
        <f t="shared" si="75"/>
        <v>15000</v>
      </c>
      <c r="E215" s="65">
        <f t="shared" si="76"/>
        <v>30</v>
      </c>
      <c r="F215" s="10">
        <f t="shared" si="77"/>
        <v>28899.999999999996</v>
      </c>
      <c r="G215" s="83">
        <f t="shared" si="78"/>
        <v>21100.000000000004</v>
      </c>
      <c r="H215" s="10">
        <f t="shared" si="79"/>
        <v>15000</v>
      </c>
      <c r="I215" s="85">
        <f t="shared" si="94"/>
        <v>7.1428571428571423</v>
      </c>
      <c r="J215" s="80">
        <f t="shared" si="94"/>
        <v>7.1428571428571423</v>
      </c>
      <c r="K215" s="80">
        <f t="shared" si="94"/>
        <v>7.1428571428571423</v>
      </c>
      <c r="L215" s="80">
        <f t="shared" si="94"/>
        <v>7.1428571428571423</v>
      </c>
      <c r="M215" s="80">
        <f t="shared" si="94"/>
        <v>7.1428571428571423</v>
      </c>
      <c r="N215" s="80">
        <f t="shared" si="94"/>
        <v>7.1428571428571423</v>
      </c>
      <c r="O215" s="80">
        <f t="shared" si="94"/>
        <v>7.1428571428571423</v>
      </c>
      <c r="P215" s="85" cm="1">
        <f t="array" ref="P215">INDEX($M$131:$M$174,$A215)+SUM($I215:I215)</f>
        <v>28857.142857142855</v>
      </c>
      <c r="Q215" s="80" cm="1">
        <f t="array" ref="Q215">INDEX($M$131:$M$174,$A215)+SUM($I215:J215)</f>
        <v>28864.28571428571</v>
      </c>
      <c r="R215" s="80" cm="1">
        <f t="array" ref="R215">INDEX($M$131:$M$174,$A215)+SUM($I215:K215)</f>
        <v>28871.428571428569</v>
      </c>
      <c r="S215" s="80" cm="1">
        <f t="array" ref="S215">INDEX($M$131:$M$174,$A215)+SUM($I215:L215)</f>
        <v>28878.571428571424</v>
      </c>
      <c r="T215" s="80" cm="1">
        <f t="array" ref="T215">INDEX($M$131:$M$174,$A215)+SUM($I215:M215)</f>
        <v>28885.714285714283</v>
      </c>
      <c r="U215" s="80" cm="1">
        <f t="array" ref="U215">INDEX($M$131:$M$174,$A215)+SUM($I215:N215)</f>
        <v>28892.857142857138</v>
      </c>
      <c r="V215" s="80" cm="1">
        <f t="array" ref="V215">INDEX($M$131:$M$174,$A215)+SUM($I215:O215)</f>
        <v>28899.999999999996</v>
      </c>
      <c r="W215" s="85">
        <f t="shared" si="81"/>
        <v>3750</v>
      </c>
      <c r="X215" s="80">
        <f t="shared" si="81"/>
        <v>3300</v>
      </c>
      <c r="Y215" s="80">
        <f t="shared" si="81"/>
        <v>1200</v>
      </c>
      <c r="Z215" s="80">
        <f t="shared" si="81"/>
        <v>750</v>
      </c>
      <c r="AA215" s="80">
        <f t="shared" si="81"/>
        <v>750</v>
      </c>
      <c r="AB215" s="80">
        <f t="shared" si="81"/>
        <v>2250</v>
      </c>
      <c r="AC215" s="80">
        <f t="shared" si="81"/>
        <v>3000</v>
      </c>
      <c r="AD215" s="85">
        <f t="shared" si="82"/>
        <v>3750</v>
      </c>
      <c r="AE215" s="80">
        <f>MIN($G215-SUM($AD215:AD215),X215)</f>
        <v>3300</v>
      </c>
      <c r="AF215" s="80">
        <f>MIN($G215-SUM($AD215:AE215),Y215)</f>
        <v>1200</v>
      </c>
      <c r="AG215" s="80">
        <f>MIN($G215-SUM($AD215:AF215),Z215)</f>
        <v>750</v>
      </c>
      <c r="AH215" s="80">
        <f>MIN($G215-SUM($AD215:AG215),AA215)</f>
        <v>750</v>
      </c>
      <c r="AI215" s="80">
        <f>MIN($G215-SUM($AD215:AH215),AB215)</f>
        <v>2250</v>
      </c>
      <c r="AJ215" s="86">
        <f>MIN($G215-SUM($AD215:AI215),AC215)</f>
        <v>3000</v>
      </c>
      <c r="AK215" s="10">
        <f t="shared" si="83"/>
        <v>15000</v>
      </c>
      <c r="AL215" s="10">
        <f t="shared" si="84"/>
        <v>0</v>
      </c>
      <c r="AM215" s="65">
        <f t="shared" si="85"/>
        <v>450000</v>
      </c>
      <c r="AN215" s="87">
        <f t="shared" si="86"/>
        <v>44115</v>
      </c>
      <c r="AO215" s="13">
        <f t="shared" si="86"/>
        <v>44116</v>
      </c>
      <c r="AP215" s="13">
        <f t="shared" si="86"/>
        <v>44117</v>
      </c>
      <c r="AQ215" s="13">
        <f t="shared" si="86"/>
        <v>44118</v>
      </c>
      <c r="AR215" s="13">
        <f t="shared" si="86"/>
        <v>44119</v>
      </c>
      <c r="AS215" s="13">
        <f t="shared" si="86"/>
        <v>44120</v>
      </c>
      <c r="AT215" s="13">
        <f t="shared" si="86"/>
        <v>44121</v>
      </c>
      <c r="AU215" s="88">
        <f t="shared" si="87"/>
        <v>112500</v>
      </c>
      <c r="AV215" s="67">
        <f t="shared" si="88"/>
        <v>99000</v>
      </c>
      <c r="AW215" s="67">
        <f t="shared" si="89"/>
        <v>36000</v>
      </c>
      <c r="AX215" s="67">
        <f t="shared" si="90"/>
        <v>22500</v>
      </c>
      <c r="AY215" s="67">
        <f t="shared" si="91"/>
        <v>22500</v>
      </c>
      <c r="AZ215" s="67">
        <f t="shared" si="92"/>
        <v>67500</v>
      </c>
      <c r="BA215" s="90">
        <f t="shared" si="93"/>
        <v>90000</v>
      </c>
    </row>
    <row r="216" spans="1:53" s="6" customFormat="1" ht="13.2">
      <c r="A216" s="6">
        <v>11</v>
      </c>
      <c r="B216" s="13">
        <f t="shared" si="74"/>
        <v>44128</v>
      </c>
      <c r="C216" s="10">
        <f t="shared" si="74"/>
        <v>2</v>
      </c>
      <c r="D216" s="10">
        <f t="shared" si="75"/>
        <v>25000</v>
      </c>
      <c r="E216" s="65">
        <f t="shared" si="76"/>
        <v>40</v>
      </c>
      <c r="F216" s="10">
        <f t="shared" si="77"/>
        <v>28949.999999999996</v>
      </c>
      <c r="G216" s="83">
        <f t="shared" si="78"/>
        <v>21050.000000000004</v>
      </c>
      <c r="H216" s="10">
        <f t="shared" si="79"/>
        <v>21050.000000000004</v>
      </c>
      <c r="I216" s="85">
        <f t="shared" si="94"/>
        <v>7.1428571428571423</v>
      </c>
      <c r="J216" s="80">
        <f t="shared" si="94"/>
        <v>7.1428571428571423</v>
      </c>
      <c r="K216" s="80">
        <f t="shared" si="94"/>
        <v>7.1428571428571423</v>
      </c>
      <c r="L216" s="80">
        <f t="shared" si="94"/>
        <v>7.1428571428571423</v>
      </c>
      <c r="M216" s="80">
        <f t="shared" si="94"/>
        <v>7.1428571428571423</v>
      </c>
      <c r="N216" s="80">
        <f t="shared" si="94"/>
        <v>7.1428571428571423</v>
      </c>
      <c r="O216" s="80">
        <f t="shared" si="94"/>
        <v>7.1428571428571423</v>
      </c>
      <c r="P216" s="85" cm="1">
        <f t="array" ref="P216">INDEX($M$131:$M$174,$A216)+SUM($I216:I216)</f>
        <v>28907.142857142855</v>
      </c>
      <c r="Q216" s="80" cm="1">
        <f t="array" ref="Q216">INDEX($M$131:$M$174,$A216)+SUM($I216:J216)</f>
        <v>28914.28571428571</v>
      </c>
      <c r="R216" s="80" cm="1">
        <f t="array" ref="R216">INDEX($M$131:$M$174,$A216)+SUM($I216:K216)</f>
        <v>28921.428571428569</v>
      </c>
      <c r="S216" s="80" cm="1">
        <f t="array" ref="S216">INDEX($M$131:$M$174,$A216)+SUM($I216:L216)</f>
        <v>28928.571428571424</v>
      </c>
      <c r="T216" s="80" cm="1">
        <f t="array" ref="T216">INDEX($M$131:$M$174,$A216)+SUM($I216:M216)</f>
        <v>28935.714285714283</v>
      </c>
      <c r="U216" s="80" cm="1">
        <f t="array" ref="U216">INDEX($M$131:$M$174,$A216)+SUM($I216:N216)</f>
        <v>28942.857142857138</v>
      </c>
      <c r="V216" s="80" cm="1">
        <f t="array" ref="V216">INDEX($M$131:$M$174,$A216)+SUM($I216:O216)</f>
        <v>28949.999999999996</v>
      </c>
      <c r="W216" s="85">
        <f t="shared" ref="W216:AC225" si="95">W$203*$D216</f>
        <v>6250</v>
      </c>
      <c r="X216" s="80">
        <f t="shared" si="95"/>
        <v>5500</v>
      </c>
      <c r="Y216" s="80">
        <f t="shared" si="95"/>
        <v>2000</v>
      </c>
      <c r="Z216" s="80">
        <f t="shared" si="95"/>
        <v>1250</v>
      </c>
      <c r="AA216" s="80">
        <f t="shared" si="95"/>
        <v>1250</v>
      </c>
      <c r="AB216" s="80">
        <f t="shared" si="95"/>
        <v>3750</v>
      </c>
      <c r="AC216" s="80">
        <f t="shared" si="95"/>
        <v>5000</v>
      </c>
      <c r="AD216" s="85">
        <f t="shared" si="82"/>
        <v>6250</v>
      </c>
      <c r="AE216" s="80">
        <f>MIN($G216-SUM($AD216:AD216),X216)</f>
        <v>5500</v>
      </c>
      <c r="AF216" s="80">
        <f>MIN($G216-SUM($AD216:AE216),Y216)</f>
        <v>2000</v>
      </c>
      <c r="AG216" s="80">
        <f>MIN($G216-SUM($AD216:AF216),Z216)</f>
        <v>1250</v>
      </c>
      <c r="AH216" s="80">
        <f>MIN($G216-SUM($AD216:AG216),AA216)</f>
        <v>1250</v>
      </c>
      <c r="AI216" s="80">
        <f>MIN($G216-SUM($AD216:AH216),AB216)</f>
        <v>3750</v>
      </c>
      <c r="AJ216" s="86">
        <f>MIN($G216-SUM($AD216:AI216),AC216)</f>
        <v>1050.0000000000036</v>
      </c>
      <c r="AK216" s="10">
        <f t="shared" si="83"/>
        <v>21050.000000000004</v>
      </c>
      <c r="AL216" s="10">
        <f t="shared" si="84"/>
        <v>0</v>
      </c>
      <c r="AM216" s="65">
        <f t="shared" si="85"/>
        <v>842000.00000000012</v>
      </c>
      <c r="AN216" s="87">
        <f t="shared" ref="AN216:AT225" si="96">$B216+AN$205</f>
        <v>44122</v>
      </c>
      <c r="AO216" s="13">
        <f t="shared" si="96"/>
        <v>44123</v>
      </c>
      <c r="AP216" s="13">
        <f t="shared" si="96"/>
        <v>44124</v>
      </c>
      <c r="AQ216" s="13">
        <f t="shared" si="96"/>
        <v>44125</v>
      </c>
      <c r="AR216" s="13">
        <f t="shared" si="96"/>
        <v>44126</v>
      </c>
      <c r="AS216" s="13">
        <f t="shared" si="96"/>
        <v>44127</v>
      </c>
      <c r="AT216" s="13">
        <f t="shared" si="96"/>
        <v>44128</v>
      </c>
      <c r="AU216" s="88">
        <f t="shared" si="87"/>
        <v>250000</v>
      </c>
      <c r="AV216" s="67">
        <f t="shared" si="88"/>
        <v>220000</v>
      </c>
      <c r="AW216" s="67">
        <f t="shared" si="89"/>
        <v>80000</v>
      </c>
      <c r="AX216" s="67">
        <f t="shared" si="90"/>
        <v>50000</v>
      </c>
      <c r="AY216" s="67">
        <f t="shared" si="91"/>
        <v>50000</v>
      </c>
      <c r="AZ216" s="67">
        <f t="shared" si="92"/>
        <v>150000</v>
      </c>
      <c r="BA216" s="90">
        <f t="shared" si="93"/>
        <v>42000.000000000146</v>
      </c>
    </row>
    <row r="217" spans="1:53" s="6" customFormat="1" ht="13.2">
      <c r="A217" s="6">
        <v>12</v>
      </c>
      <c r="B217" s="13">
        <f t="shared" si="74"/>
        <v>44135</v>
      </c>
      <c r="C217" s="10">
        <f t="shared" si="74"/>
        <v>1</v>
      </c>
      <c r="D217" s="10">
        <f t="shared" si="75"/>
        <v>15000</v>
      </c>
      <c r="E217" s="65">
        <f t="shared" si="76"/>
        <v>30</v>
      </c>
      <c r="F217" s="10">
        <f t="shared" si="77"/>
        <v>28999.999999999996</v>
      </c>
      <c r="G217" s="83">
        <f t="shared" si="78"/>
        <v>21000.000000000004</v>
      </c>
      <c r="H217" s="10">
        <f t="shared" si="79"/>
        <v>15000</v>
      </c>
      <c r="I217" s="85">
        <f t="shared" si="94"/>
        <v>7.1428571428571423</v>
      </c>
      <c r="J217" s="80">
        <f t="shared" si="94"/>
        <v>7.1428571428571423</v>
      </c>
      <c r="K217" s="80">
        <f t="shared" si="94"/>
        <v>7.1428571428571423</v>
      </c>
      <c r="L217" s="80">
        <f t="shared" si="94"/>
        <v>7.1428571428571423</v>
      </c>
      <c r="M217" s="80">
        <f t="shared" si="94"/>
        <v>7.1428571428571423</v>
      </c>
      <c r="N217" s="80">
        <f t="shared" si="94"/>
        <v>7.1428571428571423</v>
      </c>
      <c r="O217" s="80">
        <f t="shared" si="94"/>
        <v>7.1428571428571423</v>
      </c>
      <c r="P217" s="85" cm="1">
        <f t="array" ref="P217">INDEX($M$131:$M$174,$A217)+SUM($I217:I217)</f>
        <v>28957.142857142855</v>
      </c>
      <c r="Q217" s="80" cm="1">
        <f t="array" ref="Q217">INDEX($M$131:$M$174,$A217)+SUM($I217:J217)</f>
        <v>28964.28571428571</v>
      </c>
      <c r="R217" s="80" cm="1">
        <f t="array" ref="R217">INDEX($M$131:$M$174,$A217)+SUM($I217:K217)</f>
        <v>28971.428571428569</v>
      </c>
      <c r="S217" s="80" cm="1">
        <f t="array" ref="S217">INDEX($M$131:$M$174,$A217)+SUM($I217:L217)</f>
        <v>28978.571428571424</v>
      </c>
      <c r="T217" s="80" cm="1">
        <f t="array" ref="T217">INDEX($M$131:$M$174,$A217)+SUM($I217:M217)</f>
        <v>28985.714285714283</v>
      </c>
      <c r="U217" s="80" cm="1">
        <f t="array" ref="U217">INDEX($M$131:$M$174,$A217)+SUM($I217:N217)</f>
        <v>28992.857142857138</v>
      </c>
      <c r="V217" s="80" cm="1">
        <f t="array" ref="V217">INDEX($M$131:$M$174,$A217)+SUM($I217:O217)</f>
        <v>28999.999999999996</v>
      </c>
      <c r="W217" s="85">
        <f t="shared" si="95"/>
        <v>3750</v>
      </c>
      <c r="X217" s="80">
        <f t="shared" si="95"/>
        <v>3300</v>
      </c>
      <c r="Y217" s="80">
        <f t="shared" si="95"/>
        <v>1200</v>
      </c>
      <c r="Z217" s="80">
        <f t="shared" si="95"/>
        <v>750</v>
      </c>
      <c r="AA217" s="80">
        <f t="shared" si="95"/>
        <v>750</v>
      </c>
      <c r="AB217" s="80">
        <f t="shared" si="95"/>
        <v>2250</v>
      </c>
      <c r="AC217" s="80">
        <f t="shared" si="95"/>
        <v>3000</v>
      </c>
      <c r="AD217" s="85">
        <f t="shared" si="82"/>
        <v>3750</v>
      </c>
      <c r="AE217" s="80">
        <f>MIN($G217-SUM($AD217:AD217),X217)</f>
        <v>3300</v>
      </c>
      <c r="AF217" s="80">
        <f>MIN($G217-SUM($AD217:AE217),Y217)</f>
        <v>1200</v>
      </c>
      <c r="AG217" s="80">
        <f>MIN($G217-SUM($AD217:AF217),Z217)</f>
        <v>750</v>
      </c>
      <c r="AH217" s="80">
        <f>MIN($G217-SUM($AD217:AG217),AA217)</f>
        <v>750</v>
      </c>
      <c r="AI217" s="80">
        <f>MIN($G217-SUM($AD217:AH217),AB217)</f>
        <v>2250</v>
      </c>
      <c r="AJ217" s="86">
        <f>MIN($G217-SUM($AD217:AI217),AC217)</f>
        <v>3000</v>
      </c>
      <c r="AK217" s="10">
        <f t="shared" si="83"/>
        <v>15000</v>
      </c>
      <c r="AL217" s="10">
        <f t="shared" si="84"/>
        <v>0</v>
      </c>
      <c r="AM217" s="65">
        <f t="shared" si="85"/>
        <v>450000</v>
      </c>
      <c r="AN217" s="87">
        <f t="shared" si="96"/>
        <v>44129</v>
      </c>
      <c r="AO217" s="13">
        <f t="shared" si="96"/>
        <v>44130</v>
      </c>
      <c r="AP217" s="13">
        <f t="shared" si="96"/>
        <v>44131</v>
      </c>
      <c r="AQ217" s="13">
        <f t="shared" si="96"/>
        <v>44132</v>
      </c>
      <c r="AR217" s="13">
        <f t="shared" si="96"/>
        <v>44133</v>
      </c>
      <c r="AS217" s="13">
        <f t="shared" si="96"/>
        <v>44134</v>
      </c>
      <c r="AT217" s="13">
        <f t="shared" si="96"/>
        <v>44135</v>
      </c>
      <c r="AU217" s="88">
        <f t="shared" si="87"/>
        <v>112500</v>
      </c>
      <c r="AV217" s="67">
        <f t="shared" si="88"/>
        <v>99000</v>
      </c>
      <c r="AW217" s="67">
        <f t="shared" si="89"/>
        <v>36000</v>
      </c>
      <c r="AX217" s="67">
        <f t="shared" si="90"/>
        <v>22500</v>
      </c>
      <c r="AY217" s="67">
        <f t="shared" si="91"/>
        <v>22500</v>
      </c>
      <c r="AZ217" s="67">
        <f t="shared" si="92"/>
        <v>67500</v>
      </c>
      <c r="BA217" s="90">
        <f t="shared" si="93"/>
        <v>90000</v>
      </c>
    </row>
    <row r="218" spans="1:53" s="6" customFormat="1" ht="13.2">
      <c r="A218" s="6">
        <v>13</v>
      </c>
      <c r="B218" s="13">
        <f t="shared" si="74"/>
        <v>44142</v>
      </c>
      <c r="C218" s="10">
        <f t="shared" si="74"/>
        <v>4</v>
      </c>
      <c r="D218" s="10">
        <f t="shared" si="75"/>
        <v>40000</v>
      </c>
      <c r="E218" s="65">
        <f t="shared" si="76"/>
        <v>60</v>
      </c>
      <c r="F218" s="10">
        <f t="shared" si="77"/>
        <v>29049.999999999996</v>
      </c>
      <c r="G218" s="83">
        <f t="shared" si="78"/>
        <v>20950.000000000004</v>
      </c>
      <c r="H218" s="10">
        <f t="shared" si="79"/>
        <v>20950.000000000004</v>
      </c>
      <c r="I218" s="85">
        <f t="shared" si="94"/>
        <v>7.1428571428571423</v>
      </c>
      <c r="J218" s="80">
        <f t="shared" si="94"/>
        <v>7.1428571428571423</v>
      </c>
      <c r="K218" s="80">
        <f t="shared" si="94"/>
        <v>7.1428571428571423</v>
      </c>
      <c r="L218" s="80">
        <f t="shared" si="94"/>
        <v>7.1428571428571423</v>
      </c>
      <c r="M218" s="80">
        <f t="shared" si="94"/>
        <v>7.1428571428571423</v>
      </c>
      <c r="N218" s="80">
        <f t="shared" si="94"/>
        <v>7.1428571428571423</v>
      </c>
      <c r="O218" s="80">
        <f t="shared" si="94"/>
        <v>7.1428571428571423</v>
      </c>
      <c r="P218" s="85" cm="1">
        <f t="array" ref="P218">INDEX($M$131:$M$174,$A218)+SUM($I218:I218)</f>
        <v>29007.142857142855</v>
      </c>
      <c r="Q218" s="80" cm="1">
        <f t="array" ref="Q218">INDEX($M$131:$M$174,$A218)+SUM($I218:J218)</f>
        <v>29014.28571428571</v>
      </c>
      <c r="R218" s="80" cm="1">
        <f t="array" ref="R218">INDEX($M$131:$M$174,$A218)+SUM($I218:K218)</f>
        <v>29021.428571428569</v>
      </c>
      <c r="S218" s="80" cm="1">
        <f t="array" ref="S218">INDEX($M$131:$M$174,$A218)+SUM($I218:L218)</f>
        <v>29028.571428571424</v>
      </c>
      <c r="T218" s="80" cm="1">
        <f t="array" ref="T218">INDEX($M$131:$M$174,$A218)+SUM($I218:M218)</f>
        <v>29035.714285714283</v>
      </c>
      <c r="U218" s="80" cm="1">
        <f t="array" ref="U218">INDEX($M$131:$M$174,$A218)+SUM($I218:N218)</f>
        <v>29042.857142857138</v>
      </c>
      <c r="V218" s="80" cm="1">
        <f t="array" ref="V218">INDEX($M$131:$M$174,$A218)+SUM($I218:O218)</f>
        <v>29049.999999999996</v>
      </c>
      <c r="W218" s="85">
        <f t="shared" si="95"/>
        <v>10000</v>
      </c>
      <c r="X218" s="80">
        <f t="shared" si="95"/>
        <v>8800</v>
      </c>
      <c r="Y218" s="80">
        <f t="shared" si="95"/>
        <v>3200</v>
      </c>
      <c r="Z218" s="80">
        <f t="shared" si="95"/>
        <v>2000</v>
      </c>
      <c r="AA218" s="80">
        <f t="shared" si="95"/>
        <v>2000</v>
      </c>
      <c r="AB218" s="80">
        <f t="shared" si="95"/>
        <v>6000</v>
      </c>
      <c r="AC218" s="80">
        <f t="shared" si="95"/>
        <v>8000</v>
      </c>
      <c r="AD218" s="85">
        <f t="shared" si="82"/>
        <v>10000</v>
      </c>
      <c r="AE218" s="80">
        <f>MIN($G218-SUM($AD218:AD218),X218)</f>
        <v>8800</v>
      </c>
      <c r="AF218" s="80">
        <f>MIN($G218-SUM($AD218:AE218),Y218)</f>
        <v>2150.0000000000036</v>
      </c>
      <c r="AG218" s="80">
        <f>MIN($G218-SUM($AD218:AF218),Z218)</f>
        <v>0</v>
      </c>
      <c r="AH218" s="80">
        <f>MIN($G218-SUM($AD218:AG218),AA218)</f>
        <v>0</v>
      </c>
      <c r="AI218" s="80">
        <f>MIN($G218-SUM($AD218:AH218),AB218)</f>
        <v>0</v>
      </c>
      <c r="AJ218" s="86">
        <f>MIN($G218-SUM($AD218:AI218),AC218)</f>
        <v>0</v>
      </c>
      <c r="AK218" s="10">
        <f t="shared" si="83"/>
        <v>20950.000000000004</v>
      </c>
      <c r="AL218" s="10">
        <f t="shared" si="84"/>
        <v>0</v>
      </c>
      <c r="AM218" s="65">
        <f t="shared" si="85"/>
        <v>1257000.0000000002</v>
      </c>
      <c r="AN218" s="87">
        <f t="shared" si="96"/>
        <v>44136</v>
      </c>
      <c r="AO218" s="13">
        <f t="shared" si="96"/>
        <v>44137</v>
      </c>
      <c r="AP218" s="13">
        <f t="shared" si="96"/>
        <v>44138</v>
      </c>
      <c r="AQ218" s="13">
        <f t="shared" si="96"/>
        <v>44139</v>
      </c>
      <c r="AR218" s="13">
        <f t="shared" si="96"/>
        <v>44140</v>
      </c>
      <c r="AS218" s="13">
        <f t="shared" si="96"/>
        <v>44141</v>
      </c>
      <c r="AT218" s="13">
        <f t="shared" si="96"/>
        <v>44142</v>
      </c>
      <c r="AU218" s="88">
        <f t="shared" si="87"/>
        <v>600000</v>
      </c>
      <c r="AV218" s="67">
        <f t="shared" si="88"/>
        <v>528000</v>
      </c>
      <c r="AW218" s="67">
        <f t="shared" si="89"/>
        <v>129000.00000000022</v>
      </c>
      <c r="AX218" s="67">
        <f t="shared" si="90"/>
        <v>0</v>
      </c>
      <c r="AY218" s="67">
        <f t="shared" si="91"/>
        <v>0</v>
      </c>
      <c r="AZ218" s="67">
        <f t="shared" si="92"/>
        <v>0</v>
      </c>
      <c r="BA218" s="90">
        <f t="shared" si="93"/>
        <v>0</v>
      </c>
    </row>
    <row r="219" spans="1:53" s="6" customFormat="1" ht="13.2">
      <c r="A219" s="6">
        <v>14</v>
      </c>
      <c r="B219" s="13">
        <f t="shared" si="74"/>
        <v>44149</v>
      </c>
      <c r="C219" s="10">
        <f t="shared" si="74"/>
        <v>1</v>
      </c>
      <c r="D219" s="10">
        <f t="shared" si="75"/>
        <v>15000</v>
      </c>
      <c r="E219" s="65">
        <f t="shared" si="76"/>
        <v>30</v>
      </c>
      <c r="F219" s="10">
        <f t="shared" si="77"/>
        <v>29099.999999999996</v>
      </c>
      <c r="G219" s="83">
        <f t="shared" si="78"/>
        <v>20900.000000000004</v>
      </c>
      <c r="H219" s="10">
        <f t="shared" si="79"/>
        <v>15000</v>
      </c>
      <c r="I219" s="85">
        <f t="shared" si="94"/>
        <v>7.1428571428571423</v>
      </c>
      <c r="J219" s="80">
        <f t="shared" si="94"/>
        <v>7.1428571428571423</v>
      </c>
      <c r="K219" s="80">
        <f t="shared" si="94"/>
        <v>7.1428571428571423</v>
      </c>
      <c r="L219" s="80">
        <f t="shared" si="94"/>
        <v>7.1428571428571423</v>
      </c>
      <c r="M219" s="80">
        <f t="shared" si="94"/>
        <v>7.1428571428571423</v>
      </c>
      <c r="N219" s="80">
        <f t="shared" si="94"/>
        <v>7.1428571428571423</v>
      </c>
      <c r="O219" s="80">
        <f t="shared" si="94"/>
        <v>7.1428571428571423</v>
      </c>
      <c r="P219" s="85" cm="1">
        <f t="array" ref="P219">INDEX($M$131:$M$174,$A219)+SUM($I219:I219)</f>
        <v>29057.142857142855</v>
      </c>
      <c r="Q219" s="80" cm="1">
        <f t="array" ref="Q219">INDEX($M$131:$M$174,$A219)+SUM($I219:J219)</f>
        <v>29064.28571428571</v>
      </c>
      <c r="R219" s="80" cm="1">
        <f t="array" ref="R219">INDEX($M$131:$M$174,$A219)+SUM($I219:K219)</f>
        <v>29071.428571428569</v>
      </c>
      <c r="S219" s="80" cm="1">
        <f t="array" ref="S219">INDEX($M$131:$M$174,$A219)+SUM($I219:L219)</f>
        <v>29078.571428571424</v>
      </c>
      <c r="T219" s="80" cm="1">
        <f t="array" ref="T219">INDEX($M$131:$M$174,$A219)+SUM($I219:M219)</f>
        <v>29085.714285714283</v>
      </c>
      <c r="U219" s="80" cm="1">
        <f t="array" ref="U219">INDEX($M$131:$M$174,$A219)+SUM($I219:N219)</f>
        <v>29092.857142857138</v>
      </c>
      <c r="V219" s="80" cm="1">
        <f t="array" ref="V219">INDEX($M$131:$M$174,$A219)+SUM($I219:O219)</f>
        <v>29099.999999999996</v>
      </c>
      <c r="W219" s="85">
        <f t="shared" si="95"/>
        <v>3750</v>
      </c>
      <c r="X219" s="80">
        <f t="shared" si="95"/>
        <v>3300</v>
      </c>
      <c r="Y219" s="80">
        <f t="shared" si="95"/>
        <v>1200</v>
      </c>
      <c r="Z219" s="80">
        <f t="shared" si="95"/>
        <v>750</v>
      </c>
      <c r="AA219" s="80">
        <f t="shared" si="95"/>
        <v>750</v>
      </c>
      <c r="AB219" s="80">
        <f t="shared" si="95"/>
        <v>2250</v>
      </c>
      <c r="AC219" s="80">
        <f t="shared" si="95"/>
        <v>3000</v>
      </c>
      <c r="AD219" s="85">
        <f t="shared" si="82"/>
        <v>3750</v>
      </c>
      <c r="AE219" s="80">
        <f>MIN($G219-SUM($AD219:AD219),X219)</f>
        <v>3300</v>
      </c>
      <c r="AF219" s="80">
        <f>MIN($G219-SUM($AD219:AE219),Y219)</f>
        <v>1200</v>
      </c>
      <c r="AG219" s="80">
        <f>MIN($G219-SUM($AD219:AF219),Z219)</f>
        <v>750</v>
      </c>
      <c r="AH219" s="80">
        <f>MIN($G219-SUM($AD219:AG219),AA219)</f>
        <v>750</v>
      </c>
      <c r="AI219" s="80">
        <f>MIN($G219-SUM($AD219:AH219),AB219)</f>
        <v>2250</v>
      </c>
      <c r="AJ219" s="86">
        <f>MIN($G219-SUM($AD219:AI219),AC219)</f>
        <v>3000</v>
      </c>
      <c r="AK219" s="10">
        <f t="shared" si="83"/>
        <v>15000</v>
      </c>
      <c r="AL219" s="10">
        <f t="shared" si="84"/>
        <v>0</v>
      </c>
      <c r="AM219" s="65">
        <f t="shared" si="85"/>
        <v>450000</v>
      </c>
      <c r="AN219" s="87">
        <f t="shared" si="96"/>
        <v>44143</v>
      </c>
      <c r="AO219" s="13">
        <f t="shared" si="96"/>
        <v>44144</v>
      </c>
      <c r="AP219" s="13">
        <f t="shared" si="96"/>
        <v>44145</v>
      </c>
      <c r="AQ219" s="13">
        <f t="shared" si="96"/>
        <v>44146</v>
      </c>
      <c r="AR219" s="13">
        <f t="shared" si="96"/>
        <v>44147</v>
      </c>
      <c r="AS219" s="13">
        <f t="shared" si="96"/>
        <v>44148</v>
      </c>
      <c r="AT219" s="13">
        <f t="shared" si="96"/>
        <v>44149</v>
      </c>
      <c r="AU219" s="88">
        <f t="shared" si="87"/>
        <v>112500</v>
      </c>
      <c r="AV219" s="67">
        <f t="shared" si="88"/>
        <v>99000</v>
      </c>
      <c r="AW219" s="67">
        <f t="shared" si="89"/>
        <v>36000</v>
      </c>
      <c r="AX219" s="67">
        <f t="shared" si="90"/>
        <v>22500</v>
      </c>
      <c r="AY219" s="67">
        <f t="shared" si="91"/>
        <v>22500</v>
      </c>
      <c r="AZ219" s="67">
        <f t="shared" si="92"/>
        <v>67500</v>
      </c>
      <c r="BA219" s="90">
        <f t="shared" si="93"/>
        <v>90000</v>
      </c>
    </row>
    <row r="220" spans="1:53" s="6" customFormat="1" ht="13.2">
      <c r="A220" s="6">
        <v>15</v>
      </c>
      <c r="B220" s="13">
        <f t="shared" si="74"/>
        <v>44156</v>
      </c>
      <c r="C220" s="10">
        <f t="shared" si="74"/>
        <v>2</v>
      </c>
      <c r="D220" s="10">
        <f t="shared" si="75"/>
        <v>25000</v>
      </c>
      <c r="E220" s="65">
        <f t="shared" si="76"/>
        <v>40</v>
      </c>
      <c r="F220" s="10">
        <f t="shared" si="77"/>
        <v>29149.999999999996</v>
      </c>
      <c r="G220" s="83">
        <f t="shared" si="78"/>
        <v>20850.000000000004</v>
      </c>
      <c r="H220" s="10">
        <f t="shared" si="79"/>
        <v>20850.000000000004</v>
      </c>
      <c r="I220" s="85">
        <f t="shared" si="94"/>
        <v>7.1428571428571423</v>
      </c>
      <c r="J220" s="80">
        <f t="shared" si="94"/>
        <v>7.1428571428571423</v>
      </c>
      <c r="K220" s="80">
        <f t="shared" si="94"/>
        <v>7.1428571428571423</v>
      </c>
      <c r="L220" s="80">
        <f t="shared" si="94"/>
        <v>7.1428571428571423</v>
      </c>
      <c r="M220" s="80">
        <f t="shared" si="94"/>
        <v>7.1428571428571423</v>
      </c>
      <c r="N220" s="80">
        <f t="shared" si="94"/>
        <v>7.1428571428571423</v>
      </c>
      <c r="O220" s="80">
        <f t="shared" si="94"/>
        <v>7.1428571428571423</v>
      </c>
      <c r="P220" s="85" cm="1">
        <f t="array" ref="P220">INDEX($M$131:$M$174,$A220)+SUM($I220:I220)</f>
        <v>29107.142857142855</v>
      </c>
      <c r="Q220" s="80" cm="1">
        <f t="array" ref="Q220">INDEX($M$131:$M$174,$A220)+SUM($I220:J220)</f>
        <v>29114.28571428571</v>
      </c>
      <c r="R220" s="80" cm="1">
        <f t="array" ref="R220">INDEX($M$131:$M$174,$A220)+SUM($I220:K220)</f>
        <v>29121.428571428569</v>
      </c>
      <c r="S220" s="80" cm="1">
        <f t="array" ref="S220">INDEX($M$131:$M$174,$A220)+SUM($I220:L220)</f>
        <v>29128.571428571424</v>
      </c>
      <c r="T220" s="80" cm="1">
        <f t="array" ref="T220">INDEX($M$131:$M$174,$A220)+SUM($I220:M220)</f>
        <v>29135.714285714283</v>
      </c>
      <c r="U220" s="80" cm="1">
        <f t="array" ref="U220">INDEX($M$131:$M$174,$A220)+SUM($I220:N220)</f>
        <v>29142.857142857138</v>
      </c>
      <c r="V220" s="80" cm="1">
        <f t="array" ref="V220">INDEX($M$131:$M$174,$A220)+SUM($I220:O220)</f>
        <v>29149.999999999996</v>
      </c>
      <c r="W220" s="85">
        <f t="shared" si="95"/>
        <v>6250</v>
      </c>
      <c r="X220" s="80">
        <f t="shared" si="95"/>
        <v>5500</v>
      </c>
      <c r="Y220" s="80">
        <f t="shared" si="95"/>
        <v>2000</v>
      </c>
      <c r="Z220" s="80">
        <f t="shared" si="95"/>
        <v>1250</v>
      </c>
      <c r="AA220" s="80">
        <f t="shared" si="95"/>
        <v>1250</v>
      </c>
      <c r="AB220" s="80">
        <f t="shared" si="95"/>
        <v>3750</v>
      </c>
      <c r="AC220" s="80">
        <f t="shared" si="95"/>
        <v>5000</v>
      </c>
      <c r="AD220" s="85">
        <f t="shared" si="82"/>
        <v>6250</v>
      </c>
      <c r="AE220" s="80">
        <f>MIN($G220-SUM($AD220:AD220),X220)</f>
        <v>5500</v>
      </c>
      <c r="AF220" s="80">
        <f>MIN($G220-SUM($AD220:AE220),Y220)</f>
        <v>2000</v>
      </c>
      <c r="AG220" s="80">
        <f>MIN($G220-SUM($AD220:AF220),Z220)</f>
        <v>1250</v>
      </c>
      <c r="AH220" s="80">
        <f>MIN($G220-SUM($AD220:AG220),AA220)</f>
        <v>1250</v>
      </c>
      <c r="AI220" s="80">
        <f>MIN($G220-SUM($AD220:AH220),AB220)</f>
        <v>3750</v>
      </c>
      <c r="AJ220" s="86">
        <f>MIN($G220-SUM($AD220:AI220),AC220)</f>
        <v>850.00000000000364</v>
      </c>
      <c r="AK220" s="10">
        <f t="shared" si="83"/>
        <v>20850.000000000004</v>
      </c>
      <c r="AL220" s="10">
        <f t="shared" si="84"/>
        <v>0</v>
      </c>
      <c r="AM220" s="65">
        <f t="shared" si="85"/>
        <v>834000.00000000012</v>
      </c>
      <c r="AN220" s="87">
        <f t="shared" si="96"/>
        <v>44150</v>
      </c>
      <c r="AO220" s="13">
        <f t="shared" si="96"/>
        <v>44151</v>
      </c>
      <c r="AP220" s="13">
        <f t="shared" si="96"/>
        <v>44152</v>
      </c>
      <c r="AQ220" s="13">
        <f t="shared" si="96"/>
        <v>44153</v>
      </c>
      <c r="AR220" s="13">
        <f t="shared" si="96"/>
        <v>44154</v>
      </c>
      <c r="AS220" s="13">
        <f t="shared" si="96"/>
        <v>44155</v>
      </c>
      <c r="AT220" s="13">
        <f t="shared" si="96"/>
        <v>44156</v>
      </c>
      <c r="AU220" s="88">
        <f t="shared" si="87"/>
        <v>250000</v>
      </c>
      <c r="AV220" s="67">
        <f t="shared" si="88"/>
        <v>220000</v>
      </c>
      <c r="AW220" s="67">
        <f t="shared" si="89"/>
        <v>80000</v>
      </c>
      <c r="AX220" s="67">
        <f t="shared" si="90"/>
        <v>50000</v>
      </c>
      <c r="AY220" s="67">
        <f t="shared" si="91"/>
        <v>50000</v>
      </c>
      <c r="AZ220" s="67">
        <f t="shared" si="92"/>
        <v>150000</v>
      </c>
      <c r="BA220" s="90">
        <f t="shared" si="93"/>
        <v>34000.000000000146</v>
      </c>
    </row>
    <row r="221" spans="1:53" s="6" customFormat="1" ht="13.2">
      <c r="A221" s="6">
        <v>16</v>
      </c>
      <c r="B221" s="13">
        <f t="shared" si="74"/>
        <v>44163</v>
      </c>
      <c r="C221" s="10">
        <f t="shared" si="74"/>
        <v>2</v>
      </c>
      <c r="D221" s="10">
        <f t="shared" si="75"/>
        <v>25000</v>
      </c>
      <c r="E221" s="65">
        <f t="shared" si="76"/>
        <v>40</v>
      </c>
      <c r="F221" s="10">
        <f t="shared" si="77"/>
        <v>29199.999999999996</v>
      </c>
      <c r="G221" s="83">
        <f t="shared" si="78"/>
        <v>20800.000000000004</v>
      </c>
      <c r="H221" s="10">
        <f t="shared" si="79"/>
        <v>20800.000000000004</v>
      </c>
      <c r="I221" s="85">
        <f t="shared" si="94"/>
        <v>7.1428571428571423</v>
      </c>
      <c r="J221" s="80">
        <f t="shared" si="94"/>
        <v>7.1428571428571423</v>
      </c>
      <c r="K221" s="80">
        <f t="shared" si="94"/>
        <v>7.1428571428571423</v>
      </c>
      <c r="L221" s="80">
        <f t="shared" si="94"/>
        <v>7.1428571428571423</v>
      </c>
      <c r="M221" s="80">
        <f t="shared" si="94"/>
        <v>7.1428571428571423</v>
      </c>
      <c r="N221" s="80">
        <f t="shared" si="94"/>
        <v>7.1428571428571423</v>
      </c>
      <c r="O221" s="80">
        <f t="shared" si="94"/>
        <v>7.1428571428571423</v>
      </c>
      <c r="P221" s="85" cm="1">
        <f t="array" ref="P221">INDEX($M$131:$M$174,$A221)+SUM($I221:I221)</f>
        <v>29157.142857142855</v>
      </c>
      <c r="Q221" s="80" cm="1">
        <f t="array" ref="Q221">INDEX($M$131:$M$174,$A221)+SUM($I221:J221)</f>
        <v>29164.28571428571</v>
      </c>
      <c r="R221" s="80" cm="1">
        <f t="array" ref="R221">INDEX($M$131:$M$174,$A221)+SUM($I221:K221)</f>
        <v>29171.428571428569</v>
      </c>
      <c r="S221" s="80" cm="1">
        <f t="array" ref="S221">INDEX($M$131:$M$174,$A221)+SUM($I221:L221)</f>
        <v>29178.571428571424</v>
      </c>
      <c r="T221" s="80" cm="1">
        <f t="array" ref="T221">INDEX($M$131:$M$174,$A221)+SUM($I221:M221)</f>
        <v>29185.714285714283</v>
      </c>
      <c r="U221" s="80" cm="1">
        <f t="array" ref="U221">INDEX($M$131:$M$174,$A221)+SUM($I221:N221)</f>
        <v>29192.857142857138</v>
      </c>
      <c r="V221" s="80" cm="1">
        <f t="array" ref="V221">INDEX($M$131:$M$174,$A221)+SUM($I221:O221)</f>
        <v>29199.999999999996</v>
      </c>
      <c r="W221" s="85">
        <f t="shared" si="95"/>
        <v>6250</v>
      </c>
      <c r="X221" s="80">
        <f t="shared" si="95"/>
        <v>5500</v>
      </c>
      <c r="Y221" s="80">
        <f t="shared" si="95"/>
        <v>2000</v>
      </c>
      <c r="Z221" s="80">
        <f t="shared" si="95"/>
        <v>1250</v>
      </c>
      <c r="AA221" s="80">
        <f t="shared" si="95"/>
        <v>1250</v>
      </c>
      <c r="AB221" s="80">
        <f t="shared" si="95"/>
        <v>3750</v>
      </c>
      <c r="AC221" s="80">
        <f t="shared" si="95"/>
        <v>5000</v>
      </c>
      <c r="AD221" s="85">
        <f t="shared" si="82"/>
        <v>6250</v>
      </c>
      <c r="AE221" s="80">
        <f>MIN($G221-SUM($AD221:AD221),X221)</f>
        <v>5500</v>
      </c>
      <c r="AF221" s="80">
        <f>MIN($G221-SUM($AD221:AE221),Y221)</f>
        <v>2000</v>
      </c>
      <c r="AG221" s="80">
        <f>MIN($G221-SUM($AD221:AF221),Z221)</f>
        <v>1250</v>
      </c>
      <c r="AH221" s="80">
        <f>MIN($G221-SUM($AD221:AG221),AA221)</f>
        <v>1250</v>
      </c>
      <c r="AI221" s="80">
        <f>MIN($G221-SUM($AD221:AH221),AB221)</f>
        <v>3750</v>
      </c>
      <c r="AJ221" s="86">
        <f>MIN($G221-SUM($AD221:AI221),AC221)</f>
        <v>800.00000000000364</v>
      </c>
      <c r="AK221" s="10">
        <f t="shared" si="83"/>
        <v>20800.000000000004</v>
      </c>
      <c r="AL221" s="10">
        <f t="shared" si="84"/>
        <v>0</v>
      </c>
      <c r="AM221" s="65">
        <f t="shared" si="85"/>
        <v>832000.00000000012</v>
      </c>
      <c r="AN221" s="87">
        <f t="shared" si="96"/>
        <v>44157</v>
      </c>
      <c r="AO221" s="13">
        <f t="shared" si="96"/>
        <v>44158</v>
      </c>
      <c r="AP221" s="13">
        <f t="shared" si="96"/>
        <v>44159</v>
      </c>
      <c r="AQ221" s="13">
        <f t="shared" si="96"/>
        <v>44160</v>
      </c>
      <c r="AR221" s="13">
        <f t="shared" si="96"/>
        <v>44161</v>
      </c>
      <c r="AS221" s="13">
        <f t="shared" si="96"/>
        <v>44162</v>
      </c>
      <c r="AT221" s="13">
        <f t="shared" si="96"/>
        <v>44163</v>
      </c>
      <c r="AU221" s="88">
        <f t="shared" si="87"/>
        <v>250000</v>
      </c>
      <c r="AV221" s="67">
        <f t="shared" si="88"/>
        <v>220000</v>
      </c>
      <c r="AW221" s="67">
        <f t="shared" si="89"/>
        <v>80000</v>
      </c>
      <c r="AX221" s="67">
        <f t="shared" si="90"/>
        <v>50000</v>
      </c>
      <c r="AY221" s="67">
        <f t="shared" si="91"/>
        <v>50000</v>
      </c>
      <c r="AZ221" s="67">
        <f t="shared" si="92"/>
        <v>150000</v>
      </c>
      <c r="BA221" s="90">
        <f t="shared" si="93"/>
        <v>32000.000000000146</v>
      </c>
    </row>
    <row r="222" spans="1:53" s="6" customFormat="1" ht="13.2">
      <c r="A222" s="6">
        <v>17</v>
      </c>
      <c r="B222" s="13">
        <f t="shared" si="74"/>
        <v>44170</v>
      </c>
      <c r="C222" s="10">
        <f t="shared" si="74"/>
        <v>2</v>
      </c>
      <c r="D222" s="10">
        <f t="shared" si="75"/>
        <v>25000</v>
      </c>
      <c r="E222" s="65">
        <f t="shared" si="76"/>
        <v>40</v>
      </c>
      <c r="F222" s="10">
        <f t="shared" si="77"/>
        <v>29249.999999999996</v>
      </c>
      <c r="G222" s="83">
        <f t="shared" si="78"/>
        <v>20750.000000000004</v>
      </c>
      <c r="H222" s="10">
        <f t="shared" si="79"/>
        <v>20750.000000000004</v>
      </c>
      <c r="I222" s="85">
        <f t="shared" si="94"/>
        <v>2.0408163265306118</v>
      </c>
      <c r="J222" s="80">
        <f t="shared" si="94"/>
        <v>2.0408163265306118</v>
      </c>
      <c r="K222" s="80">
        <f t="shared" si="94"/>
        <v>2.0408163265306118</v>
      </c>
      <c r="L222" s="80">
        <f t="shared" si="94"/>
        <v>2.0408163265306118</v>
      </c>
      <c r="M222" s="80">
        <f t="shared" si="94"/>
        <v>2.0408163265306118</v>
      </c>
      <c r="N222" s="80">
        <f t="shared" si="94"/>
        <v>2.0408163265306118</v>
      </c>
      <c r="O222" s="80">
        <f t="shared" si="94"/>
        <v>2.0408163265306118</v>
      </c>
      <c r="P222" s="85" cm="1">
        <f t="array" ref="P222">INDEX($M$131:$M$174,$A222)+SUM($I222:I222)</f>
        <v>29202.040816326527</v>
      </c>
      <c r="Q222" s="80" cm="1">
        <f t="array" ref="Q222">INDEX($M$131:$M$174,$A222)+SUM($I222:J222)</f>
        <v>29204.081632653058</v>
      </c>
      <c r="R222" s="80" cm="1">
        <f t="array" ref="R222">INDEX($M$131:$M$174,$A222)+SUM($I222:K222)</f>
        <v>29206.12244897959</v>
      </c>
      <c r="S222" s="80" cm="1">
        <f t="array" ref="S222">INDEX($M$131:$M$174,$A222)+SUM($I222:L222)</f>
        <v>29208.163265306121</v>
      </c>
      <c r="T222" s="80" cm="1">
        <f t="array" ref="T222">INDEX($M$131:$M$174,$A222)+SUM($I222:M222)</f>
        <v>29210.204081632648</v>
      </c>
      <c r="U222" s="80" cm="1">
        <f t="array" ref="U222">INDEX($M$131:$M$174,$A222)+SUM($I222:N222)</f>
        <v>29212.244897959179</v>
      </c>
      <c r="V222" s="80" cm="1">
        <f t="array" ref="V222">INDEX($M$131:$M$174,$A222)+SUM($I222:O222)</f>
        <v>29214.28571428571</v>
      </c>
      <c r="W222" s="85">
        <f t="shared" si="95"/>
        <v>6250</v>
      </c>
      <c r="X222" s="80">
        <f t="shared" si="95"/>
        <v>5500</v>
      </c>
      <c r="Y222" s="80">
        <f t="shared" si="95"/>
        <v>2000</v>
      </c>
      <c r="Z222" s="80">
        <f t="shared" si="95"/>
        <v>1250</v>
      </c>
      <c r="AA222" s="80">
        <f t="shared" si="95"/>
        <v>1250</v>
      </c>
      <c r="AB222" s="80">
        <f t="shared" si="95"/>
        <v>3750</v>
      </c>
      <c r="AC222" s="80">
        <f t="shared" si="95"/>
        <v>5000</v>
      </c>
      <c r="AD222" s="85">
        <f t="shared" si="82"/>
        <v>6250</v>
      </c>
      <c r="AE222" s="80">
        <f>MIN($G222-SUM($AD222:AD222),X222)</f>
        <v>5500</v>
      </c>
      <c r="AF222" s="80">
        <f>MIN($G222-SUM($AD222:AE222),Y222)</f>
        <v>2000</v>
      </c>
      <c r="AG222" s="80">
        <f>MIN($G222-SUM($AD222:AF222),Z222)</f>
        <v>1250</v>
      </c>
      <c r="AH222" s="80">
        <f>MIN($G222-SUM($AD222:AG222),AA222)</f>
        <v>1250</v>
      </c>
      <c r="AI222" s="80">
        <f>MIN($G222-SUM($AD222:AH222),AB222)</f>
        <v>3750</v>
      </c>
      <c r="AJ222" s="86">
        <f>MIN($G222-SUM($AD222:AI222),AC222)</f>
        <v>750.00000000000364</v>
      </c>
      <c r="AK222" s="10">
        <f t="shared" si="83"/>
        <v>20750.000000000004</v>
      </c>
      <c r="AL222" s="10">
        <f t="shared" si="84"/>
        <v>0</v>
      </c>
      <c r="AM222" s="65">
        <f t="shared" si="85"/>
        <v>830000.00000000012</v>
      </c>
      <c r="AN222" s="87">
        <f t="shared" si="96"/>
        <v>44164</v>
      </c>
      <c r="AO222" s="13">
        <f t="shared" si="96"/>
        <v>44165</v>
      </c>
      <c r="AP222" s="13">
        <f t="shared" si="96"/>
        <v>44166</v>
      </c>
      <c r="AQ222" s="13">
        <f t="shared" si="96"/>
        <v>44167</v>
      </c>
      <c r="AR222" s="13">
        <f t="shared" si="96"/>
        <v>44168</v>
      </c>
      <c r="AS222" s="13">
        <f t="shared" si="96"/>
        <v>44169</v>
      </c>
      <c r="AT222" s="13">
        <f t="shared" si="96"/>
        <v>44170</v>
      </c>
      <c r="AU222" s="88">
        <f t="shared" si="87"/>
        <v>250000</v>
      </c>
      <c r="AV222" s="67">
        <f t="shared" si="88"/>
        <v>220000</v>
      </c>
      <c r="AW222" s="67">
        <f t="shared" si="89"/>
        <v>80000</v>
      </c>
      <c r="AX222" s="67">
        <f t="shared" si="90"/>
        <v>50000</v>
      </c>
      <c r="AY222" s="67">
        <f t="shared" si="91"/>
        <v>50000</v>
      </c>
      <c r="AZ222" s="67">
        <f t="shared" si="92"/>
        <v>150000</v>
      </c>
      <c r="BA222" s="90">
        <f t="shared" si="93"/>
        <v>30000.000000000146</v>
      </c>
    </row>
    <row r="223" spans="1:53" s="6" customFormat="1" ht="13.2">
      <c r="A223" s="6">
        <v>18</v>
      </c>
      <c r="B223" s="13">
        <f t="shared" si="74"/>
        <v>44177</v>
      </c>
      <c r="C223" s="10">
        <f t="shared" si="74"/>
        <v>1</v>
      </c>
      <c r="D223" s="10">
        <f t="shared" si="75"/>
        <v>15000</v>
      </c>
      <c r="E223" s="65">
        <f t="shared" si="76"/>
        <v>30</v>
      </c>
      <c r="F223" s="10">
        <f t="shared" si="77"/>
        <v>29499.999999999996</v>
      </c>
      <c r="G223" s="83">
        <f t="shared" si="78"/>
        <v>20500.000000000004</v>
      </c>
      <c r="H223" s="10">
        <f t="shared" si="79"/>
        <v>15000</v>
      </c>
      <c r="I223" s="85">
        <f t="shared" si="94"/>
        <v>35.714285714285715</v>
      </c>
      <c r="J223" s="80">
        <f t="shared" si="94"/>
        <v>35.714285714285715</v>
      </c>
      <c r="K223" s="80">
        <f t="shared" si="94"/>
        <v>35.714285714285715</v>
      </c>
      <c r="L223" s="80">
        <f t="shared" si="94"/>
        <v>35.714285714285715</v>
      </c>
      <c r="M223" s="80">
        <f t="shared" si="94"/>
        <v>35.714285714285715</v>
      </c>
      <c r="N223" s="80">
        <f t="shared" si="94"/>
        <v>35.714285714285715</v>
      </c>
      <c r="O223" s="80">
        <f t="shared" si="94"/>
        <v>35.714285714285715</v>
      </c>
      <c r="P223" s="85" cm="1">
        <f t="array" ref="P223">INDEX($M$131:$M$174,$A223)+SUM($I223:I223)</f>
        <v>29285.714285714283</v>
      </c>
      <c r="Q223" s="80" cm="1">
        <f t="array" ref="Q223">INDEX($M$131:$M$174,$A223)+SUM($I223:J223)</f>
        <v>29321.428571428569</v>
      </c>
      <c r="R223" s="80" cm="1">
        <f t="array" ref="R223">INDEX($M$131:$M$174,$A223)+SUM($I223:K223)</f>
        <v>29357.142857142855</v>
      </c>
      <c r="S223" s="80" cm="1">
        <f t="array" ref="S223">INDEX($M$131:$M$174,$A223)+SUM($I223:L223)</f>
        <v>29392.857142857138</v>
      </c>
      <c r="T223" s="80" cm="1">
        <f t="array" ref="T223">INDEX($M$131:$M$174,$A223)+SUM($I223:M223)</f>
        <v>29428.571428571424</v>
      </c>
      <c r="U223" s="80" cm="1">
        <f t="array" ref="U223">INDEX($M$131:$M$174,$A223)+SUM($I223:N223)</f>
        <v>29464.28571428571</v>
      </c>
      <c r="V223" s="80" cm="1">
        <f t="array" ref="V223">INDEX($M$131:$M$174,$A223)+SUM($I223:O223)</f>
        <v>29499.999999999996</v>
      </c>
      <c r="W223" s="85">
        <f t="shared" si="95"/>
        <v>3750</v>
      </c>
      <c r="X223" s="80">
        <f t="shared" si="95"/>
        <v>3300</v>
      </c>
      <c r="Y223" s="80">
        <f t="shared" si="95"/>
        <v>1200</v>
      </c>
      <c r="Z223" s="80">
        <f t="shared" si="95"/>
        <v>750</v>
      </c>
      <c r="AA223" s="80">
        <f t="shared" si="95"/>
        <v>750</v>
      </c>
      <c r="AB223" s="80">
        <f t="shared" si="95"/>
        <v>2250</v>
      </c>
      <c r="AC223" s="80">
        <f t="shared" si="95"/>
        <v>3000</v>
      </c>
      <c r="AD223" s="85">
        <f t="shared" si="82"/>
        <v>3750</v>
      </c>
      <c r="AE223" s="80">
        <f>MIN($G223-SUM($AD223:AD223),X223)</f>
        <v>3300</v>
      </c>
      <c r="AF223" s="80">
        <f>MIN($G223-SUM($AD223:AE223),Y223)</f>
        <v>1200</v>
      </c>
      <c r="AG223" s="80">
        <f>MIN($G223-SUM($AD223:AF223),Z223)</f>
        <v>750</v>
      </c>
      <c r="AH223" s="80">
        <f>MIN($G223-SUM($AD223:AG223),AA223)</f>
        <v>750</v>
      </c>
      <c r="AI223" s="80">
        <f>MIN($G223-SUM($AD223:AH223),AB223)</f>
        <v>2250</v>
      </c>
      <c r="AJ223" s="86">
        <f>MIN($G223-SUM($AD223:AI223),AC223)</f>
        <v>3000</v>
      </c>
      <c r="AK223" s="10">
        <f t="shared" si="83"/>
        <v>15000</v>
      </c>
      <c r="AL223" s="10">
        <f t="shared" si="84"/>
        <v>0</v>
      </c>
      <c r="AM223" s="65">
        <f t="shared" si="85"/>
        <v>450000</v>
      </c>
      <c r="AN223" s="87">
        <f t="shared" si="96"/>
        <v>44171</v>
      </c>
      <c r="AO223" s="13">
        <f t="shared" si="96"/>
        <v>44172</v>
      </c>
      <c r="AP223" s="13">
        <f t="shared" si="96"/>
        <v>44173</v>
      </c>
      <c r="AQ223" s="13">
        <f t="shared" si="96"/>
        <v>44174</v>
      </c>
      <c r="AR223" s="13">
        <f t="shared" si="96"/>
        <v>44175</v>
      </c>
      <c r="AS223" s="13">
        <f t="shared" si="96"/>
        <v>44176</v>
      </c>
      <c r="AT223" s="13">
        <f t="shared" si="96"/>
        <v>44177</v>
      </c>
      <c r="AU223" s="88">
        <f t="shared" si="87"/>
        <v>112500</v>
      </c>
      <c r="AV223" s="67">
        <f t="shared" si="88"/>
        <v>99000</v>
      </c>
      <c r="AW223" s="67">
        <f t="shared" si="89"/>
        <v>36000</v>
      </c>
      <c r="AX223" s="67">
        <f t="shared" si="90"/>
        <v>22500</v>
      </c>
      <c r="AY223" s="67">
        <f t="shared" si="91"/>
        <v>22500</v>
      </c>
      <c r="AZ223" s="67">
        <f t="shared" si="92"/>
        <v>67500</v>
      </c>
      <c r="BA223" s="90">
        <f t="shared" si="93"/>
        <v>90000</v>
      </c>
    </row>
    <row r="224" spans="1:53" s="6" customFormat="1" ht="13.2">
      <c r="A224" s="6">
        <v>19</v>
      </c>
      <c r="B224" s="13">
        <f t="shared" si="74"/>
        <v>44198</v>
      </c>
      <c r="C224" s="10">
        <f t="shared" si="74"/>
        <v>1</v>
      </c>
      <c r="D224" s="10">
        <f t="shared" si="75"/>
        <v>15000</v>
      </c>
      <c r="E224" s="65">
        <f t="shared" si="76"/>
        <v>30</v>
      </c>
      <c r="F224" s="10">
        <f t="shared" si="77"/>
        <v>29849.999999999996</v>
      </c>
      <c r="G224" s="83">
        <f t="shared" si="78"/>
        <v>20150.000000000004</v>
      </c>
      <c r="H224" s="10">
        <f t="shared" si="79"/>
        <v>15000</v>
      </c>
      <c r="I224" s="85">
        <f t="shared" si="94"/>
        <v>35.714285714285715</v>
      </c>
      <c r="J224" s="80">
        <f t="shared" si="94"/>
        <v>35.714285714285715</v>
      </c>
      <c r="K224" s="80">
        <f t="shared" si="94"/>
        <v>35.714285714285715</v>
      </c>
      <c r="L224" s="80">
        <f t="shared" si="94"/>
        <v>35.714285714285715</v>
      </c>
      <c r="M224" s="80">
        <f t="shared" si="94"/>
        <v>35.714285714285715</v>
      </c>
      <c r="N224" s="80">
        <f t="shared" si="94"/>
        <v>35.714285714285715</v>
      </c>
      <c r="O224" s="80">
        <f t="shared" si="94"/>
        <v>35.714285714285715</v>
      </c>
      <c r="P224" s="85" cm="1">
        <f t="array" ref="P224">INDEX($M$131:$M$174,$A224)+SUM($I224:I224)</f>
        <v>29535.714285714283</v>
      </c>
      <c r="Q224" s="80" cm="1">
        <f t="array" ref="Q224">INDEX($M$131:$M$174,$A224)+SUM($I224:J224)</f>
        <v>29571.428571428569</v>
      </c>
      <c r="R224" s="80" cm="1">
        <f t="array" ref="R224">INDEX($M$131:$M$174,$A224)+SUM($I224:K224)</f>
        <v>29607.142857142855</v>
      </c>
      <c r="S224" s="80" cm="1">
        <f t="array" ref="S224">INDEX($M$131:$M$174,$A224)+SUM($I224:L224)</f>
        <v>29642.857142857138</v>
      </c>
      <c r="T224" s="80" cm="1">
        <f t="array" ref="T224">INDEX($M$131:$M$174,$A224)+SUM($I224:M224)</f>
        <v>29678.571428571424</v>
      </c>
      <c r="U224" s="80" cm="1">
        <f t="array" ref="U224">INDEX($M$131:$M$174,$A224)+SUM($I224:N224)</f>
        <v>29714.28571428571</v>
      </c>
      <c r="V224" s="80" cm="1">
        <f t="array" ref="V224">INDEX($M$131:$M$174,$A224)+SUM($I224:O224)</f>
        <v>29749.999999999996</v>
      </c>
      <c r="W224" s="85">
        <f t="shared" si="95"/>
        <v>3750</v>
      </c>
      <c r="X224" s="80">
        <f t="shared" si="95"/>
        <v>3300</v>
      </c>
      <c r="Y224" s="80">
        <f t="shared" si="95"/>
        <v>1200</v>
      </c>
      <c r="Z224" s="80">
        <f t="shared" si="95"/>
        <v>750</v>
      </c>
      <c r="AA224" s="80">
        <f t="shared" si="95"/>
        <v>750</v>
      </c>
      <c r="AB224" s="80">
        <f t="shared" si="95"/>
        <v>2250</v>
      </c>
      <c r="AC224" s="80">
        <f t="shared" si="95"/>
        <v>3000</v>
      </c>
      <c r="AD224" s="85">
        <f t="shared" si="82"/>
        <v>3750</v>
      </c>
      <c r="AE224" s="80">
        <f>MIN($G224-SUM($AD224:AD224),X224)</f>
        <v>3300</v>
      </c>
      <c r="AF224" s="80">
        <f>MIN($G224-SUM($AD224:AE224),Y224)</f>
        <v>1200</v>
      </c>
      <c r="AG224" s="80">
        <f>MIN($G224-SUM($AD224:AF224),Z224)</f>
        <v>750</v>
      </c>
      <c r="AH224" s="80">
        <f>MIN($G224-SUM($AD224:AG224),AA224)</f>
        <v>750</v>
      </c>
      <c r="AI224" s="80">
        <f>MIN($G224-SUM($AD224:AH224),AB224)</f>
        <v>2250</v>
      </c>
      <c r="AJ224" s="86">
        <f>MIN($G224-SUM($AD224:AI224),AC224)</f>
        <v>3000</v>
      </c>
      <c r="AK224" s="10">
        <f t="shared" si="83"/>
        <v>15000</v>
      </c>
      <c r="AL224" s="10">
        <f t="shared" si="84"/>
        <v>0</v>
      </c>
      <c r="AM224" s="65">
        <f t="shared" si="85"/>
        <v>450000</v>
      </c>
      <c r="AN224" s="87">
        <f t="shared" si="96"/>
        <v>44192</v>
      </c>
      <c r="AO224" s="13">
        <f t="shared" si="96"/>
        <v>44193</v>
      </c>
      <c r="AP224" s="13">
        <f t="shared" si="96"/>
        <v>44194</v>
      </c>
      <c r="AQ224" s="13">
        <f t="shared" si="96"/>
        <v>44195</v>
      </c>
      <c r="AR224" s="13">
        <f t="shared" si="96"/>
        <v>44196</v>
      </c>
      <c r="AS224" s="13">
        <f t="shared" si="96"/>
        <v>44197</v>
      </c>
      <c r="AT224" s="13">
        <f t="shared" si="96"/>
        <v>44198</v>
      </c>
      <c r="AU224" s="88">
        <f t="shared" si="87"/>
        <v>112500</v>
      </c>
      <c r="AV224" s="67">
        <f t="shared" si="88"/>
        <v>99000</v>
      </c>
      <c r="AW224" s="67">
        <f t="shared" si="89"/>
        <v>36000</v>
      </c>
      <c r="AX224" s="67">
        <f t="shared" si="90"/>
        <v>22500</v>
      </c>
      <c r="AY224" s="67">
        <f t="shared" si="91"/>
        <v>22500</v>
      </c>
      <c r="AZ224" s="67">
        <f t="shared" si="92"/>
        <v>67500</v>
      </c>
      <c r="BA224" s="90">
        <f t="shared" si="93"/>
        <v>90000</v>
      </c>
    </row>
    <row r="225" spans="1:53" s="6" customFormat="1" ht="13.2">
      <c r="A225" s="6">
        <v>20</v>
      </c>
      <c r="B225" s="13">
        <f t="shared" si="74"/>
        <v>44205</v>
      </c>
      <c r="C225" s="10">
        <f t="shared" si="74"/>
        <v>1</v>
      </c>
      <c r="D225" s="10">
        <f t="shared" si="75"/>
        <v>15000</v>
      </c>
      <c r="E225" s="65">
        <f t="shared" si="76"/>
        <v>30</v>
      </c>
      <c r="F225" s="10">
        <f t="shared" si="77"/>
        <v>29899.999999999996</v>
      </c>
      <c r="G225" s="83">
        <f t="shared" si="78"/>
        <v>20100.000000000004</v>
      </c>
      <c r="H225" s="10">
        <f t="shared" si="79"/>
        <v>15000</v>
      </c>
      <c r="I225" s="85">
        <f t="shared" si="94"/>
        <v>7.1428571428571423</v>
      </c>
      <c r="J225" s="80">
        <f t="shared" si="94"/>
        <v>7.1428571428571423</v>
      </c>
      <c r="K225" s="80">
        <f t="shared" si="94"/>
        <v>7.1428571428571423</v>
      </c>
      <c r="L225" s="80">
        <f t="shared" si="94"/>
        <v>7.1428571428571423</v>
      </c>
      <c r="M225" s="80">
        <f t="shared" si="94"/>
        <v>7.1428571428571423</v>
      </c>
      <c r="N225" s="80">
        <f t="shared" si="94"/>
        <v>7.1428571428571423</v>
      </c>
      <c r="O225" s="80">
        <f t="shared" si="94"/>
        <v>7.1428571428571423</v>
      </c>
      <c r="P225" s="85" cm="1">
        <f t="array" ref="P225">INDEX($M$131:$M$174,$A225)+SUM($I225:I225)</f>
        <v>29757.142857142855</v>
      </c>
      <c r="Q225" s="80" cm="1">
        <f t="array" ref="Q225">INDEX($M$131:$M$174,$A225)+SUM($I225:J225)</f>
        <v>29764.28571428571</v>
      </c>
      <c r="R225" s="80" cm="1">
        <f t="array" ref="R225">INDEX($M$131:$M$174,$A225)+SUM($I225:K225)</f>
        <v>29771.428571428569</v>
      </c>
      <c r="S225" s="80" cm="1">
        <f t="array" ref="S225">INDEX($M$131:$M$174,$A225)+SUM($I225:L225)</f>
        <v>29778.571428571424</v>
      </c>
      <c r="T225" s="80" cm="1">
        <f t="array" ref="T225">INDEX($M$131:$M$174,$A225)+SUM($I225:M225)</f>
        <v>29785.714285714283</v>
      </c>
      <c r="U225" s="80" cm="1">
        <f t="array" ref="U225">INDEX($M$131:$M$174,$A225)+SUM($I225:N225)</f>
        <v>29792.857142857138</v>
      </c>
      <c r="V225" s="80" cm="1">
        <f t="array" ref="V225">INDEX($M$131:$M$174,$A225)+SUM($I225:O225)</f>
        <v>29799.999999999996</v>
      </c>
      <c r="W225" s="85">
        <f t="shared" si="95"/>
        <v>3750</v>
      </c>
      <c r="X225" s="80">
        <f t="shared" si="95"/>
        <v>3300</v>
      </c>
      <c r="Y225" s="80">
        <f t="shared" si="95"/>
        <v>1200</v>
      </c>
      <c r="Z225" s="80">
        <f t="shared" si="95"/>
        <v>750</v>
      </c>
      <c r="AA225" s="80">
        <f t="shared" si="95"/>
        <v>750</v>
      </c>
      <c r="AB225" s="80">
        <f t="shared" si="95"/>
        <v>2250</v>
      </c>
      <c r="AC225" s="80">
        <f t="shared" si="95"/>
        <v>3000</v>
      </c>
      <c r="AD225" s="85">
        <f t="shared" si="82"/>
        <v>3750</v>
      </c>
      <c r="AE225" s="80">
        <f>MIN($G225-SUM($AD225:AD225),X225)</f>
        <v>3300</v>
      </c>
      <c r="AF225" s="80">
        <f>MIN($G225-SUM($AD225:AE225),Y225)</f>
        <v>1200</v>
      </c>
      <c r="AG225" s="80">
        <f>MIN($G225-SUM($AD225:AF225),Z225)</f>
        <v>750</v>
      </c>
      <c r="AH225" s="80">
        <f>MIN($G225-SUM($AD225:AG225),AA225)</f>
        <v>750</v>
      </c>
      <c r="AI225" s="80">
        <f>MIN($G225-SUM($AD225:AH225),AB225)</f>
        <v>2250</v>
      </c>
      <c r="AJ225" s="86">
        <f>MIN($G225-SUM($AD225:AI225),AC225)</f>
        <v>3000</v>
      </c>
      <c r="AK225" s="10">
        <f t="shared" si="83"/>
        <v>15000</v>
      </c>
      <c r="AL225" s="10">
        <f t="shared" si="84"/>
        <v>0</v>
      </c>
      <c r="AM225" s="65">
        <f t="shared" si="85"/>
        <v>450000</v>
      </c>
      <c r="AN225" s="87">
        <f t="shared" si="96"/>
        <v>44199</v>
      </c>
      <c r="AO225" s="13">
        <f t="shared" si="96"/>
        <v>44200</v>
      </c>
      <c r="AP225" s="13">
        <f t="shared" si="96"/>
        <v>44201</v>
      </c>
      <c r="AQ225" s="13">
        <f t="shared" si="96"/>
        <v>44202</v>
      </c>
      <c r="AR225" s="13">
        <f t="shared" si="96"/>
        <v>44203</v>
      </c>
      <c r="AS225" s="13">
        <f t="shared" si="96"/>
        <v>44204</v>
      </c>
      <c r="AT225" s="13">
        <f t="shared" si="96"/>
        <v>44205</v>
      </c>
      <c r="AU225" s="88">
        <f t="shared" si="87"/>
        <v>112500</v>
      </c>
      <c r="AV225" s="67">
        <f t="shared" si="88"/>
        <v>99000</v>
      </c>
      <c r="AW225" s="67">
        <f t="shared" si="89"/>
        <v>36000</v>
      </c>
      <c r="AX225" s="67">
        <f t="shared" si="90"/>
        <v>22500</v>
      </c>
      <c r="AY225" s="67">
        <f t="shared" si="91"/>
        <v>22500</v>
      </c>
      <c r="AZ225" s="67">
        <f t="shared" si="92"/>
        <v>67500</v>
      </c>
      <c r="BA225" s="90">
        <f t="shared" si="93"/>
        <v>90000</v>
      </c>
    </row>
    <row r="226" spans="1:53" s="6" customFormat="1" ht="13.2">
      <c r="A226" s="6">
        <v>21</v>
      </c>
      <c r="B226" s="13">
        <f t="shared" si="74"/>
        <v>44212</v>
      </c>
      <c r="C226" s="10">
        <f t="shared" si="74"/>
        <v>3</v>
      </c>
      <c r="D226" s="10">
        <f t="shared" si="75"/>
        <v>32000</v>
      </c>
      <c r="E226" s="65">
        <f t="shared" si="76"/>
        <v>50</v>
      </c>
      <c r="F226" s="10">
        <f t="shared" si="77"/>
        <v>29949.999999999996</v>
      </c>
      <c r="G226" s="83">
        <f t="shared" si="78"/>
        <v>20050.000000000004</v>
      </c>
      <c r="H226" s="10">
        <f t="shared" si="79"/>
        <v>20050.000000000004</v>
      </c>
      <c r="I226" s="85">
        <f t="shared" si="94"/>
        <v>5.1020408163265305</v>
      </c>
      <c r="J226" s="80">
        <f t="shared" si="94"/>
        <v>5.1020408163265305</v>
      </c>
      <c r="K226" s="80">
        <f t="shared" si="94"/>
        <v>5.1020408163265305</v>
      </c>
      <c r="L226" s="80">
        <f t="shared" si="94"/>
        <v>5.1020408163265305</v>
      </c>
      <c r="M226" s="80">
        <f t="shared" si="94"/>
        <v>5.1020408163265305</v>
      </c>
      <c r="N226" s="80">
        <f t="shared" si="94"/>
        <v>5.1020408163265305</v>
      </c>
      <c r="O226" s="80">
        <f t="shared" si="94"/>
        <v>5.1020408163265305</v>
      </c>
      <c r="P226" s="85" cm="1">
        <f t="array" ref="P226">INDEX($M$131:$M$174,$A226)+SUM($I226:I226)</f>
        <v>29805.102040816324</v>
      </c>
      <c r="Q226" s="80" cm="1">
        <f t="array" ref="Q226">INDEX($M$131:$M$174,$A226)+SUM($I226:J226)</f>
        <v>29810.204081632648</v>
      </c>
      <c r="R226" s="80" cm="1">
        <f t="array" ref="R226">INDEX($M$131:$M$174,$A226)+SUM($I226:K226)</f>
        <v>29815.306122448976</v>
      </c>
      <c r="S226" s="80" cm="1">
        <f t="array" ref="S226">INDEX($M$131:$M$174,$A226)+SUM($I226:L226)</f>
        <v>29820.408163265303</v>
      </c>
      <c r="T226" s="80" cm="1">
        <f t="array" ref="T226">INDEX($M$131:$M$174,$A226)+SUM($I226:M226)</f>
        <v>29825.510204081627</v>
      </c>
      <c r="U226" s="80" cm="1">
        <f t="array" ref="U226">INDEX($M$131:$M$174,$A226)+SUM($I226:N226)</f>
        <v>29830.612244897955</v>
      </c>
      <c r="V226" s="80" cm="1">
        <f t="array" ref="V226">INDEX($M$131:$M$174,$A226)+SUM($I226:O226)</f>
        <v>29835.714285714283</v>
      </c>
      <c r="W226" s="85">
        <f t="shared" ref="W226:AC235" si="97">W$203*$D226</f>
        <v>8000</v>
      </c>
      <c r="X226" s="80">
        <f t="shared" si="97"/>
        <v>7040</v>
      </c>
      <c r="Y226" s="80">
        <f t="shared" si="97"/>
        <v>2560</v>
      </c>
      <c r="Z226" s="80">
        <f t="shared" si="97"/>
        <v>1600</v>
      </c>
      <c r="AA226" s="80">
        <f t="shared" si="97"/>
        <v>1600</v>
      </c>
      <c r="AB226" s="80">
        <f t="shared" si="97"/>
        <v>4800</v>
      </c>
      <c r="AC226" s="80">
        <f t="shared" si="97"/>
        <v>6400</v>
      </c>
      <c r="AD226" s="85">
        <f t="shared" si="82"/>
        <v>8000</v>
      </c>
      <c r="AE226" s="80">
        <f>MIN($G226-SUM($AD226:AD226),X226)</f>
        <v>7040</v>
      </c>
      <c r="AF226" s="80">
        <f>MIN($G226-SUM($AD226:AE226),Y226)</f>
        <v>2560</v>
      </c>
      <c r="AG226" s="80">
        <f>MIN($G226-SUM($AD226:AF226),Z226)</f>
        <v>1600</v>
      </c>
      <c r="AH226" s="80">
        <f>MIN($G226-SUM($AD226:AG226),AA226)</f>
        <v>850.00000000000364</v>
      </c>
      <c r="AI226" s="80">
        <f>MIN($G226-SUM($AD226:AH226),AB226)</f>
        <v>0</v>
      </c>
      <c r="AJ226" s="86">
        <f>MIN($G226-SUM($AD226:AI226),AC226)</f>
        <v>0</v>
      </c>
      <c r="AK226" s="10">
        <f t="shared" si="83"/>
        <v>20050.000000000004</v>
      </c>
      <c r="AL226" s="10">
        <f t="shared" si="84"/>
        <v>0</v>
      </c>
      <c r="AM226" s="65">
        <f t="shared" si="85"/>
        <v>1002500.0000000002</v>
      </c>
      <c r="AN226" s="87">
        <f t="shared" ref="AN226:AT235" si="98">$B226+AN$205</f>
        <v>44206</v>
      </c>
      <c r="AO226" s="13">
        <f t="shared" si="98"/>
        <v>44207</v>
      </c>
      <c r="AP226" s="13">
        <f t="shared" si="98"/>
        <v>44208</v>
      </c>
      <c r="AQ226" s="13">
        <f t="shared" si="98"/>
        <v>44209</v>
      </c>
      <c r="AR226" s="13">
        <f t="shared" si="98"/>
        <v>44210</v>
      </c>
      <c r="AS226" s="13">
        <f t="shared" si="98"/>
        <v>44211</v>
      </c>
      <c r="AT226" s="13">
        <f t="shared" si="98"/>
        <v>44212</v>
      </c>
      <c r="AU226" s="88">
        <f t="shared" si="87"/>
        <v>400000</v>
      </c>
      <c r="AV226" s="67">
        <f t="shared" si="88"/>
        <v>352000</v>
      </c>
      <c r="AW226" s="67">
        <f t="shared" si="89"/>
        <v>128000</v>
      </c>
      <c r="AX226" s="67">
        <f t="shared" si="90"/>
        <v>80000</v>
      </c>
      <c r="AY226" s="67">
        <f t="shared" si="91"/>
        <v>42500.000000000182</v>
      </c>
      <c r="AZ226" s="67">
        <f t="shared" si="92"/>
        <v>0</v>
      </c>
      <c r="BA226" s="90">
        <f t="shared" si="93"/>
        <v>0</v>
      </c>
    </row>
    <row r="227" spans="1:53" s="6" customFormat="1" ht="13.2">
      <c r="A227" s="6">
        <v>22</v>
      </c>
      <c r="B227" s="13">
        <f t="shared" si="74"/>
        <v>44219</v>
      </c>
      <c r="C227" s="10">
        <f t="shared" si="74"/>
        <v>1</v>
      </c>
      <c r="D227" s="10">
        <f t="shared" si="75"/>
        <v>15000</v>
      </c>
      <c r="E227" s="65">
        <f t="shared" si="76"/>
        <v>30</v>
      </c>
      <c r="F227" s="10">
        <f t="shared" si="77"/>
        <v>29999.999999999996</v>
      </c>
      <c r="G227" s="83">
        <f t="shared" si="78"/>
        <v>20000.000000000004</v>
      </c>
      <c r="H227" s="10">
        <f t="shared" si="79"/>
        <v>15000</v>
      </c>
      <c r="I227" s="85">
        <f t="shared" si="94"/>
        <v>7.1428571428571423</v>
      </c>
      <c r="J227" s="80">
        <f t="shared" si="94"/>
        <v>7.1428571428571423</v>
      </c>
      <c r="K227" s="80">
        <f t="shared" si="94"/>
        <v>7.1428571428571423</v>
      </c>
      <c r="L227" s="80">
        <f t="shared" si="94"/>
        <v>7.1428571428571423</v>
      </c>
      <c r="M227" s="80">
        <f t="shared" si="94"/>
        <v>7.1428571428571423</v>
      </c>
      <c r="N227" s="80">
        <f t="shared" si="94"/>
        <v>7.1428571428571423</v>
      </c>
      <c r="O227" s="80">
        <f t="shared" si="94"/>
        <v>7.1428571428571423</v>
      </c>
      <c r="P227" s="85" cm="1">
        <f t="array" ref="P227">INDEX($M$131:$M$174,$A227)+SUM($I227:I227)</f>
        <v>29857.142857142855</v>
      </c>
      <c r="Q227" s="80" cm="1">
        <f t="array" ref="Q227">INDEX($M$131:$M$174,$A227)+SUM($I227:J227)</f>
        <v>29864.28571428571</v>
      </c>
      <c r="R227" s="80" cm="1">
        <f t="array" ref="R227">INDEX($M$131:$M$174,$A227)+SUM($I227:K227)</f>
        <v>29871.428571428569</v>
      </c>
      <c r="S227" s="80" cm="1">
        <f t="array" ref="S227">INDEX($M$131:$M$174,$A227)+SUM($I227:L227)</f>
        <v>29878.571428571424</v>
      </c>
      <c r="T227" s="80" cm="1">
        <f t="array" ref="T227">INDEX($M$131:$M$174,$A227)+SUM($I227:M227)</f>
        <v>29885.714285714283</v>
      </c>
      <c r="U227" s="80" cm="1">
        <f t="array" ref="U227">INDEX($M$131:$M$174,$A227)+SUM($I227:N227)</f>
        <v>29892.857142857138</v>
      </c>
      <c r="V227" s="80" cm="1">
        <f t="array" ref="V227">INDEX($M$131:$M$174,$A227)+SUM($I227:O227)</f>
        <v>29899.999999999996</v>
      </c>
      <c r="W227" s="85">
        <f t="shared" si="97"/>
        <v>3750</v>
      </c>
      <c r="X227" s="80">
        <f t="shared" si="97"/>
        <v>3300</v>
      </c>
      <c r="Y227" s="80">
        <f t="shared" si="97"/>
        <v>1200</v>
      </c>
      <c r="Z227" s="80">
        <f t="shared" si="97"/>
        <v>750</v>
      </c>
      <c r="AA227" s="80">
        <f t="shared" si="97"/>
        <v>750</v>
      </c>
      <c r="AB227" s="80">
        <f t="shared" si="97"/>
        <v>2250</v>
      </c>
      <c r="AC227" s="80">
        <f t="shared" si="97"/>
        <v>3000</v>
      </c>
      <c r="AD227" s="85">
        <f t="shared" si="82"/>
        <v>3750</v>
      </c>
      <c r="AE227" s="80">
        <f>MIN($G227-SUM($AD227:AD227),X227)</f>
        <v>3300</v>
      </c>
      <c r="AF227" s="80">
        <f>MIN($G227-SUM($AD227:AE227),Y227)</f>
        <v>1200</v>
      </c>
      <c r="AG227" s="80">
        <f>MIN($G227-SUM($AD227:AF227),Z227)</f>
        <v>750</v>
      </c>
      <c r="AH227" s="80">
        <f>MIN($G227-SUM($AD227:AG227),AA227)</f>
        <v>750</v>
      </c>
      <c r="AI227" s="80">
        <f>MIN($G227-SUM($AD227:AH227),AB227)</f>
        <v>2250</v>
      </c>
      <c r="AJ227" s="86">
        <f>MIN($G227-SUM($AD227:AI227),AC227)</f>
        <v>3000</v>
      </c>
      <c r="AK227" s="10">
        <f t="shared" si="83"/>
        <v>15000</v>
      </c>
      <c r="AL227" s="10">
        <f t="shared" si="84"/>
        <v>0</v>
      </c>
      <c r="AM227" s="65">
        <f t="shared" si="85"/>
        <v>450000</v>
      </c>
      <c r="AN227" s="87">
        <f t="shared" si="98"/>
        <v>44213</v>
      </c>
      <c r="AO227" s="13">
        <f t="shared" si="98"/>
        <v>44214</v>
      </c>
      <c r="AP227" s="13">
        <f t="shared" si="98"/>
        <v>44215</v>
      </c>
      <c r="AQ227" s="13">
        <f t="shared" si="98"/>
        <v>44216</v>
      </c>
      <c r="AR227" s="13">
        <f t="shared" si="98"/>
        <v>44217</v>
      </c>
      <c r="AS227" s="13">
        <f t="shared" si="98"/>
        <v>44218</v>
      </c>
      <c r="AT227" s="13">
        <f t="shared" si="98"/>
        <v>44219</v>
      </c>
      <c r="AU227" s="88">
        <f t="shared" si="87"/>
        <v>112500</v>
      </c>
      <c r="AV227" s="67">
        <f t="shared" si="88"/>
        <v>99000</v>
      </c>
      <c r="AW227" s="67">
        <f t="shared" si="89"/>
        <v>36000</v>
      </c>
      <c r="AX227" s="67">
        <f t="shared" si="90"/>
        <v>22500</v>
      </c>
      <c r="AY227" s="67">
        <f t="shared" si="91"/>
        <v>22500</v>
      </c>
      <c r="AZ227" s="67">
        <f t="shared" si="92"/>
        <v>67500</v>
      </c>
      <c r="BA227" s="90">
        <f t="shared" si="93"/>
        <v>90000</v>
      </c>
    </row>
    <row r="228" spans="1:53" s="6" customFormat="1" ht="13.2">
      <c r="A228" s="6">
        <v>23</v>
      </c>
      <c r="B228" s="13">
        <f t="shared" si="74"/>
        <v>44226</v>
      </c>
      <c r="C228" s="10">
        <f t="shared" si="74"/>
        <v>4</v>
      </c>
      <c r="D228" s="10">
        <f t="shared" si="75"/>
        <v>40000</v>
      </c>
      <c r="E228" s="65">
        <f t="shared" si="76"/>
        <v>60</v>
      </c>
      <c r="F228" s="10">
        <f t="shared" si="77"/>
        <v>29999.999999999996</v>
      </c>
      <c r="G228" s="83">
        <f t="shared" si="78"/>
        <v>20000.000000000004</v>
      </c>
      <c r="H228" s="10">
        <f t="shared" si="79"/>
        <v>20000.000000000004</v>
      </c>
      <c r="I228" s="85">
        <f t="shared" si="94"/>
        <v>7.1428571428571423</v>
      </c>
      <c r="J228" s="80">
        <f t="shared" si="94"/>
        <v>7.1428571428571423</v>
      </c>
      <c r="K228" s="80">
        <f t="shared" si="94"/>
        <v>7.1428571428571423</v>
      </c>
      <c r="L228" s="80">
        <f t="shared" si="94"/>
        <v>7.1428571428571423</v>
      </c>
      <c r="M228" s="80">
        <f t="shared" si="94"/>
        <v>7.1428571428571423</v>
      </c>
      <c r="N228" s="80">
        <f t="shared" si="94"/>
        <v>7.1428571428571423</v>
      </c>
      <c r="O228" s="80">
        <f t="shared" si="94"/>
        <v>7.1428571428571423</v>
      </c>
      <c r="P228" s="85" cm="1">
        <f t="array" ref="P228">INDEX($M$131:$M$174,$A228)+SUM($I228:I228)</f>
        <v>29907.142857142855</v>
      </c>
      <c r="Q228" s="80" cm="1">
        <f t="array" ref="Q228">INDEX($M$131:$M$174,$A228)+SUM($I228:J228)</f>
        <v>29914.28571428571</v>
      </c>
      <c r="R228" s="80" cm="1">
        <f t="array" ref="R228">INDEX($M$131:$M$174,$A228)+SUM($I228:K228)</f>
        <v>29921.428571428569</v>
      </c>
      <c r="S228" s="80" cm="1">
        <f t="array" ref="S228">INDEX($M$131:$M$174,$A228)+SUM($I228:L228)</f>
        <v>29928.571428571424</v>
      </c>
      <c r="T228" s="80" cm="1">
        <f t="array" ref="T228">INDEX($M$131:$M$174,$A228)+SUM($I228:M228)</f>
        <v>29935.714285714283</v>
      </c>
      <c r="U228" s="80" cm="1">
        <f t="array" ref="U228">INDEX($M$131:$M$174,$A228)+SUM($I228:N228)</f>
        <v>29942.857142857138</v>
      </c>
      <c r="V228" s="80" cm="1">
        <f t="array" ref="V228">INDEX($M$131:$M$174,$A228)+SUM($I228:O228)</f>
        <v>29949.999999999996</v>
      </c>
      <c r="W228" s="85">
        <f t="shared" si="97"/>
        <v>10000</v>
      </c>
      <c r="X228" s="80">
        <f t="shared" si="97"/>
        <v>8800</v>
      </c>
      <c r="Y228" s="80">
        <f t="shared" si="97"/>
        <v>3200</v>
      </c>
      <c r="Z228" s="80">
        <f t="shared" si="97"/>
        <v>2000</v>
      </c>
      <c r="AA228" s="80">
        <f t="shared" si="97"/>
        <v>2000</v>
      </c>
      <c r="AB228" s="80">
        <f t="shared" si="97"/>
        <v>6000</v>
      </c>
      <c r="AC228" s="80">
        <f t="shared" si="97"/>
        <v>8000</v>
      </c>
      <c r="AD228" s="85">
        <f t="shared" si="82"/>
        <v>10000</v>
      </c>
      <c r="AE228" s="80">
        <f>MIN($G228-SUM($AD228:AD228),X228)</f>
        <v>8800</v>
      </c>
      <c r="AF228" s="80">
        <f>MIN($G228-SUM($AD228:AE228),Y228)</f>
        <v>1200.0000000000036</v>
      </c>
      <c r="AG228" s="80">
        <f>MIN($G228-SUM($AD228:AF228),Z228)</f>
        <v>0</v>
      </c>
      <c r="AH228" s="80">
        <f>MIN($G228-SUM($AD228:AG228),AA228)</f>
        <v>0</v>
      </c>
      <c r="AI228" s="80">
        <f>MIN($G228-SUM($AD228:AH228),AB228)</f>
        <v>0</v>
      </c>
      <c r="AJ228" s="86">
        <f>MIN($G228-SUM($AD228:AI228),AC228)</f>
        <v>0</v>
      </c>
      <c r="AK228" s="10">
        <f t="shared" si="83"/>
        <v>20000.000000000004</v>
      </c>
      <c r="AL228" s="10">
        <f t="shared" si="84"/>
        <v>0</v>
      </c>
      <c r="AM228" s="65">
        <f t="shared" si="85"/>
        <v>1200000.0000000002</v>
      </c>
      <c r="AN228" s="87">
        <f t="shared" si="98"/>
        <v>44220</v>
      </c>
      <c r="AO228" s="13">
        <f t="shared" si="98"/>
        <v>44221</v>
      </c>
      <c r="AP228" s="13">
        <f t="shared" si="98"/>
        <v>44222</v>
      </c>
      <c r="AQ228" s="13">
        <f t="shared" si="98"/>
        <v>44223</v>
      </c>
      <c r="AR228" s="13">
        <f t="shared" si="98"/>
        <v>44224</v>
      </c>
      <c r="AS228" s="13">
        <f t="shared" si="98"/>
        <v>44225</v>
      </c>
      <c r="AT228" s="13">
        <f t="shared" si="98"/>
        <v>44226</v>
      </c>
      <c r="AU228" s="88">
        <f t="shared" si="87"/>
        <v>600000</v>
      </c>
      <c r="AV228" s="67">
        <f t="shared" si="88"/>
        <v>528000</v>
      </c>
      <c r="AW228" s="67">
        <f t="shared" si="89"/>
        <v>72000.000000000218</v>
      </c>
      <c r="AX228" s="67">
        <f t="shared" si="90"/>
        <v>0</v>
      </c>
      <c r="AY228" s="67">
        <f t="shared" si="91"/>
        <v>0</v>
      </c>
      <c r="AZ228" s="67">
        <f t="shared" si="92"/>
        <v>0</v>
      </c>
      <c r="BA228" s="90">
        <f t="shared" si="93"/>
        <v>0</v>
      </c>
    </row>
    <row r="229" spans="1:53" s="6" customFormat="1" ht="13.2">
      <c r="A229" s="6">
        <v>24</v>
      </c>
      <c r="B229" s="13">
        <f t="shared" si="74"/>
        <v>44233</v>
      </c>
      <c r="C229" s="10">
        <f t="shared" si="74"/>
        <v>2</v>
      </c>
      <c r="D229" s="10">
        <f t="shared" si="75"/>
        <v>25000</v>
      </c>
      <c r="E229" s="65">
        <f t="shared" si="76"/>
        <v>40</v>
      </c>
      <c r="F229" s="10">
        <f t="shared" si="77"/>
        <v>29999.999999999996</v>
      </c>
      <c r="G229" s="83">
        <f t="shared" si="78"/>
        <v>20000.000000000004</v>
      </c>
      <c r="H229" s="10">
        <f t="shared" si="79"/>
        <v>20000.000000000004</v>
      </c>
      <c r="I229" s="85">
        <f t="shared" si="94"/>
        <v>7.1428571428571423</v>
      </c>
      <c r="J229" s="80">
        <f t="shared" si="94"/>
        <v>7.1428571428571423</v>
      </c>
      <c r="K229" s="80">
        <f t="shared" si="94"/>
        <v>7.1428571428571423</v>
      </c>
      <c r="L229" s="80">
        <f t="shared" si="94"/>
        <v>7.1428571428571423</v>
      </c>
      <c r="M229" s="80">
        <f t="shared" si="94"/>
        <v>7.1428571428571423</v>
      </c>
      <c r="N229" s="80">
        <f t="shared" si="94"/>
        <v>7.1428571428571423</v>
      </c>
      <c r="O229" s="80">
        <f t="shared" si="94"/>
        <v>7.1428571428571423</v>
      </c>
      <c r="P229" s="85" cm="1">
        <f t="array" ref="P229">INDEX($M$131:$M$174,$A229)+SUM($I229:I229)</f>
        <v>29957.142857142855</v>
      </c>
      <c r="Q229" s="80" cm="1">
        <f t="array" ref="Q229">INDEX($M$131:$M$174,$A229)+SUM($I229:J229)</f>
        <v>29964.28571428571</v>
      </c>
      <c r="R229" s="80" cm="1">
        <f t="array" ref="R229">INDEX($M$131:$M$174,$A229)+SUM($I229:K229)</f>
        <v>29971.428571428569</v>
      </c>
      <c r="S229" s="80" cm="1">
        <f t="array" ref="S229">INDEX($M$131:$M$174,$A229)+SUM($I229:L229)</f>
        <v>29978.571428571424</v>
      </c>
      <c r="T229" s="80" cm="1">
        <f t="array" ref="T229">INDEX($M$131:$M$174,$A229)+SUM($I229:M229)</f>
        <v>29985.714285714283</v>
      </c>
      <c r="U229" s="80" cm="1">
        <f t="array" ref="U229">INDEX($M$131:$M$174,$A229)+SUM($I229:N229)</f>
        <v>29992.857142857138</v>
      </c>
      <c r="V229" s="80" cm="1">
        <f t="array" ref="V229">INDEX($M$131:$M$174,$A229)+SUM($I229:O229)</f>
        <v>29999.999999999996</v>
      </c>
      <c r="W229" s="85">
        <f t="shared" si="97"/>
        <v>6250</v>
      </c>
      <c r="X229" s="80">
        <f t="shared" si="97"/>
        <v>5500</v>
      </c>
      <c r="Y229" s="80">
        <f t="shared" si="97"/>
        <v>2000</v>
      </c>
      <c r="Z229" s="80">
        <f t="shared" si="97"/>
        <v>1250</v>
      </c>
      <c r="AA229" s="80">
        <f t="shared" si="97"/>
        <v>1250</v>
      </c>
      <c r="AB229" s="80">
        <f t="shared" si="97"/>
        <v>3750</v>
      </c>
      <c r="AC229" s="80">
        <f t="shared" si="97"/>
        <v>5000</v>
      </c>
      <c r="AD229" s="85">
        <f t="shared" si="82"/>
        <v>6250</v>
      </c>
      <c r="AE229" s="80">
        <f>MIN($G229-SUM($AD229:AD229),X229)</f>
        <v>5500</v>
      </c>
      <c r="AF229" s="80">
        <f>MIN($G229-SUM($AD229:AE229),Y229)</f>
        <v>2000</v>
      </c>
      <c r="AG229" s="80">
        <f>MIN($G229-SUM($AD229:AF229),Z229)</f>
        <v>1250</v>
      </c>
      <c r="AH229" s="80">
        <f>MIN($G229-SUM($AD229:AG229),AA229)</f>
        <v>1250</v>
      </c>
      <c r="AI229" s="80">
        <f>MIN($G229-SUM($AD229:AH229),AB229)</f>
        <v>3750</v>
      </c>
      <c r="AJ229" s="86">
        <f>MIN($G229-SUM($AD229:AI229),AC229)</f>
        <v>3.637978807091713E-12</v>
      </c>
      <c r="AK229" s="10">
        <f t="shared" si="83"/>
        <v>20000.000000000004</v>
      </c>
      <c r="AL229" s="10">
        <f t="shared" si="84"/>
        <v>0</v>
      </c>
      <c r="AM229" s="65">
        <f t="shared" si="85"/>
        <v>800000.00000000012</v>
      </c>
      <c r="AN229" s="87">
        <f t="shared" si="98"/>
        <v>44227</v>
      </c>
      <c r="AO229" s="13">
        <f t="shared" si="98"/>
        <v>44228</v>
      </c>
      <c r="AP229" s="13">
        <f t="shared" si="98"/>
        <v>44229</v>
      </c>
      <c r="AQ229" s="13">
        <f t="shared" si="98"/>
        <v>44230</v>
      </c>
      <c r="AR229" s="13">
        <f t="shared" si="98"/>
        <v>44231</v>
      </c>
      <c r="AS229" s="13">
        <f t="shared" si="98"/>
        <v>44232</v>
      </c>
      <c r="AT229" s="13">
        <f t="shared" si="98"/>
        <v>44233</v>
      </c>
      <c r="AU229" s="88">
        <f t="shared" si="87"/>
        <v>250000</v>
      </c>
      <c r="AV229" s="67">
        <f t="shared" si="88"/>
        <v>220000</v>
      </c>
      <c r="AW229" s="67">
        <f t="shared" si="89"/>
        <v>80000</v>
      </c>
      <c r="AX229" s="67">
        <f t="shared" si="90"/>
        <v>50000</v>
      </c>
      <c r="AY229" s="67">
        <f t="shared" si="91"/>
        <v>50000</v>
      </c>
      <c r="AZ229" s="67">
        <f t="shared" si="92"/>
        <v>150000</v>
      </c>
      <c r="BA229" s="90">
        <f t="shared" si="93"/>
        <v>1.4551915228366852E-10</v>
      </c>
    </row>
    <row r="230" spans="1:53" s="6" customFormat="1" ht="13.2">
      <c r="A230" s="6">
        <v>25</v>
      </c>
      <c r="B230" s="13">
        <f t="shared" si="74"/>
        <v>44240</v>
      </c>
      <c r="C230" s="10">
        <f t="shared" si="74"/>
        <v>2</v>
      </c>
      <c r="D230" s="10">
        <f t="shared" si="75"/>
        <v>25000</v>
      </c>
      <c r="E230" s="65">
        <f t="shared" si="76"/>
        <v>40</v>
      </c>
      <c r="F230" s="10">
        <f t="shared" si="77"/>
        <v>29999.999999999996</v>
      </c>
      <c r="G230" s="83">
        <f t="shared" si="78"/>
        <v>20000.000000000004</v>
      </c>
      <c r="H230" s="10">
        <f t="shared" si="79"/>
        <v>20000.000000000004</v>
      </c>
      <c r="I230" s="85">
        <f t="shared" si="94"/>
        <v>0</v>
      </c>
      <c r="J230" s="80">
        <f t="shared" si="94"/>
        <v>0</v>
      </c>
      <c r="K230" s="80">
        <f t="shared" si="94"/>
        <v>0</v>
      </c>
      <c r="L230" s="80">
        <f t="shared" si="94"/>
        <v>0</v>
      </c>
      <c r="M230" s="80">
        <f t="shared" si="94"/>
        <v>0</v>
      </c>
      <c r="N230" s="80">
        <f t="shared" si="94"/>
        <v>0</v>
      </c>
      <c r="O230" s="80">
        <f t="shared" si="94"/>
        <v>0</v>
      </c>
      <c r="P230" s="85" cm="1">
        <f t="array" ref="P230">INDEX($M$131:$M$174,$A230)+SUM($I230:I230)</f>
        <v>29999.999999999996</v>
      </c>
      <c r="Q230" s="80" cm="1">
        <f t="array" ref="Q230">INDEX($M$131:$M$174,$A230)+SUM($I230:J230)</f>
        <v>29999.999999999996</v>
      </c>
      <c r="R230" s="80" cm="1">
        <f t="array" ref="R230">INDEX($M$131:$M$174,$A230)+SUM($I230:K230)</f>
        <v>29999.999999999996</v>
      </c>
      <c r="S230" s="80" cm="1">
        <f t="array" ref="S230">INDEX($M$131:$M$174,$A230)+SUM($I230:L230)</f>
        <v>29999.999999999996</v>
      </c>
      <c r="T230" s="80" cm="1">
        <f t="array" ref="T230">INDEX($M$131:$M$174,$A230)+SUM($I230:M230)</f>
        <v>29999.999999999996</v>
      </c>
      <c r="U230" s="80" cm="1">
        <f t="array" ref="U230">INDEX($M$131:$M$174,$A230)+SUM($I230:N230)</f>
        <v>29999.999999999996</v>
      </c>
      <c r="V230" s="80" cm="1">
        <f t="array" ref="V230">INDEX($M$131:$M$174,$A230)+SUM($I230:O230)</f>
        <v>29999.999999999996</v>
      </c>
      <c r="W230" s="85">
        <f t="shared" si="97"/>
        <v>6250</v>
      </c>
      <c r="X230" s="80">
        <f t="shared" si="97"/>
        <v>5500</v>
      </c>
      <c r="Y230" s="80">
        <f t="shared" si="97"/>
        <v>2000</v>
      </c>
      <c r="Z230" s="80">
        <f t="shared" si="97"/>
        <v>1250</v>
      </c>
      <c r="AA230" s="80">
        <f t="shared" si="97"/>
        <v>1250</v>
      </c>
      <c r="AB230" s="80">
        <f t="shared" si="97"/>
        <v>3750</v>
      </c>
      <c r="AC230" s="80">
        <f t="shared" si="97"/>
        <v>5000</v>
      </c>
      <c r="AD230" s="85">
        <f t="shared" si="82"/>
        <v>6250</v>
      </c>
      <c r="AE230" s="80">
        <f>MIN($G230-SUM($AD230:AD230),X230)</f>
        <v>5500</v>
      </c>
      <c r="AF230" s="80">
        <f>MIN($G230-SUM($AD230:AE230),Y230)</f>
        <v>2000</v>
      </c>
      <c r="AG230" s="80">
        <f>MIN($G230-SUM($AD230:AF230),Z230)</f>
        <v>1250</v>
      </c>
      <c r="AH230" s="80">
        <f>MIN($G230-SUM($AD230:AG230),AA230)</f>
        <v>1250</v>
      </c>
      <c r="AI230" s="80">
        <f>MIN($G230-SUM($AD230:AH230),AB230)</f>
        <v>3750</v>
      </c>
      <c r="AJ230" s="86">
        <f>MIN($G230-SUM($AD230:AI230),AC230)</f>
        <v>3.637978807091713E-12</v>
      </c>
      <c r="AK230" s="10">
        <f t="shared" si="83"/>
        <v>20000.000000000004</v>
      </c>
      <c r="AL230" s="10">
        <f t="shared" si="84"/>
        <v>0</v>
      </c>
      <c r="AM230" s="65">
        <f t="shared" si="85"/>
        <v>800000.00000000012</v>
      </c>
      <c r="AN230" s="87">
        <f t="shared" si="98"/>
        <v>44234</v>
      </c>
      <c r="AO230" s="13">
        <f t="shared" si="98"/>
        <v>44235</v>
      </c>
      <c r="AP230" s="13">
        <f t="shared" si="98"/>
        <v>44236</v>
      </c>
      <c r="AQ230" s="13">
        <f t="shared" si="98"/>
        <v>44237</v>
      </c>
      <c r="AR230" s="13">
        <f t="shared" si="98"/>
        <v>44238</v>
      </c>
      <c r="AS230" s="13">
        <f t="shared" si="98"/>
        <v>44239</v>
      </c>
      <c r="AT230" s="13">
        <f t="shared" si="98"/>
        <v>44240</v>
      </c>
      <c r="AU230" s="88">
        <f t="shared" si="87"/>
        <v>250000</v>
      </c>
      <c r="AV230" s="67">
        <f t="shared" si="88"/>
        <v>220000</v>
      </c>
      <c r="AW230" s="67">
        <f t="shared" si="89"/>
        <v>80000</v>
      </c>
      <c r="AX230" s="67">
        <f t="shared" si="90"/>
        <v>50000</v>
      </c>
      <c r="AY230" s="67">
        <f t="shared" si="91"/>
        <v>50000</v>
      </c>
      <c r="AZ230" s="67">
        <f t="shared" si="92"/>
        <v>150000</v>
      </c>
      <c r="BA230" s="90">
        <f t="shared" si="93"/>
        <v>1.4551915228366852E-10</v>
      </c>
    </row>
    <row r="231" spans="1:53" s="6" customFormat="1" ht="13.2">
      <c r="A231" s="6">
        <v>26</v>
      </c>
      <c r="B231" s="13">
        <f t="shared" si="74"/>
        <v>44247</v>
      </c>
      <c r="C231" s="10">
        <f t="shared" si="74"/>
        <v>2</v>
      </c>
      <c r="D231" s="10">
        <f t="shared" si="75"/>
        <v>25000</v>
      </c>
      <c r="E231" s="65">
        <f t="shared" si="76"/>
        <v>40</v>
      </c>
      <c r="F231" s="10">
        <f t="shared" si="77"/>
        <v>29999.999999999996</v>
      </c>
      <c r="G231" s="83">
        <f t="shared" si="78"/>
        <v>20000.000000000004</v>
      </c>
      <c r="H231" s="10">
        <f t="shared" si="79"/>
        <v>20000.000000000004</v>
      </c>
      <c r="I231" s="85">
        <f t="shared" si="94"/>
        <v>0</v>
      </c>
      <c r="J231" s="80">
        <f t="shared" si="94"/>
        <v>0</v>
      </c>
      <c r="K231" s="80">
        <f t="shared" si="94"/>
        <v>0</v>
      </c>
      <c r="L231" s="80">
        <f t="shared" si="94"/>
        <v>0</v>
      </c>
      <c r="M231" s="80">
        <f t="shared" si="94"/>
        <v>0</v>
      </c>
      <c r="N231" s="80">
        <f t="shared" si="94"/>
        <v>0</v>
      </c>
      <c r="O231" s="80">
        <f t="shared" si="94"/>
        <v>0</v>
      </c>
      <c r="P231" s="85" cm="1">
        <f t="array" ref="P231">INDEX($M$131:$M$174,$A231)+SUM($I231:I231)</f>
        <v>29999.999999999996</v>
      </c>
      <c r="Q231" s="80" cm="1">
        <f t="array" ref="Q231">INDEX($M$131:$M$174,$A231)+SUM($I231:J231)</f>
        <v>29999.999999999996</v>
      </c>
      <c r="R231" s="80" cm="1">
        <f t="array" ref="R231">INDEX($M$131:$M$174,$A231)+SUM($I231:K231)</f>
        <v>29999.999999999996</v>
      </c>
      <c r="S231" s="80" cm="1">
        <f t="array" ref="S231">INDEX($M$131:$M$174,$A231)+SUM($I231:L231)</f>
        <v>29999.999999999996</v>
      </c>
      <c r="T231" s="80" cm="1">
        <f t="array" ref="T231">INDEX($M$131:$M$174,$A231)+SUM($I231:M231)</f>
        <v>29999.999999999996</v>
      </c>
      <c r="U231" s="80" cm="1">
        <f t="array" ref="U231">INDEX($M$131:$M$174,$A231)+SUM($I231:N231)</f>
        <v>29999.999999999996</v>
      </c>
      <c r="V231" s="80" cm="1">
        <f t="array" ref="V231">INDEX($M$131:$M$174,$A231)+SUM($I231:O231)</f>
        <v>29999.999999999996</v>
      </c>
      <c r="W231" s="85">
        <f t="shared" si="97"/>
        <v>6250</v>
      </c>
      <c r="X231" s="80">
        <f t="shared" si="97"/>
        <v>5500</v>
      </c>
      <c r="Y231" s="80">
        <f t="shared" si="97"/>
        <v>2000</v>
      </c>
      <c r="Z231" s="80">
        <f t="shared" si="97"/>
        <v>1250</v>
      </c>
      <c r="AA231" s="80">
        <f t="shared" si="97"/>
        <v>1250</v>
      </c>
      <c r="AB231" s="80">
        <f t="shared" si="97"/>
        <v>3750</v>
      </c>
      <c r="AC231" s="80">
        <f t="shared" si="97"/>
        <v>5000</v>
      </c>
      <c r="AD231" s="85">
        <f t="shared" si="82"/>
        <v>6250</v>
      </c>
      <c r="AE231" s="80">
        <f>MIN($G231-SUM($AD231:AD231),X231)</f>
        <v>5500</v>
      </c>
      <c r="AF231" s="80">
        <f>MIN($G231-SUM($AD231:AE231),Y231)</f>
        <v>2000</v>
      </c>
      <c r="AG231" s="80">
        <f>MIN($G231-SUM($AD231:AF231),Z231)</f>
        <v>1250</v>
      </c>
      <c r="AH231" s="80">
        <f>MIN($G231-SUM($AD231:AG231),AA231)</f>
        <v>1250</v>
      </c>
      <c r="AI231" s="80">
        <f>MIN($G231-SUM($AD231:AH231),AB231)</f>
        <v>3750</v>
      </c>
      <c r="AJ231" s="86">
        <f>MIN($G231-SUM($AD231:AI231),AC231)</f>
        <v>3.637978807091713E-12</v>
      </c>
      <c r="AK231" s="10">
        <f t="shared" si="83"/>
        <v>20000.000000000004</v>
      </c>
      <c r="AL231" s="10">
        <f t="shared" si="84"/>
        <v>0</v>
      </c>
      <c r="AM231" s="65">
        <f t="shared" si="85"/>
        <v>800000.00000000012</v>
      </c>
      <c r="AN231" s="87">
        <f t="shared" si="98"/>
        <v>44241</v>
      </c>
      <c r="AO231" s="13">
        <f t="shared" si="98"/>
        <v>44242</v>
      </c>
      <c r="AP231" s="13">
        <f t="shared" si="98"/>
        <v>44243</v>
      </c>
      <c r="AQ231" s="13">
        <f t="shared" si="98"/>
        <v>44244</v>
      </c>
      <c r="AR231" s="13">
        <f t="shared" si="98"/>
        <v>44245</v>
      </c>
      <c r="AS231" s="13">
        <f t="shared" si="98"/>
        <v>44246</v>
      </c>
      <c r="AT231" s="13">
        <f t="shared" si="98"/>
        <v>44247</v>
      </c>
      <c r="AU231" s="88">
        <f t="shared" si="87"/>
        <v>250000</v>
      </c>
      <c r="AV231" s="67">
        <f t="shared" si="88"/>
        <v>220000</v>
      </c>
      <c r="AW231" s="67">
        <f t="shared" si="89"/>
        <v>80000</v>
      </c>
      <c r="AX231" s="67">
        <f t="shared" si="90"/>
        <v>50000</v>
      </c>
      <c r="AY231" s="67">
        <f t="shared" si="91"/>
        <v>50000</v>
      </c>
      <c r="AZ231" s="67">
        <f t="shared" si="92"/>
        <v>150000</v>
      </c>
      <c r="BA231" s="90">
        <f t="shared" si="93"/>
        <v>1.4551915228366852E-10</v>
      </c>
    </row>
    <row r="232" spans="1:53" s="6" customFormat="1" ht="13.2">
      <c r="A232" s="6">
        <v>27</v>
      </c>
      <c r="B232" s="13">
        <f t="shared" si="74"/>
        <v>44254</v>
      </c>
      <c r="C232" s="10">
        <f t="shared" si="74"/>
        <v>3</v>
      </c>
      <c r="D232" s="10">
        <f t="shared" si="75"/>
        <v>32000</v>
      </c>
      <c r="E232" s="65">
        <f t="shared" si="76"/>
        <v>50</v>
      </c>
      <c r="F232" s="10">
        <f t="shared" si="77"/>
        <v>29999.999999999996</v>
      </c>
      <c r="G232" s="83">
        <f t="shared" si="78"/>
        <v>20000.000000000004</v>
      </c>
      <c r="H232" s="10">
        <f t="shared" si="79"/>
        <v>20000.000000000004</v>
      </c>
      <c r="I232" s="85">
        <f t="shared" si="94"/>
        <v>0</v>
      </c>
      <c r="J232" s="80">
        <f t="shared" si="94"/>
        <v>0</v>
      </c>
      <c r="K232" s="80">
        <f t="shared" si="94"/>
        <v>0</v>
      </c>
      <c r="L232" s="80">
        <f t="shared" si="94"/>
        <v>0</v>
      </c>
      <c r="M232" s="80">
        <f t="shared" si="94"/>
        <v>0</v>
      </c>
      <c r="N232" s="80">
        <f t="shared" si="94"/>
        <v>0</v>
      </c>
      <c r="O232" s="80">
        <f t="shared" si="94"/>
        <v>0</v>
      </c>
      <c r="P232" s="85" cm="1">
        <f t="array" ref="P232">INDEX($M$131:$M$174,$A232)+SUM($I232:I232)</f>
        <v>29999.999999999996</v>
      </c>
      <c r="Q232" s="80" cm="1">
        <f t="array" ref="Q232">INDEX($M$131:$M$174,$A232)+SUM($I232:J232)</f>
        <v>29999.999999999996</v>
      </c>
      <c r="R232" s="80" cm="1">
        <f t="array" ref="R232">INDEX($M$131:$M$174,$A232)+SUM($I232:K232)</f>
        <v>29999.999999999996</v>
      </c>
      <c r="S232" s="80" cm="1">
        <f t="array" ref="S232">INDEX($M$131:$M$174,$A232)+SUM($I232:L232)</f>
        <v>29999.999999999996</v>
      </c>
      <c r="T232" s="80" cm="1">
        <f t="array" ref="T232">INDEX($M$131:$M$174,$A232)+SUM($I232:M232)</f>
        <v>29999.999999999996</v>
      </c>
      <c r="U232" s="80" cm="1">
        <f t="array" ref="U232">INDEX($M$131:$M$174,$A232)+SUM($I232:N232)</f>
        <v>29999.999999999996</v>
      </c>
      <c r="V232" s="80" cm="1">
        <f t="array" ref="V232">INDEX($M$131:$M$174,$A232)+SUM($I232:O232)</f>
        <v>29999.999999999996</v>
      </c>
      <c r="W232" s="85">
        <f t="shared" si="97"/>
        <v>8000</v>
      </c>
      <c r="X232" s="80">
        <f t="shared" si="97"/>
        <v>7040</v>
      </c>
      <c r="Y232" s="80">
        <f t="shared" si="97"/>
        <v>2560</v>
      </c>
      <c r="Z232" s="80">
        <f t="shared" si="97"/>
        <v>1600</v>
      </c>
      <c r="AA232" s="80">
        <f t="shared" si="97"/>
        <v>1600</v>
      </c>
      <c r="AB232" s="80">
        <f t="shared" si="97"/>
        <v>4800</v>
      </c>
      <c r="AC232" s="80">
        <f t="shared" si="97"/>
        <v>6400</v>
      </c>
      <c r="AD232" s="85">
        <f t="shared" si="82"/>
        <v>8000</v>
      </c>
      <c r="AE232" s="80">
        <f>MIN($G232-SUM($AD232:AD232),X232)</f>
        <v>7040</v>
      </c>
      <c r="AF232" s="80">
        <f>MIN($G232-SUM($AD232:AE232),Y232)</f>
        <v>2560</v>
      </c>
      <c r="AG232" s="80">
        <f>MIN($G232-SUM($AD232:AF232),Z232)</f>
        <v>1600</v>
      </c>
      <c r="AH232" s="80">
        <f>MIN($G232-SUM($AD232:AG232),AA232)</f>
        <v>800.00000000000364</v>
      </c>
      <c r="AI232" s="80">
        <f>MIN($G232-SUM($AD232:AH232),AB232)</f>
        <v>0</v>
      </c>
      <c r="AJ232" s="86">
        <f>MIN($G232-SUM($AD232:AI232),AC232)</f>
        <v>0</v>
      </c>
      <c r="AK232" s="10">
        <f t="shared" si="83"/>
        <v>20000.000000000004</v>
      </c>
      <c r="AL232" s="10">
        <f t="shared" si="84"/>
        <v>0</v>
      </c>
      <c r="AM232" s="65">
        <f t="shared" si="85"/>
        <v>1000000.0000000002</v>
      </c>
      <c r="AN232" s="87">
        <f t="shared" si="98"/>
        <v>44248</v>
      </c>
      <c r="AO232" s="13">
        <f t="shared" si="98"/>
        <v>44249</v>
      </c>
      <c r="AP232" s="13">
        <f t="shared" si="98"/>
        <v>44250</v>
      </c>
      <c r="AQ232" s="13">
        <f t="shared" si="98"/>
        <v>44251</v>
      </c>
      <c r="AR232" s="13">
        <f t="shared" si="98"/>
        <v>44252</v>
      </c>
      <c r="AS232" s="13">
        <f t="shared" si="98"/>
        <v>44253</v>
      </c>
      <c r="AT232" s="13">
        <f t="shared" si="98"/>
        <v>44254</v>
      </c>
      <c r="AU232" s="88">
        <f t="shared" si="87"/>
        <v>400000</v>
      </c>
      <c r="AV232" s="67">
        <f t="shared" si="88"/>
        <v>352000</v>
      </c>
      <c r="AW232" s="67">
        <f t="shared" si="89"/>
        <v>128000</v>
      </c>
      <c r="AX232" s="67">
        <f t="shared" si="90"/>
        <v>80000</v>
      </c>
      <c r="AY232" s="67">
        <f t="shared" si="91"/>
        <v>40000.000000000182</v>
      </c>
      <c r="AZ232" s="67">
        <f t="shared" si="92"/>
        <v>0</v>
      </c>
      <c r="BA232" s="90">
        <f t="shared" si="93"/>
        <v>0</v>
      </c>
    </row>
    <row r="233" spans="1:53" s="6" customFormat="1" ht="13.2">
      <c r="A233" s="6">
        <v>28</v>
      </c>
      <c r="B233" s="13">
        <f t="shared" si="74"/>
        <v>44261</v>
      </c>
      <c r="C233" s="10">
        <f t="shared" si="74"/>
        <v>1</v>
      </c>
      <c r="D233" s="10">
        <f t="shared" si="75"/>
        <v>15000</v>
      </c>
      <c r="E233" s="65">
        <f t="shared" si="76"/>
        <v>30</v>
      </c>
      <c r="F233" s="10">
        <f t="shared" si="77"/>
        <v>29999.999999999996</v>
      </c>
      <c r="G233" s="83">
        <f t="shared" si="78"/>
        <v>20000.000000000004</v>
      </c>
      <c r="H233" s="10">
        <f t="shared" si="79"/>
        <v>15000</v>
      </c>
      <c r="I233" s="85">
        <f t="shared" si="94"/>
        <v>0</v>
      </c>
      <c r="J233" s="80">
        <f t="shared" si="94"/>
        <v>0</v>
      </c>
      <c r="K233" s="80">
        <f t="shared" si="94"/>
        <v>0</v>
      </c>
      <c r="L233" s="80">
        <f t="shared" si="94"/>
        <v>0</v>
      </c>
      <c r="M233" s="80">
        <f t="shared" si="94"/>
        <v>0</v>
      </c>
      <c r="N233" s="80">
        <f t="shared" si="94"/>
        <v>0</v>
      </c>
      <c r="O233" s="80">
        <f t="shared" si="94"/>
        <v>0</v>
      </c>
      <c r="P233" s="85" cm="1">
        <f t="array" ref="P233">INDEX($M$131:$M$174,$A233)+SUM($I233:I233)</f>
        <v>29999.999999999996</v>
      </c>
      <c r="Q233" s="80" cm="1">
        <f t="array" ref="Q233">INDEX($M$131:$M$174,$A233)+SUM($I233:J233)</f>
        <v>29999.999999999996</v>
      </c>
      <c r="R233" s="80" cm="1">
        <f t="array" ref="R233">INDEX($M$131:$M$174,$A233)+SUM($I233:K233)</f>
        <v>29999.999999999996</v>
      </c>
      <c r="S233" s="80" cm="1">
        <f t="array" ref="S233">INDEX($M$131:$M$174,$A233)+SUM($I233:L233)</f>
        <v>29999.999999999996</v>
      </c>
      <c r="T233" s="80" cm="1">
        <f t="array" ref="T233">INDEX($M$131:$M$174,$A233)+SUM($I233:M233)</f>
        <v>29999.999999999996</v>
      </c>
      <c r="U233" s="80" cm="1">
        <f t="array" ref="U233">INDEX($M$131:$M$174,$A233)+SUM($I233:N233)</f>
        <v>29999.999999999996</v>
      </c>
      <c r="V233" s="80" cm="1">
        <f t="array" ref="V233">INDEX($M$131:$M$174,$A233)+SUM($I233:O233)</f>
        <v>29999.999999999996</v>
      </c>
      <c r="W233" s="85">
        <f t="shared" si="97"/>
        <v>3750</v>
      </c>
      <c r="X233" s="80">
        <f t="shared" si="97"/>
        <v>3300</v>
      </c>
      <c r="Y233" s="80">
        <f t="shared" si="97"/>
        <v>1200</v>
      </c>
      <c r="Z233" s="80">
        <f t="shared" si="97"/>
        <v>750</v>
      </c>
      <c r="AA233" s="80">
        <f t="shared" si="97"/>
        <v>750</v>
      </c>
      <c r="AB233" s="80">
        <f t="shared" si="97"/>
        <v>2250</v>
      </c>
      <c r="AC233" s="80">
        <f t="shared" si="97"/>
        <v>3000</v>
      </c>
      <c r="AD233" s="85">
        <f t="shared" si="82"/>
        <v>3750</v>
      </c>
      <c r="AE233" s="80">
        <f>MIN($G233-SUM($AD233:AD233),X233)</f>
        <v>3300</v>
      </c>
      <c r="AF233" s="80">
        <f>MIN($G233-SUM($AD233:AE233),Y233)</f>
        <v>1200</v>
      </c>
      <c r="AG233" s="80">
        <f>MIN($G233-SUM($AD233:AF233),Z233)</f>
        <v>750</v>
      </c>
      <c r="AH233" s="80">
        <f>MIN($G233-SUM($AD233:AG233),AA233)</f>
        <v>750</v>
      </c>
      <c r="AI233" s="80">
        <f>MIN($G233-SUM($AD233:AH233),AB233)</f>
        <v>2250</v>
      </c>
      <c r="AJ233" s="86">
        <f>MIN($G233-SUM($AD233:AI233),AC233)</f>
        <v>3000</v>
      </c>
      <c r="AK233" s="10">
        <f t="shared" si="83"/>
        <v>15000</v>
      </c>
      <c r="AL233" s="10">
        <f t="shared" si="84"/>
        <v>0</v>
      </c>
      <c r="AM233" s="65">
        <f t="shared" si="85"/>
        <v>450000</v>
      </c>
      <c r="AN233" s="87">
        <f t="shared" si="98"/>
        <v>44255</v>
      </c>
      <c r="AO233" s="13">
        <f t="shared" si="98"/>
        <v>44256</v>
      </c>
      <c r="AP233" s="13">
        <f t="shared" si="98"/>
        <v>44257</v>
      </c>
      <c r="AQ233" s="13">
        <f t="shared" si="98"/>
        <v>44258</v>
      </c>
      <c r="AR233" s="13">
        <f t="shared" si="98"/>
        <v>44259</v>
      </c>
      <c r="AS233" s="13">
        <f t="shared" si="98"/>
        <v>44260</v>
      </c>
      <c r="AT233" s="13">
        <f t="shared" si="98"/>
        <v>44261</v>
      </c>
      <c r="AU233" s="88">
        <f t="shared" si="87"/>
        <v>112500</v>
      </c>
      <c r="AV233" s="67">
        <f t="shared" si="88"/>
        <v>99000</v>
      </c>
      <c r="AW233" s="67">
        <f t="shared" si="89"/>
        <v>36000</v>
      </c>
      <c r="AX233" s="67">
        <f t="shared" si="90"/>
        <v>22500</v>
      </c>
      <c r="AY233" s="67">
        <f t="shared" si="91"/>
        <v>22500</v>
      </c>
      <c r="AZ233" s="67">
        <f t="shared" si="92"/>
        <v>67500</v>
      </c>
      <c r="BA233" s="90">
        <f t="shared" si="93"/>
        <v>90000</v>
      </c>
    </row>
    <row r="234" spans="1:53" s="6" customFormat="1" ht="13.2">
      <c r="A234" s="6">
        <v>29</v>
      </c>
      <c r="B234" s="13">
        <f t="shared" si="74"/>
        <v>44268</v>
      </c>
      <c r="C234" s="10">
        <f t="shared" si="74"/>
        <v>2</v>
      </c>
      <c r="D234" s="10">
        <f t="shared" si="75"/>
        <v>25000</v>
      </c>
      <c r="E234" s="65">
        <f t="shared" si="76"/>
        <v>40</v>
      </c>
      <c r="F234" s="10">
        <f t="shared" si="77"/>
        <v>29999.999999999996</v>
      </c>
      <c r="G234" s="83">
        <f t="shared" si="78"/>
        <v>20000.000000000004</v>
      </c>
      <c r="H234" s="10">
        <f t="shared" si="79"/>
        <v>20000.000000000004</v>
      </c>
      <c r="I234" s="85">
        <f t="shared" si="94"/>
        <v>0</v>
      </c>
      <c r="J234" s="80">
        <f t="shared" si="94"/>
        <v>0</v>
      </c>
      <c r="K234" s="80">
        <f t="shared" si="94"/>
        <v>0</v>
      </c>
      <c r="L234" s="80">
        <f t="shared" si="94"/>
        <v>0</v>
      </c>
      <c r="M234" s="80">
        <f t="shared" si="94"/>
        <v>0</v>
      </c>
      <c r="N234" s="80">
        <f t="shared" si="94"/>
        <v>0</v>
      </c>
      <c r="O234" s="80">
        <f t="shared" si="94"/>
        <v>0</v>
      </c>
      <c r="P234" s="85" cm="1">
        <f t="array" ref="P234">INDEX($M$131:$M$174,$A234)+SUM($I234:I234)</f>
        <v>29999.999999999996</v>
      </c>
      <c r="Q234" s="80" cm="1">
        <f t="array" ref="Q234">INDEX($M$131:$M$174,$A234)+SUM($I234:J234)</f>
        <v>29999.999999999996</v>
      </c>
      <c r="R234" s="80" cm="1">
        <f t="array" ref="R234">INDEX($M$131:$M$174,$A234)+SUM($I234:K234)</f>
        <v>29999.999999999996</v>
      </c>
      <c r="S234" s="80" cm="1">
        <f t="array" ref="S234">INDEX($M$131:$M$174,$A234)+SUM($I234:L234)</f>
        <v>29999.999999999996</v>
      </c>
      <c r="T234" s="80" cm="1">
        <f t="array" ref="T234">INDEX($M$131:$M$174,$A234)+SUM($I234:M234)</f>
        <v>29999.999999999996</v>
      </c>
      <c r="U234" s="80" cm="1">
        <f t="array" ref="U234">INDEX($M$131:$M$174,$A234)+SUM($I234:N234)</f>
        <v>29999.999999999996</v>
      </c>
      <c r="V234" s="80" cm="1">
        <f t="array" ref="V234">INDEX($M$131:$M$174,$A234)+SUM($I234:O234)</f>
        <v>29999.999999999996</v>
      </c>
      <c r="W234" s="85">
        <f t="shared" si="97"/>
        <v>6250</v>
      </c>
      <c r="X234" s="80">
        <f t="shared" si="97"/>
        <v>5500</v>
      </c>
      <c r="Y234" s="80">
        <f t="shared" si="97"/>
        <v>2000</v>
      </c>
      <c r="Z234" s="80">
        <f t="shared" si="97"/>
        <v>1250</v>
      </c>
      <c r="AA234" s="80">
        <f t="shared" si="97"/>
        <v>1250</v>
      </c>
      <c r="AB234" s="80">
        <f t="shared" si="97"/>
        <v>3750</v>
      </c>
      <c r="AC234" s="80">
        <f t="shared" si="97"/>
        <v>5000</v>
      </c>
      <c r="AD234" s="85">
        <f t="shared" si="82"/>
        <v>6250</v>
      </c>
      <c r="AE234" s="80">
        <f>MIN($G234-SUM($AD234:AD234),X234)</f>
        <v>5500</v>
      </c>
      <c r="AF234" s="80">
        <f>MIN($G234-SUM($AD234:AE234),Y234)</f>
        <v>2000</v>
      </c>
      <c r="AG234" s="80">
        <f>MIN($G234-SUM($AD234:AF234),Z234)</f>
        <v>1250</v>
      </c>
      <c r="AH234" s="80">
        <f>MIN($G234-SUM($AD234:AG234),AA234)</f>
        <v>1250</v>
      </c>
      <c r="AI234" s="80">
        <f>MIN($G234-SUM($AD234:AH234),AB234)</f>
        <v>3750</v>
      </c>
      <c r="AJ234" s="86">
        <f>MIN($G234-SUM($AD234:AI234),AC234)</f>
        <v>3.637978807091713E-12</v>
      </c>
      <c r="AK234" s="10">
        <f t="shared" si="83"/>
        <v>20000.000000000004</v>
      </c>
      <c r="AL234" s="10">
        <f t="shared" si="84"/>
        <v>0</v>
      </c>
      <c r="AM234" s="65">
        <f t="shared" si="85"/>
        <v>800000.00000000012</v>
      </c>
      <c r="AN234" s="87">
        <f t="shared" si="98"/>
        <v>44262</v>
      </c>
      <c r="AO234" s="13">
        <f t="shared" si="98"/>
        <v>44263</v>
      </c>
      <c r="AP234" s="13">
        <f t="shared" si="98"/>
        <v>44264</v>
      </c>
      <c r="AQ234" s="13">
        <f t="shared" si="98"/>
        <v>44265</v>
      </c>
      <c r="AR234" s="13">
        <f t="shared" si="98"/>
        <v>44266</v>
      </c>
      <c r="AS234" s="13">
        <f t="shared" si="98"/>
        <v>44267</v>
      </c>
      <c r="AT234" s="13">
        <f t="shared" si="98"/>
        <v>44268</v>
      </c>
      <c r="AU234" s="88">
        <f t="shared" si="87"/>
        <v>250000</v>
      </c>
      <c r="AV234" s="67">
        <f t="shared" si="88"/>
        <v>220000</v>
      </c>
      <c r="AW234" s="67">
        <f t="shared" si="89"/>
        <v>80000</v>
      </c>
      <c r="AX234" s="67">
        <f t="shared" si="90"/>
        <v>50000</v>
      </c>
      <c r="AY234" s="67">
        <f t="shared" si="91"/>
        <v>50000</v>
      </c>
      <c r="AZ234" s="67">
        <f t="shared" si="92"/>
        <v>150000</v>
      </c>
      <c r="BA234" s="90">
        <f t="shared" si="93"/>
        <v>1.4551915228366852E-10</v>
      </c>
    </row>
    <row r="235" spans="1:53" s="6" customFormat="1" ht="13.2">
      <c r="A235" s="6">
        <v>30</v>
      </c>
      <c r="B235" s="13">
        <f t="shared" si="74"/>
        <v>44275</v>
      </c>
      <c r="C235" s="10">
        <f t="shared" si="74"/>
        <v>2</v>
      </c>
      <c r="D235" s="10">
        <f t="shared" si="75"/>
        <v>25000</v>
      </c>
      <c r="E235" s="65">
        <f t="shared" si="76"/>
        <v>40</v>
      </c>
      <c r="F235" s="10">
        <f t="shared" si="77"/>
        <v>29999.999999999996</v>
      </c>
      <c r="G235" s="83">
        <f t="shared" si="78"/>
        <v>20000.000000000004</v>
      </c>
      <c r="H235" s="10">
        <f t="shared" si="79"/>
        <v>20000.000000000004</v>
      </c>
      <c r="I235" s="85">
        <f t="shared" si="94"/>
        <v>0</v>
      </c>
      <c r="J235" s="80">
        <f t="shared" si="94"/>
        <v>0</v>
      </c>
      <c r="K235" s="80">
        <f t="shared" si="94"/>
        <v>0</v>
      </c>
      <c r="L235" s="80">
        <f t="shared" si="94"/>
        <v>0</v>
      </c>
      <c r="M235" s="80">
        <f t="shared" si="94"/>
        <v>0</v>
      </c>
      <c r="N235" s="80">
        <f t="shared" si="94"/>
        <v>0</v>
      </c>
      <c r="O235" s="80">
        <f t="shared" si="94"/>
        <v>0</v>
      </c>
      <c r="P235" s="85" cm="1">
        <f t="array" ref="P235">INDEX($M$131:$M$174,$A235)+SUM($I235:I235)</f>
        <v>29999.999999999996</v>
      </c>
      <c r="Q235" s="80" cm="1">
        <f t="array" ref="Q235">INDEX($M$131:$M$174,$A235)+SUM($I235:J235)</f>
        <v>29999.999999999996</v>
      </c>
      <c r="R235" s="80" cm="1">
        <f t="array" ref="R235">INDEX($M$131:$M$174,$A235)+SUM($I235:K235)</f>
        <v>29999.999999999996</v>
      </c>
      <c r="S235" s="80" cm="1">
        <f t="array" ref="S235">INDEX($M$131:$M$174,$A235)+SUM($I235:L235)</f>
        <v>29999.999999999996</v>
      </c>
      <c r="T235" s="80" cm="1">
        <f t="array" ref="T235">INDEX($M$131:$M$174,$A235)+SUM($I235:M235)</f>
        <v>29999.999999999996</v>
      </c>
      <c r="U235" s="80" cm="1">
        <f t="array" ref="U235">INDEX($M$131:$M$174,$A235)+SUM($I235:N235)</f>
        <v>29999.999999999996</v>
      </c>
      <c r="V235" s="80" cm="1">
        <f t="array" ref="V235">INDEX($M$131:$M$174,$A235)+SUM($I235:O235)</f>
        <v>29999.999999999996</v>
      </c>
      <c r="W235" s="85">
        <f t="shared" si="97"/>
        <v>6250</v>
      </c>
      <c r="X235" s="80">
        <f t="shared" si="97"/>
        <v>5500</v>
      </c>
      <c r="Y235" s="80">
        <f t="shared" si="97"/>
        <v>2000</v>
      </c>
      <c r="Z235" s="80">
        <f t="shared" si="97"/>
        <v>1250</v>
      </c>
      <c r="AA235" s="80">
        <f t="shared" si="97"/>
        <v>1250</v>
      </c>
      <c r="AB235" s="80">
        <f t="shared" si="97"/>
        <v>3750</v>
      </c>
      <c r="AC235" s="80">
        <f t="shared" si="97"/>
        <v>5000</v>
      </c>
      <c r="AD235" s="85">
        <f t="shared" si="82"/>
        <v>6250</v>
      </c>
      <c r="AE235" s="80">
        <f>MIN($G235-SUM($AD235:AD235),X235)</f>
        <v>5500</v>
      </c>
      <c r="AF235" s="80">
        <f>MIN($G235-SUM($AD235:AE235),Y235)</f>
        <v>2000</v>
      </c>
      <c r="AG235" s="80">
        <f>MIN($G235-SUM($AD235:AF235),Z235)</f>
        <v>1250</v>
      </c>
      <c r="AH235" s="80">
        <f>MIN($G235-SUM($AD235:AG235),AA235)</f>
        <v>1250</v>
      </c>
      <c r="AI235" s="80">
        <f>MIN($G235-SUM($AD235:AH235),AB235)</f>
        <v>3750</v>
      </c>
      <c r="AJ235" s="86">
        <f>MIN($G235-SUM($AD235:AI235),AC235)</f>
        <v>3.637978807091713E-12</v>
      </c>
      <c r="AK235" s="10">
        <f t="shared" si="83"/>
        <v>20000.000000000004</v>
      </c>
      <c r="AL235" s="10">
        <f t="shared" si="84"/>
        <v>0</v>
      </c>
      <c r="AM235" s="65">
        <f t="shared" si="85"/>
        <v>800000.00000000012</v>
      </c>
      <c r="AN235" s="87">
        <f t="shared" si="98"/>
        <v>44269</v>
      </c>
      <c r="AO235" s="13">
        <f t="shared" si="98"/>
        <v>44270</v>
      </c>
      <c r="AP235" s="13">
        <f t="shared" si="98"/>
        <v>44271</v>
      </c>
      <c r="AQ235" s="13">
        <f t="shared" si="98"/>
        <v>44272</v>
      </c>
      <c r="AR235" s="13">
        <f t="shared" si="98"/>
        <v>44273</v>
      </c>
      <c r="AS235" s="13">
        <f t="shared" si="98"/>
        <v>44274</v>
      </c>
      <c r="AT235" s="13">
        <f t="shared" si="98"/>
        <v>44275</v>
      </c>
      <c r="AU235" s="88">
        <f t="shared" si="87"/>
        <v>250000</v>
      </c>
      <c r="AV235" s="67">
        <f t="shared" si="88"/>
        <v>220000</v>
      </c>
      <c r="AW235" s="67">
        <f t="shared" si="89"/>
        <v>80000</v>
      </c>
      <c r="AX235" s="67">
        <f t="shared" si="90"/>
        <v>50000</v>
      </c>
      <c r="AY235" s="67">
        <f t="shared" si="91"/>
        <v>50000</v>
      </c>
      <c r="AZ235" s="67">
        <f t="shared" si="92"/>
        <v>150000</v>
      </c>
      <c r="BA235" s="90">
        <f t="shared" si="93"/>
        <v>1.4551915228366852E-10</v>
      </c>
    </row>
    <row r="236" spans="1:53" s="6" customFormat="1" ht="13.2">
      <c r="A236" s="6">
        <v>31</v>
      </c>
      <c r="B236" s="13">
        <f t="shared" si="74"/>
        <v>44282</v>
      </c>
      <c r="C236" s="10">
        <f t="shared" si="74"/>
        <v>3</v>
      </c>
      <c r="D236" s="10">
        <f t="shared" si="75"/>
        <v>32000</v>
      </c>
      <c r="E236" s="65">
        <f t="shared" si="76"/>
        <v>50</v>
      </c>
      <c r="F236" s="10">
        <f t="shared" si="77"/>
        <v>29999.999999999996</v>
      </c>
      <c r="G236" s="83">
        <f t="shared" si="78"/>
        <v>20000.000000000004</v>
      </c>
      <c r="H236" s="10">
        <f t="shared" si="79"/>
        <v>20000.000000000004</v>
      </c>
      <c r="I236" s="85">
        <f t="shared" si="94"/>
        <v>0</v>
      </c>
      <c r="J236" s="80">
        <f t="shared" si="94"/>
        <v>0</v>
      </c>
      <c r="K236" s="80">
        <f t="shared" si="94"/>
        <v>0</v>
      </c>
      <c r="L236" s="80">
        <f t="shared" si="94"/>
        <v>0</v>
      </c>
      <c r="M236" s="80">
        <f t="shared" si="94"/>
        <v>0</v>
      </c>
      <c r="N236" s="80">
        <f t="shared" si="94"/>
        <v>0</v>
      </c>
      <c r="O236" s="80">
        <f t="shared" si="94"/>
        <v>0</v>
      </c>
      <c r="P236" s="85" cm="1">
        <f t="array" ref="P236">INDEX($M$131:$M$174,$A236)+SUM($I236:I236)</f>
        <v>29999.999999999996</v>
      </c>
      <c r="Q236" s="80" cm="1">
        <f t="array" ref="Q236">INDEX($M$131:$M$174,$A236)+SUM($I236:J236)</f>
        <v>29999.999999999996</v>
      </c>
      <c r="R236" s="80" cm="1">
        <f t="array" ref="R236">INDEX($M$131:$M$174,$A236)+SUM($I236:K236)</f>
        <v>29999.999999999996</v>
      </c>
      <c r="S236" s="80" cm="1">
        <f t="array" ref="S236">INDEX($M$131:$M$174,$A236)+SUM($I236:L236)</f>
        <v>29999.999999999996</v>
      </c>
      <c r="T236" s="80" cm="1">
        <f t="array" ref="T236">INDEX($M$131:$M$174,$A236)+SUM($I236:M236)</f>
        <v>29999.999999999996</v>
      </c>
      <c r="U236" s="80" cm="1">
        <f t="array" ref="U236">INDEX($M$131:$M$174,$A236)+SUM($I236:N236)</f>
        <v>29999.999999999996</v>
      </c>
      <c r="V236" s="80" cm="1">
        <f t="array" ref="V236">INDEX($M$131:$M$174,$A236)+SUM($I236:O236)</f>
        <v>29999.999999999996</v>
      </c>
      <c r="W236" s="85">
        <f t="shared" ref="W236:AC245" si="99">W$203*$D236</f>
        <v>8000</v>
      </c>
      <c r="X236" s="80">
        <f t="shared" si="99"/>
        <v>7040</v>
      </c>
      <c r="Y236" s="80">
        <f t="shared" si="99"/>
        <v>2560</v>
      </c>
      <c r="Z236" s="80">
        <f t="shared" si="99"/>
        <v>1600</v>
      </c>
      <c r="AA236" s="80">
        <f t="shared" si="99"/>
        <v>1600</v>
      </c>
      <c r="AB236" s="80">
        <f t="shared" si="99"/>
        <v>4800</v>
      </c>
      <c r="AC236" s="80">
        <f t="shared" si="99"/>
        <v>6400</v>
      </c>
      <c r="AD236" s="85">
        <f t="shared" si="82"/>
        <v>8000</v>
      </c>
      <c r="AE236" s="80">
        <f>MIN($G236-SUM($AD236:AD236),X236)</f>
        <v>7040</v>
      </c>
      <c r="AF236" s="80">
        <f>MIN($G236-SUM($AD236:AE236),Y236)</f>
        <v>2560</v>
      </c>
      <c r="AG236" s="80">
        <f>MIN($G236-SUM($AD236:AF236),Z236)</f>
        <v>1600</v>
      </c>
      <c r="AH236" s="80">
        <f>MIN($G236-SUM($AD236:AG236),AA236)</f>
        <v>800.00000000000364</v>
      </c>
      <c r="AI236" s="80">
        <f>MIN($G236-SUM($AD236:AH236),AB236)</f>
        <v>0</v>
      </c>
      <c r="AJ236" s="86">
        <f>MIN($G236-SUM($AD236:AI236),AC236)</f>
        <v>0</v>
      </c>
      <c r="AK236" s="10">
        <f t="shared" si="83"/>
        <v>20000.000000000004</v>
      </c>
      <c r="AL236" s="10">
        <f t="shared" si="84"/>
        <v>0</v>
      </c>
      <c r="AM236" s="65">
        <f t="shared" si="85"/>
        <v>1000000.0000000002</v>
      </c>
      <c r="AN236" s="87">
        <f t="shared" ref="AN236:AT245" si="100">$B236+AN$205</f>
        <v>44276</v>
      </c>
      <c r="AO236" s="13">
        <f t="shared" si="100"/>
        <v>44277</v>
      </c>
      <c r="AP236" s="13">
        <f t="shared" si="100"/>
        <v>44278</v>
      </c>
      <c r="AQ236" s="13">
        <f t="shared" si="100"/>
        <v>44279</v>
      </c>
      <c r="AR236" s="13">
        <f t="shared" si="100"/>
        <v>44280</v>
      </c>
      <c r="AS236" s="13">
        <f t="shared" si="100"/>
        <v>44281</v>
      </c>
      <c r="AT236" s="13">
        <f t="shared" si="100"/>
        <v>44282</v>
      </c>
      <c r="AU236" s="88">
        <f t="shared" si="87"/>
        <v>400000</v>
      </c>
      <c r="AV236" s="67">
        <f t="shared" si="88"/>
        <v>352000</v>
      </c>
      <c r="AW236" s="67">
        <f t="shared" si="89"/>
        <v>128000</v>
      </c>
      <c r="AX236" s="67">
        <f t="shared" si="90"/>
        <v>80000</v>
      </c>
      <c r="AY236" s="67">
        <f t="shared" si="91"/>
        <v>40000.000000000182</v>
      </c>
      <c r="AZ236" s="67">
        <f t="shared" si="92"/>
        <v>0</v>
      </c>
      <c r="BA236" s="90">
        <f t="shared" si="93"/>
        <v>0</v>
      </c>
    </row>
    <row r="237" spans="1:53" s="6" customFormat="1" ht="13.2">
      <c r="A237" s="6">
        <v>32</v>
      </c>
      <c r="B237" s="13">
        <f t="shared" si="74"/>
        <v>44289</v>
      </c>
      <c r="C237" s="10">
        <f t="shared" si="74"/>
        <v>1</v>
      </c>
      <c r="D237" s="10">
        <f t="shared" si="75"/>
        <v>15000</v>
      </c>
      <c r="E237" s="65">
        <f t="shared" si="76"/>
        <v>30</v>
      </c>
      <c r="F237" s="10">
        <f t="shared" si="77"/>
        <v>29999.999999999996</v>
      </c>
      <c r="G237" s="83">
        <f t="shared" si="78"/>
        <v>20000.000000000004</v>
      </c>
      <c r="H237" s="10">
        <f t="shared" si="79"/>
        <v>15000</v>
      </c>
      <c r="I237" s="85">
        <f t="shared" si="94"/>
        <v>0</v>
      </c>
      <c r="J237" s="80">
        <f t="shared" si="94"/>
        <v>0</v>
      </c>
      <c r="K237" s="80">
        <f t="shared" si="94"/>
        <v>0</v>
      </c>
      <c r="L237" s="80">
        <f t="shared" si="94"/>
        <v>0</v>
      </c>
      <c r="M237" s="80">
        <f t="shared" si="94"/>
        <v>0</v>
      </c>
      <c r="N237" s="80">
        <f t="shared" si="94"/>
        <v>0</v>
      </c>
      <c r="O237" s="80">
        <f t="shared" si="94"/>
        <v>0</v>
      </c>
      <c r="P237" s="85" cm="1">
        <f t="array" ref="P237">INDEX($M$131:$M$174,$A237)+SUM($I237:I237)</f>
        <v>29999.999999999996</v>
      </c>
      <c r="Q237" s="80" cm="1">
        <f t="array" ref="Q237">INDEX($M$131:$M$174,$A237)+SUM($I237:J237)</f>
        <v>29999.999999999996</v>
      </c>
      <c r="R237" s="80" cm="1">
        <f t="array" ref="R237">INDEX($M$131:$M$174,$A237)+SUM($I237:K237)</f>
        <v>29999.999999999996</v>
      </c>
      <c r="S237" s="80" cm="1">
        <f t="array" ref="S237">INDEX($M$131:$M$174,$A237)+SUM($I237:L237)</f>
        <v>29999.999999999996</v>
      </c>
      <c r="T237" s="80" cm="1">
        <f t="array" ref="T237">INDEX($M$131:$M$174,$A237)+SUM($I237:M237)</f>
        <v>29999.999999999996</v>
      </c>
      <c r="U237" s="80" cm="1">
        <f t="array" ref="U237">INDEX($M$131:$M$174,$A237)+SUM($I237:N237)</f>
        <v>29999.999999999996</v>
      </c>
      <c r="V237" s="80" cm="1">
        <f t="array" ref="V237">INDEX($M$131:$M$174,$A237)+SUM($I237:O237)</f>
        <v>29999.999999999996</v>
      </c>
      <c r="W237" s="85">
        <f t="shared" si="99"/>
        <v>3750</v>
      </c>
      <c r="X237" s="80">
        <f t="shared" si="99"/>
        <v>3300</v>
      </c>
      <c r="Y237" s="80">
        <f t="shared" si="99"/>
        <v>1200</v>
      </c>
      <c r="Z237" s="80">
        <f t="shared" si="99"/>
        <v>750</v>
      </c>
      <c r="AA237" s="80">
        <f t="shared" si="99"/>
        <v>750</v>
      </c>
      <c r="AB237" s="80">
        <f t="shared" si="99"/>
        <v>2250</v>
      </c>
      <c r="AC237" s="80">
        <f t="shared" si="99"/>
        <v>3000</v>
      </c>
      <c r="AD237" s="85">
        <f t="shared" si="82"/>
        <v>3750</v>
      </c>
      <c r="AE237" s="80">
        <f>MIN($G237-SUM($AD237:AD237),X237)</f>
        <v>3300</v>
      </c>
      <c r="AF237" s="80">
        <f>MIN($G237-SUM($AD237:AE237),Y237)</f>
        <v>1200</v>
      </c>
      <c r="AG237" s="80">
        <f>MIN($G237-SUM($AD237:AF237),Z237)</f>
        <v>750</v>
      </c>
      <c r="AH237" s="80">
        <f>MIN($G237-SUM($AD237:AG237),AA237)</f>
        <v>750</v>
      </c>
      <c r="AI237" s="80">
        <f>MIN($G237-SUM($AD237:AH237),AB237)</f>
        <v>2250</v>
      </c>
      <c r="AJ237" s="86">
        <f>MIN($G237-SUM($AD237:AI237),AC237)</f>
        <v>3000</v>
      </c>
      <c r="AK237" s="10">
        <f t="shared" si="83"/>
        <v>15000</v>
      </c>
      <c r="AL237" s="10">
        <f t="shared" si="84"/>
        <v>0</v>
      </c>
      <c r="AM237" s="65">
        <f t="shared" si="85"/>
        <v>450000</v>
      </c>
      <c r="AN237" s="87">
        <f t="shared" si="100"/>
        <v>44283</v>
      </c>
      <c r="AO237" s="13">
        <f t="shared" si="100"/>
        <v>44284</v>
      </c>
      <c r="AP237" s="13">
        <f t="shared" si="100"/>
        <v>44285</v>
      </c>
      <c r="AQ237" s="13">
        <f t="shared" si="100"/>
        <v>44286</v>
      </c>
      <c r="AR237" s="13">
        <f t="shared" si="100"/>
        <v>44287</v>
      </c>
      <c r="AS237" s="13">
        <f t="shared" si="100"/>
        <v>44288</v>
      </c>
      <c r="AT237" s="13">
        <f t="shared" si="100"/>
        <v>44289</v>
      </c>
      <c r="AU237" s="88">
        <f t="shared" si="87"/>
        <v>112500</v>
      </c>
      <c r="AV237" s="67">
        <f t="shared" si="88"/>
        <v>99000</v>
      </c>
      <c r="AW237" s="67">
        <f t="shared" si="89"/>
        <v>36000</v>
      </c>
      <c r="AX237" s="67">
        <f t="shared" si="90"/>
        <v>22500</v>
      </c>
      <c r="AY237" s="67">
        <f t="shared" si="91"/>
        <v>22500</v>
      </c>
      <c r="AZ237" s="67">
        <f t="shared" si="92"/>
        <v>67500</v>
      </c>
      <c r="BA237" s="90">
        <f t="shared" si="93"/>
        <v>90000</v>
      </c>
    </row>
    <row r="238" spans="1:53" s="6" customFormat="1" ht="13.2">
      <c r="A238" s="6">
        <v>33</v>
      </c>
      <c r="B238" s="13">
        <f t="shared" si="74"/>
        <v>44296</v>
      </c>
      <c r="C238" s="10">
        <f t="shared" si="74"/>
        <v>2</v>
      </c>
      <c r="D238" s="10">
        <f t="shared" si="75"/>
        <v>25000</v>
      </c>
      <c r="E238" s="65">
        <f t="shared" si="76"/>
        <v>40</v>
      </c>
      <c r="F238" s="10">
        <f t="shared" si="77"/>
        <v>29999.999999999996</v>
      </c>
      <c r="G238" s="83">
        <f t="shared" si="78"/>
        <v>20000.000000000004</v>
      </c>
      <c r="H238" s="10">
        <f t="shared" si="79"/>
        <v>20000.000000000004</v>
      </c>
      <c r="I238" s="85">
        <f t="shared" si="94"/>
        <v>0</v>
      </c>
      <c r="J238" s="80">
        <f t="shared" si="94"/>
        <v>0</v>
      </c>
      <c r="K238" s="80">
        <f t="shared" si="94"/>
        <v>0</v>
      </c>
      <c r="L238" s="80">
        <f t="shared" si="94"/>
        <v>0</v>
      </c>
      <c r="M238" s="80">
        <f t="shared" si="94"/>
        <v>0</v>
      </c>
      <c r="N238" s="80">
        <f t="shared" si="94"/>
        <v>0</v>
      </c>
      <c r="O238" s="80">
        <f t="shared" si="94"/>
        <v>0</v>
      </c>
      <c r="P238" s="85" cm="1">
        <f t="array" ref="P238">INDEX($M$131:$M$174,$A238)+SUM($I238:I238)</f>
        <v>29999.999999999996</v>
      </c>
      <c r="Q238" s="80" cm="1">
        <f t="array" ref="Q238">INDEX($M$131:$M$174,$A238)+SUM($I238:J238)</f>
        <v>29999.999999999996</v>
      </c>
      <c r="R238" s="80" cm="1">
        <f t="array" ref="R238">INDEX($M$131:$M$174,$A238)+SUM($I238:K238)</f>
        <v>29999.999999999996</v>
      </c>
      <c r="S238" s="80" cm="1">
        <f t="array" ref="S238">INDEX($M$131:$M$174,$A238)+SUM($I238:L238)</f>
        <v>29999.999999999996</v>
      </c>
      <c r="T238" s="80" cm="1">
        <f t="array" ref="T238">INDEX($M$131:$M$174,$A238)+SUM($I238:M238)</f>
        <v>29999.999999999996</v>
      </c>
      <c r="U238" s="80" cm="1">
        <f t="array" ref="U238">INDEX($M$131:$M$174,$A238)+SUM($I238:N238)</f>
        <v>29999.999999999996</v>
      </c>
      <c r="V238" s="80" cm="1">
        <f t="array" ref="V238">INDEX($M$131:$M$174,$A238)+SUM($I238:O238)</f>
        <v>29999.999999999996</v>
      </c>
      <c r="W238" s="85">
        <f t="shared" si="99"/>
        <v>6250</v>
      </c>
      <c r="X238" s="80">
        <f t="shared" si="99"/>
        <v>5500</v>
      </c>
      <c r="Y238" s="80">
        <f t="shared" si="99"/>
        <v>2000</v>
      </c>
      <c r="Z238" s="80">
        <f t="shared" si="99"/>
        <v>1250</v>
      </c>
      <c r="AA238" s="80">
        <f t="shared" si="99"/>
        <v>1250</v>
      </c>
      <c r="AB238" s="80">
        <f t="shared" si="99"/>
        <v>3750</v>
      </c>
      <c r="AC238" s="80">
        <f t="shared" si="99"/>
        <v>5000</v>
      </c>
      <c r="AD238" s="85">
        <f t="shared" si="82"/>
        <v>6250</v>
      </c>
      <c r="AE238" s="80">
        <f>MIN($G238-SUM($AD238:AD238),X238)</f>
        <v>5500</v>
      </c>
      <c r="AF238" s="80">
        <f>MIN($G238-SUM($AD238:AE238),Y238)</f>
        <v>2000</v>
      </c>
      <c r="AG238" s="80">
        <f>MIN($G238-SUM($AD238:AF238),Z238)</f>
        <v>1250</v>
      </c>
      <c r="AH238" s="80">
        <f>MIN($G238-SUM($AD238:AG238),AA238)</f>
        <v>1250</v>
      </c>
      <c r="AI238" s="80">
        <f>MIN($G238-SUM($AD238:AH238),AB238)</f>
        <v>3750</v>
      </c>
      <c r="AJ238" s="86">
        <f>MIN($G238-SUM($AD238:AI238),AC238)</f>
        <v>3.637978807091713E-12</v>
      </c>
      <c r="AK238" s="10">
        <f t="shared" si="83"/>
        <v>20000.000000000004</v>
      </c>
      <c r="AL238" s="10">
        <f t="shared" si="84"/>
        <v>0</v>
      </c>
      <c r="AM238" s="65">
        <f t="shared" si="85"/>
        <v>800000.00000000012</v>
      </c>
      <c r="AN238" s="87">
        <f t="shared" si="100"/>
        <v>44290</v>
      </c>
      <c r="AO238" s="13">
        <f t="shared" si="100"/>
        <v>44291</v>
      </c>
      <c r="AP238" s="13">
        <f t="shared" si="100"/>
        <v>44292</v>
      </c>
      <c r="AQ238" s="13">
        <f t="shared" si="100"/>
        <v>44293</v>
      </c>
      <c r="AR238" s="13">
        <f t="shared" si="100"/>
        <v>44294</v>
      </c>
      <c r="AS238" s="13">
        <f t="shared" si="100"/>
        <v>44295</v>
      </c>
      <c r="AT238" s="13">
        <f t="shared" si="100"/>
        <v>44296</v>
      </c>
      <c r="AU238" s="88">
        <f t="shared" si="87"/>
        <v>250000</v>
      </c>
      <c r="AV238" s="67">
        <f t="shared" si="88"/>
        <v>220000</v>
      </c>
      <c r="AW238" s="67">
        <f t="shared" si="89"/>
        <v>80000</v>
      </c>
      <c r="AX238" s="67">
        <f t="shared" si="90"/>
        <v>50000</v>
      </c>
      <c r="AY238" s="67">
        <f t="shared" si="91"/>
        <v>50000</v>
      </c>
      <c r="AZ238" s="67">
        <f t="shared" si="92"/>
        <v>150000</v>
      </c>
      <c r="BA238" s="90">
        <f t="shared" si="93"/>
        <v>1.4551915228366852E-10</v>
      </c>
    </row>
    <row r="239" spans="1:53" s="6" customFormat="1" ht="13.2">
      <c r="A239" s="6">
        <v>34</v>
      </c>
      <c r="B239" s="13">
        <f t="shared" si="74"/>
        <v>44303</v>
      </c>
      <c r="C239" s="10">
        <f t="shared" si="74"/>
        <v>2</v>
      </c>
      <c r="D239" s="10">
        <f t="shared" si="75"/>
        <v>25000</v>
      </c>
      <c r="E239" s="65">
        <f t="shared" si="76"/>
        <v>40</v>
      </c>
      <c r="F239" s="10">
        <f t="shared" si="77"/>
        <v>29999.999999999996</v>
      </c>
      <c r="G239" s="83">
        <f t="shared" si="78"/>
        <v>20000.000000000004</v>
      </c>
      <c r="H239" s="10">
        <f t="shared" si="79"/>
        <v>20000.000000000004</v>
      </c>
      <c r="I239" s="85">
        <f t="shared" si="94"/>
        <v>0</v>
      </c>
      <c r="J239" s="80">
        <f t="shared" si="94"/>
        <v>0</v>
      </c>
      <c r="K239" s="80">
        <f t="shared" si="94"/>
        <v>0</v>
      </c>
      <c r="L239" s="80">
        <f t="shared" si="94"/>
        <v>0</v>
      </c>
      <c r="M239" s="80">
        <f t="shared" si="94"/>
        <v>0</v>
      </c>
      <c r="N239" s="80">
        <f t="shared" si="94"/>
        <v>0</v>
      </c>
      <c r="O239" s="80">
        <f t="shared" si="94"/>
        <v>0</v>
      </c>
      <c r="P239" s="85" cm="1">
        <f t="array" ref="P239">INDEX($M$131:$M$174,$A239)+SUM($I239:I239)</f>
        <v>29999.999999999996</v>
      </c>
      <c r="Q239" s="80" cm="1">
        <f t="array" ref="Q239">INDEX($M$131:$M$174,$A239)+SUM($I239:J239)</f>
        <v>29999.999999999996</v>
      </c>
      <c r="R239" s="80" cm="1">
        <f t="array" ref="R239">INDEX($M$131:$M$174,$A239)+SUM($I239:K239)</f>
        <v>29999.999999999996</v>
      </c>
      <c r="S239" s="80" cm="1">
        <f t="array" ref="S239">INDEX($M$131:$M$174,$A239)+SUM($I239:L239)</f>
        <v>29999.999999999996</v>
      </c>
      <c r="T239" s="80" cm="1">
        <f t="array" ref="T239">INDEX($M$131:$M$174,$A239)+SUM($I239:M239)</f>
        <v>29999.999999999996</v>
      </c>
      <c r="U239" s="80" cm="1">
        <f t="array" ref="U239">INDEX($M$131:$M$174,$A239)+SUM($I239:N239)</f>
        <v>29999.999999999996</v>
      </c>
      <c r="V239" s="80" cm="1">
        <f t="array" ref="V239">INDEX($M$131:$M$174,$A239)+SUM($I239:O239)</f>
        <v>29999.999999999996</v>
      </c>
      <c r="W239" s="85">
        <f t="shared" si="99"/>
        <v>6250</v>
      </c>
      <c r="X239" s="80">
        <f t="shared" si="99"/>
        <v>5500</v>
      </c>
      <c r="Y239" s="80">
        <f t="shared" si="99"/>
        <v>2000</v>
      </c>
      <c r="Z239" s="80">
        <f t="shared" si="99"/>
        <v>1250</v>
      </c>
      <c r="AA239" s="80">
        <f t="shared" si="99"/>
        <v>1250</v>
      </c>
      <c r="AB239" s="80">
        <f t="shared" si="99"/>
        <v>3750</v>
      </c>
      <c r="AC239" s="80">
        <f t="shared" si="99"/>
        <v>5000</v>
      </c>
      <c r="AD239" s="85">
        <f t="shared" si="82"/>
        <v>6250</v>
      </c>
      <c r="AE239" s="80">
        <f>MIN($G239-SUM($AD239:AD239),X239)</f>
        <v>5500</v>
      </c>
      <c r="AF239" s="80">
        <f>MIN($G239-SUM($AD239:AE239),Y239)</f>
        <v>2000</v>
      </c>
      <c r="AG239" s="80">
        <f>MIN($G239-SUM($AD239:AF239),Z239)</f>
        <v>1250</v>
      </c>
      <c r="AH239" s="80">
        <f>MIN($G239-SUM($AD239:AG239),AA239)</f>
        <v>1250</v>
      </c>
      <c r="AI239" s="80">
        <f>MIN($G239-SUM($AD239:AH239),AB239)</f>
        <v>3750</v>
      </c>
      <c r="AJ239" s="86">
        <f>MIN($G239-SUM($AD239:AI239),AC239)</f>
        <v>3.637978807091713E-12</v>
      </c>
      <c r="AK239" s="10">
        <f t="shared" si="83"/>
        <v>20000.000000000004</v>
      </c>
      <c r="AL239" s="10">
        <f t="shared" si="84"/>
        <v>0</v>
      </c>
      <c r="AM239" s="65">
        <f t="shared" si="85"/>
        <v>800000.00000000012</v>
      </c>
      <c r="AN239" s="87">
        <f t="shared" si="100"/>
        <v>44297</v>
      </c>
      <c r="AO239" s="13">
        <f t="shared" si="100"/>
        <v>44298</v>
      </c>
      <c r="AP239" s="13">
        <f t="shared" si="100"/>
        <v>44299</v>
      </c>
      <c r="AQ239" s="13">
        <f t="shared" si="100"/>
        <v>44300</v>
      </c>
      <c r="AR239" s="13">
        <f t="shared" si="100"/>
        <v>44301</v>
      </c>
      <c r="AS239" s="13">
        <f t="shared" si="100"/>
        <v>44302</v>
      </c>
      <c r="AT239" s="13">
        <f t="shared" si="100"/>
        <v>44303</v>
      </c>
      <c r="AU239" s="88">
        <f t="shared" si="87"/>
        <v>250000</v>
      </c>
      <c r="AV239" s="67">
        <f t="shared" si="88"/>
        <v>220000</v>
      </c>
      <c r="AW239" s="67">
        <f t="shared" si="89"/>
        <v>80000</v>
      </c>
      <c r="AX239" s="67">
        <f t="shared" si="90"/>
        <v>50000</v>
      </c>
      <c r="AY239" s="67">
        <f t="shared" si="91"/>
        <v>50000</v>
      </c>
      <c r="AZ239" s="67">
        <f t="shared" si="92"/>
        <v>150000</v>
      </c>
      <c r="BA239" s="90">
        <f t="shared" si="93"/>
        <v>1.4551915228366852E-10</v>
      </c>
    </row>
    <row r="240" spans="1:53" s="6" customFormat="1" ht="13.2">
      <c r="A240" s="6">
        <v>35</v>
      </c>
      <c r="B240" s="13">
        <f t="shared" si="74"/>
        <v>44310</v>
      </c>
      <c r="C240" s="10">
        <f t="shared" si="74"/>
        <v>1</v>
      </c>
      <c r="D240" s="10">
        <f t="shared" si="75"/>
        <v>15000</v>
      </c>
      <c r="E240" s="65">
        <f t="shared" si="76"/>
        <v>30</v>
      </c>
      <c r="F240" s="10">
        <f t="shared" si="77"/>
        <v>29999.999999999996</v>
      </c>
      <c r="G240" s="83">
        <f t="shared" si="78"/>
        <v>20000.000000000004</v>
      </c>
      <c r="H240" s="10">
        <f t="shared" si="79"/>
        <v>15000</v>
      </c>
      <c r="I240" s="85">
        <f t="shared" si="94"/>
        <v>0</v>
      </c>
      <c r="J240" s="80">
        <f t="shared" si="94"/>
        <v>0</v>
      </c>
      <c r="K240" s="80">
        <f t="shared" si="94"/>
        <v>0</v>
      </c>
      <c r="L240" s="80">
        <f t="shared" si="94"/>
        <v>0</v>
      </c>
      <c r="M240" s="80">
        <f t="shared" si="94"/>
        <v>0</v>
      </c>
      <c r="N240" s="80">
        <f t="shared" si="94"/>
        <v>0</v>
      </c>
      <c r="O240" s="80">
        <f t="shared" si="94"/>
        <v>0</v>
      </c>
      <c r="P240" s="85" cm="1">
        <f t="array" ref="P240">INDEX($M$131:$M$174,$A240)+SUM($I240:I240)</f>
        <v>29999.999999999996</v>
      </c>
      <c r="Q240" s="80" cm="1">
        <f t="array" ref="Q240">INDEX($M$131:$M$174,$A240)+SUM($I240:J240)</f>
        <v>29999.999999999996</v>
      </c>
      <c r="R240" s="80" cm="1">
        <f t="array" ref="R240">INDEX($M$131:$M$174,$A240)+SUM($I240:K240)</f>
        <v>29999.999999999996</v>
      </c>
      <c r="S240" s="80" cm="1">
        <f t="array" ref="S240">INDEX($M$131:$M$174,$A240)+SUM($I240:L240)</f>
        <v>29999.999999999996</v>
      </c>
      <c r="T240" s="80" cm="1">
        <f t="array" ref="T240">INDEX($M$131:$M$174,$A240)+SUM($I240:M240)</f>
        <v>29999.999999999996</v>
      </c>
      <c r="U240" s="80" cm="1">
        <f t="array" ref="U240">INDEX($M$131:$M$174,$A240)+SUM($I240:N240)</f>
        <v>29999.999999999996</v>
      </c>
      <c r="V240" s="80" cm="1">
        <f t="array" ref="V240">INDEX($M$131:$M$174,$A240)+SUM($I240:O240)</f>
        <v>29999.999999999996</v>
      </c>
      <c r="W240" s="85">
        <f t="shared" si="99"/>
        <v>3750</v>
      </c>
      <c r="X240" s="80">
        <f t="shared" si="99"/>
        <v>3300</v>
      </c>
      <c r="Y240" s="80">
        <f t="shared" si="99"/>
        <v>1200</v>
      </c>
      <c r="Z240" s="80">
        <f t="shared" si="99"/>
        <v>750</v>
      </c>
      <c r="AA240" s="80">
        <f t="shared" si="99"/>
        <v>750</v>
      </c>
      <c r="AB240" s="80">
        <f t="shared" si="99"/>
        <v>2250</v>
      </c>
      <c r="AC240" s="80">
        <f t="shared" si="99"/>
        <v>3000</v>
      </c>
      <c r="AD240" s="85">
        <f t="shared" si="82"/>
        <v>3750</v>
      </c>
      <c r="AE240" s="80">
        <f>MIN($G240-SUM($AD240:AD240),X240)</f>
        <v>3300</v>
      </c>
      <c r="AF240" s="80">
        <f>MIN($G240-SUM($AD240:AE240),Y240)</f>
        <v>1200</v>
      </c>
      <c r="AG240" s="80">
        <f>MIN($G240-SUM($AD240:AF240),Z240)</f>
        <v>750</v>
      </c>
      <c r="AH240" s="80">
        <f>MIN($G240-SUM($AD240:AG240),AA240)</f>
        <v>750</v>
      </c>
      <c r="AI240" s="80">
        <f>MIN($G240-SUM($AD240:AH240),AB240)</f>
        <v>2250</v>
      </c>
      <c r="AJ240" s="86">
        <f>MIN($G240-SUM($AD240:AI240),AC240)</f>
        <v>3000</v>
      </c>
      <c r="AK240" s="10">
        <f t="shared" si="83"/>
        <v>15000</v>
      </c>
      <c r="AL240" s="10">
        <f t="shared" si="84"/>
        <v>0</v>
      </c>
      <c r="AM240" s="65">
        <f t="shared" si="85"/>
        <v>450000</v>
      </c>
      <c r="AN240" s="87">
        <f t="shared" si="100"/>
        <v>44304</v>
      </c>
      <c r="AO240" s="13">
        <f t="shared" si="100"/>
        <v>44305</v>
      </c>
      <c r="AP240" s="13">
        <f t="shared" si="100"/>
        <v>44306</v>
      </c>
      <c r="AQ240" s="13">
        <f t="shared" si="100"/>
        <v>44307</v>
      </c>
      <c r="AR240" s="13">
        <f t="shared" si="100"/>
        <v>44308</v>
      </c>
      <c r="AS240" s="13">
        <f t="shared" si="100"/>
        <v>44309</v>
      </c>
      <c r="AT240" s="13">
        <f t="shared" si="100"/>
        <v>44310</v>
      </c>
      <c r="AU240" s="88">
        <f t="shared" si="87"/>
        <v>112500</v>
      </c>
      <c r="AV240" s="67">
        <f t="shared" si="88"/>
        <v>99000</v>
      </c>
      <c r="AW240" s="67">
        <f t="shared" si="89"/>
        <v>36000</v>
      </c>
      <c r="AX240" s="67">
        <f t="shared" si="90"/>
        <v>22500</v>
      </c>
      <c r="AY240" s="67">
        <f t="shared" si="91"/>
        <v>22500</v>
      </c>
      <c r="AZ240" s="67">
        <f t="shared" si="92"/>
        <v>67500</v>
      </c>
      <c r="BA240" s="90">
        <f t="shared" si="93"/>
        <v>90000</v>
      </c>
    </row>
    <row r="241" spans="1:53" s="6" customFormat="1" ht="13.2">
      <c r="A241" s="6">
        <v>36</v>
      </c>
      <c r="B241" s="13">
        <f t="shared" si="74"/>
        <v>44317</v>
      </c>
      <c r="C241" s="10">
        <f t="shared" si="74"/>
        <v>1</v>
      </c>
      <c r="D241" s="10">
        <f t="shared" si="75"/>
        <v>15000</v>
      </c>
      <c r="E241" s="65">
        <f t="shared" si="76"/>
        <v>30</v>
      </c>
      <c r="F241" s="10">
        <f t="shared" si="77"/>
        <v>29999.999999999996</v>
      </c>
      <c r="G241" s="83">
        <f t="shared" si="78"/>
        <v>20000.000000000004</v>
      </c>
      <c r="H241" s="10">
        <f t="shared" si="79"/>
        <v>15000</v>
      </c>
      <c r="I241" s="85">
        <f t="shared" si="94"/>
        <v>0</v>
      </c>
      <c r="J241" s="80">
        <f t="shared" si="94"/>
        <v>0</v>
      </c>
      <c r="K241" s="80">
        <f t="shared" si="94"/>
        <v>0</v>
      </c>
      <c r="L241" s="80">
        <f t="shared" si="94"/>
        <v>0</v>
      </c>
      <c r="M241" s="80">
        <f t="shared" si="94"/>
        <v>0</v>
      </c>
      <c r="N241" s="80">
        <f t="shared" si="94"/>
        <v>0</v>
      </c>
      <c r="O241" s="80">
        <f t="shared" si="94"/>
        <v>0</v>
      </c>
      <c r="P241" s="85" cm="1">
        <f t="array" ref="P241">INDEX($M$131:$M$174,$A241)+SUM($I241:I241)</f>
        <v>29999.999999999996</v>
      </c>
      <c r="Q241" s="80" cm="1">
        <f t="array" ref="Q241">INDEX($M$131:$M$174,$A241)+SUM($I241:J241)</f>
        <v>29999.999999999996</v>
      </c>
      <c r="R241" s="80" cm="1">
        <f t="array" ref="R241">INDEX($M$131:$M$174,$A241)+SUM($I241:K241)</f>
        <v>29999.999999999996</v>
      </c>
      <c r="S241" s="80" cm="1">
        <f t="array" ref="S241">INDEX($M$131:$M$174,$A241)+SUM($I241:L241)</f>
        <v>29999.999999999996</v>
      </c>
      <c r="T241" s="80" cm="1">
        <f t="array" ref="T241">INDEX($M$131:$M$174,$A241)+SUM($I241:M241)</f>
        <v>29999.999999999996</v>
      </c>
      <c r="U241" s="80" cm="1">
        <f t="array" ref="U241">INDEX($M$131:$M$174,$A241)+SUM($I241:N241)</f>
        <v>29999.999999999996</v>
      </c>
      <c r="V241" s="80" cm="1">
        <f t="array" ref="V241">INDEX($M$131:$M$174,$A241)+SUM($I241:O241)</f>
        <v>29999.999999999996</v>
      </c>
      <c r="W241" s="85">
        <f t="shared" si="99"/>
        <v>3750</v>
      </c>
      <c r="X241" s="80">
        <f t="shared" si="99"/>
        <v>3300</v>
      </c>
      <c r="Y241" s="80">
        <f t="shared" si="99"/>
        <v>1200</v>
      </c>
      <c r="Z241" s="80">
        <f t="shared" si="99"/>
        <v>750</v>
      </c>
      <c r="AA241" s="80">
        <f t="shared" si="99"/>
        <v>750</v>
      </c>
      <c r="AB241" s="80">
        <f t="shared" si="99"/>
        <v>2250</v>
      </c>
      <c r="AC241" s="80">
        <f t="shared" si="99"/>
        <v>3000</v>
      </c>
      <c r="AD241" s="85">
        <f t="shared" si="82"/>
        <v>3750</v>
      </c>
      <c r="AE241" s="80">
        <f>MIN($G241-SUM($AD241:AD241),X241)</f>
        <v>3300</v>
      </c>
      <c r="AF241" s="80">
        <f>MIN($G241-SUM($AD241:AE241),Y241)</f>
        <v>1200</v>
      </c>
      <c r="AG241" s="80">
        <f>MIN($G241-SUM($AD241:AF241),Z241)</f>
        <v>750</v>
      </c>
      <c r="AH241" s="80">
        <f>MIN($G241-SUM($AD241:AG241),AA241)</f>
        <v>750</v>
      </c>
      <c r="AI241" s="80">
        <f>MIN($G241-SUM($AD241:AH241),AB241)</f>
        <v>2250</v>
      </c>
      <c r="AJ241" s="86">
        <f>MIN($G241-SUM($AD241:AI241),AC241)</f>
        <v>3000</v>
      </c>
      <c r="AK241" s="10">
        <f t="shared" si="83"/>
        <v>15000</v>
      </c>
      <c r="AL241" s="10">
        <f t="shared" si="84"/>
        <v>0</v>
      </c>
      <c r="AM241" s="65">
        <f t="shared" si="85"/>
        <v>450000</v>
      </c>
      <c r="AN241" s="87">
        <f t="shared" si="100"/>
        <v>44311</v>
      </c>
      <c r="AO241" s="13">
        <f t="shared" si="100"/>
        <v>44312</v>
      </c>
      <c r="AP241" s="13">
        <f t="shared" si="100"/>
        <v>44313</v>
      </c>
      <c r="AQ241" s="13">
        <f t="shared" si="100"/>
        <v>44314</v>
      </c>
      <c r="AR241" s="13">
        <f t="shared" si="100"/>
        <v>44315</v>
      </c>
      <c r="AS241" s="13">
        <f t="shared" si="100"/>
        <v>44316</v>
      </c>
      <c r="AT241" s="13">
        <f t="shared" si="100"/>
        <v>44317</v>
      </c>
      <c r="AU241" s="88">
        <f t="shared" si="87"/>
        <v>112500</v>
      </c>
      <c r="AV241" s="67">
        <f t="shared" si="88"/>
        <v>99000</v>
      </c>
      <c r="AW241" s="67">
        <f t="shared" si="89"/>
        <v>36000</v>
      </c>
      <c r="AX241" s="67">
        <f t="shared" si="90"/>
        <v>22500</v>
      </c>
      <c r="AY241" s="67">
        <f t="shared" si="91"/>
        <v>22500</v>
      </c>
      <c r="AZ241" s="67">
        <f t="shared" si="92"/>
        <v>67500</v>
      </c>
      <c r="BA241" s="90">
        <f t="shared" si="93"/>
        <v>90000</v>
      </c>
    </row>
    <row r="242" spans="1:53" s="6" customFormat="1" ht="13.2">
      <c r="A242" s="6">
        <v>37</v>
      </c>
      <c r="B242" s="13">
        <f t="shared" si="74"/>
        <v>44324</v>
      </c>
      <c r="C242" s="10">
        <f t="shared" si="74"/>
        <v>1</v>
      </c>
      <c r="D242" s="10">
        <f t="shared" si="75"/>
        <v>15000</v>
      </c>
      <c r="E242" s="65">
        <f t="shared" si="76"/>
        <v>30</v>
      </c>
      <c r="F242" s="10">
        <f t="shared" si="77"/>
        <v>29999.999999999996</v>
      </c>
      <c r="G242" s="83">
        <f t="shared" si="78"/>
        <v>20000.000000000004</v>
      </c>
      <c r="H242" s="10">
        <f t="shared" si="79"/>
        <v>15000</v>
      </c>
      <c r="I242" s="85">
        <f t="shared" si="94"/>
        <v>0</v>
      </c>
      <c r="J242" s="80">
        <f t="shared" si="94"/>
        <v>0</v>
      </c>
      <c r="K242" s="80">
        <f t="shared" si="94"/>
        <v>0</v>
      </c>
      <c r="L242" s="80">
        <f t="shared" si="94"/>
        <v>0</v>
      </c>
      <c r="M242" s="80">
        <f t="shared" si="94"/>
        <v>0</v>
      </c>
      <c r="N242" s="80">
        <f t="shared" si="94"/>
        <v>0</v>
      </c>
      <c r="O242" s="80">
        <f t="shared" si="94"/>
        <v>0</v>
      </c>
      <c r="P242" s="85" cm="1">
        <f t="array" ref="P242">INDEX($M$131:$M$174,$A242)+SUM($I242:I242)</f>
        <v>29999.999999999996</v>
      </c>
      <c r="Q242" s="80" cm="1">
        <f t="array" ref="Q242">INDEX($M$131:$M$174,$A242)+SUM($I242:J242)</f>
        <v>29999.999999999996</v>
      </c>
      <c r="R242" s="80" cm="1">
        <f t="array" ref="R242">INDEX($M$131:$M$174,$A242)+SUM($I242:K242)</f>
        <v>29999.999999999996</v>
      </c>
      <c r="S242" s="80" cm="1">
        <f t="array" ref="S242">INDEX($M$131:$M$174,$A242)+SUM($I242:L242)</f>
        <v>29999.999999999996</v>
      </c>
      <c r="T242" s="80" cm="1">
        <f t="array" ref="T242">INDEX($M$131:$M$174,$A242)+SUM($I242:M242)</f>
        <v>29999.999999999996</v>
      </c>
      <c r="U242" s="80" cm="1">
        <f t="array" ref="U242">INDEX($M$131:$M$174,$A242)+SUM($I242:N242)</f>
        <v>29999.999999999996</v>
      </c>
      <c r="V242" s="80" cm="1">
        <f t="array" ref="V242">INDEX($M$131:$M$174,$A242)+SUM($I242:O242)</f>
        <v>29999.999999999996</v>
      </c>
      <c r="W242" s="85">
        <f t="shared" si="99"/>
        <v>3750</v>
      </c>
      <c r="X242" s="80">
        <f t="shared" si="99"/>
        <v>3300</v>
      </c>
      <c r="Y242" s="80">
        <f t="shared" si="99"/>
        <v>1200</v>
      </c>
      <c r="Z242" s="80">
        <f t="shared" si="99"/>
        <v>750</v>
      </c>
      <c r="AA242" s="80">
        <f t="shared" si="99"/>
        <v>750</v>
      </c>
      <c r="AB242" s="80">
        <f t="shared" si="99"/>
        <v>2250</v>
      </c>
      <c r="AC242" s="80">
        <f t="shared" si="99"/>
        <v>3000</v>
      </c>
      <c r="AD242" s="85">
        <f t="shared" si="82"/>
        <v>3750</v>
      </c>
      <c r="AE242" s="80">
        <f>MIN($G242-SUM($AD242:AD242),X242)</f>
        <v>3300</v>
      </c>
      <c r="AF242" s="80">
        <f>MIN($G242-SUM($AD242:AE242),Y242)</f>
        <v>1200</v>
      </c>
      <c r="AG242" s="80">
        <f>MIN($G242-SUM($AD242:AF242),Z242)</f>
        <v>750</v>
      </c>
      <c r="AH242" s="80">
        <f>MIN($G242-SUM($AD242:AG242),AA242)</f>
        <v>750</v>
      </c>
      <c r="AI242" s="80">
        <f>MIN($G242-SUM($AD242:AH242),AB242)</f>
        <v>2250</v>
      </c>
      <c r="AJ242" s="86">
        <f>MIN($G242-SUM($AD242:AI242),AC242)</f>
        <v>3000</v>
      </c>
      <c r="AK242" s="10">
        <f t="shared" si="83"/>
        <v>15000</v>
      </c>
      <c r="AL242" s="10">
        <f t="shared" si="84"/>
        <v>0</v>
      </c>
      <c r="AM242" s="65">
        <f t="shared" si="85"/>
        <v>450000</v>
      </c>
      <c r="AN242" s="87">
        <f t="shared" si="100"/>
        <v>44318</v>
      </c>
      <c r="AO242" s="13">
        <f t="shared" si="100"/>
        <v>44319</v>
      </c>
      <c r="AP242" s="13">
        <f t="shared" si="100"/>
        <v>44320</v>
      </c>
      <c r="AQ242" s="13">
        <f t="shared" si="100"/>
        <v>44321</v>
      </c>
      <c r="AR242" s="13">
        <f t="shared" si="100"/>
        <v>44322</v>
      </c>
      <c r="AS242" s="13">
        <f t="shared" si="100"/>
        <v>44323</v>
      </c>
      <c r="AT242" s="13">
        <f t="shared" si="100"/>
        <v>44324</v>
      </c>
      <c r="AU242" s="88">
        <f t="shared" si="87"/>
        <v>112500</v>
      </c>
      <c r="AV242" s="67">
        <f t="shared" si="88"/>
        <v>99000</v>
      </c>
      <c r="AW242" s="67">
        <f t="shared" si="89"/>
        <v>36000</v>
      </c>
      <c r="AX242" s="67">
        <f t="shared" si="90"/>
        <v>22500</v>
      </c>
      <c r="AY242" s="67">
        <f t="shared" si="91"/>
        <v>22500</v>
      </c>
      <c r="AZ242" s="67">
        <f t="shared" si="92"/>
        <v>67500</v>
      </c>
      <c r="BA242" s="90">
        <f t="shared" si="93"/>
        <v>90000</v>
      </c>
    </row>
    <row r="243" spans="1:53" s="6" customFormat="1" ht="13.2">
      <c r="A243" s="6">
        <v>38</v>
      </c>
      <c r="B243" s="13">
        <f t="shared" si="74"/>
        <v>44331</v>
      </c>
      <c r="C243" s="10">
        <f t="shared" si="74"/>
        <v>3</v>
      </c>
      <c r="D243" s="10">
        <f t="shared" si="75"/>
        <v>32000</v>
      </c>
      <c r="E243" s="65">
        <f t="shared" si="76"/>
        <v>50</v>
      </c>
      <c r="F243" s="10">
        <f t="shared" si="77"/>
        <v>29999.999999999996</v>
      </c>
      <c r="G243" s="83">
        <f t="shared" si="78"/>
        <v>20000.000000000004</v>
      </c>
      <c r="H243" s="10">
        <f t="shared" si="79"/>
        <v>20000.000000000004</v>
      </c>
      <c r="I243" s="85">
        <f t="shared" si="94"/>
        <v>0</v>
      </c>
      <c r="J243" s="80">
        <f t="shared" ref="J243:O245" si="101">J$203*$D169</f>
        <v>0</v>
      </c>
      <c r="K243" s="80">
        <f t="shared" si="101"/>
        <v>0</v>
      </c>
      <c r="L243" s="80">
        <f t="shared" si="101"/>
        <v>0</v>
      </c>
      <c r="M243" s="80">
        <f t="shared" si="101"/>
        <v>0</v>
      </c>
      <c r="N243" s="80">
        <f t="shared" si="101"/>
        <v>0</v>
      </c>
      <c r="O243" s="80">
        <f t="shared" si="101"/>
        <v>0</v>
      </c>
      <c r="P243" s="85" cm="1">
        <f t="array" ref="P243">INDEX($M$131:$M$174,$A243)+SUM($I243:I243)</f>
        <v>29999.999999999996</v>
      </c>
      <c r="Q243" s="80" cm="1">
        <f t="array" ref="Q243">INDEX($M$131:$M$174,$A243)+SUM($I243:J243)</f>
        <v>29999.999999999996</v>
      </c>
      <c r="R243" s="80" cm="1">
        <f t="array" ref="R243">INDEX($M$131:$M$174,$A243)+SUM($I243:K243)</f>
        <v>29999.999999999996</v>
      </c>
      <c r="S243" s="80" cm="1">
        <f t="array" ref="S243">INDEX($M$131:$M$174,$A243)+SUM($I243:L243)</f>
        <v>29999.999999999996</v>
      </c>
      <c r="T243" s="80" cm="1">
        <f t="array" ref="T243">INDEX($M$131:$M$174,$A243)+SUM($I243:M243)</f>
        <v>29999.999999999996</v>
      </c>
      <c r="U243" s="80" cm="1">
        <f t="array" ref="U243">INDEX($M$131:$M$174,$A243)+SUM($I243:N243)</f>
        <v>29999.999999999996</v>
      </c>
      <c r="V243" s="80" cm="1">
        <f t="array" ref="V243">INDEX($M$131:$M$174,$A243)+SUM($I243:O243)</f>
        <v>29999.999999999996</v>
      </c>
      <c r="W243" s="85">
        <f t="shared" si="99"/>
        <v>8000</v>
      </c>
      <c r="X243" s="80">
        <f t="shared" si="99"/>
        <v>7040</v>
      </c>
      <c r="Y243" s="80">
        <f t="shared" si="99"/>
        <v>2560</v>
      </c>
      <c r="Z243" s="80">
        <f t="shared" si="99"/>
        <v>1600</v>
      </c>
      <c r="AA243" s="80">
        <f t="shared" si="99"/>
        <v>1600</v>
      </c>
      <c r="AB243" s="80">
        <f t="shared" si="99"/>
        <v>4800</v>
      </c>
      <c r="AC243" s="80">
        <f t="shared" si="99"/>
        <v>6400</v>
      </c>
      <c r="AD243" s="85">
        <f t="shared" si="82"/>
        <v>8000</v>
      </c>
      <c r="AE243" s="80">
        <f>MIN($G243-SUM($AD243:AD243),X243)</f>
        <v>7040</v>
      </c>
      <c r="AF243" s="80">
        <f>MIN($G243-SUM($AD243:AE243),Y243)</f>
        <v>2560</v>
      </c>
      <c r="AG243" s="80">
        <f>MIN($G243-SUM($AD243:AF243),Z243)</f>
        <v>1600</v>
      </c>
      <c r="AH243" s="80">
        <f>MIN($G243-SUM($AD243:AG243),AA243)</f>
        <v>800.00000000000364</v>
      </c>
      <c r="AI243" s="80">
        <f>MIN($G243-SUM($AD243:AH243),AB243)</f>
        <v>0</v>
      </c>
      <c r="AJ243" s="86">
        <f>MIN($G243-SUM($AD243:AI243),AC243)</f>
        <v>0</v>
      </c>
      <c r="AK243" s="10">
        <f t="shared" si="83"/>
        <v>20000.000000000004</v>
      </c>
      <c r="AL243" s="10">
        <f t="shared" si="84"/>
        <v>0</v>
      </c>
      <c r="AM243" s="65">
        <f t="shared" si="85"/>
        <v>1000000.0000000002</v>
      </c>
      <c r="AN243" s="87">
        <f t="shared" si="100"/>
        <v>44325</v>
      </c>
      <c r="AO243" s="13">
        <f t="shared" si="100"/>
        <v>44326</v>
      </c>
      <c r="AP243" s="13">
        <f t="shared" si="100"/>
        <v>44327</v>
      </c>
      <c r="AQ243" s="13">
        <f t="shared" si="100"/>
        <v>44328</v>
      </c>
      <c r="AR243" s="13">
        <f t="shared" si="100"/>
        <v>44329</v>
      </c>
      <c r="AS243" s="13">
        <f t="shared" si="100"/>
        <v>44330</v>
      </c>
      <c r="AT243" s="13">
        <f t="shared" si="100"/>
        <v>44331</v>
      </c>
      <c r="AU243" s="88">
        <f t="shared" si="87"/>
        <v>400000</v>
      </c>
      <c r="AV243" s="67">
        <f t="shared" si="88"/>
        <v>352000</v>
      </c>
      <c r="AW243" s="67">
        <f t="shared" si="89"/>
        <v>128000</v>
      </c>
      <c r="AX243" s="67">
        <f t="shared" si="90"/>
        <v>80000</v>
      </c>
      <c r="AY243" s="67">
        <f t="shared" si="91"/>
        <v>40000.000000000182</v>
      </c>
      <c r="AZ243" s="67">
        <f t="shared" si="92"/>
        <v>0</v>
      </c>
      <c r="BA243" s="90">
        <f t="shared" si="93"/>
        <v>0</v>
      </c>
    </row>
    <row r="244" spans="1:53" s="6" customFormat="1" ht="13.2">
      <c r="A244" s="6">
        <v>39</v>
      </c>
      <c r="B244" s="13">
        <f t="shared" si="74"/>
        <v>44338</v>
      </c>
      <c r="C244" s="10">
        <f t="shared" si="74"/>
        <v>4</v>
      </c>
      <c r="D244" s="10">
        <f t="shared" si="75"/>
        <v>40000</v>
      </c>
      <c r="E244" s="65">
        <f t="shared" si="76"/>
        <v>60</v>
      </c>
      <c r="F244" s="10">
        <f t="shared" si="77"/>
        <v>29999.999999999996</v>
      </c>
      <c r="G244" s="83">
        <f t="shared" si="78"/>
        <v>20000.000000000004</v>
      </c>
      <c r="H244" s="10">
        <f t="shared" si="79"/>
        <v>20000.000000000004</v>
      </c>
      <c r="I244" s="85">
        <f t="shared" si="94"/>
        <v>0</v>
      </c>
      <c r="J244" s="80">
        <f t="shared" si="101"/>
        <v>0</v>
      </c>
      <c r="K244" s="80">
        <f t="shared" si="101"/>
        <v>0</v>
      </c>
      <c r="L244" s="80">
        <f t="shared" si="101"/>
        <v>0</v>
      </c>
      <c r="M244" s="80">
        <f t="shared" si="101"/>
        <v>0</v>
      </c>
      <c r="N244" s="80">
        <f t="shared" si="101"/>
        <v>0</v>
      </c>
      <c r="O244" s="80">
        <f t="shared" si="101"/>
        <v>0</v>
      </c>
      <c r="P244" s="85" cm="1">
        <f t="array" ref="P244">INDEX($M$131:$M$174,$A244)+SUM($I244:I244)</f>
        <v>29999.999999999996</v>
      </c>
      <c r="Q244" s="80" cm="1">
        <f t="array" ref="Q244">INDEX($M$131:$M$174,$A244)+SUM($I244:J244)</f>
        <v>29999.999999999996</v>
      </c>
      <c r="R244" s="80" cm="1">
        <f t="array" ref="R244">INDEX($M$131:$M$174,$A244)+SUM($I244:K244)</f>
        <v>29999.999999999996</v>
      </c>
      <c r="S244" s="80" cm="1">
        <f t="array" ref="S244">INDEX($M$131:$M$174,$A244)+SUM($I244:L244)</f>
        <v>29999.999999999996</v>
      </c>
      <c r="T244" s="80" cm="1">
        <f t="array" ref="T244">INDEX($M$131:$M$174,$A244)+SUM($I244:M244)</f>
        <v>29999.999999999996</v>
      </c>
      <c r="U244" s="80" cm="1">
        <f t="array" ref="U244">INDEX($M$131:$M$174,$A244)+SUM($I244:N244)</f>
        <v>29999.999999999996</v>
      </c>
      <c r="V244" s="80" cm="1">
        <f t="array" ref="V244">INDEX($M$131:$M$174,$A244)+SUM($I244:O244)</f>
        <v>29999.999999999996</v>
      </c>
      <c r="W244" s="85">
        <f t="shared" si="99"/>
        <v>10000</v>
      </c>
      <c r="X244" s="80">
        <f t="shared" si="99"/>
        <v>8800</v>
      </c>
      <c r="Y244" s="80">
        <f t="shared" si="99"/>
        <v>3200</v>
      </c>
      <c r="Z244" s="80">
        <f t="shared" si="99"/>
        <v>2000</v>
      </c>
      <c r="AA244" s="80">
        <f t="shared" si="99"/>
        <v>2000</v>
      </c>
      <c r="AB244" s="80">
        <f t="shared" si="99"/>
        <v>6000</v>
      </c>
      <c r="AC244" s="80">
        <f t="shared" si="99"/>
        <v>8000</v>
      </c>
      <c r="AD244" s="85">
        <f t="shared" si="82"/>
        <v>10000</v>
      </c>
      <c r="AE244" s="80">
        <f>MIN($G244-SUM($AD244:AD244),X244)</f>
        <v>8800</v>
      </c>
      <c r="AF244" s="80">
        <f>MIN($G244-SUM($AD244:AE244),Y244)</f>
        <v>1200.0000000000036</v>
      </c>
      <c r="AG244" s="80">
        <f>MIN($G244-SUM($AD244:AF244),Z244)</f>
        <v>0</v>
      </c>
      <c r="AH244" s="80">
        <f>MIN($G244-SUM($AD244:AG244),AA244)</f>
        <v>0</v>
      </c>
      <c r="AI244" s="80">
        <f>MIN($G244-SUM($AD244:AH244),AB244)</f>
        <v>0</v>
      </c>
      <c r="AJ244" s="86">
        <f>MIN($G244-SUM($AD244:AI244),AC244)</f>
        <v>0</v>
      </c>
      <c r="AK244" s="10">
        <f t="shared" si="83"/>
        <v>20000.000000000004</v>
      </c>
      <c r="AL244" s="10">
        <f t="shared" si="84"/>
        <v>0</v>
      </c>
      <c r="AM244" s="65">
        <f t="shared" si="85"/>
        <v>1200000.0000000002</v>
      </c>
      <c r="AN244" s="87">
        <f t="shared" si="100"/>
        <v>44332</v>
      </c>
      <c r="AO244" s="13">
        <f t="shared" si="100"/>
        <v>44333</v>
      </c>
      <c r="AP244" s="13">
        <f t="shared" si="100"/>
        <v>44334</v>
      </c>
      <c r="AQ244" s="13">
        <f t="shared" si="100"/>
        <v>44335</v>
      </c>
      <c r="AR244" s="13">
        <f t="shared" si="100"/>
        <v>44336</v>
      </c>
      <c r="AS244" s="13">
        <f t="shared" si="100"/>
        <v>44337</v>
      </c>
      <c r="AT244" s="13">
        <f t="shared" si="100"/>
        <v>44338</v>
      </c>
      <c r="AU244" s="88">
        <f t="shared" si="87"/>
        <v>600000</v>
      </c>
      <c r="AV244" s="67">
        <f t="shared" si="88"/>
        <v>528000</v>
      </c>
      <c r="AW244" s="67">
        <f t="shared" si="89"/>
        <v>72000.000000000218</v>
      </c>
      <c r="AX244" s="67">
        <f t="shared" si="90"/>
        <v>0</v>
      </c>
      <c r="AY244" s="67">
        <f t="shared" si="91"/>
        <v>0</v>
      </c>
      <c r="AZ244" s="67">
        <f t="shared" si="92"/>
        <v>0</v>
      </c>
      <c r="BA244" s="90">
        <f t="shared" si="93"/>
        <v>0</v>
      </c>
    </row>
    <row r="245" spans="1:53" s="6" customFormat="1" ht="13.2">
      <c r="A245" s="6">
        <v>40</v>
      </c>
      <c r="B245" s="13">
        <f t="shared" si="74"/>
        <v>44352</v>
      </c>
      <c r="C245" s="10">
        <f t="shared" si="74"/>
        <v>5</v>
      </c>
      <c r="D245" s="10">
        <f t="shared" si="75"/>
        <v>50000</v>
      </c>
      <c r="E245" s="65">
        <f t="shared" si="76"/>
        <v>75</v>
      </c>
      <c r="F245" s="10">
        <f t="shared" si="77"/>
        <v>29999.999999999996</v>
      </c>
      <c r="G245" s="83">
        <f t="shared" si="78"/>
        <v>20000.000000000004</v>
      </c>
      <c r="H245" s="10">
        <f t="shared" si="79"/>
        <v>20000.000000000004</v>
      </c>
      <c r="I245" s="85">
        <f t="shared" si="94"/>
        <v>0</v>
      </c>
      <c r="J245" s="80">
        <f t="shared" si="101"/>
        <v>0</v>
      </c>
      <c r="K245" s="80">
        <f t="shared" si="101"/>
        <v>0</v>
      </c>
      <c r="L245" s="80">
        <f t="shared" si="101"/>
        <v>0</v>
      </c>
      <c r="M245" s="80">
        <f t="shared" si="101"/>
        <v>0</v>
      </c>
      <c r="N245" s="80">
        <f t="shared" si="101"/>
        <v>0</v>
      </c>
      <c r="O245" s="80">
        <f t="shared" si="101"/>
        <v>0</v>
      </c>
      <c r="P245" s="85" cm="1">
        <f t="array" ref="P245">INDEX($M$131:$M$174,$A245)+SUM($I245:I245)</f>
        <v>29999.999999999996</v>
      </c>
      <c r="Q245" s="80" cm="1">
        <f t="array" ref="Q245">INDEX($M$131:$M$174,$A245)+SUM($I245:J245)</f>
        <v>29999.999999999996</v>
      </c>
      <c r="R245" s="80" cm="1">
        <f t="array" ref="R245">INDEX($M$131:$M$174,$A245)+SUM($I245:K245)</f>
        <v>29999.999999999996</v>
      </c>
      <c r="S245" s="80" cm="1">
        <f t="array" ref="S245">INDEX($M$131:$M$174,$A245)+SUM($I245:L245)</f>
        <v>29999.999999999996</v>
      </c>
      <c r="T245" s="80" cm="1">
        <f t="array" ref="T245">INDEX($M$131:$M$174,$A245)+SUM($I245:M245)</f>
        <v>29999.999999999996</v>
      </c>
      <c r="U245" s="80" cm="1">
        <f t="array" ref="U245">INDEX($M$131:$M$174,$A245)+SUM($I245:N245)</f>
        <v>29999.999999999996</v>
      </c>
      <c r="V245" s="80" cm="1">
        <f t="array" ref="V245">INDEX($M$131:$M$174,$A245)+SUM($I245:O245)</f>
        <v>29999.999999999996</v>
      </c>
      <c r="W245" s="85">
        <f t="shared" si="99"/>
        <v>12500</v>
      </c>
      <c r="X245" s="80">
        <f t="shared" si="99"/>
        <v>11000</v>
      </c>
      <c r="Y245" s="80">
        <f t="shared" si="99"/>
        <v>4000</v>
      </c>
      <c r="Z245" s="80">
        <f t="shared" si="99"/>
        <v>2500</v>
      </c>
      <c r="AA245" s="80">
        <f t="shared" si="99"/>
        <v>2500</v>
      </c>
      <c r="AB245" s="80">
        <f t="shared" si="99"/>
        <v>7500</v>
      </c>
      <c r="AC245" s="80">
        <f t="shared" si="99"/>
        <v>10000</v>
      </c>
      <c r="AD245" s="85">
        <f t="shared" si="82"/>
        <v>12500</v>
      </c>
      <c r="AE245" s="80">
        <f>MIN($G245-SUM($AD245:AD245),X245)</f>
        <v>7500.0000000000036</v>
      </c>
      <c r="AF245" s="80">
        <f>MIN($G245-SUM($AD245:AE245),Y245)</f>
        <v>0</v>
      </c>
      <c r="AG245" s="80">
        <f>MIN($G245-SUM($AD245:AF245),Z245)</f>
        <v>0</v>
      </c>
      <c r="AH245" s="80">
        <f>MIN($G245-SUM($AD245:AG245),AA245)</f>
        <v>0</v>
      </c>
      <c r="AI245" s="80">
        <f>MIN($G245-SUM($AD245:AH245),AB245)</f>
        <v>0</v>
      </c>
      <c r="AJ245" s="86">
        <f>MIN($G245-SUM($AD245:AI245),AC245)</f>
        <v>0</v>
      </c>
      <c r="AK245" s="10">
        <f t="shared" si="83"/>
        <v>20000.000000000004</v>
      </c>
      <c r="AL245" s="10">
        <f t="shared" si="84"/>
        <v>0</v>
      </c>
      <c r="AM245" s="65">
        <f t="shared" si="85"/>
        <v>1500000.0000000002</v>
      </c>
      <c r="AN245" s="87">
        <f t="shared" si="100"/>
        <v>44346</v>
      </c>
      <c r="AO245" s="13">
        <f t="shared" si="100"/>
        <v>44347</v>
      </c>
      <c r="AP245" s="13">
        <f t="shared" si="100"/>
        <v>44348</v>
      </c>
      <c r="AQ245" s="13">
        <f t="shared" si="100"/>
        <v>44349</v>
      </c>
      <c r="AR245" s="13">
        <f t="shared" si="100"/>
        <v>44350</v>
      </c>
      <c r="AS245" s="13">
        <f t="shared" si="100"/>
        <v>44351</v>
      </c>
      <c r="AT245" s="13">
        <f t="shared" si="100"/>
        <v>44352</v>
      </c>
      <c r="AU245" s="88">
        <f t="shared" si="87"/>
        <v>937500</v>
      </c>
      <c r="AV245" s="67">
        <f t="shared" si="88"/>
        <v>562500.00000000023</v>
      </c>
      <c r="AW245" s="67">
        <f t="shared" si="89"/>
        <v>0</v>
      </c>
      <c r="AX245" s="67">
        <f t="shared" si="90"/>
        <v>0</v>
      </c>
      <c r="AY245" s="67">
        <f t="shared" si="91"/>
        <v>0</v>
      </c>
      <c r="AZ245" s="67">
        <f t="shared" si="92"/>
        <v>0</v>
      </c>
      <c r="BA245" s="90">
        <f t="shared" si="93"/>
        <v>0</v>
      </c>
    </row>
    <row r="246" spans="1:53" s="6" customFormat="1" ht="13.2"/>
    <row r="247" spans="1:53" s="6" customFormat="1" ht="13.2"/>
    <row r="248" spans="1:53" s="6" customFormat="1" ht="13.2">
      <c r="A248" s="55" t="s">
        <v>68</v>
      </c>
      <c r="B248" s="55"/>
      <c r="C248" s="56"/>
      <c r="D248" s="57"/>
      <c r="E248" s="58"/>
      <c r="F248" s="58"/>
      <c r="G248" s="58"/>
      <c r="H248" s="58"/>
      <c r="K248" s="59" t="s">
        <v>39</v>
      </c>
    </row>
    <row r="249" spans="1:53" s="6" customFormat="1" ht="39" customHeight="1">
      <c r="B249" s="91" t="s">
        <v>69</v>
      </c>
      <c r="C249" s="20" t="s">
        <v>70</v>
      </c>
      <c r="D249" s="20" t="s">
        <v>22</v>
      </c>
      <c r="E249" s="20" t="s">
        <v>53</v>
      </c>
      <c r="F249" s="20" t="s">
        <v>40</v>
      </c>
      <c r="G249" s="20" t="s">
        <v>47</v>
      </c>
      <c r="H249" s="20" t="s">
        <v>71</v>
      </c>
      <c r="K249" s="60" t="s">
        <v>70</v>
      </c>
      <c r="L249" s="60" t="s">
        <v>66</v>
      </c>
      <c r="M249" s="61"/>
    </row>
    <row r="250" spans="1:53" s="6" customFormat="1" ht="12.6" customHeight="1">
      <c r="B250" s="13">
        <f>$B$8</f>
        <v>44009</v>
      </c>
      <c r="C250" s="75">
        <v>0</v>
      </c>
      <c r="D250" s="67">
        <v>0</v>
      </c>
      <c r="E250" s="66">
        <v>0</v>
      </c>
      <c r="F250" s="67">
        <f>SUM(D$249:D250)</f>
        <v>0</v>
      </c>
      <c r="G250" s="67">
        <f>SUM(E$249:E250)</f>
        <v>0</v>
      </c>
      <c r="H250" s="67">
        <f t="shared" ref="H250:H299" si="102">F250-G250</f>
        <v>0</v>
      </c>
      <c r="K250" s="62">
        <f>IFERROR(INDEX($H$206:$H$245,MATCH($B250,$B$206:$B$245,0)),0)</f>
        <v>0</v>
      </c>
      <c r="L250" s="6" t="b">
        <f>K250=C250</f>
        <v>1</v>
      </c>
      <c r="M250" s="62"/>
    </row>
    <row r="251" spans="1:53" s="6" customFormat="1" ht="13.2">
      <c r="B251" s="13">
        <f t="shared" ref="B251:B299" si="103">B250+7</f>
        <v>44016</v>
      </c>
      <c r="C251" s="62">
        <f t="shared" ref="C251:C282" si="104">SUMIFS($AD$206:$AJ$245,$AN$206:$AT$245,"&gt;"&amp;$B250,$AN$206:$AT$245,"&lt;="&amp;$B251)</f>
        <v>0</v>
      </c>
      <c r="D251" s="67">
        <f t="shared" ref="D251:D282" si="105">SUMIFS($AU$206:$BA$245,$AN$206:$AT$245,"&gt;"&amp;$B250,$AN$206:$AT$245,"&lt;="&amp;$B251)</f>
        <v>0</v>
      </c>
      <c r="E251" s="67">
        <f t="shared" ref="E251:E282" si="106">SUMIFS($AM$206:$AM$245,$B$206:$B$245,"&gt;"&amp;$B250,$B$206:$B$245,"&lt;="&amp;$B251)</f>
        <v>0</v>
      </c>
      <c r="F251" s="67">
        <f>SUM(D$249:D251)</f>
        <v>0</v>
      </c>
      <c r="G251" s="67">
        <f>SUM(E$249:E251)</f>
        <v>0</v>
      </c>
      <c r="H251" s="67">
        <f t="shared" si="102"/>
        <v>0</v>
      </c>
      <c r="K251" s="62">
        <f t="shared" ref="K251:K299" si="107">IFERROR(INDEX($H$206:$H$245,MATCH($B251,$B$206:$B$245,0)),0)</f>
        <v>0</v>
      </c>
      <c r="L251" s="6" t="b">
        <f t="shared" ref="L251:L299" si="108">K251=C251</f>
        <v>1</v>
      </c>
      <c r="M251" s="62"/>
    </row>
    <row r="252" spans="1:53" s="6" customFormat="1" ht="13.2">
      <c r="B252" s="13">
        <f t="shared" si="103"/>
        <v>44023</v>
      </c>
      <c r="C252" s="62">
        <f t="shared" si="104"/>
        <v>0</v>
      </c>
      <c r="D252" s="67">
        <f t="shared" si="105"/>
        <v>0</v>
      </c>
      <c r="E252" s="67">
        <f t="shared" si="106"/>
        <v>0</v>
      </c>
      <c r="F252" s="67">
        <f>SUM(D$249:D252)</f>
        <v>0</v>
      </c>
      <c r="G252" s="67">
        <f>SUM(E$249:E252)</f>
        <v>0</v>
      </c>
      <c r="H252" s="67">
        <f t="shared" si="102"/>
        <v>0</v>
      </c>
      <c r="K252" s="62">
        <f t="shared" si="107"/>
        <v>0</v>
      </c>
      <c r="L252" s="6" t="b">
        <f t="shared" si="108"/>
        <v>1</v>
      </c>
      <c r="M252" s="62"/>
    </row>
    <row r="253" spans="1:53" s="6" customFormat="1" ht="13.2">
      <c r="B253" s="13">
        <f t="shared" si="103"/>
        <v>44030</v>
      </c>
      <c r="C253" s="62">
        <f t="shared" si="104"/>
        <v>0</v>
      </c>
      <c r="D253" s="67">
        <f t="shared" si="105"/>
        <v>0</v>
      </c>
      <c r="E253" s="67">
        <f t="shared" si="106"/>
        <v>0</v>
      </c>
      <c r="F253" s="67">
        <f>SUM(D$249:D253)</f>
        <v>0</v>
      </c>
      <c r="G253" s="67">
        <f>SUM(E$249:E253)</f>
        <v>0</v>
      </c>
      <c r="H253" s="67">
        <f t="shared" si="102"/>
        <v>0</v>
      </c>
      <c r="K253" s="62">
        <f t="shared" si="107"/>
        <v>0</v>
      </c>
      <c r="L253" s="6" t="b">
        <f t="shared" si="108"/>
        <v>1</v>
      </c>
      <c r="M253" s="62"/>
    </row>
    <row r="254" spans="1:53" s="6" customFormat="1" ht="13.2">
      <c r="B254" s="13">
        <f t="shared" si="103"/>
        <v>44037</v>
      </c>
      <c r="C254" s="62">
        <f t="shared" si="104"/>
        <v>0</v>
      </c>
      <c r="D254" s="67">
        <f t="shared" si="105"/>
        <v>0</v>
      </c>
      <c r="E254" s="67">
        <f t="shared" si="106"/>
        <v>0</v>
      </c>
      <c r="F254" s="67">
        <f>SUM(D$249:D254)</f>
        <v>0</v>
      </c>
      <c r="G254" s="67">
        <f>SUM(E$249:E254)</f>
        <v>0</v>
      </c>
      <c r="H254" s="67">
        <f t="shared" si="102"/>
        <v>0</v>
      </c>
      <c r="K254" s="62">
        <f t="shared" si="107"/>
        <v>0</v>
      </c>
      <c r="L254" s="6" t="b">
        <f t="shared" si="108"/>
        <v>1</v>
      </c>
      <c r="M254" s="62"/>
    </row>
    <row r="255" spans="1:53" s="6" customFormat="1" ht="13.2">
      <c r="B255" s="13">
        <f t="shared" si="103"/>
        <v>44044</v>
      </c>
      <c r="C255" s="62">
        <f t="shared" si="104"/>
        <v>0</v>
      </c>
      <c r="D255" s="67">
        <f t="shared" si="105"/>
        <v>0</v>
      </c>
      <c r="E255" s="67">
        <f t="shared" si="106"/>
        <v>0</v>
      </c>
      <c r="F255" s="67">
        <f>SUM(D$249:D255)</f>
        <v>0</v>
      </c>
      <c r="G255" s="67">
        <f>SUM(E$249:E255)</f>
        <v>0</v>
      </c>
      <c r="H255" s="67">
        <f t="shared" si="102"/>
        <v>0</v>
      </c>
      <c r="K255" s="62">
        <f t="shared" si="107"/>
        <v>0</v>
      </c>
      <c r="L255" s="6" t="b">
        <f t="shared" si="108"/>
        <v>1</v>
      </c>
      <c r="M255" s="62"/>
    </row>
    <row r="256" spans="1:53" s="6" customFormat="1" ht="13.2">
      <c r="B256" s="13">
        <f t="shared" si="103"/>
        <v>44051</v>
      </c>
      <c r="C256" s="62">
        <f t="shared" si="104"/>
        <v>0</v>
      </c>
      <c r="D256" s="67">
        <f t="shared" si="105"/>
        <v>0</v>
      </c>
      <c r="E256" s="67">
        <f t="shared" si="106"/>
        <v>0</v>
      </c>
      <c r="F256" s="67">
        <f>SUM(D$249:D256)</f>
        <v>0</v>
      </c>
      <c r="G256" s="67">
        <f>SUM(E$249:E256)</f>
        <v>0</v>
      </c>
      <c r="H256" s="67">
        <f t="shared" si="102"/>
        <v>0</v>
      </c>
      <c r="K256" s="62">
        <f t="shared" si="107"/>
        <v>0</v>
      </c>
      <c r="L256" s="6" t="b">
        <f t="shared" si="108"/>
        <v>1</v>
      </c>
      <c r="M256" s="62"/>
    </row>
    <row r="257" spans="2:13" s="6" customFormat="1" ht="13.2">
      <c r="B257" s="13">
        <f t="shared" si="103"/>
        <v>44058</v>
      </c>
      <c r="C257" s="62">
        <f t="shared" si="104"/>
        <v>24350.000000000004</v>
      </c>
      <c r="D257" s="67">
        <f t="shared" si="105"/>
        <v>1217500.0000000002</v>
      </c>
      <c r="E257" s="67">
        <f t="shared" si="106"/>
        <v>1217500.0000000002</v>
      </c>
      <c r="F257" s="67">
        <f>SUM(D$249:D257)</f>
        <v>1217500.0000000002</v>
      </c>
      <c r="G257" s="67">
        <f>SUM(E$249:E257)</f>
        <v>1217500.0000000002</v>
      </c>
      <c r="H257" s="67">
        <f t="shared" si="102"/>
        <v>0</v>
      </c>
      <c r="K257" s="62">
        <f t="shared" si="107"/>
        <v>24350.000000000004</v>
      </c>
      <c r="L257" s="6" t="b">
        <f t="shared" si="108"/>
        <v>1</v>
      </c>
      <c r="M257" s="62"/>
    </row>
    <row r="258" spans="2:13" s="6" customFormat="1" ht="13.2">
      <c r="B258" s="13">
        <f t="shared" si="103"/>
        <v>44065</v>
      </c>
      <c r="C258" s="62">
        <f t="shared" si="104"/>
        <v>22950.000000000004</v>
      </c>
      <c r="D258" s="67">
        <f t="shared" si="105"/>
        <v>918000.00000000012</v>
      </c>
      <c r="E258" s="67">
        <f t="shared" si="106"/>
        <v>918000.00000000012</v>
      </c>
      <c r="F258" s="67">
        <f>SUM(D$249:D258)</f>
        <v>2135500.0000000005</v>
      </c>
      <c r="G258" s="67">
        <f>SUM(E$249:E258)</f>
        <v>2135500.0000000005</v>
      </c>
      <c r="H258" s="67">
        <f t="shared" si="102"/>
        <v>0</v>
      </c>
      <c r="K258" s="62">
        <f t="shared" si="107"/>
        <v>22950.000000000004</v>
      </c>
      <c r="L258" s="6" t="b">
        <f t="shared" si="108"/>
        <v>1</v>
      </c>
      <c r="M258" s="62"/>
    </row>
    <row r="259" spans="2:13" s="6" customFormat="1" ht="13.2">
      <c r="B259" s="13">
        <f t="shared" si="103"/>
        <v>44072</v>
      </c>
      <c r="C259" s="62">
        <f t="shared" si="104"/>
        <v>15000</v>
      </c>
      <c r="D259" s="67">
        <f t="shared" si="105"/>
        <v>450000</v>
      </c>
      <c r="E259" s="67">
        <f t="shared" si="106"/>
        <v>450000</v>
      </c>
      <c r="F259" s="67">
        <f>SUM(D$249:D259)</f>
        <v>2585500.0000000005</v>
      </c>
      <c r="G259" s="67">
        <f>SUM(E$249:E259)</f>
        <v>2585500.0000000005</v>
      </c>
      <c r="H259" s="67">
        <f t="shared" si="102"/>
        <v>0</v>
      </c>
      <c r="K259" s="62">
        <f t="shared" si="107"/>
        <v>15000</v>
      </c>
      <c r="L259" s="6" t="b">
        <f t="shared" si="108"/>
        <v>1</v>
      </c>
      <c r="M259" s="62"/>
    </row>
    <row r="260" spans="2:13" s="6" customFormat="1" ht="13.2">
      <c r="B260" s="13">
        <f t="shared" si="103"/>
        <v>44079</v>
      </c>
      <c r="C260" s="62">
        <f t="shared" si="104"/>
        <v>21650.000000000004</v>
      </c>
      <c r="D260" s="67">
        <f t="shared" si="105"/>
        <v>1082500.0000000002</v>
      </c>
      <c r="E260" s="67">
        <f t="shared" si="106"/>
        <v>1082500.0000000002</v>
      </c>
      <c r="F260" s="67">
        <f>SUM(D$249:D260)</f>
        <v>3668000.0000000009</v>
      </c>
      <c r="G260" s="67">
        <f>SUM(E$249:E260)</f>
        <v>3668000.0000000009</v>
      </c>
      <c r="H260" s="67">
        <f t="shared" si="102"/>
        <v>0</v>
      </c>
      <c r="K260" s="62">
        <f t="shared" si="107"/>
        <v>21650.000000000004</v>
      </c>
      <c r="L260" s="6" t="b">
        <f t="shared" si="108"/>
        <v>1</v>
      </c>
      <c r="M260" s="62"/>
    </row>
    <row r="261" spans="2:13" s="6" customFormat="1" ht="13.2">
      <c r="B261" s="13">
        <f t="shared" si="103"/>
        <v>44086</v>
      </c>
      <c r="C261" s="62">
        <f t="shared" si="104"/>
        <v>15000</v>
      </c>
      <c r="D261" s="67">
        <f t="shared" si="105"/>
        <v>450000</v>
      </c>
      <c r="E261" s="67">
        <f t="shared" si="106"/>
        <v>450000</v>
      </c>
      <c r="F261" s="67">
        <f>SUM(D$249:D261)</f>
        <v>4118000.0000000009</v>
      </c>
      <c r="G261" s="67">
        <f>SUM(E$249:E261)</f>
        <v>4118000.0000000009</v>
      </c>
      <c r="H261" s="67">
        <f t="shared" si="102"/>
        <v>0</v>
      </c>
      <c r="K261" s="62">
        <f t="shared" si="107"/>
        <v>15000</v>
      </c>
      <c r="L261" s="6" t="b">
        <f t="shared" si="108"/>
        <v>1</v>
      </c>
      <c r="M261" s="62"/>
    </row>
    <row r="262" spans="2:13" s="6" customFormat="1" ht="13.2">
      <c r="B262" s="13">
        <f t="shared" si="103"/>
        <v>44093</v>
      </c>
      <c r="C262" s="62">
        <f t="shared" si="104"/>
        <v>21300.000000000004</v>
      </c>
      <c r="D262" s="67">
        <f t="shared" si="105"/>
        <v>852000.00000000012</v>
      </c>
      <c r="E262" s="67">
        <f t="shared" si="106"/>
        <v>852000.00000000012</v>
      </c>
      <c r="F262" s="67">
        <f>SUM(D$249:D262)</f>
        <v>4970000.0000000009</v>
      </c>
      <c r="G262" s="67">
        <f>SUM(E$249:E262)</f>
        <v>4970000.0000000009</v>
      </c>
      <c r="H262" s="67">
        <f t="shared" si="102"/>
        <v>0</v>
      </c>
      <c r="K262" s="62">
        <f t="shared" si="107"/>
        <v>21300.000000000004</v>
      </c>
      <c r="L262" s="6" t="b">
        <f t="shared" si="108"/>
        <v>1</v>
      </c>
      <c r="M262" s="62"/>
    </row>
    <row r="263" spans="2:13" s="6" customFormat="1" ht="13.2">
      <c r="B263" s="13">
        <f t="shared" si="103"/>
        <v>44100</v>
      </c>
      <c r="C263" s="62">
        <f t="shared" si="104"/>
        <v>15000</v>
      </c>
      <c r="D263" s="67">
        <f t="shared" si="105"/>
        <v>450000</v>
      </c>
      <c r="E263" s="67">
        <f t="shared" si="106"/>
        <v>450000</v>
      </c>
      <c r="F263" s="67">
        <f>SUM(D$249:D263)</f>
        <v>5420000.0000000009</v>
      </c>
      <c r="G263" s="67">
        <f>SUM(E$249:E263)</f>
        <v>5420000.0000000009</v>
      </c>
      <c r="H263" s="67">
        <f t="shared" si="102"/>
        <v>0</v>
      </c>
      <c r="K263" s="62">
        <f t="shared" si="107"/>
        <v>15000</v>
      </c>
      <c r="L263" s="6" t="b">
        <f t="shared" si="108"/>
        <v>1</v>
      </c>
      <c r="M263" s="62"/>
    </row>
    <row r="264" spans="2:13" s="6" customFormat="1" ht="13.2">
      <c r="B264" s="13">
        <f t="shared" si="103"/>
        <v>44107</v>
      </c>
      <c r="C264" s="62">
        <f t="shared" si="104"/>
        <v>21200.000000000004</v>
      </c>
      <c r="D264" s="67">
        <f t="shared" si="105"/>
        <v>848000.00000000012</v>
      </c>
      <c r="E264" s="67">
        <f t="shared" si="106"/>
        <v>848000.00000000012</v>
      </c>
      <c r="F264" s="67">
        <f>SUM(D$249:D264)</f>
        <v>6268000.0000000009</v>
      </c>
      <c r="G264" s="67">
        <f>SUM(E$249:E264)</f>
        <v>6268000.0000000009</v>
      </c>
      <c r="H264" s="67">
        <f t="shared" si="102"/>
        <v>0</v>
      </c>
      <c r="K264" s="62">
        <f t="shared" si="107"/>
        <v>21200.000000000004</v>
      </c>
      <c r="L264" s="6" t="b">
        <f t="shared" si="108"/>
        <v>1</v>
      </c>
      <c r="M264" s="62"/>
    </row>
    <row r="265" spans="2:13" s="6" customFormat="1" ht="13.2">
      <c r="B265" s="13">
        <f t="shared" si="103"/>
        <v>44114</v>
      </c>
      <c r="C265" s="62">
        <f t="shared" si="104"/>
        <v>21150.000000000004</v>
      </c>
      <c r="D265" s="67">
        <f t="shared" si="105"/>
        <v>846000.00000000012</v>
      </c>
      <c r="E265" s="67">
        <f t="shared" si="106"/>
        <v>846000.00000000012</v>
      </c>
      <c r="F265" s="67">
        <f>SUM(D$249:D265)</f>
        <v>7114000.0000000009</v>
      </c>
      <c r="G265" s="67">
        <f>SUM(E$249:E265)</f>
        <v>7114000.0000000009</v>
      </c>
      <c r="H265" s="67">
        <f t="shared" si="102"/>
        <v>0</v>
      </c>
      <c r="K265" s="62">
        <f t="shared" si="107"/>
        <v>21150.000000000004</v>
      </c>
      <c r="L265" s="6" t="b">
        <f t="shared" si="108"/>
        <v>1</v>
      </c>
      <c r="M265" s="62"/>
    </row>
    <row r="266" spans="2:13" s="6" customFormat="1" ht="13.2">
      <c r="B266" s="13">
        <f t="shared" si="103"/>
        <v>44121</v>
      </c>
      <c r="C266" s="62">
        <f t="shared" si="104"/>
        <v>15000</v>
      </c>
      <c r="D266" s="67">
        <f t="shared" si="105"/>
        <v>450000</v>
      </c>
      <c r="E266" s="67">
        <f t="shared" si="106"/>
        <v>450000</v>
      </c>
      <c r="F266" s="67">
        <f>SUM(D$249:D266)</f>
        <v>7564000.0000000009</v>
      </c>
      <c r="G266" s="67">
        <f>SUM(E$249:E266)</f>
        <v>7564000.0000000009</v>
      </c>
      <c r="H266" s="67">
        <f t="shared" si="102"/>
        <v>0</v>
      </c>
      <c r="K266" s="62">
        <f t="shared" si="107"/>
        <v>15000</v>
      </c>
      <c r="L266" s="6" t="b">
        <f t="shared" si="108"/>
        <v>1</v>
      </c>
      <c r="M266" s="62"/>
    </row>
    <row r="267" spans="2:13" s="6" customFormat="1" ht="13.2">
      <c r="B267" s="13">
        <f t="shared" si="103"/>
        <v>44128</v>
      </c>
      <c r="C267" s="62">
        <f t="shared" si="104"/>
        <v>21050.000000000004</v>
      </c>
      <c r="D267" s="67">
        <f t="shared" si="105"/>
        <v>842000.00000000012</v>
      </c>
      <c r="E267" s="67">
        <f t="shared" si="106"/>
        <v>842000.00000000012</v>
      </c>
      <c r="F267" s="67">
        <f>SUM(D$249:D267)</f>
        <v>8406000.0000000019</v>
      </c>
      <c r="G267" s="67">
        <f>SUM(E$249:E267)</f>
        <v>8406000.0000000019</v>
      </c>
      <c r="H267" s="67">
        <f t="shared" si="102"/>
        <v>0</v>
      </c>
      <c r="K267" s="62">
        <f t="shared" si="107"/>
        <v>21050.000000000004</v>
      </c>
      <c r="L267" s="6" t="b">
        <f t="shared" si="108"/>
        <v>1</v>
      </c>
      <c r="M267" s="62"/>
    </row>
    <row r="268" spans="2:13" s="6" customFormat="1" ht="13.2">
      <c r="B268" s="13">
        <f t="shared" si="103"/>
        <v>44135</v>
      </c>
      <c r="C268" s="62">
        <f t="shared" si="104"/>
        <v>15000</v>
      </c>
      <c r="D268" s="67">
        <f t="shared" si="105"/>
        <v>450000</v>
      </c>
      <c r="E268" s="67">
        <f t="shared" si="106"/>
        <v>450000</v>
      </c>
      <c r="F268" s="67">
        <f>SUM(D$249:D268)</f>
        <v>8856000.0000000019</v>
      </c>
      <c r="G268" s="67">
        <f>SUM(E$249:E268)</f>
        <v>8856000.0000000019</v>
      </c>
      <c r="H268" s="67">
        <f t="shared" si="102"/>
        <v>0</v>
      </c>
      <c r="K268" s="62">
        <f t="shared" si="107"/>
        <v>15000</v>
      </c>
      <c r="L268" s="6" t="b">
        <f t="shared" si="108"/>
        <v>1</v>
      </c>
      <c r="M268" s="62"/>
    </row>
    <row r="269" spans="2:13" s="6" customFormat="1" ht="13.2">
      <c r="B269" s="13">
        <f t="shared" si="103"/>
        <v>44142</v>
      </c>
      <c r="C269" s="62">
        <f t="shared" si="104"/>
        <v>20950.000000000004</v>
      </c>
      <c r="D269" s="67">
        <f t="shared" si="105"/>
        <v>1257000.0000000002</v>
      </c>
      <c r="E269" s="67">
        <f t="shared" si="106"/>
        <v>1257000.0000000002</v>
      </c>
      <c r="F269" s="67">
        <f>SUM(D$249:D269)</f>
        <v>10113000.000000002</v>
      </c>
      <c r="G269" s="67">
        <f>SUM(E$249:E269)</f>
        <v>10113000.000000002</v>
      </c>
      <c r="H269" s="67">
        <f t="shared" si="102"/>
        <v>0</v>
      </c>
      <c r="K269" s="62">
        <f t="shared" si="107"/>
        <v>20950.000000000004</v>
      </c>
      <c r="L269" s="6" t="b">
        <f t="shared" si="108"/>
        <v>1</v>
      </c>
      <c r="M269" s="62"/>
    </row>
    <row r="270" spans="2:13" s="6" customFormat="1" ht="13.2">
      <c r="B270" s="13">
        <f t="shared" si="103"/>
        <v>44149</v>
      </c>
      <c r="C270" s="62">
        <f t="shared" si="104"/>
        <v>15000</v>
      </c>
      <c r="D270" s="67">
        <f t="shared" si="105"/>
        <v>450000</v>
      </c>
      <c r="E270" s="67">
        <f t="shared" si="106"/>
        <v>450000</v>
      </c>
      <c r="F270" s="67">
        <f>SUM(D$249:D270)</f>
        <v>10563000.000000002</v>
      </c>
      <c r="G270" s="67">
        <f>SUM(E$249:E270)</f>
        <v>10563000.000000002</v>
      </c>
      <c r="H270" s="67">
        <f t="shared" si="102"/>
        <v>0</v>
      </c>
      <c r="K270" s="62">
        <f t="shared" si="107"/>
        <v>15000</v>
      </c>
      <c r="L270" s="6" t="b">
        <f t="shared" si="108"/>
        <v>1</v>
      </c>
      <c r="M270" s="62"/>
    </row>
    <row r="271" spans="2:13" s="6" customFormat="1" ht="13.2">
      <c r="B271" s="13">
        <f t="shared" si="103"/>
        <v>44156</v>
      </c>
      <c r="C271" s="62">
        <f t="shared" si="104"/>
        <v>20850.000000000004</v>
      </c>
      <c r="D271" s="67">
        <f t="shared" si="105"/>
        <v>834000.00000000012</v>
      </c>
      <c r="E271" s="67">
        <f t="shared" si="106"/>
        <v>834000.00000000012</v>
      </c>
      <c r="F271" s="67">
        <f>SUM(D$249:D271)</f>
        <v>11397000.000000002</v>
      </c>
      <c r="G271" s="67">
        <f>SUM(E$249:E271)</f>
        <v>11397000.000000002</v>
      </c>
      <c r="H271" s="67">
        <f t="shared" si="102"/>
        <v>0</v>
      </c>
      <c r="K271" s="62">
        <f t="shared" si="107"/>
        <v>20850.000000000004</v>
      </c>
      <c r="L271" s="6" t="b">
        <f t="shared" si="108"/>
        <v>1</v>
      </c>
      <c r="M271" s="62"/>
    </row>
    <row r="272" spans="2:13" s="6" customFormat="1" ht="13.2">
      <c r="B272" s="13">
        <f t="shared" si="103"/>
        <v>44163</v>
      </c>
      <c r="C272" s="62">
        <f t="shared" si="104"/>
        <v>20800.000000000004</v>
      </c>
      <c r="D272" s="67">
        <f t="shared" si="105"/>
        <v>832000.00000000012</v>
      </c>
      <c r="E272" s="67">
        <f t="shared" si="106"/>
        <v>832000.00000000012</v>
      </c>
      <c r="F272" s="67">
        <f>SUM(D$249:D272)</f>
        <v>12229000.000000002</v>
      </c>
      <c r="G272" s="67">
        <f>SUM(E$249:E272)</f>
        <v>12229000.000000002</v>
      </c>
      <c r="H272" s="67">
        <f t="shared" si="102"/>
        <v>0</v>
      </c>
      <c r="K272" s="62">
        <f t="shared" si="107"/>
        <v>20800.000000000004</v>
      </c>
      <c r="L272" s="6" t="b">
        <f t="shared" si="108"/>
        <v>1</v>
      </c>
      <c r="M272" s="62"/>
    </row>
    <row r="273" spans="2:13" s="6" customFormat="1" ht="13.2">
      <c r="B273" s="13">
        <f t="shared" si="103"/>
        <v>44170</v>
      </c>
      <c r="C273" s="62">
        <f t="shared" si="104"/>
        <v>20750.000000000004</v>
      </c>
      <c r="D273" s="67">
        <f t="shared" si="105"/>
        <v>830000.00000000012</v>
      </c>
      <c r="E273" s="67">
        <f t="shared" si="106"/>
        <v>830000.00000000012</v>
      </c>
      <c r="F273" s="67">
        <f>SUM(D$249:D273)</f>
        <v>13059000.000000002</v>
      </c>
      <c r="G273" s="67">
        <f>SUM(E$249:E273)</f>
        <v>13059000.000000002</v>
      </c>
      <c r="H273" s="67">
        <f t="shared" si="102"/>
        <v>0</v>
      </c>
      <c r="K273" s="62">
        <f t="shared" si="107"/>
        <v>20750.000000000004</v>
      </c>
      <c r="L273" s="6" t="b">
        <f t="shared" si="108"/>
        <v>1</v>
      </c>
      <c r="M273" s="62"/>
    </row>
    <row r="274" spans="2:13" s="6" customFormat="1" ht="13.2">
      <c r="B274" s="13">
        <f t="shared" si="103"/>
        <v>44177</v>
      </c>
      <c r="C274" s="62">
        <f t="shared" si="104"/>
        <v>15000</v>
      </c>
      <c r="D274" s="67">
        <f t="shared" si="105"/>
        <v>450000</v>
      </c>
      <c r="E274" s="67">
        <f t="shared" si="106"/>
        <v>450000</v>
      </c>
      <c r="F274" s="67">
        <f>SUM(D$249:D274)</f>
        <v>13509000.000000002</v>
      </c>
      <c r="G274" s="67">
        <f>SUM(E$249:E274)</f>
        <v>13509000.000000002</v>
      </c>
      <c r="H274" s="67">
        <f t="shared" si="102"/>
        <v>0</v>
      </c>
      <c r="K274" s="62">
        <f t="shared" si="107"/>
        <v>15000</v>
      </c>
      <c r="L274" s="6" t="b">
        <f t="shared" si="108"/>
        <v>1</v>
      </c>
      <c r="M274" s="62"/>
    </row>
    <row r="275" spans="2:13" s="6" customFormat="1" ht="13.2">
      <c r="B275" s="13">
        <f t="shared" si="103"/>
        <v>44184</v>
      </c>
      <c r="C275" s="62">
        <f t="shared" si="104"/>
        <v>0</v>
      </c>
      <c r="D275" s="67">
        <f t="shared" si="105"/>
        <v>0</v>
      </c>
      <c r="E275" s="67">
        <f t="shared" si="106"/>
        <v>0</v>
      </c>
      <c r="F275" s="67">
        <f>SUM(D$249:D275)</f>
        <v>13509000.000000002</v>
      </c>
      <c r="G275" s="67">
        <f>SUM(E$249:E275)</f>
        <v>13509000.000000002</v>
      </c>
      <c r="H275" s="67">
        <f t="shared" si="102"/>
        <v>0</v>
      </c>
      <c r="K275" s="62">
        <f t="shared" si="107"/>
        <v>0</v>
      </c>
      <c r="L275" s="6" t="b">
        <f t="shared" si="108"/>
        <v>1</v>
      </c>
      <c r="M275" s="62"/>
    </row>
    <row r="276" spans="2:13" s="6" customFormat="1" ht="13.2">
      <c r="B276" s="13">
        <f t="shared" si="103"/>
        <v>44191</v>
      </c>
      <c r="C276" s="62">
        <f t="shared" si="104"/>
        <v>0</v>
      </c>
      <c r="D276" s="67">
        <f t="shared" si="105"/>
        <v>0</v>
      </c>
      <c r="E276" s="67">
        <f t="shared" si="106"/>
        <v>0</v>
      </c>
      <c r="F276" s="67">
        <f>SUM(D$249:D276)</f>
        <v>13509000.000000002</v>
      </c>
      <c r="G276" s="67">
        <f>SUM(E$249:E276)</f>
        <v>13509000.000000002</v>
      </c>
      <c r="H276" s="67">
        <f t="shared" si="102"/>
        <v>0</v>
      </c>
      <c r="K276" s="62">
        <f t="shared" si="107"/>
        <v>0</v>
      </c>
      <c r="L276" s="6" t="b">
        <f t="shared" si="108"/>
        <v>1</v>
      </c>
      <c r="M276" s="62"/>
    </row>
    <row r="277" spans="2:13" s="6" customFormat="1" ht="13.2">
      <c r="B277" s="13">
        <f t="shared" si="103"/>
        <v>44198</v>
      </c>
      <c r="C277" s="62">
        <f t="shared" si="104"/>
        <v>15000</v>
      </c>
      <c r="D277" s="67">
        <f t="shared" si="105"/>
        <v>450000</v>
      </c>
      <c r="E277" s="67">
        <f t="shared" si="106"/>
        <v>450000</v>
      </c>
      <c r="F277" s="67">
        <f>SUM(D$249:D277)</f>
        <v>13959000.000000002</v>
      </c>
      <c r="G277" s="67">
        <f>SUM(E$249:E277)</f>
        <v>13959000.000000002</v>
      </c>
      <c r="H277" s="67">
        <f t="shared" si="102"/>
        <v>0</v>
      </c>
      <c r="K277" s="62">
        <f t="shared" si="107"/>
        <v>15000</v>
      </c>
      <c r="L277" s="6" t="b">
        <f t="shared" si="108"/>
        <v>1</v>
      </c>
      <c r="M277" s="62"/>
    </row>
    <row r="278" spans="2:13" s="6" customFormat="1" ht="13.2">
      <c r="B278" s="13">
        <f t="shared" si="103"/>
        <v>44205</v>
      </c>
      <c r="C278" s="62">
        <f t="shared" si="104"/>
        <v>15000</v>
      </c>
      <c r="D278" s="67">
        <f t="shared" si="105"/>
        <v>450000</v>
      </c>
      <c r="E278" s="67">
        <f t="shared" si="106"/>
        <v>450000</v>
      </c>
      <c r="F278" s="67">
        <f>SUM(D$249:D278)</f>
        <v>14409000.000000002</v>
      </c>
      <c r="G278" s="67">
        <f>SUM(E$249:E278)</f>
        <v>14409000.000000002</v>
      </c>
      <c r="H278" s="67">
        <f t="shared" si="102"/>
        <v>0</v>
      </c>
      <c r="K278" s="62">
        <f t="shared" si="107"/>
        <v>15000</v>
      </c>
      <c r="L278" s="6" t="b">
        <f t="shared" si="108"/>
        <v>1</v>
      </c>
      <c r="M278" s="62"/>
    </row>
    <row r="279" spans="2:13" s="6" customFormat="1" ht="13.2">
      <c r="B279" s="13">
        <f t="shared" si="103"/>
        <v>44212</v>
      </c>
      <c r="C279" s="62">
        <f t="shared" si="104"/>
        <v>20050.000000000004</v>
      </c>
      <c r="D279" s="67">
        <f t="shared" si="105"/>
        <v>1002500.0000000002</v>
      </c>
      <c r="E279" s="67">
        <f t="shared" si="106"/>
        <v>1002500.0000000002</v>
      </c>
      <c r="F279" s="67">
        <f>SUM(D$249:D279)</f>
        <v>15411500.000000002</v>
      </c>
      <c r="G279" s="67">
        <f>SUM(E$249:E279)</f>
        <v>15411500.000000002</v>
      </c>
      <c r="H279" s="67">
        <f t="shared" si="102"/>
        <v>0</v>
      </c>
      <c r="K279" s="62">
        <f t="shared" si="107"/>
        <v>20050.000000000004</v>
      </c>
      <c r="L279" s="6" t="b">
        <f t="shared" si="108"/>
        <v>1</v>
      </c>
      <c r="M279" s="62"/>
    </row>
    <row r="280" spans="2:13" s="6" customFormat="1" ht="13.2">
      <c r="B280" s="13">
        <f t="shared" si="103"/>
        <v>44219</v>
      </c>
      <c r="C280" s="62">
        <f t="shared" si="104"/>
        <v>15000</v>
      </c>
      <c r="D280" s="67">
        <f t="shared" si="105"/>
        <v>450000</v>
      </c>
      <c r="E280" s="67">
        <f t="shared" si="106"/>
        <v>450000</v>
      </c>
      <c r="F280" s="67">
        <f>SUM(D$249:D280)</f>
        <v>15861500.000000002</v>
      </c>
      <c r="G280" s="67">
        <f>SUM(E$249:E280)</f>
        <v>15861500.000000002</v>
      </c>
      <c r="H280" s="67">
        <f t="shared" si="102"/>
        <v>0</v>
      </c>
      <c r="K280" s="62">
        <f t="shared" si="107"/>
        <v>15000</v>
      </c>
      <c r="L280" s="6" t="b">
        <f t="shared" si="108"/>
        <v>1</v>
      </c>
      <c r="M280" s="62"/>
    </row>
    <row r="281" spans="2:13" s="6" customFormat="1" ht="13.2">
      <c r="B281" s="13">
        <f t="shared" si="103"/>
        <v>44226</v>
      </c>
      <c r="C281" s="62">
        <f t="shared" si="104"/>
        <v>20000.000000000004</v>
      </c>
      <c r="D281" s="67">
        <f t="shared" si="105"/>
        <v>1200000.0000000002</v>
      </c>
      <c r="E281" s="67">
        <f t="shared" si="106"/>
        <v>1200000.0000000002</v>
      </c>
      <c r="F281" s="67">
        <f>SUM(D$249:D281)</f>
        <v>17061500.000000004</v>
      </c>
      <c r="G281" s="67">
        <f>SUM(E$249:E281)</f>
        <v>17061500.000000004</v>
      </c>
      <c r="H281" s="67">
        <f t="shared" si="102"/>
        <v>0</v>
      </c>
      <c r="K281" s="62">
        <f t="shared" si="107"/>
        <v>20000.000000000004</v>
      </c>
      <c r="L281" s="6" t="b">
        <f t="shared" si="108"/>
        <v>1</v>
      </c>
      <c r="M281" s="62"/>
    </row>
    <row r="282" spans="2:13" s="6" customFormat="1" ht="13.2">
      <c r="B282" s="13">
        <f t="shared" si="103"/>
        <v>44233</v>
      </c>
      <c r="C282" s="62">
        <f t="shared" si="104"/>
        <v>20000.000000000004</v>
      </c>
      <c r="D282" s="67">
        <f t="shared" si="105"/>
        <v>800000.00000000012</v>
      </c>
      <c r="E282" s="67">
        <f t="shared" si="106"/>
        <v>800000.00000000012</v>
      </c>
      <c r="F282" s="67">
        <f>SUM(D$249:D282)</f>
        <v>17861500.000000004</v>
      </c>
      <c r="G282" s="67">
        <f>SUM(E$249:E282)</f>
        <v>17861500.000000004</v>
      </c>
      <c r="H282" s="67">
        <f t="shared" si="102"/>
        <v>0</v>
      </c>
      <c r="K282" s="62">
        <f t="shared" si="107"/>
        <v>20000.000000000004</v>
      </c>
      <c r="L282" s="6" t="b">
        <f t="shared" si="108"/>
        <v>1</v>
      </c>
      <c r="M282" s="62"/>
    </row>
    <row r="283" spans="2:13" s="6" customFormat="1" ht="13.2">
      <c r="B283" s="13">
        <f t="shared" si="103"/>
        <v>44240</v>
      </c>
      <c r="C283" s="62">
        <f t="shared" ref="C283:C299" si="109">SUMIFS($AD$206:$AJ$245,$AN$206:$AT$245,"&gt;"&amp;$B282,$AN$206:$AT$245,"&lt;="&amp;$B283)</f>
        <v>20000.000000000004</v>
      </c>
      <c r="D283" s="67">
        <f t="shared" ref="D283:D299" si="110">SUMIFS($AU$206:$BA$245,$AN$206:$AT$245,"&gt;"&amp;$B282,$AN$206:$AT$245,"&lt;="&amp;$B283)</f>
        <v>800000.00000000012</v>
      </c>
      <c r="E283" s="67">
        <f t="shared" ref="E283:E299" si="111">SUMIFS($AM$206:$AM$245,$B$206:$B$245,"&gt;"&amp;$B282,$B$206:$B$245,"&lt;="&amp;$B283)</f>
        <v>800000.00000000012</v>
      </c>
      <c r="F283" s="67">
        <f>SUM(D$249:D283)</f>
        <v>18661500.000000004</v>
      </c>
      <c r="G283" s="67">
        <f>SUM(E$249:E283)</f>
        <v>18661500.000000004</v>
      </c>
      <c r="H283" s="67">
        <f t="shared" si="102"/>
        <v>0</v>
      </c>
      <c r="K283" s="62">
        <f t="shared" si="107"/>
        <v>20000.000000000004</v>
      </c>
      <c r="L283" s="6" t="b">
        <f t="shared" si="108"/>
        <v>1</v>
      </c>
      <c r="M283" s="62"/>
    </row>
    <row r="284" spans="2:13" s="6" customFormat="1" ht="13.2">
      <c r="B284" s="13">
        <f t="shared" si="103"/>
        <v>44247</v>
      </c>
      <c r="C284" s="62">
        <f t="shared" si="109"/>
        <v>20000.000000000004</v>
      </c>
      <c r="D284" s="67">
        <f t="shared" si="110"/>
        <v>800000.00000000012</v>
      </c>
      <c r="E284" s="67">
        <f t="shared" si="111"/>
        <v>800000.00000000012</v>
      </c>
      <c r="F284" s="67">
        <f>SUM(D$249:D284)</f>
        <v>19461500.000000004</v>
      </c>
      <c r="G284" s="67">
        <f>SUM(E$249:E284)</f>
        <v>19461500.000000004</v>
      </c>
      <c r="H284" s="67">
        <f t="shared" si="102"/>
        <v>0</v>
      </c>
      <c r="K284" s="62">
        <f t="shared" si="107"/>
        <v>20000.000000000004</v>
      </c>
      <c r="L284" s="6" t="b">
        <f t="shared" si="108"/>
        <v>1</v>
      </c>
      <c r="M284" s="62"/>
    </row>
    <row r="285" spans="2:13" s="6" customFormat="1" ht="13.2">
      <c r="B285" s="13">
        <f t="shared" si="103"/>
        <v>44254</v>
      </c>
      <c r="C285" s="62">
        <f t="shared" si="109"/>
        <v>20000.000000000004</v>
      </c>
      <c r="D285" s="67">
        <f t="shared" si="110"/>
        <v>1000000.0000000002</v>
      </c>
      <c r="E285" s="67">
        <f t="shared" si="111"/>
        <v>1000000.0000000002</v>
      </c>
      <c r="F285" s="67">
        <f>SUM(D$249:D285)</f>
        <v>20461500.000000004</v>
      </c>
      <c r="G285" s="67">
        <f>SUM(E$249:E285)</f>
        <v>20461500.000000004</v>
      </c>
      <c r="H285" s="67">
        <f t="shared" si="102"/>
        <v>0</v>
      </c>
      <c r="K285" s="62">
        <f t="shared" si="107"/>
        <v>20000.000000000004</v>
      </c>
      <c r="L285" s="6" t="b">
        <f t="shared" si="108"/>
        <v>1</v>
      </c>
      <c r="M285" s="62"/>
    </row>
    <row r="286" spans="2:13">
      <c r="B286" s="13">
        <f t="shared" si="103"/>
        <v>44261</v>
      </c>
      <c r="C286" s="62">
        <f t="shared" si="109"/>
        <v>15000</v>
      </c>
      <c r="D286" s="67">
        <f t="shared" si="110"/>
        <v>450000</v>
      </c>
      <c r="E286" s="67">
        <f t="shared" si="111"/>
        <v>450000</v>
      </c>
      <c r="F286" s="67">
        <f>SUM(D$249:D286)</f>
        <v>20911500.000000004</v>
      </c>
      <c r="G286" s="67">
        <f>SUM(E$249:E286)</f>
        <v>20911500.000000004</v>
      </c>
      <c r="H286" s="67">
        <f t="shared" si="102"/>
        <v>0</v>
      </c>
      <c r="I286" s="6"/>
      <c r="K286" s="62">
        <f t="shared" si="107"/>
        <v>15000</v>
      </c>
      <c r="L286" s="6" t="b">
        <f t="shared" si="108"/>
        <v>1</v>
      </c>
      <c r="M286" s="62"/>
    </row>
    <row r="287" spans="2:13">
      <c r="B287" s="13">
        <f t="shared" si="103"/>
        <v>44268</v>
      </c>
      <c r="C287" s="62">
        <f t="shared" si="109"/>
        <v>20000.000000000004</v>
      </c>
      <c r="D287" s="67">
        <f t="shared" si="110"/>
        <v>800000.00000000012</v>
      </c>
      <c r="E287" s="67">
        <f t="shared" si="111"/>
        <v>800000.00000000012</v>
      </c>
      <c r="F287" s="67">
        <f>SUM(D$249:D287)</f>
        <v>21711500.000000004</v>
      </c>
      <c r="G287" s="67">
        <f>SUM(E$249:E287)</f>
        <v>21711500.000000004</v>
      </c>
      <c r="H287" s="67">
        <f t="shared" si="102"/>
        <v>0</v>
      </c>
      <c r="I287" s="6"/>
      <c r="K287" s="62">
        <f t="shared" si="107"/>
        <v>20000.000000000004</v>
      </c>
      <c r="L287" s="6" t="b">
        <f t="shared" si="108"/>
        <v>1</v>
      </c>
      <c r="M287" s="62"/>
    </row>
    <row r="288" spans="2:13">
      <c r="B288" s="13">
        <f t="shared" si="103"/>
        <v>44275</v>
      </c>
      <c r="C288" s="62">
        <f t="shared" si="109"/>
        <v>20000.000000000004</v>
      </c>
      <c r="D288" s="67">
        <f t="shared" si="110"/>
        <v>800000.00000000012</v>
      </c>
      <c r="E288" s="67">
        <f t="shared" si="111"/>
        <v>800000.00000000012</v>
      </c>
      <c r="F288" s="67">
        <f>SUM(D$249:D288)</f>
        <v>22511500.000000004</v>
      </c>
      <c r="G288" s="67">
        <f>SUM(E$249:E288)</f>
        <v>22511500.000000004</v>
      </c>
      <c r="H288" s="67">
        <f t="shared" si="102"/>
        <v>0</v>
      </c>
      <c r="I288" s="6"/>
      <c r="K288" s="62">
        <f t="shared" si="107"/>
        <v>20000.000000000004</v>
      </c>
      <c r="L288" s="6" t="b">
        <f t="shared" si="108"/>
        <v>1</v>
      </c>
      <c r="M288" s="62"/>
    </row>
    <row r="289" spans="1:13">
      <c r="B289" s="13">
        <f t="shared" si="103"/>
        <v>44282</v>
      </c>
      <c r="C289" s="62">
        <f t="shared" si="109"/>
        <v>20000.000000000004</v>
      </c>
      <c r="D289" s="67">
        <f t="shared" si="110"/>
        <v>1000000.0000000002</v>
      </c>
      <c r="E289" s="67">
        <f t="shared" si="111"/>
        <v>1000000.0000000002</v>
      </c>
      <c r="F289" s="67">
        <f>SUM(D$249:D289)</f>
        <v>23511500.000000004</v>
      </c>
      <c r="G289" s="67">
        <f>SUM(E$249:E289)</f>
        <v>23511500.000000004</v>
      </c>
      <c r="H289" s="67">
        <f t="shared" si="102"/>
        <v>0</v>
      </c>
      <c r="I289" s="6"/>
      <c r="K289" s="62">
        <f t="shared" si="107"/>
        <v>20000.000000000004</v>
      </c>
      <c r="L289" s="6" t="b">
        <f t="shared" si="108"/>
        <v>1</v>
      </c>
      <c r="M289" s="62"/>
    </row>
    <row r="290" spans="1:13">
      <c r="B290" s="13">
        <f t="shared" si="103"/>
        <v>44289</v>
      </c>
      <c r="C290" s="62">
        <f t="shared" si="109"/>
        <v>15000</v>
      </c>
      <c r="D290" s="67">
        <f t="shared" si="110"/>
        <v>450000</v>
      </c>
      <c r="E290" s="67">
        <f t="shared" si="111"/>
        <v>450000</v>
      </c>
      <c r="F290" s="67">
        <f>SUM(D$249:D290)</f>
        <v>23961500.000000004</v>
      </c>
      <c r="G290" s="67">
        <f>SUM(E$249:E290)</f>
        <v>23961500.000000004</v>
      </c>
      <c r="H290" s="67">
        <f t="shared" si="102"/>
        <v>0</v>
      </c>
      <c r="I290" s="6"/>
      <c r="K290" s="62">
        <f t="shared" si="107"/>
        <v>15000</v>
      </c>
      <c r="L290" s="6" t="b">
        <f t="shared" si="108"/>
        <v>1</v>
      </c>
      <c r="M290" s="62"/>
    </row>
    <row r="291" spans="1:13">
      <c r="B291" s="13">
        <f t="shared" si="103"/>
        <v>44296</v>
      </c>
      <c r="C291" s="62">
        <f t="shared" si="109"/>
        <v>20000.000000000004</v>
      </c>
      <c r="D291" s="67">
        <f t="shared" si="110"/>
        <v>800000.00000000012</v>
      </c>
      <c r="E291" s="67">
        <f t="shared" si="111"/>
        <v>800000.00000000012</v>
      </c>
      <c r="F291" s="67">
        <f>SUM(D$249:D291)</f>
        <v>24761500.000000004</v>
      </c>
      <c r="G291" s="67">
        <f>SUM(E$249:E291)</f>
        <v>24761500.000000004</v>
      </c>
      <c r="H291" s="67">
        <f t="shared" si="102"/>
        <v>0</v>
      </c>
      <c r="I291" s="6"/>
      <c r="K291" s="62">
        <f t="shared" si="107"/>
        <v>20000.000000000004</v>
      </c>
      <c r="L291" s="6" t="b">
        <f t="shared" si="108"/>
        <v>1</v>
      </c>
      <c r="M291" s="62"/>
    </row>
    <row r="292" spans="1:13">
      <c r="B292" s="13">
        <f t="shared" si="103"/>
        <v>44303</v>
      </c>
      <c r="C292" s="62">
        <f t="shared" si="109"/>
        <v>20000.000000000004</v>
      </c>
      <c r="D292" s="67">
        <f t="shared" si="110"/>
        <v>800000.00000000012</v>
      </c>
      <c r="E292" s="67">
        <f t="shared" si="111"/>
        <v>800000.00000000012</v>
      </c>
      <c r="F292" s="67">
        <f>SUM(D$249:D292)</f>
        <v>25561500.000000004</v>
      </c>
      <c r="G292" s="67">
        <f>SUM(E$249:E292)</f>
        <v>25561500.000000004</v>
      </c>
      <c r="H292" s="67">
        <f t="shared" si="102"/>
        <v>0</v>
      </c>
      <c r="I292" s="6"/>
      <c r="K292" s="62">
        <f t="shared" si="107"/>
        <v>20000.000000000004</v>
      </c>
      <c r="L292" s="6" t="b">
        <f t="shared" si="108"/>
        <v>1</v>
      </c>
      <c r="M292" s="62"/>
    </row>
    <row r="293" spans="1:13">
      <c r="B293" s="13">
        <f t="shared" si="103"/>
        <v>44310</v>
      </c>
      <c r="C293" s="62">
        <f t="shared" si="109"/>
        <v>15000</v>
      </c>
      <c r="D293" s="67">
        <f t="shared" si="110"/>
        <v>450000</v>
      </c>
      <c r="E293" s="67">
        <f t="shared" si="111"/>
        <v>450000</v>
      </c>
      <c r="F293" s="67">
        <f>SUM(D$249:D293)</f>
        <v>26011500.000000004</v>
      </c>
      <c r="G293" s="67">
        <f>SUM(E$249:E293)</f>
        <v>26011500.000000004</v>
      </c>
      <c r="H293" s="67">
        <f t="shared" si="102"/>
        <v>0</v>
      </c>
      <c r="I293" s="6"/>
      <c r="K293" s="62">
        <f t="shared" si="107"/>
        <v>15000</v>
      </c>
      <c r="L293" s="6" t="b">
        <f t="shared" si="108"/>
        <v>1</v>
      </c>
      <c r="M293" s="62"/>
    </row>
    <row r="294" spans="1:13">
      <c r="B294" s="13">
        <f t="shared" si="103"/>
        <v>44317</v>
      </c>
      <c r="C294" s="62">
        <f t="shared" si="109"/>
        <v>15000</v>
      </c>
      <c r="D294" s="67">
        <f t="shared" si="110"/>
        <v>450000</v>
      </c>
      <c r="E294" s="67">
        <f t="shared" si="111"/>
        <v>450000</v>
      </c>
      <c r="F294" s="67">
        <f>SUM(D$249:D294)</f>
        <v>26461500.000000004</v>
      </c>
      <c r="G294" s="67">
        <f>SUM(E$249:E294)</f>
        <v>26461500.000000004</v>
      </c>
      <c r="H294" s="67">
        <f t="shared" si="102"/>
        <v>0</v>
      </c>
      <c r="I294" s="6"/>
      <c r="K294" s="62">
        <f t="shared" si="107"/>
        <v>15000</v>
      </c>
      <c r="L294" s="6" t="b">
        <f t="shared" si="108"/>
        <v>1</v>
      </c>
      <c r="M294" s="62"/>
    </row>
    <row r="295" spans="1:13">
      <c r="B295" s="13">
        <f t="shared" si="103"/>
        <v>44324</v>
      </c>
      <c r="C295" s="62">
        <f t="shared" si="109"/>
        <v>15000</v>
      </c>
      <c r="D295" s="67">
        <f t="shared" si="110"/>
        <v>450000</v>
      </c>
      <c r="E295" s="67">
        <f t="shared" si="111"/>
        <v>450000</v>
      </c>
      <c r="F295" s="67">
        <f>SUM(D$249:D295)</f>
        <v>26911500.000000004</v>
      </c>
      <c r="G295" s="67">
        <f>SUM(E$249:E295)</f>
        <v>26911500.000000004</v>
      </c>
      <c r="H295" s="67">
        <f t="shared" si="102"/>
        <v>0</v>
      </c>
      <c r="I295" s="6"/>
      <c r="K295" s="62">
        <f t="shared" si="107"/>
        <v>15000</v>
      </c>
      <c r="L295" s="6" t="b">
        <f t="shared" si="108"/>
        <v>1</v>
      </c>
      <c r="M295" s="62"/>
    </row>
    <row r="296" spans="1:13">
      <c r="B296" s="13">
        <f t="shared" si="103"/>
        <v>44331</v>
      </c>
      <c r="C296" s="62">
        <f t="shared" si="109"/>
        <v>20000.000000000004</v>
      </c>
      <c r="D296" s="67">
        <f t="shared" si="110"/>
        <v>1000000.0000000002</v>
      </c>
      <c r="E296" s="67">
        <f t="shared" si="111"/>
        <v>1000000.0000000002</v>
      </c>
      <c r="F296" s="67">
        <f>SUM(D$249:D296)</f>
        <v>27911500.000000004</v>
      </c>
      <c r="G296" s="67">
        <f>SUM(E$249:E296)</f>
        <v>27911500.000000004</v>
      </c>
      <c r="H296" s="67">
        <f t="shared" si="102"/>
        <v>0</v>
      </c>
      <c r="I296" s="6"/>
      <c r="K296" s="62">
        <f t="shared" si="107"/>
        <v>20000.000000000004</v>
      </c>
      <c r="L296" s="6" t="b">
        <f t="shared" si="108"/>
        <v>1</v>
      </c>
      <c r="M296" s="62"/>
    </row>
    <row r="297" spans="1:13">
      <c r="B297" s="13">
        <f t="shared" si="103"/>
        <v>44338</v>
      </c>
      <c r="C297" s="62">
        <f t="shared" si="109"/>
        <v>20000.000000000004</v>
      </c>
      <c r="D297" s="67">
        <f t="shared" si="110"/>
        <v>1200000.0000000002</v>
      </c>
      <c r="E297" s="67">
        <f t="shared" si="111"/>
        <v>1200000.0000000002</v>
      </c>
      <c r="F297" s="67">
        <f>SUM(D$249:D297)</f>
        <v>29111500.000000004</v>
      </c>
      <c r="G297" s="67">
        <f>SUM(E$249:E297)</f>
        <v>29111500.000000004</v>
      </c>
      <c r="H297" s="67">
        <f t="shared" si="102"/>
        <v>0</v>
      </c>
      <c r="I297" s="6"/>
      <c r="K297" s="62">
        <f t="shared" si="107"/>
        <v>20000.000000000004</v>
      </c>
      <c r="L297" s="6" t="b">
        <f t="shared" si="108"/>
        <v>1</v>
      </c>
      <c r="M297" s="62"/>
    </row>
    <row r="298" spans="1:13">
      <c r="B298" s="13">
        <f t="shared" si="103"/>
        <v>44345</v>
      </c>
      <c r="C298" s="62">
        <f t="shared" si="109"/>
        <v>0</v>
      </c>
      <c r="D298" s="67">
        <f t="shared" si="110"/>
        <v>0</v>
      </c>
      <c r="E298" s="67">
        <f t="shared" si="111"/>
        <v>0</v>
      </c>
      <c r="F298" s="67">
        <f>SUM(D$249:D298)</f>
        <v>29111500.000000004</v>
      </c>
      <c r="G298" s="67">
        <f>SUM(E$249:E298)</f>
        <v>29111500.000000004</v>
      </c>
      <c r="H298" s="67">
        <f t="shared" si="102"/>
        <v>0</v>
      </c>
      <c r="I298" s="6"/>
      <c r="K298" s="62">
        <f t="shared" si="107"/>
        <v>0</v>
      </c>
      <c r="L298" s="6" t="b">
        <f t="shared" si="108"/>
        <v>1</v>
      </c>
      <c r="M298" s="62"/>
    </row>
    <row r="299" spans="1:13">
      <c r="B299" s="13">
        <f t="shared" si="103"/>
        <v>44352</v>
      </c>
      <c r="C299" s="62">
        <f t="shared" si="109"/>
        <v>20000.000000000004</v>
      </c>
      <c r="D299" s="67">
        <f t="shared" si="110"/>
        <v>1500000.0000000002</v>
      </c>
      <c r="E299" s="67">
        <f t="shared" si="111"/>
        <v>1500000.0000000002</v>
      </c>
      <c r="F299" s="67">
        <f>SUM(D$249:D299)</f>
        <v>30611500.000000004</v>
      </c>
      <c r="G299" s="67">
        <f>SUM(E$249:E299)</f>
        <v>30611500.000000004</v>
      </c>
      <c r="H299" s="67">
        <f t="shared" si="102"/>
        <v>0</v>
      </c>
      <c r="I299" s="6"/>
      <c r="K299" s="62">
        <f t="shared" si="107"/>
        <v>20000.000000000004</v>
      </c>
      <c r="L299" s="6" t="b">
        <f t="shared" si="108"/>
        <v>1</v>
      </c>
      <c r="M299" s="62"/>
    </row>
    <row r="300" spans="1:13">
      <c r="B300" s="13"/>
    </row>
    <row r="301" spans="1:13">
      <c r="B301" s="13"/>
    </row>
    <row r="302" spans="1:13">
      <c r="A302" s="55" t="s">
        <v>72</v>
      </c>
      <c r="B302" s="55"/>
      <c r="C302" s="56"/>
      <c r="D302" s="57"/>
      <c r="E302" s="58"/>
      <c r="F302" s="58"/>
      <c r="G302" s="58"/>
      <c r="H302" s="58"/>
    </row>
    <row r="303" spans="1:13" ht="26.4">
      <c r="B303" s="91" t="s">
        <v>21</v>
      </c>
      <c r="C303" s="20" t="s">
        <v>70</v>
      </c>
      <c r="D303" s="20" t="s">
        <v>22</v>
      </c>
      <c r="E303" s="20" t="s">
        <v>53</v>
      </c>
      <c r="F303" s="20" t="s">
        <v>40</v>
      </c>
      <c r="G303" s="20" t="s">
        <v>47</v>
      </c>
      <c r="H303" s="20" t="s">
        <v>71</v>
      </c>
    </row>
    <row r="304" spans="1:13">
      <c r="B304" s="13">
        <f t="shared" ref="B304:B316" si="112">B55</f>
        <v>44012</v>
      </c>
      <c r="C304" s="75">
        <v>0</v>
      </c>
      <c r="D304" s="67">
        <v>0</v>
      </c>
      <c r="E304" s="66">
        <v>0</v>
      </c>
      <c r="F304" s="67">
        <f>SUM(D$304:D304)</f>
        <v>0</v>
      </c>
      <c r="G304" s="67">
        <f>SUM(E$304:E304)</f>
        <v>0</v>
      </c>
      <c r="H304" s="67">
        <f>F304-G304</f>
        <v>0</v>
      </c>
    </row>
    <row r="305" spans="2:8">
      <c r="B305" s="13">
        <f t="shared" si="112"/>
        <v>44043</v>
      </c>
      <c r="C305" s="62">
        <f t="shared" ref="C305:C316" si="113">SUMIFS($AD$206:$AJ$245,$AN$206:$AT$245,"&gt;"&amp;$B304,$AN$206:$AT$245,"&lt;="&amp;$B305)</f>
        <v>0</v>
      </c>
      <c r="D305" s="67">
        <f t="shared" ref="D305:D316" si="114">SUMIFS($AU$206:$BA$245,$AN$206:$AT$245,"&gt;"&amp;$B304,$AN$206:$AT$245,"&lt;="&amp;$B305)</f>
        <v>0</v>
      </c>
      <c r="E305" s="67">
        <f t="shared" ref="E305:E316" si="115">SUMIFS($AM$206:$AM$245,$B$206:$B$245,"&gt;"&amp;$B304,$B$206:$B$245,"&lt;="&amp;$B305)</f>
        <v>0</v>
      </c>
      <c r="F305" s="67">
        <f>SUM(D$304:D305)</f>
        <v>0</v>
      </c>
      <c r="G305" s="67">
        <f>SUM(E$304:E305)</f>
        <v>0</v>
      </c>
      <c r="H305" s="67">
        <f>F305-G305</f>
        <v>0</v>
      </c>
    </row>
    <row r="306" spans="2:8">
      <c r="B306" s="13">
        <f t="shared" si="112"/>
        <v>44074</v>
      </c>
      <c r="C306" s="62">
        <f t="shared" si="113"/>
        <v>77340</v>
      </c>
      <c r="D306" s="67">
        <f t="shared" si="114"/>
        <v>3337500.0000000005</v>
      </c>
      <c r="E306" s="67">
        <f t="shared" si="115"/>
        <v>2585500.0000000005</v>
      </c>
      <c r="F306" s="67">
        <f>SUM(D$304:D306)</f>
        <v>3337500.0000000005</v>
      </c>
      <c r="G306" s="67">
        <f>SUM(E$304:E306)</f>
        <v>2585500.0000000005</v>
      </c>
      <c r="H306" s="67">
        <f t="shared" ref="H306:H316" si="116">F306-G306</f>
        <v>752000</v>
      </c>
    </row>
    <row r="307" spans="2:8">
      <c r="B307" s="13">
        <f t="shared" si="112"/>
        <v>44104</v>
      </c>
      <c r="C307" s="62">
        <f t="shared" si="113"/>
        <v>72910</v>
      </c>
      <c r="D307" s="67">
        <f t="shared" si="114"/>
        <v>2682500.0000000005</v>
      </c>
      <c r="E307" s="67">
        <f t="shared" si="115"/>
        <v>2834500.0000000005</v>
      </c>
      <c r="F307" s="67">
        <f>SUM(D$304:D307)</f>
        <v>6020000.0000000009</v>
      </c>
      <c r="G307" s="67">
        <f>SUM(E$304:E307)</f>
        <v>5420000.0000000009</v>
      </c>
      <c r="H307" s="67">
        <f t="shared" si="116"/>
        <v>600000</v>
      </c>
    </row>
    <row r="308" spans="2:8">
      <c r="B308" s="13">
        <f t="shared" si="112"/>
        <v>44135</v>
      </c>
      <c r="C308" s="62">
        <f t="shared" si="113"/>
        <v>78400.000000000015</v>
      </c>
      <c r="D308" s="67">
        <f t="shared" si="114"/>
        <v>2836000</v>
      </c>
      <c r="E308" s="67">
        <f t="shared" si="115"/>
        <v>3436000</v>
      </c>
      <c r="F308" s="67">
        <f>SUM(D$304:D308)</f>
        <v>8856000</v>
      </c>
      <c r="G308" s="67">
        <f>SUM(E$304:E308)</f>
        <v>8856000</v>
      </c>
      <c r="H308" s="67">
        <f t="shared" si="116"/>
        <v>0</v>
      </c>
    </row>
    <row r="309" spans="2:8">
      <c r="B309" s="13">
        <f t="shared" si="112"/>
        <v>44165</v>
      </c>
      <c r="C309" s="62">
        <f t="shared" si="113"/>
        <v>89350</v>
      </c>
      <c r="D309" s="67">
        <f t="shared" si="114"/>
        <v>3843000</v>
      </c>
      <c r="E309" s="67">
        <f t="shared" si="115"/>
        <v>3373000.0000000005</v>
      </c>
      <c r="F309" s="67">
        <f>SUM(D$304:D309)</f>
        <v>12699000</v>
      </c>
      <c r="G309" s="67">
        <f>SUM(E$304:E309)</f>
        <v>12229000</v>
      </c>
      <c r="H309" s="67">
        <f t="shared" si="116"/>
        <v>470000</v>
      </c>
    </row>
    <row r="310" spans="2:8">
      <c r="B310" s="13">
        <f t="shared" si="112"/>
        <v>44196</v>
      </c>
      <c r="C310" s="62">
        <f t="shared" si="113"/>
        <v>33750</v>
      </c>
      <c r="D310" s="67">
        <f t="shared" si="114"/>
        <v>1102500</v>
      </c>
      <c r="E310" s="67">
        <f t="shared" si="115"/>
        <v>1280000</v>
      </c>
      <c r="F310" s="67">
        <f>SUM(D$304:D310)</f>
        <v>13801500</v>
      </c>
      <c r="G310" s="67">
        <f>SUM(E$304:E310)</f>
        <v>13509000</v>
      </c>
      <c r="H310" s="67">
        <f t="shared" si="116"/>
        <v>292500</v>
      </c>
    </row>
    <row r="311" spans="2:8">
      <c r="B311" s="13">
        <f t="shared" si="112"/>
        <v>44227</v>
      </c>
      <c r="C311" s="62">
        <f t="shared" si="113"/>
        <v>81550</v>
      </c>
      <c r="D311" s="67">
        <f t="shared" si="114"/>
        <v>3510000</v>
      </c>
      <c r="E311" s="67">
        <f t="shared" si="115"/>
        <v>3552500</v>
      </c>
      <c r="F311" s="67">
        <f>SUM(D$304:D311)</f>
        <v>17311500</v>
      </c>
      <c r="G311" s="67">
        <f>SUM(E$304:E311)</f>
        <v>17061500</v>
      </c>
      <c r="H311" s="67">
        <f t="shared" si="116"/>
        <v>250000</v>
      </c>
    </row>
    <row r="312" spans="2:8">
      <c r="B312" s="13">
        <f t="shared" si="112"/>
        <v>44255</v>
      </c>
      <c r="C312" s="62">
        <f t="shared" si="113"/>
        <v>77500</v>
      </c>
      <c r="D312" s="67">
        <f t="shared" si="114"/>
        <v>3262500</v>
      </c>
      <c r="E312" s="67">
        <f t="shared" si="115"/>
        <v>3400000.0000000009</v>
      </c>
      <c r="F312" s="67">
        <f>SUM(D$304:D312)</f>
        <v>20574000</v>
      </c>
      <c r="G312" s="67">
        <f>SUM(E$304:E312)</f>
        <v>20461500</v>
      </c>
      <c r="H312" s="67">
        <f t="shared" si="116"/>
        <v>112500</v>
      </c>
    </row>
    <row r="313" spans="2:8">
      <c r="B313" s="13">
        <f t="shared" si="112"/>
        <v>44286</v>
      </c>
      <c r="C313" s="62">
        <f t="shared" si="113"/>
        <v>80250</v>
      </c>
      <c r="D313" s="67">
        <f t="shared" si="114"/>
        <v>3207500.0000000005</v>
      </c>
      <c r="E313" s="67">
        <f t="shared" si="115"/>
        <v>3050000</v>
      </c>
      <c r="F313" s="67">
        <f>SUM(D$304:D313)</f>
        <v>23781500</v>
      </c>
      <c r="G313" s="67">
        <f>SUM(E$304:E313)</f>
        <v>23511500</v>
      </c>
      <c r="H313" s="67">
        <f t="shared" si="116"/>
        <v>270000</v>
      </c>
    </row>
    <row r="314" spans="2:8">
      <c r="B314" s="13">
        <f t="shared" si="112"/>
        <v>44316</v>
      </c>
      <c r="C314" s="62">
        <f t="shared" si="113"/>
        <v>73000</v>
      </c>
      <c r="D314" s="67">
        <f t="shared" si="114"/>
        <v>2590000</v>
      </c>
      <c r="E314" s="67">
        <f t="shared" si="115"/>
        <v>2500000</v>
      </c>
      <c r="F314" s="67">
        <f>SUM(D$304:D314)</f>
        <v>26371500</v>
      </c>
      <c r="G314" s="67">
        <f>SUM(E$304:E314)</f>
        <v>26011500</v>
      </c>
      <c r="H314" s="67">
        <f t="shared" si="116"/>
        <v>360000</v>
      </c>
    </row>
    <row r="315" spans="2:8">
      <c r="B315" s="13">
        <f t="shared" si="112"/>
        <v>44347</v>
      </c>
      <c r="C315" s="62">
        <f t="shared" si="113"/>
        <v>78000</v>
      </c>
      <c r="D315" s="67">
        <f t="shared" si="114"/>
        <v>4240000</v>
      </c>
      <c r="E315" s="67">
        <f t="shared" si="115"/>
        <v>3100000.0000000005</v>
      </c>
      <c r="F315" s="67">
        <f>SUM(D$304:D315)</f>
        <v>30611500</v>
      </c>
      <c r="G315" s="67">
        <f>SUM(E$304:E315)</f>
        <v>29111500</v>
      </c>
      <c r="H315" s="67">
        <f t="shared" si="116"/>
        <v>1500000</v>
      </c>
    </row>
    <row r="316" spans="2:8">
      <c r="B316" s="13">
        <f t="shared" si="112"/>
        <v>44377</v>
      </c>
      <c r="C316" s="62">
        <f t="shared" si="113"/>
        <v>0</v>
      </c>
      <c r="D316" s="67">
        <f t="shared" si="114"/>
        <v>0</v>
      </c>
      <c r="E316" s="67">
        <f t="shared" si="115"/>
        <v>1500000.0000000002</v>
      </c>
      <c r="F316" s="67">
        <f>SUM(D$304:D316)</f>
        <v>30611500</v>
      </c>
      <c r="G316" s="67">
        <f>SUM(E$304:E316)</f>
        <v>30611500</v>
      </c>
      <c r="H316" s="67">
        <f t="shared" si="116"/>
        <v>0</v>
      </c>
    </row>
    <row r="317" spans="2:8">
      <c r="B317" s="13"/>
    </row>
    <row r="318" spans="2:8">
      <c r="B318" s="13"/>
    </row>
    <row r="319" spans="2:8">
      <c r="B319" s="13"/>
    </row>
    <row r="320" spans="2:8">
      <c r="B320" s="13"/>
    </row>
    <row r="321" spans="2:2">
      <c r="B321" s="13"/>
    </row>
    <row r="322" spans="2:2">
      <c r="B322" s="13"/>
    </row>
    <row r="323" spans="2:2">
      <c r="B323" s="13"/>
    </row>
    <row r="324" spans="2:2">
      <c r="B324" s="13"/>
    </row>
    <row r="325" spans="2:2">
      <c r="B325" s="13"/>
    </row>
    <row r="326" spans="2:2">
      <c r="B326" s="13"/>
    </row>
    <row r="327" spans="2:2">
      <c r="B327" s="13"/>
    </row>
    <row r="328" spans="2:2">
      <c r="B328" s="13"/>
    </row>
    <row r="329" spans="2:2">
      <c r="B329" s="13"/>
    </row>
    <row r="330" spans="2:2">
      <c r="B330" s="13"/>
    </row>
    <row r="331" spans="2:2">
      <c r="B331" s="13"/>
    </row>
    <row r="332" spans="2:2">
      <c r="B332" s="13"/>
    </row>
    <row r="333" spans="2:2">
      <c r="B333" s="13"/>
    </row>
    <row r="334" spans="2:2">
      <c r="B334" s="13"/>
    </row>
    <row r="335" spans="2:2">
      <c r="B335" s="13"/>
    </row>
    <row r="336" spans="2:2">
      <c r="B336" s="13"/>
    </row>
    <row r="337" spans="2:2">
      <c r="B337" s="13"/>
    </row>
    <row r="338" spans="2:2">
      <c r="B338" s="13"/>
    </row>
    <row r="339" spans="2:2">
      <c r="B339" s="13"/>
    </row>
    <row r="340" spans="2:2">
      <c r="B340" s="13"/>
    </row>
    <row r="341" spans="2:2">
      <c r="B341" s="13"/>
    </row>
    <row r="342" spans="2:2">
      <c r="B342" s="13"/>
    </row>
    <row r="343" spans="2:2">
      <c r="B343" s="13"/>
    </row>
    <row r="344" spans="2:2">
      <c r="B344" s="13"/>
    </row>
    <row r="345" spans="2:2">
      <c r="B345" s="13"/>
    </row>
    <row r="346" spans="2:2">
      <c r="B346" s="13"/>
    </row>
    <row r="347" spans="2:2">
      <c r="B347" s="13"/>
    </row>
    <row r="348" spans="2:2">
      <c r="B348" s="13"/>
    </row>
  </sheetData>
  <mergeCells count="1">
    <mergeCell ref="D176:E176"/>
  </mergeCells>
  <pageMargins left="0.25" right="0.25" top="0.25" bottom="0.25" header="0.3" footer="0.3"/>
  <pageSetup scale="3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C11A-ADC1-4D77-A6B2-2C2FB7DFA13B}">
  <sheetPr>
    <pageSetUpPr autoPageBreaks="0"/>
  </sheetPr>
  <dimension ref="A1:H43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E9" sqref="E9"/>
    </sheetView>
  </sheetViews>
  <sheetFormatPr defaultColWidth="12.6640625" defaultRowHeight="13.8"/>
  <cols>
    <col min="1" max="4" width="1.6640625" style="4" customWidth="1"/>
    <col min="5" max="5" width="35.6640625" style="4" customWidth="1"/>
    <col min="6" max="8" width="12.6640625" style="4" customWidth="1"/>
    <col min="9" max="9" width="1.6640625" style="4" customWidth="1"/>
    <col min="10" max="16384" width="12.6640625" style="4"/>
  </cols>
  <sheetData>
    <row r="1" spans="1:8" s="121" customFormat="1">
      <c r="A1" s="121" t="str" cm="1">
        <f t="array" ref="A1">company</f>
        <v>Wichita Warblers Inc</v>
      </c>
    </row>
    <row r="2" spans="1:8" s="121" customFormat="1">
      <c r="A2" s="121" t="str" cm="1">
        <f t="array" ref="A2">topic</f>
        <v>CFM Topic: Working Capital</v>
      </c>
    </row>
    <row r="3" spans="1:8" s="121" customFormat="1">
      <c r="A3" s="121" t="s">
        <v>90</v>
      </c>
      <c r="F3" s="121" t="s">
        <v>93</v>
      </c>
      <c r="G3" s="121" t="s">
        <v>94</v>
      </c>
      <c r="H3" s="121" t="s">
        <v>17</v>
      </c>
    </row>
    <row r="5" spans="1:8" s="123" customFormat="1">
      <c r="A5" s="124" t="s">
        <v>92</v>
      </c>
    </row>
    <row r="43" spans="1:1" s="123" customFormat="1">
      <c r="A43" s="124" t="s">
        <v>91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85" orientation="landscape" r:id="rId1"/>
  <headerFooter>
    <oddFooter>&amp;L&amp;"Arial,Regular"Financial Modeling Institute
CFM October 2026&amp;C&amp;"Arial,Regular"Page &amp;P of &amp;N&amp;R&amp;"Arial,Regular"&amp;D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NAFcAIgAsACIAdABlAHgAdAAiADoAIgAvACoAIAAgAEYAVQBOAEMAVABJAE8ATgAgAE4AQQBNAEUAOgAgACAAQQBiAG8AdQB0ALsDXABuACAAIAAgACAARABFAFMAQwBSAEkAUABUAEkATwBOADoAKgAvAC8AKgAqAEQAaQBzAHAAbABhAHkAcwAgAHQAaABlACAAVQBSAEwAIAB0AG8AIAB0AGgAaQBzACAAbQBvAGQAdQBsAGUAJwBzACAARwBpAHMAdAAgAHcAaABpAGMAaAAgAGkAbgBjAGwAdQBkAGUAcwAgAGQAbwBjAHUAbQBlAG4AdABhAHQAaQBvAG4AKgAvAFwAbgAvACoAIAAgAFIARQBWAEkAUwBJAE8ATgBTADoAIAAgACAAIAAgACAARABhAHQAZQAgACAAIAAgACAAIAAgACAARABlAHYAZQBsAG8AcABlAHIAIAAgACAAIAAgACAAIABEAGUAcwBjAHIAaQBwAHQAaQBvAG4AIAAgAFwAbgAgACAAIAAgACAAIAAgACAAIAAgACAAIAAgACAAIAAgACAAIAAgACAASgB1AGwAIAAxADMAIAAyADAAMgAzACAAQwByAGEAaQBnACAASABhAHQAbQBhAGsAZQByACAAIABPAHIAaQBnAGkAbgBhAGwAIABEAGUAdgBlAGwAbwBwAG0AZQBuAHQAXABuACAAIAAgACAAIAAgACAAIAAgACAAIAAgACAAIAAgACAAIAAgACAAIABNAGEAeQAgADEAMwAgADIAMAAyADQAIABDAHIAYQBpAGcAIABIAGEAdABtAGEAawBlAHIAIAAgAFMAcAByAGkAbgBnACAAMgAwADIANAAgAFYAZQByAHMAaQBvAG4AXABuACAAIAAgACAAIAAgACAAIAAgACAAIAAgACAAIAAgACAAIAAgACAAIABNAGEAeQAgADEAOAAgADIAMAAyADQAIABDAHIAYQBpAGcAIABIAGEAdABtAGEAawBlAHIAIAAgAEEAZABkAGUAZAAgAFIAbwBsAGwAaQBuAGcATQBpAG4AuwMgAGEAbgBkACAAUgBvAGwAbABpAG4AZwBNAGEAeAC7A1wAbgAqAC8AXABuAFwAbgBBAGIAbwB1AHQAuwMgAD0AIABUAFIASQBNACgAVABFAFgAVABTAFAATABJAFQAKABcAG4AIAAgACAAIABcACIAQQBCAE8AVQBUADoAIAAgACAAIAAgACAAIAAgACAAIAAgACAAIACSIUIAWABMACcAcwAgAEYAaQBuAGEAbgBjAGkAYQBsACAATQBvAGQAZQBsAHMAIABtAG8AZAB1AGwAZQAuACAAUwB1AGcAZwBlAHMAdABlAGQAIABtAG8AZAB1AGwAZQAgAG4AYQBtAGUAOgAgAEIAWABGALYAXAAiACAAJgBcAG4AIAAgACAAIABcACIAVgBFAFIAUwBJAE8ATgA6ACAAIAAgACAAIAAgACAAIAAgACAAIACSIU0AYQB5ACAAMQA4ACAAMgAwADIANAC2AFwAIgAgACYAXABuACAAIAAgACAAXAAiAEcASQBTAFQAIABVAFIATAA6ACAAIAAgACAAIAAgACAAIAAgACAAkiFoAHQAdABwAHMAOgAvAC8AZwBpAHMAdAAuAGcAaQB0AGgAdQBiAC4AYwBvAG0ALwBDAEgAYQB0AG0AYQBrAGUAcgAvADUAZABjAGIAMwBkAGUANABhAGQAOQA3ADYANgBkADEAYgBhAGYAMABiADkANQAzADMAOABlAGIAZABiAGYAMwAgALYAXAAiACAAJgBcAG4AIAAgACAAIABcACIAVwBFAEIAUwBJAFQARQA6ACAAIAAgACAAIAAgACAAIAAgACAAIACSIWgAdAB0AHAAcwA6AC8ALwBzAGkAdABlAHMALgBnAG8AbwBnAGwAZQAuAGMAbwBtAC8AcwBpAHQAZQAvAGIAZQB5AG8AbgBkAGUAeABjAGUAbAAvAGgAbwBtAGUALwBlAHgAYwBlAGwALQBsAGkAYgByAGEAcgB5AC8AIAC2AFwAIgAgACYAXABuACAAIAAgACAAXAAiAJIhtgBcACIAIAAmAFwAbgAgACAAIAAgAFwAIgBGAFUATgBDAFQASQBPAE4AIAAgACAAIAAgACAAIAAgACAAIAAgAJIhRABFAFMAQwBSAEkAUABUAEkATwBOALYAXAAiACAAJgAgAFwAbgAgACAAIAAgAFwAIgBBAGIAbwB1AHQAuwMgACAAIAAgACAAIAAgACAAIAAgACAAIAAgAJIhUAByAG8AZAB1AGMAZQBzACAAdABoAGkAcwAgAHQAYQBiAGwAZQC2AFwAIgAgACYAIABcAG4AIAAgACAAIABcACIAQwBvAHIAawBzAGMAcgBlAHcAuwMgACAAIAAgACAAIAAgACAAIACSIUMAcgBlAGEAdABlAHMAIABhACAAcwBpAG0AcABsAGUAIABjAG8AcgBrAHMAYwByAGUAdwAgAHcAaABlAHIAZQAgAHQAaABlACAAYwBsAG8AcwBpAG4AZwAgAGIAYQBsAGEAbgBjAGUAIABpAHMAIAB0AGgAZQAgAHMAdQBtACAAbwBmACAAaQBuAGQAZQBwAGUAbgBkAGUAbgB0ACAAZgBsAG8AdwBzACAAcABsAHUAcwAgAG8AcABlAG4AaQBuAGcAIABiAGEAbABhAG4AYwBlALYAXAAiACAAJgBcAG4AIAAgACAAIABcACIAQwBvAHIAawBTAGMAcgBlAHcAUgBlAHYAZQByAHMAYQBsALsDIACSIUMAcgBlAGEAdABlACAAYQAgAGMAbwByAGsAcwBjAHIAZQB3ACAAdwBoAGUAcgBlACAAdABoAGUAIABvAHAAZQBuAGkAbgBnACAAYgBhAGwAYQBuAGMAZQAgAGkAcwAgAHIAZQB2AGUAcgBzAGUAZAAgAGkAbgAgAHQAaABlACAAbgBlAHgAdAAgAHAAZQByAGkAbwBkACAAYgBhAHMAZQBkACAAbwBuACAAYQAgAHQAaQBtAGkAbgBnACAAcgBvAHcAtgBcACIAIAAmAFwAbgAgACAAIAAgAFwAIgBDAHUAbQB1AGwAYQB0AGkAdgBlALsDIAAgACAAIAAgACAAIAAgAJIhQwByAGUAYQB0AGUAcwAgAGEAIAByAG8AdwAgAG8AcgAgAGMAbwBsAHUAbQBuACAAbwBmACAAYwB1AG0AdQBsAGEAdABpAHYAZQAgAHQAbwB0AGEAbABzACAAZgByAG8AbQAgAGEAIAB0AG8AdABhAGwAIAByAG8AdwAgAG8AcgAgAGMAbwBsAHUAbQBuALYAXAAiACAAJgBcAG4AIAAgACAAIABcACIASQBuAHQATwBuAEkAbgB0ALsDIAAgACAAIAAgACAAIAAgACAAIACSIUMAYQBsAGMAdQBsAGEAdABlACAASQBuAHQAZQByAGUAcwB0ACAAbwBuACAASQBuAHQAZQByAGUAcwB0AC4AIABVAHMAZQAgAHQAbwAgAGQAZQB0AGUAcgBtAGkAbgBlACAAYQBtAG8AdQBuAHQAIABuAGUAZQBkAGUAZAAgAHQAbwAgAGMAbwB2AGUAcgAgAGQAZQBiAHQAIABwAGwAdQBzACAAaQBuAHQAZQByAGUAcwB0ACAAbwBuACAAZABlAGIAdAC2AFwAIgAgACYAIABcAG4AIAAgACAAIABcACIASQBSAFIAuwMgACAAIAAgACAAIAAgACAAIAAgACAAIAAgACAAIACSIUMAYQBsAGMAdQBsAGEAdABlAHMAIABJAFIAUgAsACAAYwBvAHIAcgBlAGMAdABpAG4AZwAgAGYAbwByACAAdwBoAGUAbgAgAHQAaABlACAAZgBpAHIAcwB0ACAAaQBuAHYAZQBzAHQAbQBlAG4AdAAgAGkAcwAgAG4AbwB0ACAAaQBuACAAdABoAGUAIABmAGkAcgBzAHQAIABwAGUAcgBpAG8AZAC2AFwAIgAgACYAIABcAG4AIAAgACAAIABcACIATQBvAHYAZQBtAGUAbgB0ALsDIAAgACAAIAAgACAAIAAgACAAIACSIUMAcgBlAGEAdABlACAAYQAgAHIAbwB3ACAAbwBmACAAZABpAGYAZgBlAHIAZQBuAGMAZQBzACAAZgByAG8AbQAgAGMAbwBsAHUAbQBuACAAdABvACAAYwBvAGwAdQBtAG4AtgBcACIAIAAmACAAXABuACAAIAAgACAAXAAiAFIAZQB2AGUAcgBzAGEAbAC7AyAAIAAgACAAIAAgACAAIAAgACAAkiFDAHIAZQBhAHQAZQAgAGEAIAByAG8AdwAgAHQAaABhAHQAIAByAGUAdgBlAHIAcwBlAHMAIABpAG4AcAB1AHQAIAB2AGEAbAB1AGUAcwAgAGkAbgAgAHQAaABlACAAbgBlAHgAdAAgAHAAZQByAGkAbwBkAC4AtgBcACIAIAAmACAAXABuACAAIAAgACAAXAAiAFIAbwBsAGwAaQBuAGcATQBhAHgAuwMgACAAIAAgACAAIAAgACAAkiFGAGkAbgBkAHMAIAB0AGgAZQAgAG0AYQB4AGkAbQB1AG0AIAB2AGEAbAB1AGUAIAB0AGgAZQAgAG4AIABwAHIAZQBjAGUAZQBkAGkAbgBnACAAdgBhAGwAdQBlAHMAIABpAG4AIABhACAAcwBlAHQAIABtAG8AdgBpAG4AZwAgAGYAcgBvAG0AIABiAGUAZwBpAG4AbgBpAG4AZwAgAHQAbwAgAGUAbgBkACAAbwB2AGUAcgAgAGEAIAByAG8AdwAgAG8AZgAgAHYAYQBsAHUAZQBzAC4AtgBcACIAIAAmAFwAbgAgACAAIAAgAFwAIgBSAG8AbABsAGkAbgBnAE0AaQBuALsDIAAgACAAIAAgACAAIAAgAJIhRgBpAG4AZABzACAAdABoAGUAIABtAGkAbgBpAG0AdQBtACAAdgBhAGwAdQBlACAAdABoAGUAIABuACAAcAByAGUAYwBlAGUAZABpAG4AZwAgAHYAYQBsAHUAZQBzACAAaQBuACAAYQAgAHMAZQB0ACAAbQBvAHYAaQBuAGcAIABmAHIAbwBtACAAYgBlAGcAaQBuAG4AaQBuAGcAIAB0AG8AIABlAG4AZAAgAG8AdgBlAHIAIABhACAAcgBvAHcAIABvAGYAIAB2AGEAbAB1AGUAcwAuALYAXAAiACAAJgBcAG4AIAAgACAAIABcACIAUgBvAGwAbABpAG4AZwBTAHUAbQC7AyAAIAAgACAAIAAgACAAIACSIUMAcgBlAGEAdABlAHMAIAB0AG8AdABhAGwAcwAgAGYAbwByACAAcAByAGUAYwBlAGUAZABpAG4AZwAgAHYAYQBsAHUAZQBzACAAbwBmACAAYQAgAHMAZQB0ACAAcwBpAHoAZQAgAG0AbwB2AGkAbgBnACAAZgByAG8AbQAgAGIAZQBnAGkAbgBuAGkAbgBnACAAdABvACAAZQBuAGQAIABvAHYAZQByACAAYQAgAHIAbwB3ACAAbwBmACAAdgBhAGwAdQBlAHMALgC2AFwAIgAgACYAXABuACAAIAAgACAAXAAiAFMAdQBtAEMAbwBuAHQAYQBpAG4AcwC7AyAAIAAgACAAIAAgACAAkiFDAHIAZQBhAHQAZQBzACAAYQAgAHIAbwB3ACAAbwBmACAAdABvAHQAYQBsAHMAIABmAG8AcgAgAGUAYQBjAGgAIAByAG8AdwAgAGkAbgAgAGEAbgAgAGEAcgByAGEAeQAgAHcAaABlAHIAZQAgAGkAdABzACAAbABhAGIAZQBsAHMAIABjAG8AbgB0AGEAaQBuACAAYQAgAHUAbgBpAHEAdQBlACAAbABlAHQAdABlAHIALAAgAHcAbwByAGQALAAgAG8AcgAgAHAAaAByAGEAcwBlAC4AtgBcACIAIAAmACAAXABuACAAIAAgACAAXAAiAFMAdQBtAFAAZQByAGkAbwBkAHMAuwMgACAAIAAgACAAIAAgACAAkiFHAHIAbwB1AHAAcwAgAGEAbgBkACAAdABvAHQAYQBsAHMAIABhAGwAbAAgAGMAbwBsAHUAbQBuAHMAIABpAG4AIABhACAAVgBhAGwAdQBlAHMAIABhAHIAcgBhAHkAIABiAHkAIABwAGUAcgBpAG8AZAAgAHIAZQBzAHUAbAB0AGkAbgBnACAAaQBuACAAbwBuAGUAIABjAG8AbAB1AG0AbgAgAGYAbwByACAAZQBhAGMAaAAgAHAAZQByAGkAbwBkAC4AtgBcACIAIAAmACAAXABuACAAIAAgACAAXAAiAJIhtgBcACIAIAAmAFwAbgAgACAAIAAgAFwAIgBBAE0ATwBSAFQASQBaAEEAVABJAE8ATgAgAFMAVQBJAFQARQCSIbYAXAAiACAAJgAgAFwAbgAgACAAIAAgAFwAIgBBAG0AbwByAHQAaQB6AGUAuwMgACAAIAAgACAAIAAgACAAIAAgAJIhQwByAGUAYQB0AGUAcwAgAGEAIABjAG8AcgBrAHMAYwByAGUAdwAgAGEAbQBvAHIAdABpAHoAYQB0AGkAbwBuACAAcwBjAGgAZQBkAHUAbABlAC4AtgBcACIAIAAmACAAXABuACAAIAAgACAAXAAiAEwAYQBiAGUAbABBAG0AbwByAHQAaQB6AGUAuwMgACAAIAAgACAAkiFDAHIAZQBhAHQAZQAgAHIAbwB3ACAAbABhAGIAZQBsAHMAIABmAG8AcgAgAEEAbQBvAHIAdABpAHoAZQC7AyAAcgBlAHMAdQBsAHQAtgBcACIAIAAmACAAXABuACAAIAAgACAAXAAiAFMAdQBtAEEAbQBvAHIAdABpAHoAZQC7AyAAIAAgACAAIAAgACAAkiFDAHIAZQBhAHQAZQAgAHIAbwB3ACAAdABvAHQAYQBsAHMAIABmAG8AcgAgAHAAYQB5AG0AZQBuAHQAcwAsACAAaQBuAHQAZQByAGUAcwB0ACwAIABhAG4AZAAgAHAAcgBpAG4AYwBpAHAAYQBsACAAcABvAHIAdABpAG8AbgAgAGkAbgAgAEEAbQBvAHIAdABpAHoAZQC7AyAAcgBlAHMAdQBsAHQAcwC2AFwAIgAgACYAIABcAG4AIAAgACAAIABcACIAkiG2AFwAIgAgACYAXABuACAAIAAgACAAXAAiAEQARQBQAFIARQBDAEkAQQBUAEkATwBOACAAUwBVAEkAVABFAJIhtgBcACIAIAAmACAAXABuACAAIAAgACAAXAAiAEQAZQBwAHIAZQBjAGkAYQB0AGUAuwMgACAAIAAgACAAIAAgACAAkiFDAHIAZQBhAHQAZQAgAGEAIABiAGwAbwBjAGsAIABvAGYAIABDAEEAUABFAFgALAAgAE8AcABlAG4AaQBuAGcAIABCAGEAbABhAG4AYwBlACwAIABEAGUAcAByAGUAYwBpAGEAdABpAG8AbgAgAFYAYQBsAHUAZQBzACwAIABhAG4AZAAgAEIAbwBvAGsAIABWAGEAbAB1AGUAIABmAG8AcgAgAGUAYQBjAGgAIABhAHMAcwBlAHQAtgBcACIAIAAmACAAXABuACAAIAAgACAAXAAiAEwAYQBiAGUAbABEAGUAcAByAGUAYwBpAGEAdABlALsDIAAgACAAkiFDAHIAZQBhAHQAZQAgAHIAbwB3ACAAbABhAGIAZQBsAHMAIABmAG8AcgAgAEQAZQBwAHIAZQBjAGkAYQB0AGUAuwMgAHIAZQBzAHUAbAB0ALYAXAAiACAAJgAgAFwAbgAgACAAIAAgAFwAIgBTAHUAbQBEAGUAcAByAGUAYwBpAGEAdABlALsDIAAgACAAIAAgAJIhQwByAGUAYQB0AGUAIAByAG8AdwAgAHQAbwB0AGEAbABzACAAZgBvAHIAIABDAEEAUABFAFgALAAgAEQAZQBwAHIAZQBjAGkAYQB0AGkAbwBuACwAIABCAG8AbwBrACAAVgBhAGwAdQBlACwAIABTAGEAbAB2AGEAZwBlACAAVgBhAGwAdQBlACwAIABhAG4AZAAgAEQAaQBzAHAAbwBzAGEAbAAgAGMAbwBzAHQAcwAgAGkAbgAgAEQAZQBwAHIAZQBjAGkAYQB0AGUAuwMgAHIAZQBzAHUAbAB0AHMAtgBcACIAIAAmACAAXABuACAAIAAgACAAXAAiAEEAbABsAG8AYwBhAHQAZQC7AyAAIAAgACAAIAAgACAAIAAgACAAkiFEAGkAdgBpAGQAZQAgAG8AbgBlACAAbwByACAAbQBvAHIAZQAgAGEAbQBvAHUAbgB0AHMAIABlAHEAdQBhAGwAbAB5ACAAZQBxAHUAYQBsAGwAeQAgAGEAYwByAG8AcwBzACAAcwBtAGEAbABsAGUAcgAgAHAAZQByAGkAbwBkAHMAtgBcACIAIAAmACAAXABuACAAIAAgACAAXAAiAFMATABOALsDIAAgACAAIAAgACAAIAAgACAAIAAgACAAIAAgACAAkiFTAHQAcgBhAGkAZwBoAHQAIABMAGkAbgBlACAAZABlAHAAcgBlAGMAaQBhAHQAaQBvAG4AIABtAGUAdABoAG8AZAAgAGYAbwByACAAbwBuAGUAIABhAHMAcwBlAHQAIABvAHIAIABhAHMAcwBlAHQAIABjAGwAYQBzAHMALgC2AFwAIgAgACYAIABcAG4AIAAgACAAIABcACIAUwBZAEQAuwMgACAAIAAgACAAIAAgACAAIAAgACAAIAAgACAAIACSIVMAdQBtAC0AbwBmAC0AeQBlAGEAcgBzACcAIABkAGkAZwBpAHQAcwAgAGQAZQBwAHIAZQBjAGkAYQB0AGkAbwBuACAAbQBlAHQAaABvAGQAIABmAG8AcgAgAG8AbgBlACAAYQBzAHMAZQB0ACAAbwByACAAYQBzAHMAZQB0ACAAYwBsAGEAcwBzAC4AtgBcACIAIAAmACAAXABuACAAIAAgACAAXAAiAEQAQgC7AyAAIAAgACAAIAAgACAAIAAgACAAIAAgACAAIAAgACAAkiFGAGkAeABlAGQAIABkAGUAYwBsAGkAbgBpAG4AZwAgAGIAYQBsAGEAbgBjAGUAIABkAGUAcAByAGUAYwBpAGEAdABpAG8AbgAgAG0AZQB0AGgAbwBkACAAZgBvAHIAIABvAG4AZQAgAGEAcwBzAGUAdAAgAG8AcgAgAGEAcwBzAGUAdAAgAGMAbABhAHMAcwAuALYAXAAiACAAJgAgAFwAbgAgACAAIAAgAFwAIgBEAEQAQgC7AyAAIAAgACAAIAAgACAAIAAgACAAIAAgACAAIAAgAJIhRABvAHUAYgBsAGUALQBkAGUAYwBsAGkAbgBpAG4AZwAgAGIAYQBsAGEAbgBjAGUAIABkAGUAcAByAGUAYwBpAGEAdABpAG8AbgAgAG0AZQB0AGgAbwBkACAAZgBvAHIAIABvAG4AZQAgAGEAcwBzAGUAdAAgAG8AcgAgAGEAcwBzAGUAdAAgAGMAbABhAHMAcwAuALYAXAAiACAAJgAgAFwAbgAgACAAIAAgAFwAIgBWAEQAQgC7AyAAIAAgACAAIAAgACAAIAAgACAAIAAgACAAIAAgAJIhVgBhAHIAaQBhAGIAbABlACAAZABlAGMAbABpAG4AaQBuAGcAIABiAGEAbABhAG4AYwBlACAAZABlAHAAcgBlAGMAaQBhAHQAaQBvAG4AIABtAGUAdABoAG8AZAAgAGYAbwByACAAbwBuAGUAIABhAHMAcwBlAHQAIABvAHIAIABhAHMAcwBlAHQAIABjAGwAYQBzAHMALgC2AFwAIgAgACYAIABcAG4AIAAgACAAIABcACIAkiG2AFwAIgAgACYAXABuACAAIAAgACAAXAAiAFMAVQBCAFIATwBVAFQASQBOAEUAUwAgACAAIAAgACAAIAAgACAAkiFGAHUAbgBjAHQAaQBvAG4AcwAgAHUAcwBlAGQAIABiAHkAIABvAHQAaABlAHIAIABmAHUAbgBjAHQAaQBvAG4AcwAgAG8AcgAgAGcAZQBuAGUAcgBhAGwAIABwAHUAcgBwAG8AcwBlACAAZgB1AG4AYwB0AGkAbwBuAHMALgC2AFwAIgAgACYAIABcAG4AIAAgACAAIABcACIARgBpAGwAdABlAHIAQwBvAG4AdABhAGkAbgBzALsDIAAgACAAIACSIUYAaQBsAHQAZQByACAAYQBuACAAYQByAHIAYQB5ACAAYgB5ACAAYQBuAG8AdABoAGUAcgAgAGEAcgByAGEAeQAgAHQAaABhAHQAIABjAG8AbgB0AGEAaQBuAHMAIABzAHAAZQBjAGkAZgBpAGMAZQAgAHQAZQB4AHQAtgBcACIAIAAmACAAXABuACAAIAAgACAAXAAiAFIAYQBuAGcAZQBUAG8ARABBALsDIAAgACAAIAAgACAAIAAgACAAkiFDAHIAZQBhAHQAZQAgAGEAIABkAHkAbgBhAG0AaQBjACAAYQByAHIAYQB5ACAAZgByAG8AbQAgAGEAIABzAHQAYQB0AGkAYwAgAHIAYQBuAGcAZQC2AFwAIgAgACYAIABcAG4AIAAgACAAIABcACIAVABpAG0AZQBsAGkAbgBlAE8AZgBmAHMAZQB0ALsDIAAgACAAIACSIUQAZQB0AGUAcgBtAGkAbgBlAHMAIABoAG8AdwAgAG0AYQBuAHkAIABjAG8AbAB1AG0AbgBzACAAYQAgAGQAYQB0AGUAIABpAHMAIABvAGYAZgBzAGUAdAAgAGYAcgBvAG0AIABhACAAdABpAG0AZQBsAGkAbgBlACcAcwAgAGYAaQByAHMAdAAgAGQAYQB0AGUAtgBcACIAIAAmACAAXABuACAAIAAgACAAXAAiAFQAaQBtAGUAbABpAG4AZQBQAG8AcwBpAHQAaQBvAG4AuwMgACAAkiFQAGwAYQBjAGUAcwAgAGEAbgAgAGEAcgByAGEAeQAgAG8AcgAgAHYAYQBsAHUAZQAgAGEAcABwAHIAbwBwAHIAaQBhAHQAZQBsAHkAIAB3AGkAdABoAGkAbgAgAGEAIABtAG8AZABlAGwAJwBzACAAdABpAG0AZQBsAGkAbgBlAC4AtgBcACIAIAAmACAAIABcAG4AIAAgACAAIABcACIAUABlAHIAaQBvAGQAUwB0AGEAcgB0ALsDIAAgACAAIAAgACAAIACSIUQAZQB0AGUAcgBtAGkAbgBlACAAdwBoAGUAbgAgAGEAIABwAGUAcgBpAG8AZAAgAGMAbwBuAHQAYQBpAG4AaQBuAGcAIABhACAAZABhAHQAZQAgAG8AZgAgAGkAbgB0AGUAcgBlAHMAdAAgAHMAdABhAHIAdABzAC4AtgBcACIAIAAmACAAXABuACAAIAAgACAAXAAiAFAAZQByAGkAbwBkAEQAaQBmAGYAuwMgACAAIAAgACAAIAAgACAAkiFEAGUAdABlAHIAbQBpAG4AZQAgAHQAaABlACAAbgB1AG0AYgBlAHIAIABvAGYAIABwAGUAcgBpAG8AZABzACAAYgBlAHQAdwBlAGUAbgAgAHQAdwBvACAAZABhAHQAZQBzAC4AXAAiACwAXABuACAAIAAgACAAXAAiAJIhXAAiACwAXAAiALYAXAAiAFwAbgAgACAAIAAgACkAXABuACkAOwBcAG4AXABuAFwAbgBcAG4AXABuAC8AKgAgACAARgBVAE4AQwBUAEkATwBOACAATgBBAE0ARQA6ACAAIABDAG8AcgBrAHMAYwByAGUAdwC7A1wAbgAgACAAIAAgAEQARQBTAEMAUgBJAFAAVABJAE8ATgA6ACoALwAvACoAKgBDAHIAZQBhAHQAZQAgAGEAIABjAG8AcgBrAHMAYwByAGUAdwAgAHMAZQBjAHQAaQBvAG4AIAB0AGgAYQB0ACAAcwB1AG0AcwAgAHQAaABlACAAbwBwAGUAbgBpAG4AZwAgAGIAYQBsAGEAbgBjAGUAIABhAG4AZAAgAHUAcAAgAHQAbwAgADQAIABpAG4AZABlAHAAZQBuAGQAZQBuAHQAIABmAGwAbwB3AHMALgAqAC8AXABuAC8AKgAgACAAUgBFAFYASQBTAEkATwBOAFMAOgAgACAAIAAgACAAIABEAGEAdABlACAAIAAgACAAIAAgACAAIABEAGUAdgBlAGwAbwBwAGUAcgAgACAAIAAgACAAIAAgAEQAZQBzAGMAcgBpAHAAdABpAG8AbgAgACAAXABuACAAIAAgACAAIAAgACAAIAAgACAAIAAgACAAIAAgACAAIAAgACAAIABNAGEAcgAgADAANgAgADIAMAAyADMAIABDAHIAYQBpAGcAIABIAGEAdABtAGEAawBlAHIAIAAgAE8AcgBpAGcAaQBuAGEAbAAgAEQAZQB2AGUAbABvAHAAbQBlAG4AdABcAG4AIAAgACAAIAAgACAAIAAgACAAIAAgACAAIAAgACAAIAAgACAAIAAgAEoAdQBuACAAMQAzACAAMgAwADIAMwAgAEMAcgBhAGkAZwAgAEgAYQB0AG0AYQBrAGUAcgAgACAAQQBkAGQAZQBkACAASABlAGwAcABcAG4AIAAgACAAIAAgACAAIAAgACAAIAAgACAAIAAgACAAIAAgACAAIAAgAE0AYQB5ACAAMAAxACAAMgA5ADIANAAgAEMAcgBhAGkAZwAgAEgAYQB0AG0AYQBrAGUAcgAgACAATQBvAGQAaQBmAGkAZQBkACAASABlAGwAcABcAG4AKgAvAFwAbgBDAG8AcgBrAHMAYwByAGUAdwC7AyAAPQAgAEwAQQBNAEIARABBACgAXABuAC8ALwAgACAAUABhAHIAYQBtAGUAdABlAHIAIABEAGUAYwBsAGEAcgBhAHQAaQBvAG4AcwBcAG4AIAAgACAAIABbAE8AcABlAG4AaQBuAGcAXQAsAFwAbgAgACAAIAAgAFsARgBsAG8AdwAxAF0ALABcAG4AIAAgACAAIABbAEYAbABvAHcAMgBdACwAXABuACAAIAAgACAAWwBGAGwAbwB3ADMAXQAsAFwAbgAgACAAIAAgAFsARgBsAG8AdwA0AF0ALABcAG4AXABuACAAIAAgACAATABFAFQAKABcAG4AIAAgACAAIAAvAC8AIAAgAEgAZQBsAHAAXABuACAAIAAgACAAIAAgACAAIABIAGUAbABwACwAIAAgACAAIAAgACAAIABUAFIASQBNACgAVABFAFgAVABTAFAATABJAFQAKAAgAFwAbgAgACAAIAAgACAAIAAgACAAIAAgACAAIAAgACAAIAAgACAAIAAgACAAIAAgACAAIABcACIARgBVAE4AQwBUAEkATwBOADoAIAAgACAAIAAgACAAkiFDAG8AcgBrAHMAYwByAGUAdwC7AygAIABPAHAAZQBuAGkAbgBnACwAIABGAEwAbwB3ADEALAAgAFsARgBsAG8AdwAyAF0ALAAgAFsARgBsAG8AdwAzAF0ALAAgAFsARgBsAG8AdwA0AF0AKQC2AFwAIgAgACYAXABuACAAIAAgACAAIAAgACAAIAAgACAAIAAgACAAIAAgACAAIAAgACAAIAAgACAAIAAgAFwAIgBEAEUAUwBDAFIASQBQAFQASQBPAE4AOgAgACAAIACSIUMAcgBlAGEAdABlACAAYQAgAGMAbwByAGsAcwBjAHIAZQB3ACAAcwBlAGMAdABpAG8AbgAgAHQAaABhAHQAIABzAHUAbQBzACAAdABoAGUAIABvAHAAZQBuAGkAbgBnACAAYgBhAGwAYQBuAGMAZQAgAGEAbgBkACAAdQBwACAAdABvACAANAAgAGkAbgBkAGUAcABlAG4AZABlAG4AdAAgAGYAbABvAHcAcwC2AFwAIgAgACYAIABcAG4AIAAgACAAIAAgACAAIAAgACAAIAAgACAAIAAgACAAIAAgACAAIAAgACAAIAAgACAAXAAiAFcARQBCAFAAQQBHAEUAOgAgACAAIAAgACAAIAAgAJIhPABDAG8AbQBpAG4AZwAgAFMAbwBvAG4APgC2AFwAIgAgACYAIABcAG4AIAAgACAAIAAgACAAIAAgACAAIAAgACAAIAAgACAAIAAgACAAIAAgACAAIAAgACAAXAAiAFYARQBSAFMASQBPAE4AOgAgACAAIAAgACAAIAAgAJIhTwBjAHQAIAAyADAAIAAyADAAMgAzALYAXAAiACAAJgBcAG4AIAAgACAAIAAgACAAIAAgACAAIAAgACAAIAAgACAAIAAgACAAIAAgACAAIAAgACAAXAAiAFAAQQBSAEEATQBFAFQARQBSAFMAOgCSIbYAXAAiACAAJgAgAFwAbgAgACAAIAAgACAAIAAgACAAIAAgACAAIAAgACAAIAAgACAAIAAgACAAIAAgACAAIABcACIATwBwAGUAbgBpAG4AZwAgACAAIAAgACAAIAAgACAAkiEoAFIAZQBxAHUAaQByAGUAZAApACAARgBpAHIAcwB0ACAAcABlAHIAaQBvAGQAcwAgAG8AcABlAG4AaQBuAGcAIABiAGEAbABhAG4AYwBlAC4AtgBcACIAIAAmACAAXABuACAAIAAgACAAIAAgACAAIAAgACAAIAAgACAAIAAgACAAIAAgACAAIAAgACAAIAAgAFwAIgBGAGwAbwB3ADEAIAAgACAAIAAgACAAIAAgACAAIACSISgAUgBlAHEAdQBpAHIAZQBkACkAIABGAGkAcgBzAHQAIAByAG8AdwAgACgAbwByACAAYQByAHIAYQB5ACAAbwBmACAAcgBvAHcAcwApACAAbwBmACAAbgB1AG0AYgBlAHIAcwAgAHQAbwAgAGkAbgBjAGwAdQBkAGUAIABpAG4AIABwAGUAcgBpAG8AZAAgAHQAbwB0AGEAbABzAC4AtgBcACIAIAAmACAAXABuACAAIAAgACAAIAAgACAAIAAgACAAIAAgACAAIAAgACAAIAAgACAAIAAgACAAIAAgAFwAIgBGAGwAbwB3ADIAIAAgACAAIAAgACAAIAAgACAAIACSISgATwBwAHQAaQBvAG4AYQBsACkAIABTAGUAYwBvAG4AZAAgAHIAbwB3ACAAKABvAHIAIABhAHIAcgBhAHkAIABvAGYAIAByAG8AdwBzACkAIABvAGYAIABuAHUAbQBiAGUAcgBzACAAdABvACAAaQBuAGMAbAB1AGQAZQAgAGkAbgAgAHAAZQByAGkAbwBkACAAdABvAHQAYQBsAHMALgC2AFwAIgAgACYAIABcAG4AIAAgACAAIAAgACAAIAAgACAAIAAgACAAIAAgACAAIAAgACAAIAAgACAAIAAgACAAXAAiAEYAbABvAHcAMwAgACAAIAAgACAAIAAgACAAIAAgAJIhKABPAHAAdABpAG8AbgBhAGwAKQAgAFQAaABpAHIAZAAgAHIAbwB3ACAAKABvAHIAIABhAHIAcgBhAHkAIABvAGYAIAByAG8AdwBzACkAIABvAGYAIABuAHUAbQBiAGUAcgBzACAAdABvACAAaQBuAGMAbAB1AGQAZQAgAGkAbgAgAHAAZQByAGkAbwBkACAAdABvAHQAYQBsAHMALgC2AFwAIgAgACYAIABcAG4AIAAgACAAIAAgACAAIAAgACAAIAAgACAAIAAgACAAIAAgACAAIAAgACAAIAAgACAAXAAiAEYAbABvAHcANAAgACAAIAAgACAAIAAgACAAIAAgAJIhKABPAHAAdABpAG8AbgBhAGwAKQAgAEYAbwB1AHIAdABoACAAcgBvAHcAIAAoAG8AcgAgAGEAcgByAGEAeQAgAG8AZgAgAHIAbwB3AHMAKQAgAG8AZgAgAG4AdQBtAGIAZQByAHMAIAB0AG8AIABpAG4AYwBsAHUAZABlACAAaQBuACAAcABlAHIAaQBvAGQAIAB0AG8AdABhAGwAcwAuALYAXAAiACAAJgAgAFwAbgAgACAAIAAgACAAIAAgACAAIAAgACAAIAAgACAAIAAgACAAIAAgACAAIAAgACAAIABcACIATgBPAFQARQAhACAAIAAgACAAIAAgACAAIAAgACAAkiFBAGwAbAAgAGYAbABvAHcAcwAgAGEAcgBlACAAYQBkAGQAZQBkAC4AIABUAG8AIABzAHUAYgB0AHIAYQBjAHQAIABhACAAZgBsAG8AdwAgAG0AYQBrAGUAIABpAHQAIABuAGUAZwBhAHQAaQB2AGUALgC2AFwAIgAgACYAIABcAG4AIAAgACAAIAAgACAAIAAgACAAIAAgACAAIAAgACAAIAAgACAAIAAgACAAIAAgACAAXAAiAJIhtgBcACIAIAAmAFwAbgAgACAAIAAgACAAIAAgACAAIAAgACAAIAAgACAAIAAgACAAIAAgACAAIAAgACAAIABcACIARQBYAEEATQBQAEwARQBTADoAIAAgACAAIAAgACAAkiFOAE8AVABFACEAIABCAFgARgAgAGkAcwAgAGEAcwBzAHUAbQBlAGQAIAB0AG8AIABiAGUAIAB0AGgAZQAgAG0AbwBkAHUAbABlACcAcwAgAG4AYQBtAGUAtgBcACIAIAAmACAAXABuACAAIAAgACAAIAAgACAAIAAgACAAIAAgACAAIAAgACAAIAAgACAAIAAgACAAIAAgAFwAIgBGAG8AcgBtAHUAbABhADoAIAAgACAAIAAgACAAIACSIT0AQgBYAEYALgBDAG8AcgBrAHMAYwByAGUAdwC7AygAMAAsACAAUwBlAHEAdQBlAG4AYwBlACgAMQAsADUAKQApALYAXAAiACAAJgBcAG4AIAAgACAAIAAgACAAIAAgACAAIAAgACAAIAAgACAAIAAgACAAIAAgACAAIAAgACAAXAAiAFIAZQBzAHUAbAB0ADoAIAAgACAAIAAgACAAIAAgAJIhMAAwACwAIAAwADEALAAgADAAMwAsACAAMAA2ACwAIAAxADAAtgBcACIAIAAmAFwAbgAgACAAIAAgACAAIAAgACAAIAAgACAAIAAgACAAIAAgACAAIAAgACAAIAAgACAAIAAgACAAIAAgACAAIAAgACAAIAAgACAAIAAgACAAIABcACIAkiEwADEALAAgADAAMgAsACAAMAAzACwAIAAwADQALAAgADAANQC2AFwAIgAgACYAXABuACAAIAAgACAAIAAgACAAIAAgACAAIAAgACAAIAAgACAAIAAgACAAIAAgACAAIAAgACAAIAAgACAAIAAgACAAIAAgACAAIAAgACAAIAAgAFwAIgCSITAAMQAsACAAMAAzACwAIAAwADYALAAgADEAMAAsACAAMQA1AFwAIgAsACAAXABuACAAIAAgACAAIAAgACAAIAAgACAAIAAgACAAIAAgACAAIAAgACAAIAAgACAAIAAgAFwAIgCSIVwAIgAsACAAXAAiALYAXAAiACAAKQBcAG4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TwBwAGUAbgBpAG4AZwApACwAXABuACAAIAAgACAAIAAgACAAIAAgACAAIAAgACAAIAAgACAAIAAgACAAIAAgACAAIAAgACAAIAAgACAASQBTAE8ATQBJAFQAVABFAEQAKAAgAEYAbABvAHcAMQApAFwAbgAgACAAIAAgACAAIAAgACAAIAAgACAAIAAgACAAIAAgACAAIAAgACAAIAAgACAAIAApACwAXABuACAAIAAgACAALwAvACAAIABQAHIAbwBjAGUAcwBzAGkAbgBnAFwAbgAgACAAIAAgACAAIAAgACAAQwBvAGwAcwAsACAAIAAgACAAIAAgACAAIAAgACAAIABDAG8AbAB1AG0AbgBzACgARgBsAG8AdwAxACkALABcAG4AIAAgACAAIAAgACAAIAAgAFIAbwB3AHMALAAgACAAIAAgACAAIAAgACAAIAAgACAASQBGACgASQBTAE8ATQBJAFQAVABFAEQAKABGAGwAbwB3ADIAKQAsACAAMQAsACAAXABuACAAIAAgACAAIAAgACAAIAAgACAAIAAgACAAIAAgACAAIAAgACAAIAAgACAAIAAgACAAIAAgACAASQBGACgASQBTAE8ATQBJAFQAVABFAEQAKABGAGwAbwB3ADMAKQAsACAAMgAsACAAXABuACAAIAAgACAAIAAgACAAIAAgACAAIAAgACAAIAAgACAAIAAgACAAIAAgACAAIAAgACAAIAAgACAAIAAgACAAIABJAEYAKABJAFMATwBNAEkAVABUAEUARAAoAEYAbABvAHcANAApACwAIAAzACwAIAA0ACkAXABuACAAIAAgACAAIAAgACAAIAAgACAAIAAgACAAIAAgACAAIAAgACAAIAAgACAAIAAgACAAIAAgACAAKQBcAG4AIAAgACAAIAAgACAAIAAgACAAIAAgACAAIAAgACAAIAAgACAAIAAgACAAIAAgACAAKQAsACAAIAAgACAAIAAgACAAIAAgACAAIAAgACAAIAAgACAAIAAgACAAIAAgACAAIAAgAFwAbgAgACAAIAAgACAAIAAgACAAUABlAHIAaQBvAGQAQQByAHIAYQB5ACwAIAAgACAAIABTAFcASQBUAEMASAAoAFIAbwB3AHMALAAgAFwAbgAgACAAIAAgACAAIAAgACAAIAAgACAAIAAgACAAIAAgACAAIAAgACAAIAAgACAAIAAgACAAIAAgADEALAAgACAARgBsAG8AdwAxACwAIABcAG4AIAAgACAAIAAgACAAIAAgACAAIAAgACAAIAAgACAAIAAgACAAIAAgACAAIAAgACAAIAAgACAAIAAyACwAIAAgAFYAUwBUAEEAQwBLACgARgBsAG8AdwAxACwAIABGAGwAbwB3ADIAKQAsACAAXABuACAAIAAgACAAIAAgACAAIAAgACAAIAAgACAAIAAgACAAIAAgACAAIAAgACAAIAAgACAAIAAgACAAMwAsACAAIABWAFMAVABBAEMASwAoAEYAbABvAHcAMQAsACAARgBsAG8AdwAyACwAIABGAGwAbwB3ADMAKQAsAFwAbgAgACAAIAAgACAAIAAgACAAIAAgACAAIAAgACAAIAAgACAAIAAgACAAIAAgACAAIAAgACAAIAAgADQALAAgACAAVgBTAFQAQQBDAEsAKABGAGwAbwB3ADEALAAgAEYAbABvAHcAMgAsACAARgBsAG8AdwAzACwAIABGAGwAbwB3ADQAKQBcAG4AIAAgACAAIAAgACAAIAAgACAAIAAgACAAIAAgACAAIAAgACAAIAAgACAAIAAgACAAKQAsACAAXABuACAAIAAgACAAIAAgACAAIABQAGUAcgBpAG8AZABUAG8AdABhAGwALAAgACAAIAAgAEIAWQBDAE8ATAAoAFAAZQByAGkAbwBkAEEAcgByAGEAeQAsACAATABBAE0AQgBEAEEAKABDAG8AbAAsACAAUwBVAE0AKABDAG8AbAApACkAKQAsACAAXABuACAAIAAgACAAIAAgACAAIABDAGwAbwBzAGkAbgBnAFQAbwB0AGEAbAAsACAAIAAgAFMAQwBBAE4AKABPAHAAZQBuAGkAbgBnACwAIABQAGUAcgBpAG8AZABUAG8AdABhAGwALAAgAEwAQQBNAEIARABBACgATwBwAG4ALAAgAFAAcgBkAFQAbwB0ACwAIABPAHAAbgAgACsAIABQAHIAZABUAG8AdAApACkALAAgAFwAbgAgACAAIAAgACAAIAAgACAATwBwAGUAbgBpAG4AZwBUAG8AdABhAGwALAAgACAAIABNAEEAUAAoACAAUwBFAFEAVQBFAE4AQwBFACgALAAgAEMAbwBsAHMAKQAsACAATABBAE0AQgBEAEEAKAAgAEMAbwBsACwAIABJAEYAKAAgAEMAbwBsACAAPQAgADEALAAgAE8AcABlAG4AaQBuAGcALAAgAEkATgBEAEUAWAAoACAAQwBsAG8AcwBpAG4AZwBUAG8AdABhAGwALAAgAEMAbwBsACAALQAgADEAKQApACkAKQAsAFwAbgAgACAAIAAgACAAIAAgACAAUgBlAHMAdQBsAHQALAAgACAAIAAgACAAIAAgACAAIABWAFMAVABBAEMASwAoAE8AcABlAG4AaQBuAGcAVABvAHQAYQBsACwAIABQAGUAcgBpAG8AZABBAHIAcgBhAHkALAAgAEMAbABvAHMAaQBuAGcAVABvAHQAYQBsACkALAAgAFwAbgAgACAAIAAgAC8ALwAgACAAUgBlAHQAdQByAG4AIABSAGUAcwB1AGwAdABcAG4AIAAgACAAIAAgACAAIAAgAEMASABPAE8AUwBFACgASABlAGwAcAA/ACAAKwAgADEALAAgAFIAZQBzAHUAbAB0ACwAIABIAGUAbABwACkAXABuACAAIAAgACAAKQAgACAAXABuACkAOwBcAG4AXABuAFwAbgBcAG4ALwAqACAAIABGAFUATgBDAFQASQBPAE4AIABOAEEATQBFADoAIAAgAEMAbwByAGsAUwBjAHIAZQB3AFIAZQB2AGUAcgBzAGEAbAC7A1wAbgAgACAAIAAgAEQARQBTAEMAUgBJAFAAVABJAE8ATgA6ACoALwAvACoAKgBDAHIAZQBhAHQAZQAgAGEAIABjAG8AcgBrAHMAYwByAGUAdwAgAHcAaABlAHIAZQAgAHQAaABlACAAbwBwAGUAbgBpAG4AZwAgAGIAYQBsAGEAbgBjAGUAIABpAHMAIAByAGUAdgBlAHIAcwBlAGQAIABpAG4AIAB0AGgAZQAgAG4AZQB4AHQAIABwAGUAcgBpAG8AZAAgAGIAYQBzAGUAZAAgAG8AbgAgAGEAIAB0AGkAbQBpAG4AZwAgAHAAYQByAGEAbQBlAHQAZQByAC4AKgAvAFwAbgAvACoAIAAgAFIARQBWAEkAUwBJAE8ATgBTADoAIAAgACAAIAAgACAARABhAHQAZQAgACAAIAAgACAAIAAgACAARABlAHYAZQBsAG8AcABlAHIAIAAgACAAIAAgACAAIABEAGUAcwBjAHIAaQBwAHQAaQBvAG4AIAAgAFwAbgAgACAAIAAgACAAIAAgACAAIAAgACAAIAAgACAAIAAgACAAIAAgACAAQQBwAHIAIAAxADkAIAAyADAAMgA0ACAAQwByAGEAaQBnACAASABhAHQAbQBhAGsAZQByACAAIABDAG8AcAB5AHIAaQBnAGgAdAAgAC0AIABUAGgAYQBuAGsAIAB5AG8AdQAgAEYAaQBuAG8AbQBhAHQAaQBjAHMAIABmAG8AcgAgAHQAaABlACAAcwB1AGcAZwBlAHMAdABpAG8AbgBcAG4AKgAvAFwAbgBDAG8AcgBrAFMAYwByAGUAdwBSAGUAdgBlAHIAcwBhAGwAuwM9AEwAQQBNAEIARABBACgAXABuAC8ALwAgACAAUABhAHIAYQBtAGUAdABlAHIAIABEAGUAYwBsAGEAcgBhAHQAaQBvAG4AcwBcAG4AIAAgACAAIABbAE8AcABlAG4AaQBuAGcAXQAsAFwAbgAgACAAIAAgAFsAUgBlAHYAZQByAHMAYQBsAEYAbABhAGcAcwBdACwAXABuACAAIAAgACAAWwBGAGwAbwB3ADEAXQAsAFwAbgAgACAAIAAgAFsARgBsAG8AdwAyAF0ALABcAG4AIAAgACAAIABbAEYAbABvAHcAMwBdACwAXABuACAAIAAgACAAWwBGAGwAbwB3ADQAXQAsACAAXABuACAAIAAgACAALwAvACAAIABIAGUAbABwAFwAbgAgACAAIAAgAEwARQBUACgASABlAGwAcAAsACAAIAAgACAAIAAgACAAIAAgACAAIABUAFIASQBNACgAVABFAFgAVABTAFAATABJAFQAKABcAG4AIAAgACAAIAAgACAAIAAgACAAIAAgACAAIAAgACAAIAAgACAAIAAgACAAIAAgACAAXAAiAEYAVQBOAEMAVABJAE8ATgA6ACAAIAAgACAAIAAgAJIhQwBvAHIAawBzAGMAcgBlAHcAuwMoACAATwBwAGUAbgBpAG4AZwAsACAARgBMAG8AdwAxACwAIABbAEYAbABvAHcAMgBdACwAIABbAEYAbABvAHcAMwBdACwAIABbAEYAbABvAHcANABdACkAtgBcACIAIAAmACAAXABuACAAIAAgACAAIAAgACAAIAAgACAAIAAgACAAIAAgACAAIAAgACAAIAAgACAAIAAgAFwAIgBEAEUAUwBDAFIASQBQAFQASQBPAE4AOgAgACAAIACSIUMAcgBlAGEAdABlACAAYQAgAGMAbwByAGsAcwBjAHIAZQB3ACAAdwBoAGUAcgBlACAAdABoAGUAIABvAHAAZQBuAGkAbgBnACAAYgBhAGwAYQBuAGMAZQAgAGkAcwAgAHIAZQB2AGUAcgBzAGUAZAAgAGkAbgAgAHQAaABlACAAbgBlAHgAdAAgAHAAZQByAGkAbwBkACAAYgBhAHMAZQBkACAAbwBuACAAYQAgAHQAaQBtAGkAbgBnACAAcABhAHIAYQBtAGUAdABlAHIAtgBcACIAIAAmACAAXABuACAAIAAgACAAIAAgACAAIAAgACAAIAAgACAAIAAgACAAIAAgACAAIAAgACAAIAAgAFwAIgBXAEUAQgBQAEEARwBFADoAIAAgACAAIAAgACAAIACSITwAQwBvAG0AaQBuAGcAIABTAG8AbwBuAD4AtgBcACIAIAAmAFwAbgAgACAAIAAgACAAIAAgACAAIAAgACAAIAAgACAAIAAgACAAIAAgACAAIAAgACAAIABcACIAVgBFAFIAUwBJAE8ATgA6ACAAIAAgACAAIAAgACAAkiFBAHAAcgAgADEAOQAgADIAMAAyADQAtgBcACIAIAAmACAAXABuACAAIAAgACAAIAAgACAAIAAgACAAIAAgACAAIAAgACAAIAAgACAAIAAgACAAIAAgAFwAIgBQAEEAUgBBAE0ARQBUAEUAUgBTADoAkiG2AFwAIgAgACYAIABcAG4AIAAgACAAIAAgACAAIAAgACAAIAAgACAAIAAgACAAIAAgACAAIAAgACAAIAAgACAAXAAiAE8AcABlAG4AaQBuAGcAIAAgACAAIAAgACAAIAAgAJIhKABSAGUAcQB1AGkAcgBlAGQAKQAgAEYAaQByAHMAdAAgAHAAZQByAGkAbwBkAHMAIABvAHAAZQBuAGkAbgBnACAAYgBhAGwAYQBuAGMAZQAuALYAXAAiACAAJgAgAFwAbgAgACAAIAAgACAAIAAgACAAIAAgACAAIAAgACAAIAAgACAAIAAgACAAIAAgACAAIABcACIAUgBlAHYAZQByAHMAYQBsAEYAbABhAGcAcwAgACAAkiEoAFIAZQBxAHUAaQByAGUAZAApACAAQQAgAHIAbwB3ACAAbwBmACAAbwBuAGUAcwAgAGEAbgBkACAAYgBsAGEAbgBrAHMAIAAoAG8AcgAgAHoAZQByAG8AcwApACAAaQBuAGQAaQBjAGEAdABpAG4AZwAgAHcAaABlAG4AIAB0AG8AIAByAGUAdgBlAHIAcwBlACAAcABlAHIAaQBvAGQAIAB0AG8AdABhAGwAcwAuALYAXAAiACAAJgAgAFwAbgAgACAAIAAgACAAIAAgACAAIAAgACAAIAAgACAAIAAgACAAIAAgACAAIAAgACAAIABcACIARgBsAG8AdwAxACAAIAAgACAAIAAgACAAIAAgACAAkiEoAFIAZQBxAHUAaQByAGUAZAApACAARgBpAHIAcwB0ACAAcgBvAHcAIAAoAG8AcgAgAGEAcgByAGEAeQAgAG8AZgAgAHIAbwB3AHMAKQAgAG8AZgAgAG4AdQBtAGIAZQByAHMAIAB0AG8AIABpAG4AYwBsAHUAZABlACAAaQBuACAAcABlAHIAaQBvAGQAIAB0AG8AdABhAGwAcwAuALYAXAAiACAAJgAgAFwAbgAgACAAIAAgACAAIAAgACAAIAAgACAAIAAgACAAIAAgACAAIAAgACAAIAAgACAAIABcACIARgBsAG8AdwAyACAAIAAgACAAIAAgACAAIAAgACAAkiEoAE8AcAB0AGkAbwBuAGEAbAApACAAUwBlAGMAbwBuAGQAIAByAG8AdwAgACgAbwByACAAYQByAHIAYQB5ACAAbwBmACAAcgBvAHcAcwApACAAbwBmACAAbgB1AG0AYgBlAHIAcwAgAHQAbwAgAGkAbgBjAGwAdQBkAGUAIABpAG4AIABwAGUAcgBpAG8AZAAgAHQAbwB0AGEAbABzAC4AtgBcACIAIAAmACAAXABuACAAIAAgACAAIAAgACAAIAAgACAAIAAgACAAIAAgACAAIAAgACAAIAAgACAAIAAgAFwAIgBGAGwAbwB3ADMAIAAgACAAIAAgACAAIAAgACAAIACSISgATwBwAHQAaQBvAG4AYQBsACkAIABUAGgAaQByAGQAIAByAG8AdwAgACgAbwByACAAYQByAHIAYQB5ACAAbwBmACAAcgBvAHcAcwApACAAbwBmACAAbgB1AG0AYgBlAHIAcwAgAHQAbwAgAGkAbgBjAGwAdQBkAGUAIABpAG4AIABwAGUAcgBpAG8AZAAgAHQAbwB0AGEAbABzAC4AtgBcACIAIAAmACAAXABuACAAIAAgACAAIAAgACAAIAAgACAAIAAgACAAIAAgACAAIAAgACAAIAAgACAAIAAgAFwAIgBGAGwAbwB3ADQAIAAgACAAIAAgACAAIAAgACAAIACSISgATwBwAHQAaQBvAG4AYQBsACkAIABGAG8AdQByAHQAaAAgAHIAbwB3ACAAKABvAHIAIABhAHIAcgBhAHkAIABvAGYAIAByAG8AdwBzACkAIABvAGYAIABuAHUAbQBiAGUAcgBzACAAdABvACAAaQBuAGMAbAB1AGQAZQAgAGkAbgAgAHAAZQByAGkAbwBkACAAdABvAHQAYQBsAHMALgC2AFwAIgAgACYAIABcAG4AIAAgACAAIAAgACAAIAAgACAAIAAgACAAIAAgACAAIAAgACAAIAAgACAAIAAgACAAXAAiAE4ATwBUAEUAIQAgACAAIAAgACAAIAAgACAAIAAgAJIhQQBsAGwAIABmAGwAbwB3AHMAIABhAHIAZQAgAGEAZABkAGUAZAAuACAAVABvACAAcwB1AGIAdAByAGEAYwB0ACAAYQAgAGYAbABvAHcAIABtAGEAawBlACAAaQB0ACAAbgBlAGcAYQB0AGkAdgBlAC4AXAAiACwAIABcAG4AIAAgACAAIAAgACAAIAAgACAAIAAgACAAIAAgACAAIAAgACAAIAAgACAAIAAgACAAXAAiAJIhXAAiACwAIABcACIAtgBcACIAKQApACwAIABcAG4AIAAgACAAIAAvAC8AIAAgAEMAaABlAGMAawAgAGkAbgBwAHUAdABzACAALQAgAE8AbQBpAHQAdABlAGQAIAByAGUAcQB1AGkAcgBlAGQAIABhAHIAZwB1AG0AZQBuAHQAcwBcAG4AIAAgACAAIAAgACAAIAAgAEgAZQBsAHAAPwAsACAAIAAgACAAIAAgACAAIAAgACAATwBSACgAIABJAFMATwBNAEkAVABUAEUARAAoACAATwBwAGUAbgBpAG4AZwApACwAIABcAG4AIAAgACAAIAAgACAAIAAgACAAIAAgACAAIAAgACAAIAAgACAAIAAgACAAIAAgACAAIAAgACAAIABJAFMATwBNAEkAVABUAEUARAAoACAAUgBlAHYAZQByAHMAYQBsAEYAbABhAGcAcwApACwAIABcAG4AIAAgACAAIAAgACAAIAAgACAAIAAgACAAIAAgACAAIAAgACAAIAAgACAAIAAgACAAIAAgACAAIABJAFMATwBNAEkAVABUAEUARAAoACAARgBsAG8AdwAxACkAKQAsACAAXABuACAAIAAgACAALwAvACAAIABTAGUAdAAgAGQAZQBmAGEAdQBsAHQAcwAgAGEAbgBkACAAYwBvAG4AcwB0AGEAbgB0AHMAXABuACAAIAAgACAAIAAgACAAIABDAG8AbABzACwAIAAgACAAIAAgACAAIAAgACAAIAAgAEMATwBMAFUATQBOAFMAKABGAGwAbwB3ADEAKQAsACAAXABuACAAIAAgACAAIAAgACAAIABSAG8AdwBzACwAIAAgACAAIAAgACAAIAAgACAAIAAgAEkARgAoAEkAUwBPAE0ASQBUAFQARQBEACgARgBsAG8AdwAyACkALAAgADEALAAgAFwAbgAgACAAIAAgACAAIAAgACAAIAAgACAAIAAgACAAIAAgACAAIAAgACAAIAAgACAAIAAgACAAIAAgAEkARgAoAEkAUwBPAE0ASQBUAFQARQBEACgARgBsAG8AdwAzACkALAAgADIALAAgAFwAbgAgACAAIAAgACAAIAAgACAAIAAgACAAIAAgACAAIAAgACAAIAAgACAAIAAgACAAIAAgACAAIAAgACAAIAAgACAASQBGACgASQBTAE8ATQBJAFQAVABFAEQAKABGAGwAbwB3ADQAKQAsACAAMwAsACAANAApAFwAbgAgACAAIAAgACAAIAAgACAAIAAgACAAIAAgACAAIAAgACAAIAAgACAAIAAgACAAIAAgACAAIAAgACkAXABuACAAIAAgACAAIAAgACAAIAAgACAAIAAgACAAIAAgACAAIAAgACAAIAAgACAAIAAgACkALAAgAFwAbgAgACAAIAAgAC8ALwAgACAAUAByAG8AYwBlAGQAdQByAGUAXABuACAAIAAgACAAIAAgACAAIABQAGUAcgBpAG8AZABBAHIAcgBhAHkALAAgACAAIAAgAFMAVwBJAFQAQwBIACgAUgBvAHcAcwAsACAAXABuACAAIAAgACAAIAAgACAAIAAgACAAIAAgACAAIAAgACAAIAAgACAAIAAgACAAIAAgACAAIAAgACAAMQAsACAARgBsAG8AdwAxACwAIABcAG4AIAAgACAAIAAgACAAIAAgACAAIAAgACAAIAAgACAAIAAgACAAIAAgACAAIAAgACAAIAAgACAAIAAyACwAIABWAFMAVABBAEMASwAoAEYAbABvAHcAMQAsACAARgBsAG8AdwAyACkALAAgAFwAbgAgACAAIAAgACAAIAAgACAAIAAgACAAIAAgACAAIAAgACAAIAAgACAAIAAgACAAIAAgACAAIAAgADMALAAgAFYAUwBUAEEAQwBLACgARgBsAG8AdwAxACwAIABGAGwAbwB3ADIALAAgAEYAbABvAHcAMwApACwAIABcAG4AIAAgACAAIAAgACAAIAAgACAAIAAgACAAIAAgACAAIAAgACAAIAAgACAAIAAgACAAIAAgACAAIAA0ACwAIABWAFMAVABBAEMASwAoAEYAbABvAHcAMQAsACAARgBsAG8AdwAyACwAIABGAGwAbwB3ADMALAAgAEYAbABvAHcANAApAFwAbgAgACAAIAAgACAAIAAgACAAIAAgACAAIAAgACAAIAAgACAAIAAgACAAIAAgACAAIAApACwAIABcAG4AIAAgACAAIAAgACAAIAAgAFAAZQByAGkAbwBkAFQAbwB0AGEAbAAsACAAIAAgACAAQgBZAEMATwBMACgAUABlAHIAaQBvAGQAQQByAHIAYQB5ACwAIABMAEEATQBCAEQAQQAoAEMAbwBsACwAIABTAFUATQAoAEMAbwBsACkAKQApACwAIABcAG4AIAAgACAAIAAgACAAIAAgAFIAZQBzAHUAbAB0ACwAIAAgACAAIAAgACAAIAAgACAAUgBFAEQAVQBDAEUAKAAgADAALAAgAFMARQBRAFUARQBOAEMARQAoACAAQwBPAEwAVQBNAE4AUwAoACAARgBsAG8AdwAxACkAKQAsAFwAbgAgACAAIAAgACAAIAAgACAAIAAgACAAIAAgACAAIAAgACAAIAAgACAAIAAgACAAIAAgACAAIAAgAEwAQQBNAEIARABBACgAIABBAGMAYwAsACAAQwBvAGwALABcAG4AIAAgACAAIAAgACAAIAAgACAAIAAgACAAIAAgACAAIAAgACAAIAAgACAAIAAgACAAIAAgACAAIAAgACAAIAAgAEwARQBUACgAXABuACAAIAAgACAAIAAgACAAIAAgACAAIAAgACAAIAAgACAAIAAgACAAIAAgACAAIAAgACAAIAAgACAAIAAgACAAIAAgACAAIAAgAE8AcABlAG4AaQBuAGcALAAgACAAIAAgACAAIAAgACAASQBGACgAQwBvAGwAPQAxACwAIABPAHAAZQBuAGkAbgBnACwAIABUAEEASwBFACgAIABBAGMAYwAsACAALQAxACwAIAAtADEAKQApACwAIABcAG4AIAAgACAAIAAgACAAIAAgACAAIAAgACAAIAAgACAAIAAgACAAIAAgACAAIAAgACAAIAAgACAAIAAgACAAIAAgACAAIAAgACAAUgBlAHYAZQByAHMAYQBsACwAIAAgACAAIAAgACAAIAAtAEkATgBEAEUAWAAoACAAUgBlAHYAZQByAHMAYQBsAEYAbABhAGcAcwAsACAAMQAsACAAQwBvAGwAKQAgACoAIABPAHAAZQBuAGkAbgBnACwAIABcAG4AIAAgACAAIAAgACAAIAAgACAAIAAgACAAIAAgACAAIAAgACAAIAAgACAAIAAgACAAIAAgACAAIAAgACAAIAAgACAAIAAgACAAQQByAHIAYQB5AEMAbwBsAHUAbQBuACwAIAAgACAAIABDAEgATwBPAFMARQBDAE8ATABTACgAIABQAGUAcgBpAG8AZABBAHIAcgBhAHkALAAgAEMAbwBsACkALABcAG4AIAAgACAAIAAgACAAIAAgACAAIAAgACAAIAAgACAAIAAgACAAIAAgACAAIAAgACAAIAAgACAAIAAgACAAIAAgACAAIAAgACAAUwB0AGEAYwBrACwAIAAgACAAIAAgACAAIAAgACAAIABWAFMAVABBAEMASwAoACAAXABuACAAIAAgACAAIAAgACAAIAAgACAAIAAgACAAIAAgACAAIAAgACAAIAAgACAAIAAgACAAIAAgACAAIAAgACAAIAAgACAAIAAgACAAIAAgACAAIAAgACAAIAAgACAAIAAgACAAIAAgACAAIAAgACAAIABPAHAAZQBuAGkAbgBnACwAIABcAG4AIAAgACAAIAAgACAAIAAgACAAIAAgACAAIAAgACAAIAAgACAAIAAgACAAIAAgACAAIAAgACAAIAAgACAAIAAgACAAIAAgACAAIAAgACAAIAAgACAAIAAgACAAIAAgACAAIAAgACAAIAAgACAAIAAgAFIARQB2AGUAcgBzAGEAbAAsACAAXABuACAAIAAgACAAIAAgACAAIAAgACAAIAAgACAAIAAgACAAIAAgACAAIAAgACAAIAAgACAAIAAgACAAIAAgACAAIAAgACAAIAAgACAAIAAgACAAIAAgACAAIAAgACAAIAAgACAAIAAgACAAIAAgACAAIABBAHIAcgBhAHkAQwBvAGwAdQBtAG4ALAAgAFwAbgAgACAAIAAgACAAIAAgACAAIAAgACAAIAAgACAAIAAgACAAIAAgACAAIAAgACAAIAAgACAAIAAgACAAIAAgACAAIAAgACAAIAAgACAAIAAgACAAIAAgACAAIAAgACAAIAAgACAAIAAgACAAIAAgACAAUwBVAE0AKABPAHAAZQBuAGkAbgBnACwAIABSAGUAdgBlAHIAcwBhAGwALAAgAEEAcgByAGEAeQBDAG8AbAB1AG0AbgApACkALABcAG4AIAAgACAAIAAgACAAIAAgACAAIAAgACAAIAAgACAAIAAgACAAIAAgACAAIAAgACAAIAAgACAAIAAgACAAIAAgACAAIAAgACAAUgBlAHMAdQBsAHQALAAgACAAIAAgACAAIAAgACAAIABJAEYAKABDAG8AbAAgAD0AIAAxACwAIABTAHQAYQBjAGsALAAgAEgAUwBUAEEAQwBLACgAIABBAGMAYwAsACAAUwB0AGEAYwBrACkAKQAsAFwAbgAgACAAIAAgACAAIAAgACAAIAAgACAAIAAgACAAIAAgACAAIAAgACAAIAAgACAAIAAgACAAIAAgACAAIAAgACAAIAAgACAAIABSAGUAcwB1AGwAdA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/ACAAKwAgADEALAAgAFIAZQBzAHUAbAB0ACwAIABIAGUAbABwACkAXABuACAAIAAgACAAKQAgACAAXABuACkAOwBcAG4AXABuAFwAbgBcAG4ALwAqACAAIABGAFUATgBDAFQASQBPAE4AIABOAEEATQBFADoAIAAgAEkAbgB0AE8AbgBJAG4AdAC7A1wAdABcAG4AIAAgACAAIABEAEUAUwBDAFIASQBQAFQASQBPAE4AOgAqAC8AIAAvACoAKgBDAGEAbABjAHUAbABhAHQAZQAgAEkAbgB0AGUAcgBlAHMAdAAgAG8AbgAgAEkAbgB0AGUAcgBlAHMAdAAuACAAVQBzAGUAIAB0AG8AIABkAGUAdABlAHIAbQBpAG4AZQAgAGEAbQBvAHUAbgB0ACAAbgBlAGUAZABlAGQAIAB0AG8AIABjAG8AdgBlAHIAIABkAGUAYgB0ACAAcABsAHUAcwAgAGkAbgB0AGUAcgBlAHMAdAAgAG8AbgAgAGQAZQBiAHQAKgAvAFwAbgAvACoAIAAgAE4ATwBUAEUAOgAgACAAIAAgACAAIAAgACAAIAAgACAATQBhAHQAaAAgAHMAbwB1AHIAYwBlACAAZgByAG8AbQAgAEQAaQBhAHIAbQB1AGkAZAAgAEUAYQByAGwAeQAnAHMAIABwAG8AcwB0ADoAIABoAHQAdABwAHMAOgAvAC8AdwB3AHcALgB5AG8AdQB0AHUAYgBlAC4AYwBvAG0ALwB3AGEAdABjAGgAPwB2AD0AawA1AHIARwBfAE0AdgBJAFcAVwBzACYAdAA9ADcAOAA3AHMAXABuACAAIAAgACAAUgBFAFYASQBTAEkATwBOAFMAOgAgACAAIAAgACAAIABEAGEAdABlACAAIAAgACAAIAAgACAAIABEAGUAdgBlAGwAbwBwAGUAcgAgACAAIAAgACAAIAAgAEQAZQBzAGMAcgBpAHAAdABpAG8AbgAgACAAXAB0AFwAbgAgACAAIAAgACAAIAAgACAAIAAgACAAIAAgACAAIAAgACAAIAAgACAARABlAGMAIAAyADkAIAAyADAAMgAzACAAQwByAGEAaQBnACAASABhAHQAbQBhAGsAZQByACAAIABDAG8AcAB5AHIAaQBnAGgAdAAgAG8AbgAgAEwAQQBNAEIARABBAFwAdABcAG4AKgAvAFwAbgBJAG4AdABPAG4ASQBuAHQAuwMgAD0AIABMAEEATQBCAEQAQQAoAFwAbgAgACAAIAAgAFsAUAByAGkAbgBjAGkAcABhAGwAXQAsAFwAbgAgACAAIAAgAFsAUgBhAHQAZQBdACwAIABcAG4ALwAvACAAIABIAGUAbABwAFwAdABcAG4AIAAgACAAIABMAEUAVAAoAEgAZQBsAHAALAAgACAAIAAgACAAIAAgACAAIAAgACAAVABSAEkATQAoAFQARQBYAFQAUwBQAEwASQBUACgAXABuACAAIAAgACAAIAAgACAAIAAgACAAIAAgACAAIAAgACAAIAAgACAAIAAgACAAIAAgACAAIAAgACAAXAAiAEYAVQBOAEMAVABJAE8ATgA6ACAAIAAgACAAIAAgAJIhSQBuAHQATwBuAEkAbgB0ALsDKAAgAFAAcgBpAG4AYwBpAHAAYQBsACwAIABSAGEAdABlACkAtgBcACIAIAAmACAAXABuACAAIAAgACAAIAAgACAAIAAgACAAIAAgACAAIAAgACAAIAAgACAAIAAgACAAIAAgACAAIAAgACAAXAAiAEQARQBTAEMAUgBJAFAAVABJAE8ATgA6ACAAIAAgAJIhQwBhAGwAYwB1AGwAYQB0AGUAIABJAG4AdABlAHIAZQBzAHQAIABvAG4AIABJAG4AdABlAHIAZQBzAHQAIAAoAEkAbgB0AGUAcgBlAHMAdAAgAG8AbgBsAHkAKQAuACAAVQBzAGUAIAB0AG8AIABkAGUAdABlAHIAbQBpAG4AZQAgAGEAbQBvAHUAbgB0ACAAtgBcACIAIAAmAFwAbgAgACAAIAAgACAAIAAgACAAIAAgACAAIAAgACAAIAAgACAAIAAgACAAIAAgACAAIAAgACAAIAAgACAAIAAgACAAIAAgACAAIAAgACAAIAAgACAAIAAgAFwAIgCSIW4AZQBlAGQAZQBkACAAdABvACAAYwBvAHYAZQByACAAYgBvAHIAcgBvAHcAZQBkACAAaQBuAHQAZQByAGUAcwB0ALYAXAAiACAAJgAgAFwAbgAgACAAIAAgACAAIAAgACAAIAAgACAAIAAgACAAIAAgACAAIAAgACAAIAAgACAAIAAgACAAIAAgAFwAIgBXAEUAQgBTAEkAVABFADoAIAAgACAAIAAgACAAIACSITwAQwBvAG0AaQBuAGcAIABzAG8AbwBuAD4AtgBcACIAIAAmAFwAbgAgACAAIAAgACAAIAAgACAAIAAgACAAIAAgACAAIAAgACAAIAAgACAAIAAgACAAIAAgACAAIAAgAFwAIgBWAEUAUgBTAEkATwBOADoAIAAgACAAIAAgACAAIACSIUQAZQBjACAAMgA5ACAAMgAwADIAMwC2AFwAIgAgACYAXABuACAAIAAgACAAIAAgACAAIAAgACAAIAAgACAAIAAgACAAIAAgACAAIAAgACAAIAAgACAAIAAgACAAXAAiAFAAQQBSAEEATQBFAFQARQBSAFMAOgAgACAAIAAgAJIhtgBcACIAIAAmACAAXABuACAAIAAgACAAIAAgACAAIAAgACAAIAAgACAAIAAgACAAIAAgACAAIAAgACAAIAAgACAAIAAgACAAXAAiAFAAcgBpAG4AYwBpAHAAYQBsACAAIAAgACAAIACSISgAUgBlAHEAdQBpAHIAZQBkACkAIABQAHIAaQBuAGMAaQBwAGEAbAAgAGEAbQBvAHUAbgB0ALYAXAAiACAAJgAgAFwAbgAgACAAIAAgACAAIAAgACAAIAAgACAAIAAgACAAIAAgACAAIAAgACAAIAAgACAAIAAgACAAIAAgAFwAIgBSAGEAdABlACAAIAAgACAAIAAgACAAIAAgACAAkiEoAFIAZQBxAHUAaQByAGUAZAApACAASQBuAHQAZQByAGUAcwB0ACAAcABlAHIAYwBlAG4AdABhAGcAZQAgAHIAYQB0AGUALgAgAEYAbwByACAAeQBlAGEAcgBzACwAIABBAFAAUgAuACAARgBvAHIAIABtAG8AbgB0AGgAcwAsACAAQQBQAFIALwAxADIAtgBcACIAIAAmACA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AgACgAQgBYAEYAIABpAHMAIABhAHMAcwB1AG0AZQBkACAAdABvACAAYgBlACAAdABoAGUAIABtAG8AZAB1AGwAZQAnAHMAIABuAGEAbQBlACkAtgBcACIAIAAmAFwAbgAgACAAIAAgACAAIAAgACAAIAAgACAAIAAgACAAIAAgACAAIAAgACAAIAAgACAAIAAgACAAIAAgAFwAIgA1ADIALgA2ADMAIAAgACAAIAAgACAAIAAgACAAIACSIT0AQgBYAEYALgBJAG4AdABPAG4ASQBuAHQAuwMoACAAMQAwADAAMAAsACAANQAl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/ACwAIAAgACAAIAAgACAAIAAgACAAIABPAFIAKAAgAEkAUwBPAE0ASQBUAFQARQBEACgAIABQAHIAaQBuAGMAaQBwAGEAbAApACwAXABuACAAIAAgACAAIAAgACAAIAAgACAAIAAgACAAIAAgACAAIAAgACAAIAAgACAAIAAgACAAIAAgACAASQBTAE8ATQBJAFQAVABFAEQAKAAgAFIAYQB0AGUAKQBcAG4AIAAgACAAIAAgACAAIAAgACAAIAAgACAAIAAgACAAIAAgACAAIAAgACAAIAAgACAAKQAsAFwAbgAgACAAIAAgAC8ALwAgACAAUAByAG8AYwBlAGQAdQByAGUAXABuACAAIAAgACAAIAAgACAAIABSAGUAcwB1AGwAdAAsACAAIAAgACAAIAAgACAAIAAgAFAAcgBpAG4AYwBpAHAAYQBsACAALwAoADEALQBSAGEAdABlACkAIAAtACAAUAByAGkAbgBjAGkAcABhAGwAL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JAFIAUgC7A1wAdABcAG4AIAAgACAAIABEAEUAUwBDAFIASQBQAFQASQBPAE4AOgAqAC8AIAAvACoAKgBDAGEAbABjAHUAbABhAHQAZQBzACAASQBSAFIALAAgAGMAbwByAHIAZQBjAHQAaQBuAGcAIABmAG8AcgAgAHcAaABlAG4AIAB0AGgAZQAgAGYAaQByAHMAdAAgAGkAbgB2AGUAcwB0AG0AZQBuAHQAIABpAHMAIABuAG8AdAAgAGkAbgAgAHQAaABlACAAZgBpAHIAcwB0ACAAcABlAHIAaQBvAGQAIAAqAC8AXABuAC8AKgAgACAAUgBFAFYASQBTAEkATwBOAFMAOgAgACAAIAAgACAAIABEAGEAdABlACAAIAAgACAAIAAgACAAIABEAGUAdgBlAGwAbwBwAGUAcgAgACAAIAAgACAAIAAgAEQAZQBzAGMAcgBpAHAAdABpAG8AbgAgACAAXAB0AFwAbgAgACAAIAAgACAAIAAgACAAIAAgACAAIAAgACAAIAAgACAAIAAgACAATwBjAHQAIAAwADcAIAAyADAAMgAzACAAQwByAGEAaQBnACAASABhAHQAbQBhAGsAZQByACAAIABJAG4AaQB0AGkAYQBsACAAZABlAHYAZQBsAG8AcABtAGUAbgB0AFwAdABcAG4AKgAvAFwAbgBJAFIAUgC7AyAAPQAgAEwAQQBNAEIARABBACgAXABuACAAIAAgACAAWwBWAGEAbAB1AGUAcwBdACwAXABuACAAIAAgACAAWwBEAGEAdABlAHMAXQAsACAAXABuAC8ALwAgACAASABlAGwAcABcAHQAXABuACAAIAAgACAATABFAFQAKABIAGUAbABwACwAIAAgACAAIAAgACAAIAAgACAAIAAgAFQAUgBJAE0AKABUAEUAWABUAFMAUABMAEkAVAAoAFwAbgAgACAAIAAgACAAIAAgACAAIAAgACAAIAAgACAAIAAgACAAIAAgACAAIAAgACAAIAAgACAAIAAgAFwAIgBGAFUATgBDAFQASQBPAE4AOgAgACAAIAAgACAAIACSIUkAUgBSALsDKAAgAFYAYQBsAHUAZQBzACwAIABEAGEAdABlAHMAKQC2AFwAIgAgACYAIABcAG4AIAAgACAAIAAgACAAIAAgACAAIAAgACAAIAAgACAAIAAgACAAIAAgACAAIAAgACAAIAAgACAAIABcACIARABFAFMAQwBSAEkAUABUAEkATwBOADoAIAAgACAAkiFDAGEAbABjAHUAbABhAHQAZQBzACAASQBSAFIALAAgAGMAbwByAHIAZQBjAHQAaQBuAGcAIABmAG8AcgAgAHcAaABlAG4AIAB0AGgAZQAgAGYAaQByAHMAdAAgAGkAbgB2AGUAcwB0AG0AZQBuAHQAIABpAHMAIABuAG8AdAAgAGkAbgAgAHQAaABlACAAZgBpAHIAcwB0ACAAcABlAHIAaQBvAGQAtgBcACIAIAAmACAAXABuACAAIAAgACAAIAAgACAAIAAgACAAIAAgACAAIAAgACAAIAAgACAAIAAgACAAIAAgACAAIAAgACAAXAAiAFcARQBCAFMASQBUAEUAOgAgACAAIAAgACAAIAAgAJIhPABDAG8AbQBpAG4AZwAgAHMAbwBvAG4APgC2AFwAIgAgACYAXABuACAAIAAgACAAIAAgACAAIAAgACAAIAAgACAAIAAgACAAIAAgACAAIAAgACAAIAAgACAAIAAgACAAXAAiAFYARQBSAFMASQBPAE4AOgAgACAAIAAgACAAIAAgAJIhRABlAGMAIAAwADcAIAAyADAAMgAzALYAXAAiACAAJgBcAG4AIAAgACAAIAAgACAAIAAgACAAIAAgACAAIAAgACAAIAAgACAAIAAgACAAIAAgACAAIAAgACAAIABcACIAUABBAFIAQQBNAEUAVABFAFIAUwA6ACAAIAAgACAAkiG2AFwAIgAgACYAIABcAG4AIAAgACAAIAAgACAAIAAgACAAIAAgACAAIAAgACAAIAAgACAAIAAgACAAIAAgACAAIAAgACAAIABcACIAVgBhAGwAdQBlAHMAIAAgACAAIAAgACAAIAAgACAAkiEoAFIAZQBxAHUAaQByAGUAZAApACAAQQAgAHIAbwB3ACAAbwBmACAAaQBuAHYAZQBzAHQAbQBlAG4AdABzACAAKABuAGUAZwBhAHQAaQB2AGUAKQAgAGEAbgBkACAAZABpAHMAdAByAGkAYgB1AHQAaQBvAG4AcwAgACgAcABvAHMAaQB0AGkAdgBlACkAtgBcACIAIAAmACAAXABuACAAIAAgACAAIAAgACAAIAAgACAAIAAgACAAIAAgACAAIAAgACAAIAAgACAAIAAgACAAIAAgACAAIAAgACAAIAAgACAAIAAgACAAIAAgACAAIAAgACAAXAAiAJIhVABoAGUAIABmAGkAcgBzAHQAIABlAG4AdAByAHkALAAgAHcAaABlAHQAaABlAHIAIAAwACAAbwByACAAYQBuACAAYQBtAG8AdQBuAHQALAAgAG0AdQBzAHQAIABiAGUAIABmAG8AcgAgAHQAaABlACAAZgBpAHIAcwB0ACAAcABlAHIAaQBvAGQAIABpAG4AIAB0AGgAZQAgAHQAaQBtAGUAbABpAG4AZQC2AFwAIgAgACYAIABcAG4AIAAgACAAIAAgACAAIAAgACAAIAAgACAAIAAgACAAIAAgACAAIAAgACAAIAAgACAAIAAgACAAIAAgACAAIAAgACAAIAAgACAAIAAgACAAIAAgACAAIABcACIAkiFhAG4AZAAgAHMAdQBiAHMAZQBxAHUAZQBuAHQAIABlAG4AdAByAGkAZQBzACAAbQB1AHMAdAAgAGMAbwByAHIAZQBzAHAAbwBuAGQAIAB0AG8AIABwAGUAcgBpAG8AZABzACAAaQBuACAAdABoAGUAIAB0AGkAbQBlAGwAaQBuAGUAOwAgAGgAbwB3AGUAdgBlAHIALAC2AFwAIgAgACYAIABcAG4AIAAgACAAIAAgACAAIAAgACAAIAAgACAAIAAgACAAIAAgACAAIAAgACAAIAAgACAAIAAgACAAIAAgACAAIAAgACAAIAAgACAAIAAgACAAIAAgACAAIABcACIAkiF0AGgAZQAgAHQAaQBtAGUAbABpAG4AZQAgAG0AYQB5ACAAZQB4AHQAZQBuAGQAIABiAGUAeQBvAG4AZAAgAHQAaABlACAAZQBuAGQAIABvAGYAIAB2AGEAbAB1AGUAcwAuALYAXAAiACAAJgAgAFwAbgAgACAAIAAgACAAIAAgACAAIAAgACAAIAAgACAAIAAgACAAIAAgACAAIAAgACAAIAAgACAAIAAgAFwAIgBEAGEAdABlAHMAIAAgACAAIAAgACAAIAAgACAAIACSISgAUgBlAHEAdQBpAHIAZQBkACkAIABBACAAdABpAG0AZQBsAGkAbgBlACAAZgBvAHIAIAB3AGgAZQBuACAAZQBhAGMAaAAgAGkAbgB2AGUAcwB0AG0AZQBuAHQAIABpAHMAIABtAGEAZABlALYAXAAiACAAJgAgAFwAbgAgACAAIAAgACAAIAAgACAAIAAgACAAIAAgACAAIAAgACAAIAAgACAAIAAgACAAIAAgACAAIAAgAFwAIgCSIbYAXAAiACAAJg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CAFgARgAgAGkAcwAgAGEAcwBzAHUAbQBlAGQAIAB0AG8AIABiAGUAIAB0AGgAZQAgAG0AbwBkAHUAbABlACcAcwAgAG4AYQBtAGUAKQC2AFwAIgAgACYAXABuACAAIAAgACAAIAAgACAAIAAgACAAIAAgACAAIAAgACAAIAAgACAAIAAgACAAIAAgACAAIAAgACAAXAAiAEQAYQB0AGUAcwAgACAAIAAgACAAIAAgACAAIAAgAJIhPQBFAEQAQQBUAEUAKABcACIAXAAiADEALwAxAC8AMgAzAFwAIgBcACIALAAgAFMARQBRAFUARQBOAEMARQAoACwAMgA0ACwAIAAwACkAKQC2AFwAIgAgACYAXABuACAAIAAgACAAIAAgACAAIAAgACAAIAAgACAAIAAgACAAIAAgACAAIAAgACAAIAAgACAAIAAgACAAXAAiAFYAYQBsAHUAZQBzACAAIAAgACAAIAAgACAAIAAgAJIhPQB7ADAALAAwACwALQAxADUAMAAsADAALAAtADEAMAAwACwAMQAwACwAMgAwACwAMwAwACwANAAwACwANQAwACwANgAwACwANwAwAH0AtgBcACIAIAAmACAAXABuACAAIAAgACAAIAAgACAAIAAgACAAIAAgACAAIAAgACAAIAAgACAAIAAgACAAIAAgACAAIAAgACAAXAAiAJIhtgBcACIAIAAmAFwAbgAgACAAIAAgACAAIAAgACAAIAAgACAAIAAgACAAIAAgACAAIAAgACAAIAAgACAAIAAgACAAIAAgAFwAIgBSAGUAcwB1AGwAdAAgACAAIAAgACAAIAAgACAAIACSIUYAbwByAG0AdQBsAGEAtgBcACIAIAAmAFwAbgAgACAAIAAgACAAIAAgACAAIAAgACAAIAAgACAAIAAgACAAIAAgACAAIAAgACAAIAAgACAAIAAgAFwAIgAyADQAJQAgACAAIAAgACAAIAAgACAAIAAgACAAIACSIT0AQgBYAEYALgBJAFIAUgC7AygAIABWAGEAbAB1AGUAcwAsACAARABhAHQAZQBz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/ACwAIAAgACAAIAAgACAAIAAgACAAIABPAFIAKAAgAEkAUwBPAE0ASQBUAFQARQBEACgAIABWAGEAbAB1AGUAcwApACwAXABuACAAIAAgACAAIAAgACAAIAAgACAAIAAgACAAIAAgACAAIAAgACAAIAAgACAAIAAgACAAIAAgACAASQBTAE8ATQBJAFQAVABFAEQAKAAgAEQAYQB0AGUAcwApAFwAbgAgACAAIAAgACAAIAAgACAAIAAgACAAIAAgACAAIAAgACAAIAAgACAAIAAgACAAIAApACwAXABuACAAIAAgACAALwAvACAAIABTAGUAdAAgAEQAZQBmAGEAdQBsAHQAcwBcAG4AIAAgACAAIAAgACAAIAAgAFYAYQBsAHUAZQBzACwAIAAgACAAIAAgACAAIAAgACAARQBYAFAAQQBOAEQAKABWAEEATABVAEUAUwAsACAAMQAsACAAQwBPAFUATgBUAEEAKABEAGEAdABlAHMAKQAsACAAMAApACwAXABuACAAIAAgACAALwAvACAAIABQAHIAbwBjAGUAZAB1AHIAZQBcAG4AIAAgACAAIAAgACAAIAAgAEYAaQBsAHQAZQByAEIAeQAsACAAIAAgACAAIAAgACAAVgBhAGwAdQBlAHMAIAA8AD4AIAAwACwAXABuACAAIAAgACAAIAAgACAAIABGAGkAbAB0AGUAcgBlAGQAVgBhAGwAdQBlAHMALAAgAEYASQBMAFQARQBSACgAIABWAGEAbAB1AGUAcwAsACAARgBpAGwAdABlAHIAQgB5ACkALAAgAFwAbgAgACAAIAAgACAAIAAgACAARgBpAGwAdABlAHIAZQBkAEQAYQB0AGUAcwAsACAAIABGAEkATABUAEUAUgAoACAARABhAHQAZQBzACwAIABGAGkAbAB0AGUAcgBCAHkAKQAsACAAXABuACAAIAAgACAAIAAgACAAIABSAGUAcwB1AGwAdAAsACAAIAAgACAAIAAgACAAIAAgAFgASQBSAFIAKAAgAEYAaQBsAHQAZQByAGUAZABWAGEAbAB1AGUAcwAsACAARgBpAGwAdABlAHIAZQBkAEQAYQB0AGUAcwApACwAIABcAG4AIAAgACAAIAAvAC8AIAAgAFIAZQB0AHUAcgBuACAAUgBlAHMAdQBsAHQAXABuACAAIAAgACAAIAAgACAAIABDAEgATwBPAFMARQAoAEgAZQBsAHAAPwAgACsAIAAxACwAIABSAGUAcwB1AGwAdAAsACAASABlAGwAcAApAFwAbgAgACAAIAAgACkAIABcAG4AKQA7AFwAbgBcAG4AXABuAFwAbgAvACoAIAAgAEYAVQBOAEMAVABJAE8ATgAgAE4AQQBNAEUAOgAgACAATQBvAHYAZQBtAGUAbgB0ALsDXABuACAAIAAgACAARABFAFMAQwBSAEkAUABUAEkATwBOADoAKgAvAC8AKgAqAEMAcgBlAGEAdABlACAAYQAgAHIAbwB3ACAAbwBmACAAZABpAGYAZgBlAHIAZQBuAGMAZQBzACAAZgByAG8AbQAgAGMAbwBsAHUAbQBuACAAdABvACAAYwBvAGwAdQBtAG4AKgAvAFwAbgAvACoAIAAgAFIARQBWAEkAUwBJAE8ATgBTADoAIAAgACAAIAAgACAARABhAHQAZQAgACAAIAAgACAAIAAgACAARABlAHYAZQBsAG8AcABlAHIAIAAgACAAIAAgACAAIABEAGUAcwBjAHIAaQBwAHQAaQBvAG4AIAAgAFwAbgAgACAAIAAgACAAIAAgACAAIAAgACAAIAAgACAAIAAgACAAIAAgACAASgB1AG4AIAAyADEAIAAyADAAMgAzACAAQwByAGEAaQBnACAASABhAHQAbQBhAGsAZQByACAAIABDAG8AcAB5AHIAaQBnAGgAdABcAG4AIAAgACAAIAAgACAAIAAgACAAIAAgACAAIAAgACAAIAAgACAAIAAgAEEAcAByACAAMQA2ACAAMgAwADIANAAgAEMAcgBhAGkAZwAgAEgAYQB0AG0AYQBrAGUAcgAgACAASABhAG4AZABsAGUAcwAgAG0AdQBsAHQAaQBwAGwAZQAgAHIAbwB3AHMAXABuACoALwBcAG4ATQBvAHYAZQBtAGUAbgB0ALsDIAA9ACAATABBAE0AQgBEAEEAKABcAG4ALwAvACAAIABQAGEAcgBhAG0AZQB0AGUAcgAgAEQAZQBjAGwAYQByAGEAdABpAG8AbgBzAFwAbgAgACAAIAAgAFsAQgBlAGcAaQBuAG4AaQBuAGcAVgBhAGwAdQBlAHMAXQAsAFwAbgAgACAAIAAgAFsAVgBhAGwAdQBlAHMAXQAsACAAIAAgACAAXABuAC8ALwAgACAASABlAGwAcABcAG4AIAAgACAAIABMAEUAVAAoAEgAZQBsAHAALAAgACAAIAAgACAAIAAgAFQAUgBJAE0AKABUAEUAWABUAFMAUABMAEkAVAAoACAAXABuACAAIAAgACAAIAAgACAAIAAgACAAIAAgACAAIAAgACAAIAAgACAAIAAgACAAIAAgACAAIAAgACAAXAAiAEYAVQBOAEMAVABJAE8ATgA6ACAAIAAgACAAIAAgAJIhTQBvAHYAZQBtAGUAbgB0ALsDKAAgAFsAQgBlAGcAaQBuAG4AaQBuAGcAVgBhAGwAdQBlAF0ALAAgAFYAYQBsAHUAZQBzACkAtgBcACIAIAAmAFwAbgAgACAAIAAgACAAIAAgACAAIAAgACAAIAAgACAAIAAgACAAIAAgACAAIAAgACAAIAAgACAAIAAgAFwAIgBEAEUAUwBDAFIASQBQAFQASQBPAE4AOgAgACAAIACSIUMAcgBlAGEAdABlACAAYQAgAHIAbwB3ACAAbwBmACAAZABpAGYAZgBlAHIAZQBuAGMAZQBzACAAZgByAG8AbQAgAGMAbwBsAHUAbQBuACAAdABvACAAYwBvAGwAdQBtAG4AtgBcACIAIAAmACAAXABuACAAIAAgACAAIAAgACAAIAAgACAAIAAgACAAIAAgACAAIAAgACAAIAAgACAAIAAgACAAIAAgACAAXAAiAFcARQBCAFAAQQBHAEUAOgAgACAAIAAgACAAIAAgAJIhPABjAG8AbQBpAG4AZwAgAHMAbwBvAG4APgC2AFwAIgAgACYAXABuACAAIAAgACAAIAAgACAAIAAgACAAIAAgACAAIAAgACAAIAAgACAAIAAgACAAIAAgACAAIAAgACAAXAAiAFYARQBSAFMASQBPAE4AOgAgACAAIAAgACAAIAAgAJIhSgB1AG4AIAAyADEAIAAyADAAMgAzALYAXAAiACAAJgBcAG4AIAAgACAAIAAgACAAIAAgACAAIAAgACAAIAAgACAAIAAgACAAIAAgACAAIAAgACAAIAAgACAAIABcACIAUABBAFIAQQBNAEUAVABFAFIAUwA6ACAAIAAgACAAkiG2AFwAIgAgACYAIABcAG4AIAAgACAAIAAgACAAIAAgACAAIAAgACAAIAAgACAAIAAgACAAIAAgACAAIAAgACAAIAAgACAAIABcACIAQgBlAGcAaQBuAG4AaQBuAGcAVgBhAGwAdQBlAHMAkiEoAE8AcAB0AGkAbwBuAGEAbAApACAARABlAGYAYQB1AGwAdABzACAAdABvACAAMAC2AFwAIgAgACYAIABcAG4AIAAgACAAIAAgACAAIAAgACAAIAAgACAAIAAgACAAIAAgACAAIAAgACAAIAAgACAAIAAgACAAIABcACIAVgBhAGwAdQBlAHMAIAAgACAAIAAgACAAIAAgACAAkiEoAFIAZQBxAHUAaQByAGUAZAApACAAQQAgAHIAbwB3ACAAbwBmACAAdgBhAGwAdQBlAHMAIAB0AG8AIABjAG8AbQBwAGEAcgBlACAAYwBvAGwAdQBtAG4AIAB0AG8AIABjAG8AbAB1AG0AbgC2AFwAIgAgACYAIA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CAFgARgAgAGkAcwAgAGEAcwBzAHUAbQBlAGQAIAB0AG8AIABiAGUAIAB0AGgAZQAgAG0AbwBkAHUAbABlACcAcwAgAG4AYQBtAGUAKQC2AFwAIgAgACYAXABuACAAIAAgACAAIAAgACAAIAAgACAAIAAgACAAIAAgACAAIAAgACAAIAAgACAAIAAgACAAIAAgACAAXAAiADEAMAAwACwAMQAwACwAMgAwACwALQAzADAAIAAgAJIhPQBCAFgARgAuAE0AbwB2AGUAbQBlAG4AdAC7AygALAB7ADEAMAAwACwAMQAxADAALAAxADMAMAAsADEAMAAwAH0ALAAgADQAKQBcACIALABcAG4AIAAgACAAIAAgACAAIAAgACAAIAAgACAAIAAgACAAIAAgACAAIAAgACAAIAAgACAAIAAgACAAIABcACIAkiFcACIALAAgAFwAIgC2AFwAIgAgACkAXABuACAAIAAgACAAIAAgACAAIAAgACAAIAAgACAAIAAgACAAIAAgACAAIAApACwAIAAgACAAIAAgACAAIAAgACAAIAAgACAAXABuACAAIAAgACAALwAvACAAIABDAGgAZQBjAGsAIABpAG4AcAB1AHQAcwAgAC0AIABPAG0AaQB0AHQAZQBkACAAcgBlAHEAdQBpAHIAZQBkACAAYQByAGcAdQBtAGUAbgB0AHMAXABuACAAIAAgACAAIAAgACAAIABIAGUAbABwAD8ALAAgACAAIAAgACAAIAAgACAAIAAgAEkAUwBPAE0ASQBUAFQARQBEACgAIABWAGEAbAB1AGUAcwApACwAXABuACAAIAAgACAALwAvACAAIABTAGUAdAAgAEQAZQBmAGEAdQBsAHQAcwBcAG4AIAAgACAAIAAgACAAIAAgAEIAZQBnAGkAbgBuAGkAbgBnAFYAYQBsAHUAZQBzACwAIABJAEYAKABPAFIAKABJAFMATwBNAEkAVABUAEUARAAoAEIAZQBnAGkAbgBuAGkAbgBnAFYAYQBsAHUAZQBzACkALAAgAEIAZQBnAGkAbgBuAGkAbgBnAFYAYQBsAHUAZQBzAD0AXAAiAFwAIgApACwAIAAwACwAIABCAGUAZwBpAG4AbgBpAG4AZwBWAGEAbAB1AGUAcwApACwAXABuACAAIAAgACAALwAvACAAIABQAHIAbwBjAGUAZAB1AHIAZQBcAG4AIAAgACAAIAAgACAAIAAgAFIAbwB3AHMALAAgACAAIAAgACAAIAAgACAAIAAgACAAUgBPAFcAUwAoACAAVgBhAGwAdQBlAHMAKQAsAFwAbgAgACAAIAAgACAAIAAgACAAQwBvAGwAcwAsACAAIAAgACAAIAAgACAAIAAgACAAIABDAG8AbAB1AG0AbgBzACgAIABWAGEAbAB1AGUAcwApACwAXABuACAAIAAgACAAIAAgACAAIABTAGUAcQAsACAAIAAgACAAIAAgACAAIAAgACAAIAAgAFMARQBRAFUARQBOAEMARQAoACwAIABDAG8AbABzACkALABcAG4AIAAgACAAIAAgACAAIAAgAFIAZQBzAHUAbAB0ACwAIAAgACAAIAAgACAAIAAgACAAUgBFAEQAVQBDAEUAKAAwACwAIABTAEUAUQBVAEUATgBDAEUAKAAgAFIAbwB3AHMAKQAsACAAXABuACAAIAAgACAAIAAgACAAIAAgACAAIAAgACAAIAAgACAAIAAgACAAIAAgACAAIAAgACAAIAAgACAATABBAE0AQgBEAEEAKAAgAEEAYwBjACwAIABSACwAIABcAG4AIAAgACAAIAAgACAAIAAgACAAIAAgACAAIAAgACAAIAAgACAAIAAgACAAIAAgACAAIAAgACAAIAAgACAAIAAgAEwARQBUACgAXABuACAAIAAgACAAIAAgACAAIAAgACAAIAAgACAAIAAgACAAIAAgACAAIAAgACAAIAAgACAAIAAgACAAIAAgACAAIAAgACAAIAAgAEIAZQBnAGkAbgAsACAAIAAgACAAIAAgAEkAZgAoACAAUgBPAFcAUwAoAEIAZQBnAGkAbgBuAGkAbgBnAFYAYQBsAHUAZQBzACkAIAA9ACAAMQAsACAAQgBlAGcAaQBuAG4AaQBuAGcAVgBhAGwAdQBlAHMALAAgAEkATgBEAEUAWAAoACAAQgBlAGcAaQBuAG4AaQBuAGcAVgBhAGwAdQBlAHMALAAgAFIAKQApACwAXABuACAAIAAgACAAIAAgACAAIAAgACAAIAAgACAAIAAgACAAIAAgACAAIAAgACAAIAAgACAAIAAgACAAIAAgACAAIAAgACAAIAAgAFIAbwB3ACwAIAAgACAAIAAgACAAIAAgAEMASABPAE8AUwBFAFIATwBXAFMAKAAgAFYAYQBsAHUAZQBzACwAIABSACkALAAgAFwAbgAgACAAIAAgACAAIAAgACAAIAAgACAAIAAgACAAIAAgACAAIAAgACAAIAAgACAAIAAgACAAIAAgACAAIAAgACAAIAAgACAAIABOAGUAdwBSAG8AdwAsACAAIAAgACAAIABTAEMAQQBOACgAIABCAGUAZwBpAG4ALAAgAFMAZQBxACwAIABcAG4AIAAgACAAIAAgACAAIAAgACAAIAAgACAAIAAgACAAIAAgACAAIAAgACAAIAAgACAAIAAgACAAIAAgACAAIAAgACAAIAAgACAAIAAgACAAIAAgACAAIAAgACAAIAAgACAAIAAgACAAIABMAEEATQBCAEQAQQAoACAAQQAsACAAQwAsAFwAbgAgACAAIAAgACAAIAAgACAAIAAgACAAIAAgACAAIAAgACAAIAAgACAAIAAgACAAIAAgACAAIAAgACAAIAAgACAAIAAgACAAIAAgACAAIAAgACAAIAAgACAAIAAgACAAIAAgACAAIAAgACAAIAAgACAASQBOAEQARQBYACgAIABSAG8AdwAsACAAQwAgACkAIAAtACAASQBGACgAIABDACAAPQAgADEALAAgAEEALAAgAEkATgBEAEUAWAAoACAAUgBvAHcALAAgAEMAIAAtACAAMQApACkAXABuACAAIAAgACAAIAAgACAAIAAgACAAIAAgACAAIAAgACAAIAAgACAAIAAgACAAIAAgACAAIAAgACAAIAAgACAAIAAgACAAIAAgACAAIAAgACAAIAAgACAAIAAgACAAIAAgACAAIAAgACAAKQBcAG4AIAAgACAAIAAgACAAIAAgACAAIAAgACAAIAAgACAAIAAgACAAIAAgACAAIAAgACAAIAAgACAAIAAgACAAIAAgACAAIAAgACAAIAAgACAAIAAgACAAIAAgACAAIAAgACAAKQAsAFwAbgAgACAAIAAgACAAIAAgACAAIAAgACAAIAAgACAAIAAgACAAIAAgACAAIAAgACAAIAAgACAAIAAgACAAIAAgACAAIAAgACAAIABSAGUAcwB1AGwAdAAsACAAIAAgACAAIABJAEYAKAAgAFIAIAA9ACAAMQAsACAATgBlAHcAUgBvAHcALAAgAFYAUwBUAEEAQwBLACgAQQBjAGMALAAgAE4AZQB3AFIAbwB3ACkAKQAsAFwAbgAgACAAIAAgACAAIAAgACAAIAAgACAAIAAgACAAIAAgACAAIAAgACAAIAAgACAAIAAgACAAIAAgACAAIAAgACAAIAAgACAAIABSAGUAcwB1AGwAdA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/ACAAKwAgADEALAAgAFIAZQBzAHUAbAB0ACwAIABIAGUAbABwACkAXABuACAAIAAgACAAKQAgACAAXABuACkAOwBcAG4AXABuAFwAbgBcAG4ALwAqACAAIABGAFUATgBDAFQASQBPAE4AIABOAEEATQBFADoAIAAgAFIAZQB2AGUAcgBzAGEAbAC7A1wAbgAgACAAIAAgAEQARQBTAEMAUgBJAFAAVABJAE8ATgA6ACoALwAvACoAKgBDAHIAZQBhAHQAZQAgAGEAIAByAG8AdwAgAHQAaABhAHQAIAByAGUAdgBlAHIAcwBlAHMAIABpAG4AcAB1AHQAIAB2AGEAbAB1AGUAcwAgAGkAbgAgAHQAaABlACAAbgBlAHgAdAAgAHAAZQByAGkAbwBkAC4AKgAvAFwAbgAvACoAIAAgAFIARQBWAEkAUwBJAE8ATgBTADoAIAAgACAAIAAgACAARABhAHQAZQAgACAAIAAgACAAIAAgACAARABlAHYAZQBsAG8AcABlAHIAIAAgACAAIAAgACAAIABEAGUAcwBjAHIAaQBwAHQAaQBvAG4AIAAgAFwAbgAgACAAIAAgACAAIAAgACAAIAAgACAAIAAgACAAIAAgACAAIAAgACAATQBhAHIAIAAyADUAIAAyADAAMgA0ACAAQwByAGEAaQBnACAASABhAHQAbQBhAGsAZQByACAAIABDAG8AcAB5AHIAaQBnAGgAdABcAG4AKgAvAFwAbgBSAGUAdgBlAHIAcwBhAGwAuwMgAD0AIABMAEEATQBCAEQAQQAoAFwAbgAvAC8AIAAgAFAAYQByAGEAbQBlAHQAZQByACAARABlAGMAbABhAHIAYQB0AGkAbwBuAHMAXABuACAAIAAgACAAWwBPAHAAZQBuAGkAbgBnAFYAYQBsAHUAZQBdACwAXABuACAAIAAgACAAWwBSAG8AdwBUAG8AUgBlAHYAZQByAHMAZQBdACwAIAAgACAAIABcAG4ALwAvACAAIABIAGUAbABwAFwAbgAgACAAIAAgAEwARQBUACgASABlAGwAcAAsACAAIAAgACAAIAAgACAAVABSAEkATQAoAFQARQBYAFQAUwBQAEwASQBUACgAIABcAG4AIAAgACAAIAAgACAAIAAgACAAIAAgACAAIAAgACAAIAAgACAAIAAgACAAIAAgACAAIAAgACAAIABcACIARgBVAE4AQwBUAEkATwBOADoAIAAgACAAIAAgACAAkiFSAGUAdgBlAHIAcwBhAGwAuwMoACAAWwBPAHAAZQBuAGkAbgBnAFYAYQBsAHUAZQBdACwAIABSAG8AdwBUAG8AUgBlAHYAZQByAHMAZQApALYAXAAiACAAJgBcAG4AIAAgACAAIAAgACAAIAAgACAAIAAgACAAIAAgACAAIAAgACAAIAAgACAAIAAgACAAIAAgACAAIABcACIARABFAFMAQwBSAEkAUABUAEkATwBOADoAIAAgACAAkiFDAHIAZQBhAHQAZQAgAGEAIAByAG8AdwAgAHQAaABhAHQAIAByAGUAdgBlAHIAcwBlAHMAIABpAG4AcAB1AHQAIAB2AGEAbAB1AGUAcwAgAGkAbgAgAHQAaABlACAAbgBlAHgAdAAgAHAAZQByAGkAbwBkAC4AtgBcACIAIAAmACAAXABuACAAIAAgACAAIAAgACAAIAAgACAAIAAgACAAIAAgACAAIAAgACAAIAAgACAAIAAgACAAIAAgACAAXAAiAFcARQBCAFAAQQBHAEUAOgAgACAAIAAgACAAIAAgAJIhPABjAG8AbQBpAG4AZwAgAHMAbwBvAG4APgC2AFwAIgAgACYAXABuACAAIAAgACAAIAAgACAAIAAgACAAIAAgACAAIAAgACAAIAAgACAAIAAgACAAIAAgACAAIAAgACAAXAAiAFYARQBSAFMASQBPAE4AOgAgACAAIAAgACAAIAAgAJIhTQBhAHIAIAAyADUAIAAyADAAMgA0ALYAXAAiACAAJgBcAG4AIAAgACAAIAAgACAAIAAgACAAIAAgACAAIAAgACAAIAAgACAAIAAgACAAIAAgACAAIAAgACAAIABcACIAUABBAFIAQQBNAEUAVABFAFIAUwA6ACAAIAAgACAAkiG2AFwAIgAgACYAIABcAG4AIAAgACAAIAAgACAAIAAgACAAIAAgACAAIAAgACAAIAAgACAAIAAgACAAIAAgACAAIAAgACAAIABcACIATwBwAGUAbgBpAG4AZwBWAGEAbAB1AGUAIAAgACAAkiEoAE8AcAB0AGkAbwBuAGEAbAApACAARABlAGYAYQB1AGwAdABzACAAdABvACAAMAC2AFwAIgAgACYAIABcAG4AIAAgACAAIAAgACAAIAAgACAAIAAgACAAIAAgACAAIAAgACAAIAAgACAAIAAgACAAIAAgACAAIABcACIAUgBvAHcAVABvAFIAZQB2AGUAcgBzAGUAIAAgACAAkiEoAFIAZQBxAHUAaQByAGUAZAApACAAQQAgAHIAbwB3ACAAbwBmACAAdgBhAGwAdQBlAHMAIAB0AG8AIAByAGUAdgBlAHIAcwBlACAAdABoAGUAIABmAG8AbABsAG8AdwBpAG4AZwAgAHAAZQByAGkAbwBkAHMAtgBcACIAIAAmACAAXABuACAAIAAgACAAIAAgACAAIAAgACAAIAAgACAAIAAgACAAIAAgACAAIAAgACAAIAAgACAAIAAgACAAXAAiAEUAWABBAE0AUABMAEUAUwA6ACAAIAAgACAAIAAgAJIhtgBcACIAIAAmACAAXABuACAAIAAgACAAIAAgACAAIAAgACAAIAAgACAAIAAgACAAIAAgACAAIAAgACAAIAAgACAAIAAgACAAXAAiAFIAZQBzAHUAbAB0ACAAIAAgACAAIAAgACAAIAAgAJIhRgBvAHIAbQB1AGwAYQAgACgAQgBYAEYAIABpAHMAIABhAHMAcwB1AG0AZQBkACAAdABvACAAYgBlACAAdABoAGUAIABtAG8AZAB1AGwAZQAnAHMAIABuAGEAbQBlACkAtgBcACIAIAAmAFwAbgAgACAAIAAgACAAIAAgACAAIAAgACAAIAAgACAAIAAgACAAIAAgACAAIAAgACAAIAAgACAAIAAgAFwAIgAtADEAMAAwACwALQAxADEAMAAsAC0AMQAzADAAIACSIT0AQgBYAEYALgBSAGUAdgBlAHIAcwBhAGwAuwMoACAALAAgAHsAMQAwADAALAAxADEAMAAsADEAMwAwAH0AKQBcACIALABcAG4AIAAgACAAIAAgACAAIAAgACAAIAAgACAAIAAgACAAIAAgACAAIAAgACAAIAAgACAAIAAgACAAIABcACIAkiFcACIALAAgAFwAIgC2AFwAIgAgACkAXABuACAAIAAgACAAIAAgACAAIAAgACAAIAAgACAAIAAgACAAIAAgACAAIAApACwAIAAgACAAIAAgACAAIAAgACAAIAAgACAAXABuACAAIAAgACAALwAvACAAIABDAGgAZQBjAGsAIABpAG4AcAB1AHQAcwAgAC0AIABPAG0AaQB0AHQAZQBkACAAcgBlAHEAdQBpAHIAZQBkACAAYQByAGcAdQBtAGUAbgB0AHMAXABuACAAIAAgACAAIAAgACAAIABIAGUAbABwAD8ALAAgACAAIAAgACAAIAAgACAAIAAgAEkAUwBPAE0ASQBUAFQARQBEACgAIABSAG8AdwBUAG8AUgBlAHYAZQByAHMAZQApACwAXABuACAAIAAgACAALwAvACAAIABTAGUAdAAgAEQAZQBmAGEAdQBsAHQAcwBcAG4AIAAgACAAIAAgACAAIAAgAEIAZQBnAGkAbgBuAGkAbgBnAFYAYQBsAHUAZQAsACAASQBGACgAIABJAFMATwBNAEkAVABUAEUARAAoACAATwBwAGUAbgBpAG4AZwBWAGEAbAB1AGUAKQAsACAAMAAsACAAIABPAHAAZQBuAGkAbgBnAFYAYQBsAHUAZQApACwAXABuACAAIAAgACAALwAvACAAIABQAHIAbwBjAGUAZAB1AHIAZQBcAG4AIAAgACAAIAAgACAAIAAgAEMAbwB1AG4AdABlAHIALAAgACAAIAAgACAAIAAgACAAUwBFAFEAVQBFAE4AQwBFACgAIAAsACAAQwBPAEwAVQBNAE4AUwAoAFIAbwB3AFQAbwBSAGUAdgBlAHIAcwBlACkAKQAsAFwAbgAgACAAIAAgACAAIAAgACAAUgBlAHMAdQBsAHQALAAgACAAIAAgACAAIAAgACAAIABNAEEAUAAoACAAQwBvAHUAbgB0AGUAcgAsACAAXABuACAAIAAgACAAIAAgACAAIAAgACAAIAAgACAAIAAgACAAIAAgACAAIAAgACAAIAAgACAAIAAgACAATABBAE0AQgBEAEEAKABDAG8AbAAsACAAIABJAEYAKABDAG8AbAAgAD0AIAAxACwAIAAtAE8AcABlAG4AaQBuAGcAVgBhAGwAdQBlACwAIAAtAEMASABPAE8AUwBFAEMATwBMAFMAKAAgAFIAbwB3AFQAbwBSAGUAdgBlAHIAcwBlACwAIABDAG8AbAAtADEAKQApACkAXABuACAAIAAgACAAIAAgACAAIAAgACAAIAAgACAAIAAgACAAIAAgACAAIAAgACAAIAAgACkALABcAG4AIAAgACAAIAAvAC8AIAAgAFIAZQB0AHUAcgBuACAAUgBlAHMAdQBsAHQAXABuACAAIAAgACAAIAAgACAAIABDAEgATwBPAFMARQAoAEgAZQBsAHAAPwAgACsAIAAxACwAIABSAGUAcwB1AGwAdAAsACAASABlAGwAcAApAFwAbgAgACAAIAAgACkAIAAgAFwAbgApADsAXABuAFwAbgBcAG4ALwAqACAAIABGAFUATgBDAFQASQBPAE4AIABOAEEATQBFADoAIAAgAEMAdQBtAHUAbABhAHQAaQB2AGUAuwNcAG4AIAAgACAAIABEAEUAUwBDAFIASQBQAFQASQBPAE4AOgAqAC8ALwAqACoAQwByAGUAYQB0AGUAcwAgAGEAIAByAG8AdwAgAG8AcgAgAGMAbwBsAHUAbQBuACAAbwBmACAAYwB1AG0AdQBsAGEAdABpAHYAZQAgAHQAbwB0AGEAbABzACAAZgByAG8AbQAgAGEAIAB0AG8AdABhAGwAIAByAG8AdwAgAG8AcgAgAGMAbwBsAHUAbQBuACoALwBcAG4ALwAqACAAIABSAEUAVgBJAFMASQBPAE4AUwA6ACAAIAAgACAAIAAgAEQAYQB0AGUAIAAgACAAIAAgACAAIAAgAEQAZQB2AGUAbABvAHAAZQByACAAIAAgACAAIAAgACAARABlAHMAYwByAGkAcAB0AGkAbwBuACAAIABcAG4AIAAgACAAIAAgACAAIAAgACAAIAAgACAAIAAgACAAIAAgACAAIAAgAEoAYQBuACAAMAA1ACAAMgAwADQAMwAgAEMAcgBhAGkAZwAgAEgAYQB0AG0AYQBrAGUAcgAgACAATwByAGkAZwBpAG4AYQBsACAARABlAHYAZQBsAG8AcABtAGUAbgB0AFwAbgAqAC8AXABuAEMAdQBtAHUAbABhAHQAaQB2AGUAuwMgAD0AIABMAEEATQBCAEQAQQAoAFwAbgAvAC8AIAAgAFAAYQByAGEAbQBlAHQAZQByACAARABlAGMAbABhAHIAYQB0AGkAbwBuAHMAXABuACAAIAAgACAAWwBUAG8AdABhAGwAcwBdACwAXABuACAAIAAgACAAWwBPAHAAZQBuAGkAbgBnAEIAYQBsAGEAbgBjAGUAXQAsAFwAbgAvAC8AIAAgAEgAZQBsAHAAXABuACAAIAAgACAATABFAFQAKABIAGUAbABwACwAIAAgACAAIAAgACAAIABUAFIASQBNACgAVABFAFgAVABTAFAATABJAFQAKAAgAFwAbgAgACAAIAAgACAAIAAgACAAIAAgACAAIAAgACAAIAAgACAAIAAgACAAIAAgACAAIAAgACAAIAAgAFwAIgBGAFUATgBDAFQASQBPAE4AOgAgACAAIAAgACAAIACSIUMAdQBtAHUAbABhAHQAaQB2AGUAuwMoACAAVABvAHQAYQBsAHMALAAgAFsATwBwAGUAbgBpAG4AZwBCAGEAbABhAG4AYwBlAF0AKQC2AFwAIgAgACYAXABuACAAIAAgACAAIAAgACAAIAAgACAAIAAgACAAIAAgACAAIAAgACAAIAAgACAAIAAgACAAIAAgACAAXAAiAEQARQBTAEMAUgBJAFAAVABJAE8ATgA6ACAAIAAgAJIhQwByAGUAYQB0AGUAcwAgAGEAIAByAG8AdwAgAG8AcgAgAGMAbwBsAHUAbQBuACAAbwBmACAAYwB1AG0AdQBsAGEAdABpAHYAZQAgAHQAbwB0AGEAbABzACAAZgByAG8AbQAgAGEAIAB0AG8AdABhAGwAIAByAG8AdwAgAG8AcgAgAGMAbwBsAHUAbQBuALYAXAAiACAAJgAgAFwAbgAgACAAIAAgACAAIAAgACAAIAAgACAAIAAgACAAIAAgACAAIAAgACAAIAAgACAAIAAgACAAIAAgAFwAIgBXAEUAQgBQAEEARwBFADoAIAAgACAAIAAgACAAIACSITwAYwBvAG0AaQBuAGcAIABzAG8AbwBuAD4AtgBcACIAIAAmAFwAbgAgACAAIAAgACAAIAAgACAAIAAgACAAIAAgACAAIAAgACAAIAAgACAAIAAgACAAIAAgACAAIAAgAFwAIgBWAEUAUgBTAEkATwBOADoAIAAgACAAIAAgACAAIACSIUoAYQBuACAAMAA1ACAAMgAwADIAMwC2AFwAIgAgACYAXABuACAAIAAgACAAIAAgACAAIAAgACAAIAAgACAAIAAgACAAIAAgACAAIAAgACAAIAAgACAAIAAgACAAXAAiAFAAQQBSAEEATQBFAFQARQBSAFMAOgAgACAAIAAgAJIhtgBcACIAIAAmACAAXABuACAAIAAgACAAIAAgACAAIAAgACAAIAAgACAAIAAgACAAIAAgACAAIAAgACAAIAAgACAAIAAgACAAXAAiAFQAbwB0AGEAbABzACAAIAAgACAAIAAgACAAIAAgAJIhKABSAGUAcQB1AGkAcgBlAGQAKQAgAEEAIAByAG8AdwAgAG8AcgAgAGMAbwBsAHUAbQBuACAAbwBmACAAdABvAHQAYQBsAHMAIABmAHIAbwBtACAAdwBoAGkAYwBoACAAdABvACAAcgB1AG4AIABjAHUAbQB1AGwAYQB0AGkAdgBlACAAdABvAHQAYQBsAHMAtgBcACIAIAAmACAAXABuACAAIAAgACAAIAAgACAAIAAgACAAIAAgACAAIAAgACAAIAAgACAAIAAgACAAIAAgACAAIAAgACAAXAAiAE8AcABlAG4AaQBuAGcAQgBhAGwAYQBuAGMAZQAgAJIhKABPAHAAdABpAG8AbgBhAGwAKQAgAEEAIABzAHQAYQByAHQAaQBuAGcAIABiAGEAbABhAG4AYwBlAC4AIABUAGgAaQBzACAAZABlAGYAYQB1AGwAdABzACAAdABvACAAMAC2AFwAIgAgACYAIABcAG4AIAAgACAAIAAgACAAIAAgACAAIAAgACAAIAAgACAAIAAgACAAIAAgACAAIAAgACAAIAAgACAAIABcACIARQBYAEEATQBQAEwARQBTADoAIAAgACAAIAAgACAAkiG2AFwAIgAgACYAIABcAG4AIAAgACAAIAAgACAAIAAgACAAIAAgACAAIAAgACAAIAAgACAAIAAgACAAIAAgACAAIAAgACAAIABcACIAUgBlAHMAdQBsAHQAIAAgACAAIAAgACAAIAAgACAAkiFGAG8AcgBtAHUAbABhACAAKABCAFgARgAgAGkAcwAgAGEAcwBzAHUAbQBlAGQAIAB0AG8AIABiAGUAIAB0AGgAZQAgAG0AbwBkAHUAbABlACcAcwAgAG4AYQBtAGUAKQC2AFwAIgAgACYAXABuACAAIAAgACAAIAAgACAAIAAgACAAIAAgACAAIAAgACAAIAAgACAAIAAgACAAIAAgACAAIAAgACAAXAAiADEALAAzACwANgAgACAAIAAgACAAIAAgACAAIAAgAJIhPQBCAFgARgAuAEMAdQBtAHUAbABhAHQAaQB2AGUAuwMoAFMAZQBxAHUAZQBuAGMAZQAoACwAMwApACkA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/ACwAIAAgACAAIAAgACAAIAAgACAAIABJAFMATwBNAEkAVABUAEUARAAoACAAVABvAHQAYQBsAHMAKQAsAFwAbgAgACAAIAAgAC8ALwAgACAAUAByAG8AYwBlAGQAdQByAGUAXABuACAAIAAgACAAIAAgACAAIABSAGUAcwB1AGwAdAAsACAAIAAgACAAIAAgACAAIAAgAFMAQwBBAE4AKAAgAE8AcABlAG4AaQBuAGcAQgBhAGwAYQBuAGMAZQAsACAAVABvAHQAYQBsAHMALAAgAEwAQQBNAEIARABBACgAUAByAGUAdgBpAG8AdQBzAEEAbQBvAHUAbgB0ACwAIABDAHUAcgByAGUAbgB0AEEAbQBvAHUAbgB0ACwAIABQAHIAZQB2AGkAbwB1AHMAQQBtAG8AdQBuAHQAIAArACAAQwB1AHIAcgBlAG4AdABBAG0AbwB1AG4AdAApACkALABcAG4AIAAgACAAIAAvAC8AIAAgAFIAZQB0AHUAcgBuACAAUgBlAHMAdQBsAHQAXABuACAAIAAgACAAIAAgACAAIABDAEgATwBPAFMARQAoAEgAZQBsAHAAPwAgACsAIAAxACwAIABSAGUAcwB1AGwAdAAsACAASABlAGwAcAApAFwAbgAgACAAIAAgACkAIAAgAFwAbgApADsAXABuAFwAbgBcAG4AXABuAC8AKgAgACAARgBVAE4AQwBUAEkATwBOACAATgBBAE0ARQA6ACAAIABSAG8AbABsAGkAbgBnAEEAdgBnALsDXABuACAAIAAgACAARABFAFMAQwBSAEkAUABUAEkATwBOADoAKgAvAC8AKgAqAEMAcgBlAGEAdABlAHMAIABBAHYAZQByAGEAZwBlAHMAIABmAG8AcgAgAHAAcgBlAGMAZQBlAGQAaQBuAGcAIAB2AGEAbAB1AGUAcwAgAG8AZgAgAGEAIABzAGUAdAAgAHMAaQB6AGUAIABtAG8AdgBpAG4AZwAgAGYAcgBvAG0AIABiAGUAZwBpAG4AbgBpAG4AZwAgAHQAbwAgAGUAbgBkACAAbwB2AGUAcgAgAGEAIAByAG8AdwAgAG8AZgAgAHYAYQBsAHUAZQBzAC4AKgAvAFwAbgAvACoAIAAgAFIARQBWAEkAUwBJAE8ATgBTADoAIAAgACAAIAAgACAARABhAHQAZQAgACAAIAAgACAAIAAgACAARABlAHYAZQBsAG8AcABlAHIAIAAgACAAIAAgACAAIABEAGUAcwBjAHIAaQBwAHQAaQBvAG4AIAAgAFwAbgAgACAAIAAgACAAIAAgACAAIAAgACAAIAAgACAAIAAgACAAIAAgACAASgBhAG4AIAAzADAAIAAyADAAMgA0ACAAQwByAGEAaQBnACAASABhAHQAbQBhAGsAZQByACAAIABDAG8AcAB5AHIAaQBnAGgAdABcAG4AKgAvAFwAbgBSAG8AbABsAGkAbgBnAEEAdgBnALsDIAA9ACAATABBAE0AQgBEAEEAKABcAG4ALwAvACAAIABQAGEAcgBhAG0AZQB0AGUAcgAgAEQAZQBjAGwAYQByAGEAdABpAG8AbgBzAFwAbgAgACAAIAAgAFsAVgBhAGwAdQBlAHMAXQAsACAAXABuACAAIAAgACAAWwBTAGkAegBlAF0ALABcAG4ALwAvACAAIABIAGUAbABwAFwAbgAgACAAIAAgAEwARQBUACgASABlAGwAcAAsACAAIAAgACAAIAAgACAAVABSAEkATQAoAFQARQBYAFQAUwBQAEwASQBUACgAIABcAG4AIAAgACAAIAAgACAAIAAgACAAIAAgACAAIAAgACAAIAAgACAAIAAgACAAIAAgACAAIAAgACAAIABcACIARgBVAE4AQwBUAEkATwBOADoAIAAgACAAIAAgACAAkiFSAG8AbABsAGkAbgBnAEEAdgBnALsDKAAgAFYAYQBsAHUAZQBzACwAIABTAGkAegBlACkAtgBcACIAIAAmAFwAbgAgACAAIAAgACAAIAAgACAAIAAgACAAIAAgACAAIAAgACAAIAAgACAAIAAgACAAIAAgACAAIAAgAFwAIgBEAEUAUwBDAFIASQBQAFQASQBPAE4AOgAgACAAIACSIUMAcgBlAGEAdABlAHMAIABhAHYAZQByAGEAZwBlAHMAIABmAG8AcgAgAHAAcgBlAGMAZQBlAGQAaQBuAGcAIAB2AGEAbAB1AGUAcwAgAG8AZgAgAGEAIABzAGUAdAAgAHMAaQB6AGUAIABtAG8AdgBpAG4AZwC2AFwAIgAgACYAXABuACAAIAAgACAAIAAgACAAIAAgACAAIAAgACAAIAAgACAAIAAgACAAIAAgACAAIAAgACAAIAAgACAAIAAgACAAIAAgACAAIAAgACAAIAAgACAAIAAgACAAXAAiAJIhZgByAG8AbQAgAGIAZQBnAGkAbgBuAGkAbgBnACAAdABvACAAZQBuAGQAIABvAHYAZQByACAAYQAgAHIAbwB3ACAAbwBmACAAdgBhAGwAdQBlAHMAtgBcACIAIAAmACAAXABuACAAIAAgACAAIAAgACAAIAAgACAAIAAgACAAIAAgACAAIAAgACAAIAAgACAAIAAgACAAIAAgACAAXAAiAFcARQBCAFAAQQBHAEUAOgAgACAAIAAgACAAIAAgAJIhPABjAG8AbQBpAG4AZwAgAHMAbwBvAG4APgC2AFwAIgAgACYAXABuACAAIAAgACAAIAAgACAAIAAgACAAIAAgACAAIAAgACAAIAAgACAAIAAgACAAIAAgACAAIAAgACAAXAAiAFYARQBSAFMASQBPAE4AOgAgACAAIAAgACAAIAAgAJIhSgBhAG4AIAAzADAAIAAyADAAMgA0ALYAXAAiACAAJgBcAG4AIAAgACAAIAAgACAAIAAgACAAIAAgACAAIAAgACAAIAAgACAAIAAgACAAIAAgACAAIAAgACAAIABcACIAUABBAFIAQQBNAEUAVABFAFIAUwA6ACAAIAAgACAAkiG2AFwAIgAgACYAIABcAG4AIAAgACAAIAAgACAAIAAgACAAIAAgACAAIAAgACAAIAAgACAAIAAgACAAIAAgACAAIAAgACAAIABcACIAVgBhAGwAdQBlAHMAIAAgACAAIAAgACAAIAAgACAAkiEoAFIAZQBxAHUAaQByAGUAZAApACAAQQAgAHIAbwB3ACAAbwBmACAAdgBhAGwAdQBlAHMAIAB0AG8AIABiAGUAIABhAHYAZQByAGEAZwBlAGQALgC2AFwAIgAgACYAIABcAG4AIAAgACAAIAAgACAAIAAgACAAIAAgACAAIAAgACAAIAAgACAAIAAgACAAIAAgACAAIAAgACAAIABcACIAUwBpAHoAZQAgACAAIAAgACAAIAAgACAAIAAgACAAkiEoAFIAZQBxAHUAaQByAGUAZAApACAAVABoAGUAIABuAHUAbQBiAGUAcgAgAG8AZgAgAHYAYQBsAHUAZQBzACAAdABvACAAYQB2AGUAcgBhAGcAZQAgAHQAaABhAHQAIAC2AFwAIgAgACYAIABcAG4AIAAgACAAIAAgACAAIAAgACAAIAAgACAAIAAgACAAIAAgACAAIAAgACAAIAAgACAAIAAgACAAIAAgACAAIAAgACAAIAAgACAAIAAgACAAIAAgACAAIABcACIAkiFpAG4AYwBsAHUAZABlACAAYQBuAGQAIABwAHIAZQBjAGUAZQBkACAAdABoAGUAIABjAHUAcgByAGUAbgB0ACAAdgBhAGwAdQBlALYAXAAiACAAJg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CAFgARgAgAGkAcwAgAGEAcwBzAHUAbQBlAGQAIAB0AG8AIABiAGUAIAB0AGgAZQAgAG0AbwBkAHUAbABlACcAcwAgAG4AYQBtAGUAKQC2AFwAIgAgACYAXABuACAAIAAgACAAIAAgACAAIAAgACAAIAAgACAAIAAgACAAIAAgACAAIAAgACAAIAAgACAAIAAgACAAXAAiADEALAAzACwANgAsADkALAAxADIAIAAgACAAIAAgAJIhPQBCAFgARgAuAFIAbwBsAGwAaQBuAGcAQQB2AGcAuwMoAFMARQBRAFUARQBOAEMARQAoACwAIAA1ACkALAAgADMAKQBcACIALABcAG4AIAAgACAAIAAgACAAIAAgACAAIAAgACAAIAAgACAAIAAgACAAIAAgACAAIAAgACAAXAAiAJIhXAAiACwAIABcACIAtgBcACIAIAApAFwAbgAgACAAIAAgACAAIAAgACAAIAAgACAAIAAgACAAIAAgACAAIAAgACAAKQAsAFwAbgAgACAAIAAgAC8ALwAgACAAQwBoAGUAYwBrACAAaQBuAHAAdQB0AHMAIAAtACAATwBtAGkAdAB0AGUAZAAgAHIAZQBxAHUAaQByAGUAZAAgAGEAcgBnAHUAbQBlAG4AdABzAFwAbgAgACAAIAAgACAAIAAgACAASABlAGwAcAA/ACwAIAAgACAAIAAgACAAIAAgACAAIABPAFIAKAAgAEkAUwBPAE0ASQBUAFQARQBEACgAIABWAGEAbAB1AGUAcwApACwAXABuACAAIAAgACAAIAAgACAAIAAgACAAIAAgACAAIAAgACAAIAAgACAAIAAgACAAIAAgACAAIAAgACAASQBTAE8ATQBJAFQAVABFAEQAKAAgAFMAaQB6AGUAKQApACwAXABuACAAIAAgACAALwAvACAAIABQAHIAbwBjAGUAZAB1AHIAZQBcAG4AIAAgACAAIAAgACAAIAAgAEMAbwB1AG4AdABlAHIALAAgACAAIAAgACAAIAAgACAAUwBFAFEAVQBFAE4AQwBFACgALABDAE8AVQBOAFQAQQAoACAAVgBhAGwAdQBlAHMAKQApACwAXABuACAAIAAgACAAIAAgACAAIABSAGUAcwB1AGwAdAAsACAAIAAgACAAIAAgACAAIAAgAFMAQwBBAE4AKAAgAFwAbgAgACAAIAAgACAAIAAgACAAIAAgACAAIAAgACAAIAAgACAAIAAgACAAIAAgACAAIAAgACAAIAAgADAALAAgAFwAbgAgACAAIAAgACAAIAAgACAAIAAgACAAIAAgACAAIAAgACAAIAAgACAAIAAgACAAIAAgACAAIAAgAEMAbwB1AG4AdABlAHIALAAgAFwAbgAgACAAIAAgACAAIAAgACAAIAAgACAAIAAgACAAIAAgACAAIAAgACAAIAAgACAAIAAgACAAIAAgAEwAQQBNAEIARABBACgAXABuACAAIAAgACAAIAAgACAAIAAgACAAIAAgACAAIAAgACAAIAAgACAAIAAgACAAIAAgACAAIAAgACAAIAAgACAAIABBAGMAYwAsAFwAbgAgACAAIAAgACAAIAAgACAAIAAgACAAIAAgACAAIAAgACAAIAAgACAAIAAgACAAIAAgACAAIAAgACAAIAAgACAAVgBhAGwALAAgAFwAbgAgACAAIAAgACAAIAAgACAAIAAgACAAIAAgACAAIAAgACAAIAAgACAAIAAgACAAIAAgACAAIAAgACAAIAAgACAATABFAFQAKABcAG4AIAAgACAAIAAgACAAIAAgACAAIAAgACAAIAAgACAAIAAgACAAIAAgACAAIAAgACAAIAAgACAAIAAgACAAIAAgACAAIAAgACAAUwB0AGEAcgB0ACwAIAAgAEkARgAoACgAVgBhAGwAIAAtACAAUwBpAHoAZQApACAAPAAgADEALAAgADAALAAgAFYAYQBsACAALQAgAFMAaQB6AGUAKQAsAFwAbgAgACAAIAAgACAAIAAgACAAIAAgACAAIAAgACAAIAAgACAAIAAgACAAIAAgACAAIAAgACAAIAAgACAAIAAgACAAIAAgACAAIABSAGkAZwBoAHQALAAgACAAVABBAEsARQAoAFYAYQBsAHUAZQBzACwAIAAsACAAVgBhAGwAKQAsAFwAbgAgACAAIAAgACAAIAAgACAAIAAgACAAIAAgACAAIAAgACAAIAAgACAAIAAgACAAIAAgACAAIAAgACAAIAAgACAAIAAgACAAIABCAGwAbwBjAGsALAAgACAASQBGACgAIABTAHQAYQByAHQAIAA+ACAAMAAsACAARABSAE8AUAAoACAAUgBpAGcAaAB0ACwAIAAsACAAUwB0AGEAcgB0ACAAKQAsACAAUgBpAGcAaAB0ACkALABcAG4AIAAgACAAIAAgACAAIAAgACAAIAAgACAAIAAgACAAIAAgACAAIAAgACAAIAAgACAAIAAgACAAIAAgACAAIAAgACAAIAAgACAAQQBWAEUAUgBBAEcARQAoAEIAbABvAGMAawAp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SAG8AbABsAGkAbgBnAE0AYQB4ALsDXABuACAAIAAgACAARABFAFMAQwBSAEkAUABUAEkATwBOADoAKgAvAC8AKgAqAEMAcgBlAGEAdABlAHMAIAB0AGgAZQAgAG0AYQB4AGkAbQB1AG0AIABmAG8AcgAgAHAAcgBlAGMAZQBlAGQAaQBuAGcAIAB2AGEAbAB1AGUAcwAgAG8AZgAgAGEAIABzAGUAdAAgAHMAaQB6AGUAIABtAG8AdgBpAG4AZwAgAGYAcgBvAG0AIABiAGUAZwBpAG4AbgBpAG4AZwAgAHQAbwAgAGUAbgBkACAAbwB2AGUAcgAgAGEAIAByAG8AdwAgAG8AZgAgAHYAYQBsAHUAZQBzAC4AKgAvAFwAbgAvACoAIAAgAFIARQBWAEkAUwBJAE8ATgBTADoAIAAgACAAIAAgACAARABhAHQAZQAgACAAIAAgACAAIAAgACAARABlAHYAZQBsAG8AcABlAHIAIAAgACAAIAAgACAAIABEAGUAcwBjAHIAaQBwAHQAaQBvAG4AIAAgAFwAbgAgACAAIAAgACAAIAAgACAAIAAgACAAIAAgACAAIAAgACAAIAAgACAATQBhAHkAIAAxADgAIAAyADAAMgA0ACAAQwByAGEAaQBnACAASABhAHQAbQBhAGsAZQByACAAIABDAG8AcAB5AHIAaQBnAGgAdAAgAHcALwBGAGkAbgBvAG0AYQB0AGkAYwBcAG4AKgAvAFwAbgBSAG8AbABsAGkAbgBnAE0AYQB4ALsDIAA9ACAATABBAE0AQgBEAEEAKABcAG4ALwAvACAAIABQAGEAcgBhAG0AZQB0AGUAcgAgAEQAZQBjAGwAYQByAGEAdABpAG8AbgBzAFwAbgAgACAAIAAgAFsAVgBhAGwAdQBlAHMAXQAsACAAXABuACAAIAAgACAAWwBTAGkAegBlAF0ALABcAG4ALwAvACAAIABIAGUAbABwAFwAbgAgACAAIAAgAEwARQBUACgASABlAGwAcAAsACAAIAAgACAAIAAgACAAVABSAEkATQAoAFQARQBYAFQAUwBQAEwASQBUACgAIABcAG4AIAAgACAAIAAgACAAIAAgACAAIAAgACAAIAAgACAAIAAgACAAIAAgACAAIAAgACAAIAAgACAAIABcACIARgBVAE4AQwBUAEkATwBOADoAIAAgACAAIAAgACAAkiFSAG8AbABsAGkAbgBnAE0AYQB4ALsDKAAgAFYAYQBsAHUAZQBzACwAIABTAGkAegBlACkAtgBcACIAIAAmAFwAbgAgACAAIAAgACAAIAAgACAAIAAgACAAIAAgACAAIAAgACAAIAAgACAAIAAgACAAIAAgACAAIAAgAFwAIgBEAEUAUwBDAFIASQBQAFQASQBPAE4AOgAgACAAIACSIUMAcgBlAGEAdABlAHMAIAB0AGgAZQAgAG0AYQB4AGkAbQB1AG0AIABmAG8AcgAgAHAAcgBlAGMAZQBlAGQAaQBuAGcAIAB2AGEAbAB1AGUAcwAgAG8AZgAgAGEAIABzAGUAdAAgAHMAaQB6AGUAIABtAG8AdgBpAG4AZwAgAGYAcgBvAG0AIABiAGUAZwBpAG4AbgBpAG4AZwAgAHQAbwAgAGUAbgBkACAAbwB2AGUAcgAgAGEAIAByAG8AdwAgAG8AZgAgAHYAYQBsAHUAZQBzAC4AtgBcACIAIAAmAFwAbgAgACAAIAAgACAAIAAgACAAIAAgACAAIAAgACAAIAAgACAAIAAgACAAIAAgACAAIAAgACAAIAAgACAAIAAgACAAIAAgACAAIAAgACAAIAAgACAAIAAgAFwAIgCSIWYAcgBvAG0AIABiAGUAZwBpAG4AbgBpAG4AZwAgAHQAbwAgAGUAbgBkACAAbwB2AGUAcgAgAGEAIAByAG8AdwAgAG8AZgAgAHYAYQBsAHUAZQBzALYAXAAiACAAJgAgAFwAbgAgACAAIAAgACAAIAAgACAAIAAgACAAIAAgACAAIAAgACAAIAAgACAAIAAgACAAIAAgACAAIAAgAFwAIgBXAEUAQgBQAEEARwBFADoAIAAgACAAIAAgACAAIACSITwAYwBvAG0AaQBuAGcAIABzAG8AbwBuAD4AtgBcACIAIAAmAFwAbgAgACAAIAAgACAAIAAgACAAIAAgACAAIAAgACAAIAAgACAAIAAgACAAIAAgACAAIAAgACAAIAAgAFwAIgBWAEUAUgBTAEkATwBOADoAIAAgACAAIAAgACAAIACSIU0AYQB5ACAAMQA4ACAAMgAwADIANAC2AFwAIgAgACYAXABuACAAIAAgACAAIAAgACAAIAAgACAAIAAgACAAIAAgACAAIAAgACAAIAAgACAAIAAgACAAIAAgACAAXAAiAFAAQQBSAEEATQBFAFQARQBSAFMAOgAgACAAIAAgAJIhtgBcACIAIAAmACAAXABuACAAIAAgACAAIAAgACAAIAAgACAAIAAgACAAIAAgACAAIAAgACAAIAAgACAAIAAgACAAIAAgACAAXAAiAFYAYQBsAHUAZQBzACAAIAAgACAAIAAgACAAIAAgAJIhKABSAGUAcQB1AGkAcgBlAGQAKQAgAEEAIAByAG8AdwAgAG8AZgAgAHYAYQBsAHUAZQBzACAAdABvACAAYgBlACAAbQBhAHgAZQBkAC4AtgBcACIAIAAmACAAXABuACAAIAAgACAAIAAgACAAIAAgACAAIAAgACAAIAAgACAAIAAgACAAIAAgACAAIAAgACAAIAAgACAAXAAiAFMAaQB6AGUAIAAgACAAIAAgACAAIAAgACAAIAAgAJIhKABSAGUAcQB1AGkAcgBlAGQAKQAgAFQAaABlACAAbgB1AG0AYgBlAHIAIABvAGYAIAB2AGEAbAB1AGUAcwAgAHQAbwAgAGYAaQBuAGQAIABtAGEAeABpAG0AdQBtACAAdABoAGEAdAAgALYAXAAiACAAJgAgAFwAbgAgACAAIAAgACAAIAAgACAAIAAgACAAIAAgACAAIAAgACAAIAAgACAAIAAgACAAIAAgACAAIAAgACAAIAAgACAAIAAgACAAIAAgACAAIAAgACAAIAAgAFwAIgCSIWkAbgBjAGwAdQBkAGUAIABhAG4AZAAgAHAAcgBlAGMAZQBlAGQAIAB0AGgAZQAgAGMAdQByAHIAZQBuAHQAIAB2AGEAbAB1AGUAtgBcACIAIAAm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EIAWABGACAAaQBzACAAYQBzAHMAdQBtAGUAZAAgAHQAbwAgAGIAZQAgAHQAaABlACAAbQBvAGQAdQBsAGUAJwBzACAAbgBhAG0AZQApALYAXAAiACAAJgBcAG4AIAAgACAAIAAgACAAIAAgACAAIAAgACAAIAAgACAAIAAgACAAIAAgACAAIAAgACAAIAAgACAAIABcACIANQAsADUALAA1ACwANgAsADYALAA3ACAAIAAgACAAkiE9AEIAWABGAC4AUgBvAGwAbABpAG4AZwBNAGEAeAC7AygAewA1ACwAMwAsADQALAA2ACwAMwAsADcAfQAsACAAMwApAFwAIgAs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CkALABcAG4AIAAgACAAIAAgACAAIAAgACAAIAAgACAAIAAgACAAIAAgACAAIAAgACAAIAAgACAAIAAgACAAIABJAFMATwBNAEkAVABUAEUARAAoACAAUwBpAHoAZQApACkALABcAG4AIAAgACAAIAAvAC8AIAAgAFAAcgBvAGMAZQBkAHUAcgBlAFwAbgAgACAAIAAgACAAIAAgACAAQwBvAHUAbgB0AGUAcgAsACAAIAAgACAAIAAgACAAIABTAEUAUQBVAEUATgBDAEUAKAAsAEMATwBVAE4AVABBACgAIABWAGEAbAB1AGUAcwApACkALABcAG4AIAAgACAAIAAgACAAIAAgAFIAZQBzAHUAbAB0ACwAIAAgACAAIAAgACAAIAAgACAAUwBDAEEATgAoACAAXABuACAAIAAgACAAIAAgACAAIAAgACAAIAAgACAAIAAgACAAIAAgACAAIAAgACAAIAAgACAAIAAgACAAMAAsACAAXABuACAAIAAgACAAIAAgACAAIAAgACAAIAAgACAAIAAgACAAIAAgACAAIAAgACAAIAAgACAAIAAgACAAQwBvAHUAbgB0AGUAcgAsACAAXABuACAAIAAgACAAIAAgACAAIAAgACAAIAAgACAAIAAgACAAIAAgACAAIAAgACAAIAAgACAAIAAgACAATABBAE0AQgBEAEEAKABcAG4AIAAgACAAIAAgACAAIAAgACAAIAAgACAAIAAgACAAIAAgACAAIAAgACAAIAAgACAAIAAgACAAIAAgACAAIAAgAEEAYwBjACwAXABuACAAIAAgACAAIAAgACAAIAAgACAAIAAgACAAIAAgACAAIAAgACAAIAAgACAAIAAgACAAIAAgACAAIAAgACAAIABWAGEAbAAsACAAXABuACAAIAAgACAAIAAgACAAIAAgACAAIAAgACAAIAAgACAAIAAgACAAIAAgACAAIAAgACAAIAAgACAAIAAgACAAIABMAEUAVAAoAFwAbgAgACAAIAAgACAAIAAgACAAIAAgACAAIAAgACAAIAAgACAAIAAgACAAIAAgACAAIAAgACAAIAAgACAAIAAgACAAIAAgACAAIABTAHQAYQByAHQALAAgACAASQBGACgAKABWAGEAbAAgAC0AIABTAGkAegBlACkAIAA8ACAAMQAsACAAMAAsACAAVgBhAGwAIAAtACAAUwBpAHoAZQApACwAXABuACAAIAAgACAAIAAgACAAIAAgACAAIAAgACAAIAAgACAAIAAgACAAIAAgACAAIAAgACAAIAAgACAAIAAgACAAIAAgACAAIAAgAFIAaQBnAGgAdAAsACAAIABUAEEASwBFACgAVgBhAGwAdQBlAHMALAAgACwAIABWAGEAbAApACwAXABuACAAIAAgACAAIAAgACAAIAAgACAAIAAgACAAIAAgACAAIAAgACAAIAAgACAAIAAgACAAIAAgACAAIAAgACAAIAAgACAAIAAgAEIAbABvAGMAawAsACAAIABJAEYAKAAgAFMAdABhAHIAdAAgAD4AIAAwACwAIABEAFIATwBQACgAIABSAGkAZwBoAHQALAAgACwAIABTAHQAYQByAHQAIAApACwAIABSAGkAZwBoAHQAKQAsAFwAbgAgACAAIAAgACAAIAAgACAAIAAgACAAIAAgACAAIAAgACAAIAAgACAAIAAgACAAIAAgACAAIAAgACAAIAAgACAAIAAgACAAIABNAEEAWAAoAEIAbABvAGMAawAp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SAG8AbABsAGkAbgBnAE0AaQBuALsDXABuACAAIAAgACAARABFAFMAQwBSAEkAUABUAEkATwBOADoAKgAvAC8AKgAqAEMAcgBlAGEAdABlAHMAIAB0AGgAZQAgAE0AaQBuAGkAbQB1AG0AIABmAG8AcgAgAHAAcgBlAGMAZQBlAGQAaQBuAGcAIAB2AGEAbAB1AGUAcwAgAG8AZgAgAGEAIABzAGUAdAAgAHMAaQB6AGUAIABtAG8AdgBpAG4AZwAgAGYAcgBvAG0AIABiAGUAZwBpAG4AbgBpAG4AZwAgAHQAbwAgAGUAbgBkACAAbwB2AGUAcgAgAGEAIAByAG8AdwAgAG8AZgAgAHYAYQBsAHUAZQBzAC4AKgAvAFwAbgAvACoAIAAgAFIARQBWAEkAUwBJAE8ATgBTADoAIAAgACAAIAAgACAARABhAHQAZQAgACAAIAAgACAAIAAgACAARABlAHYAZQBsAG8AcABlAHIAIAAgACAAIAAgACAAIABEAGUAcwBjAHIAaQBwAHQAaQBvAG4AIAAgAFwAbgAgACAAIAAgACAAIAAgACAAIAAgACAAIAAgACAAIAAgACAAIAAgACAATQBhAHkAIAAxADgAIAAyADAAMgA0ACAAQwByAGEAaQBnACAASABhAHQAbQBhAGsAZQByACAAIABDAG8AcAB5AHIAaQBnAGgAdAB3AC8ARgBpAG4AbwBtAGEAdABpAGMAXABuACoALwBcAG4AUgBvAGwAbABpAG4AZwBNAGkAbgC7AyAAPQAgAEwAQQBNAEIARABBACgAXABuAC8ALwAgACAAUABhAHIAYQBtAGUAdABlAHIAIABEAGUAYwBsAGEAcgBhAHQAaQBvAG4AcwBcAG4AIAAgACAAIABbAFYAYQBsAHUAZQBzAF0ALAAgAFwAbgAgACAAIAAgAFsAUwBpAHoAZQBdACwAXABuAC8ALwAgACAASABlAGwAcABcAG4AIAAgACAAIABMAEUAVAAoAEgAZQBsAHAALAAgACAAIAAgACAAIAAgAFQAUgBJAE0AKABUAEUAWABUAFMAUABMAEkAVAAoACAAXABuACAAIAAgACAAIAAgACAAIAAgACAAIAAgACAAIAAgACAAIAAgACAAIAAgACAAIAAgACAAIAAgACAAXAAiAEYAVQBOAEMAVABJAE8ATgA6ACAAIAAgACAAIAAgAFIAbwBsAGwAaQBuAGcATQBpAG4AuwMoACAAVgBhAGwAdQBlAHMALAAgAFMAaQB6AGUAKQC2AFwAIgAgACYAXABuACAAIAAgACAAIAAgACAAIAAgACAAIAAgACAAIAAgACAAIAAgACAAIAAgACAAIAAgACAAIAAgACAAXAAiAEQARQBTAEMAUgBJAFAAVABJAE8ATgA6ACAAIAAgAJIhQwByAGUAYQB0AGUAcwAgAHQAaABlACAAbQBpAG4AaQBtAHUAbQAgAGYAbwByACAAcAByAGUAYwBlAGUAZABpAG4AZwAgAHYAYQBsAHUAZQBzACAAbwBmACAAYQAgAHMAZQB0ACAAcwBpAHoAZQAgAG0AbwB2AGkAbgBnACAAZgByAG8AbQAgAGIAZQBnAGkAbgBuAGkAbgBnACAAdABvACAAZQBuAGQAIABvAHYAZQByACAAYQAgAHIAbwB3ACAAbwBmACAAdgBhAGwAdQBlAHMALgC2AFwAIgAgACYAXABuACAAIAAgACAAIAAgACAAIAAgACAAIAAgACAAIAAgACAAIAAgACAAIAAgACAAIAAgACAAIAAgACAAIAAgACAAIAAgACAAIAAgACAAIAAgACAAIAAgACAAXAAiAJIhZgByAG8AbQAgAGIAZQBnAGkAbgBuAGkAbgBnACAAdABvACAAZQBuAGQAIABvAHYAZQByACAAYQAgAHIAbwB3ACAAbwBmACAAdgBhAGwAdQBlAHMAtgBcACIAIAAmACAAXABuACAAIAAgACAAIAAgACAAIAAgACAAIAAgACAAIAAgACAAIAAgACAAIAAgACAAIAAgACAAIAAgACAAXAAiAFcARQBCAFAAQQBHAEUAOgAgACAAIAAgACAAIAAgAJIhPABjAG8AbQBpAG4AZwAgAHMAbwBvAG4APgC2AFwAIgAgACYAXABuACAAIAAgACAAIAAgACAAIAAgACAAIAAgACAAIAAgACAAIAAgACAAIAAgACAAIAAgACAAIAAgACAAXAAiAFYARQBSAFMASQBPAE4AOgAgACAAIAAgACAAIAAgAJIhTQBhAHkAIAAxADgAIAAyADAAMgA0ALYAXAAiACAAJgBcAG4AIAAgACAAIAAgACAAIAAgACAAIAAgACAAIAAgACAAIAAgACAAIAAgACAAIAAgACAAIAAgACAAIABcACIAUABBAFIAQQBNAEUAVABFAFIAUwA6ACAAIAAgACAAkiG2AFwAIgAgACYAIABcAG4AIAAgACAAIAAgACAAIAAgACAAIAAgACAAIAAgACAAIAAgACAAIAAgACAAIAAgACAAIAAgACAAIABcACIAVgBhAGwAdQBlAHMAIAAgACAAIAAgACAAIAAgACAAkiEoAFIAZQBxAHUAaQByAGUAZAApACAAQQAgAHIAbwB3ACAAbwBmACAAdgBhAGwAdQBlAHMAIAB0AG8AIABiAGUAIABtAGkAbgBuAGUAZAAuALYAXAAiACAAJgAgAFwAbgAgACAAIAAgACAAIAAgACAAIAAgACAAIAAgACAAIAAgACAAIAAgACAAIAAgACAAIAAgACAAIAAgAFwAIgBTAGkAegBlACAAIAAgACAAIAAgACAAIAAgACAAIACSISgAUgBlAHEAdQBpAHIAZQBkACkAIABUAGgAZQAgAG4AdQBtAGIAZQByACAAbwBmACAAdgBhAGwAdQBlAHMAIAB0AG8AIABmAGkAbgBkACAAbQBhAHgAaQBtAHUAbQAgAHQAaABhAHQAIAC2AFwAIgAgACYAIABcAG4AIAAgACAAIAAgACAAIAAgACAAIAAgACAAIAAgACAAIAAgACAAIAAgACAAIAAgACAAIAAgACAAIAAgACAAIAAgACAAIAAgACAAIAAgACAAIAAgACAAIABcACIAkiFpAG4AYwBsAHUAZABlACAAYQBuAGQAIABwAHIAZQBjAGUAZQBkACAAdABoAGUAIABjAHUAcgByAGUAbgB0ACAAdgBhAGwAdQBlALYAXAAiACAAJg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CAFgARgAgAGkAcwAgAGEAcwBzAHUAbQBlAGQAIAB0AG8AIABiAGUAIAB0AGgAZQAgAG0AbwBkAHUAbABlACcAcwAgAG4AYQBtAGUAKQC2AFwAIgAgACYAXABuACAAIAAgACAAIAAgACAAIAAgACAAIAAgACAAIAAgACAAIAAgACAAIAAgACAAIAAgACAAIAAgACAAXAAiADUALAAzACwAMwAsADMALAAyACwAMgAgACAAIAAgAJIhPQBCAFgARgAuAFIAbwBsAGwAaQBuAGcATQBhAHgAuwMoAHsANQAsADMALAA0ACwANgAsADIALAA3AH0ALAAgADMAKQBcACIALABcAG4AIAAgACAAIAAgACAAIAAgACAAIAAgACAAIAAgACAAIAAgACAAIAAgACAAIAAgACAAXAAiAJIhXAAiACwAIABcACIAtgBcACIAIAApAFwAbgAgACAAIAAgACAAIAAgACAAIAAgACAAIAAgACAAIAAgACAAIAAgACAAKQAsAFwAbgAgACAAIAAgAC8ALwAgACAAQwBoAGUAYwBrACAAaQBuAHAAdQB0AHMAIAAtACAATwBtAGkAdAB0AGUAZAAgAHIAZQBxAHUAaQByAGUAZAAgAGEAcgBnAHUAbQBlAG4AdABzAFwAbgAgACAAIAAgACAAIAAgACAASABlAGwAcAA/ACwAIAAgACAAIAAgACAAIAAgACAAIABPAFIAKAAgAEkAUwBPAE0ASQBUAFQARQBEACgAIABWAGEAbAB1AGUAcwApACwAXABuACAAIAAgACAAIAAgACAAIAAgACAAIAAgACAAIAAgACAAIAAgACAAIAAgACAAIAAgACAAIAAgACAASQBTAE8ATQBJAFQAVABFAEQAKAAgAFMAaQB6AGUAKQApACwAXABuACAAIAAgACAALwAvACAAIABQAHIAbwBjAGUAZAB1AHIAZQBcAG4AIAAgACAAIAAgACAAIAAgAEMAbwB1AG4AdABlAHIALAAgACAAIAAgACAAIAAgACAAUwBFAFEAVQBFAE4AQwBFACgALABDAE8AVQBOAFQAQQAoACAAVgBhAGwAdQBlAHMAKQApACwAXABuACAAIAAgACAAIAAgACAAIABSAGUAcwB1AGwAdAAsACAAIAAgACAAIAAgACAAIAAgAFMAQwBBAE4AKAAgAFwAbgAgACAAIAAgACAAIAAgACAAIAAgACAAIAAgACAAIAAgACAAIAAgACAAIAAgACAAIAAgACAAIAAgADAALAAgAFwAbgAgACAAIAAgACAAIAAgACAAIAAgACAAIAAgACAAIAAgACAAIAAgACAAIAAgACAAIAAgACAAIAAgAEMAbwB1AG4AdABlAHIALAAgAFwAbgAgACAAIAAgACAAIAAgACAAIAAgACAAIAAgACAAIAAgACAAIAAgACAAIAAgACAAIAAgACAAIAAgAEwAQQBNAEIARABBACgAXABuACAAIAAgACAAIAAgACAAIAAgACAAIAAgACAAIAAgACAAIAAgACAAIAAgACAAIAAgACAAIAAgACAAIAAgACAAIABBAGMAYwAsAFwAbgAgACAAIAAgACAAIAAgACAAIAAgACAAIAAgACAAIAAgACAAIAAgACAAIAAgACAAIAAgACAAIAAgACAAIAAgACAAVgBhAGwALAAgAFwAbgAgACAAIAAgACAAIAAgACAAIAAgACAAIAAgACAAIAAgACAAIAAgACAAIAAgACAAIAAgACAAIAAgACAAIAAgACAATABFAFQAKABcAG4AIAAgACAAIAAgACAAIAAgACAAIAAgACAAIAAgACAAIAAgACAAIAAgACAAIAAgACAAIAAgACAAIAAgACAAIAAgACAAIAAgACAAUwB0AGEAcgB0ACwAIAAgAEkARgAoACgAVgBhAGwAIAAtACAAUwBpAHoAZQApACAAPAAgADEALAAgADAALAAgAFYAYQBsACAALQAgAFMAaQB6AGUAKQAsAFwAbgAgACAAIAAgACAAIAAgACAAIAAgACAAIAAgACAAIAAgACAAIAAgACAAIAAgACAAIAAgACAAIAAgACAAIAAgACAAIAAgACAAIABSAGkAZwBoAHQALAAgACAAVABBAEsARQAoAFYAYQBsAHUAZQBzACwAIAAsACAAVgBhAGwAKQAsAFwAbgAgACAAIAAgACAAIAAgACAAIAAgACAAIAAgACAAIAAgACAAIAAgACAAIAAgACAAIAAgACAAIAAgACAAIAAgACAAIAAgACAAIABCAGwAbwBjAGsALAAgACAASQBGACgAIABTAHQAYQByAHQAIAA+ACAAMAAsACAARABSAE8AUAAoACAAUgBpAGcAaAB0ACwAIAAsACAAUwB0AGEAcgB0ACAAKQAsACAAUgBpAGcAaAB0ACkALABcAG4AIAAgACAAIAAgACAAIAAgACAAIAAgACAAIAAgACAAIAAgACAAIAAgACAAIAAgACAAIAAgACAAIAAgACAAIAAgACAAIAAgACAATQBJAE4AKABCAGwAbwBjAGsAKQ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/ACAAKwAgADEALAAgAFIAZQBzAHUAbAB0ACwAIABIAGUAbABwACkAXABuACAAIAAgACAAKQBcAG4AKQA7AFwAbgBcAG4AXABuAFwAbgAvACoAIAAgAEYAVQBOAEMAVABJAE8ATgAgAE4AQQBNAEUAOgAgACAAUgBvAGwAbABpAG4AZwBTAHUAbQC7A1wAbgAgACAAIAAgAEQARQBTAEMAUgBJAFAAVABJAE8ATgA6ACoALwAvACoAKgBDAHIAZQBhAHQAZQBzACAAdABvAHQAYQBsAHMAIABmAG8AcgAgAHAAcgBlAGMAZQBlAGQAaQBuAGcAIAB2AGEAbAB1AGUAcwAgAG8AZgAgAGEAIABzAGUAdAAgAHMAaQB6AGUAIABtAG8AdgBpAG4AZwAgAGYAcgBvAG0AIABiAGUAZwBpAG4AbgBpAG4AZwAgAHQAbwAgAGUAbgBkACAAbwB2AGUAcgAgAGEAIAByAG8AdwAgAG8AZgAgAHYAYQBsAHUAZQBzAC4AKgAvAFwAbgAvACoAIAAgAFIARQBWAEkAUwBJAE8ATgBTADoAIAAgACAAIAAgACAARABhAHQAZQAgACAAIAAgACAAIAAgACAARABlAHYAZQBsAG8AcABlAHIAIAAgACAAIAAgACAAIABEAGUAcwBjAHIAaQBwAHQAaQBvAG4AIAAgAFwAbgAgACAAIAAgACAAIAAgACAAIAAgACAAIAAgACAAIAAgACAAIAAgACAASgBhAG4AIAAzADAAIAAyADAAMgA0ACAAQwByAGEAaQBnACAASABhAHQAbQBhAGsAZQByACAAIABDAG8AcAB5AHIAaQBnAGgAdABcAG4AIAAgACAAIAAgACAAIAAgACAAIAAgACAAIAAgACAAIAAgACAAIAAgAE0AYQB5ACAAMAAyACAAMgAwADIANAAgAEMAcgBhAGkAZwAgAEgAYQB0AG0AYQBrAGUAcgAgACAAQwBoAGEAbgBnAGUAZAAgAEMATwBVAE4AVABBACgAVgBhAGwAdQBlAHMAKQAgAHQAbwAgAEMATwBMAFUATQBOAFMAKAAgAFYAYQBsAHUAZQBzACkAXABuACoALwBcAG4AUgBvAGwAbABpAG4AZwBTAHUAbQC7AyAAPQAgAEwAQQBNAEIARABBACgAXABuAC8ALwAgACAAUABhAHIAYQBtAGUAdABlAHIAIABEAGUAYwBsAGEAcgBhAHQAaQBvAG4AcwBcAG4AIAAgACAAIABbAFYAYQBsAHUAZQBzAF0ALAAgAFwAbgAgACAAIAAgAFsAUwBpAHoAZQBdACwAXABuAC8ALwAgACAASABlAGwAcABcAG4AIAAgACAAIABMAEUAVAAoAEgAZQBsAHAALAAgACAAIAAgACAAIAAgAFQAUgBJAE0AKABUAEUAWABUAFMAUABMAEkAVAAoACAAXABuACAAIAAgACAAIAAgACAAIAAgACAAIAAgACAAIAAgACAAIAAgACAAIAAgACAAIAAgACAAIAAgACAAXAAiAEYAVQBOAEMAVABJAE8ATgA6ACAAIAAgACAAIAAgAJIhUgBvAGwAbABpAG4AZwBTAHUAbQC7AygAIABWAGEAbAB1AGUAcwAsACAAUwBpAHoAZQApALYAXAAiACAAJgBcAG4AIAAgACAAIAAgACAAIAAgACAAIAAgACAAIAAgACAAIAAgACAAIAAgACAAIAAgACAAIAAgACAAIABcACIARABFAFMAQwBSAEkAUABUAEkATwBOADoAIAAgACAAkiFDAHIAZQBhAHQAZQBzACAAdABvAHQAYQBsAHMAIABmAG8AcgAgAHAAcgBlAGMAZQBlAGQAaQBuAGcAIAB2AGEAbAB1AGUAcwAgAG8AZgAgAGEAIABzAGUAdAAgAHMAaQB6AGUAIABtAG8AdgBpAG4AZwC2AFwAIgAgACYAXABuACAAIAAgACAAIAAgACAAIAAgACAAIAAgACAAIAAgACAAIAAgACAAIAAgACAAIAAgACAAIAAgACAAIAAgACAAIAAgACAAIAAgACAAIAAgACAAIAAgACAAXAAiAJIhZgByAG8AbQAgAGIAZQBnAGkAbgBuAGkAbgBnACAAdABvACAAZQBuAGQAIABvAHYAZQByACAAYQAgAHIAbwB3ACAAbwBmACAAdgBhAGwAdQBlAHMAtgBcACIAIAAmACAAXABuACAAIAAgACAAIAAgACAAIAAgACAAIAAgACAAIAAgACAAIAAgACAAIAAgACAAIAAgACAAIAAgACAAXAAiAFcARQBCAFAAQQBHAEUAOgAgACAAIAAgACAAIAAgAJIhPABjAG8AbQBpAG4AZwAgAHMAbwBvAG4APgC2AFwAIgAgACYAXABuACAAIAAgACAAIAAgACAAIAAgACAAIAAgACAAIAAgACAAIAAgACAAIAAgACAAIAAgACAAIAAgACAAXAAiAFYARQBSAFMASQBPAE4AOgAgACAAIAAgACAAIAAgAJIhSgBhAG4AIAAzADAAIAAyADAAMgA0ALYAXAAiACAAJgBcAG4AIAAgACAAIAAgACAAIAAgACAAIAAgACAAIAAgACAAIAAgACAAIAAgACAAIAAgACAAIAAgACAAIABcACIAUABBAFIAQQBNAEUAVABFAFIAUwA6ACAAIAAgACAAkiG2AFwAIgAgACYAIABcAG4AIAAgACAAIAAgACAAIAAgACAAIAAgACAAIAAgACAAIAAgACAAIAAgACAAIAAgACAAIAAgACAAIABcACIAVgBhAGwAdQBlAHMAIAAgACAAIAAgACAAIAAgACAAkiEoAFIAZQBxAHUAaQByAGUAZAApACAAQQAgAHIAbwB3ACAAbwBmACAAdgBhAGwAdQBlAHMAIAB0AG8AIABiAGUAIAB0AG8AdABhAGwAbABlAGQALgC2AFwAIgAgACYAIABcAG4AIAAgACAAIAAgACAAIAAgACAAIAAgACAAIAAgACAAIAAgACAAIAAgACAAIAAgACAAIAAgACAAIABcACIAUwBpAHoAZQAgACAAIAAgACAAIAAgACAAIAAgACAAkiEoAFIAZQBxAHUAaQByAGUAZAApACAAVABoAGUAIABuAHUAbQBiAGUAcgAgAG8AZgAgAHYAYQBsAHUAZQBzACAAdABvACAAdABvAHQAYQBsACAAdABoAGEAdAAgALYAXAAiACAAJgAgAFwAbgAgACAAIAAgACAAIAAgACAAIAAgACAAIAAgACAAIAAgACAAIAAgACAAIAAgACAAIAAgACAAIAAgACAAIAAgACAAIAAgACAAIAAgACAAIAAgACAAIAAgAFwAIgCSIWkAbgBjAGwAdQBkAGUAIABhAG4AZAAgAHAAcgBlAGMAZQBlAGQAIAB0AGgAZQAgAGMAdQByAHIAZQBuAHQAIAB2AGEAbAB1AGUAtgBcACIAIAAm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EIAWABGACAAaQBzACAAYQBzAHMAdQBtAGUAZAAgAHQAbwAgAGIAZQAgAHQAaABlACAAbQBvAGQAdQBsAGUAJwBzACAAbgBhAG0AZQApALYAXAAiACAAJgBcAG4AIAAgACAAIAAgACAAIAAgACAAIAAgACAAIAAgACAAIAAgACAAIAAgACAAIAAgACAAIAAgACAAIABcACIAMQAsADMALAA2ACwAOQAsADEAMgAgACAAIAAgACAAkiE9AEIAWABGAC4AUgBvAGwAbABpAG4AZwBNAGkAbgC7AygAUwBFAFEAVQBFAE4AQwBFACgALAAgADUAKQAsACAAMwApAFwAIgAsAFwAbgAgACAAIAAgACAAIAAgACAAIAAgACAAIAAgACAAIAAgACAAIAAgACAAIAAgACAAIABcACIAkiFcACIALAAgAFwAIgC2AFwAIgAgACkAXABu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FYAYQBsAHUAZQBzACkALABcAG4AIAAgACAAIAAgACAAIAAgACAAIAAgACAAIAAgACAAIAAgACAAIAAgACAAIAAgACAAIAAgACAAIABJAFMATwBNAEkAVABUAEUARAAoACAAUwBpAHoAZQApACkALABcAG4AIAAgACAAIAAvAC8AIAAgAFAAcgBvAGMAZQBkAHUAcgBlAFwAbgAgACAAIAAgACAAIAAgACAAQwBvAHUAbgB0AGUAcgAsACAAIAAgACAAIAAgACAAIABTAEUAUQBVAEUATgBDAEUAKAAsAEMATwBMAFUATQBOAFMAKAAgAFYAYQBsAHUAZQBzACkAKQAsAFwAbgAgACAAIAAgACAAIAAgACAAUgBlAHMAdQBsAHQALAAgACAAIAAgACAAIAAgACAAIABTAEMAQQBOACgAIABcAG4AIAAgACAAIAAgACAAIAAgACAAIAAgACAAIAAgACAAIAAgACAAIAAgACAAIAAgACAAIAAgACAAIAAwACwAIABcAG4AIAAgACAAIAAgACAAIAAgACAAIAAgACAAIAAgACAAIAAgACAAIAAgACAAIAAgACAAIAAgACAAIABDAG8AdQBuAHQAZQByACwAIABcAG4AIAAgACAAIAAgACAAIAAgACAAIAAgACAAIAAgACAAIAAgACAAIAAgACAAIAAgACAAIAAgACAAIABMAEEATQBCAEQAQQAoAFwAbgAgACAAIAAgACAAIAAgACAAIAAgACAAIAAgACAAIAAgACAAIAAgACAAIAAgACAAIAAgACAAIAAgACAAIAAgACAAQQBjAGMALABcAG4AIAAgACAAIAAgACAAIAAgACAAIAAgACAAIAAgACAAIAAgACAAIAAgACAAIAAgACAAIAAgACAAIAAgACAAIAAgAFYAYQBsACwAIABcAG4AIAAgACAAIAAgACAAIAAgACAAIAAgACAAIAAgACAAIAAgACAAIAAgACAAIAAgACAAIAAgACAAIAAgACAAIAAgAEwARQBUACgAXABuACAAIAAgACAAIAAgACAAIAAgACAAIAAgACAAIAAgACAAIAAgACAAIAAgACAAIAAgACAAIAAgACAAIAAgACAAIAAgACAAIAAgAFMAdABhAHIAdAAsACAAIABJAEYAKAAoAFYAYQBsACAALQAgAFMAaQB6AGUAKQAgADwAIAAxACwAIAAwACwAIABWAGEAbAAgAC0AIABTAGkAegBlACkALABcAG4AIAAgACAAIAAgACAAIAAgACAAIAAgACAAIAAgACAAIAAgACAAIAAgACAAIAAgACAAIAAgACAAIAAgACAAIAAgACAAIAAgACAAUgBpAGcAaAB0ACwAIAAgAFQAQQBLAEUAKABWAGEAbAB1AGUAcwAsACAALAAgAFYAYQBsACkALABcAG4AIAAgACAAIAAgACAAIAAgACAAIAAgACAAIAAgACAAIAAgACAAIAAgACAAIAAgACAAIAAgACAAIAAgACAAIAAgACAAIAAgACAAQgBsAG8AYwBrACwAIAAgAEkARgAoACAAUwB0AGEAcgB0ACAAPgAgADAALAAgAEQAUgBPAFAAKAAgAFIAaQBnAGgAdAAsACAALAAgAFMAdABhAHIAdAAgACkALAAgAFIAaQBnAGgAdAApACwAXABuACAAIAAgACAAIAAgACAAIAAgACAAIAAgACAAIAAgACAAIAAgACAAIAAgACAAIAAgACAAIAAgACAAIAAgACAAIAAgACAAIAAgAFMAVQBNACgAQgBsAG8AYwBr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JIhUwB1AG0AQwBvAG4AdABhAGkAbgBzALsDXABuACAAIAAgACAARABFAFMAQwBSAEkAUABUAEkATwBOADoAKgAvAC8AKgAqAJIhQwByAGUAYQB0AGUAcwAgAGEAIAByAG8AdwAgAG8AZgAgAHQAbwB0AGEAbABzACAAZgBvAHIAIABlAGEAYwBoACAAcgBvAHcAIABpAG4AIABhAG4AIABhAHIAcgBhAHkAIAB3AGgAZQByAGUAIABcAG4AaQB0AHMAIABsAGEAYgBlAGwAcwAgAGMAbwBuAHQAYQBpAG4AIABhACAAbABlAHQAdABlAHIALAAgAHcAbwByAGQALAAgAG8AcgAgAHAAaAByAGEAcwBlACoALwBcAG4ALwAqACAAIABSAEUAVgBJAFMASQBPAE4AUwA6ACAAIAAgACAAIAAgAEQAYQB0AGUAIAAgACAAIAAgACAAIAAgAEQAZQB2AGUAbABvAHAAZQByACAAIAAgACAAIAAgACAARABlAHMAYwByAGkAcAB0AGkAbwBuACAAIABcAG4AIAAgACAAIAAgACAAIAAgACAAIAAgACAAIAAgACAAIAAgACAAIAAgAEoAYQBuACAAMQA5ACAAMgAwADIANAAgAEMAcgBhAGkAZwAgAEgAYQB0AG0AYQBrAGUAcgAgACAAQwBvAHAAeQByAGkAZwBoAHQAXABuACoALwBcAG4AUwB1AG0AQwBvAG4AdABhAGkAbgBzALsDIAA9ACAATABBAE0AQgBEAEEAKABcAG4ALwAvACAAIABQAGEAcgBhAG0AZQB0AGUAcgAgAEQAZQBjAGwAYQByAGEAdABpAG8AbgBzAFwAbgAgACAAIAAgAFsAVgBhAGwAdQBlAHMAVABvAEYAaQBsAHQAZQByAF0ALABcAG4AIAAgACAAIABbAFYAYQBsAHUAZQBMAGEAYgBlAGwAcwBdACwAXABuACAAIAAgACAAWwBGAGkAbAB0AGUAcgBCAHkAVABlAHgAdABdACwAXABuACAAIAAgACAAWwBJAGcAbgBvAHIAZQBDAGEAcwBlAD8AXQAs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MAdQBtAEMAbwBuAHQAYQBpAG4AcwC7AygAVgBhAGwAdQBlAHMAVABvAEYAaQBsAHQAZQByACwAIABWAGEAbAB1AGUATABhAGIAZQBsAHMALAAgAEYAaQBsAHQAZQByAEIAeQBUAGUAeAB0ACwAIABbAEkAZwBuAG8AcgBlAEMAYQBzAGUAPwBdACkAtgBcACIAIAAmAFwAbgAgACAAIAAgACAAIAAgACAAIAAgACAAIAAgACAAIAAgACAAIAAgACAAIAAgACAAIAAgACAAIAAgAFwAIgBEAEUAUwBDAFIASQBQAFQASQBPAE4AOgAgACAAIACSIUMAcgBlAGEAdABlAHMAIABhACAAcgBvAHcAIABvAGYAIABjAG8AbAB1AG0AbgAgAHQAbwB0AGEAbABzACAAZgBvAHIAIABlAGEAYwBoACAAcgBvAHcAIABpAG4AIABhAG4AIABhAHIAcgBhAHkAIAB3AGgAZQByAGUAtgBcACIAIAAmACAAXABuACAAIAAgACAAIAAgACAAIAAgACAAIAAgACAAIAAgACAAIAAgACAAIAAgACAAIAAgACAAIAAgACAAIAAgACAAIAAgACAAIAAgACAAIAAgACAAIAAgACAAXAAiAJIhaQB0AHMAIABsAGEAYgBlAGwAcwAgAGMAbwBuAHQAYQBpAG4AIABhACAAdQBuAGkAcQB1AGUAIABsAGUAdAB0AGUAcgAsACAAdwBvAHIAZAAsACAAbwByACAAcABoAHIAYQBzAGUALgC2AFwAIgAgACYAIABcAG4AIAAgACAAIAAgACAAIAAgACAAIAAgACAAIAAgACAAIAAgACAAIAAgACAAIAAgACAAIAAgACAAIABcACIAVwBFAEIAUABBAEcARQA6ACAAIAAgACAAIAAgACAAkiE8AEMAbwBtAGkAbgBnACAAcwBvAG8AbgA+ALYAXAAiACAAJgAgAFwAbgAgACAAIAAgACAAIAAgACAAIAAgACAAIAAgACAAIAAgACAAIAAgACAAIAAgACAAIAAgACAAIAAgAFwAIgBWAEUAUgBTAEkATwBOADoAIAAgACAAIAAgACAAIACSIUoAYQBuACAAMQA5ACAAMgAwADIANAC2AFwAIgAgACYAXABuACAAIAAgACAAIAAgACAAIAAgACAAIAAgACAAIAAgACAAIAAgACAAIAAgACAAIAAgACAAIAAgACAAXAAiAFAAQQBSAEEATQBFAFQARQBSAFMAOgAgACAAIAAgAJIhtgBcACIAIAAmACAAXABuACAAIAAgACAAIAAgACAAIAAgACAAIAAgACAAIAAgACAAIAAgACAAIAAgACAAIAAgACAAIAAgACAAXAAiAFYAYQBsAHUAZQBzAFQAbwBGAGkAbAB0AGUAcgAgAJIhKABSAGUAcQB1AGkAcgBlAGQAKQAgAEEAbgAgAGEAcgByAGEAeQAgAG8AZgAgAHYAYQBsAHUAZQBzACAAdABvACAAYgBlACAAZgBpAGwAdABlAHIAZQBkALYAXAAiACAAJgAgACAAIAAgACAAIAAgACAAIAAgACAAIAAgACAAIAAgACAAIAAgAFwAbgAgACAAIAAgACAAIAAgACAAIAAgACAAIAAgACAAIAAgACAAIAAgACAAIAAgACAAIAAgACAAIAAgAFwAIgBWAGEAbAB1AGUATABhAGIAZQBsAHMAIAAgACAAIACSISgAUgBlAHEAdQBpAHIAZQBkACkAIABBAG4AIABhAHIAcgBhAHkAIABjAG8AbgB0AGEAaQBuAGkAbgBnACAAdABoAGUAIAB2AGEAbAB1AGUAcwAnACAAbABhAGIAZQBsAHMAtgBcACIAIAAmACAAIAAgACAAIAAgACAAIAAgACAAIAAgACAAIAAgACAAIAAgACAAXABuACAAIAAgACAAIAAgACAAIAAgACAAIAAgACAAIAAgACAAIAAgACAAIAAgACAAIAAgACAAIAAgACAAXAAiAEYAaQBsAHQAZQByAEIAeQBUAGUAeAB0ACAAIAAgAJIhKABSAGUAcQB1AGkAcgBlAGQAKQAgAEEAIAB1AG4AaQBxAHUAZQAgAGwAZQB0AHQAZQByACwAIAB3AG8AcgBkACAAbwByACAAcABoAHIAYQBzAGUAIAB0AG8AIABmAGkAbgBkACAAYwBvAG4AdABhAGkAbgBlAGQAIABpAG4AIABWAGEAbAB1AGUATABhAGIAZQBsAHMAtgBcACIAIAAmACAAIAAgACAAIAAgACAAIAAgACAAIAAgACAAIAAgACAAIAAgACAAXABuACAAIAAgACAAIAAgACAAIAAgACAAIAAgACAAIAAgACAAIAAgACAAIAAgACAAIAAgACAAIAAgACAAXAAiAEkAZwBuAG8AcgBlAEMAYQBzAGUAPwAgACAAIAAgAJIhKABPAHAAdABpAG8AbgBhAGwAKQAgAEEAIABmAGwAYQBnACAAdABvACAAZABlAHQAZQByAG0AaQBuAGUAIABpAGYAIABUAGUAeAB0ACcAcwAgAGMAYQBzAGUAIABpAHMAIABpAG0AcABvAHIAdABhAG4AdAAuACAARABlAGYAYQB1AGwAdAAgAGkAcwAgAFQAUgBVAEUAtgBcACIAIAAmACA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EIAWABGACAAaQBzACAAYQBzAHMAdQBtAGUAZAAgAHQAbwAgAGIAZQAgAHQAaABlACAAbQBvAGQAdQBsAGUAJwBzACAAbgBhAG0AZQApALYAXAAiACAAJgBcAG4AIAAgACAAIAAgACAAIAAgACAAIAAgACAAIAAgACAAIAAgACAAIAAgACAAIAAgACAAIAAgACAAIABcACIAIAAgACAAIAAgACAAIAAgACAAIAAgACAAIAAgACAAkiE9AEIAWABGAC4AUwB1AG0AQwBvAG4AdABhAGkAbgBzALsDKAAgAEEAcgByAGEAeQAsACAATABhAGIAZQBsAHMALAAgAFwAIgBcACIAQwBBAFAARQBYAFwAIgBcACIAIAApAFwAIgAs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VgBhAGwAdQBlAHMAVABvAEYAaQBsAHQAZQByACkALAAgAFwAbgAgACAAIAAgACAAIAAgACAAIAAgACAAIAAgACAAIAAgACAAIAAgACAAIAAgACAAIAAgACAAIAAgAEkAUwBPAE0ASQBUAFQARQBEACgAIABWAGEAbAB1AGUATABhAGIAZQBsAHMAKQAsACAAXABuACAAIAAgACAAIAAgACAAIAAgACAAIAAgACAAIAAgACAAIAAgACAAIAAgACAAIAAgACAAIAAgACAASQBTAE8ATQBJAFQAVABFAEQAKAAgAEYAaQBsAHQAZQByAEIAeQBUAGUAeAB0ACkAKQAsAFwAbgAgACAAIAAgAC8ALwAgACAAQwBoAGUAYwBrACAAaQBuAHAAdQB0AHMAIAAtACAAUwBlAHQAIABkAGUAZgBhAHUAbAB0AHMAXABuACAAIAAgACAAIAAgACAAIABJAGcAbgBvAHIAZQBDAGEAcwBlAD8ALAAgACAAIAAgAEkARgAoACAASQBTAEwATwBHAEkAQwBBAEwAKAAgAEkAZwBuAG8AcgBlAEMAYQBzAGUAPwApACwAIABJAGcAbgBvAHIAZQBDAGEAcwBlAD8ALAAgAFQAUgBVAEUAKQAsAFwAbgAgACAAIAAgAC8ALwAgACAAUAByAG8AYwBlAGQAdQByAGUAXABuACAAIAAgACAAIAAgACAAIABNAGEAdABjAGgAZQBzACwAIAAgACAAIAAgACAAIAAgAEkARgAoACAASQBnAG4AbwByAGUAQwBhAHMAZQA/ACwAIABcAG4AIAAgACAAIAAgACAAIAAgACAAIAAgACAAIAAgACAAIAAgACAAIAAgACAAIAAgACAAIAAgACAAIABTAEUAQQBSAEMASAAoACAARgBpAGwAdABlAHIAQgB5AFQAZQB4AHQALAAgAFYAYQBsAHUAZQBMAGEAYgBlAGwAcwApACwAXABuACAAIAAgACAAIAAgACAAIAAgACAAIAAgACAAIAAgACAAIAAgACAAIAAgACAAIAAgACAAIAAgACAARgBJAE4ARAAoACAARgBpAGwAdABlAHIAQgB5AFQAZQB4AHQALAAgAFYAYQBsAHUAZQBMAGEAYgBlAGwAcwApAFwAbgAgACAAIAAgACAAIAAgACAAIAAgACAAIAAgACAAIAAgACAAIAAgACAAIAAgACAAIAApACwAXABuACAAIAAgACAAIAAgACAAIABGAGkAbAB0AGUAcgBlAGQAUgBvAHcAcwAsACAAIAAgAEYASQBMAFQARQBSACgAIABWAGEAbAB1AGUAcwBUAG8ARgBpAGwAdABlAHIALAAgAEkAUwBOAFUATQBCAEUAUgAoACAATQBhAHQAYwBoAGUAcwApACkALABcAG4AIAAgACAAIAAgACAAIAAgAFIAZQBzAHUAbAB0ACwAIAAgACAAIAAgACAAIAAgACAAQgBZAEMATwBMACgARgBpAGwAdABlAHIAZQBkAFIAbwB3AHMALAAgAEwAQQBNAEIARABBACgAIABDAG8AbAAsACAAUwBVAE0AKABDAG8AbAApACkAKQAsAFwAbgAgACAAIAAgAC8ALwAgACAAUgBlAHQAdQByAG4AIABSAGUAcwB1AGwAdAAgAG8AcgAgAGgAZQBsAHAAXABuACAAIAAgACAAIAAgACAAIABDAEgATwBPAFMARQAoAEgAZQBsAHAAPwAgACsAIAAxACwAIABSAGUAcwB1AGwAdAAsACAASABlAGwAcAApAFwAbgAgACAAIAAgACkAIAAgAFwAbgApADsAXABuAFwAbgBcAG4ALwAqACAAIABGAFUATgBDAFQASQBPAE4AIABOAEEATQBFADoAIAAgAFMAdQBtAFAAZQByAGkAbwBkAHMAuwNcAG4AIAAgACAAIABEAEUAUwBDAFIASQBQAFQASQBPAE4AOgAqAC8ALwAqACoARwByAG8AdQBwAHMAIABhAG4AZAAgAHQAbwB0AGEAbABzACAAYQBsAGwAIABjAG8AbAB1AG0AbgBzACAAaQBuACAAYQAgAFYAYQBsAHUAZQBzACAAYQByAHIAYQB5ACAAYgB5ACAAcABlAHIAaQBvAGQAIAByAGUAcwB1AGwAdABpAG4AZwAgAGkAbgAgAG8AbgBlACAAYwBvAGwAdQBtAG4AIABmAG8AcgAgAGUAYQBjAGgAIABwAGUAcgBpAG8AZAAqAC8AXABuAC8AKgAgACAAUgBFAFYASQBTAEkATwBOAFMAOgAgACAAIAAgACAAIABEAGEAdABlACAAIAAgACAAIAAgACAAIABEAGUAdgBlAGwAbwBwAGUAcgAgACAAIAAgACAAIAAgAEQAZQBzAGMAcgBpAHAAdABpAG8AbgAgACAAXABuACAAIAAgACAAIAAgACAAIAAgACAAIAAgACAAIAAgACAAIAAgACAAIABNAGEAcgAgADAANAAgADIAMAAyADIAIABDAHIAYQBpAGcAIABIAGEAdABtAGEAawBlAHIAIAAgAE8AcgBpAGcAaQBuAGEAbAAgAEQAZQB2AGUAbABvAHAAbQBlAG4AdABcAG4AIAAgACAAIAAgACAAIAAgACAAIAAgACAAIAAgACAAIAAgACAAIAAgAEEAcAByACAAMQAwACAAMgAwADIAMwAgAEMAcgBhAGkAZwAgAEgAYQB0AG0AYQBrAGUAcgAgACAAUgBlAG0AbwB2AGUAIABTAFUATQBJAEYAUwAgAHQAbwAgAGIAZQAgAGMAbwBtAHAAYQB0AGkAYgBsAGUAIAB3AGkAdABoACAAYQByAHIAYQB5AHMALgAgAEEAZABkAGUAZAAgAEgAZQBsAHAALgBcAG4AKgAvAFwAbgBTAHUAbQBQAGUAcgBpAG8AZABzALsDIAA9ACAATABBAE0AQgBEAEEAKABcAG4ALwAvACAAIABQAGEAcgBhAG0AZQB0AGUAcgAgAEQAZQBjAGwAYQByAGEAdABpAG8AbgBzAFwAbgAgACAAIAAgAFsAVgBhAGwAdQBlAHMAXQAsAFwAbgAgACAAIAAgAFsARABhAHQAZQBzAF0ALABcAG4AIAAgACAAIABbAFAAZQByAGkAbwBkAFMAdABhAHIAdABzAF0ALABcAG4AIAAgACAAIABcAG4ALwAvACAAIABQAHIAbwBjAGUAZAB1AHIAZQBcAG4AIAAgACAAIABMAEUAVAAoAEgAZQBsAHAALAAgACAAIAAgACAAIAAgAFQAUgBJAE0AKABUAEUAWABUAFMAUABMAEkAVAAoACAAXABuACAAIAAgACAAIAAgACAAIAAgACAAIAAgACAAIAAgACAAIAAgACAAIAAgACAAIAAgACAAIAAgACAAXAAiAEYAVQBOAEMAVABJAE8ATgA6ACAAIAAgACAAIAAgAJIhUwB1AG0AUABlAHIAaQBvAGQAcwC7AygAIABWAGEAbAB1AGUAcwAsACAARABhAHQAZQBzACwAIABQAGUAcgBpAG8AZABTAHQAYQByAHQAcwApALYAXAAiACAAJgBcAG4AIAAgACAAIAAgACAAIAAgACAAIAAgACAAIAAgACAAIAAgACAAIAAgACAAIAAgACAAIAAgACAAIABcACIARABFAFMAQwBSAEkAUABUAEkATwBOADoAIAAgACAAkiFTAHUAbQBtAGEAcgBpAHoAZQBzACAAdgBhAGwAdQBlAHMAIAB3AGgAZQByAGUAIABlAGEAYwBoACAAdgBhAGwAdQBlACAAYwBvAGwAdQBtAG4AIABpAHMAIABmAG8AcgAgAG8AbgBlACAAZABhAHkAIAC2AFwAIgAgACYAIABcAG4AIAAgACAAIAAgACAAIAAgACAAIAAgACAAIAAgACAAIAAgACAAIAAgACAAIAAgACAAIAAgACAAIAAgACAAIAAgACAAIAAgACAAIAAgACAAIAAgACAAIABcACIAkiFpAG4AdABvACAAbwBuAGUAIABjAG8AbAB1AG0AbgAgAGYAbwByACAAZQBhAGMAaAAgAHAAZQByAGkAbwBkAC4AIAC2AFwAIgAgACYAIABcAG4AIAAgACAAIAAgACAAIAAgACAAIAAgACAAIAAgACAAIAAgACAAIAAgACAAIAAgACAAIAAgACAAIABcACIAVgBFAFIAUwBJAE8ATgA6ACAAIAAgACAAIAAgACAAkiFBAHAAcgAgADEAMAAgADIAMAAyADMAtgBcACIAIAAmAFwAbgAgACAAIAAgACAAIAAgACAAIAAgACAAIAAgACAAIAAgACAAIAAgACAAIAAgACAAIAAgACAAIAAgAFwAIgBXAEUAQgBQAEEARwBFADoAIAAgACAAIAAgACAAIACSITwAYwBvAG0AaQBuAGcAIABzAG8AbwBuAD4AtgBcACIAIAAmAFwAbgAgACAAIAAgACAAIAAgACAAIAAgACAAIAAgACAAIAAgACAAIAAgACAAIAAgACAAIAAgACAAIAAgAFwAIgBQAEEAUgBBAE0ARQBUAEUAUgBTADoAkiG2AFwAIgAgACYAIABcAG4AIAAgACAAIAAgACAAIAAgACAAIAAgACAAIAAgACAAIAAgACAAIAAgACAAIAAgACAAIAAgACAAIABcACIAVgBhAGwAdQBlAHMAIAAgACAAIAAgACAAIAAgACAAkiEoAFIAZQBxAHUAaQByAGUAZAApACAAQQAgAHQAdwBvACAAZABpAG0AZQBuAHMAaQBvAG4AYQBsACAAYQByAHIAYQB5AC8AcgBhAG4AZwBlACAAYwBvAG4AdABhAGkAbgBpAG4AZwAgAHYAYQBsAHUAZQBzACAAdABvACAAYgBlACAAcwB1AG0AbQBlAGQAIAB3AGgAZQByAGUAXAAiACAAJgAgAFwAbgAgACAAIAAgACAAIAAgACAAIAAgACAAIAAgACAAIAAgACAAIAAgACAAIAAgACAAIAAgACAAIAAgACAAIAAgACAAIAAgACAAIAAgACAAIAAgACAAIAAgACAAXAAiAGUAYQBjAGgAIABjAG8AbAB1AG0AbgAgAGkAcwAgAGYAbwByACAAYQAgAHMAcABlAGMAaQBmAGkAYwAgAGQAYQB5ALYAXAAiACAAJgAgAFwAbgAgACAAIAAgACAAIAAgACAAIAAgACAAIAAgACAAIAAgACAAIAAgACAAIAAgACAAIAAgACAAIAAgAFwAIgBEAGEAdABlAHMAIAAgACAAIAAgACAAIAAgACAAIACSISgAUgBlAHEAdQBpAHIAZQBkACkAIABBACAAcgBvAHcAIABvAGYAIABkAGEAdABlAHMAIABwAHIAbwB2AGkAZABpAG4AZwAgAHQAaABlACAAZABhAHQAZQAgAGYAbwByACAAZQBhAGMAaAAgAFYAYQBsAHUAZQBzACAAYwBvAGwAdQBtAG4AtgBcACIAIAAmAFwAbgAgACAAIAAgACAAIAAgACAAIAAgACAAIAAgACAAIAAgACAAIAAgACAAIAAgACAAIAAgACAAIAAgAFwAIgBQAGUAcgBpAG8AZABTAHQAYQByAHQAcwAgACAAIACSISgAUgBlAHEAdQBpAHIAZQBkACkAIABBACAAcgBvAHcAIABvAGYAIABwAGUAcgBpAG8AZAAgAHMAdABhAHIAdAAgAGQAYQB0AGUAcwC2AFwAIgAgACY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EIAWABGACAAaQBzACAAYQBzAHMAdQBtAGUAZAAgAHQAbwAgAGIAZQAgAHQAaABlACAAbQBvAGQAdQBsAGUAJwBzACAAbgBhAG0AZQApALYAXAAiACAAJgBcAG4AIAAgACAAIAAgACAAIAAgACAAIAAgACAAIAAgACAAIAAgACAAIAAgACAAIAAgACAAIAAgACAAIABcACIAMAAzACwAIAAwADcAIAAgACAAIAAgACAAIAAgACAAkiE9AEIAWABGAC4AUwB1AG0AUABlAHIAaQBvAGQAcwC7AygAewAxACwAMgAsADMALAA0ADsANAAsADMALAAyACwAMQA7ADEAMAAsADIAMAAsADMAMAAsADQAMAB9ACwAIAB7ADEALAAyACwAMwAsADQAfQAsACAAewAxACwAMwB9ACkAtgBcACIAIAAmACAAXABuACAAIAAgACAAIAAgACAAIAAgACAAIAAgACAAIAAgACAAIAAgACAAIAAgACAAIAAgACAAIAAgACAAXAAiADAANwAsACAAMAAzACAAIAAgACAAIAAgACAAIAAgAJIhtgBcACIAIAAmACAAXABuACAAIAAgACAAIAAgACAAIAAgACAAIAAgACAAIAAgACAAIAAgACAAIAAgACAAIAAgACAAIAAgACAAXAAiADMAMAAsACAANwAwACAAIAAgACAAIAAgACAAIAAgAJIh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/ACwAIAAgACAAIAAgACAAIAAgACAAIABPAFIAKAAgAEkAUwBPAE0ASQBUAFQARQBEACgAIABWAGEAbAB1AGUAcwApACwAXABuACAAIAAgACAAIAAgACAAIAAgACAAIAAgACAAIAAgACAAIAAgACAAIAAgACAAIAAgACAAIAAgACAASQBTAE8ATQBJAFQAVABFAEQAKAAgAEQAYQB0AGUAcwApACwAXABuACAAIAAgACAAIAAgACAAIAAgACAAIAAgACAAIAAgACAAIAAgACAAIAAgACAAIAAgACAAIAAgACAASQBTAE8ATQBJAFQAVABFAEQAKAAgAFAAZQByAGkAbwBkAFMAdABhAHIAdABzACkAKQAsAFwAbgAgACAAIAAgAC8ALwAgACAAUAByAG8AYwBlAGQAdQByAGUAXABuACAAIAAgACAAIAAgACAAIABQAHIAZABOAHUAbQAsACAAIAAgACAAIAAgACAAIAAgAE0AQQBUAEMASAAoAEQAYQB0AGUAcwAsACAAUABlAHIAaQBvAGQAUwB0AGEAcgB0AHMALAAgADEAKQAsAFwAbgAgACAAIAAgACAAIAAgACAAUgBlAHMAdQBsAHQALAAgACAAIAAgACAAIAAgACAAIABNAEEASwBFAEEAUgBSAEEAWQAoAFwAbgAgACAAIAAgACAAIAAgACAAIAAgACAAIAAgACAAIAAgACAAIAAgACAAIAAgACAAIAAgACAAIAAgAFIATwBXAFMAKABWAGEAbAB1AGUAcwApACwAXABuACAAIAAgACAAIAAgACAAIAAgACAAIAAgACAAIAAgACAAIAAgACAAIAAgACAAIAAgACAAIAAgACAAQwBPAEwAVQBNAE4AUwAoAFAAZQByAGkAbwBkAFMAdABhAHIAdABzACkALABcAG4AIAAgACAAIAAgACAAIAAgACAAIAAgACAAIAAgACAAIAAgACAAIAAgACAAIAAgACAAIAAgACAAIABMAEEATQBCAEQAQQAoAFwAbgAgACAAIAAgACAAIAAgACAAIAAgACAAIAAgACAAIAAgACAAIAAgACAAIAAgACAAIAAgACAAIAAgACAAIAAgACAAUgBvAHcALAAgAFwAbgAgACAAIAAgACAAIAAgACAAIAAgACAAIAAgACAAIAAgACAAIAAgACAAIAAgACAAIAAgACAAIAAgACAAIAAgACAAQwBvAGwALAAgAFwAbgAgACAAIAAgACAAIAAgACAAIAAgACAAIAAgACAAIAAgACAAIAAgACAAIAAgACAAIAAgACAAIAAgACAAIAAgACAAUwBVAE0AKABJAE4ARABFAFgAKABWAGEAbAB1AGUAcwAsACAAUgBvAHcALAAgACkAIAAqACAAKABDAG8AbAAgAD0AIABQAHIAZABOAHUAbQApACkAXABuACAAIAAgACAAIAAgACAAIAAgACAAIAAgACAAIAAgACAAIAAgACAAIAAgACAAIAAgACAAIAAgACAAIAAgACAAIAApAFwAbgAgACAAIAAgACAAIAAgACAAIAAgACAAIAAgACAAIAAgACAAIAAgACAAIAAgACAAIAApACwAIAAgACAAIAAgACAAIAAgACAAIAAgACAAXABuACAAIAAgACAALwAvACAAIABSAGUAdAB1AHIAbgAgAFIAZQBzAHUAbAB0AFwAbgAgACAAIAAgACAAIAAgACAAQwBIAE8ATwBTAEUAKABIAGUAbABwAD8AIAArACAAMQAsACAAUgBlAHMAdQBsAHQALAAgAEgAZQBsAHAAKQBcAG4AIAAgACAAIAApAFwAbgApADsAXABuAFwAbgBcAG4AXABuAFwAbgBcAG4ALwAvACAAIABBAG0AbwByAHQAaQB6AGEAdABpAG8AbgAgAFMAdQBpAHQAZQBcAG4AXABuAC8AKgAgACAARgBVAE4AQwBUAEkATwBOACAATgBBAE0ARQA6ACAAIABBAG0AbwByAHQAaQB6AGUAuwNcAG4AIAAgACAAIABEAEUAUwBDAFIASQBQAFQASQBPAE4AOgAqAC8ALwAqACoAQwByAGUAYQB0AGUAcwAgAGEAIABjAG8AcgBrAHMAYwByAGUAdwAgAGEAbQBvAHIAdABpAHoAYQB0AGkAbwBuACAAcwBjAGgAZQBkAHUAbABlACoALwBcAG4ALwAqACAAIABSAEUAVgBJAFMASQBPAE4AUwA6ACAAIAAgACAAIAAgAEQAYQB0AGUAIAAgACAAIAAgACAAIAAgAEQAZQB2AGUAbABvAHAAZQByACAAIAAgACAAIAAgACAARABlAHMAYwByAGkAcAB0AGkAbwBuACAAIABcAG4AIAAgACAAIAAgACAAIAAgACAAIAAgACAAIAAgACAAIAAgACAAIAAgAEoAdQBsACAAMQAzACAAMgAwADIAMwAgAEMAcgBhAGkAZwAgAEgAYQB0AG0AYQBrAGUAcgAgACAATwByAGkAZwBpAG4AYQBsACAARABlAHYAZQBsAG8AcABtAGUAbgB0AFwAbgAgACAAIAAgACAAIAAgACAAIAAgACAAIAAgACAAIAAgACAAIAAgACAARABlAGMAIAAyADAAIAAyADAAMgAzACAAQwByAGEAaQBnACAASABhAHQAbQBhAGsAZQByACAAIABQAGEAeQBtAGUAbgB0AHMAIABhAHIAZQAgAGEAcwBzAHUAbQBlAGQAIAB0AG8AIABiAGUAIABwAGEAaQBkACAAbQBvAG4AdABoAGwAeQBcAG4AIAAgACAAIAAgACAAIAAgACAAIAAgACAAIAAgACAAIAAgACAAIAAgAEoAYQBuACAAMQA4ACAAMgAwADIANAAgAEMAcgBhAGkAZwAgAEgAYQB0AG0AYQBrAGUAcgAgACAAQQBkAGQAZQBkACAARABlAGIAdAAgAEkAcwBzAHUAYQBuAGMAZQBcAG4AIAAgACAAIAAgACAAIAAgACAAIAAgACAAIAAgACAAIAAgACAAIAAgAE0AYQB5ACAAMAAyACAAMgAwADIANAAgAEMAcgBhAGkAZwAgAEgAYQB0AG0AYQBrAGUAcgAgACAAQwBvAG4AdgBlAHIAdABlAGQAIAB0AG8AIABhAG4AbwBuAHkAbQBvAHUAcwAgAHIAZQBjAHUAcgBzAGkAbwBuAFwAbgAgACAAIAAgACAAIAAgACAAIAAgACAAIAAgACAAIAAgACAAIAAgACAATQBhAHkAIAAxADEAIAAyADAAMgA0ACAAQwByAGEAaQBnACAASABhAHQAbQBhAGsAZQByACAAIABDAG8AcgByAGUAYwB0AGUAZAAgAGkAcwBzAHUAZQAgAHcAaQB0AGgAIABtAG8AbgB0AGgAIAB0AG8AIAB5AGUAYQByACAAYQBnAGcAcgBlAGcAYQB0AGkAbwBuAFwAbgBcAG4AKgAvAFwAbgBBAG0AbwByAHQAaQB6AGUAuwMgAD0AIABMAEEATQBCAEQAQQAoAFwAbgAvAC8AIAAgAFAAYQByAGEAbQBlAHQAZQByACAARABlAGMAbABhAHIAYQB0AGkAbwBuAHMAXABuACAAIAAgACAAWwBQAHIAaQBuAGMAaQBwAGEAbABzAF0ALAAgAFwAbgAgACAAIAAgAFsAQQBQAFIAcwBdACwAIABcAG4AIAAgACAAIABbAFQAZQByAG0AcwBdACwAIABcAG4AIAAgACAAIABbAFMAdABhAHIAdABEAGEAdABlAHMAXQAsAFwAbgAgACAAIAAgAFsAVABpAG0AZQBsAGkAbgBlAF0ALABcAG4AXABuACAAIAAgACAATABFAFQAKABcAG4AIAAgACAAIAAvAC8AIAAgAEgAZQBsAHAAIAAgACAAIAAgACAAIAAgAFwAbgAgACAAIAAgACAAIAAgACAASABlAGwAcAAsACAAIAAgACAAIAAgACAAVABSAEkATQAoAFQARQBYAFQAUwBQAEwASQBUACgAIABcAG4AIAAgACAAIAAgACAAIAAgACAAIAAgACAAIAAgACAAIAAgACAAIAAgACAAIAAgACAAXAAiAEYAVQBOAEMAVABJAE8ATgA6ACAAIAAgACAAIAAgAJIhQQBtAG8AcgB0AGkAegBlALsDKAAgAFAAcgBpAG4AYwBpAHAAYQBsAHMALAAgAEEAUABSAHMALAAgAFQAZQByAG0AcwAsACAAUwB0AGEAcgB0AEQAYQB0AGUAcwAsACAAWwBUAGkAbQBlAGwAaQBuAGUAXQApALYAXAAiACAAJgBcAG4AIAAgACAAIAAgACAAIAAgACAAIAAgACAAIAAgACAAIAAgACAAIAAgACAAIAAgACAAXAAiAEQARQBTAEMAUgBJAFAAVABJAE8ATgA6ACAAIAAgAJIhQwByAGUAYQB0AGUAcwAgAGEAbgAgAGEAbQBvAHIAdABpAHoAYQB0AGkAbwBuACAAcwBjAGgAZQBkAHUAbABlACAAYQByAHIAYQB5ACAAZgBvAHIAIABvAG4AZQAgAG8AcgAgAG0AbwByAGUAIABsAG8AYQBuAHMALgC2AFwAIgAgACYAXABuACAAIAAgACAAIAAgACAAIAAgACAAIAAgACAAIAAgACAAIAAgACAAIAAgACAAIAAgACAAIAAgACAAIAAgACAAIAAgACAAIAAgACAAIAAgAFwAIgCSIUkAdAAgAGEAcwBzAHUAbQBlAHMAIABhAGwAbAAgAHAAYQB5AG0AZQBuAHQAcwAgAGEAcgBlACAAbQBhAGQAZQAgAG0AbwBuAHQAaABsAHkALgC2AFwAIgAgACYAXABuACAAIAAgACAAIAAgACAAIAAgACAAIAAgACAAIAAgACAAIAAgACAAIAAgACAAIAAgACAAIAAgACAAIAAgACAAIAAgACAAIAAgACAAIAAgAFwAIgCSIVUAcwBlACAATABhAGIAbABlAEEAbQBvAHIAdABpAHoAZQC7AygAKQAgAHQAbwAgAGEAcABwAGwAeQAgAGwAYQBiAGUAbABzACAAdABvACAAdABoAGkAcwAgAGYAdQBuAGMAdABpAG8AbgAnAHMAIAByAGUAcwB1AGwAdABzADoAtgBcACIAIAAmACAAXABuACAAIAAgACAAIAAgACAAIAAgACAAIAAgACAAIAAgACAAIAAgACAAIAAgACAAIAAgACAAIAAgACAAIAAgACAAIAAgACAAIAAgACAAIAAgAFwAIgCSIVUAcwBlACAAUwB1AG0AQQBtAG8AcgB0AGkAegBlALsDKAApACAAdABvACAAYQBwAHAAbAB5ACAAdABvAHQAYQBsAHMAIAB0AG8AIAB0AGgAaQBzACAAZgB1AG4AYwB0AGkAbwBuACcAcwAgAHIAZQBzAHUAbAB0AHMAOgC2AFwAIgAgACYAIABcAG4AIAAgACAAIAAgACAAIAAgACAAIAAgACAAIAAgACAAIAAgACAAIAAgACAAIAAgACAAXAAiAFcARQBCAFAAQQBHAEUAOgAgACAAIAAgACAAIAAgAJIhaAB0AHQAcABzADoALwAvAHMAaQB0AGUAcwAuAGcAbwBvAGcAbABlAC4AYwBvAG0ALwBzAGkAdABlAC8AYgBlAHkAbwBuAGQAZQB4AGMAZQBsAC8AaABvAG0AZQAvADUAZwAtAG0AbwBkAGUAbABpAG4AZwAvADUAZwAtAGMAbwBtAHAAbwBuAGUAbgB0AC0AbABpAGIAcgBhAHIAaQBlAHMALwA1AGcALQBhAG0AbwByAHQAaQB6AGUAJQBDAEUAJQBCAEIAtgBcACIAIAAmAFwAbgAgACAAIAAgACAAIAAgACAAIAAgACAAIAAgACAAIAAgACAAIAAgACAAIAAgACAAIABcACIAVgBFAFIAUwBJAE8ATgA6ACAAIAAgACAAIAAgACAAkiFNAGEAeQAgADEAMQAgADIAMAAyADQAtgBcACIAIAAmAFwAbgAgACAAIAAgACAAIAAgACAAIAAgACAAIAAgACAAIAAgACAAIAAgACAAIAAgACAAIABcACIAUABBAFIAQQBNAEUAVABFAFIAUwA6AJIhtgBcACIAIAAmACAAXABuACAAIAAgACAAIAAgACAAIAAgACAAIAAgACAAIAAgACAAIAAgACAAIAAgACAAIAAgAFwAIgBQAHIAaQBuAGMAaQBwAGEAbABzACAAIAAgACAAIACSISgAUgBlAHEAdQBpAHIAZQBkACkAIABMAG8AYQBuAC8AZABlAGIAdAAgAGEAbQBvAHUAbgB0AHMALgC2AFwAIgAgACYAIABcAG4AIAAgACAAIAAgACAAIAAgACAAIAAgACAAIAAgACAAIAAgACAAIAAgACAAIAAgACAAXAAiAEEAUABSAHMAIAAgACAAIAAgACAAIAAgACAAIAAgAJIhKABSAGUAcQB1AGkAcgBlAGQAKQAgAEEAbgBuAHUAYQBsACAAUABlAHIAYwBlAG4AdABhAGcAZQAgAFIAYQB0AGUAcwAgAGYAbwByACAAaQBuAHQAZQByAGUAcwB0AC4AtgBcACIAIAAmACAAXABuACAAIAAgACAAIAAgACAAIAAgACAAIAAgACAAIAAgACAAIAAgACAAIAAgACAAIAAgAFwAIgBUAGUAcgBtAHMAIAAgACAAIAAgACAAIAAgACAAIACSISgAUgBlAHEAdQBpAHIAZQBkACkAIABOAHUAbQBiAGUAcgAgAG8AZgAgAG0AbwBuAHQAaABzACAAZgBvAHIAIABsAG8AYQBuAHMALwBkAGUAYgB0AHMALgC2AFwAIgAgACYAIABcAG4AIAAgACAAIAAgACAAIAAgACAAIAAgACAAIAAgACAAIAAgACAAIAAgACAAIAAgACAAXAAiAFMAdABhAHIAdABEAGEAdABlAHMAIAAgACAAIAAgAJIhKABSAGUAcQB1AGkAcgBlAGQAKQAgAEQAYQB0AGUAcwAgAGQAZQBiAHQAcwAgAGEAcgBlACAAaQBzAHMAdQBlAGQALgC2AFwAIgAgACYAIABcAG4AIAAgACAAIAAgACAAIAAgACAAIAAgACAAIAAgACAAIAAgACAAIAAgACAAIAAgACAAXAAiAFQAaQBtAGUAbABpAG4AZQAgACAAIAAgACAAIAAgAJIhKABPAHAAdABpAG8AbgBhAGwAKQAgAEEAbgAgAGEAcgByAGEAeQAgAG8AZgAgAGQAYQB0AGUAcwAuACAASQBmACAAbwBtAGkAdAB0AGUAZAAsACAAYQAgAHIAbwB3ACAAbwBmACAAbQBvAG4AdABoAHMAIABzAHQAYQByAHQAaQBuAGcAIABvAG4AIABzAHQAYQByAHQAIABkAGEAdABlACAAdwBpAGwAbAAgAGIAZQAgAGEAZABkAGUAZAC2AFwAIgAgACYAIABcAG4AIAAgACAAIAAgACAAIAAgACAAIAAgACAAIAAgACAAIAAgACAAIAAgACAAIAAgACAAXAAiAEUAWABBAE0AUABMAEUAUwA6AJIhtgBcACIAIAAmACAAXABuACAAIAAgACAAIAAgACAAIAAgACAAIAAgACAAIAAgACAAIAAgACAAIAAgACAAIAAgAFwAIgBSAGUAcwB1AGwAdAAgACAAIAAgACAAIAAgACAAIACSIUYAbwByAG0AdQBsAGEAIAAoAEIAWABGACAAaQBzACAAYQBzAHMAdQBtAGUAZAAgAHQAbwAgAGIAZQAgAHQAaABlACAAbQBvAGQAdQBsAGUAJwBzACAAbgBhAG0AZQApALYAXAAiACAAJgBcAG4AIAAgACAAIAAgACAAIAAgACAAIAAgACAAIAAgACAAIAAgACAAIAAgACAAIAAgACAAIAAgACAAIAAgACAAIAAgACAAIAAgACAAIAAgACAAXAAiAJIhPQBCAFgARgAuAEEAbQBvAHIAdABpAHoAZQC7AygAMQAwADAAMAAwACwAIAA1ACUALAAgADQAIAAqACAAMQAyACwAIABcACIAXAAiADIAMAAyADMALQAwADEALQAwADEAXAAiAFwAIgApAFwAIgAsACAAXABuACAAIAAgACAAIAAgACAAIAAgACAAIAAgACAAIAAgACAAIAAgACAAIAAgACAAIAAgAFwAIgCSIVwAIgAsACAAXAAiALYAXAAiACAAKQBcAG4AIAAgACAAIAAgACAAIAAgACAAIAAgACAAIAAgACAAIAAgACAAIAAgACkALABcAG4AIAAgACAAIAAvAC8AIAAgAEMAbwBuAHMAdABhAG4AdABzAFwAbgAgACAAIAAgACAAIAAgACAATQBwAFkALAAgACAAIAAgACAAIAAgACAAIAAgACAAIAAgACAAIAAgADEAMgAsACAAIAAgACAAIAAvAC8ATQBvAG4AdABoAHMAIABQAGUAcgAgAFkAZQBhAHIAXABuACAAIAAgACAAIAAgACAAIABBAEQAcABNACwAIAAgACAAIAAgACAAIAAgACAAIAAgACAAIAAgACAAMwAwAC4ANAAyACwAIAAgAC8ALwBBAHYAZQByAGEAZwBlACAARABhAHkAcwAgAFAAZQByACAATQBvAG4AdABoAFwAbgAgACAAIAAgAFwAbgAgACAAIAAgAC8ALwAgACAAQwBoAGUAYwBrACAAaQBuAHAAdQB0AHMAIAAtACAATwBtAGkAdAB0AGUAZAAgAHIAZQBxAHUAaQByAGUAZAAgAGEAcgBnAHUAbQBlAG4AdABzAFwAbgAgACAAIAAgACAAIAAgACAASABlAGwAcAA/ACwAIAAgACAAIAAgACAAIAAgACAAIAAgACAAIAAgAE8AUgAoACAASQBTAE8ATQBJAFQAVABFAEQAKAAgAFAAcgBpAG4AYwBpAHAAYQBsAHMAKQAsAFwAbgAgACAAIAAgACAAIAAgACAAIAAgACAAIAAgACAAIAAgACAAIAAgACAAIAAgACAAIAAgACAAIAAgACAAIAAgACAASQBTAE8ATQBJAFQAVABFAEQAKAAgAEEAUABSAHMAKQAsAFwAbgAgACAAIAAgACAAIAAgACAAIAAgACAAIAAgACAAIAAgACAAIAAgACAAIAAgACAAIAAgACAAIAAgACAAIAAgACAASQBTAE8ATQBJAFQAVABFAEQAKAAgAFQAZQByAG0AcwApACwAXABuACAAIAAgACAAIAAgACAAIAAgACAAIAAgACAAIAAgACAAIAAgACAAIAAgACAAIAAgACAAIAAgACAAIAAgACAAIABJAFMATwBNAEkAVABUAEUARAAoACAAUwB0AGEAcgB0AEQAYQB0AGUAcwApAFwAbgAgACAAIAAgACAAIAAgACAAIAAgACAAIAAgACAAIAAgACAAIAAgACAAIAAgACAAIAAgACAAIAAgACkALABcAG4AIAAgACAAIABcAG4AIAAgACAAIAAvAC8AIAAgAFMAZQB0ACAAZABlAGYAYQB1AGwAdABzACAAYQBuAGQAIABhAHAAcABsAHkAIABjAG8AbgB2AGUAbgBpAGUAbgBjAGUAIABjAG8AbgB2AGUAcgBzAGkAbwBuAHMAXABuACAAIAAgACAAIAAgACAAIABUAGkAbQBlAGwAaQBuAGUALAAgACAAIAAgACAAIAAgACAAIAAgACAASQBGACgAIABJAFMATwBNAEkAVABUAEUARAAoACAAVABpAG0AZQBsAGkAbgBlACkALAAgAFwAbgAgACAAIAAgACAAIAAgACAAIAAgACAAIAAgACAAIAAgACAAIAAgACAAIAAgACAAIAAgACAAIAAgACAAIAAgACAATABFAFQAKABDAG8AdQBuAHQAZQByACwAIAAgACAAIABSAE8AVwBTACgAIABQAHIAaQBuAGMAaQBwAGEAbABzACkALABcAG4AIAAgACAAIAAgACAAIAAgACAAIAAgACAAIAAgACAAIAAgACAAIAAgACAAIAAgACAAIAAgACAAIAAgACAAIAAgACAAIAAgACAATQBhAHgARABhAHQAZQAsACAAIAAgACAATQBBAFgAKABNAEEAUAAoACAAQwBvAHUAbgB0AGUAcgAsAFwAbgAgACAAIAAgACAAIAAgACAAIAAgACAAIAAgACAAIAAgACAAIAAgACAAIAAgACAAIAAgACAAIAAgACAAIAAgACAAIAAgACAAIAAgACAAIAAgACAAIAAgACAAIAAgACAAIAAgACAAIAAgACAAIAAgACAATABBAE0AQgBEAEEAKAAgAG4ALAAgAFwAbgAgACAAIAAgACAAIAAgACAAIAAgACAAIAAgACAAIAAgACAAIAAgACAAIAAgACAAIAAgACAAIAAgACAAIAAgACAAIAAgACAAIAAgACAAIAAgACAAIAAgACAAIAAgACAAIAAgACAAIAAgACAAIAAgACAAIAAgACAAIABFAEQAQQBUAEUAKAAgAEkATgBEAEUAWAAoACAAUwB0AGEAcgB0AEQAYQB0AGUAcwAsACAAbgApACwAIABJAE4ARABFAFgAKAAgAFQAZQByAG0AcwAsACAAbgApACAALQAgADEAKQApACkAKQAsAFwAbgAgACAAIAAgACAAIAAgACAAIAAgACAAIAAgACAAIAAgACAAIAAgACAAIAAgACAAIAAgACAAIAAgACAAIAAgACAAIAAgACAAIABNAGkAbgBEAGEAdABlACwAIAAgACAAIABNAEkATgAoACAAUwB0AGEAcgB0AEQAYQB0AGUAcwApACwAIABcAG4AIAAgACAAIAAgACAAIAAgACAAIAAgACAAIAAgACAAIAAgACAAIAAgACAAIAAgACAAIAAgACAAIAAgACAAIAAgACAAIAAgACAATQBhAHgAVABlAHIAbQAsACAAIAAgACAARABBAFQARQBEAEkARgAoAE0AaQBuAEQAYQB0AGUALAAgAE0AYQB4AEQAYQB0AGUALAAgAFwAIgBNAFwAIgApACAAKwAgADEALABcAG4AIAAgACAAIAAgACAAIAAgACAAIAAgACAAIAAgACAAIAAgACAAIAAgACAAIAAgACAAIAAgACAAIAAgACAAIAAgACAAIAAgACAAUgBlAHMAdQBsAHQALAAgACAAIAAgACAARQBEAEEAVABFACgAIABNAGkAbgBEAGEAdABlACwAIABTAGUAcQB1AGUAbgBjAGUAKAAxACwAIABNAGEAeABUAGUAcgBtACwAIAAwACkAKQAsAFwAbgAgACAAIAAgACAAIAAgACAAIAAgACAAIAAgACAAIAAgACAAIAAgACAAIAAgACAAIAAgACAAIAAgACAAIAAgACAAIAAgACAAIABSAGUAcwB1AGwAdAApACwAIABcAG4AIAAgACAAIAAgACAAIAAgACAAIAAgACAAIAAgACAAIAAgACAAIAAgACAAIAAgACAAIAAgACAAIAAgACAAIAAgAFQAaQBtAGUAbABpAG4AZQBcAG4AIAAgACAAIAAgACAAIAAgACAAIAAgACAAIAAgACAAIAAgACAAIAAgACAAIAAgACAAIAAgACAAIAApACwAXABuACAAIAAgACAALwAvACAAIABEAGUAdABlAHIAbQBpAG4AZQAgAHQAaQBtAGUAbABpAG4AZQAnAHMAIABpAG4AdABlAHIAdgBhAGwAIAAoAGwAZQBuAGcAdABoACAAbwBmACAAcABlAHIAaQBvAGQAcwApACAAYQBuAGQAIABvAHIAaQBlAG4AdABhAHQAaQBvAG4AIAAoAGgAbwByAGkAegBvAG4AdABhAGwAIABvAHIAIAB2AGUAcgB0AGkAYwBhAGwAKQBcAG4AIAAgACAAIAAgACAAIAAgAEYAaQByAHMAdABQAGUAcgBpAG8AZAAsACAAIAAgACAAIAAgACAAIABJAE4ARABFAFgAKAAgAFQAaQBtAGUAbABpAG4AZQAsACAAMQApACwAXABuACAAIAAgACAAIAAgACAAIABTAGUAYwBvAG4AZABQAGUAcgBpAG8AZAAsACAAIAAgACAAIAAgACAASQBOAEQARQBYACgAIABUAEkAbQBlAGwAaQBuAGUALAAgADIAKQAsAFwAbgAgACAAIAAgACAAIAAgACAATQBwAFAALAAgACAAIAAgACAAIAAgACAAIAAgACAAIAAgACAAIAAgAEAAUgBPAFUATgBEACgAKAAgAFMAZQBjAG8AbgBkAFAAZQByAGkAbwBkACAALQAgAEYAaQByAHMAdABQAGUAcgBpAG8AZAApACAALwAgAEEARABwAE0ALAAgADAAKQAsAFwAbgAgACAAIAAgACAAIAAgACAAUABwAFkALAAgACAAIAAgACAAIAAgACAAIAAgACAAIAAgACAAIAAgAE0AcABZACAALwAgAE0AcABQACwAXABuAFwAbgAgACAAIAAgAC8ALwAgACAAUgBlAGMAdQByAHMAaQB2AGUAIABmAHUAbgBjAHQAaQBvAG4AIAAoAGYAbgApACAAZABlAGYAaQBuAGkAdABpAG8AbgBcAG4AIAAgACAAIAAgACAAIAAgAFIAZQBjAHUAcgBzAGkAbwBuACwAIABcAG4AIAAgACAAIAAgACAAIAAgACAAIAAgACAATABBAE0AQgBEAEEAKAAgAGYAbgAsACAAUAByAGkAbgBjAGkAcABhAGwAcwAsACAAQQBQAFIAcwAsACAAVABlAHIAbQBzACwAIABTAHQAYQByAHQARABhAHQAZQBzACwAIABUAGkAbQBlAGwAaQBuAGUALAAgAEEAcwBzAGUAdAAsAFwAbgAgACAAIAAgACAAIAAgACAAIAAgACAAIAAgACAAIAAgAEwARQBUACgAXABuACAAIAAgACAAIAAgACAAIAAgACAAIAAgACAAIAAgACAALwAvACAAIABDAHIAZQBhAHQAZQAgAGkAbgBkAGkAdgBpAGQAdQBhAGwAIABWAGEAbAB1AGUAcwAgAGYAcgBvAG0AIABhAHIAcgBhAHkAXABuACAAIAAgACAAIAAgACAAIAAgACAAIAAgACAAIAAgACAAIAAgACAAIABQAHIAaQBuAGMAaQBwAGEAbAAsACAAIAAgACAAIAAgACAAIAAgACAASQBOAEQARQBYACgAIABQAHIAaQBuAGMAaQBwAGEAbABzACwAIABBAHMAcwBlAHQAKQAsACAAXABuACAAIAAgACAAIAAgACAAIAAgACAAIAAgACAAIAAgACAAIAAgACAAIABBAFAAUgAsACAAIAAgACAAIAAgACAAIAAgACAAIAAgACAAIAAgACAASQBOAEQARQBYACgAIABBAFAAUgBzACwAIABBAHMAcwBlAHQAKQAsACAAXABuACAAIAAgACAAIAAgACAAIAAgACAAIAAgACAAIAAgACAAIAAgACAAIABUAGUAcgBtACwAIAAgACAAIAAgACAAIAAgACAAIAAgACAAIAAgACAASQBOAEQARQBYACgAIABUAGUAcgBtAHMALAAgAEEAcwBzAGUAdAApACwAIAAgAFwAbgAgACAAIAAgACAAIAAgACAAIAAgACAAIAAgACAAIAAgACAAIAAgACAAUwB0AGEAcgB0AEQAYQB0AGUALAAgACAAIAAgACAAIAAgACAAIAAgAEkATgBEAEUAWAAoACAAUwB0AGEAcgB0AEQAYQB0AGUAcwAsACAAQQBzAHMAZQB0ACkALAAgAFwAbgBcAG4AIAAgACAAIAAgACAAIAAgACAAIAAgACAAIAAgACAAIAAvAC8AIAAgAEEAZABqAHUAcwB0ACAAaQBuAHAAdQB0AHMAIAB0AG8AIABtAGEAdABjAGgAIAB0AGkAbQBlAGwAaQBuAGUAXABuACAAIAAgACAAIAAgACAAIAAgACAAIAAgACAAIAAgACAAIAAgACAAIABQAGUAcgBpAG8AZABzACwAIAAgACAAIAAgACAAIAAgACAAIAAgACAAUgBPAFUATgBEAFUAUAAoAFQAZQByAG0AIAAvACAATQBwAFAALAAgADAAKQAsAFwAbgAgACAAIAAgACAAIAAgACAAIAAgACAAIAAgACAAIAAgACAAIAAgACAAUgBvAHcAcwAsACAAIAAgACAAIAAgACAAIAAgACAAIAAgACAAIAAgADEALABcAG4AIAAgACAAIAAgACAAIAAgACAAIAAgACAAIAAgACAAIAAgACAAIAAgAEMAbwBsAHMALAAgACAAIAAgACAAIAAgACAAIAAgACAAIAAgACAAIABQAGUAcgBpAG8AZABzACwAXABuAFwAbgAgACAAIAAgACAAIAAgACAAIAAgACAAIAAgACAAIAAgAC8ALwAgACAAQwBhAGwAYwB1AGwAYQB0AGUAIABmAG8AcgAgAGUAYQBjAGgAIABtAG8AbgB0AGgAXABuACAAIAAgACAAIAAgACAAIAAgACAAIAAgACAAIAAgACAAIAAgACAAIABSAGEAdABlACwAIAAgACAAIAAgACAAIAAgACAAIAAgACAAIAAgACAAQQBQAFIAIAAvACAATQBwAFkALABcAG4AIAAgACAAIAAgACAAIAAgACAAIAAgACAAIAAgACAAIAAgACAAIAAgAE0AbwBuAHQAaABsAHkAUABhAHkAbQBlAG4AdAAsACAAIAAgACAAIABQAE0AVAAoACAAUgBhAHQAZQAsACAAVABlAHIAbQAsACAAUAByAGkAbgBjAGkAcABhAGwAKQAsACAAIAAgACAAXABuACAAIAAgACAAIAAgACAAIAAgACAAIAAgACAAIAAgACAAIAAgACAAIABNAG8AbgB0AGgAbAB5AFAAcgBpAG4AYwBpAHAAYQBsACwAIAAgACAALQBGAFYAKABSAGEAdABlACwAIABTAEUAUQBVAEUATgBDAEUAKAAgADEALAAgAFQAZQByAG0ALAAgADAAKQAsACAATQBvAG4AdABoAGwAeQBQAGEAeQBtAGUAbgB0ACwAIABQAHIAaQBuAGMAaQBwAGEAbAApACwAXABuACAAIAAgACAAIAAgACAAIAAgACAAIAAgACAAIAAgACAAIAAgACAAIABNAG8AbgB0AGgAbAB5AEkAbgB0AGUAcgBlAHMAdAAsACAAIAAgACAATQBvAG4AdABoAGwAeQBQAHIAaQBuAGMAaQBwAGEAbAAgACoAIABSAGEAdABlACwAXABuAFwAbgAgACAAIAAgACAAIAAgACAAIAAgACAAIAAgACAAIAAgAC8ALwAgACAAQwBvAG4AdgBlAHIAdAAgAHQAbwAgAFQAaQBtAGUAbABpAG4AZQAgAFAAZQByAGkAbwBkAHMAXABuACAAIAAgACAAIAAgACAAIAAgACAAIAAgACAAIAAgACAAIAAgACAAIABEAGUAYgB0AEkAcwBzAHUAZQBBAHIAcgBhAHkALAAgACAAIAAgACAARQBYAFAAQQBOAEQAKABQAHIAaQBuAGMAaQBwAGEAbAAsACAAMQAsACAAUABlAHIAaQBvAGQAcwAsACAAMAApACwAXABuACAAIAAgACAAIAAgACAAIAAgACAAIAAgACAAIAAgACAAIAAgACAAIABQAHIAaQBuAGMAaQBwAGEAbABBAHIAcgBhAHkALAAgACAAIAAgACAASQBGACgAIABNAHAAUAAgAD0AIAAxACwAIABcAG4AIAAgACAAIAAgACAAIAAgACAAIAAgACAAIAAgACAAIAAgACAAIAAgACAAIAAgACAAIAAgACAAIAAgACAAIAAgACAAIAAgACAAIAAgACAAIAAgACAAIAAgAE0AbwBuAHQAaABsAHkAUAByAGkAbgBjAGkAcABhAGwALAAgAFwAbgAgACAAIAAgACAAIAAgACAAIAAgACAAIAAgACAAIAAgACAAIAAgACAAIAAgACAAIAAgACAAIAAgACAAIAAgACAAIAAgACAAIAAgACAAIAAgACAAIAAgACAATQBBAEsARQBBAFIAUgBBAFkAKAAgADEALAAgAFAAZQByAGkAbwBkAHMALAAgAFwAbgAgACAAIAAgACAAIAAgACAAIAAgACAAIAAgACAAIAAgACAAIAAgACAAIAAgACAAIAAgACAAIAAgACAAIAAgACAAIAAgACAAIAAgACAAIAAgACAAIAAgACAAIAAgACAAIABMAEEATQBCAEQAQQAoAFIALAAgAEMALAAgAFwAbgAgACAAIAAgACAAIAAgACAAIAAgACAAIAAgACAAIAAgACAAIAAgACAAIAAgACAAIAAgACAAIAAgACAAIAAgACAAIAAgACAAIAAgACAAIAAgACAAIAAgACAAIAAgACAAIAAgACAAIAAgAEwARQBUACgASQBkAHgALAAgACgAQwAgAC0AIAAxACkAIAAqACAATQBwAFAAIAArACAAMQAsACAAXABuACAAIAAgACAAIAAgACAAIAAgACAAIAAgACAAIAAgACAAIAAgACAAIAAgACAAIAAgACAAIAAgACAAIAAgACAAIAAgACAAIAAgACAAIAAgACAAIAAgACAAIAAgACAAIAAgACAAIAAgACAAIAAgACAAIABJAE4ARABFAFgAKAAgAE0AbwBuAHQAaABsAHkAUAByAGkAbgBjAGkAcABhAGwALAAgAEkAZAB4ACkAXABuACAAIAAgACAAIAAgACAAIAAgACAAIAAgACAAIAAgACAAIAAgACAAIAAgACAAIAAgACAAIAAgACAAIAAgACAAIAAgACAAIAAgACAAIAAgACAAIAAgACAAIAAgACAAIAAgACAAIAAgACAAKQBcAG4AIAAgACAAIAAgACAAIAAgACAAIAAgACAAIAAgACAAIAAgACAAIAAgACAAIAAgACAAIAAgACAAIAAgACAAIAAgACAAIAAgACAAIAAgACAAIAAgACAAIAAgACAAIAAgACAAKQBcAG4AIAAgACAAIAAgACAAIAAgACAAIAAgACAAIAAgACAAIAAgACAAIAAgACAAIAAgACAAIAAgACAAIAAgACAAIAAgACAAIAAgACAAIAAgACAAIAAgACAAIAAgACkAXABuACAAIAAgACAAIAAgACAAIAAgACAAIAAgACAAIAAgACAAIAAgACAAIAAgACAAIAAgACAAIAAgACAAIAAgACAAIAAgACAAIAAgACAAIAAgACAAKQAsACAAIAAgACAAXABuACAAIAAgACAAIAAgACAAIAAgACAAIAAgACAAIAAgACAAIAAgACAAIABJAG4AdABlAHIAZQBzAHQAQQByAHIAYQB5ACwAIAAgACAAIAAgACAASQBGACgAIABNAHAAUAAgAD0AIAAxACwAIABcAG4AIAAgACAAIAAgACAAIAAgACAAIAAgACAAIAAgACAAIAAgACAAIAAgACAAIAAgACAAIAAgACAAIAAgACAAIAAgACAAIAAgACAAIAAgACAAIAAgACAAIAAgAE0AbwBuAHQAaABsAHkASQBuAHQAZQByAGUAcwB0ACwAXABuACAAIAAgACAAIAAgACAAIAAgACAAIAAgACAAIAAgACAAIAAgACAAIAAgACAAIAAgACAAIAAgACAAIAAgACAAIAAgACAAIAAgACAAIAAgACAAIAAgACAAIABMAEUAVAAoACAAXABuACAAIAAgACAAIAAgACAAIAAgACAAIAAgACAAIAAgACAAIAAgACAAIAAgACAAIAAgACAAIAAgACAAIAAgACAAIAAgACAAIAAgACAAIAAgACAAIAAgACAAIAAgACAAIAAgAE0AbwBJAG4AdAAsACAAIABFAFgAUABBAE4ARAAoACAATQBvAG4AdABoAGwAeQBJAG4AdABlAHIAZQBzAHQALAAgADEALAAgAFIATwBVAE4ARABVAFAAKAAgAFQAZQByAG0ALwAgAE0AcABwACwAIAAwACkAIAAqACAATQBwAHAALAAgADAAKQAsACAAXABuACAAIAAgACAAIAAgACAAIAAgACAAIAAgACAAIAAgACAAIAAgACAAIAAgACAAIAAgACAAIAAgACAAIAAgACAAIAAgACAAIAAgACAAIAAgACAAIAAgACAAIAAgACAAIAAgAE0AQQBLAEUAQQBSAFIAQQBZACgAIAAxACwAIABQAGUAcgBpAG8AZABzACwAIABcAG4AIAAgACAAIAAgACAAIAAgACAAIAAgACAAIAAgACAAIAAgACAAIAAgACAAIAAgACAAIAAgACAAIAAgACAAIAAgACAAIAAgACAAIAAgACAAIAAgACAAIAAgACAAIAAgACAAIAAgACAAIABMAEEATQBCAEQAQQAoAFIALAAgAEMALAAgAFwAbgAgACAAIAAgACAAIAAgACAAIAAgACAAIAAgACAAIAAgACAAIAAgACAAIAAgACAAIAAgACAAIAAgACAAIAAgACAAIAAgACAAIAAgACAAIAAgACAAIAAgACAAIAAgACAAIAAgACAAIAAgACAAIAAgACAAIAAgACAAIABMAEUAVAAoAEkAZAB4ACwAIAAoAEMAIAAtACAAMQApACAAKgAgAE0AcABQACAAKwAgADEALABcAG4AIAAgACAAIAAgACAAIAAgACAAIAAgACAAIAAgACAAIAAgACAAIAAgACAAIAAgACAAIAAgACAAIAAgACAAIAAgACAAIAAgACAAIAAgACAAIAAgACAAIAAgACAAIAAgACAAIAAgACAAIAAgACAAIAAgACAAIAAgACAAIAAgACAAIABTAFUATQAoACAAQwBIAE8ATwBTAEUAQwBPAEwAUwAoAE0AbwBJAG4AdAAsACAAUwBFAFEAVQBFAE4AQwBFACgAMQAsACAATQBwAFAALAAgAEkAZAB4ACkAKQApAFwAbgAgACAAIAAgACAAIAAgACAAIAAgACAAIAAgACAAIAAgACAAIAAgACAAIAAgACAAIAAgACAAIAAgACAAIAAgACAAIAAgACAAIAAgACAAIAAgACAAIAAgACAAIAAgACAAIAAgACAAIAAgACAAIAAgACAAIAAgACAAIAApAFwAbgAgACAAIAAgACAAIAAgACAAIAAgACAAIAAgACAAIAAgACAAIAAgACAAIAAgACAAIAAgACAAIAAgACAAIAAgACAAIAAgACAAIAAgACAAIAAgACAAIAAgACAAIAAgACAAIAAgACAAIAAgACkAXABuACAAIAAgACAAIAAgACAAIAAgACAAIAAgACAAIAAgACAAIAAgACAAIAAgACAAIAAgACAAIAAgACAAIAAgACAAIAAgACAAIAAgACAAIAAgACAAIAAgACAAIAAgACAAIAAgACkAXABuACAAIAAgACAAIAAgACAAIAAgACAAIAAgACAAIAAgACAAIAAgACAAIAAgACAAIAAgACAAIAAgACAAIAAgACAAIAAgACAAIAAgACAAIAAgACAAIAAgACAAIAApAFwAbgAgACAAIAAgACAAIAAgACAAIAAgACAAIAAgACAAIAAgACAAIAAgACAAIAAgACAAIAAgACAAIAAgACAAIAAgACAAIAAgACAAIAAgACAAIAAgACkALAAgACAAIAAgAFwAbgAgACAAIAAgACAAIAAgACAAIAAgACAAIAAgACAAIAAgACAAIAAgACAAUABhAHkAbQBlAG4AdABBAHIAcgBhAHkALAAgACAAIAAgACAAIAAgAEwARQBUACgATQBvAFAAbQB0ACwAIAAgAEUAWABQAEEATgBEACgAIABTAEUAUQBVAEUATgBDAEUAKAAxACwAIABUAGUAcgBtACwAIABNAG8AbgB0AGgAbAB5AFAAYQB5AG0AZQBuAHQALAAgADAAKQAsACAAMQAsACAAUgBPAFUATgBEAFUAUAAoACAAVABlAHIAbQAvACAATQBwAHAALAAgADAAKQAgACoAIABNAHAAcAAsACAAMAApACwAIABcAG4AIAAgACAAIAAgACAAIAAgACAAIAAgACAAIAAgACAAIAAgACAAIAAgACAAIAAgACAAIAAgACAAIAAgACAAIAAgACAAIAAgACAAIAAgACAAIAAgACAAIAAgAE0AQQBLAEUAQQBSAFIAQQBZACgAIAAxACwAIABQAGUAcgBpAG8AZABzACwAIABcAG4AIAAgACAAIAAgACAAIAAgACAAIAAgACAAIAAgACAAIAAgACAAIAAgACAAIAAgACAAIAAgACAAIAAgACAAIAAgACAAIAAgACAAIAAgACAAIAAgACAAIAAgACAAIAAgACAATABBAE0AQgBEAEEAKABSACwAIABDACwAIABcAG4AIAAgACAAIAAgACAAIAAgACAAIAAgACAAIAAgACAAIAAgACAAIAAgACAAIAAgACAAIAAgACAAIAAgACAAIAAgACAAIAAgACAAIAAgACAAIAAgACAAIAAgACAAIAAgACAAIAAgACAAIAAgACAAIAAgAEwARQBUACgASQBkAHgALAAgACgAQwAgAC0AIAAxACkAIAAqACAATQBwAFAAIAArACAAMQAsAFwAbgAgACAAIAAgACAAIAAgACAAIAAgACAAIAAgACAAIAAgACAAIAAgACAAIAAgACAAIAAgACAAIAAgACAAIAAgACAAIAAgACAAIAAgACAAIAAgACAAIAAgACAAIAAgACAAIAAgACAAIAAgACAAIAAgACAAIAAgACAAIABTAFUATQAoACAAQwBIAE8ATwBTAEUAQwBPAEwAUwAoAE0AbwBQAG0AdAAsACAAUwBFAFEAVQBFAE4AQwBFACgAMQAsACAATQBwAFAALAAgAEkAZAB4ACkAKQApAFwAbgAgACAAIAAgACAAIAAgACAAIAAgACAAIAAgACAAIAAgACAAIAAgACAAIAAgACAAIAAgACAAIAAgACAAIAAgACAAIAAgACAAIAAgACAAIAAgACAAIAAgACAAIAAgACAAIAAgACAAIAAgACAAIAAgACAAKQBcAG4AIAAgACAAIAAgACAAIAAgACAAIAAgACAAIAAgACAAIAAgACAAIAAgACAAIAAgACAAIAAgACAAIAAgACAAIAAgACAAIAAgACAAIAAgACAAIAAgACAAIAAgACAAIAAgACAAKQBcAG4AIAAgACAAIAAgACAAIAAgACAAIAAgACAAIAAgACAAIAAgACAAIAAgACAAIAAgACAAIAAgACAAIAAgACAAIAAgACAAIAAgACAAIAAgACAAIAAgACAAIAAgACkAXABuAFwAbgAgACAAIAAgACAAIAAgACAAIAAgACAAIAAgACAAIAAgACAAIAAgACAAIAAgACAAIAAgACAAIAAgACAAIAAgACAAIAAgACAAIAAgACAAIAAgACkALAAgAFwAbgAgACAAIAAgACAAIAAgACAAIAAgACAAIAAgACAAIAAgACAAIAAgAC8ALwAgAFAAYQB5AG0AZQBuAHQAQQByAHIAYQB5ACwAIAAgACAAIAAgACAAIABNAG8AbgB0AGgAbAB5AFAAYQB5AG0AZQBuAHQAIAAqACAATQBwAFAAIAAqACAAKABQAHIAaQBuAGMAaQBwAGEAbABBAHIAcgBhAHkAIAA+ACAALgAwADAAOQApACwAIAAgACAAIABcAG4AIAAgACAAIAAgACAAIAAgACAAIAAgACAAIAAgACAAIAAgACAAIAAgAEMAbABvAHMAaQBuAGcAQQByAHIAYQB5ACwAIAAgACAAIAAgACAAIABQAHIAaQBuAGMAaQBwAGEAbABBAHIAcgBhAHkAIAArACAASQBuAHQAZQByAGUAcwB0AEEAcgByAGEAeQAgACsAIABQAGEAeQBtAGUAbgB0AEEAcgByAGEAeQAsAFwAbgAgACAAIAAgACAAIAAgACAAIAAgACAAIAAgACAAIAAgACAAIAAgACAAUABvAHIAdABpAG8AbgBBAHIAcgBhAHkALAAgACAAIAAgACAAIAAgAC0AUABhAHkAbQBlAG4AdABBAHIAcgBhAHkAIAAtACAASQBuAHQAZQByAGUAcwB0AEEAcgByAGEAeQAsACAAIAAgACAAXABuACAAIAAgACAAIAAgACAAIAAgACAAIAAgACAAIAAgACAAIAAgACAAIABBAG0AbwByAHQAaQB6AGEAdABpAG8AbgBTAGMAaABlAGQALAAgACAAVgBTAFQAQQBDAEsAKABcAG4AIAAgACAAIAAgACAAIAAgACAAIAAgACAAIAAgACAAIAAgACAAIAAgACAAIAAgACAAIAAgACAAIAAgACAAIAAgACAAIAAgACAAIAAgACAAIAAgACAAIAAgAEQAZQBiAHQASQBzAHMAdQBlAEEAcgByAGEAeQAsACAAXABuACAAIAAgACAAIAAgACAAIAAgACAAIAAgACAAIAAgACAAIAAgACAAIAAgACAAIAAgACAAIAAgACAAIAAgACAAIAAgACAAIAAgACAAIAAgACAAIAAgACAAIABQAHIAaQBuAGMAaQBwAGEAbABBAHIAcgBhAHkALAAgAFwAbgAgACAAIAAgACAAIAAgACAAIAAgACAAIAAgACAAIAAgACAAIAAgACAAIAAgACAAIAAgACAAIAAgACAAIAAgACAAIAAgACAAIAAgACAAIAAgACAAIAAgACAASQBuAHQAZQByAGUAcwB0AEEAcgByAGEAeQAsACAAXABuACAAIAAgACAAIAAgACAAIAAgACAAIAAgACAAIAAgACAAIAAgACAAIAAgACAAIAAgACAAIAAgACAAIAAgACAAIAAgACAAIAAgACAAIAAgACAAIAAgACAAIABQAGEAeQBtAGUAbgB0AEEAcgByAGEAeQAsACAAXABuACAAIAAgACAAIAAgACAAIAAgACAAIAAgACAAIAAgACAAIAAgACAAIAAgACAAIAAgACAAIAAgACAAIAAgACAAIAAgACAAIAAgACAAIAAgACAAIAAgACAAIABDAGwAbwBzAGkAbgBnAEEAcgByAGEAeQAsACAAXABuACAAIAAgACAAIAAgACAAIAAgACAAIAAgACAAIAAgACAAIAAgACAAIAAgACAAIAAgACAAIAAgACAAIAAgACAAIAAgACAAIAAgACAAIAAgACAAIAAgACAAIABQAG8AcgB0AGkAbwBuAEEAcgByAGEAeQApACwAXABuACAAIAAgACAAIAAgACAAIAAgACAAIAAgACAAIAAgACAALwAvACAAIABQAG8AcwBpAHQAaQBvAG4AIABpAG4AIAB0AGkAbQBlAGwAaQBuAGUAXABuACAAIAAgACAAIAAgACAAIAAgACAAIAAgACAAIAAgACAAIAAgACAAIABPAGYAZgBzAGUAdAAsACAAIAAgACAAIAAgACAAIAAgACAAIAAgACAAVABpAG0AZQBsAGkAbgBlAE8AZgBmAHMAZQB0ALsDKABTAHQAYQByAHQARABhAHQAZQAsACAAVABpAG0AZQBsAGkAbgBlACkALABcAG4AIAAgACAAIAAgACAAIAAgACAAIAAgACAAIAAgACAAIAAgACAAIAAgAE4AZQB3AEIAbABvAGMAawAsACAAIAAgACAAIAAgACAAIAAgACAAIABUAGkAbQBlAGwAaQBuAGUAUABvAHMAaQB0AGkAbwBuALsDKABBAG0AbwByAHQAaQB6AGEAdABpAG8AbgBTAGMAaABlAGQALAAgAFQAaQBtAGUAbABpAG4AZQAsACAATwBmAGYAcwBlAHQAKQAsAFwAbgAgACAAIAAgACAAIAAgACAAIAAgACAAIAAgACAAIAAgACAAIAAgACAALwAqACAAUgBlAHMAdQBsAHQALAAgACAAIAAgACAAIAAgACAAIAAgACAAIAAgAEkARgAoACAARABvAE4AbwB0AFUAcwBlACAAPAAgAFIATwBXAFMAKAAgAFAAcgBpAG4AYwBpAHAAYQBsAHMAKQAsACAAXABuACAAIAAgACAAIAAgACAAIAAgACAAIAAgACAAIAAgACAAIAAgACAAIAAgACAAIAAgACAAIAAgACAAIAAgACAAIAAgACAAIAAgACAAIAAgACAAIAAgACAAIABWAFMAVABBAEMASwAoAFwAbgAgACAAIAAgACAAIAAgACAAIAAgACAAIAAgACAAIAAgACAAIAAgACAAIAAgACAAIAAgACAAIAAgACAAIAAgACAAIAAgACAAIAAgACAAIAAgACAAIAAgACAAIAAgACAAIABOAGUAdwBCAGwAbwBjAGsALAAgAFwAbgAgACAAIAAgACAAIAAgACAAIAAgACAAIAAgACAAIAAgACAAIAAgACAAIAAgACAAIAAgACAAIAAgACAAIAAgACAAIAAgACAAIAAgACAAIAAgACAAIAAgACAAIAAgACAAIABFAFgAUABBAE4ARAAoAHsAXAAiACAAXAAiAH0ALAAgADEALAAgAEMATwBVAE4AVABBACgAVABpAG0AZQBsAGkAbgBlACkALAAgAFwAIgAgAFwAIgApACwAXABuACAAIAAgACAAIAAgACAAIAAgACAAIAAgACAAIAAgACAAIAAgACAAIAAgACAAIAAgACAAIAAgACAAIAAgACAAIAAgACAAIAAgACAAIAAgACAAIAAgACAAIAAgACAAIAAgAEEAbQBvAHIAdABpAHoAZQC7AygAUAByAGkAbgBjAGkAcABhAGwAcwAsACAAQQBQAFIAcwAsACAAVABlAHIAbQBzACwAIABTAHQAYQByAHQARABhAHQAZQBzACwAIABUAGkAbQBlAGwAaQBuAGUALAAgAEQAbwBOAG8AdABVAHMAZQAgACsAIAAxACkAXABuACAAIAAgACAAIAAgACAAIAAgACAAIAAgACAAIAAgACAAIAAgACAAIAAgACAAIAAgACAAIAAgACAAIAAgACAAIAAgACAAIAAgACAAIAAgACAAIAAgACAAIAApACwAXABuACAAIAAgACAAIAAgACAAIAAgACAAIAAgACAAIAAgACAAIAAgACAAIAAgACAAIAAgACAAIAAgACAAIAAgACAAIAAgACAAIAAgACAAIAAgACAAIAAgACAAIABOAGUAdwBCAGwAbwBjAGsAXABuACAAIAAgACAAIAAgACAAIAAgACAAIAAgACAAIAAgACAAIAAgACAAIAAgACAAIAAgACAAIAAgACAAIAAgACAAIAAgACAAIAAgACAAIAAgACAAKQAsACAAKgAvAFwAbgAgACAAIAAgACAAIAAgACAAIAAgACAAIAAgACAAIAAgACAAIAAgACAAUgBlAHMAdQBsAHQALAAgACAAIAAgACAAIAAgACAAIAAgACAAIAAgAEkARgAoACAAQQBzAHMAZQB0ACAAPQAgAFIATwBXAFMAKAAgAFAAcgBpAG4AYwBpAHAAYQBsAHMAKQAsACAAXABuACAAIAAgACAAIAAgACAAIAAgACAAIAAgACAAIAAgACAAIAAgACAAIAAgACAAIAAgACAAIAAgACAAIAAgACAAIAAgACAAIAAgACAAIAAgACAAIAAgACAAIABOAGUAdwBCAGwAbwBjAGsALABcAG4AIAAgACAAIAAgACAAIAAgACAAIAAgACAAIAAgACAAIAAgACAAIAAgACAAIAAgACAAIAAgACAAIAAgACAAIAAgACAAIAAgACAAIAAgACAAIAAgACAAIAAgAFYAUwBUAEEAQwBLACgAXABuACAAIAAgACAAIAAgACAAIAAgACAAIAAgACAAIAAgACAAIAAgACAAIAAgACAAIAAgACAAIAAgACAAIAAgACAAIAAgACAAIAAgACAAIAAgACAAIAAgACAAIAAgACAAIAAgAE4AZQB3AEIAbABvAGMAawAsAFwAbgAgACAAIAAgACAAIAAgACAAIAAgACAAIAAgACAAIAAgACAAIAAgACAAIAAgACAAIAAgACAAIAAgACAAIAAgACAAIAAgACAAIAAgACAAIAAgACAAIAAgACAAIAAgACAAIABFAFgAUABBAE4ARAAoAHsAXAAiACAAXAAiAH0ALAAgADEALAAgAEMATwBVAE4AVABBACgAVABpAG0AZQBsAGkAbgBlACkALAAgAFwAIgAgAFwAIgApACwAXABuACAAIAAgACAAIAAgACAAIAAgACAAIAAgACAAIAAgACAAIAAgACAAIAAgACAAIAAgACAAIAAgACAAIAAgACAAIAAgACAAIAAgACAAIAAgACAAIAAgACAAIAAgACAAIAAgAGYAbgAoACAAZgBuACwAIABQAHIAaQBuAGMAaQBwAGEAbABzACwAIABBAFAAUgBzACwAIABUAGUAcgBtAHMALAAgAFMAdABhAHIAdABEAGEAdABlAHMALAAgAFQAaQBtAGUAbABpAG4AZQAsACAAQQBzAHMAZQB0ACAAKwAgADEAKQBcAG4AIAAgACAAIAAgACAAIAAgACAAIAAgACAAIAAgACAAIAAgACAAIAAgACAAIAAgACAAIAAgACAAIAAgACAAIAAgACAAIAAgACAAIAAgACAAIAAgACAAIAAgACkAXABuACAAIAAgACAAIAAgACAAIAAgACAAIAAgACAAIAAgACAAIAAgACAAIAAgACAAIAAgACAAIAAgACAAIAAgACAAIAAgACAAIAAgACAAIAAgACAAKQAsAFwAbgAgACAAIAAgACAAIAAgACAAIAAgACAAIAAgACAAIAAgACAAIAAgACAAUgBlAHMAdQBsAHQAXABuACAAIAAgACAAIAAgACAAIAAgACAAIAAgACAAIAAgACAAKQAgACAAIABcAG4AIAAgACAAIAAgACAAIAAgACAAIAAgACAAKQAsACAAIAAgACAAXABuACAAIAAgACAAIAAgACAAIABSAGUAcwB1AGwAdAAsACAAIAAgACAAIABSAGUAYwB1AHIAcwBpAG8AbgAoACAAUgBlAGMAdQByAHMAaQBvAG4ALAAgAFAAcgBpAG4AYwBpAHAAYQBsAHMALAAgAEEAUABSAHMALAAgAFQAZQByAG0AcwAsACAAUwB0AGEAcgB0AEQAYQB0AGUAcwAsACAAVABpAG0AZQBsAGkAbgBlACwAIAAxACkALABcAG4AIAAgACAAIAAvAC8AIAAgAFIAZQB0AHUAcgBuACAAUgBlAHMAdQBsAHQAXABuACAAIAAgACAAIAAgACAAIABDAEgATwBPAFMARQAoAEgAZQBsAHAAPwAgACsAIAAxACwAIABSAGUAcwB1AGwAdAAsACAASABlAGwAcAApAFwAbgAgACAAIAAgACkAIABcAG4AKQA7AFwAbgBcAG4AXABuAC8AKgAgACAARgBVAE4AQwBUAEkATwBOACAATgBBAE0ARQA6ACAAIABMAGEAYgBlAGwAQQBtAG8AcgB0AGkAegBlALsDXABuACAAIAAgACAARABFAFMAQwBSAEkAUABUAEkATwBOADoAKgAvAC8AKgAqAEMAcgBlAGEAdABlACAAbABhAGIAZQBsAHMAIABmAG8AcgAgAEEAbQBvAHIAdABpAHoAZQC7AyoALwBcAG4ALwAqACAAIABSAEUAVgBJAFMASQBPAE4AUwA6ACAAIAAgACAAIAAgAEQAYQB0AGUAIAAgACAAIAAgACAAIAAgAEQAZQB2AGUAbABvAHAAZQByACAAIAAgACAAIAAgACAARABlAHMAYwByAGkAcAB0AGkAbwBuACAAIABcAG4AIAAgACAAIAAgACAAIAAgACAAIAAgACAAIAAgACAAIAAgACAAIAAgAEQAZQBjACAAMQA5ACAAMgAwADIAMwAgAEMAcgBhAGkAZwAgAEgAYQB0AG0AYQBrAGUAcgAgACAATwByAGkAZwBpAG4AYQBsACAARABlAHYAZQBsAG8AcABtAGUAbgB0AFwAbgAgACAAIAAgACAAIAAgACAAIAAgACAAIAAgACAAIAAgACAAIAAgACAASgBhAG4AIAAxADgAIAAyADAAMgA0ACAAQwByAGEAaQBnACAASABhAHQAbQBhAGsAZQByACAAIABBAGQAZABlAGQAIABEAGUAYgB0ACAASQBzAHMAdQBhAG4AYwBlAFwAbgAqAC8AXABuAEwAYQBiAGUAbABBAG0AbwByAHQAaQB6AGUAuwMgAD0AIABMAEEATQBCAEQAQQAoAFwAbgAvAC8AIAAgAFAAYQByAGEAbQBlAHQAZQByACAARABlAGMAbABhAHIAYQB0AGkAbwBuAHMAXABuACAAIAAgACAAWwBMAG8AYQBuAE4AYQBtAGUAcwBdACwAIAAgAFwAbg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MAGEAYgBlAGwAQQBtAG8AcgB0AGkAegBlALsDKABbAEwAbwBhAG4ATgBhAG0AZQBzAF0AKQC2AFwAIgAgACYAXABuACAAIAAgACAAIAAgACAAIAAgACAAIAAgACAAIAAgACAAIAAgACAAIAAgACAAIAAgACAAIAAgACAAXAAiAEQARQBTAEMAUgBJAFAAVABJAE8ATgA6ACAAIAAgAJIhQwByAGUAYQB0AGUAIAByAG8AdwAgAGwAYQBiAGUAbABzACAAZgBvAHIAIAB0AGgAZQAgAGEAbQBvAHIAdABpAHoAYQB0AGkAbwBuACAAcwBjAGgAZQBkAHUAbABlACAAYQByAHIAYQB5ACAAcAByAG8AZAB1AGMAZQBkACAAYgB5ACAAQQBtAG8AcgB0AGkAegBlALsDtgBcACIAIAAmACAAXABuACAAIAAgACAAIAAgACAAIAAgACAAIAAgACAAIAAgACAAIAAgACAAIAAgACAAIAAgACAAIAAgACAAXAAiAFcARQBCAFAAQQBHAEUAOgAgACAAIAAgACAAIAAgAJIhaAB0AHQAcABzADoALwAvAHMAaQB0AGUAcwAuAGcAbwBvAGcAbABlAC4AYwBvAG0ALwBzAGkAdABlAC8AYgBlAHkAbwBuAGQAZQB4AGMAZQBsAC8AaABvAG0AZQAvADUAZwAtAG0AbwBkAGUAbABpAG4AZwAvADUAZwAtAGMAbwBtAHAAbwBuAGUAbgB0AC0AbABpAGIAcgBhAHIAaQBlAHMALwA1AGcALQBhAG0AbwByAHQAaQB6AGUAJQBDAEUAJQBCAEIAtgBcACIAIAAmACAAXABuACAAIAAgACAAIAAgACAAIAAgACAAIAAgACAAIAAgACAAIAAgACAAIAAgACAAIAAgACAAIAAgACAAXAAiAFYARQBSAFMASQBPAE4AOgAgACAAIAAgACAAIAAgAJIhTwBjAHQAIAAyADQAIAAyADAAMgAzALYAXAAiACAAJgBcAG4AIAAgACAAIAAgACAAIAAgACAAIAAgACAAIAAgACAAIAAgACAAIAAgACAAIAAgACAAIAAgACAAIABcACIAUABBAFIAQQBNAEUAVABFAFIAUwA6ACAAIAAgACAAkiG2AFwAIgAgACYAIABcAG4AIAAgACAAIAAgACAAIAAgACAAIAAgACAAIAAgACAAIAAgACAAIAAgACAAIAAgACAAIAAgACAAIABcACIATABvAGEAbgBOAGEAbQBlAHMAIAAgACAAIAAgAJIhKABSAGUAcQB1AGkAcgBlAGQAKQAgAFQAaABlACAAbgBhAG0AZQBzACAAbwByACAAZABlAHMAYwByAGkAcAB0AGkAbwBuAHMAIABvAGYAIABlAGEAYwBoACAAbABvAGEAbgAgAGkAbgAgAHQAaABlACAAYQBtAG8AcgB0AGkAegBhAHQAaQBvAG4AIABzAGMAaABlAGQAdQBsAGUAIABwAHIAbwBkAHUAYwBlAGQAIABiAHkAIABBAG0AbwByAHQAaQB6AGUAuwO2AFwAIgAgACY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EIAWABGACAAaQBzACAAYQBzAHMAdQBtAGUAZAAgAHQAbwAgAGIAZQAgAHQAaABlACAAbQBvAGQAdQBsAGUAJwBzACAAbgBhAG0AZQApALYAXAAiACAAJgBcAG4AIAAgACAAIAAgACAAIAAgACAAIAAgACAAIAAgACAAIAAgACAAIAAgACAAIAAgACAAIAAgACAAIAAgACAAIAAgACAAIAAgACAAIAAgACAAIAAgACAAIABcACIAkiE9AEIAWABGAC4ATABhAGIAZQBsAEEAbQBvAHIAdABpAHoAZQC7AygAdABiAGwATABvAGEAbgBzAFsATABvAGEAbgAgAE4AYQBtAGUAXQAp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/ACwAIAAgACAAIAAgACAAIAAgACAAIABJAFMATwBNAEkAVABUAEUARAAoACAATABvAGEAbgBOAGEAbQBlAHMAKQAsAFwAbgAgACAAIAAgAC8ALwAgACAAUAByAG8AYwBlAGQAdQByAGUAXABuACAAIAAgACAAIAAgACAAIABSAGUAcwB1AGwAdAAsACAAIAAgACAAIAAgACAAIAAgAE0AQQBLAEUAQQBSAFIAQQBZACgAIABSAE8AVwBTACgATABvAGEAbgBOAGEAbQBlAHMAKQAgACoAIAA3ACAALQAgADEALAAgADEALAAgAFwAbgAgACAAIAAgACAAIAAgACAAIAAgACAAIAAgACAAIAAgACAAIAAgACAAIAAgACAAIAAgACAAIAAgAEwAQQBNAEIARABBACgAUgAsACAAQwAsACAAXABuACAAIAAgACAAIAAgACAAIAAgACAAIAAgACAAIAAgACAAIAAgACAAIAAgACAAIAAgACAAIAAgACAAIAAgACAAIABMAEUAVAAoAEwAbwBhAG4ATgBhAG0AZQAsACAAIAAgAEkATgBEAEUAWAAoACAATABvAGEAbgBOAGEAbQBlAHMALAAgAFEAVQBPAFQASQBFAE4AVAAoAFIALQAxACwAIAA3ACkAIAArACAAMQApACwAIABcAG4AIAAgACAAIAAgACAAIAAgACAAIAAgACAAIAAgACAAIAAgACAAIAAgACAAIAAgACAAIAAgACAAIAAgACAAIAAgACAAIAAgACAAUwBXAEkAVABDAEgAKAAgAE0ATwBEACgAUgAtADEALAAgADcAKQAgACsAIAAxACwAXABuACAAIAAgACAAIAAgACAAIAAgACAAIAAgACAAIAAgACAAIAAgACAAIAAgACAAIAAgACAAIAAgACAAIAAgACAAIAAgACAAIAAgACAAIAAgACAAMQAsACAAIABMAG8AYQBuAE4AYQBtAGUAIAAmACAAXAAiACAARABlAGIAdAAgAEkAcwBzAHUAYQBuAGMAZQBcACIALABcAG4AIAAgACAAIAAgACAAIAAgACAAIAAgACAAIAAgACAAIAAgACAAIAAgACAAIAAgACAAIAAgACAAIAAgACAAIAAgACAAIAAgACAAIAAgACAAIAAyACwAIAAgAEwAbwBhAG4ATgBhAG0AZQAgACYAIABcACIAIABEAGUAYgB0ACAAQgBhAGwAYQBuAGMAZQBcACIALABcAG4AIAAgACAAIAAgACAAIAAgACAAIAAgACAAIAAgACAAIAAgACAAIAAgACAAIAAgACAAIAAgACAAIAAgACAAIAAgACAAIAAgACAAIAAgACAAIAAzACwAIAAgAEwAbwBhAG4ATgBhAG0AZQAgACYAIABcACIAIABJAG4AdABlAHIAZQBzAHQAXAAiACwAXABuACAAIAAgACAAIAAgACAAIAAgACAAIAAgACAAIAAgACAAIAAgACAAIAAgACAAIAAgACAAIAAgACAAIAAgACAAIAAgACAAIAAgACAAIAAgACAANAAsACAAIABMAG8AYQBuAE4AYQBtAGUAIAAmACAAXAAiACAARABlAGIAdAAgAFMAZQByAHYAaQBjAGUAcwBcACIALABcAG4AIAAgACAAIAAgACAAIAAgACAAIAAgACAAIAAgACAAIAAgACAAIAAgACAAIAAgACAAIAAgACAAIAAgACAAIAAgACAAIAAgACAAIAAgACAAIAA1ACwAIAAgAEwAbwBhAG4ATgBhAG0AZQAgACYAIABcACIAIABDAGwAbwBzAGkAbgBnACAAQgBhAGwAYQBuAGMAZQBcACIALABcAG4AIAAgACAAIAAgACAAIAAgACAAIAAgACAAIAAgACAAIAAgACAAIAAgACAAIAAgACAAIAAgACAAIAAgACAAIAAgACAAIAAgACAAIAAgACAAIAA2ACwAIAAgAEwAbwBhAG4ATgBhAG0AZQAgACYAIABcACIAIABEAGUAYgB0ACAAUgBlAHAAYQB5AG0AZQBuAHQAXAAiACwAXABuACAAIAAgACAAIAAgACAAIAAgACAAIAAgACAAIAAgACAAIAAgACAAIAAgACAAIAAgACAAIAAgACAAIAAgACAAIAAgACAAIAAgACAAIAAgACAANwAsACAAIABcACIAXAAiAFwAbgAgACAAIAAgACAAIAAgACAAIAAgACAAIAAgACAAIAAgACAAIAAgACAAIAAgACAAIAAgACAAIAAgACAAIAAgACAAIAAgACAAIAAp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CAAXABuACkAOwBcAG4AXABuAFwAbgBcAG4ALwAqACAAIABGAFUATgBDAFQASQBPAE4AIABOAEEATQBFADoAIAAgAFMAdQBtAEEAbQBvAHIAdABpAHoAZQC7A1wAbgAgACAAIAAgAEQARQBTAEMAUgBJAFAAVABJAE8ATgA6ACoALwAvACoAKgBDAHIAZQBhAHQAZQAgAHIAbwB3ACAAdABvAHQAYQBsAHMAIABmAG8AcgAgAEEAbQBvAHIAdABpAHoAZQC7AyoALwBcAG4ALwAqACAAIABSAEUAVgBJAFMASQBPAE4AUwA6ACAAIAAgACAAIAAgAEQAYQB0AGUAIAAgACAAIAAgACAAIAAgAEQAZQB2AGUAbABvAHAAZQByACAAIAAgACAAIAAgACAARABlAHMAYwByAGkAcAB0AGkAbwBuACAAIABcAG4AIAAgACAAIAAgACAAIAAgACAAIAAgACAAIAAgACAAIAAgACAAIAAgAEQAZQBjACAAMQA5ACAAMgAwADIAMwAgAEMAcgBhAGkAZwAgAEgAYQB0AG0AYQBrAGUAcgAgACAATwByAGkAZwBpAG4AYQBsACAARABlAHYAZQBsAG8AcABtAGUAbgB0AFwAbgAgACAAIAAgACAAIAAgACAAIAAgACAAIAAgACAAIAAgACAAIAAgACAASgBhAG4AIAAxADgAIAAyADAAMgA0ACAAQwByAGEAaQBnACAASABhAHQAbQBhAGsAZQByACAAIABBAGQAZABlAGQAIABEAGUAYgB0ACAASQBzAHMAdQBhAG4AYwBlAFwAbgAqAC8AXABuAFMAdQBtAEEAbQBvAHIAdABpAHoAZQC7AyAAPQAgAEwAQQBNAEIARABBACgAXABuAC8ALwAgACAAUABhAHIAYQBtAGUAdABlAHIAIABEAGUAYwBsAGEAcgBhAHQAaQBvAG4AcwBcAG4AIAAgACAAIABbAEEAbQBvAHIAaQB0AGkAegBhAHQAaQBvAG4AUwBjAGgAZQBkAHUAbABlAF0ALABcAG4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wB1AG0AQQBtAG8AcgB0AGkAegBlALsDKABBAG0AbwByAGkAdABpAHoAYQB0AGkAbwBuAFMAYwBoAGUAZAB1AGwAZQApALYAXAAiACAAJgBcAG4AIAAgACAAIAAgACAAIAAgACAAIAAgACAAIAAgACAAIAAgACAAIAAgACAAIAAgACAAIAAgACAAIABcACIARABFAFMAQwBSAEkAUABUAEkATwBOADoAIAAgACAAkiFDAHIAZQBhAHQAZQAgAHIAbwB3ACAAdABvAHQAYQBsAHMAIABmAG8AcgAgAEEAbQBvAHIAdABpAHoAZQC7A7YAXAAiACAAJgAgAFwAbgAgACAAIAAgACAAIAAgACAAIAAgACAAIAAgACAAIAAgACAAIAAgACAAIAAgACAAIAAgACAAIAAgAFwAIgBXAEUAQgBQAEEARwBFADoAIAAgACAAIAAgACAAIACSIWgAdAB0AHAAcwA6AC8ALwBzAGkAdABlAHMALgBnAG8AbwBnAGwAZQAuAGMAbwBtAC8AcwBpAHQAZQAvAGIAZQB5AG8AbgBkAGUAeABjAGUAbAAvAGgAbwBtAGUALwA1AGcALQBtAG8AZABlAGwAaQBuAGcALwA1AGcALQBjAG8AbQBwAG8AbgBlAG4AdAAtAGwAaQBiAHIAYQByAGkAZQBzAC8ANQBnAC0AYQBtAG8AcgB0AGkAegBlACUAQwBFACUAQgBCALYAXAAiACAAJgAgAFwAbgAgACAAIAAgACAAIAAgACAAIAAgACAAIAAgACAAIAAgACAAIAAgACAAIAAgACAAIAAgACAAIAAgAFwAIgBWAEUAUgBTAEkATwBOADoAIAAgACAAIAAgACAAIACSIUQAZQBjACAAMQA5ACAAMgAwADIAMwC2AFwAIgAgACYAXABuACAAIAAgACAAIAAgACAAIAAgACAAIAAgACAAIAAgACAAIAAgACAAIAAgACAAIAAgACAAIAAgACAAXAAiAFAAQQBSAEEATQBFAFQARQBSAFMAOgAgACAAIAAgAJIhtgBcACIAIAAmACAAXABuACAAIAAgACAAIAAgACAAIAAgACAAIAAgACAAIAAgACAAIAAgACAAIAAgACAAIAAgACAAIAAgACAAXAAiAEEAbQBvAHIAaQB0AGkAegBhAHQAaQBvAG4AUwBjAGgAZQBkAHUAbABlAJIhKABSAGUAcQB1AGkAcgBlAGQAKQAgAEEAbgAgAGEAcgByAGEAeQAgAHAAcgBvAGQAdQBjAGUAZAAgAGIAeQAgAEEAbQBvAHIAaQB0AGkAegBlALsDtgBcACIAIAAmACAAIAAgACAAIAAgACAAIAAgACAAIAAgACAAIAAgACAAIAAgAFwAbgAgACAAIAAgACAAIAAgACAAIAAgACAAIAAgACAAIAAgACAAIAAgACAAIAAgACAAIAAgACAAIAAgAFwAIgBFAFgAQQBNAFAATABFAFMAOgCSIbYAXAAiACAAJgAgAFwAbgAgACAAIAAgACAAIAAgACAAIAAgACAAIAAgACAAIAAgACAAIAAgACAAIAAgACAAIAAgACAAIAAgAFwAIgBSAGUAcwB1AGwAdAAgACAAIAAgACAAIAAgACAAIACSIUYAbwByAG0AdQBsAGEAIAAoAEIAWABGACAAaQBzACAAYQBzAHMAdQBtAGUAZAAgAHQAbwAgAGIAZQAgAHQAaABlACAAbQBvAGQAdQBsAGUAJwBzACAAbgBhAG0AZQApALYAXAAiACAAJgBcAG4AIAAgACAAIAAgACAAIAAgACAAIAAgACAAIAAgACAAIAAgACAAIAAgACAAIAAgACAAIAAgACAAIAAgACAAIAAgACAAIAAgACAAIAAgACAAIAAgACAAIABcACIAkiE9AEIAWABGAC4AUwB1AG0AQQBtAG8AcgBpAHQAaQB6AGUAuwMoAEEAbQBvAHIAaQB0AGkAegBhAHQAaQBvAG4AUwBjAGgAZQBkAHUAbABl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/ACwAIAAgACAAIAAgACAAIAAgACAAIABJAFMATwBNAEkAVABUAEUARAAoACAAQQBtAG8AcgBpAHQAaQB6AGEAdABpAG8AbgBTAGMAaABlAGQAdQBsAGUAKQAsAFwAbgAgACAAIAAgAC8ALwAgACAAUAByAG8AYwBlAGQAdQByAGUAXABuACAAIAAgACAAIAAgACAAIABSAGUAcwB1AGwAdAAsACAAIAAgACAAIAAgACAAIAAgAE0AQQBLAEUAQQBSAFIAQQBZACgAUgBPAFcAUwAoAEEAbQBvAHIAaQB0AGkAegBhAHQAaQBvAG4AUwBjAGgAZQBkAHUAbABlACkALAAgADEALAAgAFwAbgAgACAAIAAgACAAIAAgACAAIAAgACAAIAAgACAAIAAgACAAIAAgACAAIAAgACAAIAAgACAAIAAgAEwAQQBNAEIARABBACgAIABSACwAIABDACwAXABuACAAIAAgACAAIAAgACAAIAAgACAAIAAgACAAIAAgACAAIAAgACAAIAAgACAAIAAgACAAIAAgACAAIAAgACAAIABTAFcASQBUAEMASAAoACAATQBPAEQAKAAgAFIALAAgADcAKQAsAFwAbgAgACAAIAAgACAAIAAgACAAIAAgACAAIAAgACAAIAAgACAAIAAgACAAIAAgACAAIAAgACAAIAAgACAAIAAgACAAIAAgACAAIAAzACwAIABTAFUATQAoAEMASABPAE8AUwBFAFIATwBXAFMAKAAgAEEAbQBvAHIAaQB0AGkAegBhAHQAaQBvAG4AUwBjAGgAZQBkAHUAbABlACwAIABSACkAKQAsAFwAbgAgACAAIAAgACAAIAAgACAAIAAgACAAIAAgACAAIAAgACAAIAAgACAAIAAgACAAIAAgACAAIAAgACAAIAAgACAAIAAgACAAIAA0ACwAIABTAFUATQAoAEMASABPAE8AUwBFAFIATwBXAFMAKAAgAEEAbQBvAHIAaQB0AGkAegBhAHQAaQBvAG4AUwBjAGgAZQBkAHUAbABlACwAIABSACkAKQAsAFwAbgAgACAAIAAgACAAIAAgACAAIAAgACAAIAAgACAAIAAgACAAIAAgACAAIAAgACAAIAAgACAAIAAgACAAIAAgACAAIAAgACAAIAA2ACwAIABTAFUATQAoAEMASABPAE8AUwBFAFIATwBXAFMAKAAgAEEAbQBvAHIAaQB0AGkAegBhAHQAaQBvAG4AUwBjAGgAZQBkAHUAbABlACwAIABSACkAKQAsAFwAbgAgACAAIAAgACAAIAAgACAAIAAgACAAIAAgACAAIAAgACAAIAAgACAAIAAgACAAIAAgACAAIAAgACAAIAAgACAAIAAgACAAIAAw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CAAXABuACkAOwBcAG4AXABuAFwAbgBcAG4AXABuAFwAbgAvAC8AIAAgAEQAZQBwAHIAZQBjAGkAYQB0AGkAbwBuACAAUwB1AGkAdABlAFwAbgBcAG4ALwAqACAAIABGAFUATgBDAFQASQBPAE4AIABOAEEATQBFADoAIAAgAEQAZQBwAHIAZQBjAGkAYQB0AGUAuwNcAG4AIAAgACAAIABEAEUAUwBDAFIASQBQAFQASQBPAE4AOgAqAC8ALwAqACoAQwByAGUAYQB0AGUAIABhACAAYgBsAG8AYwBrACAAbwBmACAAQwBBAFAARQBYACwAIABPAHAAZQBuAGkAbgBnACAAQgBhAGwAYQBuAGMAZQAsACAARABlAHAAcgBlAGMAaQBhAHQAaQBvAG4AIABWAGEAbAB1AGUAcwAsACAAYQBuAGQAIABCAG8AbwBrACAAVgBhAGwAdQBlACAAZgBvAHIAIABlAGEAYwBoACAAYQBzAHMAZQB0ACoALwBcAG4ALwAqACAAIABSAEUAVgBJAFMASQBPAE4AUwA6ACAAIAAgACAAIAAgAEQAYQB0AGUAIAAgACAAIAAgACAAIAAgAEQAZQB2AGUAbABvAHAAZQByACAAIAAgACAAIAAgACAARABlAHMAYwByAGkAcAB0AGkAbwBuACAAIABcAG4AIAAgACAAIAAgACAAIAAgACAAIAAgACAAIAAgACAAIAAgACAAIAAgAE8AYwB0ACAAMgA0ACAAMgAwADIAMwAgAEMAcgBhAGkAZwAgAEgAYQB0AG0AYQBrAGUAcgAgACAATwByAGkAZwBpAG4AYQBsACAARABlAHYAZQBsAG8AcABtAGUAbgB0AFwAbgAgACAAIAAgACAAIAAgACAAIAAgACAAIAAgACAAIAAgACAAIAAgACAATQBhAHkAIAAxADMAIAAyADAAMgA0ACAAQwByAGEAaQBnACAASABhAHQAbQBhAGsAZQByACAAIABTAHAAcgBpAG4AZwAgAFYAZQByAHMAaQBvAG4AXABuACoALwBcAG4ARABlAHAAcgBlAGMAaQBhAHQAZQC7AyAAPQAgAEwAQQBNAEIARABBACgAXABuAC8ALwAgACAAUABhAHIAYQBtAGUAdABlAHIAIABEAGUAYwBsAGEAcgBhAHQAaQBvAG4AcwBcAG4AIAAgACAAIABbAEkAbgBpAHQAaQBhAGwAVgBhAGwAdQBlAHMAXQAsAFwAbgAgACAAIAAgAFsASQBuAFMAZQByAHYAaQBjAGUARABhAHQAZQBzAF0ALAAgAFwAbgAgACAAIAAgAFsATABpAGYAZQBJAG4AWQBlAGEAcgBzAF0ALAAgAFwAbgAgACAAIAAgAFsAVABpAG0AZQBsAGkAbgBlAF0ALABcAG4AIAAgACAAIABbAFMAYQBsAHYAYQBnAGUAVgBhAGwAdQBlAHMAXQAsAFwAbgAgACAAIAAgAFsARABpAHMAcABvAHMAYQBsAEQAYQB0AGUAcwBdACwAXABuACAAIAAgACAAWwBEAGkAcwBwAG8AcwBhAGwAQwBvAHMAdABzAF0ALABcAG4AIAAgACAAIABbAE0AZQB0AGgAbwBkAHMAXQAsAFwAbgAgACAAIAAgAFsARgBhAGMAdABvAHIAcwBdACwAXABuACAAIAAgACAATABFAFQAKABcAG4ALwAvACAAIABIAGUAbABwAFwAbgAgACAAIAAgACAAIAAgACAASABlAGwAcAAsACAAIAAgACAAIAAgACAAIAAgACAAIABUAFIASQBNACgAVABFAFgAVABTAFAATABJAFQAKAAgAFwAbgAgACAAIAAgACAAIAAgACAAIAAgACAAIAAgACAAIAAgACAAIAAgACAAIAAgACAAIAAgACAAIAAgAFwAIgBGAFUATgBDAFQASQBPAE4AOgAgACAAIAAgACAAIACSIUQAZQBwAHIAZQBjAGkAYQB0AGUAuwMoAEkAbgBpAHQAaQBhAGwAVgBhAGwAdQBlAHMALAAgAEkAbgBTAGUAcgB2AGkAYwBlAEQAYQB0AGUAcwAsACAATABpAGYAZQBJAG4AWQBlAGEAcgBzACwAIABUAGkAbQBlAGwAaQBuAGUALAAgALYAXAAiACAAJgBcAG4AIAAgACAAIAAgACAAIAAgACAAIAAgACAAIAAgACAAIAAgACAAIAAgACAAIAAgACAAIAAgACAAIABcACIAIAAgACAAIAAgACAAIAAgACAAIAAgACAAIAAgACAAkiFbAFMAYQBsAHYAYQBnAGUAVgBhAGwAdQBlAHMAXQAsACAAWwBEAGkAcwBwAG8AcwBhAGwARABhAHQAZQBzAF0ALAAgAFsARABpAHMAcABvAHMAYQBsAEMAbwBzAHQAcwBdACwAIABbAE0AZQB0AGgAbwBkAHMAXQAsACAAWwBGAGEAYwB0AG8AcgBdACkAtgBcACIAIAAmAFwAbgAgACAAIAAgACAAIAAgACAAIAAgACAAIAAgACAAIAAgACAAIAAgACAAIAAgACAAIAAgACAAIAAgAFwAIgBEAEUAUwBDAFIASQBQAFQASQBPAE4AOgAgACAAIACSIUMAcgBlAGEAdABlAHMAIABhAG4AIABhAHIAcgBhAHkAIABvAGYAIABDAEEAUABFAFgALAAgAGQAZQBwAHIAZQBjAGkAYQB0AGkAbwBuACwAIABhAG4AZAAgAGIAbwBvAGsAIAB2AGEAbAB1AGUAcwAgAGYAbwByACAAYQAgAG0AbwBkAGUAbAAnAHMAIAB0AGkAbQBlAGwAaQBuAGUAtgBcACIAIAAmACAAXABuACAAIAAgACAAIAAgACAAIAAgACAAIAAgACAAIAAgACAAIAAgACAAIAAgACAAIAAgACAAIAAgACAAXAAiAFcARQBCAFAAQQBHAEUAOgAgACAAIAAgACAAIAAgAJIhaAB0AHQAcABzADoALwAvAHMAaQB0AGUAcwAuAGcAbwBvAGcAbABlAC4AYwBvAG0ALwBzAGkAdABlAC8AYgBlAHkAbwBuAGQAZQB4AGMAZQBsAC8AaABvAG0AZQAvADUAZwAtAG0AbwBkAGUAbABpAG4AZwAvADUAZwAtAGMAbwBtAHAAbwBuAGUAbgB0AC0AbABpAGIAcgBhAHIAaQBlAHMALwA1AGcALQBkAGUAcAByAGUAYwBpAGEAdABlACUAQwBFACUAQgBCACAAtgBcACIAIAAmACAAXABuACAAIAAgACAAIAAgACAAIAAgACAAIAAgACAAIAAgACAAIAAgACAAIAAgACAAIAAgACAAIAAgACAAXAAiAFYARQBSAFMASQBPAE4AOgAgACAAIAAgACAAIAAgAJIhQQBwAHIAIAAxADAAIAAyADAAMgA0ALYAXAAiACAAJgBcAG4AIAAgACAAIAAgACAAIAAgACAAIAAgACAAIAAgACAAIAAgACAAIAAgACAAIAAgACAAIAAgACAAIABcACIATgBPAFQARQBTADoAIAAgACAAIAAgACAAIAAgACAAkiFUAGgAZQAgAG0AZQB0AGgAbwBkAHMAIAB1AHMAZQBkACAAaABlAHIAZQAgAGQAaQBmAGYAZQByAHMAIABmAHIAbwBtACAARQB4AGMAZQBsACcAcwAgAGYAdQBuAGMAdABpAG8AbgBzACAAaQBuACAAcwBlAHYAZQByAGEAbAAgAHcAYQB5AHMALgAgAFAAbABlAGEAcwBlACAAcwBlAGUAIAB3AGUAYgBwAGEAZwBlACAAZgBvAHIAIABkAGUAdABhAGkAbABzAC4AtgBcACIAIAAmAFwAbgAgACAAIAAgACAAIAAgACAAIAAgACAAIAAgACAAIAAgACAAIAAgACAAIAAgACAAIAAgACAAIAAgAFwAIgBQAEEAUgBBAE0ARQBUAEUAUgBTADoAIAAgACAAIACSIbYAXAAiACAAJgAgAFwAbgAgACAAIAAgACAAIAAgACAAIAAgACAAIAAgACAAIAAgACAAIAAgACAAIAAgACAAIAAgACAAIAAgAFwAIgBJAG4AaQB0AGkAYQBsAFYAYQBsAHUAZQBzACAAIACSISgAUgBlAHEAdQBpAHIAZQBkACkAIABUAGgAZQAgAHAAdQByAGMAaABhAHMAZQAgAHYAYQBsAHUAZQBzACAAbwBmACAAZQBhAGMAaAAgAGEAcwBzAGUAdAAgAHQAbwAgAGQAZQBwAHIAZQBjAGkAYQB0AGUAtgBcACIAIAAmACAAXABuACAAIAAgACAAIAAgACAAIAAgACAAIAAgACAAIAAgACAAIAAgACAAIAAgACAAIAAgACAAIAAgACAAXAAiAEkAbgBTAGUAcgB2AGkAYwBlAEQAYQB0AGUAcwAgAJIhKABSAGUAcQB1AGkAcgBlAGQAKQAgAFQAaABlACAAZABhAHQAZQBzACAAZgByAG8AbQAgAHcAaABpAGMAaAAgAHQAbwAgAHMAdABhAHIAdAAgAGQAZQBwAHIAZQBjAGkAYQB0AGkAbgBnACAAZQBhAGMAaAAgAGEAcwBzAGUAdAC2AFwAIgAgACYAIABcAG4AIAAgACAAIAAgACAAIAAgACAAIAAgACAAIAAgACAAIAAgACAAIAAgACAAIAAgACAAIAAgACAAIABcACIATABpAGYAZQBJAG4AWQBlAGEAcgBzACAAIAAgACAAkiEoAFIAZQBxAHUAaQByAGUAZAApACAAVABoAGUAIABuAHUAbQBiAGUAcgAgAG8AZgAgAHkAZQBhAHIAcwAgAHcAaQB0AGgAIAB3AGgAaQBjAGgAIAB0AG8AIABkAGUAcAByAGUAYwBpAGEAdABlACAAZQBhAGMAaAAgAGEAcwBzAGUAdAC2AFwAIgAgACYAIABcAG4AIAAgACAAIAAgACAAIAAgACAAIAAgACAAIAAgACAAIAAgACAAIAAgACAAIAAgACAAIAAgACAAIABcACIAVABpAG0AZQBsAGkAbgBlACAAIAAgACAAIAAgACAAkiEoAFIAZQBxAHUAaQByAGUAZAApACAAVABoAGUAIABtAG8AZABlAGwAJwBzACAAdABpAG0AZQBsAGkAbgBlACAAbwByACAAYQAgAHIAbwB3ACAAbwBmACAAcABlAHIAaQBvAGQAIABzAHQAYQByAHQAIABkAGEAdABlAHMALgAgALYAXAAiACAAJgAgAFwAbgAgACAAIAAgACAAIAAgACAAIAAgACAAIAAgACAAIAAgACAAIAAgACAAIAAgACAAIAAgACAAIAAgAFwAIgAgACAAIAAgACAAIAAgACAAIAAgACAAIAAgACAAIACSIVQAaQBtAGUAbABpAG4AZQAgAGMAYQBuACAAYgBlACAAaQBuACAATQBvAG4AdABoAHMALAAgAFEAdQBhAHIAdABlAHIAcwAsACAAbwByACAAWQBlAGEAcgBzALYAXAAiACAAJgAgAFwAbgAgACAAIAAgACAAIAAgACAAIAAgACAAIAAgACAAIAAgACAAIAAgACAAIAAgACAAIAAgACAAIAAgAFwAIgBTAGEAbAB2AGEAZwBlAFYAYQBsAHUAZQBzACAAIACSISgATwBwAHQAaQBvAG4AYQBsADoAIABEAGUAZgBhAHUAbAB0ACAAPQAgADAAKQAgAFQAaABlACAAYgBvAG8AawAgAHYAYQBsAHUAZQBzACAAbwBmACAAZQBhAGMAaAAgAGEAcwBzAGUAdAAgAGEAZgB0AGUAcgAgAGYAdQBsAGwAeQAgAGQAZQBwAHIAZQBjAGkAYQB0AGUAZAAuALYAXAAiACAAJgAgAFwAbgAgACAAIAAgACAAIAAgACAAIAAgACAAIAAgACAAIAAgACAAIAAgACAAIAAgACAAIAAgACAAIAAgAFwAIgBEAGkAcwBwAG8AcwBhAGwARABhAHQAZQBzACAAIACSISgATwBwAHQAaQBvAG4AYQBsADoAIABEAGUAZgBhAHUAbAB0ACAAPQAgAEUAbgBkACAAbwBmACAAbABpAGYAZQApACAAVABoAGUAIABkAGEAdABlAHMAIABvAG4AIAB3AGgAaQBjAGgAIAB0AGgAZQAgAGEAcwBzAGUAdABzACAAYQByAGUAIAByAGUAbQBvAHYAZQBkACAAZgByAG8AbQAgAHQAaABlACAAYgBvAG8AawBzAC4AtgBcACIAIAAmACAAXABuACAAIAAgACAAIAAgACAAIAAgACAAIAAgACAAIAAgACAAIAAgACAAIAAgACAAIAAgACAAIAAgACAAXAAiAEQAaQBzAHAAbwBzAGEAbABDAG8AcwB0AHMAIAAgAJIhKABPAHAAdABpAG8AbgBhAGwAOgAgAEQAZQBmAGEAdQBsAHQAIAA9ACAAMAApACAAVABoAGUAIABiAG8AbwBrACAAdgBhAGwAdQBlAHMAIABvAGYAIABlAGEAYwBoACAAYQBzAHMAZQB0ACAAYQBmAHQAZQByACAAZgB1AGwAbAB5ACAAZABlAHAAcgBlAGMAaQBhAHQAZQBkAC4AtgBcACIAIAAmACAAXABuACAAIAAgACAAIAAgACAAIAAgACAAIAAgACAAIAAgACAAIAAgACAAIAAgACAAIAAgACAAIAAgACAAXAAiAE0AZQB0AGgAbwBkAHMAIAAgACAAIAAgACAAIAAgAJIhKABPAHAAdABpAG8AbgBhAGwAOgAgAEQAZQBmAGEAdQBsAHQAIAA9ACAAUwBMAE4AKQAgAFQAaABlACAAZABlAHMAaQByAGUAZAAgAGQAZQBwAHIAZQBjAGkAYQB0AGkAbwBuACAAbQBlAHQAaABvAGQALgAgAE0AdQBzAHQAIABiAGUAIABvAG4AZQAgAG8AZgAgAHQAaABlAHMAZQAgAEUAeABjAGUAbAAgAGYAdQBuAGMAdABpAG8AbgAgAG4AYQBtAGUAcwA6ACAAtgBcACIAIAAmACAAXABuACAAIAAgACAAIAAgACAAIAAgACAAIAAgACAAIAAgACAAIAAgACAAIAAgACAAIAAgACAAIAAgACAAIAAgACAAIAAgACAAIAAgACAAIAAgACAAIAAgACAAXAAiAJIhUwBMAE4APQBTAHQAcgBhAGkAZwBoAHQAIABMAGkAbgBlACAARABlAHAAcgBlAGMAaQBhAHQAaQBvAG4AtgBcACIAIAAmACAAXABuACAAIAAgACAAIAAgACAAIAAgACAAIAAgACAAIAAgACAAIAAgACAAIAAgACAAIAAgACAAIAAgACAAIAAgACAAIAAgACAAIAAgACAAIAAgACAAIAAgACAAXAAiAJIhUwBZAEQAPQBTAHUAbQAgAG8AZgAgAFkAZQBhAHIAJwBzACAARABpAGcAaQB0AHMAtgBcACIAIAAmACAAXABuACAAIAAgACAAIAAgACAAIAAgACAAIAAgACAAIAAgACAAIAAgACAAIAAgACAAIAAgACAAIAAgACAAIAAgACAAIAAgACAAIAAgACAAIAAgACAAIAAgACAAXAAiAJIhRABCACAAPQBEAGUAYwBsAGkAbgBpAG4AZwAgAEIAYQBsAGEAbgBjAGUAtgBcACIAIAAmACAAXABuACAAIAAgACAAIAAgACAAIAAgACAAIAAgACAAIAAgACAAIAAgACAAIAAgACAAIAAgACAAIAAgACAAIAAgACAAIAAgACAAIAAgACAAIAAgACAAIAAgACAAXAAiAJIhRABEAEIAPQBEAG8AdQBiAGwAZQAgAEQAZQBjAGwAaQBuAGkAbgBnACAAQgBhAGwAYQBuAGMAZQC2AFwAIgAgACYAIABcAG4AIAAgACAAIAAgACAAIAAgACAAIAAgACAAIAAgACAAIAAgACAAIAAgACAAIAAgACAAIAAgACAAIAAgACAAIAAgACAAIAAgACAAIAAgACAAIAAgACAAIABcACIAkiFWAEQAQgA9AFYAYQByAGkAYQBiAGwAZQAgAEQAZQBjAGwAaQBuAGkAbgBnACAAQgBhAGwAYQBuAGMAZQC2AFwAIgAgACYAIABcAG4AIAAgACAAIAAgACAAIAAgACAAIAAgACAAIAAgACAAIAAgACAAIAAgACAAIAAgACAAIAAgACAAIAAgACAAIAAgACAAIAAgACAAIAAgACAAIAAgACAAIABcACIAkiFNAEEAQwBSAFMAPQBNAG8AZABpAGYAaQBlAGQAIABBAGMAYwBlAGwAZQByAGEAdABlAGQAIABDAG8AcwB0ACAAUgBlAGMAbwB2AGUAcgB5ACAAUwB5AHMAdABlAG0ALgAgAE4ATwBUAEUAOgAgAFMAYQBsAHYAYQBnAGUAIAB2AGEAbAB1AGUAIABpAGcAbgBvAHIAZQBkALYAXAAiACAAJgAgAFwAbgAgACAAIAAgACAAIAAgACAAIAAgACAAIAAgACAAIAAgACAAIAAgACAAIAAgACAAIAAgACAAIAAgAFwAIgBGAGEAYwB0AG8AcgBzACAAIAAgACAAIAAgACAAIACSISgATwBwAHQAaQBvAG4AYQBsADoAIABEAGUAZgBhAHUAbAB0ACAAPQAgADIAKQAgAE8AbgBsAHkAIABhAHAAcABsAGkAYwBhAGIAbABlACAAdABvACAARABEAEIAIABhAG4AZAAgAFYARABCACAAbQBlAHQAaABvAGQAcwAu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/ACwAIAAgACAAIAAgACAAIAAgACAAIABPAFIAKAAgAEkAUwBPAE0ASQBUAFQARQBEACgAIABJAG4AaQB0AGkAYQBsAFYAYQBsAHUAZQBzACkALABcAG4AIAAgACAAIAAgACAAIAAgACAAIAAgACAAIAAgACAAIAAgACAAIAAgACAAIAAgACAAIAAgACAAIABJAFMATwBNAEkAVABUAEUARAAoACAATABpAGYAZQBJAG4AWQBlAGEAcgBzACkALABcAG4AIAAgACAAIAAgACAAIAAgACAAIAAgACAAIAAgACAAIAAgACAAIAAgACAAIAAgACAAIAAgACAAIABJAFMATwBNAEkAVABUAEUARAAoACAASQBuAFMAZQByAHYAaQBjAGUARABhAHQAZQBzACkALABcAG4AIAAgACAAIAAgACAAIAAgACAAIAAgACAAIAAgACAAIAAgACAAIAAgACAAIAAgACAAIAAgACAAIABJAFMATwBNAEkAVABUAEUARAAoACAAVABpAG0AZQBsAGkAbgBlACkAXABuACAAIAAgACAAIAAgACAAIAAgACAAIAAgACAAIAAgACAAIAAgACAAIAAgACAAIAAgACkALABcAG4AIAAgACAAIAAvAC8AIAAgAFMAZQB0ACAAQwBvAG4AcwB0AGEAbgB0AHMAXABuACAAIAAgACAAIAAgACAAIABNAGUAdABoAG8AZABBAHIAcgBhAHkALAAgACAAIAAgAHsAXAAiAFMATABOAFwAIgAsAFwAIgBTAFkARABcACIALABcACIARABCAFwAIgAsAFwAIgBEAEQAQgBcACIALABcACIAVgBEAEIAXAAiACwAIABcACIATQBBAEMAUgBTAFwAIgB9ACwAXABuACAAIAAgACAAIAAgACAAIABNAHAAeQAsACAAIAAgACAAIAAgACAAIAAgACAAIAAgADEAMgAsACAALwAvAE0AbwBuAHQAaABzACAAUABlAHIAIABZAGUAYQByAFwAbgAgACAAIAAgAC8ALwAgACAAUwBlAHQAIABkAGUAZgBhAHUAbAB0AHMAIABhAG4AZAAgAGEAcABwAGwAeQAgAGMAbwBuAHYAZQBuAGkAZQBuAGMAZQAgAGMAbwBuAHYAZQByAHMAaQBvAG4AcwBcAG4AIAAgACAAIAAgACAAIAAgAFMAYQBsAHYAYQBnAGUAVgBhAGwAdQBlAHMALAAgACAASQBGACgAIABJAFMATwBNAEkAVABUAEUARAAoACAAUwBhAGwAdgBhAGcAZQBWAGEAbAB1AGUAcwApACwAIABcAG4AIAAgACAAIAAgACAAIAAgACAAIAAgACAAIAAgACAAIAAgACAAIAAgACAAIAAgACAAIAAgACAAIABTAEUAUQBVAEUATgBDAEUAKAAgAEMATwBVAE4AVABBACgASQBuAGkAdABpAGEAbABWAGEAbAB1AGUAcwApACwAIAAxACwAIAAwACwAIAAwACkALAAgAFwAbgAgACAAIAAgACAAIAAgACAAIAAgACAAIAAgACAAIAAgACAAIAAgACAAIAAgACAAIAAgACAAIAAgAE0AQQBQACgAUwBhAGwAdgBhAGcAZQBWAGEAbAB1AGUAcwAsACAATABBAE0AQgBEAEEAKAB2ACwAIABJAEYARQBSAFIATwBSACgAIABWAEEATABVAEUAKAAgAHYAKQAsACAAMAApACkAKQApACwAXABuACAAIAAgACAAIAAgACAAIABDAHYAdABTAHIAdgBEAGEAdABlAHMALAAgACAAIAAgAEkARgAoACAATgBPAFQAKABJAFMATwBNAEkAVABUAEUARAAoACAASQBuAFMAZQByAHYAaQBjAGUARABhAHQAZQBzACkAKQAsACAAXABuACAAIAAgACAAIAAgACAAIAAgACAAIAAgACAAIAAgACAAIAAgACAAIAAgACAAIAAgACAAIAAgACAASQBGACgAIABJAFMATgBVAE0AQgBFAFIAKAAgAEkAbgBTAGUAcgB2AGkAYwBlAEQAYQB0AGUAcwApACwAIABJAG4AUwBlAHIAdgBpAGMAZQBEAGEAdABlAHMALAAgAEQAQQBUAEUAVgBBAEwAVQBFACgAIABJAG4AUwBlAHIAdgBpAGMAZQBEAGEAdABlAHMAKQApACkALABcAG4AIAAgACAAIAAgACAAIAAgAEQAaQBzAHAAbwBzAGEAbABEAGEAdABlAHMALAAgACAASQBGACgAIABJAFMATwBNAEkAVABUAEUARAAoACAARABpAHMAcABvAHMAYQBsAEQAYQB0AGUAcwApACwAIABcAG4AIAAgACAAIAAgACAAIAAgACAAIAAgACAAIAAgACAAIAAgACAAIAAgACAAIAAgACAAIAAgACAAIABFAEQAQQBUAEUAKAAgACsAQwB2AHQAUwByAHYARABhAHQAZQBzACwAIABMAGkAZgBlAGkAbgBZAGUAYQByAHMAIAAqACAAMQAyACkALAAgAFwAbgAgACAAIAAgACAAIAAgACAAIAAgACAAIAAgACAAIAAgACAAIAAgACAAIAAgACAAIAAgACAAIAAgAE0AQQBLAEUAQQBSAFIAQQBZACgAIABSAE8AVwBTACgAIABEAGkAcwBwAG8AcwBhAGwARABhAHQAZQBzACkALAAgADEALAAgAFwAbgAgACAAIAAgACAAIAAgACAAIAAgACAAIAAgACAAIAAgACAAIAAgACAAIAAgACAAIAAgACAAIAAgACAAIAAgACAATABBAE0AQgBEAEEAKABSACwAIABDACwAIABcAG4AIAAgACAAIAAgACAAIAAgACAAIAAgACAAIAAgACAAIAAgACAAIAAgACAAIAAgACAAIAAgACAAIAAgACAAIAAgACAAIAAgACAASQBGACgAIABJAE4ARABFAFgAKAAgAEQAaQBzAHAAbwBzAGEAbABEAGEAdABlAHMALAAgAFIAKQAgACAAPQAgAFwAIgBcACIALAAgAFwAbgAgACAAIAAgACAAIAAgACAAIAAgACAAIAAgACAAIAAgACAAIAAgACAAIAAgACAAIAAgACAAIAAgACAAIAAgACAAIAAgACAAIAAgACAAIAAgAEUARABBAFQARQAoACAASQBOAEQARQBYACgAIABDAHYAdABTAHIAdgBEAGEAdABlAHMALAAgAFIAKQAsACAASQBOAEQARQBYACgATABpAGYAZQBpAG4AWQBlAGEAcgBzACwAIABSACkAIAAqACAAMQAyACkALAAgAFwAbgAgACAAIAAgACAAIAAgACAAIAAgACAAIAAgACAAIAAgACAAIAAgACAAIAAgACAAIAAgACAAIAAgACAAIAAgACAAIAAgACAAIAAgACAAIAAgAEkATgBEAEUAWAAoACAARABpAHMAcABvAHMAYQBsAEQAYQB0AGUAcwAsACAAUgApAFwAbgAgACAAIAAgACAAIAAgACAAIAAgACAAIAAgACAAIAAgACAAIAAgACAAIAAgACAAIAAgACAAIAAgACAAIAAgACAAIAAgACAAIAApAFwAbgAgACAAIAAgACAAIAAgACAAIAAgACAAIAAgACAAIAAgACAAIAAgACAAIAAgACAAIAAgACAAIAAgACAAIAAgACAAKQBcAG4AIAAgACAAIAAgACAAIAAgACAAIAAgACAAIAAgACAAIAAgACAAIAAgACAAIAAgACAAIAAgACAAIAApAFwAbgAgACAAIAAgACAAIAAgACAAIAAgACAAIAAgACAAIAAgACAAIAAgACAAIAAgACAAIAApACwAXABuACAAIAAgACAAIAAgACAAIABEAGkAcwBwAG8AcwBhAGwAQwBvAHMAdABzACwAIAAgAEkARgAoACAASQBTAE8ATQBJAFQAVABFAEQAKAAgAEQAaQBzAHAAbwBzAGEAbABDAG8AcwB0AHMAKQAsACAAUwBFAFEAVQBFAE4AQwBFACgAIABSAE8AVwBTACgASQBuAGkAdABpAGEAbABWAGEAbAB1AGUAcwApACwAIAAxACwAIAAwACwAIAAwACkALAAgAEQAaQBzAHAAbwBzAGEAbABDAG8AcwB0AHMAKQAsAFwAbgAgACAAIAAgACAAIAAgACAATQBlAHQAaABvAGQAcwAsACAAIAAgACAAIAAgACAAIABJAEYAKAAgAEkAUwBPAE0ASQBUAFQARQBEACgAIABNAGUAdABoAG8AZABzACkALAAgAFwAbgAgACAAIAAgACAAIAAgACAAIAAgACAAIAAgACAAIAAgACAAIAAgACAAIAAgACAAIAAgACAAIAAgAEUAWABQAEEATgBEACgAIABcACIAUwBMAE4AXAAiACwAIABDAE8AVQBOAFQAQQAoAEkAbgBpAHQAaQBhAGwAVgBhAGwAdQBlAHMAKQAsACAAMQAsACAAXAAiAFMATABOAFwAIgApACwAIABcAG4AIAAgACAAIAAgACAAIAAgACAAIAAgACAAIAAgACAAIAAgACAAIAAgACAAIAAgACAAIAAgACAAIABNAEEAUAAoAE0AZQB0AGgAbwBkAHMALAAgAEwAQQBNAEIARABBACgAdgAsACAASQBGACgAIABUAFIASQBNACgAIAB2ACkAIAA9ACAAXAAiAFwAIgAsACAAXAAiAFMATABOAFwAIgAsACAAdgApACkAKQBcAG4AIAAgACAAIAAgACAAIAAgACAAIAAgACAAIAAgACAAIAAgACAAIAAgACAAIAAgACAAKQAsAFwAbgAgACAAIAAgACAAIAAgACAARgBhAGMAdABvAHIAcwAsACAAIAAgACAAIAAgACAAIABJAEYAKAAgAEkAUwBPAE0ASQBUAFQARQBEACgAIABGAGEAYwB0AG8AcgBzACkALAAgAFwAbgAgACAAIAAgACAAIAAgACAAIAAgACAAIAAgACAAIAAgACAAIAAgACAAIAAgACAAIAAgACAAIAAgAEUAWABQAEEATgBEACgAIAAyACwAIABDAE8AVQBOAFQAQQAoAEkAbgBpAHQAaQBhAGwAVgBhAGwAdQBlAHMAKQAsACAAMQAsACAAMgApACwAIABcAG4AIAAgACAAIAAgACAAIAAgACAAIAAgACAAIAAgACAAIAAgACAAIAAgACAAIAAgACAAIAAgACAAIABNAEEAUAAoAEYAYQBjAHQAbwByAHMALAAgAEwAQQBNAEIARABBACgAdgAsACAASQBGACgAIABUAFIASQBNACgAIAB2ACkAIAA9ACAAXAAiAFwAIgAsACAAMgAsACAAdgApACkAKQBcAG4AIAAgACAAIAAgACAAIAAgACAAIAAgACAAIAAgACAAIAAgACAAIAAgACAAIAAgACAAKQAsAFwAbgAgACAAIAAgAC8ALwAgACAAQwByAGUAYQB0AGUAIABpAG4AZABpAHYAaQBkAHUAYQBsACAAVgBhAGwAdQBlAHMAIABmAHIAbwBtACAAdABpAG0AZQBsAGkAbgBlACAAYQByAHIAYQB5AFwAbgAgACAAIAAgACAAIAAgACAAVABpAG0AZQBsAGkAbgBlAEMAbwBsAHMALAAgACAAIABDAE8ATABVAE0ATgBTACgAIABUAEkAbQBlAGwAaQBuAGUAKQAsAFwAbgAgACAAIAAgACAAIAAgACAARgBpAHIAcwB0AFAAZQByAGkAbwBkACwAIAAgACAAIABJAE4ARABFAFgAKAAgAFQAaQBtAGUAbABpAG4AZQAsACAAMQApACwAXABuACAAIAAgACAAIAAgACAAIABTAGUAYwBvAG4AZABQAGUAcgBpAG8AZAAsACAAIAAgAEkATgBEAEUAWAAoACAAVABJAG0AZQBsAGkAbgBlACwAIAAyACkALABcAG4AIAAgACAAIAAgACAAIAAgAE0AcABQACwAIAAgACAAIAAgACAAIAAgACAAIAAgACAAQABSAE8AVQBOAEQAKAAoACAAUwBlAGMAbwBuAGQAUABlAHIAaQBvAGQAIAAtACAARgBpAHIAcwB0AFAAZQByAGkAbwBkACkAIAAvACAAMwAwAC4ANQAsACAAMAApACwAIAAvAC8ATQBvAG4AdABoAHMAIABQAGUAcgAgAFAAZQByAGkAbwBkAFwAbgAgACAAIAAgACAAIAAgACAASQBuAHQAZQByAHYAYQBsACwAIAAgACAAIAAgACAAIABTAFcASQBUAEMASAAoAE0AcABQACwAIAAxACwAIABcACIATQBcACIALAAgADMALAAgAFwAIgBRAFwAIgAsACAAMQAyACwAIABcACIAWQBcACIAKQAsAFwAbgAgACAAIAAgACAAIAAgACAAUABwAFkALAAgACAAIAAgACAAIAAgACAAIAAgACAAIABTAFcASQBUAEMASAAoACAATQBwAFAALAAgADEALAAgADEAMgAsACAAMwAsACAANAAsACAAMQAyACwAIAAxACkALAAgACAAIAAgACAAIAAgAC8ALwBQAGUAcgBpAG8AZABzACAAUABlAHIAIABZAGUAYQByAFwAbgAgACAAIAAgACAAIAAgACAARQBuAGQARABhAHQAZQBzACwAIAAgACAAIAAgACAAIABIAFMAVABBAEMASwAoACAATQBBAFAAKAAgACAAUwBFAFEAVQBFAE4AQwBFACgALAAgAFQAaQBtAGUAbABpAG4AZQBDAG8AbABzACAALQAgADEAKQAsACAATABBAE0AQgBEAEEAKAAgAG4ALAAgAEkATgBEAEUAWAAoACAAVABpAG0AZQBsAGkAbgBlACwAIABuACAAKwAgADEAKQAgAC0AIAAxACkAKQAsACAARQBEAEEAVABFACgAIABNAEEAWAAoACAAVABpAG0AZQBsAGkAbgBlACkALAAgAE0AcABQACkAIAAtADEAIAApACwAXABuACAAIAAgACAALwAvACAAIABQAHIAbwBjAGUAcwBzACAAZQBhAGMAaAAgAGEAcwBzAGUAdABcAG4AIAAgACAAIAAgACAAIAAgAFIAZQBzAHUAbAB0ACwAIAAgACAAIAAgACAAIAAgACAAUgBFAEQAVQBDAEUAKAAgADAALAAgAFMARQBRAFUARQBOAEMARQAoACAAUgBPAFcAUwAoACAASQBuAGkAdABpAGEAbABWAGEAbAB1AGUAcwApACkALAAgAFwAbgAgACAAIAAgACAAIAAgACAAIAAgACAAIAAgACAAIAAgACAAIAAgACAAIAAgACAAIAAgACAAIAAgAEwAQQBNAEIARABBACgAQgBsAG8AYwBrACwAIABBAHMAcwBlAHQALAAgAFwAbgAgACAAIAAgACAAIAAgACAAIAAgACAAIAAgACAAIAAgACAAIAAgACAAIAAgACAAIAAgACAAIAAgACAAIAAgACAATABFAFQAKAAgAFwAbgAgACAAIAAgACAAIAAgACAAIAAgACAAIAAgACAAIAAgACAAIAAgACAAIAAgACAAIAAgACAAIAAgACAAIAAgACAAIAAgACAAIABNAGUAdABoAG8AZAAsACAAIAAgACAAIAAgACAAIAAgAEAASQBOAEQARQBYACgAIABNAGUAdABoAG8AZABzACwAIABBAHMAcwBlAHQAKQAsAFwAbgAgACAAIAAgACAAIAAgACAAIAAgACAAIAAgACAAIAAgACAAIAAgACAAIAAgACAAIAAgACAAIAAgACAAIAAgACAAIAAgACAAIABZAGUAYQByAHMALAAgACAAIAAgACAAIAAgACAAIAAgAEAASQBOAEQARQBYACgAIABMAGkAZgBlAEkAbgBZAGUAYQByAHMALAAgAEEAcwBzAGUAdAApACAAKwAgAE4AKABNAGUAdABoAG8AZAAgAD0AIABcACIATQBBAEMAUgBTAFwAIgApACwAXABuACAAIAAgACAAIAAgACAAIAAgACAAIAAgACAAIAAgACAAIAAgACAAIAAgACAAIAAgACAAIAAgACAAIAAgACAAIAAgACAAIAAgAEkAbgBpAHQAaQBhAGwAVgBhAGwAdQBlACwAIAAgACAAQABJAE4ARABFAFgAKAAgAEkAbgBpAHQAaQBhAGwAVgBhAGwAdQBlAHMALAAgAEEAcwBzAGUAdAApACwAIABcAG4AIAAgACAAIAAgACAAIAAgACAAIAAgACAAIAAgACAAIAAgACAAIAAgACAAIAAgACAAIAAgACAAIAAgACAAIAAgACAAIAAgACAAUwBhAGwAdgBhAGcAZQBWAGEAbAB1AGUALAAgACAAIABJAEYAKAAgAE0AZQB0AGgAbwBkACAAPQAgAFwAIgBNAEEAQwBSAFMAXAAiACwAIAAwACwAIABAAEkATgBEAEUAWAAoACAAUwBhAGwAdgBhAGcAZQBWAGEAbAB1AGUAcwAsACAAQQBzAHMAZQB0ACkAKQAsACAAXABuACAAIAAgACAAIAAgACAAIAAgACAAIAAgACAAIAAgACAAIAAgACAAIAAgACAAIAAgACAAIAAgACAAIAAgACAAIAAgACAAIAAgAEkAbgBTAGUAcgB2AGkAYwBlAEQAYQB0AGUALAAgACAAQABJAE4ARABFAFgAKAAgAEMAdgB0AFMAcgB2AEQAYQB0AGUAcwAsACAAQQBzAHMAZQB0ACkALAAgAFwAbgAgACAAIAAgACAAIAAgACAAIAAgACAAIAAgACAAIAAgACAAIAAgACAAIAAgACAAIAAgACAAIAAgACAAIAAgACAAIAAgACAAIABEAGkAcwBwAG8AcwBhAGwARABhAHQAZQAsACAAIAAgAEkARgAoACAATQBlAHQAaABvAGQAIAA9ACAAXAAiAE0AQQBDAFIAUwBcACIALAAgAFwAbgAgACAAIAAgACAAIAAgACAAIAAgACAAIAAgACAAIAAgACAAIAAgACAAIAAgACAAIAAgACAAIAAgACAAIAAgACAAIAAgACAAIAAgACAAIAAgACAAIAAgACAAIAAgACAAIAAgACAAIAAgACAAIAAgACAATQBBAFgAKABFAEQAQQBUAEUAKAAgAEkAbgBzAGUAcgB2AGkAYwBlAEQAYQB0AGUALAAgAFkAZQBhAHIAcwAgACoAIABNAHAAWQApACwAIABAAEkATgBEAEUAWAAoACAARABpAHMAcABvAHMAYQBsAEQAYQB0AGUAcwAsACAAQQBzAHMAZQB0ACkAKQAsAFwAbgAgACAAIAAgACAAIAAgACAAIAAgACAAIAAgACAAIAAgACAAIAAgACAAIAAgACAAIAAgACAAIAAgACAAIAAgACAAIAAgACAAIAAgACAAIAAgACAAIAAgACAAIAAgACAAIAAgACAAIAAgACAAIAAgACAAQABJAE4ARABFAFgAKAAgAEQAaQBzAHAAbwBzAGEAbABEAGEAdABlAHMALAAgAEEAcwBzAGUAdAApACkALAAgAFwAbgAgACAAIAAgACAAIAAgACAAIAAgACAAIAAgACAAIAAgACAAIAAgACAAIAAgACAAIAAgACAAIAAgACAAIAAgACAAIAAgACAAIABEAGkAcwBwAG8AcwBhAGwAQwBvAHMAdAAsACAAIAAgAEAASQBOAEQARQBYACgAIABEAGkAcwBwAG8AcwBhAGwAQwBvAHMAdABzACwAIABBAHMAcwBlAHQAKQAsACAAXABuACAAIAAgACAAIAAgACAAIAAgACAAIAAgACAAIAAgACAAIAAgACAAIAAgACAAIAAgACAAIAAgACAAIAAgACAAIAAgACAAIAAgAEYAYQBjAHQAbwByACwAIAAgACAAIAAgACAAIAAgACAAQABJAE4ARABFAFgAKAAgAEYAYQBjAHQAbwByAHMALAAgAEEAcwBzAGUAdAApACwAXABuACAAIAAgACAAIAAgACAAIAAgACAAIAAgACAAIAAgACAAIAAgACAAIAAgACAAIAAgACAAIAAgACAAIAAgACAAIAAgACAAIAAgAEwAaQBmAGUASQBuAFAAZQByAGkAbwBkAHMALAAgACAAWQBlAGEAcgBzACAAKgAgAFAAcABZACwAXABuACAAIAAgACAAIAAgACAAIAAgACAAIAAgACAAIAAgACAAIAAgACAAIAAgACAAIAAgACAAIAAgACAAIAAgACAAIAAgACAAIAAgAEwAaQBmAGUASQBuAE0AbwBuAHQAaABzACwAIAAgACAAUABlAHIAaQBvAGQARABpAGYAZgC7AygAIABJAG4AcwBlAHIAdgBpAGMAZQBEAGEAdABlACwAIABEAGkAcwBwAG8AcwBhAGwARABhAHQAZQAsACAAXAAiAE0AXAAiACkALABcAG4AIAAgACAAIAAgACAAIAAgACAAIAAgACAAIAAgACAAIAAgACAAIAAgACAAIAAgACAAIAAgACAAIAAgACAAIAAgACAAIAAgACAATABhAHMAdABQAGUAcgBpAG8AZAAsACAAIAAgACAAIABQAGUAcgBpAG8AZABEAGkAZgBmALsDKAAgAEkAbgBzAGUAcgB2AGkAYwBlAEQAYQB0AGUALAAgAEQAaQBzAHAAbwBzAGEAbABEAGEAdABlACwAIABJAG4AdABlAHIAdgBhAGwAKQAsAFwAbgAgACAAIAAgACAAIAAgACAAIAAgACAAIAAgACAAIAAgACAAIAAgACAAIAAgACAAIAAgACAAIAAgACAAIAAgACAALwAvACAAIABQAHIAbwBjAGUAZAB1AHIAZQBcAG4AIAAgACAAIAAgACAAIAAgACAAIAAgACAAIAAgACAAIAAgACAAIAAgACAAIAAgACAAIAAgACAAIAAgACAAIAAgAC8ALwAgACAARABlAHAAcgBlAGMAaQBhAHQAaQBvAG4AIABpAHMAIABjAGEAbABjAHUAbABhAHQAZQBkACAAYQBuAG4AdQBhAGwAbAB5ACAAdABoAGUAbgAgAGEAbABsAG8AYwBhAHQAZQBkACAAZQBxAHUAYQBsAGwAeQAgAG8AdgBlAHIAIAB0AGgAZQAgAG4AZQB4AHQAIAAxADIAIABtAG8AbgB0AGgAcwBcAG4AIAAgACAAIAAgACAAIAAgACAAIAAgACAAIAAgACAAIAAgACAAIAAgACAAIAAgACAAIAAgACAAIAAgACAAIAAgACAAIAAgACAARABlAHAAcgBlAGMAaQBhAHQAZQAsACAAIAAgACAAIABDAEgATwBPAFMARQAoACAATQBBAFQAQwBIACgAIABAAE0AZQB0AGgAbwBkACwAIABNAGUAdABoAG8AZABBAHIAcgBhAHkALAAgADAAKQAsACAALwAvAEMASABPAE8AUwBFACAAaQBzACAAbQBvAHIAZQAgAGUAZgBmAGkAYwBpAGUAbgB0ACAAdABoAGEAbgAgAFMAVwBJAFQAQwBIAFwAbgAgACAAIAAgACAAIAAgACAAIAAgACAAIAAgACAAIAAgACAAIAAgACAAIAAgACAAIAAgACAAIAAgACAAIAAgACAAIAAgACAAIAAgACAAIAAgACAAIAAgACAAIAAgACAAIAAgACAAIAAgAC8ALwAgACAAMQAuACAAUwB0AHIAYQBpAGcAaAB0ACAAbABpAG4AZQAgAFwAbgAgACAAIAAgACAAIAAgACAAIAAgACAAIAAgACAAIAAgACAAIAAgACAAIAAgACAAIAAgACAAIAAgACAAIAAgACAAIAAgACAAIAAgACAAIAAgACAAIAAgACAAIAAgACAAIAAgACAAIAAgACAAIAAgACAAUwBMAE4AuwMoACAASQBuAGkAdABpAGEAbABWAGEAbAB1AGUALAAgAFMAYQBsAHYAYQBnAGUAVgBhAGwAdQBlACwAIABZAGUAYQByAHMAKQAsACAAXABuACAAIAAgACAAIAAgACAAIAAgACAAIAAgACAAIAAgACAAIAAgACAAIAAgACAAIAAgACAAIAAgACAAIAAgACAAIAAgACAAIAAgACAAIAAgACAAIAAgACAAIAAgACAAIAAgACAAIAAgACAALwAvACAAIAAyAC4AIABTAHUAbQAtAG8AZgAtAHkAZQBhAHIAcwAnACAAZABpAGcAaQB0AHMAXABuACAAIAAgACAAIAAgACAAIAAgACAAIAAgACAAIAAgACAAIAAgACAAIAAgACAAIAAgACAAIAAgACAAIAAgACAAIAAgACAAIAAgACAAIAAgACAAIAAgACAAIAAgACAAIAAgACAAIAAgACAAIAAgACAAIABTAFkARAC7AygAIABJAG4AaQB0AGkAYQBsAFYAYQBsAHUAZQAsACAAUwBhAGwAdgBhAGcAZQBWAGEAbAB1AGUALAAgAFkAZQBhAHIAcwApACwAXABuACAAIAAgACAAIAAgACAAIAAgACAAIAAgACAAIAAgACAAIAAgACAAIAAgACAAIAAgACAAIAAgACAAIAAgACAAIAAgACAAIAAgACAAIAAgACAAIAAgACAAIAAgACAAIAAgACAAIAAgACAALwAvACAAIAAzAC4AIABEAGUAYwBsAGkAbgBpAG4AZwAgAGIAYQBsAGEAbgBjAGUAXABuACAAIAAgACAAIAAgACAAIAAgACAAIAAgACAAIAAgACAAIAAgACAAIAAgACAAIAAgACAAIAAgACAAIAAgACAAIAAgACAAIAAgACAAIAAgACAAIAAgACAAIAAgACAAIAAgACAAIAAgACAAIAAgACAAIABEAEIAuwMoACAASQBuAGkAdABpAGEAbABWAGEAbAB1AGUALAAgAFMAYQBsAHYAYQBnAGUAVgBhAGwAdQBlACwAIABZAGUAYQByAHMAKQAsAFwAbgAgACAAIAAgACAAIAAgACAAIAAgACAAIAAgACAAIAAgACAAIAAgACAAIAAgACAAIAAgACAAIAAgACAAIAAgACAAIAAgACAAIAAgACAAIAAgACAAIAAgACAAIAAgACAAIAAgACAAIAAgAC8ALwAgACAANAAuACAARABvAHUAYgBsAGUAIABkAGUAYwBsAGkAbgBpAG4AZwAgAGIAYQBsAGEAbgBjAGUAIABcAG4AIAAgACAAIAAgACAAIAAgACAAIAAgACAAIAAgACAAIAAgACAAIAAgACAAIAAgACAAIAAgACAAIAAgACAAIAAgACAAIAAgACAAIAAgACAAIAAgACAAIAAgACAAIAAgACAAIAAgACAAIAAgACAAIAAgAEQARABCALsDKAAgAEkAbgBpAHQAaQBhAGwAVgBhAGwAdQBlACwAIABTAGEAbAB2AGEAZwBlAFYAYQBsAHUAZQAsACAAWQBlAGEAcgBzACwAIABGAGEAYwB0AG8AcgApACwAXABuACAAIAAgACAAIAAgACAAIAAgACAAIAAgACAAIAAgACAAIAAgACAAIAAgACAAIAAgACAAIAAgACAAIAAgACAAIAAgACAAIAAgACAAIAAgACAAIAAgACAAIAAgACAAIAAgACAAIAAgACAALwAvACAAIAA1AC4AIABWAGEAcgBpAGEAYgBsAGUAIABkAGUAYwBsAGkAbgBpAG4AZwAgAGIAYQBsAGEAbgBjAGUAIABcAG4AIAAgACAAIAAgACAAIAAgACAAIAAgACAAIAAgACAAIAAgACAAIAAgACAAIAAgACAAIAAgACAAIAAgACAAIAAgACAAIAAgACAAIAAgACAAIAAgACAAIAAgACAAIAAgACAAIAAgACAAIAAgACAAIAAgAFYARABCALsDKAAgAEkAbgBpAHQAaQBhAGwAVgBhAGwAdQBlACwAIABTAGEAbAB2AGEAZwBlAFYAYQBsAHUAZQAsACAAWQBlAGEAcgBzACwAIABGAGEAYwB0AG8AcgApACwAIABcAG4AIAAgACAAIAAgACAAIAAgACAAIAAgACAAIAAgACAAIAAgACAAIAAgACAAIAAgACAAIAAgACAAIAAgACAAIAAgACAAIAAgACAAIAAgACAAIAAgACAAIAAgACAAIAAgACAAIAAgACAAIAAvAC8AIAAgADYALgAgAE0AbwBkAGkAZgBpAGUAZAAgAGEAYwBjAGUAbABlAHIAYQB0AGUAZAAgAGMAbwBzAHQAIAByAGUAYwBvAHYAZQByAHkAIABzAHkAcwB0AGUAbQAgAFwAbgAgACAAIAAgACAAIAAgACAAIAAgACAAIAAgACAAIAAgACAAIAAgACAAIAAgACAAIAAgACAAIAAgACAAIAAgACAAIAAgACAAIAAgACAAIAAgACAAIAAgACAAIAAgACAAIAAgACAAIAAgACAAIAAgACAATQBBAEMAUgBTALsDKAAgAEkAbgBpAHQAaQBhAGwAVgBhAGwAdQBlACwAIABZAGUAYQByAHMAIAAtACAAMQApACwAXABuACAAIAAgACAAIAAgACAAIAAgACAAIAAgACAAIAAgACAAIAAgACAAIAAgACAAIAAgACAAIAAgACAAIAAgACAAIAAgACAAIAAgACAAIAAgACAAIAAgACAAIAAgACAAIAAgACAAIAAgACAAKQAsAFwAbgAgACAAIAAgACAAIAAgACAAIAAgACAAIAAgACAAIAAgACAAIAAgACAAIAAgACAAIAAgACAAIAAgACAAIAAgACAALwAvACAAIABDAHIAZQBhAHQAZQAgAGEAIABtAG8AbgB0AGgAbAB5ACAAYQByAHIAYQB5ACAAYQBsAGwAbwBjAGEAdABpAG4AZwAgAGEAbgBuAHUAYQBsACAAdgBhAGwAdQBlAHMAIAB0AG8AIABtAG8AbgB0AGgAcwBcAG4AIAAgACAAIAAgACAAIAAgACAAIAAgACAAIAAgACAAIAAgACAAIAAgACAAIAAgACAAIAAgACAAIAAgACAAIAAgACAAIAAgACAARABpAHMAcABvAHMAYQBsACwAIAAgACAAIAAgACAAIABIAFMAVABBAEMASwAoAFMARQBRAFUARQBOAEMARQAoACAAMQAsACAATABpAGYAZQBJAG4ATQBvAG4AdABoAHMAIAAtACAAMQAsACAAMAAsACAAMAApACAALAAgAEQAaQBzAHAAbwBzAGEAbABDAG8AcwB0ACkALABcAG4AIAAgACAAIAAgACAAIAAgACAAIAAgACAAIAAgACAAIAAgACAAIAAgACAAIAAgACAAIAAgACAAIAAgACAAIAAgACAAIAAgACAAUwBhAGwAdgBhAGcAZQAsACAAIAAgACAAIAAgACAAIABIAFMAVABBAEMASwAoAFMARQBRAFUARQBOAEMARQAoACAAMQAsACAATABpAGYAZQBJAG4ATQBvAG4AdABoAHMAIAAtACAAMQAsACAAMAAsACAAMAApACAALAAgACAAUwBhAGwAdgBhAGcAZQBWAGEAbAB1AGUAKQAsAFwAbgAgACAAIAAgACAAIAAgACAAIAAgACAAIAAgACAAIAAgACAAIAAgACAAIAAgACAAIAAgACAAIAAgACAAIAAgACAAIAAgACAAIABBAGwAbABvAGMAYQB0AGUALAAgACAAIAAgACAAIAAgAEgAUwBUAEEAQwBLACgARQBYAFAAQQBOAEQAKABBAGwAbABvAGMAYQB0AGUAuwMoACAARABlAHAAcgBlAGMAaQBhAHQAZQAsACAAXAAiAFkAXAAiACwAIABcACIATQBcACIAKQAsACAAMQAsACAATABpAGYAZQBJAG4ATQBvAG4AdABoAHMAIAAtACAAMQAsACAAMAApACwAIABTAGEAbAB2AGEAZwBlAFYAYQBsAHUAZQApACwAXABuACAAIAAgACAAIAAgACAAIAAgACAAIAAgACAAIAAgACAAIAAgACAAIAAgACAAIAAgACAAIAAgACAAIAAgACAAIAAgACAAIAAgAE8AcABlAG4AaQBuAGcALAAgACAAIAAgACAAIAAgACAARABSAE8AUAAoAEgAUwBUAEEAQwBLACgAIABJAG4AaQB0AGkAYQBsAFYAYQBsAHUAZQAsACAAUwBDAEEATgAoACAASQBuAGkAdABpAGEAbABWAGEAbAB1AGUALAAgAEEAbABsAG8AYwBhAHQAZQAsACAATABBAE0AQgBEAEEAKABBAGMAYwAsACAAVgBhAGwALAAgAEEAYwBjACAALQAgAFYAYQBsACkAKQApACwAIAAwACwAIAAtADEAKQAsAFwAbgAgACAAIAAgACAAIAAgACAAIAAgACAAIAAgACAAIAAgACAAIAAgACAAIAAgACAAIAAgACAAIAAgACAAIAAgACAALwAvACAAIABDAHIAZQBhAHQAZQAgAGEAIABtAG8AbgB0AGgAbAB5ACAAdABpAG0AZQBsAGkAbgBlACAAZgBvAHIAIAB0AGgAZQAgAGEAcwBzAGUAdABcAG4AIAAgACAAIAAgACAAIAAgACAAIAAgACAAIAAgACAAIAAgACAAIAAgACAAIAAgACAAIAAgACAAIAAgACAAIAAgACAAIAAgACAAQQBzAHMAZQB0AFQAaQBtAGUAbABpAG4AZQAsACAAIABFAEQAQQBUAEUAKAAgAEkAbgBTAGUAcgB2AGkAYwBlAEQAYQB0AGUALAAgAFMARQBRAFUARQBOAEMARQAoACAALAAgAEwAaQBmAGUASQBuAE0AbwBuAHQAaABzACwAIAAwACkAKQAsACAAXABuACAAIAAgACAAIAAgACAAIAAgACAAIAAgACAAIAAgACAAIAAgACAAIAAgACAAIAAgACAAIAAgACAAIAAgACAAIAAvAC8AIAAgAFQAbwB0AGEAbAAgAG0AbwBuAHQAaABsAHkAIABhAGwAbABvAGMAYQB0AGkAbwBuAHMAIABiAHkAIABtAG8AZABlAGwAJwBzACAAcABlAHIAaQBvAGQAIABpAG4AdABlAHIAdgBhAGwAcwBcAG4AIAAgACAAIAAgACAAIAAgACAAIAAgACAAIAAgACAAIAAgACAAIAAgACAAIAAgACAAIAAgACAAIAAgACAAIAAgACAAIAAgACAARABlAHAAcgBlAGMAaQBhAHQAaQBvAG4ALAAgACAAIABNAEEAUAAoAFMARQBRAFUARQBOAEMARQAoACAALAAgAFQAaQBtAGUAbABpAG4AZQBDAG8AbABzACkALAAgAFwAbgAgACAAIAAgACAAIAAgACAAIAAgACAAIAAgACAAIAAgACAAIAAgACAAIAAgACAAIAAgACAAIAAgACAAIAAgACAAIAAgACAAIAAgACAAIAAgACAAIAAgACAAIAAgACAAIAAgACAAIAAgACAAIAAgACAATABBAE0AQgBEAEEAKAAgAG4ALAAgAFwAbgAgACAAIAAgACAAIAAgACAAIAAgACAAIAAgACAAIAAgACAAIAAgACAAIAAgACAAIAAgACAAIAAgACAAIAAgACAAIAAgACAAIAAgACAAIAAgACAAIAAgACAAIAAgACAAIAAgACAAIAAgACAAIAAgACAAIAAgACAAIABTAFUATQAoACgAQQBsAGwAbwBjAGEAdABlACkAIAAqACAAKAAgAEEAcwBzAGUAdABUAGkAbQBlAGwAaQBuAGUAIAA8AD0AIABJAE4ARABFAFgAKABFAG4AZABEAGEAdABlAHMALAAgAG4AKQApACAAKgAgACgAIABBAHMAcwBlAHQAVABpAG0AZQBsAGkAbgBlACAAPgA9ACAASQBOAEQARQBYACgAIABUAGkAbQBlAGwAaQBuAGUALAAgAG4AKQApACkAKQApACwAXABuACAAIAAgACAAIAAgACAAIAAgACAAIAAgACAAIAAgACAAIAAgACAAIAAgACAAIAAgACAAIAAgACAAIAAgACAAIAAvAC8AXABuACAAIAAgACAAIAAgACAAIAAgACAAIAAgACAAIAAgACAAIAAgACAAIAAgACAAIAAgACAAIAAgACAAIAAgACAAIAAgACAAIAAgAEMAQQBQAEUAWAAsACAAIAAgACAAIAAgACAAIAAgACAASQBuAGkAdABpAGEAbABWAGEAbAB1AGUAIAAqACAAKABUAGkAbQBlAGwAaQBuAGUAIAA8AD0AIABJAG4AUwBlAHIAdgBpAGMAZQBEAGEAdABlACkAIAAqACAAKABFAG4AZABEAGEAdABlAHMAIAA+AD0AIABJAG4AUwBlAHIAdgBpAGMAZQBEAGEAdABlACkALAAgAFwAbgAgACAAIAAgACAAIAAgACAAIAAgACAAIAAgACAAIAAgACAAIAAgACAAIAAgACAAIAAgACAAIAAgACAAIAAgACAAIAAgACAAIABPAHAAZQBuAGkAbgBnAEEAbQBvAHUAbgB0ACwAIAAgAE0AQQBQACgAIABTAEUAUQBVAEUATgBDAEUAKAAgACwAIABUAGkAbQBlAGwAaQBuAGUAQwBvAGwAcwApACwAIABcAG4AIAAgACAAIAAgACAAIAAgACAAIAAgACAAIAAgACAAIAAgACAAIAAgACAAIAAgACAAIAAgACAAIAAgACAAIAAgACAAIAAgACAAIAAgACAAIAAgACAAIAAgACAAIAAgACAAIAAgACAAIAAgACAAIAAgAEwAQQBNAEIARABBACgAIABuACwAXABuACAAIAAgACAAIAAgACAAIAAgACAAIAAgACAAIAAgACAAIAAgACAAIAAgACAAIAAgACAAIAAgACAAIAAgACAAIAAgACAAIAAgACAAIAAgACAAIAAgACAAIAAgACAAIAAgACAAIAAgACAAIAAgACAAIAAgACAAIAAgAEkARgBFAFIAUgBPAFIAKABJAE4ARABFAFgAKAAgAE8AcABlAG4AaQBuAGcALAAgAE0AQQBUAEMASAAoADEALAAoAEEAcwBzAGUAdABUAGkAbQBlAGwAaQBuAGUAIAA+AD0AIABJAE4ARABFAFgAKAAgAFQAaQBtAGUAbABpAG4AZQAsACAAbgApACkAKgAoAEEAcwBzAGUAdABUAGkAbQBlAGwAaQBuAGUAPAA9AEkATgBEAEUAWAAoACAARQBuAGQARABhAHQAZQBzACwAIABuACkAKQAsADAAKQApACwAMAApACkAKQAsAFwAbgAgACAAIAAgACAAIAAgACAAIAAgACAAIAAgACAAIAAgACAAIAAgACAAIAAgACAAIAAgACAAIAAgACAAIAAgACAALwAvACAAIABPAHAAZQBuAGkAbgBnAEEAbQBvAHUAbgB0ACwAIAAgAE0AQQBQACgAIABUAGkAbQBlAGwAaQBuAGUALAAgAEwAQQBNAEIARABBACgAIABEAGEAdABlACwAIABJAE4ARABFAFgAKAAgAE8AcABlAG4AaQBuAGcALAAgAE0AQQBUAEMASAAoACAARABhAHQAZQAsACAAQQBzAHMAZQB0AFQAaQBtAGUAbABpAG4AZQAsACAAMQApACkAKQApACoAKAAgAFQAaQBtAGUAbABpAG4AZQAgADwAPQAgAEQAaQBzAHAAbwBzAGEAbABEAGEAdABlACkALABcAG4AIAAgACAAIAAgACAAIAAgACAAIAAgACAAIAAgACAAIAAgACAAIAAgACAAIAAgACAAIAAgACAAIAAgACAAIAAgACAAIAAgACAAQgBvAG8AawBWAGEAbAB1AGUALAAgACAAIAAgACAAIABPAHAAZQBuAGkAbgBnAEEAbQBvAHUAbgB0ACAALQAgAEQAZQBwAHIAZQBjAGkAYQB0AGkAbwBuACwAXABuACAAIAAgACAAIAAgACAAIAAgACAAIAAgACAAIAAgACAAIAAgACAAIAAgACAAIAAgACAAIAAgACAAIAAgACAAIAAgACAAIAAgAFMAYQBsAGUAcwBSAGUAdgBlAG4AdQBlACwAIAAgACAAUwBhAGwAdgBhAGcAZQBWAGEAbAB1AGUAIAAqACAAKABUAGkAbQBlAGwAaQBuAGUAIAA8AD0AIABEAGkAcwBwAG8AcwBhAGwARABhAHQAZQApACAAKgAgACgARQBuAGQARABhAHQAZQBzACAAPgA9ACAARABpAHMAcABvAHMAYQBsAEQAYQB0AGUAKQAsACAAXABuACAAIAAgACAAIAAgACAAIAAgACAAIAAgACAAIAAgACAAIAAgACAAIAAgACAAIAAgACAAIAAgACAAIAAgACAAIAAgACAAIAAgAEQAaQBzAHAAbwBzAGEAbABFAHgAcAAsACAAIAAgACAARABpAHMAcABvAHMAYQBsAEMAbwBzAHQAIAAqACAAKABUAGkAbQBlAGwAaQBuAGUAIAA8AD0AIABEAGkAcwBwAG8AcwBhAGwARABhAHQAZQApACAAKgAgACgARQBuAGQARABhAHQAZQBzACAAPgA9ACAARABpAHMAcABvAHMAYQBsAEQAYQB0AGUAKQAsACAAXABuACAAIAAgACAAIAAgACAAIAAgACAAIAAgACAAIAAgACAAIAAgACAAIAAgACAAIAAgACAAIAAgACAAIAAgACAAIAAgACAAIAAgAE4AZQB3AEIAbABvAGMAawAsACAAIAAgACAAIAAgACAAVgBTAFQAQQBDAEsAKAAgAEMAQQBQAEUAWAAsACAATwBwAGUAbgBpAG4AZwBBAG0AbwB1AG4AdAAsACAARABlAHAAcgBlAGMAaQBhAHQAaQBvAG4ALAAgAEIAbwBvAGsAVgBhAGwAdQBlACwAIABTAGEAbABlAHMAUgBlAHYAZQBuAHUAZQAsACAARABpAHMAcABvAHMAYQBsAEUAeABwACkALABcAG4AIAAgACAAIAAgACAAIAAgACAAIAAgACAAIAAgACAAIAAgACAAIAAgACAAIAAgACAAIAAgACAAIAAgACAAIAAgACAAIAAgACAAUgBlAHMAdQBsAHQALAAgACAAIAAgACAAIAAgACAAIABJAEYAKAAgAEEAcwBzAGUAdAAgAD0AIAAxACwAIABcAG4AIAAgACAAIAAgACAAIAAgACAAIAAgACAAIAAgACAAIAAgACAAIAAgACAAIAAgACAAIAAgACAAIAAgACAAIAAgACAAIAAgACAAIAAgACAAIAAgACAAIAAgACAAIAAgACAAIAAgACAAIAAgACAAIAAgAE4AZQB3AEIAbABvAGMAawAsACAAXABuACAAIAAgACAAIAAgACAAIAAgACAAIAAgACAAIAAgACAAIAAgACAAIAAgACAAIAAgACAAIAAgACAAIAAgACAAIAAgACAAIAAgACAAIAAgACAAIAAgACAAIAAgACAAIAAgACAAIAAgACAAIAAgACAAIABWAFMAVABBAEMASwAoAFwAbgAgACAAIAAgACAAIAAgACAAIAAgACAAIAAgACAAIAAgACAAIAAgACAAIAAgACAAIAAgACAAIAAgACAAIAAgACAAIAAgACAAIAAgACAAIAAgACAAIAAgACAAIAAgACAAIAAgACAAIAAgACAAIAAgACAAIAAgACAAIABCAGwAbwBjAGsALABcAG4AIAAgACAAIAAgACAAIAAgACAAIAAgACAAIAAgACAAIAAgACAAIAAgACAAIAAgACAAIAAgACAAIAAgACAAIAAgACAAIAAgACAAIAAgACAAIAAgACAAIAAgACAAIAAgACAAIAAgACAAIAAgACAAIAAgACAAIAAgACAARQBYAFAAQQBOAEQAKABcACIAXAAiACwAIAAxACwAIABUAGkAbQBlAGwAaQBuAGUAQwBvAGwAcwAsACAAXAAiAFwAIgApACwAXABuACAAIAAgACAAIAAgACAAIAAgACAAIAAgACAAIAAgACAAIAAgACAAIAAgACAAIAAgACAAIAAgACAAIAAgACAAIAAgACAAIAAgACAAIAAgACAAIAAgACAAIAAgACAAIAAgACAAIAAgACAAIAAgACAAIAAgACAAIAAgAE4AZQB3AEIAbABvAGMAawBcAG4AIAAgACAAIAAgACAAIAAgACAAIAAgACAAIAAgACAAIAAgACAAIAAgACAAIAAgACAAIAAgACAAIAAgACAAIAAgACAAIAAgACAAIAAgACAAIAAgACAAIAAgACAAIAAgACAAIAAgACAAIAAgACAAIAAgACAAIAAgACAAKQBcAG4AIAAgACAAIAAgACAAIAAgACAAIAAgACAAIAAgACAAIAAgACAAIAAgACAAIAAgACAAIAAgACAAIAAgACAAIAAgACAAIAAgACAAIAAgACAAIAAgACAAIAAgACAAIAAgACAAIAAgACAAIAApACwAXABuACAAIAAgACAAIAAgACAAIAAgACAAIAAgACAAIAAgACAAIAAgACAAIAAgACAAIAAgACAAIAAgACAAIAAgACAAIAAgACAAIAAgAFIAZQBzAHUAbAB0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CAAXABuACkAOwBcAG4AXABuAFwAbgBcAG4ALwAqACAAIABGAFUATgBDAFQASQBPAE4AIABOAEEATQBFADoAIAAgAEwAYQBiAGUAbABEAGUAcAByAGUAYwBpAGEAdABlALsDXABuACAAIAAgACAARABFAFMAQwBSAEkAUABUAEkATwBOADoAKgAvAC8AKgAqAEMAcgBlAGEAdABlACAAbABhAGIAZQBsAHMAIABmAG8AcgAgAEQAZQBwAHIAZQBjAGkAYQB0AGUAuwMqAC8AXABuAC8AKgAgACAAUgBFAFYASQBTAEkATwBOAFMAOgAgACAAIAAgACAAIABEAGEAdABlACAAIAAgACAAIAAgACAAIABEAGUAdgBlAGwAbwBwAGUAcgAgACAAIAAgACAAIAAgAEQAZQBzAGMAcgBpAHAAdABpAG8AbgAgACAAXABuACAAIAAgACAAIAAgACAAIAAgACAAIAAgACAAIAAgACAAIAAgACAAIABPAGMAdAAgADIANAAgADIAMAAyADMAIABDAHIAYQBpAGcAIABIAGEAdABtAGEAawBlAHIAIAAgAE8AcgBpAGcAaQBuAGEAbAAgAEQAZQB2AGUAbABvAHAAbQBlAG4AdABcAG4AKgAvAFwAbgBMAGEAYgBlAGwARABlAHAAcgBlAGMAaQBhAHQAZQC7AyAAPQAgAEwAQQBNAEIARABBACgAXABuAC8ALwAgACAAUABhAHIAYQBtAGUAdABlAHIAIABEAGUAYwBsAGEAcgBhAHQAaQBvAG4AcwBcAG4AIAAgACAAIABbAEEAcwBzAGUAdABOAGEAbQBlAHMAXQAsACAAIABcAG4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TABhAGIAZQBsAEQAZQBwAHIAZQBjAGkAYQB0AGUAuwMoACAAQQBzAHMAZQB0AE4AYQBtAGUAcwApALYAXAAiACAAJgBcAG4AIAAgACAAIAAgACAAIAAgACAAIAAgACAAIAAgACAAIAAgACAAIAAgACAAIAAgACAAIAAgACAAIABcACIARABFAFMAQwBSAEkAUABUAEkATwBOADoAIAAgACAAkiFDAHIAZQBhAHQAZQAgAHIAbwB3ACAAbABhAGIAZQBsAHMAIABmAG8AcgAgAHQAaABlACAAZABlAHAAcgBlAGMAaQBhAHQAaQBvAG4AIABzAGMAaABlAGQAdQBsAGUAIABhAHIAcgBhAHkAIABwAHIAbwBkAHUAYwBlAGQAIABiAHkAIABEAGUAcAByAGUAYwBpAGEAdABlALsDtgBcACIAIAAmACAAXABuACAAIAAgACAAIAAgACAAIAAgACAAIAAgACAAIAAgACAAIAAgACAAIAAgACAAIAAgACAAIAAgACAAXAAiAFcARQBCAFAAQQBHAEUAOgAgACAAIAAgACAAIAAgAJIhaAB0AHQAcABzADoALwAvAHMAaQB0AGUAcwAuAGcAbwBvAGcAbABlAC4AYwBvAG0ALwBzAGkAdABlAC8AYgBlAHkAbwBuAGQAZQB4AGMAZQBsAC8AaABvAG0AZQAvADUAZwAtAG0AbwBkAGUAbABpAG4AZwAvADUAZwAtAGMAbwBtAHAAbwBuAGUAbgB0AC0AbABpAGIAcgBhAHIAaQBlAHMALwA1AGcALQBkAGUAcAByAGUAYwBpAGEAdABlACUAQwBFACUAQgBCALYAXAAiACAAJgAgAFwAbgAgACAAIAAgACAAIAAgACAAIAAgACAAIAAgACAAIAAgACAAIAAgACAAIAAgACAAIAAgACAAIAAgAFwAIgBWAEUAUgBTAEkATwBOADoAIAAgACAAIAAgACAAIACSIU8AYwB0ACAAMgA0ACAAMgAwADIAMwC2AFwAIgAgACYAXABuACAAIAAgACAAIAAgACAAIAAgACAAIAAgACAAIAAgACAAIAAgACAAIAAgACAAIAAgACAAIAAgACAAXAAiAFAAQQBSAEEATQBFAFQARQBSAFMAOgAgACAAIAAgAJIhtgBcACIAIAAmACAAXABuACAAIAAgACAAIAAgACAAIAAgACAAIAAgACAAIAAgACAAIAAgACAAIAAgACAAIAAgACAAIAAgACAAXAAiAEEAcwBzAGUAdABOAGEAbQBlAHMAIAAgACAAIAAgAJIhKABSAGUAcQB1AGkAcgBlAGQAKQAgAFQAaABlACAAbgBhAG0AZQBzACAAbwByACAAZABlAHMAYwByAGkAcAB0AGkAbwBuAHMAIABvAGYAIABlAGEAYwBoACAAYQBzAHMAZQB0ACAAaQBuACAAdABlAGgAIABkAGUAcAByAGUAYwBpAGEAdABpAG8AbgAgAHMAYwBoAGUAZAB1AGwAZQAgAHAAcgBvAGQAdQBjAGUAZAAgAGIAeQAgAEQAZQBwAHIAZQBjAGkAYQB0AGUAuwO2AFwAIgAgACYAIAAgACAAIAAgACAAIAAgACAAIAAgACAAIAAgACAAIAAgACA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QgBYAEYAIABpAHMAIABhAHMAcwB1AG0AZQBkACAAdABvACAAYgBlACAAdABoAGUAIABtAG8AZAB1AGwAZQAnAHMAIABuAGEAbQBlACkAtgBcACIAIAAmAFwAbgAgACAAIAAgACAAIAAgACAAIAAgACAAIAAgACAAIAAgACAAIAAgACAAIAAgACAAIAAgACAAIAAgACAAIAAgACAAIAAgACAAIAAgACAAIAAgACAAIAAgAFwAIgCSIT0AQgBYAEYALgBMAGEAYgBlAGwARABlAHAAcgBlAGMAaQBhAHQAZQC7AygAdABiAGwAQQBzAHMAZQB0AHMAWwBBAHMAcwBlAHQAIABOAGEAbQBlAF0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SQBTAE8ATQBJAFQAVABFAEQAKAAgAEEAcwBzAGUAdABOAGEAbQBlAHMAKQAsAFwAbgAgACAAIAAgAC8ALwAgACAAUAByAG8AYwBlAGQAdQByAGUAXABuACAAIAAgACAAIAAgACAAIABSAGUAcwB1AGwAdAAsACAAIAAgACAAIAAgACAAIAAgAE0AQQBLAEUAQQBSAFIAQQBZACgAIABSAE8AVwBTACgAQQBzAHMAZQB0AE4AYQBtAGUAcwApACAAKgAgADcAIAAtACAAMQAsACAAMQAsACAAXABuACAAIAAgACAAIAAgACAAIAAgACAAIAAgACAAIAAgACAAIAAgACAAIAAgACAAIAAgACAAIAAgACAATABBAE0AQgBEAEEAKABSACwAIABDACwAIABcAG4AIAAgACAAIAAgACAAIAAgACAAIAAgACAAIAAgACAAIAAgACAAIAAgACAAIAAgACAAIAAgACAAIAAgACAAIAAgAEwARQBUACgAQQBzAHMAZQB0AE4AYQBtAGUALAAgACAAIABJAE4ARABFAFgAKAAgAEEAcwBzAGUAdABOAGEAbQBlAHMALAAgAFEAVQBPAFQASQBFAE4AVAAoAFIALQAxACwAIAA3ACkAIAArACAAMQApACwAIABcAG4AIAAgACAAIAAgACAAIAAgACAAIAAgACAAIAAgACAAIAAgACAAIAAgACAAIAAgACAAIAAgACAAIAAgACAAIAAgACAAIAAgACAAUwBXAEkAVABDAEgAKAAgAE0ATwBEACgAUgAtADEALAAgADcAKQAgACsAIAAxACwAXABuACAAIAAgACAAIAAgACAAIAAgACAAIAAgACAAIAAgACAAIAAgACAAIAAgACAAIAAgACAAIAAgACAAIAAgACAAIAAgACAAIAAgACAAIAAgACAAMQAsACAAIABBAHMAcwBlAHQATgBhAG0AZQAgACYAIABcACIAIABDAEEAUABFAFgAXAAiACwAXABuACAAIAAgACAAIAAgACAAIAAgACAAIAAgACAAIAAgACAAIAAgACAAIAAgACAAIAAgACAAIAAgACAAIAAgACAAIAAgACAAIAAgACAAIAAgACAAMgAsACAAIABBAHMAcwBlAHQATgBhAG0AZQAgACYAIABcACIAIABPAHAAZQBuAGkAbgBnACAAVgBhAGwAdQBlAFwAIgAsAFwAbgAgACAAIAAgACAAIAAgACAAIAAgACAAIAAgACAAIAAgACAAIAAgACAAIAAgACAAIAAgACAAIAAgACAAIAAgACAAIAAgACAAIAAgACAAIAAgADMALAAgACAAQQBzAHMAZQB0AE4AYQBtAGUAIAAmACAAXAAiACAARABlAHAAcgBlAGMAaQBhAHQAaQBvAG4AXAAiACwAXABuACAAIAAgACAAIAAgACAAIAAgACAAIAAgACAAIAAgACAAIAAgACAAIAAgACAAIAAgACAAIAAgACAAIAAgACAAIAAgACAAIAAgACAAIAAgACAANAAsACAAIABBAHMAcwBlAHQATgBhAG0AZQAgACYAIABcACIAIABCAG8AbwBrACAAVgBhAGwAdQBlAFwAIgAsAFwAbgAgACAAIAAgACAAIAAgACAAIAAgACAAIAAgACAAIAAgACAAIAAgACAAIAAgACAAIAAgACAAIAAgACAAIAAgACAAIAAgACAAIAAgACAAIAAgADUALAAgACAAQQBzAHMAZQB0AE4AYQBtAGUAIAAmACAAXAAiACAAUgBlAHYAZQBuAHUAZQAgAGYAcgBvAG0AIABTAGEAbABlAFwAIgAsAFwAbgAgACAAIAAgACAAIAAgACAAIAAgACAAIAAgACAAIAAgACAAIAAgACAAIAAgACAAIAAgACAAIAAgACAAIAAgACAAIAAgACAAIAAgACAAIAAgADYALAAgACAAQQBzAHMAZQB0AE4AYQBtAGUAIAAmACAAXAAiACAARABpAHMAcABvAHMAYQBsACAAQwBvAHMAdABzAFwAIgAsAFwAbgAgACAAIAAgACAAIAAgACAAIAAgACAAIAAgACAAIAAgACAAIAAgACAAIAAgACAAIAAgACAAIAAgACAAIAAgACAAIAAgACAAIAAgACAAIAAgADcALAAgACAAXAAiAFwAIgBcAG4AIAAgACAAIAAgACAAIAAgACAAIAAgACAAIAAgACAAIAAgACAAIAAgACAAIAAgACAAIAAgACAAIAAgACAAIAAgACAAIAAgACAAKQBcAG4AIAAgACAAIAAgACAAIAAgACAAIAAgACAAIAAgACAAIAAgACAAIAAgACAAIAAgACAAIAAgACAAIAAgACAAIAAgACkAXABuACAAIAAgACAAIAAgACAAIAAgACAAIAAgACAAIAAgACAAIAAgACAAIAAgACAAIAAgACAAIAAgACAAKQBcAG4AIAAgACAAIAAgACAAIAAgACAAIAAgACAAIAAgACAAIAAgACAAIAAgACAAIAAgACAAKQAsAFwAbgAgACAAIAAgAC8ALwAgACAAUgBlAHQAdQByAG4AIABSAGUAcwB1AGwAdABcAG4AIAAgACAAIAAgACAAIAAgAEMASABPAE8AUwBFACgASABlAGwAcAA/ACAAKwAgADEALAAgAFIAZQBzAHUAbAB0ACwAIABIAGUAbABwACkAXABuACAAIAAgACAAKQBcAG4AKQA7AFwAbgBcAG4AXABuAFwAbgAvACoAIAAgAEYAVQBOAEMAVABJAE8ATgAgAE4AQQBNAEUAOgAgACAAUwB1AG0ARABlAHAAcgBlAGMAaQBhAHQAZQC7A1wAbgAgACAAIAAgAEQARQBTAEMAUgBJAFAAVABJAE8ATgA6ACoALwAvACoAKgBDAHIAZQBhAHQAZQAgAHIAbwB3ACAAdABvAHQAYQBsAHMAIABmAG8AcgAgAEQAZQBwAHIAZQBjAGkAYQB0AGUAuwMqAC8AXABuAC8AKgAgACAAUgBFAFYASQBTAEkATwBOAFMAOgAgACAAIAAgACAAIABEAGEAdABlACAAIAAgACAAIAAgACAAIABEAGUAdgBlAGwAbwBwAGUAcgAgACAAIAAgACAAIAAgAEQAZQBzAGMAcgBpAHAAdABpAG8AbgAgACAAXABuACAAIAAgACAAIAAgACAAIAAgACAAIAAgACAAIAAgACAAIAAgACAAIABEAGUAYwAgADIAMQAgADIAMAAyADMAIABDAHIAYQBpAGcAIABIAGEAdABtAGEAawBlAHIAIAAgAE8AcgBpAGcAaQBuAGEAbAAgAEQAZQB2AGUAbABvAHAAbQBlAG4AdABcAG4AKgAvAFwAbgBTAHUAbQBEAGUAcAByAGUAYwBpAGEAdABlALsDIAA9ACAATABBAE0AQgBEAEEAKABcAG4ALwAvACAAIABQAGEAcgBhAG0AZQB0AGUAcgAgAEQAZQBjAGwAYQByAGEAdABpAG8AbgBzAFwAbgAgACAAIAAgAFsARABlAHAAcgBlAGMAaQBhAHQAaQBvAG4AUwBjAGgAZQBkAHUAbABlAF0ALABcAG4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wB1AG0ARABlAHAAcgBlAGMAaQBhAHQAZQC7AygARABlAHAAcgBlAGMAaQBhAHQAaQBvAG4AUwBjAGgAZQBkAHUAbABlACkAtgBcACIAIAAmAFwAbgAgACAAIAAgACAAIAAgACAAIAAgACAAIAAgACAAIAAgACAAIAAgACAAIAAgACAAIAAgACAAIAAgAFwAIgBEAEUAUwBDAFIASQBQAFQASQBPAE4AOgAgACAAIACSIUMAcgBlAGEAdABlACAAcgBvAHcAIAB0AG8AdABhAGwAcwAgAGYAbwByACAARABlAHAAcgBlAGMAaQBhAHQAZQC7A7YAXAAiACAAJgAgAFwAbgAgACAAIAAgACAAIAAgACAAIAAgACAAIAAgACAAIAAgACAAIAAgACAAIAAgACAAIAAgACAAIAAgAFwAIgBXAEUAQgBQAEEARwBFADoAIAAgACAAIAAgACAAIACSIWgAdAB0AHAAcwA6AC8ALwBzAGkAdABlAHMALgBnAG8AbwBnAGwAZQAuAGMAbwBtAC8AcwBpAHQAZQAvAGIAZQB5AG8AbgBkAGUAeABjAGUAbAAvAGgAbwBtAGUALwA1AGcALQBtAG8AZABlAGwAaQBuAGcALwA1AGcALQBjAG8AbQBwAG8AbgBlAG4AdAAtAGwAaQBiAHIAYQByAGkAZQBzAC8ANQBnAC0AZABlAHAAcgBlAGMAaQBhAHQAZQAlAEMARQAlAEIAQgC2AFwAIgAgACYAIABcAG4AIAAgACAAIAAgACAAIAAgACAAIAAgACAAIAAgACAAIAAgACAAIAAgACAAIAAgACAAIAAgACAAIABcACIAVgBFAFIAUwBJAE8ATgA6ACAAIAAgACAAIAAgACAAkiFEAGUAYwAgADIAMQAgADIAMAAyADMAtgBcACIAIAAmAFwAbgAgACAAIAAgACAAIAAgACAAIAAgACAAIAAgACAAIAAgACAAIAAgACAAIAAgACAAIAAgACAAIAAgAFwAIgBQAEEAUgBBAE0ARQBUAEUAUgBTADoAIAAgACAAIACSIbYAXAAiACAAJgAgAFwAbgAgACAAIAAgACAAIAAgACAAIAAgACAAIAAgACAAIAAgACAAIAAgACAAIAAgACAAIAAgACAAIAAgAFwAIgBEAGUAcAByAGUAYwBpAGEAdABpAG8AbgBTAGMAaABlAGQAdQBsAGUAkiEoAFIAZQBxAHUAaQByAGUAZAApACAAQQBuACAAYQByAHIAYQB5ACAAcAByAG8AZAB1AGMAZQBkACAAYgB5ACAARABlAHAAcgBlAGMAaQBhAHQAZQC7A7YAXAAiACAAJg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EIAWABGACAAaQBzACAAYQBzAHMAdQBtAGUAZAAgAHQAbwAgAGIAZQAgAHQAaABlACAAbQBvAGQAdQBsAGUAJwBzACAAbgBhAG0AZQApALYAXAAiACAAJgBcAG4AIAAgACAAIAAgACAAIAAgACAAIAAgACAAIAAgACAAIAAgACAAIAAgACAAIAAgACAAIAAgACAAIAAgACAAIAAgACAAIAAgACAAIAAgACAAIAAgACAAIABcACIAkiE9AEIAWABGAC4AUwB1AG0ARABlAHAAcgBlAGMAaQBhAHQAZQC7AygARABlAHAAcgBlAGMAaQBhAHQAaQBvAG4AUwBjAGgAZQBkAHUAbABl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/ACwAIAAgACAAIAAgACAAIAAgACAAIABJAFMATwBNAEkAVABUAEUARAAoACAARABlAHAAcgBlAGMAaQBhAHQAaQBvAG4AUwBjAGgAZQBkAHUAbABlACkALABcAG4AIAAgACAAIAAvAC8AIAAgAFAAcgBvAGMAZQBkAHUAcgBlAFwAbgAgACAAIAAgACAAIAAgACAAUgBlAHMAdQBsAHQALAAgACAAIAAgACAAIAAgACAAIABNAEEASwBFAEEAUgBSAEEAWQAoAFIATwBXAFMAKABEAGUAcAByAGUAYwBpAGEAdABpAG8AbgBTAGMAaABlAGQAdQBsAGUAKQAsACAAMQAsACAAXABuACAAIAAgACAAIAAgACAAIAAgACAAIAAgACAAIAAgACAAIAAgACAAIAAgACAAIAAgACAAIAAgACAATABBAE0AQgBEAEEAKAAgAFIALAAgAEMALABcAG4AIAAgACAAIAAgACAAIAAgACAAIAAgACAAIAAgACAAIAAgACAAIAAgACAAIAAgACAAIAAgACAAIAAgACAAIAAgAFMAVwBJAFQAQwBIACgAIABNAE8ARAAoACAAUgAsACAANwApACwAXABuACAAIAAgACAAIAAgACAAIAAgACAAIAAgACAAIAAgACAAIAAgACAAIAAgACAAIAAgACAAIAAgACAAIAAgACAAIAAgACAAIAAgADEALAAgAFMAVQBNACgAQwBIAE8ATwBTAEUAUgBPAFcAUwAoACAARABlAHAAcgBlAGMAaQBhAHQAaQBvAG4AUwBjAGgAZQBkAHUAbABlACwAIABSACkAKQAsAFwAbgAgACAAIAAgACAAIAAgACAAIAAgACAAIAAgACAAIAAgACAAIAAgACAAIAAgACAAIAAgACAAIAAgACAAIAAgACAAIAAgACAAIAAzACwAIABTAFUATQAoAEMASABPAE8AUwBFAFIATwBXAFMAKAAgAEQAZQBwAHIAZQBjAGkAYQB0AGkAbwBuAFMAYwBoAGUAZAB1AGwAZQAsACAAUgApACkALABcAG4AIAAgACAAIAAgACAAIAAgACAAIAAgACAAIAAgACAAIAAgACAAIAAgACAAIAAgACAAIAAgACAAIAAgACAAIAAgACAAIAAgACAANQAsACAAUwBVAE0AKABDAEgATwBPAFMARQBSAE8AVwBTACgAIABEAGUAcAByAGUAYwBpAGEAdABpAG8AbgBTAGMAaABlAGQAdQBsAGUALAAgAFIAKQApACwAXABuACAAIAAgACAAIAAgACAAIAAgACAAIAAgACAAIAAgACAAIAAgACAAIAAgACAAIAAgACAAIAAgACAAIAAgACAAIAAgACAAIAAgADYALAAgAFMAVQBNACgAQwBIAE8ATwBTAEUAUgBPAFcAUwAoACAARABlAHAAcgBlAGMAaQBhAHQAaQBvAG4AUwBjAGgAZQBkAHUAbABlACwAIABSACkAKQAsAFwAbgAgACAAIAAgACAAIAAgACAAIAAgACAAIAAgACAAIAAgACAAIAAgACAAIAAgACAAIAAgACAAIAAgACAAIAAgACAAIAAgACAAIAAwAFwAbgAgACAAIAAgACAAIAAgACAAIAAgACAAIAAgACAAIAAgACAAIAAgACAAIAAgACAAIAAgACAAIAAgACAAIAAgACAAKQBcAG4AIAAgACAAIAAgACAAIAAgACAAIAAgACAAIAAgACAAIAAgACAAIAAgACAAIAAgACAAIAAgACAAIAApAFwAbgAgACAAIAAgACAAIAAgACAAIAAgACAAIAAgACAAIAAgACAAIAAgACAAIAAgACAAIAApACwAXABuACAAIAAgACAALwAvACAAIABSAGUAdAB1AHIAbgAgAFIAZQBzAHUAbAB0AFwAbgAgACAAIAAgACAAIAAgACAAQwBIAE8ATwBTAEUAKABIAGUAbABwAD8AIAArACAAMQAsACAAUgBlAHMAdQBsAHQALAAgAEgAZQBsAHAAKQBcAG4AIAAgACAAIAApAFwAbgApADsAXABuAFwAbgBcAG4AXABuAC8AKgAgACAARgBVAE4AQwBUAEkATwBOACAATgBBAE0ARQA6ACAAIABBAGwAbABvAGMAYQB0AGUAuwNcAG4AIAAgACAAIABEAEUAUwBDAFIASQBQAFQASQBPAE4AOgAqAC8ALwAqACoAkiFEAGkAdgBpAGQAZQAgAG8AbgBlACAAbwByACAAbQBvAHIAZQAgAGEAbQBvAHUAbgB0AHMAIABlAHEAdQBhAGwAbAB5ACAAZQBxAHUAYQBsAGwAeQAgAGEAYwByAG8AcwBzACAAcwBtAGEAbABsAGUAcgAgAHAAZQByAGkAbwBkAHMAKgAvAFwAbgAvACoAIAAgAFIARQBWAEkAUwBJAE8ATgBTADoAIAAgACAAIAAgACAARABhAHQAZQAgACAAIAAgACAAIAAgACAARABlAHYAZQBsAG8AcABlAHIAIAAgACAAIAAgACAAIABEAGUAcwBjAHIAaQBwAHQAaQBvAG4AIAAgAFwAbgAgACAAIAAgACAAIAAgACAAIAAgACAAIAAgACAAIAAgACAAIAAgACAAQQBwAHIAIAAxADcAIAAyADAAMgA0ACAAQwByAGEAaQBnACAASABhAHQAbQBhAGsAZQByACAAIABDAG8AcAB5AHIAaQBnAGgAdABcAG4AKgAvAFwAbgBBAGwAbABvAGMAYQB0AGUAuwMgAD0AIABMAEEATQBCAEQAQQAoAFwAbgAvAC8AIAAgAFAAYQByAGEAbQBlAHQAZQByACAARABlAGMAbABhAHIAYQB0AGkAbwBuAFwAbgAgACAAIAAgAFsAQQBtAG8AdQBuAHQAcwBdACwAXABuACAAIAAgACAAWwBGAHIAbwBtAEkAbgB0AGUAcgB2AGEAbABdACwAIABcAG4AIAAgACAAIABbAFQAbwBJAG4AdABlAHIAdgBhAGwAXQAsACA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QQBsAGwAbwBjAGEAdABlALsDKABBAG0AbwB1AG4AdABzACwAIABbAEYAcgBvAG0ASQBuAHQAZQByAHYAYQBsAF0ALAAgAFsAVABvAEkAbgB0AGUAcgB2AGEAbABdACkAtgBcACIAIAAmAFwAbgAgACAAIAAgACAAIAAgACAAIAAgACAAIAAgACAAIAAgACAAIAAgACAAIAAgACAAIAAgACAAIAAgAFwAIgBEAEUAUwBDAFIASQBQAFQASQBPAE4AOgAgACAAIACSIUQAaQB2AGkAZABlACAAbwBuAGUAIABvAHIAIABtAG8AcgBlACAAYQBtAG8AdQBuAHQAcwAgAGUAcQB1AGEAbABsAHkAIABlAHEAdQBhAGwAbAB5ACAAYQBjAHIAbwBzAHMAIABzAG0AYQBsAGwAZQByACAAcABlAHIAaQBvAGQAcwC2AFwAIgAgACYAXABuACAAIAAgACAAIAAgACAAIAAgACAAIAAgACAAIAAgACAAIAAgACAAIAAgACAAIAAgACAAIAAgACAAXAAiAFcARQBCAFAAQQBHAEUAOgAgACAAIAAgACAAIAAgAJIhPABjAG8AbQBpAG4AZwAgAHMAbwBvAG4APgC2AFwAIgAgACYAIABcAG4AIAAgACAAIAAgACAAIAAgACAAIAAgACAAIAAgACAAIAAgACAAIAAgACAAIAAgACAAIAAgACAAIABcACIAVgBFAFIAUwBJAE8ATgA6ACAAIAAgACAAIAAgACAAkiFBAHAAcgAgADEANwAgADIAMAAyADQAtgBcACIAIAAmAFwAbgAgACAAIAAgACAAIAAgACAAIAAgACAAIAAgACAAIAAgACAAIAAgACAAIAAgACAAIAAgACAAIAAgAFwAIgBQAEEAUgBBAE0ARQBUAEUAUgBTADoAIAAgACAAIACSIbYAXAAiACAAJgAgAFwAbgAgACAAIAAgACAAIAAgACAAIAAgACAAIAAgACAAIAAgACAAIAAgACAAIAAgACAAIAAgACAAIAAgAFwAIgBBAG0AbwB1AG4AdABzACAAIAAgACAAIAAgACAAIACSISgAUgBlAHEAdQBpAHIAZQBkACkAIABPAG4AZQAgAGEAbQBvAHUAbgB0ACAAbwByACAAYQAgAHIAbwB3ACAAbwBmACAAYQBtAG8AdQBuAHQAcwAgAHQAbwAgAGEAbABsAG8AYwBhAHQAZQAuALYAXAAiACAAJgAgACAAIAAgACAAIAAgACAAIAAgACAAIAAgACAAIAAgACAAIAAgAFwAbgAgACAAIAAgACAAIAAgACAAIAAgACAAIAAgACAAIAAgACAAIAAgACAAIAAgACAAIAAgACAAIAAgAFwAIgBGAHIAbwBtAEkAbgB0AGUAcgB2AGEAbAAgACAAIACSISgATwBwAHQAaQBvAG4AYQBsACAARABlAGYAYQB1AGwAdAA9AFkAKQAgAFQAaABlACAAbABhAHIAZwBlAHIAIABpAG4AdABlAHIAdgBhAGwAIABpAG4AIABRAD0AUQB1AGEAcgB0AGUAcgBzACAAbwByACAAWQA9AFkAZQBhAHIAcwC2AFwAIgAgACYAIABcAG4AIAAgACAAIAAgACAAIAAgACAAIAAgACAAIAAgACAAIAAgACAAIAAgACAAIAAgACAAIAAgACAAIABcACIAVABvAEkAbgB0AGUAcgB2AGEAbAAgACAAIAAgACAAkiEoAE8AcAB0AGkAbwBuAGEAbAAgAEQAZQBmAGEAdQBsAHQAPQBNACkAIABUAGgAZQAgAHMAbQBhAGwAbABlAHIAIABpAG4AdABlAHIAdgBhAGwAIABpAG4AIABXAD0AVwBlAGUAawBzACwAIABNAD0ATQBvAG4AdABoAHMALAAgAG8AcgAgAFEAPQBRAHUAYQByAHQAZQByAHMAtgBcACIAIAAmACAAXABuACAAIAAgACAAIAAgACAAIAAgACAAIAAgACAAIAAgACAAIAAgACAAIAAgACAAIAAgACAAIAAgACAAXAAiAE4ATwBUAEUAIQAgACAAIAAgACAAIAAgACAAIAAgAJIhtgBcACIAIAAmACAAXABuACAAIAAgACAAIAAgACAAIAAgACAAIAAgACAAIAAgACAAIAAgACAAIAAgACAAIAAgACAAIAAgACAAIAAgACAAIAAgACAAIAAgACAAIAAgACAAIAAgACAAXAAiAJIhVwBoAGUAbgAgAGEAIABGAHIAbwBtACAAUABlAHIAaQBvAGQAJwBzACAAYQBtAG8AdQBuAHQAIABkAG8AZQBzACAAbgBvAHQAIABkAGkAdgBpAGQAZQAgAGUAdgBlAG4AbAB5ACAAdABvACAAdABoAGUAIAAxAC8AMQAwADAAIABmAG8AcgAgAGEAbABsACAAVABvACAAUABlAHIAaQBvAGQAcwAnACwAtgBcACIAIAAmACAAXABuACAAIAAgACAAIAAgACAAIAAgACAAIAAgACAAIAAgACAAIAAgACAAIAAgACAAIAAgACAAIAAgACAAIAAgACAAIAAgACAAIAAgACAAIAAgACAAIAAgACAAXAAiAJIhdABoAGUAIABsAGEAcwB0ACAAVABvACAAUABlAHIAaQBvAGQAIABjAG8AbgB0AGEAaQBuAHMAIAB0AGgAZQAgAG4AZQBjAGUAcwBzAGEAcgB5ACAAYQBkAGoAdQBzAHQAbQBlAG4AdAAuALYAXAAiACAAJgAgAFwAbgAgACAAIAAgACAAIAAgACAAIAAgACAAIAAgACAAIAAgACAAIAAgACAAIAAgACAAIAAgACAAIAAgAFwAIgBFAFgAQQBNAFAATABFAFMAOgAgACAAIAAgACAAIACSIbYAXAAiACAAJgBcAG4AIAAgACAAIAAgACAAIAAgACAAIAAgACAAIAAgACAAIAAgACAAIAAgACAAIAAgACAAIAAgACAAIAAgACAAIAAgACAAIAAgACAAIAAgACAAIAAgACAAIABcACIAkiFGAG8AcgBtAHUAbABhACAAKABCAFgARgAgAGkAcwAgAGEAcwBzAHUAbQBlAGQAIAB0AG8AIABiAGUAIAB0AGgAZQAgAG0AbwBkAHUAbABlACcAcwAgAG4AYQBtAGUAKQC2AFwAIgAgACYAXABuACAAIAAgACAAIAAgACAAIAAgACAAIAAgACAAIAAgACAAIAAgACAAIAAgACAAIAAgACAAIAAgACAAIAAgACAAIAAgACAAIAAgACAAIAAgACAAIAAgACAAXAAiAJIhPQBCAFgARgAuAEEAbABsAG8AYwBhAHQAZQC7AygAewA5ADkAOQAuADkAOQAsACAAMgAwADAAMAB9ACwAIABcACIAXAAiAFkAXAAiAFwAIgAsACAAXAAiAFwAIgBRAFwAIgBcACIAKQC2AFwAIgAgACYAXABuACAAIAAgACAAIAAgACAAIAAgACAAIAAgACAAIAAgACAAIAAgACAAIAAgACAAIAAgACAAIAAgACAAIAAgACAAIAAgACAAIAAgACAAIAAgACAAIAAgACAAXAAiAJIhUgBlAHMAdQBsAHQAtgBcACIAIAAmAFwAbgAgACAAIAAgACAAIAAgACAAIAAgACAAIAAgACAAIAAgACAAIAAgACAAIAAgACAAIAAgACAAIAAgACAAIAAgACAAIAAgACAAIAAgACAAIAAgACAAIAAgAFwAIgCSITIANQAwACwAMgA1ADAALAAyADUAMAAsADIANAA5AC4AOQA5ACwANQAwADAALAA1ADAAMAAsADUAMAAwACwANQAw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kAUwBPAE0ASQBUAFQARQBEACgAIABBAG0AbwB1AG4AdABzACkALABcAG4AIAAgACAAIAAvAC8AIAAgAFMAZQB0ACAAZABlAGYAYQB1AGwAdABzACAAZgBvAHIAIABvAHAAdABpAG8AbgBhAGwAIAB2AGEAbAB1AGUAcwBcAG4AIAAgACAAIAAgACAAIAAgAEYAcgBvAG0ASQBuAHQAZQByAHYAYQBsACwAIAAgACAASQBGACgAIABJAFMATwBNAEkAVABUAEUARAAoACAARgByAG8AbQBJAG4AdABlAHIAdgBhAGwAKQAsACAAXAAiAFkAXAAiACwAIABGAHIAbwBtAEkAbgB0AGUAcgB2AGEAbAApACwAXABuACAAIAAgACAAIAAgACAAIABUAG8ASQBuAHQAZQByAHYAYQBsACwAIAAgACAAIAAgAEkARgAoACAASQBTAE8ATQBJAFQAVABFAEQAKAAgAFQAbwBJAG4AdABlAHIAdgBhAGwAKQAsACAAXAAiAE0AXAAiACwAIABUAG8ASQBuAHQAZQByAHYAYQBsACkALABcAG4AIAAgACAAIAAvAC8AIAAgAFAAcgBvAGMAZQBkAHUAcgBlAFwAbgAgACAAIAAgACAAIAAgACAARgByAG8AbQAsACAAIAAgACAAIAAgACAAIAAgACAAIABTAFcASQBUAEMASAAoAEYAcgBvAG0ASQBuAHQAZQByAHYAYQBsACwAIABcACIAWQBcACIALAAgADEALAAgAFwAIgBRAFwAIgAsACAANAApACwAXABuACAAIAAgACAAIAAgACAAIABUAG8ALAAgACAAIAAgACAAIAAgACAAIAAgACAAIAAgAFMAVwBJAFQAQwBIACgAVABvAEkAbgB0AGUAcgB2AGEAbAAsACAAXAAiAFEAXAAiACwAIAA0ACwAIABcACIATQBcACIALAAgADEAMgAsACAAXAAiAFcAXAAiACwAIAA1ADIAKQAsAFwAbgAgACAAIAAgACAAIAAgACAARgByAG8AbQBDAG8AdQBuAHQALAAgACAAIAAgACAAIABDAE8AVQBOAFQAKAAgAEEAbQBvAHUAbgB0AHMAKQAsAFwAbgAgACAAIAAgACAAIAAgACAAVABvAEMAbwB1AG4AdAAsACAAIAAgACAAIAAgACAAIABUAG8AIAAvACAARgByAG8AbQAsAFwAbgAgACAAIAAgACAAIAAgACAAUgBlAHMAdQBsAHQALAAgACAAIAAgACAAIAAgACAAIABSAEUARABVAEMARQAoACAAMAAsACAAUwBFAFEAVQBFAE4AQwBFACgAIAAsACAARgByAG8AbQBDAG8AdQBuAHQAKQAsAFwAbgAgACAAIAAgACAAIAAgACAAIAAgACAAIAAgACAAIAAgACAAIAAgACAAIAAgACAAIAAgACAAIAAgAEwAQQBNAEIARABBACgAIABBAGMAYwAsACAAbgAsAFwAbgAgACAAIAAgACAAIAAgACAAIAAgACAAIAAgACAAIAAgACAAIAAgACAAIAAgACAAIAAgACAAIAAgACAAIAAgACAATABFAFQAKAAgAFwAbgAgACAAIAAgACAAIAAgACAAIAAgACAAIAAgACAAIAAgACAAIAAgACAAIAAgACAAIAAgACAAIAAgACAAIAAgACAAIAAgACAAIABGAHIAbwBtAEEAbQBvAHUAbgB0ACwAIAAgACAAIAAgAEkATgBEAEUAWAAoACAAQQBtAG8AdQBuAHQAcwAsACAAbgApACwAIABcAG4AIAAgACAAIAAgACAAIAAgACAAIAAgACAAIAAgACAAIAAgACAAIAAgACAAIAAgACAAIAAgACAAIAAgACAAIAAgACAAIAAgACAAVABvAEEAbQBvAHUAbgB0ACwAIAAgACAAIAAgACAAIABSAE8AVQBOAEQAKAAgAEYAcgBvAG0AQQBtAG8AdQBuAHQAIAAqACAARgByAG8AbQAgAC8AIABUAG8ALAAgADIAKQAsAFwAbgAgACAAIAAgACAAIAAgACAAIAAgACAAIAAgACAAIAAgACAAIAAgACAAIAAgACAAIAAgACAAIAAgACAAIAAgACAAIAAgACAAIABCAGEAcwBlAEEAcgByAGEAeQAsACAAIAAgACAAIAAgAEUAWABQAEEATgBEACgAIABUAG8AQQBtAG8AdQBuAHQALAAgADEALAAgAFQAbwBDAG8AdQBuAHQALAAgAFQAbwBBAG0AbwB1AG4AdAApACwAXABuACAAIAAgACAAIAAgACAAIAAgACAAIAAgACAAIAAgACAAIAAgACAAIAAgACAAIAAgACAAIAAgACAAIAAgACAAIAAgACAAIAAgAFQAbwBBAHIAcgBhAHkALAAgACAAIAAgACAAIAAgACAASQBGACgAIABUAG8AQwBvAHUAbgB0ACAAPQAgADEALAAgAFwAbgAgACAAIAAgACAAIAAgACAAIAAgACAAIAAgACAAIAAgACAAIAAgACAAIAAgACAAIAAgACAAIAAgACAAIAAgACAAIAAgACAAIAAgACAAIAAgACAAIAAgACAAIAAgACAAIAAgACAAIAAgACAAIAAgACAAQgBhAHMAZQBBAHIAcgBhAHkALAAgAFwAbgAgACAAIAAgACAAIAAgACAAIAAgACAAIAAgACAAIAAgACAAIAAgACAAIAAgACAAIAAgACAAIAAgACAAIAAgACAAIAAgACAAIAAgACAAIAAgACAAIAAgACAAIAAgACAAIAAgACAAIAAgACAAIAAgACAASABTAFQAQQBDAEsAKAAgAFwAbgAgACAAIAAgACAAIAAgACAAIAAgACAAIAAgACAAIAAgACAAIAAgACAAIAAgACAAIAAgACAAIAAgACAAIAAgACAAIAAgACAAIAAgACAAIAAgACAAIAAgACAAIAAgACAAIAAgACAAIAAgACAAIAAgACAAIAAgACAAIABUAEEASwBFACgAQgBhAHMAZQBBAHIAcgBhAHkALAAgADEALAAgAFQAbwBDAG8AdQBuAHQAIAAtACAAMQApACwAIABcAG4AIAAgACAAIAAgACAAIAAgACAAIAAgACAAIAAgACAAIAAgACAAIAAgACAAIAAgACAAIAAgACAAIAAgACAAIAAgACAAIAAgACAAIAAgACAAIAAgACAAIAAgACAAIAAgACAAIAAgACAAIAAgACAAIAAgACAAIAAgACAARgByAG8AbQBBAG0AbwB1AG4AdAAgAC0AIABTAFUATQAoACAAVABBAEsARQAoAEIAYQBzAGUAQQByAHIAYQB5ACwAIAAxACwAIABUAG8AQwBvAHUAbgB0ACAALQAgADEAKQApAFwAbgAgACAAIAAgACAAIAAgACAAIAAgACAAIAAgACAAIAAgACAAIAAgACAAIAAgACAAIAAgACAAIAAgACAAIAAgACAAIAAgACAAIAAgACAAIAAgACAAIAAgACAAIAAgACAAIAAgACAAIAAgACAAIAAgACAAKQBcAG4AIAAgACAAIAAgACAAIAAgACAAIAAgACAAIAAgACAAIAAgACAAIAAgACAAIAAgACAAIAAgACAAIAAgACAAIAAgACAAIAAgACAAIAAgACAAIAAgACAAIAAgACAAIAAgACAAIAAgACAAIAApACwAXABuACAAIAAgACAAIAAgACAAIAAgACAAIAAgACAAIAAgACAAIAAgACAAIAAgACAAIAAgACAAIAAgACAAIAAgACAAIAAgACAAIAAgAFIAZQBzAHUAbAB0ACwAIAAgACAAIAAgACAAIAAgACAASQBGACgAIABuACAAPQAgADEALAAgAFQAbwBBAHIAcgBhAHkALAAgAEgAUwBUAEEAQwBLACgAIABBAGMAYwAsACAAVABvAEEAcgByAGEAeQAgACkAKQAsAFwAbgAgACAAIAAgACAAIAAgACAAIAAgACAAIAAgACAAIAAgACAAIAAgACAAIAAgACAAIAAgACAAIAAgACAAIAAgACAAIAAgACAAIABSAGUAcwB1AGwAdABcAG4AIAAgACAAIAAgACAAIAAgACAAIAAgACAAIAAgACAAIAAgACAAIAAgACAAIAAgACAAIAAgACAAIAAgACAAIAAgACkAXABuACAAIAAgACAAIAAgACAAIAAgACAAIAAgACAAIAAgACAAIAAgACAAIAAgACAAIAAgACAAIAAgACAAKQBcAG4AIAAgACAAIAAgACAAIAAgACAAIAAgACAAIAAgACAAIAAgACAAIAAgACAAIAAgACAAKQAsAFwAbgAgACAAIAAgACAAIAAgACA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QAGUAcgBpAG8AZABEAGkAZgBmALsDXABuACAAIAAgACAARABFAFMAQwBSAEkAUABUAEkATwBOADoAKgAvAC8AKgAqAEQAZQB0AGUAcgBtAGkAbgBlACAAdABoAGUAIABuAHUAbQBiAGUAcgAgAG8AZgAgAHAAZQByAGkAbwBkAHMAIABiAGUAdAB3AGUAZQBuACAAdAB3AG8AIABkAGEAdABlAHMALgAqAC8AXABuAC8AKgAgACAAUgBFAFYASQBTAEkATwBOAFMAOgAgACAAIAAgACAAIABEAGEAdABlACAAIAAgACAAIAAgACAAIABEAGUAdgBlAGwAbwBwAGUAcgAgACAAIAAgACAAIAAgAEQAZQBzAGMAcgBpAHAAdABpAG8AbgAgACAAXABuACAAIAAgACAAIAAgACAAIAAgACAAIAAgACAAIAAgACAAIAAgACAAIABBAHAAcgAgADEANQAgADIAMAAyADQAIABDAHIAYQBpAGcAIABIAGEAdABtAGEAawBlAHIAIAAgAEMAbwBwAHkAcgBpAGcAaAB0AFwAbgAqAC8AXABuAFAAZQByAGkAbwBkAEQAaQBmAGYAuwMgAD0AIABMAEEATQBCAEQAQQAoAFwAbgAvAC8AIAAgAFAAYQByAGEAbQBlAHQAZQByACAARABlAGMAbABhAHIAYQB0AGkAbwBuAFwAbgAgACAAIAAgAFsAUwB0AGEAcgB0AEQAYQB0AGUAXQAsAFwAbgAgACAAIAAgAFsARQBuAGQARABhAHQAZQBdACwAIABcAG4AIAAgACAAIABbAEkAbgB0AGUAcgB2AGEAbABdACw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UABlAHIAaQBvAGQARABpAGYAZgC7AygAUwB0AGEAcgB0AEQAYQB0AGUALAAgAEUAbgBkAEQAYQB0AGUALAAgAEkAbgB0AGUAcgB2AGEAbAApALYAXAAiACAAJgBcAG4AIAAgACAAIAAgACAAIAAgACAAIAAgACAAIAAgACAAIAAgACAAIAAgACAAIAAgACAAIAAgACAAIABcACIARABFAFMAQwBSAEkAUABUAEkATwBOADoAIAAgACAAkiFEAGUAdABlAHIAbQBpAG4AZQAgAHQAaABlACAAbgB1AG0AYgBlAHIAIABvAGYAIABwAGUAcgBpAG8AZABzACAAYgBlAHQAdwBlAGUAbgAgAHQAdwBvACAAZABhAHQAZQBzAC4AtgBcACIAIAAmAFwAbgAgACAAIAAgACAAIAAgACAAIAAgACAAIAAgACAAIAAgACAAIAAgACAAIAAgACAAIAAgACAAIAAgAFwAIgBOAE8AVABFAFMAIQAgACAAIAAgACAAIAAgACAAIACSIVQAaABpAHMAIABpAG0AcAByAG8AdgBlAHMAIABvAG4ALAAgAGEAbgBkACAAYwBvAHIAcgBlAGMAdABzACAAcAByAG8AYgBsAGUAbQBzACAAdwAvAEUAeABjAGUAbAAnAHMAIABkAGUAcAByAGUAYwBhAHQAZQBkACAARABBAFQARQBEAEkARgAoACkAIABmAHUAbgBjAHQAaQBvAG4ALgC2AFwAIgAgACYAXABuACAAIAAgACAAIAAgACAAIAAgACAAIAAgACAAIAAgACAAIAAgACAAIAAgACAAIAAgACAAIAAgACAAXAAiAFcARQBCAFAAQQBHAEUAOgAgACAAIAAgACAAIAAgAJIhPABjAG8AbQBpAG4AZwAgAHMAbwBvAG4APgC2AFwAIgAgACYAIABcAG4AIAAgACAAIAAgACAAIAAgACAAIAAgACAAIAAgACAAIAAgACAAIAAgACAAIAAgACAAIAAgACAAIABcACIAVgBFAFIAUwBJAE8ATgA6ACAAIAAgACAAIAAgACAAkiFBAHAAcgAgADEANQAgADIAMAAyADQAtgBcACIAIAAmAFwAbgAgACAAIAAgACAAIAAgACAAIAAgACAAIAAgACAAIAAgACAAIAAgACAAIAAgACAAIAAgACAAIAAgAFwAIgBQAEEAUgBBAE0ARQBUAEUAUgBTADoAIAAgACAAIACSIbYAXAAiACAAJgAgAFwAbgAgACAAIAAgACAAIAAgACAAIAAgACAAIAAgACAAIAAgACAAIAAgACAAIAAgACAAIAAgACAAIAAgAFwAIgBTAHQAYQByAHQARABhAHQAZQAgACAAIAAgACAAIACSISgAUgBlAHEAdQBpAHIAZQBkACkAIABTAHQAYQByAHQAIABEAGEAdABlAC4AtgBcACIAIAAmACAAIAAgACAAIAAgACAAIAAgACAAIAAgACAAIAAgACAAIAAgACAAXABuACAAIAAgACAAIAAgACAAIAAgACAAIAAgACAAIAAgACAAIAAgACAAIAAgACAAIAAgACAAIAAgACAAXAAiAEUAbgBkAEQAYQB0AGUAIAAgACAAIAAgACAAIAAgAJIhKABSAGUAcQB1AGkAcgBlAGQAKQAgAEUAbgBkACAARABhAHQAZQC2AFwAIgAgACYAIABcAG4AIAAgACAAIAAgACAAIAAgACAAIAAgACAAIAAgACAAIAAgACAAIAAgACAAIAAgACAAIAAgACAAIABcACIASQBuAHQAZQByAHYAYQBsACAAIAAgACAAIAAgACAAkiEoAFIAZQBxAHUAaQByAGUAZAApACAAVwA9AFcAZQBlAGsALAAgAE0APQBNAG8AbgB0AGgALAAgAFEAPQBRAHUAYQByAHQAZQByACwAIABZAD0AWQBlAGEAcgAuALYAXAAiACAAJg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CAFgARgAgAGkAcwAgAGEAcwBzAHUAbQBlAGQAIAB0AG8AIABiAGUAIAB0AGgAZQAgAG0AbwBkAHUAbABlACcAcwAgAG4AYQBtAGUAKQC2AFwAIgAgACYAXABuACAAIAAgACAAIAAgACAAIAAgACAAIAAgACAAIAAgACAAIAAgACAAIAAgACAAIAAgACAAIAAgACAAXAAiADEAIAAgACAAIAAgACAAIAAgACAAIAAgACAAIAAgAJIhPQBCAFgARgAuAFAAZQByAGkAbwBkAEQAaQBmAGYAuwMoAFwAIgBcACIAMgAwADIANAAtADAAMQAtADAAMQBcACIAXAAiACwAIABcACIAXAAiADIAMAAyADQALQAwADQALQAxADUAXAAiAFwAIgAsACAAXAAiAFwAIgBRAFwAIgBcACI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UwB0AGEAcgB0AEQAYQB0AGUAKQAsAFwAbgAgACAAIAAgACAAIAAgACAAIAAgACAAIAAgACAAIAAgACAAIAAgACAAIAAgACAAIAAgACAAIAAgAEkAUwBPAE0ASQBUAFQARQBEACgAIABFAG4AZABEAGEAdABlACkALABcAG4AIAAgACAAIAAgACAAIAAgACAAIAAgACAAIAAgACAAIAAgACAAIAAgACAAIAAgACAAIAAgACAAIABJAFMATwBNAEkAVABUAEUARAAoACAASQBuAHQAZQByAHYAYQBsACkAXABuACAAIAAgACAAIAAgACAAIAAgACAAIAAgACAAIAAgACAAIAAgACAAIAAgACAAIAAgACkALABcAG4AIAAgACAAIAAvAC8AIAAgAEMAbwBuAHMAdABhAG4AdABzAFwAbgAgACAAIAAgACAAIAAgACAATQBwAFAALAAgACAAIAAgACAAIAAgACAAIAAgACAAIAAgACAAIAAgAFMAVwBJAFQAQwBIACgAIABJAG4AdABlAHIAdgBhAGwALAAgAFwAIgBNAFwAIgAsACAAMQAsACAAXAAiAFEAXAAiACwAIAAzACwAIABcACIAWQBcACIALAAgADEAMgAsACAAMAApACwAXABuACAAIAAgACAALwAvACAAIABQAHIAbwBjAGUAZAB1AHIAZQBcAG4AIAAgACAAIAAgACAAIAAgAE0AbwBuAHQAaABzACwAIAAgACAAIAAgACAAIAAgACAAIAAgACAAIABEAEEAVABFAEQASQBGACgAIABTAHQAYQByAHQARABhAHQAZQAsACAARQBuAGQARABhAHQAZQAsACAAXAAiAE0AXAAiACkAIAArACAAMQAsAFwAbgAgACAAIAAgACAAIAAgACAAUABlAHIAaQBvAGQAcwAsACAAIAAgACAAIAAgACAAIAAgACAAIAAgAEkATgBUACgAIABNAG8AbgB0AGgAcwAgAC8AIABNAHAAUAApACwAXABuACAAIAAgACAAIAAgACAAIABQAGEAcgB0AGkAYQBsAFAAZQByAGkAbwBkACwAIAAgACAAIAAgACAATgAoACAATQBPAEQAKAAgAE0AbwBuAHQAaABzACwAIABNAHAAUAApACAAPgAgADAAKQAsAFwAbgAgACAAIAAgACAAIAAgACAARQBPAE0AQwBvAHIAcgBlAGMAdABpAG8AbgAsACAAIAAgACAAIAAgAE4AKAAgAEEATgBEACgAIABFAG4AZABEAGEAdABlACAAPQAgAEUATwBNAE8ATgBUAEgAKAAgAEUAbgBkAEQAYQB0AGUALAAgADAAKQAsACAARABBAFkAKAAgAFMAdABhAHIAdABEAGEAdABlACkAIAA+ACAARABhAHkAKAAgAEUAbgBkAEQAYQB0AGUAKQApACkALABcAG4AIAAgACAAIAAgACAAIAAgAFIAZQBzAHUAbAB0ACwAIAAgACAAIAAgACAAIAAgACAAIAAgACAAIABJAEYAKAAgAEkAbgB0AGUAcgB2AGEAbAAgAD0AIABcACIAVwBcACIALAAgAFwAbgAgACAAIAAgACAAIAAgACAAIAAgACAAIAAgACAAIAAgACAAIAAgACAAIAAgACAAIAAgACAAIAAgACAAIAAgACAASQBOAFQAKAAoAEUAbgBkAEQAYQB0AGUAIAAtACAAUwB0AGEAcgB0AEQAYQB0AGUAIAArACAAMQApACAALwAgADcAKQAsAFwAbgAgACAAIAAgACAAIAAgACAAIAAgACAAIAAgACAAIAAgACAAIAAgACAAIAAgACAAIAAgACAAIAAgACAAIAAgACAAUABlAHIAaQBvAGQAcwAgACsAIABPAFIAKABQAGEAcgB0AGkAYQBsAFAAZQByAGkAbwBkACwAIABFAE8ATQBDAG8AcgByAGUAYwB0AGkAbwBuACkAKQAsAFwAbgAgACAAIAAgAC8ALwAgACAAUgBlAHQAdQByAG4AIABSAGUAcwB1AGwAdAAgAG8AcgAgAEgAZQBsAHAAXABuACAAIAAgACAAIAAgACAAIABDAEgATwBPAFMARQAoACAASABlAGwAcAA/ACAAKwAgADEALAAgAFIAZQBzAHUAbAB0ACwAIABIAGUAbABwACkAXABuACAAIAAgACAAKQBcAG4AKQA7AFwAbgBcAG4AXABuAFwAbgAvACoAIAAgAEYAVQBOAEMAVABJAE8ATgAgAE4AQQBNAEUAOgAgACAAUwBMAE4AuwNcAG4AIAAgACAAIABEAEUAUwBDAFIASQBQAFQASQBPAE4AOgAqAC8ALwAqACoAUwB0AHIAYQBpAGcAaAB0ACAATABpAG4AZQAgAGQAZQBwAHIAZQBjAGkAYQB0AGkAbwBuACAAbQBlAHQAaABvAGQAIABmAG8AcgAgAG8AbgBlACAAYQBzAHMAZQB0ACAAbwByACAAYQBzAHMAZQB0ACAAYwBsAGEAcwBzAC4AKgAvAFwAbgAvACoAIAAgAFIARQBWAEkAUwBJAE8ATgBTADoAIAAgACAAIAAgACAARABhAHQAZQAgACAAIAAgACAAIAAgACAARABlAHYAZQBsAG8AcABlAHIAIAAgACAAIAAgACAAIABEAGUAcwBjAHIAaQBwAHQAaQBvAG4AIAAgAFwAbgAgACAAIAAgACAAIAAgACAAIAAgACAAIAAgACAAIAAgACAAIAAgACAAQQBwAHIAIAAxADcAIAAyADAAMgA0ACAAQwByAGEAaQBnACAASABhAHQAbQBhAGsAZQByACAAIABDAG8AcAB5AHIAaQBnAGgAdABcAG4AKgAvAFwAbgBTAEwATgC7AyAAPQAgAEwAQQBNAEIARABBACgAXABuAC8ALwAgACAAUABhAHIAYQBtAGUAdABlAHIAIABEAGUAYwBsAGEAcgBhAHQAaQBvAG4AXABuACAAIAAgACAAWwBDAG8AcwB0AF0ALABcAG4AIAAgACAAIABbAFMAYQBsAHYAYQBnAGUAXQAsACAAXABuACAAIAAgACAAWwBMAGkAZgBlAF0AL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MATABOALsDKABDAG8AcwB0ACwAIABTAGEAbAB2AGEAZwBlACwAIABMAGkAZgBlACkAtgBcACIAIAAmAFwAbgAgACAAIAAgACAAIAAgACAAIAAgACAAIAAgACAAIAAgACAAIAAgACAAIAAgACAAIAAgACAAIAAgAFwAIgBEAEUAUwBDAFIASQBQAFQASQBPAE4AOgAgACAAIACSIVMAdAByAGEAaQBnAGgAdAAgAEwAaQBuAGUAIABEAGUAcAByAGUAYwBpAGEAdABpAG8AbgAgAE0AZQB0AGgAbwBkACAAZgBvAHIAIABvAG4AZQAgAGEAcwBzAGUAdAAgAG8AcgAgAGEAcwBzAGUAdAAgAGMAbABhAHMAcwAuALYAXAAiACAAJgBcAG4AIAAgACAAIAAgACAAIAAgACAAIAAgACAAIAAgACAAIAAgACAAIAAgACAAIAAgACAAIAAgACAAIABcACIAVwBFAEIAUABBAEcARQA6ACAAIAAgACAAIAAgACAAkiE8AGMAbwBtAGkAbgBnACAAcwBvAG8AbgA+ALYAXAAiACAAJgAgAFwAbgAgACAAIAAgACAAIAAgACAAIAAgACAAIAAgACAAIAAgACAAIAAgACAAIAAgACAAIAAgACAAIAAgAFwAIgBWAEUAUgBTAEkATwBOADoAIAAgACAAIAAgACAAIACSIUEAcAByACAAMQA3ACAAMgAwADIANAC2AFwAIgAgACYAXABuACAAIAAgACAAIAAgACAAIAAgACAAIAAgACAAIAAgACAAIAAgACAAIAAgACAAIAAgACAAIAAgACAAXAAiAFAAQQBSAEEATQBFAFQARQBSAFMAOgAgACAAIAAgAJIhtgBcACIAIAAmACAAXABuACAAIAAgACAAIAAgACAAIAAgACAAIAAgACAAIAAgACAAIAAgACAAIAAgACAAIAAgACAAIAAgACAAXAAiAEMAbwBzAHQAIAAgACAAIAAgACAAIAAgACAAIAAgAJIhKABSAGUAcQB1AGkAcgBlAGQAKQAgAEEAcwBzAGUAdAAnAHMAIABpAG4AaQB0AGkAYQBsACAAYwBvAHMAdAAuALYAXAAiACAAJgAgACAAIAAgACAAIAAgACAAIAAgACAAIAAgACAAIAAgACAAIAAgAFwAbgAgACAAIAAgACAAIAAgACAAIAAgACAAIAAgACAAIAAgACAAIAAgACAAIAAgACAAIAAgACAAIAAgAFwAIgBTAGEAbAB2AGEAZwBlACAAIAAgACAAIAAgACAAIACSISgAUgBlAHEAdQBpAHIAZQBkACkAIABBAHMAcwBlAHQAJwBzACAAdgBhAGwAdQBlACAAYQBuAGQAIABlAG4AZAAgAG8AZgAgAGwAaQBmAGUAtgBcACIAIAAmACAAXABuACAAIAAgACAAIAAgACAAIAAgACAAIAAgACAAIAAgACAAIAAgACAAIAAgACAAIAAgACAAIAAgACAAXAAiAEwAaQBmAGUAIAAgACAAIAAgACAAIAAgACAAIAAgAJIhKABSAGUAcQB1AGkAcgBlAGQAKQAgAEEAcwBzAGUAdAAnAHMAIAB1AHMAZQBmAHUAbAAgAGwAaQBmAGUAIABpAG4AIAB5AGUAYQByAHMALgC2AFwAIgAgACYAIABcAG4AIAAgACAAIAAgACAAIAAgACAAIAAgACAAIAAgACAAIAAgACAAIAAgACAAIAAgACAAIAAgACAAIABcACIARQBYAEEATQBQAEwARQBTADoAIAAgACAAIAAgACAAkiG2AFwAIgAgACYAXABuACAAIAAgACAAIAAgACAAIAAgACAAIAAgACAAIAAgACAAIAAgACAAIAAgACAAIAAgACAAIAAgACAAIAAgACAAIAAgACAAIAAgACAAIAAgACAAIAAgACAAXAAiAJIhRgBvAHIAbQB1AGwAYQAgACgAQgBYAEYAIABpAHMAIABhAHMAcwB1AG0AZQBkACAAdABvACAAYgBlACAAdABoAGUAIABtAG8AZAB1AGwAZQAnAHMAIABuAGEAbQBlACkAtgBcACIAIAAmAFwAbgAgACAAIAAgACAAIAAgACAAIAAgACAAIAAgACAAIAAgACAAIAAgACAAIAAgACAAIAAgACAAIAAgACAAIAAgACAAIAAgACAAIAAgACAAIAAgACAAIAAgAFwAIgCSIT0AQgBYAEYALgBTAEwATgC7AygAMQAwADAAMAAsACAAMQAwADAALAAgADUAKQC2AFwAIgAgACYAXABuACAAIAAgACAAIAAgACAAIAAgACAAIAAgACAAIAAgACAAIAAgACAAIAAgACAAIAAgACAAIAAgACAAIAAgACAAIAAgACAAIAAgACAAIAAgACAAIAAgACAAXAAiAJIhUgBlAHMAdQBsAHQAtgBcACIAIAAmAFwAbgAgACAAIAAgACAAIAAgACAAIAAgACAAIAAgACAAIAAgACAAIAAgACAAIAAgACAAIAAgACAAIAAgACAAIAAgACAAIAAgACAAIAAgACAAIAAgACAAIAAgAFwAIgCSITEAOAAwACwAMQA4ADAALAAxADgAMAAsADEAOAAwACwAMQA4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bwBzAHQAKQAsAFwAbgAgACAAIAAgACAAIAAgACAAIAAgACAAIAAgACAAIAAgACAAIAAgACAAIAAgACAAIAAgACAAIAAgAEkAUwBPAE0ASQBUAFQARQBEACgAIABTAGEAbAB2AGEAZwBlACkALABcAG4AIAAgACAAIAAgACAAIAAgACAAIAAgACAAIAAgACAAIAAgACAAIAAgACAAIAAgACAAIAAgACAAIABJAFMATwBNAEkAVABUAEUARAAoACAATABpAGYAZQApAFwAbgAgACAAIAAgACAAIAAgACAAIAAgACAAIAAgACAAIAAgACAAIAAgACAAIAAgACAAIAApACwAXABuACAAIAAgACAALwAvACAAIABQAHIAbwBjAGUAZAB1AHIAZQBcAG4AIAAgACAAIAAgACAAIAAgAEQAZQBwAG4ALAAgACAAIAAgACAAIAAgACAAIAAgACAAUwBMAE4AKABDAG8AcwB0ACwAIABTAGEAbAB2AGEAZwBlACwAIABMAGkAZgBlACkALABcAG4AIAAgACAAIAAgACAAIAAgAFIAZQBzAHUAbAB0ACwAIAAgACAAIAAgACAAIAAgACAARQBYAFAAQQBOAEQAKABEAGUAcABuACwAIAAxACwAIABMAGkAZgBlACwAIABEAGUAcABuACkALABcAG4AIAAgACAAIAAvAC8AIAAgAFIAZQB0AHUAcgBuACAAUgBlAHMAdQBsAHQAIABvAHIAIABIAGUAbABwAFwAbgAgACAAIAAgACAAIAAgACAAQwBIAE8ATwBTAEUAKAAgAEgAZQBsAHAAPwAgACsAIAAxACwAIABSAGUAcwB1AGwAdAAsACAASABlAGwAcAApAFwAbgAgACAAIAAgACkAXABuACkAOwBcAG4AXABuAFwAbgAvACoAIAAgAEYAVQBOAEMAVABJAE8ATgAgAE4AQQBNAEUAOgAgACAAUwBZAEQAuwNcAG4AIAAgACAAIABEAEUAUwBDAFIASQBQAFQASQBPAE4AOgAqAC8ALwAqACoAUwB1AG0ALQBvAGYALQB5AGUAYQByAHMAJwAgAGQAaQBnAGkAdABzACAAZABlAHAAcgBlAGMAaQBhAHQAaQBvAG4AIABtAGUAdABoAG8AZAAgAGYAbwByACAAbwBuAGUAIABhAHMAcwBlAHQAIABvAHIAIABhAHMAcwBlAHQAIABjAGwAYQBzAHMALgAqAC8AXABuAC8AKgAgACAAUgBFAFYASQBTAEkATwBOAFMAOgAgACAAIAAgACAAIABEAGEAdABlACAAIAAgACAAIAAgACAAIABEAGUAdgBlAGwAbwBwAGUAcgAgACAAIAAgACAAIAAgAEQAZQBzAGMAcgBpAHAAdABpAG8AbgAgACAAXABuACAAIAAgACAAIAAgACAAIAAgACAAIAAgACAAIAAgACAAIAAgACAAIABBAHAAcgAgADEANwAgADIAMAAyADQAIABDAHIAYQBpAGcAIABIAGEAdABtAGEAawBlAHIAIAAgAEMAbwBwAHkAcgBpAGcAaAB0AFwAbgAqAC8AXABuAFMAWQBEALsDIAA9ACAATABBAE0AQgBEAEEAKABcAG4ALwAvACAAIABQAGEAcgBhAG0AZQB0AGUAcgAgAEQAZQBjAGwAYQByAGEAdABpAG8AbgBcAG4AIAAgACAAIABbAEMAbwBzAHQAXQAsAFwAbgAgACAAIAAgAFsAUwBhAGwAdgBhAGcAZQBdACwAIABcAG4AIAAgACAAIABbAEwAaQBmAGUAXQAsACA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UwBZAEQAuwMoAEMAbwBzAHQALAAgAFMAYQBsAHYAYQBnAGUALAAgAEwAaQBmAGUAKQC2AFwAIgAgACYAXABuACAAIAAgACAAIAAgACAAIAAgACAAIAAgACAAIAAgACAAIAAgACAAIAAgACAAIAAgACAAIAAgACAAXAAiAEQARQBTAEMAUgBJAFAAVABJAE8ATgA6ACAAIAAgAJIhUwB1AG0ALQBvAGYALQB5AGUAYQByAHMAJwAgAGQAaQBnAGkAdABzACAAZABlAHAAcgBlAGMAaQBhAHQAaQBvAG4AIABtAGUAdABoAG8AZAAgAGYAbwByACAAbwBuAGUAIABhAHMAcwBlAHQAIABvAHIAIABhAHMAcwBlAHQAIABjAGwAYQBzAHMALgC2AFwAIgAgACYAXABuACAAIAAgACAAIAAgACAAIAAgACAAIAAgACAAIAAgACAAIAAgACAAIAAgACAAIAAgACAAIAAgACAAXAAiAFcARQBCAFAAQQBHAEUAOgAgACAAIAAgACAAIAAgAJIhPABjAG8AbQBpAG4AZwAgAHMAbwBvAG4APgC2AFwAIgAgACYAIABcAG4AIAAgACAAIAAgACAAIAAgACAAIAAgACAAIAAgACAAIAAgACAAIAAgACAAIAAgACAAIAAgACAAIABcACIAVgBFAFIAUwBJAE8ATgA6ACAAIAAgACAAIAAgACAAkiFBAHAAcgAgADEANwAgADIAMAAyADQAtgBcACIAIAAmAFwAbgAgACAAIAAgACAAIAAgACAAIAAgACAAIAAgACAAIAAgACAAIAAgACAAIAAgACAAIAAgACAAIAAgAFwAIgBQAEEAUgBBAE0ARQBUAEUAUgBTADoAIAAgACAAIACSIbYAXAAiACAAJgAgAFwAbgAgACAAIAAgACAAIAAgACAAIAAgACAAIAAgACAAIAAgACAAIAAgACAAIAAgACAAIAAgACAAIAAgAFwAIgBDAG8AcwB0ACAAIAAgACAAIAAgACAAIAAgACAAIACSISgAUgBlAHEAdQBpAHIAZQBkACkAIABBAHMAcwBlAHQAJwBzACAAaQBuAGkAdABpAGEAbAAgAGMAbwBzAHQALgC2AFwAIgAgACYAIAAgACAAIAAgACAAIAAgACAAIAAgACAAIAAgACAAIAAgACAAIABcAG4AIAAgACAAIAAgACAAIAAgACAAIAAgACAAIAAgACAAIAAgACAAIAAgACAAIAAgACAAIAAgACAAIABcACIAUwBhAGwAdgBhAGcAZQAgACAAIAAgACAAIAAgACAAkiEoAFIAZQBxAHUAaQByAGUAZAApACAAQQBzAHMAZQB0ACcAcwAgAHYAYQBsAHUAZQAgAGEAbgBkACAAZQBuAGQAIABvAGYAIABsAGkAZgBlALYAXAAiACAAJgAgAFwAbgAgACAAIAAgACAAIAAgACAAIAAgACAAIAAgACAAIAAgACAAIAAgACAAIAAgACAAIAAgACAAIAAgAFwAIgBMAGkAZgBlACAAIAAgACAAIAAgACAAIAAgACAAIACSISgAUgBlAHEAdQBpAHIAZQBkACkAIABBAHMAcwBlAHQAJwBzACAAdQBzAGUAZgB1AGwAIABsAGkAZgBlACAAaQBuACAAeQBlAGEAcgBz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EIAWABGACAAaQBzACAAYQBzAHMAdQBtAGUAZAAgAHQAbwAgAGIAZQAgAHQAaABlACAAbQBvAGQAdQBsAGUAJwBzACAAbgBhAG0AZQApALYAXAAiACAAJgBcAG4AIAAgACAAIAAgACAAIAAgACAAIAAgACAAIAAgACAAIAAgACAAIAAgACAAIAAgACAAIAAgACAAIAAgACAAIAAgACAAIAAgACAAIAAgACAAIAAgACAAIABcACIAkiE9AEIAWABGAC4AUwBZAEQAuwMoADEAMAAwADAALAAgADEAMAAwACwAIAA1ACkAtgBcACIAIAAmAFwAbgAgACAAIAAgACAAIAAgACAAIAAgACAAIAAgACAAIAAgACAAIAAgACAAIAAgACAAIAAgACAAIAAgACAAIAAgACAAIAAgACAAIAAgACAAIAAgACAAIAAgAFwAIgCSIVIAZQBzAHUAbAB0ALYAXAAiACAAJgBcAG4AIAAgACAAIAAgACAAIAAgACAAIAAgACAAIAAgACAAIAAgACAAIAAgACAAIAAgACAAIAAgACAAIAAgACAAIAAgACAAIAAgACAAIAAgACAAIAAgACAAIABcACIAkiEzADAAMAAsADIANAAwACwAMQA4ADAALAAxADIAMAAsADYAMA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wBvAHMAdAApACwAXABuACAAIAAgACAAIAAgACAAIAAgACAAIAAgACAAIAAgACAAIAAgACAAIAAgACAAIAAgACAAIAAgACAASQBTAE8ATQBJAFQAVABFAEQAKAAgAFMAYQBsAHYAYQBnAGUAKQAsAFwAbgAgACAAIAAgACAAIAAgACAAIAAgACAAIAAgACAAIAAgACAAIAAgACAAIAAgACAAIAAgACAAIAAgAEkAUwBPAE0ASQBUAFQARQBEACgAIABMAGkAZgBlACkAXABuACAAIAAgACAAIAAgACAAIAAgACAAIAAgACAAIAAgACAAIAAgACAAIAAgACAAIAAgACkALABcAG4AIAAgACAAIAAvAC8AIAAgAFAAcgBvAGMAZQBkAHUAcgBlAFwAbgAgACAAIAAgACAAIAAgACAAUgBlAHMAdQBsAHQALAAgACAAIAAgACAAIAAgACAAUwBZAEQAKABDAG8AcwB0ACwAIABTAGEAbAB2AGEAZwBlACwAIABMAGkAZgBlACwAIABTAEUAUQBVAEUATgBDAEUAKAAgACwAIABMAGkAZgBlACkAKQAsAFwAbgAgACAAIAAgAC8ALwAgACAAUgBlAHQAdQByAG4AIABSAGUAcwB1AGwAdAAgAG8AcgAgAEgAZQBsAHAAXABuACAAIAAgACAAIAAgACAAIABDAEgATwBPAFMARQAoACAASABlAGwAcAA/ACAAKwAgADEALAAgAFIAZQBzAHUAbAB0ACwAIABIAGUAbABwACkAXABuACAAIAAgACAAKQBcAG4AKQA7AFwAbgBcAG4AXABuAFwAbgAvACoAIAAgAEYAVQBOAEMAVABJAE8ATgAgAE4AQQBNAEUAOgAgACAARABCALsDXABuACAAIAAgACAARABFAFMAQwBSAEkAUABUAEkATwBOADoAKgAvAC8AKgAqAEYAaQB4AGUAZAAgAGQAZQBjAGwAaQBuAGkAbgBnACAAYgBhAGwAYQBuAGMAZQAgAGQAZQBwAHIAZQBjAGkAYQB0AGkAbwBuACAAbQBlAHQAaABvAGQAIABmAG8AcgAgAG8AbgBlACAAYQBzAHMAZQB0ACAAbwByACAAYQBzAHMAZQB0ACAAYwBsAGEAcwBzAC4AKgAvAFwAbgAvACoAIAAgAFIARQBWAEkAUwBJAE8ATgBTADoAIAAgACAAIAAgACAARABhAHQAZQAgACAAIAAgACAAIAAgACAARABlAHYAZQBsAG8AcABlAHIAIAAgACAAIAAgACAAIABEAGUAcwBjAHIAaQBwAHQAaQBvAG4AIAAgAFwAbgAgACAAIAAgACAAIAAgACAAIAAgACAAIAAgACAAIAAgACAAIAAgACAAQQBwAHIAIAAxADcAIAAyADAAMgA0ACAAQwByAGEAaQBnACAASABhAHQAbQBhAGsAZQByACAAIABDAG8AcAB5AHIAaQBnAGgAdABcAG4AKgAvAFwAbgBEAEIAuwMgAD0AIABMAEEATQBCAEQAQQAoAFwAbgAvAC8AIAAgAFAAYQByAGEAbQBlAHQAZQByACAARABlAGMAbABhAHIAYQB0AGkAbwBuAFwAbgAgACAAIAAgAFsAQwBvAHMAdABdACwAXABuACAAIAAgACAAWwBTAGEAbAB2AGEAZwBlAF0ALAAgAFwAbgAgACAAIAAgAFsATABpAGYAZQBdACwAIABcAG4AIAAgACAAIABbAE0AbwBuAHQAaABzAF0AL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EAEIAuwMoAEMAbwBzAHQALAAgAFMAYQBsAHYAYQBnAGUALAAgAEwAaQBmAGUALAAgAFsATQBvAG4AdABoAF0AKQC2AFwAIgAgACYAXABuACAAIAAgACAAIAAgACAAIAAgACAAIAAgACAAIAAgACAAIAAgACAAIAAgACAAIAAgACAAIAAgACAAXAAiAEQARQBTAEMAUgBJAFAAVABJAE8ATgA6ACAAIAAgAJIhRgBpAHgAZQBkACAAZABlAGMAbABpAG4AaQBuAGcAIABiAGEAbABhAG4AYwBlACAAZABlAHAAcgBlAGMAaQBhAHQAaQBvAG4AIABtAGUAdABoAG8AZAAgAGYAbwByACAAbwBuAGUAIABhAHMAcwBlAHQAIABvAHIAIABhAHMAcwBlAHQAIABjAGwAYQBzAHMAtgBcACIAIAAmAFwAbgAgACAAIAAgACAAIAAgACAAIAAgACAAIAAgACAAIAAgACAAIAAgACAAIAAgACAAIAAgACAAIAAgAFwAIgBXAEUAQgBQAEEARwBFADoAIAAgACAAIAAgACAAIACSITwAYwBvAG0AaQBuAGcAIABzAG8AbwBuAD4AtgBcACIAIAAmACAAXABuACAAIAAgACAAIAAgACAAIAAgACAAIAAgACAAIAAgACAAIAAgACAAIAAgACAAIAAgACAAIAAgACAAXAAiAFYARQBSAFMASQBPAE4AOgAgACAAIAAgACAAIAAgAJIhQQBwAHIAIAAxADcAIAAyADAAMgA0ALYAXAAiACAAJgBcAG4AIAAgACAAIAAgACAAIAAgACAAIAAgACAAIAAgACAAIAAgACAAIAAgACAAIAAgACAAIAAgACAAIABcACIAUABBAFIAQQBNAEUAVABFAFIAUwA6ACAAIAAgACAAkiG2AFwAIgAgACYAIABcAG4AIAAgACAAIAAgACAAIAAgACAAIAAgACAAIAAgACAAIAAgACAAIAAgACAAIAAgACAAIAAgACAAIABcACIAQwBvAHMAdAAgACAAIAAgACAAIAAgACAAIAAgACAAkiEoAFIAZQBxAHUAaQByAGUAZAApACAAQQBzAHMAZQB0ACcAcwAgAGkAbgBpAHQAaQBhAGwAIABjAG8AcwB0AC4AtgBcACIAIAAmACAAIAAgACAAIAAgACAAIAAgACAAIAAgACAAIAAgACAAIAAgACAAXABuACAAIAAgACAAIAAgACAAIAAgACAAIAAgACAAIAAgACAAIAAgACAAIAAgACAAIAAgACAAIAAgACAAXAAiAFMAYQBsAHYAYQBnAGUAIAAgACAAIAAgACAAIAAgAJIhKABSAGUAcQB1AGkAcgBlAGQAKQAgAEEAcwBzAGUAdAAnAHMAIAB2AGEAbAB1AGUAIABhAG4AZAAgAGUAbgBkACAAbwBmACAAbABpAGYAZQAuACAAUwBhAGwAdgBhAGcAZQAgAGMAYQBuAG4AbwB0ACAAYgBlACAAMAAuALYAXAAiACAAJgAgAFwAbgAgACAAIAAgACAAIAAgACAAIAAgACAAIAAgACAAIAAgACAAIAAgACAAIAAgACAAIAAgACAAIAAgAFwAIgBMAGkAZgBlACAAIAAgACAAIAAgACAAIAAgACAAIACSISgAUgBlAHEAdQBpAHIAZQBkACkAIABBAHMAcwBlAHQAJwBzACAAdQBzAGUAZgB1AGwAIABsAGkAZgBlACAAaQBuACAAeQBlAGEAcgBzAC4AtgBcACIAIAAmACAAXABuACAAIAAgACAAIAAgACAAIAAgACAAIAAgACAAIAAgACAAIAAgACAAIAAgACAAIAAgACAAIAAgACAAXAAiAE0AbwBuAHQAaABzACAAIAAgACAAIAAgACAAIAAgAJIhKABPAHAAdABpAG8AbgBhAGwAKQAgAE4AdQBtAGIAZQByACAAbwBmACAAbQBvAG4AdABoAHMAIABpAG4AIAB0AGgAZQAgAGYAaQByAHMAdAAgAHkAZQBhAHIAIAB0AG8AIABkAGUAcAByAGUAYwBpAGEAdABl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EIAWABGACAAaQBzACAAYQBzAHMAdQBtAGUAZAAgAHQAbwAgAGIAZQAgAHQAaABlACAAbQBvAGQAdQBsAGUAJwBzACAAbgBhAG0AZQApALYAXAAiACAAJgBcAG4AIAAgACAAIAAgACAAIAAgACAAIAAgACAAIAAgACAAIAAgACAAIAAgACAAIAAgACAAIAAgACAAIAAgACAAIAAgACAAIAAgACAAIAAgACAAIAAgACAAIABcACIAkiE9AEIAWABGAC4ARABCALsDKAAxADAAMAAwACwAIAAxADAAMAAsACAANQApALYAXAAiACAAJgBcAG4AIAAgACAAIAAgACAAIAAgACAAIAAgACAAIAAgACAAIAAgACAAIAAgACAAIAAgACAAIAAgACAAIAAgACAAIAAgACAAIAAgACAAIAAgACAAIAAgACAAIABcACIAkiFSAGUAcwB1AGwAdAC2AFwAIgAgACYAXABuACAAIAAgACAAIAAgACAAIAAgACAAIAAgACAAIAAgACAAIAAgACAAIAAgACAAIAAgACAAIAAgACAAIAAgACAAIAAgACAAIAAgACAAIAAgACAAIAAgACAAXAAiAJIhMwA2ADkALgAwADAALAAyADMAMgAuADgANAAsADEANAA2AC4AOQAyACwAOQAyAC4ANwAxACwANQA4AC4ANQAzAFwAIgAsACA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/ACwAIAAgACAAIAAgACAAIAAgACAAIABPAFIAKAAgAEkAUwBPAE0ASQBUAFQARQBEACgAIABDAG8AcwB0ACkALABcAG4AIAAgACAAIAAgACAAIAAgACAAIAAgACAAIAAgACAAIAAgACAAIAAgACAAIAAgACAAIAAgACAAIABJAFMATwBNAEkAVABUAEUARAAoACAAUwBhAGwAdgBhAGcAZQApACwAXABuACAAIAAgACAAIAAgACAAIAAgACAAIAAgACAAIAAgACAAIAAgACAAIAAgACAAIAAgACAAIAAgACAASQBTAE8ATQBJAFQAVABFAEQAKAAgAEwAaQBmAGUAKQBcAG4AIAAgACAAIAAgACAAIAAgACAAIAAgACAAIAAgACAAIAAgACAAIAAgACAAIAAgACAAKQAsAFwAbgAgACAAIAAgAC8ALwAgACAAUwBlAHQAIABkAGUAZgBhAHUAbAB0AHMAIABmAG8AcgAgAG8AcAB0AGkAbwBuAGEAbAAgAHYAYQBsAHUAZQBzAFwAbgAgACAAIAAgACAAIAAgACAATQBvAG4AdABoAHMALAAgACAAIAAgACAAIAAgACAAIABJAEYAKAAgAEkAUwBPAE0ASQBUAFQARQBEACgAIABNAG8AbgB0AGgAcwApACwAIAAxADIALAAgAE0AbwBuAHQAaABzACkALABcAG4AIAAgACAAIAAvAC8AIAAgAFAAcgBvAGMAZQBkAHUAcgBlAFwAbgAgACAAIAAgACAAIAAgACAARABlAHAAbgAsACAAIAAgACAAIAAgACAAIAAgACAAIABEAEIAKAAgAEMAbwBzAHQALAAgAFMAYQBsAHYAYQBnAGUALAAgAEwAaQBmAGUALAAgAFMARQBRAFUARQBOAEMARQAoACAALAAgAEwAaQBmAGUAIAAtACAAMQAgACkALAAgAE0AbwBuAHQAaABzACkALAAgACAAIABcAG4AIAAgACAAIAAgACAAIAAgAFIAZQBzAHUAbAB0ACwAIAAgACAAIAAgACAAIAAgACAASABTAFQAQQBDAEsAKAAgAEQAZQBwAG4ALAAgAEMAbwBzAHQAIAAtACAAUwB1AG0AKABEAGUAcABuACkAIAAtACAAUwBhAGwAdgBhAGcAZQApACwAXABuACAAIAAgACAALwAvACAAIABSAGUAdAB1AHIAbgAgAFIAZQBzAHUAbAB0ACAAbwByACAASABlAGwAcABcAG4AIAAgACAAIAAgACAAIAAgAEMASABPAE8AUwBFACgAIABIAGUAbABwAD8AIAArACAAMQAsACAAUgBlAHMAdQBsAHQALAAgAEgAZQBsAHAAKQBcAG4AIAAgACAAIAApAFwAbgApADsAXABuAFwAbgBcAG4AXABuAC8AKgAgACAARgBVAE4AQwBUAEkATwBOACAATgBBAE0ARQA6ACAAIABEAEQAQgC7A1wAbgAgACAAIAAgAEQARQBTAEMAUgBJAFAAVABJAE8ATgA6ACoALwAvACoAKgBEAG8AdQBiAGwAZQAtAGQAZQBjAGwAaQBuAGkAbgBnACAAYgBhAGwAYQBuAGMAZQAgAGQAZQBwAHIAZQBjAGkAYQB0AGkAbwBuACAAbQBlAHQAaABvAGQAIABmAG8AcgAgAG8AbgBlACAAYQBzAHMAZQB0ACAAbwByACAAYQBzAHMAZQB0ACAAYwBsAGEAcwBzAC4AKgAvAFwAbgAvACoAIAAgAFIARQBWAEkAUwBJAE8ATgBTADoAIAAgACAAIAAgACAARABhAHQAZQAgACAAIAAgACAAIAAgACAARABlAHYAZQBsAG8AcABlAHIAIAAgACAAIAAgACAAIABEAGUAcwBjAHIAaQBwAHQAaQBvAG4AIAAgAFwAbgAgACAAIAAgACAAIAAgACAAIAAgACAAIAAgACAAIAAgACAAIAAgACAAQQBwAHIAIAAxADcAIAAyADAAMgA0ACAAQwByAGEAaQBnACAASABhAHQAbQBhAGsAZQByACAAIABDAG8AcAB5AHIAaQBnAGgAdABcAG4AKgAvAFwAbgBEAEQAQgC7AyAAPQAgAEwAQQBNAEIARABBACgAXABuAC8ALwAgACAAUABhAHIAYQBtAGUAdABlAHIAIABEAGUAYwBsAGEAcgBhAHQAaQBvAG4AXABuACAAIAAgACAAWwBDAG8AcwB0AF0ALABcAG4AIAAgACAAIABbAFMAYQBsAHYAYQBnAGUAXQAsACAAXABuACAAIAAgACAAWwBMAGkAZgBlAF0ALAAgAFwAbgAgACAAIAAgAFsARgBhAGMAdABvAHIAXQAs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UQAQgC7AygAQwBvAHMAdAAsACAAUwBhAGwAdgBhAGcAZQAsACAATABpAGYAZQAsACAAWwBGAGEAYwB0AG8AcgBdACkAtgBcACIAIAAmAFwAbgAgACAAIAAgACAAIAAgACAAIAAgACAAIAAgACAAIAAgACAAIAAgACAAIAAgACAAIAAgACAAIAAgAFwAIgBEAEUAUwBDAFIASQBQAFQASQBPAE4AOgAgACAAIACSIUQAbwB1AGIAbABlAC0AZABlAGMAbABpAG4AaQBuAGcAIABiAGEAbABhAG4AYwBlACAAZABlAHAAcgBlAGMAaQBhAHQAaQBvAG4AIABtAGUAdABoAG8AZAAgAGYAbwByACAAbwBuAGUAIABhAHMAcwBlAHQAIABvAHIAIABhAHMAcwBlAHQAIABjAGwAYQBzAHMALgC2AFwAIgAgACYAXABuACAAIAAgACAAIAAgACAAIAAgACAAIAAgACAAIAAgACAAIAAgACAAIAAgACAAIAAgACAAIAAgACAAXAAiAFcARQBCAFAAQQBHAEUAOgAgACAAIAAgACAAIAAgAJIhPABjAG8AbQBpAG4AZwAgAHMAbwBvAG4APgC2AFwAIgAgACYAIABcAG4AIAAgACAAIAAgACAAIAAgACAAIAAgACAAIAAgACAAIAAgACAAIAAgACAAIAAgACAAIAAgACAAIABcACIAVgBFAFIAUwBJAE8ATgA6ACAAIAAgACAAIAAgACAAkiFBAHAAcgAgADEANwAgADIAMAAyADQAtgBcACIAIAAmAFwAbgAgACAAIAAgACAAIAAgACAAIAAgACAAIAAgACAAIAAgACAAIAAgACAAIAAgACAAIAAgACAAIAAgAFwAIgBQAEEAUgBBAE0ARQBUAEUAUgBTADoAIAAgACAAIACSIbYAXAAiACAAJgAgAFwAbgAgACAAIAAgACAAIAAgACAAIAAgACAAIAAgACAAIAAgACAAIAAgACAAIAAgACAAIAAgACAAIAAgAFwAIgBDAG8AcwB0ACAAIAAgACAAIAAgACAAIAAgACAAIACSISgAUgBlAHEAdQBpAHIAZQBkACkAIABBAHMAcwBlAHQAJwBzACAAaQBuAGkAdABpAGEAbAAgAGMAbwBzAHQALgC2AFwAIgAgACYAIAAgACAAIAAgACAAIAAgACAAIAAgACAAIAAgACAAIAAgACAAIABcAG4AIAAgACAAIAAgACAAIAAgACAAIAAgACAAIAAgACAAIAAgACAAIAAgACAAIAAgACAAIAAgACAAIABcACIAUwBhAGwAdgBhAGcAZQAgACAAIAAgACAAIAAgACAAkiEoAFIAZQBxAHUAaQByAGUAZAApACAAQQBzAHMAZQB0ACcAcwAgAHYAYQBsAHUAZQAgAGEAbgBkACAAZQBuAGQAIABvAGYAIABsAGkAZgBlAC4AIABTAGEAbAB2AGEAZwBlACAAYwBhAG4AbgBvAHQAIABiAGUAIAAwAC4AtgBcACIAIAAmACAAXABuACAAIAAgACAAIAAgACAAIAAgACAAIAAgACAAIAAgACAAIAAgACAAIAAgACAAIAAgACAAIAAgACAAXAAiAEwAaQBmAGUAIAAgACAAIAAgACAAIAAgACAAIAAgAJIhKABSAGUAcQB1AGkAcgBlAGQAKQAgAEEAcwBzAGUAdAAnAHMAIAB1AHMAZQBmAHUAbAAgAGwAaQBmAGUAIABpAG4AIAB5AGUAYQByAHMALgC2AFwAIgAgACYAIABcAG4AIAAgACAAIAAgACAAIAAgACAAIAAgACAAIAAgACAAIAAgACAAIAAgACAAIAAgACAAIAAgACAAIABcACIARgBhAGMAdABvAHIAIAAgACAAIAAgACAAIAAgACAAkiEoAE8AcAB0AGkAbwBuAGEAbAAgAEQAZQBmAGEAdQBsAHQAPQAyACkAIABSAGEAdABlACAAYQB0ACAAdwBoAGkAYwBoACAAdABoAGUAIABiAGEAbABhAG4AYwBlACAAZABlAGMAbABpAG4AZQBz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EIAWABGACAAaQBzACAAYQBzAHMAdQBtAGUAZAAgAHQAbwAgAGIAZQAgAHQAaABlACAAbQBvAGQAdQBsAGUAJwBzACAAbgBhAG0AZQApALYAXAAiACAAJgBcAG4AIAAgACAAIAAgACAAIAAgACAAIAAgACAAIAAgACAAIAAgACAAIAAgACAAIAAgACAAIAAgACAAIAAgACAAIAAgACAAIAAgACAAIAAgACAAIAAgACAAIABcACIAkiE9AEIAWABGAC4ARABEAEIAuwMoADEAMAAwADAALAAgADEAMAAwACwAIAA1ACkAtgBcACIAIAAmAFwAbgAgACAAIAAgACAAIAAgACAAIAAgACAAIAAgACAAIAAgACAAIAAgACAAIAAgACAAIAAgACAAIAAgACAAIAAgACAAIAAgACAAIAAgACAAIAAgACAAIAAgAFwAIgCSIVIAZQBzAHUAbAB0ALYAXAAiACAAJgBcAG4AIAAgACAAIAAgACAAIAAgACAAIAAgACAAIAAgACAAIAAgACAAIAAgACAAIAAgACAAIAAgACAAIAAgACAAIAAgACAAIAAgACAAIAAgACAAIAAgACAAIABcACIAkiE0ADAAMAAuADAAMAAsADIANAAwAC4AMAAwACwAMQA0ADQALgAwADAALAA4ADYALgA0ADAALAAyADkALgA2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bwBzAHQAKQAsAFwAbgAgACAAIAAgACAAIAAgACAAIAAgACAAIAAgACAAIAAgACAAIAAgACAAIAAgACAAIAAgACAAIAAgAEkAUwBPAE0ASQBUAFQARQBEACgAIABTAGEAbAB2AGEAZwBlACkALABcAG4AIAAgACAAIAAgACAAIAAgACAAIAAgACAAIAAgACAAIAAgACAAIAAgACAAIAAgACAAIAAgACAAIABJAFMATwBNAEkAVABUAEUARAAoACAATABpAGYAZQApAFwAbgAgACAAIAAgACAAIAAgACAAIAAgACAAIAAgACAAIAAgACAAIAAgACAAIAAgACAAIAApACwAXABuACAAIAAgACAALwAvACAAIABTAGUAdAAgAGQAZQBmAGEAdQBsAHQAcwAgAGYAbwByACAAbwBwAHQAaQBvAG4AYQBsACAAdgBhAGwAdQBlAHMAXABuACAAIAAgACAAIAAgACAAIABGAGEAYwB0AG8AcgAsACAAIAAgACAAIAAgACAAIAAgAEkARgAoACAASQBTAE8ATQBJAFQAVABFAEQAKAAgAEYAYQBjAHQAbwByACkALAAgADIALAAgAEYAYQBjAHQAbwByACkALABcAG4AIAAgACAAIAAvAC8AIAAgAFAAcgBvAGMAZQBkAHUAcgBlAFwAbgAgACAAIAAgACAAIAAgACAARABlAHAAbgAsACAAIAAgACAAIAAgACAAIAAgACAAIABEAEQAQgAoACAAQwBvAHMAdAAsACAAUwBhAGwAdgBhAGcAZQAsACAATABpAGYAZQAsACAAUwBFAFEAVQBFAE4AQwBFACgAIAAsACAATABpAGYAZQAgAC0AMQApACwAIABGAGEAYwB0AG8AcgApACwAIAAgACAAXABuACAAIAAgACAAIAAgACAAIABSAGUAcwB1AGwAdAAsACAAIAAgACAAIAAgACAAIAAgAEgAUwBUAEEAQwBLACgAIABEAGUAcABuACwAIABDAG8AcwB0ACAALQAgAFMAdQBtACgARABlAHAAbgApACAALQAgAFMAYQBsAHYAYQBnAGUAKQAsAFwAbgAgACAAIAAgAC8ALwAgACAAUgBlAHQAdQByAG4AIABSAGUAcwB1AGwAdAAgAG8AcgAgAEgAZQBsAHAAXABuACAAIAAgACAAIAAgACAAIABDAEgATwBPAFMARQAoACAASABlAGwAcAA/ACAAKwAgADEALAAgAFIAZQBzAHUAbAB0ACwAIABIAGUAbABwACkAXABuACAAIAAgACAAKQBcAG4AKQA7AFwAbgBcAG4AXABuAFwAbgAvACoAIAAgAEYAVQBOAEMAVABJAE8ATgAgAE4AQQBNAEUAOgAgACAAVgBEAEIAuwNcAG4AIAAgACAAIABEAEUAUwBDAFIASQBQAFQASQBPAE4AOgAqAC8ALwAqACoAVgBhAHIAaQBhAGIAbABlACAAZABlAGMAbABpAG4AaQBuAGcAIABiAGEAbABhAG4AYwBlACAAZABlAHAAcgBlAGMAaQBhAHQAaQBvAG4AIABtAGUAdABoAG8AZAAgAGYAbwByACAAbwBuAGUAIABhAHMAcwBlAHQAIABvAHIAIABhAHMAcwBlAHQAIABjAGwAYQBzAHMALgAqAC8AXABuAC8AKgAgACAAUgBFAFYASQBTAEkATwBOAFMAOgAgACAAIAAgACAAIABEAGEAdABlACAAIAAgACAAIAAgACAAIABEAGUAdgBlAGwAbwBwAGUAcgAgACAAIAAgACAAIAAgAEQAZQBzAGMAcgBpAHAAdABpAG8AbgAgACAAXABuACAAIAAgACAAIAAgACAAIAAgACAAIAAgACAAIAAgACAAIAAgACAAIABBAHAAcgAgADEANwAgADIAMAAyADQAIABDAHIAYQBpAGcAIABIAGEAdABtAGEAawBlAHIAIAAgAEMAbwBwAHkAcgBpAGcAaAB0AFwAbgAqAC8AXABuAFYARABCALsDIAA9ACAATABBAE0AQgBEAEEAKABcAG4ALwAvACAAIABQAGEAcgBhAG0AZQB0AGUAcgAgAEQAZQBjAGwAYQByAGEAdABpAG8AbgBcAG4AIAAgACAAIABbAEMAbwBzAHQAXQAsAFwAbgAgACAAIAAgAFsAUwBhAGwAdgBhAGcAZQBdACwAIABcAG4AIAAgACAAIABbAEwAaQBmAGUAXQAsACAAXABuACAAIAAgACAAWwBGAGEAYwB0AG8AcgBdACwAXABuACAAIAAgACAAWwBOAG8AXwBTAHcAaQB0AGMAaABdACwAXABuACAAIAAgACAATABFAFQAKABcAG4AIAAgACAAIAAvAC8AIAAgAEgAZQBsAHAAXABuACAAIAAgACAAIAAgACAAIABIAGUAbABwACwAIAAgACAAIAAgACAAIAAgACAAIAAgAFQAUgBJAE0AKABUAEUAWABUAFMAUABMAEkAVAAoACAAXABuACAAIAAgACAAIAAgACAAIAAgACAAIAAgACAAIAAgACAAIAAgACAAIAAgACAAIAAgACAAIAAgACAAXAAiAEYAVQBOAEMAVABJAE8ATgA6ACAAIAAgACAAIAAgAJIhVgBEAEIAuwMoAEMAbwBzAHQALAAgAFMAYQBsAHYAYQBnAGUALAAgAEwAaQBmAGUALAAgAFsARgBhAGMAdABvAHIAXQAsACAAWwBOAG8AXwBTAHcAaQB0AGMAaABdACkAtgBcACIAIAAmAFwAbgAgACAAIAAgACAAIAAgACAAIAAgACAAIAAgACAAIAAgACAAIAAgACAAIAAgACAAIAAgACAAIAAgAFwAIgBEAEUAUwBDAFIASQBQAFQASQBPAE4AOgAgACAAIACSIVYAYQByAGkAYQBiAGwAZQAgAGQAZQBjAGwAaQBuAGkAbgBnACAAYgBhAGwAYQBuAGMAZQAgAGQAZQBwAHIAZQBjAGkAYQB0AGkAbwBuACAAbQBlAHQAaABvAGQAIABmAG8AcgAgAG8AbgBlACAAYQBzAHMAZQB0ACAAbwByACAAYQBzAHMAZQB0ACAAYwBsAGEAcwBzAC4AtgBcACIAIAAmAFwAbgAgACAAIAAgACAAIAAgACAAIAAgACAAIAAgACAAIAAgACAAIAAgACAAIAAgACAAIAAgACAAIAAgAFwAIgBXAEUAQgBQAEEARwBFADoAIAAgACAAIAAgACAAIACSITwAYwBvAG0AaQBuAGcAIABzAG8AbwBuAD4AtgBcACIAIAAmACAAXABuACAAIAAgACAAIAAgACAAIAAgACAAIAAgACAAIAAgACAAIAAgACAAIAAgACAAIAAgACAAIAAgACAAXAAiAFYARQBSAFMASQBPAE4AOgAgACAAIAAgACAAIAAgAJIhQQBwAHIAIAAxADcAIAAyADAAMgA0ALYAXAAiACAAJgBcAG4AIAAgACAAIAAgACAAIAAgACAAIAAgACAAIAAgACAAIAAgACAAIAAgACAAIAAgACAAIAAgACAAIABcACIAUABBAFIAQQBNAEUAVABFAFIAUwA6ACAAIAAgACAAkiG2AFwAIgAgACYAIABcAG4AIAAgACAAIAAgACAAIAAgACAAIAAgACAAIAAgACAAIAAgACAAIAAgACAAIAAgACAAIAAgACAAIABcACIAQwBvAHMAdAAgACAAIAAgACAAIAAgACAAIAAgACAAkiEoAFIAZQBxAHUAaQByAGUAZAApACAAQQBzAHMAZQB0ACcAcwAgAGkAbgBpAHQAaQBhAGwAIABjAG8AcwB0AC4AtgBcACIAIAAmACAAIAAgACAAIAAgACAAIAAgACAAIAAgACAAIAAgACAAIAAgACAAXABuACAAIAAgACAAIAAgACAAIAAgACAAIAAgACAAIAAgACAAIAAgACAAIAAgACAAIAAgACAAIAAgACAAXAAiAFMAYQBsAHYAYQBnAGUAIAAgACAAIAAgACAAIAAgAJIhKABSAGUAcQB1AGkAcgBlAGQAKQAgAEEAcwBzAGUAdAAnAHMAIAB2AGEAbAB1AGUAIABhAG4AZAAgAGUAbgBkACAAbwBmACAAbABpAGYAZQAuACAAUwBhAGwAdgBhAGcAZQAgAGMAYQBuAG4AbwB0ACAAYgBlACAAMAAuALYAXAAiACAAJgAgAFwAbgAgACAAIAAgACAAIAAgACAAIAAgACAAIAAgACAAIAAgACAAIAAgACAAIAAgACAAIAAgACAAIAAgAFwAIgBMAGkAZgBlACAAIAAgACAAIAAgACAAIAAgACAAIACSISgAUgBlAHEAdQBpAHIAZQBkACkAIABBAHMAcwBlAHQAJwBzACAAdQBzAGUAZgB1AGwAIABsAGkAZgBlACAAaQBuACAAeQBlAGEAcgBzAC4AtgBcACIAIAAmACAAXABuACAAIAAgACAAIAAgACAAIAAgACAAIAAgACAAIAAgACAAIAAgACAAIAAgACAAIAAgACAAIAAgACAAXAAiAEYAYQBjAHQAbwByACAAIAAgACAAIAAgACAAIAAgAJIhKABPAHAAdABpAG8AbgBhAGwAIABEAGUAZgBhAHUAbAB0AD0AMgApACAAUgBhAHQAZQAgAGEAdAAgAHcAaABpAGMAaAAgAHQAaABlACAAYgBhAGwAYQBuAGMAZQAgAGQAZQBjAGwAaQBuAGUAcwAuALYAXAAiACAAJgAgAFwAbgAgACAAIAAgACAAIAAgACAAIAAgACAAIAAgACAAIAAgACAAIAAgACAAIAAgACAAIAAgACAAIAAgAFwAIgBOAG8AXwBTAHcAaQB0AGMAaAAgACAAIAAgACAAIACSISgATwBwAHQAaQBvAG4AYQBsACAARABlAGYAYQB1AGwAdAA9AEYAQQBMAFMARQApACAAUwB3AGkAdABjAGgAIAB0AG8AIABzAHQAcgBhAGkAZwBoAHQALQBsAGkAbgBlACAAZABlAHAAcgBlAGMAaQBhAHQAaQBvAG4AIAB3AGgAZQBuALYAXAAiACAAJgAgAFwAbgAgACAAIAAgACAAIAAgACAAIAAgACAAIAAgACAAIAAgACAAIAAgACAAIAAgACAAIAAgACAAIAAgACAAIAAgACAAIAAgACAAIAAgACAAIAAgACAAIAAgAFwAIgCSISAAZABlAHAAcgBlAGMAaQBhAHQAaQBvAG4AIABpAHMAIABnAHIAZQBhAHQAZQByACAAdABoAGEAbgAgAHQAaABlACAAZABlAGMAbABpAG4AaQBuAGcAIABiAGEAbABhAG4AYwBlACAAYwBhAGwAYwB1AGwAYQB0AGkAbwBuAC4AtgBcACIAIAAmACAAXABuACAAIAAgACAAIAAgACAAIAAgACAAIAAgACAAIAAgACAAIAAgACAAIAAgACAAIAAgACAAIAAgACAAXAAiAEUAWABBAE0AUABMAEUAUwA6ACAAIAAgACAAIAAgAJIhtgBcACIAIAAmAFwAbgAgACAAIAAgACAAIAAgACAAIAAgACAAIAAgACAAIAAgACAAIAAgACAAIAAgACAAIAAgACAAIAAgACAAIAAgACAAIAAgACAAIAAgACAAIAAgACAAIAAgAFwAIgCSIUYAbwByAG0AdQBsAGEAIAAoAEIAWABGACAAaQBzACAAYQBzAHMAdQBtAGUAZAAgAHQAbwAgAGIAZQAgAHQAaABlACAAbQBvAGQAdQBsAGUAJwBzACAAbgBhAG0AZQApALYAXAAiACAAJgBcAG4AIAAgACAAIAAgACAAIAAgACAAIAAgACAAIAAgACAAIAAgACAAIAAgACAAIAAgACAAIAAgACAAIAAgACAAIAAgACAAIAAgACAAIAAgACAAIAAgACAAIABcACIAkiE9AEIAWABGAC4AVgBEAEIAuwMoADEAMAAwADAALAAgADEAMAAwACwAIAA1ACwAIAAxAC4ANQAsACAAVABSAFUARQApALYAXAAiACAAJgBcAG4AIAAgACAAIAAgACAAIAAgACAAIAAgACAAIAAgACAAIAAgACAAIAAgACAAIAAgACAAIAAgACAAIAAgACAAIAAgACAAIAAgACAAIAAgACAAIAAgACAAIABcACIAkiFSAGUAcwB1AGwAdAC2AFwAIgAgACYAXABuACAAIAAgACAAIAAgACAAIAAgACAAIAAgACAAIAAgACAAIAAgACAAIAAgACAAIAAgACAAIAAgACAAIAAgACAAIAAgACAAIAAgACAAIAAgACAAIAAgACAAXAAiAJIhMwAwADAALgAwADAALAAyADEAMAAuADAAMAAsADEANAA3AC4AMAAwACwAMQAyADEALgA1ADAALAAxADIAMQAuADUAMA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wBvAHMAdAApACwAXABuACAAIAAgACAAIAAgACAAIAAgACAAIAAgACAAIAAgACAAIAAgACAAIAAgACAAIAAgACAAIAAgACAASQBTAE8ATQBJAFQAVABFAEQAKAAgAFMAYQBsAHYAYQBnAGUAKQAsAFwAbgAgACAAIAAgACAAIAAgACAAIAAgACAAIAAgACAAIAAgACAAIAAgACAAIAAgACAAIAAgACAAIAAgAEkAUwBPAE0ASQBUAFQARQBEACgAIABMAGkAZgBlACkAXABuACAAIAAgACAAIAAgACAAIAAgACAAIAAgACAAIAAgACAAIAAgACAAIAAgACAAIAAgACkALABcAG4AIAAgACAAIAAvAC8AIAAgAFMAZQB0ACAAZABlAGYAYQB1AGwAdABzACAAZgBvAHIAIABvAHAAdABpAG8AbgBhAGwAIAB2AGEAbAB1AGUAcwBcAG4AIAAgACAAIAAgACAAIAAgAEYAYQBjAHQAbwByACwAIAAgACAAIAAgACAAIAAgACAASQBGACgAIABJAFMATwBNAEkAVABUAEUARAAoACAARgBhAGMAdABvAHIAKQAsACAAMgAsACAARgBhAGMAdABvAHIAKQAsAFwAbgAgACAAIAAgACAAIAAgACAATgBvAF8AUwB3AGkAdABjAGgALAAgACAAIAAgACAAIABJAEYAKAAgAEkAUwBPAE0ASQBUAFQARQBEACgAIABOAG8AXwBTAHcAaQB0AGMAaAApACwAIABGAEEATABTAEUALAAgAE4AbwBfAFMAdwBpAHQAYwBoACkALABcAG4AIAAgACAAIAAvAC8AIAAgAFAAcgBvAGMAZQBkAHUAcgBlAFwAbgAgACAAIAAgACAAIAAgACAAUgBlAHMAdQBsAHQALAAgACAAIAAgACAAIAAgACAAIABWAEQAQgAoACAAQwBvAHMAdAAsACAAUwBhAGwAdgBhAGcAZQAsACAATABpAGYAZQAsACAAUwBFAFEAVQBFAE4AQwBFACgAIAAsACAATABpAGYAZQAsACAAMAApACwAIABTAEUAUQBVAEUATgBDAEUAKAAgACwAIABMAGkAZgBlACkALAAgAEYAYQBjAHQAbwByACkALAAgACAAI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E0AQQBDAFIAUwC7A1wAbgAgACAAIAAgAEQARQBTAEMAUgBJAFAAVABJAE8ATgA6ACoALwAvACoAKgBNAG8AZABpAGYAaQBlAGQAIABBAGMAYwBlAGwAZQByAGEAdABlAGQAIABDAG8AcwB0ACAAUgBlAGMAbwB2AGUAcgB5ACAAUwB5AHMAdABlAG0AIABkAGUAcAByAGUAYwBpAGEAdABpAG8AbgAgAG0AZQB0AGgAbwBkACAAZgBvAHIAIABvAG4AZQAgAGEAcwBzAGUAdAAgAG8AcgAgAGEAcwBzAGUAdAAgAGMAbABhAHMAcwAuACoALwBcAG4ALwAqACAAIABSAEUAVgBJAFMASQBPAE4AUwA6ACAAIAAgACAAIAAgAEQAYQB0AGUAIAAgACAAIAAgACAAIAAgAEQAZQB2AGUAbABvAHAAZQByACAAIAAgACAAIAAgACAARABlAHMAYwByAGkAcAB0AGkAbwBuACAAIABcAG4AIAAgACAAIAAgACAAIAAgACAAIAAgACAAIAAgACAAIAAgACAAIAAgAEEAcAByACAAMQA3ACAAMgAwADIANAAgAEMAcgBhAGkAZwAgAEgAYQB0AG0AYQBrAGUAcgAgACAAQwBvAHAAeQByAGkAZwBoAHQAXABuACoALwBcAG4ATQBBAEMAUgBTALsDIAA9ACAATABBAE0AQgBEAEEAKABcAG4ALwAvACAAIABQAGEAcgBhAG0AZQB0AGUAcgAgAEQAZQBjAGwAYQByAGEAdABpAG8AbgBcAG4AIAAgACAAIABbAEMAbwBzAHQAXQAsAFwAbgAgACAAIAAgAFsATABpAGYAZQBdACw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NAEEAQwBSAFMAuwMoAEMAbwBzAHQALAAgAEwAaQBmAGUAKQC2AFwAIgAgACYAXABuACAAIAAgACAAIAAgACAAIAAgACAAIAAgACAAIAAgACAAIAAgACAAIAAgACAAIAAgACAAIAAgACAAXAAiAEQARQBTAEMAUgBJAFAAVABJAE8ATgA6ACAAIAAgAJIhTQBvAGQAaQBmAGkAZQBkACAAQQBjAGMAZQBsAGUAcgBhAHQAZQBkACAAQwBvAHMAdAAgAFIAZQBjAG8AdgBlAHIAeQAgAFMAeQBzAHQAZQBtACAAZABlAHAAcgBlAGMAaQBhAHQAaQBvAG4AIABtAGUAdABoAG8AZAAgAGYAbwByACAAbwBuAGUAIABhAHMAcwBlAHQAIABvAHIAIABhAHMAcwBlAHQAIABjAGwAYQBzAHMALgC2AFwAIgAgACYAXABuACAAIAAgACAAIAAgACAAIAAgACAAIAAgACAAIAAgACAAIAAgACAAIAAgACAAIAAgACAAIAAgACAAXAAiAFcARQBCAFAAQQBHAEUAOgAgACAAIAAgACAAIAAgAJIhPABjAG8AbQBpAG4AZwAgAHMAbwBvAG4APgC2AFwAIgAgACYAIABcAG4AIAAgACAAIAAgACAAIAAgACAAIAAgACAAIAAgACAAIAAgACAAIAAgACAAIAAgACAAIAAgACAAIABcACIAVgBFAFIAUwBJAE8ATgA6ACAAIAAgACAAIAAgACAAkiFBAHAAcgAgADEANwAgADIAMAAyADQAtgBcACIAIAAmAFwAbgAgACAAIAAgACAAIAAgACAAIAAgACAAIAAgACAAIAAgACAAIAAgACAAIAAgACAAIAAgACAAIAAgAFwAIgBQAEEAUgBBAE0ARQBUAEUAUgBTADoAIAAgACAAIACSIbYAXAAiACAAJgAgAFwAbgAgACAAIAAgACAAIAAgACAAIAAgACAAIAAgACAAIAAgACAAIAAgACAAIAAgACAAIAAgACAAIAAgAFwAIgBDAG8AcwB0ACAAIAAgACAAIAAgACAAIAAgACAAIACSISgAUgBlAHEAdQBpAHIAZQBkACkAIABBAHMAcwBlAHQAJwBzACAAaQBuAGkAdABpAGEAbAAgAGMAbwBzAHQALgC2AFwAIgAgACYAIAAgACAAIAAgACAAIAAgACAAIAAgACAAIAAgACAAIAAgACAAIABcAG4AIAAgACAAIAAgACAAIAAgACAAIAAgACAAIAAgACAAIAAgACAAIAAgACAAIAAgACAAIAAgACAAIABcACIATABpAGYAZQAgACAAIAAgACAAIAAgACAAIAAgACAAkiEoAFIAZQBxAHUAaQByAGUAZAApACAAQQBzAHMAZQB0ACcAcwAgAHUAcwBlAGYAdQBsACAAbABpAGYAZQAgAGkAbgAgAHkAZQBhAHIAcwAuALYAXAAiACAAJgAgAFwAbgAgACAAIAAgACAAIAAgACAAIAAgACAAIAAgACAAIAAgACAAIAAgACAAIAAgACAAIAAgACAAIAAgAFwAIgBFAFgAQQBNAFAATABFAFMAOgAgACAAIAAgACAAIACSIbYAXAAiACAAJgBcAG4AIAAgACAAIAAgACAAIAAgACAAIAAgACAAIAAgACAAIAAgACAAIAAgACAAIAAgACAAIAAgACAAIAAgACAAIAAgACAAIAAgACAAIAAgACAAIAAgACAAIABcACIAkiFGAG8AcgBtAHUAbABhACAAKABCAFgARgAgAGkAcwAgAGEAcwBzAHUAbQBlAGQAIAB0AG8AIABiAGUAIAB0AGgAZQAgAG0AbwBkAHUAbABlACcAcwAgAG4AYQBtAGUAKQC2AFwAIgAgACYAXABuACAAIAAgACAAIAAgACAAIAAgACAAIAAgACAAIAAgACAAIAAgACAAIAAgACAAIAAgACAAIAAgACAAIAAgACAAIAAgACAAIAAgACAAIAAgACAAIAAgACAAXAAiAJIhPQBCAFgARgAuAE0AQQBDAFIAUwC7AygAMQAwADAAMAAsACAANQApAFwAIgAgACYAXABuACAAIAAgACAAIAAgACAAIAAgACAAIAAgACAAIAAgACAAIAAgACAAIAAgACAAIAAgACAAIAAgACAAIAAgACAAIAAgACAAIAAgACAAIAAgACAAIAAgACAAXAAiAJIhUgBlAHMAdQBsAHQAtgBcACIAIAAmAFwAbgAgACAAIAAgACAAIAAgACAAIAAgACAAIAAgACAAIAAgACAAIAAgACAAIAAgACAAIAAgACAAIAAgACAAIAAgACAAIAAgACAAIAAgACAAIAAgACAAIAAgAFwAIgCSITMAMAAwAC4AMAAwACwAMgAxADAALgAwADAALAAxADQANwAuADAAMAAsADEAMgAxAC4ANQAwACwAMQAyADEALgA1ADA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MAbwBzAHQAKQAsAFwAbgAgACAAIAAgACAAIAAgACAAIAAgACAAIAAgACAAIAAgACAAIAAgACAAIAAgACAAIAAgACAAIAAgAEkAUwBPAE0ASQBUAFQARQBEACgAIABMAGkAZgBlACkAXABuACAAIAAgACAAIAAgACAAIAAgACAAIAAgACAAIAAgACAAIAAgACAAIAAgACAAIAAgACkALABcAG4AIAAgACAAIAAvAC8AIAAgAFMAZQB0ACAAZABlAGYAYQB1AGwAdABzACAAZgBvAHIAIABvAHAAdABpAG8AbgBhAGwAIAB2AGEAbAB1AGUAcwBcAG4AIAAgACAAIAAgACAAIAAgAFAAZQByAGMAZQBuAHQAYQBnAGUALAAgACAAIAAgACAAUwBXAEkAVABDAEgAKAAgAFwAbgAgACAAIAAgACAAIAAgACAAIAAgACAAIAAgACAAIAAgACAAIAAgACAAIAAgACAAIAAgACAAIAAgAEwAaQBmAGUALAAgAFwAbgAgACAAIAAgACAAIAAgACAAIAAgACAAIAAgACAAIAAgACAAIAAgACAAIAAgACAAIAAgACAAIAAgADAAMwAsACAAIAAgACAAIAB7ADMAMwAuADMAMwAsADQANAAuADQANQAsADEANAAuADgAMQAsADcALgA0ADEAfQAsAFwAbgAgACAAIAAgACAAIAAgACAAIAAgACAAIAAgACAAIAAgACAAIAAgACAAIAAgACAAIAAgACAAIAAgADAANQAsACAAIAAgACAAIAB7ADIAMAAuADAAMAAsADMAMgAuADAAMAAsADEAOQAuADIAMAAsADEAMQAuADUAMgAsADEAMQAuADUAMgAsADUALgA3ADYAfQAsAFwAbgAgACAAIAAgACAAIAAgACAAIAAgACAAIAAgACAAIAAgACAAIAAgACAAIAAgACAAIAAgACAAIAAgADAANwAsACAAIAAgACAAIAB7ADEANAAuADIAOQAsADIANAAuADQAOQAsADEANwAuADQAOQAsADEAMgAuADQAOQAsADgALgA5ADMALAA4AC4AOQAyACwAOAAuADkAMwAsADQALgA0ADYAfQAsAFwAbgAgACAAIAAgACAAIAAgACAAIAAgACAAIAAgACAAIAAgACAAIAAgACAAIAAgACAAIAAgACAAIAAgADEAMAAsACAAIAAgACAAIAB7ADEAMAAuADAAMAAsADEAOAAuADAAMAAsADEANAAuADQAMAAsADEAMQAuADUAMgAsADkALgAyADIALAA3AC4AMwA3ACwANgAuADUANQA1ACwANgAuADUANQAsADYALgA1ADYALAA2AC4ANQA1ACwAMwAuADIANQB9ACwAXABuACAAIAAgACAAIAAgACAAIAAgACAAIAAgACAAIAAgACAAIAAgACAAIAAgACAAIAAgACAAIAAgACAAMQA1ACwAIAAgACAAIAAgAHsANQAuADAAMAAsADkALgA1ADAALAA4AC4ANQA1ACwANwAuADcAMAAsADYALgA5ADMALAA2AC4AMgAzACwANQAuADkAMAAsADUALgA5ADAALAA1AC4AOQAxACwANQAuADkAMAAsADUALgA5ADEALAA1AC4AOQAwACwANQAuADkAMQAsADUALgA5ADAALAA1AC4AOQAxACwAMgAuADkANQB9ACwAXABuACAAIAAgACAAIAAgACAAIAAgACAAIAAgACAAIAAgACAAIAAgACAAIAAgACAAIAAgACAAIAAgACAAMgAwACwAIAAgACAAIAAgAHsAMwAuADcANQAsADcALgAyADIALAA2AC4ANgA4ACwANgAuADEAOAAsADUALgA3ADEALAA1AC4AMgA5ACwANAAuADgAOQAsADQALgA1ADIALAA0AC4ANAA2ACwANAAuADQANgAsADQALgA0ADYALAA0AC4ANAA2ACwANAAuADQANgAsADQALgA0ADYALAA0AC4ANAA2ACwANAAuADQANgAsADQALgA0ADYALAAyAC4AMgAzAH0AXABuACAAIAAgACAAIAAgACAAIAAgACAAIAAgACAAIAAgACAAIAAgACAAIAAgACAAIAAgACkALwAxADAAMAAsAFwAbgAgACAAIAAgAC8ALwAgACAAUAByAG8AYwBlAGQAdQByAGUAXABuACAAIAAgACAAIAAgACAAIABSAGUAcwB1AGwAdAAsACAAIAAgACAAIAAgACAAIAAgAEMAbwBzAHQAIAAqACAASQBOAEQARQBYACgAUABlAHIAYwBlAG4AdABhAGcAZQAsACAAUwBFAFEAVQBFAE4AQwBFACgAIAAsACAATABpAGYAZQAgACsAIAAxACkAKQAsACAAXABuACAAIAAgACAALwAvACAAIABSAGUAdAB1AHIAbgAgAFIAZQBzAHUAbAB0ACAAbwByACAASABlAGwAcABcAG4AIAAgACAAIAAgACAAIAAgAEMASABPAE8AUwBFACgAIABIAGUAbABwAD8AIAArACAAMQAsACAAUgBlAHMAdQBsAHQALAAgAEgAZQBsAHAAKQBcAG4AIAAgACAAIAApAFwAbgApADsAXABuAFwAbgBcAG4AXABuAFwAbgAvAC8AIAAgAEQAaQBhAGcAbgBvAHMAdABpAGMAIABSAG8AdQB0AGkAbgBlAHMAXABuAFwAbgBcAG4AXABuAC8AKgAgACAARgBVAE4AQwBUAEkATwBOACAATgBBAE0ARQA6ACAAIABBAG0AbwByAHQAaQB6AGUAuwNEAFYAXABuACAAIAAgACAARABFAFMAQwBSAEkAUABUAEkATwBOADoAKgAvAC8AKgAqAFAAcgBvAHYAaQBkAGUAcwAgAGUAeAB0AGUAbgBkAGUAZAAgAGQAYQB0AGEAIAB2AGEAbABpAGQAYQB0AGkAbwBuACAAbwBmACAAYQByAGcAdQBtAGUAbgB0AHMAIABmAG8AcgAgAEEAbQBvAHIAdABpAHoAZQC7AygAKQAqAC8AXABuAC8AKgAgACAAUgBFAFYASQBTAEkATwBOAFMAOgAgACAAIAAgACAAIABEAGEAdABlACAAIAAgACAAIAAgACAAIABEAGUAdgBlAGwAbwBwAGUAcgAgACAAIAAgACAAIAAgAEQAZQBzAGMAcgBpAHAAdABpAG8AbgAgACAAXABuACAAIAAgACAAIAAgACAAIAAgACAAIAAgACAAIAAgACAAIAAgACAAIABPAGMAdAAgADIANAAgADIAMAAyADMAIABDAHIAYQBpAGcAIABIAGEAdABtAGEAawBlAHIAIAAgAE8AcgBpAGcAaQBuAGEAbAAgAEQAZQB2AGUAbABvAHAAbQBlAG4AdABcAG4AKgAvAFwAbgBBAG0AbwByAHQAaQB6AGUAuwNEAFYAIAA9ACAATABBAE0AQgBEAEEAKABcAG4ALwAvACAAIABQAGEAcgBhAG0AZQB0AGUAcgAgAEQAZQBjAGwAYQByAGEAdABpAG8AbgBzAFwAbgAgACAAIAAgAFsAUAByAGkAbgBjAGkAcABhAGwAXQAsAFwAbgAgACAAIAAgAFsAQQBQAFIAXQAsAFwAbgAgACAAIAAgAFsAVABlAHIAbQBdACwAIABcAG4AIAAgACAAIABbAFMAdABhAHIAdABEAGEAdABlAF0ALABcAG4AIAAgACAAIABbAFQAaQBtAGUAbABpAG4AZQBdACwAIABcAG4AXABuACAAIAAgACAATABFAFQAKABcAG4AIAAgACAAIAAvAC8AIAAgAEMAaABlAGMAawAgAGkAbgBwAHUAdABzACAALQAgAEUAcgByAG8AcgBzACAAaQBuACAAYQByAGcAdQBtAGUAbgB0ACAAdgBhAGwAdQBlAHMAXABuACAAIAAgACAAIAAgACAAIABFAHIAcgBvAHIAcwBJAG4AQQByAGcAcwAsACAAIAAgAFYAUwBUAEEAQwBLACgAIABcAG4AIAAgACAAIAAgACAAIAAgACAAIAAgACAAIAAgACAAIAAgACAAIAAgACAAIAAgACAAIAAgACAAIABPAFIAKAAgAEkAUwBFAFIAUgBPAFIAKAAgAFAAcgBpAG4AYwBpAHAAYQBsACkAKQAsAFwAbgAgACAAIAAgACAAIAAgACAAIAAgACAAIAAgACAAIAAgACAAIAAgACAAIAAgACAAIAAgACAAIAAgAE8AUgAoACAASQBTAEUAUgBSAE8AUgAoACAAQQBQAFIAKQApACwAXABuACAAIAAgACAAIAAgACAAIAAgACAAIAAgACAAIAAgACAAIAAgACAAIAAgACAAIAAgACAAIAAgACAATwBSACgAIABJAFMARQBSAFIATwBSACgAIABUAGUAcgBtACkAKQAsAFwAbgAgACAAIAAgACAAIAAgACAAIAAgACAAIAAgACAAIAAgACAAIAAgACAAIAAgACAAIAAgACAAIAAgAE8AUgAoACAASQBTAEUAUgBSAE8AUgAoACAAUwB0AGEAcgB0AEQAYQB0AGUAKQApACwAXABuACAAIAAgACAAIAAgACAAIAAgACAAIAAgACAAIAAgACAAIAAgACAAIAAgACAAIAAgACAAIAAgACAATwBSACgAIABJAFMARQBSAFIATwBSACgAIABUAGkAbQBlAGwAaQBuAGUAKQApAFwAbgAgACAAIAAgACAAIAAgACAAIAAgACAAIAAgACAAIAAgACAAIAAgACAAIAAgACAAIAApACwAXABuAFwAbgAgACAAIAAgAC8ALwAgACAAQwBoAGUAYwBrACAAaQBuAHAAdQB0AHMAIAAtACAARABhAHQAYQAgAHYAYQBsAGkAZABhAHQAaQBvAG4AIABlAHIAcgBvAHIAcwBcAG4AIAAgACAAIAAgACAAIAAgAEQAVgBBAHIAZwAxACwAIAAgACAAIAAgACAAIAAgACAASQBGACgAIABPAFIAKAAgAEkAUwBPAE0ASQBUAFQARQBEACgAIABQAHIAaQBuAGMAaQBwAGEAbAApACwAIABJAFMARQBSAFIATwBSACgAIABQAHIAaQBuAGMAaQBwAGEAbAApACkALAAgAFwAbgAgACAAIAAgACAAIAAgACAAIAAgACAAIAAgACAAIAAgACAAIAAgACAAIAAgACAAIAAgACAAIAAgAEYAQQBMAFMARQAsACAAXABuACAAIAAgACAAIAAgACAAIAAgACAAIAAgACAAIAAgACAAIAAgACAAIAAgACAAIAAgACAAIAAgACAATwBSACgAIABJAEYARQBSAFIATwBSACgAIABWAEEATABVAEUAKABQAHIAaQBuAGMAaQBwAGEAbAApACAAPAAgADEALAAgAFQAUgBVAEUAKQApACkALABcAG4AIAAgACAAIAAgACAAIAAgAEQAVgBBAHIAZwAyACwAIAAgACAAIAAgACAAIAAgACAASQBGACgAIABPAFIAKAAgAEkAUwBPAE0ASQBUAFQARQBEACgAIABBAFAAUgApACwAIABJAFMARQBSAFIATwBSACgAIABBAFAAUgApACkALAAgAFwAbgAgACAAIAAgACAAIAAgACAAIAAgACAAIAAgACAAIAAgACAAIAAgACAAIAAgACAAIAAgACAAIAAgAEYAQQBMAFMARQAsACAAXABuACAAIAAgACAAIAAgACAAIAAgACAAIAAgACAAIAAgACAAIAAgACAAIAAgACAAIAAgACAAIAAgACAATwBSACgAIABJAEYARQBSAFIATwBSACgAIABWAEEATABVAEUAKABBAFAAUgApACAAPAA9ACAAMAAsACAAVABSAFUARQApACkAKQAsAFwAbgAgACAAIAAgACAAIAAgACAARABWAEEAcgBnADMALAAgACAAIAAgACAAIAAgACAAIABJAEYAKAAgAE8AUgAoACAASQBTAE8ATQBJAFQAVABFAEQAKAAgAFQAZQByAG0AKQAsACAASQBTAEUAUgBSAE8AUgAoACAAVABlAHIAbQApACkALAAgAFwAbgAgACAAIAAgACAAIAAgACAAIAAgACAAIAAgACAAIAAgACAAIAAgACAAIAAgACAAIAAgACAAIAAgAEYAQQBMAFMARQAsACAAXABuACAAIAAgACAAIAAgACAAIAAgACAAIAAgACAAIAAgACAAIAAgACAAIAAgACAAIAAgACAAIAAgACAATwBSACgAIABJAEYARQBSAFIATwBSACgAIABWAEEATABVAEUAKABUAGUAcgBtACkAIAA8ACAAMQAsACAAVABSAFUARQApACkAKQAsAFwAbgAgACAAIAAgACAAIAAgACAARABWAEEAcgBnADQALAAgACAAIAAgACAAIAAgACAAIABJAEYAKAAgAE8AUgAoACAASQBTAE8ATQBJAFQAVABFAEQAKAAgAFMAdABhAHIAdABEAGEAdABlACkALAAgAEkAUwBFAFIAUgBPAFIAKAAgAFMAdABhAHIAdABEAGEAdABlACkAKQAsACAAXABuACAAIAAgACAAIAAgACAAIAAgACAAIAAgACAAIAAgACAAIAAgACAAIAAgACAAIAAgACAAIAAgACAARgBBAEwAUwBFACwAIABcAG4AIAAgACAAIAAgACAAIAAgACAAIAAgACAAIAAgACAAIAAgACAAIAAgACAAIAAgACAAIAAgACAAIABPAFIAKAAgAEkARgBFAFIAUgBPAFIAKAAgAFYAQQBMAFUARQAoAFMAdABhAHIAdABEAGEAdABlACkAIAA8ACAATQBJAE4AKAAgAFQAaQBtAGUAbABpAG4AZQApACwAIABUAFIAVQBFACkAKQApACwAXABuACAAIAAgACAAIAAgACAAIABEAFYAQQByAGcANQAsACAAIAAgACAAIAAgACAAIAAgAEkARgAoACAATwBSACgAIABJAFMATwBNAEkAVABUAEUARAAoACAAVABpAG0AZQBsAGkAbgBlACkALAAgAEkAUwBFAFIAUgBPAFIAKAAgAFQAaQBtAGUAbABpAG4AZQApACkALAAgAFwAbgAgACAAIAAgACAAIAAgACAAIAAgACAAIAAgACAAIAAgACAAIAAgACAAIAAgACAAIAAgACAAIAAgAEYAQQBMAFMARQAsACAAXABuACAAIAAgACAAIAAgACAAIAAgACAAIAAgACAAIAAgACAAIAAgACAAIAAgACAAIAAgACAAIAAgACAATwBSACgAIABJAEYARQBSAFIATwBSACgAIABWAEEATABVAEUAKABUAGkAbQBlAGwAaQBuAGUAKQAgADwAIAAxACwAIABUAFIAVQBFACkAKQApACwAXABuACAAIAAgACAAIAAgACAAIABEAFYAQQByAGcANgAsACAAIAAgACAAIAAgACAAIAAgAEkARgAoACAATwBSACgAIABJAFMATwBNAEkAVABUAEUARAAoACAAVABpAG0AZQBsAGkAbgBlACkALAAgAEkAUwBFAFIAUgBPAFIAKAAgAFQAaQBtAGUAbABpAG4AZQApACwAIABEAFYAQQByAGcANQApACwAIABcAG4AIAAgACAAIAAgACAAIAAgACAAIAAgACAAIAAgACAAIAAgACAAIAAgACAAIAAgACAAIAAgACAAIABGAEEATABTAEUALAAgAFwAbgAgACAAIAAgACAAIAAgACAAIAAgACAAIAAgACAAIAAgACAAIAAgACAAIAAgACAAIAAgACAAIAAgAEMATwBVAE4AVABBACgAVABpAG0AZQBsAGkAbgBlACkAIAA8ACAAMgApACwAXABuACAAIAAgACAAIAAgACAAIABEAFYAQQByAGcANwAsACAAIAAgACAAIAAgACAAIAAgAEkARgAoACAATwBSACgAIABJAFMATwBNAEkAVABUAEUARAAoACAAVABpAG0AZQBsAGkAbgBlACkALAAgAEkAUwBFAFIAUgBPAFIAKAAgAFQAaQBtAGUAbABpAG4AZQApACwAIABEAFYAQQByAGcANQAsACAARABWAEEAcgBnADYAKQAsACAAXABuACAAIAAgACAAIAAgACAAIAAgACAAIAAgACAAIAAgACAAIAAgACAAIAAgACAAIAAgACAAIAAgACAARgBBAEwAUwBFACwAIABcAG4AIAAgACAAIAAgACAAIAAgACAAIAAgACAAIAAgACAAIAAgACAAIAAgACAAIAAgACAAIAAgACAAIAAoAEkATgBEAEUAWAAoAFQAaQBtAGUAbABpAG4AZQAsACAAMgApACAALQAgAEkATgBEAEUAWAAoAFQAaQBtAGUAbABpAG4AZQAsACAAMQApACkAIAA8ACAAMwAwACAAKQAsAFwAbgAgACAAIAAgACAAIAAgACAARABWAEUAcgByAG8AcgBzACwAIAAgACAAIAAgACAAIABWAFMAVABBAEMASwAoACAARABWAEEAcgBnADEALAAgAEQAVgBBAHIAZwAyACwAIABEAFYAQQByAGcAMwAsACAARABWAEEAcgBnADQALAAgAEQAVgBBAHIAZwA1ACwAIABEAFYAQQByAGcANgAsACAARABWAEEAcgBnADcAKQAsAFwAbgAgACAAIAAgACAAIAAgACAAXABuACAAIAAgACAALwAvACAAIABBAG4AeQAgAGkAbgBwAHUAdAAgAGUAcgByAG8AcgBzACAAZABlAHQAZQBjAHQAZQBkAD8AXABuACAAIAAgACAAIAAgACAAIABBAG4AeQBFAHIAcgBvAHIAcwA/ACwAIAAgACAAIAAgAE8AUgAoAEUAcgByAG8AcgBzAEkAbgBBAHIAZwBzACwAIABEAFYARQByAHIAbwByAHMAKQAsAFwAbgBcAG4AIAAgACAAIAAvAC8AIAAgAEEAcwBzAGUAbQBiAGwAZQAgAEUAcgByAG8AcgAgAE0AZQBzAHMAYQBnAGUAcwAgAEEAcgByAGEAeQAgACgAaQBmACAAZQByAHIAbwByAHMAIABmAG8AdQBuAGQAKQBcAG4AIAAgACAAIAAgACAAIAAgAEUAcgByAG8AcgBzADIAUwBoAG8AdwAsACAAIAAgACAAVgBTAFQAQQBDAEsAKAAgAEUAcgByAG8AcgBzAEkAbgBBAHIAZwBzACwAIABEAFYARQByAHIAbwByAHMAKQAsACAAXABuACAAIAAgACAAIAAgACAAIABFAHIAcgBNAHMAZwBzACwAIAAgACAAIAAgACAAIAAgAHsAXABuACAAIAAgACAAIAAgACAAIAAgACAAIAAgACAAIAAgACAAIAAgACAAIAAvAC8AIAAgAEUAcgByAG8AcgBzACAAaQBuACAAYQByAGcAdQBtAGUAbgB0AHMAXABuACAAIAAgACAAIAAgACAAIAAgACAAIAAgACAAIAAgACAAIAAgACAAIAAgACAAIAAgAFwAIgBBAG0AbwB1AG4AdAAgAGMAbwBuAHQAYQBpAG4AcwAgAGUAcgByAG8AcgBzACAAaQBuACAAYwBlAGwAbABzAC4AIABSAGUAcwBvAGwAdgBlACAAZQByAHIAbwByAHMAIABmAGkAcgBzAHQALgBcACIAOwBcAG4AIAAgACAAIAAgACAAIAAgACAAIAAgACAAIAAgACAAIAAgACAAIAAgACAAIAAgACAAXAAiAEEAUABSACAAYwBvAG4AdABhAGkAbgBzACAAZQByAHIAbwByAHMAIABpAG4AIABjAGUAbABsAHMALgAgAFIAZQBzAG8AbAB2AGUAIABlAHIAcgBvAHIAcwAgAGYAaQByAHMAdAAuAFwAIgA7AFwAbgAgACAAIAAgACAAIAAgACAAIAAgACAAIAAgACAAIAAgACAAIAAgACAAIAAgACAAIABcACIAVABlAHIAbQAgAGMAbwBuAHQAYQBpAG4AcwAgAGUAcgByAG8AcgBzACAAaQBuACAAYwBlAGwAbABzAC4AIABSAGUAcwBvAGwAdgBlACAAZQByAHIAbwByAHMAIABmAGkAcgBzAHQALgBcACIAOwBcAG4AIAAgACAAIAAgACAAIAAgACAAIAAgACAAIAAgACAAIAAgACAAIAAgACAAIAAgACAAXAAiAFMAdABhAHIAdABEAGEAdABlACAAYwBvAG4AdABhAGkAbgBzACAAZQByAHIAbwByAHMAIABpAG4AIABjAGUAbABsAHMALgAgAFIAZQBzAG8AbAB2AGUAIABlAHIAcgBvAHIAcwAgAGYAaQByAHMAdAAuAFwAIgA7AFwAbgAgACAAIAAgACAAIAAgACAAIAAgACAAIAAgACAAIAAgACAAIAAgACAAIAAgACAAIABcACIAVABpAG0AZQBsAGkAbgBlACAAYwBvAG4AdABhAGkAbgBzACAAZQByAHIAbwByAHMAIABpAG4AIABjAGUAbABsAHMALgAgAFIAZQBzAG8AbAB2AGUAIABlAHIAcgBvAHIAcwAgAGYAaQByAHMAdAAuAFwAIgA7AFwAbgAgACAAIAAgACAAIAAgACAAIAAgACAAIAAgACAAIAAgACAAIAAgACAAXABuACAAIAAgACAAIAAgACAAIAAgACAAIAAgACAAIAAgACAAIAAgACAAIAAvAC8AIAAgAEQAYQB0AGEAIAB2AGEAbABpAGQAYQB0AGkAbwBuACAAZQByAHIAbwByAHMAXABuACAAIAAgACAAIAAgACAAIAAgACAAIAAgACAAIAAgACAAIAAgACAAIAAgACAAIAAgAFwAIgBBAG0AbwB1AG4AdAAgAG0AdQBzAHQAIABiAGUAIABnAHIAZQBhAHQAZQByACAAdABoAGEAbgAgADAAXAAiADsAXABuACAAIAAgACAAIAAgACAAIAAgACAAIAAgACAAIAAgACAAIAAgACAAIAAgACAAIAAgAFwAIgBBAFAAUgAgAG0AdQBzAHQAIABiAGUAIABhACAAcABlAHIAYwBlAG4AdABhAGcAZQAgAGcAcgBlAGEAdABlAHIAIAB0AGgAYQBuACAAMABcACIAOwBcAG4AIAAgACAAIAAgACAAIAAgACAAIAAgACAAIAAgACAAIAAgACAAIAAgACAAIAAgACAAXAAiAFQAZQByAG0AIABtAHUAcwB0ACAAYgBlACAAdABoAGUAIABuAHUAbQBiAGUAcgAgAG8AZgAgAHQAaQBtAGUAbABpAG4AZQAgAHAAZQByAGkAbwBkAHMAIAB1AG4AdABpAGwAIAB0AGgAZQAgAGQAZQBiAHQAIABpAHMAIABzAGEAdABpAHMAZgBpAGUAZAAuAFwAIgA7AFwAbgAgACAAIAAgACAAIAAgACAAIAAgACAAIAAgACAAIAAgACAAIAAgACAAIAAgACAAIABcACIAUwB0AGEAcgB0AEQAYQB0AGUAIABtAHUAcwB0ACAAYgBlACAAYQAgAHYAYQBsAGkAZAAgAGQAYQB0AGUALgBcACIAOwBcAG4AIAAgACAAIAAgACAAIAAgACAAIAAgACAAIAAgACAAIAAgACAAIAAgACAAIAAgACAAXAAiAFQAaQBtAGUAbABpAG4AZQAgAG0AdQBzAHQAIABhACAAcgBvAHcAIABvAGYAIABwAGUAcgBpAG8AZAAgAHMAdABhAHIAdAAgAGQAYQB0AGUAcwAgAHcAaQB0AGgAIABlAHYAZQByAHkAIABwAGUAcgBpAG8AZAAgAHMAcABhAG4AbgBpAG4AZwAgAGEAIABtAG8AbgB0AGgALAAgAHEAdQBhAHIAdABlAHIAIABvAHIAIAB5AGUAYQByAC4AXAAiADsAXABuACAAIAAgACAAIAAgACAAIAAgACAAIAAgACAAIAAgACAAIAAgACAAIAAgACAAIAAgAFwAIgBUAGkAbQBlAGwAaQBuAGUAIABtAHUAcwB0ACAAYQAgAHIAbwB3ACAAbwBmACAAcABlAHIAaQBvAGQAIABzAHQAYQByAHQAIABkAGEAdABlAHMAIAB3AGkAdABoACAAbQBvAHIAZQAgAHQAaABhAG4AIAAxACAAZQBuAHQAcgB5AC4AXAAiADsAXABuACAAIAAgACAAIAAgACAAIAAgACAAIAAgACAAIAAgACAAIAAgACAAIAAgACAAIAAgAFwAIgBUAGkAbQBlAGwAaQBuAGUAIABtAHUAcwB0ACAAYQAgAHIAbwB3ACAAbwBmACAAcABlAHIAaQBvAGQAIABzAHQAYQByAHQAIABkAGEAdABlAHMAIABzAHAAYQBuAG4AaQBuAGcAIABuAG8AIABsAGUAcwBzACAAdABoAGEAbgAgAGEAIABtAG8AbgB0AGgALgBcACIAfQAsAFwAbgAgACAAIAAgACAAIAAgACAATQBlAHMAcwBhAGcAZQBzACwAIAAgACAAIAAgACAAIABGAEkATABUAEUAUgAoAEUAcgByAE0AcwBnAHMALAAgAEUAcgByAG8AcgBzADIAUwBoAG8AdwAsACAAXAAiAFwAIgApACwAIAAgACAAIAAgACAAIAAgAFwAbgBcAG4AIAAgACAAIAAvAC8AIAAgAEgAYQBuAGQAbABlACAARQByAHIAbwByAFwAbgAgACAAIAAgACAAIAAgACAAUgBlAHQAdQByAG4ALAAgACAAIAAgACAAIAAgACAAIABJAEYAKAAgAE8AUgAoACAARQByAHIAbwByAHMAMgBTAGgAbwB3ACkALAAgADIALAAgAEkARgAoACAAQQBuAHkARQByAHIAbwByAHMAPwAsACAAMwAsACAAMQApACkALAAgACAAIAAgACAAIABcAG4AIAAgACAAIAAvAC8AIAAgAFIAZQB0AHUAcgBuACAAUgBlAHMAdQBsAHQAXABuACAAIAAgACAAIAAgACAAIABDAEgATwBPAFMARQAoAFIAZQB0AHUAcgBuACwAIABUAFIAVQBFACwAIABNAGUAcwBzAGEAZwBlAHMALAAgACMAVgBBAEwAVQBFACEAKQBcAG4AIAAgACAAIAApACAAIAAgACAAXABuACkAOwBcAG4AXABuAFwAbgBcAG4ALwAqACAAIABGAFUATgBDAFQASQBPAE4AIABOAEEATQBFADoAIAAgAEMAbwByAGsAcwBjAHIAZQB3ALsDRABWAFwAbgAgACAAIAAgAEQARQBTAEMAUgBJAFAAVABJAE8ATgA6ACoALwAvACoAKgBQAHIAbwB2AGkAZABlAHMAIABlAHgAdABlAG4AZABlAGQAIABkAGEAdABhACAAdgBhAGwAaQBkAGEAdABpAG8AbgAgAG8AZgAgAGEAcgBnAHUAbQBlAG4AdABzACAAZgBvAHIAIABEAGUAcAByAGUAYwBpAGEAdABlALsDLgAqAC8AXABuAC8AKgAgACAAUgBFAFYASQBTAEkATwBOAFMAOgAgACAAIAAgACAAIABEAGEAdABlACAAIAAgACAAIAAgACAAIABEAGUAdgBlAGwAbwBwAGUAcgAgACAAIAAgACAAIAAgAEQAZQBzAGMAcgBpAHAAdABpAG8AbgAgACAAXABuACAAIAAgACAAIAAgACAAIAAgACAAIAAgACAAIAAgACAAIAAgACAAIABPAGMAdAAgADIANAAgADIAMAAyADMAIABDAHIAYQBpAGcAIABIAGEAdABtAGEAawBlAHIAIAAgAE8AcgBpAGcAaQBuAGEAbAAgAEQAZQB2AGUAbABvAHAAbQBlAG4AdABcAG4AKgAvAFwAbgBDAG8AcgBrAHMAYwByAGUAdwC7A0QAVgAgAD0AIABMAEEATQBCAEQAQQAoAFwAbgAvAC8AIAAgAFAAYQByAGEAbQBlAHQAZQByACAARABlAGMAbABhAHIAYQB0AGkAbwBuAHMAXABuACAAIAAgACAAWwBPAHAAZQBuAGkAbgBnAF0ALABcAG4AIAAgACAAIABbAEYAbABvAHcAMQBdACwAXABuACAAIAAgACAAWwBGAGwAbwB3ADIAXQAsAFwAbgAgACAAIAAgAFsARgBsAG8AdwAzAF0ALABcAG4AIAAgACAAIABbAEYAbABvAHcANABdACwAXABuACAAIAAgACAAWwBEAGkAYQBnAG4AbwBzAHQAaQBjAHMAXQAsAFwAbgBcAG4AIAAgACAAIABMAEUAVAAoAFwAbgAgACAAIAAgAC8ALwAgACAAQwBoAGUAYwBrACAAaQBuAHAAdQB0AHMAIAAtACAARQByAHIAbwByAHMAIABpAG4AIABhAHIAZwB1AG0AZQBuAHQAIAB2AGEAbAB1AGUAcwBcAG4AIAAgACAAIAAgACAAIAAgAEUAcgByAG8AcgBzAEkAbgBBAHIAZwBzACwAIAAgACAAVgBTAFQAQQBDAEsAKAAgAFwAbgAgACAAIAAgACAAIAAgACAAIAAgACAAIAAgACAAIAAgACAAIAAgACAAIAAgACAAIAAgACAAIAAgAE8AUgAoACAASQBTAEUAUgBSAE8AUgAoACAATwBwAGUAbgBpAG4AZwApACkALABcAG4AIAAgACAAIAAgACAAIAAgACAAIAAgACAAIAAgACAAIAAgACAAIAAgACAAIAAgACAAIAAgACAAIABPAFIAKAAgAEkAUwBFAFIAUgBPAFIAKAAgAEYAbABvAHcAMQApACkALABcAG4AIAAgACAAIAAgACAAIAAgACAAIAAgACAAIAAgACAAIAAgACAAIAAgACAAIAAgACAAIAAgACAAIABPAFIAKAAgAEkAUwBFAFIAUgBPAFIAKAAgAEYAbABvAHcAMgApACkALABcAG4AIAAgACAAIAAgACAAIAAgACAAIAAgACAAIAAgACAAIAAgACAAIAAgACAAIAAgACAAIAAgACAAIABPAFIAKAAgAEkAUwBFAFIAUgBPAFIAKAAgAEYAbABvAHcAMwApACkALABcAG4AIAAgACAAIAAgACAAIAAgACAAIAAgACAAIAAgACAAIAAgACAAIAAgACAAIAAgACAAIAAgACAAIABPAFIAKAAgAEkAUwBFAFIAUgBPAFIAKAAgAEYAbABvAHcANAApACkAXABuACAAIAAgACAAIAAgACAAIAAgACAAIAAgACAAIAAgACAAIAAgACAAIAAgACAAIAAgACkALABcAG4AXABuACAAIAAgACAALwAvACAAIABDAGgAZQBjAGsAIABpAG4AcAB1AHQAcwAgAC0AIABEAGEAdABhACAAdgBhAGwAaQBkAGEAdABpAG8AbgAgAGUAcgByAG8AcgBzAFwAbgAgACAAIAAgACAAIAAgACAARABWAEEAcgBnADEALAAgACAAIAAgACAAIAAgACAAIABJAEYAKAAgAE8AUgAoACAASQBTAE8ATQBJAFQAVABFAEQAKAAgAE8AcABlAG4AaQBuAGcAKQAsACAASQBTAEUAUgBSAE8AUgAoACAATwBwAGUAbgBpAG4AZwApACkALAAgAFwAbgAgACAAIAAgACAAIAAgACAAIAAgACAAIAAgACAAIAAgACAAIAAgACAAIAAgACAAIAAgACAAIAAgAEYAQQBMAFMARQAsACAAXABuACAAIAAgACAAIAAgACAAIAAgACAAIAAgACAAIAAgACAAIAAgACAAIAAgACAAIAAgACAAIAAgACAATgBPAFQAKAAgAEkAUwBOAFUATQBCAEUAUgAoACAATwBwAGUAbgBpAG4AZwAgACkAKQApACwAXABuACAAIAAgACAAIAAgACAAIABEAFYAQQByAGcAMgAsACAAIAAgACAAIAAgACAAIAAgAEkARgAoACAATwBSACgAIABJAFMATwBNAEkAVABUAEUARAAoACAARgBsAG8AdwAxACkALAAgAEkAUwBFAFIAUgBPAFIAKAAgAEYAbABvAHcAMQApACkALAAgAFwAbgAgACAAIAAgACAAIAAgACAAIAAgACAAIAAgACAAIAAgACAAIAAgACAAIAAgACAAIAAgACAAIAAgAEYAQQBMAFMARQAsACAAXABuACAAIAAgACAAIAAgACAAIAAgACAAIAAgACAAIAAgACAAIAAgACAAIAAgACAAIAAgACAAIAAgACAATgBPAFQAKAAgAEEATgBEACgASQBTAE4AVQBNAEIARQBSACgAIABGAGwAbwB3ADEAIAApACkAKQApACwAXABuACAAIAAgACAAIAAgACAAIABEAFYAQQByAGcAMwAsACAAIAAgACAAIAAgACAAIAAgAEkARgAoACAATwBSACgAIABJAFMATwBNAEkAVABUAEUARAAoACAARgBsAG8AdwAyACkALAAgAEkAUwBFAFIAUgBPAFIAKAAgAEYAbABvAHcAMgApACkALAAgAFwAbgAgACAAIAAgACAAIAAgACAAIAAgACAAIAAgACAAIAAgACAAIAAgACAAIAAgACAAIAAgACAAIAAgAEYAQQBMAFMARQAsACAAXABuACAAIAAgACAAIAAgACAAIAAgACAAIAAgACAAIAAgACAAIAAgACAAIAAgACAAIAAgACAAIAAgACAATgBPAFQAKAAgAEEATgBEACgASQBTAE4AVQBNAEIARQBSACgAIABGAGwAbwB3ADIAIAApACkAKQApACwAXABuACAAIAAgACAAIAAgACAAIABEAFYAQQByAGcANAAsACAAIAAgACAAIAAgACAAIAAgAEkARgAoACAATwBSACgAIABJAFMATwBNAEkAVABUAEUARAAoACAARgBsAG8AdwAzACkALAAgAEkAUwBFAFIAUgBPAFIAKAAgAEYAbABvAHcAMwApACkALAAgAFwAbgAgACAAIAAgACAAIAAgACAAIAAgACAAIAAgACAAIAAgACAAIAAgACAAIAAgACAAIAAgACAAIAAgAEYAQQBMAFMARQAsACAAXABuACAAIAAgACAAIAAgACAAIAAgACAAIAAgACAAIAAgACAAIAAgACAAIAAgACAAIAAgACAAIAAgACAATgBPAFQAKAAgAEEATgBEACgASQBTAE4AVQBNAEIARQBSACgAIABGAGwAbwB3ADMAIAApACkAKQApACwAXABuACAAIAAgACAAIAAgACAAIABEAFYAQQByAGcANQAsACAAIAAgACAAIAAgACAAIAAgAEkARgAoACAATwBSACgAIABJAFMATwBNAEkAVABUAEUARAAoACAARgBsAG8AdwA0ACkALAAgAEkAUwBFAFIAUgBPAFIAKAAgAEYAbABvAHcANAApACkALAAgAFwAbgAgACAAIAAgACAAIAAgACAAIAAgACAAIAAgACAAIAAgACAAIAAgACAAIAAgACAAIAAgACAAIAAgAEYAQQBMAFMARQAsACAAXABuACAAIAAgACAAIAAgACAAIAAgACAAIAAgACAAIAAgACAAIAAgACAAIAAgACAAIAAgACAAIAAgACAATgBPAFQAKAAgAEEATgBEACgASQBTAE4AVQBNAEIARQBSACgAIABGAGwAbwB3ADQAIAApACkAKQApACwAXABuACAAIAAgACAAIAAgACAAIABEAFYARQByAHIAbwByAHMALAAgACAAIAAgACAAIAAgAFYAUwBUAEEAQwBLACgAIABEAFYAQQByAGcAMQAsACAARABWAEEAcgBnADIALAAgAEQAVgBBAHIAZwAzACwAIABEAFYAQQByAGcANAAsACAARABWAEEAcgBnADUAKQAsAFwAbgAgACAAIAAgACAAIAAgACAAXABuACAAIAAgACAALwAvACAAIABBAG4AeQAgAGkAbgBwAHUAdAAgAGUAcgByAG8AcgBzACAAZABlAHQAZQBjAHQAZQBkAD8AXABuACAAIAAgACAAIAAgACAAIABBAG4AeQBFAHIAcgBvAHIAcwA/ACwAIAAgACAAIAAgAE8AUgAoAEUAcgByAG8AcgBzAEkAbgBBAHIAZwBzACwAIABEAFYARQByAHIAbwByAHMAKQAsAFwAbgBcAG4AIAAgACAAIAAvAC8AIAAgAEEAcwBzAGUAbQBiAGwAZQAgAEUAcgByAG8AcgAgAE0AZQBzAHMAYQBnAGUAcwAgAEEAcgByAGEAeQAgACgAaQBmACAAZQByAHIAbwByAHMAIABmAG8AdQBuAGQAKQBcAG4AIAAgACAAIAAgACAAIAAgAEUAcgByAG8AcgBzADIAUwBoAG8AdwAsACAAIAAgACAAVgBTAFQAQQBDAEsAKAAgAEQAaQBhAGcAbgBvAHMAdABpAGMAcwAgACoAIABFAHIAcgBvAHIAcwBJAG4AQQByAGcAcwAsACAARABpAGEAZwBuAG8AcwB0AGkAYwBzACAAKgAgAEQAVgBFAHIAcgBvAHIAcwApACwAIABcAG4AIAAgACAAIAAgACAAIAAgAEUAcgByAE0AcwBnAHMALAAgACAAIAAgACAAIAAgACAAewBcACIATwBwAGUAbgBpAG4AZwAgAGMAbwBuAHQAYQBpAG4AcwAgAGUAcgByAG8AcgBzACAAaQBuACAAYwBlAGwAbABzAC4AIABSAGUAcwBvAGwAdgBlACAAZQByAHIAbwByAHMAIABmAGkAcgBzAHQALgBcACIAOwBcAG4AIAAgACAAIAAgACAAIAAgACAAIAAgACAAIAAgACAAIAAgACAAIAAgACAAIAAgACAAIABcACIARgBsAG8AdwAxACAAYwBvAG4AdABhAGkAbgBzACAAZQByAHIAbwByAHMAIABpAG4AIABjAGUAbABsAHMALgAgAFIAZQBzAG8AbAB2AGUAIABlAHIAcgBvAHIAcwAgAGYAaQByAHMAdAAuAFwAIgA7AFwAbgAgACAAIAAgACAAIAAgACAAIAAgACAAIAAgACAAIAAgACAAIAAgACAAIAAgACAAIAAgAFwAIgBGAGwAbwB3ADIAIABjAG8AbgB0AGEAaQBuAHMAIABlAHIAcgBvAHIAcwAgAGkAbgAgAGMAZQBsAGwAcwAuACAAUgBlAHMAbwBsAHYAZQAgAGUAcgByAG8AcgBzACAAZgBpAHIAcwB0AC4AXAAiADsAXABuACAAIAAgACAAIAAgACAAIAAgACAAIAAgACAAIAAgACAAIAAgACAAIAAgACAAIAAgACAAXAAiAEYAbABvAHcAMwAgAGMAbwBuAHQAYQBpAG4AcwAgAGUAcgByAG8AcgBzACAAaQBuACAAYwBlAGwAbABzAC4AIABSAGUAcwBvAGwAdgBlACAAZQByAHIAbwByAHMAIABmAGkAcgBzAHQALgBcACIAOwBcAG4AIAAgACAAIAAgACAAIAAgACAAIAAgACAAIAAgACAAIAAgACAAIAAgACAAIAAgACAAIABcACIARgBsAG8AdwA0ACAAYwBvAG4AdABhAGkAbgBzACAAZQByAHIAbwByAHMAIABpAG4AIABjAGUAbABsAHMALgAgAFIAZQBzAG8AbAB2AGUAIABlAHIAcgBvAHIAcwAgAGYAaQByAHMAdAAuAFwAIgA7AFwAbgAgACAAIAAgACAAIAAgACAAIAAgACAAIAAgACAAIAAgACAAIAAgACAAIAAgACAAIAAgAFwAbgAgACAAIAAgACAAIAAgACAAIAAgACAAIAAgACAAIAAgACAAIAAgACAAIAAgACAAIAAgAFwAIgBTAGUAdAAgAE8AcABlAG4AaQBuAGcAIABtAHUAcwB0ACAAdABvACAAYwBvAG4AdABhAGkAbgAgAG8AbgBsAHkAIABuAHUAbQBlAHIAaQBjACAAdgBhAGwAdQBlAHMALgBcACIAOwBcAG4AIAAgACAAIAAgACAAIAAgACAAIAAgACAAIAAgACAAIAAgACAAIAAgACAAIAAgACAAIABcACIAUwBlAHQAIABGAGwAbwB3ADEAIAB0AG8AIABjAG8AbgB0AGEAaQBuACAAbwBuAGwAeQAgAG4AdQBtAGUAcgBpAGMAIAB2AGEAbAB1AGUAcwAuAFwAIgA7AFwAbgAgACAAIAAgACAAIAAgACAAIAAgACAAIAAgACAAIAAgACAAIAAgACAAIAAgACAAIAAgAFwAIgBTAGUAdAAgAEYAbABvAHcAMgAgAHQAbwAgAGMAbwBuAHQAYQBpAG4AIABvAG4AbAB5ACAAbgB1AG0AZQByAGkAYwAgAHYAYQBsAHUAZQBzAC4AXAAiADsAXABuACAAIAAgACAAIAAgACAAIAAgACAAIAAgACAAIAAgACAAIAAgACAAIAAgACAAIAAgACAAXAAiAFMAZQB0ACAARgBsAG8AdwAzACAAdABvACAAYwBvAG4AdABhAGkAbgAgAG8AbgBsAHkAIABuAHUAbQBlAHIAaQBjACAAdgBhAGwAdQBlAHMALgBcACIAOwBcAG4AIAAgACAAIAAgACAAIAAgACAAIAAgACAAIAAgACAAIAAgACAAIAAgACAAIAAgACAAIABcACIAUwBlAHQAIABGAGwAbwB3ADQAIAB0AG8AIABjAG8AbgB0AGEAaQBuACAAbwBuAGwAeQAgAG4AdQBtAGUAcgBpAGMAIAB2AGEAbAB1AGUAcwAuAFwAIgB9ACwAXABuACAAIAAgACAAIAAgACAAIABNAGUAcwBzAGEAZwBlAHMALAAgACAAIAAgACAAIAAgAEYASQBMAFQARQBSACgARQByAHIATQBzAGcAcwAsACAARQByAHIAbwByAHMAMgBTAGgAbwB3ACwAIABcACIAXAAiACkALAAgACAAIAAgACAAIAAgACAAXABuAFwAbgAgACAAIAAgAC8ALwAgACAASABhAG4AZABsAGUAIABFAHIAcgBvAHIAXABuACAAIAAgACAAIAAgACAAIABSAGUAdAB1AHIAbgAsACAAIAAgACAAIAAgACAAIAAgAEkARgAoACAATwBSACgAIABFAHIAcgBvAHIAcwAyAFMAaABvAHcAKQAsACAAMgAsACAASQBGACgAIABBAG4AeQBFAHIAcgBvAHIAcwA/ACwAIAAzACwAIAAxACkAKQAsACAAIAAgACAAIAAgACAAIABcAG4AIAAgACAAIAAvAC8AIAAgAFIAZQB0AHUAcgBuACAAUgBlAHMAdQBsAHQAXABuACAAIAAgACAAIAAgACAAIABDAEgATwBPAFMARQAoAFIAZQB0AHUAcgBuACwAIABUAFIAVQBFACwAIABNAGUAcwBzAGEAZwBlAHMALAAgACMAVgBBAEwAVQBFACEAKQBcAG4AIAAgACAAIAApACAAIAAgACAAXABuACkAOwBcAG4AXABuAFwAbgBcAG4ALwAqACAAIABGAFUATgBDAFQASQBPAE4AIABOAEEATQBFADoAIAAgAEQAZQBwAHIAZQBjAGkAYQB0AGUAuwNEAFYAXABuACAAIAAgACAARABFAFMAQwBSAEkAUABUAEkATwBOADoAKgAvAC8AKgAqAFAAcgBvAHYAaQBkAGUAcwAgAGUAeAB0AGUAbgBkAGUAZAAgAGQAYQB0AGEAIAB2AGEAbABpAGQAYQB0AGkAbwBuACAAbwBmACAAYQByAGcAdQBtAGUAbgB0AHMAIABmAG8AcgAgAEQAZQBwAHIAZQBjAGkAYQB0AGUAuwMqAC8AXABuAC8AKgAgACAAUgBFAFYASQBTAEkATwBOAFMAOgAgACAAIAAgACAAIABEAGEAdABlACAAIAAgACAAIAAgACAAIABEAGUAdgBlAGwAbwBwAGUAcgAgACAAIAAgACAAIAAgAEQAZQBzAGMAcgBpAHAAdABpAG8AbgAgACAAXABuACAAIAAgACAAIAAgACAAIAAgACAAIAAgACAAIAAgACAAIAAgACAAIABPAGMAdAAgADIANAAgADIAMAAyADMAIABDAHIAYQBpAGcAIABIAGEAdABtAGEAawBlAHIAIAAgAE8AcgBpAGcAaQBuAGEAbAAgAEQAZQB2AGUAbABvAHAAbQBlAG4AdABcAG4AKgAvAFwAbgBEAGUAcAByAGUAYwBpAGEAdABlALsDRABWACAAPQAgAEwAQQBNAEIARABBACgAXABuAC8ALwAgACAAUABhAHIAYQBtAGUAdABlAHIAIABEAGUAYwBsAGEAcgBhAHQAaQBvAG4AcwBcAG4AIAAgACAAIABbAEkAbgBpAHQAaQBhAGwAVgBhAGwAdQBlAHMAXQAsAFwAbgAgACAAIAAgAFsASQBuAFMAZQByAHYAaQBjAGUARABhAHQAZQBzAF0ALAAgAFwAbgAgACAAIAAgAFsATABpAGYAZQBJAG4AWQBlAGEAcgBzAF0ALAAgAFwAbgAgACAAIAAgAFsAVABpAG0AZQBsAGkAbgBlAF0ALABcAG4AIAAgACAAIABbAFMAYQBsAHYAYQBnAGUAVgBhAGwAdQBlAHMAXQAsAFwAbgAgACAAIAAgAFsARABpAHMAcABvAHMAYQBsAEQAYQB0AGUAcwBdACwAXABuACAAIAAgACAAWwBEAGkAcwBwAG8AcwBhAGwAQwBvAHMAdABzAF0ALABcAG4AIAAgACAAIABbAE0AZQB0AGgAbwBkAHMAXQAsACAAXABuACAAIAAgACAAWwBGAGEAYwB0AG8AcgBzAF0ALAAgAFwAbgBcAG4AIAAgACAAIABMAEUAVAAoAFwAbgAgACAAIAAgAC8ALwAgACAAQwBoAGUAYwBrACAAaQBuAHAAdQB0AHMAIAAtACAARQByAHIAbwByAHMAIABpAG4AIABhAHIAZwB1AG0AZQBuAHQAIAB2AGEAbAB1AGUAcwBcAG4AIAAgACAAIAAgACAAIAAgAEUAcgByAG8AcgBzAEkAbgBBAHIAZwBzACwAIAAgACAAVgBTAFQAQQBDAEsAKAAgAFwAbgAgACAAIAAgACAAIAAgACAAIAAgACAAIAAgACAAIAAgACAAIAAgACAAIAAgACAAIAAgACAAIAAgAE8AUgAoACAASQBTAEUAUgBSAE8AUgAoACAASQBuAGkAdABpAGEAbABWAGEAbAB1AGUAcwApACkALABcAG4AIAAgACAAIAAgACAAIAAgACAAIAAgACAAIAAgACAAIAAgACAAIAAgACAAIAAgACAAIAAgACAAIABPAFIAKAAgAEkAUwBFAFIAUgBPAFIAKAAgAEkAbgBTAGUAcgB2AGkAYwBlAEQAYQB0AGUAcwApACkALABcAG4AIAAgACAAIAAgACAAIAAgACAAIAAgACAAIAAgACAAIAAgACAAIAAgACAAIAAgACAAIAAgACAAIABPAFIAKAAgAEkAUwBFAFIAUgBPAFIAKAAgAEwAaQBmAGUASQBuAFkAZQBhAHIAcwApACkALABcAG4AIAAgACAAIAAgACAAIAAgACAAIAAgACAAIAAgACAAIAAgACAAIAAgACAAIAAgACAAIAAgACAAIABPAFIAKAAgAEkAUwBFAFIAUgBPAFIAKAAgAFQAaQBtAGUAbABpAG4AZQApACkALABcAG4AIAAgACAAIAAgACAAIAAgACAAIAAgACAAIAAgACAAIAAgACAAIAAgACAAIAAgACAAIAAgACAAIABPAFIAKAAgAEkAUwBFAFIAUgBPAFIAKAAgAFMAYQBsAHYAYQBnAGUAVgBhAGwAdQBlAHMAKQApACwAXABuACAAIAAgACAAIAAgACAAIAAgACAAIAAgACAAIAAgACAAIAAgACAAIAAgACAAIAAgACAAIAAgACAATwBSACgAIABJAFMARQBSAFIATwBSACgAIABEAGkAcwBwAG8AcwBhAGwARABhAHQAZQBzACkAKQAsAFwAbgAgACAAIAAgACAAIAAgACAAIAAgACAAIAAgACAAIAAgACAAIAAgACAAIAAgACAAIAAgACAAIAAgAE8AUgAoACAASQBTAEUAUgBSAE8AUgAoACAARABpAHMAcABvAHMAYQBsAEMAbwBzAHQAcwApACkALABcAG4AIAAgACAAIAAgACAAIAAgACAAIAAgACAAIAAgACAAIAAgACAAIAAgACAAIAAgACAAIAAgACAAIABPAFIAKAAgAEkAUwBFAFIAUgBPAFIAKAAgAE0AZQB0AGgAbwBkAHMAKQApACwAXABuACAAIAAgACAAIAAgACAAIAAgACAAIAAgACAAIAAgACAAIAAgACAAIAAgACAAIAAgACAAIAAgACAATwBSACgAIABJAFMARQBSAFIATwBSACgAIABGAGEAYwB0AG8AcgBzACkAKQBcAG4AIAAgACAAIAAgACAAIAAgACAAIAAgACAAIAAgACAAIAAgACAAIAAgACAAIAAgACAAKQAsAFwAbgBcAG4AIAAgACAAIAAvAC8AIAAgAEMAaABlAGMAawAgAGkAbgBwAHUAdABzACAALQAgAEQAYQB0AGEAIAB2AGEAbABpAGQAYQB0AGkAbwBuACAAZQByAHIAbwByAHMAXABuACAAIAAgACAAIAAgACAAIABEAFYAQQByAGcAMQAsACAAIAAgACAAIAAgACAAIAAgAEkARgAoACAATwBSACgAIABJAFMARQBSAFIATwBSACgASQBuAGkAdABpAGEAbABWAGEAbAB1AGUAcwApACkALAAgAFwAbgAgACAAIAAgACAAIAAgACAAIAAgACAAIAAgACAAIAAgACAAIAAgACAAIAAgACAAIAAgACAAIAAgAEYAQQBMAFMARQAsACAAXABuACAAIAAgACAAIAAgACAAIAAgACAAIAAgACAAIAAgACAAIAAgACAAIAAgACAAIAAgACAAIAAgACAATwBSACgAIABJAEYARQBSAFIATwBSACgAIABWAEEATABVAEUAKABJAG4AaQB0AGkAYQBsAFYAYQBsAHUAZQBzACkAIAA8ACAAMQAsACAAVABSAFUARQApACkAKQAsAFwAbgAgACAAIAAgACAAIAAgACAARABWAEEAcgBnADIALAAgACAAIAAgACAAIAAgACAAIABJAEYAKAAgAE8AUgAoACAASQBTAEUAUgBSAE8AUgAoACAASQBuAFMAZQByAHYAaQBjAGUARABhAHQAZQBzACkALAAgAEkAUwBFAFIAUgBPAFIAKAAgAFQAaQBtAGUAbABpAG4AZQApACkALAAgAFwAbgAgACAAIAAgACAAIAAgACAAIAAgACAAIAAgACAAIAAgACAAIAAgACAAIAAgACAAIAAgACAAIAAgAEYAQQBMAFMARQAsACAAXABuACAAIAAgACAAIAAgACAAIAAgACAAIAAgACAAIAAgACAAIAAgACAAIAAgACAAIAAgACAAIAAgACAATwBSACgAIABJAEYARQBSAFIATwBSACgAIABWAEEATABVAEUAKABJAG4AUwBlAHIAdgBpAGMAZQBEAGEAdABlAHMAKQAgADwAIABNAEkATgAoACAAVABpAG0AZQBsAGkAbgBlACkALAAgAFQAUgBVAEUAKQApACkALABcAG4AIAAgACAAIAAgACAAIAAgAEQAVgBBAHIAZwAzACwAIAAgACAAIAAgACAAIAAgACAASQBGACgAIABPAFIAKAAgAEkAUwBFAFIAUgBPAFIAKAAgAEwAaQBmAGUASQBuAFkAZQBhAHIAcwApACkALAAgAFwAbgAgACAAIAAgACAAIAAgACAAIAAgACAAIAAgACAAIAAgACAAIAAgACAAIAAgACAAIAAgACAAIAAgAEYAQQBMAFMARQAsACAAXABuACAAIAAgACAAIAAgACAAIAAgACAAIAAgACAAIAAgACAAIAAgACAAIAAgACAAIAAgACAAIAAgACAATwBSACgAIABJAEYARQBSAFIATwBSACgAIABWAEEATABVAEUAKABMAGkAZgBlAEkAbgBZAGUAYQByAHMAKQAgADwAIAAxACwAIABUAFIAVQBFACkAKQApACwAXABuACAAIAAgACAAIAAgACAAIABEAFYAQQByAGcANAAsACAAIAAgACAAIAAgACAAIAAgAEkARgAoACAATwBSACgAIABJAFMARQBSAFIATwBSACgAIABUAGkAbQBlAGwAaQBuAGUAKQApACwAIABcAG4AIAAgACAAIAAgACAAIAAgACAAIAAgACAAIAAgACAAIAAgACAAIAAgACAAIAAgACAAIAAgACAAIABGAEEATABTAEUALAAgAFwAbgAgACAAIAAgACAAIAAgACAAIAAgACAAIAAgACAAIAAgACAAIAAgACAAIAAgACAAIAAgACAAIAAgAEMATwBVAE4AVABBACgAIABUAGkAbQBlAGwAaQBuAGUAKQAgADwAIAAyACkALABcAG4AIAAgACAAIAAgACAAIAAgAEQAVgBBAHIAZwA0AGIALAAgACAAIAAgACAAIAAgACAASQBGACgAIABPAFIAKAAgAE8AUgAoAEUAcgByAG8AcgBzAEkAbgBBAHIAZwBzACkALAAgAEQAVgBBAHIAZwA0ACkALAAgAFwAbgAgACAAIAAgACAAIAAgACAAIAAgACAAIAAgACAAIAAgACAAIAAgACAAIAAgACAAIAAgACAAIAAgAEYAQQBMAFMARQAsACAAXABuACAAIAAgACAAIAAgACAAIAAgACAAIAAgACAAIAAgACAAIAAgACAAIAAgACAAIAAgACAAIAAgACAAKABJAE4ARABFAFgAKABUAGkAbQBlAGwAaQBuAGUALAAgADIAKQAgAC0AIABJAE4ARABFAFgAKABUAGkAbQBlAGwAaQBuAGUALAAgADEAKQApACAAPAAgADIAOAAgACkALABcAG4AIAAgACAAIAAgACAAIAAgAEQAVgBBAHIAZwA1ACwAIAAgACAAIAAgACAAIAAgACAASQBGACgAIABPAFIAKAAgAEkAUwBPAE0ASQBUAFQARQBEACgAIABTAGEAbAB2AGEAZwBlAFYAYQBsAHUAZQBzACkALAAgAE8AUgAoAEkAUwBFAFIAUgBPAFIAKABTAGEAbAB2AGEAZwBlAFYAYQBsAHUAZQBzACkAKQApACwAIABcAG4AIAAgACAAIAAgACAAIAAgACAAIAAgACAAIAAgACAAIAAgACAAIAAgACAAIAAgACAAIAAgACAAIABGAEEATABTAEUALAAgAFwAbgAgACAAIAAgACAAIAAgACAAIAAgACAAIAAgACAAIAAgACAAIAAgACAAIAAgACAAIAAgACAAIAAgAE8AUgAoACAASQBGAEUAUgBSAE8AUgAoACAAVgBBAEwAVQBFACgAUwBhAGwAdgBhAGcAZQBWAGEAbAB1AGUAcwApACAAPAAgADAALAAgAFQAUgBVAEUAKQApACkALABcAG4AIAAgACAAIAAgACAAIAAgAEQAVgBBAHIAZwA2ACwAIAAgACAAIAAgACAAIAAgACAASQBGACgAIABPAFIAKAAgAEkAUwBPAE0ASQBUAFQARQBEACgAIABEAGkAcwBwAG8AcwBhAGwARABhAHQAZQBzACkALAAgAE8AUgAoAEUAcgByAG8AcgBzAEkAbgBBAHIAZwBzACkAKQAsAFwAbgAgACAAIAAgACAAIAAgACAAIAAgACAAIAAgACAAIAAgACAAIAAgACAAIAAgACAAIAAgACAAIAAgAEYAQQBMAFMARQAsACAAXABuACAAIAAgACAAIAAgACAAIAAgACAAIAAgACAAIAAgACAAIAAgACAAIAAgACAAIAAgACAAIAAgACAATwBSACgAIABEAGkAcwBwAG8AcwBhAGwARABhAHQAZQBzACAAPAAgAEkAbgBTAGUAcgB2AGkAYwBlAEQAYQB0AGUAcwApACkALABcAG4AIAAgACAAIAAgACAAIAAgACAAIAAgACAAIAAgACAAIAAgACAAIAAgACAAIAAgACAAIAAgACAAIAAvAC8ATwBSACgAIABJAEYARQBSAFIATwBSACgAIABWAEEATABVAEUAKABEAGkAcwBwAG8AcwBhAGwARABhAHQAZQBzACkAIAA8ACAASQBuAFMAZQByAHYAaQBjAGUARABhAHQAZQBzACwAIABUAFIAVQBFACkAKQApACwAXABuACAAIAAgACAAIAAgACAAIABEAFYAQQByAGcANwAsACAAIAAgACAAIAAgACAAIAAgAEkARgAoACAATwBSACgAIABJAFMATwBNAEkAVABUAEUARAAoACAARABpAHMAcABvAHMAYQBsAEMAbwBzAHQAcwApACwAIABPAFIAKABJAFMARQBSAFIATwBSACgARABpAHMAcABvAHMAYQBsAEMAbwBzAHQAcwApACkAKQAsACAAXABuACAAIAAgACAAIAAgACAAIAAgACAAIAAgACAAIAAgACAAIAAgACAAIAAgACAAIAAgACAAIAAgACAARgBBAEwAUwBFACwAIABcAG4AIAAgACAAIAAgACAAIAAgACAAIAAgACAAIAAgACAAIAAgACAAIAAgACAAIAAgACAAIAAgACAAIABPAFIAKAAgAEkARgBFAFIAUgBPAFIAKAAgAFYAQQBMAFUARQAoAEQAaQBzAHAAbwBzAGEAbABDAG8AcwB0AHMAKQAgADwAIAAwACwAIABUAFIAVQBFACkAKQApACwAXABuACAAIAAgACAAIAAgACAAIABEAFYAQQByAGcAOAAsACAAIAAgACAAIAAgACAAIAAgAEkARgAoACAATwBSACgAIABJAFMATwBNAEkAVABUAEUARAAoACAATQBlAHQAaABvAGQAcwApACwAIAAgAEkAUwBFAFIAUgBPAFIAKAAgAE0AZQB0AGgAbwBkAHMAKQApACwAIABcAG4AIAAgACAAIAAgACAAIAAgACAAIAAgACAAIAAgACAAIAAgACAAIAAgACAAIAAgACAAIAAgACAAIABGAEEATABTAEUALAAgAFwAbgAgACAAIAAgACAAIAAgACAAIAAgACAAIAAgACAAIAAgACAAIAAgACAAIAAgACAAIAAgACAAIAAgAE8AUgAoAEkAUwBFAFIAUgBPAFIAKAAgAFMARQBBAFIAQwBIACgAIABNAGUAdABoAG8AZABzACwAIABcACIAUwBMAE4ALABTAFkARAAsAEQAQgAsAEQARABCACwAVgBEAEIALABNAEEAQwBSAFMAXAAiACkAKQApACkALABcAG4AIAAgACAAIAAgACAAIAAgAEQAVgBBAHIAZwA5ACwAIAAgACAAIAAgACAAIAAgACAASQBGACgAIABPAFIAKAAgAEkAUwBPAE0ASQBUAFQARQBEACgAIABGAGEAYwB0AG8AcgBzACkALAAgACAASQBTAEUAUgBSAE8AUgAoACAARgBhAGMAdABvAHIAcwApACkALAAgAFwAbgAgACAAIAAgACAAIAAgACAAIAAgACAAIAAgACAAIAAgACAAIAAgACAAIAAgACAAIAAgACAAIAAgAEYAQQBMAFMARQAsACAAXABuACAAIAAgACAAIAAgACAAIAAgACAAIAAgACAAIAAgACAAIAAgACAAIAAgACAAIAAgACAAIAAgACAATwBSACgASQBGAEUAUgBSAE8AUgAoACAAVgBBAEwAVQBFACgAIABGAGEAYwB0AG8AcgBzACkAIAA8ACAAMAAsACAAVABSAFUARQAgACkAKQApACwAXABuACAAIAAgACAAIAAgACAAIABEAFYARQByAHIAbwByAHMALAAgACAAIAAgACAAIAAgAFYAUwBUAEEAQwBLACgAIABEAFYAQQByAGcAMQAsACAARABWAEEAcgBnADIALAAgAEQAVgBBAHIAZwAzACwAIABEAFYAQQByAGcANAAsACAARABWAEEAcgBnADQAYgAsACAARABWAEEAcgBnADUALAAgAEQAVgBBAHIAZwA2ACwAIABEAFYAQQByAGcANwAsACAARABWAEEAcgBnADgALAAgAEQAVgBBAHIAZwA5ACAAKQAsAFwAbgAgACAAIAAgACAAIAAgACAAXABuACAAIAAgACAALwAvACAAIABBAG4AeQAgAGkAbgBwAHUAdAAgAGUAcgByAG8AcgBzACAAZABlAHQAZQBjAHQAZQBkAD8AXABuACAAIAAgACAAIAAgACAAIABBAG4AeQBFAHIAcgBvAHIAcwA/ACwAIAAgACAAIAAgAE8AUgAoAEUAcgByAG8AcgBzAEkAbgBBAHIAZwBzACwAIABEAFYARQByAHIAbwByAHMAKQAsAFwAbgBcAG4AIAAgACAAIAAvAC8AIAAgAEEAcwBzAGUAbQBiAGwAZQAgAEUAcgByAG8AcgAgAE0AZQBzAHMAYQBnAGUAcwAgAEEAcgByAGEAeQAgACgAaQBmACAAZQByAHIAbwByAHMAIABmAG8AdQBuAGQAKQBcAG4AIAAgACAAIAAgACAAIAAgAEUAcgByAG8AcgBzADIAUwBoAG8AdwAsACAAIAAgACAAVgBTAFQAQQBDAEsAKAAgAEUAcgByAG8AcgBzAEkAbgBBAHIAZwBzACwAIABEAFYARQByAHIAbwByAHMAKQAsACAAXABuACAAIAAgACAAIAAgACAAIABFAHIAcgBNAHMAZwBzACwAIAAgACAAIAAgACAAIAAgAHsAXABuACAAIAAgACAAIAAgACAAIAAgACAAIAAgACAAIAAgACAAIAAgACAAIAAvAC8AIAAgAEUAcgByAG8AcgBzACAAaQBuACAAYQByAGcAdQBtAGUAbgB0AHMAXABuACAAIAAgACAAIAAgACAAIAAgACAAIAAgACAAIAAgACAAIAAgACAAIAAgACAAIAAgACAAXAAiAEkAbgBpAHQAaQBhAGwAVgBhAGwAdQBlAHMAIABjAG8AbgB0AGEAaQBuAHMAIABlAHIAcgBvAHIAcwAgAGkAbgAgAGMAZQBsAGwAcwAuACAAUgBlAHMAbwBsAHYAZQAgAGUAcgByAG8AcgBzACAAZgBpAHIAcwB0AC4AXAAiADsAXABuACAAIAAgACAAIAAgACAAIAAgACAAIAAgACAAIAAgACAAIAAgACAAIAAgACAAIAAgACAAXAAiAEkAbgBTAGUAcgB2AGkAYwBlAEQAYQB0AGUAcwAgAGMAbwBuAHQAYQBpAG4AcwAgAGUAcgByAG8AcgBzACAAaQBuACAAYwBlAGwAbABzAC4AIABSAGUAcwBvAGwAdgBlACAAZQByAHIAbwByAHMAIABmAGkAcgBzAHQALgBcACIAOwBcAG4AIAAgACAAIAAgACAAIAAgACAAIAAgACAAIAAgACAAIAAgACAAIAAgACAAIAAgACAAIABcACIATABpAGYAZQBJAG4AWQBlAGEAcgBzACAAYwBvAG4AdABhAGkAbgBzACAAZQByAHIAbwByAHMAIABpAG4AIABjAGUAbABsAHMALgAgAFIAZQBzAG8AbAB2AGUAIABlAHIAcgBvAHIAcwAgAGYAaQByAHMAdAAuAFwAIgA7AFwAbgAgACAAIAAgACAAIAAgACAAIAAgACAAIAAgACAAIAAgACAAIAAgACAAIAAgACAAIAAgAFwAIgBUAGkAbQBlAGwAaQBuAGUAIABjAG8AbgB0AGEAaQBuAHMAIABlAHIAcgBvAHIAcwAgAGkAbgAgAGMAZQBsAGwAcwAuACAAUgBlAHMAbwBsAHYAZQAgAGUAcgByAG8AcgBzACAAZgBpAHIAcwB0AC4AXAAiADsAXABuACAAIAAgACAAIAAgACAAIAAgACAAIAAgACAAIAAgACAAIAAgACAAIAAgACAAIAAgACAAXAAiAFMAYQBsAHYAYQBnAGUAVgBhAGwAdQBlAHMAIABjAG8AbgB0AGEAaQBuAHMAIABlAHIAcgBvAHIAcwAgAGkAbgAgAGMAZQBsAGwAcwAuACAAUgBlAHMAbwBsAHYAZQAgAGUAcgByAG8AcgBzACAAZgBpAHIAcwB0AC4AXAAiADsAXABuACAAIAAgACAAIAAgACAAIAAgACAAIAAgACAAIAAgACAAIAAgACAAIAAgACAAIAAgACAAXAAiAEQAaQBzAHAAbwBzAGEAbABEAGEAdABlAHMAIABjAG8AbgB0AGEAaQBuAHMAIABlAHIAcgBvAHIAcwAgAGkAbgAgAGMAZQBsAGwAcwAuACAAUgBlAHMAbwBsAHYAZQAgAGUAcgByAG8AcgBzACAAZgBpAHIAcwB0AC4AXAAiADsAXABuACAAIAAgACAAIAAgACAAIAAgACAAIAAgACAAIAAgACAAIAAgACAAIAAgACAAIAAgACAAXAAiAEQAaQBzAHAAbwBzAGEAbABDAG8AcwB0AHMAIABjAG8AbgB0AGEAaQBuAHMAIABlAHIAcgBvAHIAcwAgAGkAbgAgAGMAZQBsAGwAcwAuACAAUgBlAHMAbwBsAHYAZQAgAGUAcgByAG8AcgBzACAAZgBpAHIAcwB0AC4AXAAiADsAXABuACAAIAAgACAAIAAgACAAIAAgACAAIAAgACAAIAAgACAAIAAgACAAIAAgACAAIAAgACAAXAAiAE0AZQB0AGgAbwBkAHMAIABjAG8AbgB0AGEAaQBuAHMAIABlAHIAcgBvAHIAcwAgAGkAbgAgAGMAZQBsAGwAcwAuACAAUgBlAHMAbwBsAHYAZQAgAGUAcgByAG8AcgBzACAAZgBpAHIAcwB0AC4AXAAiADsAXABuACAAIAAgACAAIAAgACAAIAAgACAAIAAgACAAIAAgACAAIAAgACAAIAAgACAAIAAgACAAXAAiAEYAYQBjAHQAbwByAHMAIABjAG8AbgB0AGEAaQBuAHMAIABlAHIAcgBvAHIAcwAgAGkAbgAgAGMAZQBsAGwAcwAuACAAUgBlAHMAbwBsAHYAZQAgAGUAcgByAG8AcgBzACAAZgBpAHIAcwB0AC4AXAAiADsAXABuACAAIAAgACAAIAAgACAAIAAgACAAIAAgACAAIAAgACAAIAAgACAAIABcAG4AIAAgACAAIAAgACAAIAAgACAAIAAgACAAIAAgACAAIAAgACAAIAAgAC8ALwAgACAARABhAHQAYQAgAHYAYQBsAGkAZABhAHQAaQBvAG4AIABlAHIAcgBvAHIAcwBcAG4AIAAgACAAIAAgACAAIAAgACAAIAAgACAAIAAgACAAIAAgACAAIAAgACAAIAAgACAAIABcACIASQBuAGkAdABpAGEAbABWAGEAbAB1AGUAcwAgAG0AdQBzAHQAIABiAGUAIABhAG4AIABhAG0AbwB1AG4AdAAgAGcAcgBlAGEAdABlAHIAIAB0AGgAYQBuACAAMABcACIAOwBcAG4AIAAgACAAIAAgACAAIAAgACAAIAAgACAAIAAgACAAIAAgACAAIAAgACAAIAAgACAAIABcACIASQBuAFMAZQByAHYAaQBjAGUARABhAHQAZQBzACAAbQB1AHMAdAAgAGIAZQAgAHYAYQBsAGkAZAAgAGQAYQB0AGUAcwBcACIAOwBcAG4AIAAgACAAIAAgACAAIAAgACAAIAAgACAAIAAgACAAIAAgACAAIAAgACAAIAAgACAAIABcACIATABpAGYAZQBJAG4AWQBlAGEAcgBzACAAbQB1AHMAdAAgAGIAZQAgAGEAIABuAHUAbQBiAGUAcgAgAGcAcgBlAGEAdABlAHIAIAB0AGgAYQBuACAAMABcACIAOwBcAG4AIAAgACAAIAAgACAAIAAgACAAIAAgACAAIAAgACAAIAAgACAAIAAgACAAIAAgACAAIABcACIAVABpAG0AZQBsAGkAbgBlACAAbQB1AHMAdAAgAGIAZQAgAGEAIAByAG8AdwAgAG8AZgAgAHAAZQByAGkAbwBkACAAcwB0AGEAcgB0ACAAZABhAHQAZQBzACAAdwBpAHQAaAAgAGUAdgBlAHIAeQAgAHAAZQByAGkAbwBkACAAcwBwAGEAbgBuAGkAbgBnACAAbwBuAGUAIABtAG8AbgB0AGgALAAgAHEAdQBhAHIAdABlAHIAIABvAHIAIAB5AGUAYQByAC4AXAAiADsAXABuACAAIAAgACAAIAAgACAAIAAgACAAIAAgACAAIAAgACAAIAAgACAAIAAgACAAIAAgACAAXAAiAEUAYQBjAGgAIABwAGUAcgBpAG8AZAAgAGkAbgAgAHQAaABlACAAdABpAG0AZQBsAGkAbgBlACAAbQB1AHMAdAAgAHMAcABhAG4AIABvAG4AZQAgAG0AbwBuAHQAaAAsACAAcQB1AGEAcgB0AGUAcgAgAG8AcgAgAHkAZQBhAHIALgBcACIAOwBcAG4AIAAgACAAIAAgACAAIAAgACAAIAAgACAAIAAgACAAIAAgACAAIAAgACAAIAAgACAAIABcACIAUwBhAGwAdgBhAGcAZQBWAGEAbAB1AGUAcwAgAG0AdQBzAHQAIABiAGUAIABhAG4AIABhAG0AbwB1AG4AdAAgAG4AbwB0ACAAbABlAHMAcwAgAHQAaABhAG4AIAAwACAAbwByACAAbwBtAGkAdAB0AGUAZABcACIAOwBcAG4AIAAgACAAIAAgACAAIAAgACAAIAAgACAAIAAgACAAIAAgACAAIAAgACAAIAAgACAAIABcACIARABpAHMAcABvAHMAYQBsAEQAYQB0AGUAcwAgAG0AdQBzAHQAIABiAGUAIABhACAAZABhAHQAZQAgAGcAcgBlAGEAdABlAHIAIAB0AGgAYQBuACAASQBuAFMAZQByAHYAaQBjAGUARABhAHQAZQBzACAAbwByACAAbwBtAGkAdAB0AGUAZABcACIAOwBcAG4AIAAgACAAIAAgACAAIAAgACAAIAAgACAAIAAgACAAIAAgACAAIAAgACAAIAAgACAAIABcACIARABpAHMAcABvAHMAYQBsAEMAbwBzAHQAcwAgAG0AdQBzAHQAIABiAGUAIABhAG4AIABhAG0AbwB1AG4AdAAgAG4AbwB0ACAAbABlAHMAcwAgAHQAaABhAG4AIAAwACAAbwByACAAbwBtAGkAdAB0AGUAZABcACIAOwBcAG4AIAAgACAAIAAgACAAIAAgACAAIAAgACAAIAAgACAAIAAgACAAIAAgACAAIAAgACAAIABcACIATQBlAHQAaABvAGQAcwAgAG0AdQBzAHQAIABiAGUAIABvAG0AaQB0AHQAZQBkACAAbwByACAAbwBuAGUAIABvAGYAOgAgAFMATABOACwAIABTAFkARAAsACAARABCACwAIABEAEQAQgAsACAATQBBAEMAUgBTACwAIABvAHIAIABWAEQAQgAuAFwAIgA7AFwAbgAgACAAIAAgACAAIAAgACAAIAAgACAAIAAgACAAIAAgACAAIAAgACAAIAAgACAAIAAgAFwAIgBGAGEAYwB0AG8AcgBzACAAbQB1AHMAdAAgAGIAZQAgAGEAIAB2AGEAbAB1AGUAIABnAHIAZQBhAHQAZQByACAAdABoAGEAbgAgADAAXAAiAH0ALABcAG4AIAAgACAAIAAgACAAIAAgAE0AZQBzAHMAYQBnAGUAcwAsACAAIAAgACAAIAAgACAARgBJAEwAVABFAFIAKABFAHIAcgBNAHMAZwBzACwAIABFAHIAcgBvAHIAcwAyAFMAaABvAHcALAAgAFwAIgBcACIAKQAsACAAIAAgACAAIAAgACAAIABcAG4AXABuACAAIAAgACAALwAvACAAIABIAGEAbgBkAGwAZQAgAEUAcgByAG8AcgBcAG4AIAAgACAAIAAgACAAIAAgAFIAZQB0AHUAcgBuACwAIAAgACAAIAAgACAAIAAgACAASQBGACgAIABPAFIAKAAgAEUAcgByAG8AcgBzADIAUwBoAG8AdwApACwAIAAyACwAIABJAEYAKAAgAEEAbgB5AEUAcgByAG8AcgBzAD8ALAAgADMALAAgADEAKQApACwAIAAgACAAIAAgACAAIAAgAFwAbgAgACAAIAAgAC8ALwAgACAAUgBlAHQAdQByAG4AIABSAGUAcwB1AGwAdABcAG4AIAAgACAAIAAgACAAIAAgAEMASABPAE8AUwBFACgAUgBlAHQAdQByAG4ALAAgAFQAUgBVAEUALAAgAE0AZQBzAHMAYQBnAGUAcwAsACAAIwBWAEEATABVAEUAIQApAFwAbgAgACAAIAAgACkAIAAgACAAIABcAG4AKQA7AFwAbgBcAG4AXABuAFwAbgAvAC8AIAAgAFMAdQBiAFIAbwB1AHQAaQBuAGUAcwBcAG4AXABuAFwAbgAvACoAIAAgAEYAVQBOAEMAVABJAE8ATgAgAE4AQQBNAEUAOgAgACAAVABpAG0AZQBsAGkAbgBlAE8AZgBmAHMAZQB0ALsDXABuACAAIAAgACAARABFAFMAQwBSAEkAUABUAEkATwBOADoAKgAvAC8AKgAqAEQAZQB0AGUAcgBtAGkAbgBlAHMAIABoAG8AdwAgAG0AYQBuAHkAIABwAGUAcgBpAG8AZABzACAAbwBuAGUAIABhAHIAcgBhAHkAIABpAHMAIABvAGYAZgBzAGUAdAAgAGYAcgBvAG0AIAB0AGgAZQAgAHQAaQBtAGUAbABpAG4AZQAqAC8AXABuAC8AKgAgACAARABJAFMAQwBVAFMAUwBJAE8ATgA6ACAAIAAgACAAIABUAGgAZQAgAHAAbwBzAHMAaQBiAGkAbABpAHQAeQAgAGUAeABpAHMAdABzACAAcgBlAHEAdQBpAHIAaQBuAGcAIABjAGEAbABjAHUAbABhAHQAaQBvAG4AcwAgAGIAZQBmAG8AcgBlACAAYQAgAG0AbwBkAGUAbAAnAHMAIAB0AGkAbQBlAGwAaQBuAGUALgAgAEEAbgAgAGUAeABhAG0AcABsAGUAIABpAHMAXABuACAAIAAgACAAIAAgACAAIAAgACAAIAAgACAAIAAgACAAIAAgACAAIABkAGUAcAByAGUAYwBpAGEAdABpAG8AbgAgAG8AZgAgAGEAcwBzAGUAdABzACAAaQBuACAAYQBuACAAZQB4AGkAcwB0AGkAbgBnACAAYwBvAG0AcABhAG4AeQAgAHcAYQBuAHQAaQBuAGcAIAB0AG8AIABmAG8AcgBlAGMAYQBzAHQAIABzAG8AbQBlACAAYQBjAHQAaQB2AGkAdAB5AC4AIABcAG4AIAAgACAAIAAgACAAIAAgACAAIAAgACAAIAAgACAAIAAgACAAIAAgAEkAbgAgAHMAdQBjAGgAIABjAGEAcwBlAHMALAAgAGkAdAAgAGMAYQBuACAAYgBlACAAYQBkAHYAYQBuAHQAYQBnAGUAbwB1AHMAIAB0AG8AIABwAGUAcgBmAG8AcgBtACAAdABoAGUAIABjAGEAbABjAHUAbABhAHQAaQBvAG4AcwAgAHcAaQB0AGgAaQBuACAAdABoAGUAaQByACAAbwB3AG4AIAB0AGkAbQBlAGwAaQBuAGUAXABuACAAIAAgACAAIAAgACAAIAAgACAAIAAgACAAIAAgACAAIAAgACAAIABhAG4AZAAgAHQAaABlAG4AIABwAGwAYQBjAGUAIAB0AGgAZQAgAHIAZQBzAHUAbAB0AHMAIABwAHIAbwBwAGUAcgBsAHkAIAB3AGkAdABoAGkAbgAgAHQAaABlACAAbQBvAGQAZQBsACcAcwAgAHQAaQBtAGUAbABpAG4AZQAuACAAXABuACAAIAAgACAAIAAgACAAIAAgACAAIAAgACAAIAAgACAAIAAgACAAIABUAGgAaQBzACAAcgBvAHUAdABpAG4AZQAgAGQAZQB0AGUAcgBtAGkAbgBlACAAdwBoAGUAcgBlACAAcwB1AGMAaAAgAGMAYQBsAGMAdQBsAGEAdABpAG8AbgAgAHIAZQBzAHUAbAB0AHMAIABmAGkAdAAgAHcAaQB0AGgAaQBuACAAdABoAGUAIABtAG8AZABlAGwAJwBzACAAdABpAG0AZQBsAGkAbgBlACAAYQBuAGQAIABcAG4AIAAgACAAIAAgACAAIAAgACAAIAAgACAAIAAgACAAIAAgACAAIAAgAGMAcgBvAHAAcwAgAHQAaABvAHMAZQAgAHIAZQBzAHUAbAB0AHMAIAB0AGgAYQB0ACAAZABvACAAbgBvAHQAIABiAGUAbABvAG4AZwAuACAAKgAvAFwAbgAvACoAIAAgAFIARQBWAEkAUwBJAE8ATgBTADoAIAAgACAAIAAgACAARABhAHQAZQAgACAAIAAgACAAIAAgACAARABlAHYAZQBsAG8AcABlAHIAIAAgACAAIAAgACAAIABEAGUAcwBjAHIAaQBwAHQAaQBvAG4AIAAgAFwAbgAgACAAIAAgACAAIAAgACAAIAAgACAAIAAgACAAIAAgACAAIAAgACAARABlAGMAIAAxADIAIAAyADAAMgAzACAAQwByAGEAaQBnACAASABhAHQAbQBhAGsAZQByACAAIABPAHIAaQBnAGkAbgBhAGwAIABEAGUAdgBlAGwAbwBwAG0AZQBuAHQAXABuACAAIAAgACAAIAAgACAAIAAgACAAIAAgACAAIAAgACAAIAAgACAAIABEAGUAYwAgADIAMAAgADIAMAAyADMAIABDAHIAYQBpAGcAIABIAGEAdABtAGEAawBlAHIAIAAgAE0AYQBkAGUAIABzAHUAcgBlACAAZABhAHQAZQAgAHAAYQByAGEAbQBlAHQAZQByACAAaQBzACAAbgB1AG0AZQByAGkAYwAsACAAbgBvAHQAIAB0AGUAeAB0AC4AXABuACAAIAAgACAAIAAgACAAIAAgACAAIAAgACAAIAAgACAAIAAgACAAIABEAGUAYwAgADIAMQAgADIAMAAyADMAIABDAHIAYQBpAGcAIABIAGEAdABtAGEAawBlAHIAIAAgAEEAZABkAGUAZAAgAEAAIAB0AG8AIABEAGEAdABlAFwAbgAqAC8AXABuAFQAaQBtAGUAbABpAG4AZQBPAGYAZgBzAGUAdAC7AyAAPQAgAEwAQQBNAEIARABBACgAXABuAC8ALwAgACAAUABhAHIAYQBtAGUAdABlAHIAIABEAGUAYwBsAGEAcgBhAHQAaQBvAG4AcwBcAG4AIAAgACAAIABbAEQAYQB0AGUAXQAsACAAIAAgACAAXABuACAAIAAgACAAWwBUAGkAbQBlAGwAaQBuAGUAXQAsACAAIAAgACAAI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QAaQBtAGUAbABpAG4AZQBPAGYAZgBzAGUAdAC7AygAQQByAHIAYQB5AFMAdABhAHIAdAAsACAAVABpAG0AZQBsAGkAbgBlACkAtgBcACIAIAAmAFwAbgAgACAAIAAgACAAIAAgACAAIAAgACAAIAAgACAAIAAgACAAIAAgACAAIAAgACAAIAAgACAAIAAgAFwAIgBEAEUAUwBDAFIASQBQAFQASQBPAE4AOgAgACAAIACSIUQAZQB0AGUAcgBtAGkAbgBlAHMAIABpAG4AIAB3AGgAaQBjAGgAIABwAGUAcgBpAG8AZAAsACAAcgBlAGwAYQB0AGkAdgBlACAAdABvACAAdABoAGUAIAB0AGkAbQBlAGwAaQBuAGUAJwBzACAAcwB0AGEAcgB0ACAAYQBuAGQAIABpAG4AdABlAHIAdgBhAGwALAC2AFwAIgAgACYAXABuACAAIAAgACAAIAAgACAAIAAgACAAIAAgACAAIAAgACAAIAAgACAAIAAgACAAIAAgACAAIAAgACAAIAAgACAAIAAgACAAIAAgACAAIAAgACAAIAAgACAAXAAiAJIhYQAgAGQAYQB0AGUAIABmAGEAbABsAHMAIAB3AGkAdABoAGkAbgAuALYAXAAiACAAJgAgAFwAbgAgACAAIAAgACAAIAAgACAAIAAgACAAIAAgACAAIAAgACAAIAAgACAAIAAgACAAIAAgACAAIAAgAFwAIgBXAEUAQgBQAEEARwBFADoAIAAgACAAIAAgACAAIACSITwAYwBvAG0AaQBuAGcAIABzAG8AbwBuAD4AtgBcACIAIAAmACAAXABuACAAIAAgACAAIAAgACAAIAAgACAAIAAgACAAIAAgACAAIAAgACAAIAAgACAAIAAgACAAIAAgACAAXAAiAFYARQBSAFMASQBPAE4AOgAgACAAIAAgACAAIAAgAJIhRABlAGMAIAAxADIAIAAyADAAMgAzALYAXAAiACAAJgBcAG4AIAAgACAAIAAgACAAIAAgACAAIAAgACAAIAAgACAAIAAgACAAIAAgACAAIAAgACAAIAAgACAAIABcACIAUABBAFIAQQBNAEUAVABFAFIAUwA6ACAAIAAgACAAkiG2AFwAIgAgACYAIABcAG4AIAAgACAAIAAgACAAIAAgACAAIAAgACAAIAAgACAAIAAgACAAIAAgACAAIAAgACAAIAAgACAAIABcACIARABhAHQAZQAgACAAIAAgACAAIAAgACAAIAAgACAAkiEoAFIAZQBxAHUAaQByAGUAZAApACAAQQAgAHMAdABhAHIAdABpAG4AZwAgAGQAYQB0AGUAtgBcACIAIAAmACAAXABuACAAIAAgACAAIAAgACAAIAAgACAAIAAgACAAIAAgACAAIAAgACAAIAAgACAAIAAgACAAIAAgACAAXAAiAFQAaQBtAGUAbABpAG4AZQAgACAAIAAgACAAIAAgAJIhKABSAGUAcQB1AGkAcgBlAGQAKQAgAEEAIABtAG8AZABlAGwAJwBzACAAdABpAG0AbABpAG4AZQAgACgAUgBvAHcAIABvAGYAIABwAGUAcgBpAG8AZAAgAHMAdABhAHIAdAAgAGQAYQB0AGUAcwApALYAXAAiACAAJgAgACAAIAAgACAAIAAgACAAIAAgACAAIAAgACAAIAAgACAAIAAgAFwAbgAgACAAIAAgACAAIAAgACAAIAAgACAAIAAgACAAIAAgACAAIAAgACAAIAAgACAAIAAgACAAIAAgAFwAIgBFAFgAQQBNAFAATABFAFMAOgAgACAAIAAgACAAIACSIbYAXAAiACAAJgBcAG4AIAAgACAAIAAgACAAIAAgACAAIAAgACAAIAAgACAAIAAgACAAIAAgACAAIAAgACAAIAAgACAAIABcACIAUgBlAHMAdQBsAHQAIAAgACAAIAAgACAAIAAgACAAkiFGAG8AcgBtAHUAbABhACAAKABCAFgARgAgAGkAcwAgAGEAcwBzAHUAbQBlAGQAIAB0AG8AIABiAGUAIAB0AGgAZQAgAG0AbwBkAHUAbABlACcAcwAgAG4AYQBtAGUAKQC2AFwAIgAgACYAXABuACAAIAAgACAAIAAgACAAIAAgACAAIAAgACAAIAAgACAAIAAgACAAIAAgACAAIAAgACAAIAAgACAAIAAgACAAIAAgACAAIAAgACAAIAAgACAAIAAgACAAXAAiAJIhPQBCAFgARgAuAFQAaQBtAGUAbABpAG4AZQBPAGYAZgBzAGUAdAC7AygAXAAiAFwAIgAyAC8AMQA1AC8AMgAwADIAMgBcACIAXAAiACwAIABFAEQAQQBUAEUAKABcACIAXAAiADEALwAxAC8AMgAwADIAMwBcACIAXAAiACwAIABTAEUAUQBVAEUATgBDAEUAKAAgACwAIAAxADIALAAgADA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RABhAHQAZQApACwAXABuACAAIAAgACAAIAAgACAAIAAgACAAIAAgACAAIAAgACAAIAAgACAAIAAgACAAIAAgACAAIAAgACAASQBTAE8ATQBJAFQAVABFAEQAKAAgAFQAaQBtAGUAbABpAG4AZQApAFwAbgAgACAAIAAgACAAIAAgACAAIAAgACAAIAAgACAAIAAgACAAIAAgACAAIAAgACAAIAApACwAXABuACAAIAAgACAALwAvACAAIABDAGgAZQBjAGsAIABpAG4AcAB1AHQAcwAgAC0AIABJAGYAIABkAGEAdABlACAAaQBzACAAaQBuACAAdABlAHgAdAAsACAAYwBvAG4AdgBlAHIAdAAgAHQAbwAgAHYAYQBsAHUAZQBcAG4AIAAgACAAIAAgACAAIAAgAEQAYQB0AGUALAAgACAAIAAgACAAIAAgACAAIAAgACAAQABJAEYAKAAgAEkAUwBUAEUAWABUACgAIABEAGEAdABlACkALAAgAEQAQQBUAEUAVgBBAEwAVQBFACgAIABEAGEAdABlACkALAAgAEQAYQB0AGUAKQAsAFwAbgAgACAAIAAgAC8AKgAgACAAUAByAGUAbQBpAHMAZQA6ACAAIAAgACAAIAAgACAAIABDAHIAZQBhAHQAZQAgAGEAIABzAGgAbwByAHQAIAB0AGkAbQBlAGwAaQBuAGUAIAB0AGgAYQB0ACAAaQBzACAAaQBuACAAcwB5AG4AYwAgAHcAaQB0AGgAIAB0AGgAZQAgAG0AbwBkAGUAbAAnAHMAIAB0AGkAbQBlAGwAaQBuAGUAIAB0AGgAYQB0ACAAcwBwAGEAbgBzACAAXABuACAAIAAgACAAIAAgACAAIAAgACAAIAAgACAAIAAgACAAIAAgACAAIAAgACAAIAAgAGYAcgBvAG0AIAB0AGgAZQAgAHQAaQBtAGUAbABpAG4AZQAgAHMAdABhAHIAdAAgAHQAbwAgAHQAaABlACAAZABhAHQAZQAgAGkAbgAgAHEAdQBlAHMAdABpAG8AbgAgAHAAbAB1AHMAIABvAG4AZQAgAHAAZQByAGkAbwBkACAAbwBuACAAZQBpAHQAaABlAHIAIABzAGkAZABlAC4AXABuACAAIAAgACAAIAAgACAAIAAgACAAIAAgACAAIAAgACAAIAAgACAAIAAgACAAIAAgAE4AbwAgAHcAZQAgAGMAYQBuACAAdQBzAGUAIABNAEEAVABDAEgAKAApACAAdABvACAAZgBpAG4AZAAgAHcAaABpAGMAaAAgAHQAaQBtAGUAbABpAG4AZQAgAHAAZQByAGkAbwBkACAAIAAgACAAKgAvAFwAbgAgACAAIAAgAC8ALwAgACAARABlAHQAZQByAG0AaQBuAGUAIAB0AGkAbQBlAGwAaQBuAGUAJwBzACAAaQBuAHQAZQByAHYAYQBsACAAKABsAGUAbgBnAHQAaAAgAG8AZgAgAHAAZQByAGkAbwBkAHMAKQBcAG4AIAAgACAAIAAgACAAIAAgAFAAZQByAGkAbwBkADEALAAgACAAIAAgACAAIAAgACAASQBOAEQARQBYACgAIABUAGkAbQBlAGwAaQBuAGUALAAgADEAKQAsAFwAbgAgACAAIAAgACAAIAAgACAAUABlAHIAaQBvAGQAMgAsACAAIAAgACAAIAAgACAAIABJAE4ARABFAFgAKAAgAFQAaQBtAGUAbABpAG4AZQAsACAAMgApACwAIABcAG4AIAAgACAAIAAgACAAIAAgAE0AcABQACwAIAAgACAAIAAgACAAIAAgACAAIAAgACAAUgBPAFUATgBEACgAIAAoAFAAZQByAGkAbwBkADIAIAAtACAAUABlAHIAaQBvAGQAMQApAC8AMwAwAC4ANQAsACAAMAApACwAIAAvAC8ATQBvAG4AdABoAHMAIABQAGUAcgAgAFAAZQByAGkAbwBkAFwAbgAgACAAIAAgAC8ALwAgACAARABlAHQAZQByAG0AaQBuAGUAIABpAGYAIABQAHIAaQBvAHIAIAB0AG8AIAB0AGkAbQBlAGwAaQBuAGUAIABvAHIAIABhAGYAdABlAHIAXABuACAAIAAgACAAIAAgACAAIABEAGkAcgBlAGMAdABpAG8AbgAsACAAIAAgACAAIAAgAEkARgAoAEQAYQB0AGUAIAA8ACAAUABlAHIAaQBvAGQAMQAsACAALQAxACwAIAAxACkALABcAG4AIAAgACAAIAAvAC8AIAAgAEQAZQB0AGUAcgBtAGkAbgBlACAAdABoAGUAIABuAHUAbQBiAGUAcgAgAG8AZgAgAG0AbwBuAHQAaABzACAAYgBlAHQAdwBlAGUAbgAgAHQAaQBtAGUAbABpAG4AZQAnAHMAIABzAHQAYQByAHQAIABhAG4AZAAgAHQAaABlACAAZABhAHQAZQAnAHMAIABwAGUAcgBpAG8AZAAgAHMAdABhAHIAdABcAG4AIAAgACAAIAAgACAAIAAgAE0AbwBuAHQAaABEAGkAZgBmACwAIAAgACAAIAAgACAAQABEAEEAVABFAEQASQBGACgAIABNAEkATgAoACAAUABlAHIAaQBvAGQAMQAsACAARABhAHQAZQApACwAIABNAEEAWAAoACAAUABlAHIAaQBvAGQAMQAsACAARABhAHQAZQApACwAIABcACIATQBcACIAKQAsAFwAbgAgACAAIAAgAC8ALwAgACAAQwBvAG4AdgBlAHIAdAAgAHQAbwAgAG4AdQBtAGIAZQByACAAbwBmACAAcABlAHIAaQBvAGQAcwBcAG4AIAAgACAAIAAgACAAIAAgAFAAZQByAGkAbwBkAEQAaQBmAGYALAAgACAAIAAgACAAUQBVAE8AVABJAEUATgBUACgAIABNAG8AbgB0AGgARABpAGYAZgAsACAATQBwAFAAKQAsAFwAbgAgACAAIAAgACAAIAAgACAAUABlAHIAaQBvAGQAUwBlAHEALAAgACAAIAAgACAAIABTAEUAUQBVAEUATgBDAEUAKAAgADEALAAgAFAAZQByAGkAbwBkAEQAaQBmAGYAIAArACAAMgAsACAASQBGACgAIABEAGkAcgBlAGMAdABpAG8AbgAgAD0AIAAxACwAIAAwACwAIAAtACgAIABQAGUAcgBpAG8AZABEAGkAZgBmACAAKwAgADEAKQApACkALABcAG4AIAAgACAAIAAgACAAIAAgAFMAZQBhAHIAYwBoAFQAaQBtAGUAbABpAG4AZQAsACAARQBEAEEAVABFACgAIABQAGUAcgBpAG8AZAAxACwAIABQAGUAcgBpAG8AZABTAGUAcQAgACoAIABNAHAAUAApACwAXABuACAAIAAgACAAIAAgACAAIABSAGUAcwB1AGwAdAAsACAAIAAgACAAIAAgACAAIAAgAE0AQQBUAEMASAAoACAARABhAHQAZQAsACAAUwBlAGEAcgBjAGgAVABpAG0AZQBsAGkAbgBlACwAIAAxACkAIAAtACAASQBGACgAIABEAGkAcgBlAGMAdABpAG8AbgAgAD0AIAAxACwAIAAxACwAIABQAGUAcgBpAG8AZABEAGkAZgBmACAAKwAgADIAKQAsACAAIAAgACAAIAAgACAAIABcAG4AIAAgACAAIAAvAC8AIAAgAFIAZQB0AHUAcgBuACAAUgBlAHMAdQBsAHQAIABvAHIAIABIAGUAbABwAFwAbgAgACAAIAAgACAAIAAgACAAQwBIAE8ATwBTAEUAKAAgAEgAZQBsAHAAPwAgACsAIAAxACwAIABSAGUAcwB1AGwAdAAsACAASABlAGwAcAApAFwAbgAgACAAIAAgACkAXABuACkAOwBcAG4AXABuAFwAbgBcAG4ALwAqACAAIABGAFUATgBDAFQASQBPAE4AIABOAEEATQBFADoAIAAgAFQAaQBtAGUAbABpAG4AZQBQAG8AcwBpAHQAaQBvAG4AuwNcAG4AIAAgACAAIABEAEUAUwBDAFIASQBQAFQASQBPAE4AOgAqAC8ALwAqACoAQwByAG8AcABzACAAYQBuACAAYQByAHIAYQB5ACAAYgBhAHMAZQBkACAAbwBuACAAYQAgAG0AbwBkAGUAbAAnAHMAIAB0AGkAbQBlAGwAaQBuAGUAKgAvAFwAbgAvACoAIAAgAFIARQBWAEkAUwBJAE8ATgBTADoAIAAgACAAIAAgACAARABhAHQAZQAgACAAIAAgACAAIAAgACAARABlAHYAZQBsAG8AcABlAHIAIAAgACAAIAAgACAAIABEAGUAcwBjAHIAaQBwAHQAaQBvAG4AIAAgAFwAbgAgACAAIAAgACAAIAAgACAAIAAgACAAIAAgACAAIAAgACAAIAAgACAARABlAGMAIAAxADIAIAAyADAAMgAzACAAQwByAGEAaQBnACAASABhAHQAbQBhAGsAZQByACAAIABPAHIAaQBnAGkAbgBhAGwAIABEAGUAdgBlAGwAbwBwAG0AZQBuAHQAXABuACAAIAAgACAAIAAgACAAIAAgACAAIAAgACAAIAAgACAAIAAgACAAIABEAGUAYwAgADIAMQAgADIAMAAyADMAIABDAHIAYQBpAGcAIABIAGEAdABtAGEAawBlAHIAIAAgAEEAZABkAGUAZAAgAEAAIAB0AG8AIABPAGYAZgBzAGUAdABcAG4AKgAvAFwAbgBUAGkAbQBlAGwAaQBuAGUAUABvAHMAaQB0AGkAbwBuALsDIAA9ACAATABBAE0AQgBEAEEAKABcAG4AIAAgACAAIABbAEEAcgByAGEAeQBdACwAIAAgACAAIAAgACAAIAAgACAAIAAgACAAXABuACAAIAAgACAAWwBUAGkAbQBlAGwAaQBuAGUAXQAsACAAIAAgACAAIAAgACAAIAAgAFwAbgAgACAAIAAgAFsATwBmAGYAcwBlAHQAXQAsACAAIAAgACAAIAAgACAAIAAgACAAIA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kiFUAGkAbQBlAGwAaQBuAGUAUABvAHMAaQB0AGkAbwBuALsDKABBAHIAcgBhAHkALAAgAFQAaQBtAGUAbABpAG4AZQAsACAATwBmAGYAcwBlAHQAKQC2AFwAIgAgACYAXABuACAAIAAgACAAIAAgACAAIAAgACAAIAAgACAAIAAgACAAIAAgACAAIAAgACAAIAAgACAAIAAgACAAXAAiAEQARQBTAEMAUgBJAFAAVABJAE8ATgA6ACAAIAAgAJIhUABvAHMAaQB0AGkAbwBuACAAYQBuACAAYQByAHIAYQB5ACAAcgBlAGwAYQB0AGkAdgBlACAAdABvACAAdABoAGUAIABtAG8AZABlAGwAJwBzACAAdABpAG0AZQBsAGkAbgBlALYAXAAiACAAJgBcAG4AIAAgACAAIAAgACAAIAAgACAAIAAgACAAIAAgACAAIAAgACAAIAAgACAAIAAgACAAIAAgACAAIABcACIAVwBFAEIAUABBAEcARQA6ACAAIAAgACAAIAAgACAAkiE8AGMAbwBtAGkAbgBnACAAcwBvAG8AbgA+ALYAXAAiACAAJgAgAFwAbgAgACAAIAAgACAAIAAgACAAIAAgACAAIAAgACAAIAAgACAAIAAgACAAIAAgACAAIAAgACAAIAAgAFwAIgBWAEUAUgBTAEkATwBOADoAIAAgACAAIAAgACAAIACSIUQAZQBjACAAMQAyACAAMgAwADIAMwC2AFwAIgAgACYAXABuACAAIAAgACAAIAAgACAAIAAgACAAIAAgACAAIAAgACAAIAAgACAAIAAgACAAIAAgACAAIAAgACAAXAAiAFAAQQBSAEEATQBFAFQARQBSAFMAOgAgACAAIAAgAJIhtgBcACIAIAAmACAAXABuACAAIAAgACAAIAAgACAAIAAgACAAIAAgACAAIAAgACAAIAAgACAAIAAgACAAIAAgACAAIAAgACAAXAAiAEEAcgByAGEAeQAgACAAIAAgACAAIAAgACAAIAAgAJIhKABSAGUAcQB1AGkAcgBlAGQAKQAgAFQAaABlACAAYQByAHIAYQB5ACAAdABvACAAYgBlACAAcABvAHMAaQB0AGkAbwBuAGUAZAAgAHIAZQBsAGEAdABpAHYAZQAgAHQAbwAgAGEAIABtAG8AZABlAGwAJwBzACAAdABpAG0AZQBsAGkAbgBlALYAXAAiACAAJgAgAFwAbgAgACAAIAAgACAAIAAgACAAIAAgACAAIAAgACAAIAAgACAAIAAgACAAIAAgACAAIAAgACAAIAAgAFwAIgBUAGkAbQBlAGwAaQBuAGUAIAAgACAAIAAgACAAIACSISgAUgBlAHEAdQBpAHIAZQBkACkAIABBACAAbQBvAGQAZQBsACcAcwAgAHQAaQBtAGwAaQBuAGUAtgBcACIAIAAmACAAXABuACAAIAAgACAAIAAgACAAIAAgACAAIAAgACAAIAAgACAAIAAgACAAIAAgACAAIAAgACAAIAAgACAAXAAiAE8AZgBmAHMAZQB0ACAAIAAgACAAIAAgACAAIAAgAJIhKABSAGUAcQB1AGkAcgBlAGQAKQAgAFQAaABlACAAbgB1AG0AYgBlAHIAIABvAGYAIAByAG8AdwBzACAAbwByACAAYwBvAGwAdQBtAG4AcwAgAHQAbwAgAHMAdABhAHIAdAAgAHAAbABhAGMAaQBuAGcAIAB0AGgAZQAgAGEAcgByAGEAeQAgAHcAaQB0AGgAaQBuACAAdABoAGUAIAB0AGkAbQBlAGwAaQBuAGUAtgBcACIAIAAmACAAIAAgACAAIAAgACAAIAAgACAAIAAgACAAIAAgACAAIAAgACAAIAAgAFwAbgAgACAAIAAgACAAIAAgACAAIAAgACAAIAAgACAAIAAgACAAIAAgACAAIAAgACAAIAAgACAAIAAgAFwAIgBOAE8AVABFAFMAIQAgACAAIAAgACAAIAAgACAAIACSIbYAXAAiACAAJgAgAFwAbgAgACAAIAAgACAAIAAgACAAIAAgACAAIAAgACAAIAAgACAAIAAgACAAIAAgACAAIAAgACAAIAAgACAAIAAgACAAIAAgACAAIAAgACAAIAAgACAAIAAgAFwAIgCSIVQAaQBtAGUAbABpAG4AZQBzACAAYwBhAG4AIABiAGUAIAB2AGUAcgB0AGkAYwBhAGwAIABvAHIAIABoAG8AcgBpAHoAbwBuAHQAYQBsAC4AIABXAGgAaQBjAGgAZQB2AGUAcgAgAHcAYQB5ACAAdABoAGUAIAB0AGkAbQBlAGwAaQBuAGUAIABnAG8AZQBzACwAIAB0AGgAZQAgAGEAcgByAGEAeQAgAG0AdQBzAHQAIABtAGEAdABjAGgALgC2AFwAIgAgACYAIAAgACAAIAAgACAAIAAgACAAIAAgACAAIAAgACAAIAAgACAAIAAg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EIAWABGACAAaQBzACAAYQBzAHMAdQBtAGUAZAAgAHQAbwAgAGIAZQAgAHQAaABlACAAbQBvAGQAdQBsAGUAJwBzACAAbgBhAG0AZQApALYAXAAiACAAJgBcAG4AIAAgACAAIAAgACAAIAAgACAAIAAgACAAIAAgACAAIAAgACAAIAAgACAAIAAgACAAIAAgACAAIAAgACAAIAAgACAAIAAgACAAIAAgACAAIAAgACAAIABcACIAkiE9AEIAWABGAC4AVABpAG0AZQBsAGkAbgBlAFAAbwBzAGkAdABpAG8AbgC7AygAUwBFAFEAVQBFAE4AQwBFACgAMwAsADMAKQAsACAARQBEAEEAVABFACgAXAAiAFwAIgAxAC8AMQAvADIAMAAyADMAXAAiAFwAIgAsACAAUwBFAFEAVQBFAE4AQwBFACgAIAAsACAAMQAyACwAIAAwACkAKQAsACAAMQAyACkAXAAiACwAIABcAG4AIAAgACAAIAAgACAAIAAgACAAIAAgACAAIAAgACAAIAAgACAAIAAgACAAIAAgACAAIAAgACAAIABcACIAkiFcACIALAAgAFwAIgC2AFwAIgBcAG4AIAAgACAAIAAgACAAIAAgACAAIAAgACAAIAAgACAAIAAgACAAIAAgACAAIAAgACAAIAAgACAAIAApAFwAbgAgACAAIAAgACAAIAAgACAAIAAgACAAIAAgACAAIAAgACAAIAAgACAAIAAgACAAIAApACwAXABuACAAIAAgACAALwAvACAAIABDAGgAZQBjAGsAIABpAG4AcAB1AHQAcwAgAC0AIABPAG0AaQB0AHQAZQBkACAAcgBlAHEAdQBpAHIAZQBkACAAYQByAGcAdQBtAGUAbgB0AHMAXABuACAAIAAgACAAIAAgACAAIABIAGUAbABwAD8ALAAgACAAIAAgACAAIAAgACAAIAAgAE8AUgAoACAASQBTAE8ATQBJAFQAVABFAEQAKAAgAEEAcgByAGEAeQApACwAXABuACAAIAAgACAAIAAgACAAIAAgACAAIAAgACAAIAAgACAAIAAgACAAIAAgACAAIAAgACAAIAAgACAASQBTAE8ATQBJAFQAVABFAEQAKAAgAFQAaQBtAGUAbABpAG4AZQApACwAXABuACAAIAAgACAAIAAgACAAIAAgACAAIAAgACAAIAAgACAAIAAgACAAIAAgACAAIAAgACAAIAAgACAASQBTAE8ATQBJAFQAVABFAEQAKAAgAE8AZgBmAHMAZQB0ACkAXABuACAAIAAgACAAIAAgACAAIAAgACAAIAAgACAAIAAgACAAIAAgACAAIAAgACAAIAAgACkALABcAG4AIAAgACAAIAAvAC8AIAAgAEMAaABlAGMAawAgAGkAbgBwAHUAdABzACAALQAgAE0AYQBrAGUAIABzAHUAcgBlACAAcwBjAGEAbABhAHIAcwAgAGEAcgBlACAAbgBvAHQAIABhAHIAcgBhAHkAcwBcAG4AIAAgACAAIAAgACAAIAAgAE8AZgBmAHMAZQB0ACwAIAAgACAAIAAgACAAIAAgACAAQABPAGYAZgBzAGUAdAAsAFwAbgAgACAAIAAgAC8ALwAgACAAUAByAGUAYwBlAGQAdQByAGUAXABuACAAIAAgACAAIAAgACAAIABSAG8AdwBzACwAIAAgACAAIAAgACAAIAAgACAAIAAgAFIATwBXAFMAKABBAHIAcgBhAHkAKQAsAFwAbgAgACAAIAAgACAAIAAgACAAQwBvAGwAcwAsACAAIAAgACAAIAAgACAAIAAgACAAIABDAE8ATABVAE0ATgBTACgAQQByAHIAYQB5ACkALABcAG4AIAAgACAAIAAgACAAIAAgAFIAZQBzAHUAbAB0ACwAIAAgACAAIAAgACAAIAAgACAASQBGACgAIABDAE8ATABVAE0ATgBTACgAVABJAE0ARQBMAEkATgBFACkAIAA+ACAAMQAsACAAXABuACAAIAAgACAAIAAgACAAIAAgACAAIAAgACAAIAAgACAAIAAgACAAIAAgACAAIAAgAC8ALwAgACAASABvAHIAaQB6AG8AbgB0AGEAbAAgAFQAaQBtAGUAbABpAG4AZQBcAG4AIAAgACAAIAAgACAAIAAgACAAIAAgACAAIAAgACAAIAAgACAAIAAgACAAIAAgACAAIAAgACAAIABNAEEASwBFAEEAUgBSAEEAWQAoACAAUgBvAHcAcwAsACAAQwBPAEwAVQBNAE4AUwAoACAAVABpAG0AZQBsAGkAbgBlACkALABcAG4AIAAgACAAIAAgACAAIAAgACAAIAAgACAAIAAgACAAIAAgACAAIAAgACAAIAAgACAAIAAgACAAIAAgACAAIAAgAEwAQQBNAEIARABBACgAUgAsACAAQwAsAFwAbgAgACAAIAAgACAAIAAgACAAIAAgACAAIAAgACAAIAAgACAAIAAgACAAIAAgACAAIAAgACAAIAAgACAAIAAgACAAIAAgACAAIABJAEYAKAAgACgAKABDACAALQAgAE8AZgBmAHMAZQB0ACkAIAA+AD0AIAAxACkAIAAqACAAKAAoACAAQwAgAC0AIABPAGYAZgBzAGUAdAApACAAPAA9ACAAQwBvAGwAcwApACAAPQAgADEALABcAG4AIAAgACAAIAAgACAAIAAgACAAIAAgACAAIAAgACAAIAAgACAAIAAgACAAIAAgACAAIAAgACAAIAAgACAAIAAgACAAIAAgACAAIAAgACAAIABJAE4ARABFAFgAKAAgAEEAcgByAGEAeQAsACAAUgAsACAAQwAgAC0AIABPAGYAZgBzAGUAdAApACwAXABuACAAIAAgACAAIAAgACAAIAAgACAAIAAgACAAIAAgACAAIAAgACAAIAAgACAAIAAgACAAIAAgACAAIAAgACAAIAAgACAAIAAgACAAIAAgACAAMAApAFwAbgAgACAAIAAgACAAIAAgACAAIAAgACAAIAAgACAAIAAgACAAIAAgACAAIAAgACAAIAAgACAAIAAgACAAIAAgACAAKQBcAG4AIAAgACAAIAAgACAAIAAgACAAIAAgACAAIAAgACAAIAAgACAAIAAgACAAIAAgACAAIAAgACAAIAApACwAXABuACAAIAAgACAAIAAgACAAIAAgACAAIAAgACAAIAAgACAAIAAgACAAIAAgACAAIAAgAC8ALwAgACAAVgBlAHIAdABpAGMAYQBsACAAVABpAG0AZQBsAGkAbgBlAFwAbgAgACAAIAAgACAAIAAgACAAIAAgACAAIAAgACAAIAAgACAAIAAgACAAIAAgACAAIAAgACAAIAAgAE0AQQBLAEUAQQBSAFIAQQBZACgAIABSAE8AVwBTACgAIABUAGkAbQBlAGwAaQBuAGUAKQAsACAAQwBvAGwAcwAsAFwAbgAgACAAIAAgACAAIAAgACAAIAAgACAAIAAgACAAIAAgACAAIAAgACAAIAAgACAAIAAgACAAIAAgACAAIAAgACAATABBAE0AQgBEAEEAKABSACwAIABDACwAXABuACAAIAAgACAAIAAgACAAIAAgACAAIAAgACAAIAAgACAAIAAgACAAIAAgACAAIAAgACAAIAAgACAAIAAgACAAIAAgACAAIAAgAEkARgAoACAAKAAoAFIAIAAtACAATwBmAGYAcwBlAHQAKQAgAD4APQAgADEAKQAgACoAIAAoACgAIABSACAALQAgAE8AZgBmAHMAZQB0ACkAIAA8AD0AIABSAG8AdwBzACkAIAA9ACAAMQAsAFwAbgAgACAAIAAgACAAIAAgACAAIAAgACAAIAAgACAAIAAgACAAIAAgACAAIAAgACAAIAAgACAAIAAgACAAIAAgACAAIAAgACAAIAAgACAAIAAgAEkATgBEAEUAWAAoACAAQQByAHIAYQB5ACwAIABSACAALQAgAE8AZgBmAHMAZQB0ACwAIABDACkALABcAG4AIAAgACAAIAAgACAAIAAgACAAIAAgACAAIAAgACAAIAAgACAAIAAgACAAIAAgACAAIAAgACAAIAAgACAAIAAgACAAIAAgACAAIAAgACAAIAAwACkAXABuACAAIAAgACAAIAAgACAAIAAgACAAIAAgACAAIAAgACAAIAAgACAAIAAgACAAIAAgACAAIAAgACAAIAAgACAAIAApAFwAbgAgACAAIAAgACAAIAAgACAAIAAgACAAIAAgACAAIAAgACAAIAAgACAAIAAgACAAIAAgACAAIAAgACkAXABuACAAIAAgACAAIAAgACAAIAAgACAAIAAgACAAIAAgACAAIAAgACAAIAAgACAAIAAgACkALABcAG4AIAAgACAAIAAvAC8AIAAgAFIAZQB0AHUAcgBuACAAUgBlAHMAdQBsAHQAXABuACAAIAAgACAAIAAgACAAIABDAEgATwBPAFMARQAoAEgAZQBsAHAAPwAgACsAIAAxACwAIABSAGUAcwB1AGwAdAAsACAASABlAGwAcAApAFwAbgAgACAAIAAgACkAXABuACkAOwBcAG4AXABuAFwAbgBcAG4ALwAqACAAIABGAFUATgBDAFQASQBPAE4AIABOAEEATQBFADoAIAAgAEYAaQBsAHQAZQByAEMAbwBuAHQAYQBpAG4AcwC7A1wAbgAgACAAIAAgAEQARQBTAEMAUgBJAFAAVABJAE8ATgA6ACoALwAvACoAKgBGAGkAbAB0AGUAcgAgAGEAbgAgAGEAcgByAGEAeQAgAGIAeQAgAGEAbgBvAHQAaABlAHIAIABhAHIAcgBhAHkAIAB0AGgAYQB0ACAAYwBvAG4AdABhAGkAbgBzACAAcwBwAGUAYwBpAGYAaQBjAGUAIAB0AGUAeAB0ACoALwBcAG4ALwAqACAAIABSAEUAVgBJAFMASQBPAE4AUwA6ACAAIAAgACAAIAAgAEQAYQB0AGUAIAAgACAAIAAgACAAIAAgAEQAZQB2AGUAbABvAHAAZQByACAAIAAgACAAIAAgACAARABlAHMAYwByAGkAcAB0AGkAbwBuACAAIABcAG4AIAAgACAAIAAgACAAIAAgACAAIAAgACAAIAAgACAAIAAgACAAIAAgAEoAYQBuACAAMQA2ACAAMgAwADIANAAgAEMAcgBhAGkAZwAgAEgAYQB0AG0AYQBrAGUAcgAgACAATwByAGkAZwBpAG4AYQBsACAARABlAHYAZQBsAG8AcABtAGUAbgB0AFwAbgAqAC8AXABuAEYAaQBsAHQAZQByAEMAbwBuAHQAYQBpAG4AcwC7AyAAPQAgAEwAQQBNAEIARABBACgAXABuAC8ALwAgACAAUABhAHIAYQBtAGUAdABlAHIAIABEAGUAYwBsAGEAcgBhAHQAaQBvAG4AcwBcAG4AIAAgACAAIABbAEEAcgByAGEAeQBUAG8ARgBpAGwAdABlAHIAXQAsAFwAbgAgACAAIAAgAFsARgBpAGwAdABlAHIAQgB5AEEAcgByAGEAeQBdACwAXABuACAAIAAgACAAWwBGAGkAbAB0AGUAcgBCAHkAVABlAHgAdABdACwAXABuACAAIAAgACAAWwBJAGcAbgBvAHIAZQBDAGEAcwBlAD8AXQAsAFwAbgBcAG4AIAAgACAAIABMAEUAVAAoAFwAbgAgACAAIAAgAC8ALwAgACAASABlAGwAcABcAG4AIAAgACAAIAAgACAAIAAgAEgAZQBsAHAALAAgACAAIAAgACAAIAAgACAAIAAgACAAVABSAEkATQAoAFQARQBYAFQAUwBQAEwASQBUACgAIABcAG4AIAAgACAAIAAgACAAIAAgACAAIAAgACAAIAAgACAAIAAgACAAIAAgACAAIAAgACAAIAAgACAAIABcACIARgBVAE4AQwBUAEkATwBOADoAIAAgACAAIAAgACAARgBpAGwAdABlAHIAQwBvAG4AdABhAGkAbgBzALsDKAAgAEEAcgByAGEAeQBUAG8ARgBpAGwAdABlAHIALAAgAEYAaQBsAHQAZQByAEIAeQBBAHIAcgBhAHkALAAgAFQAZQB4AHQALAAgAFsASQBnAG4AbwByAGUAQwBhAHMAZQA/AF0AIAApALYAXAAiACAAJgBcAG4AIAAgACAAIAAgACAAIAAgACAAIAAgACAAIAAgACAAIAAgACAAIAAgACAAIAAgACAAIAAgACAAIABcACIARABFAFMAQwBSAEkAUABUAEkATwBOADoAIAAgACAAkiFGAGkAbAB0AGUAcgAgAGEAbgAgAGEAcgByAGEAeQAgAGIAeQAgAGEAbgBvAHQAaABlAHIAIABhAHIAcgBhAHkAIAB0AGgAYQB0ACAAYwBvAG4AdABhAGkAbgBzACAAcwBwAGUAYwBpAGYAaQBjAGUAIAB0AGUAeAB0AC4AtgBcACIAIAAmACAAXABuACAAIAAgACAAIAAgACAAIAAgACAAIAAgACAAIAAgACAAIAAgACAAIAAgACAAIAAgACAAIAAgACAAXAAiAFcARQBCAFAAQQBHAEUAOgAgACAAIAAgACAAIAAgAJIhPABDAG8AbQBpAG4AZwAgAHMAbwBvAG4APgC2AFwAIgAgACYAIABcAG4AIAAgACAAIAAgACAAIAAgACAAIAAgACAAIAAgACAAIAAgACAAIAAgACAAIAAgACAAIAAgACAAIABcACIAVgBFAFIAUwBJAE8ATgA6ACAAIAAgACAAIAAgACAAkiFKAGEAbgAgADEANgAgADIAMAAyADQAtgBcACIAIAAmAFwAbgAgACAAIAAgACAAIAAgACAAIAAgACAAIAAgACAAIAAgACAAIAAgACAAIAAgACAAIAAgACAAIAAgAFwAIgBQAEEAUgBBAE0ARQBUAEUAUgBTADoAIAAgACAAIACSIbYAXAAiACAAJgAgAFwAbgAgACAAIAAgACAAIAAgACAAIAAgACAAIAAgACAAIAAgACAAIAAgACAAIAAgACAAIAAgACAAIAAgAFwAIgBBAHIAcgBhAHkAVABvAEYAaQBsAHQAZQByACAAIACSISgAUgBlAHEAdQBpAHIAZQBkACkAIABBAG4AIABhAHIAcgBhAHkAIAB0AG8AIABiAGUAIABmAGkAbAB0AGUAcgBlAGQAtgBcACIAIAAmACAAIAAgACAAIAAgACAAIAAgACAAIAAgACAAIAAgACAAIAAgACAAXABuACAAIAAgACAAIAAgACAAIAAgACAAIAAgACAAIAAgACAAIAAgACAAIAAgACAAIAAgACAAIAAgACAAXAAiAEYAaQBsAHQAZQByAEIAeQBBAHIAcgBhAHkAIAAgAJIhKABSAGUAcQB1AGkAcgBlAGQAKQAgAEEAbgAgAGEAcgByAGEAeQAgAGMAbwBuAHQAYQBpAG4AaQBuAGcAIAB0AGUAeAB0ACAAdABvACAAdQBzAGUAIABhAHMAIABhACAAZgBpAGwAdABlAHIAtgBcACIAIAAmACAAIAAgACAAIAAgACAAIAAgACAAIAAgACAAIAAgACAAIAAgACAAXABuACAAIAAgACAAIAAgACAAIAAgACAAIAAgACAAIAAgACAAIAAgACAAIAAgACAAIAAgACAAIAAgACAAXAAiAEYAaQBsAHQAZQByAEIAeQBUAGUAeAB0ACAAIAAgAJIhKABSAGUAcQB1AGkAcgBlAGQAKQAgAEEAIAB0AGUAeAB0ACAAcwB0AHIAaQBuAGcAIAB0AG8AIABmAGkAbgBkACAAaQBuACAARgBpAGwAdABlAHIAQgB5AEEAcgByAGEAeQC2AFwAIgAgACYAIAAgACAAIAAgACAAIAAgACAAIAAgACAAIAAgACAAIAAgACAAIABcAG4AIAAgACAAIAAgACAAIAAgACAAIAAgACAAIAAgACAAIAAgACAAIAAgACAAIAAgACAAIAAgACAAIABcACIASQBnAG4AbwByAGUAQwBhAHMAZQA/ACAAIAAgACAAkiEoAE8AcAB0AGkAbwBuAGEAbAApACAAQQAgAGYAbABhAGcAIAB0AG8AIABkAGUAdABlAHIAbQBpAG4AZQAgAGkAZgAgAFQAZQB4AHQAJwBzACAAYwBhAHMAZQAgAGkAcwAgAGkAbQBwAG8AcgB0AGEAbgB0AC4AIABEAGUAZgBhAHUAbAB0ACAAaQBzACAAVABSAFUARQC2AFwAIgAgACYAIAAgACAAIAAgACAAIAAgACAAIAAgACAAIAAgACAAIAAgACAAIABcAG4AIAAgACAAIAAgACAAIAAgACAAIAAgACAAIAAgACAAIAAgACAAIAAgACAAIAAgACAAIAAgACAAIABcACIARQBYAEEATQBQAEwARQBTADoAIAAgACAAIAAgACAAkiG2AFwAIgAgACYAXABuACAAIAAgACAAIAAgACAAIAAgACAAIAAgACAAIAAgACAAIAAgACAAIAAgACAAIAAgACAAIAAgACAAXAAiAFIAZQBzAHUAbAB0ACAAIAAgACAAIAAgACAAIAAgAJIhRgBvAHIAbQB1AGwAYQAgACgAQgBYAEYAIABpAHMAIABhAHMAcwB1AG0AZQBkACAAdABvACAAYgBlACAAdABoAGUAIABtAG8AZAB1AGwAZQAnAHMAIABuAGEAbQBlACkAtgBcACIAIAAmAFwAbgAgACAAIAAgACAAIAAgACAAIAAgACAAIAAgACAAIAAgACAAIAAgACAAIAAgACAAIAAgACAAIAAgAFwAIgBcACIAXAAiAEMAYQB0AFwAIgBcACIAIAAgACAAIAAgACAAIAAgAJIhPQBCAFgARgAuAEYAaQBsAHQAZQByAEMAbwBuAHQAYQBpAG4AcwC7AygAIAB7AFwAIgBcACIASgBvAGUAXAAiAFwAIgAsACAAXAAiAFwAIgBTAGEAbABsAHkAXAAiAFwAIgAsACAAXAAiAFwAIgBDAGEAdABcACIAXAAiAH0ALAAgAHsAXAAiAFwAIgBIADEAXAAiAFwAIgAsACAAXAAiAFwAIgBIADIAXAAiAFwAIgAsACAAXAAiAFwAIgBBADEAXAAiAFwAIgB9ACwAIABcACIAXAAiAEEAXAAiAFwAIgAgACkAXAAiACwAXABuACAAIAAgACAAIAAgACAAIAAgACAAIAAgACAAIAAgACAAIAAgACAAIAAgACAAIAAgACAAIAAgACAAXAAiAJIhXAAiACwAIABcACIAtgBcACIAXABuACAAIAAgACAAIAAgACAAIAAgACAAIAAgACAAIAAgACAAIAAgACAAIAAgACAAIAAgACAAIAAgACAAKQBcAG4AIAAgACAAIAAgACAAIAAgACAAIAAgACAAIAAgACAAIAAgACAAIAAgACAAIAAgACAAKQAsAFwAbgAgACAAIAAgAC8ALwAgACAAQwBoAGUAYwBrACAAaQBuAHAAdQB0AHMAIAAtACAATwBtAGkAdAB0AGUAZAAgAHIAZQBxAHUAaQByAGUAZAAgAGEAcgBnAHUAbQBlAG4AdABzAFwAbgAgACAAIAAgACAAIAAgACAASABlAGwAcAA/ACwAIAAgACAAIAAgACAAIAAgACAAIABPAFIAKAAgAEkAUwBPAE0ASQBUAFQARQBEACgAIABBAHIAcgBhAHkAVABvAEYAaQBsAHQAZQByACkALAAgAFwAbgAgACAAIAAgACAAIAAgACAAIAAgACAAIAAgACAAIAAgACAAIAAgACAAIAAgACAAIAAgACAAIAAgAEkAUwBPAE0ASQBUAFQARQBEACgAIABGAGkAbAB0AGUAcgBCAHkAQQByAHIAYQB5ACkALAAgAFwAbgAgACAAIAAgACAAIAAgACAAIAAgACAAIAAgACAAIAAgACAAIAAgACAAIAAgACAAIAAgACAAIAAgAEkAUwBPAE0ASQBUAFQARQBEACgAIABGAGkAbAB0AGUAcgBCAHkAVABlAHgAdAApAFwAbgAgACAAIAAgACAAIAAgACAAIAAgACAAIAAgACAAIAAgACAAIAAgACAAIAAgACAAIAApACwAXABuACAAIAAgACAALwAvACAAIABDAGgAZQBjAGsAIABpAG4AcAB1AHQAcwAgAC0AIABTAGUAdAAgAGQAZQBmAGEAdQBsAHQAcwBcAG4AIAAgACAAIAAgACAAIAAgAEkAZwBuAG8AcgBlAEMAYQBzAGUAPwAsACAAIAAgACAASQBGACgAIABJAFMATABPAEcASQBDAEEATAAoACAASQBnAG4AbwByAGUAQwBhAHMAZQA/ACkALAAgAEkAZwBuAG8AcgBlAEMAYQBzAGUAPwAsACAAVABSAFUARQApACwAXABuACAAIAAgACAALwAvACAAIABQAHIAbwBjAGUAZAB1AHIAZQBcAG4AIAAgACAAIAAgACAAIAAgAE0AYQB0AGMAaABlAHMALAAgACAAIAAgACAAIAAgACAASQBGACgAIABJAGcAbgBvAHIAZQBDAGEAcwBlAD8ALAAgAFwAbgAgACAAIAAgACAAIAAgACAAIAAgACAAIAAgACAAIAAgACAAIAAgACAAIAAgACAAIAAgACAAIAAgAFMARQBBAFIAQwBIACgAIABGAGkAbAB0AGUAcgBCAHkAVABlAHgAdAAsACAARgBpAGwAdABlAHIAQgB5AEEAcgByAGEAeQApACwAXABuACAAIAAgACAAIAAgACAAIAAgACAAIAAgACAAIAAgACAAIAAgACAAIAAgACAAIAAgACAAIAAgACAARgBJAE4ARAAoACAARgBpAGwAdABlAHIAQgB5AFQAZQB4AHQALAAgAEYAaQBsAHQAZQByAEIAeQBBAHIAcgBhAHkAKQBcAG4AIAAgACAAIAAgACAAIAAgACAAIAAgACAAIAAgACAAIAAgACAAIAAgACAAIAAgACAAKQAsAFwAbgAgACAAIAAgACAAIAAgACAAUgBlAHMAdQBsAHQALAAgACAAIAAgACAAIAAgACAAIABGAEkATABUAEUAUgAoACAAQQByAHIAYQB5AFQAbwBGAGkAbAB0AGUAcgAsACAASQBTAE4AVQBNAEIARQBSACgAIABNAGEAdABjAGgAZQBzACkAKQAsAFwAbgAgACAAIAAgAC8ALwAgACAAUgBlAHQAdQByAG4AIABSAGUAcwB1AGwAdABcAG4AIAAgACAAIAAgACAAIAAgAEMASABPAE8AUwBFACgASABlAGwAcAA/ACAAKwAgADEALAAgAFIAZQBzAHUAbAB0ACwAIABIAGUAbABwACkAXABuACAAIAAgACAAKQAgACAAXABuACkAOwBcAG4AXABuAFwAbgBcAG4ALwAqACAAIABGAFUATgBDAFQASQBPAE4AIABOAEEATQBFADoAIAAgAFIAYQBuAGcAZQBUAG8ARABBALsDXABuACAAIAAgACAARABFAFMAQwBSAEkAUABUAEkATwBOADoAKgAvAC8AKgAqAEMAcgBlAGEAdABlACAAYQAgAGQAeQBuAGEAbQBpAGMAIABhAHIAcgBhAHkAIABmAHIAbwBtACAAYQAgAHMAdABhAHQAaQBjACAAcgBhAG4AZwBlACoALwBcAG4ALwAqACAAIABSAEUAVgBJAFMASQBPAE4AUwA6ACAAIAAgACAAIAAgAEQAYQB0AGUAIAAgACAAIAAgACAAIAAgAEQAZQB2AGUAbABvAHAAZQByACAAIAAgACAAIAAgACAARABlAHMAYwByAGkAcAB0AGkAbwBuACAAIABcAG4AIAAgACAAIAAgACAAIAAgACAAIAAgACAAIAAgACAAIAAgACAAIAAgAEoAYQBuACAAMQA1ACAAMgAwADIANAAgAEMAcgBhAGkAZwAgAEgAYQB0AG0AYQBrAGUAcgAgACAATwByAGkAZwBpAG4AYQBsACAARABlAHYAZQBsAG8AcABtAGUAbgB0AFwAbgAqAC8AXABuAFIAYQBuAGcAZQBUAG8ARABBALsDIAA9ACAATABBAE0AQgBEAEEAKABcAG4ALwAvACAAIABQAGEAcgBhAG0AZQB0AGUAcgAgAEQAZQBjAGwAYQByAGEAdABpAG8AbgBzAFwAbgAgACAAIAAgAFsAQwBlAGwAbABdACwAXABuACAAIAAgACAAWwBSAG8AdwBzAF0ALAAgACAAIAAgAFwAbgAgACAAIAAgAFsAQwBvAGwAdQBtAG4AcwBdACwAIAAgACAAIABcAG4ALwAvACAAIABIAGUAbABwAFwAbgAgACAAIAAgAEwARQBUACgASABlAGwAcAAsACAAIAAgACAAIAAgACAAVABSAEkATQAoAFQARQBYAFQAUwBQAEwASQBUACgAIABcAG4AIAAgACAAIAAgACAAIAAgACAAIAAgACAAIAAgACAAIAAgACAAIAAgACAAIAAgACAAIAAgACAAIABcACIARgBVAE4AQwBUAEkATwBOADoAIAAgACAAIAAgACAAkiFSAGEAbgBnAGUAVABvAEQAQQC7AygAIABDAGUAbABsACwAIABbAFIAbwB3AHMAXQAsACAAWwBDAG8AbAB1AG0AbgBzAF0AKQC2AFwAIgAgACYAXABuACAAIAAgACAAIAAgACAAIAAgACAAIAAgACAAIAAgACAAIAAgACAAIAAgACAAIAAgACAAIAAgACAAXAAiAEQARQBTAEMAUgBJAFAAVABJAE8ATgA6ACAAIAAgAJIhQwByAGUAYQB0AGUAIABhACAAZAB5AG4AYQBtAGkAYwAgAGEAcgByAGEAeQAgAGYAcgBvAG0AIABhACAAcwB0AGEAdABpAGMAIAByAGEAbgBnAGUAtgBcACIAIAAmACAAXABuACAAIAAgACAAIAAgACAAIAAgACAAIAAgACAAIAAgACAAIAAgACAAIAAgACAAIAAgACAAIAAgACAAXAAiAFcARQBCAFAAQQBHAEUAOgAgACAAIAAgACAAIAAgAJIhPABjAG8AbQBpAG4AZwAgAHMAbwBvAG4APgC2AFwAIgAgACYAXABuACAAIAAgACAAIAAgACAAIAAgACAAIAAgACAAIAAgACAAIAAgACAAIAAgACAAIAAgACAAIAAgACAAXAAiAFYARQBSAFMASQBPAE4AOgAgACAAIAAgACAAIAAgAJIhSgBhAG4AIAAxADUAIAAyADAAMgA0ALYAXAAiACAAJgBcAG4AIAAgACAAIAAgACAAIAAgACAAIAAgACAAIAAgACAAIAAgACAAIAAgACAAIAAgACAAIAAgACAAIABcACIAUABBAFIAQQBNAEUAVABFAFIAUwA6ACAAIAAgACAAkiG2AFwAIgAgACYAIABcAG4AIAAgACAAIAAgACAAIAAgACAAIAAgACAAIAAgACAAIAAgACAAIAAgACAAIAAgACAAIAAgACAAIABcACIAQwBlAGwAbAAgACAAIAAgACAAIAAgACAAIAAgACAAkiEoAFIAZQBxAHUAaQByAGUAZAApACAAVABoAGUAIAB1AHAAcABlAHIAIABsAGUAZgB0ACAAYwBlAGwAbAAgAG8AZgAgAGEAIAByAGEAbgBnAGUAIAB0AG8AIABjAG8AbgB2AGUAcgB0ALYAXAAiACAAJgAgAFwAbgAgACAAIAAgACAAIAAgACAAIAAgACAAIAAgACAAIAAgACAAIAAgACAAIAAgACAAIAAgACAAIAAgAFwAIgBSAG8AdwBzACAAIAAgACAAIAAgACAAIAAgACAAIACSISgATwBwAHQAaQBvAG4AYQBsACkAIABUAGgAZQAgAG4AdQBtAGIAZQByACAAbwBmACAAcgBvAHcAcwAgAGYAbwByACAAZAB5AG4AYQBtAGkAYwAgAGEAcgByAGEAeQAuACAARABlAGYAYQB1AGwAdABzACAAdABvACAAMQAuALYAXAAiACAAJgAgAFwAbgAgACAAIAAgACAAIAAgACAAIAAgACAAIAAgACAAIAAgACAAIAAgACAAIAAgACAAIAAgACAAIAAgAFwAIgBDAG8AbAB1AG0AbgBzACAAIAAgACAAIAAgACAAIACSISgATwBwAHQAaQBvAG4AYQBsACkAIABUAGgAZQAgAG4AdQBtAGIAZQByACAAbwBmACAAYwBvAGwAdQBtAG4AcwAgAGYAbwByACAAZAB5AG4AYQBtAGkAYwAgAGEAcgByAGEAeQAuACAARABlAGYAYQB1AGwAdABzACAAdABvACAAMQAuALYAXAAiACAAJgAgAFwAbgAgACAAIAAgACAAIAAgACAAIAAgACAAIAAgACAAIAAgACAAIAAgACAAIAAgACAAIAAgACAAIAAgAFwAIgBFAFgAQQBNAFAATABFAFMAOgAgACAAIAAgACAAIACSIbYAXAAiACAAJgAgAFwAbgAgACAAIAAgACAAIAAgACAAIAAgACAAIAAgACAAIAAgACAAIAAgACAAIAAgACAAIAAgACAAIAAgAFwAIgBSAGUAcwB1AGwAdAAgACAAIAAgACAAIAAgACAAIACSIUYAbwByAG0AdQBsAGEAIAAoAEIAWABGACAAaQBzACAAYQBzAHMAdQBtAGUAZAAgAHQAbwAgAGIAZQAgAHQAaABlACAAbQBvAGQAdQBsAGUAJwBzACAAbgBhAG0AZQApALYAXAAiACAAJgBcAG4AIAAgACAAIAAgACAAIAAgACAAIAAgACAAIAAgACAAIAAgACAAIAAgACAAIAAgACAAIAAgACAAIABcACIAIAAgACAAIAAgACAAIAAgACAAIAAgACAAIAAgACAAkiE9AEIAWABGAC4AUgBhAG4AZwBlAFQAbwBEAEEAuwMoACAAQQAxACwAIAAsACAAMQAyACkAXAAiACwAXABuACAAIAAgACAAIAAgACAAIAAgACAAIAAgACAAIAAgACAAIAAgACAAIAAgACAAIAAgACAAIAAgACAAXAAiAJIhXAAiACwAIABcACIAtgBcACIAIAApAFwAbgAgACAAIAAgACAAIAAgACAAIAAgACAAIAAgACAAIAAgACAAIAAgACAAKQAsACAAIAAgACAAIAAgACAAIAAgACAAIAAgAFwAbgAgACAAIAAgAC8ALwAgACAAQwBoAGUAYwBrACAAaQBuAHAAdQB0AHMAIAAtACAATwBtAGkAdAB0AGUAZAAgAHIAZQBxAHUAaQByAGUAZAAgAGEAcgBnAHUAbQBlAG4AdABzAFwAbgAgACAAIAAgACAAIAAgACAASABlAGwAcAA/ACwAIAAgACAAIAAgACAAIAAgACAAIABJAFMATwBNAEkAVABUAEUARAAoACAAQwBlAGwAbAApACwAXABuACAAIAAgACAALwAvACAAIABTAGUAdAAgAEQAZQBmAGEAdQBsAHQAcwBcAG4AIAAgACAAIAAgACAAIAAgAFIAbwB3AHMALAAgACAAIAAgACAAIAAgACAAIAAgACAASQBGACgASQBTAE8ATQBJAFQAVABFAEQAKABSAG8AdwBzACkALAAgADEALAAgAEkARgAoAFIAbwB3AHMAIAA9ACAAMAAsACAAMQAsACAAUgBvAHcAcwApACkALABcAG4AIAAgACAAIAAgACAAIAAgAEMAbwBsAHUAbQBuAHMALAAgACAAIAAgACAAIAAgACAASQBGACgASQBTAE8ATQBJAFQAVABFAEQAKABDAG8AbAB1AG0AbgBzACkALAAgADEALAAgAEkARgAoAEMAbwBsAHUAbQBuAHMAIAA9ACAAMAAsACAAMQAsACAAQwBvAGwAdQBtAG4AcwApACkALABcAG4AIAAgACAAIAAvAC8AIAAgAFAAcgBvAGMAZQBkAHUAcgBlAFwAbgAgACAAIAAgACAAIAAgACAAUgBlAHMAdQBsAHQALAAgACAAIAAgACAAIAAgACAAIABPAEYARgBTAEUAVAAoAEMAZQBsAGwALAAgADAALAAgADAALAAgAFIAbwB3AHMALAAgAEMAbwBsAHUAbQBuAHMAKQAsAFwAbgAgACAAIAAgAC8ALwAgACAAUgBlAHQAdQByAG4AIABSAGUAcwB1AGwAdABcAG4AIAAgACAAIAAgACAAIAAgAEMASABPAE8AUwBFACgASABlAGwAcAA/ACAAKwAgADEALAAgAFIAZQBzAHUAbAB0ACwAIABIAGUAbABwACkAXABuACAAIAAgACAAKQAgACAAXABuACkAOwBcAG4AXABuAFwAbgBcAG4ALwAqACAAIABGAFUATgBDAFQASQBPAE4AIABOAEEATQBFADoAIAAgAFAAZQByAGkAbwBkAFMAdABhAHIAdAC7A1wAbgAgACAAIAAgAEQARQBTAEMAUgBJAFAAVABJAE8ATgA6ACoALwAvACoAKgBEAGUAdABlAHIAbQBpAG4AZQAgAHcAaABlAG4AIAB0AGgAZQAgAHAAZQByAGkAbwBkACAAYwBvAG4AdABhAGkAbgBpAG4AZwAgAGEAIABkAGEAdABlACAAbwBmACAAaQBuAHQAZQByAGUAcwB0ACAAcwB0AGEAcgB0AHMAKgAvAFwAbgAvACoAIAAgAFIARQBWAEkAUwBJAE8ATgBTADoAIAAgACAAIAAgACAARABhAHQAZQAgACAAIAAgACAAIAAgACAARABlAHYAZQBsAG8AcABlAHIAIAAgACAAIAAgACAAIABEAGUAcwBjAHIAaQBwAHQAaQBvAG4AIAAgAFwAbgAgACAAIAAgACAAIAAgACAAIAAgACAAIAAgACAAIAAgACAAIAAgACAAQQBwAHIAIAAxADMAIAAyADAAMgA0ACAAQwByAGEAaQBnACAASABhAHQAbQBhAGsAZQByACAAIABDAG8AcAB5AHIAaQBnAGgAdABcAG4AKgAvAFwAbgBQAGUAcgBpAG8AZABTAHQAYQByAHQAuwMgAD0AIABMAEEATQBCAEQAQQAoAFwAbgAvAC8AIAAgAFAAYQByAGEAbQBlAHQAZQByACAARABlAGMAbABhAHIAYQB0AGkAbwBuAFwAbgAgACAAIAAgAFsAQQBuAHkAUABlAHIAaQBvAGQAUwB0AGEAcgB0AF0ALABcAG4AIAAgACAAIABbAE0AbwBuAHQAaABzAFAAZQByAFAAZQByAGkAbwBkAF0ALAAgAFwAbgAgACAAIAAgAFsARABhAHQAZQBPAGYASQBuAHQAZQByAGUAcwB0AF0ALAAgAFwAbgAgACAAIAAgAEwARQBUACgAXABuACAAIAAgACAALwAvACAAIABIAGUAbABwAFwAbgAgACAAIAAgACAAIAAgACAASABlAGwAcAAsACAAIAAgACAAIAAgACAAIAAgACAAIABUAFIASQBNACgAVABFAFgAVABTAFAATABJAFQAKAAgAFwAbgAgACAAIAAgACAAIAAgACAAIAAgACAAIAAgACAAIAAgACAAIAAgACAAIAAgACAAIAAgACAAIAAgAFwAIgBGAFUATgBDAFQASQBPAE4AOgAgACAAIAAgACAAIACSIVAAZQByAGkAbwBkAFMAdABhAHIAdAC7AygAQQBuAHkAUABlAHIAaQBvAGQAUwB0AGEAcgB0ACwAIABNAG8AbgB0AGgAcwBQAGUAcgBQAGUAcgBpAG8AZAAsACAARABhAHQAZQBPAGYASQBuAHQAZQByAGUAcwB0ACkAtgBcACIAIAAmAFwAbgAgACAAIAAgACAAIAAgACAAIAAgACAAIAAgACAAIAAgACAAIAAgACAAIAAgACAAIAAgACAAIAAgAFwAIgBEAEUAUwBDAFIASQBQAFQASQBPAE4AOgAgACAAIACSIUQAZQB0AGUAcgBtAGkAbgBlACAAdwBoAGUAbgAgAHQAaABlACAAcABlAHIAaQBvAGQAIABjAG8AbgB0AGEAaQBuAGkAbgBnACAAYQAgAGQAYQB0AGUAIABvAGYAIABpAG4AdABlAHIAZQBzAHQAIABzAHQAYQByAHQAcwAuALYAXAAiACAAJgBcAG4AIAAgACAAIAAgACAAIAAgACAAIAAgACAAIAAgACAAIAAgACAAIAAgACAAIAAgACAAIAAgACAAIABcACIAVwBFAEIAUABBAEcARQA6ACAAIAAgACAAIAAgACAAkiE8AGMAbwBtAGkAbgBnACAAcwBvAG8AbgA+ALYAXAAiACAAJgAgAFwAbgAgACAAIAAgACAAIAAgACAAIAAgACAAIAAgACAAIAAgACAAIAAgACAAIAAgACAAIAAgACAAIAAgAFwAIgBWAEUAUgBTAEkATwBOADoAIAAgACAAIAAgACAAIACSIUEAcAByACAAMQAzACAAMgAwADIANAC2AFwAIgAgACYAXABuACAAIAAgACAAIAAgACAAIAAgACAAIAAgACAAIAAgACAAIAAgACAAIAAgACAAIAAgACAAIAAgACAAXAAiAFAAQQBSAEEATQBFAFQARQBSAFMAOgAgACAAIAAgAJIhtgBcACIAIAAmACAAXABuACAAIAAgACAAIAAgACAAIAAgACAAIAAgACAAIAAgACAAIAAgACAAIAAgACAAIAAgACAAIAAgACAAXAAiAEEAbgB5AFAAZQByAGkAbwBkAFMAdABhAHIAdAAgAJIhKABSAGUAcQB1AGkAcgBlAGQAKQAgAEEAbgB5ACAAcwB0AGEAcgB0ACAAZABhAHQAZQAgAHcAaQB0AGgAaQBuACAAYQAgAHQAaQBtAGUAbABpAG4AZQAuALYAXAAiACAAJgAgACAAIAAgACAAIAAgACAAIAAgACAAIAAgACAAIAAgACAAIAAgAFwAbgAgACAAIAAgACAAIAAgACAAIAAgACAAIAAgACAAIAAgACAAIAAgACAAIAAgACAAIAAgACAAIAAgAFwAIgBNAG8AbgB0AGgAcwBQAGUAcgBQAGUAcgBpAG8AZACSISgAUgBlAHEAdQBpAHIAZQBkACkAIABOAHUAbQBiAGUAcgAgAG8AZgAgAG0AbwBuAHQAaABzACAAaQBuACAAZQBhAGMAaAAgAHAAZQByAGkAbwBkALYAXAAiACAAJgAgAFwAbgAgACAAIAAgACAAIAAgACAAIAAgACAAIAAgACAAIAAgACAAIAAgACAAIAAgACAAIAAgACAAIAAgAFwAIgBEAGEAdABlAE8AZgBJAG4AdABlAHIAZQBzAHQAIACSISgAUgBlAHEAdQBpAHIAZQBkACkAIABBACAAZABhAHQAZQAgAGYAbwByACAAdwBoAGkAYwBoACAAdwBlACAAdwBhAG4AdAAgAHQAbwAgAGsAbgBvAHcAIAB0AGgAZQAgAHMAdABhAHIAdAAgAG8AZgAgAHQAaABlACAAcABlAHIAaQBvAGQAIABjAG8AbgB0AGEAaQBuAGkAbgBnACAAaQB0AC4AtgBcACIAIAAmACAAXABuACAAIAAgACAAIAAgACAAIAAgACAAIAAgACAAIAAgACAAIAAgACAAIAAgACAAIAAgACAAIAAgACAAXAAiAEUAWABBAE0AUABMAEUAUwA6ACAAIAAgACAAIAAgAJIhtgBcACIAIAAmAFwAbgAgACAAIAAgACAAIAAgACAAIAAgACAAIAAgACAAIAAgACAAIAAgACAAIAAgACAAIAAgACAAIAAgAFwAIgBSAGUAcwB1AGwAdAAgACAAIAAgACAAIAAgACAAIACSIUYAbwByAG0AdQBsAGEAIAAoAEIAWABGACAAaQBzACAAYQBzAHMAdQBtAGUAZAAgAHQAbwAgAGIAZQAgAHQAaABlACAAbQBvAGQAdQBsAGUAJwBzACAAbgBhAG0AZQApALYAXAAiACAAJgBcAG4AIAAgACAAIAAgACAAIAAgACAAIAAgACAAIAAgACAAIAAgACAAIAAgACAAIAAgACAAIAAgACAAIABcACIAMgAwADIANAAtADAANAAtADAAMQAgACAAIAAgACAAkiE9AEIAWABGAC4AUABlAHIAaQBvAGQAUwB0AGEAcgB0ALsDKABcACIAXAAiADIAMAAyADQALQAwADEALQAwADEAXAAiAFwAIgAsACAAMwAsACAAXAAiAFwAIgAyADAAMgA0AC0AMAA0AC0AMQA1AFwAIgBcACIAKQBcACIALAAgAFwAbgAgACAAIAAgACAAIAAgACAAIAAgACAAIAAgACAAIAAgACAAIAAgACAAIAAgACAAIAAgACAAIAAgAFwAIgCSIVwAIgAsACAAXAAiALYAXAAiAFwAbgAgACAAIAAgACAAIAAgACAAIAAgACAAIAAgACAAIAAgACAAIAAgACAAIAAgACAAIAAgACAAIAAgACkAXABuACAAIAAgACAAIAAgACAAIAAgACAAIAAgACAAIAAgACAAIAAgACAAIAAgACAAIAAgACkALABcAG4AIAAgACAAIAAvAC8AIAAgAEMAaABlAGMAawAgAGkAbgBwAHUAdABzACAALQAgAE8AbQBpAHQAdABlAGQAIAByAGUAcQB1AGkAcgBlAGQAIABhAHIAZwB1AG0AZQBuAHQAcwBcAG4AIAAgACAAIAAgACAAIAAgAEgAZQBsAHAAPwAsACAAIAAgACAAIAAgACAAIAAgACAATwBSACgAIABJAFMATwBNAEkAVABUAEUARAAoACAAQQBuAHkAUABlAHIAaQBvAGQAUwB0AGEAcgB0ACkALABcAG4AIAAgACAAIAAgACAAIAAgACAAIAAgACAAIAAgACAAIAAgACAAIAAgACAAIAAgACAAIAAgACAAIABJAFMATwBNAEkAVABUAEUARAAoACAATQBvAG4AdABoAHMAUABlAHIAUABlAHIAaQBvAGQAKQAsAFwAbgAgACAAIAAgACAAIAAgACAAIAAgACAAIAAgACAAIAAgACAAIAAgACAAIAAgACAAIAAgACAAIAAgAEkAUwBPAE0ASQBUAFQARQBEACgAIABEAGEAdABlAE8AZgBJAG4AdABlAHIAZQBzAHQAKQBcAG4AIAAgACAAIAAgACAAIAAgACAAIAAgACAAIAAgACAAIAAgACAAIAAgACAAIAAgACAAKQAsAFwAbgAgACAAIAAgAC8ALwAgACAAQwBvAG4AcwB0AGEAbgB0AHMAXABuACAAIAAgACAAIAAgACAAIABNAHAAWQAsACAAIAAgACAAIAAgACAAIAAgACAAIAAgACAAIAAgACAAMQAyACwAIAAvAC8ATQBvAG4AdABoAHMAIABQAGUAcgAgAFkAZQBhAHIAXABuACAAIAAgACAAIAAgACAAIABNAHAAUAAsACAAIAAgACAAIAAgACAAIAAgACAAIAAgACAAIAAgACAATQBvAG4AdABoAHMAUABlAHIAUABlAHIAaQBvAGQALABcAG4AIAAgACAAIAAvAC8AIAAgAFAAcgBvAGMAZQBkAHUAcgBlAFwAbgAgACAAIAAgACAAIAAgACAARABhAHQAZQBEAGEAeQAsACAAIAAgACAAIAAgACAAIAAgACAAIAAgAEQAQQBZACgARABhAHQAZQBPAGYASQBuAHQAZQByAGUAcwB0ACkALAAgAFwAbgAgACAAIAAgACAAIAAgACAAUABlAHIAaQBvAGQARABhAHkALAAgACAAIAAgACAAIAAgACAAIAAgAEQAYQB5ACgAQQBuAHkAUABlAHIAaQBvAGQAUwB0AGEAcgB0ACkALABcAG4AIAAgACAAIAAgACAAIAAgAEQAYQB0AGUATQBvAG4AdABoACwAIAAgACAAIAAgACAAIAAgACAAIABNAE8ATgBUAEgAKABEAGEAdABlAE8AZgBJAG4AdABlAHIAZQBzAHQAKQAsACAAXABuACAAIAAgACAAIAAgACAAIABQAGUAcgBpAG8AZABNAG8AbgB0AGgALAAgACAAIAAgACAAIAAgACAATQBPAE4AVABIACgAQQBuAHkAUABlAHIAaQBvAGQAUwB0AGEAcgB0ACkALABcAG4AIAAgACAAIAAgACAAIAAgAE0AbwBuAHQAaABNAG8AZABEAGkAZgBmAGUAcgBlAG4AYwBlACwAIABNAE8ARAAoAEQAYQB0AGUATQBvAG4AdABoACAALQAgAFAAZQByAGkAbwBkAE0AbwBuAHQAaAAsACAATQBwAFAAKQAsAFwAbgAgACAAIAAgACAAIAAgACAATgBlAGUAZABQAHIAaQBvAHIAUABlAHIAaQBvAGQAPwAsACAAIAAgAEEATgBEACgAIABNAG8AbgB0AGgATQBvAGQARABpAGYAZgBlAHIAZQBuAGMAZQAgAD0AIAAwACwAIABEAGEAdABlAEQAYQB5ACAAPAAgAFAAZQByAGkAbwBkAEQAYQB5ACkAIAAqACAALQAgAE0AcABQACwAXABuACAAIAAgACAAIAAgACAAIABOAGUAdwBQAGUAcgBpAG8AZABNAG8AbgB0AGgALAAgACAAIAAgACAATQBPAEQAKABEAGEAdABlAE0AbwBuAHQAaAAgAC0AIABNAG8AbgB0AGgATQBvAGQARABpAGYAZgBlAHIAZQBuAGMAZQAgACsAIABOAGUAZQBkAFAAcgBpAG8AcgBQAGUAcgBpAG8AZAA/ACAALQAxACwAIABNAHAAWQAgACkAIAArACAAMQAsAFwAbgAgACAAIAAgACAAIAAgACAAWQBlAGEAcgBDAG8AcgByAGUAYwB0AGkAbwBuACwAIAAgACAAIAAgAC0AKAAoAEQAYQB0AGUATQBvAG4AdABoACAAKgAgADEAMAAwACAAKwAgAEQAYQB0AGUARABhAHkAKQAgADwAIAAoAE4AZQB3AFAAZQByAGkAbwBkAE0AbwBuAHQAaAAgACoAIAAxADAAMAAgACsAIABQAGUAcgBpAG8AZABEAGEAeQAgACkAKQAsAFwAbgAgACAAIAAgACAAIAAgACAAUABlAHIAaQBvAGQARABhAHQAZQAsACAAIAAgACAAIAAgACAAIAAgAEQAQQBUAEUAKABZAEUAQQBSACgARABhAHQAZQBPAGYASQBuAHQAZQByAGUAcwB0ACkAIAArACAAWQBlAGEAcgBDAG8AcgByAGUAYwB0AGkAbwBuACwAIAAgAE4AZQB3AFAAZQByAGkAbwBkAE0AbwBuAHQAaAAsACAAUABlAHIAaQBvAGQARABhAHkAKQAsAFwAbgAgACAAIAAgACAAIAAgACAATABhAHMAdABEAGEAeQBPAGYATQBvAG4AdABoAEEAZABqACwAIAAgAFAAZQByAGkAbwBkAEQAYQB0AGUAIAAtACAAKABNAE8ATgBUAEgAKABQAGUAcgBpAG8AZABEAGEAdABlACkAIAA8AD4AIABOAGUAdwBQAGUAcgBpAG8AZABNAG8AbgB0AGgAKQAsAFwAbgAgACAAIAAgACAAIAAgACAAUgBlAHMAdQBsAHQALAAgACAAIAAgACAAIAAgACAAIAAgACAAIAAgAEwAYQBzAHQARABhAHkATwBmAE0AbwBuAHQAaABBAGQAagAsAFwAbgAgACAAIAAgAC8ALwAgACAAUgBlAHQAdQByAG4AIABSAGUAcwB1AGwAdAAgAG8AcgAgAEgAZQBsAHAAXABuACAAIAAgACAAIAAgACAAIABDAEgATwBPAFMARQAoACAASABlAGwAcAA/ACAAKwAgADEALAAgAFIAZQBzAHUAbAB0ACwAIABIAGUAbABwACkAXABuACAAIAAgACAAKQBcAG4AKQA7AFwAbgAiAH0AXQAsACIAcAByAG8AagBlAGMAdABOAGEAbQBlAHMAIgA6AFsAIgBNAFcALgBBAGIAbwB1AHQAuwMiACwAIgBNAFcALgBDAG8AcgBrAHMAYwByAGUAdwC7AyIALAAiAE0AVwAuAEMAbwByAGsAUwBjAHIAZQB3AFIAZQB2AGUAcgBzAGEAbAC7AyIALAAiAE0AVwAuAEkAbgB0AE8AbgBJAG4AdAC7AyIALAAiAE0AVwAuAEkAUgBSALsDIgAsACIATQBXAC4ATQBvAHYAZQBtAGUAbgB0ALsDIgAsACIATQBXAC4AUgBlAHYAZQByAHMAYQBsALsDIgAsACIATQBXAC4AQwB1AG0AdQBsAGEAdABpAHYAZQC7AyIALAAiAE0AVwAuAFIAbwBsAGwAaQBuAGcAQQB2AGcAuwMiACwAIgBNAFcALgBSAG8AbABsAGkAbgBnAE0AYQB4ALsDIgAsACIATQBXAC4AUgBvAGwAbABpAG4AZwBNAGkAbgC7AyIALAAiAE0AVwAuAFIAbwBsAGwAaQBuAGcAUwB1AG0AuwMiACwAIgBNAFcALgBTAHUAbQBDAG8AbgB0AGEAaQBuAHMAuwMiACwAIgBNAFcALgBTAHUAbQBQAGUAcgBpAG8AZABzALsDIgAsACIATQBXAC4AQQBtAG8AcgB0AGkAegBlALsDIgAsACIATQBXAC4ATABhAGIAZQBsAEEAbQBvAHIAdABpAHoAZQC7AyIALAAiAE0AVwAuAFMAdQBtAEEAbQBvAHIAdABpAHoAZQC7AyIALAAiAE0AVwAuAEQAZQBwAHIAZQBjAGkAYQB0AGUAuwMiACwAIgBNAFcALgBMAGEAYgBlAGwARABlAHAAcgBlAGMAaQBhAHQAZQC7AyIALAAiAE0AVwAuAFMAdQBtAEQAZQBwAHIAZQBjAGkAYQB0AGUAuwMiACwAIgBNAFcALgBBAGwAbABvAGMAYQB0AGUAuwMiACwAIgBNAFcALgBQAGUAcgBpAG8AZABEAGkAZgBmALsDIgAsACIATQBXAC4AUwBMAE4AuwMiACwAIgBNAFcALgBTAFkARAC7AyIALAAiAE0AVwAuAEQAQgC7AyIALAAiAE0AVwAuAEQARABCALsDIgAsACIATQBXAC4AVgBEAEIAuwMiACwAIgBNAFcALgBNAEEAQwBSAFMAuwMiACwAIgBNAFcALgBBAG0AbwByAHQAaQB6AGUAuwNEAFYAIgAsACIATQBXAC4AQwBvAHIAawBzAGMAcgBlAHcAuwNEAFYAIgAsACIATQBXAC4ARABlAHAAcgBlAGMAaQBhAHQAZQC7A0QAVgAiACwAIgBNAFcALgBUAGkAbQBlAGwAaQBuAGUATwBmAGYAcwBlAHQAuwMiACwAIgBNAFcALgBUAGkAbQBlAGwAaQBuAGUAUABvAHMAaQB0AGkAbwBuALsDIgAsACIATQBXAC4ARgBpAGwAdABlAHIAQwBvAG4AdABhAGkAbgBzALsDIgAsACIATQBXAC4AUgBhAG4AZwBlAFQAbwBEAEEAuwMiACwAIgBNAFcALgBQAGUAcgBpAG8AZABTAHQAYQByAHQ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Cj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GcAYgAiAH0AfQA=</AFEJSONBlob>
</file>

<file path=customXml/itemProps1.xml><?xml version="1.0" encoding="utf-8"?>
<ds:datastoreItem xmlns:ds="http://schemas.openxmlformats.org/officeDocument/2006/customXml" ds:itemID="{7C87D93D-1E8C-4D6D-A1B7-613AF2498021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Calculations</vt:lpstr>
      <vt:lpstr>CaseData</vt:lpstr>
      <vt:lpstr>CaseSolution (Original)</vt:lpstr>
      <vt:lpstr>AltSolution (Daily Sales)</vt:lpstr>
      <vt:lpstr>Tmp</vt:lpstr>
      <vt:lpstr>Capacity</vt:lpstr>
      <vt:lpstr>'AltSolution (Daily Sales)'!homeGames</vt:lpstr>
      <vt:lpstr>homeGames</vt:lpstr>
      <vt:lpstr>periods</vt:lpstr>
      <vt:lpstr>Calculations!Print_Area</vt:lpstr>
      <vt:lpstr>CaseData!Print_Area</vt:lpstr>
      <vt:lpstr>Calculations!Print_Titles</vt:lpstr>
      <vt:lpstr>Tmp!Print_Titles</vt:lpstr>
      <vt:lpstr>SeasonTicketPrice</vt:lpstr>
      <vt:lpstr>'AltSolution (Daily Sales)'!soldPrice</vt:lpstr>
      <vt:lpstr>soldPrice</vt:lpstr>
      <vt:lpstr>SpreadSTs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2026-08-12T07:06:53Z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2026-08-03T08:48:06Z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c48ae0fa-749b-42dd-8dcf-68047265b79e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