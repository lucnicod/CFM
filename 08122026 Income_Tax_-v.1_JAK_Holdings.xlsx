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5. Income Tax/5.1 JAK Holdings Inc/"/>
    </mc:Choice>
  </mc:AlternateContent>
  <xr:revisionPtr revIDLastSave="783" documentId="13_ncr:1_{FADEF45D-AC4A-410B-B577-C095EBD8F9A1}" xr6:coauthVersionLast="47" xr6:coauthVersionMax="47" xr10:uidLastSave="{253AB37D-14DA-451E-9138-BDEB43648DD0}"/>
  <bookViews>
    <workbookView xWindow="28680" yWindow="-120" windowWidth="29040" windowHeight="16440" xr2:uid="{00000000-000D-0000-FFFF-FFFF00000000}"/>
  </bookViews>
  <sheets>
    <sheet name="Calculations" sheetId="10" r:id="rId1"/>
    <sheet name="CaseData" sheetId="7" r:id="rId2"/>
    <sheet name="Tmp" sheetId="9" r:id="rId3"/>
    <sheet name="CaseSolution" sheetId="8" r:id="rId4"/>
  </sheets>
  <definedNames>
    <definedName name="company">CaseData!$B$1</definedName>
    <definedName name="periods">CaseData!$C$59</definedName>
    <definedName name="_xlnm.Print_Area" localSheetId="0">Calculations!$A$1:$N$80</definedName>
    <definedName name="_xlnm.Print_Titles" localSheetId="0">Calculations!$1:$4</definedName>
    <definedName name="_xlnm.Print_Titles" localSheetId="2">Tmp!$1:$4</definedName>
    <definedName name="start_date">CaseData!$C$58</definedName>
    <definedName name="topic">"CFM Topic: " &amp; CaseData!$C$57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0" l="1" a="1"/>
  <c r="I52" i="10" a="1"/>
  <c r="J9" i="10" a="1"/>
  <c r="J10" i="10" a="1"/>
  <c r="J11" i="10" a="1"/>
  <c r="J13" i="10" a="1"/>
  <c r="J29" i="10" a="1"/>
  <c r="J30" i="10" a="1"/>
  <c r="F31" i="10" a="1"/>
  <c r="J31" i="10"/>
  <c r="J32" i="10"/>
  <c r="K29" i="10"/>
  <c r="K31" i="10"/>
  <c r="K32" i="10"/>
  <c r="L29" i="10"/>
  <c r="L31" i="10"/>
  <c r="L32" i="10"/>
  <c r="M29" i="10"/>
  <c r="M31" i="10"/>
  <c r="M32" i="10"/>
  <c r="N29" i="10"/>
  <c r="N31" i="10"/>
  <c r="J14" i="10" a="1"/>
  <c r="J15" i="10" a="1"/>
  <c r="J16" i="10"/>
  <c r="J36" i="10"/>
  <c r="J37" i="10"/>
  <c r="J47" i="10"/>
  <c r="J38" i="10"/>
  <c r="J48" i="10"/>
  <c r="J39" i="10"/>
  <c r="J49" i="10"/>
  <c r="J40" i="10"/>
  <c r="J50" i="10"/>
  <c r="J41" i="10"/>
  <c r="J51" i="10"/>
  <c r="K16" i="10"/>
  <c r="K36" i="10"/>
  <c r="K37" i="10"/>
  <c r="K47" i="10"/>
  <c r="K38" i="10"/>
  <c r="K48" i="10"/>
  <c r="K39" i="10"/>
  <c r="K49" i="10"/>
  <c r="K40" i="10"/>
  <c r="K50" i="10"/>
  <c r="K41" i="10"/>
  <c r="K51" i="10"/>
  <c r="L16" i="10"/>
  <c r="L36" i="10"/>
  <c r="L37" i="10"/>
  <c r="L47" i="10"/>
  <c r="L38" i="10"/>
  <c r="L48" i="10"/>
  <c r="L39" i="10"/>
  <c r="L49" i="10"/>
  <c r="L40" i="10"/>
  <c r="L50" i="10"/>
  <c r="L41" i="10"/>
  <c r="L51" i="10"/>
  <c r="M16" i="10"/>
  <c r="M36" i="10"/>
  <c r="M37" i="10"/>
  <c r="M47" i="10"/>
  <c r="M38" i="10"/>
  <c r="M48" i="10"/>
  <c r="M39" i="10"/>
  <c r="M49" i="10"/>
  <c r="M40" i="10"/>
  <c r="M50" i="10"/>
  <c r="M41" i="10"/>
  <c r="M51" i="10"/>
  <c r="N16" i="10"/>
  <c r="N36" i="10"/>
  <c r="N37" i="10"/>
  <c r="J3" i="10" a="1"/>
  <c r="F22" i="10" a="1"/>
  <c r="N25" i="10"/>
  <c r="N73" i="10"/>
  <c r="M25" i="10"/>
  <c r="M73" i="10"/>
  <c r="L25" i="10"/>
  <c r="L73" i="10"/>
  <c r="K25" i="10"/>
  <c r="K73" i="10"/>
  <c r="J25" i="10"/>
  <c r="J73" i="10"/>
  <c r="N78" i="10"/>
  <c r="M78" i="10"/>
  <c r="L78" i="10"/>
  <c r="K78" i="10"/>
  <c r="J78" i="10"/>
  <c r="I74" i="10" a="1"/>
  <c r="N70" i="10"/>
  <c r="M70" i="10"/>
  <c r="L70" i="10"/>
  <c r="K70" i="10"/>
  <c r="J70" i="10"/>
  <c r="J45" i="10" a="1"/>
  <c r="N18" i="10"/>
  <c r="N19" i="10"/>
  <c r="N23" i="10"/>
  <c r="N24" i="10"/>
  <c r="N65" i="10"/>
  <c r="M18" i="10"/>
  <c r="M19" i="10"/>
  <c r="M23" i="10"/>
  <c r="M24" i="10"/>
  <c r="M65" i="10"/>
  <c r="L18" i="10"/>
  <c r="L19" i="10"/>
  <c r="L23" i="10"/>
  <c r="L24" i="10"/>
  <c r="L65" i="10"/>
  <c r="K18" i="10"/>
  <c r="K19" i="10"/>
  <c r="K23" i="10"/>
  <c r="K24" i="10"/>
  <c r="K65" i="10"/>
  <c r="J18" i="10"/>
  <c r="J19" i="10"/>
  <c r="J23" i="10"/>
  <c r="J24" i="10"/>
  <c r="J65" i="10"/>
  <c r="I66" i="10" a="1"/>
  <c r="I58" i="10" a="1"/>
  <c r="N62" i="10"/>
  <c r="M62" i="10"/>
  <c r="L62" i="10"/>
  <c r="K62" i="10"/>
  <c r="J62" i="10"/>
  <c r="N57" i="10"/>
  <c r="M57" i="10"/>
  <c r="L57" i="10"/>
  <c r="K57" i="10"/>
  <c r="J57" i="10"/>
  <c r="N38" i="10"/>
  <c r="N39" i="10"/>
  <c r="N40" i="10"/>
  <c r="N41" i="10"/>
  <c r="N51" i="10"/>
  <c r="N50" i="10"/>
  <c r="N49" i="10"/>
  <c r="N48" i="10"/>
  <c r="N47" i="10"/>
  <c r="N32" i="10"/>
  <c r="G29" i="10" a="1"/>
  <c r="G13" i="10" a="1"/>
  <c r="G11" i="10" a="1"/>
  <c r="G10" i="10" a="1"/>
  <c r="J3" i="9" a="1"/>
  <c r="A2" i="10" a="1"/>
  <c r="A1" i="10" a="1"/>
  <c r="A2" i="9" a="1"/>
  <c r="A1" i="9" a="1"/>
  <c r="F5" i="8"/>
  <c r="G5" i="8"/>
  <c r="E107" i="8"/>
  <c r="H5" i="8"/>
  <c r="E155" i="8"/>
  <c r="I5" i="8"/>
  <c r="F7" i="8"/>
  <c r="G7" i="8"/>
  <c r="H7" i="8"/>
  <c r="I7" i="8"/>
  <c r="F9" i="8"/>
  <c r="G9" i="8"/>
  <c r="H9" i="8"/>
  <c r="I9" i="8"/>
  <c r="F10" i="8"/>
  <c r="G10" i="8"/>
  <c r="H10" i="8"/>
  <c r="I10" i="8"/>
  <c r="F11" i="8"/>
  <c r="G11" i="8"/>
  <c r="H11" i="8"/>
  <c r="I11" i="8"/>
  <c r="F12" i="8"/>
  <c r="G12" i="8"/>
  <c r="H12" i="8"/>
  <c r="I12" i="8"/>
  <c r="F13" i="8"/>
  <c r="G13" i="8"/>
  <c r="H13" i="8"/>
  <c r="I13" i="8"/>
  <c r="F16" i="8"/>
  <c r="G16" i="8"/>
  <c r="H16" i="8"/>
  <c r="I16" i="8"/>
  <c r="F17" i="8"/>
  <c r="G17" i="8"/>
  <c r="H17" i="8"/>
  <c r="I17" i="8"/>
  <c r="F18" i="8"/>
  <c r="G18" i="8"/>
  <c r="H18" i="8"/>
  <c r="I18" i="8"/>
  <c r="F19" i="8"/>
  <c r="G19" i="8"/>
  <c r="H19" i="8"/>
  <c r="I19" i="8"/>
  <c r="F20" i="8"/>
  <c r="G20" i="8"/>
  <c r="H20" i="8"/>
  <c r="I20" i="8"/>
  <c r="F23" i="8"/>
  <c r="G23" i="8"/>
  <c r="H23" i="8"/>
  <c r="I23" i="8"/>
  <c r="F24" i="8"/>
  <c r="G24" i="8"/>
  <c r="H24" i="8"/>
  <c r="I24" i="8"/>
  <c r="F25" i="8"/>
  <c r="G25" i="8"/>
  <c r="H25" i="8"/>
  <c r="I25" i="8"/>
  <c r="F26" i="8"/>
  <c r="G26" i="8"/>
  <c r="H26" i="8"/>
  <c r="I26" i="8"/>
  <c r="F27" i="8"/>
  <c r="G27" i="8"/>
  <c r="H27" i="8"/>
  <c r="I27" i="8"/>
  <c r="F29" i="8"/>
  <c r="G29" i="8"/>
  <c r="E131" i="8"/>
  <c r="F128" i="8"/>
  <c r="H29" i="8"/>
  <c r="E179" i="8"/>
  <c r="F176" i="8"/>
  <c r="I29" i="8"/>
  <c r="F31" i="8"/>
  <c r="G31" i="8"/>
  <c r="H31" i="8"/>
  <c r="E175" i="8"/>
  <c r="I31" i="8"/>
  <c r="F35" i="8"/>
  <c r="G35" i="8"/>
  <c r="H35" i="8"/>
  <c r="I35" i="8"/>
  <c r="F36" i="8"/>
  <c r="G36" i="8"/>
  <c r="H36" i="8"/>
  <c r="I36" i="8"/>
  <c r="F37" i="8"/>
  <c r="G37" i="8"/>
  <c r="H37" i="8"/>
  <c r="I37" i="8"/>
  <c r="F38" i="8"/>
  <c r="G38" i="8"/>
  <c r="H38" i="8"/>
  <c r="I38" i="8"/>
  <c r="F39" i="8"/>
  <c r="G39" i="8"/>
  <c r="H39" i="8"/>
  <c r="I39" i="8"/>
  <c r="F42" i="8"/>
  <c r="G42" i="8"/>
  <c r="H42" i="8"/>
  <c r="I42" i="8"/>
  <c r="F43" i="8"/>
  <c r="G43" i="8"/>
  <c r="H43" i="8"/>
  <c r="I43" i="8"/>
  <c r="F44" i="8"/>
  <c r="G44" i="8"/>
  <c r="H44" i="8"/>
  <c r="I44" i="8"/>
  <c r="F45" i="8"/>
  <c r="G45" i="8"/>
  <c r="H45" i="8"/>
  <c r="I45" i="8"/>
  <c r="F46" i="8"/>
  <c r="G46" i="8"/>
  <c r="H46" i="8"/>
  <c r="I46" i="8"/>
  <c r="F49" i="8"/>
  <c r="G49" i="8"/>
  <c r="H49" i="8"/>
  <c r="E185" i="8"/>
  <c r="E194" i="8"/>
  <c r="I49" i="8"/>
  <c r="F50" i="8"/>
  <c r="G50" i="8"/>
  <c r="E138" i="8"/>
  <c r="E147" i="8"/>
  <c r="H50" i="8"/>
  <c r="E186" i="8"/>
  <c r="E195" i="8"/>
  <c r="I50" i="8"/>
  <c r="F51" i="8"/>
  <c r="G51" i="8"/>
  <c r="E139" i="8"/>
  <c r="E148" i="8"/>
  <c r="H51" i="8"/>
  <c r="E187" i="8"/>
  <c r="I51" i="8"/>
  <c r="F52" i="8"/>
  <c r="G52" i="8"/>
  <c r="E140" i="8"/>
  <c r="H52" i="8"/>
  <c r="E188" i="8"/>
  <c r="E197" i="8"/>
  <c r="I52" i="8"/>
  <c r="F53" i="8"/>
  <c r="G53" i="8"/>
  <c r="E141" i="8"/>
  <c r="E150" i="8"/>
  <c r="H53" i="8"/>
  <c r="I53" i="8"/>
  <c r="F54" i="8"/>
  <c r="G54" i="8"/>
  <c r="H54" i="8"/>
  <c r="E190" i="8"/>
  <c r="I54" i="8"/>
  <c r="E59" i="8"/>
  <c r="G59" i="8"/>
  <c r="H59" i="8"/>
  <c r="F61" i="8" a="1"/>
  <c r="I61" i="8"/>
  <c r="F62" i="8" a="1"/>
  <c r="F62" i="8"/>
  <c r="F65" i="8" a="1"/>
  <c r="F67" i="8" a="1"/>
  <c r="I67" i="8"/>
  <c r="E79" i="8"/>
  <c r="F81" i="8" a="1"/>
  <c r="F81" i="8"/>
  <c r="H81" i="8"/>
  <c r="I81" i="8"/>
  <c r="E83" i="8"/>
  <c r="F80" i="8"/>
  <c r="E89" i="8"/>
  <c r="E90" i="8"/>
  <c r="E99" i="8"/>
  <c r="E91" i="8"/>
  <c r="E100" i="8"/>
  <c r="E92" i="8"/>
  <c r="E101" i="8"/>
  <c r="E93" i="8"/>
  <c r="E102" i="8"/>
  <c r="E94" i="8"/>
  <c r="E103" i="8"/>
  <c r="E98" i="8"/>
  <c r="B103" i="8"/>
  <c r="F107" i="8"/>
  <c r="G107" i="8"/>
  <c r="E127" i="8"/>
  <c r="E137" i="8"/>
  <c r="E146" i="8"/>
  <c r="E142" i="8"/>
  <c r="E151" i="8"/>
  <c r="E149" i="8"/>
  <c r="B151" i="8"/>
  <c r="F155" i="8"/>
  <c r="F158" i="8" a="1"/>
  <c r="F177" i="8" a="1"/>
  <c r="E189" i="8"/>
  <c r="E198" i="8"/>
  <c r="E196" i="8"/>
  <c r="B199" i="8"/>
  <c r="E199" i="8"/>
  <c r="E203" i="8"/>
  <c r="F203" i="8"/>
  <c r="F205" i="8" a="1"/>
  <c r="J205" i="8"/>
  <c r="F205" i="8"/>
  <c r="H205" i="8"/>
  <c r="I205" i="8"/>
  <c r="F206" i="8" a="1"/>
  <c r="F206" i="8"/>
  <c r="I206" i="8"/>
  <c r="J206" i="8"/>
  <c r="F209" i="8" a="1"/>
  <c r="H209" i="8"/>
  <c r="F209" i="8"/>
  <c r="G209" i="8"/>
  <c r="F211" i="8" a="1"/>
  <c r="F211" i="8"/>
  <c r="E223" i="8"/>
  <c r="F225" i="8" a="1"/>
  <c r="F225" i="8"/>
  <c r="I225" i="8"/>
  <c r="J225" i="8"/>
  <c r="E227" i="8"/>
  <c r="F224" i="8"/>
  <c r="E233" i="8"/>
  <c r="E242" i="8"/>
  <c r="E234" i="8"/>
  <c r="E243" i="8"/>
  <c r="E235" i="8"/>
  <c r="E244" i="8"/>
  <c r="E236" i="8"/>
  <c r="E237" i="8"/>
  <c r="E246" i="8"/>
  <c r="E238" i="8"/>
  <c r="E247" i="8"/>
  <c r="E245" i="8"/>
  <c r="B247" i="8"/>
  <c r="F253" i="8"/>
  <c r="G253" i="8"/>
  <c r="F254" i="8" a="1"/>
  <c r="F254" i="8"/>
  <c r="G254" i="8"/>
  <c r="H254" i="8"/>
  <c r="I254" i="8"/>
  <c r="J254" i="8"/>
  <c r="B260" i="8" a="1"/>
  <c r="B261" i="8"/>
  <c r="B268" i="8"/>
  <c r="B275" i="8"/>
  <c r="B282" i="8"/>
  <c r="I281" i="8"/>
  <c r="I211" i="8"/>
  <c r="J211" i="8"/>
  <c r="B262" i="8"/>
  <c r="B269" i="8"/>
  <c r="B276" i="8"/>
  <c r="B283" i="8"/>
  <c r="H211" i="8"/>
  <c r="G205" i="8"/>
  <c r="G81" i="8"/>
  <c r="I62" i="8"/>
  <c r="I63" i="8"/>
  <c r="I76" i="8"/>
  <c r="G211" i="8"/>
  <c r="H62" i="8"/>
  <c r="I207" i="8"/>
  <c r="I220" i="8"/>
  <c r="G62" i="8"/>
  <c r="J67" i="8"/>
  <c r="J61" i="8"/>
  <c r="J281" i="8"/>
  <c r="B260" i="8"/>
  <c r="B267" i="8"/>
  <c r="B274" i="8"/>
  <c r="B281" i="8"/>
  <c r="J209" i="8"/>
  <c r="I209" i="8"/>
  <c r="G155" i="8"/>
  <c r="G65" i="8"/>
  <c r="F65" i="8"/>
  <c r="J65" i="8"/>
  <c r="I65" i="8"/>
  <c r="H65" i="8"/>
  <c r="F226" i="8"/>
  <c r="I59" i="8"/>
  <c r="H107" i="8"/>
  <c r="H155" i="8"/>
  <c r="H203" i="8"/>
  <c r="H253" i="8"/>
  <c r="F161" i="8" a="1"/>
  <c r="F157" i="8" a="1"/>
  <c r="B263" i="8"/>
  <c r="B270" i="8"/>
  <c r="B277" i="8"/>
  <c r="B284" i="8"/>
  <c r="G206" i="8"/>
  <c r="H206" i="8"/>
  <c r="H207" i="8"/>
  <c r="F257" i="8"/>
  <c r="F256" i="8"/>
  <c r="G256" i="8"/>
  <c r="H256" i="8"/>
  <c r="I256" i="8"/>
  <c r="J256" i="8"/>
  <c r="F255" i="8"/>
  <c r="G255" i="8"/>
  <c r="H255" i="8"/>
  <c r="I255" i="8"/>
  <c r="J255" i="8"/>
  <c r="G177" i="8"/>
  <c r="F177" i="8"/>
  <c r="J177" i="8"/>
  <c r="H177" i="8"/>
  <c r="I177" i="8"/>
  <c r="G158" i="8"/>
  <c r="F158" i="8"/>
  <c r="J158" i="8"/>
  <c r="H158" i="8"/>
  <c r="I158" i="8"/>
  <c r="F82" i="8"/>
  <c r="F66" i="8"/>
  <c r="F163" i="8" a="1"/>
  <c r="G225" i="8"/>
  <c r="H225" i="8"/>
  <c r="J207" i="8"/>
  <c r="J220" i="8"/>
  <c r="F207" i="8"/>
  <c r="F220" i="8"/>
  <c r="F115" i="8" a="1"/>
  <c r="F110" i="8" a="1"/>
  <c r="F113" i="8" a="1"/>
  <c r="F129" i="8" a="1"/>
  <c r="F109" i="8" a="1"/>
  <c r="H67" i="8"/>
  <c r="G67" i="8"/>
  <c r="H61" i="8"/>
  <c r="G61" i="8"/>
  <c r="F67" i="8"/>
  <c r="F61" i="8"/>
  <c r="J81" i="8"/>
  <c r="J62" i="8"/>
  <c r="J63" i="8"/>
  <c r="F178" i="8"/>
  <c r="F162" i="8"/>
  <c r="F83" i="8"/>
  <c r="G80" i="8"/>
  <c r="G207" i="8"/>
  <c r="G220" i="8"/>
  <c r="H220" i="8"/>
  <c r="J76" i="8"/>
  <c r="G63" i="8"/>
  <c r="G281" i="8"/>
  <c r="F129" i="8"/>
  <c r="J129" i="8"/>
  <c r="G129" i="8"/>
  <c r="H129" i="8"/>
  <c r="I129" i="8"/>
  <c r="H161" i="8"/>
  <c r="G161" i="8"/>
  <c r="F161" i="8"/>
  <c r="I161" i="8"/>
  <c r="J161" i="8"/>
  <c r="J59" i="8"/>
  <c r="B89" i="8" a="1"/>
  <c r="I107" i="8"/>
  <c r="I253" i="8"/>
  <c r="H63" i="8"/>
  <c r="H281" i="8"/>
  <c r="G113" i="8"/>
  <c r="F113" i="8"/>
  <c r="J113" i="8"/>
  <c r="H113" i="8"/>
  <c r="I113" i="8"/>
  <c r="I163" i="8"/>
  <c r="H163" i="8"/>
  <c r="J163" i="8"/>
  <c r="G163" i="8"/>
  <c r="F163" i="8"/>
  <c r="G203" i="8"/>
  <c r="F63" i="8"/>
  <c r="F281" i="8"/>
  <c r="G82" i="8"/>
  <c r="G83" i="8"/>
  <c r="H80" i="8"/>
  <c r="G66" i="8"/>
  <c r="F210" i="8"/>
  <c r="F212" i="8"/>
  <c r="F227" i="8"/>
  <c r="G224" i="8"/>
  <c r="H115" i="8"/>
  <c r="F115" i="8"/>
  <c r="J115" i="8"/>
  <c r="G115" i="8"/>
  <c r="I115" i="8"/>
  <c r="G257" i="8"/>
  <c r="F284" i="8"/>
  <c r="H109" i="8"/>
  <c r="G109" i="8"/>
  <c r="J109" i="8"/>
  <c r="I109" i="8"/>
  <c r="F109" i="8"/>
  <c r="F110" i="8"/>
  <c r="J110" i="8"/>
  <c r="G110" i="8"/>
  <c r="H110" i="8"/>
  <c r="I110" i="8"/>
  <c r="I157" i="8"/>
  <c r="H157" i="8"/>
  <c r="F157" i="8"/>
  <c r="G157" i="8"/>
  <c r="J157" i="8"/>
  <c r="F179" i="8"/>
  <c r="G176" i="8"/>
  <c r="F231" i="8"/>
  <c r="J159" i="8"/>
  <c r="J283" i="8"/>
  <c r="I159" i="8"/>
  <c r="I283" i="8"/>
  <c r="F111" i="8"/>
  <c r="F282" i="8"/>
  <c r="I155" i="8"/>
  <c r="B137" i="8" a="1"/>
  <c r="F76" i="8"/>
  <c r="F68" i="8"/>
  <c r="J107" i="8"/>
  <c r="J155" i="8"/>
  <c r="J203" i="8"/>
  <c r="J253" i="8"/>
  <c r="F159" i="8"/>
  <c r="F283" i="8"/>
  <c r="J111" i="8"/>
  <c r="J282" i="8"/>
  <c r="H111" i="8"/>
  <c r="H282" i="8"/>
  <c r="B91" i="8"/>
  <c r="B100" i="8"/>
  <c r="B92" i="8"/>
  <c r="B101" i="8"/>
  <c r="B93" i="8"/>
  <c r="B102" i="8"/>
  <c r="B90" i="8"/>
  <c r="B99" i="8"/>
  <c r="B89" i="8"/>
  <c r="B98" i="8"/>
  <c r="G283" i="8"/>
  <c r="G159" i="8"/>
  <c r="I111" i="8"/>
  <c r="I282" i="8"/>
  <c r="G68" i="8"/>
  <c r="G76" i="8"/>
  <c r="H159" i="8"/>
  <c r="H283" i="8"/>
  <c r="G111" i="8"/>
  <c r="G282" i="8"/>
  <c r="G284" i="8"/>
  <c r="G285" i="8"/>
  <c r="H257" i="8"/>
  <c r="G226" i="8"/>
  <c r="G210" i="8"/>
  <c r="G212" i="8"/>
  <c r="G227" i="8"/>
  <c r="H224" i="8"/>
  <c r="H82" i="8"/>
  <c r="H66" i="8"/>
  <c r="H76" i="8"/>
  <c r="H68" i="8"/>
  <c r="F130" i="8"/>
  <c r="F114" i="8"/>
  <c r="H83" i="8"/>
  <c r="I80" i="8"/>
  <c r="I82" i="8"/>
  <c r="I66" i="8"/>
  <c r="I68" i="8"/>
  <c r="G178" i="8"/>
  <c r="G179" i="8"/>
  <c r="H176" i="8"/>
  <c r="H178" i="8"/>
  <c r="H162" i="8"/>
  <c r="H164" i="8"/>
  <c r="G162" i="8"/>
  <c r="F285" i="8"/>
  <c r="H172" i="8"/>
  <c r="I124" i="8"/>
  <c r="H98" i="8"/>
  <c r="G98" i="8"/>
  <c r="J98" i="8"/>
  <c r="F98" i="8"/>
  <c r="I98" i="8"/>
  <c r="J100" i="8"/>
  <c r="I100" i="8"/>
  <c r="H100" i="8"/>
  <c r="F164" i="8"/>
  <c r="F172" i="8"/>
  <c r="F87" i="8"/>
  <c r="H87" i="8"/>
  <c r="I203" i="8"/>
  <c r="B233" i="8" a="1"/>
  <c r="B185" i="8" a="1"/>
  <c r="F233" i="8"/>
  <c r="F234" i="8"/>
  <c r="H226" i="8"/>
  <c r="H210" i="8"/>
  <c r="H212" i="8"/>
  <c r="G164" i="8"/>
  <c r="G172" i="8"/>
  <c r="I99" i="8"/>
  <c r="H99" i="8"/>
  <c r="J99" i="8"/>
  <c r="G99" i="8"/>
  <c r="B139" i="8"/>
  <c r="B148" i="8"/>
  <c r="B137" i="8"/>
  <c r="B146" i="8"/>
  <c r="B140" i="8"/>
  <c r="B149" i="8"/>
  <c r="B138" i="8"/>
  <c r="B147" i="8"/>
  <c r="B141" i="8"/>
  <c r="B150" i="8"/>
  <c r="F116" i="8"/>
  <c r="F124" i="8"/>
  <c r="J172" i="8"/>
  <c r="G231" i="8"/>
  <c r="G124" i="8"/>
  <c r="G87" i="8"/>
  <c r="J102" i="8"/>
  <c r="H124" i="8"/>
  <c r="J124" i="8"/>
  <c r="F131" i="8"/>
  <c r="G128" i="8"/>
  <c r="I257" i="8"/>
  <c r="H284" i="8"/>
  <c r="H285" i="8"/>
  <c r="J101" i="8"/>
  <c r="I101" i="8"/>
  <c r="I172" i="8"/>
  <c r="F235" i="8"/>
  <c r="H179" i="8"/>
  <c r="I176" i="8"/>
  <c r="B187" i="8"/>
  <c r="B196" i="8"/>
  <c r="B189" i="8"/>
  <c r="B198" i="8"/>
  <c r="B185" i="8"/>
  <c r="B194" i="8"/>
  <c r="B186" i="8"/>
  <c r="B195" i="8"/>
  <c r="B188" i="8"/>
  <c r="B197" i="8"/>
  <c r="H89" i="8"/>
  <c r="I87" i="8"/>
  <c r="I178" i="8"/>
  <c r="I162" i="8"/>
  <c r="I164" i="8"/>
  <c r="I284" i="8"/>
  <c r="I285" i="8"/>
  <c r="J257" i="8"/>
  <c r="J284" i="8"/>
  <c r="J285" i="8"/>
  <c r="F135" i="8"/>
  <c r="H146" i="8"/>
  <c r="F146" i="8"/>
  <c r="J146" i="8"/>
  <c r="I146" i="8"/>
  <c r="G146" i="8"/>
  <c r="H227" i="8"/>
  <c r="I224" i="8"/>
  <c r="B234" i="8"/>
  <c r="B243" i="8"/>
  <c r="B237" i="8"/>
  <c r="B246" i="8"/>
  <c r="B233" i="8"/>
  <c r="B242" i="8"/>
  <c r="B235" i="8"/>
  <c r="B244" i="8"/>
  <c r="B236" i="8"/>
  <c r="B245" i="8"/>
  <c r="F183" i="8"/>
  <c r="I83" i="8"/>
  <c r="J80" i="8"/>
  <c r="I147" i="8"/>
  <c r="J147" i="8"/>
  <c r="H147" i="8"/>
  <c r="G147" i="8"/>
  <c r="F236" i="8"/>
  <c r="F89" i="8"/>
  <c r="F90" i="8"/>
  <c r="F99" i="8"/>
  <c r="H183" i="8"/>
  <c r="G89" i="8"/>
  <c r="I149" i="8"/>
  <c r="J149" i="8"/>
  <c r="H231" i="8"/>
  <c r="G130" i="8"/>
  <c r="G114" i="8"/>
  <c r="G116" i="8"/>
  <c r="J150" i="8"/>
  <c r="J148" i="8"/>
  <c r="H148" i="8"/>
  <c r="I148" i="8"/>
  <c r="G183" i="8"/>
  <c r="G131" i="8"/>
  <c r="H128" i="8"/>
  <c r="H130" i="8"/>
  <c r="H131" i="8"/>
  <c r="I128" i="8"/>
  <c r="H114" i="8"/>
  <c r="H116" i="8"/>
  <c r="I183" i="8"/>
  <c r="G90" i="8"/>
  <c r="J82" i="8"/>
  <c r="J83" i="8"/>
  <c r="J66" i="8"/>
  <c r="J68" i="8"/>
  <c r="F245" i="8"/>
  <c r="I245" i="8"/>
  <c r="J245" i="8"/>
  <c r="I179" i="8"/>
  <c r="J176" i="8"/>
  <c r="H90" i="8"/>
  <c r="I197" i="8"/>
  <c r="J197" i="8"/>
  <c r="H196" i="8"/>
  <c r="I196" i="8"/>
  <c r="J196" i="8"/>
  <c r="H244" i="8"/>
  <c r="J244" i="8"/>
  <c r="I244" i="8"/>
  <c r="F244" i="8"/>
  <c r="I226" i="8"/>
  <c r="I210" i="8"/>
  <c r="I212" i="8"/>
  <c r="F137" i="8"/>
  <c r="F138" i="8"/>
  <c r="F147" i="8"/>
  <c r="I89" i="8"/>
  <c r="I90" i="8"/>
  <c r="J195" i="8"/>
  <c r="G195" i="8"/>
  <c r="H195" i="8"/>
  <c r="I195" i="8"/>
  <c r="F237" i="8"/>
  <c r="F238" i="8"/>
  <c r="F247" i="8"/>
  <c r="J246" i="8"/>
  <c r="F246" i="8"/>
  <c r="J198" i="8"/>
  <c r="F243" i="8"/>
  <c r="J243" i="8"/>
  <c r="I243" i="8"/>
  <c r="G243" i="8"/>
  <c r="H243" i="8"/>
  <c r="G135" i="8"/>
  <c r="F91" i="8"/>
  <c r="F100" i="8"/>
  <c r="F185" i="8"/>
  <c r="F186" i="8"/>
  <c r="F195" i="8"/>
  <c r="I242" i="8"/>
  <c r="F242" i="8"/>
  <c r="H242" i="8"/>
  <c r="G242" i="8"/>
  <c r="H233" i="8"/>
  <c r="J242" i="8"/>
  <c r="I194" i="8"/>
  <c r="F194" i="8"/>
  <c r="J194" i="8"/>
  <c r="H194" i="8"/>
  <c r="G194" i="8"/>
  <c r="G137" i="8"/>
  <c r="I130" i="8"/>
  <c r="I114" i="8"/>
  <c r="I116" i="8"/>
  <c r="F248" i="8"/>
  <c r="G233" i="8"/>
  <c r="I231" i="8"/>
  <c r="F92" i="8"/>
  <c r="F93" i="8"/>
  <c r="F102" i="8"/>
  <c r="G91" i="8"/>
  <c r="H185" i="8"/>
  <c r="F239" i="8"/>
  <c r="F214" i="8"/>
  <c r="F215" i="8"/>
  <c r="F218" i="8"/>
  <c r="I91" i="8"/>
  <c r="F139" i="8"/>
  <c r="F140" i="8"/>
  <c r="F149" i="8"/>
  <c r="I227" i="8"/>
  <c r="J224" i="8"/>
  <c r="J178" i="8"/>
  <c r="J162" i="8"/>
  <c r="J164" i="8"/>
  <c r="I185" i="8"/>
  <c r="G100" i="8"/>
  <c r="F148" i="8"/>
  <c r="F187" i="8"/>
  <c r="F196" i="8"/>
  <c r="G185" i="8"/>
  <c r="J87" i="8"/>
  <c r="H234" i="8"/>
  <c r="H135" i="8"/>
  <c r="G186" i="8"/>
  <c r="G187" i="8"/>
  <c r="I186" i="8"/>
  <c r="J179" i="8"/>
  <c r="G138" i="8"/>
  <c r="F188" i="8"/>
  <c r="F263" i="8"/>
  <c r="F219" i="8"/>
  <c r="F270" i="8"/>
  <c r="F277" i="8"/>
  <c r="F101" i="8"/>
  <c r="F94" i="8"/>
  <c r="F103" i="8"/>
  <c r="G234" i="8"/>
  <c r="I131" i="8"/>
  <c r="J128" i="8"/>
  <c r="F141" i="8"/>
  <c r="F150" i="8"/>
  <c r="J89" i="8"/>
  <c r="J90" i="8"/>
  <c r="J183" i="8"/>
  <c r="H91" i="8"/>
  <c r="I135" i="8"/>
  <c r="H137" i="8"/>
  <c r="H138" i="8"/>
  <c r="I187" i="8"/>
  <c r="J226" i="8"/>
  <c r="J210" i="8"/>
  <c r="J212" i="8"/>
  <c r="H186" i="8"/>
  <c r="I233" i="8"/>
  <c r="F142" i="8"/>
  <c r="F151" i="8"/>
  <c r="F152" i="8"/>
  <c r="G196" i="8"/>
  <c r="J130" i="8"/>
  <c r="J131" i="8"/>
  <c r="J114" i="8"/>
  <c r="J116" i="8"/>
  <c r="J185" i="8"/>
  <c r="G92" i="8"/>
  <c r="G101" i="8"/>
  <c r="F197" i="8"/>
  <c r="G188" i="8"/>
  <c r="F189" i="8"/>
  <c r="F190" i="8"/>
  <c r="F199" i="8"/>
  <c r="G235" i="8"/>
  <c r="G244" i="8"/>
  <c r="G139" i="8"/>
  <c r="G148" i="8"/>
  <c r="J231" i="8"/>
  <c r="I137" i="8"/>
  <c r="I138" i="8"/>
  <c r="F104" i="8"/>
  <c r="I234" i="8"/>
  <c r="J227" i="8"/>
  <c r="J91" i="8"/>
  <c r="G140" i="8"/>
  <c r="G149" i="8"/>
  <c r="F95" i="8"/>
  <c r="F70" i="8"/>
  <c r="F71" i="8"/>
  <c r="F74" i="8"/>
  <c r="I139" i="8"/>
  <c r="F143" i="8"/>
  <c r="F118" i="8"/>
  <c r="F119" i="8"/>
  <c r="F122" i="8"/>
  <c r="F261" i="8"/>
  <c r="H235" i="8"/>
  <c r="J186" i="8"/>
  <c r="J187" i="8"/>
  <c r="J188" i="8"/>
  <c r="H187" i="8"/>
  <c r="F198" i="8"/>
  <c r="F191" i="8"/>
  <c r="F166" i="8"/>
  <c r="F167" i="8"/>
  <c r="F170" i="8"/>
  <c r="G197" i="8"/>
  <c r="F200" i="8"/>
  <c r="J92" i="8"/>
  <c r="J233" i="8"/>
  <c r="F260" i="8"/>
  <c r="F75" i="8"/>
  <c r="F267" i="8"/>
  <c r="H139" i="8"/>
  <c r="I235" i="8"/>
  <c r="H92" i="8"/>
  <c r="H101" i="8"/>
  <c r="G141" i="8"/>
  <c r="G150" i="8"/>
  <c r="G93" i="8"/>
  <c r="G94" i="8"/>
  <c r="G103" i="8"/>
  <c r="G102" i="8"/>
  <c r="J135" i="8"/>
  <c r="G236" i="8"/>
  <c r="F123" i="8"/>
  <c r="F268" i="8"/>
  <c r="F275" i="8"/>
  <c r="G95" i="8"/>
  <c r="G70" i="8"/>
  <c r="G71" i="8"/>
  <c r="G74" i="8"/>
  <c r="I92" i="8"/>
  <c r="G260" i="8"/>
  <c r="G75" i="8"/>
  <c r="G267" i="8"/>
  <c r="F274" i="8"/>
  <c r="F262" i="8"/>
  <c r="F264" i="8"/>
  <c r="J137" i="8"/>
  <c r="J138" i="8"/>
  <c r="G142" i="8"/>
  <c r="J234" i="8"/>
  <c r="H188" i="8"/>
  <c r="G189" i="8"/>
  <c r="G198" i="8"/>
  <c r="G245" i="8"/>
  <c r="H236" i="8"/>
  <c r="G237" i="8"/>
  <c r="G246" i="8"/>
  <c r="H237" i="8"/>
  <c r="H93" i="8"/>
  <c r="H94" i="8"/>
  <c r="F171" i="8"/>
  <c r="F269" i="8"/>
  <c r="F271" i="8"/>
  <c r="H140" i="8"/>
  <c r="H149" i="8"/>
  <c r="G104" i="8"/>
  <c r="H102" i="8"/>
  <c r="G238" i="8"/>
  <c r="H103" i="8"/>
  <c r="H95" i="8"/>
  <c r="H70" i="8"/>
  <c r="H71" i="8"/>
  <c r="H74" i="8"/>
  <c r="H141" i="8"/>
  <c r="H150" i="8"/>
  <c r="H197" i="8"/>
  <c r="H189" i="8"/>
  <c r="H198" i="8"/>
  <c r="H246" i="8"/>
  <c r="G151" i="8"/>
  <c r="G143" i="8"/>
  <c r="G118" i="8"/>
  <c r="G119" i="8"/>
  <c r="G122" i="8"/>
  <c r="J139" i="8"/>
  <c r="J140" i="8"/>
  <c r="G274" i="8"/>
  <c r="I140" i="8"/>
  <c r="I93" i="8"/>
  <c r="I102" i="8"/>
  <c r="F276" i="8"/>
  <c r="F278" i="8"/>
  <c r="F287" i="8"/>
  <c r="H245" i="8"/>
  <c r="J235" i="8"/>
  <c r="H104" i="8"/>
  <c r="G190" i="8"/>
  <c r="G199" i="8"/>
  <c r="I94" i="8"/>
  <c r="I95" i="8"/>
  <c r="I70" i="8"/>
  <c r="I71" i="8"/>
  <c r="I74" i="8"/>
  <c r="G191" i="8"/>
  <c r="G166" i="8"/>
  <c r="G167" i="8"/>
  <c r="G170" i="8"/>
  <c r="H142" i="8"/>
  <c r="H143" i="8"/>
  <c r="H118" i="8"/>
  <c r="H119" i="8"/>
  <c r="H122" i="8"/>
  <c r="H123" i="8"/>
  <c r="H268" i="8"/>
  <c r="G247" i="8"/>
  <c r="G239" i="8"/>
  <c r="G214" i="8"/>
  <c r="G215" i="8"/>
  <c r="G218" i="8"/>
  <c r="I260" i="8"/>
  <c r="I75" i="8"/>
  <c r="I267" i="8"/>
  <c r="H261" i="8"/>
  <c r="I188" i="8"/>
  <c r="J93" i="8"/>
  <c r="G261" i="8"/>
  <c r="G123" i="8"/>
  <c r="G268" i="8"/>
  <c r="H260" i="8"/>
  <c r="H75" i="8"/>
  <c r="H267" i="8"/>
  <c r="I103" i="8"/>
  <c r="I104" i="8"/>
  <c r="G262" i="8"/>
  <c r="G171" i="8"/>
  <c r="G269" i="8"/>
  <c r="I236" i="8"/>
  <c r="I141" i="8"/>
  <c r="I150" i="8"/>
  <c r="J236" i="8"/>
  <c r="H151" i="8"/>
  <c r="G152" i="8"/>
  <c r="G200" i="8"/>
  <c r="H190" i="8"/>
  <c r="H191" i="8"/>
  <c r="H166" i="8"/>
  <c r="H167" i="8"/>
  <c r="H170" i="8"/>
  <c r="H275" i="8"/>
  <c r="I142" i="8"/>
  <c r="I151" i="8"/>
  <c r="G263" i="8"/>
  <c r="G219" i="8"/>
  <c r="G270" i="8"/>
  <c r="H238" i="8"/>
  <c r="H239" i="8"/>
  <c r="H214" i="8"/>
  <c r="H215" i="8"/>
  <c r="H218" i="8"/>
  <c r="G248" i="8"/>
  <c r="H247" i="8"/>
  <c r="H248" i="8"/>
  <c r="J141" i="8"/>
  <c r="H152" i="8"/>
  <c r="G275" i="8"/>
  <c r="G264" i="8"/>
  <c r="H274" i="8"/>
  <c r="J94" i="8"/>
  <c r="J95" i="8"/>
  <c r="J70" i="8"/>
  <c r="J71" i="8"/>
  <c r="J74" i="8"/>
  <c r="I189" i="8"/>
  <c r="I198" i="8"/>
  <c r="H199" i="8"/>
  <c r="I143" i="8"/>
  <c r="I118" i="8"/>
  <c r="I119" i="8"/>
  <c r="I122" i="8"/>
  <c r="G276" i="8"/>
  <c r="I274" i="8"/>
  <c r="H262" i="8"/>
  <c r="H171" i="8"/>
  <c r="H269" i="8"/>
  <c r="I237" i="8"/>
  <c r="J103" i="8"/>
  <c r="J104" i="8"/>
  <c r="G271" i="8"/>
  <c r="H263" i="8"/>
  <c r="H219" i="8"/>
  <c r="H270" i="8"/>
  <c r="H271" i="8"/>
  <c r="G277" i="8"/>
  <c r="I190" i="8"/>
  <c r="I191" i="8"/>
  <c r="I166" i="8"/>
  <c r="I167" i="8"/>
  <c r="I170" i="8"/>
  <c r="I262" i="8"/>
  <c r="J142" i="8"/>
  <c r="J151" i="8"/>
  <c r="J152" i="8"/>
  <c r="J143" i="8"/>
  <c r="J118" i="8"/>
  <c r="J119" i="8"/>
  <c r="J122" i="8"/>
  <c r="H276" i="8"/>
  <c r="J189" i="8"/>
  <c r="G278" i="8"/>
  <c r="G287" i="8"/>
  <c r="I152" i="8"/>
  <c r="I238" i="8"/>
  <c r="I247" i="8"/>
  <c r="I246" i="8"/>
  <c r="H200" i="8"/>
  <c r="J260" i="8"/>
  <c r="J75" i="8"/>
  <c r="J267" i="8"/>
  <c r="I261" i="8"/>
  <c r="I123" i="8"/>
  <c r="I268" i="8"/>
  <c r="H264" i="8"/>
  <c r="I171" i="8"/>
  <c r="I269" i="8"/>
  <c r="I199" i="8"/>
  <c r="I200" i="8"/>
  <c r="H277" i="8"/>
  <c r="H278" i="8"/>
  <c r="H287" i="8"/>
  <c r="J261" i="8"/>
  <c r="J123" i="8"/>
  <c r="J268" i="8"/>
  <c r="I275" i="8"/>
  <c r="I239" i="8"/>
  <c r="I214" i="8"/>
  <c r="I215" i="8"/>
  <c r="I218" i="8"/>
  <c r="J274" i="8"/>
  <c r="I248" i="8"/>
  <c r="J237" i="8"/>
  <c r="J238" i="8"/>
  <c r="J239" i="8"/>
  <c r="J214" i="8"/>
  <c r="J215" i="8"/>
  <c r="J218" i="8"/>
  <c r="J190" i="8"/>
  <c r="J199" i="8"/>
  <c r="J200" i="8"/>
  <c r="I276" i="8"/>
  <c r="J191" i="8"/>
  <c r="J166" i="8"/>
  <c r="J167" i="8"/>
  <c r="J170" i="8"/>
  <c r="J262" i="8"/>
  <c r="J171" i="8"/>
  <c r="J269" i="8"/>
  <c r="I263" i="8"/>
  <c r="I219" i="8"/>
  <c r="I270" i="8"/>
  <c r="I271" i="8"/>
  <c r="J263" i="8"/>
  <c r="J219" i="8"/>
  <c r="J270" i="8"/>
  <c r="J247" i="8"/>
  <c r="J248" i="8"/>
  <c r="J275" i="8"/>
  <c r="J271" i="8"/>
  <c r="J277" i="8"/>
  <c r="I277" i="8"/>
  <c r="I278" i="8"/>
  <c r="I287" i="8"/>
  <c r="I264" i="8"/>
  <c r="J276" i="8"/>
  <c r="J278" i="8"/>
  <c r="J287" i="8"/>
  <c r="J26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<sst xmlns="http://schemas.openxmlformats.org/spreadsheetml/2006/main" count="319" uniqueCount="116">
  <si>
    <t>Expiring Thereafter</t>
  </si>
  <si>
    <t>Expiring in Fiscal 2023</t>
  </si>
  <si>
    <t>Expiring in Fiscal 2022</t>
  </si>
  <si>
    <t>Expiring in Fiscal 2021</t>
  </si>
  <si>
    <t>Expiring in Fiscal 2020</t>
  </si>
  <si>
    <t>Expiring in Fiscal 2019</t>
  </si>
  <si>
    <t>Tax Loss Carry Forwards:</t>
  </si>
  <si>
    <t>Fiscal 2023</t>
  </si>
  <si>
    <t>Fiscal 2022</t>
  </si>
  <si>
    <t>Fiscal 2021</t>
  </si>
  <si>
    <t>Fiscal 2020</t>
  </si>
  <si>
    <t>Fiscal 2019</t>
  </si>
  <si>
    <t>Incremental Deductions for Tax Purposes:</t>
  </si>
  <si>
    <t>Expenses Not Deductible:</t>
  </si>
  <si>
    <t>(% of beginning basis + additions to fixed assets)</t>
  </si>
  <si>
    <t>Blended Tax Depreciation Rate</t>
  </si>
  <si>
    <t>Tax Basis in Depreciable Assets</t>
  </si>
  <si>
    <t>Accounting Depreciation:</t>
  </si>
  <si>
    <t>Additions to Fixed Assets:</t>
  </si>
  <si>
    <t>Projected Accounting Pre-tax Income:</t>
  </si>
  <si>
    <t>Exchange Rate (per USD)</t>
  </si>
  <si>
    <t>Corporate Tax Rate</t>
  </si>
  <si>
    <t>(EUR)</t>
  </si>
  <si>
    <t>(MXN)</t>
  </si>
  <si>
    <t>(CAD)</t>
  </si>
  <si>
    <t>(USD)</t>
  </si>
  <si>
    <t>Germany</t>
  </si>
  <si>
    <t>Mexico</t>
  </si>
  <si>
    <t>Canada</t>
  </si>
  <si>
    <t>U.S.</t>
  </si>
  <si>
    <t>(in thousands, local currency as indicated)</t>
  </si>
  <si>
    <t>JAK Holdings Inc.</t>
  </si>
  <si>
    <t>Effective Tax Rate</t>
  </si>
  <si>
    <t>Total</t>
  </si>
  <si>
    <t>Projected Accounting Pre-tax Income (in USD)</t>
  </si>
  <si>
    <t>Income Tax Expense (in USD)</t>
  </si>
  <si>
    <t>Deferred Taxes (in USD)</t>
  </si>
  <si>
    <t>Current Taxes (in USD)</t>
  </si>
  <si>
    <t>EUR</t>
  </si>
  <si>
    <t>MXN</t>
  </si>
  <si>
    <t>CAD</t>
  </si>
  <si>
    <t>USD</t>
  </si>
  <si>
    <t>Exchange Rates (per USD)</t>
  </si>
  <si>
    <t>Consolidated Tax Calculations</t>
  </si>
  <si>
    <t>Total TLCFs Remaining</t>
  </si>
  <si>
    <t>TLCFs Remaining</t>
  </si>
  <si>
    <t>Total TLCFs Used</t>
  </si>
  <si>
    <t>TLCFs Used</t>
  </si>
  <si>
    <t>Taxable Income for Gov't Purposes before NOLs</t>
  </si>
  <si>
    <t>TLCF Schedule:</t>
  </si>
  <si>
    <t>Closing Tax Basis in Depreciable Assets</t>
  </si>
  <si>
    <t>Less: Tax Depreciation Claimed</t>
  </si>
  <si>
    <t>Plus: Additions to Fixed Assets</t>
  </si>
  <si>
    <t>Opening Tax Basis in Depreciable Assets</t>
  </si>
  <si>
    <t>Tax Dep'n Rate</t>
  </si>
  <si>
    <t>Tax Depreciation Schedule:</t>
  </si>
  <si>
    <t>Total Tax Expense (Rate * A)</t>
  </si>
  <si>
    <t>Deferred Tax Expense</t>
  </si>
  <si>
    <t>Current Tax Expense (Rate * B)</t>
  </si>
  <si>
    <t>Tax Summary:</t>
  </si>
  <si>
    <t>Taxable Income for Gov't Purposes After NOLs (B)</t>
  </si>
  <si>
    <t>Less: NOLs Used</t>
  </si>
  <si>
    <t>Less: Incremental Deductions for Tax Purposes</t>
  </si>
  <si>
    <t>Less: Tax Depreciation</t>
  </si>
  <si>
    <t>Plus: Accounting Depreciation</t>
  </si>
  <si>
    <t>Taxable Income for Accounting Purposes (A)</t>
  </si>
  <si>
    <t>Plus: Non-Deductible Expenses</t>
  </si>
  <si>
    <t>Projected Accounting Pre-tax Income</t>
  </si>
  <si>
    <t>Tax Calculation:</t>
  </si>
  <si>
    <t>Tax Rate</t>
  </si>
  <si>
    <t>GERMANY (EUR)</t>
  </si>
  <si>
    <t>MEXICO (MXN)</t>
  </si>
  <si>
    <t>CANADA (CAD)</t>
  </si>
  <si>
    <t>UNITED STATES (USD)</t>
  </si>
  <si>
    <t>Tax Schedules</t>
  </si>
  <si>
    <t>TMP SCHEDULE</t>
  </si>
  <si>
    <t>Constant</t>
  </si>
  <si>
    <t>Unit</t>
  </si>
  <si>
    <t>End of schedule</t>
  </si>
  <si>
    <t>Topic</t>
  </si>
  <si>
    <t>Income Tax</t>
  </si>
  <si>
    <t>Start date</t>
  </si>
  <si>
    <t>Periods</t>
  </si>
  <si>
    <t>years</t>
  </si>
  <si>
    <t>date</t>
  </si>
  <si>
    <t>text</t>
  </si>
  <si>
    <t>CALCULATION SCHEDULE</t>
  </si>
  <si>
    <t>USD m</t>
  </si>
  <si>
    <t>Tax schedule</t>
  </si>
  <si>
    <t>Country</t>
  </si>
  <si>
    <t>Non deductible expenses</t>
  </si>
  <si>
    <t>plus</t>
  </si>
  <si>
    <t>Addition to fixed assets</t>
  </si>
  <si>
    <t xml:space="preserve"> </t>
  </si>
  <si>
    <t>Tax Basis in Depreciable Assets opening balance</t>
  </si>
  <si>
    <t>Accounting depreciation</t>
  </si>
  <si>
    <t>Taxable Depreciation at blended rate</t>
  </si>
  <si>
    <t>Taxable depreciation</t>
  </si>
  <si>
    <t>minus</t>
  </si>
  <si>
    <t>Incremental deduction for tax purposes</t>
  </si>
  <si>
    <t>Taxable Income for Tax Purposes before NOL</t>
  </si>
  <si>
    <t>Utilization of Tax Loss Carry Forwards</t>
  </si>
  <si>
    <t>Tax Loss Carry Forwards Ending Balances</t>
  </si>
  <si>
    <t>Expiring thereafter</t>
  </si>
  <si>
    <t>Tax Loss Carry Forward</t>
  </si>
  <si>
    <t>Current tax</t>
  </si>
  <si>
    <t>Current corporate tax rate</t>
  </si>
  <si>
    <t>Taxable Income for Tax Purposes after NOL</t>
  </si>
  <si>
    <t>Tax Basis in Depreciable Assets closing balance</t>
  </si>
  <si>
    <t>Deferred tax</t>
  </si>
  <si>
    <t>Tax</t>
  </si>
  <si>
    <t>Consolidation</t>
  </si>
  <si>
    <t>Current Tax in USD &gt;&gt;</t>
  </si>
  <si>
    <t>Deferred Tax in USD &gt;&gt;</t>
  </si>
  <si>
    <t>Total Tax in USD &gt;&gt;</t>
  </si>
  <si>
    <t>USD m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</si>
</sst>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* #,##0.00_);_(* \(#,##0.00\);_(* &quot;-&quot;??_);_(@_)"/>
    <numFmt numFmtId="168" formatCode="0.0%"/>
    <numFmt numFmtId="169" formatCode="[$€-2]\ #,##0_);\([$€-2]\ #,##0\)"/>
    <numFmt numFmtId="170" formatCode="&quot;MX&quot;\ &quot;$&quot;#,##0_);&quot;MX&quot;\ \(&quot;$&quot;#,##0\)"/>
    <numFmt numFmtId="171" formatCode="&quot;Expiring In &quot;0"/>
    <numFmt numFmtId="172" formatCode="_-* #,##0_-;\-* #,##0_-;_-* &quot;-&quot;??_-;_-@_-"/>
    <numFmt numFmtId="173" formatCode="#,##0_);\(#,##0\);&quot;-  &quot;;&quot; &quot;@"/>
    <numFmt numFmtId="174" formatCode="0.00%\ ;\-0.00%\ _);&quot;-  &quot;;&quot; &quot;@&quot; &quot;"/>
    <numFmt numFmtId="175" formatCode="#,##0.0000_);\(#,##0.0000\);&quot;-  &quot;;&quot; &quot;@&quot; &quot;"/>
    <numFmt numFmtId="176" formatCode="dd\ mmm\ yyyy_);\(###0\);&quot;-  &quot;;&quot; &quot;@&quot; &quot;"/>
    <numFmt numFmtId="177" formatCode="dd\ mmm\ yy_);\(###0\);&quot;-  &quot;;&quot; &quot;@&quot; &quot;"/>
    <numFmt numFmtId="178" formatCode="###0_);\(###0\);&quot;-  &quot;;&quot; &quot;@&quot; &quot;"/>
    <numFmt numFmtId="179" formatCode="&quot;Expiring in Fiscal&quot;\ yyyy"/>
  </numFmts>
  <fonts count="30"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u/>
      <sz val="10"/>
      <color rgb="FF0000FF"/>
      <name val="Calibri"/>
      <family val="2"/>
      <scheme val="minor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8"/>
      <color rgb="FF0000FF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6">
    <xf numFmtId="173" fontId="0" fillId="0" borderId="0" applyFill="0" applyBorder="0" applyProtection="0">
      <alignment vertical="top"/>
    </xf>
    <xf numFmtId="0" fontId="14" fillId="0" borderId="0"/>
    <xf numFmtId="167" fontId="15" fillId="0" borderId="0" applyFont="0" applyFill="0" applyBorder="0" applyAlignment="0" applyProtection="0"/>
    <xf numFmtId="0" fontId="16" fillId="0" borderId="0" applyNumberFormat="0" applyFont="0" applyFill="0" applyBorder="0" applyProtection="0">
      <alignment horizontal="centerContinuous"/>
    </xf>
    <xf numFmtId="0" fontId="16" fillId="0" borderId="1" applyNumberFormat="0" applyFont="0" applyFill="0" applyAlignment="0" applyProtection="0"/>
    <xf numFmtId="0" fontId="16" fillId="0" borderId="0" applyNumberFormat="0" applyFont="0" applyFill="0" applyBorder="0" applyProtection="0">
      <alignment horizontal="center"/>
    </xf>
    <xf numFmtId="166" fontId="17" fillId="0" borderId="13">
      <protection locked="0"/>
    </xf>
    <xf numFmtId="0" fontId="16" fillId="0" borderId="14" applyNumberFormat="0" applyFont="0" applyFill="0" applyAlignment="0" applyProtection="0"/>
    <xf numFmtId="0" fontId="18" fillId="0" borderId="0" applyNumberFormat="0" applyFill="0" applyBorder="0" applyAlignment="0" applyProtection="0"/>
    <xf numFmtId="172" fontId="15" fillId="0" borderId="0" applyNumberFormat="0" applyFill="0" applyBorder="0" applyAlignment="0" applyProtection="0"/>
    <xf numFmtId="0" fontId="16" fillId="0" borderId="12" applyNumberFormat="0" applyFont="0" applyFill="0" applyAlignment="0" applyProtection="0"/>
    <xf numFmtId="174" fontId="19" fillId="0" borderId="0" applyFont="0" applyFill="0" applyBorder="0" applyProtection="0">
      <alignment vertical="top"/>
    </xf>
    <xf numFmtId="175" fontId="20" fillId="0" borderId="0" applyFont="0" applyFill="0" applyBorder="0" applyProtection="0">
      <alignment vertical="top"/>
    </xf>
    <xf numFmtId="176" fontId="20" fillId="0" borderId="0" applyFont="0" applyFill="0" applyBorder="0" applyProtection="0">
      <alignment vertical="top"/>
    </xf>
    <xf numFmtId="177" fontId="20" fillId="0" borderId="0" applyFont="0" applyFill="0" applyBorder="0" applyProtection="0">
      <alignment vertical="top"/>
    </xf>
    <xf numFmtId="178" fontId="20" fillId="0" borderId="0" applyFont="0" applyFill="0" applyBorder="0" applyProtection="0">
      <alignment vertical="top"/>
    </xf>
  </cellStyleXfs>
  <cellXfs count="77">
    <xf numFmtId="173" fontId="0" fillId="0" borderId="0" xfId="0">
      <alignment vertical="top"/>
    </xf>
    <xf numFmtId="173" fontId="1" fillId="0" borderId="0" xfId="0" applyFont="1">
      <alignment vertical="top"/>
    </xf>
    <xf numFmtId="173" fontId="0" fillId="0" borderId="1" xfId="0" applyBorder="1">
      <alignment vertical="top"/>
    </xf>
    <xf numFmtId="173" fontId="3" fillId="0" borderId="0" xfId="0" applyFont="1">
      <alignment vertical="top"/>
    </xf>
    <xf numFmtId="173" fontId="2" fillId="0" borderId="0" xfId="0" applyFont="1">
      <alignment vertical="top"/>
    </xf>
    <xf numFmtId="173" fontId="5" fillId="0" borderId="0" xfId="0" applyFont="1">
      <alignment vertical="top"/>
    </xf>
    <xf numFmtId="173" fontId="3" fillId="0" borderId="0" xfId="0" applyFont="1" applyAlignment="1">
      <alignment horizontal="center"/>
    </xf>
    <xf numFmtId="173" fontId="3" fillId="0" borderId="0" xfId="0" applyFont="1" applyAlignment="1">
      <alignment horizontal="left" indent="1"/>
    </xf>
    <xf numFmtId="173" fontId="2" fillId="0" borderId="0" xfId="0" applyFont="1" applyAlignment="1">
      <alignment horizontal="left" indent="1"/>
    </xf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73" fontId="3" fillId="0" borderId="0" xfId="0" applyFont="1" applyAlignment="1">
      <alignment horizontal="right"/>
    </xf>
    <xf numFmtId="168" fontId="3" fillId="0" borderId="0" xfId="0" applyNumberFormat="1" applyFont="1" applyAlignment="1">
      <alignment horizontal="right"/>
    </xf>
    <xf numFmtId="173" fontId="4" fillId="0" borderId="0" xfId="0" applyFont="1" applyAlignment="1">
      <alignment horizontal="right"/>
    </xf>
    <xf numFmtId="173" fontId="2" fillId="0" borderId="0" xfId="0" applyFont="1" applyAlignment="1">
      <alignment horizontal="right"/>
    </xf>
    <xf numFmtId="168" fontId="2" fillId="0" borderId="4" xfId="0" applyNumberFormat="1" applyFont="1" applyBorder="1" applyAlignment="1">
      <alignment horizontal="right"/>
    </xf>
    <xf numFmtId="168" fontId="2" fillId="0" borderId="3" xfId="0" applyNumberFormat="1" applyFont="1" applyBorder="1" applyAlignment="1">
      <alignment horizontal="right"/>
    </xf>
    <xf numFmtId="173" fontId="0" fillId="0" borderId="3" xfId="0" applyBorder="1">
      <alignment vertical="top"/>
    </xf>
    <xf numFmtId="173" fontId="2" fillId="0" borderId="2" xfId="0" applyFont="1" applyBorder="1" applyAlignment="1">
      <alignment horizontal="left"/>
    </xf>
    <xf numFmtId="164" fontId="9" fillId="0" borderId="0" xfId="0" applyNumberFormat="1" applyFont="1" applyAlignment="1">
      <alignment horizontal="right"/>
    </xf>
    <xf numFmtId="173" fontId="2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right"/>
    </xf>
    <xf numFmtId="173" fontId="3" fillId="0" borderId="0" xfId="0" applyFont="1" applyAlignment="1">
      <alignment horizontal="left"/>
    </xf>
    <xf numFmtId="173" fontId="6" fillId="0" borderId="0" xfId="0" applyFont="1" applyAlignment="1">
      <alignment horizontal="left"/>
    </xf>
    <xf numFmtId="173" fontId="6" fillId="0" borderId="0" xfId="0" applyFont="1" applyAlignment="1">
      <alignment horizontal="right"/>
    </xf>
    <xf numFmtId="173" fontId="11" fillId="0" borderId="0" xfId="0" applyFont="1" applyAlignment="1">
      <alignment horizontal="right"/>
    </xf>
    <xf numFmtId="173" fontId="12" fillId="0" borderId="0" xfId="0" applyFont="1">
      <alignment vertical="top"/>
    </xf>
    <xf numFmtId="164" fontId="8" fillId="0" borderId="10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/>
    </xf>
    <xf numFmtId="173" fontId="10" fillId="0" borderId="1" xfId="0" applyFont="1" applyBorder="1">
      <alignment vertical="top"/>
    </xf>
    <xf numFmtId="173" fontId="2" fillId="0" borderId="10" xfId="0" applyFont="1" applyBorder="1" applyAlignment="1">
      <alignment horizontal="left" indent="1"/>
    </xf>
    <xf numFmtId="164" fontId="9" fillId="0" borderId="9" xfId="0" applyNumberFormat="1" applyFont="1" applyBorder="1" applyAlignment="1">
      <alignment horizontal="right"/>
    </xf>
    <xf numFmtId="173" fontId="10" fillId="0" borderId="0" xfId="0" applyFont="1">
      <alignment vertical="top"/>
    </xf>
    <xf numFmtId="171" fontId="2" fillId="0" borderId="8" xfId="0" applyNumberFormat="1" applyFont="1" applyBorder="1" applyAlignment="1">
      <alignment horizontal="left" indent="1"/>
    </xf>
    <xf numFmtId="164" fontId="9" fillId="0" borderId="7" xfId="0" applyNumberFormat="1" applyFont="1" applyBorder="1" applyAlignment="1">
      <alignment horizontal="right"/>
    </xf>
    <xf numFmtId="173" fontId="10" fillId="0" borderId="6" xfId="0" applyFont="1" applyBorder="1">
      <alignment vertical="top"/>
    </xf>
    <xf numFmtId="171" fontId="2" fillId="0" borderId="5" xfId="0" applyNumberFormat="1" applyFont="1" applyBorder="1" applyAlignment="1">
      <alignment horizontal="left" indent="1"/>
    </xf>
    <xf numFmtId="171" fontId="6" fillId="0" borderId="0" xfId="0" applyNumberFormat="1" applyFont="1" applyAlignment="1">
      <alignment horizontal="left" indent="1"/>
    </xf>
    <xf numFmtId="173" fontId="6" fillId="0" borderId="0" xfId="0" applyFont="1">
      <alignment vertical="top"/>
    </xf>
    <xf numFmtId="168" fontId="2" fillId="0" borderId="4" xfId="0" applyNumberFormat="1" applyFont="1" applyBorder="1" applyAlignment="1">
      <alignment horizontal="center"/>
    </xf>
    <xf numFmtId="173" fontId="2" fillId="0" borderId="2" xfId="0" applyFont="1" applyBorder="1" applyAlignment="1">
      <alignment horizontal="right"/>
    </xf>
    <xf numFmtId="173" fontId="7" fillId="0" borderId="0" xfId="0" applyFont="1" applyAlignment="1">
      <alignment horizontal="right"/>
    </xf>
    <xf numFmtId="173" fontId="13" fillId="0" borderId="0" xfId="0" applyFont="1">
      <alignment vertical="top"/>
    </xf>
    <xf numFmtId="165" fontId="8" fillId="0" borderId="1" xfId="0" applyNumberFormat="1" applyFont="1" applyBorder="1" applyAlignment="1">
      <alignment horizontal="right"/>
    </xf>
    <xf numFmtId="173" fontId="21" fillId="2" borderId="0" xfId="0" applyFont="1" applyFill="1">
      <alignment vertical="top"/>
    </xf>
    <xf numFmtId="173" fontId="22" fillId="2" borderId="0" xfId="0" applyFont="1" applyFill="1">
      <alignment vertical="top"/>
    </xf>
    <xf numFmtId="173" fontId="0" fillId="3" borderId="0" xfId="0" applyFill="1">
      <alignment vertical="top"/>
    </xf>
    <xf numFmtId="173" fontId="23" fillId="3" borderId="0" xfId="0" applyFont="1" applyFill="1">
      <alignment vertical="top"/>
    </xf>
    <xf numFmtId="173" fontId="3" fillId="0" borderId="0" xfId="0" applyFont="1" applyFill="1" applyBorder="1" applyAlignment="1">
      <alignment horizontal="left" indent="1"/>
    </xf>
    <xf numFmtId="173" fontId="24" fillId="4" borderId="16" xfId="0" applyFont="1" applyFill="1" applyBorder="1">
      <alignment vertical="top"/>
    </xf>
    <xf numFmtId="177" fontId="24" fillId="4" borderId="16" xfId="14" applyFont="1" applyFill="1" applyBorder="1">
      <alignment vertical="top"/>
    </xf>
    <xf numFmtId="173" fontId="24" fillId="4" borderId="15" xfId="0" applyFont="1" applyFill="1" applyBorder="1">
      <alignment vertical="top"/>
    </xf>
    <xf numFmtId="178" fontId="22" fillId="2" borderId="0" xfId="15" applyFont="1" applyFill="1">
      <alignment vertical="top"/>
    </xf>
    <xf numFmtId="173" fontId="23" fillId="0" borderId="0" xfId="0" applyFont="1">
      <alignment vertical="top"/>
    </xf>
    <xf numFmtId="173" fontId="0" fillId="0" borderId="0" xfId="0" applyAlignment="1">
      <alignment horizontal="right" vertical="top"/>
    </xf>
    <xf numFmtId="173" fontId="25" fillId="0" borderId="0" xfId="0" applyFont="1" applyAlignment="1">
      <alignment horizontal="right" vertical="top"/>
    </xf>
    <xf numFmtId="173" fontId="0" fillId="5" borderId="0" xfId="0" applyFill="1">
      <alignment vertical="top"/>
    </xf>
    <xf numFmtId="173" fontId="0" fillId="0" borderId="0" xfId="0" applyAlignment="1">
      <alignment horizontal="left" vertical="top" indent="1"/>
    </xf>
    <xf numFmtId="173" fontId="0" fillId="0" borderId="1" xfId="0" applyBorder="1" applyAlignment="1">
      <alignment horizontal="left" vertical="top" indent="1"/>
    </xf>
    <xf numFmtId="173" fontId="26" fillId="2" borderId="0" xfId="0" applyFont="1" applyFill="1">
      <alignment vertical="top"/>
    </xf>
    <xf numFmtId="173" fontId="27" fillId="2" borderId="0" xfId="0" applyFont="1" applyFill="1">
      <alignment vertical="top"/>
    </xf>
    <xf numFmtId="178" fontId="26" fillId="2" borderId="0" xfId="15" applyFont="1" applyFill="1">
      <alignment vertical="top"/>
    </xf>
    <xf numFmtId="178" fontId="27" fillId="2" borderId="0" xfId="15" applyFont="1" applyFill="1">
      <alignment vertical="top"/>
    </xf>
    <xf numFmtId="178" fontId="23" fillId="0" borderId="1" xfId="15" applyFont="1" applyFill="1" applyBorder="1">
      <alignment vertical="top"/>
    </xf>
    <xf numFmtId="174" fontId="28" fillId="0" borderId="1" xfId="11" applyFont="1" applyBorder="1">
      <alignment vertical="top"/>
    </xf>
    <xf numFmtId="173" fontId="28" fillId="4" borderId="15" xfId="0" applyFont="1" applyFill="1" applyBorder="1">
      <alignment vertical="top"/>
    </xf>
    <xf numFmtId="179" fontId="0" fillId="0" borderId="0" xfId="0" applyNumberFormat="1" applyAlignment="1">
      <alignment horizontal="left" vertical="top" indent="1"/>
    </xf>
    <xf numFmtId="171" fontId="0" fillId="0" borderId="0" xfId="0" applyNumberFormat="1" applyAlignment="1">
      <alignment horizontal="left" vertical="top" indent="1"/>
    </xf>
    <xf numFmtId="174" fontId="28" fillId="0" borderId="0" xfId="11" applyFont="1">
      <alignment vertical="top"/>
    </xf>
    <xf numFmtId="173" fontId="27" fillId="0" borderId="0" xfId="0" applyFont="1">
      <alignment vertical="top"/>
    </xf>
    <xf numFmtId="173" fontId="29" fillId="0" borderId="0" xfId="0" applyFont="1">
      <alignment vertical="top"/>
    </xf>
    <xf numFmtId="173" fontId="0" fillId="0" borderId="1" xfId="0" applyBorder="1" applyAlignment="1">
      <alignment horizontal="right" vertical="top"/>
    </xf>
    <xf numFmtId="173" fontId="23" fillId="0" borderId="0" xfId="0" applyFont="1" applyAlignment="1">
      <alignment horizontal="right" vertical="top"/>
    </xf>
  </cellXfs>
  <cellStyles count="16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13" xr:uid="{3A23376E-0E55-4D64-ABD6-0F695AA3079C}"/>
    <cellStyle name="DateShort" xfId="14" xr:uid="{8A4818FC-04F4-4951-93B7-0BD6E5C06CA2}"/>
    <cellStyle name="Double" xfId="7" xr:uid="{00000000-0005-0000-0000-000005000000}"/>
    <cellStyle name="Factor" xfId="12" xr:uid="{165B0BCD-4590-4364-BCD3-47E0E4B26FBD}"/>
    <cellStyle name="Normal" xfId="0" builtinId="0" customBuiltin="1"/>
    <cellStyle name="Normal 2" xfId="1" xr:uid="{00000000-0005-0000-0000-000007000000}"/>
    <cellStyle name="Numbers" xfId="8" xr:uid="{00000000-0005-0000-0000-00000A000000}"/>
    <cellStyle name="Numbers - Bold - Italic" xfId="9" xr:uid="{00000000-0005-0000-0000-00000B000000}"/>
    <cellStyle name="Outline" xfId="10" xr:uid="{00000000-0005-0000-0000-00000C000000}"/>
    <cellStyle name="Percent" xfId="11" builtinId="5" customBuiltin="1"/>
    <cellStyle name="Year" xfId="15" xr:uid="{8621345B-52CC-41FA-8B69-2FE16BCB6BD5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1BB2DF-8FD4-4CB5-B9F7-425E208D18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f4c2b2c-bfd0-4147-9059-17037358f0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9CA0-9FB2-4464-8185-848B1C7B437B}">
  <sheetPr>
    <pageSetUpPr autoPageBreaks="0"/>
  </sheetPr>
  <dimension ref="A1:T80"/>
  <sheetViews>
    <sheetView tabSelected="1" zoomScale="85" zoomScaleNormal="85" workbookViewId="0">
      <pane xSplit="9" ySplit="3" topLeftCell="J41" activePane="bottomRight" state="frozen"/>
      <selection pane="topRight" activeCell="J1" sqref="J1"/>
      <selection pane="bottomLeft" activeCell="A4" sqref="A4"/>
      <selection pane="bottomRight" activeCell="E56" sqref="E56:E73"/>
    </sheetView>
  </sheetViews>
  <sheetFormatPr defaultRowHeight="13.8"/>
  <cols>
    <col min="1" max="1" width="1.59765625" customWidth="1"/>
    <col min="2" max="4" width="1.5" customWidth="1"/>
    <col min="5" max="5" width="35.69921875" customWidth="1"/>
    <col min="6" max="8" width="9.3984375" customWidth="1"/>
    <col min="9" max="9" width="1.5" customWidth="1"/>
    <col min="10" max="14" width="9.3984375" customWidth="1"/>
    <col min="16" max="16" width="9.69921875" bestFit="1" customWidth="1"/>
    <col min="17" max="20" width="9.5" bestFit="1" customWidth="1"/>
  </cols>
  <sheetData>
    <row r="1" spans="1:20" s="64" customFormat="1">
      <c r="A1" s="63" t="str" cm="1">
        <f t="array" ref="A1">company</f>
        <v>JAK Holdings Inc.</v>
      </c>
    </row>
    <row r="2" spans="1:20" s="64" customFormat="1">
      <c r="A2" s="63" t="str" cm="1">
        <f t="array" ref="A2">topic</f>
        <v>CFM Topic: Income Tax</v>
      </c>
    </row>
    <row r="3" spans="1:20" s="64" customFormat="1">
      <c r="A3" s="63" t="s">
        <v>86</v>
      </c>
      <c r="F3" s="63" t="s">
        <v>76</v>
      </c>
      <c r="G3" s="63" t="s">
        <v>77</v>
      </c>
      <c r="H3" s="63" t="s">
        <v>33</v>
      </c>
      <c r="J3" s="65" cm="1">
        <f t="array" ref="J3:N3" xml:space="preserve"> YEAR( EOMONTH( start_date, _xlfn.SEQUENCE( 1, periods, 0, 12 ) ) )</f>
        <v>2019</v>
      </c>
      <c r="K3" s="65">
        <v>2020</v>
      </c>
      <c r="L3" s="65">
        <v>2021</v>
      </c>
      <c r="M3" s="65">
        <v>2022</v>
      </c>
      <c r="N3" s="65">
        <v>2023</v>
      </c>
      <c r="P3" s="65"/>
      <c r="Q3" s="66"/>
      <c r="R3" s="66"/>
      <c r="S3" s="66"/>
      <c r="T3" s="66"/>
    </row>
    <row r="5" spans="1:20">
      <c r="E5" t="s">
        <v>89</v>
      </c>
      <c r="F5" s="69" t="s">
        <v>29</v>
      </c>
    </row>
    <row r="7" spans="1:20" s="50" customFormat="1">
      <c r="A7" s="51" t="s">
        <v>88</v>
      </c>
    </row>
    <row r="9" spans="1:20">
      <c r="E9" t="s">
        <v>67</v>
      </c>
      <c r="G9" t="s">
        <v>87</v>
      </c>
      <c r="J9" cm="1">
        <f t="array" ref="J9:N9" xml:space="preserve"> _xlfn.LET(
      _xlpm.values,           CaseData!$F$9:$I$13,
      _xlpm.years,            VALUE( RIGHT( CaseData!$B$9:$B$13, 4 ) ),
      _xlpm.countries,        CaseData!$F$3:$I$3,
      _xlpm.current_year,_xlfn.ANCHORARRAY(     $J$3),
      _xlpm.current_country,  $F$5,
      _xlpm.fx_rate,          INDEX( CaseData!$F$7:$I$7, 1, MATCH( _xlpm.current_country, _xlpm.countries, 0 ) ),
      _xlpm.projected,        INDEX( _xlpm.values, MATCH( _xlpm.current_year, _xlpm.years, 0 ), MATCH( _xlpm.current_country, _xlpm.countries, 0  ) ),
      _xlpm.projected / _xlpm.fx_rate )</f>
        <v>17840</v>
      </c>
      <c r="K9">
        <v>17062</v>
      </c>
      <c r="L9">
        <v>19307</v>
      </c>
      <c r="M9">
        <v>17314</v>
      </c>
      <c r="N9">
        <v>14576</v>
      </c>
    </row>
    <row r="10" spans="1:20">
      <c r="D10" s="59" t="s">
        <v>91</v>
      </c>
      <c r="E10" s="62" t="s">
        <v>90</v>
      </c>
      <c r="F10" s="2"/>
      <c r="G10" s="2" t="str" cm="1">
        <f t="array" ref="G10" xml:space="preserve"> $G$9:$G$9</f>
        <v>USD m</v>
      </c>
      <c r="H10" s="2"/>
      <c r="I10" s="2"/>
      <c r="J10" s="2" cm="1">
        <f t="array" ref="J10:N10" xml:space="preserve"> _xlfn.LET(
      _xlpm.values,           CaseData!$F$35:$I$39,
      _xlpm.years,            VALUE( RIGHT( CaseData!$B$9:$B$13, 4 ) ),
      _xlpm.countries,        CaseData!$F$3:$I$3,
      _xlpm.current_year,_xlfn.ANCHORARRAY(     $J$3),
      _xlpm.current_country,  $F$5,
      _xlpm.fx_rate,          INDEX(   CaseData!$F$7:$I$7, 1, MATCH( _xlpm.current_country, _xlpm.countries, 0 ) ),
      _xlpm.projected,        INDEX( _xlpm.values, MATCH( _xlpm.current_year, _xlpm.years, 0 ), MATCH( _xlpm.current_country, _xlpm.countries, 0  ) ),
      _xlpm.projected / _xlpm.fx_rate )</f>
        <v>6742</v>
      </c>
      <c r="K10" s="2">
        <v>0</v>
      </c>
      <c r="L10" s="2">
        <v>0</v>
      </c>
      <c r="M10" s="2">
        <v>0</v>
      </c>
      <c r="N10" s="2">
        <v>0</v>
      </c>
    </row>
    <row r="11" spans="1:20">
      <c r="E11" s="57" t="s">
        <v>65</v>
      </c>
      <c r="G11" s="57" t="str" cm="1">
        <f t="array" ref="G11" xml:space="preserve"> $G$9:$G$9</f>
        <v>USD m</v>
      </c>
      <c r="H11" s="57"/>
      <c r="I11" s="57"/>
      <c r="J11" s="57" cm="1">
        <f t="array" ref="J11:N11">_xlfn.ANCHORARRAY( J9) +_xlfn.ANCHORARRAY( J10)</f>
        <v>24582</v>
      </c>
      <c r="K11" s="57">
        <v>17062</v>
      </c>
      <c r="L11" s="57">
        <v>19307</v>
      </c>
      <c r="M11" s="57">
        <v>17314</v>
      </c>
      <c r="N11" s="57">
        <v>14576</v>
      </c>
    </row>
    <row r="13" spans="1:20">
      <c r="D13" s="59" t="s">
        <v>91</v>
      </c>
      <c r="E13" s="61" t="s">
        <v>95</v>
      </c>
      <c r="G13" t="str" cm="1">
        <f t="array" ref="G13" xml:space="preserve"> $G$9:$G$9</f>
        <v>USD m</v>
      </c>
      <c r="J13" cm="1">
        <f t="array" ref="J13:N13" xml:space="preserve"> _xlfn.LET(
      _xlpm.values,           CaseData!$F$23:$I$27,
      _xlpm.years,            VALUE( RIGHT( CaseData!$B$9:$B$13, 4 ) ),
      _xlpm.countries,        CaseData!$F$3:$I$3,
      _xlpm.current_year,_xlfn.ANCHORARRAY(     $J$3),
      _xlpm.current_country,  $F$5,
      _xlpm.fx_rate,          INDEX(   CaseData!$F$7:$I$7, 1, MATCH( _xlpm.current_country, _xlpm.countries, 0 ) ),
      _xlpm.projected,        INDEX( _xlpm.values, MATCH( _xlpm.current_year, _xlpm.years, 0 ), MATCH( _xlpm.current_country, _xlpm.countries, 0  ) ),
      _xlpm.projected / _xlpm.fx_rate )</f>
        <v>5432</v>
      </c>
      <c r="K13">
        <v>5595</v>
      </c>
      <c r="L13">
        <v>5875</v>
      </c>
      <c r="M13">
        <v>6169</v>
      </c>
      <c r="N13">
        <v>6416</v>
      </c>
    </row>
    <row r="14" spans="1:20">
      <c r="D14" s="59" t="s">
        <v>98</v>
      </c>
      <c r="E14" s="61" t="s">
        <v>97</v>
      </c>
      <c r="G14" t="s">
        <v>87</v>
      </c>
      <c r="J14" cm="1">
        <f t="array" ref="J14:N14" xml:space="preserve"> $J$31:$N$31</f>
        <v>8825.7420000000002</v>
      </c>
      <c r="K14">
        <v>8402.8997340000005</v>
      </c>
      <c r="L14">
        <v>8319.2720667180001</v>
      </c>
      <c r="M14">
        <v>8124.1606025116871</v>
      </c>
      <c r="N14">
        <v>7596.7168484027497</v>
      </c>
    </row>
    <row r="15" spans="1:20">
      <c r="D15" s="59" t="s">
        <v>98</v>
      </c>
      <c r="E15" s="62" t="s">
        <v>99</v>
      </c>
      <c r="F15" s="2"/>
      <c r="G15" s="2" t="s">
        <v>87</v>
      </c>
      <c r="H15" s="2"/>
      <c r="I15" s="2"/>
      <c r="J15" s="2" cm="1">
        <f t="array" ref="J15:N15" xml:space="preserve"> _xlfn.LET(
      _xlpm.values,           CaseData!$F$42:$I$46,
      _xlpm.years,            VALUE( RIGHT( CaseData!$B$9:$B$13, 4 ) ),
      _xlpm.countries,        CaseData!$F$3:$I$3,
      _xlpm.current_year,_xlfn.ANCHORARRAY(     $J$3),
      _xlpm.current_country,  $F$5,
      _xlpm.fx_rate,          INDEX(   CaseData!$F$7:$I$7, 1, MATCH( _xlpm.current_country, _xlpm.countries, 0 ) ),
      _xlpm.projected,        INDEX( _xlpm.values, MATCH( _xlpm.current_year, _xlpm.years, 0 ), MATCH( _xlpm.current_country, _xlpm.countries, 0  ) ),
      _xlpm.projected / _xlpm.fx_rate )</f>
        <v>5709</v>
      </c>
      <c r="K15" s="2">
        <v>5972</v>
      </c>
      <c r="L15" s="2">
        <v>2317</v>
      </c>
      <c r="M15" s="2">
        <v>3809</v>
      </c>
      <c r="N15" s="2">
        <v>3790</v>
      </c>
    </row>
    <row r="16" spans="1:20">
      <c r="E16" s="57" t="s">
        <v>100</v>
      </c>
      <c r="G16" s="57" t="s">
        <v>87</v>
      </c>
      <c r="H16" s="57"/>
      <c r="I16" s="57"/>
      <c r="J16" s="57">
        <f xml:space="preserve"> J11 + J13 - J14 - J15</f>
        <v>15479.258000000002</v>
      </c>
      <c r="K16" s="57">
        <f t="shared" ref="K16:N16" si="0" xml:space="preserve"> K11 + K13 - K14 - K15</f>
        <v>8282.1002659999995</v>
      </c>
      <c r="L16" s="57">
        <f t="shared" si="0"/>
        <v>14545.727933282</v>
      </c>
      <c r="M16" s="57">
        <f t="shared" si="0"/>
        <v>11549.839397488313</v>
      </c>
      <c r="N16" s="57">
        <f t="shared" si="0"/>
        <v>9605.2831515972503</v>
      </c>
    </row>
    <row r="18" spans="1:14">
      <c r="E18" s="2" t="s">
        <v>101</v>
      </c>
      <c r="F18" s="2"/>
      <c r="G18" s="2" t="s">
        <v>87</v>
      </c>
      <c r="H18" s="2"/>
      <c r="I18" s="2"/>
      <c r="J18" s="2">
        <f xml:space="preserve"> J$36</f>
        <v>15479.258000000002</v>
      </c>
      <c r="K18" s="2">
        <f t="shared" ref="K18:N18" si="1" xml:space="preserve"> K$36</f>
        <v>8282.1002659999995</v>
      </c>
      <c r="L18" s="2">
        <f t="shared" si="1"/>
        <v>14545.727933282</v>
      </c>
      <c r="M18" s="2">
        <f t="shared" si="1"/>
        <v>5106.913800717999</v>
      </c>
      <c r="N18" s="2">
        <f t="shared" si="1"/>
        <v>4400</v>
      </c>
    </row>
    <row r="19" spans="1:14">
      <c r="E19" s="57" t="s">
        <v>107</v>
      </c>
      <c r="G19" s="57" t="s">
        <v>87</v>
      </c>
      <c r="J19">
        <f xml:space="preserve"> J16 - J18</f>
        <v>0</v>
      </c>
      <c r="K19">
        <f t="shared" ref="K19:N19" si="2" xml:space="preserve"> K16 - K18</f>
        <v>0</v>
      </c>
      <c r="L19">
        <f t="shared" si="2"/>
        <v>0</v>
      </c>
      <c r="M19">
        <f t="shared" si="2"/>
        <v>6442.9255967703139</v>
      </c>
      <c r="N19">
        <f t="shared" si="2"/>
        <v>5205.2831515972503</v>
      </c>
    </row>
    <row r="22" spans="1:14">
      <c r="E22" t="s">
        <v>106</v>
      </c>
      <c r="F22" s="72" cm="1">
        <f t="array" ref="F22" xml:space="preserve"> _xlfn.LET(
      _xlpm.countries,         CaseData!$F$3:$I$3,
      _xlpm.current_country,   $F$5,
      _xlfn.XLOOKUP( _xlpm.current_country, _xlpm.countries, CaseData!$F$5:$I$5, 0, 0 ) )</f>
        <v>0.25600000000000001</v>
      </c>
    </row>
    <row r="23" spans="1:14">
      <c r="E23" t="s">
        <v>105</v>
      </c>
      <c r="G23" t="s">
        <v>87</v>
      </c>
      <c r="J23">
        <f xml:space="preserve"> J19 * $F$22</f>
        <v>0</v>
      </c>
      <c r="K23">
        <f t="shared" ref="K23:N23" si="3" xml:space="preserve"> K19 * $F$22</f>
        <v>0</v>
      </c>
      <c r="L23">
        <f t="shared" si="3"/>
        <v>0</v>
      </c>
      <c r="M23">
        <f t="shared" si="3"/>
        <v>1649.3889527732003</v>
      </c>
      <c r="N23">
        <f t="shared" si="3"/>
        <v>1332.552486808896</v>
      </c>
    </row>
    <row r="24" spans="1:14">
      <c r="E24" s="2" t="s">
        <v>109</v>
      </c>
      <c r="F24" s="2"/>
      <c r="G24" s="2" t="s">
        <v>87</v>
      </c>
      <c r="H24" s="2"/>
      <c r="I24" s="2"/>
      <c r="J24" s="2">
        <f xml:space="preserve"> J25 - J23</f>
        <v>6292.9920000000002</v>
      </c>
      <c r="K24" s="2">
        <f t="shared" ref="K24:N24" si="4" xml:space="preserve"> K25 - K23</f>
        <v>4367.8720000000003</v>
      </c>
      <c r="L24" s="2">
        <f t="shared" si="4"/>
        <v>4942.5920000000006</v>
      </c>
      <c r="M24" s="2">
        <f t="shared" si="4"/>
        <v>2782.9950472267997</v>
      </c>
      <c r="N24" s="2">
        <f t="shared" si="4"/>
        <v>2398.9035131911041</v>
      </c>
    </row>
    <row r="25" spans="1:14">
      <c r="E25" s="57" t="s">
        <v>110</v>
      </c>
      <c r="F25" s="57"/>
      <c r="G25" s="57" t="s">
        <v>87</v>
      </c>
      <c r="H25" s="57"/>
      <c r="I25" s="57"/>
      <c r="J25" s="57">
        <f xml:space="preserve"> J$11 * $F$22</f>
        <v>6292.9920000000002</v>
      </c>
      <c r="K25" s="57">
        <f t="shared" ref="K25:N25" si="5" xml:space="preserve"> K$11 * $F$22</f>
        <v>4367.8720000000003</v>
      </c>
      <c r="L25" s="57">
        <f t="shared" si="5"/>
        <v>4942.5920000000006</v>
      </c>
      <c r="M25" s="57">
        <f t="shared" si="5"/>
        <v>4432.384</v>
      </c>
      <c r="N25" s="57">
        <f t="shared" si="5"/>
        <v>3731.4560000000001</v>
      </c>
    </row>
    <row r="26" spans="1:14"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s="50" customFormat="1">
      <c r="A27" s="51" t="s">
        <v>97</v>
      </c>
    </row>
    <row r="29" spans="1:14">
      <c r="E29" t="s">
        <v>94</v>
      </c>
      <c r="G29" t="str" cm="1">
        <f t="array" ref="G29" xml:space="preserve"> $G$9:$G$9</f>
        <v>USD m</v>
      </c>
      <c r="J29" s="60" cm="1">
        <f t="array" ref="J29" xml:space="preserve"> _xlfn.LET(
      _xlpm.countries,         CaseData!$F$3:$I$3,
      _xlpm.current_country,   $F$5,
      _xlpm.opening_balance,   _xlfn.XLOOKUP( _xlpm.current_country, _xlpm.countries, CaseData!$F$29:$I$29, 0, 0 ),
      _xlpm.fx_rate,           _xlfn.XLOOKUP( _xlpm.current_country, _xlpm.countries, CaseData!$F$7:$I$7, 0, 0 ),
      _xlpm.opening_balance / _xlpm.fx_rate )</f>
        <v>65510</v>
      </c>
      <c r="K29">
        <f>J32</f>
        <v>62928.258000000002</v>
      </c>
      <c r="L29">
        <f t="shared" ref="L29:N29" si="6">K32</f>
        <v>59913.358266000003</v>
      </c>
      <c r="M29">
        <f t="shared" si="6"/>
        <v>59317.086199281999</v>
      </c>
      <c r="N29">
        <f t="shared" si="6"/>
        <v>57925.925596770314</v>
      </c>
    </row>
    <row r="30" spans="1:14">
      <c r="D30" s="59" t="s">
        <v>91</v>
      </c>
      <c r="E30" s="61" t="s">
        <v>92</v>
      </c>
      <c r="G30" t="s">
        <v>87</v>
      </c>
      <c r="H30" t="s">
        <v>93</v>
      </c>
      <c r="J30" cm="1">
        <f t="array" ref="J30:N30" xml:space="preserve"> _xlfn.LET(
      _xlpm.values,           CaseData!$F$16:$I$20,
      _xlpm.years,            VALUE( RIGHT( CaseData!$B$9:$B$13, 4 ) ),
      _xlpm.countries,        CaseData!$F$3:$I$3,
      _xlpm.current_year,_xlfn.ANCHORARRAY(     $J$3),
      _xlpm.current_country,  $F$5,
      _xlpm.fx_rate,          INDEX( CaseData!$F$7:$I$7, 1, MATCH( _xlpm.current_country, _xlpm.countries, 0 ) ),
      _xlpm.projected,        INDEX( _xlpm.values, MATCH( _xlpm.current_year, _xlpm.years, 0 ), MATCH( _xlpm.current_country, _xlpm.countries, 0  ) ),
      _xlpm.projected / _xlpm.fx_rate )</f>
        <v>6244</v>
      </c>
      <c r="K30">
        <v>5388</v>
      </c>
      <c r="L30">
        <v>7723</v>
      </c>
      <c r="M30">
        <v>6733</v>
      </c>
      <c r="N30">
        <v>3836</v>
      </c>
    </row>
    <row r="31" spans="1:14">
      <c r="D31" s="59" t="s">
        <v>98</v>
      </c>
      <c r="E31" s="62" t="s">
        <v>96</v>
      </c>
      <c r="F31" s="68" cm="1">
        <f t="array" ref="F31" xml:space="preserve"> _xlfn.LET(
      _xlpm.countries,         CaseData!$F$3:$I$3,
      _xlpm.current_country,   $F$5,
      _xlfn.XLOOKUP( _xlpm.current_country, _xlpm.countries, CaseData!$F$31:$I$31, 0, 0 ) )</f>
        <v>0.12300000000000001</v>
      </c>
      <c r="G31" s="2" t="s">
        <v>87</v>
      </c>
      <c r="H31" s="2"/>
      <c r="I31" s="2"/>
      <c r="J31" s="2">
        <f xml:space="preserve"> SUM( J29:J30 ) * $F$31</f>
        <v>8825.7420000000002</v>
      </c>
      <c r="K31" s="2">
        <f xml:space="preserve"> SUM( K29:K30 ) * $F$31</f>
        <v>8402.8997340000005</v>
      </c>
      <c r="L31" s="2">
        <f xml:space="preserve"> SUM( L29:L30 ) * $F$31</f>
        <v>8319.2720667180001</v>
      </c>
      <c r="M31" s="2">
        <f xml:space="preserve"> SUM( M29:M30 ) * $F$31</f>
        <v>8124.1606025116871</v>
      </c>
      <c r="N31" s="2">
        <f xml:space="preserve"> SUM( N29:N30 ) * $F$31</f>
        <v>7596.7168484027497</v>
      </c>
    </row>
    <row r="32" spans="1:14">
      <c r="E32" s="57" t="s">
        <v>108</v>
      </c>
      <c r="F32" s="57"/>
      <c r="G32" s="57" t="s">
        <v>87</v>
      </c>
      <c r="H32" s="57"/>
      <c r="I32" s="57"/>
      <c r="J32" s="57">
        <f xml:space="preserve"> J29 + J30 - J31</f>
        <v>62928.258000000002</v>
      </c>
      <c r="K32" s="57">
        <f t="shared" ref="K32:N32" si="7" xml:space="preserve"> K29 + K30 - K31</f>
        <v>59913.358266000003</v>
      </c>
      <c r="L32" s="57">
        <f t="shared" si="7"/>
        <v>59317.086199281999</v>
      </c>
      <c r="M32" s="57">
        <f t="shared" si="7"/>
        <v>57925.925596770314</v>
      </c>
      <c r="N32" s="57">
        <f t="shared" si="7"/>
        <v>54165.208748367564</v>
      </c>
    </row>
    <row r="34" spans="1:14" s="50" customFormat="1">
      <c r="A34" s="51" t="s">
        <v>104</v>
      </c>
    </row>
    <row r="36" spans="1:14">
      <c r="E36" s="57" t="s">
        <v>101</v>
      </c>
      <c r="G36" s="57" t="s">
        <v>87</v>
      </c>
      <c r="J36" s="57">
        <f xml:space="preserve"> MIN( J16, SUM( I47:I52 ) )</f>
        <v>15479.258000000002</v>
      </c>
      <c r="K36" s="57">
        <f xml:space="preserve"> MIN( K16, SUM( J47:J52 ) )</f>
        <v>8282.1002659999995</v>
      </c>
      <c r="L36" s="57">
        <f xml:space="preserve"> MIN( L16, SUM( K47:K52 ) )</f>
        <v>14545.727933282</v>
      </c>
      <c r="M36" s="57">
        <f xml:space="preserve"> MIN( M16, SUM( L47:L52 ) )</f>
        <v>5106.913800717999</v>
      </c>
      <c r="N36" s="57">
        <f xml:space="preserve"> MIN( N16, SUM( M47:M52 ) )</f>
        <v>4400</v>
      </c>
    </row>
    <row r="37" spans="1:14">
      <c r="E37" s="70">
        <v>43830</v>
      </c>
      <c r="G37" t="s">
        <v>87</v>
      </c>
      <c r="J37">
        <f xml:space="preserve"> MIN( J36, I47)</f>
        <v>3425</v>
      </c>
      <c r="K37">
        <f t="shared" ref="K37:N37" si="8" xml:space="preserve"> MIN( K36, J47)</f>
        <v>0</v>
      </c>
      <c r="L37">
        <f t="shared" si="8"/>
        <v>0</v>
      </c>
      <c r="M37">
        <f t="shared" si="8"/>
        <v>0</v>
      </c>
      <c r="N37">
        <f t="shared" si="8"/>
        <v>0</v>
      </c>
    </row>
    <row r="38" spans="1:14">
      <c r="E38" s="70">
        <v>44196</v>
      </c>
      <c r="G38" t="s">
        <v>87</v>
      </c>
      <c r="J38">
        <f>MIN( I48, J36 - SUM( J$37:J37 ) )</f>
        <v>12054.258000000002</v>
      </c>
      <c r="K38">
        <f>MIN( J48, K$36 - SUM( K$37:K37 ) )</f>
        <v>2066.7419999999984</v>
      </c>
      <c r="L38">
        <f>MIN( K48, L$36 - SUM( L$37:L37 ) )</f>
        <v>0</v>
      </c>
      <c r="M38">
        <f>MIN( L48, M$36 - SUM( M$37:M37 ) )</f>
        <v>0</v>
      </c>
      <c r="N38">
        <f>MIN( M48, N$36 - SUM( N$37:N37 ) )</f>
        <v>0</v>
      </c>
    </row>
    <row r="39" spans="1:14">
      <c r="E39" s="70">
        <v>44561</v>
      </c>
      <c r="G39" t="s">
        <v>87</v>
      </c>
      <c r="J39">
        <f>MIN( I49, J$36 - SUM( J$37:J38 ) )</f>
        <v>0</v>
      </c>
      <c r="K39">
        <f>MIN( J49, K$36 - SUM( K$37:K38 ) )</f>
        <v>0</v>
      </c>
      <c r="L39">
        <f>MIN( K49, L$36 - SUM( L$37:L38 ) )</f>
        <v>0</v>
      </c>
      <c r="M39">
        <f>MIN( L49, M$36 - SUM( M$37:M38 ) )</f>
        <v>0</v>
      </c>
      <c r="N39">
        <f>MIN( M49, N$36 - SUM( N$37:N38 ) )</f>
        <v>0</v>
      </c>
    </row>
    <row r="40" spans="1:14">
      <c r="E40" s="70">
        <v>44926</v>
      </c>
      <c r="G40" t="s">
        <v>87</v>
      </c>
      <c r="J40">
        <f>MIN( I50, J$36 - SUM( J$37:J39 ) )</f>
        <v>0</v>
      </c>
      <c r="K40">
        <f>MIN( J50, K$36 - SUM( K$37:K39 ) )</f>
        <v>6215.3582660000011</v>
      </c>
      <c r="L40">
        <f>MIN( K50, L$36 - SUM( L$37:L39 ) )</f>
        <v>6105.6417339999989</v>
      </c>
      <c r="M40">
        <f>MIN( L50, M$36 - SUM( M$37:M39 ) )</f>
        <v>0</v>
      </c>
      <c r="N40">
        <f>MIN( M50, N$36 - SUM( N$37:N39 ) )</f>
        <v>0</v>
      </c>
    </row>
    <row r="41" spans="1:14">
      <c r="E41" s="70">
        <v>45291</v>
      </c>
      <c r="G41" t="s">
        <v>87</v>
      </c>
      <c r="J41">
        <f>MIN( I51, J$36 - SUM( J$37:J40 ) )</f>
        <v>0</v>
      </c>
      <c r="K41">
        <f>MIN( J51, K$36 - SUM( K$37:K40 ) )</f>
        <v>0</v>
      </c>
      <c r="L41">
        <f>MIN( K51, L$36 - SUM( L$37:L40 ) )</f>
        <v>8440.086199282001</v>
      </c>
      <c r="M41">
        <f>MIN( L51, M$36 - SUM( M$37:M40 ) )</f>
        <v>706.91380071799904</v>
      </c>
      <c r="N41">
        <f>MIN( M51, N$36 - SUM( N$37:N40 ) )</f>
        <v>0</v>
      </c>
    </row>
    <row r="42" spans="1:14">
      <c r="E42" s="71" t="s">
        <v>103</v>
      </c>
      <c r="G42" t="s">
        <v>87</v>
      </c>
    </row>
    <row r="43" spans="1:14">
      <c r="E43" s="61"/>
    </row>
    <row r="44" spans="1:14">
      <c r="E44" s="61"/>
    </row>
    <row r="45" spans="1:14">
      <c r="E45" s="57"/>
      <c r="G45" s="57"/>
      <c r="J45" s="67" cm="1">
        <f t="array" ref="J45:N45" xml:space="preserve"> YEAR( EOMONTH( start_date, _xlfn.SEQUENCE( 1, periods, 0, 12 ) ) )</f>
        <v>2019</v>
      </c>
      <c r="K45" s="67">
        <v>2020</v>
      </c>
      <c r="L45" s="67">
        <v>2021</v>
      </c>
      <c r="M45" s="67">
        <v>2022</v>
      </c>
      <c r="N45" s="67">
        <v>2023</v>
      </c>
    </row>
    <row r="46" spans="1:14">
      <c r="E46" s="57" t="s">
        <v>102</v>
      </c>
      <c r="G46" s="57" t="s">
        <v>87</v>
      </c>
      <c r="J46" s="57"/>
      <c r="K46" s="57"/>
      <c r="L46" s="57"/>
      <c r="M46" s="57"/>
      <c r="N46" s="57"/>
    </row>
    <row r="47" spans="1:14">
      <c r="E47" s="70">
        <v>43830</v>
      </c>
      <c r="G47" t="s">
        <v>87</v>
      </c>
      <c r="I47" s="50" cm="1">
        <f t="array" ref="I47:I51" xml:space="preserve"> _xlfn.LET(
      _xlpm.values,           CaseData!$F$49:$I$54,
      _xlpm.years,            VALUE( RIGHT( CaseData!$B$9:$B$13, 4 ) ),
      _xlpm.countries,        CaseData!$F$3:$I$3,
      _xlpm.current_year,_xlfn.ANCHORARRAY(     $J$3),
      _xlpm.current_country,  $F$5,
      _xlpm.fx_rate,          INDEX( CaseData!$F$7:$I$7, 1, MATCH( _xlpm.current_country, _xlpm.countries, 0 ) ),
      _xlpm.projected,        INDEX( _xlpm.values, MATCH( _xlpm.current_year, _xlpm.years, 0 ), MATCH( _xlpm.current_country, _xlpm.countries, 0  ) ),
      TRANSPOSE( _xlpm.projected / _xlpm.fx_rate ) )</f>
        <v>3425</v>
      </c>
      <c r="J47">
        <f t="shared" ref="J47:N51" si="9" xml:space="preserve"> IF( J$45 &lt; $E47, I47 - J37, 0 )</f>
        <v>0</v>
      </c>
      <c r="K47">
        <f t="shared" si="9"/>
        <v>0</v>
      </c>
      <c r="L47">
        <f t="shared" si="9"/>
        <v>0</v>
      </c>
      <c r="M47">
        <f t="shared" si="9"/>
        <v>0</v>
      </c>
      <c r="N47">
        <f t="shared" si="9"/>
        <v>0</v>
      </c>
    </row>
    <row r="48" spans="1:14">
      <c r="E48" s="70">
        <v>44196</v>
      </c>
      <c r="G48" t="s">
        <v>87</v>
      </c>
      <c r="I48" s="50">
        <v>14121</v>
      </c>
      <c r="J48">
        <f t="shared" si="9"/>
        <v>2066.7419999999984</v>
      </c>
      <c r="K48">
        <f t="shared" si="9"/>
        <v>0</v>
      </c>
      <c r="L48">
        <f t="shared" si="9"/>
        <v>0</v>
      </c>
      <c r="M48">
        <f t="shared" si="9"/>
        <v>0</v>
      </c>
      <c r="N48">
        <f t="shared" si="9"/>
        <v>0</v>
      </c>
    </row>
    <row r="49" spans="1:14">
      <c r="E49" s="70">
        <v>44561</v>
      </c>
      <c r="G49" t="s">
        <v>87</v>
      </c>
      <c r="I49" s="50">
        <v>0</v>
      </c>
      <c r="J49">
        <f t="shared" si="9"/>
        <v>0</v>
      </c>
      <c r="K49">
        <f t="shared" si="9"/>
        <v>0</v>
      </c>
      <c r="L49">
        <f t="shared" si="9"/>
        <v>0</v>
      </c>
      <c r="M49">
        <f t="shared" si="9"/>
        <v>0</v>
      </c>
      <c r="N49">
        <f t="shared" si="9"/>
        <v>0</v>
      </c>
    </row>
    <row r="50" spans="1:14">
      <c r="E50" s="70">
        <v>44926</v>
      </c>
      <c r="G50" t="s">
        <v>87</v>
      </c>
      <c r="I50" s="50">
        <v>12321</v>
      </c>
      <c r="J50">
        <f t="shared" si="9"/>
        <v>12321</v>
      </c>
      <c r="K50">
        <f t="shared" si="9"/>
        <v>6105.6417339999989</v>
      </c>
      <c r="L50">
        <f t="shared" si="9"/>
        <v>0</v>
      </c>
      <c r="M50">
        <f t="shared" si="9"/>
        <v>0</v>
      </c>
      <c r="N50">
        <f t="shared" si="9"/>
        <v>0</v>
      </c>
    </row>
    <row r="51" spans="1:14">
      <c r="E51" s="70">
        <v>45291</v>
      </c>
      <c r="G51" t="s">
        <v>87</v>
      </c>
      <c r="I51" s="50">
        <v>9147</v>
      </c>
      <c r="J51">
        <f t="shared" si="9"/>
        <v>9147</v>
      </c>
      <c r="K51">
        <f t="shared" si="9"/>
        <v>9147</v>
      </c>
      <c r="L51">
        <f t="shared" si="9"/>
        <v>706.91380071799904</v>
      </c>
      <c r="M51">
        <f t="shared" si="9"/>
        <v>0</v>
      </c>
      <c r="N51">
        <f t="shared" si="9"/>
        <v>0</v>
      </c>
    </row>
    <row r="52" spans="1:14">
      <c r="E52" s="71" t="s">
        <v>103</v>
      </c>
      <c r="G52" t="s">
        <v>115</v>
      </c>
      <c r="I52" s="50" cm="1">
        <f t="array" ref="I52:N52" xml:space="preserve"> _xlfn.LET(
      _xlpm.countries,         CaseData!$F$3:$I$3,
      _xlpm.current_country,   $F$5,
      _xlpm.expiring_after,    _xlfn.XLOOKUP( _xlpm.current_country, _xlpm.countries, CaseData!$F$54:$I$54, 0, 0 ),
      _xlpm.fx_rate,           _xlfn.XLOOKUP( _xlpm.current_country, _xlpm.countries, CaseData!$F$7:$I$7, 0, 0 ),
      _xlfn.SEQUENCE( 1, periods + 1, _xlpm.expiring_after / _xlpm.fx_rate, 0 ) )</f>
        <v>4400</v>
      </c>
      <c r="J52">
        <v>4400</v>
      </c>
      <c r="K52">
        <v>4400</v>
      </c>
      <c r="L52">
        <v>4400</v>
      </c>
      <c r="M52">
        <v>4400</v>
      </c>
      <c r="N52">
        <v>4400</v>
      </c>
    </row>
    <row r="54" spans="1:14" s="50" customFormat="1">
      <c r="A54" s="51" t="s">
        <v>111</v>
      </c>
    </row>
    <row r="56" spans="1:14">
      <c r="E56" s="74" t="s">
        <v>112</v>
      </c>
    </row>
    <row r="57" spans="1:14">
      <c r="J57" s="73">
        <f xml:space="preserve"> J23</f>
        <v>0</v>
      </c>
      <c r="K57" s="73">
        <f xml:space="preserve"> K23</f>
        <v>0</v>
      </c>
      <c r="L57" s="73">
        <f xml:space="preserve"> L23</f>
        <v>0</v>
      </c>
      <c r="M57" s="73">
        <f xml:space="preserve"> M23</f>
        <v>1649.3889527732003</v>
      </c>
      <c r="N57" s="73">
        <f xml:space="preserve"> N23</f>
        <v>1332.552486808896</v>
      </c>
    </row>
    <row r="58" spans="1:14">
      <c r="I58" s="58" t="str" cm="1">
        <f t="array" ref="I58:I61">TRANSPOSE(CaseData!$F$3:$I$3)</f>
        <v>U.S.</v>
      </c>
      <c r="J58">
        <f t="dataTable" ref="J58:N61" dt2D="0" dtr="0" r1="F5"/>
        <v>0</v>
      </c>
      <c r="K58">
        <v>0</v>
      </c>
      <c r="L58">
        <v>0</v>
      </c>
      <c r="M58">
        <v>1649.3889527732003</v>
      </c>
      <c r="N58">
        <v>1332.552486808896</v>
      </c>
    </row>
    <row r="59" spans="1:14">
      <c r="I59" s="58" t="str">
        <v>Canada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I60" s="58" t="str">
        <v>Mexico</v>
      </c>
      <c r="J60">
        <v>0</v>
      </c>
      <c r="K60">
        <v>0</v>
      </c>
      <c r="L60">
        <v>2419.4552066153233</v>
      </c>
      <c r="M60">
        <v>3367.938334850151</v>
      </c>
      <c r="N60">
        <v>3105.0546810428123</v>
      </c>
    </row>
    <row r="61" spans="1:14">
      <c r="I61" s="75" t="str">
        <v>Germany</v>
      </c>
      <c r="J61" s="2">
        <v>0</v>
      </c>
      <c r="K61" s="2">
        <v>0</v>
      </c>
      <c r="L61" s="2">
        <v>0</v>
      </c>
      <c r="M61" s="2">
        <v>0</v>
      </c>
      <c r="N61" s="2">
        <v>102.14548081826035</v>
      </c>
    </row>
    <row r="62" spans="1:14">
      <c r="I62" s="76" t="s">
        <v>33</v>
      </c>
      <c r="J62" s="57">
        <f>SUM(J58:J61)</f>
        <v>0</v>
      </c>
      <c r="K62" s="57">
        <f t="shared" ref="K62:N62" si="10">SUM(K58:K61)</f>
        <v>0</v>
      </c>
      <c r="L62" s="57">
        <f t="shared" si="10"/>
        <v>2419.4552066153233</v>
      </c>
      <c r="M62" s="57">
        <f t="shared" si="10"/>
        <v>5017.3272876233514</v>
      </c>
      <c r="N62" s="57">
        <f t="shared" si="10"/>
        <v>4539.7526486699689</v>
      </c>
    </row>
    <row r="63" spans="1:14">
      <c r="I63" s="58"/>
    </row>
    <row r="64" spans="1:14">
      <c r="I64" s="58"/>
    </row>
    <row r="65" spans="1:14">
      <c r="E65" s="74" t="s">
        <v>113</v>
      </c>
      <c r="I65" s="58"/>
      <c r="J65" s="73">
        <f>J24</f>
        <v>6292.9920000000002</v>
      </c>
      <c r="K65" s="73">
        <f>K24</f>
        <v>4367.8720000000003</v>
      </c>
      <c r="L65" s="73">
        <f>L24</f>
        <v>4942.5920000000006</v>
      </c>
      <c r="M65" s="73">
        <f>M24</f>
        <v>2782.9950472267997</v>
      </c>
      <c r="N65" s="73">
        <f>N24</f>
        <v>2398.9035131911041</v>
      </c>
    </row>
    <row r="66" spans="1:14">
      <c r="I66" s="58" t="str" cm="1">
        <f t="array" ref="I66:I69">TRANSPOSE(CaseData!$F$3:$I$3)</f>
        <v>U.S.</v>
      </c>
      <c r="J66">
        <f t="dataTable" ref="J66:N69" dt2D="0" dtr="0" r1="F5" ca="1"/>
        <v>6292.9920000000002</v>
      </c>
      <c r="K66">
        <v>4367.8720000000003</v>
      </c>
      <c r="L66">
        <v>4942.5920000000006</v>
      </c>
      <c r="M66">
        <v>2782.9950472267997</v>
      </c>
      <c r="N66">
        <v>2398.9035131911041</v>
      </c>
    </row>
    <row r="67" spans="1:14">
      <c r="I67" s="58" t="str">
        <v>Canada</v>
      </c>
      <c r="J67">
        <v>5595.813953488373</v>
      </c>
      <c r="K67">
        <v>5360.3953488372099</v>
      </c>
      <c r="L67">
        <v>5676.9573643410858</v>
      </c>
      <c r="M67">
        <v>4991.0387596899227</v>
      </c>
      <c r="N67">
        <v>6134.2364341085267</v>
      </c>
    </row>
    <row r="68" spans="1:14">
      <c r="I68" s="58" t="str">
        <v>Mexico</v>
      </c>
      <c r="J68">
        <v>4139.1156359979886</v>
      </c>
      <c r="K68">
        <v>4639.8225238813475</v>
      </c>
      <c r="L68">
        <v>1789.1104042444053</v>
      </c>
      <c r="M68">
        <v>805.27885971998467</v>
      </c>
      <c r="N68">
        <v>649.35859195869625</v>
      </c>
    </row>
    <row r="69" spans="1:14">
      <c r="I69" s="75" t="str">
        <v>Germany</v>
      </c>
      <c r="J69" s="2">
        <v>15381.447058823531</v>
      </c>
      <c r="K69" s="2">
        <v>11584.889411764707</v>
      </c>
      <c r="L69" s="2">
        <v>17394.20941176471</v>
      </c>
      <c r="M69" s="2">
        <v>12141.774117647061</v>
      </c>
      <c r="N69" s="2">
        <v>11058.943930946445</v>
      </c>
    </row>
    <row r="70" spans="1:14">
      <c r="I70" s="76" t="s">
        <v>33</v>
      </c>
      <c r="J70" s="57">
        <f>SUM(J66:J69)</f>
        <v>31409.368648309894</v>
      </c>
      <c r="K70" s="57">
        <f t="shared" ref="K70" si="11">SUM(K66:K69)</f>
        <v>25952.979284483263</v>
      </c>
      <c r="L70" s="57">
        <f t="shared" ref="L70" si="12">SUM(L66:L69)</f>
        <v>29802.869180350201</v>
      </c>
      <c r="M70" s="57">
        <f t="shared" ref="M70" si="13">SUM(M66:M69)</f>
        <v>20721.086784283769</v>
      </c>
      <c r="N70" s="57">
        <f t="shared" ref="N70" si="14">SUM(N66:N69)</f>
        <v>20241.442470204773</v>
      </c>
    </row>
    <row r="71" spans="1:14">
      <c r="I71" s="58"/>
    </row>
    <row r="72" spans="1:14">
      <c r="I72" s="58"/>
    </row>
    <row r="73" spans="1:14">
      <c r="E73" s="74" t="s">
        <v>114</v>
      </c>
      <c r="I73" s="58"/>
      <c r="J73" s="73">
        <f>J25</f>
        <v>6292.9920000000002</v>
      </c>
      <c r="K73" s="73">
        <f>K25</f>
        <v>4367.8720000000003</v>
      </c>
      <c r="L73" s="73">
        <f>L25</f>
        <v>4942.5920000000006</v>
      </c>
      <c r="M73" s="73">
        <f>M25</f>
        <v>4432.384</v>
      </c>
      <c r="N73" s="73">
        <f>N25</f>
        <v>3731.4560000000001</v>
      </c>
    </row>
    <row r="74" spans="1:14">
      <c r="I74" s="58" t="str" cm="1">
        <f t="array" ref="I74:I77">TRANSPOSE(CaseData!$F$3:$I$3)</f>
        <v>U.S.</v>
      </c>
      <c r="J74">
        <f t="dataTable" ref="J74:N77" dt2D="0" dtr="0" r1="F5" ca="1"/>
        <v>6292.9920000000002</v>
      </c>
      <c r="K74">
        <v>4367.8720000000003</v>
      </c>
      <c r="L74">
        <v>4942.5920000000006</v>
      </c>
      <c r="M74">
        <v>4432.384</v>
      </c>
      <c r="N74">
        <v>3731.4560000000001</v>
      </c>
    </row>
    <row r="75" spans="1:14">
      <c r="I75" s="58" t="str">
        <v>Canada</v>
      </c>
      <c r="J75">
        <v>5595.813953488373</v>
      </c>
      <c r="K75">
        <v>5360.3953488372099</v>
      </c>
      <c r="L75">
        <v>5676.9573643410858</v>
      </c>
      <c r="M75">
        <v>4991.0387596899227</v>
      </c>
      <c r="N75">
        <v>6134.2364341085267</v>
      </c>
    </row>
    <row r="76" spans="1:14">
      <c r="I76" s="58" t="str">
        <v>Mexico</v>
      </c>
      <c r="J76">
        <v>4139.1156359979886</v>
      </c>
      <c r="K76">
        <v>4639.8225238813475</v>
      </c>
      <c r="L76">
        <v>4208.5656108597286</v>
      </c>
      <c r="M76">
        <v>4173.2171945701357</v>
      </c>
      <c r="N76">
        <v>3754.4132730015085</v>
      </c>
    </row>
    <row r="77" spans="1:14">
      <c r="I77" s="75" t="str">
        <v>Germany</v>
      </c>
      <c r="J77" s="2">
        <v>15381.447058823531</v>
      </c>
      <c r="K77" s="2">
        <v>11584.889411764707</v>
      </c>
      <c r="L77" s="2">
        <v>17394.20941176471</v>
      </c>
      <c r="M77" s="2">
        <v>12141.774117647061</v>
      </c>
      <c r="N77" s="2">
        <v>11161.089411764706</v>
      </c>
    </row>
    <row r="78" spans="1:14">
      <c r="I78" s="76" t="s">
        <v>33</v>
      </c>
      <c r="J78" s="57">
        <f>SUM(J74:J77)</f>
        <v>31409.368648309894</v>
      </c>
      <c r="K78" s="57">
        <f t="shared" ref="K78" si="15">SUM(K74:K77)</f>
        <v>25952.979284483263</v>
      </c>
      <c r="L78" s="57">
        <f t="shared" ref="L78" si="16">SUM(L74:L77)</f>
        <v>32222.324386965527</v>
      </c>
      <c r="M78" s="57">
        <f t="shared" ref="M78" si="17">SUM(M74:M77)</f>
        <v>25738.414071907118</v>
      </c>
      <c r="N78" s="57">
        <f t="shared" ref="N78" si="18">SUM(N74:N77)</f>
        <v>24781.195118874741</v>
      </c>
    </row>
    <row r="80" spans="1:14" s="50" customFormat="1">
      <c r="A80" s="51" t="s">
        <v>78</v>
      </c>
    </row>
  </sheetData>
  <printOptions horizontalCentered="1"/>
  <pageMargins left="0.15748031496062992" right="0.15748031496062992" top="0.15748031496062992" bottom="0.15748031496062992" header="0.15748031496062992" footer="0.15748031496062992"/>
  <pageSetup paperSize="9" scale="70" orientation="portrait" r:id="rId1"/>
  <headerFooter>
    <oddFooter>&amp;L&amp;"Arial,Regular"Financial Modeling Institute
CFM October 2026&amp;C&amp;"Arial,Regular"Page &amp;P of &amp;N&amp;R&amp;"Arial,Regular"&amp;D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6CE9582-DE2D-4D42-A181-A1B3AE8604F9}">
          <x14:formula1>
            <xm:f>CaseData!$F$3:$I$3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59"/>
  <sheetViews>
    <sheetView showGridLines="0" topLeftCell="A27" zoomScaleNormal="100" workbookViewId="0">
      <selection activeCell="F55" sqref="F55"/>
    </sheetView>
  </sheetViews>
  <sheetFormatPr defaultRowHeight="13.8"/>
  <cols>
    <col min="1" max="1" width="2.3984375" customWidth="1"/>
    <col min="2" max="2" width="13.69921875" customWidth="1"/>
    <col min="3" max="5" width="9.59765625" customWidth="1"/>
    <col min="6" max="9" width="12.59765625" customWidth="1"/>
    <col min="10" max="10" width="9.59765625" customWidth="1"/>
    <col min="11" max="13" width="8.5" customWidth="1"/>
  </cols>
  <sheetData>
    <row r="1" spans="2:9">
      <c r="B1" s="1" t="s">
        <v>31</v>
      </c>
      <c r="C1" s="3"/>
      <c r="D1" s="3"/>
      <c r="E1" s="3"/>
      <c r="F1" s="3"/>
      <c r="G1" s="3"/>
      <c r="H1" s="3"/>
      <c r="I1" s="3"/>
    </row>
    <row r="2" spans="2:9">
      <c r="B2" s="5" t="s">
        <v>30</v>
      </c>
      <c r="C2" s="3"/>
      <c r="D2" s="3"/>
      <c r="E2" s="3"/>
      <c r="F2" s="3"/>
      <c r="G2" s="3"/>
      <c r="H2" s="3"/>
      <c r="I2" s="3"/>
    </row>
    <row r="3" spans="2:9">
      <c r="F3" s="18" t="s">
        <v>29</v>
      </c>
      <c r="G3" s="18" t="s">
        <v>28</v>
      </c>
      <c r="H3" s="18" t="s">
        <v>27</v>
      </c>
      <c r="I3" s="18" t="s">
        <v>26</v>
      </c>
    </row>
    <row r="4" spans="2:9">
      <c r="F4" s="17" t="s">
        <v>25</v>
      </c>
      <c r="G4" s="17" t="s">
        <v>24</v>
      </c>
      <c r="H4" s="17" t="s">
        <v>23</v>
      </c>
      <c r="I4" s="17" t="s">
        <v>22</v>
      </c>
    </row>
    <row r="5" spans="2:9">
      <c r="B5" s="3" t="s">
        <v>21</v>
      </c>
      <c r="C5" s="3"/>
      <c r="F5" s="16">
        <v>0.25600000000000001</v>
      </c>
      <c r="G5" s="16">
        <v>0.26500000000000001</v>
      </c>
      <c r="H5" s="16">
        <v>0.31</v>
      </c>
      <c r="I5" s="16">
        <v>0.32600000000000001</v>
      </c>
    </row>
    <row r="6" spans="2:9">
      <c r="B6" s="3"/>
      <c r="C6" s="3"/>
      <c r="D6" s="6"/>
      <c r="E6" s="6"/>
      <c r="F6" s="6"/>
      <c r="G6" s="6"/>
    </row>
    <row r="7" spans="2:9">
      <c r="B7" s="3" t="s">
        <v>20</v>
      </c>
      <c r="C7" s="3"/>
      <c r="D7" s="6"/>
      <c r="E7" s="6"/>
      <c r="F7" s="14">
        <v>1</v>
      </c>
      <c r="G7" s="15">
        <v>1.29</v>
      </c>
      <c r="H7" s="15">
        <v>19.89</v>
      </c>
      <c r="I7" s="14">
        <v>0.85</v>
      </c>
    </row>
    <row r="8" spans="2:9">
      <c r="B8" s="3" t="s">
        <v>19</v>
      </c>
      <c r="C8" s="3"/>
      <c r="D8" s="6"/>
      <c r="E8" s="6"/>
      <c r="F8" s="6"/>
      <c r="G8" s="6"/>
    </row>
    <row r="9" spans="2:9">
      <c r="B9" s="7" t="s">
        <v>11</v>
      </c>
      <c r="C9" s="3"/>
      <c r="D9" s="6"/>
      <c r="E9" s="6"/>
      <c r="F9" s="11">
        <v>17840</v>
      </c>
      <c r="G9" s="11">
        <v>27240</v>
      </c>
      <c r="H9" s="10">
        <v>265571</v>
      </c>
      <c r="I9" s="9">
        <v>29762</v>
      </c>
    </row>
    <row r="10" spans="2:9">
      <c r="B10" s="7" t="s">
        <v>10</v>
      </c>
      <c r="C10" s="3"/>
      <c r="D10" s="6"/>
      <c r="E10" s="6"/>
      <c r="F10" s="11">
        <v>17062</v>
      </c>
      <c r="G10" s="11">
        <v>26094</v>
      </c>
      <c r="H10" s="10">
        <v>208746</v>
      </c>
      <c r="I10" s="9">
        <v>30206</v>
      </c>
    </row>
    <row r="11" spans="2:9">
      <c r="B11" s="7" t="s">
        <v>9</v>
      </c>
      <c r="C11" s="3"/>
      <c r="D11" s="3"/>
      <c r="E11" s="3"/>
      <c r="F11" s="11">
        <v>19307</v>
      </c>
      <c r="G11" s="11">
        <v>27635</v>
      </c>
      <c r="H11" s="10">
        <v>270027</v>
      </c>
      <c r="I11" s="9">
        <v>32919</v>
      </c>
    </row>
    <row r="12" spans="2:9">
      <c r="B12" s="7" t="s">
        <v>8</v>
      </c>
      <c r="C12" s="3"/>
      <c r="D12" s="3"/>
      <c r="E12" s="3"/>
      <c r="F12" s="11">
        <v>17314</v>
      </c>
      <c r="G12" s="11">
        <v>24296</v>
      </c>
      <c r="H12" s="10">
        <v>267759</v>
      </c>
      <c r="I12" s="9">
        <v>31658</v>
      </c>
    </row>
    <row r="13" spans="2:9">
      <c r="B13" s="7" t="s">
        <v>7</v>
      </c>
      <c r="C13" s="3"/>
      <c r="D13" s="3"/>
      <c r="E13" s="3"/>
      <c r="F13" s="11">
        <v>14576</v>
      </c>
      <c r="G13" s="11">
        <v>29861</v>
      </c>
      <c r="H13" s="10">
        <v>240888</v>
      </c>
      <c r="I13" s="9">
        <v>29101</v>
      </c>
    </row>
    <row r="14" spans="2:9">
      <c r="B14" s="3"/>
      <c r="C14" s="3"/>
      <c r="D14" s="3"/>
      <c r="E14" s="3"/>
      <c r="F14" s="13"/>
      <c r="G14" s="13"/>
      <c r="H14" s="13"/>
      <c r="I14" s="13"/>
    </row>
    <row r="15" spans="2:9">
      <c r="B15" s="3" t="s">
        <v>18</v>
      </c>
      <c r="C15" s="3"/>
      <c r="D15" s="3"/>
      <c r="E15" s="3"/>
      <c r="F15" s="13"/>
      <c r="G15" s="13"/>
      <c r="H15" s="13"/>
      <c r="I15" s="13"/>
    </row>
    <row r="16" spans="2:9">
      <c r="B16" s="7" t="s">
        <v>11</v>
      </c>
      <c r="C16" s="3"/>
      <c r="D16" s="3"/>
      <c r="E16" s="3"/>
      <c r="F16" s="11">
        <v>6244</v>
      </c>
      <c r="G16" s="11">
        <v>9729</v>
      </c>
      <c r="H16" s="10">
        <v>79671</v>
      </c>
      <c r="I16" s="9">
        <v>16641</v>
      </c>
    </row>
    <row r="17" spans="2:9">
      <c r="B17" s="7" t="s">
        <v>10</v>
      </c>
      <c r="C17" s="3"/>
      <c r="D17" s="3"/>
      <c r="E17" s="3"/>
      <c r="F17" s="11">
        <v>5388</v>
      </c>
      <c r="G17" s="11">
        <v>16605</v>
      </c>
      <c r="H17" s="10">
        <v>80287</v>
      </c>
      <c r="I17" s="9">
        <v>8487</v>
      </c>
    </row>
    <row r="18" spans="2:9">
      <c r="B18" s="7" t="s">
        <v>9</v>
      </c>
      <c r="F18" s="11">
        <v>7723</v>
      </c>
      <c r="G18" s="11">
        <v>9212</v>
      </c>
      <c r="H18" s="10">
        <v>67507</v>
      </c>
      <c r="I18" s="9">
        <v>9810</v>
      </c>
    </row>
    <row r="19" spans="2:9">
      <c r="B19" s="7" t="s">
        <v>8</v>
      </c>
      <c r="F19" s="11">
        <v>6733</v>
      </c>
      <c r="G19" s="11">
        <v>9718</v>
      </c>
      <c r="H19" s="10">
        <v>80328</v>
      </c>
      <c r="I19" s="9">
        <v>19922</v>
      </c>
    </row>
    <row r="20" spans="2:9">
      <c r="B20" s="7" t="s">
        <v>7</v>
      </c>
      <c r="F20" s="11">
        <v>3836</v>
      </c>
      <c r="G20" s="11">
        <v>16288</v>
      </c>
      <c r="H20" s="10">
        <v>80296</v>
      </c>
      <c r="I20" s="9">
        <v>16301</v>
      </c>
    </row>
    <row r="21" spans="2:9">
      <c r="F21" s="13"/>
      <c r="G21" s="13"/>
      <c r="H21" s="13"/>
      <c r="I21" s="13"/>
    </row>
    <row r="22" spans="2:9">
      <c r="B22" s="3" t="s">
        <v>17</v>
      </c>
      <c r="C22" s="3"/>
      <c r="F22" s="13"/>
      <c r="G22" s="13"/>
      <c r="H22" s="13"/>
      <c r="I22" s="13"/>
    </row>
    <row r="23" spans="2:9">
      <c r="B23" s="7" t="s">
        <v>11</v>
      </c>
      <c r="C23" s="3"/>
      <c r="F23" s="11">
        <v>5432</v>
      </c>
      <c r="G23" s="11">
        <v>7394</v>
      </c>
      <c r="H23" s="10">
        <v>66127</v>
      </c>
      <c r="I23" s="9">
        <v>14311</v>
      </c>
    </row>
    <row r="24" spans="2:9">
      <c r="B24" s="7" t="s">
        <v>10</v>
      </c>
      <c r="C24" s="3"/>
      <c r="F24" s="11">
        <v>5595</v>
      </c>
      <c r="G24" s="11">
        <v>7690</v>
      </c>
      <c r="H24" s="10">
        <v>69433</v>
      </c>
      <c r="I24" s="9">
        <v>14740</v>
      </c>
    </row>
    <row r="25" spans="2:9">
      <c r="B25" s="7" t="s">
        <v>9</v>
      </c>
      <c r="F25" s="11">
        <v>5875</v>
      </c>
      <c r="G25" s="11">
        <v>7998</v>
      </c>
      <c r="H25" s="10">
        <v>72905</v>
      </c>
      <c r="I25" s="9">
        <v>15624</v>
      </c>
    </row>
    <row r="26" spans="2:9">
      <c r="B26" s="7" t="s">
        <v>8</v>
      </c>
      <c r="F26" s="11">
        <v>6169</v>
      </c>
      <c r="G26" s="11">
        <v>8478</v>
      </c>
      <c r="H26" s="10">
        <v>76550</v>
      </c>
      <c r="I26" s="9">
        <v>16405</v>
      </c>
    </row>
    <row r="27" spans="2:9">
      <c r="B27" s="7" t="s">
        <v>7</v>
      </c>
      <c r="F27" s="11">
        <v>6416</v>
      </c>
      <c r="G27" s="11">
        <v>8817</v>
      </c>
      <c r="H27" s="10">
        <v>80378</v>
      </c>
      <c r="I27" s="9">
        <v>16897</v>
      </c>
    </row>
    <row r="29" spans="2:9">
      <c r="B29" s="3" t="s">
        <v>16</v>
      </c>
      <c r="F29" s="11">
        <v>65510</v>
      </c>
      <c r="G29" s="11">
        <v>85696</v>
      </c>
      <c r="H29" s="10">
        <v>645400</v>
      </c>
      <c r="I29" s="9">
        <v>163002</v>
      </c>
    </row>
    <row r="30" spans="2:9">
      <c r="B30" s="3"/>
    </row>
    <row r="31" spans="2:9">
      <c r="B31" s="3" t="s">
        <v>15</v>
      </c>
      <c r="F31" s="12">
        <v>0.12300000000000001</v>
      </c>
      <c r="G31" s="12">
        <v>0.14199999999999999</v>
      </c>
      <c r="H31" s="12">
        <v>0.16500000000000001</v>
      </c>
      <c r="I31" s="12">
        <v>0.156</v>
      </c>
    </row>
    <row r="32" spans="2:9">
      <c r="B32" s="3" t="s">
        <v>14</v>
      </c>
    </row>
    <row r="33" spans="2:9">
      <c r="B33" s="3"/>
    </row>
    <row r="34" spans="2:9">
      <c r="B34" s="3" t="s">
        <v>13</v>
      </c>
    </row>
    <row r="35" spans="2:9">
      <c r="B35" s="7" t="s">
        <v>11</v>
      </c>
      <c r="F35" s="11">
        <v>6742</v>
      </c>
      <c r="G35" s="11">
        <v>0</v>
      </c>
      <c r="H35" s="10">
        <v>0</v>
      </c>
      <c r="I35" s="9">
        <v>10343</v>
      </c>
    </row>
    <row r="36" spans="2:9">
      <c r="B36" s="7" t="s">
        <v>10</v>
      </c>
      <c r="F36" s="11">
        <v>0</v>
      </c>
      <c r="G36" s="11">
        <v>0</v>
      </c>
      <c r="H36" s="10">
        <v>88951</v>
      </c>
      <c r="I36" s="9">
        <v>0</v>
      </c>
    </row>
    <row r="37" spans="2:9">
      <c r="B37" s="7" t="s">
        <v>9</v>
      </c>
      <c r="F37" s="11">
        <v>0</v>
      </c>
      <c r="G37" s="11">
        <v>0</v>
      </c>
      <c r="H37" s="10">
        <v>0</v>
      </c>
      <c r="I37" s="9">
        <v>12434</v>
      </c>
    </row>
    <row r="38" spans="2:9">
      <c r="B38" s="7" t="s">
        <v>8</v>
      </c>
      <c r="F38" s="11">
        <v>0</v>
      </c>
      <c r="G38" s="11">
        <v>0</v>
      </c>
      <c r="H38" s="10">
        <v>0</v>
      </c>
      <c r="I38" s="9">
        <v>0</v>
      </c>
    </row>
    <row r="39" spans="2:9">
      <c r="B39" s="7" t="s">
        <v>7</v>
      </c>
      <c r="F39" s="11">
        <v>0</v>
      </c>
      <c r="G39" s="11">
        <v>0</v>
      </c>
      <c r="H39" s="10">
        <v>0</v>
      </c>
      <c r="I39" s="9">
        <v>0</v>
      </c>
    </row>
    <row r="40" spans="2:9">
      <c r="B40" s="3"/>
    </row>
    <row r="41" spans="2:9">
      <c r="B41" s="3" t="s">
        <v>12</v>
      </c>
    </row>
    <row r="42" spans="2:9">
      <c r="B42" s="7" t="s">
        <v>11</v>
      </c>
      <c r="F42" s="11">
        <v>5709</v>
      </c>
      <c r="G42" s="11">
        <v>7355</v>
      </c>
      <c r="H42" s="10">
        <v>69048</v>
      </c>
      <c r="I42" s="9">
        <v>6036</v>
      </c>
    </row>
    <row r="43" spans="2:9">
      <c r="B43" s="7" t="s">
        <v>10</v>
      </c>
      <c r="F43" s="11">
        <v>5972</v>
      </c>
      <c r="G43" s="11">
        <v>8350</v>
      </c>
      <c r="H43" s="10">
        <v>50099</v>
      </c>
      <c r="I43" s="9">
        <v>3551</v>
      </c>
    </row>
    <row r="44" spans="2:9">
      <c r="B44" s="7" t="s">
        <v>9</v>
      </c>
      <c r="F44" s="11">
        <v>2317</v>
      </c>
      <c r="G44" s="11">
        <v>6080</v>
      </c>
      <c r="H44" s="10">
        <v>62106</v>
      </c>
      <c r="I44" s="9">
        <v>10537</v>
      </c>
    </row>
    <row r="45" spans="2:9">
      <c r="B45" s="7" t="s">
        <v>8</v>
      </c>
      <c r="F45" s="11">
        <v>3809</v>
      </c>
      <c r="G45" s="11">
        <v>4373</v>
      </c>
      <c r="H45" s="10">
        <v>26776</v>
      </c>
      <c r="I45" s="9">
        <v>6970</v>
      </c>
    </row>
    <row r="46" spans="2:9">
      <c r="B46" s="7" t="s">
        <v>7</v>
      </c>
      <c r="F46" s="11">
        <v>3790</v>
      </c>
      <c r="G46" s="11">
        <v>9854</v>
      </c>
      <c r="H46" s="10">
        <v>24089</v>
      </c>
      <c r="I46" s="9">
        <v>9642</v>
      </c>
    </row>
    <row r="48" spans="2:9">
      <c r="B48" s="3" t="s">
        <v>6</v>
      </c>
    </row>
    <row r="49" spans="2:9">
      <c r="B49" s="7" t="s">
        <v>5</v>
      </c>
      <c r="F49" s="11">
        <v>3425</v>
      </c>
      <c r="G49" s="11">
        <v>24360</v>
      </c>
      <c r="H49" s="10">
        <v>343423</v>
      </c>
      <c r="I49" s="9">
        <v>0</v>
      </c>
    </row>
    <row r="50" spans="2:9">
      <c r="B50" s="7" t="s">
        <v>4</v>
      </c>
      <c r="F50" s="11">
        <v>14121</v>
      </c>
      <c r="G50" s="11">
        <v>7508</v>
      </c>
      <c r="H50" s="10">
        <v>23454</v>
      </c>
      <c r="I50" s="9">
        <v>0</v>
      </c>
    </row>
    <row r="51" spans="2:9">
      <c r="B51" s="7" t="s">
        <v>3</v>
      </c>
      <c r="F51" s="11">
        <v>0</v>
      </c>
      <c r="G51" s="11">
        <v>5390</v>
      </c>
      <c r="H51" s="10">
        <v>0</v>
      </c>
      <c r="I51" s="9">
        <v>98323</v>
      </c>
    </row>
    <row r="52" spans="2:9">
      <c r="B52" s="7" t="s">
        <v>2</v>
      </c>
      <c r="F52" s="11">
        <v>12321</v>
      </c>
      <c r="G52" s="11">
        <v>9655</v>
      </c>
      <c r="H52" s="10">
        <v>0</v>
      </c>
      <c r="I52" s="9">
        <v>0</v>
      </c>
    </row>
    <row r="53" spans="2:9">
      <c r="B53" s="7" t="s">
        <v>1</v>
      </c>
      <c r="F53" s="11">
        <v>9147</v>
      </c>
      <c r="G53" s="11">
        <v>16897</v>
      </c>
      <c r="H53" s="10">
        <v>0</v>
      </c>
      <c r="I53" s="9">
        <v>0</v>
      </c>
    </row>
    <row r="54" spans="2:9">
      <c r="B54" s="7" t="s">
        <v>0</v>
      </c>
      <c r="F54" s="11">
        <v>4400</v>
      </c>
      <c r="G54" s="11">
        <v>21411</v>
      </c>
      <c r="H54" s="10">
        <v>0</v>
      </c>
      <c r="I54" s="9">
        <v>0</v>
      </c>
    </row>
    <row r="57" spans="2:9">
      <c r="B57" s="7" t="s">
        <v>79</v>
      </c>
      <c r="C57" s="53" t="s">
        <v>80</v>
      </c>
      <c r="D57" t="s">
        <v>85</v>
      </c>
    </row>
    <row r="58" spans="2:9">
      <c r="B58" s="52" t="s">
        <v>81</v>
      </c>
      <c r="C58" s="54">
        <v>43830</v>
      </c>
      <c r="D58" t="s">
        <v>84</v>
      </c>
    </row>
    <row r="59" spans="2:9">
      <c r="B59" s="52" t="s">
        <v>82</v>
      </c>
      <c r="C59" s="55">
        <v>5</v>
      </c>
      <c r="D59" t="s">
        <v>83</v>
      </c>
    </row>
  </sheetData>
  <pageMargins left="0.7" right="0.7" top="0.75" bottom="0.75" header="0.3" footer="0.3"/>
  <pageSetup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AE9A-D58B-4188-AFBE-4C056A98736A}">
  <sheetPr>
    <pageSetUpPr autoPageBreaks="0"/>
  </sheetPr>
  <dimension ref="A1:N50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3" sqref="J3"/>
    </sheetView>
  </sheetViews>
  <sheetFormatPr defaultRowHeight="13.8"/>
  <cols>
    <col min="1" max="1" width="1.59765625" customWidth="1"/>
    <col min="2" max="4" width="1.5" customWidth="1"/>
    <col min="5" max="5" width="31.19921875" customWidth="1"/>
    <col min="6" max="8" width="9.3984375" customWidth="1"/>
    <col min="9" max="9" width="1.5" customWidth="1"/>
    <col min="10" max="14" width="9.3984375" customWidth="1"/>
  </cols>
  <sheetData>
    <row r="1" spans="1:14" s="48" customFormat="1" ht="14.4">
      <c r="A1" s="49" t="str" cm="1">
        <f t="array" ref="A1">company</f>
        <v>JAK Holdings Inc.</v>
      </c>
    </row>
    <row r="2" spans="1:14" s="48" customFormat="1" ht="14.4">
      <c r="A2" s="49" t="str" cm="1">
        <f t="array" ref="A2">topic</f>
        <v>CFM Topic: Income Tax</v>
      </c>
    </row>
    <row r="3" spans="1:14" s="48" customFormat="1" ht="14.4">
      <c r="A3" s="49" t="s">
        <v>75</v>
      </c>
      <c r="F3" s="49" t="s">
        <v>76</v>
      </c>
      <c r="G3" s="49" t="s">
        <v>77</v>
      </c>
      <c r="H3" s="49" t="s">
        <v>33</v>
      </c>
      <c r="J3" s="56" cm="1">
        <f t="array" ref="J3:N3" xml:space="preserve"> YEAR( EOMONTH( start_date, _xlfn.SEQUENCE( 1, periods, 0, 12 ) ) )</f>
        <v>2019</v>
      </c>
      <c r="K3" s="56">
        <v>2020</v>
      </c>
      <c r="L3" s="56">
        <v>2021</v>
      </c>
      <c r="M3" s="56">
        <v>2022</v>
      </c>
      <c r="N3" s="56">
        <v>2023</v>
      </c>
    </row>
    <row r="5" spans="1:14" s="50" customFormat="1">
      <c r="A5" s="51"/>
    </row>
    <row r="50" spans="1:1" s="50" customFormat="1">
      <c r="A50" s="51" t="s">
        <v>78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5" orientation="portrait" r:id="rId1"/>
  <headerFooter>
    <oddFooter>&amp;L&amp;"Arial,Regular"Financial Modeling Institute
CFM October 2026&amp;C&amp;"Arial,Regular"Page &amp;P of &amp;N&amp;R&amp;"Arial,Regular"&amp;D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287"/>
  <sheetViews>
    <sheetView showGridLines="0" zoomScale="120" zoomScaleNormal="100" workbookViewId="0">
      <selection activeCell="F205" sqref="F205"/>
    </sheetView>
  </sheetViews>
  <sheetFormatPr defaultRowHeight="13.8"/>
  <cols>
    <col min="1" max="1" width="2.3984375" customWidth="1"/>
    <col min="2" max="2" width="13.69921875" customWidth="1"/>
    <col min="3" max="5" width="9.59765625" customWidth="1"/>
    <col min="6" max="9" width="12.59765625" customWidth="1"/>
    <col min="10" max="11" width="9.59765625" customWidth="1"/>
    <col min="12" max="13" width="8.5" customWidth="1"/>
  </cols>
  <sheetData>
    <row r="1" spans="2:9">
      <c r="B1" s="1" t="s">
        <v>31</v>
      </c>
      <c r="C1" s="3"/>
      <c r="D1" s="3"/>
      <c r="E1" s="3"/>
      <c r="F1" s="3"/>
      <c r="G1" s="3"/>
      <c r="H1" s="3"/>
      <c r="I1" s="3"/>
    </row>
    <row r="2" spans="2:9">
      <c r="B2" s="5" t="s">
        <v>30</v>
      </c>
      <c r="C2" s="3"/>
      <c r="D2" s="3"/>
      <c r="E2" s="3"/>
      <c r="F2" s="3"/>
      <c r="G2" s="3"/>
      <c r="H2" s="3"/>
      <c r="I2" s="3"/>
    </row>
    <row r="3" spans="2:9">
      <c r="F3" s="18" t="s">
        <v>29</v>
      </c>
      <c r="G3" s="18" t="s">
        <v>28</v>
      </c>
      <c r="H3" s="18" t="s">
        <v>27</v>
      </c>
      <c r="I3" s="18" t="s">
        <v>26</v>
      </c>
    </row>
    <row r="4" spans="2:9">
      <c r="F4" s="17" t="s">
        <v>25</v>
      </c>
      <c r="G4" s="17" t="s">
        <v>24</v>
      </c>
      <c r="H4" s="17" t="s">
        <v>23</v>
      </c>
      <c r="I4" s="17" t="s">
        <v>22</v>
      </c>
    </row>
    <row r="5" spans="2:9">
      <c r="B5" s="3" t="s">
        <v>21</v>
      </c>
      <c r="C5" s="3"/>
      <c r="F5" s="16">
        <f>CaseData!F5</f>
        <v>0.25600000000000001</v>
      </c>
      <c r="G5" s="16">
        <f>CaseData!G5</f>
        <v>0.26500000000000001</v>
      </c>
      <c r="H5" s="16">
        <f>CaseData!H5</f>
        <v>0.31</v>
      </c>
      <c r="I5" s="16">
        <f>CaseData!I5</f>
        <v>0.32600000000000001</v>
      </c>
    </row>
    <row r="6" spans="2:9">
      <c r="B6" s="3"/>
      <c r="C6" s="3"/>
      <c r="D6" s="6"/>
      <c r="E6" s="6"/>
      <c r="F6" s="6"/>
      <c r="G6" s="6"/>
    </row>
    <row r="7" spans="2:9">
      <c r="B7" s="3" t="s">
        <v>20</v>
      </c>
      <c r="C7" s="3"/>
      <c r="D7" s="6"/>
      <c r="E7" s="6"/>
      <c r="F7" s="14">
        <f>CaseData!F7</f>
        <v>1</v>
      </c>
      <c r="G7" s="14">
        <f>CaseData!G7</f>
        <v>1.29</v>
      </c>
      <c r="H7" s="14">
        <f>CaseData!H7</f>
        <v>19.89</v>
      </c>
      <c r="I7" s="14">
        <f>CaseData!I7</f>
        <v>0.85</v>
      </c>
    </row>
    <row r="8" spans="2:9">
      <c r="B8" s="3" t="s">
        <v>19</v>
      </c>
      <c r="C8" s="3"/>
      <c r="D8" s="6"/>
      <c r="E8" s="6"/>
      <c r="F8" s="6"/>
      <c r="G8" s="6"/>
    </row>
    <row r="9" spans="2:9">
      <c r="B9" s="7" t="s">
        <v>11</v>
      </c>
      <c r="C9" s="3"/>
      <c r="D9" s="6"/>
      <c r="E9" s="6"/>
      <c r="F9" s="11">
        <f>CaseData!F9</f>
        <v>17840</v>
      </c>
      <c r="G9" s="11">
        <f>CaseData!G9</f>
        <v>27240</v>
      </c>
      <c r="H9" s="10">
        <f>CaseData!H9</f>
        <v>265571</v>
      </c>
      <c r="I9" s="9">
        <f>CaseData!I9</f>
        <v>29762</v>
      </c>
    </row>
    <row r="10" spans="2:9">
      <c r="B10" s="7" t="s">
        <v>10</v>
      </c>
      <c r="C10" s="3"/>
      <c r="D10" s="6"/>
      <c r="E10" s="6"/>
      <c r="F10" s="11">
        <f>CaseData!F10</f>
        <v>17062</v>
      </c>
      <c r="G10" s="11">
        <f>CaseData!G10</f>
        <v>26094</v>
      </c>
      <c r="H10" s="10">
        <f>CaseData!H10</f>
        <v>208746</v>
      </c>
      <c r="I10" s="9">
        <f>CaseData!I10</f>
        <v>30206</v>
      </c>
    </row>
    <row r="11" spans="2:9">
      <c r="B11" s="7" t="s">
        <v>9</v>
      </c>
      <c r="C11" s="3"/>
      <c r="D11" s="3"/>
      <c r="E11" s="3"/>
      <c r="F11" s="11">
        <f>CaseData!F11</f>
        <v>19307</v>
      </c>
      <c r="G11" s="11">
        <f>CaseData!G11</f>
        <v>27635</v>
      </c>
      <c r="H11" s="10">
        <f>CaseData!H11</f>
        <v>270027</v>
      </c>
      <c r="I11" s="9">
        <f>CaseData!I11</f>
        <v>32919</v>
      </c>
    </row>
    <row r="12" spans="2:9">
      <c r="B12" s="7" t="s">
        <v>8</v>
      </c>
      <c r="C12" s="3"/>
      <c r="D12" s="3"/>
      <c r="E12" s="3"/>
      <c r="F12" s="11">
        <f>CaseData!F12</f>
        <v>17314</v>
      </c>
      <c r="G12" s="11">
        <f>CaseData!G12</f>
        <v>24296</v>
      </c>
      <c r="H12" s="10">
        <f>CaseData!H12</f>
        <v>267759</v>
      </c>
      <c r="I12" s="9">
        <f>CaseData!I12</f>
        <v>31658</v>
      </c>
    </row>
    <row r="13" spans="2:9">
      <c r="B13" s="7" t="s">
        <v>7</v>
      </c>
      <c r="C13" s="3"/>
      <c r="D13" s="3"/>
      <c r="E13" s="3"/>
      <c r="F13" s="11">
        <f>CaseData!F13</f>
        <v>14576</v>
      </c>
      <c r="G13" s="11">
        <f>CaseData!G13</f>
        <v>29861</v>
      </c>
      <c r="H13" s="10">
        <f>CaseData!H13</f>
        <v>240888</v>
      </c>
      <c r="I13" s="9">
        <f>CaseData!I13</f>
        <v>29101</v>
      </c>
    </row>
    <row r="14" spans="2:9">
      <c r="B14" s="3"/>
      <c r="C14" s="3"/>
      <c r="D14" s="3"/>
      <c r="E14" s="3"/>
      <c r="F14" s="13"/>
      <c r="G14" s="13"/>
      <c r="H14" s="13"/>
      <c r="I14" s="13"/>
    </row>
    <row r="15" spans="2:9">
      <c r="B15" s="3" t="s">
        <v>18</v>
      </c>
      <c r="C15" s="3"/>
      <c r="D15" s="3"/>
      <c r="E15" s="3"/>
      <c r="F15" s="13"/>
      <c r="G15" s="13"/>
      <c r="H15" s="13"/>
      <c r="I15" s="13"/>
    </row>
    <row r="16" spans="2:9">
      <c r="B16" s="7" t="s">
        <v>11</v>
      </c>
      <c r="C16" s="3"/>
      <c r="D16" s="3"/>
      <c r="E16" s="3"/>
      <c r="F16" s="11">
        <f>CaseData!F16</f>
        <v>6244</v>
      </c>
      <c r="G16" s="11">
        <f>CaseData!G16</f>
        <v>9729</v>
      </c>
      <c r="H16" s="10">
        <f>CaseData!H16</f>
        <v>79671</v>
      </c>
      <c r="I16" s="9">
        <f>CaseData!I16</f>
        <v>16641</v>
      </c>
    </row>
    <row r="17" spans="2:9">
      <c r="B17" s="7" t="s">
        <v>10</v>
      </c>
      <c r="C17" s="3"/>
      <c r="D17" s="3"/>
      <c r="E17" s="3"/>
      <c r="F17" s="11">
        <f>CaseData!F17</f>
        <v>5388</v>
      </c>
      <c r="G17" s="11">
        <f>CaseData!G17</f>
        <v>16605</v>
      </c>
      <c r="H17" s="10">
        <f>CaseData!H17</f>
        <v>80287</v>
      </c>
      <c r="I17" s="9">
        <f>CaseData!I17</f>
        <v>8487</v>
      </c>
    </row>
    <row r="18" spans="2:9">
      <c r="B18" s="7" t="s">
        <v>9</v>
      </c>
      <c r="F18" s="11">
        <f>CaseData!F18</f>
        <v>7723</v>
      </c>
      <c r="G18" s="11">
        <f>CaseData!G18</f>
        <v>9212</v>
      </c>
      <c r="H18" s="10">
        <f>CaseData!H18</f>
        <v>67507</v>
      </c>
      <c r="I18" s="9">
        <f>CaseData!I18</f>
        <v>9810</v>
      </c>
    </row>
    <row r="19" spans="2:9">
      <c r="B19" s="7" t="s">
        <v>8</v>
      </c>
      <c r="F19" s="11">
        <f>CaseData!F19</f>
        <v>6733</v>
      </c>
      <c r="G19" s="11">
        <f>CaseData!G19</f>
        <v>9718</v>
      </c>
      <c r="H19" s="10">
        <f>CaseData!H19</f>
        <v>80328</v>
      </c>
      <c r="I19" s="9">
        <f>CaseData!I19</f>
        <v>19922</v>
      </c>
    </row>
    <row r="20" spans="2:9">
      <c r="B20" s="7" t="s">
        <v>7</v>
      </c>
      <c r="F20" s="11">
        <f>CaseData!F20</f>
        <v>3836</v>
      </c>
      <c r="G20" s="11">
        <f>CaseData!G20</f>
        <v>16288</v>
      </c>
      <c r="H20" s="10">
        <f>CaseData!H20</f>
        <v>80296</v>
      </c>
      <c r="I20" s="9">
        <f>CaseData!I20</f>
        <v>16301</v>
      </c>
    </row>
    <row r="21" spans="2:9">
      <c r="F21" s="13"/>
      <c r="G21" s="13"/>
      <c r="H21" s="13"/>
      <c r="I21" s="13"/>
    </row>
    <row r="22" spans="2:9">
      <c r="B22" s="3" t="s">
        <v>17</v>
      </c>
      <c r="C22" s="3"/>
      <c r="F22" s="13"/>
      <c r="G22" s="13"/>
      <c r="H22" s="13"/>
      <c r="I22" s="13"/>
    </row>
    <row r="23" spans="2:9">
      <c r="B23" s="7" t="s">
        <v>11</v>
      </c>
      <c r="C23" s="3"/>
      <c r="F23" s="11">
        <f>CaseData!F23</f>
        <v>5432</v>
      </c>
      <c r="G23" s="11">
        <f>CaseData!G23</f>
        <v>7394</v>
      </c>
      <c r="H23" s="10">
        <f>CaseData!H23</f>
        <v>66127</v>
      </c>
      <c r="I23" s="9">
        <f>CaseData!I23</f>
        <v>14311</v>
      </c>
    </row>
    <row r="24" spans="2:9">
      <c r="B24" s="7" t="s">
        <v>10</v>
      </c>
      <c r="C24" s="3"/>
      <c r="F24" s="11">
        <f>CaseData!F24</f>
        <v>5595</v>
      </c>
      <c r="G24" s="11">
        <f>CaseData!G24</f>
        <v>7690</v>
      </c>
      <c r="H24" s="10">
        <f>CaseData!H24</f>
        <v>69433</v>
      </c>
      <c r="I24" s="9">
        <f>CaseData!I24</f>
        <v>14740</v>
      </c>
    </row>
    <row r="25" spans="2:9">
      <c r="B25" s="7" t="s">
        <v>9</v>
      </c>
      <c r="F25" s="11">
        <f>CaseData!F25</f>
        <v>5875</v>
      </c>
      <c r="G25" s="11">
        <f>CaseData!G25</f>
        <v>7998</v>
      </c>
      <c r="H25" s="10">
        <f>CaseData!H25</f>
        <v>72905</v>
      </c>
      <c r="I25" s="9">
        <f>CaseData!I25</f>
        <v>15624</v>
      </c>
    </row>
    <row r="26" spans="2:9">
      <c r="B26" s="7" t="s">
        <v>8</v>
      </c>
      <c r="F26" s="11">
        <f>CaseData!F26</f>
        <v>6169</v>
      </c>
      <c r="G26" s="11">
        <f>CaseData!G26</f>
        <v>8478</v>
      </c>
      <c r="H26" s="10">
        <f>CaseData!H26</f>
        <v>76550</v>
      </c>
      <c r="I26" s="9">
        <f>CaseData!I26</f>
        <v>16405</v>
      </c>
    </row>
    <row r="27" spans="2:9">
      <c r="B27" s="7" t="s">
        <v>7</v>
      </c>
      <c r="F27" s="11">
        <f>CaseData!F27</f>
        <v>6416</v>
      </c>
      <c r="G27" s="11">
        <f>CaseData!G27</f>
        <v>8817</v>
      </c>
      <c r="H27" s="10">
        <f>CaseData!H27</f>
        <v>80378</v>
      </c>
      <c r="I27" s="9">
        <f>CaseData!I27</f>
        <v>16897</v>
      </c>
    </row>
    <row r="29" spans="2:9">
      <c r="B29" s="3" t="s">
        <v>16</v>
      </c>
      <c r="F29" s="11">
        <f>CaseData!F29</f>
        <v>65510</v>
      </c>
      <c r="G29" s="11">
        <f>CaseData!G29</f>
        <v>85696</v>
      </c>
      <c r="H29" s="10">
        <f>CaseData!H29</f>
        <v>645400</v>
      </c>
      <c r="I29" s="9">
        <f>CaseData!I29</f>
        <v>163002</v>
      </c>
    </row>
    <row r="30" spans="2:9">
      <c r="B30" s="3"/>
    </row>
    <row r="31" spans="2:9">
      <c r="B31" s="3" t="s">
        <v>15</v>
      </c>
      <c r="F31" s="12">
        <f>CaseData!F31</f>
        <v>0.12300000000000001</v>
      </c>
      <c r="G31" s="12">
        <f>CaseData!G31</f>
        <v>0.14199999999999999</v>
      </c>
      <c r="H31" s="12">
        <f>CaseData!H31</f>
        <v>0.16500000000000001</v>
      </c>
      <c r="I31" s="12">
        <f>CaseData!I31</f>
        <v>0.156</v>
      </c>
    </row>
    <row r="32" spans="2:9">
      <c r="B32" s="3" t="s">
        <v>14</v>
      </c>
    </row>
    <row r="33" spans="2:9">
      <c r="B33" s="3"/>
    </row>
    <row r="34" spans="2:9">
      <c r="B34" s="3" t="s">
        <v>13</v>
      </c>
    </row>
    <row r="35" spans="2:9">
      <c r="B35" s="7" t="s">
        <v>11</v>
      </c>
      <c r="F35" s="11">
        <f>CaseData!F35</f>
        <v>6742</v>
      </c>
      <c r="G35" s="11">
        <f>CaseData!G35</f>
        <v>0</v>
      </c>
      <c r="H35" s="10">
        <f>CaseData!H35</f>
        <v>0</v>
      </c>
      <c r="I35" s="9">
        <f>CaseData!I35</f>
        <v>10343</v>
      </c>
    </row>
    <row r="36" spans="2:9">
      <c r="B36" s="7" t="s">
        <v>10</v>
      </c>
      <c r="F36" s="11">
        <f>CaseData!F36</f>
        <v>0</v>
      </c>
      <c r="G36" s="11">
        <f>CaseData!G36</f>
        <v>0</v>
      </c>
      <c r="H36" s="10">
        <f>CaseData!H36</f>
        <v>88951</v>
      </c>
      <c r="I36" s="9">
        <f>CaseData!I36</f>
        <v>0</v>
      </c>
    </row>
    <row r="37" spans="2:9">
      <c r="B37" s="7" t="s">
        <v>9</v>
      </c>
      <c r="F37" s="11">
        <f>CaseData!F37</f>
        <v>0</v>
      </c>
      <c r="G37" s="11">
        <f>CaseData!G37</f>
        <v>0</v>
      </c>
      <c r="H37" s="10">
        <f>CaseData!H37</f>
        <v>0</v>
      </c>
      <c r="I37" s="9">
        <f>CaseData!I37</f>
        <v>12434</v>
      </c>
    </row>
    <row r="38" spans="2:9">
      <c r="B38" s="7" t="s">
        <v>8</v>
      </c>
      <c r="F38" s="11">
        <f>CaseData!F38</f>
        <v>0</v>
      </c>
      <c r="G38" s="11">
        <f>CaseData!G38</f>
        <v>0</v>
      </c>
      <c r="H38" s="10">
        <f>CaseData!H38</f>
        <v>0</v>
      </c>
      <c r="I38" s="9">
        <f>CaseData!I38</f>
        <v>0</v>
      </c>
    </row>
    <row r="39" spans="2:9">
      <c r="B39" s="7" t="s">
        <v>7</v>
      </c>
      <c r="F39" s="11">
        <f>CaseData!F39</f>
        <v>0</v>
      </c>
      <c r="G39" s="11">
        <f>CaseData!G39</f>
        <v>0</v>
      </c>
      <c r="H39" s="10">
        <f>CaseData!H39</f>
        <v>0</v>
      </c>
      <c r="I39" s="9">
        <f>CaseData!I39</f>
        <v>0</v>
      </c>
    </row>
    <row r="40" spans="2:9">
      <c r="B40" s="3"/>
    </row>
    <row r="41" spans="2:9">
      <c r="B41" s="3" t="s">
        <v>12</v>
      </c>
    </row>
    <row r="42" spans="2:9">
      <c r="B42" s="7" t="s">
        <v>11</v>
      </c>
      <c r="F42" s="11">
        <f>CaseData!F42</f>
        <v>5709</v>
      </c>
      <c r="G42" s="11">
        <f>CaseData!G42</f>
        <v>7355</v>
      </c>
      <c r="H42" s="10">
        <f>CaseData!H42</f>
        <v>69048</v>
      </c>
      <c r="I42" s="9">
        <f>CaseData!I42</f>
        <v>6036</v>
      </c>
    </row>
    <row r="43" spans="2:9">
      <c r="B43" s="7" t="s">
        <v>10</v>
      </c>
      <c r="F43" s="11">
        <f>CaseData!F43</f>
        <v>5972</v>
      </c>
      <c r="G43" s="11">
        <f>CaseData!G43</f>
        <v>8350</v>
      </c>
      <c r="H43" s="10">
        <f>CaseData!H43</f>
        <v>50099</v>
      </c>
      <c r="I43" s="9">
        <f>CaseData!I43</f>
        <v>3551</v>
      </c>
    </row>
    <row r="44" spans="2:9">
      <c r="B44" s="7" t="s">
        <v>9</v>
      </c>
      <c r="F44" s="11">
        <f>CaseData!F44</f>
        <v>2317</v>
      </c>
      <c r="G44" s="11">
        <f>CaseData!G44</f>
        <v>6080</v>
      </c>
      <c r="H44" s="10">
        <f>CaseData!H44</f>
        <v>62106</v>
      </c>
      <c r="I44" s="9">
        <f>CaseData!I44</f>
        <v>10537</v>
      </c>
    </row>
    <row r="45" spans="2:9">
      <c r="B45" s="7" t="s">
        <v>8</v>
      </c>
      <c r="F45" s="11">
        <f>CaseData!F45</f>
        <v>3809</v>
      </c>
      <c r="G45" s="11">
        <f>CaseData!G45</f>
        <v>4373</v>
      </c>
      <c r="H45" s="10">
        <f>CaseData!H45</f>
        <v>26776</v>
      </c>
      <c r="I45" s="9">
        <f>CaseData!I45</f>
        <v>6970</v>
      </c>
    </row>
    <row r="46" spans="2:9">
      <c r="B46" s="7" t="s">
        <v>7</v>
      </c>
      <c r="F46" s="11">
        <f>CaseData!F46</f>
        <v>3790</v>
      </c>
      <c r="G46" s="11">
        <f>CaseData!G46</f>
        <v>9854</v>
      </c>
      <c r="H46" s="10">
        <f>CaseData!H46</f>
        <v>24089</v>
      </c>
      <c r="I46" s="9">
        <f>CaseData!I46</f>
        <v>9642</v>
      </c>
    </row>
    <row r="48" spans="2:9">
      <c r="B48" s="3" t="s">
        <v>6</v>
      </c>
    </row>
    <row r="49" spans="2:10">
      <c r="B49" s="7" t="s">
        <v>5</v>
      </c>
      <c r="F49" s="11">
        <f>CaseData!F49</f>
        <v>3425</v>
      </c>
      <c r="G49" s="11">
        <f>CaseData!G49</f>
        <v>24360</v>
      </c>
      <c r="H49" s="10">
        <f>CaseData!H49</f>
        <v>343423</v>
      </c>
      <c r="I49" s="9">
        <f>CaseData!I49</f>
        <v>0</v>
      </c>
    </row>
    <row r="50" spans="2:10">
      <c r="B50" s="7" t="s">
        <v>4</v>
      </c>
      <c r="F50" s="11">
        <f>CaseData!F50</f>
        <v>14121</v>
      </c>
      <c r="G50" s="11">
        <f>CaseData!G50</f>
        <v>7508</v>
      </c>
      <c r="H50" s="10">
        <f>CaseData!H50</f>
        <v>23454</v>
      </c>
      <c r="I50" s="9">
        <f>CaseData!I50</f>
        <v>0</v>
      </c>
    </row>
    <row r="51" spans="2:10">
      <c r="B51" s="7" t="s">
        <v>3</v>
      </c>
      <c r="F51" s="11">
        <f>CaseData!F51</f>
        <v>0</v>
      </c>
      <c r="G51" s="11">
        <f>CaseData!G51</f>
        <v>5390</v>
      </c>
      <c r="H51" s="10">
        <f>CaseData!H51</f>
        <v>0</v>
      </c>
      <c r="I51" s="9">
        <f>CaseData!I51</f>
        <v>98323</v>
      </c>
    </row>
    <row r="52" spans="2:10">
      <c r="B52" s="7" t="s">
        <v>2</v>
      </c>
      <c r="F52" s="11">
        <f>CaseData!F52</f>
        <v>12321</v>
      </c>
      <c r="G52" s="11">
        <f>CaseData!G52</f>
        <v>9655</v>
      </c>
      <c r="H52" s="10">
        <f>CaseData!H52</f>
        <v>0</v>
      </c>
      <c r="I52" s="9">
        <f>CaseData!I52</f>
        <v>0</v>
      </c>
    </row>
    <row r="53" spans="2:10">
      <c r="B53" s="7" t="s">
        <v>1</v>
      </c>
      <c r="F53" s="11">
        <f>CaseData!F53</f>
        <v>9147</v>
      </c>
      <c r="G53" s="11">
        <f>CaseData!G53</f>
        <v>16897</v>
      </c>
      <c r="H53" s="10">
        <f>CaseData!H53</f>
        <v>0</v>
      </c>
      <c r="I53" s="9">
        <f>CaseData!I53</f>
        <v>0</v>
      </c>
    </row>
    <row r="54" spans="2:10">
      <c r="B54" s="7" t="s">
        <v>0</v>
      </c>
      <c r="F54" s="11">
        <f>CaseData!F54</f>
        <v>4400</v>
      </c>
      <c r="G54" s="11">
        <f>CaseData!G54</f>
        <v>21411</v>
      </c>
      <c r="H54" s="10">
        <f>CaseData!H54</f>
        <v>0</v>
      </c>
      <c r="I54" s="9">
        <f>CaseData!I54</f>
        <v>0</v>
      </c>
    </row>
    <row r="57" spans="2:10" ht="14.4">
      <c r="B57" s="30" t="s">
        <v>74</v>
      </c>
    </row>
    <row r="59" spans="2:10">
      <c r="B59" s="46" t="s">
        <v>73</v>
      </c>
      <c r="D59" s="44" t="s">
        <v>69</v>
      </c>
      <c r="E59" s="43">
        <f>F5</f>
        <v>0.25600000000000001</v>
      </c>
      <c r="F59" s="29">
        <v>2019</v>
      </c>
      <c r="G59" s="28">
        <f>F59+1</f>
        <v>2020</v>
      </c>
      <c r="H59" s="28">
        <f>G59+1</f>
        <v>2021</v>
      </c>
      <c r="I59" s="28">
        <f>H59+1</f>
        <v>2022</v>
      </c>
      <c r="J59" s="28">
        <f>I59+1</f>
        <v>2023</v>
      </c>
    </row>
    <row r="60" spans="2:10">
      <c r="B60" s="42" t="s">
        <v>68</v>
      </c>
    </row>
    <row r="61" spans="2:10">
      <c r="B61" s="3" t="s">
        <v>67</v>
      </c>
      <c r="F61" s="11">
        <f t="array" ref="F61:J61">TRANSPOSE(F9:F13)</f>
        <v>17840</v>
      </c>
      <c r="G61" s="11">
        <v>17062</v>
      </c>
      <c r="H61" s="11">
        <v>19307</v>
      </c>
      <c r="I61" s="11">
        <v>17314</v>
      </c>
      <c r="J61" s="11">
        <v>14576</v>
      </c>
    </row>
    <row r="62" spans="2:10">
      <c r="B62" s="3" t="s">
        <v>66</v>
      </c>
      <c r="F62" s="25">
        <f t="array" ref="F62:J62">TRANSPOSE(F35:F39)</f>
        <v>6742</v>
      </c>
      <c r="G62" s="25">
        <v>0</v>
      </c>
      <c r="H62" s="25">
        <v>0</v>
      </c>
      <c r="I62" s="25">
        <v>0</v>
      </c>
      <c r="J62" s="25">
        <v>0</v>
      </c>
    </row>
    <row r="63" spans="2:10">
      <c r="B63" s="4" t="s">
        <v>65</v>
      </c>
      <c r="F63" s="23">
        <f>SUM(F61:F62)</f>
        <v>24582</v>
      </c>
      <c r="G63" s="23">
        <f>SUM(G61:G62)</f>
        <v>17062</v>
      </c>
      <c r="H63" s="23">
        <f>SUM(H61:H62)</f>
        <v>19307</v>
      </c>
      <c r="I63" s="23">
        <f>SUM(I61:I62)</f>
        <v>17314</v>
      </c>
      <c r="J63" s="23">
        <f>SUM(J61:J62)</f>
        <v>14576</v>
      </c>
    </row>
    <row r="65" spans="2:10">
      <c r="B65" s="3" t="s">
        <v>64</v>
      </c>
      <c r="F65" s="11">
        <f t="array" ref="F65:J65">TRANSPOSE(F23:F27)</f>
        <v>5432</v>
      </c>
      <c r="G65" s="11">
        <v>5595</v>
      </c>
      <c r="H65" s="11">
        <v>5875</v>
      </c>
      <c r="I65" s="11">
        <v>6169</v>
      </c>
      <c r="J65" s="11">
        <v>6416</v>
      </c>
    </row>
    <row r="66" spans="2:10">
      <c r="B66" s="3" t="s">
        <v>63</v>
      </c>
      <c r="F66" s="11">
        <f>F82</f>
        <v>-8825.7420000000002</v>
      </c>
      <c r="G66" s="11">
        <f>G82</f>
        <v>-8402.8997340000005</v>
      </c>
      <c r="H66" s="11">
        <f>H82</f>
        <v>-8319.2720667180001</v>
      </c>
      <c r="I66" s="11">
        <f>I82</f>
        <v>-8124.1606025116871</v>
      </c>
      <c r="J66" s="11">
        <f>J82</f>
        <v>-7596.7168484027497</v>
      </c>
    </row>
    <row r="67" spans="2:10">
      <c r="B67" s="3" t="s">
        <v>62</v>
      </c>
      <c r="F67" s="25">
        <f t="array" ref="F67:J67">-TRANSPOSE(F42:F46)</f>
        <v>-5709</v>
      </c>
      <c r="G67" s="25">
        <v>-5972</v>
      </c>
      <c r="H67" s="25">
        <v>-2317</v>
      </c>
      <c r="I67" s="25">
        <v>-3809</v>
      </c>
      <c r="J67" s="25">
        <v>-3790</v>
      </c>
    </row>
    <row r="68" spans="2:10">
      <c r="B68" s="4" t="s">
        <v>48</v>
      </c>
      <c r="F68" s="23">
        <f>SUM(F63:F67)</f>
        <v>15479.258000000002</v>
      </c>
      <c r="G68" s="23">
        <f>SUM(G63:G67)</f>
        <v>8282.1002659999995</v>
      </c>
      <c r="H68" s="23">
        <f>SUM(H63:H67)</f>
        <v>14545.727933282</v>
      </c>
      <c r="I68" s="23">
        <f>SUM(I63:I67)</f>
        <v>11549.839397488313</v>
      </c>
      <c r="J68" s="23">
        <f>SUM(J63:J67)</f>
        <v>9605.2831515972503</v>
      </c>
    </row>
    <row r="70" spans="2:10">
      <c r="B70" s="3" t="s">
        <v>61</v>
      </c>
      <c r="F70" s="25">
        <f>-F95</f>
        <v>-15479.258000000002</v>
      </c>
      <c r="G70" s="25">
        <f>-G95</f>
        <v>-8282.1002659999995</v>
      </c>
      <c r="H70" s="25">
        <f>-H95</f>
        <v>-14545.727933282</v>
      </c>
      <c r="I70" s="25">
        <f>-I95</f>
        <v>-5106.913800717999</v>
      </c>
      <c r="J70" s="25">
        <f>-J95</f>
        <v>0</v>
      </c>
    </row>
    <row r="71" spans="2:10">
      <c r="B71" s="4" t="s">
        <v>60</v>
      </c>
      <c r="F71" s="23">
        <f>SUM(F68:F70)</f>
        <v>0</v>
      </c>
      <c r="G71" s="23">
        <f>SUM(G68:G70)</f>
        <v>0</v>
      </c>
      <c r="H71" s="23">
        <f>SUM(H68:H70)</f>
        <v>0</v>
      </c>
      <c r="I71" s="23">
        <f>SUM(I68:I70)</f>
        <v>6442.9255967703139</v>
      </c>
      <c r="J71" s="23">
        <f>SUM(J68:J70)</f>
        <v>9605.2831515972503</v>
      </c>
    </row>
    <row r="73" spans="2:10">
      <c r="B73" s="42" t="s">
        <v>59</v>
      </c>
    </row>
    <row r="74" spans="2:10">
      <c r="B74" s="3" t="s">
        <v>58</v>
      </c>
      <c r="F74" s="11">
        <f>$E$59*F71</f>
        <v>0</v>
      </c>
      <c r="G74" s="11">
        <f>$E$59*G71</f>
        <v>0</v>
      </c>
      <c r="H74" s="11">
        <f>$E$59*H71</f>
        <v>0</v>
      </c>
      <c r="I74" s="11">
        <f>$E$59*I71</f>
        <v>1649.3889527732003</v>
      </c>
      <c r="J74" s="11">
        <f>$E$59*J71</f>
        <v>2458.9524868088961</v>
      </c>
    </row>
    <row r="75" spans="2:10">
      <c r="B75" s="3" t="s">
        <v>57</v>
      </c>
      <c r="F75" s="25">
        <f>F76-F74</f>
        <v>6292.9920000000002</v>
      </c>
      <c r="G75" s="25">
        <f>G76-G74</f>
        <v>4367.8720000000003</v>
      </c>
      <c r="H75" s="25">
        <f>H76-H74</f>
        <v>4942.5920000000006</v>
      </c>
      <c r="I75" s="25">
        <f>I76-I74</f>
        <v>2782.9950472267997</v>
      </c>
      <c r="J75" s="25">
        <f>J76-J74</f>
        <v>1272.503513191104</v>
      </c>
    </row>
    <row r="76" spans="2:10">
      <c r="B76" s="4" t="s">
        <v>56</v>
      </c>
      <c r="F76" s="23">
        <f>$E$59*F63</f>
        <v>6292.9920000000002</v>
      </c>
      <c r="G76" s="23">
        <f>$E$59*G63</f>
        <v>4367.8720000000003</v>
      </c>
      <c r="H76" s="23">
        <f>$E$59*H63</f>
        <v>4942.5920000000006</v>
      </c>
      <c r="I76" s="23">
        <f>$E$59*I63</f>
        <v>4432.384</v>
      </c>
      <c r="J76" s="23">
        <f>$E$59*J63</f>
        <v>3731.4560000000001</v>
      </c>
    </row>
    <row r="79" spans="2:10">
      <c r="B79" s="42" t="s">
        <v>55</v>
      </c>
      <c r="D79" s="44" t="s">
        <v>54</v>
      </c>
      <c r="E79" s="43">
        <f>F31</f>
        <v>0.12300000000000001</v>
      </c>
    </row>
    <row r="80" spans="2:10">
      <c r="B80" s="3" t="s">
        <v>53</v>
      </c>
      <c r="F80" s="11">
        <f>E83</f>
        <v>65510</v>
      </c>
      <c r="G80" s="11">
        <f>F83</f>
        <v>62928.258000000002</v>
      </c>
      <c r="H80" s="11">
        <f>G83</f>
        <v>59913.358266000003</v>
      </c>
      <c r="I80" s="11">
        <f>H83</f>
        <v>59317.086199281999</v>
      </c>
      <c r="J80" s="11">
        <f>I83</f>
        <v>57925.925596770314</v>
      </c>
    </row>
    <row r="81" spans="2:10">
      <c r="B81" s="3" t="s">
        <v>52</v>
      </c>
      <c r="F81" s="11">
        <f t="array" ref="F81:J81">TRANSPOSE(F16:F20)</f>
        <v>6244</v>
      </c>
      <c r="G81" s="11">
        <v>5388</v>
      </c>
      <c r="H81" s="11">
        <v>7723</v>
      </c>
      <c r="I81" s="11">
        <v>6733</v>
      </c>
      <c r="J81" s="11">
        <v>3836</v>
      </c>
    </row>
    <row r="82" spans="2:10">
      <c r="B82" s="3" t="s">
        <v>51</v>
      </c>
      <c r="E82" s="2"/>
      <c r="F82" s="25">
        <f>-$E$79*SUM(F80:F81)</f>
        <v>-8825.7420000000002</v>
      </c>
      <c r="G82" s="25">
        <f>-$E$79*SUM(G80:G81)</f>
        <v>-8402.8997340000005</v>
      </c>
      <c r="H82" s="25">
        <f>-$E$79*SUM(H80:H81)</f>
        <v>-8319.2720667180001</v>
      </c>
      <c r="I82" s="25">
        <f>-$E$79*SUM(I80:I81)</f>
        <v>-8124.1606025116871</v>
      </c>
      <c r="J82" s="25">
        <f>-$E$79*SUM(J80:J81)</f>
        <v>-7596.7168484027497</v>
      </c>
    </row>
    <row r="83" spans="2:10">
      <c r="B83" s="4" t="s">
        <v>50</v>
      </c>
      <c r="E83" s="23">
        <f>F29</f>
        <v>65510</v>
      </c>
      <c r="F83" s="23">
        <f>SUM(F80:F82)</f>
        <v>62928.258000000002</v>
      </c>
      <c r="G83" s="23">
        <f>SUM(G80:G82)</f>
        <v>59913.358266000003</v>
      </c>
      <c r="H83" s="23">
        <f>SUM(H80:H82)</f>
        <v>59317.086199281999</v>
      </c>
      <c r="I83" s="23">
        <f>SUM(I80:I82)</f>
        <v>57925.925596770314</v>
      </c>
      <c r="J83" s="23">
        <f>SUM(J80:J82)</f>
        <v>54165.208748367564</v>
      </c>
    </row>
    <row r="86" spans="2:10">
      <c r="B86" s="42" t="s">
        <v>49</v>
      </c>
    </row>
    <row r="87" spans="2:10">
      <c r="B87" s="4" t="s">
        <v>48</v>
      </c>
      <c r="F87" s="23">
        <f>F68</f>
        <v>15479.258000000002</v>
      </c>
      <c r="G87" s="23">
        <f>G68</f>
        <v>8282.1002659999995</v>
      </c>
      <c r="H87" s="23">
        <f>H68</f>
        <v>14545.727933282</v>
      </c>
      <c r="I87" s="23">
        <f>I68</f>
        <v>11549.839397488313</v>
      </c>
      <c r="J87" s="23">
        <f>J68</f>
        <v>9605.2831515972503</v>
      </c>
    </row>
    <row r="88" spans="2:10">
      <c r="B88" s="41" t="s">
        <v>47</v>
      </c>
    </row>
    <row r="89" spans="2:10" ht="14.4">
      <c r="B89" s="40">
        <f t="array" ref="B89:B93">TRANSPOSE(F59:J59)</f>
        <v>2019</v>
      </c>
      <c r="C89" s="39"/>
      <c r="D89" s="39"/>
      <c r="E89" s="38">
        <f t="shared" ref="E89:E94" si="0">F49</f>
        <v>3425</v>
      </c>
      <c r="F89" s="11">
        <f>MIN(E98,F$87-SUM(F$88:F88))</f>
        <v>3425</v>
      </c>
      <c r="G89" s="11">
        <f>MIN(F98,G$87-SUM(G$88:G88))</f>
        <v>0</v>
      </c>
      <c r="H89" s="11">
        <f>MIN(G98,H$87-SUM(H$88:H88))</f>
        <v>0</v>
      </c>
      <c r="I89" s="11">
        <f>MIN(H98,I$87-SUM(I$88:I88))</f>
        <v>0</v>
      </c>
      <c r="J89" s="11">
        <f>MIN(I98,J$87-SUM(J$88:J88))</f>
        <v>0</v>
      </c>
    </row>
    <row r="90" spans="2:10" ht="14.4">
      <c r="B90" s="37">
        <v>2020</v>
      </c>
      <c r="C90" s="36"/>
      <c r="D90" s="36"/>
      <c r="E90" s="35">
        <f t="shared" si="0"/>
        <v>14121</v>
      </c>
      <c r="F90" s="11">
        <f>MIN(E99,F$87-SUM(F$88:F89))</f>
        <v>12054.258000000002</v>
      </c>
      <c r="G90" s="11">
        <f>MIN(F99,G$87-SUM(G$88:G89))</f>
        <v>2066.7419999999984</v>
      </c>
      <c r="H90" s="11">
        <f>MIN(G99,H$87-SUM(H$88:H89))</f>
        <v>0</v>
      </c>
      <c r="I90" s="11">
        <f>MIN(H99,I$87-SUM(I$88:I89))</f>
        <v>0</v>
      </c>
      <c r="J90" s="11">
        <f>MIN(I99,J$87-SUM(J$88:J89))</f>
        <v>0</v>
      </c>
    </row>
    <row r="91" spans="2:10" ht="14.4">
      <c r="B91" s="37">
        <v>2021</v>
      </c>
      <c r="C91" s="36"/>
      <c r="D91" s="36"/>
      <c r="E91" s="35">
        <f t="shared" si="0"/>
        <v>0</v>
      </c>
      <c r="F91" s="11">
        <f>MIN(E100,F$87-SUM(F$88:F90))</f>
        <v>0</v>
      </c>
      <c r="G91" s="11">
        <f>MIN(F100,G$87-SUM(G$88:G90))</f>
        <v>0</v>
      </c>
      <c r="H91" s="11">
        <f>MIN(G100,H$87-SUM(H$88:H90))</f>
        <v>0</v>
      </c>
      <c r="I91" s="11">
        <f>MIN(H100,I$87-SUM(I$88:I90))</f>
        <v>0</v>
      </c>
      <c r="J91" s="11">
        <f>MIN(I100,J$87-SUM(J$88:J90))</f>
        <v>0</v>
      </c>
    </row>
    <row r="92" spans="2:10" ht="14.4">
      <c r="B92" s="37">
        <v>2022</v>
      </c>
      <c r="C92" s="36"/>
      <c r="D92" s="36"/>
      <c r="E92" s="35">
        <f t="shared" si="0"/>
        <v>12321</v>
      </c>
      <c r="F92" s="11">
        <f>MIN(E101,F$87-SUM(F$88:F91))</f>
        <v>0</v>
      </c>
      <c r="G92" s="11">
        <f>MIN(F101,G$87-SUM(G$88:G91))</f>
        <v>6215.3582660000011</v>
      </c>
      <c r="H92" s="11">
        <f>MIN(G101,H$87-SUM(H$88:H91))</f>
        <v>6105.6417339999989</v>
      </c>
      <c r="I92" s="11">
        <f>MIN(H101,I$87-SUM(I$88:I91))</f>
        <v>0</v>
      </c>
      <c r="J92" s="11">
        <f>MIN(I101,J$87-SUM(J$88:J91))</f>
        <v>0</v>
      </c>
    </row>
    <row r="93" spans="2:10" ht="14.4">
      <c r="B93" s="37">
        <v>2023</v>
      </c>
      <c r="C93" s="36"/>
      <c r="D93" s="36"/>
      <c r="E93" s="35">
        <f t="shared" si="0"/>
        <v>9147</v>
      </c>
      <c r="F93" s="11">
        <f>MIN(E102,F$87-SUM(F$88:F92))</f>
        <v>0</v>
      </c>
      <c r="G93" s="11">
        <f>MIN(F102,G$87-SUM(G$88:G92))</f>
        <v>0</v>
      </c>
      <c r="H93" s="11">
        <f>MIN(G102,H$87-SUM(H$88:H92))</f>
        <v>8440.086199282001</v>
      </c>
      <c r="I93" s="11">
        <f>MIN(H102,I$87-SUM(I$88:I92))</f>
        <v>706.91380071799904</v>
      </c>
      <c r="J93" s="11">
        <f>MIN(I102,J$87-SUM(J$88:J92))</f>
        <v>0</v>
      </c>
    </row>
    <row r="94" spans="2:10" ht="14.4">
      <c r="B94" s="34" t="s">
        <v>0</v>
      </c>
      <c r="C94" s="33"/>
      <c r="D94" s="33"/>
      <c r="E94" s="32">
        <f t="shared" si="0"/>
        <v>4400</v>
      </c>
      <c r="F94" s="25">
        <f>MIN(E103,F$87-SUM(F$88:F93))</f>
        <v>0</v>
      </c>
      <c r="G94" s="25">
        <f>MIN(F103,G$87-SUM(G$88:G93))</f>
        <v>0</v>
      </c>
      <c r="H94" s="25">
        <f>MIN(G103,H$87-SUM(H$88:H93))</f>
        <v>0</v>
      </c>
      <c r="I94" s="25">
        <f>MIN(H103,I$87-SUM(I$88:I93))</f>
        <v>4400</v>
      </c>
      <c r="J94" s="25">
        <f>MIN(I103,J$87-SUM(J$88:J93))</f>
        <v>0</v>
      </c>
    </row>
    <row r="95" spans="2:10">
      <c r="B95" s="8" t="s">
        <v>46</v>
      </c>
      <c r="E95" s="11"/>
      <c r="F95" s="23">
        <f>SUM(F89:F94)</f>
        <v>15479.258000000002</v>
      </c>
      <c r="G95" s="23">
        <f>SUM(G89:G94)</f>
        <v>8282.1002659999995</v>
      </c>
      <c r="H95" s="23">
        <f>SUM(H89:H94)</f>
        <v>14545.727933282</v>
      </c>
      <c r="I95" s="23">
        <f>SUM(I89:I94)</f>
        <v>5106.913800717999</v>
      </c>
      <c r="J95" s="23">
        <f>SUM(J89:J94)</f>
        <v>0</v>
      </c>
    </row>
    <row r="97" spans="2:10">
      <c r="B97" s="41" t="s">
        <v>45</v>
      </c>
    </row>
    <row r="98" spans="2:10" ht="14.4">
      <c r="B98" s="40">
        <f t="shared" ref="B98:B103" si="1">B89</f>
        <v>2019</v>
      </c>
      <c r="C98" s="39"/>
      <c r="D98" s="39"/>
      <c r="E98" s="38">
        <f t="shared" ref="E98:E103" si="2">E89</f>
        <v>3425</v>
      </c>
      <c r="F98" s="11">
        <f t="shared" ref="F98:J103" si="3">IF($B98&lt;=F$59,0,E98-F89)</f>
        <v>0</v>
      </c>
      <c r="G98" s="11">
        <f t="shared" si="3"/>
        <v>0</v>
      </c>
      <c r="H98" s="11">
        <f t="shared" si="3"/>
        <v>0</v>
      </c>
      <c r="I98" s="11">
        <f t="shared" si="3"/>
        <v>0</v>
      </c>
      <c r="J98" s="11">
        <f t="shared" si="3"/>
        <v>0</v>
      </c>
    </row>
    <row r="99" spans="2:10" ht="14.4">
      <c r="B99" s="37">
        <f t="shared" si="1"/>
        <v>2020</v>
      </c>
      <c r="C99" s="36"/>
      <c r="D99" s="36"/>
      <c r="E99" s="35">
        <f t="shared" si="2"/>
        <v>14121</v>
      </c>
      <c r="F99" s="11">
        <f t="shared" si="3"/>
        <v>2066.7419999999984</v>
      </c>
      <c r="G99" s="11">
        <f t="shared" si="3"/>
        <v>0</v>
      </c>
      <c r="H99" s="11">
        <f t="shared" si="3"/>
        <v>0</v>
      </c>
      <c r="I99" s="11">
        <f t="shared" si="3"/>
        <v>0</v>
      </c>
      <c r="J99" s="11">
        <f t="shared" si="3"/>
        <v>0</v>
      </c>
    </row>
    <row r="100" spans="2:10" ht="14.4">
      <c r="B100" s="37">
        <f t="shared" si="1"/>
        <v>2021</v>
      </c>
      <c r="C100" s="36"/>
      <c r="D100" s="36"/>
      <c r="E100" s="35">
        <f t="shared" si="2"/>
        <v>0</v>
      </c>
      <c r="F100" s="11">
        <f t="shared" si="3"/>
        <v>0</v>
      </c>
      <c r="G100" s="11">
        <f t="shared" si="3"/>
        <v>0</v>
      </c>
      <c r="H100" s="11">
        <f t="shared" si="3"/>
        <v>0</v>
      </c>
      <c r="I100" s="11">
        <f t="shared" si="3"/>
        <v>0</v>
      </c>
      <c r="J100" s="11">
        <f t="shared" si="3"/>
        <v>0</v>
      </c>
    </row>
    <row r="101" spans="2:10" ht="14.4">
      <c r="B101" s="37">
        <f t="shared" si="1"/>
        <v>2022</v>
      </c>
      <c r="C101" s="36"/>
      <c r="D101" s="36"/>
      <c r="E101" s="35">
        <f t="shared" si="2"/>
        <v>12321</v>
      </c>
      <c r="F101" s="11">
        <f t="shared" si="3"/>
        <v>12321</v>
      </c>
      <c r="G101" s="11">
        <f t="shared" si="3"/>
        <v>6105.6417339999989</v>
      </c>
      <c r="H101" s="11">
        <f t="shared" si="3"/>
        <v>0</v>
      </c>
      <c r="I101" s="11">
        <f t="shared" si="3"/>
        <v>0</v>
      </c>
      <c r="J101" s="11">
        <f t="shared" si="3"/>
        <v>0</v>
      </c>
    </row>
    <row r="102" spans="2:10" ht="14.4">
      <c r="B102" s="37">
        <f t="shared" si="1"/>
        <v>2023</v>
      </c>
      <c r="C102" s="36"/>
      <c r="D102" s="36"/>
      <c r="E102" s="35">
        <f t="shared" si="2"/>
        <v>9147</v>
      </c>
      <c r="F102" s="11">
        <f t="shared" si="3"/>
        <v>9147</v>
      </c>
      <c r="G102" s="11">
        <f t="shared" si="3"/>
        <v>9147</v>
      </c>
      <c r="H102" s="11">
        <f t="shared" si="3"/>
        <v>706.91380071799904</v>
      </c>
      <c r="I102" s="11">
        <f t="shared" si="3"/>
        <v>0</v>
      </c>
      <c r="J102" s="11">
        <f t="shared" si="3"/>
        <v>0</v>
      </c>
    </row>
    <row r="103" spans="2:10" ht="14.4">
      <c r="B103" s="34" t="str">
        <f t="shared" si="1"/>
        <v>Expiring Thereafter</v>
      </c>
      <c r="C103" s="33"/>
      <c r="D103" s="33"/>
      <c r="E103" s="32">
        <f t="shared" si="2"/>
        <v>4400</v>
      </c>
      <c r="F103" s="31">
        <f t="shared" si="3"/>
        <v>4400</v>
      </c>
      <c r="G103" s="25">
        <f t="shared" si="3"/>
        <v>4400</v>
      </c>
      <c r="H103" s="25">
        <f t="shared" si="3"/>
        <v>4400</v>
      </c>
      <c r="I103" s="25">
        <f t="shared" si="3"/>
        <v>0</v>
      </c>
      <c r="J103" s="25">
        <f t="shared" si="3"/>
        <v>0</v>
      </c>
    </row>
    <row r="104" spans="2:10">
      <c r="B104" s="8" t="s">
        <v>44</v>
      </c>
      <c r="F104" s="23">
        <f>SUM(F98:F103)</f>
        <v>27934.741999999998</v>
      </c>
      <c r="G104" s="23">
        <f>SUM(G98:G103)</f>
        <v>19652.641733999997</v>
      </c>
      <c r="H104" s="23">
        <f>SUM(H98:H103)</f>
        <v>5106.913800717999</v>
      </c>
      <c r="I104" s="23">
        <f>SUM(I98:I103)</f>
        <v>0</v>
      </c>
      <c r="J104" s="23">
        <f>SUM(J98:J103)</f>
        <v>0</v>
      </c>
    </row>
    <row r="107" spans="2:10">
      <c r="B107" s="46" t="s">
        <v>72</v>
      </c>
      <c r="D107" s="44" t="s">
        <v>69</v>
      </c>
      <c r="E107" s="43">
        <f>G5</f>
        <v>0.26500000000000001</v>
      </c>
      <c r="F107" s="45">
        <f>F59</f>
        <v>2019</v>
      </c>
      <c r="G107" s="28">
        <f>G59</f>
        <v>2020</v>
      </c>
      <c r="H107" s="28">
        <f>H59</f>
        <v>2021</v>
      </c>
      <c r="I107" s="28">
        <f>I59</f>
        <v>2022</v>
      </c>
      <c r="J107" s="28">
        <f>J59</f>
        <v>2023</v>
      </c>
    </row>
    <row r="108" spans="2:10">
      <c r="B108" s="42" t="s">
        <v>68</v>
      </c>
    </row>
    <row r="109" spans="2:10">
      <c r="B109" s="3" t="s">
        <v>67</v>
      </c>
      <c r="F109" s="11">
        <f t="array" ref="F109:J109">TRANSPOSE(G9:G13)</f>
        <v>27240</v>
      </c>
      <c r="G109" s="11">
        <v>26094</v>
      </c>
      <c r="H109" s="11">
        <v>27635</v>
      </c>
      <c r="I109" s="11">
        <v>24296</v>
      </c>
      <c r="J109" s="11">
        <v>29861</v>
      </c>
    </row>
    <row r="110" spans="2:10">
      <c r="B110" s="3" t="s">
        <v>66</v>
      </c>
      <c r="F110" s="25">
        <f t="array" ref="F110:J110">TRANSPOSE(G35:G39)</f>
        <v>0</v>
      </c>
      <c r="G110" s="25">
        <v>0</v>
      </c>
      <c r="H110" s="25">
        <v>0</v>
      </c>
      <c r="I110" s="25">
        <v>0</v>
      </c>
      <c r="J110" s="25">
        <v>0</v>
      </c>
    </row>
    <row r="111" spans="2:10">
      <c r="B111" s="4" t="s">
        <v>65</v>
      </c>
      <c r="F111" s="23">
        <f>SUM(F109:F110)</f>
        <v>27240</v>
      </c>
      <c r="G111" s="23">
        <f>SUM(G109:G110)</f>
        <v>26094</v>
      </c>
      <c r="H111" s="23">
        <f>SUM(H109:H110)</f>
        <v>27635</v>
      </c>
      <c r="I111" s="23">
        <f>SUM(I109:I110)</f>
        <v>24296</v>
      </c>
      <c r="J111" s="23">
        <f>SUM(J109:J110)</f>
        <v>29861</v>
      </c>
    </row>
    <row r="113" spans="2:10">
      <c r="B113" s="3" t="s">
        <v>64</v>
      </c>
      <c r="F113" s="11">
        <f t="array" ref="F113:J113">TRANSPOSE(G23:G27)</f>
        <v>7394</v>
      </c>
      <c r="G113" s="11">
        <v>7690</v>
      </c>
      <c r="H113" s="11">
        <v>7998</v>
      </c>
      <c r="I113" s="11">
        <v>8478</v>
      </c>
      <c r="J113" s="11">
        <v>8817</v>
      </c>
    </row>
    <row r="114" spans="2:10">
      <c r="B114" s="3" t="s">
        <v>63</v>
      </c>
      <c r="F114" s="11">
        <f>F130</f>
        <v>-13550.349999999999</v>
      </c>
      <c r="G114" s="11">
        <f>G130</f>
        <v>-13984.110299999998</v>
      </c>
      <c r="H114" s="11">
        <f>H130</f>
        <v>-13306.470637399998</v>
      </c>
      <c r="I114" s="11">
        <f>I130</f>
        <v>-12796.907806889199</v>
      </c>
      <c r="J114" s="11">
        <f>J130</f>
        <v>-13292.642898310933</v>
      </c>
    </row>
    <row r="115" spans="2:10">
      <c r="B115" s="3" t="s">
        <v>62</v>
      </c>
      <c r="F115" s="25">
        <f t="array" ref="F115:J115">-TRANSPOSE(G42:G46)</f>
        <v>-7355</v>
      </c>
      <c r="G115" s="25">
        <v>-8350</v>
      </c>
      <c r="H115" s="25">
        <v>-6080</v>
      </c>
      <c r="I115" s="25">
        <v>-4373</v>
      </c>
      <c r="J115" s="25">
        <v>-9854</v>
      </c>
    </row>
    <row r="116" spans="2:10">
      <c r="B116" s="4" t="s">
        <v>48</v>
      </c>
      <c r="F116" s="23">
        <f>SUM(F111:F115)</f>
        <v>13728.650000000001</v>
      </c>
      <c r="G116" s="23">
        <f>SUM(G111:G115)</f>
        <v>11449.8897</v>
      </c>
      <c r="H116" s="23">
        <f>SUM(H111:H115)</f>
        <v>16246.529362600002</v>
      </c>
      <c r="I116" s="23">
        <f>SUM(I111:I115)</f>
        <v>15604.092193110802</v>
      </c>
      <c r="J116" s="23">
        <f>SUM(J111:J115)</f>
        <v>15531.357101689067</v>
      </c>
    </row>
    <row r="118" spans="2:10">
      <c r="B118" s="3" t="s">
        <v>61</v>
      </c>
      <c r="F118" s="25">
        <f>-F143</f>
        <v>-13728.650000000001</v>
      </c>
      <c r="G118" s="25">
        <f>-G143</f>
        <v>-11449.8897</v>
      </c>
      <c r="H118" s="25">
        <f>-H143</f>
        <v>-16246.529362600002</v>
      </c>
      <c r="I118" s="25">
        <f>-I143</f>
        <v>-15604.092193110802</v>
      </c>
      <c r="J118" s="25">
        <f>-J143</f>
        <v>-15531.357101689067</v>
      </c>
    </row>
    <row r="119" spans="2:10">
      <c r="B119" s="4" t="s">
        <v>60</v>
      </c>
      <c r="F119" s="23">
        <f>SUM(F116:F118)</f>
        <v>0</v>
      </c>
      <c r="G119" s="23">
        <f>SUM(G116:G118)</f>
        <v>0</v>
      </c>
      <c r="H119" s="23">
        <f>SUM(H116:H118)</f>
        <v>0</v>
      </c>
      <c r="I119" s="23">
        <f>SUM(I116:I118)</f>
        <v>0</v>
      </c>
      <c r="J119" s="23">
        <f>SUM(J116:J118)</f>
        <v>0</v>
      </c>
    </row>
    <row r="121" spans="2:10">
      <c r="B121" s="42" t="s">
        <v>59</v>
      </c>
    </row>
    <row r="122" spans="2:10">
      <c r="B122" s="3" t="s">
        <v>58</v>
      </c>
      <c r="F122" s="11">
        <f>$E$107*F119</f>
        <v>0</v>
      </c>
      <c r="G122" s="11">
        <f>$E$107*G119</f>
        <v>0</v>
      </c>
      <c r="H122" s="11">
        <f>$E$107*H119</f>
        <v>0</v>
      </c>
      <c r="I122" s="11">
        <f>$E$107*I119</f>
        <v>0</v>
      </c>
      <c r="J122" s="11">
        <f>$E$107*J119</f>
        <v>0</v>
      </c>
    </row>
    <row r="123" spans="2:10">
      <c r="B123" s="3" t="s">
        <v>57</v>
      </c>
      <c r="F123" s="25">
        <f>F124-F122</f>
        <v>7218.6</v>
      </c>
      <c r="G123" s="25">
        <f>G124-G122</f>
        <v>6914.9100000000008</v>
      </c>
      <c r="H123" s="25">
        <f>H124-H122</f>
        <v>7323.2750000000005</v>
      </c>
      <c r="I123" s="25">
        <f>I124-I122</f>
        <v>6438.4400000000005</v>
      </c>
      <c r="J123" s="25">
        <f>J124-J122</f>
        <v>7913.165</v>
      </c>
    </row>
    <row r="124" spans="2:10">
      <c r="B124" s="4" t="s">
        <v>56</v>
      </c>
      <c r="F124" s="23">
        <f>$E$107*F111</f>
        <v>7218.6</v>
      </c>
      <c r="G124" s="23">
        <f>$E$107*G111</f>
        <v>6914.9100000000008</v>
      </c>
      <c r="H124" s="23">
        <f>$E$107*H111</f>
        <v>7323.2750000000005</v>
      </c>
      <c r="I124" s="23">
        <f>$E$107*I111</f>
        <v>6438.4400000000005</v>
      </c>
      <c r="J124" s="23">
        <f>$E$107*J111</f>
        <v>7913.165</v>
      </c>
    </row>
    <row r="127" spans="2:10">
      <c r="B127" s="42" t="s">
        <v>55</v>
      </c>
      <c r="D127" s="44" t="s">
        <v>54</v>
      </c>
      <c r="E127" s="43">
        <f>G31</f>
        <v>0.14199999999999999</v>
      </c>
    </row>
    <row r="128" spans="2:10">
      <c r="B128" s="3" t="s">
        <v>53</v>
      </c>
      <c r="F128" s="11">
        <f>E131</f>
        <v>85696</v>
      </c>
      <c r="G128" s="11">
        <f>F131</f>
        <v>81874.649999999994</v>
      </c>
      <c r="H128" s="11">
        <f>G131</f>
        <v>84495.539699999994</v>
      </c>
      <c r="I128" s="11">
        <f>H131</f>
        <v>80401.0690626</v>
      </c>
      <c r="J128" s="11">
        <f>I131</f>
        <v>77322.161255710802</v>
      </c>
    </row>
    <row r="129" spans="2:10">
      <c r="B129" s="3" t="s">
        <v>52</v>
      </c>
      <c r="F129" s="11">
        <f t="array" ref="F129:J129">TRANSPOSE(G16:G20)</f>
        <v>9729</v>
      </c>
      <c r="G129" s="11">
        <v>16605</v>
      </c>
      <c r="H129" s="11">
        <v>9212</v>
      </c>
      <c r="I129" s="11">
        <v>9718</v>
      </c>
      <c r="J129" s="11">
        <v>16288</v>
      </c>
    </row>
    <row r="130" spans="2:10">
      <c r="B130" s="3" t="s">
        <v>51</v>
      </c>
      <c r="E130" s="2"/>
      <c r="F130" s="25">
        <f>-$E$127*SUM(F128:F129)</f>
        <v>-13550.349999999999</v>
      </c>
      <c r="G130" s="25">
        <f>-$E$127*SUM(G128:G129)</f>
        <v>-13984.110299999998</v>
      </c>
      <c r="H130" s="25">
        <f>-$E$127*SUM(H128:H129)</f>
        <v>-13306.470637399998</v>
      </c>
      <c r="I130" s="25">
        <f>-$E$127*SUM(I128:I129)</f>
        <v>-12796.907806889199</v>
      </c>
      <c r="J130" s="25">
        <f>-$E$127*SUM(J128:J129)</f>
        <v>-13292.642898310933</v>
      </c>
    </row>
    <row r="131" spans="2:10">
      <c r="B131" s="4" t="s">
        <v>50</v>
      </c>
      <c r="E131" s="23">
        <f>G29</f>
        <v>85696</v>
      </c>
      <c r="F131" s="23">
        <f>SUM(F128:F130)</f>
        <v>81874.649999999994</v>
      </c>
      <c r="G131" s="23">
        <f>SUM(G128:G130)</f>
        <v>84495.539699999994</v>
      </c>
      <c r="H131" s="23">
        <f>SUM(H128:H130)</f>
        <v>80401.0690626</v>
      </c>
      <c r="I131" s="23">
        <f>SUM(I128:I130)</f>
        <v>77322.161255710802</v>
      </c>
      <c r="J131" s="23">
        <f>SUM(J128:J130)</f>
        <v>80317.518357399866</v>
      </c>
    </row>
    <row r="134" spans="2:10">
      <c r="B134" s="42" t="s">
        <v>49</v>
      </c>
    </row>
    <row r="135" spans="2:10">
      <c r="B135" s="4" t="s">
        <v>48</v>
      </c>
      <c r="F135" s="23">
        <f>F116</f>
        <v>13728.650000000001</v>
      </c>
      <c r="G135" s="23">
        <f>G116</f>
        <v>11449.8897</v>
      </c>
      <c r="H135" s="23">
        <f>H116</f>
        <v>16246.529362600002</v>
      </c>
      <c r="I135" s="23">
        <f>I116</f>
        <v>15604.092193110802</v>
      </c>
      <c r="J135" s="23">
        <f>J116</f>
        <v>15531.357101689067</v>
      </c>
    </row>
    <row r="136" spans="2:10">
      <c r="B136" s="41" t="s">
        <v>47</v>
      </c>
    </row>
    <row r="137" spans="2:10" ht="14.4">
      <c r="B137" s="40">
        <f t="array" ref="B137:B141">TRANSPOSE(F107:J107)</f>
        <v>2019</v>
      </c>
      <c r="C137" s="39"/>
      <c r="D137" s="39"/>
      <c r="E137" s="38">
        <f t="shared" ref="E137:E142" si="4">G49</f>
        <v>24360</v>
      </c>
      <c r="F137" s="11">
        <f>MIN(E146,F$135-SUM(F$136:F136))</f>
        <v>13728.650000000001</v>
      </c>
      <c r="G137" s="11">
        <f>MIN(F146,G$135-SUM(G$136:G136))</f>
        <v>0</v>
      </c>
      <c r="H137" s="11">
        <f>MIN(G146,H$135-SUM(H$136:H136))</f>
        <v>0</v>
      </c>
      <c r="I137" s="11">
        <f>MIN(H146,I$135-SUM(I$136:I136))</f>
        <v>0</v>
      </c>
      <c r="J137" s="11">
        <f>MIN(I146,J$135-SUM(J$136:J136))</f>
        <v>0</v>
      </c>
    </row>
    <row r="138" spans="2:10" ht="14.4">
      <c r="B138" s="37">
        <v>2020</v>
      </c>
      <c r="C138" s="36"/>
      <c r="D138" s="36"/>
      <c r="E138" s="35">
        <f t="shared" si="4"/>
        <v>7508</v>
      </c>
      <c r="F138" s="11">
        <f>MIN(E147,F$135-SUM(F$136:F137))</f>
        <v>0</v>
      </c>
      <c r="G138" s="11">
        <f>MIN(F147,G$135-SUM(G$136:G137))</f>
        <v>7508</v>
      </c>
      <c r="H138" s="11">
        <f>MIN(G147,H$135-SUM(H$136:H137))</f>
        <v>0</v>
      </c>
      <c r="I138" s="11">
        <f>MIN(H147,I$135-SUM(I$136:I137))</f>
        <v>0</v>
      </c>
      <c r="J138" s="11">
        <f>MIN(I147,J$135-SUM(J$136:J137))</f>
        <v>0</v>
      </c>
    </row>
    <row r="139" spans="2:10" ht="14.4">
      <c r="B139" s="37">
        <v>2021</v>
      </c>
      <c r="C139" s="36"/>
      <c r="D139" s="36"/>
      <c r="E139" s="35">
        <f t="shared" si="4"/>
        <v>5390</v>
      </c>
      <c r="F139" s="11">
        <f>MIN(E148,F$135-SUM(F$136:F138))</f>
        <v>0</v>
      </c>
      <c r="G139" s="11">
        <f>MIN(F148,G$135-SUM(G$136:G138))</f>
        <v>3941.8896999999997</v>
      </c>
      <c r="H139" s="11">
        <f>MIN(G148,H$135-SUM(H$136:H138))</f>
        <v>1448.1103000000003</v>
      </c>
      <c r="I139" s="11">
        <f>MIN(H148,I$135-SUM(I$136:I138))</f>
        <v>0</v>
      </c>
      <c r="J139" s="11">
        <f>MIN(I148,J$135-SUM(J$136:J138))</f>
        <v>0</v>
      </c>
    </row>
    <row r="140" spans="2:10" ht="14.4">
      <c r="B140" s="37">
        <v>2022</v>
      </c>
      <c r="C140" s="36"/>
      <c r="D140" s="36"/>
      <c r="E140" s="35">
        <f t="shared" si="4"/>
        <v>9655</v>
      </c>
      <c r="F140" s="11">
        <f>MIN(E149,F$135-SUM(F$136:F139))</f>
        <v>0</v>
      </c>
      <c r="G140" s="11">
        <f>MIN(F149,G$135-SUM(G$136:G139))</f>
        <v>0</v>
      </c>
      <c r="H140" s="11">
        <f>MIN(G149,H$135-SUM(H$136:H139))</f>
        <v>9655</v>
      </c>
      <c r="I140" s="11">
        <f>MIN(H149,I$135-SUM(I$136:I139))</f>
        <v>0</v>
      </c>
      <c r="J140" s="11">
        <f>MIN(I149,J$135-SUM(J$136:J139))</f>
        <v>0</v>
      </c>
    </row>
    <row r="141" spans="2:10" ht="14.4">
      <c r="B141" s="37">
        <v>2023</v>
      </c>
      <c r="C141" s="36"/>
      <c r="D141" s="36"/>
      <c r="E141" s="35">
        <f t="shared" si="4"/>
        <v>16897</v>
      </c>
      <c r="F141" s="11">
        <f>MIN(E150,F$135-SUM(F$136:F140))</f>
        <v>0</v>
      </c>
      <c r="G141" s="11">
        <f>MIN(F150,G$135-SUM(G$136:G140))</f>
        <v>0</v>
      </c>
      <c r="H141" s="11">
        <f>MIN(G150,H$135-SUM(H$136:H140))</f>
        <v>5143.4190626000018</v>
      </c>
      <c r="I141" s="11">
        <f>MIN(H150,I$135-SUM(I$136:I140))</f>
        <v>11753.580937399998</v>
      </c>
      <c r="J141" s="11">
        <f>MIN(I150,J$135-SUM(J$136:J140))</f>
        <v>0</v>
      </c>
    </row>
    <row r="142" spans="2:10" ht="14.4">
      <c r="B142" s="34" t="s">
        <v>0</v>
      </c>
      <c r="C142" s="33"/>
      <c r="D142" s="33"/>
      <c r="E142" s="32">
        <f t="shared" si="4"/>
        <v>21411</v>
      </c>
      <c r="F142" s="25">
        <f>MIN(E151,F$135-SUM(F$136:F141))</f>
        <v>0</v>
      </c>
      <c r="G142" s="25">
        <f>MIN(F151,G$135-SUM(G$136:G141))</f>
        <v>0</v>
      </c>
      <c r="H142" s="25">
        <f>MIN(G151,H$135-SUM(H$136:H141))</f>
        <v>0</v>
      </c>
      <c r="I142" s="25">
        <f>MIN(H151,I$135-SUM(I$136:I141))</f>
        <v>3850.5112557108041</v>
      </c>
      <c r="J142" s="25">
        <f>MIN(I151,J$135-SUM(J$136:J141))</f>
        <v>15531.357101689067</v>
      </c>
    </row>
    <row r="143" spans="2:10">
      <c r="B143" s="8" t="s">
        <v>46</v>
      </c>
      <c r="E143" s="11"/>
      <c r="F143" s="23">
        <f>SUM(F137:F142)</f>
        <v>13728.650000000001</v>
      </c>
      <c r="G143" s="23">
        <f>SUM(G137:G142)</f>
        <v>11449.8897</v>
      </c>
      <c r="H143" s="23">
        <f>SUM(H137:H142)</f>
        <v>16246.529362600002</v>
      </c>
      <c r="I143" s="23">
        <f>SUM(I137:I142)</f>
        <v>15604.092193110802</v>
      </c>
      <c r="J143" s="23">
        <f>SUM(J137:J142)</f>
        <v>15531.357101689067</v>
      </c>
    </row>
    <row r="145" spans="2:10">
      <c r="B145" s="41" t="s">
        <v>45</v>
      </c>
    </row>
    <row r="146" spans="2:10" ht="14.4">
      <c r="B146" s="40">
        <f t="shared" ref="B146:B151" si="5">B137</f>
        <v>2019</v>
      </c>
      <c r="C146" s="39"/>
      <c r="D146" s="39"/>
      <c r="E146" s="38">
        <f t="shared" ref="E146:E151" si="6">E137</f>
        <v>24360</v>
      </c>
      <c r="F146" s="11">
        <f t="shared" ref="F146:J151" si="7">IF($B146&lt;=F$59,0,E146-F137)</f>
        <v>0</v>
      </c>
      <c r="G146" s="11">
        <f t="shared" si="7"/>
        <v>0</v>
      </c>
      <c r="H146" s="11">
        <f t="shared" si="7"/>
        <v>0</v>
      </c>
      <c r="I146" s="11">
        <f t="shared" si="7"/>
        <v>0</v>
      </c>
      <c r="J146" s="11">
        <f t="shared" si="7"/>
        <v>0</v>
      </c>
    </row>
    <row r="147" spans="2:10" ht="14.4">
      <c r="B147" s="37">
        <f t="shared" si="5"/>
        <v>2020</v>
      </c>
      <c r="C147" s="36"/>
      <c r="D147" s="36"/>
      <c r="E147" s="35">
        <f t="shared" si="6"/>
        <v>7508</v>
      </c>
      <c r="F147" s="11">
        <f t="shared" si="7"/>
        <v>7508</v>
      </c>
      <c r="G147" s="11">
        <f t="shared" si="7"/>
        <v>0</v>
      </c>
      <c r="H147" s="11">
        <f t="shared" si="7"/>
        <v>0</v>
      </c>
      <c r="I147" s="11">
        <f t="shared" si="7"/>
        <v>0</v>
      </c>
      <c r="J147" s="11">
        <f t="shared" si="7"/>
        <v>0</v>
      </c>
    </row>
    <row r="148" spans="2:10" ht="14.4">
      <c r="B148" s="37">
        <f t="shared" si="5"/>
        <v>2021</v>
      </c>
      <c r="C148" s="36"/>
      <c r="D148" s="36"/>
      <c r="E148" s="35">
        <f t="shared" si="6"/>
        <v>5390</v>
      </c>
      <c r="F148" s="11">
        <f t="shared" si="7"/>
        <v>5390</v>
      </c>
      <c r="G148" s="11">
        <f t="shared" si="7"/>
        <v>1448.1103000000003</v>
      </c>
      <c r="H148" s="11">
        <f t="shared" si="7"/>
        <v>0</v>
      </c>
      <c r="I148" s="11">
        <f t="shared" si="7"/>
        <v>0</v>
      </c>
      <c r="J148" s="11">
        <f t="shared" si="7"/>
        <v>0</v>
      </c>
    </row>
    <row r="149" spans="2:10" ht="14.4">
      <c r="B149" s="37">
        <f t="shared" si="5"/>
        <v>2022</v>
      </c>
      <c r="C149" s="36"/>
      <c r="D149" s="36"/>
      <c r="E149" s="35">
        <f t="shared" si="6"/>
        <v>9655</v>
      </c>
      <c r="F149" s="11">
        <f t="shared" si="7"/>
        <v>9655</v>
      </c>
      <c r="G149" s="11">
        <f t="shared" si="7"/>
        <v>9655</v>
      </c>
      <c r="H149" s="11">
        <f t="shared" si="7"/>
        <v>0</v>
      </c>
      <c r="I149" s="11">
        <f t="shared" si="7"/>
        <v>0</v>
      </c>
      <c r="J149" s="11">
        <f t="shared" si="7"/>
        <v>0</v>
      </c>
    </row>
    <row r="150" spans="2:10" ht="14.4">
      <c r="B150" s="37">
        <f t="shared" si="5"/>
        <v>2023</v>
      </c>
      <c r="C150" s="36"/>
      <c r="D150" s="36"/>
      <c r="E150" s="35">
        <f t="shared" si="6"/>
        <v>16897</v>
      </c>
      <c r="F150" s="11">
        <f t="shared" si="7"/>
        <v>16897</v>
      </c>
      <c r="G150" s="11">
        <f t="shared" si="7"/>
        <v>16897</v>
      </c>
      <c r="H150" s="11">
        <f t="shared" si="7"/>
        <v>11753.580937399998</v>
      </c>
      <c r="I150" s="11">
        <f t="shared" si="7"/>
        <v>0</v>
      </c>
      <c r="J150" s="11">
        <f t="shared" si="7"/>
        <v>0</v>
      </c>
    </row>
    <row r="151" spans="2:10" ht="14.4">
      <c r="B151" s="34" t="str">
        <f t="shared" si="5"/>
        <v>Expiring Thereafter</v>
      </c>
      <c r="C151" s="33"/>
      <c r="D151" s="33"/>
      <c r="E151" s="32">
        <f t="shared" si="6"/>
        <v>21411</v>
      </c>
      <c r="F151" s="31">
        <f t="shared" si="7"/>
        <v>21411</v>
      </c>
      <c r="G151" s="25">
        <f t="shared" si="7"/>
        <v>21411</v>
      </c>
      <c r="H151" s="25">
        <f t="shared" si="7"/>
        <v>21411</v>
      </c>
      <c r="I151" s="25">
        <f t="shared" si="7"/>
        <v>17560.488744289196</v>
      </c>
      <c r="J151" s="25">
        <f t="shared" si="7"/>
        <v>2029.1316426001285</v>
      </c>
    </row>
    <row r="152" spans="2:10">
      <c r="B152" s="8" t="s">
        <v>44</v>
      </c>
      <c r="F152" s="23">
        <f>SUM(F146:F151)</f>
        <v>60861</v>
      </c>
      <c r="G152" s="23">
        <f>SUM(G146:G151)</f>
        <v>49411.1103</v>
      </c>
      <c r="H152" s="23">
        <f>SUM(H146:H151)</f>
        <v>33164.580937399995</v>
      </c>
      <c r="I152" s="23">
        <f>SUM(I146:I151)</f>
        <v>17560.488744289196</v>
      </c>
      <c r="J152" s="23">
        <f>SUM(J146:J151)</f>
        <v>2029.1316426001285</v>
      </c>
    </row>
    <row r="155" spans="2:10">
      <c r="B155" s="46" t="s">
        <v>71</v>
      </c>
      <c r="D155" s="44" t="s">
        <v>69</v>
      </c>
      <c r="E155" s="43">
        <f>H5</f>
        <v>0.31</v>
      </c>
      <c r="F155" s="45">
        <f>F107</f>
        <v>2019</v>
      </c>
      <c r="G155" s="28">
        <f>G107</f>
        <v>2020</v>
      </c>
      <c r="H155" s="28">
        <f>H107</f>
        <v>2021</v>
      </c>
      <c r="I155" s="28">
        <f>I107</f>
        <v>2022</v>
      </c>
      <c r="J155" s="28">
        <f>J107</f>
        <v>2023</v>
      </c>
    </row>
    <row r="156" spans="2:10">
      <c r="B156" s="42" t="s">
        <v>68</v>
      </c>
    </row>
    <row r="157" spans="2:10">
      <c r="B157" s="3" t="s">
        <v>67</v>
      </c>
      <c r="F157" s="11">
        <f t="array" ref="F157:J157">TRANSPOSE(H9:H13)</f>
        <v>265571</v>
      </c>
      <c r="G157" s="11">
        <v>208746</v>
      </c>
      <c r="H157" s="11">
        <v>270027</v>
      </c>
      <c r="I157" s="11">
        <v>267759</v>
      </c>
      <c r="J157" s="11">
        <v>240888</v>
      </c>
    </row>
    <row r="158" spans="2:10">
      <c r="B158" s="3" t="s">
        <v>66</v>
      </c>
      <c r="F158" s="25">
        <f t="array" ref="F158:J158">TRANSPOSE(H35:H39)</f>
        <v>0</v>
      </c>
      <c r="G158" s="25">
        <v>88951</v>
      </c>
      <c r="H158" s="25">
        <v>0</v>
      </c>
      <c r="I158" s="25">
        <v>0</v>
      </c>
      <c r="J158" s="25">
        <v>0</v>
      </c>
    </row>
    <row r="159" spans="2:10">
      <c r="B159" s="4" t="s">
        <v>65</v>
      </c>
      <c r="F159" s="23">
        <f>SUM(F157:F158)</f>
        <v>265571</v>
      </c>
      <c r="G159" s="23">
        <f>SUM(G157:G158)</f>
        <v>297697</v>
      </c>
      <c r="H159" s="23">
        <f>SUM(H157:H158)</f>
        <v>270027</v>
      </c>
      <c r="I159" s="23">
        <f>SUM(I157:I158)</f>
        <v>267759</v>
      </c>
      <c r="J159" s="23">
        <f>SUM(J157:J158)</f>
        <v>240888</v>
      </c>
    </row>
    <row r="161" spans="2:10">
      <c r="B161" s="3" t="s">
        <v>64</v>
      </c>
      <c r="F161" s="11">
        <f t="array" ref="F161:J161">TRANSPOSE(H23:H27)</f>
        <v>66127</v>
      </c>
      <c r="G161" s="11">
        <v>69433</v>
      </c>
      <c r="H161" s="11">
        <v>72905</v>
      </c>
      <c r="I161" s="11">
        <v>76550</v>
      </c>
      <c r="J161" s="11">
        <v>80378</v>
      </c>
    </row>
    <row r="162" spans="2:10">
      <c r="B162" s="3" t="s">
        <v>63</v>
      </c>
      <c r="F162" s="11">
        <f>F178</f>
        <v>-119636.71500000001</v>
      </c>
      <c r="G162" s="11">
        <f>G178</f>
        <v>-113144.012025</v>
      </c>
      <c r="H162" s="11">
        <f>H178</f>
        <v>-105613.90504087502</v>
      </c>
      <c r="I162" s="11">
        <f>I178</f>
        <v>-101441.73070913063</v>
      </c>
      <c r="J162" s="11">
        <f>J178</f>
        <v>-97952.685142124072</v>
      </c>
    </row>
    <row r="163" spans="2:10">
      <c r="B163" s="3" t="s">
        <v>62</v>
      </c>
      <c r="F163" s="25">
        <f t="array" ref="F163:J163">-TRANSPOSE(H42:H46)</f>
        <v>-69048</v>
      </c>
      <c r="G163" s="25">
        <v>-50099</v>
      </c>
      <c r="H163" s="25">
        <v>-62106</v>
      </c>
      <c r="I163" s="25">
        <v>-26776</v>
      </c>
      <c r="J163" s="25">
        <v>-24089</v>
      </c>
    </row>
    <row r="164" spans="2:10">
      <c r="B164" s="4" t="s">
        <v>48</v>
      </c>
      <c r="F164" s="23">
        <f>SUM(F159:F163)</f>
        <v>143013.28499999997</v>
      </c>
      <c r="G164" s="23">
        <f>SUM(G159:G163)</f>
        <v>203886.987975</v>
      </c>
      <c r="H164" s="23">
        <f>SUM(H159:H163)</f>
        <v>175212.09495912498</v>
      </c>
      <c r="I164" s="23">
        <f>SUM(I159:I163)</f>
        <v>216091.26929086936</v>
      </c>
      <c r="J164" s="23">
        <f>SUM(J159:J163)</f>
        <v>199224.31485787593</v>
      </c>
    </row>
    <row r="166" spans="2:10">
      <c r="B166" s="3" t="s">
        <v>61</v>
      </c>
      <c r="F166" s="25">
        <f>-F191</f>
        <v>-143013.28499999997</v>
      </c>
      <c r="G166" s="25">
        <f>-G191</f>
        <v>-23454</v>
      </c>
      <c r="H166" s="25">
        <f>-H191</f>
        <v>0</v>
      </c>
      <c r="I166" s="25">
        <f>-I191</f>
        <v>0</v>
      </c>
      <c r="J166" s="25">
        <f>-J191</f>
        <v>0</v>
      </c>
    </row>
    <row r="167" spans="2:10">
      <c r="B167" s="4" t="s">
        <v>60</v>
      </c>
      <c r="F167" s="23">
        <f>SUM(F164:F166)</f>
        <v>0</v>
      </c>
      <c r="G167" s="23">
        <f>SUM(G164:G166)</f>
        <v>180432.987975</v>
      </c>
      <c r="H167" s="23">
        <f>SUM(H164:H166)</f>
        <v>175212.09495912498</v>
      </c>
      <c r="I167" s="23">
        <f>SUM(I164:I166)</f>
        <v>216091.26929086936</v>
      </c>
      <c r="J167" s="23">
        <f>SUM(J164:J166)</f>
        <v>199224.31485787593</v>
      </c>
    </row>
    <row r="169" spans="2:10">
      <c r="B169" s="42" t="s">
        <v>59</v>
      </c>
    </row>
    <row r="170" spans="2:10">
      <c r="B170" s="3" t="s">
        <v>58</v>
      </c>
      <c r="F170" s="11">
        <f>$E$155*F167</f>
        <v>0</v>
      </c>
      <c r="G170" s="11">
        <f>$E$155*G167</f>
        <v>55934.226272250002</v>
      </c>
      <c r="H170" s="11">
        <f>$E$155*H167</f>
        <v>54315.749437328741</v>
      </c>
      <c r="I170" s="11">
        <f>$E$155*I167</f>
        <v>66988.293480169494</v>
      </c>
      <c r="J170" s="11">
        <f>$E$155*J167</f>
        <v>61759.537605941536</v>
      </c>
    </row>
    <row r="171" spans="2:10">
      <c r="B171" s="3" t="s">
        <v>57</v>
      </c>
      <c r="F171" s="25">
        <f>F172-F170</f>
        <v>82327.009999999995</v>
      </c>
      <c r="G171" s="25">
        <f>G172-G170</f>
        <v>36351.843727749991</v>
      </c>
      <c r="H171" s="25">
        <f>H172-H170</f>
        <v>29392.620562671254</v>
      </c>
      <c r="I171" s="25">
        <f>I172-I170</f>
        <v>16016.9965198305</v>
      </c>
      <c r="J171" s="25">
        <f>J172-J170</f>
        <v>12915.742394058463</v>
      </c>
    </row>
    <row r="172" spans="2:10">
      <c r="B172" s="4" t="s">
        <v>56</v>
      </c>
      <c r="F172" s="23">
        <f>$E$155*F159</f>
        <v>82327.009999999995</v>
      </c>
      <c r="G172" s="23">
        <f>$E$155*G159</f>
        <v>92286.069999999992</v>
      </c>
      <c r="H172" s="23">
        <f>$E$155*H159</f>
        <v>83708.37</v>
      </c>
      <c r="I172" s="23">
        <f>$E$155*I159</f>
        <v>83005.289999999994</v>
      </c>
      <c r="J172" s="23">
        <f>$E$155*J159</f>
        <v>74675.28</v>
      </c>
    </row>
    <row r="175" spans="2:10">
      <c r="B175" s="42" t="s">
        <v>55</v>
      </c>
      <c r="D175" s="44" t="s">
        <v>54</v>
      </c>
      <c r="E175" s="43">
        <f>H31</f>
        <v>0.16500000000000001</v>
      </c>
    </row>
    <row r="176" spans="2:10">
      <c r="B176" s="3" t="s">
        <v>53</v>
      </c>
      <c r="F176" s="11">
        <f>E179</f>
        <v>645400</v>
      </c>
      <c r="G176" s="11">
        <f>F179</f>
        <v>605434.28500000003</v>
      </c>
      <c r="H176" s="11">
        <f>G179</f>
        <v>572577.27297500009</v>
      </c>
      <c r="I176" s="11">
        <f>H179</f>
        <v>534470.36793412501</v>
      </c>
      <c r="J176" s="11">
        <f>I179</f>
        <v>513356.63722499437</v>
      </c>
    </row>
    <row r="177" spans="2:10">
      <c r="B177" s="3" t="s">
        <v>52</v>
      </c>
      <c r="F177" s="11">
        <f t="array" ref="F177:J177">TRANSPOSE(H16:H20)</f>
        <v>79671</v>
      </c>
      <c r="G177" s="11">
        <v>80287</v>
      </c>
      <c r="H177" s="11">
        <v>67507</v>
      </c>
      <c r="I177" s="11">
        <v>80328</v>
      </c>
      <c r="J177" s="11">
        <v>80296</v>
      </c>
    </row>
    <row r="178" spans="2:10">
      <c r="B178" s="3" t="s">
        <v>51</v>
      </c>
      <c r="E178" s="2"/>
      <c r="F178" s="25">
        <f>-$E$175*SUM(F176:F177)</f>
        <v>-119636.71500000001</v>
      </c>
      <c r="G178" s="47">
        <f>-$E$175*SUM(G176:G177)</f>
        <v>-113144.012025</v>
      </c>
      <c r="H178" s="47">
        <f>-$E$175*SUM(H176:H177)</f>
        <v>-105613.90504087502</v>
      </c>
      <c r="I178" s="47">
        <f>-$E$175*SUM(I176:I177)</f>
        <v>-101441.73070913063</v>
      </c>
      <c r="J178" s="47">
        <f>-$E$175*SUM(J176:J177)</f>
        <v>-97952.685142124072</v>
      </c>
    </row>
    <row r="179" spans="2:10">
      <c r="B179" s="4" t="s">
        <v>50</v>
      </c>
      <c r="E179" s="23">
        <f>H29</f>
        <v>645400</v>
      </c>
      <c r="F179" s="23">
        <f>SUM(F176:F178)</f>
        <v>605434.28500000003</v>
      </c>
      <c r="G179" s="23">
        <f>SUM(G176:G178)</f>
        <v>572577.27297500009</v>
      </c>
      <c r="H179" s="23">
        <f>SUM(H176:H178)</f>
        <v>534470.36793412501</v>
      </c>
      <c r="I179" s="23">
        <f>SUM(I176:I178)</f>
        <v>513356.63722499437</v>
      </c>
      <c r="J179" s="23">
        <f>SUM(J176:J178)</f>
        <v>495699.9520828703</v>
      </c>
    </row>
    <row r="182" spans="2:10">
      <c r="B182" s="42" t="s">
        <v>49</v>
      </c>
    </row>
    <row r="183" spans="2:10">
      <c r="B183" s="4" t="s">
        <v>48</v>
      </c>
      <c r="F183" s="23">
        <f>F164</f>
        <v>143013.28499999997</v>
      </c>
      <c r="G183" s="23">
        <f>G164</f>
        <v>203886.987975</v>
      </c>
      <c r="H183" s="23">
        <f>H164</f>
        <v>175212.09495912498</v>
      </c>
      <c r="I183" s="23">
        <f>I164</f>
        <v>216091.26929086936</v>
      </c>
      <c r="J183" s="23">
        <f>J164</f>
        <v>199224.31485787593</v>
      </c>
    </row>
    <row r="184" spans="2:10">
      <c r="B184" s="41" t="s">
        <v>47</v>
      </c>
    </row>
    <row r="185" spans="2:10" ht="14.4">
      <c r="B185" s="40">
        <f t="array" ref="B185:B189">TRANSPOSE(F155:J155)</f>
        <v>2019</v>
      </c>
      <c r="C185" s="39"/>
      <c r="D185" s="39"/>
      <c r="E185" s="38">
        <f t="shared" ref="E185:E190" si="8">H49</f>
        <v>343423</v>
      </c>
      <c r="F185" s="11">
        <f>MIN(E194,F$183-SUM(F$184:F184))</f>
        <v>143013.28499999997</v>
      </c>
      <c r="G185" s="11">
        <f>MIN(F194,G$183-SUM(G$184:G184))</f>
        <v>0</v>
      </c>
      <c r="H185" s="11">
        <f>MIN(G194,H$183-SUM(H$184:H184))</f>
        <v>0</v>
      </c>
      <c r="I185" s="11">
        <f>MIN(H194,I$183-SUM(I$184:I184))</f>
        <v>0</v>
      </c>
      <c r="J185" s="11">
        <f>MIN(I194,J$183-SUM(J$184:J184))</f>
        <v>0</v>
      </c>
    </row>
    <row r="186" spans="2:10" ht="14.4">
      <c r="B186" s="37">
        <v>2020</v>
      </c>
      <c r="C186" s="36"/>
      <c r="D186" s="36"/>
      <c r="E186" s="35">
        <f t="shared" si="8"/>
        <v>23454</v>
      </c>
      <c r="F186" s="11">
        <f>MIN(E195,F$183-SUM(F$184:F185))</f>
        <v>0</v>
      </c>
      <c r="G186" s="11">
        <f>MIN(F195,G$183-SUM(G$184:G185))</f>
        <v>23454</v>
      </c>
      <c r="H186" s="11">
        <f>MIN(G195,H$183-SUM(H$184:H185))</f>
        <v>0</v>
      </c>
      <c r="I186" s="11">
        <f>MIN(H195,I$183-SUM(I$184:I185))</f>
        <v>0</v>
      </c>
      <c r="J186" s="11">
        <f>MIN(I195,J$183-SUM(J$184:J185))</f>
        <v>0</v>
      </c>
    </row>
    <row r="187" spans="2:10" ht="14.4">
      <c r="B187" s="37">
        <v>2021</v>
      </c>
      <c r="C187" s="36"/>
      <c r="D187" s="36"/>
      <c r="E187" s="35">
        <f t="shared" si="8"/>
        <v>0</v>
      </c>
      <c r="F187" s="11">
        <f>MIN(E196,F$183-SUM(F$184:F186))</f>
        <v>0</v>
      </c>
      <c r="G187" s="11">
        <f>MIN(F196,G$183-SUM(G$184:G186))</f>
        <v>0</v>
      </c>
      <c r="H187" s="11">
        <f>MIN(G196,H$183-SUM(H$184:H186))</f>
        <v>0</v>
      </c>
      <c r="I187" s="11">
        <f>MIN(H196,I$183-SUM(I$184:I186))</f>
        <v>0</v>
      </c>
      <c r="J187" s="11">
        <f>MIN(I196,J$183-SUM(J$184:J186))</f>
        <v>0</v>
      </c>
    </row>
    <row r="188" spans="2:10" ht="14.4">
      <c r="B188" s="37">
        <v>2022</v>
      </c>
      <c r="C188" s="36"/>
      <c r="D188" s="36"/>
      <c r="E188" s="35">
        <f t="shared" si="8"/>
        <v>0</v>
      </c>
      <c r="F188" s="11">
        <f>MIN(E197,F$183-SUM(F$184:F187))</f>
        <v>0</v>
      </c>
      <c r="G188" s="11">
        <f>MIN(F197,G$183-SUM(G$184:G187))</f>
        <v>0</v>
      </c>
      <c r="H188" s="11">
        <f>MIN(G197,H$183-SUM(H$184:H187))</f>
        <v>0</v>
      </c>
      <c r="I188" s="11">
        <f>MIN(H197,I$183-SUM(I$184:I187))</f>
        <v>0</v>
      </c>
      <c r="J188" s="11">
        <f>MIN(I197,J$183-SUM(J$184:J187))</f>
        <v>0</v>
      </c>
    </row>
    <row r="189" spans="2:10" ht="14.4">
      <c r="B189" s="37">
        <v>2023</v>
      </c>
      <c r="C189" s="36"/>
      <c r="D189" s="36"/>
      <c r="E189" s="35">
        <f t="shared" si="8"/>
        <v>0</v>
      </c>
      <c r="F189" s="11">
        <f>MIN(E198,F$183-SUM(F$184:F188))</f>
        <v>0</v>
      </c>
      <c r="G189" s="11">
        <f>MIN(F198,G$183-SUM(G$184:G188))</f>
        <v>0</v>
      </c>
      <c r="H189" s="11">
        <f>MIN(G198,H$183-SUM(H$184:H188))</f>
        <v>0</v>
      </c>
      <c r="I189" s="11">
        <f>MIN(H198,I$183-SUM(I$184:I188))</f>
        <v>0</v>
      </c>
      <c r="J189" s="11">
        <f>MIN(I198,J$183-SUM(J$184:J188))</f>
        <v>0</v>
      </c>
    </row>
    <row r="190" spans="2:10" ht="14.4">
      <c r="B190" s="34" t="s">
        <v>0</v>
      </c>
      <c r="C190" s="33"/>
      <c r="D190" s="33"/>
      <c r="E190" s="32">
        <f t="shared" si="8"/>
        <v>0</v>
      </c>
      <c r="F190" s="25">
        <f>MIN(E199,F$183-SUM(F$184:F189))</f>
        <v>0</v>
      </c>
      <c r="G190" s="25">
        <f>MIN(F199,G$183-SUM(G$184:G189))</f>
        <v>0</v>
      </c>
      <c r="H190" s="25">
        <f>MIN(G199,H$183-SUM(H$184:H189))</f>
        <v>0</v>
      </c>
      <c r="I190" s="25">
        <f>MIN(H199,I$183-SUM(I$184:I189))</f>
        <v>0</v>
      </c>
      <c r="J190" s="25">
        <f>MIN(I199,J$183-SUM(J$184:J189))</f>
        <v>0</v>
      </c>
    </row>
    <row r="191" spans="2:10">
      <c r="B191" s="8" t="s">
        <v>46</v>
      </c>
      <c r="E191" s="11"/>
      <c r="F191" s="23">
        <f>SUM(F185:F190)</f>
        <v>143013.28499999997</v>
      </c>
      <c r="G191" s="23">
        <f>SUM(G185:G190)</f>
        <v>23454</v>
      </c>
      <c r="H191" s="23">
        <f>SUM(H185:H190)</f>
        <v>0</v>
      </c>
      <c r="I191" s="23">
        <f>SUM(I185:I190)</f>
        <v>0</v>
      </c>
      <c r="J191" s="23">
        <f>SUM(J185:J190)</f>
        <v>0</v>
      </c>
    </row>
    <row r="193" spans="2:10">
      <c r="B193" s="41" t="s">
        <v>45</v>
      </c>
    </row>
    <row r="194" spans="2:10" ht="14.4">
      <c r="B194" s="40">
        <f t="shared" ref="B194:B199" si="9">B185</f>
        <v>2019</v>
      </c>
      <c r="C194" s="39"/>
      <c r="D194" s="39"/>
      <c r="E194" s="38">
        <f t="shared" ref="E194:E199" si="10">E185</f>
        <v>343423</v>
      </c>
      <c r="F194" s="11">
        <f t="shared" ref="F194:J199" si="11">IF($B194&lt;=F$59,0,E194-F185)</f>
        <v>0</v>
      </c>
      <c r="G194" s="11">
        <f t="shared" si="11"/>
        <v>0</v>
      </c>
      <c r="H194" s="11">
        <f t="shared" si="11"/>
        <v>0</v>
      </c>
      <c r="I194" s="11">
        <f t="shared" si="11"/>
        <v>0</v>
      </c>
      <c r="J194" s="11">
        <f t="shared" si="11"/>
        <v>0</v>
      </c>
    </row>
    <row r="195" spans="2:10" ht="14.4">
      <c r="B195" s="37">
        <f t="shared" si="9"/>
        <v>2020</v>
      </c>
      <c r="C195" s="36"/>
      <c r="D195" s="36"/>
      <c r="E195" s="35">
        <f t="shared" si="10"/>
        <v>23454</v>
      </c>
      <c r="F195" s="11">
        <f t="shared" si="11"/>
        <v>23454</v>
      </c>
      <c r="G195" s="11">
        <f t="shared" si="11"/>
        <v>0</v>
      </c>
      <c r="H195" s="11">
        <f t="shared" si="11"/>
        <v>0</v>
      </c>
      <c r="I195" s="11">
        <f t="shared" si="11"/>
        <v>0</v>
      </c>
      <c r="J195" s="11">
        <f t="shared" si="11"/>
        <v>0</v>
      </c>
    </row>
    <row r="196" spans="2:10" ht="14.4">
      <c r="B196" s="37">
        <f t="shared" si="9"/>
        <v>2021</v>
      </c>
      <c r="C196" s="36"/>
      <c r="D196" s="36"/>
      <c r="E196" s="35">
        <f t="shared" si="10"/>
        <v>0</v>
      </c>
      <c r="F196" s="11">
        <f t="shared" si="11"/>
        <v>0</v>
      </c>
      <c r="G196" s="11">
        <f t="shared" si="11"/>
        <v>0</v>
      </c>
      <c r="H196" s="11">
        <f t="shared" si="11"/>
        <v>0</v>
      </c>
      <c r="I196" s="11">
        <f t="shared" si="11"/>
        <v>0</v>
      </c>
      <c r="J196" s="11">
        <f t="shared" si="11"/>
        <v>0</v>
      </c>
    </row>
    <row r="197" spans="2:10" ht="14.4">
      <c r="B197" s="37">
        <f t="shared" si="9"/>
        <v>2022</v>
      </c>
      <c r="C197" s="36"/>
      <c r="D197" s="36"/>
      <c r="E197" s="35">
        <f t="shared" si="10"/>
        <v>0</v>
      </c>
      <c r="F197" s="11">
        <f t="shared" si="11"/>
        <v>0</v>
      </c>
      <c r="G197" s="11">
        <f t="shared" si="11"/>
        <v>0</v>
      </c>
      <c r="H197" s="11">
        <f t="shared" si="11"/>
        <v>0</v>
      </c>
      <c r="I197" s="11">
        <f t="shared" si="11"/>
        <v>0</v>
      </c>
      <c r="J197" s="11">
        <f t="shared" si="11"/>
        <v>0</v>
      </c>
    </row>
    <row r="198" spans="2:10" ht="14.4">
      <c r="B198" s="37">
        <f t="shared" si="9"/>
        <v>2023</v>
      </c>
      <c r="C198" s="36"/>
      <c r="D198" s="36"/>
      <c r="E198" s="35">
        <f t="shared" si="10"/>
        <v>0</v>
      </c>
      <c r="F198" s="11">
        <f t="shared" si="11"/>
        <v>0</v>
      </c>
      <c r="G198" s="11">
        <f t="shared" si="11"/>
        <v>0</v>
      </c>
      <c r="H198" s="11">
        <f t="shared" si="11"/>
        <v>0</v>
      </c>
      <c r="I198" s="11">
        <f t="shared" si="11"/>
        <v>0</v>
      </c>
      <c r="J198" s="11">
        <f t="shared" si="11"/>
        <v>0</v>
      </c>
    </row>
    <row r="199" spans="2:10" ht="14.4">
      <c r="B199" s="34" t="str">
        <f t="shared" si="9"/>
        <v>Expiring Thereafter</v>
      </c>
      <c r="C199" s="33"/>
      <c r="D199" s="33"/>
      <c r="E199" s="32">
        <f t="shared" si="10"/>
        <v>0</v>
      </c>
      <c r="F199" s="31">
        <f t="shared" si="11"/>
        <v>0</v>
      </c>
      <c r="G199" s="25">
        <f t="shared" si="11"/>
        <v>0</v>
      </c>
      <c r="H199" s="25">
        <f t="shared" si="11"/>
        <v>0</v>
      </c>
      <c r="I199" s="25">
        <f t="shared" si="11"/>
        <v>0</v>
      </c>
      <c r="J199" s="25">
        <f t="shared" si="11"/>
        <v>0</v>
      </c>
    </row>
    <row r="200" spans="2:10">
      <c r="B200" s="8" t="s">
        <v>44</v>
      </c>
      <c r="F200" s="23">
        <f>SUM(F194:F199)</f>
        <v>23454</v>
      </c>
      <c r="G200" s="23">
        <f>SUM(G194:G199)</f>
        <v>0</v>
      </c>
      <c r="H200" s="23">
        <f>SUM(H194:H199)</f>
        <v>0</v>
      </c>
      <c r="I200" s="23">
        <f>SUM(I194:I199)</f>
        <v>0</v>
      </c>
      <c r="J200" s="23">
        <f>SUM(J194:J199)</f>
        <v>0</v>
      </c>
    </row>
    <row r="203" spans="2:10">
      <c r="B203" s="46" t="s">
        <v>70</v>
      </c>
      <c r="D203" s="44" t="s">
        <v>69</v>
      </c>
      <c r="E203" s="43">
        <f>I5</f>
        <v>0.32600000000000001</v>
      </c>
      <c r="F203" s="45">
        <f>F155</f>
        <v>2019</v>
      </c>
      <c r="G203" s="28">
        <f>G155</f>
        <v>2020</v>
      </c>
      <c r="H203" s="28">
        <f>H155</f>
        <v>2021</v>
      </c>
      <c r="I203" s="28">
        <f>I155</f>
        <v>2022</v>
      </c>
      <c r="J203" s="28">
        <f>J155</f>
        <v>2023</v>
      </c>
    </row>
    <row r="204" spans="2:10">
      <c r="B204" s="42" t="s">
        <v>68</v>
      </c>
    </row>
    <row r="205" spans="2:10">
      <c r="B205" s="3" t="s">
        <v>67</v>
      </c>
      <c r="F205" s="11">
        <f t="array" ref="F205:J205">TRANSPOSE(I9:I13)</f>
        <v>29762</v>
      </c>
      <c r="G205" s="11">
        <v>30206</v>
      </c>
      <c r="H205" s="11">
        <v>32919</v>
      </c>
      <c r="I205" s="11">
        <v>31658</v>
      </c>
      <c r="J205" s="11">
        <v>29101</v>
      </c>
    </row>
    <row r="206" spans="2:10">
      <c r="B206" s="3" t="s">
        <v>66</v>
      </c>
      <c r="F206" s="25">
        <f t="array" ref="F206:J206">TRANSPOSE(I35:I39)</f>
        <v>10343</v>
      </c>
      <c r="G206" s="25">
        <v>0</v>
      </c>
      <c r="H206" s="25">
        <v>12434</v>
      </c>
      <c r="I206" s="25">
        <v>0</v>
      </c>
      <c r="J206" s="25">
        <v>0</v>
      </c>
    </row>
    <row r="207" spans="2:10">
      <c r="B207" s="4" t="s">
        <v>65</v>
      </c>
      <c r="F207" s="23">
        <f>SUM(F205:F206)</f>
        <v>40105</v>
      </c>
      <c r="G207" s="23">
        <f>SUM(G205:G206)</f>
        <v>30206</v>
      </c>
      <c r="H207" s="23">
        <f>SUM(H205:H206)</f>
        <v>45353</v>
      </c>
      <c r="I207" s="23">
        <f>SUM(I205:I206)</f>
        <v>31658</v>
      </c>
      <c r="J207" s="23">
        <f>SUM(J205:J206)</f>
        <v>29101</v>
      </c>
    </row>
    <row r="209" spans="2:10">
      <c r="B209" s="3" t="s">
        <v>64</v>
      </c>
      <c r="F209" s="11">
        <f t="array" ref="F209:J209">TRANSPOSE(I23:I27)</f>
        <v>14311</v>
      </c>
      <c r="G209" s="11">
        <v>14740</v>
      </c>
      <c r="H209" s="11">
        <v>15624</v>
      </c>
      <c r="I209" s="11">
        <v>16405</v>
      </c>
      <c r="J209" s="11">
        <v>16897</v>
      </c>
    </row>
    <row r="210" spans="2:10">
      <c r="B210" s="3" t="s">
        <v>63</v>
      </c>
      <c r="F210" s="11">
        <f>F226</f>
        <v>-28024.308000000001</v>
      </c>
      <c r="G210" s="11">
        <f>G226</f>
        <v>-24976.487952000003</v>
      </c>
      <c r="H210" s="11">
        <f>H226</f>
        <v>-22610.515831488003</v>
      </c>
      <c r="I210" s="11">
        <f>I226</f>
        <v>-22191.107361775874</v>
      </c>
      <c r="J210" s="11">
        <f>J226</f>
        <v>-21272.250613338834</v>
      </c>
    </row>
    <row r="211" spans="2:10">
      <c r="B211" s="3" t="s">
        <v>62</v>
      </c>
      <c r="F211" s="25">
        <f t="array" ref="F211:J211">-TRANSPOSE(I42:I46)</f>
        <v>-6036</v>
      </c>
      <c r="G211" s="25">
        <v>-3551</v>
      </c>
      <c r="H211" s="25">
        <v>-10537</v>
      </c>
      <c r="I211" s="25">
        <v>-6970</v>
      </c>
      <c r="J211" s="25">
        <v>-9642</v>
      </c>
    </row>
    <row r="212" spans="2:10">
      <c r="B212" s="4" t="s">
        <v>48</v>
      </c>
      <c r="F212" s="23">
        <f>SUM(F207:F211)</f>
        <v>20355.691999999999</v>
      </c>
      <c r="G212" s="23">
        <f>SUM(G207:G211)</f>
        <v>16418.512047999997</v>
      </c>
      <c r="H212" s="23">
        <f>SUM(H207:H211)</f>
        <v>27829.484168511997</v>
      </c>
      <c r="I212" s="23">
        <f>SUM(I207:I211)</f>
        <v>18901.892638224126</v>
      </c>
      <c r="J212" s="23">
        <f>SUM(J207:J211)</f>
        <v>15083.749386661166</v>
      </c>
    </row>
    <row r="214" spans="2:10">
      <c r="B214" s="3" t="s">
        <v>61</v>
      </c>
      <c r="F214" s="25">
        <f>-F239</f>
        <v>-20355.691999999999</v>
      </c>
      <c r="G214" s="25">
        <f>-G239</f>
        <v>-16418.512047999997</v>
      </c>
      <c r="H214" s="25">
        <f>-H239</f>
        <v>-27829.484168511997</v>
      </c>
      <c r="I214" s="25">
        <f>-I239</f>
        <v>0</v>
      </c>
      <c r="J214" s="25">
        <f>-J239</f>
        <v>0</v>
      </c>
    </row>
    <row r="215" spans="2:10">
      <c r="B215" s="4" t="s">
        <v>60</v>
      </c>
      <c r="F215" s="23">
        <f>SUM(F212:F214)</f>
        <v>0</v>
      </c>
      <c r="G215" s="23">
        <f>SUM(G212:G214)</f>
        <v>0</v>
      </c>
      <c r="H215" s="23">
        <f>SUM(H212:H214)</f>
        <v>0</v>
      </c>
      <c r="I215" s="23">
        <f>SUM(I212:I214)</f>
        <v>18901.892638224126</v>
      </c>
      <c r="J215" s="23">
        <f>SUM(J212:J214)</f>
        <v>15083.749386661166</v>
      </c>
    </row>
    <row r="217" spans="2:10">
      <c r="B217" s="42" t="s">
        <v>59</v>
      </c>
    </row>
    <row r="218" spans="2:10">
      <c r="B218" s="3" t="s">
        <v>58</v>
      </c>
      <c r="F218" s="11">
        <f>$E$203*F215</f>
        <v>0</v>
      </c>
      <c r="G218" s="11">
        <f>$E$203*G215</f>
        <v>0</v>
      </c>
      <c r="H218" s="11">
        <f>$E$203*H215</f>
        <v>0</v>
      </c>
      <c r="I218" s="11">
        <f>$E$203*I215</f>
        <v>6162.0170000610651</v>
      </c>
      <c r="J218" s="11">
        <f>$E$203*J215</f>
        <v>4917.3023000515404</v>
      </c>
    </row>
    <row r="219" spans="2:10">
      <c r="B219" s="3" t="s">
        <v>57</v>
      </c>
      <c r="F219" s="25">
        <f>F220-F218</f>
        <v>13074.230000000001</v>
      </c>
      <c r="G219" s="25">
        <f>G220-G218</f>
        <v>9847.1560000000009</v>
      </c>
      <c r="H219" s="25">
        <f>H220-H218</f>
        <v>14785.078000000001</v>
      </c>
      <c r="I219" s="25">
        <f>I220-I218</f>
        <v>4158.4909999389347</v>
      </c>
      <c r="J219" s="25">
        <f>J220-J218</f>
        <v>4569.623699948459</v>
      </c>
    </row>
    <row r="220" spans="2:10">
      <c r="B220" s="4" t="s">
        <v>56</v>
      </c>
      <c r="F220" s="23">
        <f>$E$203*F207</f>
        <v>13074.230000000001</v>
      </c>
      <c r="G220" s="23">
        <f>$E$203*G207</f>
        <v>9847.1560000000009</v>
      </c>
      <c r="H220" s="23">
        <f>$E$203*H207</f>
        <v>14785.078000000001</v>
      </c>
      <c r="I220" s="23">
        <f>$E$203*I207</f>
        <v>10320.508</v>
      </c>
      <c r="J220" s="23">
        <f>$E$203*J207</f>
        <v>9486.9259999999995</v>
      </c>
    </row>
    <row r="223" spans="2:10">
      <c r="B223" s="42" t="s">
        <v>55</v>
      </c>
      <c r="D223" s="44" t="s">
        <v>54</v>
      </c>
      <c r="E223" s="43">
        <f>I31</f>
        <v>0.156</v>
      </c>
    </row>
    <row r="224" spans="2:10">
      <c r="B224" s="3" t="s">
        <v>53</v>
      </c>
      <c r="F224" s="11">
        <f>E227</f>
        <v>163002</v>
      </c>
      <c r="G224" s="11">
        <f>F227</f>
        <v>151618.69200000001</v>
      </c>
      <c r="H224" s="11">
        <f>G227</f>
        <v>135129.20404800001</v>
      </c>
      <c r="I224" s="11">
        <f>H227</f>
        <v>122328.688216512</v>
      </c>
      <c r="J224" s="11">
        <f>I227</f>
        <v>120059.58085473612</v>
      </c>
    </row>
    <row r="225" spans="2:10">
      <c r="B225" s="3" t="s">
        <v>52</v>
      </c>
      <c r="F225" s="11">
        <f t="array" ref="F225:J225">TRANSPOSE(I16:I20)</f>
        <v>16641</v>
      </c>
      <c r="G225" s="11">
        <v>8487</v>
      </c>
      <c r="H225" s="11">
        <v>9810</v>
      </c>
      <c r="I225" s="11">
        <v>19922</v>
      </c>
      <c r="J225" s="11">
        <v>16301</v>
      </c>
    </row>
    <row r="226" spans="2:10">
      <c r="B226" s="3" t="s">
        <v>51</v>
      </c>
      <c r="E226" s="2"/>
      <c r="F226" s="25">
        <f>-$E$223*SUM(F224:F225)</f>
        <v>-28024.308000000001</v>
      </c>
      <c r="G226" s="25">
        <f>-$E$223*SUM(G224:G225)</f>
        <v>-24976.487952000003</v>
      </c>
      <c r="H226" s="25">
        <f>-$E$223*SUM(H224:H225)</f>
        <v>-22610.515831488003</v>
      </c>
      <c r="I226" s="25">
        <f>-$E$223*SUM(I224:I225)</f>
        <v>-22191.107361775874</v>
      </c>
      <c r="J226" s="25">
        <f>-$E$223*SUM(J224:J225)</f>
        <v>-21272.250613338834</v>
      </c>
    </row>
    <row r="227" spans="2:10">
      <c r="B227" s="4" t="s">
        <v>50</v>
      </c>
      <c r="E227" s="23">
        <f>I29</f>
        <v>163002</v>
      </c>
      <c r="F227" s="23">
        <f>SUM(F224:F226)</f>
        <v>151618.69200000001</v>
      </c>
      <c r="G227" s="23">
        <f>SUM(G224:G226)</f>
        <v>135129.20404800001</v>
      </c>
      <c r="H227" s="23">
        <f>SUM(H224:H226)</f>
        <v>122328.688216512</v>
      </c>
      <c r="I227" s="23">
        <f>SUM(I224:I226)</f>
        <v>120059.58085473612</v>
      </c>
      <c r="J227" s="23">
        <f>SUM(J224:J226)</f>
        <v>115088.33024139729</v>
      </c>
    </row>
    <row r="230" spans="2:10">
      <c r="B230" s="42" t="s">
        <v>49</v>
      </c>
    </row>
    <row r="231" spans="2:10">
      <c r="B231" s="4" t="s">
        <v>48</v>
      </c>
      <c r="F231" s="23">
        <f>F212</f>
        <v>20355.691999999999</v>
      </c>
      <c r="G231" s="23">
        <f>G212</f>
        <v>16418.512047999997</v>
      </c>
      <c r="H231" s="23">
        <f>H212</f>
        <v>27829.484168511997</v>
      </c>
      <c r="I231" s="23">
        <f>I212</f>
        <v>18901.892638224126</v>
      </c>
      <c r="J231" s="23">
        <f>J212</f>
        <v>15083.749386661166</v>
      </c>
    </row>
    <row r="232" spans="2:10">
      <c r="B232" s="41" t="s">
        <v>47</v>
      </c>
    </row>
    <row r="233" spans="2:10" ht="14.4">
      <c r="B233" s="40">
        <f t="array" ref="B233:B237">TRANSPOSE(F203:J203)</f>
        <v>2019</v>
      </c>
      <c r="C233" s="39"/>
      <c r="D233" s="39"/>
      <c r="E233" s="38">
        <f t="shared" ref="E233:E238" si="12">I49</f>
        <v>0</v>
      </c>
      <c r="F233" s="11">
        <f>MIN(E242,F$231-SUM(F$232:F232))</f>
        <v>0</v>
      </c>
      <c r="G233" s="11">
        <f>MIN(F242,G$231-SUM(G$232:G232))</f>
        <v>0</v>
      </c>
      <c r="H233" s="11">
        <f>MIN(G242,H$231-SUM(H$232:H232))</f>
        <v>0</v>
      </c>
      <c r="I233" s="11">
        <f>MIN(H242,I$231-SUM(I$232:I232))</f>
        <v>0</v>
      </c>
      <c r="J233" s="11">
        <f>MIN(I242,J$231-SUM(J$232:J232))</f>
        <v>0</v>
      </c>
    </row>
    <row r="234" spans="2:10" ht="14.4">
      <c r="B234" s="37">
        <v>2020</v>
      </c>
      <c r="C234" s="36"/>
      <c r="D234" s="36"/>
      <c r="E234" s="35">
        <f t="shared" si="12"/>
        <v>0</v>
      </c>
      <c r="F234" s="11">
        <f>MIN(E243,F$231-SUM(F$232:F233))</f>
        <v>0</v>
      </c>
      <c r="G234" s="11">
        <f>MIN(F243,G$231-SUM(G$232:G233))</f>
        <v>0</v>
      </c>
      <c r="H234" s="11">
        <f>MIN(G243,H$231-SUM(H$232:H233))</f>
        <v>0</v>
      </c>
      <c r="I234" s="11">
        <f>MIN(H243,I$231-SUM(I$232:I233))</f>
        <v>0</v>
      </c>
      <c r="J234" s="11">
        <f>MIN(I243,J$231-SUM(J$232:J233))</f>
        <v>0</v>
      </c>
    </row>
    <row r="235" spans="2:10" ht="14.4">
      <c r="B235" s="37">
        <v>2021</v>
      </c>
      <c r="C235" s="36"/>
      <c r="D235" s="36"/>
      <c r="E235" s="35">
        <f t="shared" si="12"/>
        <v>98323</v>
      </c>
      <c r="F235" s="11">
        <f>MIN(E244,F$231-SUM(F$232:F234))</f>
        <v>20355.691999999999</v>
      </c>
      <c r="G235" s="11">
        <f>MIN(F244,G$231-SUM(G$232:G234))</f>
        <v>16418.512047999997</v>
      </c>
      <c r="H235" s="11">
        <f>MIN(G244,H$231-SUM(H$232:H234))</f>
        <v>27829.484168511997</v>
      </c>
      <c r="I235" s="11">
        <f>MIN(H244,I$231-SUM(I$232:I234))</f>
        <v>0</v>
      </c>
      <c r="J235" s="11">
        <f>MIN(I244,J$231-SUM(J$232:J234))</f>
        <v>0</v>
      </c>
    </row>
    <row r="236" spans="2:10" ht="14.4">
      <c r="B236" s="37">
        <v>2022</v>
      </c>
      <c r="C236" s="36"/>
      <c r="D236" s="36"/>
      <c r="E236" s="35">
        <f t="shared" si="12"/>
        <v>0</v>
      </c>
      <c r="F236" s="11">
        <f>MIN(E245,F$231-SUM(F$232:F235))</f>
        <v>0</v>
      </c>
      <c r="G236" s="11">
        <f>MIN(F245,G$231-SUM(G$232:G235))</f>
        <v>0</v>
      </c>
      <c r="H236" s="11">
        <f>MIN(G245,H$231-SUM(H$232:H235))</f>
        <v>0</v>
      </c>
      <c r="I236" s="11">
        <f>MIN(H245,I$231-SUM(I$232:I235))</f>
        <v>0</v>
      </c>
      <c r="J236" s="11">
        <f>MIN(I245,J$231-SUM(J$232:J235))</f>
        <v>0</v>
      </c>
    </row>
    <row r="237" spans="2:10" ht="14.4">
      <c r="B237" s="37">
        <v>2023</v>
      </c>
      <c r="C237" s="36"/>
      <c r="D237" s="36"/>
      <c r="E237" s="35">
        <f t="shared" si="12"/>
        <v>0</v>
      </c>
      <c r="F237" s="11">
        <f>MIN(E246,F$231-SUM(F$232:F236))</f>
        <v>0</v>
      </c>
      <c r="G237" s="11">
        <f>MIN(F246,G$231-SUM(G$232:G236))</f>
        <v>0</v>
      </c>
      <c r="H237" s="11">
        <f>MIN(G246,H$231-SUM(H$232:H236))</f>
        <v>0</v>
      </c>
      <c r="I237" s="11">
        <f>MIN(H246,I$231-SUM(I$232:I236))</f>
        <v>0</v>
      </c>
      <c r="J237" s="11">
        <f>MIN(I246,J$231-SUM(J$232:J236))</f>
        <v>0</v>
      </c>
    </row>
    <row r="238" spans="2:10" ht="14.4">
      <c r="B238" s="34" t="s">
        <v>0</v>
      </c>
      <c r="C238" s="33"/>
      <c r="D238" s="33"/>
      <c r="E238" s="32">
        <f t="shared" si="12"/>
        <v>0</v>
      </c>
      <c r="F238" s="25">
        <f>MIN(E247,F$231-SUM(F$232:F237))</f>
        <v>0</v>
      </c>
      <c r="G238" s="25">
        <f>MIN(F247,G$231-SUM(G$232:G237))</f>
        <v>0</v>
      </c>
      <c r="H238" s="25">
        <f>MIN(G247,H$231-SUM(H$232:H237))</f>
        <v>0</v>
      </c>
      <c r="I238" s="25">
        <f>MIN(H247,I$231-SUM(I$232:I237))</f>
        <v>0</v>
      </c>
      <c r="J238" s="25">
        <f>MIN(I247,J$231-SUM(J$232:J237))</f>
        <v>0</v>
      </c>
    </row>
    <row r="239" spans="2:10">
      <c r="B239" s="8" t="s">
        <v>46</v>
      </c>
      <c r="E239" s="11"/>
      <c r="F239" s="23">
        <f>SUM(F233:F238)</f>
        <v>20355.691999999999</v>
      </c>
      <c r="G239" s="23">
        <f>SUM(G233:G238)</f>
        <v>16418.512047999997</v>
      </c>
      <c r="H239" s="23">
        <f>SUM(H233:H238)</f>
        <v>27829.484168511997</v>
      </c>
      <c r="I239" s="23">
        <f>SUM(I233:I238)</f>
        <v>0</v>
      </c>
      <c r="J239" s="23">
        <f>SUM(J233:J238)</f>
        <v>0</v>
      </c>
    </row>
    <row r="241" spans="2:10">
      <c r="B241" s="41" t="s">
        <v>45</v>
      </c>
    </row>
    <row r="242" spans="2:10" ht="14.4">
      <c r="B242" s="40">
        <f t="shared" ref="B242:B247" si="13">B233</f>
        <v>2019</v>
      </c>
      <c r="C242" s="39"/>
      <c r="D242" s="39"/>
      <c r="E242" s="38">
        <f t="shared" ref="E242:E247" si="14">E233</f>
        <v>0</v>
      </c>
      <c r="F242" s="11">
        <f t="shared" ref="F242:J247" si="15">IF($B242&lt;=F$59,0,E242-F233)</f>
        <v>0</v>
      </c>
      <c r="G242" s="11">
        <f t="shared" si="15"/>
        <v>0</v>
      </c>
      <c r="H242" s="11">
        <f t="shared" si="15"/>
        <v>0</v>
      </c>
      <c r="I242" s="11">
        <f t="shared" si="15"/>
        <v>0</v>
      </c>
      <c r="J242" s="11">
        <f t="shared" si="15"/>
        <v>0</v>
      </c>
    </row>
    <row r="243" spans="2:10" ht="14.4">
      <c r="B243" s="37">
        <f t="shared" si="13"/>
        <v>2020</v>
      </c>
      <c r="C243" s="36"/>
      <c r="D243" s="36"/>
      <c r="E243" s="35">
        <f t="shared" si="14"/>
        <v>0</v>
      </c>
      <c r="F243" s="11">
        <f t="shared" si="15"/>
        <v>0</v>
      </c>
      <c r="G243" s="11">
        <f t="shared" si="15"/>
        <v>0</v>
      </c>
      <c r="H243" s="11">
        <f t="shared" si="15"/>
        <v>0</v>
      </c>
      <c r="I243" s="11">
        <f t="shared" si="15"/>
        <v>0</v>
      </c>
      <c r="J243" s="11">
        <f t="shared" si="15"/>
        <v>0</v>
      </c>
    </row>
    <row r="244" spans="2:10" ht="14.4">
      <c r="B244" s="37">
        <f t="shared" si="13"/>
        <v>2021</v>
      </c>
      <c r="C244" s="36"/>
      <c r="D244" s="36"/>
      <c r="E244" s="35">
        <f t="shared" si="14"/>
        <v>98323</v>
      </c>
      <c r="F244" s="11">
        <f t="shared" si="15"/>
        <v>77967.308000000005</v>
      </c>
      <c r="G244" s="11">
        <f t="shared" si="15"/>
        <v>61548.795952000008</v>
      </c>
      <c r="H244" s="11">
        <f t="shared" si="15"/>
        <v>0</v>
      </c>
      <c r="I244" s="11">
        <f t="shared" si="15"/>
        <v>0</v>
      </c>
      <c r="J244" s="11">
        <f t="shared" si="15"/>
        <v>0</v>
      </c>
    </row>
    <row r="245" spans="2:10" ht="14.4">
      <c r="B245" s="37">
        <f t="shared" si="13"/>
        <v>2022</v>
      </c>
      <c r="C245" s="36"/>
      <c r="D245" s="36"/>
      <c r="E245" s="35">
        <f t="shared" si="14"/>
        <v>0</v>
      </c>
      <c r="F245" s="11">
        <f t="shared" si="15"/>
        <v>0</v>
      </c>
      <c r="G245" s="11">
        <f t="shared" si="15"/>
        <v>0</v>
      </c>
      <c r="H245" s="11">
        <f t="shared" si="15"/>
        <v>0</v>
      </c>
      <c r="I245" s="11">
        <f t="shared" si="15"/>
        <v>0</v>
      </c>
      <c r="J245" s="11">
        <f t="shared" si="15"/>
        <v>0</v>
      </c>
    </row>
    <row r="246" spans="2:10" ht="14.4">
      <c r="B246" s="37">
        <f t="shared" si="13"/>
        <v>2023</v>
      </c>
      <c r="C246" s="36"/>
      <c r="D246" s="36"/>
      <c r="E246" s="35">
        <f t="shared" si="14"/>
        <v>0</v>
      </c>
      <c r="F246" s="11">
        <f t="shared" si="15"/>
        <v>0</v>
      </c>
      <c r="G246" s="11">
        <f t="shared" si="15"/>
        <v>0</v>
      </c>
      <c r="H246" s="11">
        <f t="shared" si="15"/>
        <v>0</v>
      </c>
      <c r="I246" s="11">
        <f t="shared" si="15"/>
        <v>0</v>
      </c>
      <c r="J246" s="11">
        <f t="shared" si="15"/>
        <v>0</v>
      </c>
    </row>
    <row r="247" spans="2:10" ht="14.4">
      <c r="B247" s="34" t="str">
        <f t="shared" si="13"/>
        <v>Expiring Thereafter</v>
      </c>
      <c r="C247" s="33"/>
      <c r="D247" s="33"/>
      <c r="E247" s="32">
        <f t="shared" si="14"/>
        <v>0</v>
      </c>
      <c r="F247" s="31">
        <f t="shared" si="15"/>
        <v>0</v>
      </c>
      <c r="G247" s="25">
        <f t="shared" si="15"/>
        <v>0</v>
      </c>
      <c r="H247" s="25">
        <f t="shared" si="15"/>
        <v>0</v>
      </c>
      <c r="I247" s="25">
        <f t="shared" si="15"/>
        <v>0</v>
      </c>
      <c r="J247" s="25">
        <f t="shared" si="15"/>
        <v>0</v>
      </c>
    </row>
    <row r="248" spans="2:10">
      <c r="B248" s="8" t="s">
        <v>44</v>
      </c>
      <c r="F248" s="23">
        <f>SUM(F242:F247)</f>
        <v>77967.308000000005</v>
      </c>
      <c r="G248" s="23">
        <f>SUM(G242:G247)</f>
        <v>61548.795952000008</v>
      </c>
      <c r="H248" s="23">
        <f>SUM(H242:H247)</f>
        <v>0</v>
      </c>
      <c r="I248" s="23">
        <f>SUM(I242:I247)</f>
        <v>0</v>
      </c>
      <c r="J248" s="23">
        <f>SUM(J242:J247)</f>
        <v>0</v>
      </c>
    </row>
    <row r="251" spans="2:10" ht="14.4">
      <c r="B251" s="30" t="s">
        <v>43</v>
      </c>
    </row>
    <row r="253" spans="2:10">
      <c r="B253" s="27" t="s">
        <v>42</v>
      </c>
      <c r="F253" s="29">
        <f>F59</f>
        <v>2019</v>
      </c>
      <c r="G253" s="28">
        <f>G59</f>
        <v>2020</v>
      </c>
      <c r="H253" s="28">
        <f>H59</f>
        <v>2021</v>
      </c>
      <c r="I253" s="28">
        <f>I59</f>
        <v>2022</v>
      </c>
      <c r="J253" s="28">
        <f>J59</f>
        <v>2023</v>
      </c>
    </row>
    <row r="254" spans="2:10">
      <c r="B254" s="26" t="s">
        <v>41</v>
      </c>
      <c r="F254" s="14">
        <f t="array" ref="F254:F257">TRANSPOSE(F7:I7)</f>
        <v>1</v>
      </c>
      <c r="G254" s="14">
        <f t="shared" ref="G254:J257" si="16">F254</f>
        <v>1</v>
      </c>
      <c r="H254" s="14">
        <f t="shared" si="16"/>
        <v>1</v>
      </c>
      <c r="I254" s="14">
        <f t="shared" si="16"/>
        <v>1</v>
      </c>
      <c r="J254" s="14">
        <f t="shared" si="16"/>
        <v>1</v>
      </c>
    </row>
    <row r="255" spans="2:10">
      <c r="B255" s="26" t="s">
        <v>40</v>
      </c>
      <c r="F255" s="14">
        <v>1.29</v>
      </c>
      <c r="G255" s="14">
        <f t="shared" si="16"/>
        <v>1.29</v>
      </c>
      <c r="H255" s="14">
        <f t="shared" si="16"/>
        <v>1.29</v>
      </c>
      <c r="I255" s="14">
        <f t="shared" si="16"/>
        <v>1.29</v>
      </c>
      <c r="J255" s="14">
        <f t="shared" si="16"/>
        <v>1.29</v>
      </c>
    </row>
    <row r="256" spans="2:10">
      <c r="B256" s="26" t="s">
        <v>39</v>
      </c>
      <c r="F256" s="14">
        <v>19.89</v>
      </c>
      <c r="G256" s="14">
        <f t="shared" si="16"/>
        <v>19.89</v>
      </c>
      <c r="H256" s="14">
        <f t="shared" si="16"/>
        <v>19.89</v>
      </c>
      <c r="I256" s="14">
        <f t="shared" si="16"/>
        <v>19.89</v>
      </c>
      <c r="J256" s="14">
        <f t="shared" si="16"/>
        <v>19.89</v>
      </c>
    </row>
    <row r="257" spans="2:10">
      <c r="B257" s="26" t="s">
        <v>38</v>
      </c>
      <c r="F257" s="14">
        <v>0.85</v>
      </c>
      <c r="G257" s="14">
        <f t="shared" si="16"/>
        <v>0.85</v>
      </c>
      <c r="H257" s="14">
        <f t="shared" si="16"/>
        <v>0.85</v>
      </c>
      <c r="I257" s="14">
        <f t="shared" si="16"/>
        <v>0.85</v>
      </c>
      <c r="J257" s="14">
        <f t="shared" si="16"/>
        <v>0.85</v>
      </c>
    </row>
    <row r="259" spans="2:10">
      <c r="B259" s="27" t="s">
        <v>37</v>
      </c>
    </row>
    <row r="260" spans="2:10">
      <c r="B260" s="26" t="str">
        <f t="array" ref="B260:B263">TRANSPOSE(F3:I3)</f>
        <v>U.S.</v>
      </c>
      <c r="F260" s="11">
        <f>F74</f>
        <v>0</v>
      </c>
      <c r="G260" s="11">
        <f>G74</f>
        <v>0</v>
      </c>
      <c r="H260" s="11">
        <f>H74</f>
        <v>0</v>
      </c>
      <c r="I260" s="11">
        <f>I74</f>
        <v>1649.3889527732003</v>
      </c>
      <c r="J260" s="11">
        <f>J74</f>
        <v>2458.9524868088961</v>
      </c>
    </row>
    <row r="261" spans="2:10">
      <c r="B261" s="26" t="str">
        <v>Canada</v>
      </c>
      <c r="F261" s="11">
        <f>F122/F$255</f>
        <v>0</v>
      </c>
      <c r="G261" s="11">
        <f>G122/G$255</f>
        <v>0</v>
      </c>
      <c r="H261" s="11">
        <f>H122/H$255</f>
        <v>0</v>
      </c>
      <c r="I261" s="11">
        <f>I122/I$255</f>
        <v>0</v>
      </c>
      <c r="J261" s="11">
        <f>J122/J$255</f>
        <v>0</v>
      </c>
    </row>
    <row r="262" spans="2:10">
      <c r="B262" s="26" t="str">
        <v>Mexico</v>
      </c>
      <c r="F262" s="11">
        <f>F170/F$256</f>
        <v>0</v>
      </c>
      <c r="G262" s="11">
        <f>G170/G$256</f>
        <v>2812.1782942307691</v>
      </c>
      <c r="H262" s="11">
        <f>H170/H$256</f>
        <v>2730.806909870726</v>
      </c>
      <c r="I262" s="11">
        <f>I170/I$256</f>
        <v>3367.9383348501506</v>
      </c>
      <c r="J262" s="11">
        <f>J170/J$256</f>
        <v>3105.0546810428123</v>
      </c>
    </row>
    <row r="263" spans="2:10">
      <c r="B263" s="26" t="str">
        <v>Germany</v>
      </c>
      <c r="F263" s="25">
        <f>F218/F$257</f>
        <v>0</v>
      </c>
      <c r="G263" s="25">
        <f>G218/G$257</f>
        <v>0</v>
      </c>
      <c r="H263" s="25">
        <f>H218/H$257</f>
        <v>0</v>
      </c>
      <c r="I263" s="25">
        <f>I218/I$257</f>
        <v>7249.4317647777243</v>
      </c>
      <c r="J263" s="25">
        <f>J218/J$257</f>
        <v>5785.0615294724003</v>
      </c>
    </row>
    <row r="264" spans="2:10">
      <c r="B264" s="24" t="s">
        <v>33</v>
      </c>
      <c r="F264" s="23">
        <f>SUM(F260:F263)</f>
        <v>0</v>
      </c>
      <c r="G264" s="23">
        <f>SUM(G260:G263)</f>
        <v>2812.1782942307691</v>
      </c>
      <c r="H264" s="23">
        <f>SUM(H260:H263)</f>
        <v>2730.806909870726</v>
      </c>
      <c r="I264" s="23">
        <f>SUM(I260:I263)</f>
        <v>12266.759052401076</v>
      </c>
      <c r="J264" s="23">
        <f>SUM(J260:J263)</f>
        <v>11349.06869732411</v>
      </c>
    </row>
    <row r="266" spans="2:10">
      <c r="B266" s="27" t="s">
        <v>36</v>
      </c>
    </row>
    <row r="267" spans="2:10">
      <c r="B267" s="26" t="str">
        <f>B260</f>
        <v>U.S.</v>
      </c>
      <c r="F267" s="11">
        <f>F75</f>
        <v>6292.9920000000002</v>
      </c>
      <c r="G267" s="11">
        <f>G75</f>
        <v>4367.8720000000003</v>
      </c>
      <c r="H267" s="11">
        <f>H75</f>
        <v>4942.5920000000006</v>
      </c>
      <c r="I267" s="11">
        <f>I75</f>
        <v>2782.9950472267997</v>
      </c>
      <c r="J267" s="11">
        <f>J75</f>
        <v>1272.503513191104</v>
      </c>
    </row>
    <row r="268" spans="2:10">
      <c r="B268" s="26" t="str">
        <f>B261</f>
        <v>Canada</v>
      </c>
      <c r="F268" s="11">
        <f>F123/F$255</f>
        <v>5595.8139534883721</v>
      </c>
      <c r="G268" s="11">
        <f>G123/G$255</f>
        <v>5360.3953488372099</v>
      </c>
      <c r="H268" s="11">
        <f>H123/H$255</f>
        <v>5676.9573643410858</v>
      </c>
      <c r="I268" s="11">
        <f>I123/I$255</f>
        <v>4991.0387596899227</v>
      </c>
      <c r="J268" s="11">
        <f>J123/J$255</f>
        <v>6134.2364341085267</v>
      </c>
    </row>
    <row r="269" spans="2:10">
      <c r="B269" s="26" t="str">
        <f>B262</f>
        <v>Mexico</v>
      </c>
      <c r="F269" s="11">
        <f>F171/F$256</f>
        <v>4139.1156359979886</v>
      </c>
      <c r="G269" s="11">
        <f>G171/G$256</f>
        <v>1827.6442296505777</v>
      </c>
      <c r="H269" s="11">
        <f>H171/H$256</f>
        <v>1477.7587009890021</v>
      </c>
      <c r="I269" s="11">
        <f>I171/I$256</f>
        <v>805.27885971998489</v>
      </c>
      <c r="J269" s="11">
        <f>J171/J$256</f>
        <v>649.35859195869591</v>
      </c>
    </row>
    <row r="270" spans="2:10">
      <c r="B270" s="26" t="str">
        <f>B263</f>
        <v>Germany</v>
      </c>
      <c r="F270" s="25">
        <f>F219/F$257</f>
        <v>15381.447058823531</v>
      </c>
      <c r="G270" s="25">
        <f>G219/G$257</f>
        <v>11584.889411764707</v>
      </c>
      <c r="H270" s="25">
        <f>H219/H$257</f>
        <v>17394.209411764707</v>
      </c>
      <c r="I270" s="25">
        <f>I219/I$257</f>
        <v>4892.3423528693347</v>
      </c>
      <c r="J270" s="25">
        <f>J219/J$257</f>
        <v>5376.0278822923046</v>
      </c>
    </row>
    <row r="271" spans="2:10">
      <c r="B271" s="24" t="s">
        <v>33</v>
      </c>
      <c r="F271" s="23">
        <f>SUM(F267:F270)</f>
        <v>31409.368648309894</v>
      </c>
      <c r="G271" s="23">
        <f>SUM(G267:G270)</f>
        <v>23140.800990252494</v>
      </c>
      <c r="H271" s="23">
        <f>SUM(H267:H270)</f>
        <v>29491.517477094796</v>
      </c>
      <c r="I271" s="23">
        <f>SUM(I267:I270)</f>
        <v>13471.655019506043</v>
      </c>
      <c r="J271" s="23">
        <f>SUM(J267:J270)</f>
        <v>13432.126421550631</v>
      </c>
    </row>
    <row r="273" spans="2:10">
      <c r="B273" s="27" t="s">
        <v>35</v>
      </c>
    </row>
    <row r="274" spans="2:10">
      <c r="B274" s="26" t="str">
        <f>B267</f>
        <v>U.S.</v>
      </c>
      <c r="F274" s="11">
        <f t="shared" ref="F274:J277" si="17">F260+F267</f>
        <v>6292.9920000000002</v>
      </c>
      <c r="G274" s="11">
        <f t="shared" si="17"/>
        <v>4367.8720000000003</v>
      </c>
      <c r="H274" s="11">
        <f t="shared" si="17"/>
        <v>4942.5920000000006</v>
      </c>
      <c r="I274" s="11">
        <f t="shared" si="17"/>
        <v>4432.384</v>
      </c>
      <c r="J274" s="11">
        <f t="shared" si="17"/>
        <v>3731.4560000000001</v>
      </c>
    </row>
    <row r="275" spans="2:10">
      <c r="B275" s="26" t="str">
        <f>B268</f>
        <v>Canada</v>
      </c>
      <c r="F275" s="11">
        <f t="shared" si="17"/>
        <v>5595.8139534883721</v>
      </c>
      <c r="G275" s="11">
        <f t="shared" si="17"/>
        <v>5360.3953488372099</v>
      </c>
      <c r="H275" s="11">
        <f t="shared" si="17"/>
        <v>5676.9573643410858</v>
      </c>
      <c r="I275" s="11">
        <f t="shared" si="17"/>
        <v>4991.0387596899227</v>
      </c>
      <c r="J275" s="11">
        <f t="shared" si="17"/>
        <v>6134.2364341085267</v>
      </c>
    </row>
    <row r="276" spans="2:10">
      <c r="B276" s="26" t="str">
        <f>B269</f>
        <v>Mexico</v>
      </c>
      <c r="F276" s="11">
        <f t="shared" si="17"/>
        <v>4139.1156359979886</v>
      </c>
      <c r="G276" s="11">
        <f t="shared" si="17"/>
        <v>4639.8225238813466</v>
      </c>
      <c r="H276" s="11">
        <f t="shared" si="17"/>
        <v>4208.5656108597286</v>
      </c>
      <c r="I276" s="11">
        <f t="shared" si="17"/>
        <v>4173.2171945701357</v>
      </c>
      <c r="J276" s="11">
        <f t="shared" si="17"/>
        <v>3754.4132730015081</v>
      </c>
    </row>
    <row r="277" spans="2:10">
      <c r="B277" s="26" t="str">
        <f>B270</f>
        <v>Germany</v>
      </c>
      <c r="F277" s="25">
        <f t="shared" si="17"/>
        <v>15381.447058823531</v>
      </c>
      <c r="G277" s="25">
        <f t="shared" si="17"/>
        <v>11584.889411764707</v>
      </c>
      <c r="H277" s="25">
        <f t="shared" si="17"/>
        <v>17394.209411764707</v>
      </c>
      <c r="I277" s="25">
        <f t="shared" si="17"/>
        <v>12141.774117647059</v>
      </c>
      <c r="J277" s="25">
        <f t="shared" si="17"/>
        <v>11161.089411764704</v>
      </c>
    </row>
    <row r="278" spans="2:10">
      <c r="B278" s="24" t="s">
        <v>33</v>
      </c>
      <c r="F278" s="23">
        <f>SUM(F274:F277)</f>
        <v>31409.368648309894</v>
      </c>
      <c r="G278" s="23">
        <f>SUM(G274:G277)</f>
        <v>25952.979284483263</v>
      </c>
      <c r="H278" s="23">
        <f>SUM(H274:H277)</f>
        <v>32222.32438696552</v>
      </c>
      <c r="I278" s="23">
        <f>SUM(I274:I277)</f>
        <v>25738.414071907115</v>
      </c>
      <c r="J278" s="23">
        <f>SUM(J274:J277)</f>
        <v>24781.195118874741</v>
      </c>
    </row>
    <row r="280" spans="2:10">
      <c r="B280" s="27" t="s">
        <v>34</v>
      </c>
    </row>
    <row r="281" spans="2:10">
      <c r="B281" s="26" t="str">
        <f>B274</f>
        <v>U.S.</v>
      </c>
      <c r="F281" s="11">
        <f>F61</f>
        <v>17840</v>
      </c>
      <c r="G281" s="11">
        <f>G61</f>
        <v>17062</v>
      </c>
      <c r="H281" s="11">
        <f>H61</f>
        <v>19307</v>
      </c>
      <c r="I281" s="11">
        <f>I61</f>
        <v>17314</v>
      </c>
      <c r="J281" s="11">
        <f>J61</f>
        <v>14576</v>
      </c>
    </row>
    <row r="282" spans="2:10">
      <c r="B282" s="26" t="str">
        <f>B275</f>
        <v>Canada</v>
      </c>
      <c r="F282" s="11">
        <f>F109/F$255</f>
        <v>21116.279069767443</v>
      </c>
      <c r="G282" s="11">
        <f>G109/G$255</f>
        <v>20227.906976744187</v>
      </c>
      <c r="H282" s="11">
        <f>H109/H$255</f>
        <v>21422.480620155038</v>
      </c>
      <c r="I282" s="11">
        <f>I109/I$255</f>
        <v>18834.108527131782</v>
      </c>
      <c r="J282" s="11">
        <f>J109/J$255</f>
        <v>23148.062015503874</v>
      </c>
    </row>
    <row r="283" spans="2:10">
      <c r="B283" s="26" t="str">
        <f>B276</f>
        <v>Mexico</v>
      </c>
      <c r="F283" s="11">
        <f>F157/F$256</f>
        <v>13351.985922574158</v>
      </c>
      <c r="G283" s="11">
        <f>G157/G$256</f>
        <v>10495.022624434388</v>
      </c>
      <c r="H283" s="11">
        <f>H157/H$256</f>
        <v>13576.018099547511</v>
      </c>
      <c r="I283" s="11">
        <f>I157/I$256</f>
        <v>13461.990950226244</v>
      </c>
      <c r="J283" s="11">
        <f>J157/J$256</f>
        <v>12111.010558069382</v>
      </c>
    </row>
    <row r="284" spans="2:10">
      <c r="B284" s="26" t="str">
        <f>B277</f>
        <v>Germany</v>
      </c>
      <c r="F284" s="25">
        <f>F205/F$257</f>
        <v>35014.117647058825</v>
      </c>
      <c r="G284" s="25">
        <f>G205/G$257</f>
        <v>35536.470588235294</v>
      </c>
      <c r="H284" s="25">
        <f>H205/H$257</f>
        <v>38728.23529411765</v>
      </c>
      <c r="I284" s="25">
        <f>I205/I$257</f>
        <v>37244.705882352944</v>
      </c>
      <c r="J284" s="25">
        <f>J205/J$257</f>
        <v>34236.470588235294</v>
      </c>
    </row>
    <row r="285" spans="2:10">
      <c r="B285" s="24" t="s">
        <v>33</v>
      </c>
      <c r="F285" s="23">
        <f>SUM(F281:F284)</f>
        <v>87322.382639400428</v>
      </c>
      <c r="G285" s="23">
        <f>SUM(G281:G284)</f>
        <v>83321.400189413864</v>
      </c>
      <c r="H285" s="23">
        <f>SUM(H281:H284)</f>
        <v>93033.734013820198</v>
      </c>
      <c r="I285" s="23">
        <f>SUM(I281:I284)</f>
        <v>86854.805359710968</v>
      </c>
      <c r="J285" s="23">
        <f>SUM(J281:J284)</f>
        <v>84071.543161808542</v>
      </c>
    </row>
    <row r="287" spans="2:10">
      <c r="B287" s="22" t="s">
        <v>32</v>
      </c>
      <c r="C287" s="21"/>
      <c r="D287" s="21"/>
      <c r="E287" s="21"/>
      <c r="F287" s="20">
        <f>F278/F285</f>
        <v>0.35969436127293419</v>
      </c>
      <c r="G287" s="20">
        <f>G278/G285</f>
        <v>0.31148035469260676</v>
      </c>
      <c r="H287" s="20">
        <f>H278/H285</f>
        <v>0.34635097396154046</v>
      </c>
      <c r="I287" s="20">
        <f>I278/I285</f>
        <v>0.29633840022219776</v>
      </c>
      <c r="J287" s="19">
        <f>J278/J285</f>
        <v>0.2947631765385767</v>
      </c>
    </row>
  </sheetData>
  <pageMargins left="0.7" right="0.7" top="0.75" bottom="0.75" header="0.3" footer="0.3"/>
  <pageSetup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Calculations</vt:lpstr>
      <vt:lpstr>CaseData</vt:lpstr>
      <vt:lpstr>Tmp</vt:lpstr>
      <vt:lpstr>CaseSolution</vt:lpstr>
      <vt:lpstr>company</vt:lpstr>
      <vt:lpstr>periods</vt:lpstr>
      <vt:lpstr>Calculations!Print_Area</vt:lpstr>
      <vt:lpstr>Calculations!Print_Titles</vt:lpstr>
      <vt:lpstr>Tmp!Print_Titles</vt:lpstr>
      <vt:lpstr>start_date</vt:lpstr>
    </vt:vector>
  </TitlesOfParts>
  <Company>The Marquee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Luc Nicod</cp:lastModifiedBy>
  <cp:lastPrinted>2026-08-13T22:37:19Z</cp:lastPrinted>
  <dcterms:created xsi:type="dcterms:W3CDTF">2018-05-21T22:41:19Z</dcterms:created>
  <dcterms:modified xsi:type="dcterms:W3CDTF">2026-08-14T07:02:49Z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2026-08-12T14:18:48Z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9745d0c4-a3a7-43a0-ae1d-0cd46aacf220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