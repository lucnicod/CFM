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 defaultThemeVersion="124226"/>
  <xr:revisionPtr revIDLastSave="621" documentId="13_ncr:1_{F6307FE2-520A-41FA-9A24-3ED1ECD5D37A}" xr6:coauthVersionLast="47" xr6:coauthVersionMax="47" xr10:uidLastSave="{2B8B998D-715A-4D67-B50E-E612657E6103}"/>
  <bookViews>
    <workbookView xWindow="28692" yWindow="-108" windowWidth="29016" windowHeight="16416" xr2:uid="{00000000-000D-0000-FFFF-FFFF00000000}"/>
  </bookViews>
  <sheets>
    <sheet name="Debt" sheetId="55" r:id="rId1"/>
    <sheet name="CaseData" sheetId="53" r:id="rId2"/>
    <sheet name="CaseSolution" sheetId="54" r:id="rId3"/>
  </sheets>
  <definedNames>
    <definedName name="company">CaseData!$H$42</definedName>
    <definedName name="end_date">CaseData!$H$38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periods">CaseData!$H$37</definedName>
    <definedName name="_xlnm.Print_Area" localSheetId="0">Debt!$A$1:$U$164</definedName>
    <definedName name="_xlnm.Print_Titles" localSheetId="0">Debt!$1:$4</definedName>
    <definedName name="scenarios">CaseData!$E$45:$E$50</definedName>
    <definedName name="selector">CaseData!$H$45</definedName>
    <definedName name="start_date">CaseData!$H$35</definedName>
    <definedName name="topic">"CFM Topic: " &amp; CaseData!$H$43</definedName>
  </definedNames>
  <calcPr calcId="191029" calcMode="autoNoTable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53" l="1"/>
  <c r="T3" i="53"/>
  <c r="T2" i="53"/>
  <c r="T1" i="53"/>
  <c r="J12" i="55" a="1"/>
  <c r="J3" i="55" a="1"/>
  <c r="F84" i="55"/>
  <c r="I88" i="55"/>
  <c r="J86" i="55"/>
  <c r="F91" i="55"/>
  <c r="F92" i="55"/>
  <c r="F96" i="55"/>
  <c r="F97" i="55"/>
  <c r="F98" i="55"/>
  <c r="J93" i="55"/>
  <c r="J99" i="55"/>
  <c r="J87" i="55"/>
  <c r="J88" i="55"/>
  <c r="K86" i="55"/>
  <c r="K93" i="55"/>
  <c r="K99" i="55"/>
  <c r="K87" i="55"/>
  <c r="K88" i="55"/>
  <c r="L86" i="55"/>
  <c r="L93" i="55"/>
  <c r="L99" i="55"/>
  <c r="L87" i="55"/>
  <c r="L88" i="55"/>
  <c r="M86" i="55"/>
  <c r="M93" i="55"/>
  <c r="M99" i="55"/>
  <c r="M87" i="55"/>
  <c r="M88" i="55"/>
  <c r="N86" i="55"/>
  <c r="N93" i="55"/>
  <c r="N99" i="55"/>
  <c r="N87" i="55"/>
  <c r="N88" i="55"/>
  <c r="O86" i="55"/>
  <c r="O93" i="55"/>
  <c r="O99" i="55"/>
  <c r="O87" i="55"/>
  <c r="O88" i="55"/>
  <c r="P86" i="55"/>
  <c r="P93" i="55"/>
  <c r="P99" i="55"/>
  <c r="P87" i="55"/>
  <c r="P88" i="55"/>
  <c r="Q86" i="55"/>
  <c r="Q93" i="55"/>
  <c r="Q99" i="55"/>
  <c r="Q87" i="55"/>
  <c r="Q88" i="55"/>
  <c r="R86" i="55"/>
  <c r="R93" i="55"/>
  <c r="R99" i="55"/>
  <c r="R87" i="55"/>
  <c r="R88" i="55"/>
  <c r="S86" i="55"/>
  <c r="S93" i="55"/>
  <c r="S99" i="55"/>
  <c r="S87" i="55"/>
  <c r="S88" i="55"/>
  <c r="T86" i="55"/>
  <c r="T93" i="55"/>
  <c r="T99" i="55"/>
  <c r="T87" i="55"/>
  <c r="T88" i="55"/>
  <c r="U86" i="55"/>
  <c r="U93" i="55"/>
  <c r="U99" i="55"/>
  <c r="U87" i="55"/>
  <c r="U88" i="55"/>
  <c r="V86" i="55"/>
  <c r="V93" i="55"/>
  <c r="V99" i="55"/>
  <c r="V87" i="55"/>
  <c r="V88" i="55"/>
  <c r="W86" i="55"/>
  <c r="W93" i="55"/>
  <c r="W99" i="55"/>
  <c r="W87" i="55"/>
  <c r="W88" i="55"/>
  <c r="X86" i="55"/>
  <c r="X93" i="55"/>
  <c r="X99" i="55"/>
  <c r="X87" i="55"/>
  <c r="X88" i="55"/>
  <c r="Y86" i="55"/>
  <c r="Y93" i="55"/>
  <c r="Y99" i="55"/>
  <c r="Y87" i="55"/>
  <c r="Y88" i="55"/>
  <c r="Z86" i="55"/>
  <c r="Z93" i="55"/>
  <c r="Z99" i="55"/>
  <c r="Z87" i="55"/>
  <c r="Z88" i="55"/>
  <c r="AA86" i="55"/>
  <c r="AA93" i="55"/>
  <c r="AA99" i="55"/>
  <c r="AA87" i="55"/>
  <c r="AA88" i="55"/>
  <c r="AB86" i="55"/>
  <c r="AB93" i="55"/>
  <c r="AB99" i="55"/>
  <c r="AB87" i="55"/>
  <c r="AB88" i="55"/>
  <c r="AC86" i="55"/>
  <c r="AC93" i="55"/>
  <c r="AC99" i="55"/>
  <c r="AC87" i="55"/>
  <c r="AC88" i="55"/>
  <c r="AD86" i="55"/>
  <c r="AD93" i="55"/>
  <c r="AD99" i="55"/>
  <c r="AD87" i="55"/>
  <c r="AD88" i="55"/>
  <c r="AE86" i="55"/>
  <c r="AE93" i="55"/>
  <c r="AE99" i="55"/>
  <c r="AE87" i="55"/>
  <c r="AE88" i="55"/>
  <c r="AF86" i="55"/>
  <c r="AF93" i="55"/>
  <c r="AF99" i="55"/>
  <c r="AF87" i="55"/>
  <c r="AF88" i="55"/>
  <c r="AG86" i="55"/>
  <c r="AG93" i="55"/>
  <c r="AG99" i="55"/>
  <c r="AG87" i="55"/>
  <c r="AG88" i="55"/>
  <c r="AH86" i="55"/>
  <c r="AH93" i="55"/>
  <c r="AH99" i="55"/>
  <c r="AH87" i="55"/>
  <c r="AH88" i="55"/>
  <c r="AI86" i="55"/>
  <c r="AI93" i="55"/>
  <c r="AI99" i="55"/>
  <c r="AI87" i="55"/>
  <c r="AI88" i="55"/>
  <c r="AJ86" i="55"/>
  <c r="AJ93" i="55"/>
  <c r="AJ99" i="55"/>
  <c r="AJ87" i="55"/>
  <c r="AJ88" i="55"/>
  <c r="AK86" i="55"/>
  <c r="AK93" i="55"/>
  <c r="AK99" i="55"/>
  <c r="AK87" i="55"/>
  <c r="AK88" i="55"/>
  <c r="AL86" i="55"/>
  <c r="AL93" i="55"/>
  <c r="AL99" i="55"/>
  <c r="AL87" i="55"/>
  <c r="AL88" i="55"/>
  <c r="AM86" i="55"/>
  <c r="AM93" i="55"/>
  <c r="AM99" i="55"/>
  <c r="AM87" i="55"/>
  <c r="AM88" i="55"/>
  <c r="AN86" i="55"/>
  <c r="AN93" i="55"/>
  <c r="AN99" i="55"/>
  <c r="AN87" i="55"/>
  <c r="AN88" i="55"/>
  <c r="AO86" i="55"/>
  <c r="AO93" i="55"/>
  <c r="AO99" i="55"/>
  <c r="AO87" i="55"/>
  <c r="AO88" i="55"/>
  <c r="AP86" i="55"/>
  <c r="AP93" i="55"/>
  <c r="AP99" i="55"/>
  <c r="AP87" i="55"/>
  <c r="AP88" i="55"/>
  <c r="AQ86" i="55"/>
  <c r="AQ93" i="55"/>
  <c r="AQ99" i="55"/>
  <c r="AQ87" i="55"/>
  <c r="AQ88" i="55"/>
  <c r="AR86" i="55"/>
  <c r="AR93" i="55"/>
  <c r="AR99" i="55"/>
  <c r="AR87" i="55"/>
  <c r="AR88" i="55"/>
  <c r="AS86" i="55"/>
  <c r="AS93" i="55"/>
  <c r="AS99" i="55"/>
  <c r="AS87" i="55"/>
  <c r="AS88" i="55"/>
  <c r="AT86" i="55"/>
  <c r="AT93" i="55"/>
  <c r="AT99" i="55"/>
  <c r="AT87" i="55"/>
  <c r="AT88" i="55"/>
  <c r="AU86" i="55"/>
  <c r="AU93" i="55"/>
  <c r="AU99" i="55"/>
  <c r="AU87" i="55"/>
  <c r="AU88" i="55"/>
  <c r="AV86" i="55"/>
  <c r="AV93" i="55"/>
  <c r="AV99" i="55"/>
  <c r="AV87" i="55"/>
  <c r="AV88" i="55"/>
  <c r="AW86" i="55"/>
  <c r="AW93" i="55"/>
  <c r="AW99" i="55"/>
  <c r="AW87" i="55"/>
  <c r="AW88" i="55"/>
  <c r="N156" i="55" a="1"/>
  <c r="F63" i="55"/>
  <c r="I73" i="55"/>
  <c r="J67" i="55"/>
  <c r="J14" i="55" a="1"/>
  <c r="J18" i="55"/>
  <c r="H36" i="53"/>
  <c r="K8" i="53"/>
  <c r="K9" i="53"/>
  <c r="K10" i="53"/>
  <c r="K11" i="53"/>
  <c r="F77" i="55"/>
  <c r="F78" i="55"/>
  <c r="J79" i="55"/>
  <c r="J24" i="55"/>
  <c r="J27" i="55"/>
  <c r="J28" i="55"/>
  <c r="F64" i="55"/>
  <c r="F50" i="55"/>
  <c r="J53" i="55"/>
  <c r="J54" i="55"/>
  <c r="J55" i="55"/>
  <c r="J72" i="55"/>
  <c r="K18" i="55"/>
  <c r="K27" i="55"/>
  <c r="K28" i="55"/>
  <c r="K54" i="55"/>
  <c r="K55" i="55"/>
  <c r="K72" i="55"/>
  <c r="L18" i="55"/>
  <c r="L27" i="55"/>
  <c r="L28" i="55"/>
  <c r="L54" i="55"/>
  <c r="L55" i="55"/>
  <c r="L72" i="55"/>
  <c r="M18" i="55"/>
  <c r="M27" i="55"/>
  <c r="M28" i="55"/>
  <c r="M54" i="55"/>
  <c r="M55" i="55"/>
  <c r="M72" i="55"/>
  <c r="N18" i="55"/>
  <c r="J35" i="55"/>
  <c r="F105" i="55"/>
  <c r="I110" i="55"/>
  <c r="J107" i="55"/>
  <c r="F114" i="55"/>
  <c r="F115" i="55"/>
  <c r="J116" i="55"/>
  <c r="J38" i="55"/>
  <c r="J11" i="55" a="1"/>
  <c r="J2" i="55" a="1"/>
  <c r="J15" i="55" a="1"/>
  <c r="F120" i="55"/>
  <c r="J19" i="55"/>
  <c r="J121" i="55"/>
  <c r="J124" i="55"/>
  <c r="K35" i="55"/>
  <c r="K19" i="55"/>
  <c r="K121" i="55"/>
  <c r="K124" i="55"/>
  <c r="L35" i="55"/>
  <c r="L19" i="55"/>
  <c r="L121" i="55"/>
  <c r="L124" i="55"/>
  <c r="M35" i="55"/>
  <c r="M19" i="55"/>
  <c r="M121" i="55"/>
  <c r="M124" i="55"/>
  <c r="H162" i="55"/>
  <c r="H161" i="55"/>
  <c r="H160" i="55"/>
  <c r="H159" i="55"/>
  <c r="H158" i="55"/>
  <c r="F141" i="55"/>
  <c r="J133" i="55"/>
  <c r="O18" i="55"/>
  <c r="P18" i="55"/>
  <c r="Q18" i="55"/>
  <c r="R18" i="55"/>
  <c r="S18" i="55"/>
  <c r="T18" i="55"/>
  <c r="U18" i="55"/>
  <c r="V18" i="55"/>
  <c r="W18" i="55"/>
  <c r="X18" i="55"/>
  <c r="Y18" i="55"/>
  <c r="Z18" i="55"/>
  <c r="AA18" i="55"/>
  <c r="AB18" i="55"/>
  <c r="AC18" i="55"/>
  <c r="AD18" i="55"/>
  <c r="AE18" i="55"/>
  <c r="AF18" i="55"/>
  <c r="AG18" i="55"/>
  <c r="AH18" i="55"/>
  <c r="AI18" i="55"/>
  <c r="AJ18" i="55"/>
  <c r="AK18" i="55"/>
  <c r="AL18" i="55"/>
  <c r="AM18" i="55"/>
  <c r="AN18" i="55"/>
  <c r="AO18" i="55"/>
  <c r="AP18" i="55"/>
  <c r="AQ18" i="55"/>
  <c r="AR18" i="55"/>
  <c r="AS18" i="55"/>
  <c r="AT18" i="55"/>
  <c r="AU18" i="55"/>
  <c r="AV18" i="55"/>
  <c r="AW18" i="55"/>
  <c r="AW34" i="55"/>
  <c r="N19" i="55"/>
  <c r="N121" i="55"/>
  <c r="N124" i="55"/>
  <c r="O19" i="55"/>
  <c r="O121" i="55"/>
  <c r="O124" i="55"/>
  <c r="P19" i="55"/>
  <c r="P121" i="55"/>
  <c r="P124" i="55"/>
  <c r="Q19" i="55"/>
  <c r="Q121" i="55"/>
  <c r="Q124" i="55"/>
  <c r="R19" i="55"/>
  <c r="R121" i="55"/>
  <c r="R124" i="55"/>
  <c r="S19" i="55"/>
  <c r="S121" i="55"/>
  <c r="S124" i="55"/>
  <c r="T19" i="55"/>
  <c r="T121" i="55"/>
  <c r="T124" i="55"/>
  <c r="U19" i="55"/>
  <c r="U121" i="55"/>
  <c r="U124" i="55"/>
  <c r="V19" i="55"/>
  <c r="V121" i="55"/>
  <c r="V124" i="55"/>
  <c r="W19" i="55"/>
  <c r="W121" i="55"/>
  <c r="W124" i="55"/>
  <c r="X19" i="55"/>
  <c r="X121" i="55"/>
  <c r="X124" i="55"/>
  <c r="Y19" i="55"/>
  <c r="Y121" i="55"/>
  <c r="Y124" i="55"/>
  <c r="Z19" i="55"/>
  <c r="Z121" i="55"/>
  <c r="Z124" i="55"/>
  <c r="AA19" i="55"/>
  <c r="AA121" i="55"/>
  <c r="AA124" i="55"/>
  <c r="AB19" i="55"/>
  <c r="AB121" i="55"/>
  <c r="AB124" i="55"/>
  <c r="AC19" i="55"/>
  <c r="AC121" i="55"/>
  <c r="AC124" i="55"/>
  <c r="AD19" i="55"/>
  <c r="AD121" i="55"/>
  <c r="AD124" i="55"/>
  <c r="AE34" i="55"/>
  <c r="AE19" i="55"/>
  <c r="AE121" i="55"/>
  <c r="AE124" i="55"/>
  <c r="AF34" i="55"/>
  <c r="AF19" i="55"/>
  <c r="AF121" i="55"/>
  <c r="AF124" i="55"/>
  <c r="AG34" i="55"/>
  <c r="AG19" i="55"/>
  <c r="AG121" i="55"/>
  <c r="AG124" i="55"/>
  <c r="AH34" i="55"/>
  <c r="AH19" i="55"/>
  <c r="AH121" i="55"/>
  <c r="AH124" i="55"/>
  <c r="AI34" i="55"/>
  <c r="AI19" i="55"/>
  <c r="AI121" i="55"/>
  <c r="AI124" i="55"/>
  <c r="AJ34" i="55"/>
  <c r="AJ19" i="55"/>
  <c r="AJ121" i="55"/>
  <c r="AJ124" i="55"/>
  <c r="AK34" i="55"/>
  <c r="AK19" i="55"/>
  <c r="AK121" i="55"/>
  <c r="AK124" i="55"/>
  <c r="AL34" i="55"/>
  <c r="AL19" i="55"/>
  <c r="AL121" i="55"/>
  <c r="AL124" i="55"/>
  <c r="AM34" i="55"/>
  <c r="AM19" i="55"/>
  <c r="AM121" i="55"/>
  <c r="AM124" i="55"/>
  <c r="AN34" i="55"/>
  <c r="AN19" i="55"/>
  <c r="AN121" i="55"/>
  <c r="AN124" i="55"/>
  <c r="AO34" i="55"/>
  <c r="AO19" i="55"/>
  <c r="AO121" i="55"/>
  <c r="AO124" i="55"/>
  <c r="AP34" i="55"/>
  <c r="AP19" i="55"/>
  <c r="AP121" i="55"/>
  <c r="AP124" i="55"/>
  <c r="AQ34" i="55"/>
  <c r="AQ19" i="55"/>
  <c r="AQ121" i="55"/>
  <c r="AQ124" i="55"/>
  <c r="AR34" i="55"/>
  <c r="AR19" i="55"/>
  <c r="AR121" i="55"/>
  <c r="AR124" i="55"/>
  <c r="AS34" i="55"/>
  <c r="AS19" i="55"/>
  <c r="AS121" i="55"/>
  <c r="AS124" i="55"/>
  <c r="AT34" i="55"/>
  <c r="AT19" i="55"/>
  <c r="AT121" i="55"/>
  <c r="AT124" i="55"/>
  <c r="AU34" i="55"/>
  <c r="AU19" i="55"/>
  <c r="AU121" i="55"/>
  <c r="AU124" i="55"/>
  <c r="AV34" i="55"/>
  <c r="AV19" i="55"/>
  <c r="AV121" i="55"/>
  <c r="AV124" i="55"/>
  <c r="AW19" i="55"/>
  <c r="AW121" i="55"/>
  <c r="AW124" i="55"/>
  <c r="F144" i="55"/>
  <c r="E144" i="55"/>
  <c r="I142" i="55"/>
  <c r="G142" i="55"/>
  <c r="E142" i="55"/>
  <c r="E141" i="55"/>
  <c r="I44" i="55"/>
  <c r="G44" i="55"/>
  <c r="E44" i="55"/>
  <c r="I134" i="55"/>
  <c r="G134" i="55"/>
  <c r="E134" i="55"/>
  <c r="I131" i="55"/>
  <c r="G131" i="55"/>
  <c r="E131" i="55"/>
  <c r="I41" i="55"/>
  <c r="G41" i="55"/>
  <c r="E41" i="55"/>
  <c r="I124" i="55"/>
  <c r="G124" i="55"/>
  <c r="E124" i="55"/>
  <c r="I125" i="55"/>
  <c r="G125" i="55"/>
  <c r="E125" i="55"/>
  <c r="E114" i="55"/>
  <c r="H19" i="55"/>
  <c r="E120" i="55"/>
  <c r="I35" i="55"/>
  <c r="G35" i="55"/>
  <c r="E35" i="55"/>
  <c r="G34" i="55"/>
  <c r="H38" i="53"/>
  <c r="J16" i="55" a="1"/>
  <c r="I33" i="55"/>
  <c r="G33" i="55"/>
  <c r="E33" i="55"/>
  <c r="I32" i="55"/>
  <c r="G32" i="55"/>
  <c r="E32" i="55"/>
  <c r="I55" i="55"/>
  <c r="G55" i="55"/>
  <c r="F55" i="55"/>
  <c r="E55" i="55"/>
  <c r="I54" i="55"/>
  <c r="G54" i="55"/>
  <c r="F54" i="55"/>
  <c r="E54" i="55"/>
  <c r="I28" i="55"/>
  <c r="G28" i="55"/>
  <c r="E28" i="55"/>
  <c r="I53" i="55"/>
  <c r="G53" i="55"/>
  <c r="E53" i="55"/>
  <c r="E91" i="55"/>
  <c r="E96" i="55"/>
  <c r="I24" i="55"/>
  <c r="G24" i="55"/>
  <c r="E24" i="55"/>
  <c r="E77" i="55"/>
  <c r="E64" i="55"/>
  <c r="E63" i="55"/>
  <c r="E50" i="55"/>
  <c r="F9" i="55"/>
  <c r="F8" i="55"/>
  <c r="F7" i="55"/>
  <c r="H15" i="55" a="1"/>
  <c r="A2" i="55" a="1"/>
  <c r="A1" i="55" a="1"/>
  <c r="E45" i="53" a="1"/>
  <c r="H16" i="55" a="1"/>
  <c r="J119" i="54"/>
  <c r="J121" i="54"/>
  <c r="H119" i="54"/>
  <c r="K107" i="54"/>
  <c r="G99" i="54"/>
  <c r="J97" i="54"/>
  <c r="K99" i="54"/>
  <c r="G88" i="54"/>
  <c r="AH88" i="54"/>
  <c r="G72" i="54"/>
  <c r="G69" i="54"/>
  <c r="AT69" i="54"/>
  <c r="J67" i="54"/>
  <c r="K61" i="54"/>
  <c r="G55" i="54"/>
  <c r="G52" i="54"/>
  <c r="AO52" i="54"/>
  <c r="J50" i="54"/>
  <c r="K48" i="54"/>
  <c r="E17" i="54"/>
  <c r="E16" i="54"/>
  <c r="E15" i="54"/>
  <c r="E14" i="54"/>
  <c r="E13" i="54"/>
  <c r="J6" i="54"/>
  <c r="K6" i="54"/>
  <c r="K117" i="54"/>
  <c r="J117" i="54"/>
  <c r="H26" i="53"/>
  <c r="H7" i="53"/>
  <c r="H14" i="55" a="1"/>
  <c r="AM69" i="54"/>
  <c r="AP88" i="54"/>
  <c r="K94" i="54"/>
  <c r="AE69" i="54"/>
  <c r="AF69" i="54"/>
  <c r="AN69" i="54"/>
  <c r="R52" i="54"/>
  <c r="O69" i="54"/>
  <c r="AU69" i="54"/>
  <c r="Z52" i="54"/>
  <c r="P69" i="54"/>
  <c r="AV69" i="54"/>
  <c r="AH52" i="54"/>
  <c r="W69" i="54"/>
  <c r="AX52" i="54"/>
  <c r="X69" i="54"/>
  <c r="AX88" i="54"/>
  <c r="K88" i="54"/>
  <c r="K23" i="54"/>
  <c r="L6" i="54"/>
  <c r="Y52" i="54"/>
  <c r="AG52" i="54"/>
  <c r="K72" i="54"/>
  <c r="AV52" i="54"/>
  <c r="AN52" i="54"/>
  <c r="AF52" i="54"/>
  <c r="X52" i="54"/>
  <c r="P52" i="54"/>
  <c r="AU52" i="54"/>
  <c r="AM52" i="54"/>
  <c r="AE52" i="54"/>
  <c r="W52" i="54"/>
  <c r="O52" i="54"/>
  <c r="AT52" i="54"/>
  <c r="AL52" i="54"/>
  <c r="AD52" i="54"/>
  <c r="V52" i="54"/>
  <c r="N52" i="54"/>
  <c r="G56" i="54"/>
  <c r="K56" i="54"/>
  <c r="AS52" i="54"/>
  <c r="AK52" i="54"/>
  <c r="AC52" i="54"/>
  <c r="U52" i="54"/>
  <c r="M52" i="54"/>
  <c r="AR52" i="54"/>
  <c r="AJ52" i="54"/>
  <c r="AB52" i="54"/>
  <c r="T52" i="54"/>
  <c r="L52" i="54"/>
  <c r="AQ52" i="54"/>
  <c r="AI52" i="54"/>
  <c r="AA52" i="54"/>
  <c r="S52" i="54"/>
  <c r="K52" i="54"/>
  <c r="K53" i="54"/>
  <c r="AP52" i="54"/>
  <c r="Q52" i="54"/>
  <c r="AW52" i="54"/>
  <c r="Q69" i="54"/>
  <c r="Y69" i="54"/>
  <c r="AG69" i="54"/>
  <c r="AO69" i="54"/>
  <c r="AW69" i="54"/>
  <c r="R69" i="54"/>
  <c r="Z69" i="54"/>
  <c r="AH69" i="54"/>
  <c r="AP69" i="54"/>
  <c r="AX69" i="54"/>
  <c r="K69" i="54"/>
  <c r="K70" i="54"/>
  <c r="S69" i="54"/>
  <c r="AA69" i="54"/>
  <c r="AI69" i="54"/>
  <c r="AQ69" i="54"/>
  <c r="L69" i="54"/>
  <c r="T69" i="54"/>
  <c r="AB69" i="54"/>
  <c r="AJ69" i="54"/>
  <c r="AR69" i="54"/>
  <c r="AW88" i="54"/>
  <c r="AO88" i="54"/>
  <c r="AG88" i="54"/>
  <c r="Y88" i="54"/>
  <c r="Q88" i="54"/>
  <c r="AV88" i="54"/>
  <c r="AN88" i="54"/>
  <c r="AF88" i="54"/>
  <c r="X88" i="54"/>
  <c r="P88" i="54"/>
  <c r="AU88" i="54"/>
  <c r="AM88" i="54"/>
  <c r="AE88" i="54"/>
  <c r="W88" i="54"/>
  <c r="O88" i="54"/>
  <c r="AT88" i="54"/>
  <c r="AL88" i="54"/>
  <c r="AD88" i="54"/>
  <c r="V88" i="54"/>
  <c r="N88" i="54"/>
  <c r="AS88" i="54"/>
  <c r="AK88" i="54"/>
  <c r="AC88" i="54"/>
  <c r="U88" i="54"/>
  <c r="M88" i="54"/>
  <c r="AR88" i="54"/>
  <c r="AJ88" i="54"/>
  <c r="AB88" i="54"/>
  <c r="T88" i="54"/>
  <c r="L88" i="54"/>
  <c r="AQ88" i="54"/>
  <c r="AI88" i="54"/>
  <c r="AA88" i="54"/>
  <c r="S88" i="54"/>
  <c r="M69" i="54"/>
  <c r="U69" i="54"/>
  <c r="AC69" i="54"/>
  <c r="AK69" i="54"/>
  <c r="AS69" i="54"/>
  <c r="R88" i="54"/>
  <c r="N69" i="54"/>
  <c r="V69" i="54"/>
  <c r="AD69" i="54"/>
  <c r="AL69" i="54"/>
  <c r="Z88" i="54"/>
  <c r="L99" i="54"/>
  <c r="H18" i="55"/>
  <c r="K57" i="54"/>
  <c r="K49" i="54"/>
  <c r="K27" i="54"/>
  <c r="K24" i="54"/>
  <c r="M99" i="54"/>
  <c r="L117" i="54"/>
  <c r="L23" i="54"/>
  <c r="M6" i="54"/>
  <c r="K81" i="54"/>
  <c r="K25" i="54"/>
  <c r="N99" i="54"/>
  <c r="K82" i="54"/>
  <c r="M117" i="54"/>
  <c r="M23" i="54"/>
  <c r="N6" i="54"/>
  <c r="K84" i="54"/>
  <c r="L81" i="54"/>
  <c r="K28" i="54"/>
  <c r="K29" i="54"/>
  <c r="K50" i="54"/>
  <c r="K31" i="54"/>
  <c r="K66" i="54"/>
  <c r="L48" i="54"/>
  <c r="N117" i="54"/>
  <c r="N23" i="54"/>
  <c r="O6" i="54"/>
  <c r="O99" i="54"/>
  <c r="K85" i="54"/>
  <c r="K87" i="54"/>
  <c r="K89" i="54"/>
  <c r="M81" i="54"/>
  <c r="N81" i="54"/>
  <c r="K33" i="54"/>
  <c r="K62" i="54"/>
  <c r="K90" i="54"/>
  <c r="L72" i="54"/>
  <c r="L56" i="54"/>
  <c r="L53" i="54"/>
  <c r="L57" i="54"/>
  <c r="L49" i="54"/>
  <c r="O117" i="54"/>
  <c r="P6" i="54"/>
  <c r="P99" i="54"/>
  <c r="K74" i="54"/>
  <c r="L28" i="54"/>
  <c r="P117" i="54"/>
  <c r="Q6" i="54"/>
  <c r="L50" i="54"/>
  <c r="Q99" i="54"/>
  <c r="L27" i="54"/>
  <c r="K73" i="54"/>
  <c r="Q117" i="54"/>
  <c r="R6" i="54"/>
  <c r="L85" i="54"/>
  <c r="R99" i="54"/>
  <c r="L84" i="54"/>
  <c r="K77" i="54"/>
  <c r="K65" i="54"/>
  <c r="K75" i="54"/>
  <c r="K63" i="54"/>
  <c r="L66" i="54"/>
  <c r="M48" i="54"/>
  <c r="R117" i="54"/>
  <c r="S6" i="54"/>
  <c r="K37" i="54"/>
  <c r="M56" i="54"/>
  <c r="M53" i="54"/>
  <c r="M72" i="54"/>
  <c r="L33" i="54"/>
  <c r="S99" i="54"/>
  <c r="K32" i="54"/>
  <c r="M27" i="54"/>
  <c r="S117" i="54"/>
  <c r="T6" i="54"/>
  <c r="T99" i="54"/>
  <c r="M57" i="54"/>
  <c r="M49" i="54"/>
  <c r="K34" i="54"/>
  <c r="K64" i="54"/>
  <c r="M84" i="54"/>
  <c r="U99" i="54"/>
  <c r="M28" i="54"/>
  <c r="M50" i="54"/>
  <c r="T117" i="54"/>
  <c r="U6" i="54"/>
  <c r="K36" i="54"/>
  <c r="K38" i="54"/>
  <c r="K100" i="54"/>
  <c r="K102" i="54"/>
  <c r="K95" i="54"/>
  <c r="K67" i="54"/>
  <c r="M66" i="54"/>
  <c r="N48" i="54"/>
  <c r="V99" i="54"/>
  <c r="M85" i="54"/>
  <c r="U117" i="54"/>
  <c r="V6" i="54"/>
  <c r="L61" i="54"/>
  <c r="K103" i="54"/>
  <c r="K108" i="54"/>
  <c r="M33" i="54"/>
  <c r="W99" i="54"/>
  <c r="N53" i="54"/>
  <c r="N56" i="54"/>
  <c r="N72" i="54"/>
  <c r="K40" i="54"/>
  <c r="V117" i="54"/>
  <c r="W6" i="54"/>
  <c r="L70" i="54"/>
  <c r="L24" i="54"/>
  <c r="L25" i="54"/>
  <c r="L29" i="54"/>
  <c r="L31" i="54"/>
  <c r="X99" i="54"/>
  <c r="K41" i="54"/>
  <c r="W117" i="54"/>
  <c r="X6" i="54"/>
  <c r="N57" i="54"/>
  <c r="N49" i="54"/>
  <c r="N27" i="54"/>
  <c r="L82" i="54"/>
  <c r="L87" i="54"/>
  <c r="L89" i="54"/>
  <c r="L90" i="54"/>
  <c r="N84" i="54"/>
  <c r="K112" i="54"/>
  <c r="K109" i="54"/>
  <c r="Y99" i="54"/>
  <c r="X117" i="54"/>
  <c r="Y6" i="54"/>
  <c r="N28" i="54"/>
  <c r="N50" i="54"/>
  <c r="L62" i="54"/>
  <c r="L74" i="54"/>
  <c r="Y117" i="54"/>
  <c r="Z6" i="54"/>
  <c r="K96" i="54"/>
  <c r="K110" i="54"/>
  <c r="L107" i="54"/>
  <c r="Z99" i="54"/>
  <c r="N66" i="54"/>
  <c r="O48" i="54"/>
  <c r="N85" i="54"/>
  <c r="L73" i="54"/>
  <c r="L77" i="54"/>
  <c r="L65" i="54"/>
  <c r="L75" i="54"/>
  <c r="L63" i="54"/>
  <c r="O53" i="54"/>
  <c r="O72" i="54"/>
  <c r="O56" i="54"/>
  <c r="K43" i="54"/>
  <c r="K97" i="54"/>
  <c r="L94" i="54"/>
  <c r="Z117" i="54"/>
  <c r="AA6" i="54"/>
  <c r="N33" i="54"/>
  <c r="AA99" i="54"/>
  <c r="O57" i="54"/>
  <c r="O49" i="54"/>
  <c r="O50" i="54"/>
  <c r="O66" i="54"/>
  <c r="P48" i="54"/>
  <c r="AA117" i="54"/>
  <c r="AB6" i="54"/>
  <c r="O27" i="54"/>
  <c r="K44" i="54"/>
  <c r="K120" i="54"/>
  <c r="AB99" i="54"/>
  <c r="O28" i="54"/>
  <c r="L32" i="54"/>
  <c r="L37" i="54"/>
  <c r="AB117" i="54"/>
  <c r="AC6" i="54"/>
  <c r="AC99" i="54"/>
  <c r="L34" i="54"/>
  <c r="K121" i="54"/>
  <c r="O85" i="54"/>
  <c r="O84" i="54"/>
  <c r="P72" i="54"/>
  <c r="P56" i="54"/>
  <c r="P53" i="54"/>
  <c r="P27" i="54"/>
  <c r="P84" i="54"/>
  <c r="O33" i="54"/>
  <c r="P57" i="54"/>
  <c r="P49" i="54"/>
  <c r="P28" i="54"/>
  <c r="P50" i="54"/>
  <c r="P66" i="54"/>
  <c r="P33" i="54"/>
  <c r="L64" i="54"/>
  <c r="AD99" i="54"/>
  <c r="AC117" i="54"/>
  <c r="AD6" i="54"/>
  <c r="P85" i="54"/>
  <c r="Q48" i="54"/>
  <c r="Q56" i="54"/>
  <c r="L36" i="54"/>
  <c r="L38" i="54"/>
  <c r="L100" i="54"/>
  <c r="L102" i="54"/>
  <c r="L95" i="54"/>
  <c r="L67" i="54"/>
  <c r="Q72" i="54"/>
  <c r="AE99" i="54"/>
  <c r="AD117" i="54"/>
  <c r="AE6" i="54"/>
  <c r="Q53" i="54"/>
  <c r="Q27" i="54"/>
  <c r="Q84" i="54"/>
  <c r="M61" i="54"/>
  <c r="L103" i="54"/>
  <c r="L108" i="54"/>
  <c r="AF99" i="54"/>
  <c r="AE117" i="54"/>
  <c r="AF6" i="54"/>
  <c r="L40" i="54"/>
  <c r="Q57" i="54"/>
  <c r="Q49" i="54"/>
  <c r="Q28" i="54"/>
  <c r="M70" i="54"/>
  <c r="M24" i="54"/>
  <c r="M25" i="54"/>
  <c r="M29" i="54"/>
  <c r="M31" i="54"/>
  <c r="Q50" i="54"/>
  <c r="AF117" i="54"/>
  <c r="AG6" i="54"/>
  <c r="AG99" i="54"/>
  <c r="L41" i="54"/>
  <c r="M82" i="54"/>
  <c r="M87" i="54"/>
  <c r="M89" i="54"/>
  <c r="M90" i="54"/>
  <c r="M64" i="54"/>
  <c r="M36" i="54"/>
  <c r="M62" i="54"/>
  <c r="M74" i="54"/>
  <c r="L112" i="54"/>
  <c r="L109" i="54"/>
  <c r="AH99" i="54"/>
  <c r="AG117" i="54"/>
  <c r="AH6" i="54"/>
  <c r="Q66" i="54"/>
  <c r="Q33" i="54"/>
  <c r="R48" i="54"/>
  <c r="Q85" i="54"/>
  <c r="AI99" i="54"/>
  <c r="R72" i="54"/>
  <c r="R56" i="54"/>
  <c r="R53" i="54"/>
  <c r="R27" i="54"/>
  <c r="L96" i="54"/>
  <c r="L110" i="54"/>
  <c r="M107" i="54"/>
  <c r="AH117" i="54"/>
  <c r="AI6" i="54"/>
  <c r="M73" i="54"/>
  <c r="R57" i="54"/>
  <c r="R49" i="54"/>
  <c r="R28" i="54"/>
  <c r="R85" i="54"/>
  <c r="L43" i="54"/>
  <c r="L97" i="54"/>
  <c r="M94" i="54"/>
  <c r="AJ99" i="54"/>
  <c r="M77" i="54"/>
  <c r="M65" i="54"/>
  <c r="M75" i="54"/>
  <c r="M63" i="54"/>
  <c r="R50" i="54"/>
  <c r="R84" i="54"/>
  <c r="AI117" i="54"/>
  <c r="AJ6" i="54"/>
  <c r="L44" i="54"/>
  <c r="L120" i="54"/>
  <c r="M37" i="54"/>
  <c r="AJ117" i="54"/>
  <c r="AK6" i="54"/>
  <c r="AK99" i="54"/>
  <c r="M32" i="54"/>
  <c r="M67" i="54"/>
  <c r="R66" i="54"/>
  <c r="R33" i="54"/>
  <c r="S48" i="54"/>
  <c r="N61" i="54"/>
  <c r="AL99" i="54"/>
  <c r="S72" i="54"/>
  <c r="S56" i="54"/>
  <c r="S53" i="54"/>
  <c r="S27" i="54"/>
  <c r="AK117" i="54"/>
  <c r="AL6" i="54"/>
  <c r="L121" i="54"/>
  <c r="M34" i="54"/>
  <c r="M38" i="54"/>
  <c r="S57" i="54"/>
  <c r="S49" i="54"/>
  <c r="S28" i="54"/>
  <c r="S85" i="54"/>
  <c r="N70" i="54"/>
  <c r="N24" i="54"/>
  <c r="AL117" i="54"/>
  <c r="AM6" i="54"/>
  <c r="AM99" i="54"/>
  <c r="S50" i="54"/>
  <c r="M100" i="54"/>
  <c r="M102" i="54"/>
  <c r="S84" i="54"/>
  <c r="M95" i="54"/>
  <c r="M103" i="54"/>
  <c r="S66" i="54"/>
  <c r="S33" i="54"/>
  <c r="T48" i="54"/>
  <c r="N25" i="54"/>
  <c r="N82" i="54"/>
  <c r="N87" i="54"/>
  <c r="N89" i="54"/>
  <c r="AM117" i="54"/>
  <c r="AN6" i="54"/>
  <c r="AN99" i="54"/>
  <c r="AO99" i="54"/>
  <c r="N90" i="54"/>
  <c r="M40" i="54"/>
  <c r="T72" i="54"/>
  <c r="T56" i="54"/>
  <c r="T53" i="54"/>
  <c r="T27" i="54"/>
  <c r="M108" i="54"/>
  <c r="AN117" i="54"/>
  <c r="AO6" i="54"/>
  <c r="N29" i="54"/>
  <c r="AO117" i="54"/>
  <c r="AP6" i="54"/>
  <c r="T84" i="54"/>
  <c r="N64" i="54"/>
  <c r="AP99" i="54"/>
  <c r="T57" i="54"/>
  <c r="T49" i="54"/>
  <c r="N31" i="54"/>
  <c r="N74" i="54"/>
  <c r="M41" i="54"/>
  <c r="T28" i="54"/>
  <c r="T50" i="54"/>
  <c r="AQ99" i="54"/>
  <c r="AP117" i="54"/>
  <c r="AQ6" i="54"/>
  <c r="N36" i="54"/>
  <c r="M112" i="54"/>
  <c r="M109" i="54"/>
  <c r="N62" i="54"/>
  <c r="AQ117" i="54"/>
  <c r="AR6" i="54"/>
  <c r="AR99" i="54"/>
  <c r="M96" i="54"/>
  <c r="M110" i="54"/>
  <c r="N107" i="54"/>
  <c r="T66" i="54"/>
  <c r="T33" i="54"/>
  <c r="U48" i="54"/>
  <c r="N73" i="54"/>
  <c r="T85" i="54"/>
  <c r="AS99" i="54"/>
  <c r="U56" i="54"/>
  <c r="U53" i="54"/>
  <c r="U27" i="54"/>
  <c r="U72" i="54"/>
  <c r="N77" i="54"/>
  <c r="N65" i="54"/>
  <c r="N75" i="54"/>
  <c r="N63" i="54"/>
  <c r="AR117" i="54"/>
  <c r="AS6" i="54"/>
  <c r="M43" i="54"/>
  <c r="M97" i="54"/>
  <c r="N94" i="54"/>
  <c r="N37" i="54"/>
  <c r="N32" i="54"/>
  <c r="N67" i="54"/>
  <c r="AT99" i="54"/>
  <c r="U57" i="54"/>
  <c r="U49" i="54"/>
  <c r="M44" i="54"/>
  <c r="M120" i="54"/>
  <c r="U84" i="54"/>
  <c r="AS117" i="54"/>
  <c r="AT6" i="54"/>
  <c r="O61" i="54"/>
  <c r="N34" i="54"/>
  <c r="N38" i="54"/>
  <c r="U28" i="54"/>
  <c r="U50" i="54"/>
  <c r="AT117" i="54"/>
  <c r="AU6" i="54"/>
  <c r="AU99" i="54"/>
  <c r="M121" i="54"/>
  <c r="O70" i="54"/>
  <c r="O24" i="54"/>
  <c r="N100" i="54"/>
  <c r="N102" i="54"/>
  <c r="AU117" i="54"/>
  <c r="AV6" i="54"/>
  <c r="U85" i="54"/>
  <c r="AV99" i="54"/>
  <c r="U66" i="54"/>
  <c r="U33" i="54"/>
  <c r="V48" i="54"/>
  <c r="V53" i="54"/>
  <c r="V27" i="54"/>
  <c r="V56" i="54"/>
  <c r="V57" i="54"/>
  <c r="V49" i="54"/>
  <c r="V28" i="54"/>
  <c r="V72" i="54"/>
  <c r="AV117" i="54"/>
  <c r="AW6" i="54"/>
  <c r="N95" i="54"/>
  <c r="N103" i="54"/>
  <c r="AW99" i="54"/>
  <c r="O82" i="54"/>
  <c r="N108" i="54"/>
  <c r="N40" i="54"/>
  <c r="V85" i="54"/>
  <c r="AW117" i="54"/>
  <c r="AX6" i="54"/>
  <c r="V50" i="54"/>
  <c r="V84" i="54"/>
  <c r="AX99" i="54"/>
  <c r="V66" i="54"/>
  <c r="V33" i="54"/>
  <c r="W48" i="54"/>
  <c r="AX117" i="54"/>
  <c r="N41" i="54"/>
  <c r="H99" i="54"/>
  <c r="W53" i="54"/>
  <c r="W27" i="54"/>
  <c r="W72" i="54"/>
  <c r="W56" i="54"/>
  <c r="W57" i="54"/>
  <c r="W49" i="54"/>
  <c r="W28" i="54"/>
  <c r="N112" i="54"/>
  <c r="N109" i="54"/>
  <c r="N96" i="54"/>
  <c r="N110" i="54"/>
  <c r="O107" i="54"/>
  <c r="W85" i="54"/>
  <c r="W50" i="54"/>
  <c r="W84" i="54"/>
  <c r="N43" i="54"/>
  <c r="N97" i="54"/>
  <c r="O94" i="54"/>
  <c r="W66" i="54"/>
  <c r="W33" i="54"/>
  <c r="X48" i="54"/>
  <c r="N44" i="54"/>
  <c r="N120" i="54"/>
  <c r="X72" i="54"/>
  <c r="X56" i="54"/>
  <c r="X53" i="54"/>
  <c r="X27" i="54"/>
  <c r="X84" i="54"/>
  <c r="N121" i="54"/>
  <c r="X57" i="54"/>
  <c r="X49" i="54"/>
  <c r="X28" i="54"/>
  <c r="X50" i="54"/>
  <c r="X66" i="54"/>
  <c r="X33" i="54"/>
  <c r="Y48" i="54"/>
  <c r="X85" i="54"/>
  <c r="Y72" i="54"/>
  <c r="Y56" i="54"/>
  <c r="Y53" i="54"/>
  <c r="Y27" i="54"/>
  <c r="Y84" i="54"/>
  <c r="Y57" i="54"/>
  <c r="Y49" i="54"/>
  <c r="Y28" i="54"/>
  <c r="Y50" i="54"/>
  <c r="Y66" i="54"/>
  <c r="Y33" i="54"/>
  <c r="Z48" i="54"/>
  <c r="Y85" i="54"/>
  <c r="Z72" i="54"/>
  <c r="Z56" i="54"/>
  <c r="Z53" i="54"/>
  <c r="Z27" i="54"/>
  <c r="Z84" i="54"/>
  <c r="Z57" i="54"/>
  <c r="Z49" i="54"/>
  <c r="Z28" i="54"/>
  <c r="Z50" i="54"/>
  <c r="AA48" i="54"/>
  <c r="Z66" i="54"/>
  <c r="Z33" i="54"/>
  <c r="Z85" i="54"/>
  <c r="AA72" i="54"/>
  <c r="AA56" i="54"/>
  <c r="AA53" i="54"/>
  <c r="AA27" i="54"/>
  <c r="AA57" i="54"/>
  <c r="AA49" i="54"/>
  <c r="AA28" i="54"/>
  <c r="AA50" i="54"/>
  <c r="AA85" i="54"/>
  <c r="AA84" i="54"/>
  <c r="AA66" i="54"/>
  <c r="AA33" i="54"/>
  <c r="AB48" i="54"/>
  <c r="AB72" i="54"/>
  <c r="AB56" i="54"/>
  <c r="AB53" i="54"/>
  <c r="AB27" i="54"/>
  <c r="AB57" i="54"/>
  <c r="AB49" i="54"/>
  <c r="AB28" i="54"/>
  <c r="AB50" i="54"/>
  <c r="AB84" i="54"/>
  <c r="AB85" i="54"/>
  <c r="AB66" i="54"/>
  <c r="AB33" i="54"/>
  <c r="AC48" i="54"/>
  <c r="AC72" i="54"/>
  <c r="AC56" i="54"/>
  <c r="AC53" i="54"/>
  <c r="AC27" i="54"/>
  <c r="AC84" i="54"/>
  <c r="AC57" i="54"/>
  <c r="AC49" i="54"/>
  <c r="AC28" i="54"/>
  <c r="AC50" i="54"/>
  <c r="AC85" i="54"/>
  <c r="AC66" i="54"/>
  <c r="AC33" i="54"/>
  <c r="AD48" i="54"/>
  <c r="AD72" i="54"/>
  <c r="AD53" i="54"/>
  <c r="AD27" i="54"/>
  <c r="AD56" i="54"/>
  <c r="AD57" i="54"/>
  <c r="AD49" i="54"/>
  <c r="AD28" i="54"/>
  <c r="AD85" i="54"/>
  <c r="AD50" i="54"/>
  <c r="AD84" i="54"/>
  <c r="AD66" i="54"/>
  <c r="AD33" i="54"/>
  <c r="AE48" i="54"/>
  <c r="AE72" i="54"/>
  <c r="AE53" i="54"/>
  <c r="AE27" i="54"/>
  <c r="AE56" i="54"/>
  <c r="AE57" i="54"/>
  <c r="AE49" i="54"/>
  <c r="AE28" i="54"/>
  <c r="AE85" i="54"/>
  <c r="AE50" i="54"/>
  <c r="AE84" i="54"/>
  <c r="AE66" i="54"/>
  <c r="AE33" i="54"/>
  <c r="AF48" i="54"/>
  <c r="AF72" i="54"/>
  <c r="AF56" i="54"/>
  <c r="AF53" i="54"/>
  <c r="AF27" i="54"/>
  <c r="AF57" i="54"/>
  <c r="AF49" i="54"/>
  <c r="AF28" i="54"/>
  <c r="AF84" i="54"/>
  <c r="AF85" i="54"/>
  <c r="AF50" i="54"/>
  <c r="AF66" i="54"/>
  <c r="AF33" i="54"/>
  <c r="AG48" i="54"/>
  <c r="AG72" i="54"/>
  <c r="AG56" i="54"/>
  <c r="AG53" i="54"/>
  <c r="AG27" i="54"/>
  <c r="AG84" i="54"/>
  <c r="AG57" i="54"/>
  <c r="AG49" i="54"/>
  <c r="AG28" i="54"/>
  <c r="AG50" i="54"/>
  <c r="AH48" i="54"/>
  <c r="AG66" i="54"/>
  <c r="AG33" i="54"/>
  <c r="AG85" i="54"/>
  <c r="AH72" i="54"/>
  <c r="AH56" i="54"/>
  <c r="AH53" i="54"/>
  <c r="AH27" i="54"/>
  <c r="AH57" i="54"/>
  <c r="AH49" i="54"/>
  <c r="AH28" i="54"/>
  <c r="AH84" i="54"/>
  <c r="AH85" i="54"/>
  <c r="AH50" i="54"/>
  <c r="AI48" i="54"/>
  <c r="AH66" i="54"/>
  <c r="AH33" i="54"/>
  <c r="AI72" i="54"/>
  <c r="AI56" i="54"/>
  <c r="AI53" i="54"/>
  <c r="AI27" i="54"/>
  <c r="AI57" i="54"/>
  <c r="AI49" i="54"/>
  <c r="AI28" i="54"/>
  <c r="AI50" i="54"/>
  <c r="AI84" i="54"/>
  <c r="AI85" i="54"/>
  <c r="AI66" i="54"/>
  <c r="AI33" i="54"/>
  <c r="AJ48" i="54"/>
  <c r="AJ72" i="54"/>
  <c r="AJ56" i="54"/>
  <c r="AJ53" i="54"/>
  <c r="AJ27" i="54"/>
  <c r="AJ57" i="54"/>
  <c r="AJ49" i="54"/>
  <c r="AJ28" i="54"/>
  <c r="AJ50" i="54"/>
  <c r="AJ84" i="54"/>
  <c r="AJ85" i="54"/>
  <c r="AJ66" i="54"/>
  <c r="AJ33" i="54"/>
  <c r="AK48" i="54"/>
  <c r="AK72" i="54"/>
  <c r="AK56" i="54"/>
  <c r="AK53" i="54"/>
  <c r="AK27" i="54"/>
  <c r="AK84" i="54"/>
  <c r="AK57" i="54"/>
  <c r="AK49" i="54"/>
  <c r="AK28" i="54"/>
  <c r="AK50" i="54"/>
  <c r="AK66" i="54"/>
  <c r="AK33" i="54"/>
  <c r="AL48" i="54"/>
  <c r="AK85" i="54"/>
  <c r="AL72" i="54"/>
  <c r="AL53" i="54"/>
  <c r="AL27" i="54"/>
  <c r="AL56" i="54"/>
  <c r="AL57" i="54"/>
  <c r="AL49" i="54"/>
  <c r="AL28" i="54"/>
  <c r="AL85" i="54"/>
  <c r="AL50" i="54"/>
  <c r="AL84" i="54"/>
  <c r="AL66" i="54"/>
  <c r="AL33" i="54"/>
  <c r="AM48" i="54"/>
  <c r="AM72" i="54"/>
  <c r="AM53" i="54"/>
  <c r="AM27" i="54"/>
  <c r="AM56" i="54"/>
  <c r="AM57" i="54"/>
  <c r="AM49" i="54"/>
  <c r="AM28" i="54"/>
  <c r="AM50" i="54"/>
  <c r="AM84" i="54"/>
  <c r="AM85" i="54"/>
  <c r="AM66" i="54"/>
  <c r="AM33" i="54"/>
  <c r="AN48" i="54"/>
  <c r="AN72" i="54"/>
  <c r="AN56" i="54"/>
  <c r="AN53" i="54"/>
  <c r="AN27" i="54"/>
  <c r="AN57" i="54"/>
  <c r="AN49" i="54"/>
  <c r="AN28" i="54"/>
  <c r="AN85" i="54"/>
  <c r="AN50" i="54"/>
  <c r="AN84" i="54"/>
  <c r="AN66" i="54"/>
  <c r="AN33" i="54"/>
  <c r="AO48" i="54"/>
  <c r="AO72" i="54"/>
  <c r="AO56" i="54"/>
  <c r="AO53" i="54"/>
  <c r="AO27" i="54"/>
  <c r="AO84" i="54"/>
  <c r="AO57" i="54"/>
  <c r="AO49" i="54"/>
  <c r="AO28" i="54"/>
  <c r="AO50" i="54"/>
  <c r="AO85" i="54"/>
  <c r="AP48" i="54"/>
  <c r="AO66" i="54"/>
  <c r="AO33" i="54"/>
  <c r="AP72" i="54"/>
  <c r="AP56" i="54"/>
  <c r="AP53" i="54"/>
  <c r="AP27" i="54"/>
  <c r="AP84" i="54"/>
  <c r="AP57" i="54"/>
  <c r="AP49" i="54"/>
  <c r="AP28" i="54"/>
  <c r="AP50" i="54"/>
  <c r="AQ48" i="54"/>
  <c r="AP85" i="54"/>
  <c r="AQ72" i="54"/>
  <c r="AQ56" i="54"/>
  <c r="AQ53" i="54"/>
  <c r="AQ27" i="54"/>
  <c r="AQ57" i="54"/>
  <c r="AQ49" i="54"/>
  <c r="AQ28" i="54"/>
  <c r="AQ50" i="54"/>
  <c r="AQ85" i="54"/>
  <c r="AQ84" i="54"/>
  <c r="AR48" i="54"/>
  <c r="AR72" i="54"/>
  <c r="AR56" i="54"/>
  <c r="AR53" i="54"/>
  <c r="AR27" i="54"/>
  <c r="AR84" i="54"/>
  <c r="AR57" i="54"/>
  <c r="AR49" i="54"/>
  <c r="AR28" i="54"/>
  <c r="AR50" i="54"/>
  <c r="AR85" i="54"/>
  <c r="AS48" i="54"/>
  <c r="AS72" i="54"/>
  <c r="AS56" i="54"/>
  <c r="AS53" i="54"/>
  <c r="AS27" i="54"/>
  <c r="AS84" i="54"/>
  <c r="AS57" i="54"/>
  <c r="AS49" i="54"/>
  <c r="AS28" i="54"/>
  <c r="AS50" i="54"/>
  <c r="AT48" i="54"/>
  <c r="AS85" i="54"/>
  <c r="AT72" i="54"/>
  <c r="AT53" i="54"/>
  <c r="AT27" i="54"/>
  <c r="AT56" i="54"/>
  <c r="AT57" i="54"/>
  <c r="AT49" i="54"/>
  <c r="AT84" i="54"/>
  <c r="AT28" i="54"/>
  <c r="AT50" i="54"/>
  <c r="AU48" i="54"/>
  <c r="AT85" i="54"/>
  <c r="AU72" i="54"/>
  <c r="AU53" i="54"/>
  <c r="AU27" i="54"/>
  <c r="AU56" i="54"/>
  <c r="AU57" i="54"/>
  <c r="AU49" i="54"/>
  <c r="AU28" i="54"/>
  <c r="AU50" i="54"/>
  <c r="AU85" i="54"/>
  <c r="AU84" i="54"/>
  <c r="AV48" i="54"/>
  <c r="AV72" i="54"/>
  <c r="AV56" i="54"/>
  <c r="AV53" i="54"/>
  <c r="AV27" i="54"/>
  <c r="AV84" i="54"/>
  <c r="AV57" i="54"/>
  <c r="AV49" i="54"/>
  <c r="AV28" i="54"/>
  <c r="AV50" i="54"/>
  <c r="AV85" i="54"/>
  <c r="AW48" i="54"/>
  <c r="AW72" i="54"/>
  <c r="AW56" i="54"/>
  <c r="AW53" i="54"/>
  <c r="AW27" i="54"/>
  <c r="AW84" i="54"/>
  <c r="AW57" i="54"/>
  <c r="AW49" i="54"/>
  <c r="AW28" i="54"/>
  <c r="AW50" i="54"/>
  <c r="AW85" i="54"/>
  <c r="AX48" i="54"/>
  <c r="AX72" i="54"/>
  <c r="AX56" i="54"/>
  <c r="AX53" i="54"/>
  <c r="AX57" i="54"/>
  <c r="AX49" i="54"/>
  <c r="AX27" i="54"/>
  <c r="H53" i="54"/>
  <c r="N12" i="54"/>
  <c r="H27" i="54"/>
  <c r="AX84" i="54"/>
  <c r="AX28" i="54"/>
  <c r="H49" i="54"/>
  <c r="AX50" i="54"/>
  <c r="O12" i="54"/>
  <c r="H28" i="54"/>
  <c r="AX85" i="54"/>
  <c r="M156" i="55"/>
  <c r="N27" i="55"/>
  <c r="N28" i="55"/>
  <c r="N54" i="55"/>
  <c r="N55" i="55"/>
  <c r="N72" i="55"/>
  <c r="O27" i="55"/>
  <c r="O28" i="55"/>
  <c r="O54" i="55"/>
  <c r="O55" i="55"/>
  <c r="O72" i="55"/>
  <c r="P27" i="55"/>
  <c r="P28" i="55"/>
  <c r="P54" i="55"/>
  <c r="P55" i="55"/>
  <c r="P72" i="55"/>
  <c r="Q27" i="55"/>
  <c r="Q28" i="55"/>
  <c r="Q54" i="55"/>
  <c r="Q55" i="55"/>
  <c r="Q72" i="55"/>
  <c r="R27" i="55"/>
  <c r="R28" i="55"/>
  <c r="R54" i="55"/>
  <c r="R55" i="55"/>
  <c r="R72" i="55"/>
  <c r="S27" i="55"/>
  <c r="S28" i="55"/>
  <c r="S54" i="55"/>
  <c r="S55" i="55"/>
  <c r="S72" i="55"/>
  <c r="T27" i="55"/>
  <c r="T28" i="55"/>
  <c r="T54" i="55"/>
  <c r="T55" i="55"/>
  <c r="T72" i="55"/>
  <c r="U27" i="55"/>
  <c r="U28" i="55"/>
  <c r="U54" i="55"/>
  <c r="U55" i="55"/>
  <c r="U72" i="55"/>
  <c r="V27" i="55"/>
  <c r="V28" i="55"/>
  <c r="V54" i="55"/>
  <c r="V55" i="55"/>
  <c r="V72" i="55"/>
  <c r="W27" i="55"/>
  <c r="W28" i="55"/>
  <c r="W54" i="55"/>
  <c r="W55" i="55"/>
  <c r="W72" i="55"/>
  <c r="X27" i="55"/>
  <c r="X28" i="55"/>
  <c r="X54" i="55"/>
  <c r="X55" i="55"/>
  <c r="X72" i="55"/>
  <c r="Y27" i="55"/>
  <c r="Y28" i="55"/>
  <c r="Y54" i="55"/>
  <c r="Y55" i="55"/>
  <c r="Y72" i="55"/>
  <c r="Z27" i="55"/>
  <c r="Z28" i="55"/>
  <c r="Z54" i="55"/>
  <c r="Z55" i="55"/>
  <c r="Z72" i="55"/>
  <c r="AA27" i="55"/>
  <c r="AA28" i="55"/>
  <c r="AA54" i="55"/>
  <c r="AA55" i="55"/>
  <c r="AA72" i="55"/>
  <c r="AB27" i="55"/>
  <c r="AB28" i="55"/>
  <c r="AB54" i="55"/>
  <c r="AB55" i="55"/>
  <c r="AB72" i="55"/>
  <c r="AC27" i="55"/>
  <c r="AC28" i="55"/>
  <c r="AC54" i="55"/>
  <c r="AC55" i="55"/>
  <c r="AC72" i="55"/>
  <c r="AD27" i="55"/>
  <c r="AD28" i="55"/>
  <c r="AD54" i="55"/>
  <c r="AD55" i="55"/>
  <c r="AD72" i="55"/>
  <c r="AE27" i="55"/>
  <c r="AE28" i="55"/>
  <c r="AE54" i="55"/>
  <c r="AE55" i="55"/>
  <c r="AE72" i="55"/>
  <c r="AF27" i="55"/>
  <c r="AF28" i="55"/>
  <c r="AF54" i="55"/>
  <c r="AF55" i="55"/>
  <c r="AF72" i="55"/>
  <c r="AG27" i="55"/>
  <c r="AG28" i="55"/>
  <c r="AG54" i="55"/>
  <c r="AG55" i="55"/>
  <c r="AG72" i="55"/>
  <c r="AH27" i="55"/>
  <c r="AH28" i="55"/>
  <c r="AH54" i="55"/>
  <c r="AH55" i="55"/>
  <c r="AH72" i="55"/>
  <c r="AI27" i="55"/>
  <c r="AI28" i="55"/>
  <c r="AI54" i="55"/>
  <c r="AI55" i="55"/>
  <c r="AI72" i="55"/>
  <c r="AJ27" i="55"/>
  <c r="AJ28" i="55"/>
  <c r="AJ54" i="55"/>
  <c r="AJ55" i="55"/>
  <c r="AJ72" i="55"/>
  <c r="AK27" i="55"/>
  <c r="AK28" i="55"/>
  <c r="AK54" i="55"/>
  <c r="AK55" i="55"/>
  <c r="AK72" i="55"/>
  <c r="AL27" i="55"/>
  <c r="AL28" i="55"/>
  <c r="AL54" i="55"/>
  <c r="AL55" i="55"/>
  <c r="AL72" i="55"/>
  <c r="AM27" i="55"/>
  <c r="AM28" i="55"/>
  <c r="AM54" i="55"/>
  <c r="AM55" i="55"/>
  <c r="AM72" i="55"/>
  <c r="AN27" i="55"/>
  <c r="AN28" i="55"/>
  <c r="AN54" i="55"/>
  <c r="AN55" i="55"/>
  <c r="AN72" i="55"/>
  <c r="AO27" i="55"/>
  <c r="AO28" i="55"/>
  <c r="AO54" i="55"/>
  <c r="AO55" i="55"/>
  <c r="AP27" i="55"/>
  <c r="AP28" i="55"/>
  <c r="AP54" i="55"/>
  <c r="AP55" i="55"/>
  <c r="AQ27" i="55"/>
  <c r="AQ28" i="55"/>
  <c r="AQ54" i="55"/>
  <c r="AQ55" i="55"/>
  <c r="AR27" i="55"/>
  <c r="AR28" i="55"/>
  <c r="AR54" i="55"/>
  <c r="AR55" i="55"/>
  <c r="AS27" i="55"/>
  <c r="AS28" i="55"/>
  <c r="AS54" i="55"/>
  <c r="AS55" i="55"/>
  <c r="AT27" i="55"/>
  <c r="AT28" i="55"/>
  <c r="AT54" i="55"/>
  <c r="AT55" i="55"/>
  <c r="AU27" i="55"/>
  <c r="AU28" i="55"/>
  <c r="AU54" i="55"/>
  <c r="AU55" i="55"/>
  <c r="AV27" i="55"/>
  <c r="AV28" i="55"/>
  <c r="AV54" i="55"/>
  <c r="AV55" i="55"/>
  <c r="AW27" i="55"/>
  <c r="AW28" i="55"/>
  <c r="AW54" i="55"/>
  <c r="AW55" i="55"/>
  <c r="N35" i="55"/>
  <c r="O35" i="55"/>
  <c r="P35" i="55"/>
  <c r="Q35" i="55"/>
  <c r="R35" i="55"/>
  <c r="S35" i="55"/>
  <c r="T35" i="55"/>
  <c r="U35" i="55"/>
  <c r="V35" i="55"/>
  <c r="W35" i="55"/>
  <c r="X35" i="55"/>
  <c r="Y35" i="55"/>
  <c r="Z35" i="55"/>
  <c r="AA35" i="55"/>
  <c r="AB35" i="55"/>
  <c r="AC35" i="55"/>
  <c r="AD35" i="55"/>
  <c r="AE35" i="55"/>
  <c r="AF35" i="55"/>
  <c r="AG35" i="55"/>
  <c r="AH35" i="55"/>
  <c r="AI35" i="55"/>
  <c r="AJ35" i="55"/>
  <c r="AK35" i="55"/>
  <c r="AL35" i="55"/>
  <c r="AM35" i="55"/>
  <c r="AN35" i="55"/>
  <c r="H99" i="55"/>
  <c r="H55" i="55"/>
  <c r="H93" i="55"/>
  <c r="H54" i="55"/>
  <c r="K12" i="53"/>
  <c r="K13" i="53"/>
  <c r="K14" i="53"/>
  <c r="K15" i="53"/>
  <c r="K16" i="53"/>
  <c r="K17" i="53"/>
  <c r="K18" i="53"/>
  <c r="K19" i="53"/>
  <c r="K20" i="53"/>
  <c r="K21" i="53"/>
  <c r="K22" i="53"/>
  <c r="K23" i="53"/>
  <c r="K24" i="53"/>
  <c r="K25" i="53"/>
  <c r="K26" i="53"/>
  <c r="K27" i="53"/>
  <c r="K28" i="53"/>
  <c r="K29" i="53"/>
  <c r="K30" i="53"/>
  <c r="K31" i="53"/>
  <c r="K32" i="53"/>
  <c r="K33" i="53"/>
  <c r="K34" i="53"/>
  <c r="K35" i="53"/>
  <c r="K36" i="53"/>
  <c r="K37" i="53"/>
  <c r="K38" i="53"/>
  <c r="K39" i="53"/>
  <c r="K40" i="53"/>
  <c r="K41" i="53"/>
  <c r="K42" i="53"/>
  <c r="K43" i="53"/>
  <c r="K44" i="53"/>
  <c r="K45" i="53"/>
  <c r="K46" i="53"/>
  <c r="K47" i="53"/>
  <c r="J23" i="55" a="1"/>
  <c r="J25" i="55"/>
  <c r="J29" i="55"/>
  <c r="J68" i="55"/>
  <c r="J69" i="55"/>
  <c r="J52" i="55"/>
  <c r="J57" i="55"/>
  <c r="J58" i="55"/>
  <c r="J59" i="55"/>
  <c r="J31" i="55"/>
  <c r="J32" i="55"/>
  <c r="J70" i="55"/>
  <c r="J71" i="55"/>
  <c r="J73" i="55"/>
  <c r="K67" i="55"/>
  <c r="K79" i="55"/>
  <c r="K24" i="55"/>
  <c r="K25" i="55"/>
  <c r="K29" i="55"/>
  <c r="K68" i="55"/>
  <c r="K69" i="55"/>
  <c r="K52" i="55"/>
  <c r="K53" i="55"/>
  <c r="K57" i="55"/>
  <c r="K58" i="55"/>
  <c r="K59" i="55"/>
  <c r="K31" i="55"/>
  <c r="K32" i="55"/>
  <c r="K70" i="55"/>
  <c r="K71" i="55"/>
  <c r="K73" i="55"/>
  <c r="L67" i="55"/>
  <c r="L79" i="55"/>
  <c r="L24" i="55"/>
  <c r="L25" i="55"/>
  <c r="L29" i="55"/>
  <c r="L68" i="55"/>
  <c r="L69" i="55"/>
  <c r="L52" i="55"/>
  <c r="L53" i="55"/>
  <c r="L57" i="55"/>
  <c r="L58" i="55"/>
  <c r="L59" i="55"/>
  <c r="L70" i="55"/>
  <c r="L71" i="55"/>
  <c r="L73" i="55"/>
  <c r="M67" i="55"/>
  <c r="M79" i="55"/>
  <c r="M24" i="55"/>
  <c r="M25" i="55"/>
  <c r="M29" i="55"/>
  <c r="M68" i="55"/>
  <c r="M69" i="55"/>
  <c r="M52" i="55"/>
  <c r="M53" i="55"/>
  <c r="M57" i="55"/>
  <c r="M58" i="55"/>
  <c r="M59" i="55"/>
  <c r="M70" i="55"/>
  <c r="M71" i="55"/>
  <c r="M73" i="55"/>
  <c r="N52" i="55"/>
  <c r="N67" i="55"/>
  <c r="N79" i="55"/>
  <c r="N53" i="55"/>
  <c r="AW52" i="55"/>
  <c r="N24" i="55"/>
  <c r="N25" i="55"/>
  <c r="J33" i="55"/>
  <c r="J34" i="55"/>
  <c r="J36" i="55"/>
  <c r="J39" i="55"/>
  <c r="J125" i="55"/>
  <c r="J126" i="55"/>
  <c r="J108" i="55"/>
  <c r="J110" i="55"/>
  <c r="K107" i="55"/>
  <c r="K33" i="55"/>
  <c r="K34" i="55"/>
  <c r="K36" i="55"/>
  <c r="K116" i="55"/>
  <c r="K38" i="55"/>
  <c r="K39" i="55"/>
  <c r="K125" i="55"/>
  <c r="K126" i="55"/>
  <c r="K108" i="55"/>
  <c r="K110" i="55"/>
  <c r="L107" i="55"/>
  <c r="L31" i="55"/>
  <c r="L32" i="55"/>
  <c r="L33" i="55"/>
  <c r="L34" i="55"/>
  <c r="L36" i="55"/>
  <c r="L116" i="55"/>
  <c r="L38" i="55"/>
  <c r="L39" i="55"/>
  <c r="L125" i="55"/>
  <c r="L126" i="55"/>
  <c r="L108" i="55"/>
  <c r="L110" i="55"/>
  <c r="M107" i="55"/>
  <c r="M31" i="55"/>
  <c r="M32" i="55"/>
  <c r="M33" i="55"/>
  <c r="M34" i="55"/>
  <c r="M36" i="55"/>
  <c r="M116" i="55"/>
  <c r="M38" i="55"/>
  <c r="M39" i="55"/>
  <c r="M125" i="55"/>
  <c r="M126" i="55"/>
  <c r="M108" i="55"/>
  <c r="M110" i="55"/>
  <c r="N107" i="55"/>
  <c r="J41" i="55"/>
  <c r="J42" i="55"/>
  <c r="J127" i="55"/>
  <c r="J134" i="55"/>
  <c r="J131" i="55"/>
  <c r="J135" i="55"/>
  <c r="J44" i="55"/>
  <c r="J45" i="55"/>
  <c r="J142" i="55"/>
  <c r="K41" i="55"/>
  <c r="K42" i="55"/>
  <c r="J136" i="55"/>
  <c r="K133" i="55"/>
  <c r="K127" i="55"/>
  <c r="K134" i="55"/>
  <c r="K131" i="55"/>
  <c r="K135" i="55"/>
  <c r="K44" i="55"/>
  <c r="K45" i="55"/>
  <c r="K142" i="55"/>
  <c r="O52" i="55"/>
  <c r="P52" i="55"/>
  <c r="Q52" i="55"/>
  <c r="R52" i="55"/>
  <c r="S52" i="55"/>
  <c r="T52" i="55"/>
  <c r="U52" i="55"/>
  <c r="V52" i="55"/>
  <c r="W52" i="55"/>
  <c r="X52" i="55"/>
  <c r="Y52" i="55"/>
  <c r="Z52" i="55"/>
  <c r="AA52" i="55"/>
  <c r="AB52" i="55"/>
  <c r="AC52" i="55"/>
  <c r="AD52" i="55"/>
  <c r="AE52" i="55"/>
  <c r="AF52" i="55"/>
  <c r="AG52" i="55"/>
  <c r="AH52" i="55"/>
  <c r="AI52" i="55"/>
  <c r="AJ52" i="55"/>
  <c r="AK52" i="55"/>
  <c r="AL52" i="55"/>
  <c r="AM52" i="55"/>
  <c r="AN52" i="55"/>
  <c r="AO52" i="55"/>
  <c r="AP52" i="55"/>
  <c r="AQ52" i="55"/>
  <c r="AR52" i="55"/>
  <c r="AS52" i="55"/>
  <c r="AT52" i="55"/>
  <c r="AU52" i="55"/>
  <c r="AV52" i="55"/>
  <c r="N116" i="55"/>
  <c r="N38" i="55"/>
  <c r="K136" i="55"/>
  <c r="L133" i="55"/>
  <c r="L127" i="55"/>
  <c r="L134" i="55"/>
  <c r="L41" i="55"/>
  <c r="L42" i="55"/>
  <c r="L131" i="55"/>
  <c r="L135" i="55"/>
  <c r="L136" i="55"/>
  <c r="M133" i="55"/>
  <c r="M127" i="55"/>
  <c r="M134" i="55"/>
  <c r="M41" i="55"/>
  <c r="M42" i="55"/>
  <c r="M131" i="55"/>
  <c r="M135" i="55"/>
  <c r="M136" i="55"/>
  <c r="N133" i="55"/>
  <c r="M44" i="55"/>
  <c r="M45" i="55"/>
  <c r="M142" i="55"/>
  <c r="L44" i="55"/>
  <c r="L45" i="55"/>
  <c r="L142" i="55"/>
  <c r="H23" i="55"/>
  <c r="O23" i="54"/>
  <c r="P23" i="54"/>
  <c r="O81" i="54"/>
  <c r="Q23" i="54"/>
  <c r="P81" i="54"/>
  <c r="R23" i="54"/>
  <c r="R81" i="54"/>
  <c r="Q81" i="54"/>
  <c r="S23" i="54"/>
  <c r="S81" i="54"/>
  <c r="T23" i="54"/>
  <c r="T81" i="54"/>
  <c r="U23" i="54"/>
  <c r="U81" i="54"/>
  <c r="V23" i="54"/>
  <c r="W23" i="54"/>
  <c r="W81" i="54"/>
  <c r="V81" i="54"/>
  <c r="X23" i="54"/>
  <c r="Y23" i="54"/>
  <c r="X81" i="54"/>
  <c r="Z23" i="54"/>
  <c r="Y81" i="54"/>
  <c r="AA23" i="54"/>
  <c r="Z81" i="54"/>
  <c r="AB23" i="54"/>
  <c r="AB81" i="54"/>
  <c r="AA81" i="54"/>
  <c r="AC23" i="54"/>
  <c r="AC81" i="54"/>
  <c r="AD23" i="54"/>
  <c r="AD81" i="54"/>
  <c r="AE23" i="54"/>
  <c r="AF23" i="54"/>
  <c r="AE81" i="54"/>
  <c r="AF81" i="54"/>
  <c r="AG23" i="54"/>
  <c r="AG81" i="54"/>
  <c r="AH23" i="54"/>
  <c r="AH81" i="54"/>
  <c r="AI23" i="54"/>
  <c r="AI81" i="54"/>
  <c r="AJ23" i="54"/>
  <c r="AJ81" i="54"/>
  <c r="AK23" i="54"/>
  <c r="AL23" i="54"/>
  <c r="AL81" i="54"/>
  <c r="AK81" i="54"/>
  <c r="AM23" i="54"/>
  <c r="AM81" i="54"/>
  <c r="AN23" i="54"/>
  <c r="AN81" i="54"/>
  <c r="AO23" i="54"/>
  <c r="AP23" i="54"/>
  <c r="AO81" i="54"/>
  <c r="AQ23" i="54"/>
  <c r="AP81" i="54"/>
  <c r="AR23" i="54"/>
  <c r="AR81" i="54"/>
  <c r="AQ81" i="54"/>
  <c r="AS23" i="54"/>
  <c r="AS81" i="54"/>
  <c r="AT23" i="54"/>
  <c r="AU23" i="54"/>
  <c r="AT81" i="54"/>
  <c r="AV23" i="54"/>
  <c r="O25" i="54"/>
  <c r="O87" i="54"/>
  <c r="O89" i="54"/>
  <c r="AU81" i="54"/>
  <c r="AW23" i="54"/>
  <c r="AW81" i="54"/>
  <c r="O29" i="54"/>
  <c r="AV81" i="54"/>
  <c r="O90" i="54"/>
  <c r="AX23" i="54"/>
  <c r="O31" i="54"/>
  <c r="O64" i="54"/>
  <c r="H23" i="54"/>
  <c r="O36" i="54"/>
  <c r="AX81" i="54"/>
  <c r="O62" i="54"/>
  <c r="O74" i="54"/>
  <c r="O73" i="54"/>
  <c r="O77" i="54"/>
  <c r="O65" i="54"/>
  <c r="O75" i="54"/>
  <c r="O63" i="54"/>
  <c r="O37" i="54"/>
  <c r="O32" i="54"/>
  <c r="O67" i="54"/>
  <c r="P61" i="54"/>
  <c r="O34" i="54"/>
  <c r="O38" i="54"/>
  <c r="P70" i="54"/>
  <c r="P24" i="54"/>
  <c r="P25" i="54"/>
  <c r="P29" i="54"/>
  <c r="O100" i="54"/>
  <c r="O102" i="54"/>
  <c r="P82" i="54"/>
  <c r="P87" i="54"/>
  <c r="P89" i="54"/>
  <c r="P90" i="54"/>
  <c r="P31" i="54"/>
  <c r="P62" i="54"/>
  <c r="O95" i="54"/>
  <c r="O103" i="54"/>
  <c r="P73" i="54"/>
  <c r="P64" i="54"/>
  <c r="P36" i="54"/>
  <c r="O108" i="54"/>
  <c r="O40" i="54"/>
  <c r="P74" i="54"/>
  <c r="O41" i="54"/>
  <c r="P77" i="54"/>
  <c r="P65" i="54"/>
  <c r="P37" i="54"/>
  <c r="P75" i="54"/>
  <c r="P63" i="54"/>
  <c r="O112" i="54"/>
  <c r="O109" i="54"/>
  <c r="P32" i="54"/>
  <c r="P34" i="54"/>
  <c r="P38" i="54"/>
  <c r="P67" i="54"/>
  <c r="Q61" i="54"/>
  <c r="P100" i="54"/>
  <c r="P102" i="54"/>
  <c r="Q70" i="54"/>
  <c r="Q24" i="54"/>
  <c r="O96" i="54"/>
  <c r="O110" i="54"/>
  <c r="P107" i="54"/>
  <c r="O43" i="54"/>
  <c r="O97" i="54"/>
  <c r="P94" i="54"/>
  <c r="P95" i="54"/>
  <c r="P40" i="54"/>
  <c r="P41" i="54"/>
  <c r="P103" i="54"/>
  <c r="P108" i="54"/>
  <c r="Q25" i="54"/>
  <c r="Q29" i="54"/>
  <c r="Q82" i="54"/>
  <c r="Q87" i="54"/>
  <c r="Q89" i="54"/>
  <c r="P112" i="54"/>
  <c r="P109" i="54"/>
  <c r="P96" i="54"/>
  <c r="P43" i="54"/>
  <c r="P44" i="54"/>
  <c r="P120" i="54"/>
  <c r="P121" i="54"/>
  <c r="Q90" i="54"/>
  <c r="O44" i="54"/>
  <c r="O120" i="54"/>
  <c r="Q31" i="54"/>
  <c r="Q62" i="54"/>
  <c r="P97" i="54"/>
  <c r="Q94" i="54"/>
  <c r="O121" i="54"/>
  <c r="Q64" i="54"/>
  <c r="Q36" i="54"/>
  <c r="Q73" i="54"/>
  <c r="Q74" i="54"/>
  <c r="P110" i="54"/>
  <c r="Q107" i="54"/>
  <c r="Q77" i="54"/>
  <c r="Q65" i="54"/>
  <c r="Q37" i="54"/>
  <c r="Q75" i="54"/>
  <c r="Q63" i="54"/>
  <c r="Q32" i="54"/>
  <c r="Q34" i="54"/>
  <c r="Q38" i="54"/>
  <c r="Q67" i="54"/>
  <c r="R61" i="54"/>
  <c r="R70" i="54"/>
  <c r="R24" i="54"/>
  <c r="Q100" i="54"/>
  <c r="Q102" i="54"/>
  <c r="Q95" i="54"/>
  <c r="Q103" i="54"/>
  <c r="Q108" i="54"/>
  <c r="R25" i="54"/>
  <c r="R29" i="54"/>
  <c r="R82" i="54"/>
  <c r="R87" i="54"/>
  <c r="R89" i="54"/>
  <c r="R31" i="54"/>
  <c r="R62" i="54"/>
  <c r="Q40" i="54"/>
  <c r="Q41" i="54"/>
  <c r="R90" i="54"/>
  <c r="R73" i="54"/>
  <c r="Q112" i="54"/>
  <c r="Q109" i="54"/>
  <c r="R74" i="54"/>
  <c r="R77" i="54"/>
  <c r="R65" i="54"/>
  <c r="R37" i="54"/>
  <c r="R75" i="54"/>
  <c r="R63" i="54"/>
  <c r="Q96" i="54"/>
  <c r="Q110" i="54"/>
  <c r="R107" i="54"/>
  <c r="R32" i="54"/>
  <c r="R34" i="54"/>
  <c r="Q43" i="54"/>
  <c r="Q44" i="54"/>
  <c r="Q120" i="54"/>
  <c r="Q121" i="54"/>
  <c r="Q97" i="54"/>
  <c r="R94" i="54"/>
  <c r="R64" i="54"/>
  <c r="R36" i="54"/>
  <c r="R38" i="54"/>
  <c r="R100" i="54"/>
  <c r="R102" i="54"/>
  <c r="R95" i="54"/>
  <c r="R67" i="54"/>
  <c r="S61" i="54"/>
  <c r="S70" i="54"/>
  <c r="S24" i="54"/>
  <c r="S82" i="54"/>
  <c r="S87" i="54"/>
  <c r="S89" i="54"/>
  <c r="S25" i="54"/>
  <c r="S29" i="54"/>
  <c r="S31" i="54"/>
  <c r="S62" i="54"/>
  <c r="R103" i="54"/>
  <c r="R108" i="54"/>
  <c r="S90" i="54"/>
  <c r="R40" i="54"/>
  <c r="R41" i="54"/>
  <c r="S74" i="54"/>
  <c r="R112" i="54"/>
  <c r="R109" i="54"/>
  <c r="S73" i="54"/>
  <c r="R96" i="54"/>
  <c r="R110" i="54"/>
  <c r="S107" i="54"/>
  <c r="S75" i="54"/>
  <c r="S63" i="54"/>
  <c r="S77" i="54"/>
  <c r="S65" i="54"/>
  <c r="S37" i="54"/>
  <c r="S32" i="54"/>
  <c r="S34" i="54"/>
  <c r="R43" i="54"/>
  <c r="R44" i="54"/>
  <c r="R120" i="54"/>
  <c r="R121" i="54"/>
  <c r="R97" i="54"/>
  <c r="S94" i="54"/>
  <c r="S64" i="54"/>
  <c r="S36" i="54"/>
  <c r="S38" i="54"/>
  <c r="S100" i="54"/>
  <c r="S102" i="54"/>
  <c r="S95" i="54"/>
  <c r="S67" i="54"/>
  <c r="T61" i="54"/>
  <c r="T70" i="54"/>
  <c r="T24" i="54"/>
  <c r="T82" i="54"/>
  <c r="T87" i="54"/>
  <c r="T89" i="54"/>
  <c r="S103" i="54"/>
  <c r="S108" i="54"/>
  <c r="T25" i="54"/>
  <c r="T29" i="54"/>
  <c r="T31" i="54"/>
  <c r="T62" i="54"/>
  <c r="S40" i="54"/>
  <c r="S41" i="54"/>
  <c r="T90" i="54"/>
  <c r="S112" i="54"/>
  <c r="S109" i="54"/>
  <c r="T73" i="54"/>
  <c r="T74" i="54"/>
  <c r="T77" i="54"/>
  <c r="T65" i="54"/>
  <c r="T37" i="54"/>
  <c r="T75" i="54"/>
  <c r="T63" i="54"/>
  <c r="S96" i="54"/>
  <c r="S110" i="54"/>
  <c r="T107" i="54"/>
  <c r="S43" i="54"/>
  <c r="S44" i="54"/>
  <c r="S120" i="54"/>
  <c r="S121" i="54"/>
  <c r="S97" i="54"/>
  <c r="T94" i="54"/>
  <c r="T32" i="54"/>
  <c r="T34" i="54"/>
  <c r="T64" i="54"/>
  <c r="T36" i="54"/>
  <c r="T38" i="54"/>
  <c r="T100" i="54"/>
  <c r="T102" i="54"/>
  <c r="T95" i="54"/>
  <c r="T67" i="54"/>
  <c r="U61" i="54"/>
  <c r="U70" i="54"/>
  <c r="U24" i="54"/>
  <c r="U25" i="54"/>
  <c r="U29" i="54"/>
  <c r="U82" i="54"/>
  <c r="U87" i="54"/>
  <c r="U89" i="54"/>
  <c r="U90" i="54"/>
  <c r="T103" i="54"/>
  <c r="T108" i="54"/>
  <c r="T40" i="54"/>
  <c r="T41" i="54"/>
  <c r="U31" i="54"/>
  <c r="U62" i="54"/>
  <c r="T112" i="54"/>
  <c r="T109" i="54"/>
  <c r="U73" i="54"/>
  <c r="U74" i="54"/>
  <c r="U77" i="54"/>
  <c r="U65" i="54"/>
  <c r="U37" i="54"/>
  <c r="U75" i="54"/>
  <c r="U63" i="54"/>
  <c r="T96" i="54"/>
  <c r="T110" i="54"/>
  <c r="U107" i="54"/>
  <c r="T43" i="54"/>
  <c r="T44" i="54"/>
  <c r="T120" i="54"/>
  <c r="T121" i="54"/>
  <c r="T97" i="54"/>
  <c r="U32" i="54"/>
  <c r="U34" i="54"/>
  <c r="U64" i="54"/>
  <c r="U94" i="54"/>
  <c r="K12" i="54"/>
  <c r="U36" i="54"/>
  <c r="U38" i="54"/>
  <c r="U100" i="54"/>
  <c r="U102" i="54"/>
  <c r="U95" i="54"/>
  <c r="U40" i="54"/>
  <c r="U41" i="54"/>
  <c r="U67" i="54"/>
  <c r="V61" i="54"/>
  <c r="V70" i="54"/>
  <c r="V24" i="54"/>
  <c r="V25" i="54"/>
  <c r="V29" i="54"/>
  <c r="V82" i="54"/>
  <c r="V87" i="54"/>
  <c r="V89" i="54"/>
  <c r="V90" i="54"/>
  <c r="U103" i="54"/>
  <c r="U108" i="54"/>
  <c r="U112" i="54"/>
  <c r="V31" i="54"/>
  <c r="V62" i="54"/>
  <c r="U109" i="54"/>
  <c r="U96" i="54"/>
  <c r="V73" i="54"/>
  <c r="V74" i="54"/>
  <c r="U110" i="54"/>
  <c r="V107" i="54"/>
  <c r="V77" i="54"/>
  <c r="V65" i="54"/>
  <c r="V37" i="54"/>
  <c r="V75" i="54"/>
  <c r="V63" i="54"/>
  <c r="U43" i="54"/>
  <c r="U44" i="54"/>
  <c r="U120" i="54"/>
  <c r="U121" i="54"/>
  <c r="U97" i="54"/>
  <c r="V94" i="54"/>
  <c r="V32" i="54"/>
  <c r="V34" i="54"/>
  <c r="V64" i="54"/>
  <c r="V36" i="54"/>
  <c r="V38" i="54"/>
  <c r="V100" i="54"/>
  <c r="V102" i="54"/>
  <c r="V95" i="54"/>
  <c r="V67" i="54"/>
  <c r="W61" i="54"/>
  <c r="W70" i="54"/>
  <c r="W24" i="54"/>
  <c r="W82" i="54"/>
  <c r="W87" i="54"/>
  <c r="W89" i="54"/>
  <c r="V103" i="54"/>
  <c r="V108" i="54"/>
  <c r="W25" i="54"/>
  <c r="W29" i="54"/>
  <c r="W31" i="54"/>
  <c r="W62" i="54"/>
  <c r="V40" i="54"/>
  <c r="V41" i="54"/>
  <c r="W90" i="54"/>
  <c r="W73" i="54"/>
  <c r="V112" i="54"/>
  <c r="V109" i="54"/>
  <c r="W74" i="54"/>
  <c r="V96" i="54"/>
  <c r="V110" i="54"/>
  <c r="W107" i="54"/>
  <c r="W77" i="54"/>
  <c r="W65" i="54"/>
  <c r="W37" i="54"/>
  <c r="W75" i="54"/>
  <c r="W63" i="54"/>
  <c r="W32" i="54"/>
  <c r="W34" i="54"/>
  <c r="V43" i="54"/>
  <c r="V44" i="54"/>
  <c r="V120" i="54"/>
  <c r="V121" i="54"/>
  <c r="V97" i="54"/>
  <c r="W94" i="54"/>
  <c r="W64" i="54"/>
  <c r="W36" i="54"/>
  <c r="W38" i="54"/>
  <c r="W100" i="54"/>
  <c r="W102" i="54"/>
  <c r="W95" i="54"/>
  <c r="W67" i="54"/>
  <c r="X61" i="54"/>
  <c r="X70" i="54"/>
  <c r="X24" i="54"/>
  <c r="X82" i="54"/>
  <c r="X87" i="54"/>
  <c r="X89" i="54"/>
  <c r="X25" i="54"/>
  <c r="X29" i="54"/>
  <c r="X31" i="54"/>
  <c r="X62" i="54"/>
  <c r="W103" i="54"/>
  <c r="W108" i="54"/>
  <c r="W40" i="54"/>
  <c r="W41" i="54"/>
  <c r="X90" i="54"/>
  <c r="W112" i="54"/>
  <c r="W109" i="54"/>
  <c r="X74" i="54"/>
  <c r="X73" i="54"/>
  <c r="W96" i="54"/>
  <c r="W110" i="54"/>
  <c r="X107" i="54"/>
  <c r="X77" i="54"/>
  <c r="X65" i="54"/>
  <c r="X37" i="54"/>
  <c r="X75" i="54"/>
  <c r="X63" i="54"/>
  <c r="W43" i="54"/>
  <c r="W44" i="54"/>
  <c r="W120" i="54"/>
  <c r="W121" i="54"/>
  <c r="W97" i="54"/>
  <c r="X94" i="54"/>
  <c r="X32" i="54"/>
  <c r="X34" i="54"/>
  <c r="X64" i="54"/>
  <c r="X36" i="54"/>
  <c r="X38" i="54"/>
  <c r="X100" i="54"/>
  <c r="X102" i="54"/>
  <c r="X95" i="54"/>
  <c r="X67" i="54"/>
  <c r="Y61" i="54"/>
  <c r="Y70" i="54"/>
  <c r="Y24" i="54"/>
  <c r="Y25" i="54"/>
  <c r="Y29" i="54"/>
  <c r="Y82" i="54"/>
  <c r="Y87" i="54"/>
  <c r="Y89" i="54"/>
  <c r="Y90" i="54"/>
  <c r="X103" i="54"/>
  <c r="X108" i="54"/>
  <c r="Y31" i="54"/>
  <c r="Y62" i="54"/>
  <c r="X40" i="54"/>
  <c r="X41" i="54"/>
  <c r="X112" i="54"/>
  <c r="X109" i="54"/>
  <c r="Y73" i="54"/>
  <c r="Y74" i="54"/>
  <c r="X96" i="54"/>
  <c r="X110" i="54"/>
  <c r="Y107" i="54"/>
  <c r="Y77" i="54"/>
  <c r="Y65" i="54"/>
  <c r="Y37" i="54"/>
  <c r="Y75" i="54"/>
  <c r="Y63" i="54"/>
  <c r="Y32" i="54"/>
  <c r="Y34" i="54"/>
  <c r="X43" i="54"/>
  <c r="X44" i="54"/>
  <c r="X120" i="54"/>
  <c r="X121" i="54"/>
  <c r="X97" i="54"/>
  <c r="Y94" i="54"/>
  <c r="Y64" i="54"/>
  <c r="Y36" i="54"/>
  <c r="Y38" i="54"/>
  <c r="Y100" i="54"/>
  <c r="Y102" i="54"/>
  <c r="Y95" i="54"/>
  <c r="Y67" i="54"/>
  <c r="Z61" i="54"/>
  <c r="Z70" i="54"/>
  <c r="Z24" i="54"/>
  <c r="Z82" i="54"/>
  <c r="Z87" i="54"/>
  <c r="Z89" i="54"/>
  <c r="Y103" i="54"/>
  <c r="Y108" i="54"/>
  <c r="Z25" i="54"/>
  <c r="Z29" i="54"/>
  <c r="Z31" i="54"/>
  <c r="Z62" i="54"/>
  <c r="Z90" i="54"/>
  <c r="Y40" i="54"/>
  <c r="Y41" i="54"/>
  <c r="Z73" i="54"/>
  <c r="Y112" i="54"/>
  <c r="Y109" i="54"/>
  <c r="Z74" i="54"/>
  <c r="Y96" i="54"/>
  <c r="Y110" i="54"/>
  <c r="Z107" i="54"/>
  <c r="Z77" i="54"/>
  <c r="Z65" i="54"/>
  <c r="Z37" i="54"/>
  <c r="Z75" i="54"/>
  <c r="Z63" i="54"/>
  <c r="Z32" i="54"/>
  <c r="Z34" i="54"/>
  <c r="Y43" i="54"/>
  <c r="Y44" i="54"/>
  <c r="Y120" i="54"/>
  <c r="Y121" i="54"/>
  <c r="Y97" i="54"/>
  <c r="Z94" i="54"/>
  <c r="Z64" i="54"/>
  <c r="Z36" i="54"/>
  <c r="Z38" i="54"/>
  <c r="Z100" i="54"/>
  <c r="Z102" i="54"/>
  <c r="Z103" i="54"/>
  <c r="Z108" i="54"/>
  <c r="Z67" i="54"/>
  <c r="AA61" i="54"/>
  <c r="AA70" i="54"/>
  <c r="AA24" i="54"/>
  <c r="AA82" i="54"/>
  <c r="AA87" i="54"/>
  <c r="AA89" i="54"/>
  <c r="AA25" i="54"/>
  <c r="AA29" i="54"/>
  <c r="Z95" i="54"/>
  <c r="Z40" i="54"/>
  <c r="Z41" i="54"/>
  <c r="AA90" i="54"/>
  <c r="AA31" i="54"/>
  <c r="AA62" i="54"/>
  <c r="AA73" i="54"/>
  <c r="AA74" i="54"/>
  <c r="Z112" i="54"/>
  <c r="Z109" i="54"/>
  <c r="Z96" i="54"/>
  <c r="Z110" i="54"/>
  <c r="AA107" i="54"/>
  <c r="AA75" i="54"/>
  <c r="AA63" i="54"/>
  <c r="AA77" i="54"/>
  <c r="AA65" i="54"/>
  <c r="AA37" i="54"/>
  <c r="Z43" i="54"/>
  <c r="Z44" i="54"/>
  <c r="Z120" i="54"/>
  <c r="Z121" i="54"/>
  <c r="Z97" i="54"/>
  <c r="AA94" i="54"/>
  <c r="AA32" i="54"/>
  <c r="AA34" i="54"/>
  <c r="AA64" i="54"/>
  <c r="AA36" i="54"/>
  <c r="AA38" i="54"/>
  <c r="AA100" i="54"/>
  <c r="AA102" i="54"/>
  <c r="AA95" i="54"/>
  <c r="AA67" i="54"/>
  <c r="AB61" i="54"/>
  <c r="AB70" i="54"/>
  <c r="AB24" i="54"/>
  <c r="AB25" i="54"/>
  <c r="AB29" i="54"/>
  <c r="AA103" i="54"/>
  <c r="AA108" i="54"/>
  <c r="AB82" i="54"/>
  <c r="AB87" i="54"/>
  <c r="AB89" i="54"/>
  <c r="AB90" i="54"/>
  <c r="AA40" i="54"/>
  <c r="AA41" i="54"/>
  <c r="AB31" i="54"/>
  <c r="AB62" i="54"/>
  <c r="AB74" i="54"/>
  <c r="AB73" i="54"/>
  <c r="AA112" i="54"/>
  <c r="AA109" i="54"/>
  <c r="AA96" i="54"/>
  <c r="AA110" i="54"/>
  <c r="AB107" i="54"/>
  <c r="AB77" i="54"/>
  <c r="AB65" i="54"/>
  <c r="AB37" i="54"/>
  <c r="AB75" i="54"/>
  <c r="AB63" i="54"/>
  <c r="AA43" i="54"/>
  <c r="AA44" i="54"/>
  <c r="AA120" i="54"/>
  <c r="AA121" i="54"/>
  <c r="AA97" i="54"/>
  <c r="AB94" i="54"/>
  <c r="AB32" i="54"/>
  <c r="AB34" i="54"/>
  <c r="AB64" i="54"/>
  <c r="AB36" i="54"/>
  <c r="AB38" i="54"/>
  <c r="AB100" i="54"/>
  <c r="AB102" i="54"/>
  <c r="AB95" i="54"/>
  <c r="AB67" i="54"/>
  <c r="AC61" i="54"/>
  <c r="AC70" i="54"/>
  <c r="AC24" i="54"/>
  <c r="AC25" i="54"/>
  <c r="AC29" i="54"/>
  <c r="AB103" i="54"/>
  <c r="AB108" i="54"/>
  <c r="AC82" i="54"/>
  <c r="AC87" i="54"/>
  <c r="AC89" i="54"/>
  <c r="AC90" i="54"/>
  <c r="AB40" i="54"/>
  <c r="AB41" i="54"/>
  <c r="AC31" i="54"/>
  <c r="AC62" i="54"/>
  <c r="AC73" i="54"/>
  <c r="AC74" i="54"/>
  <c r="AB112" i="54"/>
  <c r="AB109" i="54"/>
  <c r="AB96" i="54"/>
  <c r="AB110" i="54"/>
  <c r="AC107" i="54"/>
  <c r="AC77" i="54"/>
  <c r="AC65" i="54"/>
  <c r="AC37" i="54"/>
  <c r="AC75" i="54"/>
  <c r="AC63" i="54"/>
  <c r="AC32" i="54"/>
  <c r="AC34" i="54"/>
  <c r="AB43" i="54"/>
  <c r="AB44" i="54"/>
  <c r="AB120" i="54"/>
  <c r="AB121" i="54"/>
  <c r="AB97" i="54"/>
  <c r="AC94" i="54"/>
  <c r="AC64" i="54"/>
  <c r="AC36" i="54"/>
  <c r="AC38" i="54"/>
  <c r="AC100" i="54"/>
  <c r="AC102" i="54"/>
  <c r="AC95" i="54"/>
  <c r="AC67" i="54"/>
  <c r="AD61" i="54"/>
  <c r="AD70" i="54"/>
  <c r="AD24" i="54"/>
  <c r="AD25" i="54"/>
  <c r="AD29" i="54"/>
  <c r="AC103" i="54"/>
  <c r="AC108" i="54"/>
  <c r="AD82" i="54"/>
  <c r="AD87" i="54"/>
  <c r="AD89" i="54"/>
  <c r="AD90" i="54"/>
  <c r="AC40" i="54"/>
  <c r="AC41" i="54"/>
  <c r="AD31" i="54"/>
  <c r="AD62" i="54"/>
  <c r="AD73" i="54"/>
  <c r="AC112" i="54"/>
  <c r="AC109" i="54"/>
  <c r="AD74" i="54"/>
  <c r="AC96" i="54"/>
  <c r="AC110" i="54"/>
  <c r="AD107" i="54"/>
  <c r="AD77" i="54"/>
  <c r="AD65" i="54"/>
  <c r="AD37" i="54"/>
  <c r="AD75" i="54"/>
  <c r="AD63" i="54"/>
  <c r="AD32" i="54"/>
  <c r="AD34" i="54"/>
  <c r="AC43" i="54"/>
  <c r="AC44" i="54"/>
  <c r="AC120" i="54"/>
  <c r="AC121" i="54"/>
  <c r="AC97" i="54"/>
  <c r="AD94" i="54"/>
  <c r="AD64" i="54"/>
  <c r="AD36" i="54"/>
  <c r="AD38" i="54"/>
  <c r="AD100" i="54"/>
  <c r="AD102" i="54"/>
  <c r="AD95" i="54"/>
  <c r="AD67" i="54"/>
  <c r="AE61" i="54"/>
  <c r="AE70" i="54"/>
  <c r="AE24" i="54"/>
  <c r="AE82" i="54"/>
  <c r="AE87" i="54"/>
  <c r="AE89" i="54"/>
  <c r="AE25" i="54"/>
  <c r="AE29" i="54"/>
  <c r="AE31" i="54"/>
  <c r="AE62" i="54"/>
  <c r="AD103" i="54"/>
  <c r="AD108" i="54"/>
  <c r="AD40" i="54"/>
  <c r="AD41" i="54"/>
  <c r="AE90" i="54"/>
  <c r="AE73" i="54"/>
  <c r="AE74" i="54"/>
  <c r="AD112" i="54"/>
  <c r="AD109" i="54"/>
  <c r="AD96" i="54"/>
  <c r="AD110" i="54"/>
  <c r="AE107" i="54"/>
  <c r="AE77" i="54"/>
  <c r="AE65" i="54"/>
  <c r="AE37" i="54"/>
  <c r="AE75" i="54"/>
  <c r="AE63" i="54"/>
  <c r="AE32" i="54"/>
  <c r="AE34" i="54"/>
  <c r="AD43" i="54"/>
  <c r="AD44" i="54"/>
  <c r="AD120" i="54"/>
  <c r="AD121" i="54"/>
  <c r="AD97" i="54"/>
  <c r="AE94" i="54"/>
  <c r="AE64" i="54"/>
  <c r="AE36" i="54"/>
  <c r="AE38" i="54"/>
  <c r="AE100" i="54"/>
  <c r="AE102" i="54"/>
  <c r="AE103" i="54"/>
  <c r="AE108" i="54"/>
  <c r="AE67" i="54"/>
  <c r="AF61" i="54"/>
  <c r="AF70" i="54"/>
  <c r="AF24" i="54"/>
  <c r="AF25" i="54"/>
  <c r="AF29" i="54"/>
  <c r="AF82" i="54"/>
  <c r="AF87" i="54"/>
  <c r="AF89" i="54"/>
  <c r="AF90" i="54"/>
  <c r="AE95" i="54"/>
  <c r="AE40" i="54"/>
  <c r="AE41" i="54"/>
  <c r="AF31" i="54"/>
  <c r="AF62" i="54"/>
  <c r="AE112" i="54"/>
  <c r="AE109" i="54"/>
  <c r="AF73" i="54"/>
  <c r="AF74" i="54"/>
  <c r="AF77" i="54"/>
  <c r="AF65" i="54"/>
  <c r="AF37" i="54"/>
  <c r="AF75" i="54"/>
  <c r="AF63" i="54"/>
  <c r="AE96" i="54"/>
  <c r="AE110" i="54"/>
  <c r="AF107" i="54"/>
  <c r="AE43" i="54"/>
  <c r="AE44" i="54"/>
  <c r="AE120" i="54"/>
  <c r="AE121" i="54"/>
  <c r="AE97" i="54"/>
  <c r="AF94" i="54"/>
  <c r="AF32" i="54"/>
  <c r="AF34" i="54"/>
  <c r="AF64" i="54"/>
  <c r="AF36" i="54"/>
  <c r="AF38" i="54"/>
  <c r="AF100" i="54"/>
  <c r="AF102" i="54"/>
  <c r="AF95" i="54"/>
  <c r="AF67" i="54"/>
  <c r="AG61" i="54"/>
  <c r="AG70" i="54"/>
  <c r="AG24" i="54"/>
  <c r="AG25" i="54"/>
  <c r="AG29" i="54"/>
  <c r="AF103" i="54"/>
  <c r="AF108" i="54"/>
  <c r="AG82" i="54"/>
  <c r="AG87" i="54"/>
  <c r="AG89" i="54"/>
  <c r="AG90" i="54"/>
  <c r="AG31" i="54"/>
  <c r="AG62" i="54"/>
  <c r="AF40" i="54"/>
  <c r="AF41" i="54"/>
  <c r="AG73" i="54"/>
  <c r="AG74" i="54"/>
  <c r="AG64" i="54"/>
  <c r="AG36" i="54"/>
  <c r="AF112" i="54"/>
  <c r="AF109" i="54"/>
  <c r="AF96" i="54"/>
  <c r="AF110" i="54"/>
  <c r="AG107" i="54"/>
  <c r="AG77" i="54"/>
  <c r="AG65" i="54"/>
  <c r="AG37" i="54"/>
  <c r="AG75" i="54"/>
  <c r="AG63" i="54"/>
  <c r="AG32" i="54"/>
  <c r="AG34" i="54"/>
  <c r="AG38" i="54"/>
  <c r="AG67" i="54"/>
  <c r="AH61" i="54"/>
  <c r="AF43" i="54"/>
  <c r="AF44" i="54"/>
  <c r="AF120" i="54"/>
  <c r="AF121" i="54"/>
  <c r="AF97" i="54"/>
  <c r="AG94" i="54"/>
  <c r="AG100" i="54"/>
  <c r="AG102" i="54"/>
  <c r="AH70" i="54"/>
  <c r="AH24" i="54"/>
  <c r="AH25" i="54"/>
  <c r="AH29" i="54"/>
  <c r="AH82" i="54"/>
  <c r="AH87" i="54"/>
  <c r="AH89" i="54"/>
  <c r="AG95" i="54"/>
  <c r="AG103" i="54"/>
  <c r="AG108" i="54"/>
  <c r="AH90" i="54"/>
  <c r="AG40" i="54"/>
  <c r="AG41" i="54"/>
  <c r="AH31" i="54"/>
  <c r="AH62" i="54"/>
  <c r="AH74" i="54"/>
  <c r="AH73" i="54"/>
  <c r="AH64" i="54"/>
  <c r="AH36" i="54"/>
  <c r="AG112" i="54"/>
  <c r="AG109" i="54"/>
  <c r="AH77" i="54"/>
  <c r="AH65" i="54"/>
  <c r="AH37" i="54"/>
  <c r="AH75" i="54"/>
  <c r="AH63" i="54"/>
  <c r="AG96" i="54"/>
  <c r="AG110" i="54"/>
  <c r="AH107" i="54"/>
  <c r="AG43" i="54"/>
  <c r="AG44" i="54"/>
  <c r="AG120" i="54"/>
  <c r="AG121" i="54"/>
  <c r="AG97" i="54"/>
  <c r="AH94" i="54"/>
  <c r="AH32" i="54"/>
  <c r="AH34" i="54"/>
  <c r="AH38" i="54"/>
  <c r="AH67" i="54"/>
  <c r="AI61" i="54"/>
  <c r="AH100" i="54"/>
  <c r="AH102" i="54"/>
  <c r="AI70" i="54"/>
  <c r="AI24" i="54"/>
  <c r="AI25" i="54"/>
  <c r="AI29" i="54"/>
  <c r="AI82" i="54"/>
  <c r="AI87" i="54"/>
  <c r="AI89" i="54"/>
  <c r="AH95" i="54"/>
  <c r="AH103" i="54"/>
  <c r="AH108" i="54"/>
  <c r="AH40" i="54"/>
  <c r="AH41" i="54"/>
  <c r="AI31" i="54"/>
  <c r="AI62" i="54"/>
  <c r="AI90" i="54"/>
  <c r="AI73" i="54"/>
  <c r="AH112" i="54"/>
  <c r="AH109" i="54"/>
  <c r="AI74" i="54"/>
  <c r="AI64" i="54"/>
  <c r="AI36" i="54"/>
  <c r="AI75" i="54"/>
  <c r="AI63" i="54"/>
  <c r="AI77" i="54"/>
  <c r="AI65" i="54"/>
  <c r="AI37" i="54"/>
  <c r="AH96" i="54"/>
  <c r="AH110" i="54"/>
  <c r="AI107" i="54"/>
  <c r="AH43" i="54"/>
  <c r="AH44" i="54"/>
  <c r="AH120" i="54"/>
  <c r="AH121" i="54"/>
  <c r="AH97" i="54"/>
  <c r="AI94" i="54"/>
  <c r="AI32" i="54"/>
  <c r="AI34" i="54"/>
  <c r="AI38" i="54"/>
  <c r="AI67" i="54"/>
  <c r="AJ61" i="54"/>
  <c r="AI100" i="54"/>
  <c r="AI102" i="54"/>
  <c r="AJ70" i="54"/>
  <c r="AJ24" i="54"/>
  <c r="AJ25" i="54"/>
  <c r="AJ29" i="54"/>
  <c r="AJ82" i="54"/>
  <c r="AJ87" i="54"/>
  <c r="AJ89" i="54"/>
  <c r="AI95" i="54"/>
  <c r="AI103" i="54"/>
  <c r="AI108" i="54"/>
  <c r="AI40" i="54"/>
  <c r="AI41" i="54"/>
  <c r="AJ31" i="54"/>
  <c r="AJ62" i="54"/>
  <c r="AJ90" i="54"/>
  <c r="AJ73" i="54"/>
  <c r="AI112" i="54"/>
  <c r="AI109" i="54"/>
  <c r="AJ74" i="54"/>
  <c r="AJ64" i="54"/>
  <c r="AJ36" i="54"/>
  <c r="AI96" i="54"/>
  <c r="AI110" i="54"/>
  <c r="AJ107" i="54"/>
  <c r="AJ77" i="54"/>
  <c r="AJ65" i="54"/>
  <c r="AJ37" i="54"/>
  <c r="AJ75" i="54"/>
  <c r="AJ63" i="54"/>
  <c r="AJ32" i="54"/>
  <c r="AJ34" i="54"/>
  <c r="AJ38" i="54"/>
  <c r="AJ67" i="54"/>
  <c r="AK61" i="54"/>
  <c r="AI43" i="54"/>
  <c r="AI44" i="54"/>
  <c r="AI120" i="54"/>
  <c r="AI121" i="54"/>
  <c r="AI97" i="54"/>
  <c r="AJ94" i="54"/>
  <c r="AK70" i="54"/>
  <c r="AK24" i="54"/>
  <c r="AJ100" i="54"/>
  <c r="AJ102" i="54"/>
  <c r="AK25" i="54"/>
  <c r="AK29" i="54"/>
  <c r="AK82" i="54"/>
  <c r="AK87" i="54"/>
  <c r="AK89" i="54"/>
  <c r="AJ95" i="54"/>
  <c r="AJ103" i="54"/>
  <c r="AJ108" i="54"/>
  <c r="AK90" i="54"/>
  <c r="AK31" i="54"/>
  <c r="AK62" i="54"/>
  <c r="AJ40" i="54"/>
  <c r="AJ41" i="54"/>
  <c r="AK73" i="54"/>
  <c r="AK64" i="54"/>
  <c r="AK36" i="54"/>
  <c r="AJ112" i="54"/>
  <c r="AJ109" i="54"/>
  <c r="AK74" i="54"/>
  <c r="AK77" i="54"/>
  <c r="AK65" i="54"/>
  <c r="AK37" i="54"/>
  <c r="AK75" i="54"/>
  <c r="AK63" i="54"/>
  <c r="AJ96" i="54"/>
  <c r="AJ110" i="54"/>
  <c r="AK107" i="54"/>
  <c r="AJ43" i="54"/>
  <c r="AJ44" i="54"/>
  <c r="AJ120" i="54"/>
  <c r="AJ121" i="54"/>
  <c r="AJ97" i="54"/>
  <c r="AK94" i="54"/>
  <c r="AK32" i="54"/>
  <c r="AK34" i="54"/>
  <c r="AK38" i="54"/>
  <c r="AK67" i="54"/>
  <c r="AL61" i="54"/>
  <c r="AL70" i="54"/>
  <c r="AL24" i="54"/>
  <c r="AK100" i="54"/>
  <c r="AK102" i="54"/>
  <c r="AK95" i="54"/>
  <c r="AK103" i="54"/>
  <c r="AK108" i="54"/>
  <c r="AL25" i="54"/>
  <c r="AL29" i="54"/>
  <c r="AL82" i="54"/>
  <c r="AL87" i="54"/>
  <c r="AL89" i="54"/>
  <c r="AL31" i="54"/>
  <c r="AL62" i="54"/>
  <c r="AL90" i="54"/>
  <c r="AK40" i="54"/>
  <c r="AK41" i="54"/>
  <c r="AK112" i="54"/>
  <c r="AK109" i="54"/>
  <c r="AL64" i="54"/>
  <c r="AL36" i="54"/>
  <c r="AL73" i="54"/>
  <c r="AL74" i="54"/>
  <c r="AL77" i="54"/>
  <c r="AL65" i="54"/>
  <c r="AL37" i="54"/>
  <c r="AL75" i="54"/>
  <c r="AL63" i="54"/>
  <c r="AK96" i="54"/>
  <c r="AK110" i="54"/>
  <c r="AL107" i="54"/>
  <c r="AK43" i="54"/>
  <c r="AK44" i="54"/>
  <c r="AK120" i="54"/>
  <c r="AK121" i="54"/>
  <c r="AK97" i="54"/>
  <c r="AL94" i="54"/>
  <c r="AL32" i="54"/>
  <c r="AL34" i="54"/>
  <c r="AL38" i="54"/>
  <c r="AL67" i="54"/>
  <c r="AM61" i="54"/>
  <c r="AL100" i="54"/>
  <c r="AL102" i="54"/>
  <c r="AM70" i="54"/>
  <c r="AM24" i="54"/>
  <c r="AM25" i="54"/>
  <c r="AM29" i="54"/>
  <c r="AM82" i="54"/>
  <c r="AM87" i="54"/>
  <c r="AM89" i="54"/>
  <c r="AL95" i="54"/>
  <c r="AL103" i="54"/>
  <c r="AL108" i="54"/>
  <c r="AM90" i="54"/>
  <c r="AM31" i="54"/>
  <c r="AM62" i="54"/>
  <c r="AL40" i="54"/>
  <c r="AL41" i="54"/>
  <c r="AM73" i="54"/>
  <c r="AM74" i="54"/>
  <c r="AL112" i="54"/>
  <c r="AL109" i="54"/>
  <c r="AM64" i="54"/>
  <c r="AM36" i="54"/>
  <c r="AL96" i="54"/>
  <c r="AL110" i="54"/>
  <c r="AM107" i="54"/>
  <c r="AM77" i="54"/>
  <c r="AM65" i="54"/>
  <c r="AM37" i="54"/>
  <c r="AM75" i="54"/>
  <c r="AM63" i="54"/>
  <c r="AM32" i="54"/>
  <c r="AM34" i="54"/>
  <c r="AM38" i="54"/>
  <c r="AM67" i="54"/>
  <c r="AN61" i="54"/>
  <c r="AL43" i="54"/>
  <c r="AL44" i="54"/>
  <c r="AL120" i="54"/>
  <c r="AL121" i="54"/>
  <c r="AL97" i="54"/>
  <c r="AM94" i="54"/>
  <c r="AN70" i="54"/>
  <c r="AN24" i="54"/>
  <c r="AM100" i="54"/>
  <c r="AM102" i="54"/>
  <c r="AM95" i="54"/>
  <c r="AM103" i="54"/>
  <c r="AM108" i="54"/>
  <c r="AN25" i="54"/>
  <c r="AN29" i="54"/>
  <c r="AN82" i="54"/>
  <c r="AN87" i="54"/>
  <c r="AN89" i="54"/>
  <c r="AN90" i="54"/>
  <c r="AN31" i="54"/>
  <c r="AN62" i="54"/>
  <c r="AM40" i="54"/>
  <c r="AM41" i="54"/>
  <c r="AM112" i="54"/>
  <c r="AM109" i="54"/>
  <c r="AN73" i="54"/>
  <c r="AN74" i="54"/>
  <c r="AN64" i="54"/>
  <c r="AN36" i="54"/>
  <c r="AN77" i="54"/>
  <c r="AN65" i="54"/>
  <c r="AN37" i="54"/>
  <c r="AN75" i="54"/>
  <c r="AN63" i="54"/>
  <c r="AM96" i="54"/>
  <c r="AM110" i="54"/>
  <c r="AN107" i="54"/>
  <c r="AM43" i="54"/>
  <c r="AM44" i="54"/>
  <c r="AM120" i="54"/>
  <c r="AM121" i="54"/>
  <c r="AM97" i="54"/>
  <c r="AN94" i="54"/>
  <c r="AN32" i="54"/>
  <c r="AN34" i="54"/>
  <c r="AN38" i="54"/>
  <c r="AN67" i="54"/>
  <c r="AO61" i="54"/>
  <c r="AN100" i="54"/>
  <c r="AN102" i="54"/>
  <c r="AO70" i="54"/>
  <c r="AO24" i="54"/>
  <c r="AO25" i="54"/>
  <c r="AO29" i="54"/>
  <c r="AO82" i="54"/>
  <c r="AO87" i="54"/>
  <c r="AO89" i="54"/>
  <c r="AN95" i="54"/>
  <c r="AN103" i="54"/>
  <c r="AN108" i="54"/>
  <c r="AN40" i="54"/>
  <c r="AN41" i="54"/>
  <c r="AO90" i="54"/>
  <c r="AO31" i="54"/>
  <c r="AO62" i="54"/>
  <c r="AO73" i="54"/>
  <c r="AO64" i="54"/>
  <c r="AO36" i="54"/>
  <c r="AO74" i="54"/>
  <c r="AN112" i="54"/>
  <c r="AN109" i="54"/>
  <c r="AN96" i="54"/>
  <c r="AN110" i="54"/>
  <c r="AO107" i="54"/>
  <c r="AO77" i="54"/>
  <c r="AO65" i="54"/>
  <c r="AO37" i="54"/>
  <c r="AO75" i="54"/>
  <c r="AO63" i="54"/>
  <c r="AO32" i="54"/>
  <c r="AO34" i="54"/>
  <c r="AO38" i="54"/>
  <c r="AO67" i="54"/>
  <c r="AP61" i="54"/>
  <c r="AN43" i="54"/>
  <c r="AN44" i="54"/>
  <c r="AN120" i="54"/>
  <c r="AN121" i="54"/>
  <c r="AN97" i="54"/>
  <c r="AO94" i="54"/>
  <c r="AP70" i="54"/>
  <c r="AP24" i="54"/>
  <c r="AO100" i="54"/>
  <c r="AO102" i="54"/>
  <c r="AO95" i="54"/>
  <c r="AO103" i="54"/>
  <c r="AO108" i="54"/>
  <c r="AP25" i="54"/>
  <c r="AP29" i="54"/>
  <c r="AP82" i="54"/>
  <c r="AP87" i="54"/>
  <c r="AP89" i="54"/>
  <c r="AP31" i="54"/>
  <c r="AP62" i="54"/>
  <c r="AP90" i="54"/>
  <c r="AO40" i="54"/>
  <c r="AO41" i="54"/>
  <c r="AO112" i="54"/>
  <c r="AO109" i="54"/>
  <c r="AP64" i="54"/>
  <c r="AP36" i="54"/>
  <c r="AP73" i="54"/>
  <c r="AP74" i="54"/>
  <c r="AP77" i="54"/>
  <c r="AP65" i="54"/>
  <c r="AP37" i="54"/>
  <c r="AP75" i="54"/>
  <c r="AP63" i="54"/>
  <c r="AO96" i="54"/>
  <c r="AO110" i="54"/>
  <c r="AP107" i="54"/>
  <c r="AO43" i="54"/>
  <c r="AO44" i="54"/>
  <c r="AO120" i="54"/>
  <c r="AO121" i="54"/>
  <c r="AO97" i="54"/>
  <c r="AP94" i="54"/>
  <c r="AP32" i="54"/>
  <c r="AP66" i="54"/>
  <c r="AP33" i="54"/>
  <c r="AP67" i="54"/>
  <c r="AP34" i="54"/>
  <c r="AP38" i="54"/>
  <c r="AQ61" i="54"/>
  <c r="AQ70" i="54"/>
  <c r="AQ24" i="54"/>
  <c r="AP100" i="54"/>
  <c r="AP102" i="54"/>
  <c r="AP95" i="54"/>
  <c r="AP103" i="54"/>
  <c r="AP108" i="54"/>
  <c r="AQ25" i="54"/>
  <c r="AQ29" i="54"/>
  <c r="AQ82" i="54"/>
  <c r="AQ87" i="54"/>
  <c r="AQ89" i="54"/>
  <c r="AQ31" i="54"/>
  <c r="AQ62" i="54"/>
  <c r="AQ90" i="54"/>
  <c r="AP40" i="54"/>
  <c r="AP41" i="54"/>
  <c r="AP112" i="54"/>
  <c r="AP109" i="54"/>
  <c r="AQ73" i="54"/>
  <c r="AQ64" i="54"/>
  <c r="AQ36" i="54"/>
  <c r="AQ74" i="54"/>
  <c r="AQ75" i="54"/>
  <c r="AQ63" i="54"/>
  <c r="AQ77" i="54"/>
  <c r="AQ65" i="54"/>
  <c r="AQ37" i="54"/>
  <c r="AP96" i="54"/>
  <c r="AP110" i="54"/>
  <c r="AQ107" i="54"/>
  <c r="AP43" i="54"/>
  <c r="AP44" i="54"/>
  <c r="AP120" i="54"/>
  <c r="AP121" i="54"/>
  <c r="AP97" i="54"/>
  <c r="AQ94" i="54"/>
  <c r="AQ32" i="54"/>
  <c r="AQ66" i="54"/>
  <c r="AQ33" i="54"/>
  <c r="AQ34" i="54"/>
  <c r="AQ38" i="54"/>
  <c r="AQ100" i="54"/>
  <c r="AQ102" i="54"/>
  <c r="AQ67" i="54"/>
  <c r="AR61" i="54"/>
  <c r="AR70" i="54"/>
  <c r="AR24" i="54"/>
  <c r="AQ95" i="54"/>
  <c r="AQ103" i="54"/>
  <c r="AQ108" i="54"/>
  <c r="AR25" i="54"/>
  <c r="AR29" i="54"/>
  <c r="AR82" i="54"/>
  <c r="AR87" i="54"/>
  <c r="AR89" i="54"/>
  <c r="AR90" i="54"/>
  <c r="AR31" i="54"/>
  <c r="AR62" i="54"/>
  <c r="AQ40" i="54"/>
  <c r="AQ41" i="54"/>
  <c r="AR73" i="54"/>
  <c r="AQ112" i="54"/>
  <c r="AQ109" i="54"/>
  <c r="AR74" i="54"/>
  <c r="AR64" i="54"/>
  <c r="AR36" i="54"/>
  <c r="AQ96" i="54"/>
  <c r="AQ110" i="54"/>
  <c r="AR107" i="54"/>
  <c r="AR77" i="54"/>
  <c r="AR65" i="54"/>
  <c r="AR37" i="54"/>
  <c r="AR75" i="54"/>
  <c r="AR63" i="54"/>
  <c r="AR32" i="54"/>
  <c r="AR66" i="54"/>
  <c r="AR33" i="54"/>
  <c r="AQ43" i="54"/>
  <c r="AQ44" i="54"/>
  <c r="AQ120" i="54"/>
  <c r="AQ121" i="54"/>
  <c r="AQ97" i="54"/>
  <c r="AR94" i="54"/>
  <c r="AR34" i="54"/>
  <c r="AR38" i="54"/>
  <c r="AR100" i="54"/>
  <c r="AR102" i="54"/>
  <c r="AR67" i="54"/>
  <c r="AS61" i="54"/>
  <c r="AR95" i="54"/>
  <c r="AR103" i="54"/>
  <c r="AR108" i="54"/>
  <c r="AS70" i="54"/>
  <c r="AS24" i="54"/>
  <c r="AS25" i="54"/>
  <c r="AS29" i="54"/>
  <c r="AS82" i="54"/>
  <c r="AS87" i="54"/>
  <c r="AS89" i="54"/>
  <c r="AR40" i="54"/>
  <c r="AR41" i="54"/>
  <c r="AR112" i="54"/>
  <c r="AR109" i="54"/>
  <c r="AS31" i="54"/>
  <c r="AS62" i="54"/>
  <c r="AS90" i="54"/>
  <c r="AS73" i="54"/>
  <c r="AS74" i="54"/>
  <c r="AS64" i="54"/>
  <c r="AS36" i="54"/>
  <c r="AR96" i="54"/>
  <c r="AR110" i="54"/>
  <c r="AS107" i="54"/>
  <c r="AR43" i="54"/>
  <c r="AR44" i="54"/>
  <c r="AR120" i="54"/>
  <c r="AR121" i="54"/>
  <c r="AR97" i="54"/>
  <c r="AS94" i="54"/>
  <c r="AS77" i="54"/>
  <c r="AS65" i="54"/>
  <c r="AS37" i="54"/>
  <c r="AS75" i="54"/>
  <c r="AS63" i="54"/>
  <c r="AS32" i="54"/>
  <c r="AS66" i="54"/>
  <c r="AS33" i="54"/>
  <c r="AS67" i="54"/>
  <c r="AT61" i="54"/>
  <c r="AT70" i="54"/>
  <c r="AT24" i="54"/>
  <c r="AS34" i="54"/>
  <c r="AS38" i="54"/>
  <c r="AT25" i="54"/>
  <c r="AT29" i="54"/>
  <c r="AT82" i="54"/>
  <c r="AT87" i="54"/>
  <c r="AT89" i="54"/>
  <c r="AS100" i="54"/>
  <c r="AS102" i="54"/>
  <c r="AS95" i="54"/>
  <c r="AS103" i="54"/>
  <c r="AS108" i="54"/>
  <c r="AT90" i="54"/>
  <c r="AT31" i="54"/>
  <c r="AT62" i="54"/>
  <c r="AT73" i="54"/>
  <c r="AT64" i="54"/>
  <c r="AT36" i="54"/>
  <c r="AT74" i="54"/>
  <c r="AS40" i="54"/>
  <c r="AS41" i="54"/>
  <c r="AT77" i="54"/>
  <c r="AT65" i="54"/>
  <c r="AT37" i="54"/>
  <c r="AT75" i="54"/>
  <c r="AT63" i="54"/>
  <c r="AS112" i="54"/>
  <c r="AS109" i="54"/>
  <c r="AS96" i="54"/>
  <c r="AS110" i="54"/>
  <c r="AT107" i="54"/>
  <c r="AT32" i="54"/>
  <c r="AT66" i="54"/>
  <c r="AT33" i="54"/>
  <c r="AT34" i="54"/>
  <c r="AT38" i="54"/>
  <c r="AT100" i="54"/>
  <c r="AT102" i="54"/>
  <c r="AT67" i="54"/>
  <c r="AU61" i="54"/>
  <c r="AS43" i="54"/>
  <c r="AS44" i="54"/>
  <c r="AS120" i="54"/>
  <c r="AS121" i="54"/>
  <c r="AS97" i="54"/>
  <c r="AT94" i="54"/>
  <c r="AU70" i="54"/>
  <c r="AU24" i="54"/>
  <c r="AT95" i="54"/>
  <c r="AT40" i="54"/>
  <c r="AT41" i="54"/>
  <c r="AT103" i="54"/>
  <c r="AT108" i="54"/>
  <c r="AU25" i="54"/>
  <c r="AU29" i="54"/>
  <c r="AU82" i="54"/>
  <c r="AU87" i="54"/>
  <c r="AU89" i="54"/>
  <c r="AT112" i="54"/>
  <c r="AT109" i="54"/>
  <c r="AT96" i="54"/>
  <c r="AT110" i="54"/>
  <c r="AU107" i="54"/>
  <c r="AU90" i="54"/>
  <c r="AU31" i="54"/>
  <c r="AU62" i="54"/>
  <c r="AU73" i="54"/>
  <c r="AU64" i="54"/>
  <c r="AU36" i="54"/>
  <c r="AU74" i="54"/>
  <c r="AT43" i="54"/>
  <c r="AT44" i="54"/>
  <c r="AT120" i="54"/>
  <c r="AT121" i="54"/>
  <c r="AT97" i="54"/>
  <c r="AU94" i="54"/>
  <c r="AU77" i="54"/>
  <c r="AU65" i="54"/>
  <c r="AU37" i="54"/>
  <c r="AU75" i="54"/>
  <c r="AU63" i="54"/>
  <c r="AU32" i="54"/>
  <c r="AU66" i="54"/>
  <c r="AU33" i="54"/>
  <c r="AU34" i="54"/>
  <c r="AU38" i="54"/>
  <c r="AU100" i="54"/>
  <c r="AU102" i="54"/>
  <c r="AU67" i="54"/>
  <c r="AV61" i="54"/>
  <c r="AU95" i="54"/>
  <c r="AU103" i="54"/>
  <c r="AU108" i="54"/>
  <c r="AV70" i="54"/>
  <c r="AV24" i="54"/>
  <c r="AV25" i="54"/>
  <c r="AV29" i="54"/>
  <c r="AV82" i="54"/>
  <c r="AV87" i="54"/>
  <c r="AV89" i="54"/>
  <c r="AU40" i="54"/>
  <c r="AU41" i="54"/>
  <c r="AV90" i="54"/>
  <c r="AU112" i="54"/>
  <c r="AU109" i="54"/>
  <c r="AV31" i="54"/>
  <c r="AV62" i="54"/>
  <c r="AV74" i="54"/>
  <c r="AU96" i="54"/>
  <c r="AU110" i="54"/>
  <c r="AV107" i="54"/>
  <c r="AV64" i="54"/>
  <c r="AV36" i="54"/>
  <c r="AV73" i="54"/>
  <c r="AU43" i="54"/>
  <c r="AU44" i="54"/>
  <c r="AU120" i="54"/>
  <c r="AU121" i="54"/>
  <c r="AU97" i="54"/>
  <c r="AV94" i="54"/>
  <c r="AV77" i="54"/>
  <c r="AV65" i="54"/>
  <c r="AV37" i="54"/>
  <c r="AV75" i="54"/>
  <c r="AV63" i="54"/>
  <c r="AV32" i="54"/>
  <c r="AV66" i="54"/>
  <c r="AV33" i="54"/>
  <c r="AV67" i="54"/>
  <c r="AW61" i="54"/>
  <c r="AV34" i="54"/>
  <c r="AV38" i="54"/>
  <c r="AV100" i="54"/>
  <c r="AV102" i="54"/>
  <c r="AW70" i="54"/>
  <c r="AW24" i="54"/>
  <c r="AW25" i="54"/>
  <c r="AW29" i="54"/>
  <c r="AW82" i="54"/>
  <c r="AW87" i="54"/>
  <c r="AW89" i="54"/>
  <c r="AV95" i="54"/>
  <c r="AV103" i="54"/>
  <c r="AV108" i="54"/>
  <c r="AV40" i="54"/>
  <c r="AV41" i="54"/>
  <c r="AW90" i="54"/>
  <c r="AW31" i="54"/>
  <c r="AW62" i="54"/>
  <c r="AW73" i="54"/>
  <c r="AV112" i="54"/>
  <c r="AV109" i="54"/>
  <c r="AW74" i="54"/>
  <c r="AW64" i="54"/>
  <c r="AW36" i="54"/>
  <c r="AV96" i="54"/>
  <c r="AV110" i="54"/>
  <c r="AW107" i="54"/>
  <c r="AW77" i="54"/>
  <c r="AW65" i="54"/>
  <c r="AW37" i="54"/>
  <c r="AW75" i="54"/>
  <c r="AW63" i="54"/>
  <c r="AW32" i="54"/>
  <c r="AW66" i="54"/>
  <c r="AW33" i="54"/>
  <c r="AV43" i="54"/>
  <c r="AV44" i="54"/>
  <c r="AV120" i="54"/>
  <c r="AV121" i="54"/>
  <c r="AV97" i="54"/>
  <c r="AW94" i="54"/>
  <c r="AW67" i="54"/>
  <c r="AX61" i="54"/>
  <c r="AW34" i="54"/>
  <c r="AW38" i="54"/>
  <c r="AX70" i="54"/>
  <c r="AX24" i="54"/>
  <c r="AW100" i="54"/>
  <c r="AW102" i="54"/>
  <c r="H70" i="54"/>
  <c r="AW95" i="54"/>
  <c r="AW103" i="54"/>
  <c r="AW108" i="54"/>
  <c r="H24" i="54"/>
  <c r="AX25" i="54"/>
  <c r="AX82" i="54"/>
  <c r="AX87" i="54"/>
  <c r="AX89" i="54"/>
  <c r="L12" i="54"/>
  <c r="AX90" i="54"/>
  <c r="AX29" i="54"/>
  <c r="H25" i="54"/>
  <c r="AW40" i="54"/>
  <c r="AW41" i="54"/>
  <c r="AW112" i="54"/>
  <c r="AW109" i="54"/>
  <c r="AX31" i="54"/>
  <c r="AX64" i="54"/>
  <c r="AX62" i="54"/>
  <c r="H31" i="54"/>
  <c r="AX74" i="54"/>
  <c r="AX36" i="54"/>
  <c r="H36" i="54"/>
  <c r="H64" i="54"/>
  <c r="AW96" i="54"/>
  <c r="AW110" i="54"/>
  <c r="AX107" i="54"/>
  <c r="AW43" i="54"/>
  <c r="AW44" i="54"/>
  <c r="AW120" i="54"/>
  <c r="AW121" i="54"/>
  <c r="AW97" i="54"/>
  <c r="AX94" i="54"/>
  <c r="H62" i="54"/>
  <c r="AX73" i="54"/>
  <c r="AX77" i="54"/>
  <c r="AX65" i="54"/>
  <c r="AX75" i="54"/>
  <c r="AX63" i="54"/>
  <c r="AX32" i="54"/>
  <c r="H63" i="54"/>
  <c r="AX66" i="54"/>
  <c r="AX37" i="54"/>
  <c r="H37" i="54"/>
  <c r="H65" i="54"/>
  <c r="AX33" i="54"/>
  <c r="H33" i="54"/>
  <c r="H66" i="54"/>
  <c r="AX67" i="54"/>
  <c r="M12" i="54"/>
  <c r="H32" i="54"/>
  <c r="AX34" i="54"/>
  <c r="AX38" i="54"/>
  <c r="AX100" i="54"/>
  <c r="AX102" i="54"/>
  <c r="AX95" i="54"/>
  <c r="AX103" i="54"/>
  <c r="H102" i="54"/>
  <c r="AX108" i="54"/>
  <c r="H103" i="54"/>
  <c r="AX40" i="54"/>
  <c r="H95" i="54"/>
  <c r="H40" i="54"/>
  <c r="AX41" i="54"/>
  <c r="H108" i="54"/>
  <c r="AX112" i="54"/>
  <c r="AX109" i="54"/>
  <c r="AX96" i="54"/>
  <c r="H109" i="54"/>
  <c r="AX110" i="54"/>
  <c r="AX43" i="54"/>
  <c r="AX97" i="54"/>
  <c r="H43" i="54"/>
  <c r="AX44" i="54"/>
  <c r="AX120" i="54"/>
  <c r="AX121" i="54"/>
  <c r="H121" i="54"/>
  <c r="H120" i="54"/>
  <c r="N29" i="55"/>
  <c r="N68" i="55"/>
  <c r="N69" i="55"/>
  <c r="N57" i="55"/>
  <c r="N58" i="55"/>
  <c r="N59" i="55"/>
  <c r="N70" i="55"/>
  <c r="N71" i="55"/>
  <c r="N73" i="55"/>
  <c r="O67" i="55"/>
  <c r="O79" i="55"/>
  <c r="O24" i="55"/>
  <c r="O25" i="55"/>
  <c r="O29" i="55"/>
  <c r="O68" i="55"/>
  <c r="O69" i="55"/>
  <c r="O53" i="55"/>
  <c r="O57" i="55"/>
  <c r="O58" i="55"/>
  <c r="O59" i="55"/>
  <c r="O70" i="55"/>
  <c r="O71" i="55"/>
  <c r="O73" i="55"/>
  <c r="P67" i="55"/>
  <c r="P79" i="55"/>
  <c r="P24" i="55"/>
  <c r="P25" i="55"/>
  <c r="P29" i="55"/>
  <c r="P68" i="55"/>
  <c r="P69" i="55"/>
  <c r="P53" i="55"/>
  <c r="P57" i="55"/>
  <c r="P58" i="55"/>
  <c r="P59" i="55"/>
  <c r="P70" i="55"/>
  <c r="P71" i="55"/>
  <c r="P73" i="55"/>
  <c r="Q67" i="55"/>
  <c r="Q79" i="55"/>
  <c r="Q24" i="55"/>
  <c r="Q25" i="55"/>
  <c r="Q29" i="55"/>
  <c r="Q68" i="55"/>
  <c r="Q69" i="55"/>
  <c r="Q53" i="55"/>
  <c r="Q57" i="55"/>
  <c r="Q58" i="55"/>
  <c r="Q59" i="55"/>
  <c r="Q31" i="55"/>
  <c r="Q32" i="55"/>
  <c r="Q70" i="55"/>
  <c r="Q71" i="55"/>
  <c r="Q73" i="55"/>
  <c r="R67" i="55"/>
  <c r="R79" i="55"/>
  <c r="R24" i="55"/>
  <c r="R25" i="55"/>
  <c r="R29" i="55"/>
  <c r="R68" i="55"/>
  <c r="R69" i="55"/>
  <c r="R53" i="55"/>
  <c r="R57" i="55"/>
  <c r="R58" i="55"/>
  <c r="R59" i="55"/>
  <c r="R31" i="55"/>
  <c r="R32" i="55"/>
  <c r="R70" i="55"/>
  <c r="R71" i="55"/>
  <c r="R73" i="55"/>
  <c r="S67" i="55"/>
  <c r="S79" i="55"/>
  <c r="S24" i="55"/>
  <c r="S25" i="55"/>
  <c r="S29" i="55"/>
  <c r="S68" i="55"/>
  <c r="S69" i="55"/>
  <c r="S53" i="55"/>
  <c r="S57" i="55"/>
  <c r="S58" i="55"/>
  <c r="S59" i="55"/>
  <c r="S31" i="55"/>
  <c r="S32" i="55"/>
  <c r="S70" i="55"/>
  <c r="S71" i="55"/>
  <c r="S73" i="55"/>
  <c r="T67" i="55"/>
  <c r="T79" i="55"/>
  <c r="T24" i="55"/>
  <c r="T25" i="55"/>
  <c r="T29" i="55"/>
  <c r="T68" i="55"/>
  <c r="T69" i="55"/>
  <c r="T53" i="55"/>
  <c r="T57" i="55"/>
  <c r="T58" i="55"/>
  <c r="T59" i="55"/>
  <c r="T31" i="55"/>
  <c r="T32" i="55"/>
  <c r="T70" i="55"/>
  <c r="T71" i="55"/>
  <c r="T73" i="55"/>
  <c r="U67" i="55"/>
  <c r="U79" i="55"/>
  <c r="U24" i="55"/>
  <c r="U25" i="55"/>
  <c r="U29" i="55"/>
  <c r="U68" i="55"/>
  <c r="U69" i="55"/>
  <c r="U53" i="55"/>
  <c r="U57" i="55"/>
  <c r="U58" i="55"/>
  <c r="U59" i="55"/>
  <c r="U31" i="55"/>
  <c r="U32" i="55"/>
  <c r="U70" i="55"/>
  <c r="U71" i="55"/>
  <c r="U73" i="55"/>
  <c r="V67" i="55"/>
  <c r="V79" i="55"/>
  <c r="V24" i="55"/>
  <c r="V25" i="55"/>
  <c r="V29" i="55"/>
  <c r="V68" i="55"/>
  <c r="V69" i="55"/>
  <c r="V53" i="55"/>
  <c r="V57" i="55"/>
  <c r="V58" i="55"/>
  <c r="V59" i="55"/>
  <c r="V31" i="55"/>
  <c r="V32" i="55"/>
  <c r="V70" i="55"/>
  <c r="V71" i="55"/>
  <c r="V73" i="55"/>
  <c r="W67" i="55"/>
  <c r="W79" i="55"/>
  <c r="W24" i="55"/>
  <c r="W25" i="55"/>
  <c r="W29" i="55"/>
  <c r="W68" i="55"/>
  <c r="W69" i="55"/>
  <c r="W53" i="55"/>
  <c r="W57" i="55"/>
  <c r="W58" i="55"/>
  <c r="W59" i="55"/>
  <c r="W31" i="55"/>
  <c r="W32" i="55"/>
  <c r="W70" i="55"/>
  <c r="W71" i="55"/>
  <c r="W73" i="55"/>
  <c r="X67" i="55"/>
  <c r="X79" i="55"/>
  <c r="X24" i="55"/>
  <c r="X25" i="55"/>
  <c r="X29" i="55"/>
  <c r="X68" i="55"/>
  <c r="X69" i="55"/>
  <c r="X53" i="55"/>
  <c r="X57" i="55"/>
  <c r="X58" i="55"/>
  <c r="X59" i="55"/>
  <c r="X31" i="55"/>
  <c r="X32" i="55"/>
  <c r="X70" i="55"/>
  <c r="X71" i="55"/>
  <c r="X73" i="55"/>
  <c r="Y67" i="55"/>
  <c r="Y79" i="55"/>
  <c r="Y24" i="55"/>
  <c r="Y25" i="55"/>
  <c r="Y29" i="55"/>
  <c r="Y68" i="55"/>
  <c r="Y69" i="55"/>
  <c r="Y53" i="55"/>
  <c r="Y57" i="55"/>
  <c r="Y58" i="55"/>
  <c r="Y59" i="55"/>
  <c r="Y31" i="55"/>
  <c r="Y32" i="55"/>
  <c r="Y70" i="55"/>
  <c r="Y71" i="55"/>
  <c r="Y73" i="55"/>
  <c r="Z67" i="55"/>
  <c r="Z79" i="55"/>
  <c r="Z24" i="55"/>
  <c r="Z25" i="55"/>
  <c r="Z29" i="55"/>
  <c r="Z68" i="55"/>
  <c r="Z69" i="55"/>
  <c r="Z53" i="55"/>
  <c r="Z57" i="55"/>
  <c r="Z58" i="55"/>
  <c r="Z59" i="55"/>
  <c r="Z70" i="55"/>
  <c r="Z71" i="55"/>
  <c r="Z73" i="55"/>
  <c r="AA67" i="55"/>
  <c r="AA79" i="55"/>
  <c r="AA24" i="55"/>
  <c r="AA25" i="55"/>
  <c r="AA29" i="55"/>
  <c r="AA68" i="55"/>
  <c r="AA69" i="55"/>
  <c r="AA53" i="55"/>
  <c r="AA57" i="55"/>
  <c r="AA58" i="55"/>
  <c r="AA59" i="55"/>
  <c r="AA31" i="55"/>
  <c r="AA32" i="55"/>
  <c r="AA70" i="55"/>
  <c r="AA71" i="55"/>
  <c r="AA73" i="55"/>
  <c r="AB67" i="55"/>
  <c r="AB79" i="55"/>
  <c r="AB24" i="55"/>
  <c r="AB25" i="55"/>
  <c r="AB29" i="55"/>
  <c r="AB68" i="55"/>
  <c r="AB69" i="55"/>
  <c r="AB53" i="55"/>
  <c r="AB57" i="55"/>
  <c r="AB58" i="55"/>
  <c r="AB59" i="55"/>
  <c r="AB31" i="55"/>
  <c r="AB32" i="55"/>
  <c r="AB70" i="55"/>
  <c r="AB71" i="55"/>
  <c r="AB73" i="55"/>
  <c r="AC67" i="55"/>
  <c r="AC79" i="55"/>
  <c r="AC24" i="55"/>
  <c r="AC25" i="55"/>
  <c r="AC29" i="55"/>
  <c r="AC68" i="55"/>
  <c r="AC69" i="55"/>
  <c r="AC53" i="55"/>
  <c r="AC57" i="55"/>
  <c r="AC58" i="55"/>
  <c r="AC59" i="55"/>
  <c r="AC70" i="55"/>
  <c r="AC71" i="55"/>
  <c r="AC73" i="55"/>
  <c r="AD67" i="55"/>
  <c r="AD79" i="55"/>
  <c r="AD24" i="55"/>
  <c r="AD25" i="55"/>
  <c r="AD29" i="55"/>
  <c r="AD68" i="55"/>
  <c r="AD69" i="55"/>
  <c r="AD53" i="55"/>
  <c r="AD57" i="55"/>
  <c r="AD58" i="55"/>
  <c r="AD59" i="55"/>
  <c r="AD70" i="55"/>
  <c r="AD71" i="55"/>
  <c r="AD73" i="55"/>
  <c r="AE67" i="55"/>
  <c r="AE79" i="55"/>
  <c r="AE24" i="55"/>
  <c r="AE25" i="55"/>
  <c r="AE29" i="55"/>
  <c r="AE68" i="55"/>
  <c r="AE69" i="55"/>
  <c r="AE53" i="55"/>
  <c r="AE57" i="55"/>
  <c r="AE58" i="55"/>
  <c r="AE59" i="55"/>
  <c r="AE70" i="55"/>
  <c r="AE73" i="55"/>
  <c r="AF67" i="55"/>
  <c r="AF79" i="55"/>
  <c r="AF24" i="55"/>
  <c r="AF25" i="55"/>
  <c r="AF29" i="55"/>
  <c r="AF68" i="55"/>
  <c r="AF69" i="55"/>
  <c r="AF53" i="55"/>
  <c r="AF57" i="55"/>
  <c r="AF58" i="55"/>
  <c r="AF59" i="55"/>
  <c r="AF70" i="55"/>
  <c r="AF73" i="55"/>
  <c r="AG67" i="55"/>
  <c r="AG79" i="55"/>
  <c r="AG24" i="55"/>
  <c r="AG25" i="55"/>
  <c r="AG29" i="55"/>
  <c r="AG68" i="55"/>
  <c r="AG69" i="55"/>
  <c r="AG53" i="55"/>
  <c r="AG57" i="55"/>
  <c r="AG58" i="55"/>
  <c r="AG59" i="55"/>
  <c r="AG70" i="55"/>
  <c r="AG73" i="55"/>
  <c r="AH67" i="55"/>
  <c r="AH79" i="55"/>
  <c r="AH24" i="55"/>
  <c r="AH25" i="55"/>
  <c r="AH29" i="55"/>
  <c r="AH68" i="55"/>
  <c r="AH69" i="55"/>
  <c r="AH53" i="55"/>
  <c r="AH57" i="55"/>
  <c r="AH58" i="55"/>
  <c r="AH59" i="55"/>
  <c r="AH70" i="55"/>
  <c r="AH73" i="55"/>
  <c r="AI67" i="55"/>
  <c r="AI79" i="55"/>
  <c r="AI24" i="55"/>
  <c r="AI25" i="55"/>
  <c r="AI29" i="55"/>
  <c r="AI68" i="55"/>
  <c r="AI69" i="55"/>
  <c r="AI53" i="55"/>
  <c r="AI57" i="55"/>
  <c r="AI58" i="55"/>
  <c r="AI59" i="55"/>
  <c r="AI70" i="55"/>
  <c r="AI73" i="55"/>
  <c r="AJ67" i="55"/>
  <c r="AJ79" i="55"/>
  <c r="AJ24" i="55"/>
  <c r="AJ25" i="55"/>
  <c r="AJ29" i="55"/>
  <c r="AJ68" i="55"/>
  <c r="AJ69" i="55"/>
  <c r="AJ53" i="55"/>
  <c r="AJ57" i="55"/>
  <c r="AJ58" i="55"/>
  <c r="AJ59" i="55"/>
  <c r="AJ70" i="55"/>
  <c r="AJ73" i="55"/>
  <c r="AK67" i="55"/>
  <c r="AK79" i="55"/>
  <c r="AK24" i="55"/>
  <c r="AK25" i="55"/>
  <c r="AK29" i="55"/>
  <c r="AK68" i="55"/>
  <c r="AK69" i="55"/>
  <c r="AK53" i="55"/>
  <c r="AK57" i="55"/>
  <c r="AK58" i="55"/>
  <c r="AK59" i="55"/>
  <c r="AK70" i="55"/>
  <c r="AK73" i="55"/>
  <c r="AL67" i="55"/>
  <c r="AL79" i="55"/>
  <c r="AL24" i="55"/>
  <c r="AL25" i="55"/>
  <c r="AL29" i="55"/>
  <c r="AL68" i="55"/>
  <c r="AL69" i="55"/>
  <c r="AL53" i="55"/>
  <c r="AL57" i="55"/>
  <c r="AL58" i="55"/>
  <c r="AL59" i="55"/>
  <c r="AL70" i="55"/>
  <c r="AL73" i="55"/>
  <c r="AM67" i="55"/>
  <c r="AM79" i="55"/>
  <c r="AM24" i="55"/>
  <c r="AM25" i="55"/>
  <c r="AM29" i="55"/>
  <c r="AM68" i="55"/>
  <c r="AM69" i="55"/>
  <c r="AM53" i="55"/>
  <c r="AM57" i="55"/>
  <c r="AM58" i="55"/>
  <c r="AM59" i="55"/>
  <c r="AM70" i="55"/>
  <c r="AM73" i="55"/>
  <c r="AN67" i="55"/>
  <c r="AN79" i="55"/>
  <c r="AN24" i="55"/>
  <c r="AN25" i="55"/>
  <c r="AN29" i="55"/>
  <c r="AN68" i="55"/>
  <c r="AN69" i="55"/>
  <c r="AN53" i="55"/>
  <c r="AN57" i="55"/>
  <c r="AN58" i="55"/>
  <c r="AN59" i="55"/>
  <c r="AN70" i="55"/>
  <c r="AN73" i="55"/>
  <c r="AO67" i="55"/>
  <c r="AO79" i="55"/>
  <c r="AO24" i="55"/>
  <c r="AO25" i="55"/>
  <c r="AO29" i="55"/>
  <c r="AO68" i="55"/>
  <c r="AO69" i="55"/>
  <c r="AO53" i="55"/>
  <c r="AO57" i="55"/>
  <c r="AO58" i="55"/>
  <c r="AO59" i="55"/>
  <c r="AO70" i="55"/>
  <c r="AO72" i="55"/>
  <c r="AO73" i="55"/>
  <c r="AP67" i="55"/>
  <c r="AP79" i="55"/>
  <c r="AP24" i="55"/>
  <c r="AP25" i="55"/>
  <c r="AP29" i="55"/>
  <c r="AP68" i="55"/>
  <c r="AP69" i="55"/>
  <c r="AP53" i="55"/>
  <c r="AP57" i="55"/>
  <c r="AP58" i="55"/>
  <c r="AP59" i="55"/>
  <c r="AP70" i="55"/>
  <c r="AP72" i="55"/>
  <c r="AP73" i="55"/>
  <c r="AQ67" i="55"/>
  <c r="AQ79" i="55"/>
  <c r="AQ24" i="55"/>
  <c r="AQ25" i="55"/>
  <c r="AQ29" i="55"/>
  <c r="AQ68" i="55"/>
  <c r="AQ69" i="55"/>
  <c r="AQ53" i="55"/>
  <c r="AQ57" i="55"/>
  <c r="AQ58" i="55"/>
  <c r="AQ59" i="55"/>
  <c r="AQ70" i="55"/>
  <c r="AQ72" i="55"/>
  <c r="AQ73" i="55"/>
  <c r="AR67" i="55"/>
  <c r="AR79" i="55"/>
  <c r="AR24" i="55"/>
  <c r="AR25" i="55"/>
  <c r="AR29" i="55"/>
  <c r="AR68" i="55"/>
  <c r="AR69" i="55"/>
  <c r="AR53" i="55"/>
  <c r="AR57" i="55"/>
  <c r="AR58" i="55"/>
  <c r="AR59" i="55"/>
  <c r="AR70" i="55"/>
  <c r="AR72" i="55"/>
  <c r="AR73" i="55"/>
  <c r="AS67" i="55"/>
  <c r="AS79" i="55"/>
  <c r="AS24" i="55"/>
  <c r="AS25" i="55"/>
  <c r="AS29" i="55"/>
  <c r="AS68" i="55"/>
  <c r="AS69" i="55"/>
  <c r="AS53" i="55"/>
  <c r="AS57" i="55"/>
  <c r="AS58" i="55"/>
  <c r="AS59" i="55"/>
  <c r="AS70" i="55"/>
  <c r="AS72" i="55"/>
  <c r="AS73" i="55"/>
  <c r="AT67" i="55"/>
  <c r="AT79" i="55"/>
  <c r="AT24" i="55"/>
  <c r="AT25" i="55"/>
  <c r="AT29" i="55"/>
  <c r="AT68" i="55"/>
  <c r="AT69" i="55"/>
  <c r="AT53" i="55"/>
  <c r="AT57" i="55"/>
  <c r="AT58" i="55"/>
  <c r="AT59" i="55"/>
  <c r="AT70" i="55"/>
  <c r="AT72" i="55"/>
  <c r="AT73" i="55"/>
  <c r="AU67" i="55"/>
  <c r="AU79" i="55"/>
  <c r="AU24" i="55"/>
  <c r="AU25" i="55"/>
  <c r="AU29" i="55"/>
  <c r="AU68" i="55"/>
  <c r="AU69" i="55"/>
  <c r="AU53" i="55"/>
  <c r="AU57" i="55"/>
  <c r="AU58" i="55"/>
  <c r="AU59" i="55"/>
  <c r="AU70" i="55"/>
  <c r="AU72" i="55"/>
  <c r="AU73" i="55"/>
  <c r="AV67" i="55"/>
  <c r="AV79" i="55"/>
  <c r="AV24" i="55"/>
  <c r="AV25" i="55"/>
  <c r="AV29" i="55"/>
  <c r="AV68" i="55"/>
  <c r="AV69" i="55"/>
  <c r="AV53" i="55"/>
  <c r="AV57" i="55"/>
  <c r="AV58" i="55"/>
  <c r="AV59" i="55"/>
  <c r="AV70" i="55"/>
  <c r="AV72" i="55"/>
  <c r="AV73" i="55"/>
  <c r="AW67" i="55"/>
  <c r="AW79" i="55"/>
  <c r="AW24" i="55"/>
  <c r="AW25" i="55"/>
  <c r="AW29" i="55"/>
  <c r="AW68" i="55"/>
  <c r="AW69" i="55"/>
  <c r="AW53" i="55"/>
  <c r="AW57" i="55"/>
  <c r="AW58" i="55"/>
  <c r="AW59" i="55"/>
  <c r="AW70" i="55"/>
  <c r="AW72" i="55"/>
  <c r="AW73" i="55"/>
  <c r="L156" i="55"/>
  <c r="K156" i="55" a="1"/>
  <c r="N31" i="55"/>
  <c r="N32" i="55"/>
  <c r="N33" i="55"/>
  <c r="N34" i="55"/>
  <c r="N36" i="55"/>
  <c r="N39" i="55"/>
  <c r="N125" i="55"/>
  <c r="N126" i="55"/>
  <c r="N108" i="55"/>
  <c r="N110" i="55"/>
  <c r="O107" i="55"/>
  <c r="O31" i="55"/>
  <c r="O32" i="55"/>
  <c r="O33" i="55"/>
  <c r="O34" i="55"/>
  <c r="O36" i="55"/>
  <c r="O116" i="55"/>
  <c r="O38" i="55"/>
  <c r="O39" i="55"/>
  <c r="O125" i="55"/>
  <c r="O126" i="55"/>
  <c r="O108" i="55"/>
  <c r="O110" i="55"/>
  <c r="P107" i="55"/>
  <c r="P31" i="55"/>
  <c r="P32" i="55"/>
  <c r="P33" i="55"/>
  <c r="P34" i="55"/>
  <c r="P36" i="55"/>
  <c r="P116" i="55"/>
  <c r="P38" i="55"/>
  <c r="P39" i="55"/>
  <c r="P125" i="55"/>
  <c r="P126" i="55"/>
  <c r="P108" i="55"/>
  <c r="P110" i="55"/>
  <c r="Q107" i="55"/>
  <c r="Q33" i="55"/>
  <c r="Q34" i="55"/>
  <c r="Q36" i="55"/>
  <c r="Q116" i="55"/>
  <c r="Q38" i="55"/>
  <c r="Q39" i="55"/>
  <c r="Q125" i="55"/>
  <c r="Q126" i="55"/>
  <c r="Q108" i="55"/>
  <c r="Q110" i="55"/>
  <c r="R107" i="55"/>
  <c r="R33" i="55"/>
  <c r="R34" i="55"/>
  <c r="R36" i="55"/>
  <c r="R116" i="55"/>
  <c r="R38" i="55"/>
  <c r="R39" i="55"/>
  <c r="R125" i="55"/>
  <c r="R126" i="55"/>
  <c r="R108" i="55"/>
  <c r="R110" i="55"/>
  <c r="S107" i="55"/>
  <c r="S33" i="55"/>
  <c r="S34" i="55"/>
  <c r="S36" i="55"/>
  <c r="S116" i="55"/>
  <c r="S38" i="55"/>
  <c r="S39" i="55"/>
  <c r="S125" i="55"/>
  <c r="S126" i="55"/>
  <c r="S108" i="55"/>
  <c r="S110" i="55"/>
  <c r="J156" i="55" a="1"/>
  <c r="Z31" i="55"/>
  <c r="Z32" i="55"/>
  <c r="AW31" i="55"/>
  <c r="AW32" i="55"/>
  <c r="AW33" i="55"/>
  <c r="AW35" i="55"/>
  <c r="AW36" i="55"/>
  <c r="T107" i="55"/>
  <c r="T33" i="55"/>
  <c r="T34" i="55"/>
  <c r="T36" i="55"/>
  <c r="T116" i="55"/>
  <c r="T38" i="55"/>
  <c r="T39" i="55"/>
  <c r="T125" i="55"/>
  <c r="T126" i="55"/>
  <c r="T108" i="55"/>
  <c r="T110" i="55"/>
  <c r="U107" i="55"/>
  <c r="U33" i="55"/>
  <c r="U34" i="55"/>
  <c r="U36" i="55"/>
  <c r="U116" i="55"/>
  <c r="U38" i="55"/>
  <c r="U39" i="55"/>
  <c r="U125" i="55"/>
  <c r="U126" i="55"/>
  <c r="U108" i="55"/>
  <c r="U110" i="55"/>
  <c r="V107" i="55"/>
  <c r="V33" i="55"/>
  <c r="V34" i="55"/>
  <c r="V36" i="55"/>
  <c r="V116" i="55"/>
  <c r="V38" i="55"/>
  <c r="V39" i="55"/>
  <c r="V125" i="55"/>
  <c r="V126" i="55"/>
  <c r="V108" i="55"/>
  <c r="V110" i="55"/>
  <c r="W107" i="55"/>
  <c r="W33" i="55"/>
  <c r="W34" i="55"/>
  <c r="W36" i="55"/>
  <c r="W116" i="55"/>
  <c r="W38" i="55"/>
  <c r="W39" i="55"/>
  <c r="W125" i="55"/>
  <c r="W126" i="55"/>
  <c r="W108" i="55"/>
  <c r="W110" i="55"/>
  <c r="X107" i="55"/>
  <c r="X33" i="55"/>
  <c r="X34" i="55"/>
  <c r="X36" i="55"/>
  <c r="X116" i="55"/>
  <c r="X38" i="55"/>
  <c r="X39" i="55"/>
  <c r="X125" i="55"/>
  <c r="X126" i="55"/>
  <c r="X108" i="55"/>
  <c r="X110" i="55"/>
  <c r="Y107" i="55"/>
  <c r="Y33" i="55"/>
  <c r="Y34" i="55"/>
  <c r="Y36" i="55"/>
  <c r="Y116" i="55"/>
  <c r="Y38" i="55"/>
  <c r="Y39" i="55"/>
  <c r="Y125" i="55"/>
  <c r="Y126" i="55"/>
  <c r="Y108" i="55"/>
  <c r="Y110" i="55"/>
  <c r="Z107" i="55"/>
  <c r="Z33" i="55"/>
  <c r="Z34" i="55"/>
  <c r="Z36" i="55"/>
  <c r="Z116" i="55"/>
  <c r="Z38" i="55"/>
  <c r="Z39" i="55"/>
  <c r="Z125" i="55"/>
  <c r="Z126" i="55"/>
  <c r="Z108" i="55"/>
  <c r="Z110" i="55"/>
  <c r="AA107" i="55"/>
  <c r="AA33" i="55"/>
  <c r="AA34" i="55"/>
  <c r="AA36" i="55"/>
  <c r="AA116" i="55"/>
  <c r="AA38" i="55"/>
  <c r="AA39" i="55"/>
  <c r="AA125" i="55"/>
  <c r="AA126" i="55"/>
  <c r="AA108" i="55"/>
  <c r="AA110" i="55"/>
  <c r="AB107" i="55"/>
  <c r="AB33" i="55"/>
  <c r="AB34" i="55"/>
  <c r="AB36" i="55"/>
  <c r="AB116" i="55"/>
  <c r="AB38" i="55"/>
  <c r="AB39" i="55"/>
  <c r="AB125" i="55"/>
  <c r="AB126" i="55"/>
  <c r="AB108" i="55"/>
  <c r="AB110" i="55"/>
  <c r="AC107" i="55"/>
  <c r="AC31" i="55"/>
  <c r="AC32" i="55"/>
  <c r="AC33" i="55"/>
  <c r="AC34" i="55"/>
  <c r="AC36" i="55"/>
  <c r="AC116" i="55"/>
  <c r="AC38" i="55"/>
  <c r="AC39" i="55"/>
  <c r="AC125" i="55"/>
  <c r="AC126" i="55"/>
  <c r="AC108" i="55"/>
  <c r="AC110" i="55"/>
  <c r="AD107" i="55"/>
  <c r="AD31" i="55"/>
  <c r="AD32" i="55"/>
  <c r="AD33" i="55"/>
  <c r="AD34" i="55"/>
  <c r="AD36" i="55"/>
  <c r="AD116" i="55"/>
  <c r="AD38" i="55"/>
  <c r="AD39" i="55"/>
  <c r="AD125" i="55"/>
  <c r="AD126" i="55"/>
  <c r="AD108" i="55"/>
  <c r="AD110" i="55"/>
  <c r="AE107" i="55"/>
  <c r="AE31" i="55"/>
  <c r="AE32" i="55"/>
  <c r="AE33" i="55"/>
  <c r="AE36" i="55"/>
  <c r="AE116" i="55"/>
  <c r="AE38" i="55"/>
  <c r="AE39" i="55"/>
  <c r="AE125" i="55"/>
  <c r="AE126" i="55"/>
  <c r="AE108" i="55"/>
  <c r="AE110" i="55"/>
  <c r="AF107" i="55"/>
  <c r="AF31" i="55"/>
  <c r="AF32" i="55"/>
  <c r="AF33" i="55"/>
  <c r="AF36" i="55"/>
  <c r="AF116" i="55"/>
  <c r="AF38" i="55"/>
  <c r="AF39" i="55"/>
  <c r="AF125" i="55"/>
  <c r="AF126" i="55"/>
  <c r="AF108" i="55"/>
  <c r="AF110" i="55"/>
  <c r="AG107" i="55"/>
  <c r="AG31" i="55"/>
  <c r="AG32" i="55"/>
  <c r="AG33" i="55"/>
  <c r="AG36" i="55"/>
  <c r="AG116" i="55"/>
  <c r="AG38" i="55"/>
  <c r="AG39" i="55"/>
  <c r="AG125" i="55"/>
  <c r="AG126" i="55"/>
  <c r="AG108" i="55"/>
  <c r="AG110" i="55"/>
  <c r="AH107" i="55"/>
  <c r="AH31" i="55"/>
  <c r="AH32" i="55"/>
  <c r="AH33" i="55"/>
  <c r="AH36" i="55"/>
  <c r="AH116" i="55"/>
  <c r="AH38" i="55"/>
  <c r="AH39" i="55"/>
  <c r="AH125" i="55"/>
  <c r="AH126" i="55"/>
  <c r="AH108" i="55"/>
  <c r="AH110" i="55"/>
  <c r="AI107" i="55"/>
  <c r="AI31" i="55"/>
  <c r="AI32" i="55"/>
  <c r="AI33" i="55"/>
  <c r="AI36" i="55"/>
  <c r="AI116" i="55"/>
  <c r="AI38" i="55"/>
  <c r="AI39" i="55"/>
  <c r="AI125" i="55"/>
  <c r="AI126" i="55"/>
  <c r="AI108" i="55"/>
  <c r="AI110" i="55"/>
  <c r="AJ107" i="55"/>
  <c r="AJ31" i="55"/>
  <c r="AJ32" i="55"/>
  <c r="AJ33" i="55"/>
  <c r="AJ36" i="55"/>
  <c r="AJ116" i="55"/>
  <c r="AJ38" i="55"/>
  <c r="AJ39" i="55"/>
  <c r="AJ125" i="55"/>
  <c r="AJ126" i="55"/>
  <c r="AJ108" i="55"/>
  <c r="AJ110" i="55"/>
  <c r="AK107" i="55"/>
  <c r="AK31" i="55"/>
  <c r="AK32" i="55"/>
  <c r="AK33" i="55"/>
  <c r="AK36" i="55"/>
  <c r="AK116" i="55"/>
  <c r="AK38" i="55"/>
  <c r="AK39" i="55"/>
  <c r="AK125" i="55"/>
  <c r="AK126" i="55"/>
  <c r="AK108" i="55"/>
  <c r="AK110" i="55"/>
  <c r="AL107" i="55"/>
  <c r="AL31" i="55"/>
  <c r="AL32" i="55"/>
  <c r="AL33" i="55"/>
  <c r="AL36" i="55"/>
  <c r="AL116" i="55"/>
  <c r="AL38" i="55"/>
  <c r="AL39" i="55"/>
  <c r="AL125" i="55"/>
  <c r="AL126" i="55"/>
  <c r="AL108" i="55"/>
  <c r="AL110" i="55"/>
  <c r="AM107" i="55"/>
  <c r="AM31" i="55"/>
  <c r="AM32" i="55"/>
  <c r="AM33" i="55"/>
  <c r="AM36" i="55"/>
  <c r="AM116" i="55"/>
  <c r="AM38" i="55"/>
  <c r="AM39" i="55"/>
  <c r="AM125" i="55"/>
  <c r="AM126" i="55"/>
  <c r="AM108" i="55"/>
  <c r="AM110" i="55"/>
  <c r="AN107" i="55"/>
  <c r="AN31" i="55"/>
  <c r="AN32" i="55"/>
  <c r="AN33" i="55"/>
  <c r="AN36" i="55"/>
  <c r="AN116" i="55"/>
  <c r="AN38" i="55"/>
  <c r="AN39" i="55"/>
  <c r="AN125" i="55"/>
  <c r="AN126" i="55"/>
  <c r="AN108" i="55"/>
  <c r="AN110" i="55"/>
  <c r="AO107" i="55"/>
  <c r="AO31" i="55"/>
  <c r="AO32" i="55"/>
  <c r="AO33" i="55"/>
  <c r="AO35" i="55"/>
  <c r="AO36" i="55"/>
  <c r="AO116" i="55"/>
  <c r="AO38" i="55"/>
  <c r="AO39" i="55"/>
  <c r="AO125" i="55"/>
  <c r="AO126" i="55"/>
  <c r="AO108" i="55"/>
  <c r="AO110" i="55"/>
  <c r="AP107" i="55"/>
  <c r="AP31" i="55"/>
  <c r="AP32" i="55"/>
  <c r="AP33" i="55"/>
  <c r="AP35" i="55"/>
  <c r="AP36" i="55"/>
  <c r="AP116" i="55"/>
  <c r="AP38" i="55"/>
  <c r="AP39" i="55"/>
  <c r="AP125" i="55"/>
  <c r="AP126" i="55"/>
  <c r="AP108" i="55"/>
  <c r="AP110" i="55"/>
  <c r="AQ107" i="55"/>
  <c r="AQ31" i="55"/>
  <c r="AQ32" i="55"/>
  <c r="AQ33" i="55"/>
  <c r="AQ35" i="55"/>
  <c r="AQ36" i="55"/>
  <c r="AQ116" i="55"/>
  <c r="AQ38" i="55"/>
  <c r="AQ39" i="55"/>
  <c r="AQ125" i="55"/>
  <c r="AQ126" i="55"/>
  <c r="AQ108" i="55"/>
  <c r="AQ110" i="55"/>
  <c r="AR107" i="55"/>
  <c r="AR31" i="55"/>
  <c r="AR32" i="55"/>
  <c r="AR33" i="55"/>
  <c r="AR35" i="55"/>
  <c r="AR36" i="55"/>
  <c r="AR116" i="55"/>
  <c r="AR38" i="55"/>
  <c r="AR39" i="55"/>
  <c r="AR125" i="55"/>
  <c r="AR126" i="55"/>
  <c r="AR108" i="55"/>
  <c r="AR110" i="55"/>
  <c r="AS107" i="55"/>
  <c r="AS31" i="55"/>
  <c r="AS32" i="55"/>
  <c r="AS33" i="55"/>
  <c r="AS35" i="55"/>
  <c r="AS36" i="55"/>
  <c r="AS116" i="55"/>
  <c r="AS38" i="55"/>
  <c r="AS39" i="55"/>
  <c r="AS125" i="55"/>
  <c r="AS126" i="55"/>
  <c r="AS108" i="55"/>
  <c r="AS110" i="55"/>
  <c r="AT107" i="55"/>
  <c r="AT31" i="55"/>
  <c r="AT32" i="55"/>
  <c r="AT33" i="55"/>
  <c r="AT35" i="55"/>
  <c r="AT36" i="55"/>
  <c r="AT116" i="55"/>
  <c r="AT38" i="55"/>
  <c r="AT39" i="55"/>
  <c r="AT125" i="55"/>
  <c r="AT126" i="55"/>
  <c r="AT108" i="55"/>
  <c r="AT110" i="55"/>
  <c r="AU107" i="55"/>
  <c r="AU31" i="55"/>
  <c r="AU32" i="55"/>
  <c r="AU33" i="55"/>
  <c r="AU35" i="55"/>
  <c r="AU36" i="55"/>
  <c r="AU116" i="55"/>
  <c r="AU38" i="55"/>
  <c r="AU39" i="55"/>
  <c r="AU125" i="55"/>
  <c r="AU126" i="55"/>
  <c r="AU108" i="55"/>
  <c r="AU110" i="55"/>
  <c r="AV107" i="55"/>
  <c r="AV31" i="55"/>
  <c r="AV32" i="55"/>
  <c r="AV33" i="55"/>
  <c r="AV35" i="55"/>
  <c r="AV36" i="55"/>
  <c r="AV116" i="55"/>
  <c r="AV38" i="55"/>
  <c r="AV39" i="55"/>
  <c r="AV125" i="55"/>
  <c r="AV126" i="55"/>
  <c r="AV108" i="55"/>
  <c r="AV110" i="55"/>
  <c r="AW107" i="55"/>
  <c r="AW116" i="55"/>
  <c r="AW38" i="55"/>
  <c r="AW39" i="55"/>
  <c r="AW125" i="55"/>
  <c r="AW126" i="55"/>
  <c r="AW41" i="55"/>
  <c r="AW42" i="55"/>
  <c r="N127" i="55"/>
  <c r="N134" i="55"/>
  <c r="N41" i="55"/>
  <c r="N42" i="55"/>
  <c r="N131" i="55"/>
  <c r="N135" i="55"/>
  <c r="N136" i="55"/>
  <c r="O133" i="55"/>
  <c r="O127" i="55"/>
  <c r="O134" i="55"/>
  <c r="O41" i="55"/>
  <c r="O42" i="55"/>
  <c r="O131" i="55"/>
  <c r="O135" i="55"/>
  <c r="O136" i="55"/>
  <c r="P133" i="55"/>
  <c r="P127" i="55"/>
  <c r="P134" i="55"/>
  <c r="P41" i="55"/>
  <c r="P42" i="55"/>
  <c r="P131" i="55"/>
  <c r="P135" i="55"/>
  <c r="P136" i="55"/>
  <c r="Q133" i="55"/>
  <c r="Q127" i="55"/>
  <c r="Q134" i="55"/>
  <c r="Q41" i="55"/>
  <c r="Q42" i="55"/>
  <c r="Q131" i="55"/>
  <c r="Q135" i="55"/>
  <c r="Q136" i="55"/>
  <c r="R133" i="55"/>
  <c r="R127" i="55"/>
  <c r="R134" i="55"/>
  <c r="R41" i="55"/>
  <c r="R42" i="55"/>
  <c r="R131" i="55"/>
  <c r="R135" i="55"/>
  <c r="R136" i="55"/>
  <c r="S133" i="55"/>
  <c r="S127" i="55"/>
  <c r="S134" i="55"/>
  <c r="S41" i="55"/>
  <c r="S42" i="55"/>
  <c r="S131" i="55"/>
  <c r="S135" i="55"/>
  <c r="S136" i="55"/>
  <c r="T133" i="55"/>
  <c r="T127" i="55"/>
  <c r="T134" i="55"/>
  <c r="T41" i="55"/>
  <c r="T42" i="55"/>
  <c r="T131" i="55"/>
  <c r="T135" i="55"/>
  <c r="T136" i="55"/>
  <c r="U133" i="55"/>
  <c r="U127" i="55"/>
  <c r="U134" i="55"/>
  <c r="U41" i="55"/>
  <c r="U42" i="55"/>
  <c r="U131" i="55"/>
  <c r="U135" i="55"/>
  <c r="U136" i="55"/>
  <c r="V133" i="55"/>
  <c r="V127" i="55"/>
  <c r="V134" i="55"/>
  <c r="V41" i="55"/>
  <c r="V42" i="55"/>
  <c r="V131" i="55"/>
  <c r="V135" i="55"/>
  <c r="V136" i="55"/>
  <c r="W133" i="55"/>
  <c r="W127" i="55"/>
  <c r="W134" i="55"/>
  <c r="W41" i="55"/>
  <c r="W42" i="55"/>
  <c r="W131" i="55"/>
  <c r="W135" i="55"/>
  <c r="W136" i="55"/>
  <c r="X133" i="55"/>
  <c r="X127" i="55"/>
  <c r="X134" i="55"/>
  <c r="X41" i="55"/>
  <c r="X42" i="55"/>
  <c r="X131" i="55"/>
  <c r="X135" i="55"/>
  <c r="X136" i="55"/>
  <c r="Y133" i="55"/>
  <c r="Y127" i="55"/>
  <c r="Y134" i="55"/>
  <c r="Y41" i="55"/>
  <c r="Y42" i="55"/>
  <c r="Y131" i="55"/>
  <c r="Y135" i="55"/>
  <c r="Y136" i="55"/>
  <c r="Z133" i="55"/>
  <c r="Z127" i="55"/>
  <c r="Z134" i="55"/>
  <c r="Z41" i="55"/>
  <c r="Z42" i="55"/>
  <c r="Z131" i="55"/>
  <c r="Z135" i="55"/>
  <c r="Z136" i="55"/>
  <c r="AA133" i="55"/>
  <c r="AA127" i="55"/>
  <c r="AA134" i="55"/>
  <c r="AA41" i="55"/>
  <c r="AA42" i="55"/>
  <c r="AA131" i="55"/>
  <c r="AA135" i="55"/>
  <c r="AA136" i="55"/>
  <c r="AB133" i="55"/>
  <c r="AB127" i="55"/>
  <c r="AB134" i="55"/>
  <c r="AB41" i="55"/>
  <c r="AB42" i="55"/>
  <c r="AB131" i="55"/>
  <c r="AB135" i="55"/>
  <c r="AB136" i="55"/>
  <c r="AC133" i="55"/>
  <c r="AC127" i="55"/>
  <c r="AC134" i="55"/>
  <c r="AC41" i="55"/>
  <c r="AC42" i="55"/>
  <c r="AC131" i="55"/>
  <c r="AC135" i="55"/>
  <c r="AC136" i="55"/>
  <c r="AD133" i="55"/>
  <c r="AD127" i="55"/>
  <c r="AD134" i="55"/>
  <c r="AD41" i="55"/>
  <c r="AD42" i="55"/>
  <c r="AD131" i="55"/>
  <c r="AD135" i="55"/>
  <c r="AD136" i="55"/>
  <c r="AE133" i="55"/>
  <c r="AE127" i="55"/>
  <c r="AE134" i="55"/>
  <c r="AE41" i="55"/>
  <c r="AE42" i="55"/>
  <c r="AE131" i="55"/>
  <c r="AE135" i="55"/>
  <c r="AE136" i="55"/>
  <c r="AF133" i="55"/>
  <c r="AF127" i="55"/>
  <c r="AF134" i="55"/>
  <c r="AF41" i="55"/>
  <c r="AF42" i="55"/>
  <c r="AF131" i="55"/>
  <c r="AF135" i="55"/>
  <c r="AF136" i="55"/>
  <c r="AG133" i="55"/>
  <c r="AG127" i="55"/>
  <c r="AG134" i="55"/>
  <c r="AG41" i="55"/>
  <c r="AG42" i="55"/>
  <c r="AG131" i="55"/>
  <c r="AG135" i="55"/>
  <c r="AG136" i="55"/>
  <c r="AH133" i="55"/>
  <c r="AH127" i="55"/>
  <c r="AH134" i="55"/>
  <c r="AH41" i="55"/>
  <c r="AH42" i="55"/>
  <c r="AH131" i="55"/>
  <c r="AH135" i="55"/>
  <c r="AH136" i="55"/>
  <c r="AI133" i="55"/>
  <c r="AI127" i="55"/>
  <c r="AI134" i="55"/>
  <c r="AI41" i="55"/>
  <c r="AI42" i="55"/>
  <c r="AI131" i="55"/>
  <c r="AI135" i="55"/>
  <c r="AI136" i="55"/>
  <c r="AJ133" i="55"/>
  <c r="AJ127" i="55"/>
  <c r="AJ134" i="55"/>
  <c r="AJ41" i="55"/>
  <c r="AJ42" i="55"/>
  <c r="AJ131" i="55"/>
  <c r="AJ135" i="55"/>
  <c r="AJ136" i="55"/>
  <c r="AK133" i="55"/>
  <c r="AK127" i="55"/>
  <c r="AK134" i="55"/>
  <c r="AK41" i="55"/>
  <c r="AK42" i="55"/>
  <c r="AK131" i="55"/>
  <c r="AK135" i="55"/>
  <c r="AK136" i="55"/>
  <c r="AL133" i="55"/>
  <c r="AL127" i="55"/>
  <c r="AL134" i="55"/>
  <c r="AL41" i="55"/>
  <c r="AL42" i="55"/>
  <c r="AL131" i="55"/>
  <c r="AL135" i="55"/>
  <c r="AL136" i="55"/>
  <c r="AM133" i="55"/>
  <c r="AM127" i="55"/>
  <c r="AM134" i="55"/>
  <c r="AM41" i="55"/>
  <c r="AM42" i="55"/>
  <c r="AM131" i="55"/>
  <c r="AM135" i="55"/>
  <c r="AM136" i="55"/>
  <c r="AN133" i="55"/>
  <c r="AN127" i="55"/>
  <c r="AN134" i="55"/>
  <c r="AN41" i="55"/>
  <c r="AN42" i="55"/>
  <c r="AN131" i="55"/>
  <c r="AN135" i="55"/>
  <c r="AN136" i="55"/>
  <c r="AO133" i="55"/>
  <c r="AO127" i="55"/>
  <c r="AO134" i="55"/>
  <c r="AO41" i="55"/>
  <c r="AO42" i="55"/>
  <c r="AO131" i="55"/>
  <c r="AO135" i="55"/>
  <c r="AO136" i="55"/>
  <c r="AP133" i="55"/>
  <c r="AP127" i="55"/>
  <c r="AP134" i="55"/>
  <c r="AP41" i="55"/>
  <c r="AP42" i="55"/>
  <c r="AP131" i="55"/>
  <c r="AP135" i="55"/>
  <c r="AP136" i="55"/>
  <c r="AQ133" i="55"/>
  <c r="AQ127" i="55"/>
  <c r="AQ134" i="55"/>
  <c r="AQ41" i="55"/>
  <c r="AQ42" i="55"/>
  <c r="AQ131" i="55"/>
  <c r="AQ135" i="55"/>
  <c r="AQ136" i="55"/>
  <c r="AR133" i="55"/>
  <c r="AR127" i="55"/>
  <c r="AR134" i="55"/>
  <c r="AR41" i="55"/>
  <c r="AR42" i="55"/>
  <c r="AR131" i="55"/>
  <c r="AR135" i="55"/>
  <c r="AR136" i="55"/>
  <c r="AS133" i="55"/>
  <c r="AS127" i="55"/>
  <c r="AS134" i="55"/>
  <c r="AS41" i="55"/>
  <c r="AS42" i="55"/>
  <c r="AS131" i="55"/>
  <c r="AS135" i="55"/>
  <c r="AS136" i="55"/>
  <c r="AT133" i="55"/>
  <c r="AT127" i="55"/>
  <c r="AT134" i="55"/>
  <c r="AT41" i="55"/>
  <c r="AT42" i="55"/>
  <c r="AT131" i="55"/>
  <c r="AT135" i="55"/>
  <c r="AT136" i="55"/>
  <c r="AU133" i="55"/>
  <c r="AU127" i="55"/>
  <c r="AU134" i="55"/>
  <c r="AU41" i="55"/>
  <c r="AU42" i="55"/>
  <c r="AU131" i="55"/>
  <c r="AU135" i="55"/>
  <c r="AU136" i="55"/>
  <c r="AV133" i="55"/>
  <c r="AV127" i="55"/>
  <c r="AV134" i="55"/>
  <c r="AV41" i="55"/>
  <c r="AV42" i="55"/>
  <c r="AV131" i="55"/>
  <c r="AV135" i="55"/>
  <c r="AV136" i="55"/>
  <c r="AW133" i="55"/>
  <c r="AW127" i="55"/>
  <c r="AW134" i="55"/>
  <c r="AW131" i="55"/>
  <c r="AW135" i="55"/>
  <c r="AW44" i="55"/>
  <c r="AW45" i="55"/>
  <c r="AW142" i="55"/>
  <c r="AV44" i="55"/>
  <c r="AV45" i="55"/>
  <c r="AV142" i="55"/>
  <c r="AU44" i="55"/>
  <c r="AU45" i="55"/>
  <c r="AU142" i="55"/>
  <c r="AT44" i="55"/>
  <c r="AT45" i="55"/>
  <c r="AT142" i="55"/>
  <c r="AS44" i="55"/>
  <c r="AS45" i="55"/>
  <c r="AS142" i="55"/>
  <c r="AR44" i="55"/>
  <c r="AR45" i="55"/>
  <c r="AR142" i="55"/>
  <c r="AQ44" i="55"/>
  <c r="AQ45" i="55"/>
  <c r="AQ142" i="55"/>
  <c r="AP44" i="55"/>
  <c r="AP45" i="55"/>
  <c r="AP142" i="55"/>
  <c r="AO44" i="55"/>
  <c r="AO45" i="55"/>
  <c r="AO142" i="55"/>
  <c r="AN44" i="55"/>
  <c r="AN45" i="55"/>
  <c r="AN142" i="55"/>
  <c r="AM44" i="55"/>
  <c r="AM45" i="55"/>
  <c r="AM142" i="55"/>
  <c r="AL44" i="55"/>
  <c r="AL45" i="55"/>
  <c r="AL142" i="55"/>
  <c r="AK44" i="55"/>
  <c r="AK45" i="55"/>
  <c r="AK142" i="55"/>
  <c r="AJ44" i="55"/>
  <c r="AJ45" i="55"/>
  <c r="AJ142" i="55"/>
  <c r="AI44" i="55"/>
  <c r="AI45" i="55"/>
  <c r="AI142" i="55"/>
  <c r="AH44" i="55"/>
  <c r="AH45" i="55"/>
  <c r="AH142" i="55"/>
  <c r="AG44" i="55"/>
  <c r="AG45" i="55"/>
  <c r="AG142" i="55"/>
  <c r="AF44" i="55"/>
  <c r="AF45" i="55"/>
  <c r="AF142" i="55"/>
  <c r="AE44" i="55"/>
  <c r="AE45" i="55"/>
  <c r="AE142" i="55"/>
  <c r="AD44" i="55"/>
  <c r="AD45" i="55"/>
  <c r="AD142" i="55"/>
  <c r="AC44" i="55"/>
  <c r="AC45" i="55"/>
  <c r="AC142" i="55"/>
  <c r="AB44" i="55"/>
  <c r="AB45" i="55"/>
  <c r="AB142" i="55"/>
  <c r="AA44" i="55"/>
  <c r="AA45" i="55"/>
  <c r="AA142" i="55"/>
  <c r="Z44" i="55"/>
  <c r="Z45" i="55"/>
  <c r="Z142" i="55"/>
  <c r="Y44" i="55"/>
  <c r="Y45" i="55"/>
  <c r="Y142" i="55"/>
  <c r="X44" i="55"/>
  <c r="X45" i="55"/>
  <c r="X142" i="55"/>
  <c r="W44" i="55"/>
  <c r="W45" i="55"/>
  <c r="W142" i="55"/>
  <c r="V44" i="55"/>
  <c r="V45" i="55"/>
  <c r="V142" i="55"/>
  <c r="U44" i="55"/>
  <c r="U45" i="55"/>
  <c r="U142" i="55"/>
  <c r="T44" i="55"/>
  <c r="T45" i="55"/>
  <c r="T142" i="55"/>
  <c r="S44" i="55"/>
  <c r="S45" i="55"/>
  <c r="S142" i="55"/>
  <c r="R44" i="55"/>
  <c r="R45" i="55"/>
  <c r="R142" i="55"/>
  <c r="Q44" i="55"/>
  <c r="Q45" i="55"/>
  <c r="Q142" i="55"/>
  <c r="P44" i="55"/>
  <c r="P45" i="55"/>
  <c r="P142" i="55"/>
  <c r="O44" i="55"/>
  <c r="O45" i="55"/>
  <c r="O142" i="55"/>
  <c r="N44" i="55"/>
  <c r="N45" i="55"/>
  <c r="N142" i="55"/>
  <c r="F147" i="55"/>
  <c r="F146" i="55"/>
  <c r="AW136" i="55"/>
  <c r="AW108" i="55"/>
  <c r="H116" i="55"/>
  <c r="H79" i="55"/>
  <c r="H53" i="55"/>
  <c r="H24" i="55"/>
  <c r="AW110" i="5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<sst xmlns="http://schemas.openxmlformats.org/spreadsheetml/2006/main" count="334" uniqueCount="200">
  <si>
    <t>Total</t>
  </si>
  <si>
    <t>Base Case</t>
  </si>
  <si>
    <t>Interest Rate</t>
  </si>
  <si>
    <t>EBITDA</t>
  </si>
  <si>
    <t>Interest Expense</t>
  </si>
  <si>
    <t>Investment</t>
  </si>
  <si>
    <t>Assumptions</t>
  </si>
  <si>
    <t>Mortgage Facility</t>
  </si>
  <si>
    <t>Facility Balance at model start date</t>
  </si>
  <si>
    <t>[$]</t>
  </si>
  <si>
    <t>EBITDA Profiles</t>
  </si>
  <si>
    <t>Annual cash interest rate</t>
  </si>
  <si>
    <t>[% p.a.]</t>
  </si>
  <si>
    <t>Profile Number --&gt;</t>
  </si>
  <si>
    <t>Amortisation Months</t>
  </si>
  <si>
    <t>[#]</t>
  </si>
  <si>
    <t>Profile Name --&gt;</t>
  </si>
  <si>
    <t>Case 2</t>
  </si>
  <si>
    <t>Case 3</t>
  </si>
  <si>
    <t>Case 4</t>
  </si>
  <si>
    <t>Case 5</t>
  </si>
  <si>
    <t>Case 6</t>
  </si>
  <si>
    <t>Scheduled final payment date</t>
  </si>
  <si>
    <t>[date]</t>
  </si>
  <si>
    <t>Quarter Ending</t>
  </si>
  <si>
    <t xml:space="preserve">Mortgage DSCR Lock up trigger </t>
  </si>
  <si>
    <t>[x]</t>
  </si>
  <si>
    <t>Look-back quarters for DSCR incl. current quarter (Last Twelve Months)</t>
  </si>
  <si>
    <t>Do not change</t>
  </si>
  <si>
    <t>To get out of lock-up:</t>
  </si>
  <si>
    <t>Number of quarters required for Sr DSCR to be greater than lock-up trigger:</t>
  </si>
  <si>
    <t>[# qtrs]</t>
  </si>
  <si>
    <t>Debt Service Reserve Account</t>
  </si>
  <si>
    <t>Initial balance at project start (already funded)</t>
  </si>
  <si>
    <t>Required minimum balance during term of Mortgage Facility</t>
  </si>
  <si>
    <t>Cash interest rate earned on account balance</t>
  </si>
  <si>
    <t>Junior Facility</t>
  </si>
  <si>
    <t>Amortisation Quarters</t>
  </si>
  <si>
    <t>Equity</t>
  </si>
  <si>
    <t>Contribution amount at model start date</t>
  </si>
  <si>
    <t>Discount rate for Net Present Value Calculations</t>
  </si>
  <si>
    <t>Other Assumptions</t>
  </si>
  <si>
    <t>Model start date (Project start date)</t>
  </si>
  <si>
    <t>Initial quarter end date</t>
  </si>
  <si>
    <t>Number of quarters in project</t>
  </si>
  <si>
    <t>Final quarter end date (Project end date)</t>
  </si>
  <si>
    <t>Cash interest rate earned on cash account balance</t>
  </si>
  <si>
    <t>End Sheet</t>
  </si>
  <si>
    <t>Unicorn Construction Ltd</t>
  </si>
  <si>
    <t>Debt Model</t>
  </si>
  <si>
    <t>Answers</t>
  </si>
  <si>
    <t>Jr Facility Bal</t>
  </si>
  <si>
    <t>First Lock up</t>
  </si>
  <si>
    <t>Mortgage</t>
  </si>
  <si>
    <t>Mortgage Bal</t>
  </si>
  <si>
    <t>a)</t>
  </si>
  <si>
    <t>See below</t>
  </si>
  <si>
    <t>Total Int</t>
  </si>
  <si>
    <t>b)</t>
  </si>
  <si>
    <t>c)</t>
  </si>
  <si>
    <t>d)</t>
  </si>
  <si>
    <t>e)</t>
  </si>
  <si>
    <t>f)</t>
  </si>
  <si>
    <t>g)</t>
  </si>
  <si>
    <t>Cash Flow</t>
  </si>
  <si>
    <t>Interest Income</t>
  </si>
  <si>
    <t>Cash flow</t>
  </si>
  <si>
    <t>Mortgage Interest</t>
  </si>
  <si>
    <t>Mortgage Principal</t>
  </si>
  <si>
    <t>Remaining cash flow</t>
  </si>
  <si>
    <t>DSRA Withdrawl</t>
  </si>
  <si>
    <t>DSRA Top Up</t>
  </si>
  <si>
    <t>DSRA Liquidation</t>
  </si>
  <si>
    <t>Lock-Up Sweep</t>
  </si>
  <si>
    <t>Lock-up Exit Release</t>
  </si>
  <si>
    <t>Remaining cash flow for Jr. Debt</t>
  </si>
  <si>
    <t>Jr. Debt Amortization</t>
  </si>
  <si>
    <t>Remaining cash flow for Arrears</t>
  </si>
  <si>
    <t>Repayment of Arrears Jr. Debt</t>
  </si>
  <si>
    <t>Cash Flow to Equity</t>
  </si>
  <si>
    <t>Opening Balance</t>
  </si>
  <si>
    <t>Amortization</t>
  </si>
  <si>
    <t>Closing Balance</t>
  </si>
  <si>
    <t>Term (months)</t>
  </si>
  <si>
    <t>Quarterly Payment</t>
  </si>
  <si>
    <t>Withdrawl</t>
  </si>
  <si>
    <t>Top up</t>
  </si>
  <si>
    <t>Lock-Up Exit Release</t>
  </si>
  <si>
    <t>Liquidation</t>
  </si>
  <si>
    <t>Minimum Balance</t>
  </si>
  <si>
    <t>Top Up Required</t>
  </si>
  <si>
    <t>Cash flow available</t>
  </si>
  <si>
    <t>Top Up</t>
  </si>
  <si>
    <t>Excess Funds to be Released</t>
  </si>
  <si>
    <t>DSCR</t>
  </si>
  <si>
    <t>Lock up Trigger</t>
  </si>
  <si>
    <t>Trigger</t>
  </si>
  <si>
    <t>Lock up Flag</t>
  </si>
  <si>
    <t>Repayment of Arrears</t>
  </si>
  <si>
    <t>Target Amortization</t>
  </si>
  <si>
    <t>Cash Flow Available</t>
  </si>
  <si>
    <t>Arrears</t>
  </si>
  <si>
    <t>Arrears Amount Owed</t>
  </si>
  <si>
    <t>Additions</t>
  </si>
  <si>
    <t>Repayment</t>
  </si>
  <si>
    <t>Cash Flow Date</t>
  </si>
  <si>
    <t>Cash flow to Equity</t>
  </si>
  <si>
    <t>Max DSRA Bal</t>
  </si>
  <si>
    <t>Company name</t>
  </si>
  <si>
    <t>[label]</t>
  </si>
  <si>
    <t>Unicord Construction</t>
  </si>
  <si>
    <t>CFM Topic</t>
  </si>
  <si>
    <t>Debt</t>
  </si>
  <si>
    <t>Scenarios</t>
  </si>
  <si>
    <t>scenario selector</t>
  </si>
  <si>
    <t>Unit</t>
  </si>
  <si>
    <t>Model timeline</t>
  </si>
  <si>
    <t>Model period beginning</t>
  </si>
  <si>
    <t>Model period ending</t>
  </si>
  <si>
    <t>date</t>
  </si>
  <si>
    <t>Model period counter</t>
  </si>
  <si>
    <t>counter</t>
  </si>
  <si>
    <t>Model first period flag</t>
  </si>
  <si>
    <t>flag</t>
  </si>
  <si>
    <t>Model last period flag</t>
  </si>
  <si>
    <t>Model start date</t>
  </si>
  <si>
    <t>Model end date</t>
  </si>
  <si>
    <t>Number of quarters</t>
  </si>
  <si>
    <t>USD</t>
  </si>
  <si>
    <t>Cashflow waterfall</t>
  </si>
  <si>
    <t>EBIDTA</t>
  </si>
  <si>
    <t>Debt Service Reserve Account interest income</t>
  </si>
  <si>
    <t>Withdrawal from DSRA to cover for Senior Debt repayment shortfall</t>
  </si>
  <si>
    <t>Top Up of DSRA to keep required minimum balance</t>
  </si>
  <si>
    <t>DSRA Additions in Lockup</t>
  </si>
  <si>
    <t>Release from DSRA</t>
  </si>
  <si>
    <t>Funds available for Junior Debt service</t>
  </si>
  <si>
    <t>Junior Debt interest paid</t>
  </si>
  <si>
    <t>Funds Available for Junior Debt Scheduled Repayments</t>
  </si>
  <si>
    <t>Junior Debt Scheduled Repayment Paid</t>
  </si>
  <si>
    <t>Funds Available for Junior Debt Arrears Amount Owed</t>
  </si>
  <si>
    <t>Repayment of arrears owed</t>
  </si>
  <si>
    <t>Funds distributed to Equity</t>
  </si>
  <si>
    <t>LIVE SCENARIO</t>
  </si>
  <si>
    <t>DSCR (Last Twelve Months)</t>
  </si>
  <si>
    <t>multiple</t>
  </si>
  <si>
    <t>DSCR LTM</t>
  </si>
  <si>
    <t>factor</t>
  </si>
  <si>
    <t>Lock up trigger flag</t>
  </si>
  <si>
    <t>Release trigger</t>
  </si>
  <si>
    <t>%</t>
  </si>
  <si>
    <t>% p.a.</t>
  </si>
  <si>
    <t>Debt Service Reserve Account Debt opening balance</t>
  </si>
  <si>
    <t>Debt Service Reserve Account Debt</t>
  </si>
  <si>
    <t>Quarterly cash interest rate</t>
  </si>
  <si>
    <t>Mortgage balance at model start date</t>
  </si>
  <si>
    <t>Mortgage opening balance</t>
  </si>
  <si>
    <t>months</t>
  </si>
  <si>
    <t>Amortisation quarters</t>
  </si>
  <si>
    <t>quarters</t>
  </si>
  <si>
    <t>Mortgage amortization quarters flag</t>
  </si>
  <si>
    <t>Mortgage amortization</t>
  </si>
  <si>
    <t>Interest expenses</t>
  </si>
  <si>
    <t>Quarterly cash intereest rate</t>
  </si>
  <si>
    <t>Mortagage interest expenses</t>
  </si>
  <si>
    <t>Mortgage interest expenses</t>
  </si>
  <si>
    <t>Quarterly scheduled payment</t>
  </si>
  <si>
    <t>Mortage principal payment</t>
  </si>
  <si>
    <t>Funds available after Mortgage service</t>
  </si>
  <si>
    <t>Funds available for Mortgage repayment</t>
  </si>
  <si>
    <t>Withdrawal from DSRA to cover for Mortgage repayment shortfall</t>
  </si>
  <si>
    <t>Liquidation of DSRA</t>
  </si>
  <si>
    <t>Junior Debt</t>
  </si>
  <si>
    <t>Junior Debt balance at model start date</t>
  </si>
  <si>
    <t>Junior Debt opening balance</t>
  </si>
  <si>
    <t>Junior Debt amortization quarters flag</t>
  </si>
  <si>
    <t>Junior Debt scheduled amortization</t>
  </si>
  <si>
    <t>Junior Debt amortization paid</t>
  </si>
  <si>
    <t>Junior Debt interest expenses</t>
  </si>
  <si>
    <t>Unmet Junior Debt repayment</t>
  </si>
  <si>
    <t>Arreas amount owed</t>
  </si>
  <si>
    <t>Arrears amount owed opening balance</t>
  </si>
  <si>
    <t>Arrears amount owed closing balance</t>
  </si>
  <si>
    <t>Net Present Value (NPV)</t>
  </si>
  <si>
    <t>Internal Rate of Return ( IRR)</t>
  </si>
  <si>
    <t>DSRA</t>
  </si>
  <si>
    <t>First</t>
  </si>
  <si>
    <t>Lock-up</t>
  </si>
  <si>
    <t>Total interest</t>
  </si>
  <si>
    <t>on Mortgage</t>
  </si>
  <si>
    <t>on mortgage</t>
  </si>
  <si>
    <t>paid</t>
  </si>
  <si>
    <t>on Junior Debt</t>
  </si>
  <si>
    <t>Date of</t>
  </si>
  <si>
    <t>Maximum</t>
  </si>
  <si>
    <t>Balance</t>
  </si>
  <si>
    <t>Clos. balance</t>
  </si>
  <si>
    <t>Out. balance</t>
  </si>
  <si>
    <t>see above</t>
  </si>
  <si>
    <t>End of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</si>
</sst>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&quot;$&quot;#,##0.00_);[Red]\(&quot;$&quot;#,##0.00\)"/>
    <numFmt numFmtId="165" formatCode="_(* #,##0.00_);_(* \(#,##0.00\);_(* &quot;-&quot;??_);_(@_)"/>
    <numFmt numFmtId="166" formatCode="_-* #,##0_-;\-* #,##0_-;_-* &quot;-&quot;??_-;_-@_-"/>
    <numFmt numFmtId="167" formatCode="#,##0_);\(#,##0\);\-"/>
    <numFmt numFmtId="168" formatCode="#,##0_);\(#,##0\);\-_)"/>
    <numFmt numFmtId="169" formatCode="#,##0.00_);\(#,##0.00\);\-_)"/>
    <numFmt numFmtId="170" formatCode="0.00%_);\(0.00%\);\-_)"/>
    <numFmt numFmtId="171" formatCode="d/mmm/yy;d/mmm/yy;\-"/>
    <numFmt numFmtId="172" formatCode="[Red]&quot;Error&quot;;[Red]&quot;Error&quot;;&quot;OK&quot;;[Red]General"/>
    <numFmt numFmtId="173" formatCode="&quot;On&quot;;[Black]\(#,##0\);[Red]&quot;Off&quot;;[Black]General"/>
    <numFmt numFmtId="174" formatCode="&quot;Yes&quot;;[Black]\(#,##0\);[Red]&quot;No&quot;;[Black]General"/>
    <numFmt numFmtId="175" formatCode="d\-mmm\-yy;d\-mmm\-yy;\-"/>
    <numFmt numFmtId="176" formatCode="###0_);\(###0\);\-_)"/>
    <numFmt numFmtId="177" formatCode="#,##0.00000_);\(#,##0.00000\);\-_)"/>
    <numFmt numFmtId="178" formatCode="#,##0_);\(#,##0\);&quot;-  &quot;;&quot; &quot;@"/>
    <numFmt numFmtId="179" formatCode="0.00%\ ;\-0.00%\ _);&quot;-  &quot;;&quot; &quot;@&quot; &quot;"/>
    <numFmt numFmtId="180" formatCode="#,##0.0000_);\(#,##0.0000\);&quot;-  &quot;;&quot; &quot;@&quot; &quot;"/>
    <numFmt numFmtId="181" formatCode="dd\ mmm\ yyyy_);\(###0\);&quot;-  &quot;;&quot; &quot;@&quot; &quot;"/>
    <numFmt numFmtId="182" formatCode="dd\ mmm\ yy_);\(###0\);&quot;-  &quot;;&quot; &quot;@&quot; &quot;"/>
    <numFmt numFmtId="183" formatCode="###0_);\(###0\);&quot;-  &quot;;&quot; &quot;@&quot; &quot;"/>
    <numFmt numFmtId="184" formatCode="###0.00_);\(###0.00\);&quot;-  &quot;;&quot; &quot;@&quot; &quot;"/>
    <numFmt numFmtId="185" formatCode="#,##0.00_);\(#,##0.00\);&quot;-  &quot;;&quot; &quot;@&quot; &quot;"/>
  </numFmts>
  <fonts count="4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sz val="11"/>
      <color theme="1"/>
      <name val="Arial"/>
      <family val="2"/>
    </font>
    <font>
      <b/>
      <sz val="10"/>
      <color rgb="FF366092"/>
      <name val="Arial"/>
      <family val="2"/>
    </font>
    <font>
      <b/>
      <u/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006600"/>
      <name val="Arial"/>
      <family val="2"/>
    </font>
    <font>
      <b/>
      <u/>
      <sz val="10"/>
      <name val="Arial"/>
      <family val="2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</borders>
  <cellStyleXfs count="56">
    <xf numFmtId="178" fontId="0" fillId="0" borderId="0" applyFont="0" applyFill="0" applyBorder="0" applyProtection="0">
      <alignment vertical="top"/>
    </xf>
    <xf numFmtId="0" fontId="4" fillId="0" borderId="0"/>
    <xf numFmtId="165" fontId="5" fillId="0" borderId="0" applyFont="0" applyFill="0" applyBorder="0" applyAlignment="0" applyProtection="0"/>
    <xf numFmtId="0" fontId="6" fillId="0" borderId="0" applyNumberFormat="0" applyFont="0" applyFill="0" applyBorder="0" applyProtection="0">
      <alignment horizontal="centerContinuous"/>
    </xf>
    <xf numFmtId="0" fontId="6" fillId="0" borderId="1" applyNumberFormat="0" applyFont="0" applyFill="0" applyAlignment="0" applyProtection="0"/>
    <xf numFmtId="0" fontId="6" fillId="0" borderId="0" applyNumberFormat="0" applyFont="0" applyFill="0" applyBorder="0" applyProtection="0">
      <alignment horizontal="center"/>
    </xf>
    <xf numFmtId="164" fontId="7" fillId="0" borderId="4">
      <protection locked="0"/>
    </xf>
    <xf numFmtId="0" fontId="6" fillId="0" borderId="5" applyNumberFormat="0" applyFont="0" applyFill="0" applyAlignment="0" applyProtection="0"/>
    <xf numFmtId="0" fontId="8" fillId="0" borderId="0" applyNumberFormat="0" applyFill="0" applyBorder="0" applyAlignment="0" applyProtection="0"/>
    <xf numFmtId="166" fontId="5" fillId="0" borderId="0" applyNumberFormat="0" applyFill="0" applyBorder="0" applyAlignment="0" applyProtection="0"/>
    <xf numFmtId="0" fontId="6" fillId="0" borderId="3" applyNumberFormat="0" applyFont="0" applyFill="0" applyAlignment="0" applyProtection="0"/>
    <xf numFmtId="9" fontId="4" fillId="0" borderId="0" applyFont="0" applyFill="0" applyBorder="0" applyAlignment="0" applyProtection="0"/>
    <xf numFmtId="0" fontId="12" fillId="3" borderId="0" applyNumberFormat="0" applyAlignment="0"/>
    <xf numFmtId="168" fontId="3" fillId="0" borderId="0" applyBorder="0"/>
    <xf numFmtId="4" fontId="9" fillId="4" borderId="2">
      <alignment horizontal="left"/>
    </xf>
    <xf numFmtId="167" fontId="13" fillId="0" borderId="0" applyFill="0" applyBorder="0"/>
    <xf numFmtId="168" fontId="11" fillId="0" borderId="0" applyBorder="0"/>
    <xf numFmtId="0" fontId="14" fillId="0" borderId="0" applyNumberFormat="0" applyFill="0" applyBorder="0">
      <alignment horizontal="right"/>
    </xf>
    <xf numFmtId="168" fontId="14" fillId="5" borderId="8">
      <protection locked="0"/>
    </xf>
    <xf numFmtId="169" fontId="14" fillId="5" borderId="8">
      <protection locked="0"/>
    </xf>
    <xf numFmtId="170" fontId="14" fillId="5" borderId="8">
      <protection locked="0"/>
    </xf>
    <xf numFmtId="171" fontId="3" fillId="0" borderId="0" applyBorder="0"/>
    <xf numFmtId="171" fontId="14" fillId="5" borderId="8">
      <protection locked="0"/>
    </xf>
    <xf numFmtId="168" fontId="14" fillId="0" borderId="8"/>
    <xf numFmtId="15" fontId="10" fillId="0" borderId="0" applyFill="0" applyBorder="0" applyAlignment="0"/>
    <xf numFmtId="172" fontId="15" fillId="0" borderId="9">
      <alignment horizontal="center"/>
    </xf>
    <xf numFmtId="168" fontId="16" fillId="7" borderId="0" applyBorder="0" applyAlignment="0"/>
    <xf numFmtId="172" fontId="17" fillId="8" borderId="10">
      <alignment horizontal="center"/>
    </xf>
    <xf numFmtId="0" fontId="18" fillId="0" borderId="0" applyNumberFormat="0" applyFill="0" applyBorder="0" applyAlignment="0"/>
    <xf numFmtId="0" fontId="19" fillId="0" borderId="0" applyNumberFormat="0" applyFill="0" applyBorder="0" applyAlignment="0"/>
    <xf numFmtId="167" fontId="20" fillId="6" borderId="8" applyNumberFormat="0" applyAlignment="0">
      <protection locked="0"/>
    </xf>
    <xf numFmtId="173" fontId="21" fillId="5" borderId="8">
      <alignment horizontal="center"/>
      <protection locked="0"/>
    </xf>
    <xf numFmtId="174" fontId="21" fillId="5" borderId="8">
      <alignment horizontal="center"/>
      <protection locked="0"/>
    </xf>
    <xf numFmtId="169" fontId="3" fillId="0" borderId="0" applyBorder="0"/>
    <xf numFmtId="174" fontId="22" fillId="0" borderId="11" applyFill="0">
      <alignment horizontal="center"/>
    </xf>
    <xf numFmtId="173" fontId="21" fillId="0" borderId="11">
      <alignment horizontal="center"/>
    </xf>
    <xf numFmtId="170" fontId="4" fillId="0" borderId="0" applyFill="0" applyBorder="0" applyAlignment="0"/>
    <xf numFmtId="168" fontId="3" fillId="9" borderId="11"/>
    <xf numFmtId="0" fontId="23" fillId="0" borderId="6" applyNumberFormat="0" applyFill="0" applyAlignment="0" applyProtection="0"/>
    <xf numFmtId="0" fontId="24" fillId="0" borderId="0"/>
    <xf numFmtId="0" fontId="25" fillId="2" borderId="7" applyNumberFormat="0" applyAlignment="0" applyProtection="0"/>
    <xf numFmtId="0" fontId="25" fillId="2" borderId="7" applyFill="0" applyAlignment="0" applyProtection="0"/>
    <xf numFmtId="0" fontId="3" fillId="0" borderId="0"/>
    <xf numFmtId="0" fontId="26" fillId="0" borderId="0"/>
    <xf numFmtId="175" fontId="3" fillId="0" borderId="0" applyBorder="0"/>
    <xf numFmtId="176" fontId="3" fillId="0" borderId="0" applyBorder="0"/>
    <xf numFmtId="175" fontId="14" fillId="5" borderId="8">
      <protection locked="0"/>
    </xf>
    <xf numFmtId="165" fontId="24" fillId="0" borderId="0" applyFont="0" applyFill="0" applyBorder="0" applyAlignment="0" applyProtection="0"/>
    <xf numFmtId="0" fontId="27" fillId="2" borderId="7" applyNumberFormat="0" applyAlignment="0" applyProtection="0"/>
    <xf numFmtId="4" fontId="9" fillId="4" borderId="12">
      <alignment horizontal="left"/>
    </xf>
    <xf numFmtId="0" fontId="28" fillId="0" borderId="0"/>
    <xf numFmtId="179" fontId="26" fillId="0" borderId="0" applyFont="0" applyFill="0" applyBorder="0" applyProtection="0">
      <alignment vertical="top"/>
    </xf>
    <xf numFmtId="180" fontId="26" fillId="0" borderId="0" applyFont="0" applyFill="0" applyBorder="0" applyProtection="0">
      <alignment vertical="top"/>
    </xf>
    <xf numFmtId="181" fontId="26" fillId="0" borderId="0" applyFont="0" applyFill="0" applyBorder="0" applyProtection="0">
      <alignment vertical="top"/>
    </xf>
    <xf numFmtId="182" fontId="26" fillId="0" borderId="0" applyFont="0" applyFill="0" applyBorder="0" applyProtection="0">
      <alignment vertical="top"/>
    </xf>
    <xf numFmtId="183" fontId="26" fillId="0" borderId="0" applyFont="0" applyFill="0" applyBorder="0" applyProtection="0">
      <alignment vertical="top"/>
    </xf>
  </cellStyleXfs>
  <cellXfs count="146">
    <xf numFmtId="178" fontId="0" fillId="0" borderId="0" xfId="0">
      <alignment vertical="top"/>
    </xf>
    <xf numFmtId="4" fontId="9" fillId="4" borderId="2" xfId="14">
      <alignment horizontal="left"/>
    </xf>
    <xf numFmtId="168" fontId="3" fillId="0" borderId="0" xfId="13"/>
    <xf numFmtId="167" fontId="29" fillId="0" borderId="0" xfId="15" applyFont="1" applyFill="1"/>
    <xf numFmtId="167" fontId="29" fillId="0" borderId="0" xfId="15" applyFont="1"/>
    <xf numFmtId="168" fontId="0" fillId="0" borderId="0" xfId="13" applyFont="1"/>
    <xf numFmtId="168" fontId="14" fillId="0" borderId="0" xfId="17" applyNumberFormat="1">
      <alignment horizontal="right"/>
    </xf>
    <xf numFmtId="168" fontId="14" fillId="5" borderId="8" xfId="18">
      <protection locked="0"/>
    </xf>
    <xf numFmtId="170" fontId="14" fillId="5" borderId="8" xfId="20">
      <protection locked="0"/>
    </xf>
    <xf numFmtId="177" fontId="3" fillId="0" borderId="0" xfId="13" applyNumberFormat="1"/>
    <xf numFmtId="168" fontId="11" fillId="0" borderId="0" xfId="16"/>
    <xf numFmtId="168" fontId="11" fillId="0" borderId="0" xfId="16" applyAlignment="1">
      <alignment horizontal="center"/>
    </xf>
    <xf numFmtId="168" fontId="14" fillId="5" borderId="8" xfId="18" applyAlignment="1">
      <alignment horizontal="center"/>
      <protection locked="0"/>
    </xf>
    <xf numFmtId="15" fontId="4" fillId="0" borderId="0" xfId="24" applyFont="1"/>
    <xf numFmtId="168" fontId="30" fillId="0" borderId="0" xfId="13" applyFont="1" applyBorder="1"/>
    <xf numFmtId="168" fontId="14" fillId="0" borderId="0" xfId="17" applyNumberFormat="1" applyAlignment="1">
      <alignment horizontal="center"/>
    </xf>
    <xf numFmtId="15" fontId="10" fillId="0" borderId="0" xfId="24" applyAlignment="1">
      <alignment horizontal="center"/>
    </xf>
    <xf numFmtId="168" fontId="14" fillId="5" borderId="8" xfId="23" applyFill="1"/>
    <xf numFmtId="168" fontId="14" fillId="0" borderId="0" xfId="17" applyNumberFormat="1" applyFill="1">
      <alignment horizontal="right"/>
    </xf>
    <xf numFmtId="169" fontId="14" fillId="5" borderId="8" xfId="23" applyNumberFormat="1" applyFill="1"/>
    <xf numFmtId="15" fontId="4" fillId="0" borderId="0" xfId="24" applyFont="1" applyAlignment="1">
      <alignment horizontal="center"/>
    </xf>
    <xf numFmtId="168" fontId="14" fillId="0" borderId="8" xfId="23"/>
    <xf numFmtId="168" fontId="31" fillId="0" borderId="0" xfId="13" applyFont="1"/>
    <xf numFmtId="175" fontId="14" fillId="5" borderId="8" xfId="46">
      <protection locked="0"/>
    </xf>
    <xf numFmtId="178" fontId="28" fillId="0" borderId="0" xfId="0" applyFont="1">
      <alignment vertical="top"/>
    </xf>
    <xf numFmtId="178" fontId="32" fillId="0" borderId="0" xfId="0" applyFont="1">
      <alignment vertical="top"/>
    </xf>
    <xf numFmtId="178" fontId="33" fillId="0" borderId="0" xfId="0" applyFont="1">
      <alignment vertical="top"/>
    </xf>
    <xf numFmtId="178" fontId="28" fillId="0" borderId="22" xfId="0" applyFont="1" applyBorder="1">
      <alignment vertical="top"/>
    </xf>
    <xf numFmtId="178" fontId="28" fillId="0" borderId="23" xfId="0" applyFont="1" applyBorder="1">
      <alignment vertical="top"/>
    </xf>
    <xf numFmtId="178" fontId="3" fillId="0" borderId="0" xfId="0" applyFont="1">
      <alignment vertical="top"/>
    </xf>
    <xf numFmtId="178" fontId="34" fillId="0" borderId="0" xfId="0" applyFont="1" applyAlignment="1">
      <alignment horizontal="center"/>
    </xf>
    <xf numFmtId="15" fontId="35" fillId="0" borderId="0" xfId="24" applyFont="1" applyAlignment="1">
      <alignment horizontal="center"/>
    </xf>
    <xf numFmtId="15" fontId="36" fillId="0" borderId="0" xfId="24" applyFont="1" applyAlignment="1">
      <alignment horizontal="center"/>
    </xf>
    <xf numFmtId="178" fontId="9" fillId="10" borderId="0" xfId="0" applyFont="1" applyFill="1">
      <alignment vertical="top"/>
    </xf>
    <xf numFmtId="178" fontId="37" fillId="10" borderId="0" xfId="0" applyFont="1" applyFill="1">
      <alignment vertical="top"/>
    </xf>
    <xf numFmtId="15" fontId="14" fillId="0" borderId="0" xfId="24" applyFont="1" applyAlignment="1">
      <alignment horizontal="center"/>
    </xf>
    <xf numFmtId="168" fontId="3" fillId="0" borderId="0" xfId="0" applyNumberFormat="1" applyFont="1">
      <alignment vertical="top"/>
    </xf>
    <xf numFmtId="168" fontId="3" fillId="0" borderId="14" xfId="0" applyNumberFormat="1" applyFont="1" applyBorder="1">
      <alignment vertical="top"/>
    </xf>
    <xf numFmtId="15" fontId="4" fillId="0" borderId="13" xfId="24" applyFont="1" applyBorder="1" applyAlignment="1">
      <alignment horizontal="center"/>
    </xf>
    <xf numFmtId="168" fontId="3" fillId="0" borderId="13" xfId="0" applyNumberFormat="1" applyFont="1" applyBorder="1">
      <alignment vertical="top"/>
    </xf>
    <xf numFmtId="168" fontId="3" fillId="0" borderId="15" xfId="0" applyNumberFormat="1" applyFont="1" applyBorder="1">
      <alignment vertical="top"/>
    </xf>
    <xf numFmtId="15" fontId="3" fillId="0" borderId="0" xfId="0" applyNumberFormat="1" applyFont="1">
      <alignment vertical="top"/>
    </xf>
    <xf numFmtId="168" fontId="3" fillId="0" borderId="16" xfId="0" applyNumberFormat="1" applyFont="1" applyBorder="1">
      <alignment vertical="top"/>
    </xf>
    <xf numFmtId="15" fontId="4" fillId="11" borderId="0" xfId="24" applyFont="1" applyFill="1" applyBorder="1" applyAlignment="1">
      <alignment horizontal="center"/>
    </xf>
    <xf numFmtId="168" fontId="3" fillId="0" borderId="17" xfId="0" applyNumberFormat="1" applyFont="1" applyBorder="1">
      <alignment vertical="top"/>
    </xf>
    <xf numFmtId="15" fontId="4" fillId="0" borderId="0" xfId="24" applyFont="1" applyBorder="1" applyAlignment="1">
      <alignment horizontal="center"/>
    </xf>
    <xf numFmtId="168" fontId="3" fillId="11" borderId="0" xfId="0" applyNumberFormat="1" applyFont="1" applyFill="1">
      <alignment vertical="top"/>
    </xf>
    <xf numFmtId="168" fontId="3" fillId="0" borderId="0" xfId="0" applyNumberFormat="1" applyFont="1" applyAlignment="1">
      <alignment horizontal="left"/>
    </xf>
    <xf numFmtId="168" fontId="3" fillId="11" borderId="16" xfId="0" applyNumberFormat="1" applyFont="1" applyFill="1" applyBorder="1">
      <alignment vertical="top"/>
    </xf>
    <xf numFmtId="168" fontId="3" fillId="0" borderId="18" xfId="0" applyNumberFormat="1" applyFont="1" applyBorder="1">
      <alignment vertical="top"/>
    </xf>
    <xf numFmtId="15" fontId="4" fillId="0" borderId="1" xfId="24" applyFont="1" applyBorder="1" applyAlignment="1">
      <alignment horizontal="center"/>
    </xf>
    <xf numFmtId="168" fontId="3" fillId="0" borderId="1" xfId="0" applyNumberFormat="1" applyFont="1" applyBorder="1">
      <alignment vertical="top"/>
    </xf>
    <xf numFmtId="168" fontId="3" fillId="11" borderId="19" xfId="0" applyNumberFormat="1" applyFont="1" applyFill="1" applyBorder="1">
      <alignment vertical="top"/>
    </xf>
    <xf numFmtId="168" fontId="14" fillId="5" borderId="8" xfId="18" applyAlignment="1">
      <alignment horizontal="left"/>
      <protection locked="0"/>
    </xf>
    <xf numFmtId="168" fontId="22" fillId="0" borderId="0" xfId="18" applyFont="1" applyFill="1" applyBorder="1">
      <protection locked="0"/>
    </xf>
    <xf numFmtId="168" fontId="22" fillId="0" borderId="13" xfId="18" applyFont="1" applyFill="1" applyBorder="1">
      <protection locked="0"/>
    </xf>
    <xf numFmtId="170" fontId="22" fillId="0" borderId="0" xfId="20" applyFont="1" applyFill="1" applyBorder="1">
      <protection locked="0"/>
    </xf>
    <xf numFmtId="170" fontId="3" fillId="0" borderId="0" xfId="0" applyNumberFormat="1" applyFont="1">
      <alignment vertical="top"/>
    </xf>
    <xf numFmtId="178" fontId="22" fillId="0" borderId="0" xfId="0" applyFont="1">
      <alignment vertical="top"/>
    </xf>
    <xf numFmtId="178" fontId="11" fillId="0" borderId="0" xfId="0" applyFont="1">
      <alignment vertical="top"/>
    </xf>
    <xf numFmtId="168" fontId="11" fillId="0" borderId="13" xfId="0" applyNumberFormat="1" applyFont="1" applyBorder="1">
      <alignment vertical="top"/>
    </xf>
    <xf numFmtId="169" fontId="3" fillId="0" borderId="0" xfId="0" applyNumberFormat="1" applyFont="1">
      <alignment vertical="top"/>
    </xf>
    <xf numFmtId="2" fontId="22" fillId="0" borderId="0" xfId="0" applyNumberFormat="1" applyFont="1">
      <alignment vertical="top"/>
    </xf>
    <xf numFmtId="178" fontId="3" fillId="0" borderId="21" xfId="0" applyFont="1" applyBorder="1">
      <alignment vertical="top"/>
    </xf>
    <xf numFmtId="178" fontId="3" fillId="0" borderId="20" xfId="0" applyFont="1" applyBorder="1">
      <alignment vertical="top"/>
    </xf>
    <xf numFmtId="168" fontId="2" fillId="0" borderId="0" xfId="13" applyFont="1"/>
    <xf numFmtId="168" fontId="14" fillId="0" borderId="0" xfId="13" applyFont="1"/>
    <xf numFmtId="168" fontId="14" fillId="0" borderId="0" xfId="13" applyFont="1" applyAlignment="1">
      <alignment horizontal="right"/>
    </xf>
    <xf numFmtId="168" fontId="3" fillId="12" borderId="24" xfId="13" applyFill="1" applyBorder="1"/>
    <xf numFmtId="178" fontId="14" fillId="12" borderId="25" xfId="0" applyFont="1" applyFill="1" applyBorder="1">
      <alignment vertical="top"/>
    </xf>
    <xf numFmtId="168" fontId="14" fillId="12" borderId="24" xfId="13" applyFont="1" applyFill="1" applyBorder="1"/>
    <xf numFmtId="178" fontId="38" fillId="13" borderId="0" xfId="0" applyFont="1" applyFill="1">
      <alignment vertical="top"/>
    </xf>
    <xf numFmtId="178" fontId="28" fillId="14" borderId="0" xfId="0" applyFont="1" applyFill="1">
      <alignment vertical="top"/>
    </xf>
    <xf numFmtId="178" fontId="39" fillId="14" borderId="0" xfId="0" applyFont="1" applyFill="1">
      <alignment vertical="top"/>
    </xf>
    <xf numFmtId="178" fontId="39" fillId="0" borderId="0" xfId="0" applyFont="1">
      <alignment vertical="top"/>
    </xf>
    <xf numFmtId="182" fontId="28" fillId="0" borderId="0" xfId="54" applyFont="1">
      <alignment vertical="top"/>
    </xf>
    <xf numFmtId="182" fontId="38" fillId="13" borderId="0" xfId="54" applyFont="1" applyFill="1">
      <alignment vertical="top"/>
    </xf>
    <xf numFmtId="182" fontId="40" fillId="0" borderId="0" xfId="54" applyFont="1" applyFill="1" applyBorder="1">
      <alignment vertical="top"/>
    </xf>
    <xf numFmtId="178" fontId="40" fillId="0" borderId="0" xfId="0" applyFont="1" applyFill="1" applyBorder="1">
      <alignment vertical="top"/>
    </xf>
    <xf numFmtId="178" fontId="41" fillId="0" borderId="0" xfId="0" applyFont="1" applyFill="1">
      <alignment vertical="top"/>
    </xf>
    <xf numFmtId="182" fontId="41" fillId="0" borderId="0" xfId="54" applyFont="1" applyFill="1">
      <alignment vertical="top"/>
    </xf>
    <xf numFmtId="178" fontId="41" fillId="14" borderId="24" xfId="0" applyFont="1" applyFill="1" applyBorder="1">
      <alignment vertical="top"/>
    </xf>
    <xf numFmtId="0" fontId="28" fillId="0" borderId="0" xfId="0" applyNumberFormat="1" applyFont="1">
      <alignment vertical="top"/>
    </xf>
    <xf numFmtId="0" fontId="39" fillId="0" borderId="13" xfId="0" applyNumberFormat="1" applyFont="1" applyBorder="1">
      <alignment vertical="top"/>
    </xf>
    <xf numFmtId="178" fontId="39" fillId="0" borderId="13" xfId="0" applyFont="1" applyBorder="1">
      <alignment vertical="top"/>
    </xf>
    <xf numFmtId="0" fontId="39" fillId="0" borderId="0" xfId="0" applyNumberFormat="1" applyFont="1" applyBorder="1">
      <alignment vertical="top"/>
    </xf>
    <xf numFmtId="0" fontId="28" fillId="0" borderId="0" xfId="0" applyNumberFormat="1" applyFont="1" applyBorder="1">
      <alignment vertical="top"/>
    </xf>
    <xf numFmtId="183" fontId="28" fillId="0" borderId="0" xfId="55" applyFont="1" applyBorder="1">
      <alignment vertical="top"/>
    </xf>
    <xf numFmtId="183" fontId="39" fillId="0" borderId="13" xfId="55" applyFont="1" applyBorder="1">
      <alignment vertical="top"/>
    </xf>
    <xf numFmtId="178" fontId="38" fillId="13" borderId="0" xfId="0" applyFont="1" applyFill="1" applyAlignment="1">
      <alignment horizontal="right" vertical="top"/>
    </xf>
    <xf numFmtId="0" fontId="38" fillId="13" borderId="0" xfId="0" applyNumberFormat="1" applyFont="1" applyFill="1">
      <alignment vertical="top"/>
    </xf>
    <xf numFmtId="0" fontId="41" fillId="0" borderId="0" xfId="0" applyNumberFormat="1" applyFont="1" applyFill="1">
      <alignment vertical="top"/>
    </xf>
    <xf numFmtId="0" fontId="28" fillId="14" borderId="0" xfId="0" applyNumberFormat="1" applyFont="1" applyFill="1">
      <alignment vertical="top"/>
    </xf>
    <xf numFmtId="0" fontId="38" fillId="13" borderId="0" xfId="0" applyNumberFormat="1" applyFont="1" applyFill="1" applyAlignment="1">
      <alignment horizontal="right" vertical="top"/>
    </xf>
    <xf numFmtId="178" fontId="39" fillId="14" borderId="0" xfId="0" applyFont="1" applyFill="1" applyBorder="1">
      <alignment vertical="top"/>
    </xf>
    <xf numFmtId="178" fontId="28" fillId="14" borderId="0" xfId="0" applyFont="1" applyFill="1" applyBorder="1">
      <alignment vertical="top"/>
    </xf>
    <xf numFmtId="0" fontId="28" fillId="14" borderId="0" xfId="0" applyNumberFormat="1" applyFont="1" applyFill="1" applyBorder="1">
      <alignment vertical="top"/>
    </xf>
    <xf numFmtId="0" fontId="40" fillId="0" borderId="0" xfId="0" applyNumberFormat="1" applyFont="1">
      <alignment vertical="top"/>
    </xf>
    <xf numFmtId="184" fontId="40" fillId="0" borderId="0" xfId="55" applyNumberFormat="1" applyFont="1">
      <alignment vertical="top"/>
    </xf>
    <xf numFmtId="178" fontId="40" fillId="0" borderId="0" xfId="0" applyFont="1">
      <alignment vertical="top"/>
    </xf>
    <xf numFmtId="179" fontId="28" fillId="0" borderId="0" xfId="51" applyFont="1">
      <alignment vertical="top"/>
    </xf>
    <xf numFmtId="179" fontId="40" fillId="0" borderId="0" xfId="51" applyFont="1">
      <alignment vertical="top"/>
    </xf>
    <xf numFmtId="0" fontId="28" fillId="0" borderId="26" xfId="0" applyNumberFormat="1" applyFont="1" applyBorder="1">
      <alignment vertical="top"/>
    </xf>
    <xf numFmtId="178" fontId="28" fillId="0" borderId="26" xfId="0" applyFont="1" applyBorder="1">
      <alignment vertical="top"/>
    </xf>
    <xf numFmtId="0" fontId="28" fillId="0" borderId="0" xfId="0" applyNumberFormat="1" applyFont="1" applyBorder="1" applyAlignment="1">
      <alignment horizontal="left" vertical="top" indent="2"/>
    </xf>
    <xf numFmtId="178" fontId="28" fillId="0" borderId="0" xfId="0" applyFont="1" applyBorder="1">
      <alignment vertical="top"/>
    </xf>
    <xf numFmtId="0" fontId="28" fillId="0" borderId="27" xfId="0" applyNumberFormat="1" applyFont="1" applyBorder="1">
      <alignment vertical="top"/>
    </xf>
    <xf numFmtId="178" fontId="28" fillId="0" borderId="27" xfId="0" applyFont="1" applyBorder="1">
      <alignment vertical="top"/>
    </xf>
    <xf numFmtId="178" fontId="28" fillId="14" borderId="27" xfId="0" applyFont="1" applyFill="1" applyBorder="1">
      <alignment vertical="top"/>
    </xf>
    <xf numFmtId="178" fontId="42" fillId="0" borderId="0" xfId="0" applyFont="1">
      <alignment vertical="top"/>
    </xf>
    <xf numFmtId="178" fontId="28" fillId="0" borderId="13" xfId="0" applyFont="1" applyBorder="1">
      <alignment vertical="top"/>
    </xf>
    <xf numFmtId="179" fontId="41" fillId="0" borderId="0" xfId="51" applyFont="1" applyFill="1" applyBorder="1">
      <alignment vertical="top"/>
    </xf>
    <xf numFmtId="178" fontId="39" fillId="0" borderId="0" xfId="0" applyFont="1" applyFill="1">
      <alignment vertical="top"/>
    </xf>
    <xf numFmtId="178" fontId="28" fillId="0" borderId="0" xfId="0" applyFont="1" applyFill="1">
      <alignment vertical="top"/>
    </xf>
    <xf numFmtId="0" fontId="28" fillId="0" borderId="0" xfId="0" applyNumberFormat="1" applyFont="1" applyFill="1">
      <alignment vertical="top"/>
    </xf>
    <xf numFmtId="185" fontId="28" fillId="0" borderId="0" xfId="52" applyNumberFormat="1" applyFont="1">
      <alignment vertical="top"/>
    </xf>
    <xf numFmtId="0" fontId="28" fillId="0" borderId="0" xfId="0" applyNumberFormat="1" applyFont="1" applyBorder="1" applyAlignment="1">
      <alignment horizontal="left" vertical="top"/>
    </xf>
    <xf numFmtId="178" fontId="28" fillId="15" borderId="0" xfId="0" applyFont="1" applyFill="1" applyBorder="1">
      <alignment vertical="top"/>
    </xf>
    <xf numFmtId="183" fontId="28" fillId="0" borderId="0" xfId="55" applyFont="1" applyFill="1">
      <alignment vertical="top"/>
    </xf>
    <xf numFmtId="0" fontId="28" fillId="0" borderId="0" xfId="55" applyNumberFormat="1" applyFont="1" applyFill="1">
      <alignment vertical="top"/>
    </xf>
    <xf numFmtId="178" fontId="28" fillId="15" borderId="0" xfId="0" applyFont="1" applyFill="1">
      <alignment vertical="top"/>
    </xf>
    <xf numFmtId="0" fontId="28" fillId="0" borderId="0" xfId="55" applyNumberFormat="1" applyFont="1" applyBorder="1">
      <alignment vertical="top"/>
    </xf>
    <xf numFmtId="178" fontId="28" fillId="0" borderId="0" xfId="0" applyFont="1" applyFill="1" applyBorder="1">
      <alignment vertical="top"/>
    </xf>
    <xf numFmtId="0" fontId="1" fillId="0" borderId="0" xfId="0" applyNumberFormat="1" applyFont="1">
      <alignment vertical="top"/>
    </xf>
    <xf numFmtId="178" fontId="1" fillId="0" borderId="0" xfId="0" applyFont="1">
      <alignment vertical="top"/>
    </xf>
    <xf numFmtId="0" fontId="1" fillId="0" borderId="26" xfId="0" applyNumberFormat="1" applyFont="1" applyBorder="1">
      <alignment vertical="top"/>
    </xf>
    <xf numFmtId="178" fontId="1" fillId="0" borderId="26" xfId="0" applyFont="1" applyBorder="1">
      <alignment vertical="top"/>
    </xf>
    <xf numFmtId="0" fontId="1" fillId="0" borderId="0" xfId="0" applyNumberFormat="1" applyFont="1" applyBorder="1" applyAlignment="1">
      <alignment horizontal="left" vertical="top" indent="2"/>
    </xf>
    <xf numFmtId="0" fontId="1" fillId="0" borderId="0" xfId="0" applyNumberFormat="1" applyFont="1" applyBorder="1">
      <alignment vertical="top"/>
    </xf>
    <xf numFmtId="178" fontId="1" fillId="0" borderId="0" xfId="0" applyFont="1" applyBorder="1">
      <alignment vertical="top"/>
    </xf>
    <xf numFmtId="0" fontId="1" fillId="0" borderId="27" xfId="0" applyNumberFormat="1" applyFont="1" applyBorder="1">
      <alignment vertical="top"/>
    </xf>
    <xf numFmtId="178" fontId="1" fillId="0" borderId="27" xfId="0" applyFont="1" applyBorder="1">
      <alignment vertical="top"/>
    </xf>
    <xf numFmtId="178" fontId="1" fillId="14" borderId="27" xfId="0" applyFont="1" applyFill="1" applyBorder="1">
      <alignment vertical="top"/>
    </xf>
    <xf numFmtId="0" fontId="39" fillId="0" borderId="0" xfId="0" applyNumberFormat="1" applyFont="1">
      <alignment vertical="top"/>
    </xf>
    <xf numFmtId="183" fontId="1" fillId="0" borderId="0" xfId="55" applyFont="1" applyBorder="1">
      <alignment vertical="top"/>
    </xf>
    <xf numFmtId="0" fontId="1" fillId="0" borderId="0" xfId="55" applyNumberFormat="1" applyFont="1" applyBorder="1">
      <alignment vertical="top"/>
    </xf>
    <xf numFmtId="180" fontId="28" fillId="0" borderId="0" xfId="52" applyFont="1">
      <alignment vertical="top"/>
    </xf>
    <xf numFmtId="0" fontId="28" fillId="0" borderId="0" xfId="52" applyNumberFormat="1" applyFont="1">
      <alignment vertical="top"/>
    </xf>
    <xf numFmtId="179" fontId="39" fillId="0" borderId="0" xfId="51" applyFont="1">
      <alignment vertical="top"/>
    </xf>
    <xf numFmtId="182" fontId="28" fillId="0" borderId="0" xfId="54" applyFont="1" applyAlignment="1">
      <alignment horizontal="right" vertical="top"/>
    </xf>
    <xf numFmtId="178" fontId="2" fillId="0" borderId="0" xfId="0" applyFont="1">
      <alignment vertical="top"/>
    </xf>
    <xf numFmtId="178" fontId="2" fillId="0" borderId="0" xfId="0" applyFont="1" applyAlignment="1">
      <alignment horizontal="center" vertical="top"/>
    </xf>
    <xf numFmtId="181" fontId="2" fillId="0" borderId="1" xfId="53" applyFont="1" applyBorder="1">
      <alignment vertical="top"/>
    </xf>
    <xf numFmtId="178" fontId="2" fillId="0" borderId="1" xfId="0" applyFont="1" applyBorder="1" applyAlignment="1">
      <alignment horizontal="center" vertical="top"/>
    </xf>
    <xf numFmtId="182" fontId="28" fillId="14" borderId="0" xfId="54" applyFont="1" applyFill="1" applyAlignment="1">
      <alignment horizontal="right" vertical="top"/>
    </xf>
    <xf numFmtId="182" fontId="28" fillId="15" borderId="0" xfId="54" applyFont="1" applyFill="1" applyAlignment="1">
      <alignment horizontal="right" vertical="top"/>
    </xf>
  </cellXfs>
  <cellStyles count="56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omma 3" xfId="47" xr:uid="{3570D88B-62A3-40C8-909A-C17A3140EBF0}"/>
    <cellStyle name="Currency [2]" xfId="6" xr:uid="{00000000-0005-0000-0000-000004000000}"/>
    <cellStyle name="DateLong" xfId="53" xr:uid="{AF4A628E-A632-4D9E-974A-2DAB4AF56253}"/>
    <cellStyle name="DateShort" xfId="54" xr:uid="{0B24E24E-56C8-441A-AA8D-EC1D5F6D3404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Section Header 2" xfId="49" xr:uid="{18B3665B-19FF-46C4-8B82-732D8E4E6C6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52" xr:uid="{89098FCA-3133-4522-B889-BB3A587216ED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Input 3" xfId="48" xr:uid="{FBF2AAA1-25AA-4193-BE47-25FEB66D3873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ormal 5" xfId="50" xr:uid="{1C775B2B-0598-46C6-BD92-10F7105A3C16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51" builtinId="5" customBuiltin="1"/>
    <cellStyle name="Percent 2" xfId="11" xr:uid="{00000000-0005-0000-0000-00002E000000}"/>
    <cellStyle name="Year" xfId="55" xr:uid="{5B8C72FB-4FCD-4DCA-9A95-B4719BABC0A3}"/>
  </cellStyles>
  <dxfs count="0"/>
  <tableStyles count="0" defaultTableStyle="TableStyleMedium2" defaultPivotStyle="PivotStyleLight16"/>
  <colors>
    <mruColors>
      <color rgb="FFFFD966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31" fmlaLink="selector" fmlaRange="scenarios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3756660</xdr:colOff>
          <xdr:row>1</xdr:row>
          <xdr:rowOff>137160</xdr:rowOff>
        </xdr:from>
        <xdr:to>
          <xdr:col>6</xdr:col>
          <xdr:colOff>68580</xdr:colOff>
          <xdr:row>2</xdr:row>
          <xdr:rowOff>175260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9F439D-D640-407C-A1D2-F379E7A22B0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df276d8-072c-4dd9-a8ed-b094f46486f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A260-6A29-45BF-8713-8B033526EE91}">
  <sheetPr>
    <pageSetUpPr autoPageBreaks="0" fitToPage="1"/>
  </sheetPr>
  <dimension ref="A1:AX164"/>
  <sheetViews>
    <sheetView showGridLines="0" tabSelected="1"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A164" sqref="A164:XFD164"/>
    </sheetView>
  </sheetViews>
  <sheetFormatPr defaultColWidth="0" defaultRowHeight="13.8"/>
  <cols>
    <col min="1" max="1" width="1.6640625" style="74" customWidth="1"/>
    <col min="2" max="4" width="1.6640625" style="24" customWidth="1"/>
    <col min="5" max="5" width="55.6640625" style="82" customWidth="1"/>
    <col min="6" max="6" width="12.6640625" style="24" customWidth="1"/>
    <col min="7" max="7" width="11.6640625" style="82" customWidth="1"/>
    <col min="8" max="8" width="12.6640625" style="24" customWidth="1"/>
    <col min="9" max="9" width="1.6640625" style="24" customWidth="1"/>
    <col min="10" max="10" width="13.6640625" style="24" bestFit="1" customWidth="1"/>
    <col min="11" max="11" width="13.21875" style="24" bestFit="1" customWidth="1"/>
    <col min="12" max="12" width="14.21875" style="24" bestFit="1" customWidth="1"/>
    <col min="13" max="13" width="14.33203125" style="24" bestFit="1" customWidth="1"/>
    <col min="14" max="14" width="13.6640625" style="24" bestFit="1" customWidth="1"/>
    <col min="15" max="15" width="13.21875" style="24" bestFit="1" customWidth="1"/>
    <col min="16" max="16" width="14.21875" style="24" bestFit="1" customWidth="1"/>
    <col min="17" max="17" width="14.33203125" style="24" bestFit="1" customWidth="1"/>
    <col min="18" max="18" width="13.6640625" style="24" bestFit="1" customWidth="1"/>
    <col min="19" max="19" width="13.21875" style="24" bestFit="1" customWidth="1"/>
    <col min="20" max="20" width="14.21875" style="24" bestFit="1" customWidth="1"/>
    <col min="21" max="21" width="14.33203125" style="24" bestFit="1" customWidth="1"/>
    <col min="22" max="22" width="13.6640625" style="24" bestFit="1" customWidth="1"/>
    <col min="23" max="23" width="13.21875" style="24" bestFit="1" customWidth="1"/>
    <col min="24" max="24" width="14.21875" style="24" bestFit="1" customWidth="1"/>
    <col min="25" max="25" width="14.33203125" style="24" bestFit="1" customWidth="1"/>
    <col min="26" max="26" width="13.6640625" style="24" bestFit="1" customWidth="1"/>
    <col min="27" max="27" width="13.21875" style="24" bestFit="1" customWidth="1"/>
    <col min="28" max="28" width="14.21875" style="24" bestFit="1" customWidth="1"/>
    <col min="29" max="29" width="17.109375" style="24" bestFit="1" customWidth="1"/>
    <col min="30" max="32" width="15.44140625" style="24" bestFit="1" customWidth="1"/>
    <col min="33" max="33" width="14.33203125" style="24" bestFit="1" customWidth="1"/>
    <col min="34" max="34" width="13.6640625" style="24" bestFit="1" customWidth="1"/>
    <col min="35" max="35" width="13.21875" style="24" bestFit="1" customWidth="1"/>
    <col min="36" max="36" width="14.21875" style="24" bestFit="1" customWidth="1"/>
    <col min="37" max="37" width="14.33203125" style="24" bestFit="1" customWidth="1"/>
    <col min="38" max="38" width="13.6640625" style="24" bestFit="1" customWidth="1"/>
    <col min="39" max="39" width="13.21875" style="24" bestFit="1" customWidth="1"/>
    <col min="40" max="40" width="14.21875" style="24" bestFit="1" customWidth="1"/>
    <col min="41" max="41" width="14.33203125" style="24" bestFit="1" customWidth="1"/>
    <col min="42" max="42" width="13.6640625" style="24" bestFit="1" customWidth="1"/>
    <col min="43" max="43" width="13.21875" style="24" bestFit="1" customWidth="1"/>
    <col min="44" max="44" width="14.21875" style="24" bestFit="1" customWidth="1"/>
    <col min="45" max="45" width="14.33203125" style="24" bestFit="1" customWidth="1"/>
    <col min="46" max="46" width="13.6640625" style="24" bestFit="1" customWidth="1"/>
    <col min="47" max="47" width="13.21875" style="24" bestFit="1" customWidth="1"/>
    <col min="48" max="48" width="14.21875" style="24" bestFit="1" customWidth="1"/>
    <col min="49" max="49" width="14.33203125" style="24" bestFit="1" customWidth="1"/>
    <col min="50" max="50" width="0" style="24" hidden="1" customWidth="1"/>
    <col min="51" max="16384" width="11.6640625" style="24" hidden="1"/>
  </cols>
  <sheetData>
    <row r="1" spans="1:49" s="71" customFormat="1">
      <c r="A1" s="71" t="str" cm="1">
        <f t="array" ref="A1">company</f>
        <v>Unicord Construction</v>
      </c>
      <c r="E1" s="90"/>
      <c r="G1" s="90"/>
    </row>
    <row r="2" spans="1:49" s="71" customFormat="1">
      <c r="A2" s="71" t="str" cm="1">
        <f t="array" ref="A2">topic</f>
        <v>CFM Topic: Debt</v>
      </c>
      <c r="E2" s="90"/>
      <c r="G2" s="90"/>
      <c r="J2" s="76" cm="1">
        <f t="array" ref="J2:AW2">_xlfn.ANCHORARRAY( J11)</f>
        <v>44927</v>
      </c>
      <c r="K2" s="76">
        <v>45017</v>
      </c>
      <c r="L2" s="76">
        <v>45108</v>
      </c>
      <c r="M2" s="76">
        <v>45200</v>
      </c>
      <c r="N2" s="76">
        <v>45292</v>
      </c>
      <c r="O2" s="76">
        <v>45383</v>
      </c>
      <c r="P2" s="76">
        <v>45474</v>
      </c>
      <c r="Q2" s="76">
        <v>45566</v>
      </c>
      <c r="R2" s="76">
        <v>45658</v>
      </c>
      <c r="S2" s="76">
        <v>45748</v>
      </c>
      <c r="T2" s="76">
        <v>45839</v>
      </c>
      <c r="U2" s="76">
        <v>45931</v>
      </c>
      <c r="V2" s="76">
        <v>46023</v>
      </c>
      <c r="W2" s="76">
        <v>46113</v>
      </c>
      <c r="X2" s="76">
        <v>46204</v>
      </c>
      <c r="Y2" s="76">
        <v>46296</v>
      </c>
      <c r="Z2" s="76">
        <v>46388</v>
      </c>
      <c r="AA2" s="76">
        <v>46478</v>
      </c>
      <c r="AB2" s="76">
        <v>46569</v>
      </c>
      <c r="AC2" s="76">
        <v>46661</v>
      </c>
      <c r="AD2" s="76">
        <v>46753</v>
      </c>
      <c r="AE2" s="76">
        <v>46844</v>
      </c>
      <c r="AF2" s="76">
        <v>46935</v>
      </c>
      <c r="AG2" s="76">
        <v>47027</v>
      </c>
      <c r="AH2" s="76">
        <v>47119</v>
      </c>
      <c r="AI2" s="76">
        <v>47209</v>
      </c>
      <c r="AJ2" s="76">
        <v>47300</v>
      </c>
      <c r="AK2" s="76">
        <v>47392</v>
      </c>
      <c r="AL2" s="76">
        <v>47484</v>
      </c>
      <c r="AM2" s="76">
        <v>47574</v>
      </c>
      <c r="AN2" s="76">
        <v>47665</v>
      </c>
      <c r="AO2" s="76">
        <v>47757</v>
      </c>
      <c r="AP2" s="76">
        <v>47849</v>
      </c>
      <c r="AQ2" s="76">
        <v>47939</v>
      </c>
      <c r="AR2" s="76">
        <v>48030</v>
      </c>
      <c r="AS2" s="76">
        <v>48122</v>
      </c>
      <c r="AT2" s="76">
        <v>48214</v>
      </c>
      <c r="AU2" s="76">
        <v>48305</v>
      </c>
      <c r="AV2" s="76">
        <v>48396</v>
      </c>
      <c r="AW2" s="76">
        <v>48488</v>
      </c>
    </row>
    <row r="3" spans="1:49" s="71" customFormat="1">
      <c r="A3" s="71" t="s">
        <v>143</v>
      </c>
      <c r="E3" s="90"/>
      <c r="F3" s="81">
        <v>1</v>
      </c>
      <c r="G3" s="93" t="s">
        <v>115</v>
      </c>
      <c r="H3" s="89" t="s">
        <v>0</v>
      </c>
      <c r="J3" s="76" cm="1">
        <f t="array" ref="J3:AW3">_xlfn.ANCHORARRAY( J12)</f>
        <v>45016</v>
      </c>
      <c r="K3" s="76">
        <v>45107</v>
      </c>
      <c r="L3" s="76">
        <v>45199</v>
      </c>
      <c r="M3" s="76">
        <v>45291</v>
      </c>
      <c r="N3" s="76">
        <v>45382</v>
      </c>
      <c r="O3" s="76">
        <v>45473</v>
      </c>
      <c r="P3" s="76">
        <v>45565</v>
      </c>
      <c r="Q3" s="76">
        <v>45657</v>
      </c>
      <c r="R3" s="76">
        <v>45747</v>
      </c>
      <c r="S3" s="76">
        <v>45838</v>
      </c>
      <c r="T3" s="76">
        <v>45930</v>
      </c>
      <c r="U3" s="76">
        <v>46022</v>
      </c>
      <c r="V3" s="76">
        <v>46112</v>
      </c>
      <c r="W3" s="76">
        <v>46203</v>
      </c>
      <c r="X3" s="76">
        <v>46295</v>
      </c>
      <c r="Y3" s="76">
        <v>46387</v>
      </c>
      <c r="Z3" s="76">
        <v>46477</v>
      </c>
      <c r="AA3" s="76">
        <v>46568</v>
      </c>
      <c r="AB3" s="76">
        <v>46660</v>
      </c>
      <c r="AC3" s="76">
        <v>46752</v>
      </c>
      <c r="AD3" s="76">
        <v>46843</v>
      </c>
      <c r="AE3" s="76">
        <v>46934</v>
      </c>
      <c r="AF3" s="76">
        <v>47026</v>
      </c>
      <c r="AG3" s="76">
        <v>47118</v>
      </c>
      <c r="AH3" s="76">
        <v>47208</v>
      </c>
      <c r="AI3" s="76">
        <v>47299</v>
      </c>
      <c r="AJ3" s="76">
        <v>47391</v>
      </c>
      <c r="AK3" s="76">
        <v>47483</v>
      </c>
      <c r="AL3" s="76">
        <v>47573</v>
      </c>
      <c r="AM3" s="76">
        <v>47664</v>
      </c>
      <c r="AN3" s="76">
        <v>47756</v>
      </c>
      <c r="AO3" s="76">
        <v>47848</v>
      </c>
      <c r="AP3" s="76">
        <v>47938</v>
      </c>
      <c r="AQ3" s="76">
        <v>48029</v>
      </c>
      <c r="AR3" s="76">
        <v>48121</v>
      </c>
      <c r="AS3" s="76">
        <v>48213</v>
      </c>
      <c r="AT3" s="76">
        <v>48304</v>
      </c>
      <c r="AU3" s="76">
        <v>48395</v>
      </c>
      <c r="AV3" s="76">
        <v>48487</v>
      </c>
      <c r="AW3" s="76">
        <v>48579</v>
      </c>
    </row>
    <row r="4" spans="1:49" s="79" customFormat="1">
      <c r="E4" s="91"/>
      <c r="G4" s="91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</row>
    <row r="5" spans="1:49" s="72" customFormat="1">
      <c r="A5" s="73" t="s">
        <v>116</v>
      </c>
      <c r="E5" s="92"/>
      <c r="G5" s="92"/>
    </row>
    <row r="7" spans="1:49">
      <c r="E7" s="82" t="s">
        <v>125</v>
      </c>
      <c r="F7" s="77">
        <f>start_date</f>
        <v>44926</v>
      </c>
    </row>
    <row r="8" spans="1:49">
      <c r="E8" s="82" t="s">
        <v>126</v>
      </c>
      <c r="F8" s="77">
        <f>end_date</f>
        <v>48579</v>
      </c>
    </row>
    <row r="9" spans="1:49">
      <c r="E9" s="82" t="s">
        <v>127</v>
      </c>
      <c r="F9" s="78">
        <f>periods</f>
        <v>40</v>
      </c>
    </row>
    <row r="11" spans="1:49">
      <c r="E11" s="82" t="s">
        <v>117</v>
      </c>
      <c r="G11" s="82" t="s">
        <v>119</v>
      </c>
      <c r="J11" s="75" cm="1">
        <f t="array" ref="J11:AW11" xml:space="preserve"> EDATE( start_date + 1, _xlfn.SEQUENCE( 1, periods, 0, 3 ) )</f>
        <v>44927</v>
      </c>
      <c r="K11" s="75">
        <v>45017</v>
      </c>
      <c r="L11" s="75">
        <v>45108</v>
      </c>
      <c r="M11" s="75">
        <v>45200</v>
      </c>
      <c r="N11" s="75">
        <v>45292</v>
      </c>
      <c r="O11" s="75">
        <v>45383</v>
      </c>
      <c r="P11" s="75">
        <v>45474</v>
      </c>
      <c r="Q11" s="75">
        <v>45566</v>
      </c>
      <c r="R11" s="75">
        <v>45658</v>
      </c>
      <c r="S11" s="75">
        <v>45748</v>
      </c>
      <c r="T11" s="75">
        <v>45839</v>
      </c>
      <c r="U11" s="75">
        <v>45931</v>
      </c>
      <c r="V11" s="75">
        <v>46023</v>
      </c>
      <c r="W11" s="75">
        <v>46113</v>
      </c>
      <c r="X11" s="75">
        <v>46204</v>
      </c>
      <c r="Y11" s="75">
        <v>46296</v>
      </c>
      <c r="Z11" s="75">
        <v>46388</v>
      </c>
      <c r="AA11" s="75">
        <v>46478</v>
      </c>
      <c r="AB11" s="75">
        <v>46569</v>
      </c>
      <c r="AC11" s="75">
        <v>46661</v>
      </c>
      <c r="AD11" s="75">
        <v>46753</v>
      </c>
      <c r="AE11" s="75">
        <v>46844</v>
      </c>
      <c r="AF11" s="75">
        <v>46935</v>
      </c>
      <c r="AG11" s="75">
        <v>47027</v>
      </c>
      <c r="AH11" s="75">
        <v>47119</v>
      </c>
      <c r="AI11" s="75">
        <v>47209</v>
      </c>
      <c r="AJ11" s="75">
        <v>47300</v>
      </c>
      <c r="AK11" s="75">
        <v>47392</v>
      </c>
      <c r="AL11" s="75">
        <v>47484</v>
      </c>
      <c r="AM11" s="75">
        <v>47574</v>
      </c>
      <c r="AN11" s="75">
        <v>47665</v>
      </c>
      <c r="AO11" s="75">
        <v>47757</v>
      </c>
      <c r="AP11" s="75">
        <v>47849</v>
      </c>
      <c r="AQ11" s="75">
        <v>47939</v>
      </c>
      <c r="AR11" s="75">
        <v>48030</v>
      </c>
      <c r="AS11" s="75">
        <v>48122</v>
      </c>
      <c r="AT11" s="75">
        <v>48214</v>
      </c>
      <c r="AU11" s="75">
        <v>48305</v>
      </c>
      <c r="AV11" s="75">
        <v>48396</v>
      </c>
      <c r="AW11" s="75">
        <v>48488</v>
      </c>
    </row>
    <row r="12" spans="1:49">
      <c r="E12" s="82" t="s">
        <v>118</v>
      </c>
      <c r="G12" s="82" t="s">
        <v>119</v>
      </c>
      <c r="J12" s="75" cm="1">
        <f t="array" ref="J12:AW12">EOMONTH( start_date, _xlfn.SEQUENCE( 1, periods, 3, 3 ) )</f>
        <v>45016</v>
      </c>
      <c r="K12" s="75">
        <v>45107</v>
      </c>
      <c r="L12" s="75">
        <v>45199</v>
      </c>
      <c r="M12" s="75">
        <v>45291</v>
      </c>
      <c r="N12" s="75">
        <v>45382</v>
      </c>
      <c r="O12" s="75">
        <v>45473</v>
      </c>
      <c r="P12" s="75">
        <v>45565</v>
      </c>
      <c r="Q12" s="75">
        <v>45657</v>
      </c>
      <c r="R12" s="75">
        <v>45747</v>
      </c>
      <c r="S12" s="75">
        <v>45838</v>
      </c>
      <c r="T12" s="75">
        <v>45930</v>
      </c>
      <c r="U12" s="75">
        <v>46022</v>
      </c>
      <c r="V12" s="75">
        <v>46112</v>
      </c>
      <c r="W12" s="75">
        <v>46203</v>
      </c>
      <c r="X12" s="75">
        <v>46295</v>
      </c>
      <c r="Y12" s="75">
        <v>46387</v>
      </c>
      <c r="Z12" s="75">
        <v>46477</v>
      </c>
      <c r="AA12" s="75">
        <v>46568</v>
      </c>
      <c r="AB12" s="75">
        <v>46660</v>
      </c>
      <c r="AC12" s="75">
        <v>46752</v>
      </c>
      <c r="AD12" s="75">
        <v>46843</v>
      </c>
      <c r="AE12" s="75">
        <v>46934</v>
      </c>
      <c r="AF12" s="75">
        <v>47026</v>
      </c>
      <c r="AG12" s="75">
        <v>47118</v>
      </c>
      <c r="AH12" s="75">
        <v>47208</v>
      </c>
      <c r="AI12" s="75">
        <v>47299</v>
      </c>
      <c r="AJ12" s="75">
        <v>47391</v>
      </c>
      <c r="AK12" s="75">
        <v>47483</v>
      </c>
      <c r="AL12" s="75">
        <v>47573</v>
      </c>
      <c r="AM12" s="75">
        <v>47664</v>
      </c>
      <c r="AN12" s="75">
        <v>47756</v>
      </c>
      <c r="AO12" s="75">
        <v>47848</v>
      </c>
      <c r="AP12" s="75">
        <v>47938</v>
      </c>
      <c r="AQ12" s="75">
        <v>48029</v>
      </c>
      <c r="AR12" s="75">
        <v>48121</v>
      </c>
      <c r="AS12" s="75">
        <v>48213</v>
      </c>
      <c r="AT12" s="75">
        <v>48304</v>
      </c>
      <c r="AU12" s="75">
        <v>48395</v>
      </c>
      <c r="AV12" s="75">
        <v>48487</v>
      </c>
      <c r="AW12" s="75">
        <v>48579</v>
      </c>
    </row>
    <row r="14" spans="1:49">
      <c r="E14" s="82" t="s">
        <v>120</v>
      </c>
      <c r="G14" s="82" t="s">
        <v>121</v>
      </c>
      <c r="H14" s="24" cm="1">
        <f t="array" ref="H14">_xlfn.BYROW(_xlfn.ANCHORARRAY( J14), _xleta.SUM )</f>
        <v>40</v>
      </c>
      <c r="J14" s="24" cm="1">
        <f t="array" ref="J14:AW14" xml:space="preserve"> IF(_xlfn.ANCHORARRAY( J12), I14 + 1, 0 )</f>
        <v>1</v>
      </c>
      <c r="K14" s="24">
        <v>1</v>
      </c>
      <c r="L14" s="24">
        <v>1</v>
      </c>
      <c r="M14" s="24">
        <v>1</v>
      </c>
      <c r="N14" s="24">
        <v>1</v>
      </c>
      <c r="O14" s="24">
        <v>1</v>
      </c>
      <c r="P14" s="24">
        <v>1</v>
      </c>
      <c r="Q14" s="24">
        <v>1</v>
      </c>
      <c r="R14" s="24">
        <v>1</v>
      </c>
      <c r="S14" s="24">
        <v>1</v>
      </c>
      <c r="T14" s="24">
        <v>1</v>
      </c>
      <c r="U14" s="24">
        <v>1</v>
      </c>
      <c r="V14" s="24">
        <v>1</v>
      </c>
      <c r="W14" s="24">
        <v>1</v>
      </c>
      <c r="X14" s="24">
        <v>1</v>
      </c>
      <c r="Y14" s="24">
        <v>1</v>
      </c>
      <c r="Z14" s="24">
        <v>1</v>
      </c>
      <c r="AA14" s="24">
        <v>1</v>
      </c>
      <c r="AB14" s="24">
        <v>1</v>
      </c>
      <c r="AC14" s="24">
        <v>1</v>
      </c>
      <c r="AD14" s="24">
        <v>1</v>
      </c>
      <c r="AE14" s="24">
        <v>1</v>
      </c>
      <c r="AF14" s="24">
        <v>1</v>
      </c>
      <c r="AG14" s="24">
        <v>1</v>
      </c>
      <c r="AH14" s="24">
        <v>1</v>
      </c>
      <c r="AI14" s="24">
        <v>1</v>
      </c>
      <c r="AJ14" s="24">
        <v>1</v>
      </c>
      <c r="AK14" s="24">
        <v>1</v>
      </c>
      <c r="AL14" s="24">
        <v>1</v>
      </c>
      <c r="AM14" s="24">
        <v>1</v>
      </c>
      <c r="AN14" s="24">
        <v>1</v>
      </c>
      <c r="AO14" s="24">
        <v>1</v>
      </c>
      <c r="AP14" s="24">
        <v>1</v>
      </c>
      <c r="AQ14" s="24">
        <v>1</v>
      </c>
      <c r="AR14" s="24">
        <v>1</v>
      </c>
      <c r="AS14" s="24">
        <v>1</v>
      </c>
      <c r="AT14" s="24">
        <v>1</v>
      </c>
      <c r="AU14" s="24">
        <v>1</v>
      </c>
      <c r="AV14" s="24">
        <v>1</v>
      </c>
      <c r="AW14" s="24">
        <v>1</v>
      </c>
    </row>
    <row r="15" spans="1:49">
      <c r="E15" s="82" t="s">
        <v>122</v>
      </c>
      <c r="G15" s="82" t="s">
        <v>123</v>
      </c>
      <c r="H15" s="24" cm="1">
        <f t="array" ref="H15">_xlfn.BYROW(_xlfn.ANCHORARRAY( J15), _xleta.SUM )</f>
        <v>1</v>
      </c>
      <c r="J15" s="24" cm="1">
        <f t="array" ref="J15:AW15" xml:space="preserve"> IF(_xlfn.ANCHORARRAY( J2) - 1 = start_date, 1, 0 )</f>
        <v>1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24">
        <v>0</v>
      </c>
      <c r="AV15" s="24">
        <v>0</v>
      </c>
      <c r="AW15" s="24">
        <v>0</v>
      </c>
    </row>
    <row r="16" spans="1:49">
      <c r="E16" s="82" t="s">
        <v>124</v>
      </c>
      <c r="G16" s="82" t="s">
        <v>123</v>
      </c>
      <c r="H16" s="24" cm="1">
        <f t="array" ref="H16">_xlfn.BYROW(_xlfn.ANCHORARRAY( J16), _xleta.SUM )</f>
        <v>1</v>
      </c>
      <c r="J16" s="24" cm="1">
        <f t="array" ref="J16:AW16" xml:space="preserve"> IF(_xlfn.ANCHORARRAY( J12) = end_date, 1, 0 )</f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24">
        <v>1</v>
      </c>
    </row>
    <row r="18" spans="1:49">
      <c r="E18" s="82" t="s">
        <v>160</v>
      </c>
      <c r="G18" s="82" t="s">
        <v>123</v>
      </c>
      <c r="H18" s="24">
        <f>SUM( J18:AW18)</f>
        <v>32</v>
      </c>
      <c r="J18" s="24">
        <f xml:space="preserve"> IF( SUM( $J14:J14 ) &lt;= $F$97, 1, 0 )</f>
        <v>1</v>
      </c>
      <c r="K18" s="24">
        <f xml:space="preserve"> IF( SUM( $J14:K14 ) &lt;= $F$97, 1, 0 )</f>
        <v>1</v>
      </c>
      <c r="L18" s="24">
        <f xml:space="preserve"> IF( SUM( $J14:L14 ) &lt;= $F$97, 1, 0 )</f>
        <v>1</v>
      </c>
      <c r="M18" s="24">
        <f xml:space="preserve"> IF( SUM( $J14:M14 ) &lt;= $F$97, 1, 0 )</f>
        <v>1</v>
      </c>
      <c r="N18" s="24">
        <f xml:space="preserve"> IF( SUM( $J14:N14 ) &lt;= $F$97, 1, 0 )</f>
        <v>1</v>
      </c>
      <c r="O18" s="24">
        <f xml:space="preserve"> IF( SUM( $J14:O14 ) &lt;= $F$97, 1, 0 )</f>
        <v>1</v>
      </c>
      <c r="P18" s="24">
        <f xml:space="preserve"> IF( SUM( $J14:P14 ) &lt;= $F$97, 1, 0 )</f>
        <v>1</v>
      </c>
      <c r="Q18" s="24">
        <f xml:space="preserve"> IF( SUM( $J14:Q14 ) &lt;= $F$97, 1, 0 )</f>
        <v>1</v>
      </c>
      <c r="R18" s="24">
        <f xml:space="preserve"> IF( SUM( $J14:R14 ) &lt;= $F$97, 1, 0 )</f>
        <v>1</v>
      </c>
      <c r="S18" s="24">
        <f xml:space="preserve"> IF( SUM( $J14:S14 ) &lt;= $F$97, 1, 0 )</f>
        <v>1</v>
      </c>
      <c r="T18" s="24">
        <f xml:space="preserve"> IF( SUM( $J14:T14 ) &lt;= $F$97, 1, 0 )</f>
        <v>1</v>
      </c>
      <c r="U18" s="24">
        <f xml:space="preserve"> IF( SUM( $J14:U14 ) &lt;= $F$97, 1, 0 )</f>
        <v>1</v>
      </c>
      <c r="V18" s="24">
        <f xml:space="preserve"> IF( SUM( $J14:V14 ) &lt;= $F$97, 1, 0 )</f>
        <v>1</v>
      </c>
      <c r="W18" s="24">
        <f xml:space="preserve"> IF( SUM( $J14:W14 ) &lt;= $F$97, 1, 0 )</f>
        <v>1</v>
      </c>
      <c r="X18" s="24">
        <f xml:space="preserve"> IF( SUM( $J14:X14 ) &lt;= $F$97, 1, 0 )</f>
        <v>1</v>
      </c>
      <c r="Y18" s="24">
        <f xml:space="preserve"> IF( SUM( $J14:Y14 ) &lt;= $F$97, 1, 0 )</f>
        <v>1</v>
      </c>
      <c r="Z18" s="24">
        <f xml:space="preserve"> IF( SUM( $J14:Z14 ) &lt;= $F$97, 1, 0 )</f>
        <v>1</v>
      </c>
      <c r="AA18" s="24">
        <f xml:space="preserve"> IF( SUM( $J14:AA14 ) &lt;= $F$97, 1, 0 )</f>
        <v>1</v>
      </c>
      <c r="AB18" s="24">
        <f xml:space="preserve"> IF( SUM( $J14:AB14 ) &lt;= $F$97, 1, 0 )</f>
        <v>1</v>
      </c>
      <c r="AC18" s="24">
        <f xml:space="preserve"> IF( SUM( $J14:AC14 ) &lt;= $F$97, 1, 0 )</f>
        <v>1</v>
      </c>
      <c r="AD18" s="24">
        <f xml:space="preserve"> IF( SUM( $J14:AD14 ) &lt;= $F$97, 1, 0 )</f>
        <v>1</v>
      </c>
      <c r="AE18" s="24">
        <f xml:space="preserve"> IF( SUM( $J14:AE14 ) &lt;= $F$97, 1, 0 )</f>
        <v>1</v>
      </c>
      <c r="AF18" s="24">
        <f xml:space="preserve"> IF( SUM( $J14:AF14 ) &lt;= $F$97, 1, 0 )</f>
        <v>1</v>
      </c>
      <c r="AG18" s="24">
        <f xml:space="preserve"> IF( SUM( $J14:AG14 ) &lt;= $F$97, 1, 0 )</f>
        <v>1</v>
      </c>
      <c r="AH18" s="24">
        <f xml:space="preserve"> IF( SUM( $J14:AH14 ) &lt;= $F$97, 1, 0 )</f>
        <v>1</v>
      </c>
      <c r="AI18" s="24">
        <f xml:space="preserve"> IF( SUM( $J14:AI14 ) &lt;= $F$97, 1, 0 )</f>
        <v>1</v>
      </c>
      <c r="AJ18" s="24">
        <f xml:space="preserve"> IF( SUM( $J14:AJ14 ) &lt;= $F$97, 1, 0 )</f>
        <v>1</v>
      </c>
      <c r="AK18" s="24">
        <f xml:space="preserve"> IF( SUM( $J14:AK14 ) &lt;= $F$97, 1, 0 )</f>
        <v>1</v>
      </c>
      <c r="AL18" s="24">
        <f xml:space="preserve"> IF( SUM( $J14:AL14 ) &lt;= $F$97, 1, 0 )</f>
        <v>1</v>
      </c>
      <c r="AM18" s="24">
        <f xml:space="preserve"> IF( SUM( $J14:AM14 ) &lt;= $F$97, 1, 0 )</f>
        <v>1</v>
      </c>
      <c r="AN18" s="24">
        <f xml:space="preserve"> IF( SUM( $J14:AN14 ) &lt;= $F$97, 1, 0 )</f>
        <v>1</v>
      </c>
      <c r="AO18" s="24">
        <f xml:space="preserve"> IF( SUM( $J14:AO14 ) &lt;= $F$97, 1, 0 )</f>
        <v>1</v>
      </c>
      <c r="AP18" s="24">
        <f xml:space="preserve"> IF( SUM( $J14:AP14 ) &lt;= $F$97, 1, 0 )</f>
        <v>0</v>
      </c>
      <c r="AQ18" s="24">
        <f xml:space="preserve"> IF( SUM( $J14:AQ14 ) &lt;= $F$97, 1, 0 )</f>
        <v>0</v>
      </c>
      <c r="AR18" s="24">
        <f xml:space="preserve"> IF( SUM( $J14:AR14 ) &lt;= $F$97, 1, 0 )</f>
        <v>0</v>
      </c>
      <c r="AS18" s="24">
        <f xml:space="preserve"> IF( SUM( $J14:AS14 ) &lt;= $F$97, 1, 0 )</f>
        <v>0</v>
      </c>
      <c r="AT18" s="24">
        <f xml:space="preserve"> IF( SUM( $J14:AT14 ) &lt;= $F$97, 1, 0 )</f>
        <v>0</v>
      </c>
      <c r="AU18" s="24">
        <f xml:space="preserve"> IF( SUM( $J14:AU14 ) &lt;= $F$97, 1, 0 )</f>
        <v>0</v>
      </c>
      <c r="AV18" s="24">
        <f xml:space="preserve"> IF( SUM( $J14:AV14 ) &lt;= $F$97, 1, 0 )</f>
        <v>0</v>
      </c>
      <c r="AW18" s="24">
        <f xml:space="preserve"> IF( SUM( $J14:AW14 ) &lt;= $F$97, 1, 0 )</f>
        <v>0</v>
      </c>
    </row>
    <row r="19" spans="1:49">
      <c r="E19" s="82" t="s">
        <v>175</v>
      </c>
      <c r="G19" s="82" t="s">
        <v>123</v>
      </c>
      <c r="H19" s="24">
        <f>SUM( J19:AW19)</f>
        <v>40</v>
      </c>
      <c r="J19" s="24">
        <f xml:space="preserve"> IF( SUM( $J15:J15 ) &lt;= $F$120, 1, 0 )</f>
        <v>1</v>
      </c>
      <c r="K19" s="24">
        <f xml:space="preserve"> IF( SUM( $J15:K15 ) &lt;= $F$120, 1, 0 )</f>
        <v>1</v>
      </c>
      <c r="L19" s="24">
        <f xml:space="preserve"> IF( SUM( $J15:L15 ) &lt;= $F$120, 1, 0 )</f>
        <v>1</v>
      </c>
      <c r="M19" s="24">
        <f xml:space="preserve"> IF( SUM( $J15:M15 ) &lt;= $F$120, 1, 0 )</f>
        <v>1</v>
      </c>
      <c r="N19" s="24">
        <f xml:space="preserve"> IF( SUM( $J15:N15 ) &lt;= $F$120, 1, 0 )</f>
        <v>1</v>
      </c>
      <c r="O19" s="24">
        <f xml:space="preserve"> IF( SUM( $J15:O15 ) &lt;= $F$120, 1, 0 )</f>
        <v>1</v>
      </c>
      <c r="P19" s="24">
        <f xml:space="preserve"> IF( SUM( $J15:P15 ) &lt;= $F$120, 1, 0 )</f>
        <v>1</v>
      </c>
      <c r="Q19" s="24">
        <f xml:space="preserve"> IF( SUM( $J15:Q15 ) &lt;= $F$120, 1, 0 )</f>
        <v>1</v>
      </c>
      <c r="R19" s="24">
        <f xml:space="preserve"> IF( SUM( $J15:R15 ) &lt;= $F$120, 1, 0 )</f>
        <v>1</v>
      </c>
      <c r="S19" s="24">
        <f xml:space="preserve"> IF( SUM( $J15:S15 ) &lt;= $F$120, 1, 0 )</f>
        <v>1</v>
      </c>
      <c r="T19" s="24">
        <f xml:space="preserve"> IF( SUM( $J15:T15 ) &lt;= $F$120, 1, 0 )</f>
        <v>1</v>
      </c>
      <c r="U19" s="24">
        <f xml:space="preserve"> IF( SUM( $J15:U15 ) &lt;= $F$120, 1, 0 )</f>
        <v>1</v>
      </c>
      <c r="V19" s="24">
        <f xml:space="preserve"> IF( SUM( $J15:V15 ) &lt;= $F$120, 1, 0 )</f>
        <v>1</v>
      </c>
      <c r="W19" s="24">
        <f xml:space="preserve"> IF( SUM( $J15:W15 ) &lt;= $F$120, 1, 0 )</f>
        <v>1</v>
      </c>
      <c r="X19" s="24">
        <f xml:space="preserve"> IF( SUM( $J15:X15 ) &lt;= $F$120, 1, 0 )</f>
        <v>1</v>
      </c>
      <c r="Y19" s="24">
        <f xml:space="preserve"> IF( SUM( $J15:Y15 ) &lt;= $F$120, 1, 0 )</f>
        <v>1</v>
      </c>
      <c r="Z19" s="24">
        <f xml:space="preserve"> IF( SUM( $J15:Z15 ) &lt;= $F$120, 1, 0 )</f>
        <v>1</v>
      </c>
      <c r="AA19" s="24">
        <f xml:space="preserve"> IF( SUM( $J15:AA15 ) &lt;= $F$120, 1, 0 )</f>
        <v>1</v>
      </c>
      <c r="AB19" s="24">
        <f xml:space="preserve"> IF( SUM( $J15:AB15 ) &lt;= $F$120, 1, 0 )</f>
        <v>1</v>
      </c>
      <c r="AC19" s="24">
        <f xml:space="preserve"> IF( SUM( $J15:AC15 ) &lt;= $F$120, 1, 0 )</f>
        <v>1</v>
      </c>
      <c r="AD19" s="24">
        <f xml:space="preserve"> IF( SUM( $J15:AD15 ) &lt;= $F$120, 1, 0 )</f>
        <v>1</v>
      </c>
      <c r="AE19" s="24">
        <f xml:space="preserve"> IF( SUM( $J15:AE15 ) &lt;= $F$120, 1, 0 )</f>
        <v>1</v>
      </c>
      <c r="AF19" s="24">
        <f xml:space="preserve"> IF( SUM( $J15:AF15 ) &lt;= $F$120, 1, 0 )</f>
        <v>1</v>
      </c>
      <c r="AG19" s="24">
        <f xml:space="preserve"> IF( SUM( $J15:AG15 ) &lt;= $F$120, 1, 0 )</f>
        <v>1</v>
      </c>
      <c r="AH19" s="24">
        <f xml:space="preserve"> IF( SUM( $J15:AH15 ) &lt;= $F$120, 1, 0 )</f>
        <v>1</v>
      </c>
      <c r="AI19" s="24">
        <f xml:space="preserve"> IF( SUM( $J15:AI15 ) &lt;= $F$120, 1, 0 )</f>
        <v>1</v>
      </c>
      <c r="AJ19" s="24">
        <f xml:space="preserve"> IF( SUM( $J15:AJ15 ) &lt;= $F$120, 1, 0 )</f>
        <v>1</v>
      </c>
      <c r="AK19" s="24">
        <f xml:space="preserve"> IF( SUM( $J15:AK15 ) &lt;= $F$120, 1, 0 )</f>
        <v>1</v>
      </c>
      <c r="AL19" s="24">
        <f xml:space="preserve"> IF( SUM( $J15:AL15 ) &lt;= $F$120, 1, 0 )</f>
        <v>1</v>
      </c>
      <c r="AM19" s="24">
        <f xml:space="preserve"> IF( SUM( $J15:AM15 ) &lt;= $F$120, 1, 0 )</f>
        <v>1</v>
      </c>
      <c r="AN19" s="24">
        <f xml:space="preserve"> IF( SUM( $J15:AN15 ) &lt;= $F$120, 1, 0 )</f>
        <v>1</v>
      </c>
      <c r="AO19" s="24">
        <f xml:space="preserve"> IF( SUM( $J15:AO15 ) &lt;= $F$120, 1, 0 )</f>
        <v>1</v>
      </c>
      <c r="AP19" s="24">
        <f xml:space="preserve"> IF( SUM( $J15:AP15 ) &lt;= $F$120, 1, 0 )</f>
        <v>1</v>
      </c>
      <c r="AQ19" s="24">
        <f xml:space="preserve"> IF( SUM( $J15:AQ15 ) &lt;= $F$120, 1, 0 )</f>
        <v>1</v>
      </c>
      <c r="AR19" s="24">
        <f xml:space="preserve"> IF( SUM( $J15:AR15 ) &lt;= $F$120, 1, 0 )</f>
        <v>1</v>
      </c>
      <c r="AS19" s="24">
        <f xml:space="preserve"> IF( SUM( $J15:AS15 ) &lt;= $F$120, 1, 0 )</f>
        <v>1</v>
      </c>
      <c r="AT19" s="24">
        <f xml:space="preserve"> IF( SUM( $J15:AT15 ) &lt;= $F$120, 1, 0 )</f>
        <v>1</v>
      </c>
      <c r="AU19" s="24">
        <f xml:space="preserve"> IF( SUM( $J15:AU15 ) &lt;= $F$120, 1, 0 )</f>
        <v>1</v>
      </c>
      <c r="AV19" s="24">
        <f xml:space="preserve"> IF( SUM( $J15:AV15 ) &lt;= $F$120, 1, 0 )</f>
        <v>1</v>
      </c>
      <c r="AW19" s="24">
        <f xml:space="preserve"> IF( SUM( $J15:AW15 ) &lt;= $F$120, 1, 0 )</f>
        <v>1</v>
      </c>
    </row>
    <row r="21" spans="1:49" s="72" customFormat="1">
      <c r="A21" s="73" t="s">
        <v>129</v>
      </c>
      <c r="E21" s="92"/>
      <c r="G21" s="92"/>
    </row>
    <row r="23" spans="1:49" s="79" customFormat="1">
      <c r="E23" s="91" t="s">
        <v>130</v>
      </c>
      <c r="G23" s="91" t="s">
        <v>128</v>
      </c>
      <c r="H23" s="79">
        <f>SUM(_xlfn.ANCHORARRAY( J23))</f>
        <v>41939007</v>
      </c>
      <c r="J23" s="79" cm="1">
        <f t="array" ref="J23:AW23" xml:space="preserve"> INDEX( CaseData!$M$8:$R$47, MATCH(_xlfn.ANCHORARRAY( Debt!J3), CaseData!$K$8:$K$47, 0 ), MATCH( selector, CaseData!$M$5:$R$5, 0  ) )</f>
        <v>1019082</v>
      </c>
      <c r="K23" s="79">
        <v>1008045</v>
      </c>
      <c r="L23" s="79">
        <v>998560.5</v>
      </c>
      <c r="M23" s="79">
        <v>995307</v>
      </c>
      <c r="N23" s="79">
        <v>996799.5</v>
      </c>
      <c r="O23" s="79">
        <v>975211.5</v>
      </c>
      <c r="P23" s="79">
        <v>974340</v>
      </c>
      <c r="Q23" s="79">
        <v>967587</v>
      </c>
      <c r="R23" s="79">
        <v>1015347</v>
      </c>
      <c r="S23" s="79">
        <v>963435</v>
      </c>
      <c r="T23" s="79">
        <v>979111.5</v>
      </c>
      <c r="U23" s="79">
        <v>965946</v>
      </c>
      <c r="V23" s="79">
        <v>963438</v>
      </c>
      <c r="W23" s="79">
        <v>1007662.5</v>
      </c>
      <c r="X23" s="79">
        <v>1011898.5</v>
      </c>
      <c r="Y23" s="79">
        <v>1027911</v>
      </c>
      <c r="Z23" s="79">
        <v>990430.5</v>
      </c>
      <c r="AA23" s="79">
        <v>1015789.5</v>
      </c>
      <c r="AB23" s="79">
        <v>1030960.5</v>
      </c>
      <c r="AC23" s="79">
        <v>1048911</v>
      </c>
      <c r="AD23" s="79">
        <v>1078854</v>
      </c>
      <c r="AE23" s="79">
        <v>1039989</v>
      </c>
      <c r="AF23" s="79">
        <v>1069714.5</v>
      </c>
      <c r="AG23" s="79">
        <v>1047547.5</v>
      </c>
      <c r="AH23" s="79">
        <v>1049193</v>
      </c>
      <c r="AI23" s="79">
        <v>1059516</v>
      </c>
      <c r="AJ23" s="79">
        <v>1107811.5</v>
      </c>
      <c r="AK23" s="79">
        <v>1059664.5</v>
      </c>
      <c r="AL23" s="79">
        <v>1045116</v>
      </c>
      <c r="AM23" s="79">
        <v>1071954</v>
      </c>
      <c r="AN23" s="79">
        <v>1133484</v>
      </c>
      <c r="AO23" s="79">
        <v>1125522</v>
      </c>
      <c r="AP23" s="79">
        <v>1110844.5</v>
      </c>
      <c r="AQ23" s="79">
        <v>1096879.5</v>
      </c>
      <c r="AR23" s="79">
        <v>1133016</v>
      </c>
      <c r="AS23" s="79">
        <v>1153189.5</v>
      </c>
      <c r="AT23" s="79">
        <v>1146522</v>
      </c>
      <c r="AU23" s="79">
        <v>1138092</v>
      </c>
      <c r="AV23" s="79">
        <v>1157863.5</v>
      </c>
      <c r="AW23" s="79">
        <v>1158460.5</v>
      </c>
    </row>
    <row r="24" spans="1:49">
      <c r="E24" s="82" t="str">
        <f>E$79</f>
        <v>Debt Service Reserve Account interest income</v>
      </c>
      <c r="G24" s="82" t="str">
        <f t="shared" ref="G24:AW24" si="0">G$79</f>
        <v>USD</v>
      </c>
      <c r="H24" s="24">
        <f t="shared" si="0"/>
        <v>60000</v>
      </c>
      <c r="I24" s="24">
        <f t="shared" si="0"/>
        <v>0</v>
      </c>
      <c r="J24" s="24">
        <f t="shared" si="0"/>
        <v>1875</v>
      </c>
      <c r="K24" s="24">
        <f t="shared" si="0"/>
        <v>1875</v>
      </c>
      <c r="L24" s="24">
        <f t="shared" si="0"/>
        <v>1875</v>
      </c>
      <c r="M24" s="24">
        <f t="shared" si="0"/>
        <v>1875</v>
      </c>
      <c r="N24" s="24">
        <f t="shared" si="0"/>
        <v>1875</v>
      </c>
      <c r="O24" s="24">
        <f t="shared" si="0"/>
        <v>1875</v>
      </c>
      <c r="P24" s="24">
        <f t="shared" si="0"/>
        <v>1875</v>
      </c>
      <c r="Q24" s="24">
        <f t="shared" si="0"/>
        <v>1875</v>
      </c>
      <c r="R24" s="24">
        <f t="shared" si="0"/>
        <v>1875</v>
      </c>
      <c r="S24" s="24">
        <f t="shared" si="0"/>
        <v>1875</v>
      </c>
      <c r="T24" s="24">
        <f t="shared" si="0"/>
        <v>1875</v>
      </c>
      <c r="U24" s="24">
        <f t="shared" si="0"/>
        <v>1875</v>
      </c>
      <c r="V24" s="24">
        <f t="shared" si="0"/>
        <v>1875</v>
      </c>
      <c r="W24" s="24">
        <f t="shared" si="0"/>
        <v>1875</v>
      </c>
      <c r="X24" s="24">
        <f t="shared" si="0"/>
        <v>1875</v>
      </c>
      <c r="Y24" s="24">
        <f t="shared" si="0"/>
        <v>1875</v>
      </c>
      <c r="Z24" s="24">
        <f t="shared" si="0"/>
        <v>1875</v>
      </c>
      <c r="AA24" s="24">
        <f t="shared" si="0"/>
        <v>1875</v>
      </c>
      <c r="AB24" s="24">
        <f t="shared" si="0"/>
        <v>1875</v>
      </c>
      <c r="AC24" s="24">
        <f t="shared" si="0"/>
        <v>1875</v>
      </c>
      <c r="AD24" s="24">
        <f t="shared" si="0"/>
        <v>1875</v>
      </c>
      <c r="AE24" s="24">
        <f t="shared" si="0"/>
        <v>1875</v>
      </c>
      <c r="AF24" s="24">
        <f t="shared" si="0"/>
        <v>1875</v>
      </c>
      <c r="AG24" s="24">
        <f t="shared" si="0"/>
        <v>1875</v>
      </c>
      <c r="AH24" s="24">
        <f t="shared" si="0"/>
        <v>1875</v>
      </c>
      <c r="AI24" s="24">
        <f t="shared" si="0"/>
        <v>1875</v>
      </c>
      <c r="AJ24" s="24">
        <f t="shared" si="0"/>
        <v>1875</v>
      </c>
      <c r="AK24" s="24">
        <f t="shared" si="0"/>
        <v>1875</v>
      </c>
      <c r="AL24" s="24">
        <f t="shared" si="0"/>
        <v>1875</v>
      </c>
      <c r="AM24" s="24">
        <f t="shared" si="0"/>
        <v>1875</v>
      </c>
      <c r="AN24" s="24">
        <f t="shared" si="0"/>
        <v>1875</v>
      </c>
      <c r="AO24" s="24">
        <f t="shared" si="0"/>
        <v>1875</v>
      </c>
      <c r="AP24" s="24">
        <f t="shared" si="0"/>
        <v>0</v>
      </c>
      <c r="AQ24" s="24">
        <f t="shared" si="0"/>
        <v>0</v>
      </c>
      <c r="AR24" s="24">
        <f t="shared" si="0"/>
        <v>0</v>
      </c>
      <c r="AS24" s="24">
        <f t="shared" si="0"/>
        <v>0</v>
      </c>
      <c r="AT24" s="24">
        <f t="shared" si="0"/>
        <v>0</v>
      </c>
      <c r="AU24" s="24">
        <f t="shared" si="0"/>
        <v>0</v>
      </c>
      <c r="AV24" s="24">
        <f t="shared" si="0"/>
        <v>0</v>
      </c>
      <c r="AW24" s="24">
        <f t="shared" si="0"/>
        <v>0</v>
      </c>
    </row>
    <row r="25" spans="1:49">
      <c r="E25" s="83" t="s">
        <v>169</v>
      </c>
      <c r="F25" s="84"/>
      <c r="G25" s="83" t="s">
        <v>128</v>
      </c>
      <c r="H25" s="84"/>
      <c r="I25" s="84"/>
      <c r="J25" s="110">
        <f>SUM(J23:J24)</f>
        <v>1020957</v>
      </c>
      <c r="K25" s="110">
        <f t="shared" ref="K25:AW25" si="1">SUM(K23:K24)</f>
        <v>1009920</v>
      </c>
      <c r="L25" s="110">
        <f t="shared" si="1"/>
        <v>1000435.5</v>
      </c>
      <c r="M25" s="110">
        <f t="shared" si="1"/>
        <v>997182</v>
      </c>
      <c r="N25" s="110">
        <f t="shared" si="1"/>
        <v>998674.5</v>
      </c>
      <c r="O25" s="110">
        <f t="shared" si="1"/>
        <v>977086.5</v>
      </c>
      <c r="P25" s="110">
        <f t="shared" si="1"/>
        <v>976215</v>
      </c>
      <c r="Q25" s="110">
        <f t="shared" si="1"/>
        <v>969462</v>
      </c>
      <c r="R25" s="110">
        <f t="shared" si="1"/>
        <v>1017222</v>
      </c>
      <c r="S25" s="110">
        <f t="shared" si="1"/>
        <v>965310</v>
      </c>
      <c r="T25" s="110">
        <f t="shared" si="1"/>
        <v>980986.5</v>
      </c>
      <c r="U25" s="110">
        <f t="shared" si="1"/>
        <v>967821</v>
      </c>
      <c r="V25" s="110">
        <f t="shared" si="1"/>
        <v>965313</v>
      </c>
      <c r="W25" s="110">
        <f t="shared" si="1"/>
        <v>1009537.5</v>
      </c>
      <c r="X25" s="110">
        <f t="shared" si="1"/>
        <v>1013773.5</v>
      </c>
      <c r="Y25" s="110">
        <f t="shared" si="1"/>
        <v>1029786</v>
      </c>
      <c r="Z25" s="110">
        <f t="shared" si="1"/>
        <v>992305.5</v>
      </c>
      <c r="AA25" s="110">
        <f t="shared" si="1"/>
        <v>1017664.5</v>
      </c>
      <c r="AB25" s="110">
        <f t="shared" si="1"/>
        <v>1032835.5</v>
      </c>
      <c r="AC25" s="110">
        <f t="shared" si="1"/>
        <v>1050786</v>
      </c>
      <c r="AD25" s="110">
        <f t="shared" si="1"/>
        <v>1080729</v>
      </c>
      <c r="AE25" s="110">
        <f t="shared" si="1"/>
        <v>1041864</v>
      </c>
      <c r="AF25" s="110">
        <f t="shared" si="1"/>
        <v>1071589.5</v>
      </c>
      <c r="AG25" s="110">
        <f t="shared" si="1"/>
        <v>1049422.5</v>
      </c>
      <c r="AH25" s="110">
        <f t="shared" si="1"/>
        <v>1051068</v>
      </c>
      <c r="AI25" s="110">
        <f t="shared" si="1"/>
        <v>1061391</v>
      </c>
      <c r="AJ25" s="110">
        <f t="shared" si="1"/>
        <v>1109686.5</v>
      </c>
      <c r="AK25" s="110">
        <f t="shared" si="1"/>
        <v>1061539.5</v>
      </c>
      <c r="AL25" s="110">
        <f t="shared" si="1"/>
        <v>1046991</v>
      </c>
      <c r="AM25" s="110">
        <f t="shared" si="1"/>
        <v>1073829</v>
      </c>
      <c r="AN25" s="110">
        <f t="shared" si="1"/>
        <v>1135359</v>
      </c>
      <c r="AO25" s="110">
        <f t="shared" si="1"/>
        <v>1127397</v>
      </c>
      <c r="AP25" s="110">
        <f t="shared" si="1"/>
        <v>1110844.5</v>
      </c>
      <c r="AQ25" s="110">
        <f t="shared" si="1"/>
        <v>1096879.5</v>
      </c>
      <c r="AR25" s="110">
        <f t="shared" si="1"/>
        <v>1133016</v>
      </c>
      <c r="AS25" s="110">
        <f t="shared" si="1"/>
        <v>1153189.5</v>
      </c>
      <c r="AT25" s="110">
        <f t="shared" si="1"/>
        <v>1146522</v>
      </c>
      <c r="AU25" s="110">
        <f t="shared" si="1"/>
        <v>1138092</v>
      </c>
      <c r="AV25" s="110">
        <f t="shared" si="1"/>
        <v>1157863.5</v>
      </c>
      <c r="AW25" s="110">
        <f t="shared" si="1"/>
        <v>1158460.5</v>
      </c>
    </row>
    <row r="27" spans="1:49">
      <c r="E27" s="82" t="s">
        <v>165</v>
      </c>
      <c r="F27" s="82"/>
      <c r="G27" s="82" t="s">
        <v>128</v>
      </c>
      <c r="H27" s="82"/>
      <c r="I27" s="82"/>
      <c r="J27" s="24">
        <f t="shared" ref="J27:AW27" si="2">J$93 * - 1</f>
        <v>-93750</v>
      </c>
      <c r="K27" s="24">
        <f t="shared" si="2"/>
        <v>-91094.406693360565</v>
      </c>
      <c r="L27" s="24">
        <f t="shared" si="2"/>
        <v>-88422.215928554637</v>
      </c>
      <c r="M27" s="24">
        <f t="shared" si="2"/>
        <v>-85733.323971468664</v>
      </c>
      <c r="N27" s="24">
        <f t="shared" si="2"/>
        <v>-83027.626439650892</v>
      </c>
      <c r="O27" s="24">
        <f t="shared" si="2"/>
        <v>-80305.018298259281</v>
      </c>
      <c r="P27" s="24">
        <f t="shared" si="2"/>
        <v>-77565.393855983959</v>
      </c>
      <c r="Q27" s="24">
        <f t="shared" si="2"/>
        <v>-74808.646760944423</v>
      </c>
      <c r="R27" s="24">
        <f t="shared" si="2"/>
        <v>-72034.669996560886</v>
      </c>
      <c r="S27" s="24">
        <f t="shared" si="2"/>
        <v>-69243.355877399954</v>
      </c>
      <c r="T27" s="24">
        <f t="shared" si="2"/>
        <v>-66434.59604499425</v>
      </c>
      <c r="U27" s="24">
        <f t="shared" si="2"/>
        <v>-63608.281463636027</v>
      </c>
      <c r="V27" s="24">
        <f t="shared" si="2"/>
        <v>-60764.302416144317</v>
      </c>
      <c r="W27" s="24">
        <f t="shared" si="2"/>
        <v>-57902.548499605771</v>
      </c>
      <c r="X27" s="24">
        <f t="shared" si="2"/>
        <v>-55022.908621088871</v>
      </c>
      <c r="Y27" s="24">
        <f t="shared" si="2"/>
        <v>-52125.270993331244</v>
      </c>
      <c r="Z27" s="24">
        <f t="shared" si="2"/>
        <v>-49209.523130400121</v>
      </c>
      <c r="AA27" s="24">
        <f t="shared" si="2"/>
        <v>-46275.55184332568</v>
      </c>
      <c r="AB27" s="24">
        <f t="shared" si="2"/>
        <v>-43323.243235707021</v>
      </c>
      <c r="AC27" s="24">
        <f t="shared" si="2"/>
        <v>-40352.482699290755</v>
      </c>
      <c r="AD27" s="24">
        <f t="shared" si="2"/>
        <v>-37363.15490952188</v>
      </c>
      <c r="AE27" s="24">
        <f t="shared" si="2"/>
        <v>-34355.143821066951</v>
      </c>
      <c r="AF27" s="24">
        <f t="shared" si="2"/>
        <v>-31328.332663309178</v>
      </c>
      <c r="AG27" s="24">
        <f t="shared" si="2"/>
        <v>-28282.603935815423</v>
      </c>
      <c r="AH27" s="24">
        <f t="shared" si="2"/>
        <v>-25217.839403774833</v>
      </c>
      <c r="AI27" s="24">
        <f t="shared" si="2"/>
        <v>-22133.920093408986</v>
      </c>
      <c r="AJ27" s="24">
        <f t="shared" si="2"/>
        <v>-19030.726287353351</v>
      </c>
      <c r="AK27" s="24">
        <f t="shared" si="2"/>
        <v>-15908.13752000987</v>
      </c>
      <c r="AL27" s="24">
        <f t="shared" si="2"/>
        <v>-12766.032572870492</v>
      </c>
      <c r="AM27" s="24">
        <f t="shared" si="2"/>
        <v>-9604.2894698114942</v>
      </c>
      <c r="AN27" s="24">
        <f t="shared" si="2"/>
        <v>-6422.7854723583769</v>
      </c>
      <c r="AO27" s="24">
        <f t="shared" si="2"/>
        <v>-3221.3970749211771</v>
      </c>
      <c r="AP27" s="24">
        <f t="shared" si="2"/>
        <v>0</v>
      </c>
      <c r="AQ27" s="24">
        <f t="shared" si="2"/>
        <v>0</v>
      </c>
      <c r="AR27" s="24">
        <f t="shared" si="2"/>
        <v>0</v>
      </c>
      <c r="AS27" s="24">
        <f t="shared" si="2"/>
        <v>0</v>
      </c>
      <c r="AT27" s="24">
        <f t="shared" si="2"/>
        <v>0</v>
      </c>
      <c r="AU27" s="24">
        <f t="shared" si="2"/>
        <v>0</v>
      </c>
      <c r="AV27" s="24">
        <f t="shared" si="2"/>
        <v>0</v>
      </c>
      <c r="AW27" s="24">
        <f t="shared" si="2"/>
        <v>0</v>
      </c>
    </row>
    <row r="28" spans="1:49">
      <c r="E28" s="82" t="str">
        <f>E$99</f>
        <v>Mortage principal payment</v>
      </c>
      <c r="G28" s="82" t="str">
        <f t="shared" ref="G28:I28" si="3">G$99</f>
        <v>USD</v>
      </c>
      <c r="I28" s="24">
        <f t="shared" si="3"/>
        <v>0</v>
      </c>
      <c r="J28" s="24">
        <f>J$99 * - 1</f>
        <v>-424894.92906231026</v>
      </c>
      <c r="K28" s="24">
        <f t="shared" ref="K28:AW28" si="4">K$99 * - 1</f>
        <v>-427550.52236894972</v>
      </c>
      <c r="L28" s="24">
        <f t="shared" si="4"/>
        <v>-430222.71313375561</v>
      </c>
      <c r="M28" s="24">
        <f t="shared" si="4"/>
        <v>-432911.60509084159</v>
      </c>
      <c r="N28" s="24">
        <f t="shared" si="4"/>
        <v>-435617.30262265936</v>
      </c>
      <c r="O28" s="24">
        <f t="shared" si="4"/>
        <v>-438339.91076405096</v>
      </c>
      <c r="P28" s="24">
        <f t="shared" si="4"/>
        <v>-441079.53520632628</v>
      </c>
      <c r="Q28" s="24">
        <f t="shared" si="4"/>
        <v>-443836.28230136586</v>
      </c>
      <c r="R28" s="24">
        <f t="shared" si="4"/>
        <v>-446610.25906574936</v>
      </c>
      <c r="S28" s="24">
        <f t="shared" si="4"/>
        <v>-449401.57318491029</v>
      </c>
      <c r="T28" s="24">
        <f t="shared" si="4"/>
        <v>-452210.33301731601</v>
      </c>
      <c r="U28" s="24">
        <f t="shared" si="4"/>
        <v>-455036.64759867423</v>
      </c>
      <c r="V28" s="24">
        <f t="shared" si="4"/>
        <v>-457880.62664616597</v>
      </c>
      <c r="W28" s="24">
        <f t="shared" si="4"/>
        <v>-460742.38056270446</v>
      </c>
      <c r="X28" s="24">
        <f t="shared" si="4"/>
        <v>-463622.02044122136</v>
      </c>
      <c r="Y28" s="24">
        <f t="shared" si="4"/>
        <v>-466519.65806897904</v>
      </c>
      <c r="Z28" s="24">
        <f t="shared" si="4"/>
        <v>-469435.40593191015</v>
      </c>
      <c r="AA28" s="24">
        <f t="shared" si="4"/>
        <v>-472369.37721898459</v>
      </c>
      <c r="AB28" s="24">
        <f t="shared" si="4"/>
        <v>-475321.68582660321</v>
      </c>
      <c r="AC28" s="24">
        <f t="shared" si="4"/>
        <v>-478292.44636301952</v>
      </c>
      <c r="AD28" s="24">
        <f t="shared" si="4"/>
        <v>-481281.77415278839</v>
      </c>
      <c r="AE28" s="24">
        <f t="shared" si="4"/>
        <v>-484289.78524124331</v>
      </c>
      <c r="AF28" s="24">
        <f t="shared" si="4"/>
        <v>-487316.59639900108</v>
      </c>
      <c r="AG28" s="24">
        <f t="shared" si="4"/>
        <v>-490362.32512649486</v>
      </c>
      <c r="AH28" s="24">
        <f t="shared" si="4"/>
        <v>-493427.08965853543</v>
      </c>
      <c r="AI28" s="24">
        <f t="shared" si="4"/>
        <v>-496511.0089689013</v>
      </c>
      <c r="AJ28" s="24">
        <f t="shared" si="4"/>
        <v>-499614.20277495688</v>
      </c>
      <c r="AK28" s="24">
        <f t="shared" si="4"/>
        <v>-502736.79154230037</v>
      </c>
      <c r="AL28" s="24">
        <f t="shared" si="4"/>
        <v>-505878.89648943976</v>
      </c>
      <c r="AM28" s="24">
        <f t="shared" si="4"/>
        <v>-509040.63959249877</v>
      </c>
      <c r="AN28" s="24">
        <f t="shared" si="4"/>
        <v>-512222.14358995185</v>
      </c>
      <c r="AO28" s="24">
        <f t="shared" si="4"/>
        <v>-515423.53198738833</v>
      </c>
      <c r="AP28" s="24">
        <f t="shared" si="4"/>
        <v>0</v>
      </c>
      <c r="AQ28" s="24">
        <f t="shared" si="4"/>
        <v>0</v>
      </c>
      <c r="AR28" s="24">
        <f t="shared" si="4"/>
        <v>0</v>
      </c>
      <c r="AS28" s="24">
        <f t="shared" si="4"/>
        <v>0</v>
      </c>
      <c r="AT28" s="24">
        <f t="shared" si="4"/>
        <v>0</v>
      </c>
      <c r="AU28" s="24">
        <f t="shared" si="4"/>
        <v>0</v>
      </c>
      <c r="AV28" s="24">
        <f t="shared" si="4"/>
        <v>0</v>
      </c>
      <c r="AW28" s="24">
        <f t="shared" si="4"/>
        <v>0</v>
      </c>
    </row>
    <row r="29" spans="1:49">
      <c r="E29" s="83" t="s">
        <v>168</v>
      </c>
      <c r="F29" s="83"/>
      <c r="G29" s="83" t="s">
        <v>128</v>
      </c>
      <c r="H29" s="83"/>
      <c r="I29" s="83"/>
      <c r="J29" s="110">
        <f>SUM(J25:J28)</f>
        <v>502312.07093768974</v>
      </c>
      <c r="K29" s="110">
        <f t="shared" ref="K29:AW29" si="5">SUM(K25:K28)</f>
        <v>491275.07093768974</v>
      </c>
      <c r="L29" s="110">
        <f t="shared" si="5"/>
        <v>481790.57093768974</v>
      </c>
      <c r="M29" s="110">
        <f t="shared" si="5"/>
        <v>478537.07093768968</v>
      </c>
      <c r="N29" s="110">
        <f t="shared" si="5"/>
        <v>480029.57093768974</v>
      </c>
      <c r="O29" s="110">
        <f t="shared" si="5"/>
        <v>458441.5709376898</v>
      </c>
      <c r="P29" s="110">
        <f t="shared" si="5"/>
        <v>457570.07093768974</v>
      </c>
      <c r="Q29" s="110">
        <f t="shared" si="5"/>
        <v>450817.07093768974</v>
      </c>
      <c r="R29" s="110">
        <f t="shared" si="5"/>
        <v>498577.07093768974</v>
      </c>
      <c r="S29" s="110">
        <f t="shared" si="5"/>
        <v>446665.0709376898</v>
      </c>
      <c r="T29" s="110">
        <f t="shared" si="5"/>
        <v>462341.5709376898</v>
      </c>
      <c r="U29" s="110">
        <f t="shared" si="5"/>
        <v>449176.07093768968</v>
      </c>
      <c r="V29" s="110">
        <f t="shared" si="5"/>
        <v>446668.07093768974</v>
      </c>
      <c r="W29" s="110">
        <f t="shared" si="5"/>
        <v>490892.5709376898</v>
      </c>
      <c r="X29" s="110">
        <f t="shared" si="5"/>
        <v>495128.5709376898</v>
      </c>
      <c r="Y29" s="110">
        <f t="shared" si="5"/>
        <v>511141.07093768974</v>
      </c>
      <c r="Z29" s="110">
        <f t="shared" si="5"/>
        <v>473660.57093768974</v>
      </c>
      <c r="AA29" s="110">
        <f t="shared" si="5"/>
        <v>499019.57093768968</v>
      </c>
      <c r="AB29" s="110">
        <f t="shared" si="5"/>
        <v>514190.57093768974</v>
      </c>
      <c r="AC29" s="110">
        <f t="shared" si="5"/>
        <v>532141.07093768974</v>
      </c>
      <c r="AD29" s="110">
        <f t="shared" si="5"/>
        <v>562084.07093768963</v>
      </c>
      <c r="AE29" s="110">
        <f t="shared" si="5"/>
        <v>523219.07093768974</v>
      </c>
      <c r="AF29" s="110">
        <f t="shared" si="5"/>
        <v>552944.57093768974</v>
      </c>
      <c r="AG29" s="110">
        <f t="shared" si="5"/>
        <v>530777.57093768974</v>
      </c>
      <c r="AH29" s="110">
        <f t="shared" si="5"/>
        <v>532423.07093768974</v>
      </c>
      <c r="AI29" s="110">
        <f t="shared" si="5"/>
        <v>542746.07093768963</v>
      </c>
      <c r="AJ29" s="110">
        <f t="shared" si="5"/>
        <v>591041.57093768986</v>
      </c>
      <c r="AK29" s="110">
        <f t="shared" si="5"/>
        <v>542894.57093768974</v>
      </c>
      <c r="AL29" s="110">
        <f t="shared" si="5"/>
        <v>528346.07093768974</v>
      </c>
      <c r="AM29" s="110">
        <f t="shared" si="5"/>
        <v>555184.07093768963</v>
      </c>
      <c r="AN29" s="110">
        <f t="shared" si="5"/>
        <v>616714.07093768986</v>
      </c>
      <c r="AO29" s="110">
        <f t="shared" si="5"/>
        <v>608752.07093769033</v>
      </c>
      <c r="AP29" s="110">
        <f t="shared" si="5"/>
        <v>1110844.5</v>
      </c>
      <c r="AQ29" s="110">
        <f t="shared" si="5"/>
        <v>1096879.5</v>
      </c>
      <c r="AR29" s="110">
        <f t="shared" si="5"/>
        <v>1133016</v>
      </c>
      <c r="AS29" s="110">
        <f t="shared" si="5"/>
        <v>1153189.5</v>
      </c>
      <c r="AT29" s="110">
        <f t="shared" si="5"/>
        <v>1146522</v>
      </c>
      <c r="AU29" s="110">
        <f t="shared" si="5"/>
        <v>1138092</v>
      </c>
      <c r="AV29" s="110">
        <f t="shared" si="5"/>
        <v>1157863.5</v>
      </c>
      <c r="AW29" s="110">
        <f t="shared" si="5"/>
        <v>1158460.5</v>
      </c>
    </row>
    <row r="30" spans="1:49">
      <c r="E30" s="85"/>
      <c r="F30" s="85"/>
      <c r="G30" s="85"/>
      <c r="H30" s="85"/>
      <c r="I30" s="85"/>
    </row>
    <row r="31" spans="1:49">
      <c r="E31" s="82" t="s">
        <v>132</v>
      </c>
      <c r="F31" s="86"/>
      <c r="G31" s="86" t="s">
        <v>128</v>
      </c>
      <c r="H31" s="86"/>
      <c r="I31" s="86"/>
      <c r="J31" s="24">
        <f xml:space="preserve"> J$68 * - 1</f>
        <v>0</v>
      </c>
      <c r="K31" s="24">
        <f xml:space="preserve"> K$68 * - 1</f>
        <v>0</v>
      </c>
      <c r="L31" s="24">
        <f t="shared" ref="L31:AW31" si="6" xml:space="preserve"> L$68 * - 1</f>
        <v>0</v>
      </c>
      <c r="M31" s="24">
        <f t="shared" si="6"/>
        <v>0</v>
      </c>
      <c r="N31" s="24">
        <f t="shared" si="6"/>
        <v>0</v>
      </c>
      <c r="O31" s="24">
        <f t="shared" si="6"/>
        <v>0</v>
      </c>
      <c r="P31" s="24">
        <f t="shared" si="6"/>
        <v>0</v>
      </c>
      <c r="Q31" s="24">
        <f t="shared" si="6"/>
        <v>0</v>
      </c>
      <c r="R31" s="24">
        <f t="shared" si="6"/>
        <v>0</v>
      </c>
      <c r="S31" s="24">
        <f t="shared" si="6"/>
        <v>0</v>
      </c>
      <c r="T31" s="24">
        <f t="shared" si="6"/>
        <v>0</v>
      </c>
      <c r="U31" s="24">
        <f t="shared" si="6"/>
        <v>0</v>
      </c>
      <c r="V31" s="24">
        <f t="shared" si="6"/>
        <v>0</v>
      </c>
      <c r="W31" s="24">
        <f t="shared" si="6"/>
        <v>0</v>
      </c>
      <c r="X31" s="24">
        <f t="shared" si="6"/>
        <v>0</v>
      </c>
      <c r="Y31" s="24">
        <f t="shared" si="6"/>
        <v>0</v>
      </c>
      <c r="Z31" s="24">
        <f t="shared" si="6"/>
        <v>0</v>
      </c>
      <c r="AA31" s="24">
        <f t="shared" si="6"/>
        <v>0</v>
      </c>
      <c r="AB31" s="24">
        <f t="shared" si="6"/>
        <v>0</v>
      </c>
      <c r="AC31" s="24">
        <f t="shared" si="6"/>
        <v>0</v>
      </c>
      <c r="AD31" s="24">
        <f t="shared" si="6"/>
        <v>0</v>
      </c>
      <c r="AE31" s="24">
        <f t="shared" si="6"/>
        <v>0</v>
      </c>
      <c r="AF31" s="24">
        <f t="shared" si="6"/>
        <v>0</v>
      </c>
      <c r="AG31" s="24">
        <f t="shared" si="6"/>
        <v>0</v>
      </c>
      <c r="AH31" s="24">
        <f t="shared" si="6"/>
        <v>0</v>
      </c>
      <c r="AI31" s="24">
        <f t="shared" si="6"/>
        <v>0</v>
      </c>
      <c r="AJ31" s="24">
        <f t="shared" si="6"/>
        <v>0</v>
      </c>
      <c r="AK31" s="24">
        <f t="shared" si="6"/>
        <v>0</v>
      </c>
      <c r="AL31" s="24">
        <f t="shared" si="6"/>
        <v>0</v>
      </c>
      <c r="AM31" s="24">
        <f t="shared" si="6"/>
        <v>0</v>
      </c>
      <c r="AN31" s="24">
        <f t="shared" si="6"/>
        <v>0</v>
      </c>
      <c r="AO31" s="24">
        <f t="shared" si="6"/>
        <v>0</v>
      </c>
      <c r="AP31" s="24">
        <f t="shared" si="6"/>
        <v>0</v>
      </c>
      <c r="AQ31" s="24">
        <f t="shared" si="6"/>
        <v>0</v>
      </c>
      <c r="AR31" s="24">
        <f t="shared" si="6"/>
        <v>0</v>
      </c>
      <c r="AS31" s="24">
        <f t="shared" si="6"/>
        <v>0</v>
      </c>
      <c r="AT31" s="24">
        <f t="shared" si="6"/>
        <v>0</v>
      </c>
      <c r="AU31" s="24">
        <f t="shared" si="6"/>
        <v>0</v>
      </c>
      <c r="AV31" s="24">
        <f t="shared" si="6"/>
        <v>0</v>
      </c>
      <c r="AW31" s="24">
        <f t="shared" si="6"/>
        <v>0</v>
      </c>
    </row>
    <row r="32" spans="1:49">
      <c r="E32" s="121" t="str">
        <f>E$69</f>
        <v>Top Up of DSRA to keep required minimum balance</v>
      </c>
      <c r="F32" s="87"/>
      <c r="G32" s="121" t="str">
        <f t="shared" ref="G32:I32" si="7">G$69</f>
        <v>USD</v>
      </c>
      <c r="H32" s="87"/>
      <c r="I32" s="87">
        <f t="shared" si="7"/>
        <v>0</v>
      </c>
      <c r="J32" s="122">
        <f xml:space="preserve"> J$69 * - 1</f>
        <v>0</v>
      </c>
      <c r="K32" s="122">
        <f t="shared" ref="K32:AW32" si="8" xml:space="preserve"> K$69 * - 1</f>
        <v>0</v>
      </c>
      <c r="L32" s="122">
        <f t="shared" si="8"/>
        <v>0</v>
      </c>
      <c r="M32" s="122">
        <f t="shared" si="8"/>
        <v>0</v>
      </c>
      <c r="N32" s="122">
        <f t="shared" si="8"/>
        <v>0</v>
      </c>
      <c r="O32" s="122">
        <f t="shared" si="8"/>
        <v>0</v>
      </c>
      <c r="P32" s="122">
        <f t="shared" si="8"/>
        <v>0</v>
      </c>
      <c r="Q32" s="122">
        <f t="shared" si="8"/>
        <v>0</v>
      </c>
      <c r="R32" s="122">
        <f t="shared" si="8"/>
        <v>0</v>
      </c>
      <c r="S32" s="122">
        <f t="shared" si="8"/>
        <v>0</v>
      </c>
      <c r="T32" s="122">
        <f t="shared" si="8"/>
        <v>0</v>
      </c>
      <c r="U32" s="122">
        <f t="shared" si="8"/>
        <v>0</v>
      </c>
      <c r="V32" s="122">
        <f t="shared" si="8"/>
        <v>0</v>
      </c>
      <c r="W32" s="122">
        <f t="shared" si="8"/>
        <v>0</v>
      </c>
      <c r="X32" s="122">
        <f t="shared" si="8"/>
        <v>0</v>
      </c>
      <c r="Y32" s="122">
        <f t="shared" si="8"/>
        <v>0</v>
      </c>
      <c r="Z32" s="122">
        <f t="shared" si="8"/>
        <v>0</v>
      </c>
      <c r="AA32" s="122">
        <f t="shared" si="8"/>
        <v>0</v>
      </c>
      <c r="AB32" s="122">
        <f t="shared" si="8"/>
        <v>0</v>
      </c>
      <c r="AC32" s="122">
        <f t="shared" si="8"/>
        <v>0</v>
      </c>
      <c r="AD32" s="122">
        <f t="shared" si="8"/>
        <v>0</v>
      </c>
      <c r="AE32" s="122">
        <f t="shared" si="8"/>
        <v>0</v>
      </c>
      <c r="AF32" s="122">
        <f t="shared" si="8"/>
        <v>0</v>
      </c>
      <c r="AG32" s="122">
        <f t="shared" si="8"/>
        <v>0</v>
      </c>
      <c r="AH32" s="122">
        <f t="shared" si="8"/>
        <v>0</v>
      </c>
      <c r="AI32" s="122">
        <f t="shared" si="8"/>
        <v>0</v>
      </c>
      <c r="AJ32" s="122">
        <f t="shared" si="8"/>
        <v>0</v>
      </c>
      <c r="AK32" s="122">
        <f t="shared" si="8"/>
        <v>0</v>
      </c>
      <c r="AL32" s="122">
        <f t="shared" si="8"/>
        <v>0</v>
      </c>
      <c r="AM32" s="122">
        <f t="shared" si="8"/>
        <v>0</v>
      </c>
      <c r="AN32" s="122">
        <f t="shared" si="8"/>
        <v>0</v>
      </c>
      <c r="AO32" s="122">
        <f t="shared" si="8"/>
        <v>0</v>
      </c>
      <c r="AP32" s="122">
        <f t="shared" si="8"/>
        <v>0</v>
      </c>
      <c r="AQ32" s="122">
        <f t="shared" si="8"/>
        <v>0</v>
      </c>
      <c r="AR32" s="122">
        <f t="shared" si="8"/>
        <v>0</v>
      </c>
      <c r="AS32" s="122">
        <f t="shared" si="8"/>
        <v>0</v>
      </c>
      <c r="AT32" s="122">
        <f t="shared" si="8"/>
        <v>0</v>
      </c>
      <c r="AU32" s="122">
        <f t="shared" si="8"/>
        <v>0</v>
      </c>
      <c r="AV32" s="122">
        <f t="shared" si="8"/>
        <v>0</v>
      </c>
      <c r="AW32" s="122">
        <f t="shared" si="8"/>
        <v>0</v>
      </c>
    </row>
    <row r="33" spans="1:49">
      <c r="E33" s="86" t="str">
        <f>E$70</f>
        <v>DSRA Additions in Lockup</v>
      </c>
      <c r="F33" s="86"/>
      <c r="G33" s="86" t="str">
        <f>G$70</f>
        <v>USD</v>
      </c>
      <c r="H33" s="86"/>
      <c r="I33" s="86">
        <f>I$70</f>
        <v>0</v>
      </c>
      <c r="J33" s="122">
        <f xml:space="preserve"> J$70 * - 1</f>
        <v>0</v>
      </c>
      <c r="K33" s="122">
        <f t="shared" ref="K33:AW33" si="9" xml:space="preserve"> K$70 * - 1</f>
        <v>0</v>
      </c>
      <c r="L33" s="122">
        <f t="shared" si="9"/>
        <v>0</v>
      </c>
      <c r="M33" s="122">
        <f t="shared" si="9"/>
        <v>0</v>
      </c>
      <c r="N33" s="122">
        <f t="shared" si="9"/>
        <v>0</v>
      </c>
      <c r="O33" s="122">
        <f t="shared" si="9"/>
        <v>0</v>
      </c>
      <c r="P33" s="122">
        <f t="shared" si="9"/>
        <v>0</v>
      </c>
      <c r="Q33" s="122">
        <f t="shared" si="9"/>
        <v>0</v>
      </c>
      <c r="R33" s="122">
        <f t="shared" si="9"/>
        <v>0</v>
      </c>
      <c r="S33" s="122">
        <f t="shared" si="9"/>
        <v>0</v>
      </c>
      <c r="T33" s="122">
        <f t="shared" si="9"/>
        <v>0</v>
      </c>
      <c r="U33" s="122">
        <f t="shared" si="9"/>
        <v>0</v>
      </c>
      <c r="V33" s="122">
        <f t="shared" si="9"/>
        <v>0</v>
      </c>
      <c r="W33" s="122">
        <f t="shared" si="9"/>
        <v>0</v>
      </c>
      <c r="X33" s="122">
        <f t="shared" si="9"/>
        <v>0</v>
      </c>
      <c r="Y33" s="122">
        <f t="shared" si="9"/>
        <v>0</v>
      </c>
      <c r="Z33" s="122">
        <f t="shared" si="9"/>
        <v>0</v>
      </c>
      <c r="AA33" s="122">
        <f t="shared" si="9"/>
        <v>0</v>
      </c>
      <c r="AB33" s="122">
        <f t="shared" si="9"/>
        <v>0</v>
      </c>
      <c r="AC33" s="122">
        <f t="shared" si="9"/>
        <v>0</v>
      </c>
      <c r="AD33" s="122">
        <f t="shared" si="9"/>
        <v>0</v>
      </c>
      <c r="AE33" s="122">
        <f t="shared" si="9"/>
        <v>0</v>
      </c>
      <c r="AF33" s="122">
        <f t="shared" si="9"/>
        <v>0</v>
      </c>
      <c r="AG33" s="122">
        <f t="shared" si="9"/>
        <v>0</v>
      </c>
      <c r="AH33" s="122">
        <f t="shared" si="9"/>
        <v>0</v>
      </c>
      <c r="AI33" s="122">
        <f t="shared" si="9"/>
        <v>0</v>
      </c>
      <c r="AJ33" s="122">
        <f t="shared" si="9"/>
        <v>0</v>
      </c>
      <c r="AK33" s="122">
        <f t="shared" si="9"/>
        <v>0</v>
      </c>
      <c r="AL33" s="122">
        <f t="shared" si="9"/>
        <v>0</v>
      </c>
      <c r="AM33" s="122">
        <f t="shared" si="9"/>
        <v>0</v>
      </c>
      <c r="AN33" s="122">
        <f t="shared" si="9"/>
        <v>0</v>
      </c>
      <c r="AO33" s="122">
        <f t="shared" si="9"/>
        <v>0</v>
      </c>
      <c r="AP33" s="122">
        <f t="shared" si="9"/>
        <v>0</v>
      </c>
      <c r="AQ33" s="122">
        <f t="shared" si="9"/>
        <v>0</v>
      </c>
      <c r="AR33" s="122">
        <f t="shared" si="9"/>
        <v>0</v>
      </c>
      <c r="AS33" s="122">
        <f t="shared" si="9"/>
        <v>0</v>
      </c>
      <c r="AT33" s="122">
        <f t="shared" si="9"/>
        <v>0</v>
      </c>
      <c r="AU33" s="122">
        <f t="shared" si="9"/>
        <v>0</v>
      </c>
      <c r="AV33" s="122">
        <f t="shared" si="9"/>
        <v>0</v>
      </c>
      <c r="AW33" s="122">
        <f t="shared" si="9"/>
        <v>0</v>
      </c>
    </row>
    <row r="34" spans="1:49">
      <c r="E34" s="86" t="s">
        <v>135</v>
      </c>
      <c r="F34" s="86"/>
      <c r="G34" s="86" t="str">
        <f t="shared" ref="G34" si="10">G$70</f>
        <v>USD</v>
      </c>
      <c r="H34" s="86"/>
      <c r="I34" s="86"/>
      <c r="J34" s="122">
        <f xml:space="preserve"> J71 * - 1</f>
        <v>0</v>
      </c>
      <c r="K34" s="122">
        <f t="shared" ref="K34:AW34" si="11" xml:space="preserve"> K71 * - 1</f>
        <v>0</v>
      </c>
      <c r="L34" s="122">
        <f t="shared" si="11"/>
        <v>0</v>
      </c>
      <c r="M34" s="122">
        <f t="shared" si="11"/>
        <v>0</v>
      </c>
      <c r="N34" s="122">
        <f t="shared" si="11"/>
        <v>0</v>
      </c>
      <c r="O34" s="122">
        <f t="shared" si="11"/>
        <v>0</v>
      </c>
      <c r="P34" s="122">
        <f t="shared" si="11"/>
        <v>0</v>
      </c>
      <c r="Q34" s="122">
        <f t="shared" si="11"/>
        <v>0</v>
      </c>
      <c r="R34" s="122">
        <f t="shared" si="11"/>
        <v>0</v>
      </c>
      <c r="S34" s="122">
        <f t="shared" si="11"/>
        <v>0</v>
      </c>
      <c r="T34" s="122">
        <f t="shared" si="11"/>
        <v>0</v>
      </c>
      <c r="U34" s="122">
        <f t="shared" si="11"/>
        <v>0</v>
      </c>
      <c r="V34" s="122">
        <f t="shared" si="11"/>
        <v>0</v>
      </c>
      <c r="W34" s="122">
        <f t="shared" si="11"/>
        <v>0</v>
      </c>
      <c r="X34" s="122">
        <f t="shared" si="11"/>
        <v>0</v>
      </c>
      <c r="Y34" s="122">
        <f t="shared" si="11"/>
        <v>0</v>
      </c>
      <c r="Z34" s="122">
        <f t="shared" si="11"/>
        <v>0</v>
      </c>
      <c r="AA34" s="122">
        <f t="shared" si="11"/>
        <v>0</v>
      </c>
      <c r="AB34" s="122">
        <f t="shared" si="11"/>
        <v>0</v>
      </c>
      <c r="AC34" s="122">
        <f t="shared" si="11"/>
        <v>0</v>
      </c>
      <c r="AD34" s="122">
        <f t="shared" si="11"/>
        <v>0</v>
      </c>
      <c r="AE34" s="122">
        <f t="shared" si="11"/>
        <v>0</v>
      </c>
      <c r="AF34" s="122">
        <f t="shared" si="11"/>
        <v>0</v>
      </c>
      <c r="AG34" s="122">
        <f t="shared" si="11"/>
        <v>0</v>
      </c>
      <c r="AH34" s="122">
        <f t="shared" si="11"/>
        <v>0</v>
      </c>
      <c r="AI34" s="122">
        <f t="shared" si="11"/>
        <v>0</v>
      </c>
      <c r="AJ34" s="122">
        <f t="shared" si="11"/>
        <v>0</v>
      </c>
      <c r="AK34" s="122">
        <f t="shared" si="11"/>
        <v>0</v>
      </c>
      <c r="AL34" s="122">
        <f t="shared" si="11"/>
        <v>0</v>
      </c>
      <c r="AM34" s="122">
        <f t="shared" si="11"/>
        <v>0</v>
      </c>
      <c r="AN34" s="122">
        <f t="shared" si="11"/>
        <v>0</v>
      </c>
      <c r="AO34" s="122">
        <f t="shared" si="11"/>
        <v>0</v>
      </c>
      <c r="AP34" s="122">
        <f t="shared" si="11"/>
        <v>0</v>
      </c>
      <c r="AQ34" s="122">
        <f t="shared" si="11"/>
        <v>0</v>
      </c>
      <c r="AR34" s="122">
        <f t="shared" si="11"/>
        <v>0</v>
      </c>
      <c r="AS34" s="122">
        <f t="shared" si="11"/>
        <v>0</v>
      </c>
      <c r="AT34" s="122">
        <f t="shared" si="11"/>
        <v>0</v>
      </c>
      <c r="AU34" s="122">
        <f t="shared" si="11"/>
        <v>0</v>
      </c>
      <c r="AV34" s="122">
        <f t="shared" si="11"/>
        <v>0</v>
      </c>
      <c r="AW34" s="122">
        <f t="shared" si="11"/>
        <v>0</v>
      </c>
    </row>
    <row r="35" spans="1:49">
      <c r="E35" s="86" t="str">
        <f>E$72</f>
        <v>Liquidation of DSRA</v>
      </c>
      <c r="F35" s="105"/>
      <c r="G35" s="86" t="str">
        <f>G$72</f>
        <v>USD</v>
      </c>
      <c r="H35" s="105"/>
      <c r="I35" s="105">
        <f>I$72</f>
        <v>0</v>
      </c>
      <c r="J35" s="105">
        <f>J$72 * - 1</f>
        <v>0</v>
      </c>
      <c r="K35" s="105">
        <f t="shared" ref="K35:AW35" si="12">K$72 * - 1</f>
        <v>0</v>
      </c>
      <c r="L35" s="105">
        <f t="shared" si="12"/>
        <v>0</v>
      </c>
      <c r="M35" s="105">
        <f t="shared" si="12"/>
        <v>0</v>
      </c>
      <c r="N35" s="105">
        <f t="shared" si="12"/>
        <v>0</v>
      </c>
      <c r="O35" s="105">
        <f t="shared" si="12"/>
        <v>0</v>
      </c>
      <c r="P35" s="105">
        <f t="shared" si="12"/>
        <v>0</v>
      </c>
      <c r="Q35" s="105">
        <f t="shared" si="12"/>
        <v>0</v>
      </c>
      <c r="R35" s="105">
        <f t="shared" si="12"/>
        <v>0</v>
      </c>
      <c r="S35" s="105">
        <f t="shared" si="12"/>
        <v>0</v>
      </c>
      <c r="T35" s="105">
        <f t="shared" si="12"/>
        <v>0</v>
      </c>
      <c r="U35" s="105">
        <f t="shared" si="12"/>
        <v>0</v>
      </c>
      <c r="V35" s="105">
        <f t="shared" si="12"/>
        <v>0</v>
      </c>
      <c r="W35" s="105">
        <f t="shared" si="12"/>
        <v>0</v>
      </c>
      <c r="X35" s="105">
        <f t="shared" si="12"/>
        <v>0</v>
      </c>
      <c r="Y35" s="105">
        <f t="shared" si="12"/>
        <v>0</v>
      </c>
      <c r="Z35" s="105">
        <f t="shared" si="12"/>
        <v>0</v>
      </c>
      <c r="AA35" s="105">
        <f t="shared" si="12"/>
        <v>0</v>
      </c>
      <c r="AB35" s="105">
        <f t="shared" si="12"/>
        <v>0</v>
      </c>
      <c r="AC35" s="105">
        <f t="shared" si="12"/>
        <v>0</v>
      </c>
      <c r="AD35" s="105">
        <f t="shared" si="12"/>
        <v>0</v>
      </c>
      <c r="AE35" s="105">
        <f t="shared" si="12"/>
        <v>0</v>
      </c>
      <c r="AF35" s="105">
        <f t="shared" si="12"/>
        <v>0</v>
      </c>
      <c r="AG35" s="105">
        <f t="shared" si="12"/>
        <v>0</v>
      </c>
      <c r="AH35" s="105">
        <f t="shared" si="12"/>
        <v>0</v>
      </c>
      <c r="AI35" s="105">
        <f t="shared" si="12"/>
        <v>0</v>
      </c>
      <c r="AJ35" s="105">
        <f t="shared" si="12"/>
        <v>0</v>
      </c>
      <c r="AK35" s="105">
        <f t="shared" si="12"/>
        <v>0</v>
      </c>
      <c r="AL35" s="105">
        <f t="shared" si="12"/>
        <v>0</v>
      </c>
      <c r="AM35" s="105">
        <f t="shared" si="12"/>
        <v>0</v>
      </c>
      <c r="AN35" s="105">
        <f t="shared" si="12"/>
        <v>0</v>
      </c>
      <c r="AO35" s="105">
        <f t="shared" si="12"/>
        <v>750000</v>
      </c>
      <c r="AP35" s="105">
        <f t="shared" si="12"/>
        <v>0</v>
      </c>
      <c r="AQ35" s="105">
        <f t="shared" si="12"/>
        <v>0</v>
      </c>
      <c r="AR35" s="105">
        <f t="shared" si="12"/>
        <v>0</v>
      </c>
      <c r="AS35" s="105">
        <f t="shared" si="12"/>
        <v>0</v>
      </c>
      <c r="AT35" s="105">
        <f t="shared" si="12"/>
        <v>0</v>
      </c>
      <c r="AU35" s="105">
        <f t="shared" si="12"/>
        <v>0</v>
      </c>
      <c r="AV35" s="105">
        <f t="shared" si="12"/>
        <v>0</v>
      </c>
      <c r="AW35" s="105">
        <f t="shared" si="12"/>
        <v>0</v>
      </c>
    </row>
    <row r="36" spans="1:49">
      <c r="E36" s="83" t="s">
        <v>136</v>
      </c>
      <c r="F36" s="83"/>
      <c r="G36" s="83" t="s">
        <v>128</v>
      </c>
      <c r="H36" s="88"/>
      <c r="I36" s="88"/>
      <c r="J36" s="110">
        <f>SUM( J29:J35)</f>
        <v>502312.07093768974</v>
      </c>
      <c r="K36" s="110">
        <f t="shared" ref="K36:AW36" si="13">SUM( K29:K35)</f>
        <v>491275.07093768974</v>
      </c>
      <c r="L36" s="110">
        <f t="shared" si="13"/>
        <v>481790.57093768974</v>
      </c>
      <c r="M36" s="110">
        <f t="shared" si="13"/>
        <v>478537.07093768968</v>
      </c>
      <c r="N36" s="110">
        <f t="shared" si="13"/>
        <v>480029.57093768974</v>
      </c>
      <c r="O36" s="110">
        <f t="shared" si="13"/>
        <v>458441.5709376898</v>
      </c>
      <c r="P36" s="110">
        <f t="shared" si="13"/>
        <v>457570.07093768974</v>
      </c>
      <c r="Q36" s="110">
        <f t="shared" si="13"/>
        <v>450817.07093768974</v>
      </c>
      <c r="R36" s="110">
        <f t="shared" si="13"/>
        <v>498577.07093768974</v>
      </c>
      <c r="S36" s="110">
        <f t="shared" si="13"/>
        <v>446665.0709376898</v>
      </c>
      <c r="T36" s="110">
        <f t="shared" si="13"/>
        <v>462341.5709376898</v>
      </c>
      <c r="U36" s="110">
        <f t="shared" si="13"/>
        <v>449176.07093768968</v>
      </c>
      <c r="V36" s="110">
        <f t="shared" si="13"/>
        <v>446668.07093768974</v>
      </c>
      <c r="W36" s="110">
        <f t="shared" si="13"/>
        <v>490892.5709376898</v>
      </c>
      <c r="X36" s="110">
        <f t="shared" si="13"/>
        <v>495128.5709376898</v>
      </c>
      <c r="Y36" s="110">
        <f t="shared" si="13"/>
        <v>511141.07093768974</v>
      </c>
      <c r="Z36" s="110">
        <f t="shared" si="13"/>
        <v>473660.57093768974</v>
      </c>
      <c r="AA36" s="110">
        <f t="shared" si="13"/>
        <v>499019.57093768968</v>
      </c>
      <c r="AB36" s="110">
        <f t="shared" si="13"/>
        <v>514190.57093768974</v>
      </c>
      <c r="AC36" s="110">
        <f t="shared" si="13"/>
        <v>532141.07093768974</v>
      </c>
      <c r="AD36" s="110">
        <f t="shared" si="13"/>
        <v>562084.07093768963</v>
      </c>
      <c r="AE36" s="110">
        <f t="shared" si="13"/>
        <v>523219.07093768974</v>
      </c>
      <c r="AF36" s="110">
        <f t="shared" si="13"/>
        <v>552944.57093768974</v>
      </c>
      <c r="AG36" s="110">
        <f t="shared" si="13"/>
        <v>530777.57093768974</v>
      </c>
      <c r="AH36" s="110">
        <f t="shared" si="13"/>
        <v>532423.07093768974</v>
      </c>
      <c r="AI36" s="110">
        <f t="shared" si="13"/>
        <v>542746.07093768963</v>
      </c>
      <c r="AJ36" s="110">
        <f t="shared" si="13"/>
        <v>591041.57093768986</v>
      </c>
      <c r="AK36" s="110">
        <f t="shared" si="13"/>
        <v>542894.57093768974</v>
      </c>
      <c r="AL36" s="110">
        <f t="shared" si="13"/>
        <v>528346.07093768974</v>
      </c>
      <c r="AM36" s="110">
        <f t="shared" si="13"/>
        <v>555184.07093768963</v>
      </c>
      <c r="AN36" s="110">
        <f t="shared" si="13"/>
        <v>616714.07093768986</v>
      </c>
      <c r="AO36" s="110">
        <f t="shared" si="13"/>
        <v>1358752.0709376903</v>
      </c>
      <c r="AP36" s="110">
        <f t="shared" si="13"/>
        <v>1110844.5</v>
      </c>
      <c r="AQ36" s="110">
        <f t="shared" si="13"/>
        <v>1096879.5</v>
      </c>
      <c r="AR36" s="110">
        <f t="shared" si="13"/>
        <v>1133016</v>
      </c>
      <c r="AS36" s="110">
        <f t="shared" si="13"/>
        <v>1153189.5</v>
      </c>
      <c r="AT36" s="110">
        <f t="shared" si="13"/>
        <v>1146522</v>
      </c>
      <c r="AU36" s="110">
        <f t="shared" si="13"/>
        <v>1138092</v>
      </c>
      <c r="AV36" s="110">
        <f t="shared" si="13"/>
        <v>1157863.5</v>
      </c>
      <c r="AW36" s="110">
        <f t="shared" si="13"/>
        <v>1158460.5</v>
      </c>
    </row>
    <row r="37" spans="1:49">
      <c r="F37" s="82"/>
      <c r="H37" s="82"/>
      <c r="I37" s="82"/>
    </row>
    <row r="38" spans="1:49" ht="14.4">
      <c r="E38" s="82" t="s">
        <v>137</v>
      </c>
      <c r="F38"/>
      <c r="G38" s="82" t="s">
        <v>128</v>
      </c>
      <c r="H38"/>
      <c r="I38"/>
      <c r="J38" s="24">
        <f>J$116</f>
        <v>0</v>
      </c>
      <c r="K38" s="24">
        <f t="shared" ref="K38:AW38" si="14">K$116</f>
        <v>0</v>
      </c>
      <c r="L38" s="24">
        <f t="shared" si="14"/>
        <v>0</v>
      </c>
      <c r="M38" s="24">
        <f t="shared" si="14"/>
        <v>0</v>
      </c>
      <c r="N38" s="24">
        <f t="shared" si="14"/>
        <v>0</v>
      </c>
      <c r="O38" s="24">
        <f t="shared" si="14"/>
        <v>0</v>
      </c>
      <c r="P38" s="24">
        <f t="shared" si="14"/>
        <v>0</v>
      </c>
      <c r="Q38" s="24">
        <f t="shared" si="14"/>
        <v>0</v>
      </c>
      <c r="R38" s="24">
        <f t="shared" si="14"/>
        <v>0</v>
      </c>
      <c r="S38" s="24">
        <f t="shared" si="14"/>
        <v>0</v>
      </c>
      <c r="T38" s="24">
        <f t="shared" si="14"/>
        <v>0</v>
      </c>
      <c r="U38" s="24">
        <f t="shared" si="14"/>
        <v>0</v>
      </c>
      <c r="V38" s="24">
        <f t="shared" si="14"/>
        <v>0</v>
      </c>
      <c r="W38" s="24">
        <f t="shared" si="14"/>
        <v>0</v>
      </c>
      <c r="X38" s="24">
        <f t="shared" si="14"/>
        <v>0</v>
      </c>
      <c r="Y38" s="24">
        <f t="shared" si="14"/>
        <v>0</v>
      </c>
      <c r="Z38" s="24">
        <f t="shared" si="14"/>
        <v>0</v>
      </c>
      <c r="AA38" s="24">
        <f t="shared" si="14"/>
        <v>0</v>
      </c>
      <c r="AB38" s="24">
        <f t="shared" si="14"/>
        <v>0</v>
      </c>
      <c r="AC38" s="24">
        <f t="shared" si="14"/>
        <v>0</v>
      </c>
      <c r="AD38" s="24">
        <f t="shared" si="14"/>
        <v>0</v>
      </c>
      <c r="AE38" s="24">
        <f t="shared" si="14"/>
        <v>0</v>
      </c>
      <c r="AF38" s="24">
        <f t="shared" si="14"/>
        <v>0</v>
      </c>
      <c r="AG38" s="24">
        <f t="shared" si="14"/>
        <v>0</v>
      </c>
      <c r="AH38" s="24">
        <f t="shared" si="14"/>
        <v>0</v>
      </c>
      <c r="AI38" s="24">
        <f t="shared" si="14"/>
        <v>0</v>
      </c>
      <c r="AJ38" s="24">
        <f t="shared" si="14"/>
        <v>0</v>
      </c>
      <c r="AK38" s="24">
        <f t="shared" si="14"/>
        <v>0</v>
      </c>
      <c r="AL38" s="24">
        <f t="shared" si="14"/>
        <v>0</v>
      </c>
      <c r="AM38" s="24">
        <f t="shared" si="14"/>
        <v>0</v>
      </c>
      <c r="AN38" s="24">
        <f t="shared" si="14"/>
        <v>0</v>
      </c>
      <c r="AO38" s="24">
        <f t="shared" si="14"/>
        <v>0</v>
      </c>
      <c r="AP38" s="24">
        <f t="shared" si="14"/>
        <v>0</v>
      </c>
      <c r="AQ38" s="24">
        <f t="shared" si="14"/>
        <v>0</v>
      </c>
      <c r="AR38" s="24">
        <f t="shared" si="14"/>
        <v>0</v>
      </c>
      <c r="AS38" s="24">
        <f t="shared" si="14"/>
        <v>0</v>
      </c>
      <c r="AT38" s="24">
        <f t="shared" si="14"/>
        <v>0</v>
      </c>
      <c r="AU38" s="24">
        <f t="shared" si="14"/>
        <v>0</v>
      </c>
      <c r="AV38" s="24">
        <f t="shared" si="14"/>
        <v>0</v>
      </c>
      <c r="AW38" s="24">
        <f t="shared" si="14"/>
        <v>0</v>
      </c>
    </row>
    <row r="39" spans="1:49">
      <c r="E39" s="83" t="s">
        <v>138</v>
      </c>
      <c r="F39" s="83"/>
      <c r="G39" s="83" t="s">
        <v>128</v>
      </c>
      <c r="H39" s="88"/>
      <c r="I39" s="88"/>
      <c r="J39" s="110">
        <f>SUM(J36:J38)</f>
        <v>502312.07093768974</v>
      </c>
      <c r="K39" s="110">
        <f t="shared" ref="K39:AW39" si="15">SUM(K36:K38)</f>
        <v>491275.07093768974</v>
      </c>
      <c r="L39" s="110">
        <f t="shared" si="15"/>
        <v>481790.57093768974</v>
      </c>
      <c r="M39" s="110">
        <f t="shared" si="15"/>
        <v>478537.07093768968</v>
      </c>
      <c r="N39" s="110">
        <f t="shared" si="15"/>
        <v>480029.57093768974</v>
      </c>
      <c r="O39" s="110">
        <f t="shared" si="15"/>
        <v>458441.5709376898</v>
      </c>
      <c r="P39" s="110">
        <f t="shared" si="15"/>
        <v>457570.07093768974</v>
      </c>
      <c r="Q39" s="110">
        <f t="shared" si="15"/>
        <v>450817.07093768974</v>
      </c>
      <c r="R39" s="110">
        <f t="shared" si="15"/>
        <v>498577.07093768974</v>
      </c>
      <c r="S39" s="110">
        <f t="shared" si="15"/>
        <v>446665.0709376898</v>
      </c>
      <c r="T39" s="110">
        <f t="shared" si="15"/>
        <v>462341.5709376898</v>
      </c>
      <c r="U39" s="110">
        <f t="shared" si="15"/>
        <v>449176.07093768968</v>
      </c>
      <c r="V39" s="110">
        <f t="shared" si="15"/>
        <v>446668.07093768974</v>
      </c>
      <c r="W39" s="110">
        <f t="shared" si="15"/>
        <v>490892.5709376898</v>
      </c>
      <c r="X39" s="110">
        <f t="shared" si="15"/>
        <v>495128.5709376898</v>
      </c>
      <c r="Y39" s="110">
        <f t="shared" si="15"/>
        <v>511141.07093768974</v>
      </c>
      <c r="Z39" s="110">
        <f t="shared" si="15"/>
        <v>473660.57093768974</v>
      </c>
      <c r="AA39" s="110">
        <f t="shared" si="15"/>
        <v>499019.57093768968</v>
      </c>
      <c r="AB39" s="110">
        <f t="shared" si="15"/>
        <v>514190.57093768974</v>
      </c>
      <c r="AC39" s="110">
        <f t="shared" si="15"/>
        <v>532141.07093768974</v>
      </c>
      <c r="AD39" s="110">
        <f t="shared" si="15"/>
        <v>562084.07093768963</v>
      </c>
      <c r="AE39" s="110">
        <f t="shared" si="15"/>
        <v>523219.07093768974</v>
      </c>
      <c r="AF39" s="110">
        <f t="shared" si="15"/>
        <v>552944.57093768974</v>
      </c>
      <c r="AG39" s="110">
        <f t="shared" si="15"/>
        <v>530777.57093768974</v>
      </c>
      <c r="AH39" s="110">
        <f t="shared" si="15"/>
        <v>532423.07093768974</v>
      </c>
      <c r="AI39" s="110">
        <f t="shared" si="15"/>
        <v>542746.07093768963</v>
      </c>
      <c r="AJ39" s="110">
        <f t="shared" si="15"/>
        <v>591041.57093768986</v>
      </c>
      <c r="AK39" s="110">
        <f t="shared" si="15"/>
        <v>542894.57093768974</v>
      </c>
      <c r="AL39" s="110">
        <f t="shared" si="15"/>
        <v>528346.07093768974</v>
      </c>
      <c r="AM39" s="110">
        <f t="shared" si="15"/>
        <v>555184.07093768963</v>
      </c>
      <c r="AN39" s="110">
        <f t="shared" si="15"/>
        <v>616714.07093768986</v>
      </c>
      <c r="AO39" s="110">
        <f t="shared" si="15"/>
        <v>1358752.0709376903</v>
      </c>
      <c r="AP39" s="110">
        <f t="shared" si="15"/>
        <v>1110844.5</v>
      </c>
      <c r="AQ39" s="110">
        <f t="shared" si="15"/>
        <v>1096879.5</v>
      </c>
      <c r="AR39" s="110">
        <f t="shared" si="15"/>
        <v>1133016</v>
      </c>
      <c r="AS39" s="110">
        <f t="shared" si="15"/>
        <v>1153189.5</v>
      </c>
      <c r="AT39" s="110">
        <f t="shared" si="15"/>
        <v>1146522</v>
      </c>
      <c r="AU39" s="110">
        <f t="shared" si="15"/>
        <v>1138092</v>
      </c>
      <c r="AV39" s="110">
        <f t="shared" si="15"/>
        <v>1157863.5</v>
      </c>
      <c r="AW39" s="110">
        <f t="shared" si="15"/>
        <v>1158460.5</v>
      </c>
    </row>
    <row r="41" spans="1:49">
      <c r="E41" s="82" t="str">
        <f>E$126</f>
        <v>Junior Debt amortization paid</v>
      </c>
      <c r="G41" s="82" t="str">
        <f>G$126</f>
        <v>USD</v>
      </c>
      <c r="I41" s="24">
        <f>I$126</f>
        <v>0</v>
      </c>
      <c r="J41" s="24">
        <f>J$126 * - 1</f>
        <v>-225000</v>
      </c>
      <c r="K41" s="24">
        <f t="shared" ref="K41:AW41" si="16">K$126 * - 1</f>
        <v>-225000</v>
      </c>
      <c r="L41" s="24">
        <f t="shared" si="16"/>
        <v>-225000</v>
      </c>
      <c r="M41" s="24">
        <f t="shared" si="16"/>
        <v>-225000</v>
      </c>
      <c r="N41" s="24">
        <f t="shared" si="16"/>
        <v>-225000</v>
      </c>
      <c r="O41" s="24">
        <f t="shared" si="16"/>
        <v>-225000</v>
      </c>
      <c r="P41" s="24">
        <f t="shared" si="16"/>
        <v>-225000</v>
      </c>
      <c r="Q41" s="24">
        <f t="shared" si="16"/>
        <v>-225000</v>
      </c>
      <c r="R41" s="24">
        <f t="shared" si="16"/>
        <v>-225000</v>
      </c>
      <c r="S41" s="24">
        <f t="shared" si="16"/>
        <v>-225000</v>
      </c>
      <c r="T41" s="24">
        <f t="shared" si="16"/>
        <v>-225000</v>
      </c>
      <c r="U41" s="24">
        <f t="shared" si="16"/>
        <v>-225000</v>
      </c>
      <c r="V41" s="24">
        <f t="shared" si="16"/>
        <v>-225000</v>
      </c>
      <c r="W41" s="24">
        <f t="shared" si="16"/>
        <v>-225000</v>
      </c>
      <c r="X41" s="24">
        <f t="shared" si="16"/>
        <v>-225000</v>
      </c>
      <c r="Y41" s="24">
        <f t="shared" si="16"/>
        <v>-225000</v>
      </c>
      <c r="Z41" s="24">
        <f t="shared" si="16"/>
        <v>-225000</v>
      </c>
      <c r="AA41" s="24">
        <f t="shared" si="16"/>
        <v>-225000</v>
      </c>
      <c r="AB41" s="24">
        <f t="shared" si="16"/>
        <v>-225000</v>
      </c>
      <c r="AC41" s="24">
        <f t="shared" si="16"/>
        <v>-225000</v>
      </c>
      <c r="AD41" s="24">
        <f t="shared" si="16"/>
        <v>-225000</v>
      </c>
      <c r="AE41" s="24">
        <f t="shared" si="16"/>
        <v>-225000</v>
      </c>
      <c r="AF41" s="24">
        <f t="shared" si="16"/>
        <v>-225000</v>
      </c>
      <c r="AG41" s="24">
        <f t="shared" si="16"/>
        <v>-225000</v>
      </c>
      <c r="AH41" s="24">
        <f t="shared" si="16"/>
        <v>-225000</v>
      </c>
      <c r="AI41" s="24">
        <f t="shared" si="16"/>
        <v>-225000</v>
      </c>
      <c r="AJ41" s="24">
        <f t="shared" si="16"/>
        <v>-225000</v>
      </c>
      <c r="AK41" s="24">
        <f t="shared" si="16"/>
        <v>-225000</v>
      </c>
      <c r="AL41" s="24">
        <f t="shared" si="16"/>
        <v>-225000</v>
      </c>
      <c r="AM41" s="24">
        <f t="shared" si="16"/>
        <v>-225000</v>
      </c>
      <c r="AN41" s="24">
        <f t="shared" si="16"/>
        <v>-225000</v>
      </c>
      <c r="AO41" s="24">
        <f t="shared" si="16"/>
        <v>-225000</v>
      </c>
      <c r="AP41" s="24">
        <f t="shared" si="16"/>
        <v>-225000</v>
      </c>
      <c r="AQ41" s="24">
        <f t="shared" si="16"/>
        <v>-225000</v>
      </c>
      <c r="AR41" s="24">
        <f t="shared" si="16"/>
        <v>-225000</v>
      </c>
      <c r="AS41" s="24">
        <f t="shared" si="16"/>
        <v>-225000</v>
      </c>
      <c r="AT41" s="24">
        <f t="shared" si="16"/>
        <v>-225000</v>
      </c>
      <c r="AU41" s="24">
        <f t="shared" si="16"/>
        <v>-225000</v>
      </c>
      <c r="AV41" s="24">
        <f t="shared" si="16"/>
        <v>-225000</v>
      </c>
      <c r="AW41" s="24">
        <f t="shared" si="16"/>
        <v>-225000</v>
      </c>
    </row>
    <row r="42" spans="1:49">
      <c r="E42" s="83" t="s">
        <v>140</v>
      </c>
      <c r="F42" s="84"/>
      <c r="G42" s="83" t="s">
        <v>128</v>
      </c>
      <c r="H42" s="84"/>
      <c r="I42" s="84"/>
      <c r="J42" s="110">
        <f>SUM(J39:J41)</f>
        <v>277312.07093768974</v>
      </c>
      <c r="K42" s="110">
        <f t="shared" ref="K42:AW42" si="17">SUM(K39:K41)</f>
        <v>266275.07093768974</v>
      </c>
      <c r="L42" s="110">
        <f t="shared" si="17"/>
        <v>256790.57093768974</v>
      </c>
      <c r="M42" s="110">
        <f t="shared" si="17"/>
        <v>253537.07093768968</v>
      </c>
      <c r="N42" s="110">
        <f t="shared" si="17"/>
        <v>255029.57093768974</v>
      </c>
      <c r="O42" s="110">
        <f t="shared" si="17"/>
        <v>233441.5709376898</v>
      </c>
      <c r="P42" s="110">
        <f t="shared" si="17"/>
        <v>232570.07093768974</v>
      </c>
      <c r="Q42" s="110">
        <f t="shared" si="17"/>
        <v>225817.07093768974</v>
      </c>
      <c r="R42" s="110">
        <f t="shared" si="17"/>
        <v>273577.07093768974</v>
      </c>
      <c r="S42" s="110">
        <f t="shared" si="17"/>
        <v>221665.0709376898</v>
      </c>
      <c r="T42" s="110">
        <f t="shared" si="17"/>
        <v>237341.5709376898</v>
      </c>
      <c r="U42" s="110">
        <f t="shared" si="17"/>
        <v>224176.07093768968</v>
      </c>
      <c r="V42" s="110">
        <f t="shared" si="17"/>
        <v>221668.07093768974</v>
      </c>
      <c r="W42" s="110">
        <f t="shared" si="17"/>
        <v>265892.5709376898</v>
      </c>
      <c r="X42" s="110">
        <f t="shared" si="17"/>
        <v>270128.5709376898</v>
      </c>
      <c r="Y42" s="110">
        <f t="shared" si="17"/>
        <v>286141.07093768974</v>
      </c>
      <c r="Z42" s="110">
        <f t="shared" si="17"/>
        <v>248660.57093768974</v>
      </c>
      <c r="AA42" s="110">
        <f t="shared" si="17"/>
        <v>274019.57093768968</v>
      </c>
      <c r="AB42" s="110">
        <f t="shared" si="17"/>
        <v>289190.57093768974</v>
      </c>
      <c r="AC42" s="110">
        <f t="shared" si="17"/>
        <v>307141.07093768974</v>
      </c>
      <c r="AD42" s="110">
        <f t="shared" si="17"/>
        <v>337084.07093768963</v>
      </c>
      <c r="AE42" s="110">
        <f t="shared" si="17"/>
        <v>298219.07093768974</v>
      </c>
      <c r="AF42" s="110">
        <f t="shared" si="17"/>
        <v>327944.57093768974</v>
      </c>
      <c r="AG42" s="110">
        <f t="shared" si="17"/>
        <v>305777.57093768974</v>
      </c>
      <c r="AH42" s="110">
        <f t="shared" si="17"/>
        <v>307423.07093768974</v>
      </c>
      <c r="AI42" s="110">
        <f t="shared" si="17"/>
        <v>317746.07093768963</v>
      </c>
      <c r="AJ42" s="110">
        <f t="shared" si="17"/>
        <v>366041.57093768986</v>
      </c>
      <c r="AK42" s="110">
        <f t="shared" si="17"/>
        <v>317894.57093768974</v>
      </c>
      <c r="AL42" s="110">
        <f t="shared" si="17"/>
        <v>303346.07093768974</v>
      </c>
      <c r="AM42" s="110">
        <f t="shared" si="17"/>
        <v>330184.07093768963</v>
      </c>
      <c r="AN42" s="110">
        <f t="shared" si="17"/>
        <v>391714.07093768986</v>
      </c>
      <c r="AO42" s="110">
        <f t="shared" si="17"/>
        <v>1133752.0709376903</v>
      </c>
      <c r="AP42" s="110">
        <f t="shared" si="17"/>
        <v>885844.5</v>
      </c>
      <c r="AQ42" s="110">
        <f t="shared" si="17"/>
        <v>871879.5</v>
      </c>
      <c r="AR42" s="110">
        <f t="shared" si="17"/>
        <v>908016</v>
      </c>
      <c r="AS42" s="110">
        <f t="shared" si="17"/>
        <v>928189.5</v>
      </c>
      <c r="AT42" s="110">
        <f t="shared" si="17"/>
        <v>921522</v>
      </c>
      <c r="AU42" s="110">
        <f t="shared" si="17"/>
        <v>913092</v>
      </c>
      <c r="AV42" s="110">
        <f t="shared" si="17"/>
        <v>932863.5</v>
      </c>
      <c r="AW42" s="110">
        <f t="shared" si="17"/>
        <v>933460.5</v>
      </c>
    </row>
    <row r="44" spans="1:49">
      <c r="E44" s="137" t="str">
        <f>E$135</f>
        <v>Repayment of arrears owed</v>
      </c>
      <c r="F44" s="136"/>
      <c r="G44" s="137" t="str">
        <f t="shared" ref="G44:AW44" si="18">G$135</f>
        <v>USD</v>
      </c>
      <c r="H44" s="136"/>
      <c r="I44" s="136">
        <f t="shared" si="18"/>
        <v>0</v>
      </c>
      <c r="J44" s="24">
        <f t="shared" si="18"/>
        <v>0</v>
      </c>
      <c r="K44" s="24">
        <f t="shared" si="18"/>
        <v>0</v>
      </c>
      <c r="L44" s="24">
        <f t="shared" si="18"/>
        <v>0</v>
      </c>
      <c r="M44" s="24">
        <f t="shared" si="18"/>
        <v>0</v>
      </c>
      <c r="N44" s="24">
        <f t="shared" si="18"/>
        <v>0</v>
      </c>
      <c r="O44" s="24">
        <f t="shared" si="18"/>
        <v>0</v>
      </c>
      <c r="P44" s="24">
        <f t="shared" si="18"/>
        <v>0</v>
      </c>
      <c r="Q44" s="24">
        <f t="shared" si="18"/>
        <v>0</v>
      </c>
      <c r="R44" s="24">
        <f t="shared" si="18"/>
        <v>0</v>
      </c>
      <c r="S44" s="24">
        <f t="shared" si="18"/>
        <v>0</v>
      </c>
      <c r="T44" s="24">
        <f t="shared" si="18"/>
        <v>0</v>
      </c>
      <c r="U44" s="24">
        <f t="shared" si="18"/>
        <v>0</v>
      </c>
      <c r="V44" s="24">
        <f t="shared" si="18"/>
        <v>0</v>
      </c>
      <c r="W44" s="24">
        <f t="shared" si="18"/>
        <v>0</v>
      </c>
      <c r="X44" s="24">
        <f t="shared" si="18"/>
        <v>0</v>
      </c>
      <c r="Y44" s="24">
        <f t="shared" si="18"/>
        <v>0</v>
      </c>
      <c r="Z44" s="24">
        <f t="shared" si="18"/>
        <v>0</v>
      </c>
      <c r="AA44" s="24">
        <f t="shared" si="18"/>
        <v>0</v>
      </c>
      <c r="AB44" s="24">
        <f t="shared" si="18"/>
        <v>0</v>
      </c>
      <c r="AC44" s="24">
        <f t="shared" si="18"/>
        <v>0</v>
      </c>
      <c r="AD44" s="24">
        <f t="shared" si="18"/>
        <v>0</v>
      </c>
      <c r="AE44" s="24">
        <f t="shared" si="18"/>
        <v>0</v>
      </c>
      <c r="AF44" s="24">
        <f t="shared" si="18"/>
        <v>0</v>
      </c>
      <c r="AG44" s="24">
        <f t="shared" si="18"/>
        <v>0</v>
      </c>
      <c r="AH44" s="24">
        <f t="shared" si="18"/>
        <v>0</v>
      </c>
      <c r="AI44" s="24">
        <f t="shared" si="18"/>
        <v>0</v>
      </c>
      <c r="AJ44" s="24">
        <f t="shared" si="18"/>
        <v>0</v>
      </c>
      <c r="AK44" s="24">
        <f t="shared" si="18"/>
        <v>0</v>
      </c>
      <c r="AL44" s="24">
        <f t="shared" si="18"/>
        <v>0</v>
      </c>
      <c r="AM44" s="24">
        <f t="shared" si="18"/>
        <v>0</v>
      </c>
      <c r="AN44" s="24">
        <f t="shared" si="18"/>
        <v>0</v>
      </c>
      <c r="AO44" s="24">
        <f t="shared" si="18"/>
        <v>0</v>
      </c>
      <c r="AP44" s="24">
        <f t="shared" si="18"/>
        <v>0</v>
      </c>
      <c r="AQ44" s="24">
        <f t="shared" si="18"/>
        <v>0</v>
      </c>
      <c r="AR44" s="24">
        <f t="shared" si="18"/>
        <v>0</v>
      </c>
      <c r="AS44" s="24">
        <f t="shared" si="18"/>
        <v>0</v>
      </c>
      <c r="AT44" s="24">
        <f t="shared" si="18"/>
        <v>0</v>
      </c>
      <c r="AU44" s="24">
        <f t="shared" si="18"/>
        <v>0</v>
      </c>
      <c r="AV44" s="24">
        <f t="shared" si="18"/>
        <v>0</v>
      </c>
      <c r="AW44" s="24">
        <f t="shared" si="18"/>
        <v>0</v>
      </c>
    </row>
    <row r="45" spans="1:49">
      <c r="E45" s="83" t="s">
        <v>142</v>
      </c>
      <c r="F45" s="84"/>
      <c r="G45" s="83" t="s">
        <v>128</v>
      </c>
      <c r="H45" s="84"/>
      <c r="I45" s="84"/>
      <c r="J45" s="110">
        <f>SUM(J42:J44)</f>
        <v>277312.07093768974</v>
      </c>
      <c r="K45" s="110">
        <f t="shared" ref="K45:AW45" si="19">SUM(K42:K44)</f>
        <v>266275.07093768974</v>
      </c>
      <c r="L45" s="110">
        <f t="shared" si="19"/>
        <v>256790.57093768974</v>
      </c>
      <c r="M45" s="110">
        <f t="shared" si="19"/>
        <v>253537.07093768968</v>
      </c>
      <c r="N45" s="110">
        <f t="shared" si="19"/>
        <v>255029.57093768974</v>
      </c>
      <c r="O45" s="110">
        <f t="shared" si="19"/>
        <v>233441.5709376898</v>
      </c>
      <c r="P45" s="110">
        <f t="shared" si="19"/>
        <v>232570.07093768974</v>
      </c>
      <c r="Q45" s="110">
        <f t="shared" si="19"/>
        <v>225817.07093768974</v>
      </c>
      <c r="R45" s="110">
        <f t="shared" si="19"/>
        <v>273577.07093768974</v>
      </c>
      <c r="S45" s="110">
        <f t="shared" si="19"/>
        <v>221665.0709376898</v>
      </c>
      <c r="T45" s="110">
        <f t="shared" si="19"/>
        <v>237341.5709376898</v>
      </c>
      <c r="U45" s="110">
        <f t="shared" si="19"/>
        <v>224176.07093768968</v>
      </c>
      <c r="V45" s="110">
        <f t="shared" si="19"/>
        <v>221668.07093768974</v>
      </c>
      <c r="W45" s="110">
        <f t="shared" si="19"/>
        <v>265892.5709376898</v>
      </c>
      <c r="X45" s="110">
        <f t="shared" si="19"/>
        <v>270128.5709376898</v>
      </c>
      <c r="Y45" s="110">
        <f t="shared" si="19"/>
        <v>286141.07093768974</v>
      </c>
      <c r="Z45" s="110">
        <f t="shared" si="19"/>
        <v>248660.57093768974</v>
      </c>
      <c r="AA45" s="110">
        <f t="shared" si="19"/>
        <v>274019.57093768968</v>
      </c>
      <c r="AB45" s="110">
        <f t="shared" si="19"/>
        <v>289190.57093768974</v>
      </c>
      <c r="AC45" s="110">
        <f t="shared" si="19"/>
        <v>307141.07093768974</v>
      </c>
      <c r="AD45" s="110">
        <f t="shared" si="19"/>
        <v>337084.07093768963</v>
      </c>
      <c r="AE45" s="110">
        <f t="shared" si="19"/>
        <v>298219.07093768974</v>
      </c>
      <c r="AF45" s="110">
        <f t="shared" si="19"/>
        <v>327944.57093768974</v>
      </c>
      <c r="AG45" s="110">
        <f t="shared" si="19"/>
        <v>305777.57093768974</v>
      </c>
      <c r="AH45" s="110">
        <f t="shared" si="19"/>
        <v>307423.07093768974</v>
      </c>
      <c r="AI45" s="110">
        <f t="shared" si="19"/>
        <v>317746.07093768963</v>
      </c>
      <c r="AJ45" s="110">
        <f t="shared" si="19"/>
        <v>366041.57093768986</v>
      </c>
      <c r="AK45" s="110">
        <f t="shared" si="19"/>
        <v>317894.57093768974</v>
      </c>
      <c r="AL45" s="110">
        <f t="shared" si="19"/>
        <v>303346.07093768974</v>
      </c>
      <c r="AM45" s="110">
        <f t="shared" si="19"/>
        <v>330184.07093768963</v>
      </c>
      <c r="AN45" s="110">
        <f t="shared" si="19"/>
        <v>391714.07093768986</v>
      </c>
      <c r="AO45" s="110">
        <f t="shared" si="19"/>
        <v>1133752.0709376903</v>
      </c>
      <c r="AP45" s="110">
        <f t="shared" si="19"/>
        <v>885844.5</v>
      </c>
      <c r="AQ45" s="110">
        <f t="shared" si="19"/>
        <v>871879.5</v>
      </c>
      <c r="AR45" s="110">
        <f t="shared" si="19"/>
        <v>908016</v>
      </c>
      <c r="AS45" s="110">
        <f t="shared" si="19"/>
        <v>928189.5</v>
      </c>
      <c r="AT45" s="110">
        <f t="shared" si="19"/>
        <v>921522</v>
      </c>
      <c r="AU45" s="110">
        <f t="shared" si="19"/>
        <v>913092</v>
      </c>
      <c r="AV45" s="110">
        <f t="shared" si="19"/>
        <v>932863.5</v>
      </c>
      <c r="AW45" s="110">
        <f t="shared" si="19"/>
        <v>933460.5</v>
      </c>
    </row>
    <row r="48" spans="1:49" s="95" customFormat="1">
      <c r="A48" s="94" t="s">
        <v>144</v>
      </c>
      <c r="E48" s="96"/>
      <c r="G48" s="96"/>
    </row>
    <row r="50" spans="1:49">
      <c r="E50" s="82" t="str">
        <f>CaseData!C$9</f>
        <v xml:space="preserve">Mortgage DSCR Lock up trigger </v>
      </c>
      <c r="F50" s="98">
        <f>CaseData!H$9</f>
        <v>1.7</v>
      </c>
      <c r="G50" s="82" t="s">
        <v>145</v>
      </c>
      <c r="H50" s="82"/>
      <c r="I50" s="82"/>
      <c r="K50" s="82"/>
    </row>
    <row r="52" spans="1:49">
      <c r="E52" s="82" t="s">
        <v>130</v>
      </c>
      <c r="G52" s="82" t="s">
        <v>128</v>
      </c>
      <c r="J52" s="120">
        <f xml:space="preserve"> SUM($J23:J23)</f>
        <v>1019082</v>
      </c>
      <c r="K52" s="120">
        <f xml:space="preserve"> SUM($J23:K23)</f>
        <v>2027127</v>
      </c>
      <c r="L52" s="120">
        <f xml:space="preserve"> SUM($J23:L23)</f>
        <v>3025687.5</v>
      </c>
      <c r="M52" s="120">
        <f xml:space="preserve"> SUM($J23:M23)</f>
        <v>4020994.5</v>
      </c>
      <c r="N52" s="24">
        <f t="shared" ref="N52:AW52" si="20">SUM( K23:N23)</f>
        <v>3998712</v>
      </c>
      <c r="O52" s="24">
        <f t="shared" si="20"/>
        <v>3965878.5</v>
      </c>
      <c r="P52" s="24">
        <f t="shared" si="20"/>
        <v>3941658</v>
      </c>
      <c r="Q52" s="24">
        <f t="shared" si="20"/>
        <v>3913938</v>
      </c>
      <c r="R52" s="24">
        <f t="shared" si="20"/>
        <v>3932485.5</v>
      </c>
      <c r="S52" s="24">
        <f t="shared" si="20"/>
        <v>3920709</v>
      </c>
      <c r="T52" s="24">
        <f t="shared" si="20"/>
        <v>3925480.5</v>
      </c>
      <c r="U52" s="24">
        <f t="shared" si="20"/>
        <v>3923839.5</v>
      </c>
      <c r="V52" s="24">
        <f t="shared" si="20"/>
        <v>3871930.5</v>
      </c>
      <c r="W52" s="24">
        <f t="shared" si="20"/>
        <v>3916158</v>
      </c>
      <c r="X52" s="24">
        <f t="shared" si="20"/>
        <v>3948945</v>
      </c>
      <c r="Y52" s="24">
        <f t="shared" si="20"/>
        <v>4010910</v>
      </c>
      <c r="Z52" s="24">
        <f t="shared" si="20"/>
        <v>4037902.5</v>
      </c>
      <c r="AA52" s="24">
        <f t="shared" si="20"/>
        <v>4046029.5</v>
      </c>
      <c r="AB52" s="24">
        <f t="shared" si="20"/>
        <v>4065091.5</v>
      </c>
      <c r="AC52" s="24">
        <f t="shared" si="20"/>
        <v>4086091.5</v>
      </c>
      <c r="AD52" s="24">
        <f t="shared" si="20"/>
        <v>4174515</v>
      </c>
      <c r="AE52" s="24">
        <f t="shared" si="20"/>
        <v>4198714.5</v>
      </c>
      <c r="AF52" s="24">
        <f t="shared" si="20"/>
        <v>4237468.5</v>
      </c>
      <c r="AG52" s="24">
        <f t="shared" si="20"/>
        <v>4236105</v>
      </c>
      <c r="AH52" s="24">
        <f t="shared" si="20"/>
        <v>4206444</v>
      </c>
      <c r="AI52" s="24">
        <f t="shared" si="20"/>
        <v>4225971</v>
      </c>
      <c r="AJ52" s="24">
        <f t="shared" si="20"/>
        <v>4264068</v>
      </c>
      <c r="AK52" s="24">
        <f t="shared" si="20"/>
        <v>4276185</v>
      </c>
      <c r="AL52" s="24">
        <f t="shared" si="20"/>
        <v>4272108</v>
      </c>
      <c r="AM52" s="24">
        <f t="shared" si="20"/>
        <v>4284546</v>
      </c>
      <c r="AN52" s="24">
        <f t="shared" si="20"/>
        <v>4310218.5</v>
      </c>
      <c r="AO52" s="24">
        <f t="shared" si="20"/>
        <v>4376076</v>
      </c>
      <c r="AP52" s="24">
        <f t="shared" si="20"/>
        <v>4441804.5</v>
      </c>
      <c r="AQ52" s="24">
        <f t="shared" si="20"/>
        <v>4466730</v>
      </c>
      <c r="AR52" s="24">
        <f t="shared" si="20"/>
        <v>4466262</v>
      </c>
      <c r="AS52" s="24">
        <f t="shared" si="20"/>
        <v>4493929.5</v>
      </c>
      <c r="AT52" s="24">
        <f t="shared" si="20"/>
        <v>4529607</v>
      </c>
      <c r="AU52" s="24">
        <f t="shared" si="20"/>
        <v>4570819.5</v>
      </c>
      <c r="AV52" s="24">
        <f t="shared" si="20"/>
        <v>4595667</v>
      </c>
      <c r="AW52" s="24">
        <f t="shared" si="20"/>
        <v>4600938</v>
      </c>
    </row>
    <row r="53" spans="1:49" s="113" customFormat="1">
      <c r="A53" s="112"/>
      <c r="E53" s="114" t="str">
        <f>E$79</f>
        <v>Debt Service Reserve Account interest income</v>
      </c>
      <c r="G53" s="114" t="str">
        <f t="shared" ref="G53:I53" si="21">G$79</f>
        <v>USD</v>
      </c>
      <c r="H53" s="113">
        <f t="shared" si="21"/>
        <v>60000</v>
      </c>
      <c r="I53" s="113">
        <f t="shared" si="21"/>
        <v>0</v>
      </c>
      <c r="J53" s="113">
        <f>SUM( $J79:J79 )</f>
        <v>1875</v>
      </c>
      <c r="K53" s="113">
        <f>SUM( $J79:K79 )</f>
        <v>3750</v>
      </c>
      <c r="L53" s="113">
        <f>SUM( $J79:L79 )</f>
        <v>5625</v>
      </c>
      <c r="M53" s="113">
        <f>SUM( $J79:M79 )</f>
        <v>7500</v>
      </c>
      <c r="N53" s="120">
        <f>SUM( K79:N79)</f>
        <v>7500</v>
      </c>
      <c r="O53" s="120">
        <f t="shared" ref="O53:AW53" si="22">SUM( L79:O79)</f>
        <v>7500</v>
      </c>
      <c r="P53" s="120">
        <f t="shared" si="22"/>
        <v>7500</v>
      </c>
      <c r="Q53" s="120">
        <f t="shared" si="22"/>
        <v>7500</v>
      </c>
      <c r="R53" s="113">
        <f t="shared" si="22"/>
        <v>7500</v>
      </c>
      <c r="S53" s="113">
        <f t="shared" si="22"/>
        <v>7500</v>
      </c>
      <c r="T53" s="113">
        <f t="shared" si="22"/>
        <v>7500</v>
      </c>
      <c r="U53" s="113">
        <f t="shared" si="22"/>
        <v>7500</v>
      </c>
      <c r="V53" s="113">
        <f t="shared" si="22"/>
        <v>7500</v>
      </c>
      <c r="W53" s="113">
        <f t="shared" si="22"/>
        <v>7500</v>
      </c>
      <c r="X53" s="113">
        <f t="shared" si="22"/>
        <v>7500</v>
      </c>
      <c r="Y53" s="113">
        <f t="shared" si="22"/>
        <v>7500</v>
      </c>
      <c r="Z53" s="113">
        <f t="shared" si="22"/>
        <v>7500</v>
      </c>
      <c r="AA53" s="113">
        <f t="shared" si="22"/>
        <v>7500</v>
      </c>
      <c r="AB53" s="113">
        <f t="shared" si="22"/>
        <v>7500</v>
      </c>
      <c r="AC53" s="113">
        <f t="shared" si="22"/>
        <v>7500</v>
      </c>
      <c r="AD53" s="113">
        <f t="shared" si="22"/>
        <v>7500</v>
      </c>
      <c r="AE53" s="113">
        <f t="shared" si="22"/>
        <v>7500</v>
      </c>
      <c r="AF53" s="113">
        <f t="shared" si="22"/>
        <v>7500</v>
      </c>
      <c r="AG53" s="113">
        <f t="shared" si="22"/>
        <v>7500</v>
      </c>
      <c r="AH53" s="113">
        <f t="shared" si="22"/>
        <v>7500</v>
      </c>
      <c r="AI53" s="113">
        <f t="shared" si="22"/>
        <v>7500</v>
      </c>
      <c r="AJ53" s="113">
        <f t="shared" si="22"/>
        <v>7500</v>
      </c>
      <c r="AK53" s="113">
        <f t="shared" si="22"/>
        <v>7500</v>
      </c>
      <c r="AL53" s="113">
        <f t="shared" si="22"/>
        <v>7500</v>
      </c>
      <c r="AM53" s="113">
        <f t="shared" si="22"/>
        <v>7500</v>
      </c>
      <c r="AN53" s="113">
        <f t="shared" si="22"/>
        <v>7500</v>
      </c>
      <c r="AO53" s="113">
        <f t="shared" si="22"/>
        <v>7500</v>
      </c>
      <c r="AP53" s="113">
        <f t="shared" si="22"/>
        <v>5625</v>
      </c>
      <c r="AQ53" s="113">
        <f t="shared" si="22"/>
        <v>3750</v>
      </c>
      <c r="AR53" s="113">
        <f t="shared" si="22"/>
        <v>1875</v>
      </c>
      <c r="AS53" s="113">
        <f t="shared" si="22"/>
        <v>0</v>
      </c>
      <c r="AT53" s="113">
        <f t="shared" si="22"/>
        <v>0</v>
      </c>
      <c r="AU53" s="113">
        <f t="shared" si="22"/>
        <v>0</v>
      </c>
      <c r="AV53" s="113">
        <f t="shared" si="22"/>
        <v>0</v>
      </c>
      <c r="AW53" s="113">
        <f t="shared" si="22"/>
        <v>0</v>
      </c>
    </row>
    <row r="54" spans="1:49">
      <c r="E54" s="114" t="str">
        <f>E$93</f>
        <v>Mortagage interest expenses</v>
      </c>
      <c r="F54" s="113">
        <f t="shared" ref="F54:I54" si="23">F$93</f>
        <v>0</v>
      </c>
      <c r="G54" s="114" t="str">
        <f t="shared" si="23"/>
        <v>USD</v>
      </c>
      <c r="H54" s="113">
        <f t="shared" si="23"/>
        <v>1596637.7299939292</v>
      </c>
      <c r="I54" s="113">
        <f t="shared" si="23"/>
        <v>0</v>
      </c>
      <c r="J54" s="113">
        <f xml:space="preserve"> SUM( $J93:J93 )</f>
        <v>93750</v>
      </c>
      <c r="K54" s="113">
        <f xml:space="preserve"> SUM( $J93:K93 )</f>
        <v>184844.40669336056</v>
      </c>
      <c r="L54" s="113">
        <f xml:space="preserve"> SUM( $J93:L93 )</f>
        <v>273266.62262191519</v>
      </c>
      <c r="M54" s="113">
        <f xml:space="preserve"> SUM( $J93:M93 )</f>
        <v>358999.94659338385</v>
      </c>
      <c r="N54" s="113">
        <f>SUM( K93:N93)</f>
        <v>348277.57303303474</v>
      </c>
      <c r="O54" s="113">
        <f t="shared" ref="O54:AW54" si="24">SUM( L93:O93)</f>
        <v>337488.1846379335</v>
      </c>
      <c r="P54" s="113">
        <f t="shared" si="24"/>
        <v>326631.36256536283</v>
      </c>
      <c r="Q54" s="113">
        <f t="shared" si="24"/>
        <v>315706.68535483861</v>
      </c>
      <c r="R54" s="113">
        <f t="shared" si="24"/>
        <v>304713.72891174856</v>
      </c>
      <c r="S54" s="113">
        <f t="shared" si="24"/>
        <v>293652.06649088924</v>
      </c>
      <c r="T54" s="113">
        <f t="shared" si="24"/>
        <v>282521.26867989951</v>
      </c>
      <c r="U54" s="113">
        <f t="shared" si="24"/>
        <v>271320.90338259109</v>
      </c>
      <c r="V54" s="113">
        <f t="shared" si="24"/>
        <v>260050.53580217456</v>
      </c>
      <c r="W54" s="113">
        <f t="shared" si="24"/>
        <v>248709.72842438036</v>
      </c>
      <c r="X54" s="113">
        <f t="shared" si="24"/>
        <v>237298.04100047497</v>
      </c>
      <c r="Y54" s="113">
        <f t="shared" si="24"/>
        <v>225815.03053017019</v>
      </c>
      <c r="Z54" s="113">
        <f t="shared" si="24"/>
        <v>214260.25124442601</v>
      </c>
      <c r="AA54" s="113">
        <f t="shared" si="24"/>
        <v>202633.25458814588</v>
      </c>
      <c r="AB54" s="113">
        <f t="shared" si="24"/>
        <v>190933.58920276407</v>
      </c>
      <c r="AC54" s="113">
        <f t="shared" si="24"/>
        <v>179160.80090872358</v>
      </c>
      <c r="AD54" s="113">
        <f t="shared" si="24"/>
        <v>167314.43268784531</v>
      </c>
      <c r="AE54" s="113">
        <f t="shared" si="24"/>
        <v>155394.02466558662</v>
      </c>
      <c r="AF54" s="113">
        <f t="shared" si="24"/>
        <v>143399.11409318875</v>
      </c>
      <c r="AG54" s="113">
        <f t="shared" si="24"/>
        <v>131329.23532971344</v>
      </c>
      <c r="AH54" s="113">
        <f t="shared" si="24"/>
        <v>119183.91982396638</v>
      </c>
      <c r="AI54" s="113">
        <f t="shared" si="24"/>
        <v>106962.69609630843</v>
      </c>
      <c r="AJ54" s="113">
        <f t="shared" si="24"/>
        <v>94665.089720352596</v>
      </c>
      <c r="AK54" s="113">
        <f t="shared" si="24"/>
        <v>82290.623304547044</v>
      </c>
      <c r="AL54" s="113">
        <f t="shared" si="24"/>
        <v>69838.816473642699</v>
      </c>
      <c r="AM54" s="113">
        <f t="shared" si="24"/>
        <v>57309.185850045207</v>
      </c>
      <c r="AN54" s="113">
        <f t="shared" si="24"/>
        <v>44701.245035050233</v>
      </c>
      <c r="AO54" s="113">
        <f t="shared" si="24"/>
        <v>32014.50458996154</v>
      </c>
      <c r="AP54" s="113">
        <f t="shared" si="24"/>
        <v>19248.472017091048</v>
      </c>
      <c r="AQ54" s="113">
        <f t="shared" si="24"/>
        <v>9644.1825472795535</v>
      </c>
      <c r="AR54" s="113">
        <f t="shared" si="24"/>
        <v>3221.3970749211771</v>
      </c>
      <c r="AS54" s="113">
        <f t="shared" si="24"/>
        <v>0</v>
      </c>
      <c r="AT54" s="113">
        <f t="shared" si="24"/>
        <v>0</v>
      </c>
      <c r="AU54" s="113">
        <f t="shared" si="24"/>
        <v>0</v>
      </c>
      <c r="AV54" s="113">
        <f t="shared" si="24"/>
        <v>0</v>
      </c>
      <c r="AW54" s="113">
        <f t="shared" si="24"/>
        <v>0</v>
      </c>
    </row>
    <row r="55" spans="1:49" s="113" customFormat="1">
      <c r="A55" s="112"/>
      <c r="E55" s="119" t="str">
        <f>E$99</f>
        <v>Mortage principal payment</v>
      </c>
      <c r="F55" s="118">
        <f t="shared" ref="F55:I55" si="25">F$99</f>
        <v>0</v>
      </c>
      <c r="G55" s="119" t="str">
        <f t="shared" si="25"/>
        <v>USD</v>
      </c>
      <c r="H55" s="113">
        <f t="shared" si="25"/>
        <v>14999999.999999996</v>
      </c>
      <c r="I55" s="113">
        <f t="shared" si="25"/>
        <v>0</v>
      </c>
      <c r="J55" s="113">
        <f xml:space="preserve"> SUM( $J99:J99)</f>
        <v>424894.92906231026</v>
      </c>
      <c r="K55" s="113">
        <f xml:space="preserve"> SUM( $J99:K99)</f>
        <v>852445.45143125998</v>
      </c>
      <c r="L55" s="113">
        <f xml:space="preserve"> SUM( $J99:L99)</f>
        <v>1282668.1645650156</v>
      </c>
      <c r="M55" s="113">
        <f xml:space="preserve"> SUM( $J99:M99)</f>
        <v>1715579.7696558572</v>
      </c>
      <c r="N55" s="113">
        <f>SUM( K99:N99)</f>
        <v>1726302.1432162062</v>
      </c>
      <c r="O55" s="113">
        <f t="shared" ref="O55:AW55" si="26">SUM( L99:O99)</f>
        <v>1737091.5316113075</v>
      </c>
      <c r="P55" s="113">
        <f t="shared" si="26"/>
        <v>1747948.3536838782</v>
      </c>
      <c r="Q55" s="113">
        <f t="shared" si="26"/>
        <v>1758873.0308944024</v>
      </c>
      <c r="R55" s="113">
        <f t="shared" si="26"/>
        <v>1769865.9873374924</v>
      </c>
      <c r="S55" s="113">
        <f t="shared" si="26"/>
        <v>1780927.6497583517</v>
      </c>
      <c r="T55" s="113">
        <f t="shared" si="26"/>
        <v>1792058.4475693414</v>
      </c>
      <c r="U55" s="113">
        <f t="shared" si="26"/>
        <v>1803258.8128666498</v>
      </c>
      <c r="V55" s="113">
        <f t="shared" si="26"/>
        <v>1814529.1804470664</v>
      </c>
      <c r="W55" s="113">
        <f t="shared" si="26"/>
        <v>1825869.9878248607</v>
      </c>
      <c r="X55" s="113">
        <f t="shared" si="26"/>
        <v>1837281.6752487661</v>
      </c>
      <c r="Y55" s="113">
        <f t="shared" si="26"/>
        <v>1848764.685719071</v>
      </c>
      <c r="Z55" s="113">
        <f t="shared" si="26"/>
        <v>1860319.4650048148</v>
      </c>
      <c r="AA55" s="113">
        <f t="shared" si="26"/>
        <v>1871946.4616610953</v>
      </c>
      <c r="AB55" s="113">
        <f t="shared" si="26"/>
        <v>1883646.127046477</v>
      </c>
      <c r="AC55" s="113">
        <f t="shared" si="26"/>
        <v>1895418.9153405174</v>
      </c>
      <c r="AD55" s="113">
        <f t="shared" si="26"/>
        <v>1907265.2835613957</v>
      </c>
      <c r="AE55" s="113">
        <f t="shared" si="26"/>
        <v>1919185.6915836544</v>
      </c>
      <c r="AF55" s="113">
        <f t="shared" si="26"/>
        <v>1931180.6021560521</v>
      </c>
      <c r="AG55" s="113">
        <f t="shared" si="26"/>
        <v>1943250.4809195278</v>
      </c>
      <c r="AH55" s="113">
        <f t="shared" si="26"/>
        <v>1955395.7964252746</v>
      </c>
      <c r="AI55" s="113">
        <f t="shared" si="26"/>
        <v>1967617.0201529327</v>
      </c>
      <c r="AJ55" s="113">
        <f t="shared" si="26"/>
        <v>1979914.6265288885</v>
      </c>
      <c r="AK55" s="113">
        <f t="shared" si="26"/>
        <v>1992289.0929446938</v>
      </c>
      <c r="AL55" s="113">
        <f t="shared" si="26"/>
        <v>2004740.8997755984</v>
      </c>
      <c r="AM55" s="113">
        <f t="shared" si="26"/>
        <v>2017270.5303991958</v>
      </c>
      <c r="AN55" s="113">
        <f t="shared" si="26"/>
        <v>2029878.4712141908</v>
      </c>
      <c r="AO55" s="113">
        <f t="shared" si="26"/>
        <v>2042565.2116592787</v>
      </c>
      <c r="AP55" s="113">
        <f t="shared" si="26"/>
        <v>1536686.315169839</v>
      </c>
      <c r="AQ55" s="113">
        <f t="shared" si="26"/>
        <v>1027645.6755773402</v>
      </c>
      <c r="AR55" s="113">
        <f t="shared" si="26"/>
        <v>515423.53198738833</v>
      </c>
      <c r="AS55" s="113">
        <f t="shared" si="26"/>
        <v>0</v>
      </c>
      <c r="AT55" s="113">
        <f t="shared" si="26"/>
        <v>0</v>
      </c>
      <c r="AU55" s="113">
        <f t="shared" si="26"/>
        <v>0</v>
      </c>
      <c r="AV55" s="113">
        <f t="shared" si="26"/>
        <v>0</v>
      </c>
      <c r="AW55" s="113">
        <f t="shared" si="26"/>
        <v>0</v>
      </c>
    </row>
    <row r="57" spans="1:49">
      <c r="E57" s="82" t="s">
        <v>146</v>
      </c>
      <c r="G57" s="82" t="s">
        <v>147</v>
      </c>
      <c r="J57" s="115">
        <f xml:space="preserve"> IFERROR( SUM( J52, J53 ) / SUM( J54, J55 ), "n/a" )</f>
        <v>1.9685085938193791</v>
      </c>
      <c r="K57" s="115">
        <f t="shared" ref="K57:AW57" si="27" xml:space="preserve"> IFERROR( SUM( K52, K53 ) / SUM( K54, K55 ), "n/a" )</f>
        <v>1.9578683663906116</v>
      </c>
      <c r="L57" s="115">
        <f t="shared" si="27"/>
        <v>1.9482259314225465</v>
      </c>
      <c r="M57" s="115">
        <f t="shared" si="27"/>
        <v>1.9418364444839751</v>
      </c>
      <c r="N57" s="115">
        <f t="shared" si="27"/>
        <v>1.9310957147711223</v>
      </c>
      <c r="O57" s="115">
        <f t="shared" si="27"/>
        <v>1.9152691356607463</v>
      </c>
      <c r="P57" s="115">
        <f t="shared" si="27"/>
        <v>1.9035942408325111</v>
      </c>
      <c r="Q57" s="115">
        <f t="shared" si="27"/>
        <v>1.8902324983152763</v>
      </c>
      <c r="R57" s="115">
        <f t="shared" si="27"/>
        <v>1.8991728633707745</v>
      </c>
      <c r="S57" s="115">
        <f t="shared" si="27"/>
        <v>1.8934962919149949</v>
      </c>
      <c r="T57" s="115">
        <f t="shared" si="27"/>
        <v>1.8957962758407159</v>
      </c>
      <c r="U57" s="115">
        <f t="shared" si="27"/>
        <v>1.8950052722523036</v>
      </c>
      <c r="V57" s="115">
        <f t="shared" si="27"/>
        <v>1.869983818705149</v>
      </c>
      <c r="W57" s="115">
        <f t="shared" si="27"/>
        <v>1.8913025945774791</v>
      </c>
      <c r="X57" s="115">
        <f t="shared" si="27"/>
        <v>1.90710675950939</v>
      </c>
      <c r="Y57" s="115">
        <f t="shared" si="27"/>
        <v>1.9369754599091173</v>
      </c>
      <c r="Z57" s="115">
        <f t="shared" si="27"/>
        <v>1.9499865289890763</v>
      </c>
      <c r="AA57" s="115">
        <f t="shared" si="27"/>
        <v>1.9539039489543564</v>
      </c>
      <c r="AB57" s="115">
        <f t="shared" si="27"/>
        <v>1.9630923160490001</v>
      </c>
      <c r="AC57" s="115">
        <f t="shared" si="27"/>
        <v>1.9732148482590264</v>
      </c>
      <c r="AD57" s="115">
        <f t="shared" si="27"/>
        <v>2.0158372162053717</v>
      </c>
      <c r="AE57" s="115">
        <f t="shared" si="27"/>
        <v>2.0275019885013967</v>
      </c>
      <c r="AF57" s="115">
        <f t="shared" si="27"/>
        <v>2.0461823986569856</v>
      </c>
      <c r="AG57" s="115">
        <f t="shared" si="27"/>
        <v>2.0455251571013484</v>
      </c>
      <c r="AH57" s="115">
        <f t="shared" si="27"/>
        <v>2.0312278033927016</v>
      </c>
      <c r="AI57" s="115">
        <f t="shared" si="27"/>
        <v>2.0406403122719956</v>
      </c>
      <c r="AJ57" s="115">
        <f t="shared" si="27"/>
        <v>2.0590040317770137</v>
      </c>
      <c r="AK57" s="115">
        <f t="shared" si="27"/>
        <v>2.0648447328621988</v>
      </c>
      <c r="AL57" s="115">
        <f t="shared" si="27"/>
        <v>2.0628795155374235</v>
      </c>
      <c r="AM57" s="115">
        <f t="shared" si="27"/>
        <v>2.0688749467578189</v>
      </c>
      <c r="AN57" s="115">
        <f t="shared" si="27"/>
        <v>2.0812497423845762</v>
      </c>
      <c r="AO57" s="115">
        <f t="shared" si="27"/>
        <v>2.112994726433234</v>
      </c>
      <c r="AP57" s="115">
        <f t="shared" si="27"/>
        <v>2.8583649755917988</v>
      </c>
      <c r="AQ57" s="115">
        <f t="shared" si="27"/>
        <v>4.3097693137407669</v>
      </c>
      <c r="AR57" s="115">
        <f t="shared" si="27"/>
        <v>8.615021085963809</v>
      </c>
      <c r="AS57" s="115" t="str">
        <f t="shared" si="27"/>
        <v>n/a</v>
      </c>
      <c r="AT57" s="115" t="str">
        <f t="shared" si="27"/>
        <v>n/a</v>
      </c>
      <c r="AU57" s="115" t="str">
        <f t="shared" si="27"/>
        <v>n/a</v>
      </c>
      <c r="AV57" s="115" t="str">
        <f t="shared" si="27"/>
        <v>n/a</v>
      </c>
      <c r="AW57" s="115" t="str">
        <f t="shared" si="27"/>
        <v>n/a</v>
      </c>
    </row>
    <row r="58" spans="1:49">
      <c r="E58" s="82" t="s">
        <v>148</v>
      </c>
      <c r="G58" s="82" t="s">
        <v>123</v>
      </c>
      <c r="J58" s="24">
        <f t="shared" ref="J58:AW58" si="28" xml:space="preserve"> IF( ( J$86 &gt; 0 ) * ( $F$50 &gt; J$57 ), 1, 0 )</f>
        <v>0</v>
      </c>
      <c r="K58" s="24">
        <f t="shared" si="28"/>
        <v>0</v>
      </c>
      <c r="L58" s="24">
        <f t="shared" si="28"/>
        <v>0</v>
      </c>
      <c r="M58" s="24">
        <f t="shared" si="28"/>
        <v>0</v>
      </c>
      <c r="N58" s="24">
        <f t="shared" si="28"/>
        <v>0</v>
      </c>
      <c r="O58" s="24">
        <f t="shared" si="28"/>
        <v>0</v>
      </c>
      <c r="P58" s="24">
        <f t="shared" si="28"/>
        <v>0</v>
      </c>
      <c r="Q58" s="24">
        <f t="shared" si="28"/>
        <v>0</v>
      </c>
      <c r="R58" s="24">
        <f t="shared" si="28"/>
        <v>0</v>
      </c>
      <c r="S58" s="24">
        <f t="shared" si="28"/>
        <v>0</v>
      </c>
      <c r="T58" s="24">
        <f t="shared" si="28"/>
        <v>0</v>
      </c>
      <c r="U58" s="24">
        <f t="shared" si="28"/>
        <v>0</v>
      </c>
      <c r="V58" s="24">
        <f t="shared" si="28"/>
        <v>0</v>
      </c>
      <c r="W58" s="24">
        <f t="shared" si="28"/>
        <v>0</v>
      </c>
      <c r="X58" s="24">
        <f t="shared" si="28"/>
        <v>0</v>
      </c>
      <c r="Y58" s="24">
        <f t="shared" si="28"/>
        <v>0</v>
      </c>
      <c r="Z58" s="24">
        <f t="shared" si="28"/>
        <v>0</v>
      </c>
      <c r="AA58" s="24">
        <f t="shared" si="28"/>
        <v>0</v>
      </c>
      <c r="AB58" s="24">
        <f t="shared" si="28"/>
        <v>0</v>
      </c>
      <c r="AC58" s="24">
        <f t="shared" si="28"/>
        <v>0</v>
      </c>
      <c r="AD58" s="24">
        <f t="shared" si="28"/>
        <v>0</v>
      </c>
      <c r="AE58" s="24">
        <f t="shared" si="28"/>
        <v>0</v>
      </c>
      <c r="AF58" s="24">
        <f t="shared" si="28"/>
        <v>0</v>
      </c>
      <c r="AG58" s="24">
        <f t="shared" si="28"/>
        <v>0</v>
      </c>
      <c r="AH58" s="24">
        <f t="shared" si="28"/>
        <v>0</v>
      </c>
      <c r="AI58" s="24">
        <f t="shared" si="28"/>
        <v>0</v>
      </c>
      <c r="AJ58" s="24">
        <f t="shared" si="28"/>
        <v>0</v>
      </c>
      <c r="AK58" s="24">
        <f t="shared" si="28"/>
        <v>0</v>
      </c>
      <c r="AL58" s="24">
        <f t="shared" si="28"/>
        <v>0</v>
      </c>
      <c r="AM58" s="24">
        <f t="shared" si="28"/>
        <v>0</v>
      </c>
      <c r="AN58" s="24">
        <f t="shared" si="28"/>
        <v>0</v>
      </c>
      <c r="AO58" s="24">
        <f t="shared" si="28"/>
        <v>0</v>
      </c>
      <c r="AP58" s="24">
        <f t="shared" si="28"/>
        <v>0</v>
      </c>
      <c r="AQ58" s="24">
        <f t="shared" si="28"/>
        <v>0</v>
      </c>
      <c r="AR58" s="24">
        <f t="shared" si="28"/>
        <v>0</v>
      </c>
      <c r="AS58" s="24">
        <f t="shared" si="28"/>
        <v>0</v>
      </c>
      <c r="AT58" s="24">
        <f t="shared" si="28"/>
        <v>0</v>
      </c>
      <c r="AU58" s="24">
        <f t="shared" si="28"/>
        <v>0</v>
      </c>
      <c r="AV58" s="24">
        <f t="shared" si="28"/>
        <v>0</v>
      </c>
      <c r="AW58" s="24">
        <f t="shared" si="28"/>
        <v>0</v>
      </c>
    </row>
    <row r="59" spans="1:49">
      <c r="E59" s="82" t="s">
        <v>149</v>
      </c>
      <c r="G59" s="82" t="s">
        <v>123</v>
      </c>
      <c r="J59" s="24">
        <f>MAX( I58:J58 )</f>
        <v>0</v>
      </c>
      <c r="K59" s="24">
        <f t="shared" ref="K59:AW59" si="29">MAX( J58:K58 )</f>
        <v>0</v>
      </c>
      <c r="L59" s="24">
        <f t="shared" si="29"/>
        <v>0</v>
      </c>
      <c r="M59" s="24">
        <f t="shared" si="29"/>
        <v>0</v>
      </c>
      <c r="N59" s="24">
        <f t="shared" si="29"/>
        <v>0</v>
      </c>
      <c r="O59" s="24">
        <f t="shared" si="29"/>
        <v>0</v>
      </c>
      <c r="P59" s="24">
        <f t="shared" si="29"/>
        <v>0</v>
      </c>
      <c r="Q59" s="24">
        <f t="shared" si="29"/>
        <v>0</v>
      </c>
      <c r="R59" s="24">
        <f t="shared" si="29"/>
        <v>0</v>
      </c>
      <c r="S59" s="24">
        <f t="shared" si="29"/>
        <v>0</v>
      </c>
      <c r="T59" s="24">
        <f t="shared" si="29"/>
        <v>0</v>
      </c>
      <c r="U59" s="24">
        <f t="shared" si="29"/>
        <v>0</v>
      </c>
      <c r="V59" s="24">
        <f t="shared" si="29"/>
        <v>0</v>
      </c>
      <c r="W59" s="24">
        <f t="shared" si="29"/>
        <v>0</v>
      </c>
      <c r="X59" s="24">
        <f t="shared" si="29"/>
        <v>0</v>
      </c>
      <c r="Y59" s="24">
        <f t="shared" si="29"/>
        <v>0</v>
      </c>
      <c r="Z59" s="24">
        <f t="shared" si="29"/>
        <v>0</v>
      </c>
      <c r="AA59" s="24">
        <f t="shared" si="29"/>
        <v>0</v>
      </c>
      <c r="AB59" s="24">
        <f t="shared" si="29"/>
        <v>0</v>
      </c>
      <c r="AC59" s="24">
        <f t="shared" si="29"/>
        <v>0</v>
      </c>
      <c r="AD59" s="24">
        <f t="shared" si="29"/>
        <v>0</v>
      </c>
      <c r="AE59" s="24">
        <f t="shared" si="29"/>
        <v>0</v>
      </c>
      <c r="AF59" s="24">
        <f t="shared" si="29"/>
        <v>0</v>
      </c>
      <c r="AG59" s="24">
        <f t="shared" si="29"/>
        <v>0</v>
      </c>
      <c r="AH59" s="24">
        <f t="shared" si="29"/>
        <v>0</v>
      </c>
      <c r="AI59" s="24">
        <f t="shared" si="29"/>
        <v>0</v>
      </c>
      <c r="AJ59" s="24">
        <f t="shared" si="29"/>
        <v>0</v>
      </c>
      <c r="AK59" s="24">
        <f t="shared" si="29"/>
        <v>0</v>
      </c>
      <c r="AL59" s="24">
        <f t="shared" si="29"/>
        <v>0</v>
      </c>
      <c r="AM59" s="24">
        <f t="shared" si="29"/>
        <v>0</v>
      </c>
      <c r="AN59" s="24">
        <f t="shared" si="29"/>
        <v>0</v>
      </c>
      <c r="AO59" s="24">
        <f t="shared" si="29"/>
        <v>0</v>
      </c>
      <c r="AP59" s="24">
        <f t="shared" si="29"/>
        <v>0</v>
      </c>
      <c r="AQ59" s="24">
        <f t="shared" si="29"/>
        <v>0</v>
      </c>
      <c r="AR59" s="24">
        <f t="shared" si="29"/>
        <v>0</v>
      </c>
      <c r="AS59" s="24">
        <f t="shared" si="29"/>
        <v>0</v>
      </c>
      <c r="AT59" s="24">
        <f t="shared" si="29"/>
        <v>0</v>
      </c>
      <c r="AU59" s="24">
        <f t="shared" si="29"/>
        <v>0</v>
      </c>
      <c r="AV59" s="24">
        <f t="shared" si="29"/>
        <v>0</v>
      </c>
      <c r="AW59" s="24">
        <f t="shared" si="29"/>
        <v>0</v>
      </c>
    </row>
    <row r="61" spans="1:49" s="95" customFormat="1">
      <c r="A61" s="94" t="s">
        <v>32</v>
      </c>
      <c r="E61" s="96"/>
      <c r="G61" s="96"/>
    </row>
    <row r="63" spans="1:49">
      <c r="E63" s="82" t="str">
        <f>CaseData!C$17</f>
        <v>Initial balance at project start (already funded)</v>
      </c>
      <c r="F63" s="99">
        <f>CaseData!H$17</f>
        <v>750000</v>
      </c>
      <c r="G63" s="82" t="s">
        <v>128</v>
      </c>
      <c r="H63" s="82"/>
      <c r="I63" s="82"/>
      <c r="K63" s="82"/>
      <c r="L63" s="82"/>
    </row>
    <row r="64" spans="1:49">
      <c r="E64" s="82" t="str">
        <f>CaseData!C$18</f>
        <v>Required minimum balance during term of Mortgage Facility</v>
      </c>
      <c r="F64" s="99">
        <f>CaseData!H$18</f>
        <v>750000</v>
      </c>
      <c r="G64" s="82" t="s">
        <v>128</v>
      </c>
      <c r="H64" s="82"/>
      <c r="I64" s="82"/>
      <c r="K64" s="82"/>
      <c r="L64" s="82"/>
    </row>
    <row r="67" spans="4:49">
      <c r="E67" s="102" t="s">
        <v>152</v>
      </c>
      <c r="F67" s="103"/>
      <c r="G67" s="102" t="s">
        <v>128</v>
      </c>
      <c r="H67" s="103"/>
      <c r="I67" s="103"/>
      <c r="J67" s="103">
        <f xml:space="preserve"> I$73</f>
        <v>750000</v>
      </c>
      <c r="K67" s="103">
        <f t="shared" ref="K67:AW67" si="30" xml:space="preserve"> J$73</f>
        <v>750000</v>
      </c>
      <c r="L67" s="103">
        <f t="shared" si="30"/>
        <v>750000</v>
      </c>
      <c r="M67" s="103">
        <f t="shared" si="30"/>
        <v>750000</v>
      </c>
      <c r="N67" s="103">
        <f t="shared" si="30"/>
        <v>750000</v>
      </c>
      <c r="O67" s="103">
        <f t="shared" si="30"/>
        <v>750000</v>
      </c>
      <c r="P67" s="103">
        <f t="shared" si="30"/>
        <v>750000</v>
      </c>
      <c r="Q67" s="103">
        <f t="shared" si="30"/>
        <v>750000</v>
      </c>
      <c r="R67" s="103">
        <f t="shared" si="30"/>
        <v>750000</v>
      </c>
      <c r="S67" s="103">
        <f t="shared" si="30"/>
        <v>750000</v>
      </c>
      <c r="T67" s="103">
        <f t="shared" si="30"/>
        <v>750000</v>
      </c>
      <c r="U67" s="103">
        <f t="shared" si="30"/>
        <v>750000</v>
      </c>
      <c r="V67" s="103">
        <f t="shared" si="30"/>
        <v>750000</v>
      </c>
      <c r="W67" s="103">
        <f t="shared" si="30"/>
        <v>750000</v>
      </c>
      <c r="X67" s="103">
        <f t="shared" si="30"/>
        <v>750000</v>
      </c>
      <c r="Y67" s="103">
        <f t="shared" si="30"/>
        <v>750000</v>
      </c>
      <c r="Z67" s="103">
        <f t="shared" si="30"/>
        <v>750000</v>
      </c>
      <c r="AA67" s="103">
        <f t="shared" si="30"/>
        <v>750000</v>
      </c>
      <c r="AB67" s="103">
        <f t="shared" si="30"/>
        <v>750000</v>
      </c>
      <c r="AC67" s="103">
        <f t="shared" si="30"/>
        <v>750000</v>
      </c>
      <c r="AD67" s="103">
        <f t="shared" si="30"/>
        <v>750000</v>
      </c>
      <c r="AE67" s="103">
        <f t="shared" si="30"/>
        <v>750000</v>
      </c>
      <c r="AF67" s="103">
        <f t="shared" si="30"/>
        <v>750000</v>
      </c>
      <c r="AG67" s="103">
        <f t="shared" si="30"/>
        <v>750000</v>
      </c>
      <c r="AH67" s="103">
        <f t="shared" si="30"/>
        <v>750000</v>
      </c>
      <c r="AI67" s="103">
        <f t="shared" si="30"/>
        <v>750000</v>
      </c>
      <c r="AJ67" s="103">
        <f t="shared" si="30"/>
        <v>750000</v>
      </c>
      <c r="AK67" s="103">
        <f t="shared" si="30"/>
        <v>750000</v>
      </c>
      <c r="AL67" s="103">
        <f t="shared" si="30"/>
        <v>750000</v>
      </c>
      <c r="AM67" s="103">
        <f t="shared" si="30"/>
        <v>750000</v>
      </c>
      <c r="AN67" s="103">
        <f t="shared" si="30"/>
        <v>750000</v>
      </c>
      <c r="AO67" s="103">
        <f t="shared" si="30"/>
        <v>750000</v>
      </c>
      <c r="AP67" s="103">
        <f t="shared" si="30"/>
        <v>0</v>
      </c>
      <c r="AQ67" s="103">
        <f t="shared" si="30"/>
        <v>0</v>
      </c>
      <c r="AR67" s="103">
        <f t="shared" si="30"/>
        <v>0</v>
      </c>
      <c r="AS67" s="103">
        <f t="shared" si="30"/>
        <v>0</v>
      </c>
      <c r="AT67" s="103">
        <f t="shared" si="30"/>
        <v>0</v>
      </c>
      <c r="AU67" s="103">
        <f t="shared" si="30"/>
        <v>0</v>
      </c>
      <c r="AV67" s="103">
        <f t="shared" si="30"/>
        <v>0</v>
      </c>
      <c r="AW67" s="103">
        <f t="shared" si="30"/>
        <v>0</v>
      </c>
    </row>
    <row r="68" spans="4:49">
      <c r="E68" s="104" t="s">
        <v>170</v>
      </c>
      <c r="F68" s="86"/>
      <c r="G68" s="86" t="s">
        <v>128</v>
      </c>
      <c r="H68" s="86"/>
      <c r="I68" s="86"/>
      <c r="J68" s="117">
        <f t="shared" ref="J68:AW68" si="31" xml:space="preserve"> J$18 * MIN( 0, J$29 )</f>
        <v>0</v>
      </c>
      <c r="K68" s="122">
        <f t="shared" si="31"/>
        <v>0</v>
      </c>
      <c r="L68" s="122">
        <f t="shared" si="31"/>
        <v>0</v>
      </c>
      <c r="M68" s="122">
        <f t="shared" si="31"/>
        <v>0</v>
      </c>
      <c r="N68" s="122">
        <f t="shared" si="31"/>
        <v>0</v>
      </c>
      <c r="O68" s="122">
        <f t="shared" si="31"/>
        <v>0</v>
      </c>
      <c r="P68" s="122">
        <f t="shared" si="31"/>
        <v>0</v>
      </c>
      <c r="Q68" s="122">
        <f t="shared" si="31"/>
        <v>0</v>
      </c>
      <c r="R68" s="122">
        <f t="shared" si="31"/>
        <v>0</v>
      </c>
      <c r="S68" s="122">
        <f t="shared" si="31"/>
        <v>0</v>
      </c>
      <c r="T68" s="122">
        <f t="shared" si="31"/>
        <v>0</v>
      </c>
      <c r="U68" s="122">
        <f t="shared" si="31"/>
        <v>0</v>
      </c>
      <c r="V68" s="122">
        <f t="shared" si="31"/>
        <v>0</v>
      </c>
      <c r="W68" s="122">
        <f t="shared" si="31"/>
        <v>0</v>
      </c>
      <c r="X68" s="122">
        <f t="shared" si="31"/>
        <v>0</v>
      </c>
      <c r="Y68" s="122">
        <f t="shared" si="31"/>
        <v>0</v>
      </c>
      <c r="Z68" s="122">
        <f t="shared" si="31"/>
        <v>0</v>
      </c>
      <c r="AA68" s="122">
        <f t="shared" si="31"/>
        <v>0</v>
      </c>
      <c r="AB68" s="122">
        <f t="shared" si="31"/>
        <v>0</v>
      </c>
      <c r="AC68" s="122">
        <f t="shared" si="31"/>
        <v>0</v>
      </c>
      <c r="AD68" s="122">
        <f t="shared" si="31"/>
        <v>0</v>
      </c>
      <c r="AE68" s="122">
        <f t="shared" si="31"/>
        <v>0</v>
      </c>
      <c r="AF68" s="122">
        <f t="shared" si="31"/>
        <v>0</v>
      </c>
      <c r="AG68" s="122">
        <f t="shared" si="31"/>
        <v>0</v>
      </c>
      <c r="AH68" s="122">
        <f t="shared" si="31"/>
        <v>0</v>
      </c>
      <c r="AI68" s="122">
        <f t="shared" si="31"/>
        <v>0</v>
      </c>
      <c r="AJ68" s="122">
        <f t="shared" si="31"/>
        <v>0</v>
      </c>
      <c r="AK68" s="122">
        <f t="shared" si="31"/>
        <v>0</v>
      </c>
      <c r="AL68" s="122">
        <f t="shared" si="31"/>
        <v>0</v>
      </c>
      <c r="AM68" s="122">
        <f t="shared" si="31"/>
        <v>0</v>
      </c>
      <c r="AN68" s="122">
        <f t="shared" si="31"/>
        <v>0</v>
      </c>
      <c r="AO68" s="122">
        <f t="shared" si="31"/>
        <v>0</v>
      </c>
      <c r="AP68" s="122">
        <f t="shared" si="31"/>
        <v>0</v>
      </c>
      <c r="AQ68" s="122">
        <f t="shared" si="31"/>
        <v>0</v>
      </c>
      <c r="AR68" s="122">
        <f t="shared" si="31"/>
        <v>0</v>
      </c>
      <c r="AS68" s="122">
        <f t="shared" si="31"/>
        <v>0</v>
      </c>
      <c r="AT68" s="122">
        <f t="shared" si="31"/>
        <v>0</v>
      </c>
      <c r="AU68" s="122">
        <f t="shared" si="31"/>
        <v>0</v>
      </c>
      <c r="AV68" s="122">
        <f t="shared" si="31"/>
        <v>0</v>
      </c>
      <c r="AW68" s="122">
        <f t="shared" si="31"/>
        <v>0</v>
      </c>
    </row>
    <row r="69" spans="4:49">
      <c r="E69" s="104" t="s">
        <v>133</v>
      </c>
      <c r="F69" s="105"/>
      <c r="G69" s="86" t="s">
        <v>128</v>
      </c>
      <c r="H69" s="105"/>
      <c r="I69" s="105"/>
      <c r="J69" s="117">
        <f t="shared" ref="J69:AW69" si="32" xml:space="preserve"> J$18 * MAX( MIN( J$29, $F$64 - SUM( J67:J68 ) ), 0 )</f>
        <v>0</v>
      </c>
      <c r="K69" s="105">
        <f t="shared" si="32"/>
        <v>0</v>
      </c>
      <c r="L69" s="105">
        <f t="shared" si="32"/>
        <v>0</v>
      </c>
      <c r="M69" s="105">
        <f t="shared" si="32"/>
        <v>0</v>
      </c>
      <c r="N69" s="105">
        <f t="shared" si="32"/>
        <v>0</v>
      </c>
      <c r="O69" s="105">
        <f t="shared" si="32"/>
        <v>0</v>
      </c>
      <c r="P69" s="105">
        <f t="shared" si="32"/>
        <v>0</v>
      </c>
      <c r="Q69" s="105">
        <f t="shared" si="32"/>
        <v>0</v>
      </c>
      <c r="R69" s="105">
        <f t="shared" si="32"/>
        <v>0</v>
      </c>
      <c r="S69" s="105">
        <f t="shared" si="32"/>
        <v>0</v>
      </c>
      <c r="T69" s="105">
        <f t="shared" si="32"/>
        <v>0</v>
      </c>
      <c r="U69" s="105">
        <f t="shared" si="32"/>
        <v>0</v>
      </c>
      <c r="V69" s="105">
        <f t="shared" si="32"/>
        <v>0</v>
      </c>
      <c r="W69" s="105">
        <f t="shared" si="32"/>
        <v>0</v>
      </c>
      <c r="X69" s="105">
        <f t="shared" si="32"/>
        <v>0</v>
      </c>
      <c r="Y69" s="105">
        <f t="shared" si="32"/>
        <v>0</v>
      </c>
      <c r="Z69" s="105">
        <f t="shared" si="32"/>
        <v>0</v>
      </c>
      <c r="AA69" s="105">
        <f t="shared" si="32"/>
        <v>0</v>
      </c>
      <c r="AB69" s="105">
        <f t="shared" si="32"/>
        <v>0</v>
      </c>
      <c r="AC69" s="105">
        <f t="shared" si="32"/>
        <v>0</v>
      </c>
      <c r="AD69" s="105">
        <f t="shared" si="32"/>
        <v>0</v>
      </c>
      <c r="AE69" s="105">
        <f t="shared" si="32"/>
        <v>0</v>
      </c>
      <c r="AF69" s="105">
        <f t="shared" si="32"/>
        <v>0</v>
      </c>
      <c r="AG69" s="105">
        <f t="shared" si="32"/>
        <v>0</v>
      </c>
      <c r="AH69" s="105">
        <f t="shared" si="32"/>
        <v>0</v>
      </c>
      <c r="AI69" s="105">
        <f t="shared" si="32"/>
        <v>0</v>
      </c>
      <c r="AJ69" s="105">
        <f t="shared" si="32"/>
        <v>0</v>
      </c>
      <c r="AK69" s="105">
        <f t="shared" si="32"/>
        <v>0</v>
      </c>
      <c r="AL69" s="105">
        <f t="shared" si="32"/>
        <v>0</v>
      </c>
      <c r="AM69" s="105">
        <f t="shared" si="32"/>
        <v>0</v>
      </c>
      <c r="AN69" s="105">
        <f t="shared" si="32"/>
        <v>0</v>
      </c>
      <c r="AO69" s="105">
        <f t="shared" si="32"/>
        <v>0</v>
      </c>
      <c r="AP69" s="105">
        <f t="shared" si="32"/>
        <v>0</v>
      </c>
      <c r="AQ69" s="105">
        <f t="shared" si="32"/>
        <v>0</v>
      </c>
      <c r="AR69" s="105">
        <f t="shared" si="32"/>
        <v>0</v>
      </c>
      <c r="AS69" s="105">
        <f t="shared" si="32"/>
        <v>0</v>
      </c>
      <c r="AT69" s="105">
        <f t="shared" si="32"/>
        <v>0</v>
      </c>
      <c r="AU69" s="105">
        <f t="shared" si="32"/>
        <v>0</v>
      </c>
      <c r="AV69" s="105">
        <f t="shared" si="32"/>
        <v>0</v>
      </c>
      <c r="AW69" s="105">
        <f t="shared" si="32"/>
        <v>0</v>
      </c>
    </row>
    <row r="70" spans="4:49">
      <c r="E70" s="104" t="s">
        <v>134</v>
      </c>
      <c r="F70" s="86"/>
      <c r="G70" s="86" t="s">
        <v>128</v>
      </c>
      <c r="H70" s="86"/>
      <c r="I70" s="105">
        <v>0</v>
      </c>
      <c r="J70" s="117">
        <f t="shared" ref="J70:AW70" si="33" xml:space="preserve"> J$18 * IF( J$59 = 1, SUM( J29:J32 ), 0 )</f>
        <v>0</v>
      </c>
      <c r="K70" s="105">
        <f t="shared" si="33"/>
        <v>0</v>
      </c>
      <c r="L70" s="105">
        <f t="shared" si="33"/>
        <v>0</v>
      </c>
      <c r="M70" s="105">
        <f t="shared" si="33"/>
        <v>0</v>
      </c>
      <c r="N70" s="105">
        <f t="shared" si="33"/>
        <v>0</v>
      </c>
      <c r="O70" s="105">
        <f t="shared" si="33"/>
        <v>0</v>
      </c>
      <c r="P70" s="105">
        <f t="shared" si="33"/>
        <v>0</v>
      </c>
      <c r="Q70" s="105">
        <f t="shared" si="33"/>
        <v>0</v>
      </c>
      <c r="R70" s="105">
        <f t="shared" si="33"/>
        <v>0</v>
      </c>
      <c r="S70" s="105">
        <f t="shared" si="33"/>
        <v>0</v>
      </c>
      <c r="T70" s="105">
        <f t="shared" si="33"/>
        <v>0</v>
      </c>
      <c r="U70" s="105">
        <f t="shared" si="33"/>
        <v>0</v>
      </c>
      <c r="V70" s="105">
        <f t="shared" si="33"/>
        <v>0</v>
      </c>
      <c r="W70" s="105">
        <f t="shared" si="33"/>
        <v>0</v>
      </c>
      <c r="X70" s="105">
        <f t="shared" si="33"/>
        <v>0</v>
      </c>
      <c r="Y70" s="105">
        <f t="shared" si="33"/>
        <v>0</v>
      </c>
      <c r="Z70" s="105">
        <f t="shared" si="33"/>
        <v>0</v>
      </c>
      <c r="AA70" s="105">
        <f t="shared" si="33"/>
        <v>0</v>
      </c>
      <c r="AB70" s="105">
        <f t="shared" si="33"/>
        <v>0</v>
      </c>
      <c r="AC70" s="105">
        <f t="shared" si="33"/>
        <v>0</v>
      </c>
      <c r="AD70" s="105">
        <f t="shared" si="33"/>
        <v>0</v>
      </c>
      <c r="AE70" s="105">
        <f t="shared" si="33"/>
        <v>0</v>
      </c>
      <c r="AF70" s="105">
        <f t="shared" si="33"/>
        <v>0</v>
      </c>
      <c r="AG70" s="105">
        <f t="shared" si="33"/>
        <v>0</v>
      </c>
      <c r="AH70" s="105">
        <f t="shared" si="33"/>
        <v>0</v>
      </c>
      <c r="AI70" s="105">
        <f t="shared" si="33"/>
        <v>0</v>
      </c>
      <c r="AJ70" s="105">
        <f t="shared" si="33"/>
        <v>0</v>
      </c>
      <c r="AK70" s="105">
        <f t="shared" si="33"/>
        <v>0</v>
      </c>
      <c r="AL70" s="105">
        <f t="shared" si="33"/>
        <v>0</v>
      </c>
      <c r="AM70" s="105">
        <f t="shared" si="33"/>
        <v>0</v>
      </c>
      <c r="AN70" s="105">
        <f t="shared" si="33"/>
        <v>0</v>
      </c>
      <c r="AO70" s="105">
        <f t="shared" si="33"/>
        <v>0</v>
      </c>
      <c r="AP70" s="105">
        <f t="shared" si="33"/>
        <v>0</v>
      </c>
      <c r="AQ70" s="105">
        <f t="shared" si="33"/>
        <v>0</v>
      </c>
      <c r="AR70" s="105">
        <f t="shared" si="33"/>
        <v>0</v>
      </c>
      <c r="AS70" s="105">
        <f t="shared" si="33"/>
        <v>0</v>
      </c>
      <c r="AT70" s="105">
        <f t="shared" si="33"/>
        <v>0</v>
      </c>
      <c r="AU70" s="105">
        <f t="shared" si="33"/>
        <v>0</v>
      </c>
      <c r="AV70" s="105">
        <f t="shared" si="33"/>
        <v>0</v>
      </c>
      <c r="AW70" s="105">
        <f t="shared" si="33"/>
        <v>0</v>
      </c>
    </row>
    <row r="71" spans="4:49">
      <c r="E71" s="104" t="s">
        <v>135</v>
      </c>
      <c r="F71" s="86"/>
      <c r="G71" s="86" t="s">
        <v>128</v>
      </c>
      <c r="H71" s="86"/>
      <c r="I71" s="105"/>
      <c r="J71" s="117">
        <f xml:space="preserve"> IF( J$59 = 0, $F$64 - SUM( J67:J70 ), 0 )</f>
        <v>0</v>
      </c>
      <c r="K71" s="105">
        <f t="shared" ref="K71:AD71" si="34" xml:space="preserve"> IF( K$59 = 0, $F$64 - SUM( K67:K70 ), 0 )</f>
        <v>0</v>
      </c>
      <c r="L71" s="105">
        <f t="shared" si="34"/>
        <v>0</v>
      </c>
      <c r="M71" s="105">
        <f t="shared" si="34"/>
        <v>0</v>
      </c>
      <c r="N71" s="105">
        <f t="shared" si="34"/>
        <v>0</v>
      </c>
      <c r="O71" s="105">
        <f t="shared" si="34"/>
        <v>0</v>
      </c>
      <c r="P71" s="105">
        <f t="shared" si="34"/>
        <v>0</v>
      </c>
      <c r="Q71" s="105">
        <f t="shared" si="34"/>
        <v>0</v>
      </c>
      <c r="R71" s="105">
        <f t="shared" si="34"/>
        <v>0</v>
      </c>
      <c r="S71" s="105">
        <f t="shared" si="34"/>
        <v>0</v>
      </c>
      <c r="T71" s="105">
        <f t="shared" si="34"/>
        <v>0</v>
      </c>
      <c r="U71" s="105">
        <f t="shared" si="34"/>
        <v>0</v>
      </c>
      <c r="V71" s="105">
        <f t="shared" si="34"/>
        <v>0</v>
      </c>
      <c r="W71" s="105">
        <f t="shared" si="34"/>
        <v>0</v>
      </c>
      <c r="X71" s="105">
        <f t="shared" si="34"/>
        <v>0</v>
      </c>
      <c r="Y71" s="105">
        <f t="shared" si="34"/>
        <v>0</v>
      </c>
      <c r="Z71" s="105">
        <f t="shared" si="34"/>
        <v>0</v>
      </c>
      <c r="AA71" s="105">
        <f t="shared" si="34"/>
        <v>0</v>
      </c>
      <c r="AB71" s="105">
        <f t="shared" si="34"/>
        <v>0</v>
      </c>
      <c r="AC71" s="105">
        <f t="shared" si="34"/>
        <v>0</v>
      </c>
      <c r="AD71" s="105">
        <f t="shared" si="34"/>
        <v>0</v>
      </c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</row>
    <row r="72" spans="4:49">
      <c r="E72" s="104" t="s">
        <v>171</v>
      </c>
      <c r="F72" s="86"/>
      <c r="G72" s="86" t="s">
        <v>128</v>
      </c>
      <c r="H72" s="86"/>
      <c r="I72" s="105"/>
      <c r="J72" s="117">
        <f xml:space="preserve"> IF( J$88 = 0, - SUM( J67:J69 ), 0 )</f>
        <v>0</v>
      </c>
      <c r="K72" s="105">
        <f t="shared" ref="K72:AW72" si="35" xml:space="preserve"> IF( K$88 = 0, - SUM( K67:K69 ), 0 )</f>
        <v>0</v>
      </c>
      <c r="L72" s="105">
        <f t="shared" si="35"/>
        <v>0</v>
      </c>
      <c r="M72" s="105">
        <f t="shared" si="35"/>
        <v>0</v>
      </c>
      <c r="N72" s="105">
        <f t="shared" si="35"/>
        <v>0</v>
      </c>
      <c r="O72" s="105">
        <f t="shared" si="35"/>
        <v>0</v>
      </c>
      <c r="P72" s="105">
        <f t="shared" si="35"/>
        <v>0</v>
      </c>
      <c r="Q72" s="105">
        <f t="shared" si="35"/>
        <v>0</v>
      </c>
      <c r="R72" s="105">
        <f t="shared" si="35"/>
        <v>0</v>
      </c>
      <c r="S72" s="105">
        <f t="shared" si="35"/>
        <v>0</v>
      </c>
      <c r="T72" s="105">
        <f t="shared" si="35"/>
        <v>0</v>
      </c>
      <c r="U72" s="105">
        <f t="shared" si="35"/>
        <v>0</v>
      </c>
      <c r="V72" s="105">
        <f t="shared" si="35"/>
        <v>0</v>
      </c>
      <c r="W72" s="105">
        <f t="shared" si="35"/>
        <v>0</v>
      </c>
      <c r="X72" s="105">
        <f t="shared" si="35"/>
        <v>0</v>
      </c>
      <c r="Y72" s="105">
        <f t="shared" si="35"/>
        <v>0</v>
      </c>
      <c r="Z72" s="105">
        <f t="shared" si="35"/>
        <v>0</v>
      </c>
      <c r="AA72" s="105">
        <f t="shared" si="35"/>
        <v>0</v>
      </c>
      <c r="AB72" s="105">
        <f t="shared" si="35"/>
        <v>0</v>
      </c>
      <c r="AC72" s="105">
        <f t="shared" si="35"/>
        <v>0</v>
      </c>
      <c r="AD72" s="105">
        <f t="shared" si="35"/>
        <v>0</v>
      </c>
      <c r="AE72" s="105">
        <f t="shared" si="35"/>
        <v>0</v>
      </c>
      <c r="AF72" s="105">
        <f t="shared" si="35"/>
        <v>0</v>
      </c>
      <c r="AG72" s="105">
        <f t="shared" si="35"/>
        <v>0</v>
      </c>
      <c r="AH72" s="105">
        <f t="shared" si="35"/>
        <v>0</v>
      </c>
      <c r="AI72" s="105">
        <f t="shared" si="35"/>
        <v>0</v>
      </c>
      <c r="AJ72" s="105">
        <f t="shared" si="35"/>
        <v>0</v>
      </c>
      <c r="AK72" s="105">
        <f t="shared" si="35"/>
        <v>0</v>
      </c>
      <c r="AL72" s="105">
        <f t="shared" si="35"/>
        <v>0</v>
      </c>
      <c r="AM72" s="105">
        <f t="shared" si="35"/>
        <v>0</v>
      </c>
      <c r="AN72" s="105">
        <f t="shared" si="35"/>
        <v>0</v>
      </c>
      <c r="AO72" s="105">
        <f t="shared" si="35"/>
        <v>-750000</v>
      </c>
      <c r="AP72" s="105">
        <f t="shared" si="35"/>
        <v>0</v>
      </c>
      <c r="AQ72" s="105">
        <f t="shared" si="35"/>
        <v>0</v>
      </c>
      <c r="AR72" s="105">
        <f t="shared" si="35"/>
        <v>0</v>
      </c>
      <c r="AS72" s="105">
        <f t="shared" si="35"/>
        <v>0</v>
      </c>
      <c r="AT72" s="105">
        <f t="shared" si="35"/>
        <v>0</v>
      </c>
      <c r="AU72" s="105">
        <f t="shared" si="35"/>
        <v>0</v>
      </c>
      <c r="AV72" s="105">
        <f t="shared" si="35"/>
        <v>0</v>
      </c>
      <c r="AW72" s="105">
        <f t="shared" si="35"/>
        <v>0</v>
      </c>
    </row>
    <row r="73" spans="4:49">
      <c r="E73" s="106" t="s">
        <v>153</v>
      </c>
      <c r="F73" s="107"/>
      <c r="G73" s="106" t="s">
        <v>128</v>
      </c>
      <c r="H73" s="107"/>
      <c r="I73" s="108">
        <f>F63</f>
        <v>750000</v>
      </c>
      <c r="J73" s="107">
        <f>SUM(J67:J72 )</f>
        <v>750000</v>
      </c>
      <c r="K73" s="107">
        <f t="shared" ref="K73:AW73" si="36">SUM(K67:K72 )</f>
        <v>750000</v>
      </c>
      <c r="L73" s="107">
        <f t="shared" si="36"/>
        <v>750000</v>
      </c>
      <c r="M73" s="107">
        <f t="shared" si="36"/>
        <v>750000</v>
      </c>
      <c r="N73" s="107">
        <f t="shared" si="36"/>
        <v>750000</v>
      </c>
      <c r="O73" s="107">
        <f t="shared" si="36"/>
        <v>750000</v>
      </c>
      <c r="P73" s="107">
        <f t="shared" si="36"/>
        <v>750000</v>
      </c>
      <c r="Q73" s="107">
        <f t="shared" si="36"/>
        <v>750000</v>
      </c>
      <c r="R73" s="107">
        <f t="shared" si="36"/>
        <v>750000</v>
      </c>
      <c r="S73" s="107">
        <f t="shared" si="36"/>
        <v>750000</v>
      </c>
      <c r="T73" s="107">
        <f t="shared" si="36"/>
        <v>750000</v>
      </c>
      <c r="U73" s="107">
        <f t="shared" si="36"/>
        <v>750000</v>
      </c>
      <c r="V73" s="107">
        <f t="shared" si="36"/>
        <v>750000</v>
      </c>
      <c r="W73" s="107">
        <f t="shared" si="36"/>
        <v>750000</v>
      </c>
      <c r="X73" s="107">
        <f t="shared" si="36"/>
        <v>750000</v>
      </c>
      <c r="Y73" s="107">
        <f t="shared" si="36"/>
        <v>750000</v>
      </c>
      <c r="Z73" s="107">
        <f t="shared" si="36"/>
        <v>750000</v>
      </c>
      <c r="AA73" s="107">
        <f t="shared" si="36"/>
        <v>750000</v>
      </c>
      <c r="AB73" s="107">
        <f t="shared" si="36"/>
        <v>750000</v>
      </c>
      <c r="AC73" s="107">
        <f t="shared" si="36"/>
        <v>750000</v>
      </c>
      <c r="AD73" s="107">
        <f t="shared" si="36"/>
        <v>750000</v>
      </c>
      <c r="AE73" s="107">
        <f t="shared" si="36"/>
        <v>750000</v>
      </c>
      <c r="AF73" s="107">
        <f t="shared" si="36"/>
        <v>750000</v>
      </c>
      <c r="AG73" s="107">
        <f t="shared" si="36"/>
        <v>750000</v>
      </c>
      <c r="AH73" s="107">
        <f t="shared" si="36"/>
        <v>750000</v>
      </c>
      <c r="AI73" s="107">
        <f t="shared" si="36"/>
        <v>750000</v>
      </c>
      <c r="AJ73" s="107">
        <f t="shared" si="36"/>
        <v>750000</v>
      </c>
      <c r="AK73" s="107">
        <f t="shared" si="36"/>
        <v>750000</v>
      </c>
      <c r="AL73" s="107">
        <f t="shared" si="36"/>
        <v>750000</v>
      </c>
      <c r="AM73" s="107">
        <f t="shared" si="36"/>
        <v>750000</v>
      </c>
      <c r="AN73" s="107">
        <f t="shared" si="36"/>
        <v>750000</v>
      </c>
      <c r="AO73" s="107">
        <f t="shared" si="36"/>
        <v>0</v>
      </c>
      <c r="AP73" s="107">
        <f t="shared" si="36"/>
        <v>0</v>
      </c>
      <c r="AQ73" s="107">
        <f t="shared" si="36"/>
        <v>0</v>
      </c>
      <c r="AR73" s="107">
        <f t="shared" si="36"/>
        <v>0</v>
      </c>
      <c r="AS73" s="107">
        <f t="shared" si="36"/>
        <v>0</v>
      </c>
      <c r="AT73" s="107">
        <f t="shared" si="36"/>
        <v>0</v>
      </c>
      <c r="AU73" s="107">
        <f t="shared" si="36"/>
        <v>0</v>
      </c>
      <c r="AV73" s="107">
        <f t="shared" si="36"/>
        <v>0</v>
      </c>
      <c r="AW73" s="107">
        <f t="shared" si="36"/>
        <v>0</v>
      </c>
    </row>
    <row r="76" spans="4:49">
      <c r="D76" s="109" t="s">
        <v>131</v>
      </c>
    </row>
    <row r="77" spans="4:49">
      <c r="E77" s="82" t="str">
        <f>CaseData!C$19</f>
        <v>Cash interest rate earned on account balance</v>
      </c>
      <c r="F77" s="101">
        <f>CaseData!H$19</f>
        <v>0.01</v>
      </c>
      <c r="G77" s="82" t="s">
        <v>151</v>
      </c>
      <c r="H77" s="82"/>
      <c r="I77" s="82"/>
      <c r="K77" s="82"/>
      <c r="L77" s="82"/>
      <c r="M77" s="82"/>
      <c r="N77" s="82"/>
    </row>
    <row r="78" spans="4:49">
      <c r="E78" s="82" t="s">
        <v>154</v>
      </c>
      <c r="F78" s="111">
        <f xml:space="preserve"> F77 / 4</f>
        <v>2.5000000000000001E-3</v>
      </c>
      <c r="G78" s="82" t="s">
        <v>150</v>
      </c>
    </row>
    <row r="79" spans="4:49">
      <c r="E79" s="83" t="s">
        <v>131</v>
      </c>
      <c r="F79" s="84"/>
      <c r="G79" s="83" t="s">
        <v>128</v>
      </c>
      <c r="H79" s="84">
        <f>SUM( J79:AW79 )</f>
        <v>60000</v>
      </c>
      <c r="I79" s="84"/>
      <c r="J79" s="84">
        <f t="shared" ref="J79:AW79" si="37" xml:space="preserve"> $F$78 * J$67</f>
        <v>1875</v>
      </c>
      <c r="K79" s="84">
        <f t="shared" si="37"/>
        <v>1875</v>
      </c>
      <c r="L79" s="84">
        <f t="shared" si="37"/>
        <v>1875</v>
      </c>
      <c r="M79" s="84">
        <f t="shared" si="37"/>
        <v>1875</v>
      </c>
      <c r="N79" s="84">
        <f t="shared" si="37"/>
        <v>1875</v>
      </c>
      <c r="O79" s="84">
        <f t="shared" si="37"/>
        <v>1875</v>
      </c>
      <c r="P79" s="84">
        <f t="shared" si="37"/>
        <v>1875</v>
      </c>
      <c r="Q79" s="84">
        <f t="shared" si="37"/>
        <v>1875</v>
      </c>
      <c r="R79" s="84">
        <f t="shared" si="37"/>
        <v>1875</v>
      </c>
      <c r="S79" s="84">
        <f t="shared" si="37"/>
        <v>1875</v>
      </c>
      <c r="T79" s="84">
        <f t="shared" si="37"/>
        <v>1875</v>
      </c>
      <c r="U79" s="84">
        <f t="shared" si="37"/>
        <v>1875</v>
      </c>
      <c r="V79" s="84">
        <f t="shared" si="37"/>
        <v>1875</v>
      </c>
      <c r="W79" s="84">
        <f t="shared" si="37"/>
        <v>1875</v>
      </c>
      <c r="X79" s="84">
        <f t="shared" si="37"/>
        <v>1875</v>
      </c>
      <c r="Y79" s="84">
        <f t="shared" si="37"/>
        <v>1875</v>
      </c>
      <c r="Z79" s="84">
        <f t="shared" si="37"/>
        <v>1875</v>
      </c>
      <c r="AA79" s="84">
        <f t="shared" si="37"/>
        <v>1875</v>
      </c>
      <c r="AB79" s="84">
        <f t="shared" si="37"/>
        <v>1875</v>
      </c>
      <c r="AC79" s="84">
        <f t="shared" si="37"/>
        <v>1875</v>
      </c>
      <c r="AD79" s="84">
        <f t="shared" si="37"/>
        <v>1875</v>
      </c>
      <c r="AE79" s="84">
        <f t="shared" si="37"/>
        <v>1875</v>
      </c>
      <c r="AF79" s="84">
        <f t="shared" si="37"/>
        <v>1875</v>
      </c>
      <c r="AG79" s="84">
        <f t="shared" si="37"/>
        <v>1875</v>
      </c>
      <c r="AH79" s="84">
        <f t="shared" si="37"/>
        <v>1875</v>
      </c>
      <c r="AI79" s="84">
        <f t="shared" si="37"/>
        <v>1875</v>
      </c>
      <c r="AJ79" s="84">
        <f t="shared" si="37"/>
        <v>1875</v>
      </c>
      <c r="AK79" s="84">
        <f t="shared" si="37"/>
        <v>1875</v>
      </c>
      <c r="AL79" s="84">
        <f t="shared" si="37"/>
        <v>1875</v>
      </c>
      <c r="AM79" s="84">
        <f t="shared" si="37"/>
        <v>1875</v>
      </c>
      <c r="AN79" s="84">
        <f t="shared" si="37"/>
        <v>1875</v>
      </c>
      <c r="AO79" s="84">
        <f t="shared" si="37"/>
        <v>1875</v>
      </c>
      <c r="AP79" s="84">
        <f t="shared" si="37"/>
        <v>0</v>
      </c>
      <c r="AQ79" s="84">
        <f t="shared" si="37"/>
        <v>0</v>
      </c>
      <c r="AR79" s="84">
        <f t="shared" si="37"/>
        <v>0</v>
      </c>
      <c r="AS79" s="84">
        <f t="shared" si="37"/>
        <v>0</v>
      </c>
      <c r="AT79" s="84">
        <f t="shared" si="37"/>
        <v>0</v>
      </c>
      <c r="AU79" s="84">
        <f t="shared" si="37"/>
        <v>0</v>
      </c>
      <c r="AV79" s="84">
        <f t="shared" si="37"/>
        <v>0</v>
      </c>
      <c r="AW79" s="84">
        <f t="shared" si="37"/>
        <v>0</v>
      </c>
    </row>
    <row r="82" spans="1:49" s="72" customFormat="1">
      <c r="A82" s="73" t="s">
        <v>53</v>
      </c>
      <c r="E82" s="92"/>
      <c r="G82" s="92"/>
    </row>
    <row r="84" spans="1:49">
      <c r="E84" s="82" t="s">
        <v>155</v>
      </c>
      <c r="F84" s="78">
        <f>CaseData!$H$4</f>
        <v>15000000</v>
      </c>
      <c r="G84" s="82" t="s">
        <v>128</v>
      </c>
    </row>
    <row r="86" spans="1:49">
      <c r="E86" s="102" t="s">
        <v>156</v>
      </c>
      <c r="F86" s="103"/>
      <c r="G86" s="102" t="s">
        <v>128</v>
      </c>
      <c r="H86" s="103"/>
      <c r="I86" s="103"/>
      <c r="J86" s="103">
        <f xml:space="preserve"> I$88</f>
        <v>15000000</v>
      </c>
      <c r="K86" s="103">
        <f t="shared" ref="K86:AW86" si="38" xml:space="preserve"> J$88</f>
        <v>14575105.070937689</v>
      </c>
      <c r="L86" s="103">
        <f t="shared" si="38"/>
        <v>14147554.54856874</v>
      </c>
      <c r="M86" s="103">
        <f t="shared" si="38"/>
        <v>13717331.835434984</v>
      </c>
      <c r="N86" s="103">
        <f t="shared" si="38"/>
        <v>13284420.230344143</v>
      </c>
      <c r="O86" s="103">
        <f t="shared" si="38"/>
        <v>12848802.927721484</v>
      </c>
      <c r="P86" s="103">
        <f t="shared" si="38"/>
        <v>12410463.016957432</v>
      </c>
      <c r="Q86" s="103">
        <f t="shared" si="38"/>
        <v>11969383.481751107</v>
      </c>
      <c r="R86" s="103">
        <f t="shared" si="38"/>
        <v>11525547.19944974</v>
      </c>
      <c r="S86" s="103">
        <f t="shared" si="38"/>
        <v>11078936.940383991</v>
      </c>
      <c r="T86" s="103">
        <f t="shared" si="38"/>
        <v>10629535.36719908</v>
      </c>
      <c r="U86" s="103">
        <f t="shared" si="38"/>
        <v>10177325.034181764</v>
      </c>
      <c r="V86" s="103">
        <f t="shared" si="38"/>
        <v>9722288.3865830898</v>
      </c>
      <c r="W86" s="103">
        <f t="shared" si="38"/>
        <v>9264407.7599369232</v>
      </c>
      <c r="X86" s="103">
        <f t="shared" si="38"/>
        <v>8803665.3793742191</v>
      </c>
      <c r="Y86" s="103">
        <f t="shared" si="38"/>
        <v>8340043.358932998</v>
      </c>
      <c r="Z86" s="103">
        <f t="shared" si="38"/>
        <v>7873523.7008640189</v>
      </c>
      <c r="AA86" s="103">
        <f t="shared" si="38"/>
        <v>7404088.2949321084</v>
      </c>
      <c r="AB86" s="103">
        <f t="shared" si="38"/>
        <v>6931718.9177131234</v>
      </c>
      <c r="AC86" s="103">
        <f t="shared" si="38"/>
        <v>6456397.2318865201</v>
      </c>
      <c r="AD86" s="103">
        <f t="shared" si="38"/>
        <v>5978104.7855235003</v>
      </c>
      <c r="AE86" s="103">
        <f t="shared" si="38"/>
        <v>5496823.011370712</v>
      </c>
      <c r="AF86" s="103">
        <f t="shared" si="38"/>
        <v>5012533.2261294685</v>
      </c>
      <c r="AG86" s="103">
        <f t="shared" si="38"/>
        <v>4525216.6297304677</v>
      </c>
      <c r="AH86" s="103">
        <f t="shared" si="38"/>
        <v>4034854.3046039729</v>
      </c>
      <c r="AI86" s="103">
        <f t="shared" si="38"/>
        <v>3541427.2149454374</v>
      </c>
      <c r="AJ86" s="103">
        <f t="shared" si="38"/>
        <v>3044916.205976536</v>
      </c>
      <c r="AK86" s="103">
        <f t="shared" si="38"/>
        <v>2545302.0032015792</v>
      </c>
      <c r="AL86" s="103">
        <f t="shared" si="38"/>
        <v>2042565.2116592787</v>
      </c>
      <c r="AM86" s="103">
        <f t="shared" si="38"/>
        <v>1536686.315169839</v>
      </c>
      <c r="AN86" s="103">
        <f t="shared" si="38"/>
        <v>1027645.6755773402</v>
      </c>
      <c r="AO86" s="103">
        <f t="shared" si="38"/>
        <v>515423.53198738833</v>
      </c>
      <c r="AP86" s="103">
        <f t="shared" si="38"/>
        <v>0</v>
      </c>
      <c r="AQ86" s="103">
        <f t="shared" si="38"/>
        <v>0</v>
      </c>
      <c r="AR86" s="103">
        <f t="shared" si="38"/>
        <v>0</v>
      </c>
      <c r="AS86" s="103">
        <f t="shared" si="38"/>
        <v>0</v>
      </c>
      <c r="AT86" s="103">
        <f t="shared" si="38"/>
        <v>0</v>
      </c>
      <c r="AU86" s="103">
        <f t="shared" si="38"/>
        <v>0</v>
      </c>
      <c r="AV86" s="103">
        <f t="shared" si="38"/>
        <v>0</v>
      </c>
      <c r="AW86" s="103">
        <f t="shared" si="38"/>
        <v>0</v>
      </c>
    </row>
    <row r="87" spans="1:49">
      <c r="E87" s="104" t="s">
        <v>161</v>
      </c>
      <c r="F87" s="105"/>
      <c r="G87" s="86" t="s">
        <v>128</v>
      </c>
      <c r="H87" s="105"/>
      <c r="I87" s="105"/>
      <c r="J87" s="105">
        <f xml:space="preserve"> J$99 * - 1</f>
        <v>-424894.92906231026</v>
      </c>
      <c r="K87" s="105">
        <f t="shared" ref="K87:AW87" si="39" xml:space="preserve"> K$99 * - 1</f>
        <v>-427550.52236894972</v>
      </c>
      <c r="L87" s="105">
        <f t="shared" si="39"/>
        <v>-430222.71313375561</v>
      </c>
      <c r="M87" s="105">
        <f t="shared" si="39"/>
        <v>-432911.60509084159</v>
      </c>
      <c r="N87" s="105">
        <f t="shared" si="39"/>
        <v>-435617.30262265936</v>
      </c>
      <c r="O87" s="105">
        <f t="shared" si="39"/>
        <v>-438339.91076405096</v>
      </c>
      <c r="P87" s="105">
        <f t="shared" si="39"/>
        <v>-441079.53520632628</v>
      </c>
      <c r="Q87" s="105">
        <f t="shared" si="39"/>
        <v>-443836.28230136586</v>
      </c>
      <c r="R87" s="105">
        <f t="shared" si="39"/>
        <v>-446610.25906574936</v>
      </c>
      <c r="S87" s="105">
        <f t="shared" si="39"/>
        <v>-449401.57318491029</v>
      </c>
      <c r="T87" s="105">
        <f t="shared" si="39"/>
        <v>-452210.33301731601</v>
      </c>
      <c r="U87" s="105">
        <f t="shared" si="39"/>
        <v>-455036.64759867423</v>
      </c>
      <c r="V87" s="105">
        <f t="shared" si="39"/>
        <v>-457880.62664616597</v>
      </c>
      <c r="W87" s="105">
        <f t="shared" si="39"/>
        <v>-460742.38056270446</v>
      </c>
      <c r="X87" s="105">
        <f t="shared" si="39"/>
        <v>-463622.02044122136</v>
      </c>
      <c r="Y87" s="105">
        <f t="shared" si="39"/>
        <v>-466519.65806897904</v>
      </c>
      <c r="Z87" s="105">
        <f t="shared" si="39"/>
        <v>-469435.40593191015</v>
      </c>
      <c r="AA87" s="105">
        <f t="shared" si="39"/>
        <v>-472369.37721898459</v>
      </c>
      <c r="AB87" s="105">
        <f t="shared" si="39"/>
        <v>-475321.68582660321</v>
      </c>
      <c r="AC87" s="105">
        <f t="shared" si="39"/>
        <v>-478292.44636301952</v>
      </c>
      <c r="AD87" s="105">
        <f t="shared" si="39"/>
        <v>-481281.77415278839</v>
      </c>
      <c r="AE87" s="105">
        <f t="shared" si="39"/>
        <v>-484289.78524124331</v>
      </c>
      <c r="AF87" s="105">
        <f t="shared" si="39"/>
        <v>-487316.59639900108</v>
      </c>
      <c r="AG87" s="105">
        <f t="shared" si="39"/>
        <v>-490362.32512649486</v>
      </c>
      <c r="AH87" s="105">
        <f t="shared" si="39"/>
        <v>-493427.08965853543</v>
      </c>
      <c r="AI87" s="105">
        <f t="shared" si="39"/>
        <v>-496511.0089689013</v>
      </c>
      <c r="AJ87" s="105">
        <f t="shared" si="39"/>
        <v>-499614.20277495688</v>
      </c>
      <c r="AK87" s="105">
        <f t="shared" si="39"/>
        <v>-502736.79154230037</v>
      </c>
      <c r="AL87" s="105">
        <f t="shared" si="39"/>
        <v>-505878.89648943976</v>
      </c>
      <c r="AM87" s="105">
        <f t="shared" si="39"/>
        <v>-509040.63959249877</v>
      </c>
      <c r="AN87" s="105">
        <f t="shared" si="39"/>
        <v>-512222.14358995185</v>
      </c>
      <c r="AO87" s="105">
        <f t="shared" si="39"/>
        <v>-515423.53198738833</v>
      </c>
      <c r="AP87" s="105">
        <f t="shared" si="39"/>
        <v>0</v>
      </c>
      <c r="AQ87" s="105">
        <f t="shared" si="39"/>
        <v>0</v>
      </c>
      <c r="AR87" s="105">
        <f t="shared" si="39"/>
        <v>0</v>
      </c>
      <c r="AS87" s="105">
        <f t="shared" si="39"/>
        <v>0</v>
      </c>
      <c r="AT87" s="105">
        <f t="shared" si="39"/>
        <v>0</v>
      </c>
      <c r="AU87" s="105">
        <f t="shared" si="39"/>
        <v>0</v>
      </c>
      <c r="AV87" s="105">
        <f t="shared" si="39"/>
        <v>0</v>
      </c>
      <c r="AW87" s="105">
        <f t="shared" si="39"/>
        <v>0</v>
      </c>
    </row>
    <row r="88" spans="1:49">
      <c r="E88" s="106" t="s">
        <v>53</v>
      </c>
      <c r="F88" s="107"/>
      <c r="G88" s="106" t="s">
        <v>128</v>
      </c>
      <c r="H88" s="107"/>
      <c r="I88" s="95">
        <f xml:space="preserve"> $F$84</f>
        <v>15000000</v>
      </c>
      <c r="J88" s="107">
        <f>SUM(J86:J87)</f>
        <v>14575105.070937689</v>
      </c>
      <c r="K88" s="107">
        <f t="shared" ref="K88:AW88" si="40">SUM(K86:K87)</f>
        <v>14147554.54856874</v>
      </c>
      <c r="L88" s="107">
        <f t="shared" si="40"/>
        <v>13717331.835434984</v>
      </c>
      <c r="M88" s="107">
        <f t="shared" si="40"/>
        <v>13284420.230344143</v>
      </c>
      <c r="N88" s="107">
        <f t="shared" si="40"/>
        <v>12848802.927721484</v>
      </c>
      <c r="O88" s="107">
        <f t="shared" si="40"/>
        <v>12410463.016957432</v>
      </c>
      <c r="P88" s="107">
        <f t="shared" si="40"/>
        <v>11969383.481751107</v>
      </c>
      <c r="Q88" s="107">
        <f t="shared" si="40"/>
        <v>11525547.19944974</v>
      </c>
      <c r="R88" s="107">
        <f t="shared" si="40"/>
        <v>11078936.940383991</v>
      </c>
      <c r="S88" s="107">
        <f t="shared" si="40"/>
        <v>10629535.36719908</v>
      </c>
      <c r="T88" s="107">
        <f t="shared" si="40"/>
        <v>10177325.034181764</v>
      </c>
      <c r="U88" s="107">
        <f t="shared" si="40"/>
        <v>9722288.3865830898</v>
      </c>
      <c r="V88" s="107">
        <f t="shared" si="40"/>
        <v>9264407.7599369232</v>
      </c>
      <c r="W88" s="107">
        <f t="shared" si="40"/>
        <v>8803665.3793742191</v>
      </c>
      <c r="X88" s="107">
        <f t="shared" si="40"/>
        <v>8340043.358932998</v>
      </c>
      <c r="Y88" s="107">
        <f t="shared" si="40"/>
        <v>7873523.7008640189</v>
      </c>
      <c r="Z88" s="107">
        <f t="shared" si="40"/>
        <v>7404088.2949321084</v>
      </c>
      <c r="AA88" s="107">
        <f t="shared" si="40"/>
        <v>6931718.9177131234</v>
      </c>
      <c r="AB88" s="107">
        <f t="shared" si="40"/>
        <v>6456397.2318865201</v>
      </c>
      <c r="AC88" s="107">
        <f t="shared" si="40"/>
        <v>5978104.7855235003</v>
      </c>
      <c r="AD88" s="107">
        <f t="shared" si="40"/>
        <v>5496823.011370712</v>
      </c>
      <c r="AE88" s="107">
        <f t="shared" si="40"/>
        <v>5012533.2261294685</v>
      </c>
      <c r="AF88" s="107">
        <f t="shared" si="40"/>
        <v>4525216.6297304677</v>
      </c>
      <c r="AG88" s="107">
        <f t="shared" si="40"/>
        <v>4034854.3046039729</v>
      </c>
      <c r="AH88" s="107">
        <f t="shared" si="40"/>
        <v>3541427.2149454374</v>
      </c>
      <c r="AI88" s="107">
        <f t="shared" si="40"/>
        <v>3044916.205976536</v>
      </c>
      <c r="AJ88" s="107">
        <f t="shared" si="40"/>
        <v>2545302.0032015792</v>
      </c>
      <c r="AK88" s="107">
        <f t="shared" si="40"/>
        <v>2042565.2116592787</v>
      </c>
      <c r="AL88" s="107">
        <f t="shared" si="40"/>
        <v>1536686.315169839</v>
      </c>
      <c r="AM88" s="107">
        <f t="shared" si="40"/>
        <v>1027645.6755773402</v>
      </c>
      <c r="AN88" s="107">
        <f t="shared" si="40"/>
        <v>515423.53198738833</v>
      </c>
      <c r="AO88" s="107">
        <f t="shared" si="40"/>
        <v>0</v>
      </c>
      <c r="AP88" s="107">
        <f t="shared" si="40"/>
        <v>0</v>
      </c>
      <c r="AQ88" s="107">
        <f t="shared" si="40"/>
        <v>0</v>
      </c>
      <c r="AR88" s="107">
        <f t="shared" si="40"/>
        <v>0</v>
      </c>
      <c r="AS88" s="107">
        <f t="shared" si="40"/>
        <v>0</v>
      </c>
      <c r="AT88" s="107">
        <f t="shared" si="40"/>
        <v>0</v>
      </c>
      <c r="AU88" s="107">
        <f t="shared" si="40"/>
        <v>0</v>
      </c>
      <c r="AV88" s="107">
        <f t="shared" si="40"/>
        <v>0</v>
      </c>
      <c r="AW88" s="107">
        <f t="shared" si="40"/>
        <v>0</v>
      </c>
    </row>
    <row r="90" spans="1:49">
      <c r="D90" s="109" t="s">
        <v>162</v>
      </c>
    </row>
    <row r="91" spans="1:49">
      <c r="E91" s="82" t="str">
        <f>CaseData!C$5</f>
        <v>Annual cash interest rate</v>
      </c>
      <c r="F91" s="101">
        <f>CaseData!H$5</f>
        <v>2.5000000000000001E-2</v>
      </c>
      <c r="G91" s="82" t="s">
        <v>151</v>
      </c>
      <c r="H91" s="82"/>
      <c r="I91" s="82"/>
      <c r="K91" s="82"/>
      <c r="L91" s="82"/>
    </row>
    <row r="92" spans="1:49">
      <c r="E92" s="82" t="s">
        <v>163</v>
      </c>
      <c r="F92" s="100">
        <f xml:space="preserve"> F91 / 4</f>
        <v>6.2500000000000003E-3</v>
      </c>
      <c r="G92" s="82" t="s">
        <v>150</v>
      </c>
    </row>
    <row r="93" spans="1:49">
      <c r="E93" s="83" t="s">
        <v>164</v>
      </c>
      <c r="F93" s="84"/>
      <c r="G93" s="83" t="s">
        <v>128</v>
      </c>
      <c r="H93" s="84">
        <f xml:space="preserve"> SUM( J93:AW93)</f>
        <v>1596637.7299939292</v>
      </c>
      <c r="I93" s="84"/>
      <c r="J93" s="84">
        <f t="shared" ref="J93:AW93" si="41" xml:space="preserve"> $F$92 * J$86</f>
        <v>93750</v>
      </c>
      <c r="K93" s="84">
        <f t="shared" si="41"/>
        <v>91094.406693360565</v>
      </c>
      <c r="L93" s="84">
        <f t="shared" si="41"/>
        <v>88422.215928554637</v>
      </c>
      <c r="M93" s="84">
        <f t="shared" si="41"/>
        <v>85733.323971468664</v>
      </c>
      <c r="N93" s="84">
        <f t="shared" si="41"/>
        <v>83027.626439650892</v>
      </c>
      <c r="O93" s="84">
        <f t="shared" si="41"/>
        <v>80305.018298259281</v>
      </c>
      <c r="P93" s="84">
        <f t="shared" si="41"/>
        <v>77565.393855983959</v>
      </c>
      <c r="Q93" s="84">
        <f t="shared" si="41"/>
        <v>74808.646760944423</v>
      </c>
      <c r="R93" s="84">
        <f t="shared" si="41"/>
        <v>72034.669996560886</v>
      </c>
      <c r="S93" s="84">
        <f t="shared" si="41"/>
        <v>69243.355877399954</v>
      </c>
      <c r="T93" s="84">
        <f t="shared" si="41"/>
        <v>66434.59604499425</v>
      </c>
      <c r="U93" s="84">
        <f t="shared" si="41"/>
        <v>63608.281463636027</v>
      </c>
      <c r="V93" s="84">
        <f t="shared" si="41"/>
        <v>60764.302416144317</v>
      </c>
      <c r="W93" s="84">
        <f t="shared" si="41"/>
        <v>57902.548499605771</v>
      </c>
      <c r="X93" s="84">
        <f t="shared" si="41"/>
        <v>55022.908621088871</v>
      </c>
      <c r="Y93" s="84">
        <f t="shared" si="41"/>
        <v>52125.270993331244</v>
      </c>
      <c r="Z93" s="84">
        <f t="shared" si="41"/>
        <v>49209.523130400121</v>
      </c>
      <c r="AA93" s="84">
        <f t="shared" si="41"/>
        <v>46275.55184332568</v>
      </c>
      <c r="AB93" s="84">
        <f t="shared" si="41"/>
        <v>43323.243235707021</v>
      </c>
      <c r="AC93" s="84">
        <f t="shared" si="41"/>
        <v>40352.482699290755</v>
      </c>
      <c r="AD93" s="84">
        <f t="shared" si="41"/>
        <v>37363.15490952188</v>
      </c>
      <c r="AE93" s="84">
        <f t="shared" si="41"/>
        <v>34355.143821066951</v>
      </c>
      <c r="AF93" s="84">
        <f t="shared" si="41"/>
        <v>31328.332663309178</v>
      </c>
      <c r="AG93" s="84">
        <f t="shared" si="41"/>
        <v>28282.603935815423</v>
      </c>
      <c r="AH93" s="84">
        <f t="shared" si="41"/>
        <v>25217.839403774833</v>
      </c>
      <c r="AI93" s="84">
        <f t="shared" si="41"/>
        <v>22133.920093408986</v>
      </c>
      <c r="AJ93" s="84">
        <f t="shared" si="41"/>
        <v>19030.726287353351</v>
      </c>
      <c r="AK93" s="84">
        <f t="shared" si="41"/>
        <v>15908.13752000987</v>
      </c>
      <c r="AL93" s="84">
        <f t="shared" si="41"/>
        <v>12766.032572870492</v>
      </c>
      <c r="AM93" s="84">
        <f t="shared" si="41"/>
        <v>9604.2894698114942</v>
      </c>
      <c r="AN93" s="84">
        <f t="shared" si="41"/>
        <v>6422.7854723583769</v>
      </c>
      <c r="AO93" s="84">
        <f t="shared" si="41"/>
        <v>3221.3970749211771</v>
      </c>
      <c r="AP93" s="84">
        <f t="shared" si="41"/>
        <v>0</v>
      </c>
      <c r="AQ93" s="84">
        <f t="shared" si="41"/>
        <v>0</v>
      </c>
      <c r="AR93" s="84">
        <f t="shared" si="41"/>
        <v>0</v>
      </c>
      <c r="AS93" s="84">
        <f t="shared" si="41"/>
        <v>0</v>
      </c>
      <c r="AT93" s="84">
        <f t="shared" si="41"/>
        <v>0</v>
      </c>
      <c r="AU93" s="84">
        <f t="shared" si="41"/>
        <v>0</v>
      </c>
      <c r="AV93" s="84">
        <f t="shared" si="41"/>
        <v>0</v>
      </c>
      <c r="AW93" s="84">
        <f t="shared" si="41"/>
        <v>0</v>
      </c>
    </row>
    <row r="95" spans="1:49">
      <c r="D95" s="109" t="s">
        <v>81</v>
      </c>
    </row>
    <row r="96" spans="1:49">
      <c r="E96" s="82" t="str">
        <f>CaseData!C$6</f>
        <v>Amortisation Months</v>
      </c>
      <c r="F96" s="97">
        <f>CaseData!H$6</f>
        <v>96</v>
      </c>
      <c r="G96" s="82" t="s">
        <v>157</v>
      </c>
      <c r="H96" s="82"/>
      <c r="I96" s="82"/>
      <c r="K96" s="82"/>
    </row>
    <row r="97" spans="1:49">
      <c r="E97" s="82" t="s">
        <v>158</v>
      </c>
      <c r="F97" s="97">
        <f xml:space="preserve"> F96 / 3</f>
        <v>32</v>
      </c>
      <c r="G97" s="82" t="s">
        <v>159</v>
      </c>
      <c r="H97" s="82"/>
      <c r="I97" s="82"/>
      <c r="K97" s="82"/>
    </row>
    <row r="98" spans="1:49">
      <c r="E98" s="116" t="s">
        <v>166</v>
      </c>
      <c r="F98" s="117">
        <f>PMT( $F$92, $F$97, $F$84 ) * - 1</f>
        <v>518644.92906231026</v>
      </c>
      <c r="G98" s="86" t="s">
        <v>128</v>
      </c>
      <c r="H98" s="105"/>
      <c r="I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</row>
    <row r="99" spans="1:49">
      <c r="E99" s="83" t="s">
        <v>167</v>
      </c>
      <c r="F99" s="84"/>
      <c r="G99" s="83" t="s">
        <v>128</v>
      </c>
      <c r="H99" s="84">
        <f>SUM( J99:AW99)</f>
        <v>14999999.999999996</v>
      </c>
      <c r="I99" s="84"/>
      <c r="J99" s="84">
        <f xml:space="preserve"> MIN( J$86, $F$98 - J$93 )</f>
        <v>424894.92906231026</v>
      </c>
      <c r="K99" s="84">
        <f t="shared" ref="K99:AW99" si="42" xml:space="preserve"> MIN( K$86, $F$98 - K$93 )</f>
        <v>427550.52236894972</v>
      </c>
      <c r="L99" s="84">
        <f t="shared" si="42"/>
        <v>430222.71313375561</v>
      </c>
      <c r="M99" s="84">
        <f t="shared" si="42"/>
        <v>432911.60509084159</v>
      </c>
      <c r="N99" s="84">
        <f t="shared" si="42"/>
        <v>435617.30262265936</v>
      </c>
      <c r="O99" s="84">
        <f t="shared" si="42"/>
        <v>438339.91076405096</v>
      </c>
      <c r="P99" s="84">
        <f t="shared" si="42"/>
        <v>441079.53520632628</v>
      </c>
      <c r="Q99" s="84">
        <f t="shared" si="42"/>
        <v>443836.28230136586</v>
      </c>
      <c r="R99" s="84">
        <f t="shared" si="42"/>
        <v>446610.25906574936</v>
      </c>
      <c r="S99" s="84">
        <f t="shared" si="42"/>
        <v>449401.57318491029</v>
      </c>
      <c r="T99" s="84">
        <f t="shared" si="42"/>
        <v>452210.33301731601</v>
      </c>
      <c r="U99" s="84">
        <f t="shared" si="42"/>
        <v>455036.64759867423</v>
      </c>
      <c r="V99" s="84">
        <f t="shared" si="42"/>
        <v>457880.62664616597</v>
      </c>
      <c r="W99" s="84">
        <f t="shared" si="42"/>
        <v>460742.38056270446</v>
      </c>
      <c r="X99" s="84">
        <f t="shared" si="42"/>
        <v>463622.02044122136</v>
      </c>
      <c r="Y99" s="84">
        <f t="shared" si="42"/>
        <v>466519.65806897904</v>
      </c>
      <c r="Z99" s="84">
        <f t="shared" si="42"/>
        <v>469435.40593191015</v>
      </c>
      <c r="AA99" s="84">
        <f t="shared" si="42"/>
        <v>472369.37721898459</v>
      </c>
      <c r="AB99" s="84">
        <f t="shared" si="42"/>
        <v>475321.68582660321</v>
      </c>
      <c r="AC99" s="84">
        <f t="shared" si="42"/>
        <v>478292.44636301952</v>
      </c>
      <c r="AD99" s="84">
        <f t="shared" si="42"/>
        <v>481281.77415278839</v>
      </c>
      <c r="AE99" s="84">
        <f t="shared" si="42"/>
        <v>484289.78524124331</v>
      </c>
      <c r="AF99" s="84">
        <f t="shared" si="42"/>
        <v>487316.59639900108</v>
      </c>
      <c r="AG99" s="84">
        <f t="shared" si="42"/>
        <v>490362.32512649486</v>
      </c>
      <c r="AH99" s="84">
        <f t="shared" si="42"/>
        <v>493427.08965853543</v>
      </c>
      <c r="AI99" s="84">
        <f t="shared" si="42"/>
        <v>496511.0089689013</v>
      </c>
      <c r="AJ99" s="84">
        <f t="shared" si="42"/>
        <v>499614.20277495688</v>
      </c>
      <c r="AK99" s="84">
        <f t="shared" si="42"/>
        <v>502736.79154230037</v>
      </c>
      <c r="AL99" s="84">
        <f t="shared" si="42"/>
        <v>505878.89648943976</v>
      </c>
      <c r="AM99" s="84">
        <f t="shared" si="42"/>
        <v>509040.63959249877</v>
      </c>
      <c r="AN99" s="84">
        <f t="shared" si="42"/>
        <v>512222.14358995185</v>
      </c>
      <c r="AO99" s="84">
        <f t="shared" si="42"/>
        <v>515423.53198738833</v>
      </c>
      <c r="AP99" s="84">
        <f t="shared" si="42"/>
        <v>0</v>
      </c>
      <c r="AQ99" s="84">
        <f t="shared" si="42"/>
        <v>0</v>
      </c>
      <c r="AR99" s="84">
        <f t="shared" si="42"/>
        <v>0</v>
      </c>
      <c r="AS99" s="84">
        <f t="shared" si="42"/>
        <v>0</v>
      </c>
      <c r="AT99" s="84">
        <f t="shared" si="42"/>
        <v>0</v>
      </c>
      <c r="AU99" s="84">
        <f t="shared" si="42"/>
        <v>0</v>
      </c>
      <c r="AV99" s="84">
        <f t="shared" si="42"/>
        <v>0</v>
      </c>
      <c r="AW99" s="84">
        <f t="shared" si="42"/>
        <v>0</v>
      </c>
    </row>
    <row r="102" spans="1:49" s="72" customFormat="1">
      <c r="A102" s="73" t="s">
        <v>172</v>
      </c>
      <c r="E102" s="92"/>
      <c r="G102" s="92"/>
    </row>
    <row r="105" spans="1:49">
      <c r="E105" s="123" t="s">
        <v>173</v>
      </c>
      <c r="F105" s="78">
        <f>CaseData!$H$23</f>
        <v>9000000</v>
      </c>
      <c r="G105" s="123" t="s">
        <v>128</v>
      </c>
      <c r="H105" s="124"/>
      <c r="I105" s="124"/>
    </row>
    <row r="106" spans="1:49">
      <c r="E106" s="123"/>
      <c r="F106" s="124"/>
      <c r="G106" s="123"/>
      <c r="H106" s="124"/>
      <c r="I106" s="124"/>
    </row>
    <row r="107" spans="1:49">
      <c r="E107" s="125" t="s">
        <v>174</v>
      </c>
      <c r="F107" s="126"/>
      <c r="G107" s="125" t="s">
        <v>128</v>
      </c>
      <c r="H107" s="126"/>
      <c r="I107" s="126"/>
      <c r="J107" s="103">
        <f xml:space="preserve"> I$110</f>
        <v>9000000</v>
      </c>
      <c r="K107" s="103">
        <f t="shared" ref="K107:AW107" si="43" xml:space="preserve"> J$110</f>
        <v>8775000</v>
      </c>
      <c r="L107" s="103">
        <f t="shared" si="43"/>
        <v>8550000</v>
      </c>
      <c r="M107" s="103">
        <f t="shared" si="43"/>
        <v>8325000</v>
      </c>
      <c r="N107" s="103">
        <f t="shared" si="43"/>
        <v>8100000</v>
      </c>
      <c r="O107" s="103">
        <f t="shared" si="43"/>
        <v>7875000</v>
      </c>
      <c r="P107" s="103">
        <f t="shared" si="43"/>
        <v>7650000</v>
      </c>
      <c r="Q107" s="103">
        <f t="shared" si="43"/>
        <v>7425000</v>
      </c>
      <c r="R107" s="103">
        <f t="shared" si="43"/>
        <v>7200000</v>
      </c>
      <c r="S107" s="103">
        <f t="shared" si="43"/>
        <v>6975000</v>
      </c>
      <c r="T107" s="103">
        <f t="shared" si="43"/>
        <v>6750000</v>
      </c>
      <c r="U107" s="103">
        <f t="shared" si="43"/>
        <v>6525000</v>
      </c>
      <c r="V107" s="103">
        <f t="shared" si="43"/>
        <v>6300000</v>
      </c>
      <c r="W107" s="103">
        <f t="shared" si="43"/>
        <v>6075000</v>
      </c>
      <c r="X107" s="103">
        <f t="shared" si="43"/>
        <v>5850000</v>
      </c>
      <c r="Y107" s="103">
        <f t="shared" si="43"/>
        <v>5625000</v>
      </c>
      <c r="Z107" s="103">
        <f t="shared" si="43"/>
        <v>5400000</v>
      </c>
      <c r="AA107" s="103">
        <f t="shared" si="43"/>
        <v>5175000</v>
      </c>
      <c r="AB107" s="103">
        <f t="shared" si="43"/>
        <v>4950000</v>
      </c>
      <c r="AC107" s="103">
        <f t="shared" si="43"/>
        <v>4725000</v>
      </c>
      <c r="AD107" s="103">
        <f t="shared" si="43"/>
        <v>4500000</v>
      </c>
      <c r="AE107" s="103">
        <f t="shared" si="43"/>
        <v>4275000</v>
      </c>
      <c r="AF107" s="103">
        <f t="shared" si="43"/>
        <v>4050000</v>
      </c>
      <c r="AG107" s="103">
        <f t="shared" si="43"/>
        <v>3825000</v>
      </c>
      <c r="AH107" s="103">
        <f t="shared" si="43"/>
        <v>3600000</v>
      </c>
      <c r="AI107" s="103">
        <f t="shared" si="43"/>
        <v>3375000</v>
      </c>
      <c r="AJ107" s="103">
        <f t="shared" si="43"/>
        <v>3150000</v>
      </c>
      <c r="AK107" s="103">
        <f t="shared" si="43"/>
        <v>2925000</v>
      </c>
      <c r="AL107" s="103">
        <f t="shared" si="43"/>
        <v>2700000</v>
      </c>
      <c r="AM107" s="103">
        <f t="shared" si="43"/>
        <v>2475000</v>
      </c>
      <c r="AN107" s="103">
        <f t="shared" si="43"/>
        <v>2250000</v>
      </c>
      <c r="AO107" s="103">
        <f t="shared" si="43"/>
        <v>2025000</v>
      </c>
      <c r="AP107" s="103">
        <f t="shared" si="43"/>
        <v>1800000</v>
      </c>
      <c r="AQ107" s="103">
        <f t="shared" si="43"/>
        <v>1575000</v>
      </c>
      <c r="AR107" s="103">
        <f t="shared" si="43"/>
        <v>1350000</v>
      </c>
      <c r="AS107" s="103">
        <f t="shared" si="43"/>
        <v>1125000</v>
      </c>
      <c r="AT107" s="103">
        <f t="shared" si="43"/>
        <v>900000</v>
      </c>
      <c r="AU107" s="103">
        <f t="shared" si="43"/>
        <v>675000</v>
      </c>
      <c r="AV107" s="103">
        <f t="shared" si="43"/>
        <v>450000</v>
      </c>
      <c r="AW107" s="103">
        <f t="shared" si="43"/>
        <v>225000</v>
      </c>
    </row>
    <row r="108" spans="1:49">
      <c r="E108" s="127" t="s">
        <v>139</v>
      </c>
      <c r="F108" s="129"/>
      <c r="G108" s="128" t="s">
        <v>128</v>
      </c>
      <c r="H108" s="129"/>
      <c r="I108" s="129">
        <v>0</v>
      </c>
      <c r="J108" s="105">
        <f>J$126 * - 1</f>
        <v>-225000</v>
      </c>
      <c r="K108" s="105">
        <f t="shared" ref="K108:AW108" si="44">K$126 * - 1</f>
        <v>-225000</v>
      </c>
      <c r="L108" s="105">
        <f t="shared" si="44"/>
        <v>-225000</v>
      </c>
      <c r="M108" s="105">
        <f t="shared" si="44"/>
        <v>-225000</v>
      </c>
      <c r="N108" s="105">
        <f t="shared" si="44"/>
        <v>-225000</v>
      </c>
      <c r="O108" s="105">
        <f t="shared" si="44"/>
        <v>-225000</v>
      </c>
      <c r="P108" s="105">
        <f t="shared" si="44"/>
        <v>-225000</v>
      </c>
      <c r="Q108" s="105">
        <f t="shared" si="44"/>
        <v>-225000</v>
      </c>
      <c r="R108" s="105">
        <f t="shared" si="44"/>
        <v>-225000</v>
      </c>
      <c r="S108" s="105">
        <f t="shared" si="44"/>
        <v>-225000</v>
      </c>
      <c r="T108" s="105">
        <f t="shared" si="44"/>
        <v>-225000</v>
      </c>
      <c r="U108" s="105">
        <f t="shared" si="44"/>
        <v>-225000</v>
      </c>
      <c r="V108" s="105">
        <f t="shared" si="44"/>
        <v>-225000</v>
      </c>
      <c r="W108" s="105">
        <f t="shared" si="44"/>
        <v>-225000</v>
      </c>
      <c r="X108" s="105">
        <f t="shared" si="44"/>
        <v>-225000</v>
      </c>
      <c r="Y108" s="105">
        <f t="shared" si="44"/>
        <v>-225000</v>
      </c>
      <c r="Z108" s="105">
        <f t="shared" si="44"/>
        <v>-225000</v>
      </c>
      <c r="AA108" s="105">
        <f t="shared" si="44"/>
        <v>-225000</v>
      </c>
      <c r="AB108" s="105">
        <f t="shared" si="44"/>
        <v>-225000</v>
      </c>
      <c r="AC108" s="105">
        <f t="shared" si="44"/>
        <v>-225000</v>
      </c>
      <c r="AD108" s="105">
        <f t="shared" si="44"/>
        <v>-225000</v>
      </c>
      <c r="AE108" s="105">
        <f t="shared" si="44"/>
        <v>-225000</v>
      </c>
      <c r="AF108" s="105">
        <f t="shared" si="44"/>
        <v>-225000</v>
      </c>
      <c r="AG108" s="105">
        <f t="shared" si="44"/>
        <v>-225000</v>
      </c>
      <c r="AH108" s="105">
        <f t="shared" si="44"/>
        <v>-225000</v>
      </c>
      <c r="AI108" s="105">
        <f t="shared" si="44"/>
        <v>-225000</v>
      </c>
      <c r="AJ108" s="105">
        <f t="shared" si="44"/>
        <v>-225000</v>
      </c>
      <c r="AK108" s="105">
        <f t="shared" si="44"/>
        <v>-225000</v>
      </c>
      <c r="AL108" s="105">
        <f t="shared" si="44"/>
        <v>-225000</v>
      </c>
      <c r="AM108" s="105">
        <f t="shared" si="44"/>
        <v>-225000</v>
      </c>
      <c r="AN108" s="105">
        <f t="shared" si="44"/>
        <v>-225000</v>
      </c>
      <c r="AO108" s="105">
        <f t="shared" si="44"/>
        <v>-225000</v>
      </c>
      <c r="AP108" s="105">
        <f t="shared" si="44"/>
        <v>-225000</v>
      </c>
      <c r="AQ108" s="105">
        <f t="shared" si="44"/>
        <v>-225000</v>
      </c>
      <c r="AR108" s="105">
        <f t="shared" si="44"/>
        <v>-225000</v>
      </c>
      <c r="AS108" s="105">
        <f t="shared" si="44"/>
        <v>-225000</v>
      </c>
      <c r="AT108" s="105">
        <f t="shared" si="44"/>
        <v>-225000</v>
      </c>
      <c r="AU108" s="105">
        <f t="shared" si="44"/>
        <v>-225000</v>
      </c>
      <c r="AV108" s="105">
        <f t="shared" si="44"/>
        <v>-225000</v>
      </c>
      <c r="AW108" s="105">
        <f t="shared" si="44"/>
        <v>-225000</v>
      </c>
    </row>
    <row r="109" spans="1:49">
      <c r="E109" s="127" t="s">
        <v>141</v>
      </c>
      <c r="F109" s="129"/>
      <c r="G109" s="128" t="s">
        <v>128</v>
      </c>
      <c r="H109" s="129"/>
      <c r="I109" s="129">
        <v>0</v>
      </c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</row>
    <row r="110" spans="1:49">
      <c r="E110" s="130" t="s">
        <v>172</v>
      </c>
      <c r="F110" s="131"/>
      <c r="G110" s="130" t="s">
        <v>128</v>
      </c>
      <c r="H110" s="131"/>
      <c r="I110" s="132">
        <f xml:space="preserve"> $F$105</f>
        <v>9000000</v>
      </c>
      <c r="J110" s="107">
        <f>SUM(J107:J109)</f>
        <v>8775000</v>
      </c>
      <c r="K110" s="107">
        <f t="shared" ref="K110:AW110" si="45">SUM(K107:K109)</f>
        <v>8550000</v>
      </c>
      <c r="L110" s="107">
        <f t="shared" si="45"/>
        <v>8325000</v>
      </c>
      <c r="M110" s="107">
        <f t="shared" si="45"/>
        <v>8100000</v>
      </c>
      <c r="N110" s="107">
        <f t="shared" si="45"/>
        <v>7875000</v>
      </c>
      <c r="O110" s="107">
        <f t="shared" si="45"/>
        <v>7650000</v>
      </c>
      <c r="P110" s="107">
        <f t="shared" si="45"/>
        <v>7425000</v>
      </c>
      <c r="Q110" s="107">
        <f t="shared" si="45"/>
        <v>7200000</v>
      </c>
      <c r="R110" s="107">
        <f t="shared" si="45"/>
        <v>6975000</v>
      </c>
      <c r="S110" s="107">
        <f t="shared" si="45"/>
        <v>6750000</v>
      </c>
      <c r="T110" s="107">
        <f t="shared" si="45"/>
        <v>6525000</v>
      </c>
      <c r="U110" s="107">
        <f t="shared" si="45"/>
        <v>6300000</v>
      </c>
      <c r="V110" s="107">
        <f t="shared" si="45"/>
        <v>6075000</v>
      </c>
      <c r="W110" s="107">
        <f t="shared" si="45"/>
        <v>5850000</v>
      </c>
      <c r="X110" s="107">
        <f t="shared" si="45"/>
        <v>5625000</v>
      </c>
      <c r="Y110" s="107">
        <f t="shared" si="45"/>
        <v>5400000</v>
      </c>
      <c r="Z110" s="107">
        <f t="shared" si="45"/>
        <v>5175000</v>
      </c>
      <c r="AA110" s="107">
        <f t="shared" si="45"/>
        <v>4950000</v>
      </c>
      <c r="AB110" s="107">
        <f t="shared" si="45"/>
        <v>4725000</v>
      </c>
      <c r="AC110" s="107">
        <f t="shared" si="45"/>
        <v>4500000</v>
      </c>
      <c r="AD110" s="107">
        <f t="shared" si="45"/>
        <v>4275000</v>
      </c>
      <c r="AE110" s="107">
        <f t="shared" si="45"/>
        <v>4050000</v>
      </c>
      <c r="AF110" s="107">
        <f t="shared" si="45"/>
        <v>3825000</v>
      </c>
      <c r="AG110" s="107">
        <f t="shared" si="45"/>
        <v>3600000</v>
      </c>
      <c r="AH110" s="107">
        <f t="shared" si="45"/>
        <v>3375000</v>
      </c>
      <c r="AI110" s="107">
        <f t="shared" si="45"/>
        <v>3150000</v>
      </c>
      <c r="AJ110" s="107">
        <f t="shared" si="45"/>
        <v>2925000</v>
      </c>
      <c r="AK110" s="107">
        <f t="shared" si="45"/>
        <v>2700000</v>
      </c>
      <c r="AL110" s="107">
        <f t="shared" si="45"/>
        <v>2475000</v>
      </c>
      <c r="AM110" s="107">
        <f t="shared" si="45"/>
        <v>2250000</v>
      </c>
      <c r="AN110" s="107">
        <f t="shared" si="45"/>
        <v>2025000</v>
      </c>
      <c r="AO110" s="107">
        <f t="shared" si="45"/>
        <v>1800000</v>
      </c>
      <c r="AP110" s="107">
        <f t="shared" si="45"/>
        <v>1575000</v>
      </c>
      <c r="AQ110" s="107">
        <f t="shared" si="45"/>
        <v>1350000</v>
      </c>
      <c r="AR110" s="107">
        <f t="shared" si="45"/>
        <v>1125000</v>
      </c>
      <c r="AS110" s="107">
        <f t="shared" si="45"/>
        <v>900000</v>
      </c>
      <c r="AT110" s="107">
        <f t="shared" si="45"/>
        <v>675000</v>
      </c>
      <c r="AU110" s="107">
        <f t="shared" si="45"/>
        <v>450000</v>
      </c>
      <c r="AV110" s="107">
        <f t="shared" si="45"/>
        <v>225000</v>
      </c>
      <c r="AW110" s="107">
        <f t="shared" si="45"/>
        <v>0</v>
      </c>
    </row>
    <row r="113" spans="4:49">
      <c r="D113" s="109" t="s">
        <v>178</v>
      </c>
    </row>
    <row r="114" spans="4:49">
      <c r="E114" s="82" t="str">
        <f>CaseData!C$5</f>
        <v>Annual cash interest rate</v>
      </c>
      <c r="F114" s="101">
        <f>CaseData!$H$24</f>
        <v>0</v>
      </c>
      <c r="G114" s="82" t="s">
        <v>151</v>
      </c>
      <c r="H114" s="82"/>
      <c r="I114" s="82"/>
    </row>
    <row r="115" spans="4:49">
      <c r="E115" s="82" t="s">
        <v>163</v>
      </c>
      <c r="F115" s="100">
        <f xml:space="preserve"> F114 / 4</f>
        <v>0</v>
      </c>
      <c r="G115" s="82" t="s">
        <v>150</v>
      </c>
    </row>
    <row r="116" spans="4:49">
      <c r="E116" s="83" t="s">
        <v>164</v>
      </c>
      <c r="F116" s="84"/>
      <c r="G116" s="83" t="s">
        <v>128</v>
      </c>
      <c r="H116" s="84">
        <f xml:space="preserve"> SUM( J116:AW116)</f>
        <v>0</v>
      </c>
      <c r="I116" s="84"/>
      <c r="J116" s="84">
        <f xml:space="preserve"> J$107 * $F$115</f>
        <v>0</v>
      </c>
      <c r="K116" s="84">
        <f t="shared" ref="K116:AW116" si="46" xml:space="preserve"> K$107 * $F$115</f>
        <v>0</v>
      </c>
      <c r="L116" s="84">
        <f t="shared" si="46"/>
        <v>0</v>
      </c>
      <c r="M116" s="84">
        <f t="shared" si="46"/>
        <v>0</v>
      </c>
      <c r="N116" s="84">
        <f t="shared" si="46"/>
        <v>0</v>
      </c>
      <c r="O116" s="84">
        <f t="shared" si="46"/>
        <v>0</v>
      </c>
      <c r="P116" s="84">
        <f t="shared" si="46"/>
        <v>0</v>
      </c>
      <c r="Q116" s="84">
        <f t="shared" si="46"/>
        <v>0</v>
      </c>
      <c r="R116" s="84">
        <f t="shared" si="46"/>
        <v>0</v>
      </c>
      <c r="S116" s="84">
        <f t="shared" si="46"/>
        <v>0</v>
      </c>
      <c r="T116" s="84">
        <f t="shared" si="46"/>
        <v>0</v>
      </c>
      <c r="U116" s="84">
        <f t="shared" si="46"/>
        <v>0</v>
      </c>
      <c r="V116" s="84">
        <f t="shared" si="46"/>
        <v>0</v>
      </c>
      <c r="W116" s="84">
        <f t="shared" si="46"/>
        <v>0</v>
      </c>
      <c r="X116" s="84">
        <f t="shared" si="46"/>
        <v>0</v>
      </c>
      <c r="Y116" s="84">
        <f t="shared" si="46"/>
        <v>0</v>
      </c>
      <c r="Z116" s="84">
        <f t="shared" si="46"/>
        <v>0</v>
      </c>
      <c r="AA116" s="84">
        <f t="shared" si="46"/>
        <v>0</v>
      </c>
      <c r="AB116" s="84">
        <f t="shared" si="46"/>
        <v>0</v>
      </c>
      <c r="AC116" s="84">
        <f t="shared" si="46"/>
        <v>0</v>
      </c>
      <c r="AD116" s="84">
        <f t="shared" si="46"/>
        <v>0</v>
      </c>
      <c r="AE116" s="84">
        <f t="shared" si="46"/>
        <v>0</v>
      </c>
      <c r="AF116" s="84">
        <f t="shared" si="46"/>
        <v>0</v>
      </c>
      <c r="AG116" s="84">
        <f t="shared" si="46"/>
        <v>0</v>
      </c>
      <c r="AH116" s="84">
        <f t="shared" si="46"/>
        <v>0</v>
      </c>
      <c r="AI116" s="84">
        <f t="shared" si="46"/>
        <v>0</v>
      </c>
      <c r="AJ116" s="84">
        <f t="shared" si="46"/>
        <v>0</v>
      </c>
      <c r="AK116" s="84">
        <f t="shared" si="46"/>
        <v>0</v>
      </c>
      <c r="AL116" s="84">
        <f t="shared" si="46"/>
        <v>0</v>
      </c>
      <c r="AM116" s="84">
        <f t="shared" si="46"/>
        <v>0</v>
      </c>
      <c r="AN116" s="84">
        <f t="shared" si="46"/>
        <v>0</v>
      </c>
      <c r="AO116" s="84">
        <f t="shared" si="46"/>
        <v>0</v>
      </c>
      <c r="AP116" s="84">
        <f t="shared" si="46"/>
        <v>0</v>
      </c>
      <c r="AQ116" s="84">
        <f t="shared" si="46"/>
        <v>0</v>
      </c>
      <c r="AR116" s="84">
        <f t="shared" si="46"/>
        <v>0</v>
      </c>
      <c r="AS116" s="84">
        <f t="shared" si="46"/>
        <v>0</v>
      </c>
      <c r="AT116" s="84">
        <f t="shared" si="46"/>
        <v>0</v>
      </c>
      <c r="AU116" s="84">
        <f t="shared" si="46"/>
        <v>0</v>
      </c>
      <c r="AV116" s="84">
        <f t="shared" si="46"/>
        <v>0</v>
      </c>
      <c r="AW116" s="84">
        <f t="shared" si="46"/>
        <v>0</v>
      </c>
    </row>
    <row r="119" spans="4:49">
      <c r="D119" s="109" t="s">
        <v>176</v>
      </c>
    </row>
    <row r="120" spans="4:49">
      <c r="E120" s="82" t="str">
        <f>CaseData!C$25</f>
        <v>Amortisation Quarters</v>
      </c>
      <c r="F120" s="97">
        <f>CaseData!H$25</f>
        <v>40</v>
      </c>
      <c r="G120" s="82" t="s">
        <v>159</v>
      </c>
      <c r="H120" s="82"/>
      <c r="I120" s="82"/>
      <c r="K120" s="82"/>
      <c r="L120" s="82"/>
      <c r="M120" s="82"/>
    </row>
    <row r="121" spans="4:49">
      <c r="E121" s="82" t="s">
        <v>176</v>
      </c>
      <c r="G121" s="82" t="s">
        <v>128</v>
      </c>
      <c r="J121" s="24">
        <f xml:space="preserve"> J$19 * $F$105 / $F$120</f>
        <v>225000</v>
      </c>
      <c r="K121" s="24">
        <f t="shared" ref="K121:AW121" si="47" xml:space="preserve"> K$19 * $F$105 / $F$120</f>
        <v>225000</v>
      </c>
      <c r="L121" s="24">
        <f t="shared" si="47"/>
        <v>225000</v>
      </c>
      <c r="M121" s="24">
        <f t="shared" si="47"/>
        <v>225000</v>
      </c>
      <c r="N121" s="24">
        <f t="shared" si="47"/>
        <v>225000</v>
      </c>
      <c r="O121" s="24">
        <f t="shared" si="47"/>
        <v>225000</v>
      </c>
      <c r="P121" s="24">
        <f t="shared" si="47"/>
        <v>225000</v>
      </c>
      <c r="Q121" s="24">
        <f t="shared" si="47"/>
        <v>225000</v>
      </c>
      <c r="R121" s="24">
        <f t="shared" si="47"/>
        <v>225000</v>
      </c>
      <c r="S121" s="24">
        <f t="shared" si="47"/>
        <v>225000</v>
      </c>
      <c r="T121" s="24">
        <f t="shared" si="47"/>
        <v>225000</v>
      </c>
      <c r="U121" s="24">
        <f t="shared" si="47"/>
        <v>225000</v>
      </c>
      <c r="V121" s="24">
        <f t="shared" si="47"/>
        <v>225000</v>
      </c>
      <c r="W121" s="24">
        <f t="shared" si="47"/>
        <v>225000</v>
      </c>
      <c r="X121" s="24">
        <f t="shared" si="47"/>
        <v>225000</v>
      </c>
      <c r="Y121" s="24">
        <f t="shared" si="47"/>
        <v>225000</v>
      </c>
      <c r="Z121" s="24">
        <f t="shared" si="47"/>
        <v>225000</v>
      </c>
      <c r="AA121" s="24">
        <f t="shared" si="47"/>
        <v>225000</v>
      </c>
      <c r="AB121" s="24">
        <f t="shared" si="47"/>
        <v>225000</v>
      </c>
      <c r="AC121" s="24">
        <f t="shared" si="47"/>
        <v>225000</v>
      </c>
      <c r="AD121" s="24">
        <f t="shared" si="47"/>
        <v>225000</v>
      </c>
      <c r="AE121" s="24">
        <f t="shared" si="47"/>
        <v>225000</v>
      </c>
      <c r="AF121" s="24">
        <f t="shared" si="47"/>
        <v>225000</v>
      </c>
      <c r="AG121" s="24">
        <f t="shared" si="47"/>
        <v>225000</v>
      </c>
      <c r="AH121" s="24">
        <f t="shared" si="47"/>
        <v>225000</v>
      </c>
      <c r="AI121" s="24">
        <f t="shared" si="47"/>
        <v>225000</v>
      </c>
      <c r="AJ121" s="24">
        <f t="shared" si="47"/>
        <v>225000</v>
      </c>
      <c r="AK121" s="24">
        <f t="shared" si="47"/>
        <v>225000</v>
      </c>
      <c r="AL121" s="24">
        <f t="shared" si="47"/>
        <v>225000</v>
      </c>
      <c r="AM121" s="24">
        <f t="shared" si="47"/>
        <v>225000</v>
      </c>
      <c r="AN121" s="24">
        <f t="shared" si="47"/>
        <v>225000</v>
      </c>
      <c r="AO121" s="24">
        <f t="shared" si="47"/>
        <v>225000</v>
      </c>
      <c r="AP121" s="24">
        <f t="shared" si="47"/>
        <v>225000</v>
      </c>
      <c r="AQ121" s="24">
        <f t="shared" si="47"/>
        <v>225000</v>
      </c>
      <c r="AR121" s="24">
        <f t="shared" si="47"/>
        <v>225000</v>
      </c>
      <c r="AS121" s="24">
        <f t="shared" si="47"/>
        <v>225000</v>
      </c>
      <c r="AT121" s="24">
        <f t="shared" si="47"/>
        <v>225000</v>
      </c>
      <c r="AU121" s="24">
        <f t="shared" si="47"/>
        <v>225000</v>
      </c>
      <c r="AV121" s="24">
        <f t="shared" si="47"/>
        <v>225000</v>
      </c>
      <c r="AW121" s="24">
        <f t="shared" si="47"/>
        <v>225000</v>
      </c>
    </row>
    <row r="123" spans="4:49">
      <c r="D123" s="109" t="s">
        <v>177</v>
      </c>
    </row>
    <row r="124" spans="4:49">
      <c r="E124" s="82" t="str">
        <f>E$121</f>
        <v>Junior Debt scheduled amortization</v>
      </c>
      <c r="G124" s="82" t="str">
        <f t="shared" ref="G124:AW124" si="48">G$121</f>
        <v>USD</v>
      </c>
      <c r="I124" s="24">
        <f t="shared" si="48"/>
        <v>0</v>
      </c>
      <c r="J124" s="24">
        <f t="shared" si="48"/>
        <v>225000</v>
      </c>
      <c r="K124" s="24">
        <f t="shared" si="48"/>
        <v>225000</v>
      </c>
      <c r="L124" s="24">
        <f t="shared" si="48"/>
        <v>225000</v>
      </c>
      <c r="M124" s="24">
        <f t="shared" si="48"/>
        <v>225000</v>
      </c>
      <c r="N124" s="24">
        <f t="shared" si="48"/>
        <v>225000</v>
      </c>
      <c r="O124" s="24">
        <f t="shared" si="48"/>
        <v>225000</v>
      </c>
      <c r="P124" s="24">
        <f t="shared" si="48"/>
        <v>225000</v>
      </c>
      <c r="Q124" s="24">
        <f t="shared" si="48"/>
        <v>225000</v>
      </c>
      <c r="R124" s="24">
        <f t="shared" si="48"/>
        <v>225000</v>
      </c>
      <c r="S124" s="24">
        <f t="shared" si="48"/>
        <v>225000</v>
      </c>
      <c r="T124" s="24">
        <f t="shared" si="48"/>
        <v>225000</v>
      </c>
      <c r="U124" s="24">
        <f t="shared" si="48"/>
        <v>225000</v>
      </c>
      <c r="V124" s="24">
        <f t="shared" si="48"/>
        <v>225000</v>
      </c>
      <c r="W124" s="24">
        <f t="shared" si="48"/>
        <v>225000</v>
      </c>
      <c r="X124" s="24">
        <f t="shared" si="48"/>
        <v>225000</v>
      </c>
      <c r="Y124" s="24">
        <f t="shared" si="48"/>
        <v>225000</v>
      </c>
      <c r="Z124" s="24">
        <f t="shared" si="48"/>
        <v>225000</v>
      </c>
      <c r="AA124" s="24">
        <f t="shared" si="48"/>
        <v>225000</v>
      </c>
      <c r="AB124" s="24">
        <f t="shared" si="48"/>
        <v>225000</v>
      </c>
      <c r="AC124" s="24">
        <f t="shared" si="48"/>
        <v>225000</v>
      </c>
      <c r="AD124" s="24">
        <f t="shared" si="48"/>
        <v>225000</v>
      </c>
      <c r="AE124" s="24">
        <f t="shared" si="48"/>
        <v>225000</v>
      </c>
      <c r="AF124" s="24">
        <f t="shared" si="48"/>
        <v>225000</v>
      </c>
      <c r="AG124" s="24">
        <f t="shared" si="48"/>
        <v>225000</v>
      </c>
      <c r="AH124" s="24">
        <f t="shared" si="48"/>
        <v>225000</v>
      </c>
      <c r="AI124" s="24">
        <f t="shared" si="48"/>
        <v>225000</v>
      </c>
      <c r="AJ124" s="24">
        <f t="shared" si="48"/>
        <v>225000</v>
      </c>
      <c r="AK124" s="24">
        <f t="shared" si="48"/>
        <v>225000</v>
      </c>
      <c r="AL124" s="24">
        <f t="shared" si="48"/>
        <v>225000</v>
      </c>
      <c r="AM124" s="24">
        <f t="shared" si="48"/>
        <v>225000</v>
      </c>
      <c r="AN124" s="24">
        <f t="shared" si="48"/>
        <v>225000</v>
      </c>
      <c r="AO124" s="24">
        <f t="shared" si="48"/>
        <v>225000</v>
      </c>
      <c r="AP124" s="24">
        <f t="shared" si="48"/>
        <v>225000</v>
      </c>
      <c r="AQ124" s="24">
        <f t="shared" si="48"/>
        <v>225000</v>
      </c>
      <c r="AR124" s="24">
        <f t="shared" si="48"/>
        <v>225000</v>
      </c>
      <c r="AS124" s="24">
        <f t="shared" si="48"/>
        <v>225000</v>
      </c>
      <c r="AT124" s="24">
        <f t="shared" si="48"/>
        <v>225000</v>
      </c>
      <c r="AU124" s="24">
        <f t="shared" si="48"/>
        <v>225000</v>
      </c>
      <c r="AV124" s="24">
        <f t="shared" si="48"/>
        <v>225000</v>
      </c>
      <c r="AW124" s="24">
        <f t="shared" si="48"/>
        <v>225000</v>
      </c>
    </row>
    <row r="125" spans="4:49">
      <c r="E125" s="82" t="str">
        <f>E$39</f>
        <v>Funds Available for Junior Debt Scheduled Repayments</v>
      </c>
      <c r="G125" s="82" t="str">
        <f t="shared" ref="G125:AW125" si="49">G$39</f>
        <v>USD</v>
      </c>
      <c r="I125" s="24">
        <f t="shared" si="49"/>
        <v>0</v>
      </c>
      <c r="J125" s="24">
        <f t="shared" si="49"/>
        <v>502312.07093768974</v>
      </c>
      <c r="K125" s="24">
        <f t="shared" si="49"/>
        <v>491275.07093768974</v>
      </c>
      <c r="L125" s="24">
        <f t="shared" si="49"/>
        <v>481790.57093768974</v>
      </c>
      <c r="M125" s="24">
        <f t="shared" si="49"/>
        <v>478537.07093768968</v>
      </c>
      <c r="N125" s="24">
        <f t="shared" si="49"/>
        <v>480029.57093768974</v>
      </c>
      <c r="O125" s="24">
        <f t="shared" si="49"/>
        <v>458441.5709376898</v>
      </c>
      <c r="P125" s="24">
        <f t="shared" si="49"/>
        <v>457570.07093768974</v>
      </c>
      <c r="Q125" s="24">
        <f t="shared" si="49"/>
        <v>450817.07093768974</v>
      </c>
      <c r="R125" s="24">
        <f t="shared" si="49"/>
        <v>498577.07093768974</v>
      </c>
      <c r="S125" s="24">
        <f t="shared" si="49"/>
        <v>446665.0709376898</v>
      </c>
      <c r="T125" s="24">
        <f t="shared" si="49"/>
        <v>462341.5709376898</v>
      </c>
      <c r="U125" s="24">
        <f t="shared" si="49"/>
        <v>449176.07093768968</v>
      </c>
      <c r="V125" s="24">
        <f t="shared" si="49"/>
        <v>446668.07093768974</v>
      </c>
      <c r="W125" s="24">
        <f t="shared" si="49"/>
        <v>490892.5709376898</v>
      </c>
      <c r="X125" s="24">
        <f t="shared" si="49"/>
        <v>495128.5709376898</v>
      </c>
      <c r="Y125" s="24">
        <f t="shared" si="49"/>
        <v>511141.07093768974</v>
      </c>
      <c r="Z125" s="24">
        <f t="shared" si="49"/>
        <v>473660.57093768974</v>
      </c>
      <c r="AA125" s="24">
        <f t="shared" si="49"/>
        <v>499019.57093768968</v>
      </c>
      <c r="AB125" s="24">
        <f t="shared" si="49"/>
        <v>514190.57093768974</v>
      </c>
      <c r="AC125" s="24">
        <f t="shared" si="49"/>
        <v>532141.07093768974</v>
      </c>
      <c r="AD125" s="24">
        <f t="shared" si="49"/>
        <v>562084.07093768963</v>
      </c>
      <c r="AE125" s="24">
        <f t="shared" si="49"/>
        <v>523219.07093768974</v>
      </c>
      <c r="AF125" s="24">
        <f t="shared" si="49"/>
        <v>552944.57093768974</v>
      </c>
      <c r="AG125" s="24">
        <f t="shared" si="49"/>
        <v>530777.57093768974</v>
      </c>
      <c r="AH125" s="24">
        <f t="shared" si="49"/>
        <v>532423.07093768974</v>
      </c>
      <c r="AI125" s="24">
        <f t="shared" si="49"/>
        <v>542746.07093768963</v>
      </c>
      <c r="AJ125" s="24">
        <f t="shared" si="49"/>
        <v>591041.57093768986</v>
      </c>
      <c r="AK125" s="24">
        <f t="shared" si="49"/>
        <v>542894.57093768974</v>
      </c>
      <c r="AL125" s="24">
        <f t="shared" si="49"/>
        <v>528346.07093768974</v>
      </c>
      <c r="AM125" s="24">
        <f t="shared" si="49"/>
        <v>555184.07093768963</v>
      </c>
      <c r="AN125" s="24">
        <f t="shared" si="49"/>
        <v>616714.07093768986</v>
      </c>
      <c r="AO125" s="24">
        <f t="shared" si="49"/>
        <v>1358752.0709376903</v>
      </c>
      <c r="AP125" s="24">
        <f t="shared" si="49"/>
        <v>1110844.5</v>
      </c>
      <c r="AQ125" s="24">
        <f t="shared" si="49"/>
        <v>1096879.5</v>
      </c>
      <c r="AR125" s="24">
        <f t="shared" si="49"/>
        <v>1133016</v>
      </c>
      <c r="AS125" s="24">
        <f t="shared" si="49"/>
        <v>1153189.5</v>
      </c>
      <c r="AT125" s="24">
        <f t="shared" si="49"/>
        <v>1146522</v>
      </c>
      <c r="AU125" s="24">
        <f t="shared" si="49"/>
        <v>1138092</v>
      </c>
      <c r="AV125" s="24">
        <f t="shared" si="49"/>
        <v>1157863.5</v>
      </c>
      <c r="AW125" s="24">
        <f t="shared" si="49"/>
        <v>1158460.5</v>
      </c>
    </row>
    <row r="126" spans="4:49" s="129" customFormat="1">
      <c r="E126" s="128" t="s">
        <v>177</v>
      </c>
      <c r="G126" s="128" t="s">
        <v>128</v>
      </c>
      <c r="J126" s="129">
        <f t="shared" ref="J126:AW126" si="50" xml:space="preserve"> MIN( J$125, J$124 )</f>
        <v>225000</v>
      </c>
      <c r="K126" s="129">
        <f t="shared" si="50"/>
        <v>225000</v>
      </c>
      <c r="L126" s="129">
        <f t="shared" si="50"/>
        <v>225000</v>
      </c>
      <c r="M126" s="129">
        <f t="shared" si="50"/>
        <v>225000</v>
      </c>
      <c r="N126" s="129">
        <f t="shared" si="50"/>
        <v>225000</v>
      </c>
      <c r="O126" s="129">
        <f t="shared" si="50"/>
        <v>225000</v>
      </c>
      <c r="P126" s="129">
        <f t="shared" si="50"/>
        <v>225000</v>
      </c>
      <c r="Q126" s="129">
        <f t="shared" si="50"/>
        <v>225000</v>
      </c>
      <c r="R126" s="129">
        <f t="shared" si="50"/>
        <v>225000</v>
      </c>
      <c r="S126" s="129">
        <f t="shared" si="50"/>
        <v>225000</v>
      </c>
      <c r="T126" s="129">
        <f t="shared" si="50"/>
        <v>225000</v>
      </c>
      <c r="U126" s="129">
        <f t="shared" si="50"/>
        <v>225000</v>
      </c>
      <c r="V126" s="129">
        <f t="shared" si="50"/>
        <v>225000</v>
      </c>
      <c r="W126" s="129">
        <f t="shared" si="50"/>
        <v>225000</v>
      </c>
      <c r="X126" s="129">
        <f t="shared" si="50"/>
        <v>225000</v>
      </c>
      <c r="Y126" s="129">
        <f t="shared" si="50"/>
        <v>225000</v>
      </c>
      <c r="Z126" s="129">
        <f t="shared" si="50"/>
        <v>225000</v>
      </c>
      <c r="AA126" s="129">
        <f t="shared" si="50"/>
        <v>225000</v>
      </c>
      <c r="AB126" s="129">
        <f t="shared" si="50"/>
        <v>225000</v>
      </c>
      <c r="AC126" s="129">
        <f t="shared" si="50"/>
        <v>225000</v>
      </c>
      <c r="AD126" s="129">
        <f t="shared" si="50"/>
        <v>225000</v>
      </c>
      <c r="AE126" s="129">
        <f t="shared" si="50"/>
        <v>225000</v>
      </c>
      <c r="AF126" s="129">
        <f t="shared" si="50"/>
        <v>225000</v>
      </c>
      <c r="AG126" s="129">
        <f t="shared" si="50"/>
        <v>225000</v>
      </c>
      <c r="AH126" s="129">
        <f t="shared" si="50"/>
        <v>225000</v>
      </c>
      <c r="AI126" s="129">
        <f t="shared" si="50"/>
        <v>225000</v>
      </c>
      <c r="AJ126" s="129">
        <f t="shared" si="50"/>
        <v>225000</v>
      </c>
      <c r="AK126" s="129">
        <f t="shared" si="50"/>
        <v>225000</v>
      </c>
      <c r="AL126" s="129">
        <f t="shared" si="50"/>
        <v>225000</v>
      </c>
      <c r="AM126" s="129">
        <f t="shared" si="50"/>
        <v>225000</v>
      </c>
      <c r="AN126" s="129">
        <f t="shared" si="50"/>
        <v>225000</v>
      </c>
      <c r="AO126" s="129">
        <f t="shared" si="50"/>
        <v>225000</v>
      </c>
      <c r="AP126" s="129">
        <f t="shared" si="50"/>
        <v>225000</v>
      </c>
      <c r="AQ126" s="129">
        <f t="shared" si="50"/>
        <v>225000</v>
      </c>
      <c r="AR126" s="129">
        <f t="shared" si="50"/>
        <v>225000</v>
      </c>
      <c r="AS126" s="129">
        <f t="shared" si="50"/>
        <v>225000</v>
      </c>
      <c r="AT126" s="129">
        <f t="shared" si="50"/>
        <v>225000</v>
      </c>
      <c r="AU126" s="129">
        <f t="shared" si="50"/>
        <v>225000</v>
      </c>
      <c r="AV126" s="129">
        <f t="shared" si="50"/>
        <v>225000</v>
      </c>
      <c r="AW126" s="129">
        <f t="shared" si="50"/>
        <v>225000</v>
      </c>
    </row>
    <row r="127" spans="4:49">
      <c r="E127" s="83" t="s">
        <v>179</v>
      </c>
      <c r="F127" s="84"/>
      <c r="G127" s="83" t="s">
        <v>128</v>
      </c>
      <c r="H127" s="84"/>
      <c r="I127" s="84"/>
      <c r="J127" s="84">
        <f xml:space="preserve"> J$124 - J126</f>
        <v>0</v>
      </c>
      <c r="K127" s="84">
        <f t="shared" ref="K127:AW127" si="51" xml:space="preserve"> K$124 - K126</f>
        <v>0</v>
      </c>
      <c r="L127" s="84">
        <f t="shared" si="51"/>
        <v>0</v>
      </c>
      <c r="M127" s="84">
        <f t="shared" si="51"/>
        <v>0</v>
      </c>
      <c r="N127" s="84">
        <f t="shared" si="51"/>
        <v>0</v>
      </c>
      <c r="O127" s="84">
        <f t="shared" si="51"/>
        <v>0</v>
      </c>
      <c r="P127" s="84">
        <f t="shared" si="51"/>
        <v>0</v>
      </c>
      <c r="Q127" s="84">
        <f t="shared" si="51"/>
        <v>0</v>
      </c>
      <c r="R127" s="84">
        <f t="shared" si="51"/>
        <v>0</v>
      </c>
      <c r="S127" s="84">
        <f t="shared" si="51"/>
        <v>0</v>
      </c>
      <c r="T127" s="84">
        <f t="shared" si="51"/>
        <v>0</v>
      </c>
      <c r="U127" s="84">
        <f t="shared" si="51"/>
        <v>0</v>
      </c>
      <c r="V127" s="84">
        <f t="shared" si="51"/>
        <v>0</v>
      </c>
      <c r="W127" s="84">
        <f t="shared" si="51"/>
        <v>0</v>
      </c>
      <c r="X127" s="84">
        <f t="shared" si="51"/>
        <v>0</v>
      </c>
      <c r="Y127" s="84">
        <f t="shared" si="51"/>
        <v>0</v>
      </c>
      <c r="Z127" s="84">
        <f t="shared" si="51"/>
        <v>0</v>
      </c>
      <c r="AA127" s="84">
        <f t="shared" si="51"/>
        <v>0</v>
      </c>
      <c r="AB127" s="84">
        <f t="shared" si="51"/>
        <v>0</v>
      </c>
      <c r="AC127" s="84">
        <f t="shared" si="51"/>
        <v>0</v>
      </c>
      <c r="AD127" s="84">
        <f t="shared" si="51"/>
        <v>0</v>
      </c>
      <c r="AE127" s="84">
        <f t="shared" si="51"/>
        <v>0</v>
      </c>
      <c r="AF127" s="84">
        <f t="shared" si="51"/>
        <v>0</v>
      </c>
      <c r="AG127" s="84">
        <f t="shared" si="51"/>
        <v>0</v>
      </c>
      <c r="AH127" s="84">
        <f t="shared" si="51"/>
        <v>0</v>
      </c>
      <c r="AI127" s="84">
        <f t="shared" si="51"/>
        <v>0</v>
      </c>
      <c r="AJ127" s="84">
        <f t="shared" si="51"/>
        <v>0</v>
      </c>
      <c r="AK127" s="84">
        <f t="shared" si="51"/>
        <v>0</v>
      </c>
      <c r="AL127" s="84">
        <f t="shared" si="51"/>
        <v>0</v>
      </c>
      <c r="AM127" s="84">
        <f t="shared" si="51"/>
        <v>0</v>
      </c>
      <c r="AN127" s="84">
        <f t="shared" si="51"/>
        <v>0</v>
      </c>
      <c r="AO127" s="84">
        <f t="shared" si="51"/>
        <v>0</v>
      </c>
      <c r="AP127" s="84">
        <f t="shared" si="51"/>
        <v>0</v>
      </c>
      <c r="AQ127" s="84">
        <f t="shared" si="51"/>
        <v>0</v>
      </c>
      <c r="AR127" s="84">
        <f t="shared" si="51"/>
        <v>0</v>
      </c>
      <c r="AS127" s="84">
        <f t="shared" si="51"/>
        <v>0</v>
      </c>
      <c r="AT127" s="84">
        <f t="shared" si="51"/>
        <v>0</v>
      </c>
      <c r="AU127" s="84">
        <f t="shared" si="51"/>
        <v>0</v>
      </c>
      <c r="AV127" s="84">
        <f t="shared" si="51"/>
        <v>0</v>
      </c>
      <c r="AW127" s="84">
        <f t="shared" si="51"/>
        <v>0</v>
      </c>
    </row>
    <row r="129" spans="1:49">
      <c r="D129" s="109" t="s">
        <v>180</v>
      </c>
    </row>
    <row r="131" spans="1:49">
      <c r="E131" s="82" t="str">
        <f>E$42</f>
        <v>Funds Available for Junior Debt Arrears Amount Owed</v>
      </c>
      <c r="G131" s="82" t="str">
        <f t="shared" ref="G131:AW131" si="52">G$42</f>
        <v>USD</v>
      </c>
      <c r="I131" s="24">
        <f t="shared" si="52"/>
        <v>0</v>
      </c>
      <c r="J131" s="24">
        <f t="shared" si="52"/>
        <v>277312.07093768974</v>
      </c>
      <c r="K131" s="24">
        <f t="shared" si="52"/>
        <v>266275.07093768974</v>
      </c>
      <c r="L131" s="24">
        <f t="shared" si="52"/>
        <v>256790.57093768974</v>
      </c>
      <c r="M131" s="24">
        <f t="shared" si="52"/>
        <v>253537.07093768968</v>
      </c>
      <c r="N131" s="24">
        <f t="shared" si="52"/>
        <v>255029.57093768974</v>
      </c>
      <c r="O131" s="24">
        <f t="shared" si="52"/>
        <v>233441.5709376898</v>
      </c>
      <c r="P131" s="24">
        <f t="shared" si="52"/>
        <v>232570.07093768974</v>
      </c>
      <c r="Q131" s="24">
        <f t="shared" si="52"/>
        <v>225817.07093768974</v>
      </c>
      <c r="R131" s="24">
        <f t="shared" si="52"/>
        <v>273577.07093768974</v>
      </c>
      <c r="S131" s="24">
        <f t="shared" si="52"/>
        <v>221665.0709376898</v>
      </c>
      <c r="T131" s="24">
        <f t="shared" si="52"/>
        <v>237341.5709376898</v>
      </c>
      <c r="U131" s="24">
        <f t="shared" si="52"/>
        <v>224176.07093768968</v>
      </c>
      <c r="V131" s="24">
        <f t="shared" si="52"/>
        <v>221668.07093768974</v>
      </c>
      <c r="W131" s="24">
        <f t="shared" si="52"/>
        <v>265892.5709376898</v>
      </c>
      <c r="X131" s="24">
        <f t="shared" si="52"/>
        <v>270128.5709376898</v>
      </c>
      <c r="Y131" s="24">
        <f t="shared" si="52"/>
        <v>286141.07093768974</v>
      </c>
      <c r="Z131" s="24">
        <f t="shared" si="52"/>
        <v>248660.57093768974</v>
      </c>
      <c r="AA131" s="24">
        <f t="shared" si="52"/>
        <v>274019.57093768968</v>
      </c>
      <c r="AB131" s="24">
        <f t="shared" si="52"/>
        <v>289190.57093768974</v>
      </c>
      <c r="AC131" s="24">
        <f t="shared" si="52"/>
        <v>307141.07093768974</v>
      </c>
      <c r="AD131" s="24">
        <f t="shared" si="52"/>
        <v>337084.07093768963</v>
      </c>
      <c r="AE131" s="24">
        <f t="shared" si="52"/>
        <v>298219.07093768974</v>
      </c>
      <c r="AF131" s="24">
        <f t="shared" si="52"/>
        <v>327944.57093768974</v>
      </c>
      <c r="AG131" s="24">
        <f t="shared" si="52"/>
        <v>305777.57093768974</v>
      </c>
      <c r="AH131" s="24">
        <f t="shared" si="52"/>
        <v>307423.07093768974</v>
      </c>
      <c r="AI131" s="24">
        <f t="shared" si="52"/>
        <v>317746.07093768963</v>
      </c>
      <c r="AJ131" s="24">
        <f t="shared" si="52"/>
        <v>366041.57093768986</v>
      </c>
      <c r="AK131" s="24">
        <f t="shared" si="52"/>
        <v>317894.57093768974</v>
      </c>
      <c r="AL131" s="24">
        <f t="shared" si="52"/>
        <v>303346.07093768974</v>
      </c>
      <c r="AM131" s="24">
        <f t="shared" si="52"/>
        <v>330184.07093768963</v>
      </c>
      <c r="AN131" s="24">
        <f t="shared" si="52"/>
        <v>391714.07093768986</v>
      </c>
      <c r="AO131" s="24">
        <f t="shared" si="52"/>
        <v>1133752.0709376903</v>
      </c>
      <c r="AP131" s="24">
        <f t="shared" si="52"/>
        <v>885844.5</v>
      </c>
      <c r="AQ131" s="24">
        <f t="shared" si="52"/>
        <v>871879.5</v>
      </c>
      <c r="AR131" s="24">
        <f t="shared" si="52"/>
        <v>908016</v>
      </c>
      <c r="AS131" s="24">
        <f t="shared" si="52"/>
        <v>928189.5</v>
      </c>
      <c r="AT131" s="24">
        <f t="shared" si="52"/>
        <v>921522</v>
      </c>
      <c r="AU131" s="24">
        <f t="shared" si="52"/>
        <v>913092</v>
      </c>
      <c r="AV131" s="24">
        <f t="shared" si="52"/>
        <v>932863.5</v>
      </c>
      <c r="AW131" s="24">
        <f t="shared" si="52"/>
        <v>933460.5</v>
      </c>
    </row>
    <row r="133" spans="1:49">
      <c r="E133" s="125" t="s">
        <v>181</v>
      </c>
      <c r="F133" s="125"/>
      <c r="G133" s="125"/>
      <c r="H133" s="125"/>
      <c r="I133" s="126"/>
      <c r="J133" s="103">
        <f xml:space="preserve"> I136</f>
        <v>0</v>
      </c>
      <c r="K133" s="103">
        <f t="shared" ref="K133:AW133" si="53" xml:space="preserve"> J136</f>
        <v>0</v>
      </c>
      <c r="L133" s="103">
        <f t="shared" si="53"/>
        <v>0</v>
      </c>
      <c r="M133" s="103">
        <f t="shared" si="53"/>
        <v>0</v>
      </c>
      <c r="N133" s="103">
        <f t="shared" si="53"/>
        <v>0</v>
      </c>
      <c r="O133" s="103">
        <f t="shared" si="53"/>
        <v>0</v>
      </c>
      <c r="P133" s="103">
        <f t="shared" si="53"/>
        <v>0</v>
      </c>
      <c r="Q133" s="103">
        <f t="shared" si="53"/>
        <v>0</v>
      </c>
      <c r="R133" s="103">
        <f t="shared" si="53"/>
        <v>0</v>
      </c>
      <c r="S133" s="103">
        <f t="shared" si="53"/>
        <v>0</v>
      </c>
      <c r="T133" s="103">
        <f t="shared" si="53"/>
        <v>0</v>
      </c>
      <c r="U133" s="103">
        <f t="shared" si="53"/>
        <v>0</v>
      </c>
      <c r="V133" s="103">
        <f t="shared" si="53"/>
        <v>0</v>
      </c>
      <c r="W133" s="103">
        <f t="shared" si="53"/>
        <v>0</v>
      </c>
      <c r="X133" s="103">
        <f t="shared" si="53"/>
        <v>0</v>
      </c>
      <c r="Y133" s="103">
        <f t="shared" si="53"/>
        <v>0</v>
      </c>
      <c r="Z133" s="103">
        <f t="shared" si="53"/>
        <v>0</v>
      </c>
      <c r="AA133" s="103">
        <f t="shared" si="53"/>
        <v>0</v>
      </c>
      <c r="AB133" s="103">
        <f t="shared" si="53"/>
        <v>0</v>
      </c>
      <c r="AC133" s="103">
        <f t="shared" si="53"/>
        <v>0</v>
      </c>
      <c r="AD133" s="103">
        <f t="shared" si="53"/>
        <v>0</v>
      </c>
      <c r="AE133" s="103">
        <f t="shared" si="53"/>
        <v>0</v>
      </c>
      <c r="AF133" s="103">
        <f t="shared" si="53"/>
        <v>0</v>
      </c>
      <c r="AG133" s="103">
        <f t="shared" si="53"/>
        <v>0</v>
      </c>
      <c r="AH133" s="103">
        <f t="shared" si="53"/>
        <v>0</v>
      </c>
      <c r="AI133" s="103">
        <f t="shared" si="53"/>
        <v>0</v>
      </c>
      <c r="AJ133" s="103">
        <f t="shared" si="53"/>
        <v>0</v>
      </c>
      <c r="AK133" s="103">
        <f t="shared" si="53"/>
        <v>0</v>
      </c>
      <c r="AL133" s="103">
        <f t="shared" si="53"/>
        <v>0</v>
      </c>
      <c r="AM133" s="103">
        <f t="shared" si="53"/>
        <v>0</v>
      </c>
      <c r="AN133" s="103">
        <f t="shared" si="53"/>
        <v>0</v>
      </c>
      <c r="AO133" s="103">
        <f t="shared" si="53"/>
        <v>0</v>
      </c>
      <c r="AP133" s="103">
        <f t="shared" si="53"/>
        <v>0</v>
      </c>
      <c r="AQ133" s="103">
        <f t="shared" si="53"/>
        <v>0</v>
      </c>
      <c r="AR133" s="103">
        <f t="shared" si="53"/>
        <v>0</v>
      </c>
      <c r="AS133" s="103">
        <f t="shared" si="53"/>
        <v>0</v>
      </c>
      <c r="AT133" s="103">
        <f t="shared" si="53"/>
        <v>0</v>
      </c>
      <c r="AU133" s="103">
        <f t="shared" si="53"/>
        <v>0</v>
      </c>
      <c r="AV133" s="103">
        <f t="shared" si="53"/>
        <v>0</v>
      </c>
      <c r="AW133" s="103">
        <f t="shared" si="53"/>
        <v>0</v>
      </c>
    </row>
    <row r="134" spans="1:49">
      <c r="E134" s="127" t="str">
        <f>E$127</f>
        <v>Unmet Junior Debt repayment</v>
      </c>
      <c r="F134" s="134"/>
      <c r="G134" s="135" t="str">
        <f t="shared" ref="G134:AW134" si="54">G$127</f>
        <v>USD</v>
      </c>
      <c r="H134" s="134"/>
      <c r="I134" s="134">
        <f t="shared" si="54"/>
        <v>0</v>
      </c>
      <c r="J134" s="134">
        <f t="shared" si="54"/>
        <v>0</v>
      </c>
      <c r="K134" s="134">
        <f t="shared" si="54"/>
        <v>0</v>
      </c>
      <c r="L134" s="134">
        <f t="shared" si="54"/>
        <v>0</v>
      </c>
      <c r="M134" s="134">
        <f t="shared" si="54"/>
        <v>0</v>
      </c>
      <c r="N134" s="134">
        <f t="shared" si="54"/>
        <v>0</v>
      </c>
      <c r="O134" s="134">
        <f t="shared" si="54"/>
        <v>0</v>
      </c>
      <c r="P134" s="134">
        <f t="shared" si="54"/>
        <v>0</v>
      </c>
      <c r="Q134" s="134">
        <f t="shared" si="54"/>
        <v>0</v>
      </c>
      <c r="R134" s="134">
        <f t="shared" si="54"/>
        <v>0</v>
      </c>
      <c r="S134" s="134">
        <f t="shared" si="54"/>
        <v>0</v>
      </c>
      <c r="T134" s="134">
        <f t="shared" si="54"/>
        <v>0</v>
      </c>
      <c r="U134" s="134">
        <f t="shared" si="54"/>
        <v>0</v>
      </c>
      <c r="V134" s="134">
        <f t="shared" si="54"/>
        <v>0</v>
      </c>
      <c r="W134" s="134">
        <f t="shared" si="54"/>
        <v>0</v>
      </c>
      <c r="X134" s="134">
        <f t="shared" si="54"/>
        <v>0</v>
      </c>
      <c r="Y134" s="134">
        <f t="shared" si="54"/>
        <v>0</v>
      </c>
      <c r="Z134" s="134">
        <f t="shared" si="54"/>
        <v>0</v>
      </c>
      <c r="AA134" s="134">
        <f t="shared" si="54"/>
        <v>0</v>
      </c>
      <c r="AB134" s="134">
        <f t="shared" si="54"/>
        <v>0</v>
      </c>
      <c r="AC134" s="134">
        <f t="shared" si="54"/>
        <v>0</v>
      </c>
      <c r="AD134" s="134">
        <f t="shared" si="54"/>
        <v>0</v>
      </c>
      <c r="AE134" s="134">
        <f t="shared" si="54"/>
        <v>0</v>
      </c>
      <c r="AF134" s="134">
        <f t="shared" si="54"/>
        <v>0</v>
      </c>
      <c r="AG134" s="134">
        <f t="shared" si="54"/>
        <v>0</v>
      </c>
      <c r="AH134" s="134">
        <f t="shared" si="54"/>
        <v>0</v>
      </c>
      <c r="AI134" s="134">
        <f t="shared" si="54"/>
        <v>0</v>
      </c>
      <c r="AJ134" s="134">
        <f t="shared" si="54"/>
        <v>0</v>
      </c>
      <c r="AK134" s="134">
        <f t="shared" si="54"/>
        <v>0</v>
      </c>
      <c r="AL134" s="134">
        <f t="shared" si="54"/>
        <v>0</v>
      </c>
      <c r="AM134" s="134">
        <f t="shared" si="54"/>
        <v>0</v>
      </c>
      <c r="AN134" s="134">
        <f t="shared" si="54"/>
        <v>0</v>
      </c>
      <c r="AO134" s="134">
        <f t="shared" si="54"/>
        <v>0</v>
      </c>
      <c r="AP134" s="134">
        <f t="shared" si="54"/>
        <v>0</v>
      </c>
      <c r="AQ134" s="134">
        <f t="shared" si="54"/>
        <v>0</v>
      </c>
      <c r="AR134" s="134">
        <f t="shared" si="54"/>
        <v>0</v>
      </c>
      <c r="AS134" s="134">
        <f t="shared" si="54"/>
        <v>0</v>
      </c>
      <c r="AT134" s="134">
        <f t="shared" si="54"/>
        <v>0</v>
      </c>
      <c r="AU134" s="134">
        <f t="shared" si="54"/>
        <v>0</v>
      </c>
      <c r="AV134" s="134">
        <f t="shared" si="54"/>
        <v>0</v>
      </c>
      <c r="AW134" s="134">
        <f t="shared" si="54"/>
        <v>0</v>
      </c>
    </row>
    <row r="135" spans="1:49">
      <c r="E135" s="127" t="s">
        <v>141</v>
      </c>
      <c r="F135" s="128"/>
      <c r="G135" s="128" t="s">
        <v>128</v>
      </c>
      <c r="H135" s="128"/>
      <c r="I135" s="129"/>
      <c r="J135" s="105">
        <f xml:space="preserve"> MIN( J131, SUM( J133:J134 ) ) * - 1</f>
        <v>0</v>
      </c>
      <c r="K135" s="105">
        <f t="shared" ref="K135:AW135" si="55" xml:space="preserve"> MIN( K131, SUM( K133:K134 ) ) * - 1</f>
        <v>0</v>
      </c>
      <c r="L135" s="105">
        <f t="shared" si="55"/>
        <v>0</v>
      </c>
      <c r="M135" s="105">
        <f t="shared" si="55"/>
        <v>0</v>
      </c>
      <c r="N135" s="105">
        <f t="shared" si="55"/>
        <v>0</v>
      </c>
      <c r="O135" s="105">
        <f t="shared" si="55"/>
        <v>0</v>
      </c>
      <c r="P135" s="105">
        <f t="shared" si="55"/>
        <v>0</v>
      </c>
      <c r="Q135" s="105">
        <f t="shared" si="55"/>
        <v>0</v>
      </c>
      <c r="R135" s="105">
        <f t="shared" si="55"/>
        <v>0</v>
      </c>
      <c r="S135" s="105">
        <f t="shared" si="55"/>
        <v>0</v>
      </c>
      <c r="T135" s="105">
        <f t="shared" si="55"/>
        <v>0</v>
      </c>
      <c r="U135" s="105">
        <f t="shared" si="55"/>
        <v>0</v>
      </c>
      <c r="V135" s="105">
        <f t="shared" si="55"/>
        <v>0</v>
      </c>
      <c r="W135" s="105">
        <f t="shared" si="55"/>
        <v>0</v>
      </c>
      <c r="X135" s="105">
        <f t="shared" si="55"/>
        <v>0</v>
      </c>
      <c r="Y135" s="105">
        <f t="shared" si="55"/>
        <v>0</v>
      </c>
      <c r="Z135" s="105">
        <f t="shared" si="55"/>
        <v>0</v>
      </c>
      <c r="AA135" s="105">
        <f t="shared" si="55"/>
        <v>0</v>
      </c>
      <c r="AB135" s="105">
        <f t="shared" si="55"/>
        <v>0</v>
      </c>
      <c r="AC135" s="105">
        <f t="shared" si="55"/>
        <v>0</v>
      </c>
      <c r="AD135" s="105">
        <f t="shared" si="55"/>
        <v>0</v>
      </c>
      <c r="AE135" s="105">
        <f t="shared" si="55"/>
        <v>0</v>
      </c>
      <c r="AF135" s="105">
        <f t="shared" si="55"/>
        <v>0</v>
      </c>
      <c r="AG135" s="105">
        <f t="shared" si="55"/>
        <v>0</v>
      </c>
      <c r="AH135" s="105">
        <f t="shared" si="55"/>
        <v>0</v>
      </c>
      <c r="AI135" s="105">
        <f t="shared" si="55"/>
        <v>0</v>
      </c>
      <c r="AJ135" s="105">
        <f t="shared" si="55"/>
        <v>0</v>
      </c>
      <c r="AK135" s="105">
        <f t="shared" si="55"/>
        <v>0</v>
      </c>
      <c r="AL135" s="105">
        <f t="shared" si="55"/>
        <v>0</v>
      </c>
      <c r="AM135" s="105">
        <f t="shared" si="55"/>
        <v>0</v>
      </c>
      <c r="AN135" s="105">
        <f t="shared" si="55"/>
        <v>0</v>
      </c>
      <c r="AO135" s="105">
        <f t="shared" si="55"/>
        <v>0</v>
      </c>
      <c r="AP135" s="105">
        <f t="shared" si="55"/>
        <v>0</v>
      </c>
      <c r="AQ135" s="105">
        <f t="shared" si="55"/>
        <v>0</v>
      </c>
      <c r="AR135" s="105">
        <f t="shared" si="55"/>
        <v>0</v>
      </c>
      <c r="AS135" s="105">
        <f t="shared" si="55"/>
        <v>0</v>
      </c>
      <c r="AT135" s="105">
        <f t="shared" si="55"/>
        <v>0</v>
      </c>
      <c r="AU135" s="105">
        <f t="shared" si="55"/>
        <v>0</v>
      </c>
      <c r="AV135" s="105">
        <f t="shared" si="55"/>
        <v>0</v>
      </c>
      <c r="AW135" s="105">
        <f t="shared" si="55"/>
        <v>0</v>
      </c>
    </row>
    <row r="136" spans="1:49">
      <c r="E136" s="130" t="s">
        <v>182</v>
      </c>
      <c r="F136" s="130"/>
      <c r="G136" s="130" t="s">
        <v>128</v>
      </c>
      <c r="H136" s="130"/>
      <c r="I136" s="132"/>
      <c r="J136" s="107">
        <f t="shared" ref="J136:AW136" si="56">SUM(J133:J135)</f>
        <v>0</v>
      </c>
      <c r="K136" s="107">
        <f t="shared" si="56"/>
        <v>0</v>
      </c>
      <c r="L136" s="107">
        <f t="shared" si="56"/>
        <v>0</v>
      </c>
      <c r="M136" s="107">
        <f t="shared" si="56"/>
        <v>0</v>
      </c>
      <c r="N136" s="107">
        <f t="shared" si="56"/>
        <v>0</v>
      </c>
      <c r="O136" s="107">
        <f t="shared" si="56"/>
        <v>0</v>
      </c>
      <c r="P136" s="107">
        <f t="shared" si="56"/>
        <v>0</v>
      </c>
      <c r="Q136" s="107">
        <f t="shared" si="56"/>
        <v>0</v>
      </c>
      <c r="R136" s="107">
        <f t="shared" si="56"/>
        <v>0</v>
      </c>
      <c r="S136" s="107">
        <f t="shared" si="56"/>
        <v>0</v>
      </c>
      <c r="T136" s="107">
        <f t="shared" si="56"/>
        <v>0</v>
      </c>
      <c r="U136" s="107">
        <f t="shared" si="56"/>
        <v>0</v>
      </c>
      <c r="V136" s="107">
        <f t="shared" si="56"/>
        <v>0</v>
      </c>
      <c r="W136" s="107">
        <f t="shared" si="56"/>
        <v>0</v>
      </c>
      <c r="X136" s="107">
        <f t="shared" si="56"/>
        <v>0</v>
      </c>
      <c r="Y136" s="107">
        <f t="shared" si="56"/>
        <v>0</v>
      </c>
      <c r="Z136" s="107">
        <f t="shared" si="56"/>
        <v>0</v>
      </c>
      <c r="AA136" s="107">
        <f t="shared" si="56"/>
        <v>0</v>
      </c>
      <c r="AB136" s="107">
        <f t="shared" si="56"/>
        <v>0</v>
      </c>
      <c r="AC136" s="107">
        <f t="shared" si="56"/>
        <v>0</v>
      </c>
      <c r="AD136" s="107">
        <f t="shared" si="56"/>
        <v>0</v>
      </c>
      <c r="AE136" s="107">
        <f t="shared" si="56"/>
        <v>0</v>
      </c>
      <c r="AF136" s="107">
        <f t="shared" si="56"/>
        <v>0</v>
      </c>
      <c r="AG136" s="107">
        <f t="shared" si="56"/>
        <v>0</v>
      </c>
      <c r="AH136" s="107">
        <f t="shared" si="56"/>
        <v>0</v>
      </c>
      <c r="AI136" s="107">
        <f t="shared" si="56"/>
        <v>0</v>
      </c>
      <c r="AJ136" s="107">
        <f t="shared" si="56"/>
        <v>0</v>
      </c>
      <c r="AK136" s="107">
        <f t="shared" si="56"/>
        <v>0</v>
      </c>
      <c r="AL136" s="107">
        <f t="shared" si="56"/>
        <v>0</v>
      </c>
      <c r="AM136" s="107">
        <f t="shared" si="56"/>
        <v>0</v>
      </c>
      <c r="AN136" s="107">
        <f t="shared" si="56"/>
        <v>0</v>
      </c>
      <c r="AO136" s="107">
        <f t="shared" si="56"/>
        <v>0</v>
      </c>
      <c r="AP136" s="107">
        <f t="shared" si="56"/>
        <v>0</v>
      </c>
      <c r="AQ136" s="107">
        <f t="shared" si="56"/>
        <v>0</v>
      </c>
      <c r="AR136" s="107">
        <f t="shared" si="56"/>
        <v>0</v>
      </c>
      <c r="AS136" s="107">
        <f t="shared" si="56"/>
        <v>0</v>
      </c>
      <c r="AT136" s="107">
        <f t="shared" si="56"/>
        <v>0</v>
      </c>
      <c r="AU136" s="107">
        <f t="shared" si="56"/>
        <v>0</v>
      </c>
      <c r="AV136" s="107">
        <f t="shared" si="56"/>
        <v>0</v>
      </c>
      <c r="AW136" s="107">
        <f t="shared" si="56"/>
        <v>0</v>
      </c>
    </row>
    <row r="139" spans="1:49" s="72" customFormat="1">
      <c r="A139" s="73" t="s">
        <v>38</v>
      </c>
      <c r="E139" s="92"/>
      <c r="G139" s="92"/>
    </row>
    <row r="141" spans="1:49">
      <c r="E141" s="82" t="str">
        <f>CaseData!C$30</f>
        <v>Contribution amount at model start date</v>
      </c>
      <c r="F141" s="99">
        <f>CaseData!H$30 * - 1</f>
        <v>-6000000</v>
      </c>
      <c r="G141" s="82" t="s">
        <v>128</v>
      </c>
      <c r="H141" s="82"/>
      <c r="I141" s="82"/>
      <c r="K141" s="82"/>
      <c r="L141" s="82"/>
      <c r="M141" s="82"/>
    </row>
    <row r="142" spans="1:49" customFormat="1" ht="14.4">
      <c r="E142" s="82" t="str">
        <f>E$45</f>
        <v>Funds distributed to Equity</v>
      </c>
      <c r="F142" s="82"/>
      <c r="G142" s="82" t="str">
        <f t="shared" ref="G142:AW142" si="57">G$45</f>
        <v>USD</v>
      </c>
      <c r="H142" s="24"/>
      <c r="I142" s="24">
        <f t="shared" si="57"/>
        <v>0</v>
      </c>
      <c r="J142" s="24">
        <f t="shared" si="57"/>
        <v>277312.07093768974</v>
      </c>
      <c r="K142" s="24">
        <f t="shared" si="57"/>
        <v>266275.07093768974</v>
      </c>
      <c r="L142" s="24">
        <f t="shared" si="57"/>
        <v>256790.57093768974</v>
      </c>
      <c r="M142" s="24">
        <f t="shared" si="57"/>
        <v>253537.07093768968</v>
      </c>
      <c r="N142" s="24">
        <f t="shared" si="57"/>
        <v>255029.57093768974</v>
      </c>
      <c r="O142" s="24">
        <f t="shared" si="57"/>
        <v>233441.5709376898</v>
      </c>
      <c r="P142" s="24">
        <f t="shared" si="57"/>
        <v>232570.07093768974</v>
      </c>
      <c r="Q142" s="24">
        <f t="shared" si="57"/>
        <v>225817.07093768974</v>
      </c>
      <c r="R142" s="24">
        <f t="shared" si="57"/>
        <v>273577.07093768974</v>
      </c>
      <c r="S142" s="24">
        <f t="shared" si="57"/>
        <v>221665.0709376898</v>
      </c>
      <c r="T142" s="24">
        <f t="shared" si="57"/>
        <v>237341.5709376898</v>
      </c>
      <c r="U142" s="24">
        <f t="shared" si="57"/>
        <v>224176.07093768968</v>
      </c>
      <c r="V142" s="24">
        <f t="shared" si="57"/>
        <v>221668.07093768974</v>
      </c>
      <c r="W142" s="24">
        <f t="shared" si="57"/>
        <v>265892.5709376898</v>
      </c>
      <c r="X142" s="24">
        <f t="shared" si="57"/>
        <v>270128.5709376898</v>
      </c>
      <c r="Y142" s="24">
        <f t="shared" si="57"/>
        <v>286141.07093768974</v>
      </c>
      <c r="Z142" s="24">
        <f t="shared" si="57"/>
        <v>248660.57093768974</v>
      </c>
      <c r="AA142" s="24">
        <f t="shared" si="57"/>
        <v>274019.57093768968</v>
      </c>
      <c r="AB142" s="24">
        <f t="shared" si="57"/>
        <v>289190.57093768974</v>
      </c>
      <c r="AC142" s="24">
        <f t="shared" si="57"/>
        <v>307141.07093768974</v>
      </c>
      <c r="AD142" s="24">
        <f t="shared" si="57"/>
        <v>337084.07093768963</v>
      </c>
      <c r="AE142" s="24">
        <f t="shared" si="57"/>
        <v>298219.07093768974</v>
      </c>
      <c r="AF142" s="24">
        <f t="shared" si="57"/>
        <v>327944.57093768974</v>
      </c>
      <c r="AG142" s="24">
        <f t="shared" si="57"/>
        <v>305777.57093768974</v>
      </c>
      <c r="AH142" s="24">
        <f t="shared" si="57"/>
        <v>307423.07093768974</v>
      </c>
      <c r="AI142" s="24">
        <f t="shared" si="57"/>
        <v>317746.07093768963</v>
      </c>
      <c r="AJ142" s="24">
        <f t="shared" si="57"/>
        <v>366041.57093768986</v>
      </c>
      <c r="AK142" s="24">
        <f t="shared" si="57"/>
        <v>317894.57093768974</v>
      </c>
      <c r="AL142" s="24">
        <f t="shared" si="57"/>
        <v>303346.07093768974</v>
      </c>
      <c r="AM142" s="24">
        <f t="shared" si="57"/>
        <v>330184.07093768963</v>
      </c>
      <c r="AN142" s="24">
        <f t="shared" si="57"/>
        <v>391714.07093768986</v>
      </c>
      <c r="AO142" s="24">
        <f t="shared" si="57"/>
        <v>1133752.0709376903</v>
      </c>
      <c r="AP142" s="24">
        <f t="shared" si="57"/>
        <v>885844.5</v>
      </c>
      <c r="AQ142" s="24">
        <f t="shared" si="57"/>
        <v>871879.5</v>
      </c>
      <c r="AR142" s="24">
        <f t="shared" si="57"/>
        <v>908016</v>
      </c>
      <c r="AS142" s="24">
        <f t="shared" si="57"/>
        <v>928189.5</v>
      </c>
      <c r="AT142" s="24">
        <f t="shared" si="57"/>
        <v>921522</v>
      </c>
      <c r="AU142" s="24">
        <f t="shared" si="57"/>
        <v>913092</v>
      </c>
      <c r="AV142" s="24">
        <f t="shared" si="57"/>
        <v>932863.5</v>
      </c>
      <c r="AW142" s="24">
        <f t="shared" si="57"/>
        <v>933460.5</v>
      </c>
    </row>
    <row r="144" spans="1:49">
      <c r="E144" s="82" t="str">
        <f>CaseData!C$31</f>
        <v>Discount rate for Net Present Value Calculations</v>
      </c>
      <c r="F144" s="101">
        <f>CaseData!H$31</f>
        <v>0.1</v>
      </c>
      <c r="G144" s="82" t="s">
        <v>151</v>
      </c>
      <c r="H144" s="82"/>
      <c r="I144" s="82"/>
      <c r="K144" s="82"/>
      <c r="L144" s="82"/>
      <c r="M144" s="82"/>
    </row>
    <row r="146" spans="1:14">
      <c r="E146" s="133" t="s">
        <v>183</v>
      </c>
      <c r="F146" s="74">
        <f xml:space="preserve"> _xlfn.LET(
      _xlpm.timeline,     _xlfn.HSTACK( start_date,_xlfn.ANCHORARRAY( J3) ),
      _xlpm.cashflow,     _xlfn.HSTACK( $F$141, $J$142:$AW$142 ),
      _xlpm.rate,         $F$144,
      XNPV( _xlpm.rate, _xlpm.cashflow, _xlpm.timeline ) )</f>
        <v>3534408.4241609536</v>
      </c>
      <c r="G146" s="133" t="s">
        <v>128</v>
      </c>
    </row>
    <row r="147" spans="1:14">
      <c r="E147" s="133" t="s">
        <v>184</v>
      </c>
      <c r="F147" s="138">
        <f xml:space="preserve"> _xlfn.LET(
      _xlpm.timeline,     _xlfn.HSTACK( start_date,_xlfn.ANCHORARRAY( J3) ),
      _xlpm.cashflow,     _xlfn.HSTACK( $F$141, $J$142:$AW$142 ),
      _xlpm.rate,         $F$144,
      XIRR( _xlpm.cashflow, _xlpm.timeline ) )</f>
        <v>0.20079720616340638</v>
      </c>
      <c r="G147" s="133" t="s">
        <v>150</v>
      </c>
    </row>
    <row r="150" spans="1:14" s="72" customFormat="1">
      <c r="A150" s="73" t="s">
        <v>50</v>
      </c>
      <c r="E150" s="92"/>
      <c r="G150" s="92"/>
    </row>
    <row r="151" spans="1:14" s="113" customFormat="1">
      <c r="A151" s="112"/>
      <c r="E151" s="114"/>
      <c r="G151" s="114"/>
    </row>
    <row r="152" spans="1:14" s="113" customFormat="1">
      <c r="A152" s="112"/>
      <c r="C152" s="24" t="s">
        <v>55</v>
      </c>
      <c r="D152" s="24"/>
      <c r="E152" s="82" t="s">
        <v>198</v>
      </c>
      <c r="G152" s="114"/>
      <c r="J152" s="113" t="s">
        <v>59</v>
      </c>
      <c r="K152" s="113" t="s">
        <v>60</v>
      </c>
      <c r="L152" s="113" t="s">
        <v>61</v>
      </c>
      <c r="M152" s="113" t="s">
        <v>62</v>
      </c>
      <c r="N152" s="113" t="s">
        <v>63</v>
      </c>
    </row>
    <row r="153" spans="1:14">
      <c r="C153" s="24" t="s">
        <v>58</v>
      </c>
      <c r="E153" s="82" t="s">
        <v>198</v>
      </c>
      <c r="J153" s="140" t="s">
        <v>196</v>
      </c>
      <c r="K153" s="141" t="s">
        <v>193</v>
      </c>
      <c r="L153" s="141" t="s">
        <v>194</v>
      </c>
      <c r="M153" s="141" t="s">
        <v>188</v>
      </c>
      <c r="N153" s="141" t="s">
        <v>197</v>
      </c>
    </row>
    <row r="154" spans="1:14">
      <c r="E154" s="24"/>
      <c r="J154" s="140" t="s">
        <v>192</v>
      </c>
      <c r="K154" s="141" t="s">
        <v>186</v>
      </c>
      <c r="L154" s="141" t="s">
        <v>185</v>
      </c>
      <c r="M154" s="141" t="s">
        <v>191</v>
      </c>
      <c r="N154" s="141" t="s">
        <v>189</v>
      </c>
    </row>
    <row r="155" spans="1:14">
      <c r="J155" s="142">
        <v>45838</v>
      </c>
      <c r="K155" s="143" t="s">
        <v>187</v>
      </c>
      <c r="L155" s="143" t="s">
        <v>195</v>
      </c>
      <c r="M155" s="143" t="s">
        <v>190</v>
      </c>
      <c r="N155" s="142">
        <v>48579</v>
      </c>
    </row>
    <row r="156" spans="1:14">
      <c r="J156" s="72" cm="1">
        <f t="array" ref="J156" xml:space="preserve"> INDEX( $J$110:$AW$110,, MATCH( $J$155,_xlfn.ANCHORARRAY( J3), 0 ) )</f>
        <v>6750000</v>
      </c>
      <c r="K156" s="144" t="str" cm="1">
        <f t="array" ref="K156" xml:space="preserve"> IFERROR( INDEX(_xlfn.ANCHORARRAY( J3),, MATCH( 1, $J$58:$AW$58, 0 ) ), "None" )</f>
        <v>None</v>
      </c>
      <c r="L156" s="72">
        <f xml:space="preserve"> MAX( J73:AW73)</f>
        <v>750000</v>
      </c>
      <c r="M156" s="72">
        <f xml:space="preserve"> SUM( $J$93:$AW$93 )</f>
        <v>1596637.7299939292</v>
      </c>
      <c r="N156" s="72" cm="1">
        <f t="array" ref="N156" xml:space="preserve"> INDEX( $J$88:$AW$88,, MATCH( $N$155,_xlfn.ANCHORARRAY( J3), 0 ) )</f>
        <v>0</v>
      </c>
    </row>
    <row r="157" spans="1:14">
      <c r="H157" s="24" t="s">
        <v>1</v>
      </c>
      <c r="I157" s="24">
        <v>1</v>
      </c>
      <c r="J157" s="24">
        <f t="dataTable" ref="J157:N162" dt2D="0" dtr="0" r1="F3"/>
        <v>6750000</v>
      </c>
      <c r="K157" s="139" t="str">
        <v>None</v>
      </c>
      <c r="L157" s="24">
        <v>750000</v>
      </c>
      <c r="M157" s="24">
        <v>1596637.7299939292</v>
      </c>
      <c r="N157" s="24">
        <v>0</v>
      </c>
    </row>
    <row r="158" spans="1:14">
      <c r="H158" s="24" t="str">
        <f xml:space="preserve"> "Case " &amp; I158</f>
        <v>Case 2</v>
      </c>
      <c r="I158" s="24">
        <v>2</v>
      </c>
      <c r="J158" s="24">
        <v>6750000</v>
      </c>
      <c r="K158" s="145" t="str">
        <v>None</v>
      </c>
      <c r="L158" s="24">
        <v>750000</v>
      </c>
      <c r="M158" s="24">
        <v>1596637.7299939292</v>
      </c>
      <c r="N158" s="24">
        <v>0</v>
      </c>
    </row>
    <row r="159" spans="1:14">
      <c r="H159" s="24" t="str">
        <f t="shared" ref="H159:H162" si="58" xml:space="preserve"> "Case " &amp; I159</f>
        <v>Case 3</v>
      </c>
      <c r="I159" s="24">
        <v>3</v>
      </c>
      <c r="J159" s="24">
        <v>7425000</v>
      </c>
      <c r="K159" s="139">
        <v>45016</v>
      </c>
      <c r="L159" s="120">
        <v>1897175.9105299204</v>
      </c>
      <c r="M159" s="24">
        <v>1596637.7299939292</v>
      </c>
      <c r="N159" s="24">
        <v>0</v>
      </c>
    </row>
    <row r="160" spans="1:14">
      <c r="H160" s="24" t="str">
        <f t="shared" si="58"/>
        <v>Case 4</v>
      </c>
      <c r="I160" s="24">
        <v>4</v>
      </c>
      <c r="J160" s="120">
        <v>6750000</v>
      </c>
      <c r="K160" s="139">
        <v>46477</v>
      </c>
      <c r="L160" s="24">
        <v>2410494.0887624891</v>
      </c>
      <c r="M160" s="24">
        <v>1596637.7299939292</v>
      </c>
      <c r="N160" s="24">
        <v>0</v>
      </c>
    </row>
    <row r="161" spans="1:14">
      <c r="H161" s="24" t="str">
        <f t="shared" si="58"/>
        <v>Case 5</v>
      </c>
      <c r="I161" s="24">
        <v>5</v>
      </c>
      <c r="J161" s="24">
        <v>7425000</v>
      </c>
      <c r="K161" s="139">
        <v>45657</v>
      </c>
      <c r="L161" s="24">
        <v>2560711.7137876353</v>
      </c>
      <c r="M161" s="120">
        <v>1596637.7299939292</v>
      </c>
      <c r="N161" s="24">
        <v>0</v>
      </c>
    </row>
    <row r="162" spans="1:14">
      <c r="H162" s="24" t="str">
        <f t="shared" si="58"/>
        <v>Case 6</v>
      </c>
      <c r="I162" s="24">
        <v>6</v>
      </c>
      <c r="J162" s="24">
        <v>6750000</v>
      </c>
      <c r="K162" s="139">
        <v>46022</v>
      </c>
      <c r="L162" s="24">
        <v>1759237.7193640191</v>
      </c>
      <c r="M162" s="24">
        <v>1596637.7299939292</v>
      </c>
      <c r="N162" s="120">
        <v>0</v>
      </c>
    </row>
    <row r="164" spans="1:14" s="72" customFormat="1">
      <c r="A164" s="73" t="s">
        <v>199</v>
      </c>
      <c r="E164" s="92"/>
      <c r="G164" s="92"/>
    </row>
  </sheetData>
  <printOptions horizontalCentered="1"/>
  <pageMargins left="0.15748031496062992" right="0.15748031496062992" top="0.39370078740157483" bottom="0.39370078740157483" header="0.15748031496062992" footer="0.15748031496062992"/>
  <pageSetup scale="50" fitToHeight="0" orientation="landscape" r:id="rId1"/>
  <headerFooter>
    <oddFooter>&amp;L&amp;"Arial,Regular"Financial Modeling Institute
CFM October 2026&amp;C&amp;"Arial,Regular"Page &amp;P of &amp;N&amp;R&amp;"Arial,Regular"&amp;D</oddFooter>
  </headerFooter>
  <rowBreaks count="1" manualBreakCount="1">
    <brk id="149" max="16383" man="1"/>
  </rowBreaks>
  <colBreaks count="1" manualBreakCount="1">
    <brk id="7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4</xdr:col>
                    <xdr:colOff>3756660</xdr:colOff>
                    <xdr:row>1</xdr:row>
                    <xdr:rowOff>137160</xdr:rowOff>
                  </from>
                  <to>
                    <xdr:col>6</xdr:col>
                    <xdr:colOff>68580</xdr:colOff>
                    <xdr:row>2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707E-DC67-4589-8905-A3EF131DB34F}">
  <sheetPr>
    <outlinePr summaryBelow="0"/>
  </sheetPr>
  <dimension ref="A1:T51"/>
  <sheetViews>
    <sheetView showGridLines="0" topLeftCell="A8" zoomScaleNormal="100" workbookViewId="0">
      <selection activeCell="H45" sqref="H45"/>
    </sheetView>
  </sheetViews>
  <sheetFormatPr defaultColWidth="12.6640625" defaultRowHeight="13.2"/>
  <cols>
    <col min="1" max="3" width="2.5546875" style="2" customWidth="1"/>
    <col min="4" max="4" width="48.6640625" style="2" customWidth="1"/>
    <col min="5" max="5" width="18.5546875" style="2" customWidth="1"/>
    <col min="6" max="8" width="12.6640625" style="2"/>
    <col min="9" max="9" width="12.6640625" style="2" customWidth="1"/>
    <col min="10" max="10" width="4.5546875" style="2" customWidth="1"/>
    <col min="11" max="11" width="12.6640625" style="2"/>
    <col min="12" max="12" width="12.6640625" style="2" customWidth="1"/>
    <col min="13" max="18" width="12.6640625" style="2"/>
    <col min="19" max="19" width="2.5546875" style="2" customWidth="1"/>
    <col min="20" max="16384" width="12.6640625" style="2"/>
  </cols>
  <sheetData>
    <row r="1" spans="1:20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>
        <f>MATCH(selector,$M$5:$R$5,0)</f>
        <v>1</v>
      </c>
    </row>
    <row r="2" spans="1:20">
      <c r="T2" s="2">
        <f>selector</f>
        <v>1</v>
      </c>
    </row>
    <row r="3" spans="1:20">
      <c r="B3" s="3" t="s">
        <v>7</v>
      </c>
      <c r="C3" s="4"/>
      <c r="T3" s="2">
        <f>H45</f>
        <v>1</v>
      </c>
    </row>
    <row r="4" spans="1:20" ht="14.4">
      <c r="C4" s="5" t="s">
        <v>8</v>
      </c>
      <c r="F4" s="6" t="s">
        <v>9</v>
      </c>
      <c r="H4" s="7">
        <v>15000000</v>
      </c>
      <c r="J4" s="4" t="s">
        <v>10</v>
      </c>
    </row>
    <row r="5" spans="1:20" ht="14.4">
      <c r="C5" s="5" t="s">
        <v>11</v>
      </c>
      <c r="F5" s="6" t="s">
        <v>12</v>
      </c>
      <c r="H5" s="8">
        <v>2.5000000000000001E-2</v>
      </c>
      <c r="I5" s="9"/>
      <c r="K5" s="10" t="s">
        <v>13</v>
      </c>
      <c r="M5" s="11">
        <v>1</v>
      </c>
      <c r="N5" s="11">
        <v>2</v>
      </c>
      <c r="O5" s="11">
        <v>3</v>
      </c>
      <c r="P5" s="11">
        <v>4</v>
      </c>
      <c r="Q5" s="11">
        <v>5</v>
      </c>
      <c r="R5" s="11">
        <v>6</v>
      </c>
    </row>
    <row r="6" spans="1:20" ht="14.4">
      <c r="C6" s="5" t="s">
        <v>14</v>
      </c>
      <c r="F6" s="6" t="s">
        <v>15</v>
      </c>
      <c r="H6" s="7">
        <v>96</v>
      </c>
      <c r="K6" s="10" t="s">
        <v>16</v>
      </c>
      <c r="M6" s="12" t="s">
        <v>1</v>
      </c>
      <c r="N6" s="12" t="s">
        <v>17</v>
      </c>
      <c r="O6" s="12" t="s">
        <v>18</v>
      </c>
      <c r="P6" s="12" t="s">
        <v>19</v>
      </c>
      <c r="Q6" s="12" t="s">
        <v>20</v>
      </c>
      <c r="R6" s="12" t="s">
        <v>21</v>
      </c>
    </row>
    <row r="7" spans="1:20" ht="14.4">
      <c r="C7" s="5" t="s">
        <v>22</v>
      </c>
      <c r="F7" s="6" t="s">
        <v>23</v>
      </c>
      <c r="H7" s="13">
        <f>EOMONTH(H35,H6)</f>
        <v>47848</v>
      </c>
      <c r="K7" s="14" t="s">
        <v>24</v>
      </c>
      <c r="M7" s="15" t="s">
        <v>9</v>
      </c>
      <c r="N7" s="15" t="s">
        <v>9</v>
      </c>
      <c r="O7" s="15" t="s">
        <v>9</v>
      </c>
      <c r="P7" s="15" t="s">
        <v>9</v>
      </c>
      <c r="Q7" s="15" t="s">
        <v>9</v>
      </c>
      <c r="R7" s="15" t="s">
        <v>9</v>
      </c>
    </row>
    <row r="8" spans="1:20">
      <c r="K8" s="16">
        <f>$H$36</f>
        <v>45016</v>
      </c>
      <c r="M8" s="17">
        <v>1019082</v>
      </c>
      <c r="N8" s="17">
        <v>1105141.5</v>
      </c>
      <c r="O8" s="17">
        <v>856621.5</v>
      </c>
      <c r="P8" s="17">
        <v>982938</v>
      </c>
      <c r="Q8" s="17">
        <v>1019082</v>
      </c>
      <c r="R8" s="17">
        <v>903625.5</v>
      </c>
    </row>
    <row r="9" spans="1:20" ht="14.4">
      <c r="C9" s="5" t="s">
        <v>25</v>
      </c>
      <c r="F9" s="18" t="s">
        <v>26</v>
      </c>
      <c r="H9" s="19">
        <v>1.7</v>
      </c>
      <c r="K9" s="20">
        <f t="shared" ref="K9:K47" si="0">EOMONTH(K8,3)</f>
        <v>45107</v>
      </c>
      <c r="M9" s="17">
        <v>1008045</v>
      </c>
      <c r="N9" s="17">
        <v>961012.5</v>
      </c>
      <c r="O9" s="17">
        <v>957103.5</v>
      </c>
      <c r="P9" s="17">
        <v>932742</v>
      </c>
      <c r="Q9" s="17">
        <v>1008045</v>
      </c>
      <c r="R9" s="17">
        <v>893214</v>
      </c>
    </row>
    <row r="10" spans="1:20" ht="14.4">
      <c r="C10" s="5" t="s">
        <v>27</v>
      </c>
      <c r="F10" s="6" t="s">
        <v>15</v>
      </c>
      <c r="H10" s="21">
        <v>4</v>
      </c>
      <c r="I10" s="22" t="s">
        <v>28</v>
      </c>
      <c r="K10" s="20">
        <f t="shared" si="0"/>
        <v>45199</v>
      </c>
      <c r="M10" s="17">
        <v>998560.5</v>
      </c>
      <c r="N10" s="17">
        <v>1048608</v>
      </c>
      <c r="O10" s="17">
        <v>919759.5</v>
      </c>
      <c r="P10" s="17">
        <v>973290</v>
      </c>
      <c r="Q10" s="17">
        <v>998560.5</v>
      </c>
      <c r="R10" s="17">
        <v>889797</v>
      </c>
    </row>
    <row r="11" spans="1:20" ht="14.4">
      <c r="C11" s="5"/>
      <c r="K11" s="20">
        <f t="shared" si="0"/>
        <v>45291</v>
      </c>
      <c r="M11" s="17">
        <v>995307</v>
      </c>
      <c r="N11" s="17">
        <v>1074277.5</v>
      </c>
      <c r="O11" s="17">
        <v>990211.5</v>
      </c>
      <c r="P11" s="17">
        <v>947178</v>
      </c>
      <c r="Q11" s="17">
        <v>995307</v>
      </c>
      <c r="R11" s="17">
        <v>909898.5</v>
      </c>
    </row>
    <row r="12" spans="1:20">
      <c r="C12" s="22" t="s">
        <v>29</v>
      </c>
      <c r="K12" s="20">
        <f t="shared" si="0"/>
        <v>45382</v>
      </c>
      <c r="M12" s="17">
        <v>996799.5</v>
      </c>
      <c r="N12" s="17">
        <v>1117527</v>
      </c>
      <c r="O12" s="17">
        <v>990643.5</v>
      </c>
      <c r="P12" s="17">
        <v>940560</v>
      </c>
      <c r="Q12" s="17">
        <v>996799.5</v>
      </c>
      <c r="R12" s="17">
        <v>947650.5</v>
      </c>
    </row>
    <row r="13" spans="1:20" ht="14.4">
      <c r="C13" s="5" t="s">
        <v>30</v>
      </c>
      <c r="F13" s="6" t="s">
        <v>31</v>
      </c>
      <c r="H13" s="21">
        <v>2</v>
      </c>
      <c r="I13" s="22" t="s">
        <v>28</v>
      </c>
      <c r="K13" s="20">
        <f t="shared" si="0"/>
        <v>45473</v>
      </c>
      <c r="M13" s="17">
        <v>975211.5</v>
      </c>
      <c r="N13" s="17">
        <v>971310</v>
      </c>
      <c r="O13" s="17">
        <v>940851</v>
      </c>
      <c r="P13" s="17">
        <v>964081.5</v>
      </c>
      <c r="Q13" s="17">
        <v>975211.5</v>
      </c>
      <c r="R13" s="17">
        <v>915790.5</v>
      </c>
    </row>
    <row r="14" spans="1:20">
      <c r="K14" s="20">
        <f t="shared" si="0"/>
        <v>45565</v>
      </c>
      <c r="M14" s="17">
        <v>974340</v>
      </c>
      <c r="N14" s="17">
        <v>916065</v>
      </c>
      <c r="O14" s="17">
        <v>810855</v>
      </c>
      <c r="P14" s="17">
        <v>921279</v>
      </c>
      <c r="Q14" s="17">
        <v>974340</v>
      </c>
      <c r="R14" s="17">
        <v>878397</v>
      </c>
    </row>
    <row r="15" spans="1:20">
      <c r="K15" s="20">
        <f t="shared" si="0"/>
        <v>45657</v>
      </c>
      <c r="M15" s="17">
        <v>967587</v>
      </c>
      <c r="N15" s="17">
        <v>786327</v>
      </c>
      <c r="O15" s="17">
        <v>839349</v>
      </c>
      <c r="P15" s="17">
        <v>955951.5</v>
      </c>
      <c r="Q15" s="17">
        <v>483793.5</v>
      </c>
      <c r="R15" s="17">
        <v>956358</v>
      </c>
    </row>
    <row r="16" spans="1:20">
      <c r="B16" s="4" t="s">
        <v>32</v>
      </c>
      <c r="C16" s="4"/>
      <c r="K16" s="20">
        <f t="shared" si="0"/>
        <v>45747</v>
      </c>
      <c r="M16" s="17">
        <v>1015347</v>
      </c>
      <c r="N16" s="17">
        <v>882622.5</v>
      </c>
      <c r="O16" s="17">
        <v>962665.5</v>
      </c>
      <c r="P16" s="17">
        <v>921717</v>
      </c>
      <c r="Q16" s="17">
        <v>507673.5</v>
      </c>
      <c r="R16" s="17">
        <v>970485</v>
      </c>
    </row>
    <row r="17" spans="2:18" ht="14.4">
      <c r="C17" s="5" t="s">
        <v>33</v>
      </c>
      <c r="H17" s="7">
        <v>750000</v>
      </c>
      <c r="K17" s="20">
        <f t="shared" si="0"/>
        <v>45838</v>
      </c>
      <c r="M17" s="17">
        <v>963435</v>
      </c>
      <c r="N17" s="17">
        <v>1101510</v>
      </c>
      <c r="O17" s="17">
        <v>803719.5</v>
      </c>
      <c r="P17" s="17">
        <v>963336</v>
      </c>
      <c r="Q17" s="17">
        <v>481717.5</v>
      </c>
      <c r="R17" s="17">
        <v>1013374.5</v>
      </c>
    </row>
    <row r="18" spans="2:18" ht="14.4">
      <c r="C18" s="5" t="s">
        <v>34</v>
      </c>
      <c r="H18" s="7">
        <v>750000</v>
      </c>
      <c r="K18" s="20">
        <f t="shared" si="0"/>
        <v>45930</v>
      </c>
      <c r="M18" s="17">
        <v>979111.5</v>
      </c>
      <c r="N18" s="17">
        <v>1052203.5</v>
      </c>
      <c r="O18" s="17">
        <v>903232.5</v>
      </c>
      <c r="P18" s="17">
        <v>914505</v>
      </c>
      <c r="Q18" s="17">
        <v>489555.75</v>
      </c>
      <c r="R18" s="17">
        <v>876916.5</v>
      </c>
    </row>
    <row r="19" spans="2:18" ht="14.4">
      <c r="C19" s="5" t="s">
        <v>35</v>
      </c>
      <c r="F19" s="6" t="s">
        <v>12</v>
      </c>
      <c r="H19" s="8">
        <v>0.01</v>
      </c>
      <c r="K19" s="20">
        <f t="shared" si="0"/>
        <v>46022</v>
      </c>
      <c r="M19" s="17">
        <v>965946</v>
      </c>
      <c r="N19" s="17">
        <v>1095760.5</v>
      </c>
      <c r="O19" s="17">
        <v>988131</v>
      </c>
      <c r="P19" s="17">
        <v>869358</v>
      </c>
      <c r="Q19" s="17">
        <v>482973</v>
      </c>
      <c r="R19" s="17">
        <v>327231</v>
      </c>
    </row>
    <row r="20" spans="2:18">
      <c r="K20" s="20">
        <f t="shared" si="0"/>
        <v>46112</v>
      </c>
      <c r="M20" s="17">
        <v>963438</v>
      </c>
      <c r="N20" s="17">
        <v>970521</v>
      </c>
      <c r="O20" s="17">
        <v>881398.5</v>
      </c>
      <c r="P20" s="17">
        <v>945835.5</v>
      </c>
      <c r="Q20" s="17">
        <v>963438</v>
      </c>
      <c r="R20" s="17">
        <v>341170.5</v>
      </c>
    </row>
    <row r="21" spans="2:18">
      <c r="K21" s="20">
        <f t="shared" si="0"/>
        <v>46203</v>
      </c>
      <c r="M21" s="17">
        <v>1007662.5</v>
      </c>
      <c r="N21" s="17">
        <v>1003909.5</v>
      </c>
      <c r="O21" s="17">
        <v>963904.5</v>
      </c>
      <c r="P21" s="17">
        <v>985399.5</v>
      </c>
      <c r="Q21" s="17">
        <v>1007662.5</v>
      </c>
      <c r="R21" s="17">
        <v>397729.5</v>
      </c>
    </row>
    <row r="22" spans="2:18">
      <c r="B22" s="4" t="s">
        <v>36</v>
      </c>
      <c r="C22" s="4"/>
      <c r="K22" s="20">
        <f t="shared" si="0"/>
        <v>46295</v>
      </c>
      <c r="M22" s="17">
        <v>1011898.5</v>
      </c>
      <c r="N22" s="17">
        <v>987990</v>
      </c>
      <c r="O22" s="17">
        <v>890178</v>
      </c>
      <c r="P22" s="17">
        <v>1010407.5</v>
      </c>
      <c r="Q22" s="17">
        <v>1011898.5</v>
      </c>
      <c r="R22" s="17">
        <v>388617</v>
      </c>
    </row>
    <row r="23" spans="2:18" ht="14.4">
      <c r="C23" s="5" t="s">
        <v>8</v>
      </c>
      <c r="F23" s="6" t="s">
        <v>9</v>
      </c>
      <c r="H23" s="7">
        <v>9000000</v>
      </c>
      <c r="K23" s="20">
        <f t="shared" si="0"/>
        <v>46387</v>
      </c>
      <c r="M23" s="17">
        <v>1027911</v>
      </c>
      <c r="N23" s="17">
        <v>1227384</v>
      </c>
      <c r="O23" s="17">
        <v>876990</v>
      </c>
      <c r="P23" s="17">
        <v>593412</v>
      </c>
      <c r="Q23" s="17">
        <v>1027911</v>
      </c>
      <c r="R23" s="17">
        <v>906457.5</v>
      </c>
    </row>
    <row r="24" spans="2:18" ht="14.4">
      <c r="C24" s="5" t="s">
        <v>11</v>
      </c>
      <c r="F24" s="6" t="s">
        <v>12</v>
      </c>
      <c r="H24" s="8">
        <v>0</v>
      </c>
      <c r="K24" s="20">
        <f t="shared" si="0"/>
        <v>46477</v>
      </c>
      <c r="M24" s="17">
        <v>990430.5</v>
      </c>
      <c r="N24" s="17">
        <v>1096188</v>
      </c>
      <c r="O24" s="17">
        <v>805438.5</v>
      </c>
      <c r="P24" s="17">
        <v>558492</v>
      </c>
      <c r="Q24" s="17">
        <v>990430.5</v>
      </c>
      <c r="R24" s="17">
        <v>862152</v>
      </c>
    </row>
    <row r="25" spans="2:18" ht="14.4">
      <c r="C25" s="5" t="s">
        <v>37</v>
      </c>
      <c r="F25" s="6" t="s">
        <v>15</v>
      </c>
      <c r="H25" s="7">
        <v>40</v>
      </c>
      <c r="K25" s="20">
        <f t="shared" si="0"/>
        <v>46568</v>
      </c>
      <c r="M25" s="17">
        <v>1015789.5</v>
      </c>
      <c r="N25" s="17">
        <v>994783.5</v>
      </c>
      <c r="O25" s="17">
        <v>928035</v>
      </c>
      <c r="P25" s="17">
        <v>608830.5</v>
      </c>
      <c r="Q25" s="17">
        <v>1015789.5</v>
      </c>
      <c r="R25" s="17">
        <v>961906.5</v>
      </c>
    </row>
    <row r="26" spans="2:18" ht="14.4">
      <c r="C26" s="5" t="s">
        <v>22</v>
      </c>
      <c r="F26" s="6" t="s">
        <v>23</v>
      </c>
      <c r="H26" s="13">
        <f>EOMONTH(H35,3*H25)</f>
        <v>48579</v>
      </c>
      <c r="K26" s="20">
        <f t="shared" si="0"/>
        <v>46660</v>
      </c>
      <c r="M26" s="17">
        <v>1030960.5</v>
      </c>
      <c r="N26" s="17">
        <v>900456</v>
      </c>
      <c r="O26" s="17">
        <v>954414</v>
      </c>
      <c r="P26" s="17">
        <v>607663.5</v>
      </c>
      <c r="Q26" s="17">
        <v>1030960.5</v>
      </c>
      <c r="R26" s="17">
        <v>961135.5</v>
      </c>
    </row>
    <row r="27" spans="2:18" ht="14.4">
      <c r="D27" s="5"/>
      <c r="K27" s="20">
        <f t="shared" si="0"/>
        <v>46752</v>
      </c>
      <c r="M27" s="17">
        <v>1048911</v>
      </c>
      <c r="N27" s="17">
        <v>941046</v>
      </c>
      <c r="O27" s="17">
        <v>972483</v>
      </c>
      <c r="P27" s="17">
        <v>956788.5</v>
      </c>
      <c r="Q27" s="17">
        <v>1048911</v>
      </c>
      <c r="R27" s="17">
        <v>950587.5</v>
      </c>
    </row>
    <row r="28" spans="2:18">
      <c r="K28" s="20">
        <f t="shared" si="0"/>
        <v>46843</v>
      </c>
      <c r="M28" s="17">
        <v>1078854</v>
      </c>
      <c r="N28" s="17">
        <v>1093561.5</v>
      </c>
      <c r="O28" s="17">
        <v>975916.5</v>
      </c>
      <c r="P28" s="17">
        <v>1020253.5</v>
      </c>
      <c r="Q28" s="17">
        <v>1078854</v>
      </c>
      <c r="R28" s="17">
        <v>864250.5</v>
      </c>
    </row>
    <row r="29" spans="2:18">
      <c r="B29" s="4" t="s">
        <v>38</v>
      </c>
      <c r="C29" s="4"/>
      <c r="K29" s="20">
        <f t="shared" si="0"/>
        <v>46934</v>
      </c>
      <c r="M29" s="17">
        <v>1039989</v>
      </c>
      <c r="N29" s="17">
        <v>960078</v>
      </c>
      <c r="O29" s="17">
        <v>1014169.5</v>
      </c>
      <c r="P29" s="17">
        <v>1003492.5</v>
      </c>
      <c r="Q29" s="17">
        <v>1039989</v>
      </c>
      <c r="R29" s="17">
        <v>871696.5</v>
      </c>
    </row>
    <row r="30" spans="2:18" ht="14.4">
      <c r="C30" s="5" t="s">
        <v>39</v>
      </c>
      <c r="F30" s="6" t="s">
        <v>9</v>
      </c>
      <c r="H30" s="7">
        <v>6000000</v>
      </c>
      <c r="K30" s="20">
        <f t="shared" si="0"/>
        <v>47026</v>
      </c>
      <c r="M30" s="17">
        <v>1069714.5</v>
      </c>
      <c r="N30" s="17">
        <v>1257165</v>
      </c>
      <c r="O30" s="17">
        <v>1113783</v>
      </c>
      <c r="P30" s="17">
        <v>1000381.5</v>
      </c>
      <c r="Q30" s="17">
        <v>1069714.5</v>
      </c>
      <c r="R30" s="17">
        <v>1064973</v>
      </c>
    </row>
    <row r="31" spans="2:18" ht="14.4">
      <c r="C31" s="5" t="s">
        <v>40</v>
      </c>
      <c r="F31" s="6" t="s">
        <v>12</v>
      </c>
      <c r="H31" s="8">
        <v>0.1</v>
      </c>
      <c r="K31" s="20">
        <f t="shared" si="0"/>
        <v>47118</v>
      </c>
      <c r="M31" s="17">
        <v>1047547.5</v>
      </c>
      <c r="N31" s="17">
        <v>1095327</v>
      </c>
      <c r="O31" s="17">
        <v>986683.5</v>
      </c>
      <c r="P31" s="17">
        <v>1030954.5</v>
      </c>
      <c r="Q31" s="17">
        <v>1047547.5</v>
      </c>
      <c r="R31" s="17">
        <v>903028.5</v>
      </c>
    </row>
    <row r="32" spans="2:18">
      <c r="K32" s="20">
        <f t="shared" si="0"/>
        <v>47208</v>
      </c>
      <c r="M32" s="17">
        <v>1049193</v>
      </c>
      <c r="N32" s="17">
        <v>885561</v>
      </c>
      <c r="O32" s="17">
        <v>907974</v>
      </c>
      <c r="P32" s="17">
        <v>960159</v>
      </c>
      <c r="Q32" s="17">
        <v>1049193</v>
      </c>
      <c r="R32" s="17">
        <v>1013218.5</v>
      </c>
    </row>
    <row r="33" spans="2:18">
      <c r="K33" s="20">
        <f t="shared" si="0"/>
        <v>47299</v>
      </c>
      <c r="M33" s="17">
        <v>1059516</v>
      </c>
      <c r="N33" s="17">
        <v>1127121</v>
      </c>
      <c r="O33" s="17">
        <v>953113.5</v>
      </c>
      <c r="P33" s="17">
        <v>954321</v>
      </c>
      <c r="Q33" s="17">
        <v>1059516</v>
      </c>
      <c r="R33" s="17">
        <v>1004701.5</v>
      </c>
    </row>
    <row r="34" spans="2:18">
      <c r="B34" s="4" t="s">
        <v>41</v>
      </c>
      <c r="C34" s="4"/>
      <c r="K34" s="20">
        <f t="shared" si="0"/>
        <v>47391</v>
      </c>
      <c r="M34" s="17">
        <v>1107811.5</v>
      </c>
      <c r="N34" s="17">
        <v>992164.5</v>
      </c>
      <c r="O34" s="17">
        <v>891501</v>
      </c>
      <c r="P34" s="17">
        <v>1055305.5</v>
      </c>
      <c r="Q34" s="17">
        <v>1107811.5</v>
      </c>
      <c r="R34" s="17">
        <v>1063546.5</v>
      </c>
    </row>
    <row r="35" spans="2:18" ht="14.4">
      <c r="C35" s="5" t="s">
        <v>42</v>
      </c>
      <c r="F35" s="6" t="s">
        <v>23</v>
      </c>
      <c r="H35" s="23">
        <v>44926</v>
      </c>
      <c r="K35" s="20">
        <f t="shared" si="0"/>
        <v>47483</v>
      </c>
      <c r="M35" s="17">
        <v>1059664.5</v>
      </c>
      <c r="N35" s="17">
        <v>1179703.5</v>
      </c>
      <c r="O35" s="17">
        <v>957454.5</v>
      </c>
      <c r="P35" s="17">
        <v>1026214.5</v>
      </c>
      <c r="Q35" s="17">
        <v>1059664.5</v>
      </c>
      <c r="R35" s="17">
        <v>1039509</v>
      </c>
    </row>
    <row r="36" spans="2:18" ht="14.4">
      <c r="C36" s="5" t="s">
        <v>43</v>
      </c>
      <c r="F36" s="6" t="s">
        <v>23</v>
      </c>
      <c r="H36" s="13">
        <f>EOMONTH(H35,3)</f>
        <v>45016</v>
      </c>
      <c r="K36" s="20">
        <f t="shared" si="0"/>
        <v>47573</v>
      </c>
      <c r="M36" s="17">
        <v>1045116</v>
      </c>
      <c r="N36" s="17">
        <v>976075.5</v>
      </c>
      <c r="O36" s="17">
        <v>997194</v>
      </c>
      <c r="P36" s="17">
        <v>1003003.5</v>
      </c>
      <c r="Q36" s="17">
        <v>1045116</v>
      </c>
      <c r="R36" s="17">
        <v>1076869.5</v>
      </c>
    </row>
    <row r="37" spans="2:18" ht="14.4">
      <c r="C37" s="5" t="s">
        <v>44</v>
      </c>
      <c r="F37" s="6" t="s">
        <v>31</v>
      </c>
      <c r="H37" s="17">
        <v>40</v>
      </c>
      <c r="K37" s="20">
        <f t="shared" si="0"/>
        <v>47664</v>
      </c>
      <c r="M37" s="17">
        <v>1071954</v>
      </c>
      <c r="N37" s="17">
        <v>958510.5</v>
      </c>
      <c r="O37" s="17">
        <v>1120617</v>
      </c>
      <c r="P37" s="17">
        <v>1058319</v>
      </c>
      <c r="Q37" s="17">
        <v>1071954</v>
      </c>
      <c r="R37" s="17">
        <v>943045.5</v>
      </c>
    </row>
    <row r="38" spans="2:18" ht="14.4">
      <c r="C38" s="5" t="s">
        <v>45</v>
      </c>
      <c r="F38" s="6" t="s">
        <v>23</v>
      </c>
      <c r="H38" s="13">
        <f>EOMONTH(H35,H37*3)</f>
        <v>48579</v>
      </c>
      <c r="K38" s="20">
        <f t="shared" si="0"/>
        <v>47756</v>
      </c>
      <c r="M38" s="17">
        <v>1133484</v>
      </c>
      <c r="N38" s="17">
        <v>1176114</v>
      </c>
      <c r="O38" s="17">
        <v>1176696</v>
      </c>
      <c r="P38" s="17">
        <v>1077916.5</v>
      </c>
      <c r="Q38" s="17">
        <v>1133484</v>
      </c>
      <c r="R38" s="17">
        <v>986671.5</v>
      </c>
    </row>
    <row r="39" spans="2:18">
      <c r="K39" s="20">
        <f t="shared" si="0"/>
        <v>47848</v>
      </c>
      <c r="M39" s="17">
        <v>1125522</v>
      </c>
      <c r="N39" s="17">
        <v>1138582.5</v>
      </c>
      <c r="O39" s="17">
        <v>1116520.5</v>
      </c>
      <c r="P39" s="17">
        <v>1069879.5</v>
      </c>
      <c r="Q39" s="17">
        <v>1125522</v>
      </c>
      <c r="R39" s="17">
        <v>1051468.5</v>
      </c>
    </row>
    <row r="40" spans="2:18" ht="14.4">
      <c r="C40" s="5" t="s">
        <v>46</v>
      </c>
      <c r="F40" s="6" t="s">
        <v>12</v>
      </c>
      <c r="H40" s="8">
        <v>0.01</v>
      </c>
      <c r="K40" s="20">
        <f t="shared" si="0"/>
        <v>47938</v>
      </c>
      <c r="M40" s="17">
        <v>1110844.5</v>
      </c>
      <c r="N40" s="17">
        <v>1221447</v>
      </c>
      <c r="O40" s="17">
        <v>939954</v>
      </c>
      <c r="P40" s="17">
        <v>1043466</v>
      </c>
      <c r="Q40" s="17">
        <v>1110844.5</v>
      </c>
      <c r="R40" s="17">
        <v>957409.5</v>
      </c>
    </row>
    <row r="41" spans="2:18">
      <c r="K41" s="20">
        <f t="shared" si="0"/>
        <v>48029</v>
      </c>
      <c r="M41" s="17">
        <v>1096879.5</v>
      </c>
      <c r="N41" s="17">
        <v>979699.5</v>
      </c>
      <c r="O41" s="17">
        <v>1147558.5</v>
      </c>
      <c r="P41" s="17">
        <v>1025611.5</v>
      </c>
      <c r="Q41" s="17">
        <v>1096879.5</v>
      </c>
      <c r="R41" s="17">
        <v>979273.5</v>
      </c>
    </row>
    <row r="42" spans="2:18">
      <c r="C42" s="65" t="s">
        <v>108</v>
      </c>
      <c r="F42" s="67" t="s">
        <v>109</v>
      </c>
      <c r="H42" s="69" t="s">
        <v>110</v>
      </c>
      <c r="K42" s="20">
        <f t="shared" si="0"/>
        <v>48121</v>
      </c>
      <c r="M42" s="17">
        <v>1133016</v>
      </c>
      <c r="N42" s="17">
        <v>1148931</v>
      </c>
      <c r="O42" s="17">
        <v>926283</v>
      </c>
      <c r="P42" s="17">
        <v>1028232</v>
      </c>
      <c r="Q42" s="17">
        <v>1133016</v>
      </c>
      <c r="R42" s="17">
        <v>1087471.5</v>
      </c>
    </row>
    <row r="43" spans="2:18">
      <c r="C43" s="65" t="s">
        <v>111</v>
      </c>
      <c r="F43" s="67" t="s">
        <v>109</v>
      </c>
      <c r="H43" s="70" t="s">
        <v>112</v>
      </c>
      <c r="K43" s="20">
        <f t="shared" si="0"/>
        <v>48213</v>
      </c>
      <c r="M43" s="17">
        <v>1153189.5</v>
      </c>
      <c r="N43" s="17">
        <v>1233861</v>
      </c>
      <c r="O43" s="17">
        <v>947653.5</v>
      </c>
      <c r="P43" s="17">
        <v>1150174.5</v>
      </c>
      <c r="Q43" s="17">
        <v>1153189.5</v>
      </c>
      <c r="R43" s="17">
        <v>956551.5</v>
      </c>
    </row>
    <row r="44" spans="2:18">
      <c r="K44" s="20">
        <f t="shared" si="0"/>
        <v>48304</v>
      </c>
      <c r="M44" s="17">
        <v>1146522</v>
      </c>
      <c r="N44" s="17">
        <v>1187176.5</v>
      </c>
      <c r="O44" s="17">
        <v>1124563.5</v>
      </c>
      <c r="P44" s="17">
        <v>1064307</v>
      </c>
      <c r="Q44" s="17">
        <v>1146522</v>
      </c>
      <c r="R44" s="17">
        <v>1118854.5</v>
      </c>
    </row>
    <row r="45" spans="2:18">
      <c r="C45" s="65" t="s">
        <v>113</v>
      </c>
      <c r="E45" s="66" t="str" cm="1">
        <f t="array" ref="E45:E50">TRANSPOSE( $M$6:$R$6)</f>
        <v>Base Case</v>
      </c>
      <c r="F45" s="65" t="s">
        <v>114</v>
      </c>
      <c r="H45" s="68">
        <f>Debt!F3</f>
        <v>1</v>
      </c>
      <c r="K45" s="20">
        <f t="shared" si="0"/>
        <v>48395</v>
      </c>
      <c r="M45" s="17">
        <v>1138092</v>
      </c>
      <c r="N45" s="17">
        <v>1164579</v>
      </c>
      <c r="O45" s="17">
        <v>922500</v>
      </c>
      <c r="P45" s="17">
        <v>1106622</v>
      </c>
      <c r="Q45" s="17">
        <v>1138092</v>
      </c>
      <c r="R45" s="17">
        <v>1125312</v>
      </c>
    </row>
    <row r="46" spans="2:18">
      <c r="E46" s="66" t="str">
        <v>Case 2</v>
      </c>
      <c r="K46" s="20">
        <f t="shared" si="0"/>
        <v>48487</v>
      </c>
      <c r="M46" s="17">
        <v>1157863.5</v>
      </c>
      <c r="N46" s="17">
        <v>1370262</v>
      </c>
      <c r="O46" s="17">
        <v>1095700.5</v>
      </c>
      <c r="P46" s="17">
        <v>1150093.5</v>
      </c>
      <c r="Q46" s="17">
        <v>1157863.5</v>
      </c>
      <c r="R46" s="17">
        <v>1111447.5</v>
      </c>
    </row>
    <row r="47" spans="2:18">
      <c r="E47" s="66" t="str">
        <v>Case 3</v>
      </c>
      <c r="K47" s="20">
        <f t="shared" si="0"/>
        <v>48579</v>
      </c>
      <c r="M47" s="17">
        <v>1158460.5</v>
      </c>
      <c r="N47" s="17">
        <v>1089577.5</v>
      </c>
      <c r="O47" s="17">
        <v>962511</v>
      </c>
      <c r="P47" s="17">
        <v>1049775</v>
      </c>
      <c r="Q47" s="17">
        <v>1158460.5</v>
      </c>
      <c r="R47" s="17">
        <v>1125013.5</v>
      </c>
    </row>
    <row r="48" spans="2:18">
      <c r="E48" s="66" t="str">
        <v>Case 4</v>
      </c>
      <c r="K48" s="20"/>
      <c r="M48" s="17"/>
      <c r="N48" s="17"/>
      <c r="O48" s="17"/>
      <c r="P48" s="17"/>
      <c r="Q48" s="17"/>
      <c r="R48" s="17"/>
    </row>
    <row r="49" spans="1:19">
      <c r="E49" s="66" t="str">
        <v>Case 5</v>
      </c>
      <c r="K49" s="20"/>
      <c r="M49" s="17"/>
      <c r="N49" s="17"/>
      <c r="O49" s="17"/>
      <c r="P49" s="17"/>
      <c r="Q49" s="17"/>
      <c r="R49" s="17"/>
    </row>
    <row r="50" spans="1:19">
      <c r="E50" s="66" t="str">
        <v>Case 6</v>
      </c>
    </row>
    <row r="51" spans="1:19">
      <c r="A51" s="1" t="s">
        <v>47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763F-DCBC-4B36-8E3E-96D7F8D838B9}">
  <dimension ref="B1:AX121"/>
  <sheetViews>
    <sheetView showGridLines="0" topLeftCell="A2" zoomScaleNormal="100" workbookViewId="0">
      <pane xSplit="8" ySplit="6" topLeftCell="I8" activePane="bottomRight" state="frozen"/>
      <selection pane="topRight"/>
      <selection pane="bottomLeft"/>
      <selection pane="bottomRight" activeCell="K13" sqref="K13"/>
    </sheetView>
  </sheetViews>
  <sheetFormatPr defaultColWidth="8.6640625" defaultRowHeight="13.2"/>
  <cols>
    <col min="1" max="1" width="2.5546875" style="29" customWidth="1"/>
    <col min="2" max="4" width="1.5546875" style="29" customWidth="1"/>
    <col min="5" max="5" width="9.5546875" style="29" bestFit="1" customWidth="1"/>
    <col min="6" max="6" width="8.6640625" style="29"/>
    <col min="7" max="7" width="12.5546875" style="29" customWidth="1"/>
    <col min="8" max="8" width="15.5546875" style="29" customWidth="1"/>
    <col min="9" max="9" width="5.5546875" style="29" customWidth="1"/>
    <col min="10" max="50" width="12.5546875" style="29" customWidth="1"/>
    <col min="51" max="16384" width="8.6640625" style="29"/>
  </cols>
  <sheetData>
    <row r="1" spans="2:50" s="24" customFormat="1" ht="13.8"/>
    <row r="2" spans="2:50" s="24" customFormat="1" ht="22.8">
      <c r="B2" s="25" t="s">
        <v>48</v>
      </c>
    </row>
    <row r="3" spans="2:50" s="24" customFormat="1" ht="17.399999999999999">
      <c r="B3" s="26" t="s">
        <v>49</v>
      </c>
    </row>
    <row r="4" spans="2:50" s="24" customFormat="1" ht="5.0999999999999996" customHeight="1" thickBot="1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</row>
    <row r="5" spans="2:50" s="24" customFormat="1" ht="14.4" thickTop="1"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</row>
    <row r="6" spans="2:50">
      <c r="H6" s="30" t="s">
        <v>0</v>
      </c>
      <c r="J6" s="31">
        <f>CaseData!H35</f>
        <v>44926</v>
      </c>
      <c r="K6" s="32">
        <f>EOMONTH(J6,3)</f>
        <v>45016</v>
      </c>
      <c r="L6" s="32">
        <f t="shared" ref="L6:AX6" si="0">EOMONTH(K6,3)</f>
        <v>45107</v>
      </c>
      <c r="M6" s="32">
        <f t="shared" si="0"/>
        <v>45199</v>
      </c>
      <c r="N6" s="32">
        <f t="shared" si="0"/>
        <v>45291</v>
      </c>
      <c r="O6" s="32">
        <f t="shared" si="0"/>
        <v>45382</v>
      </c>
      <c r="P6" s="32">
        <f t="shared" si="0"/>
        <v>45473</v>
      </c>
      <c r="Q6" s="32">
        <f t="shared" si="0"/>
        <v>45565</v>
      </c>
      <c r="R6" s="32">
        <f t="shared" si="0"/>
        <v>45657</v>
      </c>
      <c r="S6" s="32">
        <f t="shared" si="0"/>
        <v>45747</v>
      </c>
      <c r="T6" s="32">
        <f t="shared" si="0"/>
        <v>45838</v>
      </c>
      <c r="U6" s="32">
        <f t="shared" si="0"/>
        <v>45930</v>
      </c>
      <c r="V6" s="32">
        <f t="shared" si="0"/>
        <v>46022</v>
      </c>
      <c r="W6" s="32">
        <f t="shared" si="0"/>
        <v>46112</v>
      </c>
      <c r="X6" s="32">
        <f t="shared" si="0"/>
        <v>46203</v>
      </c>
      <c r="Y6" s="32">
        <f t="shared" si="0"/>
        <v>46295</v>
      </c>
      <c r="Z6" s="32">
        <f t="shared" si="0"/>
        <v>46387</v>
      </c>
      <c r="AA6" s="32">
        <f t="shared" si="0"/>
        <v>46477</v>
      </c>
      <c r="AB6" s="32">
        <f t="shared" si="0"/>
        <v>46568</v>
      </c>
      <c r="AC6" s="32">
        <f t="shared" si="0"/>
        <v>46660</v>
      </c>
      <c r="AD6" s="32">
        <f t="shared" si="0"/>
        <v>46752</v>
      </c>
      <c r="AE6" s="32">
        <f t="shared" si="0"/>
        <v>46843</v>
      </c>
      <c r="AF6" s="32">
        <f t="shared" si="0"/>
        <v>46934</v>
      </c>
      <c r="AG6" s="32">
        <f t="shared" si="0"/>
        <v>47026</v>
      </c>
      <c r="AH6" s="32">
        <f t="shared" si="0"/>
        <v>47118</v>
      </c>
      <c r="AI6" s="32">
        <f t="shared" si="0"/>
        <v>47208</v>
      </c>
      <c r="AJ6" s="32">
        <f t="shared" si="0"/>
        <v>47299</v>
      </c>
      <c r="AK6" s="32">
        <f t="shared" si="0"/>
        <v>47391</v>
      </c>
      <c r="AL6" s="32">
        <f t="shared" si="0"/>
        <v>47483</v>
      </c>
      <c r="AM6" s="32">
        <f t="shared" si="0"/>
        <v>47573</v>
      </c>
      <c r="AN6" s="32">
        <f t="shared" si="0"/>
        <v>47664</v>
      </c>
      <c r="AO6" s="32">
        <f t="shared" si="0"/>
        <v>47756</v>
      </c>
      <c r="AP6" s="32">
        <f t="shared" si="0"/>
        <v>47848</v>
      </c>
      <c r="AQ6" s="32">
        <f t="shared" si="0"/>
        <v>47938</v>
      </c>
      <c r="AR6" s="32">
        <f t="shared" si="0"/>
        <v>48029</v>
      </c>
      <c r="AS6" s="32">
        <f t="shared" si="0"/>
        <v>48121</v>
      </c>
      <c r="AT6" s="32">
        <f t="shared" si="0"/>
        <v>48213</v>
      </c>
      <c r="AU6" s="32">
        <f t="shared" si="0"/>
        <v>48304</v>
      </c>
      <c r="AV6" s="32">
        <f t="shared" si="0"/>
        <v>48395</v>
      </c>
      <c r="AW6" s="32">
        <f t="shared" si="0"/>
        <v>48487</v>
      </c>
      <c r="AX6" s="32">
        <f t="shared" si="0"/>
        <v>48579</v>
      </c>
    </row>
    <row r="8" spans="2:50">
      <c r="B8" s="33" t="s">
        <v>50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</row>
    <row r="10" spans="2:50">
      <c r="K10" s="29" t="s">
        <v>51</v>
      </c>
      <c r="L10" s="29" t="s">
        <v>52</v>
      </c>
      <c r="M10" s="29" t="s">
        <v>107</v>
      </c>
      <c r="N10" s="29" t="s">
        <v>53</v>
      </c>
      <c r="O10" s="29" t="s">
        <v>54</v>
      </c>
    </row>
    <row r="11" spans="2:50">
      <c r="C11" s="29" t="s">
        <v>55</v>
      </c>
      <c r="E11" s="29" t="s">
        <v>56</v>
      </c>
      <c r="K11" s="35">
        <v>45838</v>
      </c>
      <c r="N11" s="29" t="s">
        <v>57</v>
      </c>
      <c r="O11" s="35">
        <v>48579</v>
      </c>
    </row>
    <row r="12" spans="2:50">
      <c r="C12" s="29" t="s">
        <v>58</v>
      </c>
      <c r="E12" s="29" t="s">
        <v>56</v>
      </c>
      <c r="K12" s="36">
        <f>INDEX($J$97:$AX$97,MATCH(K11,$J$6:$AX$6,0))</f>
        <v>6750000</v>
      </c>
      <c r="L12" s="20" t="str">
        <f>IFERROR(INDEX($K$6:$AX$6,MATCH(1,$K$89:$AX$89,0)),"None")</f>
        <v>None</v>
      </c>
      <c r="M12" s="36">
        <f>MAX(K67:AX67)</f>
        <v>750000</v>
      </c>
      <c r="N12" s="36">
        <f>H53</f>
        <v>1596637.7299939292</v>
      </c>
      <c r="O12" s="36">
        <f>INDEX($J$50:$AX$50,MATCH(O11,$J$6:$AX$6,0))</f>
        <v>0</v>
      </c>
    </row>
    <row r="13" spans="2:50">
      <c r="C13" s="29" t="s">
        <v>59</v>
      </c>
      <c r="E13" s="36">
        <f>K16</f>
        <v>6750000</v>
      </c>
      <c r="J13" s="29" t="s">
        <v>1</v>
      </c>
      <c r="K13" s="37">
        <f t="dataTable" ref="K13:O18" dt2D="0" dtr="0" r1="G23"/>
        <v>6750000</v>
      </c>
      <c r="L13" s="38" t="str">
        <v>None</v>
      </c>
      <c r="M13" s="39">
        <v>750000</v>
      </c>
      <c r="N13" s="39">
        <v>1596637.7299939292</v>
      </c>
      <c r="O13" s="40">
        <v>0</v>
      </c>
    </row>
    <row r="14" spans="2:50">
      <c r="C14" s="29" t="s">
        <v>60</v>
      </c>
      <c r="E14" s="41" t="str">
        <f>L14</f>
        <v>None</v>
      </c>
      <c r="J14" s="29" t="s">
        <v>17</v>
      </c>
      <c r="K14" s="42">
        <v>6750000</v>
      </c>
      <c r="L14" s="43" t="str">
        <v>None</v>
      </c>
      <c r="M14" s="36">
        <v>750000</v>
      </c>
      <c r="N14" s="36">
        <v>1596637.7299939292</v>
      </c>
      <c r="O14" s="44">
        <v>0</v>
      </c>
    </row>
    <row r="15" spans="2:50">
      <c r="C15" s="29" t="s">
        <v>61</v>
      </c>
      <c r="E15" s="36">
        <f>M15</f>
        <v>1897175.9105299204</v>
      </c>
      <c r="J15" s="29" t="s">
        <v>18</v>
      </c>
      <c r="K15" s="42">
        <v>6975000</v>
      </c>
      <c r="L15" s="45">
        <v>45016</v>
      </c>
      <c r="M15" s="46">
        <v>1897175.9105299204</v>
      </c>
      <c r="N15" s="36">
        <v>1596637.7299939292</v>
      </c>
      <c r="O15" s="44">
        <v>0</v>
      </c>
    </row>
    <row r="16" spans="2:50">
      <c r="C16" s="29" t="s">
        <v>62</v>
      </c>
      <c r="E16" s="47">
        <f>N17</f>
        <v>1596637.7299939292</v>
      </c>
      <c r="F16" s="47"/>
      <c r="J16" s="29" t="s">
        <v>19</v>
      </c>
      <c r="K16" s="48">
        <v>6750000</v>
      </c>
      <c r="L16" s="45">
        <v>46477</v>
      </c>
      <c r="M16" s="36">
        <v>2410494.0887624891</v>
      </c>
      <c r="N16" s="36">
        <v>1596637.7299939292</v>
      </c>
      <c r="O16" s="44">
        <v>0</v>
      </c>
    </row>
    <row r="17" spans="2:50">
      <c r="C17" s="29" t="s">
        <v>63</v>
      </c>
      <c r="E17" s="36">
        <f>$O$18</f>
        <v>0</v>
      </c>
      <c r="J17" s="29" t="s">
        <v>20</v>
      </c>
      <c r="K17" s="42">
        <v>7425000</v>
      </c>
      <c r="L17" s="45">
        <v>45657</v>
      </c>
      <c r="M17" s="36">
        <v>2560711.7137876353</v>
      </c>
      <c r="N17" s="46">
        <v>1596637.7299939292</v>
      </c>
      <c r="O17" s="44">
        <v>0</v>
      </c>
    </row>
    <row r="18" spans="2:50">
      <c r="J18" s="29" t="s">
        <v>21</v>
      </c>
      <c r="K18" s="49">
        <v>6750000</v>
      </c>
      <c r="L18" s="50">
        <v>46022</v>
      </c>
      <c r="M18" s="51">
        <v>1759237.7193640191</v>
      </c>
      <c r="N18" s="51">
        <v>1596637.7299939292</v>
      </c>
      <c r="O18" s="52">
        <v>0</v>
      </c>
    </row>
    <row r="21" spans="2:50">
      <c r="B21" s="33" t="s">
        <v>64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</row>
    <row r="23" spans="2:50">
      <c r="C23" s="29" t="s">
        <v>3</v>
      </c>
      <c r="G23" s="53" t="s">
        <v>17</v>
      </c>
      <c r="H23" s="36">
        <f t="shared" ref="H23:H28" si="1">SUM(K23:AX23)</f>
        <v>42470140.5</v>
      </c>
      <c r="K23" s="54">
        <f>INDEX(CaseData!$M$8:$R$47,MATCH(K$6,CaseData!$K$8:$K$47,0),MATCH($G$23,CaseData!$M$6:$R$6,0))</f>
        <v>1105141.5</v>
      </c>
      <c r="L23" s="54">
        <f>INDEX(CaseData!$M$8:$R$47,MATCH(L$6,CaseData!$K$8:$K$47,0),MATCH($G$23,CaseData!$M$6:$R$6,0))</f>
        <v>961012.5</v>
      </c>
      <c r="M23" s="54">
        <f>INDEX(CaseData!$M$8:$R$47,MATCH(M$6,CaseData!$K$8:$K$47,0),MATCH($G$23,CaseData!$M$6:$R$6,0))</f>
        <v>1048608</v>
      </c>
      <c r="N23" s="54">
        <f>INDEX(CaseData!$M$8:$R$47,MATCH(N$6,CaseData!$K$8:$K$47,0),MATCH($G$23,CaseData!$M$6:$R$6,0))</f>
        <v>1074277.5</v>
      </c>
      <c r="O23" s="54">
        <f>INDEX(CaseData!$M$8:$R$47,MATCH(O$6,CaseData!$K$8:$K$47,0),MATCH($G$23,CaseData!$M$6:$R$6,0))</f>
        <v>1117527</v>
      </c>
      <c r="P23" s="54">
        <f>INDEX(CaseData!$M$8:$R$47,MATCH(P$6,CaseData!$K$8:$K$47,0),MATCH($G$23,CaseData!$M$6:$R$6,0))</f>
        <v>971310</v>
      </c>
      <c r="Q23" s="54">
        <f>INDEX(CaseData!$M$8:$R$47,MATCH(Q$6,CaseData!$K$8:$K$47,0),MATCH($G$23,CaseData!$M$6:$R$6,0))</f>
        <v>916065</v>
      </c>
      <c r="R23" s="54">
        <f>INDEX(CaseData!$M$8:$R$47,MATCH(R$6,CaseData!$K$8:$K$47,0),MATCH($G$23,CaseData!$M$6:$R$6,0))</f>
        <v>786327</v>
      </c>
      <c r="S23" s="54">
        <f>INDEX(CaseData!$M$8:$R$47,MATCH(S$6,CaseData!$K$8:$K$47,0),MATCH($G$23,CaseData!$M$6:$R$6,0))</f>
        <v>882622.5</v>
      </c>
      <c r="T23" s="54">
        <f>INDEX(CaseData!$M$8:$R$47,MATCH(T$6,CaseData!$K$8:$K$47,0),MATCH($G$23,CaseData!$M$6:$R$6,0))</f>
        <v>1101510</v>
      </c>
      <c r="U23" s="54">
        <f>INDEX(CaseData!$M$8:$R$47,MATCH(U$6,CaseData!$K$8:$K$47,0),MATCH($G$23,CaseData!$M$6:$R$6,0))</f>
        <v>1052203.5</v>
      </c>
      <c r="V23" s="54">
        <f>INDEX(CaseData!$M$8:$R$47,MATCH(V$6,CaseData!$K$8:$K$47,0),MATCH($G$23,CaseData!$M$6:$R$6,0))</f>
        <v>1095760.5</v>
      </c>
      <c r="W23" s="54">
        <f>INDEX(CaseData!$M$8:$R$47,MATCH(W$6,CaseData!$K$8:$K$47,0),MATCH($G$23,CaseData!$M$6:$R$6,0))</f>
        <v>970521</v>
      </c>
      <c r="X23" s="54">
        <f>INDEX(CaseData!$M$8:$R$47,MATCH(X$6,CaseData!$K$8:$K$47,0),MATCH($G$23,CaseData!$M$6:$R$6,0))</f>
        <v>1003909.5</v>
      </c>
      <c r="Y23" s="54">
        <f>INDEX(CaseData!$M$8:$R$47,MATCH(Y$6,CaseData!$K$8:$K$47,0),MATCH($G$23,CaseData!$M$6:$R$6,0))</f>
        <v>987990</v>
      </c>
      <c r="Z23" s="54">
        <f>INDEX(CaseData!$M$8:$R$47,MATCH(Z$6,CaseData!$K$8:$K$47,0),MATCH($G$23,CaseData!$M$6:$R$6,0))</f>
        <v>1227384</v>
      </c>
      <c r="AA23" s="54">
        <f>INDEX(CaseData!$M$8:$R$47,MATCH(AA$6,CaseData!$K$8:$K$47,0),MATCH($G$23,CaseData!$M$6:$R$6,0))</f>
        <v>1096188</v>
      </c>
      <c r="AB23" s="54">
        <f>INDEX(CaseData!$M$8:$R$47,MATCH(AB$6,CaseData!$K$8:$K$47,0),MATCH($G$23,CaseData!$M$6:$R$6,0))</f>
        <v>994783.5</v>
      </c>
      <c r="AC23" s="54">
        <f>INDEX(CaseData!$M$8:$R$47,MATCH(AC$6,CaseData!$K$8:$K$47,0),MATCH($G$23,CaseData!$M$6:$R$6,0))</f>
        <v>900456</v>
      </c>
      <c r="AD23" s="54">
        <f>INDEX(CaseData!$M$8:$R$47,MATCH(AD$6,CaseData!$K$8:$K$47,0),MATCH($G$23,CaseData!$M$6:$R$6,0))</f>
        <v>941046</v>
      </c>
      <c r="AE23" s="54">
        <f>INDEX(CaseData!$M$8:$R$47,MATCH(AE$6,CaseData!$K$8:$K$47,0),MATCH($G$23,CaseData!$M$6:$R$6,0))</f>
        <v>1093561.5</v>
      </c>
      <c r="AF23" s="54">
        <f>INDEX(CaseData!$M$8:$R$47,MATCH(AF$6,CaseData!$K$8:$K$47,0),MATCH($G$23,CaseData!$M$6:$R$6,0))</f>
        <v>960078</v>
      </c>
      <c r="AG23" s="54">
        <f>INDEX(CaseData!$M$8:$R$47,MATCH(AG$6,CaseData!$K$8:$K$47,0),MATCH($G$23,CaseData!$M$6:$R$6,0))</f>
        <v>1257165</v>
      </c>
      <c r="AH23" s="54">
        <f>INDEX(CaseData!$M$8:$R$47,MATCH(AH$6,CaseData!$K$8:$K$47,0),MATCH($G$23,CaseData!$M$6:$R$6,0))</f>
        <v>1095327</v>
      </c>
      <c r="AI23" s="54">
        <f>INDEX(CaseData!$M$8:$R$47,MATCH(AI$6,CaseData!$K$8:$K$47,0),MATCH($G$23,CaseData!$M$6:$R$6,0))</f>
        <v>885561</v>
      </c>
      <c r="AJ23" s="54">
        <f>INDEX(CaseData!$M$8:$R$47,MATCH(AJ$6,CaseData!$K$8:$K$47,0),MATCH($G$23,CaseData!$M$6:$R$6,0))</f>
        <v>1127121</v>
      </c>
      <c r="AK23" s="54">
        <f>INDEX(CaseData!$M$8:$R$47,MATCH(AK$6,CaseData!$K$8:$K$47,0),MATCH($G$23,CaseData!$M$6:$R$6,0))</f>
        <v>992164.5</v>
      </c>
      <c r="AL23" s="54">
        <f>INDEX(CaseData!$M$8:$R$47,MATCH(AL$6,CaseData!$K$8:$K$47,0),MATCH($G$23,CaseData!$M$6:$R$6,0))</f>
        <v>1179703.5</v>
      </c>
      <c r="AM23" s="54">
        <f>INDEX(CaseData!$M$8:$R$47,MATCH(AM$6,CaseData!$K$8:$K$47,0),MATCH($G$23,CaseData!$M$6:$R$6,0))</f>
        <v>976075.5</v>
      </c>
      <c r="AN23" s="54">
        <f>INDEX(CaseData!$M$8:$R$47,MATCH(AN$6,CaseData!$K$8:$K$47,0),MATCH($G$23,CaseData!$M$6:$R$6,0))</f>
        <v>958510.5</v>
      </c>
      <c r="AO23" s="54">
        <f>INDEX(CaseData!$M$8:$R$47,MATCH(AO$6,CaseData!$K$8:$K$47,0),MATCH($G$23,CaseData!$M$6:$R$6,0))</f>
        <v>1176114</v>
      </c>
      <c r="AP23" s="54">
        <f>INDEX(CaseData!$M$8:$R$47,MATCH(AP$6,CaseData!$K$8:$K$47,0),MATCH($G$23,CaseData!$M$6:$R$6,0))</f>
        <v>1138582.5</v>
      </c>
      <c r="AQ23" s="54">
        <f>INDEX(CaseData!$M$8:$R$47,MATCH(AQ$6,CaseData!$K$8:$K$47,0),MATCH($G$23,CaseData!$M$6:$R$6,0))</f>
        <v>1221447</v>
      </c>
      <c r="AR23" s="54">
        <f>INDEX(CaseData!$M$8:$R$47,MATCH(AR$6,CaseData!$K$8:$K$47,0),MATCH($G$23,CaseData!$M$6:$R$6,0))</f>
        <v>979699.5</v>
      </c>
      <c r="AS23" s="54">
        <f>INDEX(CaseData!$M$8:$R$47,MATCH(AS$6,CaseData!$K$8:$K$47,0),MATCH($G$23,CaseData!$M$6:$R$6,0))</f>
        <v>1148931</v>
      </c>
      <c r="AT23" s="54">
        <f>INDEX(CaseData!$M$8:$R$47,MATCH(AT$6,CaseData!$K$8:$K$47,0),MATCH($G$23,CaseData!$M$6:$R$6,0))</f>
        <v>1233861</v>
      </c>
      <c r="AU23" s="54">
        <f>INDEX(CaseData!$M$8:$R$47,MATCH(AU$6,CaseData!$K$8:$K$47,0),MATCH($G$23,CaseData!$M$6:$R$6,0))</f>
        <v>1187176.5</v>
      </c>
      <c r="AV23" s="54">
        <f>INDEX(CaseData!$M$8:$R$47,MATCH(AV$6,CaseData!$K$8:$K$47,0),MATCH($G$23,CaseData!$M$6:$R$6,0))</f>
        <v>1164579</v>
      </c>
      <c r="AW23" s="54">
        <f>INDEX(CaseData!$M$8:$R$47,MATCH(AW$6,CaseData!$K$8:$K$47,0),MATCH($G$23,CaseData!$M$6:$R$6,0))</f>
        <v>1370262</v>
      </c>
      <c r="AX23" s="54">
        <f>INDEX(CaseData!$M$8:$R$47,MATCH(AX$6,CaseData!$K$8:$K$47,0),MATCH($G$23,CaseData!$M$6:$R$6,0))</f>
        <v>1089577.5</v>
      </c>
    </row>
    <row r="24" spans="2:50">
      <c r="C24" s="29" t="s">
        <v>65</v>
      </c>
      <c r="H24" s="36">
        <f t="shared" si="1"/>
        <v>60000</v>
      </c>
      <c r="K24" s="36">
        <f t="shared" ref="K24:AX24" si="2">K70</f>
        <v>1875</v>
      </c>
      <c r="L24" s="36">
        <f t="shared" si="2"/>
        <v>1875</v>
      </c>
      <c r="M24" s="36">
        <f t="shared" si="2"/>
        <v>1875</v>
      </c>
      <c r="N24" s="36">
        <f t="shared" si="2"/>
        <v>1875</v>
      </c>
      <c r="O24" s="36">
        <f t="shared" si="2"/>
        <v>1875</v>
      </c>
      <c r="P24" s="36">
        <f t="shared" si="2"/>
        <v>1875</v>
      </c>
      <c r="Q24" s="36">
        <f t="shared" si="2"/>
        <v>1875</v>
      </c>
      <c r="R24" s="36">
        <f t="shared" si="2"/>
        <v>1875</v>
      </c>
      <c r="S24" s="36">
        <f t="shared" si="2"/>
        <v>1875</v>
      </c>
      <c r="T24" s="36">
        <f t="shared" si="2"/>
        <v>1875</v>
      </c>
      <c r="U24" s="36">
        <f t="shared" si="2"/>
        <v>1875</v>
      </c>
      <c r="V24" s="36">
        <f t="shared" si="2"/>
        <v>1875</v>
      </c>
      <c r="W24" s="36">
        <f t="shared" si="2"/>
        <v>1875</v>
      </c>
      <c r="X24" s="36">
        <f t="shared" si="2"/>
        <v>1875</v>
      </c>
      <c r="Y24" s="36">
        <f t="shared" si="2"/>
        <v>1875</v>
      </c>
      <c r="Z24" s="36">
        <f t="shared" si="2"/>
        <v>1875</v>
      </c>
      <c r="AA24" s="36">
        <f t="shared" si="2"/>
        <v>1875</v>
      </c>
      <c r="AB24" s="36">
        <f t="shared" si="2"/>
        <v>1875</v>
      </c>
      <c r="AC24" s="36">
        <f t="shared" si="2"/>
        <v>1875</v>
      </c>
      <c r="AD24" s="36">
        <f t="shared" si="2"/>
        <v>1875</v>
      </c>
      <c r="AE24" s="36">
        <f t="shared" si="2"/>
        <v>1875</v>
      </c>
      <c r="AF24" s="36">
        <f t="shared" si="2"/>
        <v>1875</v>
      </c>
      <c r="AG24" s="36">
        <f t="shared" si="2"/>
        <v>1875</v>
      </c>
      <c r="AH24" s="36">
        <f t="shared" si="2"/>
        <v>1875</v>
      </c>
      <c r="AI24" s="36">
        <f t="shared" si="2"/>
        <v>1875</v>
      </c>
      <c r="AJ24" s="36">
        <f t="shared" si="2"/>
        <v>1875</v>
      </c>
      <c r="AK24" s="36">
        <f t="shared" si="2"/>
        <v>1875</v>
      </c>
      <c r="AL24" s="36">
        <f t="shared" si="2"/>
        <v>1875</v>
      </c>
      <c r="AM24" s="36">
        <f t="shared" si="2"/>
        <v>1875</v>
      </c>
      <c r="AN24" s="36">
        <f t="shared" si="2"/>
        <v>1875</v>
      </c>
      <c r="AO24" s="36">
        <f t="shared" si="2"/>
        <v>1875</v>
      </c>
      <c r="AP24" s="36">
        <f t="shared" si="2"/>
        <v>1875</v>
      </c>
      <c r="AQ24" s="36">
        <f t="shared" si="2"/>
        <v>0</v>
      </c>
      <c r="AR24" s="36">
        <f t="shared" si="2"/>
        <v>0</v>
      </c>
      <c r="AS24" s="36">
        <f t="shared" si="2"/>
        <v>0</v>
      </c>
      <c r="AT24" s="36">
        <f t="shared" si="2"/>
        <v>0</v>
      </c>
      <c r="AU24" s="36">
        <f t="shared" si="2"/>
        <v>0</v>
      </c>
      <c r="AV24" s="36">
        <f t="shared" si="2"/>
        <v>0</v>
      </c>
      <c r="AW24" s="36">
        <f t="shared" si="2"/>
        <v>0</v>
      </c>
      <c r="AX24" s="36">
        <f t="shared" si="2"/>
        <v>0</v>
      </c>
    </row>
    <row r="25" spans="2:50">
      <c r="C25" s="29" t="s">
        <v>66</v>
      </c>
      <c r="H25" s="39">
        <f t="shared" si="1"/>
        <v>42530140.5</v>
      </c>
      <c r="K25" s="39">
        <f>SUM(K23:K24)</f>
        <v>1107016.5</v>
      </c>
      <c r="L25" s="39">
        <f t="shared" ref="L25:AX25" si="3">SUM(L23:L24)</f>
        <v>962887.5</v>
      </c>
      <c r="M25" s="39">
        <f t="shared" si="3"/>
        <v>1050483</v>
      </c>
      <c r="N25" s="39">
        <f t="shared" si="3"/>
        <v>1076152.5</v>
      </c>
      <c r="O25" s="39">
        <f t="shared" si="3"/>
        <v>1119402</v>
      </c>
      <c r="P25" s="39">
        <f t="shared" si="3"/>
        <v>973185</v>
      </c>
      <c r="Q25" s="39">
        <f t="shared" si="3"/>
        <v>917940</v>
      </c>
      <c r="R25" s="39">
        <f t="shared" si="3"/>
        <v>788202</v>
      </c>
      <c r="S25" s="39">
        <f t="shared" si="3"/>
        <v>884497.5</v>
      </c>
      <c r="T25" s="39">
        <f t="shared" si="3"/>
        <v>1103385</v>
      </c>
      <c r="U25" s="39">
        <f t="shared" si="3"/>
        <v>1054078.5</v>
      </c>
      <c r="V25" s="39">
        <f t="shared" si="3"/>
        <v>1097635.5</v>
      </c>
      <c r="W25" s="39">
        <f t="shared" si="3"/>
        <v>972396</v>
      </c>
      <c r="X25" s="39">
        <f t="shared" si="3"/>
        <v>1005784.5</v>
      </c>
      <c r="Y25" s="39">
        <f t="shared" si="3"/>
        <v>989865</v>
      </c>
      <c r="Z25" s="39">
        <f t="shared" si="3"/>
        <v>1229259</v>
      </c>
      <c r="AA25" s="39">
        <f t="shared" si="3"/>
        <v>1098063</v>
      </c>
      <c r="AB25" s="39">
        <f t="shared" si="3"/>
        <v>996658.5</v>
      </c>
      <c r="AC25" s="39">
        <f t="shared" si="3"/>
        <v>902331</v>
      </c>
      <c r="AD25" s="39">
        <f t="shared" si="3"/>
        <v>942921</v>
      </c>
      <c r="AE25" s="39">
        <f t="shared" si="3"/>
        <v>1095436.5</v>
      </c>
      <c r="AF25" s="39">
        <f t="shared" si="3"/>
        <v>961953</v>
      </c>
      <c r="AG25" s="39">
        <f t="shared" si="3"/>
        <v>1259040</v>
      </c>
      <c r="AH25" s="39">
        <f t="shared" si="3"/>
        <v>1097202</v>
      </c>
      <c r="AI25" s="39">
        <f t="shared" si="3"/>
        <v>887436</v>
      </c>
      <c r="AJ25" s="39">
        <f t="shared" si="3"/>
        <v>1128996</v>
      </c>
      <c r="AK25" s="39">
        <f t="shared" si="3"/>
        <v>994039.5</v>
      </c>
      <c r="AL25" s="39">
        <f t="shared" si="3"/>
        <v>1181578.5</v>
      </c>
      <c r="AM25" s="39">
        <f t="shared" si="3"/>
        <v>977950.5</v>
      </c>
      <c r="AN25" s="39">
        <f t="shared" si="3"/>
        <v>960385.5</v>
      </c>
      <c r="AO25" s="39">
        <f t="shared" si="3"/>
        <v>1177989</v>
      </c>
      <c r="AP25" s="39">
        <f t="shared" si="3"/>
        <v>1140457.5</v>
      </c>
      <c r="AQ25" s="39">
        <f t="shared" si="3"/>
        <v>1221447</v>
      </c>
      <c r="AR25" s="39">
        <f t="shared" si="3"/>
        <v>979699.5</v>
      </c>
      <c r="AS25" s="39">
        <f t="shared" si="3"/>
        <v>1148931</v>
      </c>
      <c r="AT25" s="39">
        <f t="shared" si="3"/>
        <v>1233861</v>
      </c>
      <c r="AU25" s="39">
        <f t="shared" si="3"/>
        <v>1187176.5</v>
      </c>
      <c r="AV25" s="39">
        <f t="shared" si="3"/>
        <v>1164579</v>
      </c>
      <c r="AW25" s="39">
        <f t="shared" si="3"/>
        <v>1370262</v>
      </c>
      <c r="AX25" s="39">
        <f t="shared" si="3"/>
        <v>1089577.5</v>
      </c>
    </row>
    <row r="27" spans="2:50">
      <c r="C27" s="29" t="s">
        <v>67</v>
      </c>
      <c r="H27" s="36">
        <f t="shared" si="1"/>
        <v>-1596637.7299939292</v>
      </c>
      <c r="K27" s="36">
        <f t="shared" ref="K27:AX27" si="4">-K53</f>
        <v>-93750</v>
      </c>
      <c r="L27" s="36">
        <f t="shared" si="4"/>
        <v>-91094.406693360565</v>
      </c>
      <c r="M27" s="36">
        <f t="shared" si="4"/>
        <v>-88422.215928554637</v>
      </c>
      <c r="N27" s="36">
        <f t="shared" si="4"/>
        <v>-85733.323971468664</v>
      </c>
      <c r="O27" s="36">
        <f t="shared" si="4"/>
        <v>-83027.626439650892</v>
      </c>
      <c r="P27" s="36">
        <f t="shared" si="4"/>
        <v>-80305.018298259281</v>
      </c>
      <c r="Q27" s="36">
        <f t="shared" si="4"/>
        <v>-77565.393855983959</v>
      </c>
      <c r="R27" s="36">
        <f t="shared" si="4"/>
        <v>-74808.646760944423</v>
      </c>
      <c r="S27" s="36">
        <f t="shared" si="4"/>
        <v>-72034.669996560886</v>
      </c>
      <c r="T27" s="36">
        <f t="shared" si="4"/>
        <v>-69243.355877399954</v>
      </c>
      <c r="U27" s="36">
        <f t="shared" si="4"/>
        <v>-66434.59604499425</v>
      </c>
      <c r="V27" s="36">
        <f t="shared" si="4"/>
        <v>-63608.281463636027</v>
      </c>
      <c r="W27" s="36">
        <f t="shared" si="4"/>
        <v>-60764.302416144317</v>
      </c>
      <c r="X27" s="36">
        <f t="shared" si="4"/>
        <v>-57902.548499605771</v>
      </c>
      <c r="Y27" s="36">
        <f t="shared" si="4"/>
        <v>-55022.908621088871</v>
      </c>
      <c r="Z27" s="36">
        <f t="shared" si="4"/>
        <v>-52125.270993331244</v>
      </c>
      <c r="AA27" s="36">
        <f t="shared" si="4"/>
        <v>-49209.523130400121</v>
      </c>
      <c r="AB27" s="36">
        <f t="shared" si="4"/>
        <v>-46275.55184332568</v>
      </c>
      <c r="AC27" s="36">
        <f t="shared" si="4"/>
        <v>-43323.243235707021</v>
      </c>
      <c r="AD27" s="36">
        <f t="shared" si="4"/>
        <v>-40352.482699290755</v>
      </c>
      <c r="AE27" s="36">
        <f t="shared" si="4"/>
        <v>-37363.15490952188</v>
      </c>
      <c r="AF27" s="36">
        <f t="shared" si="4"/>
        <v>-34355.143821066951</v>
      </c>
      <c r="AG27" s="36">
        <f t="shared" si="4"/>
        <v>-31328.332663309178</v>
      </c>
      <c r="AH27" s="36">
        <f t="shared" si="4"/>
        <v>-28282.603935815423</v>
      </c>
      <c r="AI27" s="36">
        <f t="shared" si="4"/>
        <v>-25217.839403774833</v>
      </c>
      <c r="AJ27" s="36">
        <f t="shared" si="4"/>
        <v>-22133.920093408986</v>
      </c>
      <c r="AK27" s="36">
        <f t="shared" si="4"/>
        <v>-19030.726287353351</v>
      </c>
      <c r="AL27" s="36">
        <f t="shared" si="4"/>
        <v>-15908.13752000987</v>
      </c>
      <c r="AM27" s="36">
        <f t="shared" si="4"/>
        <v>-12766.032572870492</v>
      </c>
      <c r="AN27" s="36">
        <f t="shared" si="4"/>
        <v>-9604.2894698114942</v>
      </c>
      <c r="AO27" s="36">
        <f t="shared" si="4"/>
        <v>-6422.7854723583769</v>
      </c>
      <c r="AP27" s="36">
        <f t="shared" si="4"/>
        <v>-3221.3970749211771</v>
      </c>
      <c r="AQ27" s="36">
        <f t="shared" si="4"/>
        <v>0</v>
      </c>
      <c r="AR27" s="36">
        <f t="shared" si="4"/>
        <v>0</v>
      </c>
      <c r="AS27" s="36">
        <f t="shared" si="4"/>
        <v>0</v>
      </c>
      <c r="AT27" s="36">
        <f t="shared" si="4"/>
        <v>0</v>
      </c>
      <c r="AU27" s="36">
        <f t="shared" si="4"/>
        <v>0</v>
      </c>
      <c r="AV27" s="36">
        <f t="shared" si="4"/>
        <v>0</v>
      </c>
      <c r="AW27" s="36">
        <f t="shared" si="4"/>
        <v>0</v>
      </c>
      <c r="AX27" s="36">
        <f t="shared" si="4"/>
        <v>0</v>
      </c>
    </row>
    <row r="28" spans="2:50">
      <c r="C28" s="29" t="s">
        <v>68</v>
      </c>
      <c r="H28" s="36">
        <f t="shared" si="1"/>
        <v>-14999999.999999996</v>
      </c>
      <c r="K28" s="36">
        <f t="shared" ref="K28:AX28" si="5">K49</f>
        <v>-424894.92906231026</v>
      </c>
      <c r="L28" s="36">
        <f t="shared" si="5"/>
        <v>-427550.52236894972</v>
      </c>
      <c r="M28" s="36">
        <f t="shared" si="5"/>
        <v>-430222.71313375561</v>
      </c>
      <c r="N28" s="36">
        <f t="shared" si="5"/>
        <v>-432911.60509084159</v>
      </c>
      <c r="O28" s="36">
        <f t="shared" si="5"/>
        <v>-435617.30262265936</v>
      </c>
      <c r="P28" s="36">
        <f t="shared" si="5"/>
        <v>-438339.91076405096</v>
      </c>
      <c r="Q28" s="36">
        <f t="shared" si="5"/>
        <v>-441079.53520632628</v>
      </c>
      <c r="R28" s="36">
        <f t="shared" si="5"/>
        <v>-443836.28230136586</v>
      </c>
      <c r="S28" s="36">
        <f t="shared" si="5"/>
        <v>-446610.25906574936</v>
      </c>
      <c r="T28" s="36">
        <f t="shared" si="5"/>
        <v>-449401.57318491029</v>
      </c>
      <c r="U28" s="36">
        <f t="shared" si="5"/>
        <v>-452210.33301731601</v>
      </c>
      <c r="V28" s="36">
        <f t="shared" si="5"/>
        <v>-455036.64759867423</v>
      </c>
      <c r="W28" s="36">
        <f t="shared" si="5"/>
        <v>-457880.62664616597</v>
      </c>
      <c r="X28" s="36">
        <f t="shared" si="5"/>
        <v>-460742.38056270446</v>
      </c>
      <c r="Y28" s="36">
        <f t="shared" si="5"/>
        <v>-463622.02044122136</v>
      </c>
      <c r="Z28" s="36">
        <f t="shared" si="5"/>
        <v>-466519.65806897904</v>
      </c>
      <c r="AA28" s="36">
        <f t="shared" si="5"/>
        <v>-469435.40593191015</v>
      </c>
      <c r="AB28" s="36">
        <f t="shared" si="5"/>
        <v>-472369.37721898459</v>
      </c>
      <c r="AC28" s="36">
        <f t="shared" si="5"/>
        <v>-475321.68582660321</v>
      </c>
      <c r="AD28" s="36">
        <f t="shared" si="5"/>
        <v>-478292.44636301952</v>
      </c>
      <c r="AE28" s="36">
        <f t="shared" si="5"/>
        <v>-481281.77415278839</v>
      </c>
      <c r="AF28" s="36">
        <f t="shared" si="5"/>
        <v>-484289.78524124331</v>
      </c>
      <c r="AG28" s="36">
        <f t="shared" si="5"/>
        <v>-487316.59639900108</v>
      </c>
      <c r="AH28" s="36">
        <f t="shared" si="5"/>
        <v>-490362.32512649486</v>
      </c>
      <c r="AI28" s="36">
        <f t="shared" si="5"/>
        <v>-493427.08965853543</v>
      </c>
      <c r="AJ28" s="36">
        <f t="shared" si="5"/>
        <v>-496511.0089689013</v>
      </c>
      <c r="AK28" s="36">
        <f t="shared" si="5"/>
        <v>-499614.20277495688</v>
      </c>
      <c r="AL28" s="36">
        <f t="shared" si="5"/>
        <v>-502736.79154230037</v>
      </c>
      <c r="AM28" s="36">
        <f t="shared" si="5"/>
        <v>-505878.89648943976</v>
      </c>
      <c r="AN28" s="36">
        <f t="shared" si="5"/>
        <v>-509040.63959249877</v>
      </c>
      <c r="AO28" s="36">
        <f t="shared" si="5"/>
        <v>-512222.14358995185</v>
      </c>
      <c r="AP28" s="36">
        <f t="shared" si="5"/>
        <v>-515423.53198738833</v>
      </c>
      <c r="AQ28" s="36">
        <f t="shared" si="5"/>
        <v>0</v>
      </c>
      <c r="AR28" s="36">
        <f t="shared" si="5"/>
        <v>0</v>
      </c>
      <c r="AS28" s="36">
        <f t="shared" si="5"/>
        <v>0</v>
      </c>
      <c r="AT28" s="36">
        <f t="shared" si="5"/>
        <v>0</v>
      </c>
      <c r="AU28" s="36">
        <f t="shared" si="5"/>
        <v>0</v>
      </c>
      <c r="AV28" s="36">
        <f t="shared" si="5"/>
        <v>0</v>
      </c>
      <c r="AW28" s="36">
        <f t="shared" si="5"/>
        <v>0</v>
      </c>
      <c r="AX28" s="36">
        <f t="shared" si="5"/>
        <v>0</v>
      </c>
    </row>
    <row r="29" spans="2:50">
      <c r="C29" s="29" t="s">
        <v>69</v>
      </c>
      <c r="K29" s="39">
        <f>SUM(K25,K27:K28)</f>
        <v>588371.57093768974</v>
      </c>
      <c r="L29" s="39">
        <f t="shared" ref="L29:AX29" si="6">SUM(L25,L27:L28)</f>
        <v>444242.57093768974</v>
      </c>
      <c r="M29" s="39">
        <f t="shared" si="6"/>
        <v>531838.07093768974</v>
      </c>
      <c r="N29" s="39">
        <f t="shared" si="6"/>
        <v>557507.57093768963</v>
      </c>
      <c r="O29" s="39">
        <f t="shared" si="6"/>
        <v>600757.07093768974</v>
      </c>
      <c r="P29" s="39">
        <f t="shared" si="6"/>
        <v>454540.0709376898</v>
      </c>
      <c r="Q29" s="39">
        <f t="shared" si="6"/>
        <v>399295.07093768974</v>
      </c>
      <c r="R29" s="39">
        <f t="shared" si="6"/>
        <v>269557.07093768974</v>
      </c>
      <c r="S29" s="39">
        <f t="shared" si="6"/>
        <v>365852.57093768974</v>
      </c>
      <c r="T29" s="39">
        <f t="shared" si="6"/>
        <v>584740.07093768986</v>
      </c>
      <c r="U29" s="39">
        <f t="shared" si="6"/>
        <v>535433.57093768986</v>
      </c>
      <c r="V29" s="39">
        <f t="shared" si="6"/>
        <v>578990.57093768963</v>
      </c>
      <c r="W29" s="39">
        <f t="shared" si="6"/>
        <v>453751.07093768974</v>
      </c>
      <c r="X29" s="39">
        <f t="shared" si="6"/>
        <v>487139.5709376898</v>
      </c>
      <c r="Y29" s="39">
        <f t="shared" si="6"/>
        <v>471220.0709376898</v>
      </c>
      <c r="Z29" s="39">
        <f t="shared" si="6"/>
        <v>710614.07093768974</v>
      </c>
      <c r="AA29" s="39">
        <f t="shared" si="6"/>
        <v>579418.07093768974</v>
      </c>
      <c r="AB29" s="39">
        <f t="shared" si="6"/>
        <v>478013.57093768968</v>
      </c>
      <c r="AC29" s="39">
        <f t="shared" si="6"/>
        <v>383686.07093768974</v>
      </c>
      <c r="AD29" s="39">
        <f t="shared" si="6"/>
        <v>424276.07093768974</v>
      </c>
      <c r="AE29" s="39">
        <f t="shared" si="6"/>
        <v>576791.57093768986</v>
      </c>
      <c r="AF29" s="39">
        <f t="shared" si="6"/>
        <v>443308.07093768974</v>
      </c>
      <c r="AG29" s="39">
        <f t="shared" si="6"/>
        <v>740395.07093768963</v>
      </c>
      <c r="AH29" s="39">
        <f t="shared" si="6"/>
        <v>578557.07093768974</v>
      </c>
      <c r="AI29" s="39">
        <f t="shared" si="6"/>
        <v>368791.07093768974</v>
      </c>
      <c r="AJ29" s="39">
        <f t="shared" si="6"/>
        <v>610351.07093768963</v>
      </c>
      <c r="AK29" s="39">
        <f t="shared" si="6"/>
        <v>475394.5709376898</v>
      </c>
      <c r="AL29" s="39">
        <f t="shared" si="6"/>
        <v>662933.57093768974</v>
      </c>
      <c r="AM29" s="39">
        <f t="shared" si="6"/>
        <v>459305.57093768974</v>
      </c>
      <c r="AN29" s="39">
        <f t="shared" si="6"/>
        <v>441740.57093768974</v>
      </c>
      <c r="AO29" s="39">
        <f t="shared" si="6"/>
        <v>659344.07093768986</v>
      </c>
      <c r="AP29" s="39">
        <f t="shared" si="6"/>
        <v>621812.57093769033</v>
      </c>
      <c r="AQ29" s="39">
        <f t="shared" si="6"/>
        <v>1221447</v>
      </c>
      <c r="AR29" s="39">
        <f t="shared" si="6"/>
        <v>979699.5</v>
      </c>
      <c r="AS29" s="39">
        <f t="shared" si="6"/>
        <v>1148931</v>
      </c>
      <c r="AT29" s="39">
        <f t="shared" si="6"/>
        <v>1233861</v>
      </c>
      <c r="AU29" s="39">
        <f t="shared" si="6"/>
        <v>1187176.5</v>
      </c>
      <c r="AV29" s="39">
        <f t="shared" si="6"/>
        <v>1164579</v>
      </c>
      <c r="AW29" s="39">
        <f t="shared" si="6"/>
        <v>1370262</v>
      </c>
      <c r="AX29" s="39">
        <f t="shared" si="6"/>
        <v>1089577.5</v>
      </c>
    </row>
    <row r="31" spans="2:50">
      <c r="C31" s="29" t="s">
        <v>70</v>
      </c>
      <c r="H31" s="36">
        <f t="shared" ref="H31:H33" si="7">SUM(K31:AX31)</f>
        <v>0</v>
      </c>
      <c r="K31" s="36">
        <f>-MIN(K29,0)</f>
        <v>0</v>
      </c>
      <c r="L31" s="36">
        <f t="shared" ref="L31:AX31" si="8">-MIN(L29,0)</f>
        <v>0</v>
      </c>
      <c r="M31" s="36">
        <f t="shared" si="8"/>
        <v>0</v>
      </c>
      <c r="N31" s="36">
        <f t="shared" si="8"/>
        <v>0</v>
      </c>
      <c r="O31" s="36">
        <f t="shared" si="8"/>
        <v>0</v>
      </c>
      <c r="P31" s="36">
        <f t="shared" si="8"/>
        <v>0</v>
      </c>
      <c r="Q31" s="36">
        <f t="shared" si="8"/>
        <v>0</v>
      </c>
      <c r="R31" s="36">
        <f t="shared" si="8"/>
        <v>0</v>
      </c>
      <c r="S31" s="36">
        <f t="shared" si="8"/>
        <v>0</v>
      </c>
      <c r="T31" s="36">
        <f t="shared" si="8"/>
        <v>0</v>
      </c>
      <c r="U31" s="36">
        <f t="shared" si="8"/>
        <v>0</v>
      </c>
      <c r="V31" s="36">
        <f t="shared" si="8"/>
        <v>0</v>
      </c>
      <c r="W31" s="36">
        <f t="shared" si="8"/>
        <v>0</v>
      </c>
      <c r="X31" s="36">
        <f t="shared" si="8"/>
        <v>0</v>
      </c>
      <c r="Y31" s="36">
        <f t="shared" si="8"/>
        <v>0</v>
      </c>
      <c r="Z31" s="36">
        <f t="shared" si="8"/>
        <v>0</v>
      </c>
      <c r="AA31" s="36">
        <f t="shared" si="8"/>
        <v>0</v>
      </c>
      <c r="AB31" s="36">
        <f t="shared" si="8"/>
        <v>0</v>
      </c>
      <c r="AC31" s="36">
        <f t="shared" si="8"/>
        <v>0</v>
      </c>
      <c r="AD31" s="36">
        <f t="shared" si="8"/>
        <v>0</v>
      </c>
      <c r="AE31" s="36">
        <f t="shared" si="8"/>
        <v>0</v>
      </c>
      <c r="AF31" s="36">
        <f t="shared" si="8"/>
        <v>0</v>
      </c>
      <c r="AG31" s="36">
        <f t="shared" si="8"/>
        <v>0</v>
      </c>
      <c r="AH31" s="36">
        <f t="shared" si="8"/>
        <v>0</v>
      </c>
      <c r="AI31" s="36">
        <f t="shared" si="8"/>
        <v>0</v>
      </c>
      <c r="AJ31" s="36">
        <f t="shared" si="8"/>
        <v>0</v>
      </c>
      <c r="AK31" s="36">
        <f t="shared" si="8"/>
        <v>0</v>
      </c>
      <c r="AL31" s="36">
        <f t="shared" si="8"/>
        <v>0</v>
      </c>
      <c r="AM31" s="36">
        <f t="shared" si="8"/>
        <v>0</v>
      </c>
      <c r="AN31" s="36">
        <f t="shared" si="8"/>
        <v>0</v>
      </c>
      <c r="AO31" s="36">
        <f t="shared" si="8"/>
        <v>0</v>
      </c>
      <c r="AP31" s="36">
        <f t="shared" si="8"/>
        <v>0</v>
      </c>
      <c r="AQ31" s="36">
        <f t="shared" si="8"/>
        <v>0</v>
      </c>
      <c r="AR31" s="36">
        <f t="shared" si="8"/>
        <v>0</v>
      </c>
      <c r="AS31" s="36">
        <f t="shared" si="8"/>
        <v>0</v>
      </c>
      <c r="AT31" s="36">
        <f t="shared" si="8"/>
        <v>0</v>
      </c>
      <c r="AU31" s="36">
        <f t="shared" si="8"/>
        <v>0</v>
      </c>
      <c r="AV31" s="36">
        <f t="shared" si="8"/>
        <v>0</v>
      </c>
      <c r="AW31" s="36">
        <f t="shared" si="8"/>
        <v>0</v>
      </c>
      <c r="AX31" s="36">
        <f t="shared" si="8"/>
        <v>0</v>
      </c>
    </row>
    <row r="32" spans="2:50">
      <c r="C32" s="29" t="s">
        <v>71</v>
      </c>
      <c r="H32" s="36">
        <f t="shared" si="7"/>
        <v>0</v>
      </c>
      <c r="K32" s="36">
        <f t="shared" ref="K32:AX32" si="9">-K63</f>
        <v>0</v>
      </c>
      <c r="L32" s="36">
        <f t="shared" si="9"/>
        <v>0</v>
      </c>
      <c r="M32" s="36">
        <f t="shared" si="9"/>
        <v>0</v>
      </c>
      <c r="N32" s="36">
        <f t="shared" si="9"/>
        <v>0</v>
      </c>
      <c r="O32" s="36">
        <f t="shared" si="9"/>
        <v>0</v>
      </c>
      <c r="P32" s="36">
        <f t="shared" si="9"/>
        <v>0</v>
      </c>
      <c r="Q32" s="36">
        <f t="shared" si="9"/>
        <v>0</v>
      </c>
      <c r="R32" s="36">
        <f t="shared" si="9"/>
        <v>0</v>
      </c>
      <c r="S32" s="36">
        <f t="shared" si="9"/>
        <v>0</v>
      </c>
      <c r="T32" s="36">
        <f t="shared" si="9"/>
        <v>0</v>
      </c>
      <c r="U32" s="36">
        <f t="shared" si="9"/>
        <v>0</v>
      </c>
      <c r="V32" s="36">
        <f t="shared" si="9"/>
        <v>0</v>
      </c>
      <c r="W32" s="36">
        <f t="shared" si="9"/>
        <v>0</v>
      </c>
      <c r="X32" s="36">
        <f t="shared" si="9"/>
        <v>0</v>
      </c>
      <c r="Y32" s="36">
        <f t="shared" si="9"/>
        <v>0</v>
      </c>
      <c r="Z32" s="36">
        <f t="shared" si="9"/>
        <v>0</v>
      </c>
      <c r="AA32" s="36">
        <f t="shared" si="9"/>
        <v>0</v>
      </c>
      <c r="AB32" s="36">
        <f t="shared" si="9"/>
        <v>0</v>
      </c>
      <c r="AC32" s="36">
        <f t="shared" si="9"/>
        <v>0</v>
      </c>
      <c r="AD32" s="36">
        <f t="shared" si="9"/>
        <v>0</v>
      </c>
      <c r="AE32" s="36">
        <f t="shared" si="9"/>
        <v>0</v>
      </c>
      <c r="AF32" s="36">
        <f t="shared" si="9"/>
        <v>0</v>
      </c>
      <c r="AG32" s="36">
        <f t="shared" si="9"/>
        <v>0</v>
      </c>
      <c r="AH32" s="36">
        <f t="shared" si="9"/>
        <v>0</v>
      </c>
      <c r="AI32" s="36">
        <f t="shared" si="9"/>
        <v>0</v>
      </c>
      <c r="AJ32" s="36">
        <f t="shared" si="9"/>
        <v>0</v>
      </c>
      <c r="AK32" s="36">
        <f t="shared" si="9"/>
        <v>0</v>
      </c>
      <c r="AL32" s="36">
        <f t="shared" si="9"/>
        <v>0</v>
      </c>
      <c r="AM32" s="36">
        <f t="shared" si="9"/>
        <v>0</v>
      </c>
      <c r="AN32" s="36">
        <f t="shared" si="9"/>
        <v>0</v>
      </c>
      <c r="AO32" s="36">
        <f t="shared" si="9"/>
        <v>0</v>
      </c>
      <c r="AP32" s="36">
        <f t="shared" si="9"/>
        <v>0</v>
      </c>
      <c r="AQ32" s="36">
        <f t="shared" si="9"/>
        <v>0</v>
      </c>
      <c r="AR32" s="36">
        <f t="shared" si="9"/>
        <v>0</v>
      </c>
      <c r="AS32" s="36">
        <f t="shared" si="9"/>
        <v>0</v>
      </c>
      <c r="AT32" s="36">
        <f t="shared" si="9"/>
        <v>0</v>
      </c>
      <c r="AU32" s="36">
        <f t="shared" si="9"/>
        <v>0</v>
      </c>
      <c r="AV32" s="36">
        <f t="shared" si="9"/>
        <v>0</v>
      </c>
      <c r="AW32" s="36">
        <f t="shared" si="9"/>
        <v>0</v>
      </c>
      <c r="AX32" s="36">
        <f t="shared" si="9"/>
        <v>0</v>
      </c>
    </row>
    <row r="33" spans="2:50">
      <c r="C33" s="29" t="s">
        <v>72</v>
      </c>
      <c r="H33" s="36">
        <f t="shared" si="7"/>
        <v>750000</v>
      </c>
      <c r="K33" s="36">
        <f t="shared" ref="K33:AX33" si="10">-K66</f>
        <v>0</v>
      </c>
      <c r="L33" s="36">
        <f t="shared" si="10"/>
        <v>0</v>
      </c>
      <c r="M33" s="36">
        <f t="shared" si="10"/>
        <v>0</v>
      </c>
      <c r="N33" s="36">
        <f t="shared" si="10"/>
        <v>0</v>
      </c>
      <c r="O33" s="36">
        <f t="shared" si="10"/>
        <v>0</v>
      </c>
      <c r="P33" s="36">
        <f t="shared" si="10"/>
        <v>0</v>
      </c>
      <c r="Q33" s="36">
        <f t="shared" si="10"/>
        <v>0</v>
      </c>
      <c r="R33" s="36">
        <f t="shared" si="10"/>
        <v>0</v>
      </c>
      <c r="S33" s="36">
        <f t="shared" si="10"/>
        <v>0</v>
      </c>
      <c r="T33" s="36">
        <f t="shared" si="10"/>
        <v>0</v>
      </c>
      <c r="U33" s="36">
        <f t="shared" si="10"/>
        <v>0</v>
      </c>
      <c r="V33" s="36">
        <f t="shared" si="10"/>
        <v>0</v>
      </c>
      <c r="W33" s="36">
        <f t="shared" si="10"/>
        <v>0</v>
      </c>
      <c r="X33" s="36">
        <f t="shared" si="10"/>
        <v>0</v>
      </c>
      <c r="Y33" s="36">
        <f t="shared" si="10"/>
        <v>0</v>
      </c>
      <c r="Z33" s="36">
        <f t="shared" si="10"/>
        <v>0</v>
      </c>
      <c r="AA33" s="36">
        <f t="shared" si="10"/>
        <v>0</v>
      </c>
      <c r="AB33" s="36">
        <f t="shared" si="10"/>
        <v>0</v>
      </c>
      <c r="AC33" s="36">
        <f t="shared" si="10"/>
        <v>0</v>
      </c>
      <c r="AD33" s="36">
        <f t="shared" si="10"/>
        <v>0</v>
      </c>
      <c r="AE33" s="36">
        <f t="shared" si="10"/>
        <v>0</v>
      </c>
      <c r="AF33" s="36">
        <f t="shared" si="10"/>
        <v>0</v>
      </c>
      <c r="AG33" s="36">
        <f t="shared" si="10"/>
        <v>0</v>
      </c>
      <c r="AH33" s="36">
        <f t="shared" si="10"/>
        <v>0</v>
      </c>
      <c r="AI33" s="36">
        <f t="shared" si="10"/>
        <v>0</v>
      </c>
      <c r="AJ33" s="36">
        <f t="shared" si="10"/>
        <v>0</v>
      </c>
      <c r="AK33" s="36">
        <f t="shared" si="10"/>
        <v>0</v>
      </c>
      <c r="AL33" s="36">
        <f t="shared" si="10"/>
        <v>0</v>
      </c>
      <c r="AM33" s="36">
        <f t="shared" si="10"/>
        <v>0</v>
      </c>
      <c r="AN33" s="36">
        <f t="shared" si="10"/>
        <v>0</v>
      </c>
      <c r="AO33" s="36">
        <f t="shared" si="10"/>
        <v>0</v>
      </c>
      <c r="AP33" s="36">
        <f t="shared" si="10"/>
        <v>750000</v>
      </c>
      <c r="AQ33" s="36">
        <f t="shared" si="10"/>
        <v>0</v>
      </c>
      <c r="AR33" s="36">
        <f t="shared" si="10"/>
        <v>0</v>
      </c>
      <c r="AS33" s="36">
        <f t="shared" si="10"/>
        <v>0</v>
      </c>
      <c r="AT33" s="36">
        <f t="shared" si="10"/>
        <v>0</v>
      </c>
      <c r="AU33" s="36">
        <f t="shared" si="10"/>
        <v>0</v>
      </c>
      <c r="AV33" s="36">
        <f t="shared" si="10"/>
        <v>0</v>
      </c>
      <c r="AW33" s="36">
        <f t="shared" si="10"/>
        <v>0</v>
      </c>
      <c r="AX33" s="36">
        <f t="shared" si="10"/>
        <v>0</v>
      </c>
    </row>
    <row r="34" spans="2:50">
      <c r="C34" s="29" t="s">
        <v>69</v>
      </c>
      <c r="K34" s="39">
        <f>SUM(K29,K31:K33)</f>
        <v>588371.57093768974</v>
      </c>
      <c r="L34" s="39">
        <f t="shared" ref="L34:AX34" si="11">SUM(L29,L31:L33)</f>
        <v>444242.57093768974</v>
      </c>
      <c r="M34" s="39">
        <f t="shared" si="11"/>
        <v>531838.07093768974</v>
      </c>
      <c r="N34" s="39">
        <f t="shared" si="11"/>
        <v>557507.57093768963</v>
      </c>
      <c r="O34" s="39">
        <f t="shared" si="11"/>
        <v>600757.07093768974</v>
      </c>
      <c r="P34" s="39">
        <f t="shared" si="11"/>
        <v>454540.0709376898</v>
      </c>
      <c r="Q34" s="39">
        <f t="shared" si="11"/>
        <v>399295.07093768974</v>
      </c>
      <c r="R34" s="39">
        <f t="shared" si="11"/>
        <v>269557.07093768974</v>
      </c>
      <c r="S34" s="39">
        <f t="shared" si="11"/>
        <v>365852.57093768974</v>
      </c>
      <c r="T34" s="39">
        <f t="shared" si="11"/>
        <v>584740.07093768986</v>
      </c>
      <c r="U34" s="39">
        <f t="shared" si="11"/>
        <v>535433.57093768986</v>
      </c>
      <c r="V34" s="39">
        <f t="shared" si="11"/>
        <v>578990.57093768963</v>
      </c>
      <c r="W34" s="39">
        <f t="shared" si="11"/>
        <v>453751.07093768974</v>
      </c>
      <c r="X34" s="39">
        <f t="shared" si="11"/>
        <v>487139.5709376898</v>
      </c>
      <c r="Y34" s="39">
        <f t="shared" si="11"/>
        <v>471220.0709376898</v>
      </c>
      <c r="Z34" s="39">
        <f t="shared" si="11"/>
        <v>710614.07093768974</v>
      </c>
      <c r="AA34" s="39">
        <f t="shared" si="11"/>
        <v>579418.07093768974</v>
      </c>
      <c r="AB34" s="39">
        <f t="shared" si="11"/>
        <v>478013.57093768968</v>
      </c>
      <c r="AC34" s="39">
        <f t="shared" si="11"/>
        <v>383686.07093768974</v>
      </c>
      <c r="AD34" s="39">
        <f t="shared" si="11"/>
        <v>424276.07093768974</v>
      </c>
      <c r="AE34" s="39">
        <f t="shared" si="11"/>
        <v>576791.57093768986</v>
      </c>
      <c r="AF34" s="39">
        <f t="shared" si="11"/>
        <v>443308.07093768974</v>
      </c>
      <c r="AG34" s="39">
        <f t="shared" si="11"/>
        <v>740395.07093768963</v>
      </c>
      <c r="AH34" s="39">
        <f t="shared" si="11"/>
        <v>578557.07093768974</v>
      </c>
      <c r="AI34" s="39">
        <f t="shared" si="11"/>
        <v>368791.07093768974</v>
      </c>
      <c r="AJ34" s="39">
        <f t="shared" si="11"/>
        <v>610351.07093768963</v>
      </c>
      <c r="AK34" s="39">
        <f t="shared" si="11"/>
        <v>475394.5709376898</v>
      </c>
      <c r="AL34" s="39">
        <f t="shared" si="11"/>
        <v>662933.57093768974</v>
      </c>
      <c r="AM34" s="39">
        <f t="shared" si="11"/>
        <v>459305.57093768974</v>
      </c>
      <c r="AN34" s="39">
        <f t="shared" si="11"/>
        <v>441740.57093768974</v>
      </c>
      <c r="AO34" s="39">
        <f t="shared" si="11"/>
        <v>659344.07093768986</v>
      </c>
      <c r="AP34" s="39">
        <f t="shared" si="11"/>
        <v>1371812.5709376903</v>
      </c>
      <c r="AQ34" s="39">
        <f t="shared" si="11"/>
        <v>1221447</v>
      </c>
      <c r="AR34" s="39">
        <f t="shared" si="11"/>
        <v>979699.5</v>
      </c>
      <c r="AS34" s="39">
        <f t="shared" si="11"/>
        <v>1148931</v>
      </c>
      <c r="AT34" s="39">
        <f t="shared" si="11"/>
        <v>1233861</v>
      </c>
      <c r="AU34" s="39">
        <f t="shared" si="11"/>
        <v>1187176.5</v>
      </c>
      <c r="AV34" s="39">
        <f t="shared" si="11"/>
        <v>1164579</v>
      </c>
      <c r="AW34" s="39">
        <f t="shared" si="11"/>
        <v>1370262</v>
      </c>
      <c r="AX34" s="39">
        <f t="shared" si="11"/>
        <v>1089577.5</v>
      </c>
    </row>
    <row r="36" spans="2:50">
      <c r="C36" s="29" t="s">
        <v>73</v>
      </c>
      <c r="H36" s="36">
        <f t="shared" ref="H36:H37" si="12">SUM(K36:AX36)</f>
        <v>0</v>
      </c>
      <c r="K36" s="36">
        <f t="shared" ref="K36:AX37" si="13">-K64</f>
        <v>0</v>
      </c>
      <c r="L36" s="36">
        <f t="shared" si="13"/>
        <v>0</v>
      </c>
      <c r="M36" s="36">
        <f t="shared" si="13"/>
        <v>0</v>
      </c>
      <c r="N36" s="36">
        <f t="shared" si="13"/>
        <v>0</v>
      </c>
      <c r="O36" s="36">
        <f t="shared" si="13"/>
        <v>0</v>
      </c>
      <c r="P36" s="36">
        <f t="shared" si="13"/>
        <v>0</v>
      </c>
      <c r="Q36" s="36">
        <f t="shared" si="13"/>
        <v>0</v>
      </c>
      <c r="R36" s="36">
        <f t="shared" si="13"/>
        <v>0</v>
      </c>
      <c r="S36" s="36">
        <f t="shared" si="13"/>
        <v>0</v>
      </c>
      <c r="T36" s="36">
        <f t="shared" si="13"/>
        <v>0</v>
      </c>
      <c r="U36" s="36">
        <f t="shared" si="13"/>
        <v>0</v>
      </c>
      <c r="V36" s="36">
        <f t="shared" si="13"/>
        <v>0</v>
      </c>
      <c r="W36" s="36">
        <f t="shared" si="13"/>
        <v>0</v>
      </c>
      <c r="X36" s="36">
        <f t="shared" si="13"/>
        <v>0</v>
      </c>
      <c r="Y36" s="36">
        <f t="shared" si="13"/>
        <v>0</v>
      </c>
      <c r="Z36" s="36">
        <f t="shared" si="13"/>
        <v>0</v>
      </c>
      <c r="AA36" s="36">
        <f t="shared" si="13"/>
        <v>0</v>
      </c>
      <c r="AB36" s="36">
        <f t="shared" si="13"/>
        <v>0</v>
      </c>
      <c r="AC36" s="36">
        <f t="shared" si="13"/>
        <v>0</v>
      </c>
      <c r="AD36" s="36">
        <f t="shared" si="13"/>
        <v>0</v>
      </c>
      <c r="AE36" s="36">
        <f t="shared" si="13"/>
        <v>0</v>
      </c>
      <c r="AF36" s="36">
        <f t="shared" si="13"/>
        <v>0</v>
      </c>
      <c r="AG36" s="36">
        <f t="shared" si="13"/>
        <v>0</v>
      </c>
      <c r="AH36" s="36">
        <f t="shared" si="13"/>
        <v>0</v>
      </c>
      <c r="AI36" s="36">
        <f t="shared" si="13"/>
        <v>0</v>
      </c>
      <c r="AJ36" s="36">
        <f t="shared" si="13"/>
        <v>0</v>
      </c>
      <c r="AK36" s="36">
        <f t="shared" si="13"/>
        <v>0</v>
      </c>
      <c r="AL36" s="36">
        <f t="shared" si="13"/>
        <v>0</v>
      </c>
      <c r="AM36" s="36">
        <f t="shared" si="13"/>
        <v>0</v>
      </c>
      <c r="AN36" s="36">
        <f t="shared" si="13"/>
        <v>0</v>
      </c>
      <c r="AO36" s="36">
        <f t="shared" si="13"/>
        <v>0</v>
      </c>
      <c r="AP36" s="36">
        <f t="shared" si="13"/>
        <v>0</v>
      </c>
      <c r="AQ36" s="36">
        <f t="shared" si="13"/>
        <v>0</v>
      </c>
      <c r="AR36" s="36">
        <f t="shared" si="13"/>
        <v>0</v>
      </c>
      <c r="AS36" s="36">
        <f t="shared" si="13"/>
        <v>0</v>
      </c>
      <c r="AT36" s="36">
        <f t="shared" si="13"/>
        <v>0</v>
      </c>
      <c r="AU36" s="36">
        <f t="shared" si="13"/>
        <v>0</v>
      </c>
      <c r="AV36" s="36">
        <f t="shared" si="13"/>
        <v>0</v>
      </c>
      <c r="AW36" s="36">
        <f t="shared" si="13"/>
        <v>0</v>
      </c>
      <c r="AX36" s="36">
        <f t="shared" si="13"/>
        <v>0</v>
      </c>
    </row>
    <row r="37" spans="2:50">
      <c r="C37" s="29" t="s">
        <v>74</v>
      </c>
      <c r="H37" s="36">
        <f t="shared" si="12"/>
        <v>0</v>
      </c>
      <c r="K37" s="36">
        <f t="shared" si="13"/>
        <v>0</v>
      </c>
      <c r="L37" s="36">
        <f t="shared" si="13"/>
        <v>0</v>
      </c>
      <c r="M37" s="36">
        <f t="shared" si="13"/>
        <v>0</v>
      </c>
      <c r="N37" s="36">
        <f t="shared" si="13"/>
        <v>0</v>
      </c>
      <c r="O37" s="36">
        <f t="shared" si="13"/>
        <v>0</v>
      </c>
      <c r="P37" s="36">
        <f t="shared" si="13"/>
        <v>0</v>
      </c>
      <c r="Q37" s="36">
        <f t="shared" si="13"/>
        <v>0</v>
      </c>
      <c r="R37" s="36">
        <f t="shared" si="13"/>
        <v>0</v>
      </c>
      <c r="S37" s="36">
        <f t="shared" si="13"/>
        <v>0</v>
      </c>
      <c r="T37" s="36">
        <f t="shared" si="13"/>
        <v>0</v>
      </c>
      <c r="U37" s="36">
        <f t="shared" si="13"/>
        <v>0</v>
      </c>
      <c r="V37" s="36">
        <f t="shared" si="13"/>
        <v>0</v>
      </c>
      <c r="W37" s="36">
        <f t="shared" si="13"/>
        <v>0</v>
      </c>
      <c r="X37" s="36">
        <f t="shared" si="13"/>
        <v>0</v>
      </c>
      <c r="Y37" s="36">
        <f t="shared" si="13"/>
        <v>0</v>
      </c>
      <c r="Z37" s="36">
        <f t="shared" si="13"/>
        <v>0</v>
      </c>
      <c r="AA37" s="36">
        <f t="shared" si="13"/>
        <v>0</v>
      </c>
      <c r="AB37" s="36">
        <f t="shared" si="13"/>
        <v>0</v>
      </c>
      <c r="AC37" s="36">
        <f t="shared" si="13"/>
        <v>0</v>
      </c>
      <c r="AD37" s="36">
        <f t="shared" si="13"/>
        <v>0</v>
      </c>
      <c r="AE37" s="36">
        <f t="shared" si="13"/>
        <v>0</v>
      </c>
      <c r="AF37" s="36">
        <f t="shared" si="13"/>
        <v>0</v>
      </c>
      <c r="AG37" s="36">
        <f t="shared" si="13"/>
        <v>0</v>
      </c>
      <c r="AH37" s="36">
        <f t="shared" si="13"/>
        <v>0</v>
      </c>
      <c r="AI37" s="36">
        <f t="shared" si="13"/>
        <v>0</v>
      </c>
      <c r="AJ37" s="36">
        <f t="shared" si="13"/>
        <v>0</v>
      </c>
      <c r="AK37" s="36">
        <f t="shared" si="13"/>
        <v>0</v>
      </c>
      <c r="AL37" s="36">
        <f t="shared" si="13"/>
        <v>0</v>
      </c>
      <c r="AM37" s="36">
        <f t="shared" si="13"/>
        <v>0</v>
      </c>
      <c r="AN37" s="36">
        <f t="shared" si="13"/>
        <v>0</v>
      </c>
      <c r="AO37" s="36">
        <f t="shared" si="13"/>
        <v>0</v>
      </c>
      <c r="AP37" s="36">
        <f t="shared" si="13"/>
        <v>0</v>
      </c>
      <c r="AQ37" s="36">
        <f t="shared" si="13"/>
        <v>0</v>
      </c>
      <c r="AR37" s="36">
        <f t="shared" si="13"/>
        <v>0</v>
      </c>
      <c r="AS37" s="36">
        <f t="shared" si="13"/>
        <v>0</v>
      </c>
      <c r="AT37" s="36">
        <f t="shared" si="13"/>
        <v>0</v>
      </c>
      <c r="AU37" s="36">
        <f t="shared" si="13"/>
        <v>0</v>
      </c>
      <c r="AV37" s="36">
        <f t="shared" si="13"/>
        <v>0</v>
      </c>
      <c r="AW37" s="36">
        <f t="shared" si="13"/>
        <v>0</v>
      </c>
      <c r="AX37" s="36">
        <f t="shared" si="13"/>
        <v>0</v>
      </c>
    </row>
    <row r="38" spans="2:50">
      <c r="C38" s="29" t="s">
        <v>75</v>
      </c>
      <c r="K38" s="39">
        <f>SUM(K34,K36:K37)</f>
        <v>588371.57093768974</v>
      </c>
      <c r="L38" s="39">
        <f t="shared" ref="L38:AX38" si="14">SUM(L34,L36:L37)</f>
        <v>444242.57093768974</v>
      </c>
      <c r="M38" s="39">
        <f t="shared" si="14"/>
        <v>531838.07093768974</v>
      </c>
      <c r="N38" s="39">
        <f t="shared" si="14"/>
        <v>557507.57093768963</v>
      </c>
      <c r="O38" s="39">
        <f t="shared" si="14"/>
        <v>600757.07093768974</v>
      </c>
      <c r="P38" s="39">
        <f t="shared" si="14"/>
        <v>454540.0709376898</v>
      </c>
      <c r="Q38" s="39">
        <f t="shared" si="14"/>
        <v>399295.07093768974</v>
      </c>
      <c r="R38" s="39">
        <f t="shared" si="14"/>
        <v>269557.07093768974</v>
      </c>
      <c r="S38" s="39">
        <f t="shared" si="14"/>
        <v>365852.57093768974</v>
      </c>
      <c r="T38" s="39">
        <f t="shared" si="14"/>
        <v>584740.07093768986</v>
      </c>
      <c r="U38" s="39">
        <f t="shared" si="14"/>
        <v>535433.57093768986</v>
      </c>
      <c r="V38" s="39">
        <f t="shared" si="14"/>
        <v>578990.57093768963</v>
      </c>
      <c r="W38" s="39">
        <f t="shared" si="14"/>
        <v>453751.07093768974</v>
      </c>
      <c r="X38" s="39">
        <f t="shared" si="14"/>
        <v>487139.5709376898</v>
      </c>
      <c r="Y38" s="39">
        <f t="shared" si="14"/>
        <v>471220.0709376898</v>
      </c>
      <c r="Z38" s="39">
        <f t="shared" si="14"/>
        <v>710614.07093768974</v>
      </c>
      <c r="AA38" s="39">
        <f t="shared" si="14"/>
        <v>579418.07093768974</v>
      </c>
      <c r="AB38" s="39">
        <f t="shared" si="14"/>
        <v>478013.57093768968</v>
      </c>
      <c r="AC38" s="39">
        <f t="shared" si="14"/>
        <v>383686.07093768974</v>
      </c>
      <c r="AD38" s="39">
        <f t="shared" si="14"/>
        <v>424276.07093768974</v>
      </c>
      <c r="AE38" s="39">
        <f t="shared" si="14"/>
        <v>576791.57093768986</v>
      </c>
      <c r="AF38" s="39">
        <f t="shared" si="14"/>
        <v>443308.07093768974</v>
      </c>
      <c r="AG38" s="39">
        <f t="shared" si="14"/>
        <v>740395.07093768963</v>
      </c>
      <c r="AH38" s="39">
        <f t="shared" si="14"/>
        <v>578557.07093768974</v>
      </c>
      <c r="AI38" s="39">
        <f t="shared" si="14"/>
        <v>368791.07093768974</v>
      </c>
      <c r="AJ38" s="39">
        <f t="shared" si="14"/>
        <v>610351.07093768963</v>
      </c>
      <c r="AK38" s="39">
        <f t="shared" si="14"/>
        <v>475394.5709376898</v>
      </c>
      <c r="AL38" s="39">
        <f t="shared" si="14"/>
        <v>662933.57093768974</v>
      </c>
      <c r="AM38" s="39">
        <f t="shared" si="14"/>
        <v>459305.57093768974</v>
      </c>
      <c r="AN38" s="39">
        <f t="shared" si="14"/>
        <v>441740.57093768974</v>
      </c>
      <c r="AO38" s="39">
        <f t="shared" si="14"/>
        <v>659344.07093768986</v>
      </c>
      <c r="AP38" s="39">
        <f t="shared" si="14"/>
        <v>1371812.5709376903</v>
      </c>
      <c r="AQ38" s="39">
        <f t="shared" si="14"/>
        <v>1221447</v>
      </c>
      <c r="AR38" s="39">
        <f t="shared" si="14"/>
        <v>979699.5</v>
      </c>
      <c r="AS38" s="39">
        <f t="shared" si="14"/>
        <v>1148931</v>
      </c>
      <c r="AT38" s="39">
        <f t="shared" si="14"/>
        <v>1233861</v>
      </c>
      <c r="AU38" s="39">
        <f t="shared" si="14"/>
        <v>1187176.5</v>
      </c>
      <c r="AV38" s="39">
        <f t="shared" si="14"/>
        <v>1164579</v>
      </c>
      <c r="AW38" s="39">
        <f t="shared" si="14"/>
        <v>1370262</v>
      </c>
      <c r="AX38" s="39">
        <f t="shared" si="14"/>
        <v>1089577.5</v>
      </c>
    </row>
    <row r="40" spans="2:50">
      <c r="C40" s="29" t="s">
        <v>76</v>
      </c>
      <c r="H40" s="36">
        <f t="shared" ref="H40" si="15">SUM(K40:AX40)</f>
        <v>-9000000</v>
      </c>
      <c r="K40" s="36">
        <f t="shared" ref="K40:AX40" si="16">K95</f>
        <v>-225000</v>
      </c>
      <c r="L40" s="36">
        <f t="shared" si="16"/>
        <v>-225000</v>
      </c>
      <c r="M40" s="36">
        <f t="shared" si="16"/>
        <v>-225000</v>
      </c>
      <c r="N40" s="36">
        <f t="shared" si="16"/>
        <v>-225000</v>
      </c>
      <c r="O40" s="36">
        <f t="shared" si="16"/>
        <v>-225000</v>
      </c>
      <c r="P40" s="36">
        <f t="shared" si="16"/>
        <v>-225000</v>
      </c>
      <c r="Q40" s="36">
        <f t="shared" si="16"/>
        <v>-225000</v>
      </c>
      <c r="R40" s="36">
        <f t="shared" si="16"/>
        <v>-225000</v>
      </c>
      <c r="S40" s="36">
        <f t="shared" si="16"/>
        <v>-225000</v>
      </c>
      <c r="T40" s="36">
        <f t="shared" si="16"/>
        <v>-225000</v>
      </c>
      <c r="U40" s="36">
        <f t="shared" si="16"/>
        <v>-225000</v>
      </c>
      <c r="V40" s="36">
        <f t="shared" si="16"/>
        <v>-225000</v>
      </c>
      <c r="W40" s="36">
        <f t="shared" si="16"/>
        <v>-225000</v>
      </c>
      <c r="X40" s="36">
        <f t="shared" si="16"/>
        <v>-225000</v>
      </c>
      <c r="Y40" s="36">
        <f t="shared" si="16"/>
        <v>-225000</v>
      </c>
      <c r="Z40" s="36">
        <f t="shared" si="16"/>
        <v>-225000</v>
      </c>
      <c r="AA40" s="36">
        <f t="shared" si="16"/>
        <v>-225000</v>
      </c>
      <c r="AB40" s="36">
        <f t="shared" si="16"/>
        <v>-225000</v>
      </c>
      <c r="AC40" s="36">
        <f t="shared" si="16"/>
        <v>-225000</v>
      </c>
      <c r="AD40" s="36">
        <f t="shared" si="16"/>
        <v>-225000</v>
      </c>
      <c r="AE40" s="36">
        <f t="shared" si="16"/>
        <v>-225000</v>
      </c>
      <c r="AF40" s="36">
        <f t="shared" si="16"/>
        <v>-225000</v>
      </c>
      <c r="AG40" s="36">
        <f t="shared" si="16"/>
        <v>-225000</v>
      </c>
      <c r="AH40" s="36">
        <f t="shared" si="16"/>
        <v>-225000</v>
      </c>
      <c r="AI40" s="36">
        <f t="shared" si="16"/>
        <v>-225000</v>
      </c>
      <c r="AJ40" s="36">
        <f t="shared" si="16"/>
        <v>-225000</v>
      </c>
      <c r="AK40" s="36">
        <f t="shared" si="16"/>
        <v>-225000</v>
      </c>
      <c r="AL40" s="36">
        <f t="shared" si="16"/>
        <v>-225000</v>
      </c>
      <c r="AM40" s="36">
        <f t="shared" si="16"/>
        <v>-225000</v>
      </c>
      <c r="AN40" s="36">
        <f t="shared" si="16"/>
        <v>-225000</v>
      </c>
      <c r="AO40" s="36">
        <f t="shared" si="16"/>
        <v>-225000</v>
      </c>
      <c r="AP40" s="36">
        <f t="shared" si="16"/>
        <v>-225000</v>
      </c>
      <c r="AQ40" s="36">
        <f t="shared" si="16"/>
        <v>-225000</v>
      </c>
      <c r="AR40" s="36">
        <f t="shared" si="16"/>
        <v>-225000</v>
      </c>
      <c r="AS40" s="36">
        <f t="shared" si="16"/>
        <v>-225000</v>
      </c>
      <c r="AT40" s="36">
        <f t="shared" si="16"/>
        <v>-225000</v>
      </c>
      <c r="AU40" s="36">
        <f t="shared" si="16"/>
        <v>-225000</v>
      </c>
      <c r="AV40" s="36">
        <f t="shared" si="16"/>
        <v>-225000</v>
      </c>
      <c r="AW40" s="36">
        <f t="shared" si="16"/>
        <v>-225000</v>
      </c>
      <c r="AX40" s="36">
        <f t="shared" si="16"/>
        <v>-225000</v>
      </c>
    </row>
    <row r="41" spans="2:50">
      <c r="C41" s="29" t="s">
        <v>77</v>
      </c>
      <c r="K41" s="39">
        <f>SUM(K38,K40)</f>
        <v>363371.57093768974</v>
      </c>
      <c r="L41" s="39">
        <f t="shared" ref="L41:AX41" si="17">SUM(L38,L40)</f>
        <v>219242.57093768974</v>
      </c>
      <c r="M41" s="39">
        <f t="shared" si="17"/>
        <v>306838.07093768974</v>
      </c>
      <c r="N41" s="39">
        <f t="shared" si="17"/>
        <v>332507.57093768963</v>
      </c>
      <c r="O41" s="39">
        <f t="shared" si="17"/>
        <v>375757.07093768974</v>
      </c>
      <c r="P41" s="39">
        <f t="shared" si="17"/>
        <v>229540.0709376898</v>
      </c>
      <c r="Q41" s="39">
        <f t="shared" si="17"/>
        <v>174295.07093768974</v>
      </c>
      <c r="R41" s="39">
        <f t="shared" si="17"/>
        <v>44557.070937689743</v>
      </c>
      <c r="S41" s="39">
        <f t="shared" si="17"/>
        <v>140852.57093768974</v>
      </c>
      <c r="T41" s="39">
        <f t="shared" si="17"/>
        <v>359740.07093768986</v>
      </c>
      <c r="U41" s="39">
        <f t="shared" si="17"/>
        <v>310433.57093768986</v>
      </c>
      <c r="V41" s="39">
        <f t="shared" si="17"/>
        <v>353990.57093768963</v>
      </c>
      <c r="W41" s="39">
        <f t="shared" si="17"/>
        <v>228751.07093768974</v>
      </c>
      <c r="X41" s="39">
        <f t="shared" si="17"/>
        <v>262139.5709376898</v>
      </c>
      <c r="Y41" s="39">
        <f t="shared" si="17"/>
        <v>246220.0709376898</v>
      </c>
      <c r="Z41" s="39">
        <f t="shared" si="17"/>
        <v>485614.07093768974</v>
      </c>
      <c r="AA41" s="39">
        <f t="shared" si="17"/>
        <v>354418.07093768974</v>
      </c>
      <c r="AB41" s="39">
        <f t="shared" si="17"/>
        <v>253013.57093768968</v>
      </c>
      <c r="AC41" s="39">
        <f t="shared" si="17"/>
        <v>158686.07093768974</v>
      </c>
      <c r="AD41" s="39">
        <f t="shared" si="17"/>
        <v>199276.07093768974</v>
      </c>
      <c r="AE41" s="39">
        <f t="shared" si="17"/>
        <v>351791.57093768986</v>
      </c>
      <c r="AF41" s="39">
        <f t="shared" si="17"/>
        <v>218308.07093768974</v>
      </c>
      <c r="AG41" s="39">
        <f t="shared" si="17"/>
        <v>515395.07093768963</v>
      </c>
      <c r="AH41" s="39">
        <f t="shared" si="17"/>
        <v>353557.07093768974</v>
      </c>
      <c r="AI41" s="39">
        <f t="shared" si="17"/>
        <v>143791.07093768974</v>
      </c>
      <c r="AJ41" s="39">
        <f t="shared" si="17"/>
        <v>385351.07093768963</v>
      </c>
      <c r="AK41" s="39">
        <f t="shared" si="17"/>
        <v>250394.5709376898</v>
      </c>
      <c r="AL41" s="39">
        <f t="shared" si="17"/>
        <v>437933.57093768974</v>
      </c>
      <c r="AM41" s="39">
        <f t="shared" si="17"/>
        <v>234305.57093768974</v>
      </c>
      <c r="AN41" s="39">
        <f t="shared" si="17"/>
        <v>216740.57093768974</v>
      </c>
      <c r="AO41" s="39">
        <f t="shared" si="17"/>
        <v>434344.07093768986</v>
      </c>
      <c r="AP41" s="39">
        <f t="shared" si="17"/>
        <v>1146812.5709376903</v>
      </c>
      <c r="AQ41" s="39">
        <f t="shared" si="17"/>
        <v>996447</v>
      </c>
      <c r="AR41" s="39">
        <f t="shared" si="17"/>
        <v>754699.5</v>
      </c>
      <c r="AS41" s="39">
        <f t="shared" si="17"/>
        <v>923931</v>
      </c>
      <c r="AT41" s="39">
        <f t="shared" si="17"/>
        <v>1008861</v>
      </c>
      <c r="AU41" s="39">
        <f t="shared" si="17"/>
        <v>962176.5</v>
      </c>
      <c r="AV41" s="39">
        <f t="shared" si="17"/>
        <v>939579</v>
      </c>
      <c r="AW41" s="39">
        <f t="shared" si="17"/>
        <v>1145262</v>
      </c>
      <c r="AX41" s="39">
        <f t="shared" si="17"/>
        <v>864577.5</v>
      </c>
    </row>
    <row r="43" spans="2:50">
      <c r="C43" s="29" t="s">
        <v>78</v>
      </c>
      <c r="H43" s="36">
        <f t="shared" ref="H43" si="18">SUM(K43:AX43)</f>
        <v>0</v>
      </c>
      <c r="K43" s="36">
        <f t="shared" ref="K43:AX43" si="19">K96</f>
        <v>0</v>
      </c>
      <c r="L43" s="36">
        <f t="shared" si="19"/>
        <v>0</v>
      </c>
      <c r="M43" s="36">
        <f t="shared" si="19"/>
        <v>0</v>
      </c>
      <c r="N43" s="36">
        <f t="shared" si="19"/>
        <v>0</v>
      </c>
      <c r="O43" s="36">
        <f t="shared" si="19"/>
        <v>0</v>
      </c>
      <c r="P43" s="36">
        <f t="shared" si="19"/>
        <v>0</v>
      </c>
      <c r="Q43" s="36">
        <f t="shared" si="19"/>
        <v>0</v>
      </c>
      <c r="R43" s="36">
        <f t="shared" si="19"/>
        <v>0</v>
      </c>
      <c r="S43" s="36">
        <f t="shared" si="19"/>
        <v>0</v>
      </c>
      <c r="T43" s="36">
        <f t="shared" si="19"/>
        <v>0</v>
      </c>
      <c r="U43" s="36">
        <f t="shared" si="19"/>
        <v>0</v>
      </c>
      <c r="V43" s="36">
        <f t="shared" si="19"/>
        <v>0</v>
      </c>
      <c r="W43" s="36">
        <f t="shared" si="19"/>
        <v>0</v>
      </c>
      <c r="X43" s="36">
        <f t="shared" si="19"/>
        <v>0</v>
      </c>
      <c r="Y43" s="36">
        <f t="shared" si="19"/>
        <v>0</v>
      </c>
      <c r="Z43" s="36">
        <f t="shared" si="19"/>
        <v>0</v>
      </c>
      <c r="AA43" s="36">
        <f t="shared" si="19"/>
        <v>0</v>
      </c>
      <c r="AB43" s="36">
        <f t="shared" si="19"/>
        <v>0</v>
      </c>
      <c r="AC43" s="36">
        <f t="shared" si="19"/>
        <v>0</v>
      </c>
      <c r="AD43" s="36">
        <f t="shared" si="19"/>
        <v>0</v>
      </c>
      <c r="AE43" s="36">
        <f t="shared" si="19"/>
        <v>0</v>
      </c>
      <c r="AF43" s="36">
        <f t="shared" si="19"/>
        <v>0</v>
      </c>
      <c r="AG43" s="36">
        <f t="shared" si="19"/>
        <v>0</v>
      </c>
      <c r="AH43" s="36">
        <f t="shared" si="19"/>
        <v>0</v>
      </c>
      <c r="AI43" s="36">
        <f t="shared" si="19"/>
        <v>0</v>
      </c>
      <c r="AJ43" s="36">
        <f t="shared" si="19"/>
        <v>0</v>
      </c>
      <c r="AK43" s="36">
        <f t="shared" si="19"/>
        <v>0</v>
      </c>
      <c r="AL43" s="36">
        <f t="shared" si="19"/>
        <v>0</v>
      </c>
      <c r="AM43" s="36">
        <f t="shared" si="19"/>
        <v>0</v>
      </c>
      <c r="AN43" s="36">
        <f t="shared" si="19"/>
        <v>0</v>
      </c>
      <c r="AO43" s="36">
        <f t="shared" si="19"/>
        <v>0</v>
      </c>
      <c r="AP43" s="36">
        <f t="shared" si="19"/>
        <v>0</v>
      </c>
      <c r="AQ43" s="36">
        <f t="shared" si="19"/>
        <v>0</v>
      </c>
      <c r="AR43" s="36">
        <f t="shared" si="19"/>
        <v>0</v>
      </c>
      <c r="AS43" s="36">
        <f t="shared" si="19"/>
        <v>0</v>
      </c>
      <c r="AT43" s="36">
        <f t="shared" si="19"/>
        <v>0</v>
      </c>
      <c r="AU43" s="36">
        <f t="shared" si="19"/>
        <v>0</v>
      </c>
      <c r="AV43" s="36">
        <f t="shared" si="19"/>
        <v>0</v>
      </c>
      <c r="AW43" s="36">
        <f t="shared" si="19"/>
        <v>0</v>
      </c>
      <c r="AX43" s="36">
        <f t="shared" si="19"/>
        <v>0</v>
      </c>
    </row>
    <row r="44" spans="2:50">
      <c r="C44" s="29" t="s">
        <v>79</v>
      </c>
      <c r="K44" s="39">
        <f>SUM(K41,K43)</f>
        <v>363371.57093768974</v>
      </c>
      <c r="L44" s="39">
        <f t="shared" ref="L44:AX44" si="20">SUM(L41,L43)</f>
        <v>219242.57093768974</v>
      </c>
      <c r="M44" s="39">
        <f t="shared" si="20"/>
        <v>306838.07093768974</v>
      </c>
      <c r="N44" s="39">
        <f t="shared" si="20"/>
        <v>332507.57093768963</v>
      </c>
      <c r="O44" s="39">
        <f t="shared" si="20"/>
        <v>375757.07093768974</v>
      </c>
      <c r="P44" s="39">
        <f t="shared" si="20"/>
        <v>229540.0709376898</v>
      </c>
      <c r="Q44" s="39">
        <f t="shared" si="20"/>
        <v>174295.07093768974</v>
      </c>
      <c r="R44" s="39">
        <f t="shared" si="20"/>
        <v>44557.070937689743</v>
      </c>
      <c r="S44" s="39">
        <f t="shared" si="20"/>
        <v>140852.57093768974</v>
      </c>
      <c r="T44" s="39">
        <f t="shared" si="20"/>
        <v>359740.07093768986</v>
      </c>
      <c r="U44" s="39">
        <f t="shared" si="20"/>
        <v>310433.57093768986</v>
      </c>
      <c r="V44" s="39">
        <f t="shared" si="20"/>
        <v>353990.57093768963</v>
      </c>
      <c r="W44" s="39">
        <f t="shared" si="20"/>
        <v>228751.07093768974</v>
      </c>
      <c r="X44" s="39">
        <f t="shared" si="20"/>
        <v>262139.5709376898</v>
      </c>
      <c r="Y44" s="39">
        <f t="shared" si="20"/>
        <v>246220.0709376898</v>
      </c>
      <c r="Z44" s="39">
        <f t="shared" si="20"/>
        <v>485614.07093768974</v>
      </c>
      <c r="AA44" s="39">
        <f t="shared" si="20"/>
        <v>354418.07093768974</v>
      </c>
      <c r="AB44" s="39">
        <f t="shared" si="20"/>
        <v>253013.57093768968</v>
      </c>
      <c r="AC44" s="39">
        <f t="shared" si="20"/>
        <v>158686.07093768974</v>
      </c>
      <c r="AD44" s="39">
        <f t="shared" si="20"/>
        <v>199276.07093768974</v>
      </c>
      <c r="AE44" s="39">
        <f t="shared" si="20"/>
        <v>351791.57093768986</v>
      </c>
      <c r="AF44" s="39">
        <f t="shared" si="20"/>
        <v>218308.07093768974</v>
      </c>
      <c r="AG44" s="39">
        <f t="shared" si="20"/>
        <v>515395.07093768963</v>
      </c>
      <c r="AH44" s="39">
        <f t="shared" si="20"/>
        <v>353557.07093768974</v>
      </c>
      <c r="AI44" s="39">
        <f t="shared" si="20"/>
        <v>143791.07093768974</v>
      </c>
      <c r="AJ44" s="39">
        <f t="shared" si="20"/>
        <v>385351.07093768963</v>
      </c>
      <c r="AK44" s="39">
        <f t="shared" si="20"/>
        <v>250394.5709376898</v>
      </c>
      <c r="AL44" s="39">
        <f t="shared" si="20"/>
        <v>437933.57093768974</v>
      </c>
      <c r="AM44" s="39">
        <f t="shared" si="20"/>
        <v>234305.57093768974</v>
      </c>
      <c r="AN44" s="39">
        <f t="shared" si="20"/>
        <v>216740.57093768974</v>
      </c>
      <c r="AO44" s="39">
        <f t="shared" si="20"/>
        <v>434344.07093768986</v>
      </c>
      <c r="AP44" s="39">
        <f t="shared" si="20"/>
        <v>1146812.5709376903</v>
      </c>
      <c r="AQ44" s="39">
        <f t="shared" si="20"/>
        <v>996447</v>
      </c>
      <c r="AR44" s="39">
        <f t="shared" si="20"/>
        <v>754699.5</v>
      </c>
      <c r="AS44" s="39">
        <f t="shared" si="20"/>
        <v>923931</v>
      </c>
      <c r="AT44" s="39">
        <f t="shared" si="20"/>
        <v>1008861</v>
      </c>
      <c r="AU44" s="39">
        <f t="shared" si="20"/>
        <v>962176.5</v>
      </c>
      <c r="AV44" s="39">
        <f t="shared" si="20"/>
        <v>939579</v>
      </c>
      <c r="AW44" s="39">
        <f t="shared" si="20"/>
        <v>1145262</v>
      </c>
      <c r="AX44" s="39">
        <f t="shared" si="20"/>
        <v>864577.5</v>
      </c>
    </row>
    <row r="46" spans="2:50">
      <c r="B46" s="33" t="s">
        <v>7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</row>
    <row r="48" spans="2:50">
      <c r="C48" s="29" t="s">
        <v>80</v>
      </c>
      <c r="K48" s="36">
        <f>J50</f>
        <v>15000000</v>
      </c>
      <c r="L48" s="36">
        <f t="shared" ref="L48:AX48" si="21">K50</f>
        <v>14575105.070937689</v>
      </c>
      <c r="M48" s="36">
        <f t="shared" si="21"/>
        <v>14147554.54856874</v>
      </c>
      <c r="N48" s="36">
        <f t="shared" si="21"/>
        <v>13717331.835434984</v>
      </c>
      <c r="O48" s="36">
        <f t="shared" si="21"/>
        <v>13284420.230344143</v>
      </c>
      <c r="P48" s="36">
        <f t="shared" si="21"/>
        <v>12848802.927721484</v>
      </c>
      <c r="Q48" s="36">
        <f t="shared" si="21"/>
        <v>12410463.016957432</v>
      </c>
      <c r="R48" s="36">
        <f t="shared" si="21"/>
        <v>11969383.481751107</v>
      </c>
      <c r="S48" s="36">
        <f t="shared" si="21"/>
        <v>11525547.19944974</v>
      </c>
      <c r="T48" s="36">
        <f t="shared" si="21"/>
        <v>11078936.940383991</v>
      </c>
      <c r="U48" s="36">
        <f t="shared" si="21"/>
        <v>10629535.36719908</v>
      </c>
      <c r="V48" s="36">
        <f t="shared" si="21"/>
        <v>10177325.034181764</v>
      </c>
      <c r="W48" s="36">
        <f t="shared" si="21"/>
        <v>9722288.3865830898</v>
      </c>
      <c r="X48" s="36">
        <f t="shared" si="21"/>
        <v>9264407.7599369232</v>
      </c>
      <c r="Y48" s="36">
        <f t="shared" si="21"/>
        <v>8803665.3793742191</v>
      </c>
      <c r="Z48" s="36">
        <f t="shared" si="21"/>
        <v>8340043.358932998</v>
      </c>
      <c r="AA48" s="36">
        <f t="shared" si="21"/>
        <v>7873523.7008640189</v>
      </c>
      <c r="AB48" s="36">
        <f t="shared" si="21"/>
        <v>7404088.2949321084</v>
      </c>
      <c r="AC48" s="36">
        <f t="shared" si="21"/>
        <v>6931718.9177131234</v>
      </c>
      <c r="AD48" s="36">
        <f t="shared" si="21"/>
        <v>6456397.2318865201</v>
      </c>
      <c r="AE48" s="36">
        <f t="shared" si="21"/>
        <v>5978104.7855235003</v>
      </c>
      <c r="AF48" s="36">
        <f t="shared" si="21"/>
        <v>5496823.011370712</v>
      </c>
      <c r="AG48" s="36">
        <f t="shared" si="21"/>
        <v>5012533.2261294685</v>
      </c>
      <c r="AH48" s="36">
        <f t="shared" si="21"/>
        <v>4525216.6297304677</v>
      </c>
      <c r="AI48" s="36">
        <f t="shared" si="21"/>
        <v>4034854.3046039729</v>
      </c>
      <c r="AJ48" s="36">
        <f t="shared" si="21"/>
        <v>3541427.2149454374</v>
      </c>
      <c r="AK48" s="36">
        <f t="shared" si="21"/>
        <v>3044916.205976536</v>
      </c>
      <c r="AL48" s="36">
        <f t="shared" si="21"/>
        <v>2545302.0032015792</v>
      </c>
      <c r="AM48" s="36">
        <f t="shared" si="21"/>
        <v>2042565.2116592787</v>
      </c>
      <c r="AN48" s="36">
        <f t="shared" si="21"/>
        <v>1536686.315169839</v>
      </c>
      <c r="AO48" s="36">
        <f t="shared" si="21"/>
        <v>1027645.6755773402</v>
      </c>
      <c r="AP48" s="36">
        <f t="shared" si="21"/>
        <v>515423.53198738833</v>
      </c>
      <c r="AQ48" s="36">
        <f t="shared" si="21"/>
        <v>0</v>
      </c>
      <c r="AR48" s="36">
        <f t="shared" si="21"/>
        <v>0</v>
      </c>
      <c r="AS48" s="36">
        <f t="shared" si="21"/>
        <v>0</v>
      </c>
      <c r="AT48" s="36">
        <f t="shared" si="21"/>
        <v>0</v>
      </c>
      <c r="AU48" s="36">
        <f t="shared" si="21"/>
        <v>0</v>
      </c>
      <c r="AV48" s="36">
        <f t="shared" si="21"/>
        <v>0</v>
      </c>
      <c r="AW48" s="36">
        <f t="shared" si="21"/>
        <v>0</v>
      </c>
      <c r="AX48" s="36">
        <f t="shared" si="21"/>
        <v>0</v>
      </c>
    </row>
    <row r="49" spans="2:50">
      <c r="C49" s="29" t="s">
        <v>81</v>
      </c>
      <c r="H49" s="36">
        <f>SUM(K49:AX49)</f>
        <v>-14999999.999999996</v>
      </c>
      <c r="K49" s="36">
        <f>-K57</f>
        <v>-424894.92906231026</v>
      </c>
      <c r="L49" s="36">
        <f t="shared" ref="L49:AX49" si="22">-L57</f>
        <v>-427550.52236894972</v>
      </c>
      <c r="M49" s="36">
        <f t="shared" si="22"/>
        <v>-430222.71313375561</v>
      </c>
      <c r="N49" s="36">
        <f t="shared" si="22"/>
        <v>-432911.60509084159</v>
      </c>
      <c r="O49" s="36">
        <f t="shared" si="22"/>
        <v>-435617.30262265936</v>
      </c>
      <c r="P49" s="36">
        <f t="shared" si="22"/>
        <v>-438339.91076405096</v>
      </c>
      <c r="Q49" s="36">
        <f t="shared" si="22"/>
        <v>-441079.53520632628</v>
      </c>
      <c r="R49" s="36">
        <f t="shared" si="22"/>
        <v>-443836.28230136586</v>
      </c>
      <c r="S49" s="36">
        <f t="shared" si="22"/>
        <v>-446610.25906574936</v>
      </c>
      <c r="T49" s="36">
        <f t="shared" si="22"/>
        <v>-449401.57318491029</v>
      </c>
      <c r="U49" s="36">
        <f t="shared" si="22"/>
        <v>-452210.33301731601</v>
      </c>
      <c r="V49" s="36">
        <f t="shared" si="22"/>
        <v>-455036.64759867423</v>
      </c>
      <c r="W49" s="36">
        <f t="shared" si="22"/>
        <v>-457880.62664616597</v>
      </c>
      <c r="X49" s="36">
        <f t="shared" si="22"/>
        <v>-460742.38056270446</v>
      </c>
      <c r="Y49" s="36">
        <f t="shared" si="22"/>
        <v>-463622.02044122136</v>
      </c>
      <c r="Z49" s="36">
        <f t="shared" si="22"/>
        <v>-466519.65806897904</v>
      </c>
      <c r="AA49" s="36">
        <f t="shared" si="22"/>
        <v>-469435.40593191015</v>
      </c>
      <c r="AB49" s="36">
        <f t="shared" si="22"/>
        <v>-472369.37721898459</v>
      </c>
      <c r="AC49" s="36">
        <f t="shared" si="22"/>
        <v>-475321.68582660321</v>
      </c>
      <c r="AD49" s="36">
        <f t="shared" si="22"/>
        <v>-478292.44636301952</v>
      </c>
      <c r="AE49" s="36">
        <f t="shared" si="22"/>
        <v>-481281.77415278839</v>
      </c>
      <c r="AF49" s="36">
        <f t="shared" si="22"/>
        <v>-484289.78524124331</v>
      </c>
      <c r="AG49" s="36">
        <f t="shared" si="22"/>
        <v>-487316.59639900108</v>
      </c>
      <c r="AH49" s="36">
        <f t="shared" si="22"/>
        <v>-490362.32512649486</v>
      </c>
      <c r="AI49" s="36">
        <f t="shared" si="22"/>
        <v>-493427.08965853543</v>
      </c>
      <c r="AJ49" s="36">
        <f t="shared" si="22"/>
        <v>-496511.0089689013</v>
      </c>
      <c r="AK49" s="36">
        <f t="shared" si="22"/>
        <v>-499614.20277495688</v>
      </c>
      <c r="AL49" s="36">
        <f t="shared" si="22"/>
        <v>-502736.79154230037</v>
      </c>
      <c r="AM49" s="36">
        <f t="shared" si="22"/>
        <v>-505878.89648943976</v>
      </c>
      <c r="AN49" s="36">
        <f t="shared" si="22"/>
        <v>-509040.63959249877</v>
      </c>
      <c r="AO49" s="36">
        <f t="shared" si="22"/>
        <v>-512222.14358995185</v>
      </c>
      <c r="AP49" s="36">
        <f t="shared" si="22"/>
        <v>-515423.53198738833</v>
      </c>
      <c r="AQ49" s="36">
        <f t="shared" si="22"/>
        <v>0</v>
      </c>
      <c r="AR49" s="36">
        <f t="shared" si="22"/>
        <v>0</v>
      </c>
      <c r="AS49" s="36">
        <f t="shared" si="22"/>
        <v>0</v>
      </c>
      <c r="AT49" s="36">
        <f t="shared" si="22"/>
        <v>0</v>
      </c>
      <c r="AU49" s="36">
        <f t="shared" si="22"/>
        <v>0</v>
      </c>
      <c r="AV49" s="36">
        <f t="shared" si="22"/>
        <v>0</v>
      </c>
      <c r="AW49" s="36">
        <f t="shared" si="22"/>
        <v>0</v>
      </c>
      <c r="AX49" s="36">
        <f t="shared" si="22"/>
        <v>0</v>
      </c>
    </row>
    <row r="50" spans="2:50">
      <c r="C50" s="29" t="s">
        <v>82</v>
      </c>
      <c r="J50" s="55">
        <f>CaseData!$H$4</f>
        <v>15000000</v>
      </c>
      <c r="K50" s="39">
        <f>SUM(K48:K49)</f>
        <v>14575105.070937689</v>
      </c>
      <c r="L50" s="39">
        <f t="shared" ref="L50:AX50" si="23">SUM(L48:L49)</f>
        <v>14147554.54856874</v>
      </c>
      <c r="M50" s="39">
        <f t="shared" si="23"/>
        <v>13717331.835434984</v>
      </c>
      <c r="N50" s="39">
        <f t="shared" si="23"/>
        <v>13284420.230344143</v>
      </c>
      <c r="O50" s="39">
        <f t="shared" si="23"/>
        <v>12848802.927721484</v>
      </c>
      <c r="P50" s="39">
        <f t="shared" si="23"/>
        <v>12410463.016957432</v>
      </c>
      <c r="Q50" s="39">
        <f t="shared" si="23"/>
        <v>11969383.481751107</v>
      </c>
      <c r="R50" s="39">
        <f t="shared" si="23"/>
        <v>11525547.19944974</v>
      </c>
      <c r="S50" s="39">
        <f t="shared" si="23"/>
        <v>11078936.940383991</v>
      </c>
      <c r="T50" s="39">
        <f t="shared" si="23"/>
        <v>10629535.36719908</v>
      </c>
      <c r="U50" s="39">
        <f t="shared" si="23"/>
        <v>10177325.034181764</v>
      </c>
      <c r="V50" s="39">
        <f t="shared" si="23"/>
        <v>9722288.3865830898</v>
      </c>
      <c r="W50" s="39">
        <f t="shared" si="23"/>
        <v>9264407.7599369232</v>
      </c>
      <c r="X50" s="39">
        <f t="shared" si="23"/>
        <v>8803665.3793742191</v>
      </c>
      <c r="Y50" s="39">
        <f t="shared" si="23"/>
        <v>8340043.358932998</v>
      </c>
      <c r="Z50" s="39">
        <f t="shared" si="23"/>
        <v>7873523.7008640189</v>
      </c>
      <c r="AA50" s="39">
        <f t="shared" si="23"/>
        <v>7404088.2949321084</v>
      </c>
      <c r="AB50" s="39">
        <f t="shared" si="23"/>
        <v>6931718.9177131234</v>
      </c>
      <c r="AC50" s="39">
        <f t="shared" si="23"/>
        <v>6456397.2318865201</v>
      </c>
      <c r="AD50" s="39">
        <f t="shared" si="23"/>
        <v>5978104.7855235003</v>
      </c>
      <c r="AE50" s="39">
        <f t="shared" si="23"/>
        <v>5496823.011370712</v>
      </c>
      <c r="AF50" s="39">
        <f t="shared" si="23"/>
        <v>5012533.2261294685</v>
      </c>
      <c r="AG50" s="39">
        <f t="shared" si="23"/>
        <v>4525216.6297304677</v>
      </c>
      <c r="AH50" s="39">
        <f t="shared" si="23"/>
        <v>4034854.3046039729</v>
      </c>
      <c r="AI50" s="39">
        <f t="shared" si="23"/>
        <v>3541427.2149454374</v>
      </c>
      <c r="AJ50" s="39">
        <f t="shared" si="23"/>
        <v>3044916.205976536</v>
      </c>
      <c r="AK50" s="39">
        <f t="shared" si="23"/>
        <v>2545302.0032015792</v>
      </c>
      <c r="AL50" s="39">
        <f t="shared" si="23"/>
        <v>2042565.2116592787</v>
      </c>
      <c r="AM50" s="39">
        <f t="shared" si="23"/>
        <v>1536686.315169839</v>
      </c>
      <c r="AN50" s="39">
        <f t="shared" si="23"/>
        <v>1027645.6755773402</v>
      </c>
      <c r="AO50" s="39">
        <f t="shared" si="23"/>
        <v>515423.53198738833</v>
      </c>
      <c r="AP50" s="39">
        <f t="shared" si="23"/>
        <v>0</v>
      </c>
      <c r="AQ50" s="39">
        <f t="shared" si="23"/>
        <v>0</v>
      </c>
      <c r="AR50" s="39">
        <f t="shared" si="23"/>
        <v>0</v>
      </c>
      <c r="AS50" s="39">
        <f t="shared" si="23"/>
        <v>0</v>
      </c>
      <c r="AT50" s="39">
        <f t="shared" si="23"/>
        <v>0</v>
      </c>
      <c r="AU50" s="39">
        <f t="shared" si="23"/>
        <v>0</v>
      </c>
      <c r="AV50" s="39">
        <f t="shared" si="23"/>
        <v>0</v>
      </c>
      <c r="AW50" s="39">
        <f t="shared" si="23"/>
        <v>0</v>
      </c>
      <c r="AX50" s="39">
        <f t="shared" si="23"/>
        <v>0</v>
      </c>
    </row>
    <row r="52" spans="2:50">
      <c r="C52" s="29" t="s">
        <v>2</v>
      </c>
      <c r="G52" s="56">
        <f>CaseData!H5</f>
        <v>2.5000000000000001E-2</v>
      </c>
      <c r="K52" s="57">
        <f>$G52</f>
        <v>2.5000000000000001E-2</v>
      </c>
      <c r="L52" s="57">
        <f t="shared" ref="L52:AX52" si="24">$G52</f>
        <v>2.5000000000000001E-2</v>
      </c>
      <c r="M52" s="57">
        <f t="shared" si="24"/>
        <v>2.5000000000000001E-2</v>
      </c>
      <c r="N52" s="57">
        <f t="shared" si="24"/>
        <v>2.5000000000000001E-2</v>
      </c>
      <c r="O52" s="57">
        <f t="shared" si="24"/>
        <v>2.5000000000000001E-2</v>
      </c>
      <c r="P52" s="57">
        <f t="shared" si="24"/>
        <v>2.5000000000000001E-2</v>
      </c>
      <c r="Q52" s="57">
        <f t="shared" si="24"/>
        <v>2.5000000000000001E-2</v>
      </c>
      <c r="R52" s="57">
        <f t="shared" si="24"/>
        <v>2.5000000000000001E-2</v>
      </c>
      <c r="S52" s="57">
        <f t="shared" si="24"/>
        <v>2.5000000000000001E-2</v>
      </c>
      <c r="T52" s="57">
        <f t="shared" si="24"/>
        <v>2.5000000000000001E-2</v>
      </c>
      <c r="U52" s="57">
        <f t="shared" si="24"/>
        <v>2.5000000000000001E-2</v>
      </c>
      <c r="V52" s="57">
        <f t="shared" si="24"/>
        <v>2.5000000000000001E-2</v>
      </c>
      <c r="W52" s="57">
        <f t="shared" si="24"/>
        <v>2.5000000000000001E-2</v>
      </c>
      <c r="X52" s="57">
        <f t="shared" si="24"/>
        <v>2.5000000000000001E-2</v>
      </c>
      <c r="Y52" s="57">
        <f t="shared" si="24"/>
        <v>2.5000000000000001E-2</v>
      </c>
      <c r="Z52" s="57">
        <f t="shared" si="24"/>
        <v>2.5000000000000001E-2</v>
      </c>
      <c r="AA52" s="57">
        <f t="shared" si="24"/>
        <v>2.5000000000000001E-2</v>
      </c>
      <c r="AB52" s="57">
        <f t="shared" si="24"/>
        <v>2.5000000000000001E-2</v>
      </c>
      <c r="AC52" s="57">
        <f t="shared" si="24"/>
        <v>2.5000000000000001E-2</v>
      </c>
      <c r="AD52" s="57">
        <f t="shared" si="24"/>
        <v>2.5000000000000001E-2</v>
      </c>
      <c r="AE52" s="57">
        <f t="shared" si="24"/>
        <v>2.5000000000000001E-2</v>
      </c>
      <c r="AF52" s="57">
        <f t="shared" si="24"/>
        <v>2.5000000000000001E-2</v>
      </c>
      <c r="AG52" s="57">
        <f t="shared" si="24"/>
        <v>2.5000000000000001E-2</v>
      </c>
      <c r="AH52" s="57">
        <f t="shared" si="24"/>
        <v>2.5000000000000001E-2</v>
      </c>
      <c r="AI52" s="57">
        <f t="shared" si="24"/>
        <v>2.5000000000000001E-2</v>
      </c>
      <c r="AJ52" s="57">
        <f t="shared" si="24"/>
        <v>2.5000000000000001E-2</v>
      </c>
      <c r="AK52" s="57">
        <f t="shared" si="24"/>
        <v>2.5000000000000001E-2</v>
      </c>
      <c r="AL52" s="57">
        <f t="shared" si="24"/>
        <v>2.5000000000000001E-2</v>
      </c>
      <c r="AM52" s="57">
        <f t="shared" si="24"/>
        <v>2.5000000000000001E-2</v>
      </c>
      <c r="AN52" s="57">
        <f t="shared" si="24"/>
        <v>2.5000000000000001E-2</v>
      </c>
      <c r="AO52" s="57">
        <f t="shared" si="24"/>
        <v>2.5000000000000001E-2</v>
      </c>
      <c r="AP52" s="57">
        <f t="shared" si="24"/>
        <v>2.5000000000000001E-2</v>
      </c>
      <c r="AQ52" s="57">
        <f t="shared" si="24"/>
        <v>2.5000000000000001E-2</v>
      </c>
      <c r="AR52" s="57">
        <f t="shared" si="24"/>
        <v>2.5000000000000001E-2</v>
      </c>
      <c r="AS52" s="57">
        <f t="shared" si="24"/>
        <v>2.5000000000000001E-2</v>
      </c>
      <c r="AT52" s="57">
        <f t="shared" si="24"/>
        <v>2.5000000000000001E-2</v>
      </c>
      <c r="AU52" s="57">
        <f t="shared" si="24"/>
        <v>2.5000000000000001E-2</v>
      </c>
      <c r="AV52" s="57">
        <f t="shared" si="24"/>
        <v>2.5000000000000001E-2</v>
      </c>
      <c r="AW52" s="57">
        <f t="shared" si="24"/>
        <v>2.5000000000000001E-2</v>
      </c>
      <c r="AX52" s="57">
        <f t="shared" si="24"/>
        <v>2.5000000000000001E-2</v>
      </c>
    </row>
    <row r="53" spans="2:50">
      <c r="C53" s="29" t="s">
        <v>4</v>
      </c>
      <c r="H53" s="36">
        <f>SUM(K53:AX53)</f>
        <v>1596637.7299939292</v>
      </c>
      <c r="K53" s="36">
        <f t="shared" ref="K53:AX53" si="25">K48*K52/4</f>
        <v>93750</v>
      </c>
      <c r="L53" s="36">
        <f t="shared" si="25"/>
        <v>91094.406693360565</v>
      </c>
      <c r="M53" s="36">
        <f t="shared" si="25"/>
        <v>88422.215928554637</v>
      </c>
      <c r="N53" s="36">
        <f t="shared" si="25"/>
        <v>85733.323971468664</v>
      </c>
      <c r="O53" s="36">
        <f t="shared" si="25"/>
        <v>83027.626439650892</v>
      </c>
      <c r="P53" s="36">
        <f t="shared" si="25"/>
        <v>80305.018298259281</v>
      </c>
      <c r="Q53" s="36">
        <f t="shared" si="25"/>
        <v>77565.393855983959</v>
      </c>
      <c r="R53" s="36">
        <f t="shared" si="25"/>
        <v>74808.646760944423</v>
      </c>
      <c r="S53" s="36">
        <f t="shared" si="25"/>
        <v>72034.669996560886</v>
      </c>
      <c r="T53" s="36">
        <f t="shared" si="25"/>
        <v>69243.355877399954</v>
      </c>
      <c r="U53" s="36">
        <f t="shared" si="25"/>
        <v>66434.59604499425</v>
      </c>
      <c r="V53" s="36">
        <f t="shared" si="25"/>
        <v>63608.281463636027</v>
      </c>
      <c r="W53" s="36">
        <f t="shared" si="25"/>
        <v>60764.302416144317</v>
      </c>
      <c r="X53" s="36">
        <f t="shared" si="25"/>
        <v>57902.548499605771</v>
      </c>
      <c r="Y53" s="36">
        <f t="shared" si="25"/>
        <v>55022.908621088871</v>
      </c>
      <c r="Z53" s="36">
        <f t="shared" si="25"/>
        <v>52125.270993331244</v>
      </c>
      <c r="AA53" s="36">
        <f t="shared" si="25"/>
        <v>49209.523130400121</v>
      </c>
      <c r="AB53" s="36">
        <f t="shared" si="25"/>
        <v>46275.55184332568</v>
      </c>
      <c r="AC53" s="36">
        <f t="shared" si="25"/>
        <v>43323.243235707021</v>
      </c>
      <c r="AD53" s="36">
        <f t="shared" si="25"/>
        <v>40352.482699290755</v>
      </c>
      <c r="AE53" s="36">
        <f t="shared" si="25"/>
        <v>37363.15490952188</v>
      </c>
      <c r="AF53" s="36">
        <f t="shared" si="25"/>
        <v>34355.143821066951</v>
      </c>
      <c r="AG53" s="36">
        <f t="shared" si="25"/>
        <v>31328.332663309178</v>
      </c>
      <c r="AH53" s="36">
        <f t="shared" si="25"/>
        <v>28282.603935815423</v>
      </c>
      <c r="AI53" s="36">
        <f t="shared" si="25"/>
        <v>25217.839403774833</v>
      </c>
      <c r="AJ53" s="36">
        <f t="shared" si="25"/>
        <v>22133.920093408986</v>
      </c>
      <c r="AK53" s="36">
        <f t="shared" si="25"/>
        <v>19030.726287353351</v>
      </c>
      <c r="AL53" s="36">
        <f t="shared" si="25"/>
        <v>15908.13752000987</v>
      </c>
      <c r="AM53" s="36">
        <f t="shared" si="25"/>
        <v>12766.032572870492</v>
      </c>
      <c r="AN53" s="36">
        <f t="shared" si="25"/>
        <v>9604.2894698114942</v>
      </c>
      <c r="AO53" s="36">
        <f t="shared" si="25"/>
        <v>6422.7854723583769</v>
      </c>
      <c r="AP53" s="36">
        <f t="shared" si="25"/>
        <v>3221.3970749211771</v>
      </c>
      <c r="AQ53" s="36">
        <f t="shared" si="25"/>
        <v>0</v>
      </c>
      <c r="AR53" s="36">
        <f t="shared" si="25"/>
        <v>0</v>
      </c>
      <c r="AS53" s="36">
        <f t="shared" si="25"/>
        <v>0</v>
      </c>
      <c r="AT53" s="36">
        <f t="shared" si="25"/>
        <v>0</v>
      </c>
      <c r="AU53" s="36">
        <f t="shared" si="25"/>
        <v>0</v>
      </c>
      <c r="AV53" s="36">
        <f t="shared" si="25"/>
        <v>0</v>
      </c>
      <c r="AW53" s="36">
        <f t="shared" si="25"/>
        <v>0</v>
      </c>
      <c r="AX53" s="36">
        <f t="shared" si="25"/>
        <v>0</v>
      </c>
    </row>
    <row r="55" spans="2:50">
      <c r="C55" s="29" t="s">
        <v>83</v>
      </c>
      <c r="G55" s="58">
        <f>CaseData!H6</f>
        <v>96</v>
      </c>
    </row>
    <row r="56" spans="2:50">
      <c r="C56" s="29" t="s">
        <v>84</v>
      </c>
      <c r="G56" s="36">
        <f>PMT(G52/4,G55/3,-J50)</f>
        <v>518644.92906231026</v>
      </c>
      <c r="K56" s="36">
        <f t="shared" ref="K56:AX56" si="26">IF(K48&gt;0,$G56,0)</f>
        <v>518644.92906231026</v>
      </c>
      <c r="L56" s="36">
        <f t="shared" si="26"/>
        <v>518644.92906231026</v>
      </c>
      <c r="M56" s="36">
        <f t="shared" si="26"/>
        <v>518644.92906231026</v>
      </c>
      <c r="N56" s="36">
        <f t="shared" si="26"/>
        <v>518644.92906231026</v>
      </c>
      <c r="O56" s="36">
        <f t="shared" si="26"/>
        <v>518644.92906231026</v>
      </c>
      <c r="P56" s="36">
        <f t="shared" si="26"/>
        <v>518644.92906231026</v>
      </c>
      <c r="Q56" s="36">
        <f t="shared" si="26"/>
        <v>518644.92906231026</v>
      </c>
      <c r="R56" s="36">
        <f t="shared" si="26"/>
        <v>518644.92906231026</v>
      </c>
      <c r="S56" s="36">
        <f t="shared" si="26"/>
        <v>518644.92906231026</v>
      </c>
      <c r="T56" s="36">
        <f t="shared" si="26"/>
        <v>518644.92906231026</v>
      </c>
      <c r="U56" s="36">
        <f t="shared" si="26"/>
        <v>518644.92906231026</v>
      </c>
      <c r="V56" s="36">
        <f t="shared" si="26"/>
        <v>518644.92906231026</v>
      </c>
      <c r="W56" s="36">
        <f t="shared" si="26"/>
        <v>518644.92906231026</v>
      </c>
      <c r="X56" s="36">
        <f t="shared" si="26"/>
        <v>518644.92906231026</v>
      </c>
      <c r="Y56" s="36">
        <f t="shared" si="26"/>
        <v>518644.92906231026</v>
      </c>
      <c r="Z56" s="36">
        <f t="shared" si="26"/>
        <v>518644.92906231026</v>
      </c>
      <c r="AA56" s="36">
        <f t="shared" si="26"/>
        <v>518644.92906231026</v>
      </c>
      <c r="AB56" s="36">
        <f t="shared" si="26"/>
        <v>518644.92906231026</v>
      </c>
      <c r="AC56" s="36">
        <f t="shared" si="26"/>
        <v>518644.92906231026</v>
      </c>
      <c r="AD56" s="36">
        <f t="shared" si="26"/>
        <v>518644.92906231026</v>
      </c>
      <c r="AE56" s="36">
        <f t="shared" si="26"/>
        <v>518644.92906231026</v>
      </c>
      <c r="AF56" s="36">
        <f t="shared" si="26"/>
        <v>518644.92906231026</v>
      </c>
      <c r="AG56" s="36">
        <f t="shared" si="26"/>
        <v>518644.92906231026</v>
      </c>
      <c r="AH56" s="36">
        <f t="shared" si="26"/>
        <v>518644.92906231026</v>
      </c>
      <c r="AI56" s="36">
        <f t="shared" si="26"/>
        <v>518644.92906231026</v>
      </c>
      <c r="AJ56" s="36">
        <f t="shared" si="26"/>
        <v>518644.92906231026</v>
      </c>
      <c r="AK56" s="36">
        <f t="shared" si="26"/>
        <v>518644.92906231026</v>
      </c>
      <c r="AL56" s="36">
        <f t="shared" si="26"/>
        <v>518644.92906231026</v>
      </c>
      <c r="AM56" s="36">
        <f t="shared" si="26"/>
        <v>518644.92906231026</v>
      </c>
      <c r="AN56" s="36">
        <f t="shared" si="26"/>
        <v>518644.92906231026</v>
      </c>
      <c r="AO56" s="36">
        <f t="shared" si="26"/>
        <v>518644.92906231026</v>
      </c>
      <c r="AP56" s="36">
        <f t="shared" si="26"/>
        <v>518644.92906231026</v>
      </c>
      <c r="AQ56" s="36">
        <f t="shared" si="26"/>
        <v>0</v>
      </c>
      <c r="AR56" s="36">
        <f t="shared" si="26"/>
        <v>0</v>
      </c>
      <c r="AS56" s="36">
        <f t="shared" si="26"/>
        <v>0</v>
      </c>
      <c r="AT56" s="36">
        <f t="shared" si="26"/>
        <v>0</v>
      </c>
      <c r="AU56" s="36">
        <f t="shared" si="26"/>
        <v>0</v>
      </c>
      <c r="AV56" s="36">
        <f t="shared" si="26"/>
        <v>0</v>
      </c>
      <c r="AW56" s="36">
        <f t="shared" si="26"/>
        <v>0</v>
      </c>
      <c r="AX56" s="36">
        <f t="shared" si="26"/>
        <v>0</v>
      </c>
    </row>
    <row r="57" spans="2:50">
      <c r="C57" s="29" t="s">
        <v>81</v>
      </c>
      <c r="K57" s="39">
        <f t="shared" ref="K57:AX57" si="27">MIN(K56-K53,K48)</f>
        <v>424894.92906231026</v>
      </c>
      <c r="L57" s="39">
        <f t="shared" si="27"/>
        <v>427550.52236894972</v>
      </c>
      <c r="M57" s="39">
        <f t="shared" si="27"/>
        <v>430222.71313375561</v>
      </c>
      <c r="N57" s="39">
        <f t="shared" si="27"/>
        <v>432911.60509084159</v>
      </c>
      <c r="O57" s="39">
        <f t="shared" si="27"/>
        <v>435617.30262265936</v>
      </c>
      <c r="P57" s="39">
        <f t="shared" si="27"/>
        <v>438339.91076405096</v>
      </c>
      <c r="Q57" s="39">
        <f t="shared" si="27"/>
        <v>441079.53520632628</v>
      </c>
      <c r="R57" s="39">
        <f t="shared" si="27"/>
        <v>443836.28230136586</v>
      </c>
      <c r="S57" s="39">
        <f t="shared" si="27"/>
        <v>446610.25906574936</v>
      </c>
      <c r="T57" s="39">
        <f t="shared" si="27"/>
        <v>449401.57318491029</v>
      </c>
      <c r="U57" s="39">
        <f t="shared" si="27"/>
        <v>452210.33301731601</v>
      </c>
      <c r="V57" s="39">
        <f t="shared" si="27"/>
        <v>455036.64759867423</v>
      </c>
      <c r="W57" s="39">
        <f t="shared" si="27"/>
        <v>457880.62664616597</v>
      </c>
      <c r="X57" s="39">
        <f t="shared" si="27"/>
        <v>460742.38056270446</v>
      </c>
      <c r="Y57" s="39">
        <f t="shared" si="27"/>
        <v>463622.02044122136</v>
      </c>
      <c r="Z57" s="39">
        <f t="shared" si="27"/>
        <v>466519.65806897904</v>
      </c>
      <c r="AA57" s="39">
        <f t="shared" si="27"/>
        <v>469435.40593191015</v>
      </c>
      <c r="AB57" s="39">
        <f t="shared" si="27"/>
        <v>472369.37721898459</v>
      </c>
      <c r="AC57" s="39">
        <f t="shared" si="27"/>
        <v>475321.68582660321</v>
      </c>
      <c r="AD57" s="39">
        <f t="shared" si="27"/>
        <v>478292.44636301952</v>
      </c>
      <c r="AE57" s="39">
        <f t="shared" si="27"/>
        <v>481281.77415278839</v>
      </c>
      <c r="AF57" s="39">
        <f t="shared" si="27"/>
        <v>484289.78524124331</v>
      </c>
      <c r="AG57" s="39">
        <f t="shared" si="27"/>
        <v>487316.59639900108</v>
      </c>
      <c r="AH57" s="39">
        <f t="shared" si="27"/>
        <v>490362.32512649486</v>
      </c>
      <c r="AI57" s="39">
        <f t="shared" si="27"/>
        <v>493427.08965853543</v>
      </c>
      <c r="AJ57" s="39">
        <f t="shared" si="27"/>
        <v>496511.0089689013</v>
      </c>
      <c r="AK57" s="39">
        <f t="shared" si="27"/>
        <v>499614.20277495688</v>
      </c>
      <c r="AL57" s="39">
        <f t="shared" si="27"/>
        <v>502736.79154230037</v>
      </c>
      <c r="AM57" s="39">
        <f t="shared" si="27"/>
        <v>505878.89648943976</v>
      </c>
      <c r="AN57" s="39">
        <f t="shared" si="27"/>
        <v>509040.63959249877</v>
      </c>
      <c r="AO57" s="39">
        <f t="shared" si="27"/>
        <v>512222.14358995185</v>
      </c>
      <c r="AP57" s="39">
        <f t="shared" si="27"/>
        <v>515423.53198738833</v>
      </c>
      <c r="AQ57" s="39">
        <f t="shared" si="27"/>
        <v>0</v>
      </c>
      <c r="AR57" s="39">
        <f t="shared" si="27"/>
        <v>0</v>
      </c>
      <c r="AS57" s="39">
        <f t="shared" si="27"/>
        <v>0</v>
      </c>
      <c r="AT57" s="39">
        <f t="shared" si="27"/>
        <v>0</v>
      </c>
      <c r="AU57" s="39">
        <f t="shared" si="27"/>
        <v>0</v>
      </c>
      <c r="AV57" s="39">
        <f t="shared" si="27"/>
        <v>0</v>
      </c>
      <c r="AW57" s="39">
        <f t="shared" si="27"/>
        <v>0</v>
      </c>
      <c r="AX57" s="39">
        <f t="shared" si="27"/>
        <v>0</v>
      </c>
    </row>
    <row r="59" spans="2:50">
      <c r="B59" s="33" t="s">
        <v>32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</row>
    <row r="61" spans="2:50">
      <c r="C61" s="29" t="s">
        <v>80</v>
      </c>
      <c r="K61" s="36">
        <f>J67</f>
        <v>750000</v>
      </c>
      <c r="L61" s="36">
        <f t="shared" ref="L61:AX61" si="28">K67</f>
        <v>750000</v>
      </c>
      <c r="M61" s="36">
        <f t="shared" si="28"/>
        <v>750000</v>
      </c>
      <c r="N61" s="36">
        <f t="shared" si="28"/>
        <v>750000</v>
      </c>
      <c r="O61" s="36">
        <f t="shared" si="28"/>
        <v>750000</v>
      </c>
      <c r="P61" s="36">
        <f t="shared" si="28"/>
        <v>750000</v>
      </c>
      <c r="Q61" s="36">
        <f t="shared" si="28"/>
        <v>750000</v>
      </c>
      <c r="R61" s="36">
        <f t="shared" si="28"/>
        <v>750000</v>
      </c>
      <c r="S61" s="36">
        <f t="shared" si="28"/>
        <v>750000</v>
      </c>
      <c r="T61" s="36">
        <f t="shared" si="28"/>
        <v>750000</v>
      </c>
      <c r="U61" s="36">
        <f t="shared" si="28"/>
        <v>750000</v>
      </c>
      <c r="V61" s="36">
        <f t="shared" si="28"/>
        <v>750000</v>
      </c>
      <c r="W61" s="36">
        <f t="shared" si="28"/>
        <v>750000</v>
      </c>
      <c r="X61" s="36">
        <f t="shared" si="28"/>
        <v>750000</v>
      </c>
      <c r="Y61" s="36">
        <f t="shared" si="28"/>
        <v>750000</v>
      </c>
      <c r="Z61" s="36">
        <f t="shared" si="28"/>
        <v>750000</v>
      </c>
      <c r="AA61" s="36">
        <f t="shared" si="28"/>
        <v>750000</v>
      </c>
      <c r="AB61" s="36">
        <f t="shared" si="28"/>
        <v>750000</v>
      </c>
      <c r="AC61" s="36">
        <f t="shared" si="28"/>
        <v>750000</v>
      </c>
      <c r="AD61" s="36">
        <f t="shared" si="28"/>
        <v>750000</v>
      </c>
      <c r="AE61" s="36">
        <f t="shared" si="28"/>
        <v>750000</v>
      </c>
      <c r="AF61" s="36">
        <f t="shared" si="28"/>
        <v>750000</v>
      </c>
      <c r="AG61" s="36">
        <f t="shared" si="28"/>
        <v>750000</v>
      </c>
      <c r="AH61" s="36">
        <f t="shared" si="28"/>
        <v>750000</v>
      </c>
      <c r="AI61" s="36">
        <f t="shared" si="28"/>
        <v>750000</v>
      </c>
      <c r="AJ61" s="36">
        <f t="shared" si="28"/>
        <v>750000</v>
      </c>
      <c r="AK61" s="36">
        <f t="shared" si="28"/>
        <v>750000</v>
      </c>
      <c r="AL61" s="36">
        <f t="shared" si="28"/>
        <v>750000</v>
      </c>
      <c r="AM61" s="36">
        <f t="shared" si="28"/>
        <v>750000</v>
      </c>
      <c r="AN61" s="36">
        <f t="shared" si="28"/>
        <v>750000</v>
      </c>
      <c r="AO61" s="36">
        <f t="shared" si="28"/>
        <v>750000</v>
      </c>
      <c r="AP61" s="36">
        <f t="shared" si="28"/>
        <v>750000</v>
      </c>
      <c r="AQ61" s="36">
        <f t="shared" si="28"/>
        <v>0</v>
      </c>
      <c r="AR61" s="36">
        <f t="shared" si="28"/>
        <v>0</v>
      </c>
      <c r="AS61" s="36">
        <f t="shared" si="28"/>
        <v>0</v>
      </c>
      <c r="AT61" s="36">
        <f t="shared" si="28"/>
        <v>0</v>
      </c>
      <c r="AU61" s="36">
        <f t="shared" si="28"/>
        <v>0</v>
      </c>
      <c r="AV61" s="36">
        <f t="shared" si="28"/>
        <v>0</v>
      </c>
      <c r="AW61" s="36">
        <f t="shared" si="28"/>
        <v>0</v>
      </c>
      <c r="AX61" s="36">
        <f t="shared" si="28"/>
        <v>0</v>
      </c>
    </row>
    <row r="62" spans="2:50">
      <c r="C62" s="29" t="s">
        <v>85</v>
      </c>
      <c r="H62" s="36">
        <f>SUM(K62:AX62)</f>
        <v>0</v>
      </c>
      <c r="K62" s="36">
        <f t="shared" ref="K62:AX62" si="29">-K31</f>
        <v>0</v>
      </c>
      <c r="L62" s="36">
        <f t="shared" si="29"/>
        <v>0</v>
      </c>
      <c r="M62" s="36">
        <f t="shared" si="29"/>
        <v>0</v>
      </c>
      <c r="N62" s="36">
        <f t="shared" si="29"/>
        <v>0</v>
      </c>
      <c r="O62" s="36">
        <f t="shared" si="29"/>
        <v>0</v>
      </c>
      <c r="P62" s="36">
        <f t="shared" si="29"/>
        <v>0</v>
      </c>
      <c r="Q62" s="36">
        <f t="shared" si="29"/>
        <v>0</v>
      </c>
      <c r="R62" s="36">
        <f t="shared" si="29"/>
        <v>0</v>
      </c>
      <c r="S62" s="36">
        <f t="shared" si="29"/>
        <v>0</v>
      </c>
      <c r="T62" s="36">
        <f t="shared" si="29"/>
        <v>0</v>
      </c>
      <c r="U62" s="36">
        <f t="shared" si="29"/>
        <v>0</v>
      </c>
      <c r="V62" s="36">
        <f t="shared" si="29"/>
        <v>0</v>
      </c>
      <c r="W62" s="36">
        <f t="shared" si="29"/>
        <v>0</v>
      </c>
      <c r="X62" s="36">
        <f t="shared" si="29"/>
        <v>0</v>
      </c>
      <c r="Y62" s="36">
        <f t="shared" si="29"/>
        <v>0</v>
      </c>
      <c r="Z62" s="36">
        <f t="shared" si="29"/>
        <v>0</v>
      </c>
      <c r="AA62" s="36">
        <f t="shared" si="29"/>
        <v>0</v>
      </c>
      <c r="AB62" s="36">
        <f t="shared" si="29"/>
        <v>0</v>
      </c>
      <c r="AC62" s="36">
        <f t="shared" si="29"/>
        <v>0</v>
      </c>
      <c r="AD62" s="36">
        <f t="shared" si="29"/>
        <v>0</v>
      </c>
      <c r="AE62" s="36">
        <f t="shared" si="29"/>
        <v>0</v>
      </c>
      <c r="AF62" s="36">
        <f t="shared" si="29"/>
        <v>0</v>
      </c>
      <c r="AG62" s="36">
        <f t="shared" si="29"/>
        <v>0</v>
      </c>
      <c r="AH62" s="36">
        <f t="shared" si="29"/>
        <v>0</v>
      </c>
      <c r="AI62" s="36">
        <f t="shared" si="29"/>
        <v>0</v>
      </c>
      <c r="AJ62" s="36">
        <f t="shared" si="29"/>
        <v>0</v>
      </c>
      <c r="AK62" s="36">
        <f t="shared" si="29"/>
        <v>0</v>
      </c>
      <c r="AL62" s="36">
        <f t="shared" si="29"/>
        <v>0</v>
      </c>
      <c r="AM62" s="36">
        <f t="shared" si="29"/>
        <v>0</v>
      </c>
      <c r="AN62" s="36">
        <f t="shared" si="29"/>
        <v>0</v>
      </c>
      <c r="AO62" s="36">
        <f t="shared" si="29"/>
        <v>0</v>
      </c>
      <c r="AP62" s="36">
        <f t="shared" si="29"/>
        <v>0</v>
      </c>
      <c r="AQ62" s="36">
        <f t="shared" si="29"/>
        <v>0</v>
      </c>
      <c r="AR62" s="36">
        <f t="shared" si="29"/>
        <v>0</v>
      </c>
      <c r="AS62" s="36">
        <f t="shared" si="29"/>
        <v>0</v>
      </c>
      <c r="AT62" s="36">
        <f t="shared" si="29"/>
        <v>0</v>
      </c>
      <c r="AU62" s="36">
        <f t="shared" si="29"/>
        <v>0</v>
      </c>
      <c r="AV62" s="36">
        <f t="shared" si="29"/>
        <v>0</v>
      </c>
      <c r="AW62" s="36">
        <f t="shared" si="29"/>
        <v>0</v>
      </c>
      <c r="AX62" s="36">
        <f t="shared" si="29"/>
        <v>0</v>
      </c>
    </row>
    <row r="63" spans="2:50">
      <c r="C63" s="29" t="s">
        <v>86</v>
      </c>
      <c r="H63" s="36">
        <f t="shared" ref="H63:H66" si="30">SUM(K63:AX63)</f>
        <v>0</v>
      </c>
      <c r="K63" s="36">
        <f t="shared" ref="K63:AX63" si="31">K75</f>
        <v>0</v>
      </c>
      <c r="L63" s="36">
        <f t="shared" si="31"/>
        <v>0</v>
      </c>
      <c r="M63" s="36">
        <f t="shared" si="31"/>
        <v>0</v>
      </c>
      <c r="N63" s="36">
        <f t="shared" si="31"/>
        <v>0</v>
      </c>
      <c r="O63" s="36">
        <f t="shared" si="31"/>
        <v>0</v>
      </c>
      <c r="P63" s="36">
        <f t="shared" si="31"/>
        <v>0</v>
      </c>
      <c r="Q63" s="36">
        <f t="shared" si="31"/>
        <v>0</v>
      </c>
      <c r="R63" s="36">
        <f t="shared" si="31"/>
        <v>0</v>
      </c>
      <c r="S63" s="36">
        <f t="shared" si="31"/>
        <v>0</v>
      </c>
      <c r="T63" s="36">
        <f t="shared" si="31"/>
        <v>0</v>
      </c>
      <c r="U63" s="36">
        <f t="shared" si="31"/>
        <v>0</v>
      </c>
      <c r="V63" s="36">
        <f t="shared" si="31"/>
        <v>0</v>
      </c>
      <c r="W63" s="36">
        <f t="shared" si="31"/>
        <v>0</v>
      </c>
      <c r="X63" s="36">
        <f t="shared" si="31"/>
        <v>0</v>
      </c>
      <c r="Y63" s="36">
        <f t="shared" si="31"/>
        <v>0</v>
      </c>
      <c r="Z63" s="36">
        <f t="shared" si="31"/>
        <v>0</v>
      </c>
      <c r="AA63" s="36">
        <f t="shared" si="31"/>
        <v>0</v>
      </c>
      <c r="AB63" s="36">
        <f t="shared" si="31"/>
        <v>0</v>
      </c>
      <c r="AC63" s="36">
        <f t="shared" si="31"/>
        <v>0</v>
      </c>
      <c r="AD63" s="36">
        <f t="shared" si="31"/>
        <v>0</v>
      </c>
      <c r="AE63" s="36">
        <f t="shared" si="31"/>
        <v>0</v>
      </c>
      <c r="AF63" s="36">
        <f t="shared" si="31"/>
        <v>0</v>
      </c>
      <c r="AG63" s="36">
        <f t="shared" si="31"/>
        <v>0</v>
      </c>
      <c r="AH63" s="36">
        <f t="shared" si="31"/>
        <v>0</v>
      </c>
      <c r="AI63" s="36">
        <f t="shared" si="31"/>
        <v>0</v>
      </c>
      <c r="AJ63" s="36">
        <f t="shared" si="31"/>
        <v>0</v>
      </c>
      <c r="AK63" s="36">
        <f t="shared" si="31"/>
        <v>0</v>
      </c>
      <c r="AL63" s="36">
        <f t="shared" si="31"/>
        <v>0</v>
      </c>
      <c r="AM63" s="36">
        <f t="shared" si="31"/>
        <v>0</v>
      </c>
      <c r="AN63" s="36">
        <f t="shared" si="31"/>
        <v>0</v>
      </c>
      <c r="AO63" s="36">
        <f t="shared" si="31"/>
        <v>0</v>
      </c>
      <c r="AP63" s="36">
        <f t="shared" si="31"/>
        <v>0</v>
      </c>
      <c r="AQ63" s="36">
        <f t="shared" si="31"/>
        <v>0</v>
      </c>
      <c r="AR63" s="36">
        <f t="shared" si="31"/>
        <v>0</v>
      </c>
      <c r="AS63" s="36">
        <f t="shared" si="31"/>
        <v>0</v>
      </c>
      <c r="AT63" s="36">
        <f t="shared" si="31"/>
        <v>0</v>
      </c>
      <c r="AU63" s="36">
        <f t="shared" si="31"/>
        <v>0</v>
      </c>
      <c r="AV63" s="36">
        <f t="shared" si="31"/>
        <v>0</v>
      </c>
      <c r="AW63" s="36">
        <f t="shared" si="31"/>
        <v>0</v>
      </c>
      <c r="AX63" s="36">
        <f t="shared" si="31"/>
        <v>0</v>
      </c>
    </row>
    <row r="64" spans="2:50">
      <c r="C64" s="29" t="s">
        <v>73</v>
      </c>
      <c r="H64" s="36">
        <f t="shared" si="30"/>
        <v>0</v>
      </c>
      <c r="K64" s="36">
        <f t="shared" ref="K64:AX64" si="32">IF(K90=1,K34,0)</f>
        <v>0</v>
      </c>
      <c r="L64" s="36">
        <f t="shared" si="32"/>
        <v>0</v>
      </c>
      <c r="M64" s="36">
        <f t="shared" si="32"/>
        <v>0</v>
      </c>
      <c r="N64" s="36">
        <f t="shared" si="32"/>
        <v>0</v>
      </c>
      <c r="O64" s="36">
        <f t="shared" si="32"/>
        <v>0</v>
      </c>
      <c r="P64" s="36">
        <f t="shared" si="32"/>
        <v>0</v>
      </c>
      <c r="Q64" s="36">
        <f t="shared" si="32"/>
        <v>0</v>
      </c>
      <c r="R64" s="36">
        <f t="shared" si="32"/>
        <v>0</v>
      </c>
      <c r="S64" s="36">
        <f t="shared" si="32"/>
        <v>0</v>
      </c>
      <c r="T64" s="36">
        <f t="shared" si="32"/>
        <v>0</v>
      </c>
      <c r="U64" s="36">
        <f t="shared" si="32"/>
        <v>0</v>
      </c>
      <c r="V64" s="36">
        <f t="shared" si="32"/>
        <v>0</v>
      </c>
      <c r="W64" s="36">
        <f t="shared" si="32"/>
        <v>0</v>
      </c>
      <c r="X64" s="36">
        <f t="shared" si="32"/>
        <v>0</v>
      </c>
      <c r="Y64" s="36">
        <f t="shared" si="32"/>
        <v>0</v>
      </c>
      <c r="Z64" s="36">
        <f t="shared" si="32"/>
        <v>0</v>
      </c>
      <c r="AA64" s="36">
        <f t="shared" si="32"/>
        <v>0</v>
      </c>
      <c r="AB64" s="36">
        <f t="shared" si="32"/>
        <v>0</v>
      </c>
      <c r="AC64" s="36">
        <f t="shared" si="32"/>
        <v>0</v>
      </c>
      <c r="AD64" s="36">
        <f t="shared" si="32"/>
        <v>0</v>
      </c>
      <c r="AE64" s="36">
        <f t="shared" si="32"/>
        <v>0</v>
      </c>
      <c r="AF64" s="36">
        <f t="shared" si="32"/>
        <v>0</v>
      </c>
      <c r="AG64" s="36">
        <f t="shared" si="32"/>
        <v>0</v>
      </c>
      <c r="AH64" s="36">
        <f t="shared" si="32"/>
        <v>0</v>
      </c>
      <c r="AI64" s="36">
        <f t="shared" si="32"/>
        <v>0</v>
      </c>
      <c r="AJ64" s="36">
        <f t="shared" si="32"/>
        <v>0</v>
      </c>
      <c r="AK64" s="36">
        <f t="shared" si="32"/>
        <v>0</v>
      </c>
      <c r="AL64" s="36">
        <f t="shared" si="32"/>
        <v>0</v>
      </c>
      <c r="AM64" s="36">
        <f t="shared" si="32"/>
        <v>0</v>
      </c>
      <c r="AN64" s="36">
        <f t="shared" si="32"/>
        <v>0</v>
      </c>
      <c r="AO64" s="36">
        <f t="shared" si="32"/>
        <v>0</v>
      </c>
      <c r="AP64" s="36">
        <f t="shared" si="32"/>
        <v>0</v>
      </c>
      <c r="AQ64" s="36">
        <f t="shared" si="32"/>
        <v>0</v>
      </c>
      <c r="AR64" s="36">
        <f t="shared" si="32"/>
        <v>0</v>
      </c>
      <c r="AS64" s="36">
        <f t="shared" si="32"/>
        <v>0</v>
      </c>
      <c r="AT64" s="36">
        <f t="shared" si="32"/>
        <v>0</v>
      </c>
      <c r="AU64" s="36">
        <f t="shared" si="32"/>
        <v>0</v>
      </c>
      <c r="AV64" s="36">
        <f t="shared" si="32"/>
        <v>0</v>
      </c>
      <c r="AW64" s="36">
        <f t="shared" si="32"/>
        <v>0</v>
      </c>
      <c r="AX64" s="36">
        <f t="shared" si="32"/>
        <v>0</v>
      </c>
    </row>
    <row r="65" spans="2:50">
      <c r="C65" s="29" t="s">
        <v>87</v>
      </c>
      <c r="H65" s="36">
        <f t="shared" si="30"/>
        <v>0</v>
      </c>
      <c r="K65" s="36">
        <f>IF(K90=0,-K77,0)</f>
        <v>0</v>
      </c>
      <c r="L65" s="36">
        <f t="shared" ref="L65:AX65" si="33">IF(L90=0,-L77,0)</f>
        <v>0</v>
      </c>
      <c r="M65" s="36">
        <f t="shared" si="33"/>
        <v>0</v>
      </c>
      <c r="N65" s="36">
        <f t="shared" si="33"/>
        <v>0</v>
      </c>
      <c r="O65" s="36">
        <f t="shared" si="33"/>
        <v>0</v>
      </c>
      <c r="P65" s="36">
        <f t="shared" si="33"/>
        <v>0</v>
      </c>
      <c r="Q65" s="36">
        <f t="shared" si="33"/>
        <v>0</v>
      </c>
      <c r="R65" s="36">
        <f t="shared" si="33"/>
        <v>0</v>
      </c>
      <c r="S65" s="36">
        <f t="shared" si="33"/>
        <v>0</v>
      </c>
      <c r="T65" s="36">
        <f t="shared" si="33"/>
        <v>0</v>
      </c>
      <c r="U65" s="36">
        <f t="shared" si="33"/>
        <v>0</v>
      </c>
      <c r="V65" s="36">
        <f t="shared" si="33"/>
        <v>0</v>
      </c>
      <c r="W65" s="36">
        <f t="shared" si="33"/>
        <v>0</v>
      </c>
      <c r="X65" s="36">
        <f t="shared" si="33"/>
        <v>0</v>
      </c>
      <c r="Y65" s="36">
        <f t="shared" si="33"/>
        <v>0</v>
      </c>
      <c r="Z65" s="36">
        <f t="shared" si="33"/>
        <v>0</v>
      </c>
      <c r="AA65" s="36">
        <f t="shared" si="33"/>
        <v>0</v>
      </c>
      <c r="AB65" s="36">
        <f t="shared" si="33"/>
        <v>0</v>
      </c>
      <c r="AC65" s="36">
        <f t="shared" si="33"/>
        <v>0</v>
      </c>
      <c r="AD65" s="36">
        <f t="shared" si="33"/>
        <v>0</v>
      </c>
      <c r="AE65" s="36">
        <f t="shared" si="33"/>
        <v>0</v>
      </c>
      <c r="AF65" s="36">
        <f t="shared" si="33"/>
        <v>0</v>
      </c>
      <c r="AG65" s="36">
        <f t="shared" si="33"/>
        <v>0</v>
      </c>
      <c r="AH65" s="36">
        <f t="shared" si="33"/>
        <v>0</v>
      </c>
      <c r="AI65" s="36">
        <f t="shared" si="33"/>
        <v>0</v>
      </c>
      <c r="AJ65" s="36">
        <f t="shared" si="33"/>
        <v>0</v>
      </c>
      <c r="AK65" s="36">
        <f t="shared" si="33"/>
        <v>0</v>
      </c>
      <c r="AL65" s="36">
        <f t="shared" si="33"/>
        <v>0</v>
      </c>
      <c r="AM65" s="36">
        <f t="shared" si="33"/>
        <v>0</v>
      </c>
      <c r="AN65" s="36">
        <f t="shared" si="33"/>
        <v>0</v>
      </c>
      <c r="AO65" s="36">
        <f t="shared" si="33"/>
        <v>0</v>
      </c>
      <c r="AP65" s="36">
        <f t="shared" si="33"/>
        <v>0</v>
      </c>
      <c r="AQ65" s="36">
        <f t="shared" si="33"/>
        <v>0</v>
      </c>
      <c r="AR65" s="36">
        <f t="shared" si="33"/>
        <v>0</v>
      </c>
      <c r="AS65" s="36">
        <f t="shared" si="33"/>
        <v>0</v>
      </c>
      <c r="AT65" s="36">
        <f t="shared" si="33"/>
        <v>0</v>
      </c>
      <c r="AU65" s="36">
        <f t="shared" si="33"/>
        <v>0</v>
      </c>
      <c r="AV65" s="36">
        <f t="shared" si="33"/>
        <v>0</v>
      </c>
      <c r="AW65" s="36">
        <f t="shared" si="33"/>
        <v>0</v>
      </c>
      <c r="AX65" s="36">
        <f t="shared" si="33"/>
        <v>0</v>
      </c>
    </row>
    <row r="66" spans="2:50">
      <c r="C66" s="29" t="s">
        <v>88</v>
      </c>
      <c r="H66" s="36">
        <f t="shared" si="30"/>
        <v>-750000</v>
      </c>
      <c r="K66" s="36">
        <f>IF(K$50=0,-SUM(K61:K63),0)</f>
        <v>0</v>
      </c>
      <c r="L66" s="36">
        <f t="shared" ref="L66:AX66" si="34">IF(L$50=0,-SUM(L61:L63),0)</f>
        <v>0</v>
      </c>
      <c r="M66" s="36">
        <f t="shared" si="34"/>
        <v>0</v>
      </c>
      <c r="N66" s="36">
        <f t="shared" si="34"/>
        <v>0</v>
      </c>
      <c r="O66" s="36">
        <f t="shared" si="34"/>
        <v>0</v>
      </c>
      <c r="P66" s="36">
        <f t="shared" si="34"/>
        <v>0</v>
      </c>
      <c r="Q66" s="36">
        <f t="shared" si="34"/>
        <v>0</v>
      </c>
      <c r="R66" s="36">
        <f t="shared" si="34"/>
        <v>0</v>
      </c>
      <c r="S66" s="36">
        <f t="shared" si="34"/>
        <v>0</v>
      </c>
      <c r="T66" s="36">
        <f t="shared" si="34"/>
        <v>0</v>
      </c>
      <c r="U66" s="36">
        <f t="shared" si="34"/>
        <v>0</v>
      </c>
      <c r="V66" s="36">
        <f t="shared" si="34"/>
        <v>0</v>
      </c>
      <c r="W66" s="36">
        <f t="shared" si="34"/>
        <v>0</v>
      </c>
      <c r="X66" s="36">
        <f t="shared" si="34"/>
        <v>0</v>
      </c>
      <c r="Y66" s="36">
        <f t="shared" si="34"/>
        <v>0</v>
      </c>
      <c r="Z66" s="36">
        <f t="shared" si="34"/>
        <v>0</v>
      </c>
      <c r="AA66" s="36">
        <f t="shared" si="34"/>
        <v>0</v>
      </c>
      <c r="AB66" s="36">
        <f t="shared" si="34"/>
        <v>0</v>
      </c>
      <c r="AC66" s="36">
        <f t="shared" si="34"/>
        <v>0</v>
      </c>
      <c r="AD66" s="36">
        <f t="shared" si="34"/>
        <v>0</v>
      </c>
      <c r="AE66" s="36">
        <f t="shared" si="34"/>
        <v>0</v>
      </c>
      <c r="AF66" s="36">
        <f t="shared" si="34"/>
        <v>0</v>
      </c>
      <c r="AG66" s="36">
        <f t="shared" si="34"/>
        <v>0</v>
      </c>
      <c r="AH66" s="36">
        <f t="shared" si="34"/>
        <v>0</v>
      </c>
      <c r="AI66" s="36">
        <f t="shared" si="34"/>
        <v>0</v>
      </c>
      <c r="AJ66" s="36">
        <f t="shared" si="34"/>
        <v>0</v>
      </c>
      <c r="AK66" s="36">
        <f t="shared" si="34"/>
        <v>0</v>
      </c>
      <c r="AL66" s="36">
        <f t="shared" si="34"/>
        <v>0</v>
      </c>
      <c r="AM66" s="36">
        <f t="shared" si="34"/>
        <v>0</v>
      </c>
      <c r="AN66" s="36">
        <f t="shared" si="34"/>
        <v>0</v>
      </c>
      <c r="AO66" s="36">
        <f t="shared" si="34"/>
        <v>0</v>
      </c>
      <c r="AP66" s="36">
        <f t="shared" si="34"/>
        <v>-750000</v>
      </c>
      <c r="AQ66" s="36">
        <f t="shared" si="34"/>
        <v>0</v>
      </c>
      <c r="AR66" s="36">
        <f t="shared" si="34"/>
        <v>0</v>
      </c>
      <c r="AS66" s="36">
        <f t="shared" si="34"/>
        <v>0</v>
      </c>
      <c r="AT66" s="36">
        <f t="shared" si="34"/>
        <v>0</v>
      </c>
      <c r="AU66" s="36">
        <f t="shared" si="34"/>
        <v>0</v>
      </c>
      <c r="AV66" s="36">
        <f t="shared" si="34"/>
        <v>0</v>
      </c>
      <c r="AW66" s="36">
        <f t="shared" si="34"/>
        <v>0</v>
      </c>
      <c r="AX66" s="36">
        <f t="shared" si="34"/>
        <v>0</v>
      </c>
    </row>
    <row r="67" spans="2:50">
      <c r="C67" s="29" t="s">
        <v>82</v>
      </c>
      <c r="J67" s="55">
        <f>CaseData!$H$17</f>
        <v>750000</v>
      </c>
      <c r="K67" s="39">
        <f t="shared" ref="K67" si="35">SUM(K61:K66)</f>
        <v>750000</v>
      </c>
      <c r="L67" s="39">
        <f>SUM(L61:L66)</f>
        <v>750000</v>
      </c>
      <c r="M67" s="39">
        <f t="shared" ref="M67:AX67" si="36">SUM(M61:M66)</f>
        <v>750000</v>
      </c>
      <c r="N67" s="39">
        <f t="shared" si="36"/>
        <v>750000</v>
      </c>
      <c r="O67" s="39">
        <f t="shared" si="36"/>
        <v>750000</v>
      </c>
      <c r="P67" s="39">
        <f t="shared" si="36"/>
        <v>750000</v>
      </c>
      <c r="Q67" s="39">
        <f t="shared" si="36"/>
        <v>750000</v>
      </c>
      <c r="R67" s="39">
        <f t="shared" si="36"/>
        <v>750000</v>
      </c>
      <c r="S67" s="39">
        <f t="shared" si="36"/>
        <v>750000</v>
      </c>
      <c r="T67" s="39">
        <f t="shared" si="36"/>
        <v>750000</v>
      </c>
      <c r="U67" s="39">
        <f t="shared" si="36"/>
        <v>750000</v>
      </c>
      <c r="V67" s="39">
        <f t="shared" si="36"/>
        <v>750000</v>
      </c>
      <c r="W67" s="39">
        <f t="shared" si="36"/>
        <v>750000</v>
      </c>
      <c r="X67" s="39">
        <f t="shared" si="36"/>
        <v>750000</v>
      </c>
      <c r="Y67" s="39">
        <f t="shared" si="36"/>
        <v>750000</v>
      </c>
      <c r="Z67" s="39">
        <f t="shared" si="36"/>
        <v>750000</v>
      </c>
      <c r="AA67" s="39">
        <f t="shared" si="36"/>
        <v>750000</v>
      </c>
      <c r="AB67" s="39">
        <f t="shared" si="36"/>
        <v>750000</v>
      </c>
      <c r="AC67" s="39">
        <f t="shared" si="36"/>
        <v>750000</v>
      </c>
      <c r="AD67" s="39">
        <f t="shared" si="36"/>
        <v>750000</v>
      </c>
      <c r="AE67" s="39">
        <f t="shared" si="36"/>
        <v>750000</v>
      </c>
      <c r="AF67" s="39">
        <f t="shared" si="36"/>
        <v>750000</v>
      </c>
      <c r="AG67" s="39">
        <f t="shared" si="36"/>
        <v>750000</v>
      </c>
      <c r="AH67" s="39">
        <f t="shared" si="36"/>
        <v>750000</v>
      </c>
      <c r="AI67" s="39">
        <f t="shared" si="36"/>
        <v>750000</v>
      </c>
      <c r="AJ67" s="39">
        <f t="shared" si="36"/>
        <v>750000</v>
      </c>
      <c r="AK67" s="39">
        <f t="shared" si="36"/>
        <v>750000</v>
      </c>
      <c r="AL67" s="39">
        <f t="shared" si="36"/>
        <v>750000</v>
      </c>
      <c r="AM67" s="39">
        <f t="shared" si="36"/>
        <v>750000</v>
      </c>
      <c r="AN67" s="39">
        <f t="shared" si="36"/>
        <v>750000</v>
      </c>
      <c r="AO67" s="39">
        <f t="shared" si="36"/>
        <v>750000</v>
      </c>
      <c r="AP67" s="39">
        <f t="shared" si="36"/>
        <v>0</v>
      </c>
      <c r="AQ67" s="39">
        <f t="shared" si="36"/>
        <v>0</v>
      </c>
      <c r="AR67" s="39">
        <f t="shared" si="36"/>
        <v>0</v>
      </c>
      <c r="AS67" s="39">
        <f t="shared" si="36"/>
        <v>0</v>
      </c>
      <c r="AT67" s="39">
        <f t="shared" si="36"/>
        <v>0</v>
      </c>
      <c r="AU67" s="39">
        <f t="shared" si="36"/>
        <v>0</v>
      </c>
      <c r="AV67" s="39">
        <f t="shared" si="36"/>
        <v>0</v>
      </c>
      <c r="AW67" s="39">
        <f t="shared" si="36"/>
        <v>0</v>
      </c>
      <c r="AX67" s="39">
        <f t="shared" si="36"/>
        <v>0</v>
      </c>
    </row>
    <row r="69" spans="2:50">
      <c r="C69" s="29" t="s">
        <v>2</v>
      </c>
      <c r="G69" s="56">
        <f>CaseData!H19</f>
        <v>0.01</v>
      </c>
      <c r="K69" s="57">
        <f>$G69</f>
        <v>0.01</v>
      </c>
      <c r="L69" s="57">
        <f t="shared" ref="L69:AX69" si="37">$G69</f>
        <v>0.01</v>
      </c>
      <c r="M69" s="57">
        <f t="shared" si="37"/>
        <v>0.01</v>
      </c>
      <c r="N69" s="57">
        <f t="shared" si="37"/>
        <v>0.01</v>
      </c>
      <c r="O69" s="57">
        <f t="shared" si="37"/>
        <v>0.01</v>
      </c>
      <c r="P69" s="57">
        <f t="shared" si="37"/>
        <v>0.01</v>
      </c>
      <c r="Q69" s="57">
        <f t="shared" si="37"/>
        <v>0.01</v>
      </c>
      <c r="R69" s="57">
        <f t="shared" si="37"/>
        <v>0.01</v>
      </c>
      <c r="S69" s="57">
        <f t="shared" si="37"/>
        <v>0.01</v>
      </c>
      <c r="T69" s="57">
        <f t="shared" si="37"/>
        <v>0.01</v>
      </c>
      <c r="U69" s="57">
        <f t="shared" si="37"/>
        <v>0.01</v>
      </c>
      <c r="V69" s="57">
        <f t="shared" si="37"/>
        <v>0.01</v>
      </c>
      <c r="W69" s="57">
        <f t="shared" si="37"/>
        <v>0.01</v>
      </c>
      <c r="X69" s="57">
        <f t="shared" si="37"/>
        <v>0.01</v>
      </c>
      <c r="Y69" s="57">
        <f t="shared" si="37"/>
        <v>0.01</v>
      </c>
      <c r="Z69" s="57">
        <f t="shared" si="37"/>
        <v>0.01</v>
      </c>
      <c r="AA69" s="57">
        <f t="shared" si="37"/>
        <v>0.01</v>
      </c>
      <c r="AB69" s="57">
        <f t="shared" si="37"/>
        <v>0.01</v>
      </c>
      <c r="AC69" s="57">
        <f t="shared" si="37"/>
        <v>0.01</v>
      </c>
      <c r="AD69" s="57">
        <f t="shared" si="37"/>
        <v>0.01</v>
      </c>
      <c r="AE69" s="57">
        <f t="shared" si="37"/>
        <v>0.01</v>
      </c>
      <c r="AF69" s="57">
        <f t="shared" si="37"/>
        <v>0.01</v>
      </c>
      <c r="AG69" s="57">
        <f t="shared" si="37"/>
        <v>0.01</v>
      </c>
      <c r="AH69" s="57">
        <f t="shared" si="37"/>
        <v>0.01</v>
      </c>
      <c r="AI69" s="57">
        <f t="shared" si="37"/>
        <v>0.01</v>
      </c>
      <c r="AJ69" s="57">
        <f t="shared" si="37"/>
        <v>0.01</v>
      </c>
      <c r="AK69" s="57">
        <f t="shared" si="37"/>
        <v>0.01</v>
      </c>
      <c r="AL69" s="57">
        <f t="shared" si="37"/>
        <v>0.01</v>
      </c>
      <c r="AM69" s="57">
        <f t="shared" si="37"/>
        <v>0.01</v>
      </c>
      <c r="AN69" s="57">
        <f t="shared" si="37"/>
        <v>0.01</v>
      </c>
      <c r="AO69" s="57">
        <f t="shared" si="37"/>
        <v>0.01</v>
      </c>
      <c r="AP69" s="57">
        <f t="shared" si="37"/>
        <v>0.01</v>
      </c>
      <c r="AQ69" s="57">
        <f t="shared" si="37"/>
        <v>0.01</v>
      </c>
      <c r="AR69" s="57">
        <f t="shared" si="37"/>
        <v>0.01</v>
      </c>
      <c r="AS69" s="57">
        <f t="shared" si="37"/>
        <v>0.01</v>
      </c>
      <c r="AT69" s="57">
        <f t="shared" si="37"/>
        <v>0.01</v>
      </c>
      <c r="AU69" s="57">
        <f t="shared" si="37"/>
        <v>0.01</v>
      </c>
      <c r="AV69" s="57">
        <f t="shared" si="37"/>
        <v>0.01</v>
      </c>
      <c r="AW69" s="57">
        <f t="shared" si="37"/>
        <v>0.01</v>
      </c>
      <c r="AX69" s="57">
        <f t="shared" si="37"/>
        <v>0.01</v>
      </c>
    </row>
    <row r="70" spans="2:50">
      <c r="C70" s="29" t="s">
        <v>4</v>
      </c>
      <c r="H70" s="36">
        <f t="shared" ref="H70" si="38">SUM(K70:AX70)</f>
        <v>60000</v>
      </c>
      <c r="K70" s="36">
        <f>K61*K69/4</f>
        <v>1875</v>
      </c>
      <c r="L70" s="36">
        <f t="shared" ref="L70:AX70" si="39">L61*L69/4</f>
        <v>1875</v>
      </c>
      <c r="M70" s="36">
        <f t="shared" si="39"/>
        <v>1875</v>
      </c>
      <c r="N70" s="36">
        <f t="shared" si="39"/>
        <v>1875</v>
      </c>
      <c r="O70" s="36">
        <f t="shared" si="39"/>
        <v>1875</v>
      </c>
      <c r="P70" s="36">
        <f t="shared" si="39"/>
        <v>1875</v>
      </c>
      <c r="Q70" s="36">
        <f t="shared" si="39"/>
        <v>1875</v>
      </c>
      <c r="R70" s="36">
        <f t="shared" si="39"/>
        <v>1875</v>
      </c>
      <c r="S70" s="36">
        <f t="shared" si="39"/>
        <v>1875</v>
      </c>
      <c r="T70" s="36">
        <f t="shared" si="39"/>
        <v>1875</v>
      </c>
      <c r="U70" s="36">
        <f t="shared" si="39"/>
        <v>1875</v>
      </c>
      <c r="V70" s="36">
        <f t="shared" si="39"/>
        <v>1875</v>
      </c>
      <c r="W70" s="36">
        <f t="shared" si="39"/>
        <v>1875</v>
      </c>
      <c r="X70" s="36">
        <f t="shared" si="39"/>
        <v>1875</v>
      </c>
      <c r="Y70" s="36">
        <f t="shared" si="39"/>
        <v>1875</v>
      </c>
      <c r="Z70" s="36">
        <f t="shared" si="39"/>
        <v>1875</v>
      </c>
      <c r="AA70" s="36">
        <f t="shared" si="39"/>
        <v>1875</v>
      </c>
      <c r="AB70" s="36">
        <f t="shared" si="39"/>
        <v>1875</v>
      </c>
      <c r="AC70" s="36">
        <f t="shared" si="39"/>
        <v>1875</v>
      </c>
      <c r="AD70" s="36">
        <f t="shared" si="39"/>
        <v>1875</v>
      </c>
      <c r="AE70" s="36">
        <f t="shared" si="39"/>
        <v>1875</v>
      </c>
      <c r="AF70" s="36">
        <f t="shared" si="39"/>
        <v>1875</v>
      </c>
      <c r="AG70" s="36">
        <f t="shared" si="39"/>
        <v>1875</v>
      </c>
      <c r="AH70" s="36">
        <f t="shared" si="39"/>
        <v>1875</v>
      </c>
      <c r="AI70" s="36">
        <f t="shared" si="39"/>
        <v>1875</v>
      </c>
      <c r="AJ70" s="36">
        <f t="shared" si="39"/>
        <v>1875</v>
      </c>
      <c r="AK70" s="36">
        <f t="shared" si="39"/>
        <v>1875</v>
      </c>
      <c r="AL70" s="36">
        <f t="shared" si="39"/>
        <v>1875</v>
      </c>
      <c r="AM70" s="36">
        <f t="shared" si="39"/>
        <v>1875</v>
      </c>
      <c r="AN70" s="36">
        <f t="shared" si="39"/>
        <v>1875</v>
      </c>
      <c r="AO70" s="36">
        <f t="shared" si="39"/>
        <v>1875</v>
      </c>
      <c r="AP70" s="36">
        <f t="shared" si="39"/>
        <v>1875</v>
      </c>
      <c r="AQ70" s="36">
        <f t="shared" si="39"/>
        <v>0</v>
      </c>
      <c r="AR70" s="36">
        <f t="shared" si="39"/>
        <v>0</v>
      </c>
      <c r="AS70" s="36">
        <f t="shared" si="39"/>
        <v>0</v>
      </c>
      <c r="AT70" s="36">
        <f t="shared" si="39"/>
        <v>0</v>
      </c>
      <c r="AU70" s="36">
        <f t="shared" si="39"/>
        <v>0</v>
      </c>
      <c r="AV70" s="36">
        <f t="shared" si="39"/>
        <v>0</v>
      </c>
      <c r="AW70" s="36">
        <f t="shared" si="39"/>
        <v>0</v>
      </c>
      <c r="AX70" s="36">
        <f t="shared" si="39"/>
        <v>0</v>
      </c>
    </row>
    <row r="72" spans="2:50">
      <c r="C72" s="29" t="s">
        <v>89</v>
      </c>
      <c r="G72" s="54">
        <f>CaseData!H18</f>
        <v>750000</v>
      </c>
      <c r="K72" s="36">
        <f>IF(K$48&gt;0,$G72,0)</f>
        <v>750000</v>
      </c>
      <c r="L72" s="36">
        <f t="shared" ref="L72:AX72" si="40">IF(L$48&gt;0,$G72,0)</f>
        <v>750000</v>
      </c>
      <c r="M72" s="36">
        <f t="shared" si="40"/>
        <v>750000</v>
      </c>
      <c r="N72" s="36">
        <f t="shared" si="40"/>
        <v>750000</v>
      </c>
      <c r="O72" s="36">
        <f t="shared" si="40"/>
        <v>750000</v>
      </c>
      <c r="P72" s="36">
        <f t="shared" si="40"/>
        <v>750000</v>
      </c>
      <c r="Q72" s="36">
        <f t="shared" si="40"/>
        <v>750000</v>
      </c>
      <c r="R72" s="36">
        <f t="shared" si="40"/>
        <v>750000</v>
      </c>
      <c r="S72" s="36">
        <f t="shared" si="40"/>
        <v>750000</v>
      </c>
      <c r="T72" s="36">
        <f t="shared" si="40"/>
        <v>750000</v>
      </c>
      <c r="U72" s="36">
        <f t="shared" si="40"/>
        <v>750000</v>
      </c>
      <c r="V72" s="36">
        <f t="shared" si="40"/>
        <v>750000</v>
      </c>
      <c r="W72" s="36">
        <f t="shared" si="40"/>
        <v>750000</v>
      </c>
      <c r="X72" s="36">
        <f t="shared" si="40"/>
        <v>750000</v>
      </c>
      <c r="Y72" s="36">
        <f t="shared" si="40"/>
        <v>750000</v>
      </c>
      <c r="Z72" s="36">
        <f t="shared" si="40"/>
        <v>750000</v>
      </c>
      <c r="AA72" s="36">
        <f t="shared" si="40"/>
        <v>750000</v>
      </c>
      <c r="AB72" s="36">
        <f t="shared" si="40"/>
        <v>750000</v>
      </c>
      <c r="AC72" s="36">
        <f t="shared" si="40"/>
        <v>750000</v>
      </c>
      <c r="AD72" s="36">
        <f t="shared" si="40"/>
        <v>750000</v>
      </c>
      <c r="AE72" s="36">
        <f t="shared" si="40"/>
        <v>750000</v>
      </c>
      <c r="AF72" s="36">
        <f t="shared" si="40"/>
        <v>750000</v>
      </c>
      <c r="AG72" s="36">
        <f t="shared" si="40"/>
        <v>750000</v>
      </c>
      <c r="AH72" s="36">
        <f t="shared" si="40"/>
        <v>750000</v>
      </c>
      <c r="AI72" s="36">
        <f t="shared" si="40"/>
        <v>750000</v>
      </c>
      <c r="AJ72" s="36">
        <f t="shared" si="40"/>
        <v>750000</v>
      </c>
      <c r="AK72" s="36">
        <f t="shared" si="40"/>
        <v>750000</v>
      </c>
      <c r="AL72" s="36">
        <f t="shared" si="40"/>
        <v>750000</v>
      </c>
      <c r="AM72" s="36">
        <f t="shared" si="40"/>
        <v>750000</v>
      </c>
      <c r="AN72" s="36">
        <f t="shared" si="40"/>
        <v>750000</v>
      </c>
      <c r="AO72" s="36">
        <f t="shared" si="40"/>
        <v>750000</v>
      </c>
      <c r="AP72" s="36">
        <f t="shared" si="40"/>
        <v>750000</v>
      </c>
      <c r="AQ72" s="36">
        <f t="shared" si="40"/>
        <v>0</v>
      </c>
      <c r="AR72" s="36">
        <f t="shared" si="40"/>
        <v>0</v>
      </c>
      <c r="AS72" s="36">
        <f t="shared" si="40"/>
        <v>0</v>
      </c>
      <c r="AT72" s="36">
        <f t="shared" si="40"/>
        <v>0</v>
      </c>
      <c r="AU72" s="36">
        <f t="shared" si="40"/>
        <v>0</v>
      </c>
      <c r="AV72" s="36">
        <f t="shared" si="40"/>
        <v>0</v>
      </c>
      <c r="AW72" s="36">
        <f t="shared" si="40"/>
        <v>0</v>
      </c>
      <c r="AX72" s="36">
        <f t="shared" si="40"/>
        <v>0</v>
      </c>
    </row>
    <row r="73" spans="2:50">
      <c r="C73" s="29" t="s">
        <v>90</v>
      </c>
      <c r="G73" s="54"/>
      <c r="K73" s="36">
        <f>K72-SUM(K61:K62)</f>
        <v>0</v>
      </c>
      <c r="L73" s="36">
        <f t="shared" ref="L73:AX73" si="41">L72-SUM(L61:L62)</f>
        <v>0</v>
      </c>
      <c r="M73" s="36">
        <f t="shared" si="41"/>
        <v>0</v>
      </c>
      <c r="N73" s="36">
        <f t="shared" si="41"/>
        <v>0</v>
      </c>
      <c r="O73" s="36">
        <f t="shared" si="41"/>
        <v>0</v>
      </c>
      <c r="P73" s="36">
        <f t="shared" si="41"/>
        <v>0</v>
      </c>
      <c r="Q73" s="36">
        <f t="shared" si="41"/>
        <v>0</v>
      </c>
      <c r="R73" s="36">
        <f t="shared" si="41"/>
        <v>0</v>
      </c>
      <c r="S73" s="36">
        <f t="shared" si="41"/>
        <v>0</v>
      </c>
      <c r="T73" s="36">
        <f t="shared" si="41"/>
        <v>0</v>
      </c>
      <c r="U73" s="36">
        <f t="shared" si="41"/>
        <v>0</v>
      </c>
      <c r="V73" s="36">
        <f t="shared" si="41"/>
        <v>0</v>
      </c>
      <c r="W73" s="36">
        <f t="shared" si="41"/>
        <v>0</v>
      </c>
      <c r="X73" s="36">
        <f t="shared" si="41"/>
        <v>0</v>
      </c>
      <c r="Y73" s="36">
        <f t="shared" si="41"/>
        <v>0</v>
      </c>
      <c r="Z73" s="36">
        <f t="shared" si="41"/>
        <v>0</v>
      </c>
      <c r="AA73" s="36">
        <f t="shared" si="41"/>
        <v>0</v>
      </c>
      <c r="AB73" s="36">
        <f t="shared" si="41"/>
        <v>0</v>
      </c>
      <c r="AC73" s="36">
        <f t="shared" si="41"/>
        <v>0</v>
      </c>
      <c r="AD73" s="36">
        <f t="shared" si="41"/>
        <v>0</v>
      </c>
      <c r="AE73" s="36">
        <f t="shared" si="41"/>
        <v>0</v>
      </c>
      <c r="AF73" s="36">
        <f t="shared" si="41"/>
        <v>0</v>
      </c>
      <c r="AG73" s="36">
        <f t="shared" si="41"/>
        <v>0</v>
      </c>
      <c r="AH73" s="36">
        <f t="shared" si="41"/>
        <v>0</v>
      </c>
      <c r="AI73" s="36">
        <f t="shared" si="41"/>
        <v>0</v>
      </c>
      <c r="AJ73" s="36">
        <f t="shared" si="41"/>
        <v>0</v>
      </c>
      <c r="AK73" s="36">
        <f t="shared" si="41"/>
        <v>0</v>
      </c>
      <c r="AL73" s="36">
        <f t="shared" si="41"/>
        <v>0</v>
      </c>
      <c r="AM73" s="36">
        <f t="shared" si="41"/>
        <v>0</v>
      </c>
      <c r="AN73" s="36">
        <f t="shared" si="41"/>
        <v>0</v>
      </c>
      <c r="AO73" s="36">
        <f t="shared" si="41"/>
        <v>0</v>
      </c>
      <c r="AP73" s="36">
        <f t="shared" si="41"/>
        <v>0</v>
      </c>
      <c r="AQ73" s="36">
        <f t="shared" si="41"/>
        <v>0</v>
      </c>
      <c r="AR73" s="36">
        <f t="shared" si="41"/>
        <v>0</v>
      </c>
      <c r="AS73" s="36">
        <f t="shared" si="41"/>
        <v>0</v>
      </c>
      <c r="AT73" s="36">
        <f t="shared" si="41"/>
        <v>0</v>
      </c>
      <c r="AU73" s="36">
        <f t="shared" si="41"/>
        <v>0</v>
      </c>
      <c r="AV73" s="36">
        <f t="shared" si="41"/>
        <v>0</v>
      </c>
      <c r="AW73" s="36">
        <f t="shared" si="41"/>
        <v>0</v>
      </c>
      <c r="AX73" s="36">
        <f t="shared" si="41"/>
        <v>0</v>
      </c>
    </row>
    <row r="74" spans="2:50">
      <c r="C74" s="29" t="s">
        <v>91</v>
      </c>
      <c r="G74" s="54"/>
      <c r="K74" s="36">
        <f t="shared" ref="K74:AX74" si="42">K29+K31</f>
        <v>588371.57093768974</v>
      </c>
      <c r="L74" s="36">
        <f t="shared" si="42"/>
        <v>444242.57093768974</v>
      </c>
      <c r="M74" s="36">
        <f t="shared" si="42"/>
        <v>531838.07093768974</v>
      </c>
      <c r="N74" s="36">
        <f t="shared" si="42"/>
        <v>557507.57093768963</v>
      </c>
      <c r="O74" s="36">
        <f t="shared" si="42"/>
        <v>600757.07093768974</v>
      </c>
      <c r="P74" s="36">
        <f t="shared" si="42"/>
        <v>454540.0709376898</v>
      </c>
      <c r="Q74" s="36">
        <f t="shared" si="42"/>
        <v>399295.07093768974</v>
      </c>
      <c r="R74" s="36">
        <f t="shared" si="42"/>
        <v>269557.07093768974</v>
      </c>
      <c r="S74" s="36">
        <f t="shared" si="42"/>
        <v>365852.57093768974</v>
      </c>
      <c r="T74" s="36">
        <f t="shared" si="42"/>
        <v>584740.07093768986</v>
      </c>
      <c r="U74" s="36">
        <f t="shared" si="42"/>
        <v>535433.57093768986</v>
      </c>
      <c r="V74" s="36">
        <f t="shared" si="42"/>
        <v>578990.57093768963</v>
      </c>
      <c r="W74" s="36">
        <f t="shared" si="42"/>
        <v>453751.07093768974</v>
      </c>
      <c r="X74" s="36">
        <f t="shared" si="42"/>
        <v>487139.5709376898</v>
      </c>
      <c r="Y74" s="36">
        <f t="shared" si="42"/>
        <v>471220.0709376898</v>
      </c>
      <c r="Z74" s="36">
        <f t="shared" si="42"/>
        <v>710614.07093768974</v>
      </c>
      <c r="AA74" s="36">
        <f t="shared" si="42"/>
        <v>579418.07093768974</v>
      </c>
      <c r="AB74" s="36">
        <f t="shared" si="42"/>
        <v>478013.57093768968</v>
      </c>
      <c r="AC74" s="36">
        <f t="shared" si="42"/>
        <v>383686.07093768974</v>
      </c>
      <c r="AD74" s="36">
        <f t="shared" si="42"/>
        <v>424276.07093768974</v>
      </c>
      <c r="AE74" s="36">
        <f t="shared" si="42"/>
        <v>576791.57093768986</v>
      </c>
      <c r="AF74" s="36">
        <f t="shared" si="42"/>
        <v>443308.07093768974</v>
      </c>
      <c r="AG74" s="36">
        <f t="shared" si="42"/>
        <v>740395.07093768963</v>
      </c>
      <c r="AH74" s="36">
        <f t="shared" si="42"/>
        <v>578557.07093768974</v>
      </c>
      <c r="AI74" s="36">
        <f t="shared" si="42"/>
        <v>368791.07093768974</v>
      </c>
      <c r="AJ74" s="36">
        <f t="shared" si="42"/>
        <v>610351.07093768963</v>
      </c>
      <c r="AK74" s="36">
        <f t="shared" si="42"/>
        <v>475394.5709376898</v>
      </c>
      <c r="AL74" s="36">
        <f t="shared" si="42"/>
        <v>662933.57093768974</v>
      </c>
      <c r="AM74" s="36">
        <f t="shared" si="42"/>
        <v>459305.57093768974</v>
      </c>
      <c r="AN74" s="36">
        <f t="shared" si="42"/>
        <v>441740.57093768974</v>
      </c>
      <c r="AO74" s="36">
        <f t="shared" si="42"/>
        <v>659344.07093768986</v>
      </c>
      <c r="AP74" s="36">
        <f t="shared" si="42"/>
        <v>621812.57093769033</v>
      </c>
      <c r="AQ74" s="36">
        <f t="shared" si="42"/>
        <v>1221447</v>
      </c>
      <c r="AR74" s="36">
        <f t="shared" si="42"/>
        <v>979699.5</v>
      </c>
      <c r="AS74" s="36">
        <f t="shared" si="42"/>
        <v>1148931</v>
      </c>
      <c r="AT74" s="36">
        <f t="shared" si="42"/>
        <v>1233861</v>
      </c>
      <c r="AU74" s="36">
        <f t="shared" si="42"/>
        <v>1187176.5</v>
      </c>
      <c r="AV74" s="36">
        <f t="shared" si="42"/>
        <v>1164579</v>
      </c>
      <c r="AW74" s="36">
        <f t="shared" si="42"/>
        <v>1370262</v>
      </c>
      <c r="AX74" s="36">
        <f t="shared" si="42"/>
        <v>1089577.5</v>
      </c>
    </row>
    <row r="75" spans="2:50">
      <c r="C75" s="59" t="s">
        <v>92</v>
      </c>
      <c r="G75" s="54"/>
      <c r="K75" s="60">
        <f>MAX(MIN(K73,K74),0)</f>
        <v>0</v>
      </c>
      <c r="L75" s="60">
        <f t="shared" ref="L75:AX75" si="43">MAX(MIN(L73,L74),0)</f>
        <v>0</v>
      </c>
      <c r="M75" s="60">
        <f t="shared" si="43"/>
        <v>0</v>
      </c>
      <c r="N75" s="60">
        <f t="shared" si="43"/>
        <v>0</v>
      </c>
      <c r="O75" s="60">
        <f t="shared" si="43"/>
        <v>0</v>
      </c>
      <c r="P75" s="60">
        <f t="shared" si="43"/>
        <v>0</v>
      </c>
      <c r="Q75" s="60">
        <f t="shared" si="43"/>
        <v>0</v>
      </c>
      <c r="R75" s="60">
        <f t="shared" si="43"/>
        <v>0</v>
      </c>
      <c r="S75" s="60">
        <f t="shared" si="43"/>
        <v>0</v>
      </c>
      <c r="T75" s="60">
        <f t="shared" si="43"/>
        <v>0</v>
      </c>
      <c r="U75" s="60">
        <f t="shared" si="43"/>
        <v>0</v>
      </c>
      <c r="V75" s="60">
        <f t="shared" si="43"/>
        <v>0</v>
      </c>
      <c r="W75" s="60">
        <f t="shared" si="43"/>
        <v>0</v>
      </c>
      <c r="X75" s="60">
        <f t="shared" si="43"/>
        <v>0</v>
      </c>
      <c r="Y75" s="60">
        <f t="shared" si="43"/>
        <v>0</v>
      </c>
      <c r="Z75" s="60">
        <f t="shared" si="43"/>
        <v>0</v>
      </c>
      <c r="AA75" s="60">
        <f t="shared" si="43"/>
        <v>0</v>
      </c>
      <c r="AB75" s="60">
        <f t="shared" si="43"/>
        <v>0</v>
      </c>
      <c r="AC75" s="60">
        <f t="shared" si="43"/>
        <v>0</v>
      </c>
      <c r="AD75" s="60">
        <f t="shared" si="43"/>
        <v>0</v>
      </c>
      <c r="AE75" s="60">
        <f t="shared" si="43"/>
        <v>0</v>
      </c>
      <c r="AF75" s="60">
        <f t="shared" si="43"/>
        <v>0</v>
      </c>
      <c r="AG75" s="60">
        <f t="shared" si="43"/>
        <v>0</v>
      </c>
      <c r="AH75" s="60">
        <f t="shared" si="43"/>
        <v>0</v>
      </c>
      <c r="AI75" s="60">
        <f t="shared" si="43"/>
        <v>0</v>
      </c>
      <c r="AJ75" s="60">
        <f t="shared" si="43"/>
        <v>0</v>
      </c>
      <c r="AK75" s="60">
        <f t="shared" si="43"/>
        <v>0</v>
      </c>
      <c r="AL75" s="60">
        <f t="shared" si="43"/>
        <v>0</v>
      </c>
      <c r="AM75" s="60">
        <f t="shared" si="43"/>
        <v>0</v>
      </c>
      <c r="AN75" s="60">
        <f t="shared" si="43"/>
        <v>0</v>
      </c>
      <c r="AO75" s="60">
        <f t="shared" si="43"/>
        <v>0</v>
      </c>
      <c r="AP75" s="60">
        <f t="shared" si="43"/>
        <v>0</v>
      </c>
      <c r="AQ75" s="60">
        <f t="shared" si="43"/>
        <v>0</v>
      </c>
      <c r="AR75" s="60">
        <f t="shared" si="43"/>
        <v>0</v>
      </c>
      <c r="AS75" s="60">
        <f t="shared" si="43"/>
        <v>0</v>
      </c>
      <c r="AT75" s="60">
        <f t="shared" si="43"/>
        <v>0</v>
      </c>
      <c r="AU75" s="60">
        <f t="shared" si="43"/>
        <v>0</v>
      </c>
      <c r="AV75" s="60">
        <f t="shared" si="43"/>
        <v>0</v>
      </c>
      <c r="AW75" s="60">
        <f t="shared" si="43"/>
        <v>0</v>
      </c>
      <c r="AX75" s="60">
        <f t="shared" si="43"/>
        <v>0</v>
      </c>
    </row>
    <row r="77" spans="2:50">
      <c r="C77" s="29" t="s">
        <v>93</v>
      </c>
      <c r="K77" s="36">
        <f>MAX(-K73,0)</f>
        <v>0</v>
      </c>
      <c r="L77" s="36">
        <f t="shared" ref="L77:AX77" si="44">MAX(-L73,0)</f>
        <v>0</v>
      </c>
      <c r="M77" s="36">
        <f t="shared" si="44"/>
        <v>0</v>
      </c>
      <c r="N77" s="36">
        <f t="shared" si="44"/>
        <v>0</v>
      </c>
      <c r="O77" s="36">
        <f t="shared" si="44"/>
        <v>0</v>
      </c>
      <c r="P77" s="36">
        <f t="shared" si="44"/>
        <v>0</v>
      </c>
      <c r="Q77" s="36">
        <f t="shared" si="44"/>
        <v>0</v>
      </c>
      <c r="R77" s="36">
        <f t="shared" si="44"/>
        <v>0</v>
      </c>
      <c r="S77" s="36">
        <f t="shared" si="44"/>
        <v>0</v>
      </c>
      <c r="T77" s="36">
        <f t="shared" si="44"/>
        <v>0</v>
      </c>
      <c r="U77" s="36">
        <f t="shared" si="44"/>
        <v>0</v>
      </c>
      <c r="V77" s="36">
        <f t="shared" si="44"/>
        <v>0</v>
      </c>
      <c r="W77" s="36">
        <f t="shared" si="44"/>
        <v>0</v>
      </c>
      <c r="X77" s="36">
        <f t="shared" si="44"/>
        <v>0</v>
      </c>
      <c r="Y77" s="36">
        <f t="shared" si="44"/>
        <v>0</v>
      </c>
      <c r="Z77" s="36">
        <f t="shared" si="44"/>
        <v>0</v>
      </c>
      <c r="AA77" s="36">
        <f t="shared" si="44"/>
        <v>0</v>
      </c>
      <c r="AB77" s="36">
        <f t="shared" si="44"/>
        <v>0</v>
      </c>
      <c r="AC77" s="36">
        <f t="shared" si="44"/>
        <v>0</v>
      </c>
      <c r="AD77" s="36">
        <f t="shared" si="44"/>
        <v>0</v>
      </c>
      <c r="AE77" s="36">
        <f t="shared" si="44"/>
        <v>0</v>
      </c>
      <c r="AF77" s="36">
        <f t="shared" si="44"/>
        <v>0</v>
      </c>
      <c r="AG77" s="36">
        <f t="shared" si="44"/>
        <v>0</v>
      </c>
      <c r="AH77" s="36">
        <f t="shared" si="44"/>
        <v>0</v>
      </c>
      <c r="AI77" s="36">
        <f t="shared" si="44"/>
        <v>0</v>
      </c>
      <c r="AJ77" s="36">
        <f t="shared" si="44"/>
        <v>0</v>
      </c>
      <c r="AK77" s="36">
        <f t="shared" si="44"/>
        <v>0</v>
      </c>
      <c r="AL77" s="36">
        <f t="shared" si="44"/>
        <v>0</v>
      </c>
      <c r="AM77" s="36">
        <f t="shared" si="44"/>
        <v>0</v>
      </c>
      <c r="AN77" s="36">
        <f t="shared" si="44"/>
        <v>0</v>
      </c>
      <c r="AO77" s="36">
        <f t="shared" si="44"/>
        <v>0</v>
      </c>
      <c r="AP77" s="36">
        <f t="shared" si="44"/>
        <v>0</v>
      </c>
      <c r="AQ77" s="36">
        <f t="shared" si="44"/>
        <v>0</v>
      </c>
      <c r="AR77" s="36">
        <f t="shared" si="44"/>
        <v>0</v>
      </c>
      <c r="AS77" s="36">
        <f t="shared" si="44"/>
        <v>0</v>
      </c>
      <c r="AT77" s="36">
        <f t="shared" si="44"/>
        <v>0</v>
      </c>
      <c r="AU77" s="36">
        <f t="shared" si="44"/>
        <v>0</v>
      </c>
      <c r="AV77" s="36">
        <f t="shared" si="44"/>
        <v>0</v>
      </c>
      <c r="AW77" s="36">
        <f t="shared" si="44"/>
        <v>0</v>
      </c>
      <c r="AX77" s="36">
        <f t="shared" si="44"/>
        <v>0</v>
      </c>
    </row>
    <row r="79" spans="2:50">
      <c r="B79" s="33" t="s">
        <v>94</v>
      </c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</row>
    <row r="81" spans="2:50">
      <c r="C81" s="29" t="s">
        <v>3</v>
      </c>
      <c r="K81" s="36">
        <f>SUM($K23:K23)</f>
        <v>1105141.5</v>
      </c>
      <c r="L81" s="36">
        <f>SUM($K23:L23)</f>
        <v>2066154</v>
      </c>
      <c r="M81" s="36">
        <f>SUM($K23:M23)</f>
        <v>3114762</v>
      </c>
      <c r="N81" s="36">
        <f t="shared" ref="N81:AX82" si="45">SUM(K23:N23)</f>
        <v>4189039.5</v>
      </c>
      <c r="O81" s="36">
        <f t="shared" si="45"/>
        <v>4201425</v>
      </c>
      <c r="P81" s="36">
        <f t="shared" si="45"/>
        <v>4211722.5</v>
      </c>
      <c r="Q81" s="36">
        <f t="shared" si="45"/>
        <v>4079179.5</v>
      </c>
      <c r="R81" s="36">
        <f t="shared" si="45"/>
        <v>3791229</v>
      </c>
      <c r="S81" s="36">
        <f t="shared" si="45"/>
        <v>3556324.5</v>
      </c>
      <c r="T81" s="36">
        <f t="shared" si="45"/>
        <v>3686524.5</v>
      </c>
      <c r="U81" s="36">
        <f t="shared" si="45"/>
        <v>3822663</v>
      </c>
      <c r="V81" s="36">
        <f t="shared" si="45"/>
        <v>4132096.5</v>
      </c>
      <c r="W81" s="36">
        <f t="shared" si="45"/>
        <v>4219995</v>
      </c>
      <c r="X81" s="36">
        <f t="shared" si="45"/>
        <v>4122394.5</v>
      </c>
      <c r="Y81" s="36">
        <f t="shared" si="45"/>
        <v>4058181</v>
      </c>
      <c r="Z81" s="36">
        <f t="shared" si="45"/>
        <v>4189804.5</v>
      </c>
      <c r="AA81" s="36">
        <f t="shared" si="45"/>
        <v>4315471.5</v>
      </c>
      <c r="AB81" s="36">
        <f t="shared" si="45"/>
        <v>4306345.5</v>
      </c>
      <c r="AC81" s="36">
        <f t="shared" si="45"/>
        <v>4218811.5</v>
      </c>
      <c r="AD81" s="36">
        <f t="shared" si="45"/>
        <v>3932473.5</v>
      </c>
      <c r="AE81" s="36">
        <f t="shared" si="45"/>
        <v>3929847</v>
      </c>
      <c r="AF81" s="36">
        <f t="shared" si="45"/>
        <v>3895141.5</v>
      </c>
      <c r="AG81" s="36">
        <f t="shared" si="45"/>
        <v>4251850.5</v>
      </c>
      <c r="AH81" s="36">
        <f t="shared" si="45"/>
        <v>4406131.5</v>
      </c>
      <c r="AI81" s="36">
        <f t="shared" si="45"/>
        <v>4198131</v>
      </c>
      <c r="AJ81" s="36">
        <f t="shared" si="45"/>
        <v>4365174</v>
      </c>
      <c r="AK81" s="36">
        <f t="shared" si="45"/>
        <v>4100173.5</v>
      </c>
      <c r="AL81" s="36">
        <f t="shared" si="45"/>
        <v>4184550</v>
      </c>
      <c r="AM81" s="36">
        <f t="shared" si="45"/>
        <v>4275064.5</v>
      </c>
      <c r="AN81" s="36">
        <f t="shared" si="45"/>
        <v>4106454</v>
      </c>
      <c r="AO81" s="36">
        <f t="shared" si="45"/>
        <v>4290403.5</v>
      </c>
      <c r="AP81" s="36">
        <f t="shared" si="45"/>
        <v>4249282.5</v>
      </c>
      <c r="AQ81" s="36">
        <f t="shared" si="45"/>
        <v>4494654</v>
      </c>
      <c r="AR81" s="36">
        <f t="shared" si="45"/>
        <v>4515843</v>
      </c>
      <c r="AS81" s="36">
        <f t="shared" si="45"/>
        <v>4488660</v>
      </c>
      <c r="AT81" s="36">
        <f t="shared" si="45"/>
        <v>4583938.5</v>
      </c>
      <c r="AU81" s="36">
        <f t="shared" si="45"/>
        <v>4549668</v>
      </c>
      <c r="AV81" s="36">
        <f t="shared" si="45"/>
        <v>4734547.5</v>
      </c>
      <c r="AW81" s="36">
        <f t="shared" si="45"/>
        <v>4955878.5</v>
      </c>
      <c r="AX81" s="36">
        <f t="shared" si="45"/>
        <v>4811595</v>
      </c>
    </row>
    <row r="82" spans="2:50">
      <c r="C82" s="29" t="s">
        <v>65</v>
      </c>
      <c r="K82" s="36">
        <f>SUM($K24:K24)</f>
        <v>1875</v>
      </c>
      <c r="L82" s="36">
        <f>SUM($K24:L24)</f>
        <v>3750</v>
      </c>
      <c r="M82" s="36">
        <f>SUM($K24:M24)</f>
        <v>5625</v>
      </c>
      <c r="N82" s="36">
        <f t="shared" si="45"/>
        <v>7500</v>
      </c>
      <c r="O82" s="36">
        <f t="shared" si="45"/>
        <v>7500</v>
      </c>
      <c r="P82" s="36">
        <f t="shared" si="45"/>
        <v>7500</v>
      </c>
      <c r="Q82" s="36">
        <f t="shared" si="45"/>
        <v>7500</v>
      </c>
      <c r="R82" s="36">
        <f t="shared" si="45"/>
        <v>7500</v>
      </c>
      <c r="S82" s="36">
        <f t="shared" si="45"/>
        <v>7500</v>
      </c>
      <c r="T82" s="36">
        <f t="shared" si="45"/>
        <v>7500</v>
      </c>
      <c r="U82" s="36">
        <f t="shared" si="45"/>
        <v>7500</v>
      </c>
      <c r="V82" s="36">
        <f t="shared" si="45"/>
        <v>7500</v>
      </c>
      <c r="W82" s="36">
        <f t="shared" si="45"/>
        <v>7500</v>
      </c>
      <c r="X82" s="36">
        <f t="shared" si="45"/>
        <v>7500</v>
      </c>
      <c r="Y82" s="36">
        <f t="shared" si="45"/>
        <v>7500</v>
      </c>
      <c r="Z82" s="36">
        <f t="shared" si="45"/>
        <v>7500</v>
      </c>
      <c r="AA82" s="36">
        <f t="shared" si="45"/>
        <v>7500</v>
      </c>
      <c r="AB82" s="36">
        <f t="shared" si="45"/>
        <v>7500</v>
      </c>
      <c r="AC82" s="36">
        <f t="shared" si="45"/>
        <v>7500</v>
      </c>
      <c r="AD82" s="36">
        <f t="shared" si="45"/>
        <v>7500</v>
      </c>
      <c r="AE82" s="36">
        <f t="shared" si="45"/>
        <v>7500</v>
      </c>
      <c r="AF82" s="36">
        <f t="shared" si="45"/>
        <v>7500</v>
      </c>
      <c r="AG82" s="36">
        <f t="shared" si="45"/>
        <v>7500</v>
      </c>
      <c r="AH82" s="36">
        <f t="shared" si="45"/>
        <v>7500</v>
      </c>
      <c r="AI82" s="36">
        <f t="shared" si="45"/>
        <v>7500</v>
      </c>
      <c r="AJ82" s="36">
        <f t="shared" si="45"/>
        <v>7500</v>
      </c>
      <c r="AK82" s="36">
        <f t="shared" si="45"/>
        <v>7500</v>
      </c>
      <c r="AL82" s="36">
        <f t="shared" si="45"/>
        <v>7500</v>
      </c>
      <c r="AM82" s="36">
        <f t="shared" si="45"/>
        <v>7500</v>
      </c>
      <c r="AN82" s="36">
        <f t="shared" si="45"/>
        <v>7500</v>
      </c>
      <c r="AO82" s="36">
        <f t="shared" si="45"/>
        <v>7500</v>
      </c>
      <c r="AP82" s="36">
        <f t="shared" si="45"/>
        <v>7500</v>
      </c>
      <c r="AQ82" s="36">
        <f t="shared" si="45"/>
        <v>5625</v>
      </c>
      <c r="AR82" s="36">
        <f t="shared" si="45"/>
        <v>3750</v>
      </c>
      <c r="AS82" s="36">
        <f t="shared" si="45"/>
        <v>1875</v>
      </c>
      <c r="AT82" s="36">
        <f t="shared" si="45"/>
        <v>0</v>
      </c>
      <c r="AU82" s="36">
        <f t="shared" si="45"/>
        <v>0</v>
      </c>
      <c r="AV82" s="36">
        <f t="shared" si="45"/>
        <v>0</v>
      </c>
      <c r="AW82" s="36">
        <f t="shared" si="45"/>
        <v>0</v>
      </c>
      <c r="AX82" s="36">
        <f t="shared" si="45"/>
        <v>0</v>
      </c>
    </row>
    <row r="84" spans="2:50">
      <c r="C84" s="29" t="s">
        <v>67</v>
      </c>
      <c r="K84" s="36">
        <f>-SUM($K27:K27)</f>
        <v>93750</v>
      </c>
      <c r="L84" s="36">
        <f>-SUM($K27:L27)</f>
        <v>184844.40669336056</v>
      </c>
      <c r="M84" s="36">
        <f>-SUM($K27:M27)</f>
        <v>273266.62262191519</v>
      </c>
      <c r="N84" s="36">
        <f t="shared" ref="N84:AX85" si="46">-SUM(K27:N27)</f>
        <v>358999.94659338385</v>
      </c>
      <c r="O84" s="36">
        <f t="shared" si="46"/>
        <v>348277.57303303474</v>
      </c>
      <c r="P84" s="36">
        <f t="shared" si="46"/>
        <v>337488.1846379335</v>
      </c>
      <c r="Q84" s="36">
        <f t="shared" si="46"/>
        <v>326631.36256536283</v>
      </c>
      <c r="R84" s="36">
        <f t="shared" si="46"/>
        <v>315706.68535483861</v>
      </c>
      <c r="S84" s="36">
        <f t="shared" si="46"/>
        <v>304713.72891174856</v>
      </c>
      <c r="T84" s="36">
        <f t="shared" si="46"/>
        <v>293652.06649088924</v>
      </c>
      <c r="U84" s="36">
        <f t="shared" si="46"/>
        <v>282521.26867989951</v>
      </c>
      <c r="V84" s="36">
        <f t="shared" si="46"/>
        <v>271320.90338259109</v>
      </c>
      <c r="W84" s="36">
        <f t="shared" si="46"/>
        <v>260050.53580217456</v>
      </c>
      <c r="X84" s="36">
        <f t="shared" si="46"/>
        <v>248709.72842438036</v>
      </c>
      <c r="Y84" s="36">
        <f t="shared" si="46"/>
        <v>237298.04100047497</v>
      </c>
      <c r="Z84" s="36">
        <f t="shared" si="46"/>
        <v>225815.03053017019</v>
      </c>
      <c r="AA84" s="36">
        <f t="shared" si="46"/>
        <v>214260.25124442601</v>
      </c>
      <c r="AB84" s="36">
        <f t="shared" si="46"/>
        <v>202633.25458814588</v>
      </c>
      <c r="AC84" s="36">
        <f t="shared" si="46"/>
        <v>190933.58920276407</v>
      </c>
      <c r="AD84" s="36">
        <f t="shared" si="46"/>
        <v>179160.80090872358</v>
      </c>
      <c r="AE84" s="36">
        <f t="shared" si="46"/>
        <v>167314.43268784531</v>
      </c>
      <c r="AF84" s="36">
        <f t="shared" si="46"/>
        <v>155394.02466558662</v>
      </c>
      <c r="AG84" s="36">
        <f t="shared" si="46"/>
        <v>143399.11409318875</v>
      </c>
      <c r="AH84" s="36">
        <f t="shared" si="46"/>
        <v>131329.23532971344</v>
      </c>
      <c r="AI84" s="36">
        <f t="shared" si="46"/>
        <v>119183.91982396638</v>
      </c>
      <c r="AJ84" s="36">
        <f t="shared" si="46"/>
        <v>106962.69609630843</v>
      </c>
      <c r="AK84" s="36">
        <f t="shared" si="46"/>
        <v>94665.089720352596</v>
      </c>
      <c r="AL84" s="36">
        <f t="shared" si="46"/>
        <v>82290.623304547044</v>
      </c>
      <c r="AM84" s="36">
        <f t="shared" si="46"/>
        <v>69838.816473642699</v>
      </c>
      <c r="AN84" s="36">
        <f t="shared" si="46"/>
        <v>57309.185850045207</v>
      </c>
      <c r="AO84" s="36">
        <f t="shared" si="46"/>
        <v>44701.245035050233</v>
      </c>
      <c r="AP84" s="36">
        <f t="shared" si="46"/>
        <v>32014.50458996154</v>
      </c>
      <c r="AQ84" s="36">
        <f t="shared" si="46"/>
        <v>19248.472017091048</v>
      </c>
      <c r="AR84" s="36">
        <f t="shared" si="46"/>
        <v>9644.1825472795535</v>
      </c>
      <c r="AS84" s="36">
        <f t="shared" si="46"/>
        <v>3221.3970749211771</v>
      </c>
      <c r="AT84" s="36">
        <f t="shared" si="46"/>
        <v>0</v>
      </c>
      <c r="AU84" s="36">
        <f t="shared" si="46"/>
        <v>0</v>
      </c>
      <c r="AV84" s="36">
        <f t="shared" si="46"/>
        <v>0</v>
      </c>
      <c r="AW84" s="36">
        <f t="shared" si="46"/>
        <v>0</v>
      </c>
      <c r="AX84" s="36">
        <f t="shared" si="46"/>
        <v>0</v>
      </c>
    </row>
    <row r="85" spans="2:50">
      <c r="C85" s="29" t="s">
        <v>68</v>
      </c>
      <c r="K85" s="36">
        <f>-SUM($K28:K28)</f>
        <v>424894.92906231026</v>
      </c>
      <c r="L85" s="36">
        <f>-SUM($K28:L28)</f>
        <v>852445.45143125998</v>
      </c>
      <c r="M85" s="36">
        <f>-SUM($K28:M28)</f>
        <v>1282668.1645650156</v>
      </c>
      <c r="N85" s="36">
        <f t="shared" si="46"/>
        <v>1715579.7696558572</v>
      </c>
      <c r="O85" s="36">
        <f t="shared" si="46"/>
        <v>1726302.1432162062</v>
      </c>
      <c r="P85" s="36">
        <f t="shared" si="46"/>
        <v>1737091.5316113075</v>
      </c>
      <c r="Q85" s="36">
        <f t="shared" si="46"/>
        <v>1747948.3536838782</v>
      </c>
      <c r="R85" s="36">
        <f t="shared" si="46"/>
        <v>1758873.0308944024</v>
      </c>
      <c r="S85" s="36">
        <f t="shared" si="46"/>
        <v>1769865.9873374924</v>
      </c>
      <c r="T85" s="36">
        <f t="shared" si="46"/>
        <v>1780927.6497583517</v>
      </c>
      <c r="U85" s="36">
        <f t="shared" si="46"/>
        <v>1792058.4475693414</v>
      </c>
      <c r="V85" s="36">
        <f t="shared" si="46"/>
        <v>1803258.8128666498</v>
      </c>
      <c r="W85" s="36">
        <f t="shared" si="46"/>
        <v>1814529.1804470664</v>
      </c>
      <c r="X85" s="36">
        <f t="shared" si="46"/>
        <v>1825869.9878248607</v>
      </c>
      <c r="Y85" s="36">
        <f t="shared" si="46"/>
        <v>1837281.6752487661</v>
      </c>
      <c r="Z85" s="36">
        <f t="shared" si="46"/>
        <v>1848764.685719071</v>
      </c>
      <c r="AA85" s="36">
        <f t="shared" si="46"/>
        <v>1860319.4650048148</v>
      </c>
      <c r="AB85" s="36">
        <f t="shared" si="46"/>
        <v>1871946.4616610953</v>
      </c>
      <c r="AC85" s="36">
        <f t="shared" si="46"/>
        <v>1883646.127046477</v>
      </c>
      <c r="AD85" s="36">
        <f t="shared" si="46"/>
        <v>1895418.9153405174</v>
      </c>
      <c r="AE85" s="36">
        <f t="shared" si="46"/>
        <v>1907265.2835613957</v>
      </c>
      <c r="AF85" s="36">
        <f t="shared" si="46"/>
        <v>1919185.6915836544</v>
      </c>
      <c r="AG85" s="36">
        <f t="shared" si="46"/>
        <v>1931180.6021560521</v>
      </c>
      <c r="AH85" s="36">
        <f t="shared" si="46"/>
        <v>1943250.4809195278</v>
      </c>
      <c r="AI85" s="36">
        <f t="shared" si="46"/>
        <v>1955395.7964252746</v>
      </c>
      <c r="AJ85" s="36">
        <f t="shared" si="46"/>
        <v>1967617.0201529327</v>
      </c>
      <c r="AK85" s="36">
        <f t="shared" si="46"/>
        <v>1979914.6265288885</v>
      </c>
      <c r="AL85" s="36">
        <f t="shared" si="46"/>
        <v>1992289.0929446938</v>
      </c>
      <c r="AM85" s="36">
        <f t="shared" si="46"/>
        <v>2004740.8997755984</v>
      </c>
      <c r="AN85" s="36">
        <f t="shared" si="46"/>
        <v>2017270.5303991958</v>
      </c>
      <c r="AO85" s="36">
        <f t="shared" si="46"/>
        <v>2029878.4712141908</v>
      </c>
      <c r="AP85" s="36">
        <f t="shared" si="46"/>
        <v>2042565.2116592787</v>
      </c>
      <c r="AQ85" s="36">
        <f t="shared" si="46"/>
        <v>1536686.315169839</v>
      </c>
      <c r="AR85" s="36">
        <f t="shared" si="46"/>
        <v>1027645.6755773402</v>
      </c>
      <c r="AS85" s="36">
        <f t="shared" si="46"/>
        <v>515423.53198738833</v>
      </c>
      <c r="AT85" s="36">
        <f t="shared" si="46"/>
        <v>0</v>
      </c>
      <c r="AU85" s="36">
        <f t="shared" si="46"/>
        <v>0</v>
      </c>
      <c r="AV85" s="36">
        <f t="shared" si="46"/>
        <v>0</v>
      </c>
      <c r="AW85" s="36">
        <f t="shared" si="46"/>
        <v>0</v>
      </c>
      <c r="AX85" s="36">
        <f t="shared" si="46"/>
        <v>0</v>
      </c>
    </row>
    <row r="87" spans="2:50">
      <c r="C87" s="29" t="s">
        <v>94</v>
      </c>
      <c r="K87" s="61">
        <f>IFERROR(SUM(K81:K82)/SUM(K84:K85),0)</f>
        <v>2.1344400339581888</v>
      </c>
      <c r="L87" s="61">
        <f t="shared" ref="L87:AX87" si="47">IFERROR(SUM(L81:L82)/SUM(L84:L85),0)</f>
        <v>1.995492372539249</v>
      </c>
      <c r="M87" s="61">
        <f t="shared" si="47"/>
        <v>2.0054741533490215</v>
      </c>
      <c r="N87" s="61">
        <f t="shared" si="47"/>
        <v>2.0228383933046348</v>
      </c>
      <c r="O87" s="61">
        <f t="shared" si="47"/>
        <v>2.0288085181945053</v>
      </c>
      <c r="P87" s="61">
        <f t="shared" si="47"/>
        <v>2.0337721741674932</v>
      </c>
      <c r="Q87" s="61">
        <f t="shared" si="47"/>
        <v>1.9698830890858976</v>
      </c>
      <c r="R87" s="61">
        <f t="shared" si="47"/>
        <v>1.8310836504600332</v>
      </c>
      <c r="S87" s="61">
        <f t="shared" si="47"/>
        <v>1.7178537281966948</v>
      </c>
      <c r="T87" s="61">
        <f t="shared" si="47"/>
        <v>1.7806134278988575</v>
      </c>
      <c r="U87" s="61">
        <f t="shared" si="47"/>
        <v>1.8462356351024123</v>
      </c>
      <c r="V87" s="61">
        <f t="shared" si="47"/>
        <v>1.9953904241791338</v>
      </c>
      <c r="W87" s="61">
        <f t="shared" si="47"/>
        <v>2.0377597288202285</v>
      </c>
      <c r="X87" s="61">
        <f t="shared" si="47"/>
        <v>1.9907138142981016</v>
      </c>
      <c r="Y87" s="61">
        <f t="shared" si="47"/>
        <v>1.9597612799138864</v>
      </c>
      <c r="Z87" s="61">
        <f t="shared" si="47"/>
        <v>2.0232071426922857</v>
      </c>
      <c r="AA87" s="61">
        <f t="shared" si="47"/>
        <v>2.0837818215131128</v>
      </c>
      <c r="AB87" s="61">
        <f t="shared" si="47"/>
        <v>2.0793828582298413</v>
      </c>
      <c r="AC87" s="61">
        <f t="shared" si="47"/>
        <v>2.0371892518263919</v>
      </c>
      <c r="AD87" s="61">
        <f t="shared" si="47"/>
        <v>1.8991670790666546</v>
      </c>
      <c r="AE87" s="61">
        <f t="shared" si="47"/>
        <v>1.8979010395023863</v>
      </c>
      <c r="AF87" s="61">
        <f t="shared" si="47"/>
        <v>1.8811721089492879</v>
      </c>
      <c r="AG87" s="61">
        <f t="shared" si="47"/>
        <v>2.0531148871448237</v>
      </c>
      <c r="AH87" s="61">
        <f t="shared" si="47"/>
        <v>2.1274822391398258</v>
      </c>
      <c r="AI87" s="61">
        <f t="shared" si="47"/>
        <v>2.0272207267135611</v>
      </c>
      <c r="AJ87" s="61">
        <f t="shared" si="47"/>
        <v>2.1077396861401994</v>
      </c>
      <c r="AK87" s="61">
        <f t="shared" si="47"/>
        <v>1.980002729143864</v>
      </c>
      <c r="AL87" s="61">
        <f t="shared" si="47"/>
        <v>2.0206743405257344</v>
      </c>
      <c r="AM87" s="61">
        <f t="shared" si="47"/>
        <v>2.0643046234649924</v>
      </c>
      <c r="AN87" s="61">
        <f t="shared" si="47"/>
        <v>1.9830300893126767</v>
      </c>
      <c r="AO87" s="61">
        <f t="shared" si="47"/>
        <v>2.0716984102064013</v>
      </c>
      <c r="AP87" s="61">
        <f t="shared" si="47"/>
        <v>2.0518770460631406</v>
      </c>
      <c r="AQ87" s="61">
        <f t="shared" si="47"/>
        <v>2.8923313734352138</v>
      </c>
      <c r="AR87" s="61">
        <f t="shared" si="47"/>
        <v>4.3571167351151496</v>
      </c>
      <c r="AS87" s="61">
        <f t="shared" si="47"/>
        <v>8.6582067005238397</v>
      </c>
      <c r="AT87" s="61">
        <f t="shared" si="47"/>
        <v>0</v>
      </c>
      <c r="AU87" s="61">
        <f t="shared" si="47"/>
        <v>0</v>
      </c>
      <c r="AV87" s="61">
        <f t="shared" si="47"/>
        <v>0</v>
      </c>
      <c r="AW87" s="61">
        <f t="shared" si="47"/>
        <v>0</v>
      </c>
      <c r="AX87" s="61">
        <f t="shared" si="47"/>
        <v>0</v>
      </c>
    </row>
    <row r="88" spans="2:50">
      <c r="C88" s="29" t="s">
        <v>95</v>
      </c>
      <c r="G88" s="62">
        <f>CaseData!H9</f>
        <v>1.7</v>
      </c>
      <c r="K88" s="61">
        <f>$G88</f>
        <v>1.7</v>
      </c>
      <c r="L88" s="61">
        <f t="shared" ref="L88:AX88" si="48">$G88</f>
        <v>1.7</v>
      </c>
      <c r="M88" s="61">
        <f t="shared" si="48"/>
        <v>1.7</v>
      </c>
      <c r="N88" s="61">
        <f t="shared" si="48"/>
        <v>1.7</v>
      </c>
      <c r="O88" s="61">
        <f t="shared" si="48"/>
        <v>1.7</v>
      </c>
      <c r="P88" s="61">
        <f t="shared" si="48"/>
        <v>1.7</v>
      </c>
      <c r="Q88" s="61">
        <f t="shared" si="48"/>
        <v>1.7</v>
      </c>
      <c r="R88" s="61">
        <f t="shared" si="48"/>
        <v>1.7</v>
      </c>
      <c r="S88" s="61">
        <f t="shared" si="48"/>
        <v>1.7</v>
      </c>
      <c r="T88" s="61">
        <f t="shared" si="48"/>
        <v>1.7</v>
      </c>
      <c r="U88" s="61">
        <f t="shared" si="48"/>
        <v>1.7</v>
      </c>
      <c r="V88" s="61">
        <f t="shared" si="48"/>
        <v>1.7</v>
      </c>
      <c r="W88" s="61">
        <f t="shared" si="48"/>
        <v>1.7</v>
      </c>
      <c r="X88" s="61">
        <f t="shared" si="48"/>
        <v>1.7</v>
      </c>
      <c r="Y88" s="61">
        <f t="shared" si="48"/>
        <v>1.7</v>
      </c>
      <c r="Z88" s="61">
        <f t="shared" si="48"/>
        <v>1.7</v>
      </c>
      <c r="AA88" s="61">
        <f t="shared" si="48"/>
        <v>1.7</v>
      </c>
      <c r="AB88" s="61">
        <f t="shared" si="48"/>
        <v>1.7</v>
      </c>
      <c r="AC88" s="61">
        <f t="shared" si="48"/>
        <v>1.7</v>
      </c>
      <c r="AD88" s="61">
        <f t="shared" si="48"/>
        <v>1.7</v>
      </c>
      <c r="AE88" s="61">
        <f t="shared" si="48"/>
        <v>1.7</v>
      </c>
      <c r="AF88" s="61">
        <f t="shared" si="48"/>
        <v>1.7</v>
      </c>
      <c r="AG88" s="61">
        <f t="shared" si="48"/>
        <v>1.7</v>
      </c>
      <c r="AH88" s="61">
        <f t="shared" si="48"/>
        <v>1.7</v>
      </c>
      <c r="AI88" s="61">
        <f t="shared" si="48"/>
        <v>1.7</v>
      </c>
      <c r="AJ88" s="61">
        <f t="shared" si="48"/>
        <v>1.7</v>
      </c>
      <c r="AK88" s="61">
        <f t="shared" si="48"/>
        <v>1.7</v>
      </c>
      <c r="AL88" s="61">
        <f t="shared" si="48"/>
        <v>1.7</v>
      </c>
      <c r="AM88" s="61">
        <f t="shared" si="48"/>
        <v>1.7</v>
      </c>
      <c r="AN88" s="61">
        <f t="shared" si="48"/>
        <v>1.7</v>
      </c>
      <c r="AO88" s="61">
        <f t="shared" si="48"/>
        <v>1.7</v>
      </c>
      <c r="AP88" s="61">
        <f t="shared" si="48"/>
        <v>1.7</v>
      </c>
      <c r="AQ88" s="61">
        <f t="shared" si="48"/>
        <v>1.7</v>
      </c>
      <c r="AR88" s="61">
        <f t="shared" si="48"/>
        <v>1.7</v>
      </c>
      <c r="AS88" s="61">
        <f t="shared" si="48"/>
        <v>1.7</v>
      </c>
      <c r="AT88" s="61">
        <f t="shared" si="48"/>
        <v>1.7</v>
      </c>
      <c r="AU88" s="61">
        <f t="shared" si="48"/>
        <v>1.7</v>
      </c>
      <c r="AV88" s="61">
        <f t="shared" si="48"/>
        <v>1.7</v>
      </c>
      <c r="AW88" s="61">
        <f t="shared" si="48"/>
        <v>1.7</v>
      </c>
      <c r="AX88" s="61">
        <f t="shared" si="48"/>
        <v>1.7</v>
      </c>
    </row>
    <row r="89" spans="2:50">
      <c r="C89" s="29" t="s">
        <v>96</v>
      </c>
      <c r="K89" s="36">
        <f>IF(AND(K48&gt;0,K87&lt;K88),1,0)</f>
        <v>0</v>
      </c>
      <c r="L89" s="36">
        <f t="shared" ref="L89:AX89" si="49">IF(AND(L48&gt;0,L87&lt;L88),1,0)</f>
        <v>0</v>
      </c>
      <c r="M89" s="36">
        <f t="shared" si="49"/>
        <v>0</v>
      </c>
      <c r="N89" s="36">
        <f t="shared" si="49"/>
        <v>0</v>
      </c>
      <c r="O89" s="36">
        <f t="shared" si="49"/>
        <v>0</v>
      </c>
      <c r="P89" s="36">
        <f t="shared" si="49"/>
        <v>0</v>
      </c>
      <c r="Q89" s="36">
        <f t="shared" si="49"/>
        <v>0</v>
      </c>
      <c r="R89" s="36">
        <f t="shared" si="49"/>
        <v>0</v>
      </c>
      <c r="S89" s="36">
        <f t="shared" si="49"/>
        <v>0</v>
      </c>
      <c r="T89" s="36">
        <f t="shared" si="49"/>
        <v>0</v>
      </c>
      <c r="U89" s="36">
        <f t="shared" si="49"/>
        <v>0</v>
      </c>
      <c r="V89" s="36">
        <f t="shared" si="49"/>
        <v>0</v>
      </c>
      <c r="W89" s="36">
        <f t="shared" si="49"/>
        <v>0</v>
      </c>
      <c r="X89" s="36">
        <f t="shared" si="49"/>
        <v>0</v>
      </c>
      <c r="Y89" s="36">
        <f t="shared" si="49"/>
        <v>0</v>
      </c>
      <c r="Z89" s="36">
        <f t="shared" si="49"/>
        <v>0</v>
      </c>
      <c r="AA89" s="36">
        <f t="shared" si="49"/>
        <v>0</v>
      </c>
      <c r="AB89" s="36">
        <f t="shared" si="49"/>
        <v>0</v>
      </c>
      <c r="AC89" s="36">
        <f t="shared" si="49"/>
        <v>0</v>
      </c>
      <c r="AD89" s="36">
        <f t="shared" si="49"/>
        <v>0</v>
      </c>
      <c r="AE89" s="36">
        <f t="shared" si="49"/>
        <v>0</v>
      </c>
      <c r="AF89" s="36">
        <f t="shared" si="49"/>
        <v>0</v>
      </c>
      <c r="AG89" s="36">
        <f t="shared" si="49"/>
        <v>0</v>
      </c>
      <c r="AH89" s="36">
        <f t="shared" si="49"/>
        <v>0</v>
      </c>
      <c r="AI89" s="36">
        <f t="shared" si="49"/>
        <v>0</v>
      </c>
      <c r="AJ89" s="36">
        <f t="shared" si="49"/>
        <v>0</v>
      </c>
      <c r="AK89" s="36">
        <f t="shared" si="49"/>
        <v>0</v>
      </c>
      <c r="AL89" s="36">
        <f t="shared" si="49"/>
        <v>0</v>
      </c>
      <c r="AM89" s="36">
        <f t="shared" si="49"/>
        <v>0</v>
      </c>
      <c r="AN89" s="36">
        <f t="shared" si="49"/>
        <v>0</v>
      </c>
      <c r="AO89" s="36">
        <f t="shared" si="49"/>
        <v>0</v>
      </c>
      <c r="AP89" s="36">
        <f t="shared" si="49"/>
        <v>0</v>
      </c>
      <c r="AQ89" s="36">
        <f t="shared" si="49"/>
        <v>0</v>
      </c>
      <c r="AR89" s="36">
        <f t="shared" si="49"/>
        <v>0</v>
      </c>
      <c r="AS89" s="36">
        <f t="shared" si="49"/>
        <v>0</v>
      </c>
      <c r="AT89" s="36">
        <f t="shared" si="49"/>
        <v>0</v>
      </c>
      <c r="AU89" s="36">
        <f t="shared" si="49"/>
        <v>0</v>
      </c>
      <c r="AV89" s="36">
        <f t="shared" si="49"/>
        <v>0</v>
      </c>
      <c r="AW89" s="36">
        <f t="shared" si="49"/>
        <v>0</v>
      </c>
      <c r="AX89" s="36">
        <f t="shared" si="49"/>
        <v>0</v>
      </c>
    </row>
    <row r="90" spans="2:50">
      <c r="C90" s="29" t="s">
        <v>97</v>
      </c>
      <c r="K90" s="36">
        <f>IF(SUM(J89:K89)&gt;0,1,0)</f>
        <v>0</v>
      </c>
      <c r="L90" s="36">
        <f t="shared" ref="L90:AX90" si="50">IF(SUM(K89:L89)&gt;0,1,0)</f>
        <v>0</v>
      </c>
      <c r="M90" s="36">
        <f t="shared" si="50"/>
        <v>0</v>
      </c>
      <c r="N90" s="36">
        <f t="shared" si="50"/>
        <v>0</v>
      </c>
      <c r="O90" s="36">
        <f t="shared" si="50"/>
        <v>0</v>
      </c>
      <c r="P90" s="36">
        <f t="shared" si="50"/>
        <v>0</v>
      </c>
      <c r="Q90" s="36">
        <f t="shared" si="50"/>
        <v>0</v>
      </c>
      <c r="R90" s="36">
        <f t="shared" si="50"/>
        <v>0</v>
      </c>
      <c r="S90" s="36">
        <f t="shared" si="50"/>
        <v>0</v>
      </c>
      <c r="T90" s="36">
        <f t="shared" si="50"/>
        <v>0</v>
      </c>
      <c r="U90" s="36">
        <f t="shared" si="50"/>
        <v>0</v>
      </c>
      <c r="V90" s="36">
        <f t="shared" si="50"/>
        <v>0</v>
      </c>
      <c r="W90" s="36">
        <f t="shared" si="50"/>
        <v>0</v>
      </c>
      <c r="X90" s="36">
        <f t="shared" si="50"/>
        <v>0</v>
      </c>
      <c r="Y90" s="36">
        <f t="shared" si="50"/>
        <v>0</v>
      </c>
      <c r="Z90" s="36">
        <f t="shared" si="50"/>
        <v>0</v>
      </c>
      <c r="AA90" s="36">
        <f t="shared" si="50"/>
        <v>0</v>
      </c>
      <c r="AB90" s="36">
        <f t="shared" si="50"/>
        <v>0</v>
      </c>
      <c r="AC90" s="36">
        <f t="shared" si="50"/>
        <v>0</v>
      </c>
      <c r="AD90" s="36">
        <f t="shared" si="50"/>
        <v>0</v>
      </c>
      <c r="AE90" s="36">
        <f t="shared" si="50"/>
        <v>0</v>
      </c>
      <c r="AF90" s="36">
        <f t="shared" si="50"/>
        <v>0</v>
      </c>
      <c r="AG90" s="36">
        <f t="shared" si="50"/>
        <v>0</v>
      </c>
      <c r="AH90" s="36">
        <f t="shared" si="50"/>
        <v>0</v>
      </c>
      <c r="AI90" s="36">
        <f t="shared" si="50"/>
        <v>0</v>
      </c>
      <c r="AJ90" s="36">
        <f t="shared" si="50"/>
        <v>0</v>
      </c>
      <c r="AK90" s="36">
        <f t="shared" si="50"/>
        <v>0</v>
      </c>
      <c r="AL90" s="36">
        <f t="shared" si="50"/>
        <v>0</v>
      </c>
      <c r="AM90" s="36">
        <f t="shared" si="50"/>
        <v>0</v>
      </c>
      <c r="AN90" s="36">
        <f t="shared" si="50"/>
        <v>0</v>
      </c>
      <c r="AO90" s="36">
        <f t="shared" si="50"/>
        <v>0</v>
      </c>
      <c r="AP90" s="36">
        <f t="shared" si="50"/>
        <v>0</v>
      </c>
      <c r="AQ90" s="36">
        <f t="shared" si="50"/>
        <v>0</v>
      </c>
      <c r="AR90" s="36">
        <f t="shared" si="50"/>
        <v>0</v>
      </c>
      <c r="AS90" s="36">
        <f t="shared" si="50"/>
        <v>0</v>
      </c>
      <c r="AT90" s="36">
        <f t="shared" si="50"/>
        <v>0</v>
      </c>
      <c r="AU90" s="36">
        <f t="shared" si="50"/>
        <v>0</v>
      </c>
      <c r="AV90" s="36">
        <f t="shared" si="50"/>
        <v>0</v>
      </c>
      <c r="AW90" s="36">
        <f t="shared" si="50"/>
        <v>0</v>
      </c>
      <c r="AX90" s="36">
        <f t="shared" si="50"/>
        <v>0</v>
      </c>
    </row>
    <row r="92" spans="2:50">
      <c r="B92" s="33" t="s">
        <v>36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</row>
    <row r="94" spans="2:50">
      <c r="C94" s="29" t="s">
        <v>80</v>
      </c>
      <c r="K94" s="36">
        <f>J97</f>
        <v>9000000</v>
      </c>
      <c r="L94" s="36">
        <f t="shared" ref="L94:AX94" si="51">K97</f>
        <v>8775000</v>
      </c>
      <c r="M94" s="36">
        <f t="shared" si="51"/>
        <v>8550000</v>
      </c>
      <c r="N94" s="36">
        <f t="shared" si="51"/>
        <v>8325000</v>
      </c>
      <c r="O94" s="36">
        <f t="shared" si="51"/>
        <v>8100000</v>
      </c>
      <c r="P94" s="36">
        <f t="shared" si="51"/>
        <v>7875000</v>
      </c>
      <c r="Q94" s="36">
        <f t="shared" si="51"/>
        <v>7650000</v>
      </c>
      <c r="R94" s="36">
        <f t="shared" si="51"/>
        <v>7425000</v>
      </c>
      <c r="S94" s="36">
        <f t="shared" si="51"/>
        <v>7200000</v>
      </c>
      <c r="T94" s="36">
        <f t="shared" si="51"/>
        <v>6975000</v>
      </c>
      <c r="U94" s="36">
        <f t="shared" si="51"/>
        <v>6750000</v>
      </c>
      <c r="V94" s="36">
        <f t="shared" si="51"/>
        <v>6525000</v>
      </c>
      <c r="W94" s="36">
        <f t="shared" si="51"/>
        <v>6300000</v>
      </c>
      <c r="X94" s="36">
        <f t="shared" si="51"/>
        <v>6075000</v>
      </c>
      <c r="Y94" s="36">
        <f t="shared" si="51"/>
        <v>5850000</v>
      </c>
      <c r="Z94" s="36">
        <f t="shared" si="51"/>
        <v>5625000</v>
      </c>
      <c r="AA94" s="36">
        <f t="shared" si="51"/>
        <v>5400000</v>
      </c>
      <c r="AB94" s="36">
        <f t="shared" si="51"/>
        <v>5175000</v>
      </c>
      <c r="AC94" s="36">
        <f t="shared" si="51"/>
        <v>4950000</v>
      </c>
      <c r="AD94" s="36">
        <f t="shared" si="51"/>
        <v>4725000</v>
      </c>
      <c r="AE94" s="36">
        <f t="shared" si="51"/>
        <v>4500000</v>
      </c>
      <c r="AF94" s="36">
        <f t="shared" si="51"/>
        <v>4275000</v>
      </c>
      <c r="AG94" s="36">
        <f t="shared" si="51"/>
        <v>4050000</v>
      </c>
      <c r="AH94" s="36">
        <f t="shared" si="51"/>
        <v>3825000</v>
      </c>
      <c r="AI94" s="36">
        <f t="shared" si="51"/>
        <v>3600000</v>
      </c>
      <c r="AJ94" s="36">
        <f t="shared" si="51"/>
        <v>3375000</v>
      </c>
      <c r="AK94" s="36">
        <f t="shared" si="51"/>
        <v>3150000</v>
      </c>
      <c r="AL94" s="36">
        <f t="shared" si="51"/>
        <v>2925000</v>
      </c>
      <c r="AM94" s="36">
        <f t="shared" si="51"/>
        <v>2700000</v>
      </c>
      <c r="AN94" s="36">
        <f t="shared" si="51"/>
        <v>2475000</v>
      </c>
      <c r="AO94" s="36">
        <f t="shared" si="51"/>
        <v>2250000</v>
      </c>
      <c r="AP94" s="36">
        <f t="shared" si="51"/>
        <v>2025000</v>
      </c>
      <c r="AQ94" s="36">
        <f t="shared" si="51"/>
        <v>1800000</v>
      </c>
      <c r="AR94" s="36">
        <f t="shared" si="51"/>
        <v>1575000</v>
      </c>
      <c r="AS94" s="36">
        <f t="shared" si="51"/>
        <v>1350000</v>
      </c>
      <c r="AT94" s="36">
        <f t="shared" si="51"/>
        <v>1125000</v>
      </c>
      <c r="AU94" s="36">
        <f t="shared" si="51"/>
        <v>900000</v>
      </c>
      <c r="AV94" s="36">
        <f t="shared" si="51"/>
        <v>675000</v>
      </c>
      <c r="AW94" s="36">
        <f t="shared" si="51"/>
        <v>450000</v>
      </c>
      <c r="AX94" s="36">
        <f t="shared" si="51"/>
        <v>225000</v>
      </c>
    </row>
    <row r="95" spans="2:50">
      <c r="C95" s="29" t="s">
        <v>81</v>
      </c>
      <c r="H95" s="36">
        <f>SUM(K95:AX95)</f>
        <v>-9000000</v>
      </c>
      <c r="K95" s="36">
        <f>-K102</f>
        <v>-225000</v>
      </c>
      <c r="L95" s="36">
        <f t="shared" ref="L95:AX95" si="52">-L102</f>
        <v>-225000</v>
      </c>
      <c r="M95" s="36">
        <f t="shared" si="52"/>
        <v>-225000</v>
      </c>
      <c r="N95" s="36">
        <f t="shared" si="52"/>
        <v>-225000</v>
      </c>
      <c r="O95" s="36">
        <f t="shared" si="52"/>
        <v>-225000</v>
      </c>
      <c r="P95" s="36">
        <f t="shared" si="52"/>
        <v>-225000</v>
      </c>
      <c r="Q95" s="36">
        <f t="shared" si="52"/>
        <v>-225000</v>
      </c>
      <c r="R95" s="36">
        <f t="shared" si="52"/>
        <v>-225000</v>
      </c>
      <c r="S95" s="36">
        <f t="shared" si="52"/>
        <v>-225000</v>
      </c>
      <c r="T95" s="36">
        <f t="shared" si="52"/>
        <v>-225000</v>
      </c>
      <c r="U95" s="36">
        <f t="shared" si="52"/>
        <v>-225000</v>
      </c>
      <c r="V95" s="36">
        <f t="shared" si="52"/>
        <v>-225000</v>
      </c>
      <c r="W95" s="36">
        <f t="shared" si="52"/>
        <v>-225000</v>
      </c>
      <c r="X95" s="36">
        <f t="shared" si="52"/>
        <v>-225000</v>
      </c>
      <c r="Y95" s="36">
        <f t="shared" si="52"/>
        <v>-225000</v>
      </c>
      <c r="Z95" s="36">
        <f t="shared" si="52"/>
        <v>-225000</v>
      </c>
      <c r="AA95" s="36">
        <f t="shared" si="52"/>
        <v>-225000</v>
      </c>
      <c r="AB95" s="36">
        <f t="shared" si="52"/>
        <v>-225000</v>
      </c>
      <c r="AC95" s="36">
        <f t="shared" si="52"/>
        <v>-225000</v>
      </c>
      <c r="AD95" s="36">
        <f t="shared" si="52"/>
        <v>-225000</v>
      </c>
      <c r="AE95" s="36">
        <f t="shared" si="52"/>
        <v>-225000</v>
      </c>
      <c r="AF95" s="36">
        <f t="shared" si="52"/>
        <v>-225000</v>
      </c>
      <c r="AG95" s="36">
        <f t="shared" si="52"/>
        <v>-225000</v>
      </c>
      <c r="AH95" s="36">
        <f t="shared" si="52"/>
        <v>-225000</v>
      </c>
      <c r="AI95" s="36">
        <f t="shared" si="52"/>
        <v>-225000</v>
      </c>
      <c r="AJ95" s="36">
        <f t="shared" si="52"/>
        <v>-225000</v>
      </c>
      <c r="AK95" s="36">
        <f t="shared" si="52"/>
        <v>-225000</v>
      </c>
      <c r="AL95" s="36">
        <f t="shared" si="52"/>
        <v>-225000</v>
      </c>
      <c r="AM95" s="36">
        <f t="shared" si="52"/>
        <v>-225000</v>
      </c>
      <c r="AN95" s="36">
        <f t="shared" si="52"/>
        <v>-225000</v>
      </c>
      <c r="AO95" s="36">
        <f t="shared" si="52"/>
        <v>-225000</v>
      </c>
      <c r="AP95" s="36">
        <f t="shared" si="52"/>
        <v>-225000</v>
      </c>
      <c r="AQ95" s="36">
        <f t="shared" si="52"/>
        <v>-225000</v>
      </c>
      <c r="AR95" s="36">
        <f t="shared" si="52"/>
        <v>-225000</v>
      </c>
      <c r="AS95" s="36">
        <f t="shared" si="52"/>
        <v>-225000</v>
      </c>
      <c r="AT95" s="36">
        <f t="shared" si="52"/>
        <v>-225000</v>
      </c>
      <c r="AU95" s="36">
        <f t="shared" si="52"/>
        <v>-225000</v>
      </c>
      <c r="AV95" s="36">
        <f t="shared" si="52"/>
        <v>-225000</v>
      </c>
      <c r="AW95" s="36">
        <f t="shared" si="52"/>
        <v>-225000</v>
      </c>
      <c r="AX95" s="36">
        <f t="shared" si="52"/>
        <v>-225000</v>
      </c>
    </row>
    <row r="96" spans="2:50">
      <c r="C96" s="29" t="s">
        <v>98</v>
      </c>
      <c r="H96" s="36"/>
      <c r="K96" s="36">
        <f>K109</f>
        <v>0</v>
      </c>
      <c r="L96" s="36">
        <f t="shared" ref="L96:AX96" si="53">L109</f>
        <v>0</v>
      </c>
      <c r="M96" s="36">
        <f t="shared" si="53"/>
        <v>0</v>
      </c>
      <c r="N96" s="36">
        <f t="shared" si="53"/>
        <v>0</v>
      </c>
      <c r="O96" s="36">
        <f t="shared" si="53"/>
        <v>0</v>
      </c>
      <c r="P96" s="36">
        <f t="shared" si="53"/>
        <v>0</v>
      </c>
      <c r="Q96" s="36">
        <f t="shared" si="53"/>
        <v>0</v>
      </c>
      <c r="R96" s="36">
        <f t="shared" si="53"/>
        <v>0</v>
      </c>
      <c r="S96" s="36">
        <f t="shared" si="53"/>
        <v>0</v>
      </c>
      <c r="T96" s="36">
        <f t="shared" si="53"/>
        <v>0</v>
      </c>
      <c r="U96" s="36">
        <f t="shared" si="53"/>
        <v>0</v>
      </c>
      <c r="V96" s="36">
        <f t="shared" si="53"/>
        <v>0</v>
      </c>
      <c r="W96" s="36">
        <f t="shared" si="53"/>
        <v>0</v>
      </c>
      <c r="X96" s="36">
        <f t="shared" si="53"/>
        <v>0</v>
      </c>
      <c r="Y96" s="36">
        <f t="shared" si="53"/>
        <v>0</v>
      </c>
      <c r="Z96" s="36">
        <f t="shared" si="53"/>
        <v>0</v>
      </c>
      <c r="AA96" s="36">
        <f t="shared" si="53"/>
        <v>0</v>
      </c>
      <c r="AB96" s="36">
        <f t="shared" si="53"/>
        <v>0</v>
      </c>
      <c r="AC96" s="36">
        <f t="shared" si="53"/>
        <v>0</v>
      </c>
      <c r="AD96" s="36">
        <f t="shared" si="53"/>
        <v>0</v>
      </c>
      <c r="AE96" s="36">
        <f t="shared" si="53"/>
        <v>0</v>
      </c>
      <c r="AF96" s="36">
        <f t="shared" si="53"/>
        <v>0</v>
      </c>
      <c r="AG96" s="36">
        <f t="shared" si="53"/>
        <v>0</v>
      </c>
      <c r="AH96" s="36">
        <f t="shared" si="53"/>
        <v>0</v>
      </c>
      <c r="AI96" s="36">
        <f t="shared" si="53"/>
        <v>0</v>
      </c>
      <c r="AJ96" s="36">
        <f t="shared" si="53"/>
        <v>0</v>
      </c>
      <c r="AK96" s="36">
        <f t="shared" si="53"/>
        <v>0</v>
      </c>
      <c r="AL96" s="36">
        <f t="shared" si="53"/>
        <v>0</v>
      </c>
      <c r="AM96" s="36">
        <f t="shared" si="53"/>
        <v>0</v>
      </c>
      <c r="AN96" s="36">
        <f t="shared" si="53"/>
        <v>0</v>
      </c>
      <c r="AO96" s="36">
        <f t="shared" si="53"/>
        <v>0</v>
      </c>
      <c r="AP96" s="36">
        <f t="shared" si="53"/>
        <v>0</v>
      </c>
      <c r="AQ96" s="36">
        <f t="shared" si="53"/>
        <v>0</v>
      </c>
      <c r="AR96" s="36">
        <f t="shared" si="53"/>
        <v>0</v>
      </c>
      <c r="AS96" s="36">
        <f t="shared" si="53"/>
        <v>0</v>
      </c>
      <c r="AT96" s="36">
        <f t="shared" si="53"/>
        <v>0</v>
      </c>
      <c r="AU96" s="36">
        <f t="shared" si="53"/>
        <v>0</v>
      </c>
      <c r="AV96" s="36">
        <f t="shared" si="53"/>
        <v>0</v>
      </c>
      <c r="AW96" s="36">
        <f t="shared" si="53"/>
        <v>0</v>
      </c>
      <c r="AX96" s="36">
        <f t="shared" si="53"/>
        <v>0</v>
      </c>
    </row>
    <row r="97" spans="2:50">
      <c r="C97" s="29" t="s">
        <v>82</v>
      </c>
      <c r="J97" s="55">
        <f>CaseData!$H$23</f>
        <v>9000000</v>
      </c>
      <c r="K97" s="39">
        <f t="shared" ref="K97" si="54">SUM(K94:K96)</f>
        <v>8775000</v>
      </c>
      <c r="L97" s="39">
        <f>SUM(L94:L96)</f>
        <v>8550000</v>
      </c>
      <c r="M97" s="39">
        <f t="shared" ref="M97:AX97" si="55">SUM(M94:M96)</f>
        <v>8325000</v>
      </c>
      <c r="N97" s="39">
        <f t="shared" si="55"/>
        <v>8100000</v>
      </c>
      <c r="O97" s="39">
        <f t="shared" si="55"/>
        <v>7875000</v>
      </c>
      <c r="P97" s="39">
        <f t="shared" si="55"/>
        <v>7650000</v>
      </c>
      <c r="Q97" s="39">
        <f t="shared" si="55"/>
        <v>7425000</v>
      </c>
      <c r="R97" s="39">
        <f t="shared" si="55"/>
        <v>7200000</v>
      </c>
      <c r="S97" s="39">
        <f t="shared" si="55"/>
        <v>6975000</v>
      </c>
      <c r="T97" s="39">
        <f t="shared" si="55"/>
        <v>6750000</v>
      </c>
      <c r="U97" s="39">
        <f t="shared" si="55"/>
        <v>6525000</v>
      </c>
      <c r="V97" s="39">
        <f t="shared" si="55"/>
        <v>6300000</v>
      </c>
      <c r="W97" s="39">
        <f t="shared" si="55"/>
        <v>6075000</v>
      </c>
      <c r="X97" s="39">
        <f t="shared" si="55"/>
        <v>5850000</v>
      </c>
      <c r="Y97" s="39">
        <f t="shared" si="55"/>
        <v>5625000</v>
      </c>
      <c r="Z97" s="39">
        <f t="shared" si="55"/>
        <v>5400000</v>
      </c>
      <c r="AA97" s="39">
        <f t="shared" si="55"/>
        <v>5175000</v>
      </c>
      <c r="AB97" s="39">
        <f t="shared" si="55"/>
        <v>4950000</v>
      </c>
      <c r="AC97" s="39">
        <f t="shared" si="55"/>
        <v>4725000</v>
      </c>
      <c r="AD97" s="39">
        <f t="shared" si="55"/>
        <v>4500000</v>
      </c>
      <c r="AE97" s="39">
        <f t="shared" si="55"/>
        <v>4275000</v>
      </c>
      <c r="AF97" s="39">
        <f t="shared" si="55"/>
        <v>4050000</v>
      </c>
      <c r="AG97" s="39">
        <f t="shared" si="55"/>
        <v>3825000</v>
      </c>
      <c r="AH97" s="39">
        <f t="shared" si="55"/>
        <v>3600000</v>
      </c>
      <c r="AI97" s="39">
        <f t="shared" si="55"/>
        <v>3375000</v>
      </c>
      <c r="AJ97" s="39">
        <f t="shared" si="55"/>
        <v>3150000</v>
      </c>
      <c r="AK97" s="39">
        <f t="shared" si="55"/>
        <v>2925000</v>
      </c>
      <c r="AL97" s="39">
        <f t="shared" si="55"/>
        <v>2700000</v>
      </c>
      <c r="AM97" s="39">
        <f t="shared" si="55"/>
        <v>2475000</v>
      </c>
      <c r="AN97" s="39">
        <f t="shared" si="55"/>
        <v>2250000</v>
      </c>
      <c r="AO97" s="39">
        <f t="shared" si="55"/>
        <v>2025000</v>
      </c>
      <c r="AP97" s="39">
        <f t="shared" si="55"/>
        <v>1800000</v>
      </c>
      <c r="AQ97" s="39">
        <f t="shared" si="55"/>
        <v>1575000</v>
      </c>
      <c r="AR97" s="39">
        <f t="shared" si="55"/>
        <v>1350000</v>
      </c>
      <c r="AS97" s="39">
        <f t="shared" si="55"/>
        <v>1125000</v>
      </c>
      <c r="AT97" s="39">
        <f t="shared" si="55"/>
        <v>900000</v>
      </c>
      <c r="AU97" s="39">
        <f t="shared" si="55"/>
        <v>675000</v>
      </c>
      <c r="AV97" s="39">
        <f t="shared" si="55"/>
        <v>450000</v>
      </c>
      <c r="AW97" s="39">
        <f t="shared" si="55"/>
        <v>225000</v>
      </c>
      <c r="AX97" s="39">
        <f t="shared" si="55"/>
        <v>0</v>
      </c>
    </row>
    <row r="99" spans="2:50">
      <c r="C99" s="29" t="s">
        <v>99</v>
      </c>
      <c r="G99" s="58">
        <f>CaseData!H25</f>
        <v>40</v>
      </c>
      <c r="H99" s="36">
        <f t="shared" ref="H99" si="56">SUM(K99:AX99)</f>
        <v>9000000</v>
      </c>
      <c r="K99" s="36">
        <f>J97/G99</f>
        <v>225000</v>
      </c>
      <c r="L99" s="36">
        <f>K99</f>
        <v>225000</v>
      </c>
      <c r="M99" s="36">
        <f t="shared" ref="M99:AX99" si="57">L99</f>
        <v>225000</v>
      </c>
      <c r="N99" s="36">
        <f t="shared" si="57"/>
        <v>225000</v>
      </c>
      <c r="O99" s="36">
        <f t="shared" si="57"/>
        <v>225000</v>
      </c>
      <c r="P99" s="36">
        <f t="shared" si="57"/>
        <v>225000</v>
      </c>
      <c r="Q99" s="36">
        <f t="shared" si="57"/>
        <v>225000</v>
      </c>
      <c r="R99" s="36">
        <f t="shared" si="57"/>
        <v>225000</v>
      </c>
      <c r="S99" s="36">
        <f t="shared" si="57"/>
        <v>225000</v>
      </c>
      <c r="T99" s="36">
        <f t="shared" si="57"/>
        <v>225000</v>
      </c>
      <c r="U99" s="36">
        <f t="shared" si="57"/>
        <v>225000</v>
      </c>
      <c r="V99" s="36">
        <f t="shared" si="57"/>
        <v>225000</v>
      </c>
      <c r="W99" s="36">
        <f t="shared" si="57"/>
        <v>225000</v>
      </c>
      <c r="X99" s="36">
        <f t="shared" si="57"/>
        <v>225000</v>
      </c>
      <c r="Y99" s="36">
        <f t="shared" si="57"/>
        <v>225000</v>
      </c>
      <c r="Z99" s="36">
        <f t="shared" si="57"/>
        <v>225000</v>
      </c>
      <c r="AA99" s="36">
        <f t="shared" si="57"/>
        <v>225000</v>
      </c>
      <c r="AB99" s="36">
        <f t="shared" si="57"/>
        <v>225000</v>
      </c>
      <c r="AC99" s="36">
        <f t="shared" si="57"/>
        <v>225000</v>
      </c>
      <c r="AD99" s="36">
        <f t="shared" si="57"/>
        <v>225000</v>
      </c>
      <c r="AE99" s="36">
        <f t="shared" si="57"/>
        <v>225000</v>
      </c>
      <c r="AF99" s="36">
        <f t="shared" si="57"/>
        <v>225000</v>
      </c>
      <c r="AG99" s="36">
        <f t="shared" si="57"/>
        <v>225000</v>
      </c>
      <c r="AH99" s="36">
        <f t="shared" si="57"/>
        <v>225000</v>
      </c>
      <c r="AI99" s="36">
        <f t="shared" si="57"/>
        <v>225000</v>
      </c>
      <c r="AJ99" s="36">
        <f t="shared" si="57"/>
        <v>225000</v>
      </c>
      <c r="AK99" s="36">
        <f t="shared" si="57"/>
        <v>225000</v>
      </c>
      <c r="AL99" s="36">
        <f t="shared" si="57"/>
        <v>225000</v>
      </c>
      <c r="AM99" s="36">
        <f t="shared" si="57"/>
        <v>225000</v>
      </c>
      <c r="AN99" s="36">
        <f t="shared" si="57"/>
        <v>225000</v>
      </c>
      <c r="AO99" s="36">
        <f t="shared" si="57"/>
        <v>225000</v>
      </c>
      <c r="AP99" s="36">
        <f t="shared" si="57"/>
        <v>225000</v>
      </c>
      <c r="AQ99" s="36">
        <f t="shared" si="57"/>
        <v>225000</v>
      </c>
      <c r="AR99" s="36">
        <f t="shared" si="57"/>
        <v>225000</v>
      </c>
      <c r="AS99" s="36">
        <f t="shared" si="57"/>
        <v>225000</v>
      </c>
      <c r="AT99" s="36">
        <f t="shared" si="57"/>
        <v>225000</v>
      </c>
      <c r="AU99" s="36">
        <f t="shared" si="57"/>
        <v>225000</v>
      </c>
      <c r="AV99" s="36">
        <f t="shared" si="57"/>
        <v>225000</v>
      </c>
      <c r="AW99" s="36">
        <f t="shared" si="57"/>
        <v>225000</v>
      </c>
      <c r="AX99" s="36">
        <f t="shared" si="57"/>
        <v>225000</v>
      </c>
    </row>
    <row r="100" spans="2:50">
      <c r="C100" s="29" t="s">
        <v>100</v>
      </c>
      <c r="K100" s="36">
        <f t="shared" ref="K100:AX100" si="58">K38</f>
        <v>588371.57093768974</v>
      </c>
      <c r="L100" s="36">
        <f t="shared" si="58"/>
        <v>444242.57093768974</v>
      </c>
      <c r="M100" s="36">
        <f t="shared" si="58"/>
        <v>531838.07093768974</v>
      </c>
      <c r="N100" s="36">
        <f t="shared" si="58"/>
        <v>557507.57093768963</v>
      </c>
      <c r="O100" s="36">
        <f t="shared" si="58"/>
        <v>600757.07093768974</v>
      </c>
      <c r="P100" s="36">
        <f t="shared" si="58"/>
        <v>454540.0709376898</v>
      </c>
      <c r="Q100" s="36">
        <f t="shared" si="58"/>
        <v>399295.07093768974</v>
      </c>
      <c r="R100" s="36">
        <f t="shared" si="58"/>
        <v>269557.07093768974</v>
      </c>
      <c r="S100" s="36">
        <f t="shared" si="58"/>
        <v>365852.57093768974</v>
      </c>
      <c r="T100" s="36">
        <f t="shared" si="58"/>
        <v>584740.07093768986</v>
      </c>
      <c r="U100" s="36">
        <f t="shared" si="58"/>
        <v>535433.57093768986</v>
      </c>
      <c r="V100" s="36">
        <f t="shared" si="58"/>
        <v>578990.57093768963</v>
      </c>
      <c r="W100" s="36">
        <f t="shared" si="58"/>
        <v>453751.07093768974</v>
      </c>
      <c r="X100" s="36">
        <f t="shared" si="58"/>
        <v>487139.5709376898</v>
      </c>
      <c r="Y100" s="36">
        <f t="shared" si="58"/>
        <v>471220.0709376898</v>
      </c>
      <c r="Z100" s="36">
        <f t="shared" si="58"/>
        <v>710614.07093768974</v>
      </c>
      <c r="AA100" s="36">
        <f t="shared" si="58"/>
        <v>579418.07093768974</v>
      </c>
      <c r="AB100" s="36">
        <f t="shared" si="58"/>
        <v>478013.57093768968</v>
      </c>
      <c r="AC100" s="36">
        <f t="shared" si="58"/>
        <v>383686.07093768974</v>
      </c>
      <c r="AD100" s="36">
        <f t="shared" si="58"/>
        <v>424276.07093768974</v>
      </c>
      <c r="AE100" s="36">
        <f t="shared" si="58"/>
        <v>576791.57093768986</v>
      </c>
      <c r="AF100" s="36">
        <f t="shared" si="58"/>
        <v>443308.07093768974</v>
      </c>
      <c r="AG100" s="36">
        <f t="shared" si="58"/>
        <v>740395.07093768963</v>
      </c>
      <c r="AH100" s="36">
        <f t="shared" si="58"/>
        <v>578557.07093768974</v>
      </c>
      <c r="AI100" s="36">
        <f t="shared" si="58"/>
        <v>368791.07093768974</v>
      </c>
      <c r="AJ100" s="36">
        <f t="shared" si="58"/>
        <v>610351.07093768963</v>
      </c>
      <c r="AK100" s="36">
        <f t="shared" si="58"/>
        <v>475394.5709376898</v>
      </c>
      <c r="AL100" s="36">
        <f t="shared" si="58"/>
        <v>662933.57093768974</v>
      </c>
      <c r="AM100" s="36">
        <f t="shared" si="58"/>
        <v>459305.57093768974</v>
      </c>
      <c r="AN100" s="36">
        <f t="shared" si="58"/>
        <v>441740.57093768974</v>
      </c>
      <c r="AO100" s="36">
        <f t="shared" si="58"/>
        <v>659344.07093768986</v>
      </c>
      <c r="AP100" s="36">
        <f t="shared" si="58"/>
        <v>1371812.5709376903</v>
      </c>
      <c r="AQ100" s="36">
        <f t="shared" si="58"/>
        <v>1221447</v>
      </c>
      <c r="AR100" s="36">
        <f t="shared" si="58"/>
        <v>979699.5</v>
      </c>
      <c r="AS100" s="36">
        <f t="shared" si="58"/>
        <v>1148931</v>
      </c>
      <c r="AT100" s="36">
        <f t="shared" si="58"/>
        <v>1233861</v>
      </c>
      <c r="AU100" s="36">
        <f t="shared" si="58"/>
        <v>1187176.5</v>
      </c>
      <c r="AV100" s="36">
        <f t="shared" si="58"/>
        <v>1164579</v>
      </c>
      <c r="AW100" s="36">
        <f t="shared" si="58"/>
        <v>1370262</v>
      </c>
      <c r="AX100" s="36">
        <f t="shared" si="58"/>
        <v>1089577.5</v>
      </c>
    </row>
    <row r="102" spans="2:50">
      <c r="C102" s="29" t="s">
        <v>81</v>
      </c>
      <c r="H102" s="36">
        <f t="shared" ref="H102:H103" si="59">SUM(K102:AX102)</f>
        <v>9000000</v>
      </c>
      <c r="K102" s="36">
        <f>MIN(K99,K100)</f>
        <v>225000</v>
      </c>
      <c r="L102" s="36">
        <f t="shared" ref="L102:AX102" si="60">MIN(L99,L100)</f>
        <v>225000</v>
      </c>
      <c r="M102" s="36">
        <f t="shared" si="60"/>
        <v>225000</v>
      </c>
      <c r="N102" s="36">
        <f t="shared" si="60"/>
        <v>225000</v>
      </c>
      <c r="O102" s="36">
        <f t="shared" si="60"/>
        <v>225000</v>
      </c>
      <c r="P102" s="36">
        <f t="shared" si="60"/>
        <v>225000</v>
      </c>
      <c r="Q102" s="36">
        <f t="shared" si="60"/>
        <v>225000</v>
      </c>
      <c r="R102" s="36">
        <f t="shared" si="60"/>
        <v>225000</v>
      </c>
      <c r="S102" s="36">
        <f t="shared" si="60"/>
        <v>225000</v>
      </c>
      <c r="T102" s="36">
        <f t="shared" si="60"/>
        <v>225000</v>
      </c>
      <c r="U102" s="36">
        <f t="shared" si="60"/>
        <v>225000</v>
      </c>
      <c r="V102" s="36">
        <f t="shared" si="60"/>
        <v>225000</v>
      </c>
      <c r="W102" s="36">
        <f t="shared" si="60"/>
        <v>225000</v>
      </c>
      <c r="X102" s="36">
        <f t="shared" si="60"/>
        <v>225000</v>
      </c>
      <c r="Y102" s="36">
        <f t="shared" si="60"/>
        <v>225000</v>
      </c>
      <c r="Z102" s="36">
        <f t="shared" si="60"/>
        <v>225000</v>
      </c>
      <c r="AA102" s="36">
        <f t="shared" si="60"/>
        <v>225000</v>
      </c>
      <c r="AB102" s="36">
        <f t="shared" si="60"/>
        <v>225000</v>
      </c>
      <c r="AC102" s="36">
        <f t="shared" si="60"/>
        <v>225000</v>
      </c>
      <c r="AD102" s="36">
        <f t="shared" si="60"/>
        <v>225000</v>
      </c>
      <c r="AE102" s="36">
        <f t="shared" si="60"/>
        <v>225000</v>
      </c>
      <c r="AF102" s="36">
        <f t="shared" si="60"/>
        <v>225000</v>
      </c>
      <c r="AG102" s="36">
        <f t="shared" si="60"/>
        <v>225000</v>
      </c>
      <c r="AH102" s="36">
        <f t="shared" si="60"/>
        <v>225000</v>
      </c>
      <c r="AI102" s="36">
        <f t="shared" si="60"/>
        <v>225000</v>
      </c>
      <c r="AJ102" s="36">
        <f t="shared" si="60"/>
        <v>225000</v>
      </c>
      <c r="AK102" s="36">
        <f t="shared" si="60"/>
        <v>225000</v>
      </c>
      <c r="AL102" s="36">
        <f t="shared" si="60"/>
        <v>225000</v>
      </c>
      <c r="AM102" s="36">
        <f t="shared" si="60"/>
        <v>225000</v>
      </c>
      <c r="AN102" s="36">
        <f t="shared" si="60"/>
        <v>225000</v>
      </c>
      <c r="AO102" s="36">
        <f t="shared" si="60"/>
        <v>225000</v>
      </c>
      <c r="AP102" s="36">
        <f t="shared" si="60"/>
        <v>225000</v>
      </c>
      <c r="AQ102" s="36">
        <f t="shared" si="60"/>
        <v>225000</v>
      </c>
      <c r="AR102" s="36">
        <f t="shared" si="60"/>
        <v>225000</v>
      </c>
      <c r="AS102" s="36">
        <f t="shared" si="60"/>
        <v>225000</v>
      </c>
      <c r="AT102" s="36">
        <f t="shared" si="60"/>
        <v>225000</v>
      </c>
      <c r="AU102" s="36">
        <f t="shared" si="60"/>
        <v>225000</v>
      </c>
      <c r="AV102" s="36">
        <f t="shared" si="60"/>
        <v>225000</v>
      </c>
      <c r="AW102" s="36">
        <f t="shared" si="60"/>
        <v>225000</v>
      </c>
      <c r="AX102" s="36">
        <f t="shared" si="60"/>
        <v>225000</v>
      </c>
    </row>
    <row r="103" spans="2:50">
      <c r="C103" s="29" t="s">
        <v>101</v>
      </c>
      <c r="H103" s="36">
        <f t="shared" si="59"/>
        <v>0</v>
      </c>
      <c r="K103" s="36">
        <f>K99-K102</f>
        <v>0</v>
      </c>
      <c r="L103" s="36">
        <f t="shared" ref="L103:AX103" si="61">L99-L102</f>
        <v>0</v>
      </c>
      <c r="M103" s="36">
        <f t="shared" si="61"/>
        <v>0</v>
      </c>
      <c r="N103" s="36">
        <f t="shared" si="61"/>
        <v>0</v>
      </c>
      <c r="O103" s="36">
        <f t="shared" si="61"/>
        <v>0</v>
      </c>
      <c r="P103" s="36">
        <f t="shared" si="61"/>
        <v>0</v>
      </c>
      <c r="Q103" s="36">
        <f t="shared" si="61"/>
        <v>0</v>
      </c>
      <c r="R103" s="36">
        <f t="shared" si="61"/>
        <v>0</v>
      </c>
      <c r="S103" s="36">
        <f t="shared" si="61"/>
        <v>0</v>
      </c>
      <c r="T103" s="36">
        <f t="shared" si="61"/>
        <v>0</v>
      </c>
      <c r="U103" s="36">
        <f t="shared" si="61"/>
        <v>0</v>
      </c>
      <c r="V103" s="36">
        <f t="shared" si="61"/>
        <v>0</v>
      </c>
      <c r="W103" s="36">
        <f t="shared" si="61"/>
        <v>0</v>
      </c>
      <c r="X103" s="36">
        <f t="shared" si="61"/>
        <v>0</v>
      </c>
      <c r="Y103" s="36">
        <f t="shared" si="61"/>
        <v>0</v>
      </c>
      <c r="Z103" s="36">
        <f t="shared" si="61"/>
        <v>0</v>
      </c>
      <c r="AA103" s="36">
        <f t="shared" si="61"/>
        <v>0</v>
      </c>
      <c r="AB103" s="36">
        <f t="shared" si="61"/>
        <v>0</v>
      </c>
      <c r="AC103" s="36">
        <f t="shared" si="61"/>
        <v>0</v>
      </c>
      <c r="AD103" s="36">
        <f t="shared" si="61"/>
        <v>0</v>
      </c>
      <c r="AE103" s="36">
        <f t="shared" si="61"/>
        <v>0</v>
      </c>
      <c r="AF103" s="36">
        <f t="shared" si="61"/>
        <v>0</v>
      </c>
      <c r="AG103" s="36">
        <f t="shared" si="61"/>
        <v>0</v>
      </c>
      <c r="AH103" s="36">
        <f t="shared" si="61"/>
        <v>0</v>
      </c>
      <c r="AI103" s="36">
        <f t="shared" si="61"/>
        <v>0</v>
      </c>
      <c r="AJ103" s="36">
        <f t="shared" si="61"/>
        <v>0</v>
      </c>
      <c r="AK103" s="36">
        <f t="shared" si="61"/>
        <v>0</v>
      </c>
      <c r="AL103" s="36">
        <f t="shared" si="61"/>
        <v>0</v>
      </c>
      <c r="AM103" s="36">
        <f t="shared" si="61"/>
        <v>0</v>
      </c>
      <c r="AN103" s="36">
        <f t="shared" si="61"/>
        <v>0</v>
      </c>
      <c r="AO103" s="36">
        <f t="shared" si="61"/>
        <v>0</v>
      </c>
      <c r="AP103" s="36">
        <f t="shared" si="61"/>
        <v>0</v>
      </c>
      <c r="AQ103" s="36">
        <f t="shared" si="61"/>
        <v>0</v>
      </c>
      <c r="AR103" s="36">
        <f t="shared" si="61"/>
        <v>0</v>
      </c>
      <c r="AS103" s="36">
        <f t="shared" si="61"/>
        <v>0</v>
      </c>
      <c r="AT103" s="36">
        <f t="shared" si="61"/>
        <v>0</v>
      </c>
      <c r="AU103" s="36">
        <f t="shared" si="61"/>
        <v>0</v>
      </c>
      <c r="AV103" s="36">
        <f t="shared" si="61"/>
        <v>0</v>
      </c>
      <c r="AW103" s="36">
        <f t="shared" si="61"/>
        <v>0</v>
      </c>
      <c r="AX103" s="36">
        <f t="shared" si="61"/>
        <v>0</v>
      </c>
    </row>
    <row r="104" spans="2:50"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</row>
    <row r="105" spans="2:50"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</row>
    <row r="106" spans="2:50">
      <c r="C106" s="29" t="s">
        <v>102</v>
      </c>
    </row>
    <row r="107" spans="2:50">
      <c r="D107" s="29" t="s">
        <v>80</v>
      </c>
      <c r="K107" s="36">
        <f>J110</f>
        <v>0</v>
      </c>
      <c r="L107" s="36">
        <f t="shared" ref="L107:AX107" si="62">K110</f>
        <v>0</v>
      </c>
      <c r="M107" s="36">
        <f t="shared" si="62"/>
        <v>0</v>
      </c>
      <c r="N107" s="36">
        <f t="shared" si="62"/>
        <v>0</v>
      </c>
      <c r="O107" s="36">
        <f t="shared" si="62"/>
        <v>0</v>
      </c>
      <c r="P107" s="36">
        <f t="shared" si="62"/>
        <v>0</v>
      </c>
      <c r="Q107" s="36">
        <f t="shared" si="62"/>
        <v>0</v>
      </c>
      <c r="R107" s="36">
        <f t="shared" si="62"/>
        <v>0</v>
      </c>
      <c r="S107" s="36">
        <f t="shared" si="62"/>
        <v>0</v>
      </c>
      <c r="T107" s="36">
        <f t="shared" si="62"/>
        <v>0</v>
      </c>
      <c r="U107" s="36">
        <f t="shared" si="62"/>
        <v>0</v>
      </c>
      <c r="V107" s="36">
        <f t="shared" si="62"/>
        <v>0</v>
      </c>
      <c r="W107" s="36">
        <f t="shared" si="62"/>
        <v>0</v>
      </c>
      <c r="X107" s="36">
        <f t="shared" si="62"/>
        <v>0</v>
      </c>
      <c r="Y107" s="36">
        <f t="shared" si="62"/>
        <v>0</v>
      </c>
      <c r="Z107" s="36">
        <f t="shared" si="62"/>
        <v>0</v>
      </c>
      <c r="AA107" s="36">
        <f t="shared" si="62"/>
        <v>0</v>
      </c>
      <c r="AB107" s="36">
        <f t="shared" si="62"/>
        <v>0</v>
      </c>
      <c r="AC107" s="36">
        <f t="shared" si="62"/>
        <v>0</v>
      </c>
      <c r="AD107" s="36">
        <f t="shared" si="62"/>
        <v>0</v>
      </c>
      <c r="AE107" s="36">
        <f t="shared" si="62"/>
        <v>0</v>
      </c>
      <c r="AF107" s="36">
        <f t="shared" si="62"/>
        <v>0</v>
      </c>
      <c r="AG107" s="36">
        <f t="shared" si="62"/>
        <v>0</v>
      </c>
      <c r="AH107" s="36">
        <f t="shared" si="62"/>
        <v>0</v>
      </c>
      <c r="AI107" s="36">
        <f t="shared" si="62"/>
        <v>0</v>
      </c>
      <c r="AJ107" s="36">
        <f t="shared" si="62"/>
        <v>0</v>
      </c>
      <c r="AK107" s="36">
        <f t="shared" si="62"/>
        <v>0</v>
      </c>
      <c r="AL107" s="36">
        <f t="shared" si="62"/>
        <v>0</v>
      </c>
      <c r="AM107" s="36">
        <f t="shared" si="62"/>
        <v>0</v>
      </c>
      <c r="AN107" s="36">
        <f t="shared" si="62"/>
        <v>0</v>
      </c>
      <c r="AO107" s="36">
        <f t="shared" si="62"/>
        <v>0</v>
      </c>
      <c r="AP107" s="36">
        <f t="shared" si="62"/>
        <v>0</v>
      </c>
      <c r="AQ107" s="36">
        <f t="shared" si="62"/>
        <v>0</v>
      </c>
      <c r="AR107" s="36">
        <f t="shared" si="62"/>
        <v>0</v>
      </c>
      <c r="AS107" s="36">
        <f t="shared" si="62"/>
        <v>0</v>
      </c>
      <c r="AT107" s="36">
        <f t="shared" si="62"/>
        <v>0</v>
      </c>
      <c r="AU107" s="36">
        <f t="shared" si="62"/>
        <v>0</v>
      </c>
      <c r="AV107" s="36">
        <f t="shared" si="62"/>
        <v>0</v>
      </c>
      <c r="AW107" s="36">
        <f t="shared" si="62"/>
        <v>0</v>
      </c>
      <c r="AX107" s="36">
        <f t="shared" si="62"/>
        <v>0</v>
      </c>
    </row>
    <row r="108" spans="2:50">
      <c r="D108" s="29" t="s">
        <v>103</v>
      </c>
      <c r="H108" s="36">
        <f t="shared" ref="H108:H109" si="63">SUM(K108:AX108)</f>
        <v>0</v>
      </c>
      <c r="K108" s="36">
        <f>K103</f>
        <v>0</v>
      </c>
      <c r="L108" s="36">
        <f t="shared" ref="L108:AX108" si="64">L103</f>
        <v>0</v>
      </c>
      <c r="M108" s="36">
        <f t="shared" si="64"/>
        <v>0</v>
      </c>
      <c r="N108" s="36">
        <f t="shared" si="64"/>
        <v>0</v>
      </c>
      <c r="O108" s="36">
        <f t="shared" si="64"/>
        <v>0</v>
      </c>
      <c r="P108" s="36">
        <f t="shared" si="64"/>
        <v>0</v>
      </c>
      <c r="Q108" s="36">
        <f t="shared" si="64"/>
        <v>0</v>
      </c>
      <c r="R108" s="36">
        <f t="shared" si="64"/>
        <v>0</v>
      </c>
      <c r="S108" s="36">
        <f t="shared" si="64"/>
        <v>0</v>
      </c>
      <c r="T108" s="36">
        <f t="shared" si="64"/>
        <v>0</v>
      </c>
      <c r="U108" s="36">
        <f t="shared" si="64"/>
        <v>0</v>
      </c>
      <c r="V108" s="36">
        <f t="shared" si="64"/>
        <v>0</v>
      </c>
      <c r="W108" s="36">
        <f t="shared" si="64"/>
        <v>0</v>
      </c>
      <c r="X108" s="36">
        <f t="shared" si="64"/>
        <v>0</v>
      </c>
      <c r="Y108" s="36">
        <f t="shared" si="64"/>
        <v>0</v>
      </c>
      <c r="Z108" s="36">
        <f t="shared" si="64"/>
        <v>0</v>
      </c>
      <c r="AA108" s="36">
        <f t="shared" si="64"/>
        <v>0</v>
      </c>
      <c r="AB108" s="36">
        <f t="shared" si="64"/>
        <v>0</v>
      </c>
      <c r="AC108" s="36">
        <f t="shared" si="64"/>
        <v>0</v>
      </c>
      <c r="AD108" s="36">
        <f t="shared" si="64"/>
        <v>0</v>
      </c>
      <c r="AE108" s="36">
        <f t="shared" si="64"/>
        <v>0</v>
      </c>
      <c r="AF108" s="36">
        <f t="shared" si="64"/>
        <v>0</v>
      </c>
      <c r="AG108" s="36">
        <f t="shared" si="64"/>
        <v>0</v>
      </c>
      <c r="AH108" s="36">
        <f t="shared" si="64"/>
        <v>0</v>
      </c>
      <c r="AI108" s="36">
        <f t="shared" si="64"/>
        <v>0</v>
      </c>
      <c r="AJ108" s="36">
        <f t="shared" si="64"/>
        <v>0</v>
      </c>
      <c r="AK108" s="36">
        <f t="shared" si="64"/>
        <v>0</v>
      </c>
      <c r="AL108" s="36">
        <f t="shared" si="64"/>
        <v>0</v>
      </c>
      <c r="AM108" s="36">
        <f t="shared" si="64"/>
        <v>0</v>
      </c>
      <c r="AN108" s="36">
        <f t="shared" si="64"/>
        <v>0</v>
      </c>
      <c r="AO108" s="36">
        <f t="shared" si="64"/>
        <v>0</v>
      </c>
      <c r="AP108" s="36">
        <f t="shared" si="64"/>
        <v>0</v>
      </c>
      <c r="AQ108" s="36">
        <f t="shared" si="64"/>
        <v>0</v>
      </c>
      <c r="AR108" s="36">
        <f t="shared" si="64"/>
        <v>0</v>
      </c>
      <c r="AS108" s="36">
        <f t="shared" si="64"/>
        <v>0</v>
      </c>
      <c r="AT108" s="36">
        <f t="shared" si="64"/>
        <v>0</v>
      </c>
      <c r="AU108" s="36">
        <f t="shared" si="64"/>
        <v>0</v>
      </c>
      <c r="AV108" s="36">
        <f t="shared" si="64"/>
        <v>0</v>
      </c>
      <c r="AW108" s="36">
        <f t="shared" si="64"/>
        <v>0</v>
      </c>
      <c r="AX108" s="36">
        <f t="shared" si="64"/>
        <v>0</v>
      </c>
    </row>
    <row r="109" spans="2:50">
      <c r="D109" s="29" t="s">
        <v>104</v>
      </c>
      <c r="H109" s="36">
        <f t="shared" si="63"/>
        <v>0</v>
      </c>
      <c r="K109" s="36">
        <f>-MIN(K112,SUM(K107:K108))</f>
        <v>0</v>
      </c>
      <c r="L109" s="36">
        <f t="shared" ref="L109:AX109" si="65">-MIN(L112,SUM(L107:L108))</f>
        <v>0</v>
      </c>
      <c r="M109" s="36">
        <f t="shared" si="65"/>
        <v>0</v>
      </c>
      <c r="N109" s="36">
        <f t="shared" si="65"/>
        <v>0</v>
      </c>
      <c r="O109" s="36">
        <f t="shared" si="65"/>
        <v>0</v>
      </c>
      <c r="P109" s="36">
        <f t="shared" si="65"/>
        <v>0</v>
      </c>
      <c r="Q109" s="36">
        <f t="shared" si="65"/>
        <v>0</v>
      </c>
      <c r="R109" s="36">
        <f t="shared" si="65"/>
        <v>0</v>
      </c>
      <c r="S109" s="36">
        <f t="shared" si="65"/>
        <v>0</v>
      </c>
      <c r="T109" s="36">
        <f t="shared" si="65"/>
        <v>0</v>
      </c>
      <c r="U109" s="36">
        <f t="shared" si="65"/>
        <v>0</v>
      </c>
      <c r="V109" s="36">
        <f t="shared" si="65"/>
        <v>0</v>
      </c>
      <c r="W109" s="36">
        <f t="shared" si="65"/>
        <v>0</v>
      </c>
      <c r="X109" s="36">
        <f t="shared" si="65"/>
        <v>0</v>
      </c>
      <c r="Y109" s="36">
        <f t="shared" si="65"/>
        <v>0</v>
      </c>
      <c r="Z109" s="36">
        <f t="shared" si="65"/>
        <v>0</v>
      </c>
      <c r="AA109" s="36">
        <f t="shared" si="65"/>
        <v>0</v>
      </c>
      <c r="AB109" s="36">
        <f t="shared" si="65"/>
        <v>0</v>
      </c>
      <c r="AC109" s="36">
        <f t="shared" si="65"/>
        <v>0</v>
      </c>
      <c r="AD109" s="36">
        <f t="shared" si="65"/>
        <v>0</v>
      </c>
      <c r="AE109" s="36">
        <f t="shared" si="65"/>
        <v>0</v>
      </c>
      <c r="AF109" s="36">
        <f t="shared" si="65"/>
        <v>0</v>
      </c>
      <c r="AG109" s="36">
        <f t="shared" si="65"/>
        <v>0</v>
      </c>
      <c r="AH109" s="36">
        <f t="shared" si="65"/>
        <v>0</v>
      </c>
      <c r="AI109" s="36">
        <f t="shared" si="65"/>
        <v>0</v>
      </c>
      <c r="AJ109" s="36">
        <f t="shared" si="65"/>
        <v>0</v>
      </c>
      <c r="AK109" s="36">
        <f t="shared" si="65"/>
        <v>0</v>
      </c>
      <c r="AL109" s="36">
        <f t="shared" si="65"/>
        <v>0</v>
      </c>
      <c r="AM109" s="36">
        <f t="shared" si="65"/>
        <v>0</v>
      </c>
      <c r="AN109" s="36">
        <f t="shared" si="65"/>
        <v>0</v>
      </c>
      <c r="AO109" s="36">
        <f t="shared" si="65"/>
        <v>0</v>
      </c>
      <c r="AP109" s="36">
        <f t="shared" si="65"/>
        <v>0</v>
      </c>
      <c r="AQ109" s="36">
        <f t="shared" si="65"/>
        <v>0</v>
      </c>
      <c r="AR109" s="36">
        <f t="shared" si="65"/>
        <v>0</v>
      </c>
      <c r="AS109" s="36">
        <f t="shared" si="65"/>
        <v>0</v>
      </c>
      <c r="AT109" s="36">
        <f t="shared" si="65"/>
        <v>0</v>
      </c>
      <c r="AU109" s="36">
        <f t="shared" si="65"/>
        <v>0</v>
      </c>
      <c r="AV109" s="36">
        <f t="shared" si="65"/>
        <v>0</v>
      </c>
      <c r="AW109" s="36">
        <f t="shared" si="65"/>
        <v>0</v>
      </c>
      <c r="AX109" s="36">
        <f t="shared" si="65"/>
        <v>0</v>
      </c>
    </row>
    <row r="110" spans="2:50">
      <c r="D110" s="29" t="s">
        <v>82</v>
      </c>
      <c r="J110" s="55">
        <v>0</v>
      </c>
      <c r="K110" s="39">
        <f>SUM(K107:K109)</f>
        <v>0</v>
      </c>
      <c r="L110" s="39">
        <f t="shared" ref="L110:AX110" si="66">SUM(L107:L109)</f>
        <v>0</v>
      </c>
      <c r="M110" s="39">
        <f t="shared" si="66"/>
        <v>0</v>
      </c>
      <c r="N110" s="39">
        <f t="shared" si="66"/>
        <v>0</v>
      </c>
      <c r="O110" s="39">
        <f t="shared" si="66"/>
        <v>0</v>
      </c>
      <c r="P110" s="39">
        <f t="shared" si="66"/>
        <v>0</v>
      </c>
      <c r="Q110" s="39">
        <f t="shared" si="66"/>
        <v>0</v>
      </c>
      <c r="R110" s="39">
        <f t="shared" si="66"/>
        <v>0</v>
      </c>
      <c r="S110" s="39">
        <f t="shared" si="66"/>
        <v>0</v>
      </c>
      <c r="T110" s="39">
        <f t="shared" si="66"/>
        <v>0</v>
      </c>
      <c r="U110" s="39">
        <f t="shared" si="66"/>
        <v>0</v>
      </c>
      <c r="V110" s="39">
        <f t="shared" si="66"/>
        <v>0</v>
      </c>
      <c r="W110" s="39">
        <f t="shared" si="66"/>
        <v>0</v>
      </c>
      <c r="X110" s="39">
        <f t="shared" si="66"/>
        <v>0</v>
      </c>
      <c r="Y110" s="39">
        <f t="shared" si="66"/>
        <v>0</v>
      </c>
      <c r="Z110" s="39">
        <f t="shared" si="66"/>
        <v>0</v>
      </c>
      <c r="AA110" s="39">
        <f t="shared" si="66"/>
        <v>0</v>
      </c>
      <c r="AB110" s="39">
        <f t="shared" si="66"/>
        <v>0</v>
      </c>
      <c r="AC110" s="39">
        <f t="shared" si="66"/>
        <v>0</v>
      </c>
      <c r="AD110" s="39">
        <f t="shared" si="66"/>
        <v>0</v>
      </c>
      <c r="AE110" s="39">
        <f t="shared" si="66"/>
        <v>0</v>
      </c>
      <c r="AF110" s="39">
        <f t="shared" si="66"/>
        <v>0</v>
      </c>
      <c r="AG110" s="39">
        <f t="shared" si="66"/>
        <v>0</v>
      </c>
      <c r="AH110" s="39">
        <f t="shared" si="66"/>
        <v>0</v>
      </c>
      <c r="AI110" s="39">
        <f t="shared" si="66"/>
        <v>0</v>
      </c>
      <c r="AJ110" s="39">
        <f t="shared" si="66"/>
        <v>0</v>
      </c>
      <c r="AK110" s="39">
        <f t="shared" si="66"/>
        <v>0</v>
      </c>
      <c r="AL110" s="39">
        <f t="shared" si="66"/>
        <v>0</v>
      </c>
      <c r="AM110" s="39">
        <f t="shared" si="66"/>
        <v>0</v>
      </c>
      <c r="AN110" s="39">
        <f t="shared" si="66"/>
        <v>0</v>
      </c>
      <c r="AO110" s="39">
        <f t="shared" si="66"/>
        <v>0</v>
      </c>
      <c r="AP110" s="39">
        <f t="shared" si="66"/>
        <v>0</v>
      </c>
      <c r="AQ110" s="39">
        <f t="shared" si="66"/>
        <v>0</v>
      </c>
      <c r="AR110" s="39">
        <f t="shared" si="66"/>
        <v>0</v>
      </c>
      <c r="AS110" s="39">
        <f t="shared" si="66"/>
        <v>0</v>
      </c>
      <c r="AT110" s="39">
        <f t="shared" si="66"/>
        <v>0</v>
      </c>
      <c r="AU110" s="39">
        <f t="shared" si="66"/>
        <v>0</v>
      </c>
      <c r="AV110" s="39">
        <f t="shared" si="66"/>
        <v>0</v>
      </c>
      <c r="AW110" s="39">
        <f t="shared" si="66"/>
        <v>0</v>
      </c>
      <c r="AX110" s="39">
        <f t="shared" si="66"/>
        <v>0</v>
      </c>
    </row>
    <row r="112" spans="2:50">
      <c r="D112" s="29" t="s">
        <v>77</v>
      </c>
      <c r="K112" s="36">
        <f t="shared" ref="K112:AX112" si="67">K41</f>
        <v>363371.57093768974</v>
      </c>
      <c r="L112" s="36">
        <f t="shared" si="67"/>
        <v>219242.57093768974</v>
      </c>
      <c r="M112" s="36">
        <f t="shared" si="67"/>
        <v>306838.07093768974</v>
      </c>
      <c r="N112" s="36">
        <f t="shared" si="67"/>
        <v>332507.57093768963</v>
      </c>
      <c r="O112" s="36">
        <f t="shared" si="67"/>
        <v>375757.07093768974</v>
      </c>
      <c r="P112" s="36">
        <f t="shared" si="67"/>
        <v>229540.0709376898</v>
      </c>
      <c r="Q112" s="36">
        <f t="shared" si="67"/>
        <v>174295.07093768974</v>
      </c>
      <c r="R112" s="36">
        <f t="shared" si="67"/>
        <v>44557.070937689743</v>
      </c>
      <c r="S112" s="36">
        <f t="shared" si="67"/>
        <v>140852.57093768974</v>
      </c>
      <c r="T112" s="36">
        <f t="shared" si="67"/>
        <v>359740.07093768986</v>
      </c>
      <c r="U112" s="36">
        <f t="shared" si="67"/>
        <v>310433.57093768986</v>
      </c>
      <c r="V112" s="36">
        <f t="shared" si="67"/>
        <v>353990.57093768963</v>
      </c>
      <c r="W112" s="36">
        <f t="shared" si="67"/>
        <v>228751.07093768974</v>
      </c>
      <c r="X112" s="36">
        <f t="shared" si="67"/>
        <v>262139.5709376898</v>
      </c>
      <c r="Y112" s="36">
        <f t="shared" si="67"/>
        <v>246220.0709376898</v>
      </c>
      <c r="Z112" s="36">
        <f t="shared" si="67"/>
        <v>485614.07093768974</v>
      </c>
      <c r="AA112" s="36">
        <f t="shared" si="67"/>
        <v>354418.07093768974</v>
      </c>
      <c r="AB112" s="36">
        <f t="shared" si="67"/>
        <v>253013.57093768968</v>
      </c>
      <c r="AC112" s="36">
        <f t="shared" si="67"/>
        <v>158686.07093768974</v>
      </c>
      <c r="AD112" s="36">
        <f t="shared" si="67"/>
        <v>199276.07093768974</v>
      </c>
      <c r="AE112" s="36">
        <f t="shared" si="67"/>
        <v>351791.57093768986</v>
      </c>
      <c r="AF112" s="36">
        <f t="shared" si="67"/>
        <v>218308.07093768974</v>
      </c>
      <c r="AG112" s="36">
        <f t="shared" si="67"/>
        <v>515395.07093768963</v>
      </c>
      <c r="AH112" s="36">
        <f t="shared" si="67"/>
        <v>353557.07093768974</v>
      </c>
      <c r="AI112" s="36">
        <f t="shared" si="67"/>
        <v>143791.07093768974</v>
      </c>
      <c r="AJ112" s="36">
        <f t="shared" si="67"/>
        <v>385351.07093768963</v>
      </c>
      <c r="AK112" s="36">
        <f t="shared" si="67"/>
        <v>250394.5709376898</v>
      </c>
      <c r="AL112" s="36">
        <f t="shared" si="67"/>
        <v>437933.57093768974</v>
      </c>
      <c r="AM112" s="36">
        <f t="shared" si="67"/>
        <v>234305.57093768974</v>
      </c>
      <c r="AN112" s="36">
        <f t="shared" si="67"/>
        <v>216740.57093768974</v>
      </c>
      <c r="AO112" s="36">
        <f t="shared" si="67"/>
        <v>434344.07093768986</v>
      </c>
      <c r="AP112" s="36">
        <f t="shared" si="67"/>
        <v>1146812.5709376903</v>
      </c>
      <c r="AQ112" s="36">
        <f t="shared" si="67"/>
        <v>996447</v>
      </c>
      <c r="AR112" s="36">
        <f t="shared" si="67"/>
        <v>754699.5</v>
      </c>
      <c r="AS112" s="36">
        <f t="shared" si="67"/>
        <v>923931</v>
      </c>
      <c r="AT112" s="36">
        <f t="shared" si="67"/>
        <v>1008861</v>
      </c>
      <c r="AU112" s="36">
        <f t="shared" si="67"/>
        <v>962176.5</v>
      </c>
      <c r="AV112" s="36">
        <f t="shared" si="67"/>
        <v>939579</v>
      </c>
      <c r="AW112" s="36">
        <f t="shared" si="67"/>
        <v>1145262</v>
      </c>
      <c r="AX112" s="36">
        <f t="shared" si="67"/>
        <v>864577.5</v>
      </c>
    </row>
    <row r="115" spans="2:50">
      <c r="B115" s="33" t="s">
        <v>38</v>
      </c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</row>
    <row r="117" spans="2:50">
      <c r="C117" s="29" t="s">
        <v>105</v>
      </c>
      <c r="J117" s="41">
        <f t="shared" ref="J117:AX117" si="68">J6</f>
        <v>44926</v>
      </c>
      <c r="K117" s="41">
        <f t="shared" si="68"/>
        <v>45016</v>
      </c>
      <c r="L117" s="41">
        <f t="shared" si="68"/>
        <v>45107</v>
      </c>
      <c r="M117" s="41">
        <f t="shared" si="68"/>
        <v>45199</v>
      </c>
      <c r="N117" s="41">
        <f t="shared" si="68"/>
        <v>45291</v>
      </c>
      <c r="O117" s="41">
        <f t="shared" si="68"/>
        <v>45382</v>
      </c>
      <c r="P117" s="41">
        <f t="shared" si="68"/>
        <v>45473</v>
      </c>
      <c r="Q117" s="41">
        <f t="shared" si="68"/>
        <v>45565</v>
      </c>
      <c r="R117" s="41">
        <f t="shared" si="68"/>
        <v>45657</v>
      </c>
      <c r="S117" s="41">
        <f t="shared" si="68"/>
        <v>45747</v>
      </c>
      <c r="T117" s="41">
        <f t="shared" si="68"/>
        <v>45838</v>
      </c>
      <c r="U117" s="41">
        <f t="shared" si="68"/>
        <v>45930</v>
      </c>
      <c r="V117" s="41">
        <f t="shared" si="68"/>
        <v>46022</v>
      </c>
      <c r="W117" s="41">
        <f t="shared" si="68"/>
        <v>46112</v>
      </c>
      <c r="X117" s="41">
        <f t="shared" si="68"/>
        <v>46203</v>
      </c>
      <c r="Y117" s="41">
        <f t="shared" si="68"/>
        <v>46295</v>
      </c>
      <c r="Z117" s="41">
        <f t="shared" si="68"/>
        <v>46387</v>
      </c>
      <c r="AA117" s="41">
        <f t="shared" si="68"/>
        <v>46477</v>
      </c>
      <c r="AB117" s="41">
        <f t="shared" si="68"/>
        <v>46568</v>
      </c>
      <c r="AC117" s="41">
        <f t="shared" si="68"/>
        <v>46660</v>
      </c>
      <c r="AD117" s="41">
        <f t="shared" si="68"/>
        <v>46752</v>
      </c>
      <c r="AE117" s="41">
        <f t="shared" si="68"/>
        <v>46843</v>
      </c>
      <c r="AF117" s="41">
        <f t="shared" si="68"/>
        <v>46934</v>
      </c>
      <c r="AG117" s="41">
        <f t="shared" si="68"/>
        <v>47026</v>
      </c>
      <c r="AH117" s="41">
        <f t="shared" si="68"/>
        <v>47118</v>
      </c>
      <c r="AI117" s="41">
        <f t="shared" si="68"/>
        <v>47208</v>
      </c>
      <c r="AJ117" s="41">
        <f t="shared" si="68"/>
        <v>47299</v>
      </c>
      <c r="AK117" s="41">
        <f t="shared" si="68"/>
        <v>47391</v>
      </c>
      <c r="AL117" s="41">
        <f t="shared" si="68"/>
        <v>47483</v>
      </c>
      <c r="AM117" s="41">
        <f t="shared" si="68"/>
        <v>47573</v>
      </c>
      <c r="AN117" s="41">
        <f t="shared" si="68"/>
        <v>47664</v>
      </c>
      <c r="AO117" s="41">
        <f t="shared" si="68"/>
        <v>47756</v>
      </c>
      <c r="AP117" s="41">
        <f t="shared" si="68"/>
        <v>47848</v>
      </c>
      <c r="AQ117" s="41">
        <f t="shared" si="68"/>
        <v>47938</v>
      </c>
      <c r="AR117" s="41">
        <f t="shared" si="68"/>
        <v>48029</v>
      </c>
      <c r="AS117" s="41">
        <f t="shared" si="68"/>
        <v>48121</v>
      </c>
      <c r="AT117" s="41">
        <f t="shared" si="68"/>
        <v>48213</v>
      </c>
      <c r="AU117" s="41">
        <f t="shared" si="68"/>
        <v>48304</v>
      </c>
      <c r="AV117" s="41">
        <f t="shared" si="68"/>
        <v>48395</v>
      </c>
      <c r="AW117" s="41">
        <f t="shared" si="68"/>
        <v>48487</v>
      </c>
      <c r="AX117" s="41">
        <f t="shared" si="68"/>
        <v>48579</v>
      </c>
    </row>
    <row r="119" spans="2:50">
      <c r="C119" s="29" t="s">
        <v>5</v>
      </c>
      <c r="H119" s="36">
        <f t="shared" ref="H119:H121" si="69">SUM(K119:AX119)</f>
        <v>0</v>
      </c>
      <c r="J119" s="54">
        <f>-CaseData!H30</f>
        <v>-6000000</v>
      </c>
      <c r="K119" s="36">
        <v>0</v>
      </c>
      <c r="L119" s="36">
        <v>0</v>
      </c>
      <c r="M119" s="36">
        <v>0</v>
      </c>
      <c r="N119" s="36">
        <v>0</v>
      </c>
      <c r="O119" s="36">
        <v>0</v>
      </c>
      <c r="P119" s="36">
        <v>0</v>
      </c>
      <c r="Q119" s="36">
        <v>0</v>
      </c>
      <c r="R119" s="36">
        <v>0</v>
      </c>
      <c r="S119" s="36">
        <v>0</v>
      </c>
      <c r="T119" s="36">
        <v>0</v>
      </c>
      <c r="U119" s="36">
        <v>0</v>
      </c>
      <c r="V119" s="36">
        <v>0</v>
      </c>
      <c r="W119" s="36">
        <v>0</v>
      </c>
      <c r="X119" s="36">
        <v>0</v>
      </c>
      <c r="Y119" s="36">
        <v>0</v>
      </c>
      <c r="Z119" s="36">
        <v>0</v>
      </c>
      <c r="AA119" s="36">
        <v>0</v>
      </c>
      <c r="AB119" s="36">
        <v>0</v>
      </c>
      <c r="AC119" s="36">
        <v>0</v>
      </c>
      <c r="AD119" s="36">
        <v>0</v>
      </c>
      <c r="AE119" s="36">
        <v>0</v>
      </c>
      <c r="AF119" s="36">
        <v>0</v>
      </c>
      <c r="AG119" s="36">
        <v>0</v>
      </c>
      <c r="AH119" s="36">
        <v>0</v>
      </c>
      <c r="AI119" s="36">
        <v>0</v>
      </c>
      <c r="AJ119" s="36">
        <v>0</v>
      </c>
      <c r="AK119" s="36">
        <v>0</v>
      </c>
      <c r="AL119" s="36">
        <v>0</v>
      </c>
      <c r="AM119" s="36">
        <v>0</v>
      </c>
      <c r="AN119" s="36">
        <v>0</v>
      </c>
      <c r="AO119" s="36">
        <v>0</v>
      </c>
      <c r="AP119" s="36">
        <v>0</v>
      </c>
      <c r="AQ119" s="36">
        <v>0</v>
      </c>
      <c r="AR119" s="36">
        <v>0</v>
      </c>
      <c r="AS119" s="36">
        <v>0</v>
      </c>
      <c r="AT119" s="36">
        <v>0</v>
      </c>
      <c r="AU119" s="36">
        <v>0</v>
      </c>
      <c r="AV119" s="36">
        <v>0</v>
      </c>
      <c r="AW119" s="36">
        <v>0</v>
      </c>
      <c r="AX119" s="36">
        <v>0</v>
      </c>
    </row>
    <row r="120" spans="2:50">
      <c r="C120" s="29" t="s">
        <v>106</v>
      </c>
      <c r="H120" s="36">
        <f t="shared" si="69"/>
        <v>17683502.770006068</v>
      </c>
      <c r="J120" s="36">
        <v>0</v>
      </c>
      <c r="K120" s="36">
        <f t="shared" ref="K120:AX120" si="70">K44</f>
        <v>363371.57093768974</v>
      </c>
      <c r="L120" s="36">
        <f t="shared" si="70"/>
        <v>219242.57093768974</v>
      </c>
      <c r="M120" s="36">
        <f t="shared" si="70"/>
        <v>306838.07093768974</v>
      </c>
      <c r="N120" s="36">
        <f t="shared" si="70"/>
        <v>332507.57093768963</v>
      </c>
      <c r="O120" s="36">
        <f t="shared" si="70"/>
        <v>375757.07093768974</v>
      </c>
      <c r="P120" s="36">
        <f t="shared" si="70"/>
        <v>229540.0709376898</v>
      </c>
      <c r="Q120" s="36">
        <f t="shared" si="70"/>
        <v>174295.07093768974</v>
      </c>
      <c r="R120" s="36">
        <f t="shared" si="70"/>
        <v>44557.070937689743</v>
      </c>
      <c r="S120" s="36">
        <f t="shared" si="70"/>
        <v>140852.57093768974</v>
      </c>
      <c r="T120" s="36">
        <f t="shared" si="70"/>
        <v>359740.07093768986</v>
      </c>
      <c r="U120" s="36">
        <f t="shared" si="70"/>
        <v>310433.57093768986</v>
      </c>
      <c r="V120" s="36">
        <f t="shared" si="70"/>
        <v>353990.57093768963</v>
      </c>
      <c r="W120" s="36">
        <f t="shared" si="70"/>
        <v>228751.07093768974</v>
      </c>
      <c r="X120" s="36">
        <f t="shared" si="70"/>
        <v>262139.5709376898</v>
      </c>
      <c r="Y120" s="36">
        <f t="shared" si="70"/>
        <v>246220.0709376898</v>
      </c>
      <c r="Z120" s="36">
        <f t="shared" si="70"/>
        <v>485614.07093768974</v>
      </c>
      <c r="AA120" s="36">
        <f t="shared" si="70"/>
        <v>354418.07093768974</v>
      </c>
      <c r="AB120" s="36">
        <f t="shared" si="70"/>
        <v>253013.57093768968</v>
      </c>
      <c r="AC120" s="36">
        <f t="shared" si="70"/>
        <v>158686.07093768974</v>
      </c>
      <c r="AD120" s="36">
        <f t="shared" si="70"/>
        <v>199276.07093768974</v>
      </c>
      <c r="AE120" s="36">
        <f t="shared" si="70"/>
        <v>351791.57093768986</v>
      </c>
      <c r="AF120" s="36">
        <f t="shared" si="70"/>
        <v>218308.07093768974</v>
      </c>
      <c r="AG120" s="36">
        <f t="shared" si="70"/>
        <v>515395.07093768963</v>
      </c>
      <c r="AH120" s="36">
        <f t="shared" si="70"/>
        <v>353557.07093768974</v>
      </c>
      <c r="AI120" s="36">
        <f t="shared" si="70"/>
        <v>143791.07093768974</v>
      </c>
      <c r="AJ120" s="36">
        <f t="shared" si="70"/>
        <v>385351.07093768963</v>
      </c>
      <c r="AK120" s="36">
        <f t="shared" si="70"/>
        <v>250394.5709376898</v>
      </c>
      <c r="AL120" s="36">
        <f t="shared" si="70"/>
        <v>437933.57093768974</v>
      </c>
      <c r="AM120" s="36">
        <f t="shared" si="70"/>
        <v>234305.57093768974</v>
      </c>
      <c r="AN120" s="36">
        <f t="shared" si="70"/>
        <v>216740.57093768974</v>
      </c>
      <c r="AO120" s="36">
        <f t="shared" si="70"/>
        <v>434344.07093768986</v>
      </c>
      <c r="AP120" s="36">
        <f t="shared" si="70"/>
        <v>1146812.5709376903</v>
      </c>
      <c r="AQ120" s="36">
        <f t="shared" si="70"/>
        <v>996447</v>
      </c>
      <c r="AR120" s="36">
        <f t="shared" si="70"/>
        <v>754699.5</v>
      </c>
      <c r="AS120" s="36">
        <f t="shared" si="70"/>
        <v>923931</v>
      </c>
      <c r="AT120" s="36">
        <f t="shared" si="70"/>
        <v>1008861</v>
      </c>
      <c r="AU120" s="36">
        <f t="shared" si="70"/>
        <v>962176.5</v>
      </c>
      <c r="AV120" s="36">
        <f t="shared" si="70"/>
        <v>939579</v>
      </c>
      <c r="AW120" s="36">
        <f t="shared" si="70"/>
        <v>1145262</v>
      </c>
      <c r="AX120" s="36">
        <f t="shared" si="70"/>
        <v>864577.5</v>
      </c>
    </row>
    <row r="121" spans="2:50">
      <c r="C121" s="29" t="s">
        <v>0</v>
      </c>
      <c r="H121" s="39">
        <f t="shared" si="69"/>
        <v>17683502.770006068</v>
      </c>
      <c r="J121" s="39">
        <f>SUM(J119:J120)</f>
        <v>-6000000</v>
      </c>
      <c r="K121" s="39">
        <f>SUM(K119:K120)</f>
        <v>363371.57093768974</v>
      </c>
      <c r="L121" s="39">
        <f t="shared" ref="L121:AX121" si="71">SUM(L119:L120)</f>
        <v>219242.57093768974</v>
      </c>
      <c r="M121" s="39">
        <f t="shared" si="71"/>
        <v>306838.07093768974</v>
      </c>
      <c r="N121" s="39">
        <f t="shared" si="71"/>
        <v>332507.57093768963</v>
      </c>
      <c r="O121" s="39">
        <f t="shared" si="71"/>
        <v>375757.07093768974</v>
      </c>
      <c r="P121" s="39">
        <f t="shared" si="71"/>
        <v>229540.0709376898</v>
      </c>
      <c r="Q121" s="39">
        <f t="shared" si="71"/>
        <v>174295.07093768974</v>
      </c>
      <c r="R121" s="39">
        <f t="shared" si="71"/>
        <v>44557.070937689743</v>
      </c>
      <c r="S121" s="39">
        <f t="shared" si="71"/>
        <v>140852.57093768974</v>
      </c>
      <c r="T121" s="39">
        <f t="shared" si="71"/>
        <v>359740.07093768986</v>
      </c>
      <c r="U121" s="39">
        <f t="shared" si="71"/>
        <v>310433.57093768986</v>
      </c>
      <c r="V121" s="39">
        <f t="shared" si="71"/>
        <v>353990.57093768963</v>
      </c>
      <c r="W121" s="39">
        <f t="shared" si="71"/>
        <v>228751.07093768974</v>
      </c>
      <c r="X121" s="39">
        <f t="shared" si="71"/>
        <v>262139.5709376898</v>
      </c>
      <c r="Y121" s="39">
        <f t="shared" si="71"/>
        <v>246220.0709376898</v>
      </c>
      <c r="Z121" s="39">
        <f t="shared" si="71"/>
        <v>485614.07093768974</v>
      </c>
      <c r="AA121" s="39">
        <f t="shared" si="71"/>
        <v>354418.07093768974</v>
      </c>
      <c r="AB121" s="39">
        <f t="shared" si="71"/>
        <v>253013.57093768968</v>
      </c>
      <c r="AC121" s="39">
        <f t="shared" si="71"/>
        <v>158686.07093768974</v>
      </c>
      <c r="AD121" s="39">
        <f t="shared" si="71"/>
        <v>199276.07093768974</v>
      </c>
      <c r="AE121" s="39">
        <f t="shared" si="71"/>
        <v>351791.57093768986</v>
      </c>
      <c r="AF121" s="39">
        <f t="shared" si="71"/>
        <v>218308.07093768974</v>
      </c>
      <c r="AG121" s="39">
        <f t="shared" si="71"/>
        <v>515395.07093768963</v>
      </c>
      <c r="AH121" s="39">
        <f t="shared" si="71"/>
        <v>353557.07093768974</v>
      </c>
      <c r="AI121" s="39">
        <f t="shared" si="71"/>
        <v>143791.07093768974</v>
      </c>
      <c r="AJ121" s="39">
        <f t="shared" si="71"/>
        <v>385351.07093768963</v>
      </c>
      <c r="AK121" s="39">
        <f t="shared" si="71"/>
        <v>250394.5709376898</v>
      </c>
      <c r="AL121" s="39">
        <f t="shared" si="71"/>
        <v>437933.57093768974</v>
      </c>
      <c r="AM121" s="39">
        <f t="shared" si="71"/>
        <v>234305.57093768974</v>
      </c>
      <c r="AN121" s="39">
        <f t="shared" si="71"/>
        <v>216740.57093768974</v>
      </c>
      <c r="AO121" s="39">
        <f t="shared" si="71"/>
        <v>434344.07093768986</v>
      </c>
      <c r="AP121" s="39">
        <f t="shared" si="71"/>
        <v>1146812.5709376903</v>
      </c>
      <c r="AQ121" s="39">
        <f t="shared" si="71"/>
        <v>996447</v>
      </c>
      <c r="AR121" s="39">
        <f t="shared" si="71"/>
        <v>754699.5</v>
      </c>
      <c r="AS121" s="39">
        <f t="shared" si="71"/>
        <v>923931</v>
      </c>
      <c r="AT121" s="39">
        <f t="shared" si="71"/>
        <v>1008861</v>
      </c>
      <c r="AU121" s="39">
        <f t="shared" si="71"/>
        <v>962176.5</v>
      </c>
      <c r="AV121" s="39">
        <f t="shared" si="71"/>
        <v>939579</v>
      </c>
      <c r="AW121" s="39">
        <f t="shared" si="71"/>
        <v>1145262</v>
      </c>
      <c r="AX121" s="39">
        <f t="shared" si="71"/>
        <v>864577.5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368789A-D548-45C9-B996-1971C55F98CE}">
          <x14:formula1>
            <xm:f>CaseData!$M$6:$R$6</xm:f>
          </x14:formula1>
          <xm:sqref>G23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Debt</vt:lpstr>
      <vt:lpstr>CaseData</vt:lpstr>
      <vt:lpstr>CaseSolution</vt:lpstr>
      <vt:lpstr>company</vt:lpstr>
      <vt:lpstr>end_date</vt:lpstr>
      <vt:lpstr>periods</vt:lpstr>
      <vt:lpstr>Debt!Print_Area</vt:lpstr>
      <vt:lpstr>Debt!Print_Titles</vt:lpstr>
      <vt:lpstr>scenarios</vt:lpstr>
      <vt:lpstr>selector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2026-08-30T10:49:07Z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2026-08-29T15:56:47Z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72e1c83e-b44a-48fd-bbd5-9f273cc7e42a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