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3"/>
  <workbookPr filterPrivacy="1" defaultThemeVersion="124226"/>
  <xr:revisionPtr revIDLastSave="444" documentId="13_ncr:1_{0CEED15B-7137-4F3B-BEA9-92853A818E54}" xr6:coauthVersionLast="47" xr6:coauthVersionMax="47" xr10:uidLastSave="{9D4590EA-C6E3-42F2-97B6-3F00FB053F58}"/>
  <bookViews>
    <workbookView xWindow="28680" yWindow="-120" windowWidth="29040" windowHeight="16440" xr2:uid="{00000000-000D-0000-FFFF-FFFF00000000}"/>
  </bookViews>
  <sheets>
    <sheet name="Calculations" sheetId="33" r:id="rId1"/>
    <sheet name="Time" sheetId="32" r:id="rId2"/>
    <sheet name="CaseData" sheetId="17" r:id="rId3"/>
    <sheet name="CaseSolution" sheetId="30" r:id="rId4"/>
    <sheet name="Tmp" sheetId="31" r:id="rId5"/>
  </sheets>
  <definedNames>
    <definedName name="company">CaseData!$E$84</definedName>
    <definedName name="expense_scenarios">CaseData!$L$10:$L$12</definedName>
    <definedName name="expense_selector">Calculations!$F$8</definedName>
    <definedName name="fx_rates">CaseData!$D$30:$D$32</definedName>
    <definedName name="fx_rates_selector">Calculations!$F$29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periods">CaseData!$H$36</definedName>
    <definedName name="pricing_scenarios">CaseData!$L$10:$L$12</definedName>
    <definedName name="pricing_selector">Calculations!$F$6</definedName>
    <definedName name="_xlnm.Print_Titles" localSheetId="0">Calculations!$1:$4</definedName>
    <definedName name="_xlnm.Print_Titles" localSheetId="1">Time!$1:$4</definedName>
    <definedName name="_xlnm.Print_Titles" localSheetId="4">Tmp!$1:$4</definedName>
    <definedName name="start_date">CaseData!$H$35</definedName>
    <definedName name="topic">"CFM  Topic: " &amp; CaseData!$E$85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2" i="33" l="1" a="1"/>
  <c r="J64" i="33" a="1"/>
  <c r="J54" i="33" a="1"/>
  <c r="J83" i="33" a="1"/>
  <c r="J66" i="33" a="1"/>
  <c r="J82" i="33" a="1"/>
  <c r="J58" i="33" a="1"/>
  <c r="J81" i="33" a="1"/>
  <c r="J29" i="33" a="1"/>
  <c r="J32" i="33" a="1"/>
  <c r="J35" i="33" a="1"/>
  <c r="J39" i="33" a="1"/>
  <c r="J41" i="33" a="1"/>
  <c r="J80" i="33" a="1"/>
  <c r="J17" i="33" a="1"/>
  <c r="J20" i="33" a="1"/>
  <c r="J78" i="33" a="1"/>
  <c r="J77" i="33" a="1"/>
  <c r="K92" i="33" a="1"/>
  <c r="J14" i="33" a="1"/>
  <c r="J31" i="33" a="1"/>
  <c r="J26" i="33" a="1"/>
  <c r="J47" i="33" a="1"/>
  <c r="J84" i="33" a="1"/>
  <c r="J86" i="33" a="1"/>
  <c r="H86" i="33" a="1"/>
  <c r="J93" i="33"/>
  <c r="H94" i="33"/>
  <c r="H95" i="33"/>
  <c r="H96" i="33"/>
  <c r="H78" i="33" a="1"/>
  <c r="H80" i="33" a="1"/>
  <c r="H81" i="33" a="1"/>
  <c r="H82" i="33" a="1"/>
  <c r="H83" i="33" a="1"/>
  <c r="H84" i="33" a="1"/>
  <c r="H72" i="33" a="1"/>
  <c r="J15" i="32" a="1"/>
  <c r="J16" i="32" a="1"/>
  <c r="H66" i="33" a="1"/>
  <c r="H64" i="33" a="1"/>
  <c r="H58" i="33" a="1"/>
  <c r="H54" i="33" a="1"/>
  <c r="J51" i="33" a="1"/>
  <c r="H51" i="33" a="1"/>
  <c r="H47" i="33" a="1"/>
  <c r="J18" i="32" a="1"/>
  <c r="J19" i="32" a="1"/>
  <c r="J8" i="32" a="1"/>
  <c r="J10" i="32" a="1"/>
  <c r="H41" i="33" a="1"/>
  <c r="H39" i="33" a="1"/>
  <c r="H26" i="33" a="1"/>
  <c r="J14" i="32" a="1"/>
  <c r="H20" i="33" a="1"/>
  <c r="J3" i="33" a="1"/>
  <c r="J2" i="33" a="1"/>
  <c r="A2" i="33" a="1"/>
  <c r="A1" i="33" a="1"/>
  <c r="J11" i="32" a="1"/>
  <c r="J13" i="32"/>
  <c r="J3" i="32" a="1"/>
  <c r="J2" i="32" a="1"/>
  <c r="J7" i="32" a="1"/>
  <c r="A2" i="32" a="1"/>
  <c r="A1" i="32" a="1"/>
  <c r="A2" i="31" a="1"/>
  <c r="A1" i="31" a="1"/>
  <c r="J82" i="30"/>
  <c r="G14" i="30"/>
  <c r="G39" i="30"/>
  <c r="G40" i="30"/>
  <c r="G8" i="30"/>
  <c r="I5" i="30"/>
  <c r="H162" i="30"/>
  <c r="H161" i="30"/>
  <c r="H160" i="30"/>
  <c r="L158" i="30"/>
  <c r="K158" i="30"/>
  <c r="J158" i="30"/>
  <c r="C56" i="30"/>
  <c r="C50" i="30"/>
  <c r="H124" i="30"/>
  <c r="H113" i="30"/>
  <c r="H109" i="30"/>
  <c r="H97" i="30"/>
  <c r="H98" i="30"/>
  <c r="H96" i="30"/>
  <c r="H95" i="30"/>
  <c r="H85" i="30"/>
  <c r="H86" i="30"/>
  <c r="H87" i="30"/>
  <c r="H88" i="30"/>
  <c r="H73" i="30"/>
  <c r="H74" i="30"/>
  <c r="H75" i="30"/>
  <c r="H71" i="30"/>
  <c r="H70" i="30"/>
  <c r="H65" i="30"/>
  <c r="H66" i="30"/>
  <c r="H62" i="30"/>
  <c r="H57" i="30"/>
  <c r="H54" i="30"/>
  <c r="H51" i="30"/>
  <c r="H45" i="30"/>
  <c r="H44" i="30"/>
  <c r="H25" i="30"/>
  <c r="H26" i="30"/>
  <c r="H18" i="30"/>
  <c r="H32" i="30"/>
  <c r="G124" i="30"/>
  <c r="I124" i="30"/>
  <c r="I134" i="30"/>
  <c r="G117" i="30"/>
  <c r="AE117" i="30"/>
  <c r="G113" i="30"/>
  <c r="G109" i="30"/>
  <c r="G98" i="30"/>
  <c r="G97" i="30"/>
  <c r="G96" i="30"/>
  <c r="G95" i="30"/>
  <c r="G88" i="30"/>
  <c r="G87" i="30"/>
  <c r="G86" i="30"/>
  <c r="G85" i="30"/>
  <c r="E88" i="30"/>
  <c r="E87" i="30"/>
  <c r="E97" i="30"/>
  <c r="E86" i="30"/>
  <c r="E96" i="30"/>
  <c r="E85" i="30"/>
  <c r="E95" i="30"/>
  <c r="G62" i="30"/>
  <c r="G57" i="30"/>
  <c r="G54" i="30"/>
  <c r="BK54" i="30"/>
  <c r="G51" i="30"/>
  <c r="G44" i="30"/>
  <c r="G38" i="30"/>
  <c r="L25" i="30"/>
  <c r="L28" i="30"/>
  <c r="K25" i="30"/>
  <c r="K28" i="30"/>
  <c r="O25" i="30"/>
  <c r="O28" i="30"/>
  <c r="J25" i="30"/>
  <c r="J28" i="30"/>
  <c r="J33" i="30"/>
  <c r="J116" i="30"/>
  <c r="I25" i="30"/>
  <c r="G26" i="30"/>
  <c r="BF26" i="30"/>
  <c r="G20" i="30"/>
  <c r="G21" i="30"/>
  <c r="G19" i="30"/>
  <c r="G18" i="30"/>
  <c r="C14" i="30"/>
  <c r="H158" i="30"/>
  <c r="C12" i="30"/>
  <c r="J157" i="30"/>
  <c r="L12" i="17"/>
  <c r="L11" i="17"/>
  <c r="L10" i="17"/>
  <c r="I125" i="30"/>
  <c r="BK117" i="30"/>
  <c r="BH117" i="30"/>
  <c r="AU117" i="30"/>
  <c r="AR117" i="30"/>
  <c r="O117" i="30"/>
  <c r="L117" i="30"/>
  <c r="BP117" i="30"/>
  <c r="I114" i="30"/>
  <c r="I113" i="30"/>
  <c r="I110" i="30"/>
  <c r="I109" i="30"/>
  <c r="I98" i="30"/>
  <c r="I97" i="30"/>
  <c r="I96" i="30"/>
  <c r="I95" i="30"/>
  <c r="I93" i="30"/>
  <c r="E98" i="30"/>
  <c r="BM62" i="30"/>
  <c r="BJ62" i="30"/>
  <c r="BI62" i="30"/>
  <c r="AW62" i="30"/>
  <c r="AT62" i="30"/>
  <c r="AG62" i="30"/>
  <c r="AD62" i="30"/>
  <c r="AC62" i="30"/>
  <c r="Q62" i="30"/>
  <c r="N62" i="30"/>
  <c r="M62" i="30"/>
  <c r="I58" i="30"/>
  <c r="I57" i="30"/>
  <c r="BC54" i="30"/>
  <c r="W54" i="30"/>
  <c r="AM54" i="30"/>
  <c r="I52" i="30"/>
  <c r="I51" i="30"/>
  <c r="BN44" i="30"/>
  <c r="BM44" i="30"/>
  <c r="BJ44" i="30"/>
  <c r="BI44" i="30"/>
  <c r="BF44" i="30"/>
  <c r="BE44" i="30"/>
  <c r="BB44" i="30"/>
  <c r="BA44" i="30"/>
  <c r="AX44" i="30"/>
  <c r="AW44" i="30"/>
  <c r="AT44" i="30"/>
  <c r="AS44" i="30"/>
  <c r="AP44" i="30"/>
  <c r="AO44" i="30"/>
  <c r="AL44" i="30"/>
  <c r="AK44" i="30"/>
  <c r="AH44" i="30"/>
  <c r="AG44" i="30"/>
  <c r="AD44" i="30"/>
  <c r="AC44" i="30"/>
  <c r="Z44" i="30"/>
  <c r="Y44" i="30"/>
  <c r="V44" i="30"/>
  <c r="U44" i="30"/>
  <c r="R44" i="30"/>
  <c r="Q44" i="30"/>
  <c r="N44" i="30"/>
  <c r="M44" i="30"/>
  <c r="J44" i="30"/>
  <c r="I44" i="30"/>
  <c r="BP44" i="30"/>
  <c r="I28" i="30"/>
  <c r="BN26" i="30"/>
  <c r="BM26" i="30"/>
  <c r="BJ26" i="30"/>
  <c r="BI26" i="30"/>
  <c r="BB26" i="30"/>
  <c r="BA26" i="30"/>
  <c r="AX26" i="30"/>
  <c r="AW26" i="30"/>
  <c r="AT26" i="30"/>
  <c r="AS26" i="30"/>
  <c r="AL26" i="30"/>
  <c r="AK26" i="30"/>
  <c r="AH26" i="30"/>
  <c r="AG26" i="30"/>
  <c r="AD26" i="30"/>
  <c r="AC26" i="30"/>
  <c r="V26" i="30"/>
  <c r="U26" i="30"/>
  <c r="R26" i="30"/>
  <c r="Q26" i="30"/>
  <c r="N26" i="30"/>
  <c r="M26" i="30"/>
  <c r="K33" i="30"/>
  <c r="H33" i="30"/>
  <c r="I18" i="30"/>
  <c r="I32" i="30"/>
  <c r="J8" i="30"/>
  <c r="K8" i="30"/>
  <c r="I6" i="30"/>
  <c r="J47" i="30"/>
  <c r="L8" i="30"/>
  <c r="H116" i="30"/>
  <c r="H118" i="30"/>
  <c r="BN54" i="30"/>
  <c r="BJ54" i="30"/>
  <c r="BF54" i="30"/>
  <c r="BB54" i="30"/>
  <c r="AX54" i="30"/>
  <c r="AT54" i="30"/>
  <c r="AL54" i="30"/>
  <c r="AH54" i="30"/>
  <c r="AD54" i="30"/>
  <c r="Z54" i="30"/>
  <c r="V54" i="30"/>
  <c r="R54" i="30"/>
  <c r="N54" i="30"/>
  <c r="BM54" i="30"/>
  <c r="BI54" i="30"/>
  <c r="BE54" i="30"/>
  <c r="BA54" i="30"/>
  <c r="AW54" i="30"/>
  <c r="AS54" i="30"/>
  <c r="AO54" i="30"/>
  <c r="AG54" i="30"/>
  <c r="AC54" i="30"/>
  <c r="Y54" i="30"/>
  <c r="U54" i="30"/>
  <c r="Q54" i="30"/>
  <c r="M54" i="30"/>
  <c r="I54" i="30"/>
  <c r="BH54" i="30"/>
  <c r="AZ54" i="30"/>
  <c r="AR54" i="30"/>
  <c r="AJ54" i="30"/>
  <c r="AB54" i="30"/>
  <c r="T54" i="30"/>
  <c r="L54" i="30"/>
  <c r="AN54" i="30"/>
  <c r="X54" i="30"/>
  <c r="BO54" i="30"/>
  <c r="BG54" i="30"/>
  <c r="AY54" i="30"/>
  <c r="AQ54" i="30"/>
  <c r="AI54" i="30"/>
  <c r="S54" i="30"/>
  <c r="K54" i="30"/>
  <c r="BL54" i="30"/>
  <c r="AV54" i="30"/>
  <c r="AF54" i="30"/>
  <c r="P54" i="30"/>
  <c r="AE54" i="30"/>
  <c r="O54" i="30"/>
  <c r="AU54" i="30"/>
  <c r="O26" i="30"/>
  <c r="W26" i="30"/>
  <c r="AA26" i="30"/>
  <c r="AE26" i="30"/>
  <c r="AI26" i="30"/>
  <c r="AM26" i="30"/>
  <c r="AQ26" i="30"/>
  <c r="AU26" i="30"/>
  <c r="BC26" i="30"/>
  <c r="BG26" i="30"/>
  <c r="BK26" i="30"/>
  <c r="BO26" i="30"/>
  <c r="K44" i="30"/>
  <c r="O44" i="30"/>
  <c r="S44" i="30"/>
  <c r="W44" i="30"/>
  <c r="AA44" i="30"/>
  <c r="AE44" i="30"/>
  <c r="AI44" i="30"/>
  <c r="AM44" i="30"/>
  <c r="AQ44" i="30"/>
  <c r="AU44" i="30"/>
  <c r="AY44" i="30"/>
  <c r="BC44" i="30"/>
  <c r="BG44" i="30"/>
  <c r="BK44" i="30"/>
  <c r="BO44" i="30"/>
  <c r="N25" i="30"/>
  <c r="N28" i="30"/>
  <c r="P26" i="30"/>
  <c r="X26" i="30"/>
  <c r="AB26" i="30"/>
  <c r="AF26" i="30"/>
  <c r="AJ26" i="30"/>
  <c r="AN26" i="30"/>
  <c r="AR26" i="30"/>
  <c r="AV26" i="30"/>
  <c r="BD26" i="30"/>
  <c r="BH26" i="30"/>
  <c r="BL26" i="30"/>
  <c r="L44" i="30"/>
  <c r="P44" i="30"/>
  <c r="T44" i="30"/>
  <c r="X44" i="30"/>
  <c r="AB44" i="30"/>
  <c r="AF44" i="30"/>
  <c r="AJ44" i="30"/>
  <c r="AN44" i="30"/>
  <c r="AR44" i="30"/>
  <c r="AV44" i="30"/>
  <c r="AZ44" i="30"/>
  <c r="BD44" i="30"/>
  <c r="BH44" i="30"/>
  <c r="BL44" i="30"/>
  <c r="I104" i="30"/>
  <c r="O62" i="30"/>
  <c r="S62" i="30"/>
  <c r="W62" i="30"/>
  <c r="AU62" i="30"/>
  <c r="AY62" i="30"/>
  <c r="BC62" i="30"/>
  <c r="T62" i="30"/>
  <c r="X62" i="30"/>
  <c r="AB62" i="30"/>
  <c r="AZ62" i="30"/>
  <c r="BD62" i="30"/>
  <c r="BH62" i="30"/>
  <c r="T117" i="30"/>
  <c r="AJ117" i="30"/>
  <c r="AZ117" i="30"/>
  <c r="BN117" i="30"/>
  <c r="BJ117" i="30"/>
  <c r="BF117" i="30"/>
  <c r="BB117" i="30"/>
  <c r="AX117" i="30"/>
  <c r="AT117" i="30"/>
  <c r="AP117" i="30"/>
  <c r="AL117" i="30"/>
  <c r="AH117" i="30"/>
  <c r="AD117" i="30"/>
  <c r="Z117" i="30"/>
  <c r="V117" i="30"/>
  <c r="R117" i="30"/>
  <c r="N117" i="30"/>
  <c r="J117" i="30"/>
  <c r="J118" i="30"/>
  <c r="BM117" i="30"/>
  <c r="BI117" i="30"/>
  <c r="BE117" i="30"/>
  <c r="BA117" i="30"/>
  <c r="AW117" i="30"/>
  <c r="AS117" i="30"/>
  <c r="AO117" i="30"/>
  <c r="AK117" i="30"/>
  <c r="AG117" i="30"/>
  <c r="AC117" i="30"/>
  <c r="Y117" i="30"/>
  <c r="U117" i="30"/>
  <c r="Q117" i="30"/>
  <c r="M117" i="30"/>
  <c r="I117" i="30"/>
  <c r="BO117" i="30"/>
  <c r="BG117" i="30"/>
  <c r="AY117" i="30"/>
  <c r="AQ117" i="30"/>
  <c r="AI117" i="30"/>
  <c r="AA117" i="30"/>
  <c r="S117" i="30"/>
  <c r="K117" i="30"/>
  <c r="BL117" i="30"/>
  <c r="BD117" i="30"/>
  <c r="AV117" i="30"/>
  <c r="AN117" i="30"/>
  <c r="AF117" i="30"/>
  <c r="X117" i="30"/>
  <c r="P117" i="30"/>
  <c r="W117" i="30"/>
  <c r="AM117" i="30"/>
  <c r="BC117" i="30"/>
  <c r="H69" i="17"/>
  <c r="H68" i="17"/>
  <c r="H67" i="17"/>
  <c r="H37" i="17"/>
  <c r="G6" i="30"/>
  <c r="G141" i="30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H14" i="33" a="1"/>
  <c r="BB40" i="30"/>
  <c r="BB39" i="30"/>
  <c r="BB38" i="30"/>
  <c r="BB52" i="30"/>
  <c r="AX40" i="30"/>
  <c r="J40" i="30"/>
  <c r="J39" i="30"/>
  <c r="J38" i="30"/>
  <c r="AB40" i="30"/>
  <c r="AB39" i="30"/>
  <c r="AB38" i="30"/>
  <c r="AB52" i="30"/>
  <c r="BA40" i="30"/>
  <c r="BA39" i="30"/>
  <c r="BA38" i="30"/>
  <c r="AN40" i="30"/>
  <c r="AN39" i="30"/>
  <c r="AN38" i="30"/>
  <c r="AA40" i="30"/>
  <c r="AA39" i="30"/>
  <c r="AA38" i="30"/>
  <c r="AA125" i="30"/>
  <c r="BC40" i="30"/>
  <c r="BC39" i="30"/>
  <c r="BC38" i="30"/>
  <c r="BC93" i="30"/>
  <c r="AP40" i="30"/>
  <c r="AP39" i="30"/>
  <c r="AP38" i="30"/>
  <c r="AW40" i="30"/>
  <c r="AW39" i="30"/>
  <c r="AW38" i="30"/>
  <c r="AW110" i="30"/>
  <c r="U40" i="30"/>
  <c r="U39" i="30"/>
  <c r="U38" i="30"/>
  <c r="U125" i="30"/>
  <c r="AU40" i="30"/>
  <c r="AU39" i="30"/>
  <c r="AU38" i="30"/>
  <c r="AU125" i="30"/>
  <c r="N40" i="30"/>
  <c r="N39" i="30"/>
  <c r="N38" i="30"/>
  <c r="N93" i="30"/>
  <c r="BE40" i="30"/>
  <c r="BE39" i="30"/>
  <c r="BE38" i="30"/>
  <c r="BE93" i="30"/>
  <c r="AV40" i="30"/>
  <c r="AV39" i="30"/>
  <c r="AV38" i="30"/>
  <c r="AV114" i="30"/>
  <c r="BO40" i="30"/>
  <c r="BO39" i="30"/>
  <c r="BO38" i="30"/>
  <c r="BO58" i="30"/>
  <c r="AL40" i="30"/>
  <c r="AL39" i="30"/>
  <c r="AL38" i="30"/>
  <c r="AL58" i="30"/>
  <c r="BH40" i="30"/>
  <c r="BH39" i="30"/>
  <c r="BH38" i="30"/>
  <c r="BH125" i="30"/>
  <c r="T40" i="30"/>
  <c r="T39" i="30"/>
  <c r="T38" i="30"/>
  <c r="T93" i="30"/>
  <c r="AO40" i="30"/>
  <c r="AO39" i="30"/>
  <c r="AO38" i="30"/>
  <c r="AO93" i="30"/>
  <c r="Q40" i="30"/>
  <c r="Q39" i="30"/>
  <c r="Q38" i="30"/>
  <c r="Q114" i="30"/>
  <c r="X40" i="30"/>
  <c r="X39" i="30"/>
  <c r="X38" i="30"/>
  <c r="BK40" i="30"/>
  <c r="BK39" i="30"/>
  <c r="BK38" i="30"/>
  <c r="BK58" i="30"/>
  <c r="L40" i="30"/>
  <c r="L39" i="30"/>
  <c r="L38" i="30"/>
  <c r="AH40" i="30"/>
  <c r="AH39" i="30"/>
  <c r="AH38" i="30"/>
  <c r="AH52" i="30"/>
  <c r="M40" i="30"/>
  <c r="M39" i="30"/>
  <c r="M38" i="30"/>
  <c r="Y40" i="30"/>
  <c r="Y39" i="30"/>
  <c r="Y38" i="30"/>
  <c r="Y52" i="30"/>
  <c r="AM40" i="30"/>
  <c r="AD40" i="30"/>
  <c r="AD39" i="30"/>
  <c r="AD38" i="30"/>
  <c r="AZ40" i="30"/>
  <c r="AZ39" i="30"/>
  <c r="AZ38" i="30"/>
  <c r="AZ58" i="30"/>
  <c r="AK40" i="30"/>
  <c r="AK39" i="30"/>
  <c r="AK38" i="30"/>
  <c r="AK125" i="30"/>
  <c r="P40" i="30"/>
  <c r="P39" i="30"/>
  <c r="P38" i="30"/>
  <c r="P58" i="30"/>
  <c r="V40" i="30"/>
  <c r="V39" i="30"/>
  <c r="V38" i="30"/>
  <c r="BI40" i="30"/>
  <c r="BI39" i="30"/>
  <c r="BI38" i="30"/>
  <c r="BI125" i="30"/>
  <c r="AG40" i="30"/>
  <c r="AG39" i="30"/>
  <c r="AG38" i="30"/>
  <c r="BD40" i="30"/>
  <c r="BD39" i="30"/>
  <c r="BD38" i="30"/>
  <c r="BD52" i="30"/>
  <c r="K40" i="30"/>
  <c r="K39" i="30"/>
  <c r="K38" i="30"/>
  <c r="S40" i="30"/>
  <c r="S39" i="30"/>
  <c r="S38" i="30"/>
  <c r="S93" i="30"/>
  <c r="W40" i="30"/>
  <c r="W39" i="30"/>
  <c r="W38" i="30"/>
  <c r="W52" i="30"/>
  <c r="BF40" i="30"/>
  <c r="BF39" i="30"/>
  <c r="BF38" i="30"/>
  <c r="BF125" i="30"/>
  <c r="R40" i="30"/>
  <c r="R39" i="30"/>
  <c r="R38" i="30"/>
  <c r="R58" i="30"/>
  <c r="AR40" i="30"/>
  <c r="AR39" i="30"/>
  <c r="AR38" i="30"/>
  <c r="AY40" i="30"/>
  <c r="AY39" i="30"/>
  <c r="AY38" i="30"/>
  <c r="AY52" i="30"/>
  <c r="O40" i="30"/>
  <c r="O39" i="30"/>
  <c r="O38" i="30"/>
  <c r="O58" i="30"/>
  <c r="Y21" i="30"/>
  <c r="AL21" i="30"/>
  <c r="J21" i="30"/>
  <c r="BO21" i="30"/>
  <c r="AC21" i="30"/>
  <c r="BD21" i="30"/>
  <c r="BK21" i="30"/>
  <c r="BH21" i="30"/>
  <c r="AF21" i="30"/>
  <c r="T21" i="30"/>
  <c r="BM21" i="30"/>
  <c r="AG21" i="30"/>
  <c r="BE21" i="30"/>
  <c r="AX39" i="30"/>
  <c r="AX38" i="30"/>
  <c r="AX110" i="30"/>
  <c r="N33" i="30"/>
  <c r="R25" i="30"/>
  <c r="R28" i="30"/>
  <c r="AZ21" i="30"/>
  <c r="BG21" i="30"/>
  <c r="AA21" i="30"/>
  <c r="BA21" i="30"/>
  <c r="BN21" i="30"/>
  <c r="AH21" i="30"/>
  <c r="U21" i="30"/>
  <c r="X21" i="30"/>
  <c r="BC21" i="30"/>
  <c r="W21" i="30"/>
  <c r="AW21" i="30"/>
  <c r="BJ21" i="30"/>
  <c r="AD21" i="30"/>
  <c r="M21" i="30"/>
  <c r="AJ21" i="30"/>
  <c r="AY21" i="30"/>
  <c r="S21" i="30"/>
  <c r="AS21" i="30"/>
  <c r="BF21" i="30"/>
  <c r="Z21" i="30"/>
  <c r="L21" i="30"/>
  <c r="BP21" i="30"/>
  <c r="AU21" i="30"/>
  <c r="O21" i="30"/>
  <c r="AO21" i="30"/>
  <c r="BB21" i="30"/>
  <c r="V21" i="30"/>
  <c r="AB21" i="30"/>
  <c r="AN21" i="30"/>
  <c r="AQ21" i="30"/>
  <c r="K21" i="30"/>
  <c r="AK21" i="30"/>
  <c r="AX21" i="30"/>
  <c r="R21" i="30"/>
  <c r="AR21" i="30"/>
  <c r="P21" i="30"/>
  <c r="AM21" i="30"/>
  <c r="Q21" i="30"/>
  <c r="AV21" i="30"/>
  <c r="AI21" i="30"/>
  <c r="AT21" i="30"/>
  <c r="BL21" i="30"/>
  <c r="AE21" i="30"/>
  <c r="AP21" i="30"/>
  <c r="BI21" i="30"/>
  <c r="N21" i="30"/>
  <c r="H117" i="30"/>
  <c r="H82" i="30"/>
  <c r="H47" i="30"/>
  <c r="I33" i="30"/>
  <c r="M25" i="30"/>
  <c r="M28" i="30"/>
  <c r="O33" i="30"/>
  <c r="S25" i="30"/>
  <c r="S2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AB8" i="30"/>
  <c r="AC8" i="30"/>
  <c r="AD8" i="30"/>
  <c r="AE8" i="30"/>
  <c r="AF8" i="30"/>
  <c r="AG8" i="30"/>
  <c r="AH8" i="30"/>
  <c r="AI8" i="30"/>
  <c r="AJ8" i="30"/>
  <c r="AK8" i="30"/>
  <c r="AL8" i="30"/>
  <c r="AM8" i="30"/>
  <c r="AN8" i="30"/>
  <c r="AO8" i="30"/>
  <c r="AP8" i="30"/>
  <c r="AQ8" i="30"/>
  <c r="AR8" i="30"/>
  <c r="AS8" i="30"/>
  <c r="AT8" i="30"/>
  <c r="AU8" i="30"/>
  <c r="AV8" i="30"/>
  <c r="AW8" i="30"/>
  <c r="AX8" i="30"/>
  <c r="AY8" i="30"/>
  <c r="AZ8" i="30"/>
  <c r="BA8" i="30"/>
  <c r="BB8" i="30"/>
  <c r="BC8" i="30"/>
  <c r="BD8" i="30"/>
  <c r="BE8" i="30"/>
  <c r="BF8" i="30"/>
  <c r="BG8" i="30"/>
  <c r="BH8" i="30"/>
  <c r="BI8" i="30"/>
  <c r="BJ8" i="30"/>
  <c r="BK8" i="30"/>
  <c r="BL8" i="30"/>
  <c r="BM8" i="30"/>
  <c r="BN8" i="30"/>
  <c r="BO8" i="30"/>
  <c r="BP8" i="30"/>
  <c r="K82" i="30"/>
  <c r="K47" i="30"/>
  <c r="K48" i="30"/>
  <c r="K116" i="30"/>
  <c r="K118" i="30"/>
  <c r="J5" i="30"/>
  <c r="J6" i="30"/>
  <c r="I7" i="30"/>
  <c r="J85" i="30"/>
  <c r="BF62" i="30"/>
  <c r="AP62" i="30"/>
  <c r="Z62" i="30"/>
  <c r="J62" i="30"/>
  <c r="AA62" i="30"/>
  <c r="BG62" i="30"/>
  <c r="AF62" i="30"/>
  <c r="BL62" i="30"/>
  <c r="BE62" i="30"/>
  <c r="AO62" i="30"/>
  <c r="Y62" i="30"/>
  <c r="I62" i="30"/>
  <c r="AE62" i="30"/>
  <c r="BK62" i="30"/>
  <c r="AJ62" i="30"/>
  <c r="BB62" i="30"/>
  <c r="AL62" i="30"/>
  <c r="V62" i="30"/>
  <c r="BP62" i="30"/>
  <c r="AI62" i="30"/>
  <c r="BO62" i="30"/>
  <c r="AN62" i="30"/>
  <c r="BA62" i="30"/>
  <c r="AK62" i="30"/>
  <c r="U62" i="30"/>
  <c r="AM62" i="30"/>
  <c r="L62" i="30"/>
  <c r="AR62" i="30"/>
  <c r="BN62" i="30"/>
  <c r="AX62" i="30"/>
  <c r="AH62" i="30"/>
  <c r="R62" i="30"/>
  <c r="K62" i="30"/>
  <c r="AQ62" i="30"/>
  <c r="P62" i="30"/>
  <c r="AV62" i="30"/>
  <c r="J48" i="30"/>
  <c r="P25" i="30"/>
  <c r="P28" i="30"/>
  <c r="L33" i="30"/>
  <c r="AS62" i="30"/>
  <c r="BJ40" i="30"/>
  <c r="BJ39" i="30"/>
  <c r="BJ38" i="30"/>
  <c r="AZ26" i="30"/>
  <c r="T26" i="30"/>
  <c r="AY26" i="30"/>
  <c r="S26" i="30"/>
  <c r="AM39" i="30"/>
  <c r="AM38" i="30"/>
  <c r="AA54" i="30"/>
  <c r="BD54" i="30"/>
  <c r="BP54" i="30"/>
  <c r="AK54" i="30"/>
  <c r="J54" i="30"/>
  <c r="AP54" i="30"/>
  <c r="AE40" i="30"/>
  <c r="AE39" i="30"/>
  <c r="AE38" i="30"/>
  <c r="AQ40" i="30"/>
  <c r="AQ39" i="30"/>
  <c r="AQ38" i="30"/>
  <c r="AI40" i="30"/>
  <c r="AI39" i="30"/>
  <c r="AI38" i="30"/>
  <c r="Z40" i="30"/>
  <c r="Z39" i="30"/>
  <c r="Z38" i="30"/>
  <c r="AT40" i="30"/>
  <c r="AT39" i="30"/>
  <c r="AT38" i="30"/>
  <c r="Y26" i="30"/>
  <c r="AO26" i="30"/>
  <c r="BE26" i="30"/>
  <c r="AB117" i="30"/>
  <c r="BG40" i="30"/>
  <c r="BG39" i="30"/>
  <c r="BG38" i="30"/>
  <c r="AF40" i="30"/>
  <c r="AF39" i="30"/>
  <c r="AF38" i="30"/>
  <c r="BL40" i="30"/>
  <c r="BL39" i="30"/>
  <c r="BL38" i="30"/>
  <c r="AC40" i="30"/>
  <c r="AC39" i="30"/>
  <c r="AC38" i="30"/>
  <c r="AS40" i="30"/>
  <c r="AS39" i="30"/>
  <c r="AS38" i="30"/>
  <c r="BM40" i="30"/>
  <c r="BM39" i="30"/>
  <c r="BM38" i="30"/>
  <c r="AJ40" i="30"/>
  <c r="AJ39" i="30"/>
  <c r="AJ38" i="30"/>
  <c r="BP40" i="30"/>
  <c r="BP39" i="30"/>
  <c r="BP38" i="30"/>
  <c r="BN40" i="30"/>
  <c r="BN39" i="30"/>
  <c r="BN38" i="30"/>
  <c r="BP26" i="30"/>
  <c r="Z26" i="30"/>
  <c r="AP26" i="30"/>
  <c r="AU58" i="30"/>
  <c r="O114" i="30"/>
  <c r="AO52" i="30"/>
  <c r="BD93" i="30"/>
  <c r="AB114" i="30"/>
  <c r="O110" i="30"/>
  <c r="AB58" i="30"/>
  <c r="Y93" i="30"/>
  <c r="O125" i="30"/>
  <c r="U93" i="30"/>
  <c r="T125" i="30"/>
  <c r="BD58" i="30"/>
  <c r="AU114" i="30"/>
  <c r="Y58" i="30"/>
  <c r="T110" i="30"/>
  <c r="Y125" i="30"/>
  <c r="AO58" i="30"/>
  <c r="AB93" i="30"/>
  <c r="T58" i="30"/>
  <c r="AY93" i="30"/>
  <c r="AY58" i="30"/>
  <c r="AO125" i="30"/>
  <c r="BD114" i="30"/>
  <c r="BD110" i="30"/>
  <c r="AO110" i="30"/>
  <c r="AO114" i="30"/>
  <c r="Q93" i="30"/>
  <c r="O93" i="30"/>
  <c r="O52" i="30"/>
  <c r="BH93" i="30"/>
  <c r="AA110" i="30"/>
  <c r="Q52" i="30"/>
  <c r="AV125" i="30"/>
  <c r="AA58" i="30"/>
  <c r="AK93" i="30"/>
  <c r="N110" i="30"/>
  <c r="AK110" i="30"/>
  <c r="N114" i="30"/>
  <c r="AK52" i="30"/>
  <c r="AK58" i="30"/>
  <c r="AZ52" i="30"/>
  <c r="AH58" i="30"/>
  <c r="AW114" i="30"/>
  <c r="AX58" i="30"/>
  <c r="S52" i="30"/>
  <c r="AV110" i="30"/>
  <c r="BE58" i="30"/>
  <c r="AW52" i="30"/>
  <c r="AW125" i="30"/>
  <c r="BI110" i="30"/>
  <c r="BI114" i="30"/>
  <c r="AV93" i="30"/>
  <c r="AV52" i="30"/>
  <c r="AX93" i="30"/>
  <c r="AV58" i="30"/>
  <c r="AK114" i="30"/>
  <c r="BE125" i="30"/>
  <c r="AL93" i="30"/>
  <c r="AH114" i="30"/>
  <c r="BB93" i="30"/>
  <c r="S58" i="30"/>
  <c r="Q58" i="30"/>
  <c r="BB114" i="30"/>
  <c r="N125" i="30"/>
  <c r="R93" i="30"/>
  <c r="AL110" i="30"/>
  <c r="P110" i="30"/>
  <c r="AZ125" i="30"/>
  <c r="Q110" i="30"/>
  <c r="N52" i="30"/>
  <c r="BE110" i="30"/>
  <c r="AH93" i="30"/>
  <c r="N58" i="30"/>
  <c r="BE114" i="30"/>
  <c r="BC125" i="30"/>
  <c r="P93" i="30"/>
  <c r="W93" i="30"/>
  <c r="W125" i="30"/>
  <c r="W58" i="30"/>
  <c r="W114" i="30"/>
  <c r="W110" i="30"/>
  <c r="BK52" i="30"/>
  <c r="BK110" i="30"/>
  <c r="BK114" i="30"/>
  <c r="BK93" i="30"/>
  <c r="AA52" i="30"/>
  <c r="AA114" i="30"/>
  <c r="BO93" i="30"/>
  <c r="BC110" i="30"/>
  <c r="BF93" i="30"/>
  <c r="S110" i="30"/>
  <c r="S125" i="30"/>
  <c r="S114" i="30"/>
  <c r="AZ110" i="30"/>
  <c r="AZ93" i="30"/>
  <c r="X125" i="30"/>
  <c r="X114" i="30"/>
  <c r="X93" i="30"/>
  <c r="X52" i="30"/>
  <c r="X110" i="30"/>
  <c r="X58" i="30"/>
  <c r="AN114" i="30"/>
  <c r="AN93" i="30"/>
  <c r="AN125" i="30"/>
  <c r="AN52" i="30"/>
  <c r="AN110" i="30"/>
  <c r="AN58" i="30"/>
  <c r="BO110" i="30"/>
  <c r="BC52" i="30"/>
  <c r="BF52" i="30"/>
  <c r="K114" i="30"/>
  <c r="K110" i="30"/>
  <c r="K93" i="30"/>
  <c r="K58" i="30"/>
  <c r="K52" i="30"/>
  <c r="K125" i="30"/>
  <c r="BC58" i="30"/>
  <c r="BO114" i="30"/>
  <c r="BC114" i="30"/>
  <c r="P52" i="30"/>
  <c r="BF58" i="30"/>
  <c r="AU93" i="30"/>
  <c r="AU52" i="30"/>
  <c r="AB125" i="30"/>
  <c r="AB110" i="30"/>
  <c r="BO125" i="30"/>
  <c r="P114" i="30"/>
  <c r="BF114" i="30"/>
  <c r="AX125" i="30"/>
  <c r="AX114" i="30"/>
  <c r="AX52" i="30"/>
  <c r="AY110" i="30"/>
  <c r="AY114" i="30"/>
  <c r="AG110" i="30"/>
  <c r="AG125" i="30"/>
  <c r="AG93" i="30"/>
  <c r="AG52" i="30"/>
  <c r="AG114" i="30"/>
  <c r="AG58" i="30"/>
  <c r="Y114" i="30"/>
  <c r="Y110" i="30"/>
  <c r="T114" i="30"/>
  <c r="T52" i="30"/>
  <c r="U114" i="30"/>
  <c r="U110" i="30"/>
  <c r="U58" i="30"/>
  <c r="U52" i="30"/>
  <c r="J110" i="30"/>
  <c r="J109" i="30"/>
  <c r="J93" i="30"/>
  <c r="J58" i="30"/>
  <c r="J57" i="30"/>
  <c r="J52" i="30"/>
  <c r="J51" i="30"/>
  <c r="J114" i="30"/>
  <c r="J113" i="30"/>
  <c r="J125" i="30"/>
  <c r="J124" i="30"/>
  <c r="BO52" i="30"/>
  <c r="P125" i="30"/>
  <c r="BF110" i="30"/>
  <c r="BE52" i="30"/>
  <c r="AR110" i="30"/>
  <c r="AR93" i="30"/>
  <c r="AR52" i="30"/>
  <c r="AR58" i="30"/>
  <c r="AR114" i="30"/>
  <c r="AR125" i="30"/>
  <c r="BI93" i="30"/>
  <c r="BI58" i="30"/>
  <c r="BI52" i="30"/>
  <c r="M93" i="30"/>
  <c r="M125" i="30"/>
  <c r="M110" i="30"/>
  <c r="M58" i="30"/>
  <c r="M52" i="30"/>
  <c r="M114" i="30"/>
  <c r="BH52" i="30"/>
  <c r="BH58" i="30"/>
  <c r="BH110" i="30"/>
  <c r="BH114" i="30"/>
  <c r="AW93" i="30"/>
  <c r="AW58" i="30"/>
  <c r="L114" i="30"/>
  <c r="L125" i="30"/>
  <c r="L110" i="30"/>
  <c r="L93" i="30"/>
  <c r="L58" i="30"/>
  <c r="L52" i="30"/>
  <c r="AZ114" i="30"/>
  <c r="Q125" i="30"/>
  <c r="BK125" i="30"/>
  <c r="AY125" i="30"/>
  <c r="AA93" i="30"/>
  <c r="AU110" i="30"/>
  <c r="BD125" i="30"/>
  <c r="R52" i="30"/>
  <c r="R125" i="30"/>
  <c r="R110" i="30"/>
  <c r="R114" i="30"/>
  <c r="V125" i="30"/>
  <c r="V114" i="30"/>
  <c r="V93" i="30"/>
  <c r="V110" i="30"/>
  <c r="V58" i="30"/>
  <c r="V52" i="30"/>
  <c r="AH110" i="30"/>
  <c r="AH125" i="30"/>
  <c r="AL52" i="30"/>
  <c r="AL125" i="30"/>
  <c r="AL114" i="30"/>
  <c r="BB125" i="30"/>
  <c r="BB110" i="30"/>
  <c r="BB58" i="30"/>
  <c r="BG114" i="30"/>
  <c r="BG110" i="30"/>
  <c r="BG93" i="30"/>
  <c r="BG58" i="30"/>
  <c r="BG52" i="30"/>
  <c r="BG125" i="30"/>
  <c r="AS58" i="30"/>
  <c r="AS52" i="30"/>
  <c r="AS114" i="30"/>
  <c r="AS93" i="30"/>
  <c r="AS125" i="30"/>
  <c r="AS110" i="30"/>
  <c r="AC110" i="30"/>
  <c r="AC93" i="30"/>
  <c r="AC58" i="30"/>
  <c r="AC52" i="30"/>
  <c r="AC114" i="30"/>
  <c r="AC125" i="30"/>
  <c r="BL125" i="30"/>
  <c r="BL110" i="30"/>
  <c r="BL58" i="30"/>
  <c r="BL93" i="30"/>
  <c r="BL114" i="30"/>
  <c r="BL52" i="30"/>
  <c r="AT58" i="30"/>
  <c r="AT52" i="30"/>
  <c r="AT125" i="30"/>
  <c r="AT114" i="30"/>
  <c r="AT110" i="30"/>
  <c r="AT93" i="30"/>
  <c r="AF125" i="30"/>
  <c r="AF110" i="30"/>
  <c r="AF114" i="30"/>
  <c r="AF93" i="30"/>
  <c r="AF52" i="30"/>
  <c r="AF58" i="30"/>
  <c r="S33" i="30"/>
  <c r="W25" i="30"/>
  <c r="W28" i="30"/>
  <c r="V25" i="30"/>
  <c r="V28" i="30"/>
  <c r="R33" i="30"/>
  <c r="Z114" i="30"/>
  <c r="Z58" i="30"/>
  <c r="Z52" i="30"/>
  <c r="Z93" i="30"/>
  <c r="Z125" i="30"/>
  <c r="Z110" i="30"/>
  <c r="AP125" i="30"/>
  <c r="AP110" i="30"/>
  <c r="AP58" i="30"/>
  <c r="AP114" i="30"/>
  <c r="AP52" i="30"/>
  <c r="AP93" i="30"/>
  <c r="O47" i="30"/>
  <c r="O48" i="30"/>
  <c r="O82" i="30"/>
  <c r="O116" i="30"/>
  <c r="O118" i="30"/>
  <c r="N82" i="30"/>
  <c r="N116" i="30"/>
  <c r="N118" i="30"/>
  <c r="N47" i="30"/>
  <c r="N48" i="30"/>
  <c r="AI125" i="30"/>
  <c r="AI114" i="30"/>
  <c r="AI110" i="30"/>
  <c r="AI93" i="30"/>
  <c r="AI58" i="30"/>
  <c r="AI52" i="30"/>
  <c r="AD110" i="30"/>
  <c r="AD93" i="30"/>
  <c r="AD58" i="30"/>
  <c r="AD52" i="30"/>
  <c r="AD114" i="30"/>
  <c r="AD125" i="30"/>
  <c r="Q25" i="30"/>
  <c r="Q28" i="30"/>
  <c r="M33" i="30"/>
  <c r="AQ93" i="30"/>
  <c r="AQ52" i="30"/>
  <c r="AQ58" i="30"/>
  <c r="AQ125" i="30"/>
  <c r="AQ114" i="30"/>
  <c r="AQ110" i="30"/>
  <c r="BJ125" i="30"/>
  <c r="BJ114" i="30"/>
  <c r="BJ110" i="30"/>
  <c r="BJ93" i="30"/>
  <c r="BJ58" i="30"/>
  <c r="BJ52" i="30"/>
  <c r="L116" i="30"/>
  <c r="L118" i="30"/>
  <c r="L82" i="30"/>
  <c r="L47" i="30"/>
  <c r="L48" i="30"/>
  <c r="BM110" i="30"/>
  <c r="BM93" i="30"/>
  <c r="BM114" i="30"/>
  <c r="BM125" i="30"/>
  <c r="BM52" i="30"/>
  <c r="BM58" i="30"/>
  <c r="AE52" i="30"/>
  <c r="AE125" i="30"/>
  <c r="AE114" i="30"/>
  <c r="AE93" i="30"/>
  <c r="AE110" i="30"/>
  <c r="AE58" i="30"/>
  <c r="T25" i="30"/>
  <c r="T28" i="30"/>
  <c r="P33" i="30"/>
  <c r="I45" i="30"/>
  <c r="I60" i="30"/>
  <c r="I65" i="30"/>
  <c r="K85" i="30"/>
  <c r="BP125" i="30"/>
  <c r="BP93" i="30"/>
  <c r="BP58" i="30"/>
  <c r="BP114" i="30"/>
  <c r="BP110" i="30"/>
  <c r="BP52" i="30"/>
  <c r="AJ58" i="30"/>
  <c r="AJ125" i="30"/>
  <c r="AJ114" i="30"/>
  <c r="AJ110" i="30"/>
  <c r="AJ52" i="30"/>
  <c r="AJ93" i="30"/>
  <c r="AM52" i="30"/>
  <c r="AM114" i="30"/>
  <c r="AM110" i="30"/>
  <c r="AM125" i="30"/>
  <c r="AM93" i="30"/>
  <c r="AM58" i="30"/>
  <c r="I116" i="30"/>
  <c r="I118" i="30"/>
  <c r="I120" i="30"/>
  <c r="I105" i="30"/>
  <c r="I106" i="30"/>
  <c r="I133" i="30"/>
  <c r="I82" i="30"/>
  <c r="I47" i="30"/>
  <c r="I48" i="30"/>
  <c r="I34" i="30"/>
  <c r="I129" i="30"/>
  <c r="J86" i="30"/>
  <c r="J7" i="30"/>
  <c r="K5" i="30"/>
  <c r="K6" i="30"/>
  <c r="F8" i="30"/>
  <c r="BA52" i="30"/>
  <c r="BA125" i="30"/>
  <c r="BA114" i="30"/>
  <c r="BA110" i="30"/>
  <c r="BA93" i="30"/>
  <c r="BA58" i="30"/>
  <c r="BN125" i="30"/>
  <c r="BN110" i="30"/>
  <c r="BN114" i="30"/>
  <c r="BN58" i="30"/>
  <c r="BN52" i="30"/>
  <c r="BN93" i="30"/>
  <c r="K57" i="30"/>
  <c r="L57" i="30"/>
  <c r="M57" i="30"/>
  <c r="N57" i="30"/>
  <c r="O57" i="30"/>
  <c r="P57" i="30"/>
  <c r="K51" i="30"/>
  <c r="L51" i="30"/>
  <c r="M51" i="30"/>
  <c r="N51" i="30"/>
  <c r="O51" i="30"/>
  <c r="P51" i="30"/>
  <c r="J98" i="30"/>
  <c r="K98" i="30"/>
  <c r="L98" i="30"/>
  <c r="M98" i="30"/>
  <c r="N98" i="30"/>
  <c r="O98" i="30"/>
  <c r="P98" i="30"/>
  <c r="Q98" i="30"/>
  <c r="R98" i="30"/>
  <c r="S98" i="30"/>
  <c r="T98" i="30"/>
  <c r="U98" i="30"/>
  <c r="V98" i="30"/>
  <c r="W98" i="30"/>
  <c r="X98" i="30"/>
  <c r="Y98" i="30"/>
  <c r="Z98" i="30"/>
  <c r="AA98" i="30"/>
  <c r="AB98" i="30"/>
  <c r="AC98" i="30"/>
  <c r="AD98" i="30"/>
  <c r="AE98" i="30"/>
  <c r="AF98" i="30"/>
  <c r="AG98" i="30"/>
  <c r="AH98" i="30"/>
  <c r="AI98" i="30"/>
  <c r="AJ98" i="30"/>
  <c r="AK98" i="30"/>
  <c r="AL98" i="30"/>
  <c r="AM98" i="30"/>
  <c r="AN98" i="30"/>
  <c r="AO98" i="30"/>
  <c r="AP98" i="30"/>
  <c r="AQ98" i="30"/>
  <c r="AR98" i="30"/>
  <c r="AS98" i="30"/>
  <c r="AT98" i="30"/>
  <c r="AU98" i="30"/>
  <c r="AV98" i="30"/>
  <c r="AW98" i="30"/>
  <c r="AX98" i="30"/>
  <c r="AY98" i="30"/>
  <c r="AZ98" i="30"/>
  <c r="BA98" i="30"/>
  <c r="BB98" i="30"/>
  <c r="BC98" i="30"/>
  <c r="BD98" i="30"/>
  <c r="BE98" i="30"/>
  <c r="BF98" i="30"/>
  <c r="BG98" i="30"/>
  <c r="BH98" i="30"/>
  <c r="BI98" i="30"/>
  <c r="BJ98" i="30"/>
  <c r="BK98" i="30"/>
  <c r="BL98" i="30"/>
  <c r="BM98" i="30"/>
  <c r="BN98" i="30"/>
  <c r="BO98" i="30"/>
  <c r="BP98" i="30"/>
  <c r="J97" i="30"/>
  <c r="K97" i="30"/>
  <c r="L97" i="30"/>
  <c r="M97" i="30"/>
  <c r="N97" i="30"/>
  <c r="O97" i="30"/>
  <c r="P97" i="30"/>
  <c r="Q97" i="30"/>
  <c r="R97" i="30"/>
  <c r="S97" i="30"/>
  <c r="T97" i="30"/>
  <c r="U97" i="30"/>
  <c r="V97" i="30"/>
  <c r="W97" i="30"/>
  <c r="X97" i="30"/>
  <c r="Y97" i="30"/>
  <c r="Z97" i="30"/>
  <c r="AA97" i="30"/>
  <c r="AB97" i="30"/>
  <c r="AC97" i="30"/>
  <c r="AD97" i="30"/>
  <c r="AE97" i="30"/>
  <c r="AF97" i="30"/>
  <c r="AG97" i="30"/>
  <c r="AH97" i="30"/>
  <c r="AI97" i="30"/>
  <c r="AJ97" i="30"/>
  <c r="AK97" i="30"/>
  <c r="AL97" i="30"/>
  <c r="AM97" i="30"/>
  <c r="AN97" i="30"/>
  <c r="AO97" i="30"/>
  <c r="AP97" i="30"/>
  <c r="AQ97" i="30"/>
  <c r="AR97" i="30"/>
  <c r="AS97" i="30"/>
  <c r="AT97" i="30"/>
  <c r="AU97" i="30"/>
  <c r="AV97" i="30"/>
  <c r="AW97" i="30"/>
  <c r="AX97" i="30"/>
  <c r="AY97" i="30"/>
  <c r="AZ97" i="30"/>
  <c r="BA97" i="30"/>
  <c r="BB97" i="30"/>
  <c r="BC97" i="30"/>
  <c r="BD97" i="30"/>
  <c r="BE97" i="30"/>
  <c r="BF97" i="30"/>
  <c r="BG97" i="30"/>
  <c r="BH97" i="30"/>
  <c r="BI97" i="30"/>
  <c r="BJ97" i="30"/>
  <c r="BK97" i="30"/>
  <c r="BL97" i="30"/>
  <c r="BM97" i="30"/>
  <c r="BN97" i="30"/>
  <c r="BO97" i="30"/>
  <c r="BP97" i="30"/>
  <c r="J96" i="30"/>
  <c r="K96" i="30"/>
  <c r="L96" i="30"/>
  <c r="M96" i="30"/>
  <c r="N96" i="30"/>
  <c r="O96" i="30"/>
  <c r="P96" i="30"/>
  <c r="Q96" i="30"/>
  <c r="R96" i="30"/>
  <c r="S96" i="30"/>
  <c r="T96" i="30"/>
  <c r="U96" i="30"/>
  <c r="V96" i="30"/>
  <c r="W96" i="30"/>
  <c r="X96" i="30"/>
  <c r="Y96" i="30"/>
  <c r="Z96" i="30"/>
  <c r="AA96" i="30"/>
  <c r="AB96" i="30"/>
  <c r="AC96" i="30"/>
  <c r="AD96" i="30"/>
  <c r="AE96" i="30"/>
  <c r="AF96" i="30"/>
  <c r="AG96" i="30"/>
  <c r="AH96" i="30"/>
  <c r="AI96" i="30"/>
  <c r="AJ96" i="30"/>
  <c r="AK96" i="30"/>
  <c r="AL96" i="30"/>
  <c r="AM96" i="30"/>
  <c r="AN96" i="30"/>
  <c r="AO96" i="30"/>
  <c r="AP96" i="30"/>
  <c r="AQ96" i="30"/>
  <c r="AR96" i="30"/>
  <c r="AS96" i="30"/>
  <c r="AT96" i="30"/>
  <c r="AU96" i="30"/>
  <c r="AV96" i="30"/>
  <c r="AW96" i="30"/>
  <c r="AX96" i="30"/>
  <c r="AY96" i="30"/>
  <c r="AZ96" i="30"/>
  <c r="BA96" i="30"/>
  <c r="BB96" i="30"/>
  <c r="BC96" i="30"/>
  <c r="BD96" i="30"/>
  <c r="BE96" i="30"/>
  <c r="BF96" i="30"/>
  <c r="BG96" i="30"/>
  <c r="BH96" i="30"/>
  <c r="BI96" i="30"/>
  <c r="BJ96" i="30"/>
  <c r="BK96" i="30"/>
  <c r="BL96" i="30"/>
  <c r="BM96" i="30"/>
  <c r="BN96" i="30"/>
  <c r="BO96" i="30"/>
  <c r="BP96" i="30"/>
  <c r="J95" i="30"/>
  <c r="K95" i="30"/>
  <c r="L95" i="30"/>
  <c r="M95" i="30"/>
  <c r="N95" i="30"/>
  <c r="O95" i="30"/>
  <c r="P95" i="30"/>
  <c r="Q95" i="30"/>
  <c r="R95" i="30"/>
  <c r="S95" i="30"/>
  <c r="T95" i="30"/>
  <c r="U95" i="30"/>
  <c r="V95" i="30"/>
  <c r="W95" i="30"/>
  <c r="X95" i="30"/>
  <c r="Y95" i="30"/>
  <c r="Z95" i="30"/>
  <c r="AA95" i="30"/>
  <c r="AB95" i="30"/>
  <c r="AC95" i="30"/>
  <c r="AD95" i="30"/>
  <c r="AE95" i="30"/>
  <c r="AF95" i="30"/>
  <c r="AG95" i="30"/>
  <c r="AH95" i="30"/>
  <c r="AI95" i="30"/>
  <c r="AJ95" i="30"/>
  <c r="AK95" i="30"/>
  <c r="AL95" i="30"/>
  <c r="AM95" i="30"/>
  <c r="AN95" i="30"/>
  <c r="AO95" i="30"/>
  <c r="AP95" i="30"/>
  <c r="AQ95" i="30"/>
  <c r="AR95" i="30"/>
  <c r="AS95" i="30"/>
  <c r="AT95" i="30"/>
  <c r="AU95" i="30"/>
  <c r="AV95" i="30"/>
  <c r="AW95" i="30"/>
  <c r="AX95" i="30"/>
  <c r="AY95" i="30"/>
  <c r="AZ95" i="30"/>
  <c r="BA95" i="30"/>
  <c r="BB95" i="30"/>
  <c r="BC95" i="30"/>
  <c r="BD95" i="30"/>
  <c r="BE95" i="30"/>
  <c r="BF95" i="30"/>
  <c r="BG95" i="30"/>
  <c r="BH95" i="30"/>
  <c r="BI95" i="30"/>
  <c r="BJ95" i="30"/>
  <c r="BK95" i="30"/>
  <c r="BL95" i="30"/>
  <c r="BM95" i="30"/>
  <c r="BN95" i="30"/>
  <c r="BO95" i="30"/>
  <c r="BP95" i="30"/>
  <c r="J120" i="30"/>
  <c r="J105" i="30"/>
  <c r="K113" i="30"/>
  <c r="J104" i="30"/>
  <c r="K109" i="30"/>
  <c r="K124" i="30"/>
  <c r="J134" i="30"/>
  <c r="W33" i="30"/>
  <c r="AA25" i="30"/>
  <c r="AA28" i="30"/>
  <c r="I86" i="30"/>
  <c r="I85" i="30"/>
  <c r="I87" i="30"/>
  <c r="P116" i="30"/>
  <c r="P118" i="30"/>
  <c r="P82" i="30"/>
  <c r="P47" i="30"/>
  <c r="P48" i="30"/>
  <c r="S116" i="30"/>
  <c r="S118" i="30"/>
  <c r="S82" i="30"/>
  <c r="S47" i="30"/>
  <c r="S48" i="30"/>
  <c r="J20" i="30"/>
  <c r="J19" i="30"/>
  <c r="J18" i="30"/>
  <c r="J45" i="30"/>
  <c r="J60" i="30"/>
  <c r="J65" i="30"/>
  <c r="T33" i="30"/>
  <c r="X25" i="30"/>
  <c r="X28" i="30"/>
  <c r="J87" i="30"/>
  <c r="K7" i="30"/>
  <c r="L5" i="30"/>
  <c r="L6" i="30"/>
  <c r="K86" i="30"/>
  <c r="L85" i="30"/>
  <c r="L86" i="30"/>
  <c r="M116" i="30"/>
  <c r="M118" i="30"/>
  <c r="M82" i="30"/>
  <c r="M47" i="30"/>
  <c r="M48" i="30"/>
  <c r="N85" i="30"/>
  <c r="N86" i="30"/>
  <c r="N87" i="30"/>
  <c r="R116" i="30"/>
  <c r="R118" i="30"/>
  <c r="R82" i="30"/>
  <c r="R47" i="30"/>
  <c r="R48" i="30"/>
  <c r="I70" i="30"/>
  <c r="I71" i="30"/>
  <c r="I68" i="30"/>
  <c r="I66" i="30"/>
  <c r="Q33" i="30"/>
  <c r="U25" i="30"/>
  <c r="U28" i="30"/>
  <c r="V33" i="30"/>
  <c r="Z25" i="30"/>
  <c r="Z28" i="30"/>
  <c r="O86" i="30"/>
  <c r="O85" i="30"/>
  <c r="J106" i="30"/>
  <c r="J133" i="30"/>
  <c r="L113" i="30"/>
  <c r="K120" i="30"/>
  <c r="K105" i="30"/>
  <c r="K134" i="30"/>
  <c r="L124" i="30"/>
  <c r="K104" i="30"/>
  <c r="L109" i="30"/>
  <c r="O88" i="30"/>
  <c r="O100" i="30"/>
  <c r="O132" i="30"/>
  <c r="V82" i="30"/>
  <c r="V47" i="30"/>
  <c r="V48" i="30"/>
  <c r="V116" i="30"/>
  <c r="V118" i="30"/>
  <c r="Q51" i="30"/>
  <c r="P85" i="30"/>
  <c r="Y25" i="30"/>
  <c r="Y28" i="30"/>
  <c r="U33" i="30"/>
  <c r="S86" i="30"/>
  <c r="S85" i="30"/>
  <c r="L7" i="30"/>
  <c r="M5" i="30"/>
  <c r="M6" i="30"/>
  <c r="I100" i="30"/>
  <c r="I132" i="30"/>
  <c r="W116" i="30"/>
  <c r="W118" i="30"/>
  <c r="W82" i="30"/>
  <c r="W47" i="30"/>
  <c r="W48" i="30"/>
  <c r="Q47" i="30"/>
  <c r="Q48" i="30"/>
  <c r="Q116" i="30"/>
  <c r="Q118" i="30"/>
  <c r="Q82" i="30"/>
  <c r="R85" i="30"/>
  <c r="M86" i="30"/>
  <c r="M87" i="30"/>
  <c r="M85" i="30"/>
  <c r="M88" i="30"/>
  <c r="J88" i="30"/>
  <c r="J89" i="30"/>
  <c r="J90" i="30"/>
  <c r="Q57" i="30"/>
  <c r="N88" i="30"/>
  <c r="K20" i="30"/>
  <c r="K19" i="30"/>
  <c r="K18" i="30"/>
  <c r="K45" i="30"/>
  <c r="K60" i="30"/>
  <c r="K65" i="30"/>
  <c r="AB25" i="30"/>
  <c r="AB28" i="30"/>
  <c r="X33" i="30"/>
  <c r="O87" i="30"/>
  <c r="O89" i="30"/>
  <c r="O90" i="30"/>
  <c r="T82" i="30"/>
  <c r="T47" i="30"/>
  <c r="T48" i="30"/>
  <c r="T116" i="30"/>
  <c r="T118" i="30"/>
  <c r="I88" i="30"/>
  <c r="I89" i="30"/>
  <c r="I90" i="30"/>
  <c r="N89" i="30"/>
  <c r="N90" i="30"/>
  <c r="N100" i="30"/>
  <c r="N132" i="30"/>
  <c r="L87" i="30"/>
  <c r="I73" i="30"/>
  <c r="J68" i="30"/>
  <c r="J66" i="30"/>
  <c r="J70" i="30"/>
  <c r="Z33" i="30"/>
  <c r="AD25" i="30"/>
  <c r="AD28" i="30"/>
  <c r="K87" i="30"/>
  <c r="K88" i="30"/>
  <c r="J32" i="30"/>
  <c r="J34" i="30"/>
  <c r="J129" i="30"/>
  <c r="AE25" i="30"/>
  <c r="AE28" i="30"/>
  <c r="AA33" i="30"/>
  <c r="J100" i="30"/>
  <c r="J132" i="30"/>
  <c r="L104" i="30"/>
  <c r="M109" i="30"/>
  <c r="M124" i="30"/>
  <c r="L134" i="30"/>
  <c r="K106" i="30"/>
  <c r="K133" i="30"/>
  <c r="M113" i="30"/>
  <c r="L120" i="30"/>
  <c r="L105" i="30"/>
  <c r="P89" i="30"/>
  <c r="P90" i="30"/>
  <c r="P88" i="30"/>
  <c r="P100" i="30"/>
  <c r="P132" i="30"/>
  <c r="AA47" i="30"/>
  <c r="AA48" i="30"/>
  <c r="AA116" i="30"/>
  <c r="AA118" i="30"/>
  <c r="AA82" i="30"/>
  <c r="Z116" i="30"/>
  <c r="Z118" i="30"/>
  <c r="Z82" i="30"/>
  <c r="Z47" i="30"/>
  <c r="Z48" i="30"/>
  <c r="L88" i="30"/>
  <c r="L89" i="30"/>
  <c r="L90" i="30"/>
  <c r="W85" i="30"/>
  <c r="W86" i="30"/>
  <c r="W88" i="30"/>
  <c r="W87" i="30"/>
  <c r="K68" i="30"/>
  <c r="K70" i="30"/>
  <c r="K66" i="30"/>
  <c r="K32" i="30"/>
  <c r="K34" i="30"/>
  <c r="K129" i="30"/>
  <c r="AI25" i="30"/>
  <c r="AI28" i="30"/>
  <c r="AE33" i="30"/>
  <c r="J71" i="30"/>
  <c r="J73" i="30"/>
  <c r="U116" i="30"/>
  <c r="U118" i="30"/>
  <c r="U82" i="30"/>
  <c r="U47" i="30"/>
  <c r="U48" i="30"/>
  <c r="R51" i="30"/>
  <c r="AH25" i="30"/>
  <c r="AH28" i="30"/>
  <c r="AD33" i="30"/>
  <c r="X47" i="30"/>
  <c r="X48" i="30"/>
  <c r="X116" i="30"/>
  <c r="X118" i="30"/>
  <c r="X82" i="30"/>
  <c r="R57" i="30"/>
  <c r="AB33" i="30"/>
  <c r="AF25" i="30"/>
  <c r="AF28" i="30"/>
  <c r="L100" i="30"/>
  <c r="L132" i="30"/>
  <c r="R86" i="30"/>
  <c r="S88" i="30"/>
  <c r="P86" i="30"/>
  <c r="P87" i="30"/>
  <c r="N5" i="30"/>
  <c r="N6" i="30"/>
  <c r="M7" i="30"/>
  <c r="L20" i="30"/>
  <c r="L19" i="30"/>
  <c r="L18" i="30"/>
  <c r="L45" i="30"/>
  <c r="L60" i="30"/>
  <c r="L65" i="30"/>
  <c r="K100" i="30"/>
  <c r="K132" i="30"/>
  <c r="K89" i="30"/>
  <c r="K90" i="30"/>
  <c r="T85" i="30"/>
  <c r="Y33" i="30"/>
  <c r="AC25" i="30"/>
  <c r="AC28" i="30"/>
  <c r="I74" i="30"/>
  <c r="I75" i="30"/>
  <c r="I76" i="30"/>
  <c r="M89" i="30"/>
  <c r="M90" i="30"/>
  <c r="M100" i="30"/>
  <c r="M132" i="30"/>
  <c r="Q85" i="30"/>
  <c r="Q86" i="30"/>
  <c r="Q87" i="30"/>
  <c r="Q88" i="30"/>
  <c r="S87" i="30"/>
  <c r="S89" i="30"/>
  <c r="S90" i="30"/>
  <c r="V86" i="30"/>
  <c r="V87" i="30"/>
  <c r="V85" i="30"/>
  <c r="N113" i="30"/>
  <c r="M120" i="30"/>
  <c r="M105" i="30"/>
  <c r="I78" i="30"/>
  <c r="I131" i="30"/>
  <c r="I135" i="30"/>
  <c r="I137" i="30"/>
  <c r="N124" i="30"/>
  <c r="M134" i="30"/>
  <c r="N109" i="30"/>
  <c r="M104" i="30"/>
  <c r="L106" i="30"/>
  <c r="L133" i="30"/>
  <c r="L32" i="30"/>
  <c r="L34" i="30"/>
  <c r="L129" i="30"/>
  <c r="AE116" i="30"/>
  <c r="AE118" i="30"/>
  <c r="AE47" i="30"/>
  <c r="AE48" i="30"/>
  <c r="AE82" i="30"/>
  <c r="O5" i="30"/>
  <c r="O6" i="30"/>
  <c r="N7" i="30"/>
  <c r="AF33" i="30"/>
  <c r="AJ25" i="30"/>
  <c r="AJ28" i="30"/>
  <c r="U85" i="30"/>
  <c r="U86" i="30"/>
  <c r="U87" i="30"/>
  <c r="U88" i="30"/>
  <c r="S57" i="30"/>
  <c r="K71" i="30"/>
  <c r="K73" i="30"/>
  <c r="M20" i="30"/>
  <c r="M19" i="30"/>
  <c r="M18" i="30"/>
  <c r="M45" i="30"/>
  <c r="M60" i="30"/>
  <c r="M65" i="30"/>
  <c r="AI33" i="30"/>
  <c r="AM25" i="30"/>
  <c r="AM28" i="30"/>
  <c r="V88" i="30"/>
  <c r="V100" i="30"/>
  <c r="V132" i="30"/>
  <c r="T86" i="30"/>
  <c r="T87" i="30"/>
  <c r="AB82" i="30"/>
  <c r="AB116" i="30"/>
  <c r="AB118" i="30"/>
  <c r="AB47" i="30"/>
  <c r="AB48" i="30"/>
  <c r="AD116" i="30"/>
  <c r="AD118" i="30"/>
  <c r="AD82" i="30"/>
  <c r="AD47" i="30"/>
  <c r="AD48" i="30"/>
  <c r="AA85" i="30"/>
  <c r="AA87" i="30"/>
  <c r="AA86" i="30"/>
  <c r="R87" i="30"/>
  <c r="R88" i="30"/>
  <c r="S51" i="30"/>
  <c r="AC33" i="30"/>
  <c r="AG25" i="30"/>
  <c r="AG28" i="30"/>
  <c r="S100" i="30"/>
  <c r="S132" i="30"/>
  <c r="Z85" i="30"/>
  <c r="Z86" i="30"/>
  <c r="Z87" i="30"/>
  <c r="Z88" i="30"/>
  <c r="X85" i="30"/>
  <c r="AH33" i="30"/>
  <c r="AL25" i="30"/>
  <c r="AL28" i="30"/>
  <c r="V89" i="30"/>
  <c r="V90" i="30"/>
  <c r="Q89" i="30"/>
  <c r="Q90" i="30"/>
  <c r="Q100" i="30"/>
  <c r="Q132" i="30"/>
  <c r="Y116" i="30"/>
  <c r="Y118" i="30"/>
  <c r="Y82" i="30"/>
  <c r="Y47" i="30"/>
  <c r="Y48" i="30"/>
  <c r="L70" i="30"/>
  <c r="L66" i="30"/>
  <c r="L68" i="30"/>
  <c r="J74" i="30"/>
  <c r="J75" i="30"/>
  <c r="J76" i="30"/>
  <c r="W89" i="30"/>
  <c r="W90" i="30"/>
  <c r="W100" i="30"/>
  <c r="W132" i="30"/>
  <c r="J78" i="30"/>
  <c r="J131" i="30"/>
  <c r="J135" i="30"/>
  <c r="J137" i="30"/>
  <c r="N104" i="30"/>
  <c r="O109" i="30"/>
  <c r="O124" i="30"/>
  <c r="N134" i="30"/>
  <c r="O113" i="30"/>
  <c r="N120" i="30"/>
  <c r="N105" i="30"/>
  <c r="M106" i="30"/>
  <c r="M133" i="30"/>
  <c r="M32" i="30"/>
  <c r="M34" i="30"/>
  <c r="M129" i="30"/>
  <c r="M68" i="30"/>
  <c r="M66" i="30"/>
  <c r="M70" i="30"/>
  <c r="AA88" i="30"/>
  <c r="Y85" i="30"/>
  <c r="Y86" i="30"/>
  <c r="T88" i="30"/>
  <c r="T100" i="30"/>
  <c r="T132" i="30"/>
  <c r="AE86" i="30"/>
  <c r="AE87" i="30"/>
  <c r="AE85" i="30"/>
  <c r="AB85" i="30"/>
  <c r="L71" i="30"/>
  <c r="L73" i="30"/>
  <c r="AL33" i="30"/>
  <c r="AP25" i="30"/>
  <c r="AP28" i="30"/>
  <c r="T57" i="30"/>
  <c r="Z89" i="30"/>
  <c r="Z90" i="30"/>
  <c r="Z100" i="30"/>
  <c r="Z132" i="30"/>
  <c r="AC82" i="30"/>
  <c r="AC116" i="30"/>
  <c r="AC118" i="30"/>
  <c r="AC47" i="30"/>
  <c r="AC48" i="30"/>
  <c r="AI82" i="30"/>
  <c r="AI47" i="30"/>
  <c r="AI48" i="30"/>
  <c r="AI116" i="30"/>
  <c r="AI118" i="30"/>
  <c r="AF47" i="30"/>
  <c r="AF48" i="30"/>
  <c r="AF82" i="30"/>
  <c r="AF116" i="30"/>
  <c r="AF118" i="30"/>
  <c r="R100" i="30"/>
  <c r="R132" i="30"/>
  <c r="AH116" i="30"/>
  <c r="AH118" i="30"/>
  <c r="AH82" i="30"/>
  <c r="AH47" i="30"/>
  <c r="AH48" i="30"/>
  <c r="AG33" i="30"/>
  <c r="AK25" i="30"/>
  <c r="AK28" i="30"/>
  <c r="AD85" i="30"/>
  <c r="AD86" i="30"/>
  <c r="AD87" i="30"/>
  <c r="AM33" i="30"/>
  <c r="AQ25" i="30"/>
  <c r="AQ28" i="30"/>
  <c r="K74" i="30"/>
  <c r="K75" i="30"/>
  <c r="K76" i="30"/>
  <c r="AJ33" i="30"/>
  <c r="AN25" i="30"/>
  <c r="AN28" i="30"/>
  <c r="N20" i="30"/>
  <c r="N19" i="30"/>
  <c r="N18" i="30"/>
  <c r="N45" i="30"/>
  <c r="N60" i="30"/>
  <c r="N65" i="30"/>
  <c r="T51" i="30"/>
  <c r="AA100" i="30"/>
  <c r="AA132" i="30"/>
  <c r="AA89" i="30"/>
  <c r="AA90" i="30"/>
  <c r="R89" i="30"/>
  <c r="R90" i="30"/>
  <c r="X86" i="30"/>
  <c r="T89" i="30"/>
  <c r="T90" i="30"/>
  <c r="U100" i="30"/>
  <c r="U132" i="30"/>
  <c r="U89" i="30"/>
  <c r="U90" i="30"/>
  <c r="O7" i="30"/>
  <c r="P5" i="30"/>
  <c r="P6" i="30"/>
  <c r="N106" i="30"/>
  <c r="N133" i="30"/>
  <c r="K78" i="30"/>
  <c r="K131" i="30"/>
  <c r="K135" i="30"/>
  <c r="K137" i="30"/>
  <c r="P113" i="30"/>
  <c r="O120" i="30"/>
  <c r="O105" i="30"/>
  <c r="P124" i="30"/>
  <c r="O134" i="30"/>
  <c r="O104" i="30"/>
  <c r="P109" i="30"/>
  <c r="AC85" i="30"/>
  <c r="AC86" i="30"/>
  <c r="AC87" i="30"/>
  <c r="AC88" i="30"/>
  <c r="AF86" i="30"/>
  <c r="AF85" i="30"/>
  <c r="AM116" i="30"/>
  <c r="AM118" i="30"/>
  <c r="AM82" i="30"/>
  <c r="AM47" i="30"/>
  <c r="AM48" i="30"/>
  <c r="AL116" i="30"/>
  <c r="AL118" i="30"/>
  <c r="AL82" i="30"/>
  <c r="AL47" i="30"/>
  <c r="AL48" i="30"/>
  <c r="M71" i="30"/>
  <c r="M73" i="30"/>
  <c r="X87" i="30"/>
  <c r="AH85" i="30"/>
  <c r="L74" i="30"/>
  <c r="L78" i="30"/>
  <c r="L131" i="30"/>
  <c r="L135" i="30"/>
  <c r="L137" i="30"/>
  <c r="U51" i="30"/>
  <c r="AP33" i="30"/>
  <c r="AT25" i="30"/>
  <c r="AT28" i="30"/>
  <c r="N70" i="30"/>
  <c r="N68" i="30"/>
  <c r="N66" i="30"/>
  <c r="AE100" i="30"/>
  <c r="AE132" i="30"/>
  <c r="AE89" i="30"/>
  <c r="AE90" i="30"/>
  <c r="Y87" i="30"/>
  <c r="Y100" i="30"/>
  <c r="Y132" i="30"/>
  <c r="X88" i="30"/>
  <c r="X100" i="30"/>
  <c r="X132" i="30"/>
  <c r="X89" i="30"/>
  <c r="X90" i="30"/>
  <c r="O20" i="30"/>
  <c r="O19" i="30"/>
  <c r="O18" i="30"/>
  <c r="O45" i="30"/>
  <c r="O60" i="30"/>
  <c r="O65" i="30"/>
  <c r="AK33" i="30"/>
  <c r="AO25" i="30"/>
  <c r="AO28" i="30"/>
  <c r="AQ33" i="30"/>
  <c r="AU25" i="30"/>
  <c r="AU28" i="30"/>
  <c r="AG116" i="30"/>
  <c r="AG118" i="30"/>
  <c r="AG82" i="30"/>
  <c r="AG47" i="30"/>
  <c r="AG48" i="30"/>
  <c r="AN33" i="30"/>
  <c r="AR25" i="30"/>
  <c r="AR28" i="30"/>
  <c r="Y88" i="30"/>
  <c r="AJ82" i="30"/>
  <c r="AJ47" i="30"/>
  <c r="AJ48" i="30"/>
  <c r="AJ116" i="30"/>
  <c r="AJ118" i="30"/>
  <c r="AI85" i="30"/>
  <c r="AI86" i="30"/>
  <c r="P7" i="30"/>
  <c r="Q5" i="30"/>
  <c r="Q6" i="30"/>
  <c r="AD88" i="30"/>
  <c r="AD89" i="30"/>
  <c r="AD90" i="30"/>
  <c r="U57" i="30"/>
  <c r="AB86" i="30"/>
  <c r="AB87" i="30"/>
  <c r="AE88" i="30"/>
  <c r="N32" i="30"/>
  <c r="N34" i="30"/>
  <c r="N129" i="30"/>
  <c r="L75" i="30"/>
  <c r="L76" i="30"/>
  <c r="P104" i="30"/>
  <c r="Q109" i="30"/>
  <c r="Q124" i="30"/>
  <c r="P134" i="30"/>
  <c r="O106" i="30"/>
  <c r="O133" i="30"/>
  <c r="P120" i="30"/>
  <c r="P105" i="30"/>
  <c r="Q113" i="30"/>
  <c r="AI87" i="30"/>
  <c r="AI88" i="30"/>
  <c r="AF88" i="30"/>
  <c r="AN82" i="30"/>
  <c r="AN116" i="30"/>
  <c r="AN118" i="30"/>
  <c r="AN47" i="30"/>
  <c r="AN48" i="30"/>
  <c r="AO33" i="30"/>
  <c r="AS25" i="30"/>
  <c r="AS28" i="30"/>
  <c r="AT33" i="30"/>
  <c r="AX25" i="30"/>
  <c r="AX28" i="30"/>
  <c r="AJ85" i="30"/>
  <c r="AK82" i="30"/>
  <c r="AK47" i="30"/>
  <c r="AK48" i="30"/>
  <c r="AK116" i="30"/>
  <c r="AK118" i="30"/>
  <c r="AP116" i="30"/>
  <c r="AP118" i="30"/>
  <c r="AP82" i="30"/>
  <c r="AP47" i="30"/>
  <c r="AP48" i="30"/>
  <c r="AH86" i="30"/>
  <c r="AH87" i="30"/>
  <c r="Y89" i="30"/>
  <c r="Y90" i="30"/>
  <c r="AF100" i="30"/>
  <c r="AF132" i="30"/>
  <c r="AF89" i="30"/>
  <c r="AF90" i="30"/>
  <c r="AC89" i="30"/>
  <c r="AC90" i="30"/>
  <c r="AC100" i="30"/>
  <c r="AC132" i="30"/>
  <c r="O32" i="30"/>
  <c r="O34" i="30"/>
  <c r="O129" i="30"/>
  <c r="O66" i="30"/>
  <c r="O70" i="30"/>
  <c r="O68" i="30"/>
  <c r="AF87" i="30"/>
  <c r="V57" i="30"/>
  <c r="AG85" i="30"/>
  <c r="AG86" i="30"/>
  <c r="AG87" i="30"/>
  <c r="V51" i="30"/>
  <c r="AD100" i="30"/>
  <c r="AD132" i="30"/>
  <c r="AL85" i="30"/>
  <c r="R5" i="30"/>
  <c r="R6" i="30"/>
  <c r="Q7" i="30"/>
  <c r="AU33" i="30"/>
  <c r="AY25" i="30"/>
  <c r="AY28" i="30"/>
  <c r="AM85" i="30"/>
  <c r="AM87" i="30"/>
  <c r="AM88" i="30"/>
  <c r="AM86" i="30"/>
  <c r="AB88" i="30"/>
  <c r="AB100" i="30"/>
  <c r="AB132" i="30"/>
  <c r="P20" i="30"/>
  <c r="P19" i="30"/>
  <c r="P18" i="30"/>
  <c r="P45" i="30"/>
  <c r="P60" i="30"/>
  <c r="P65" i="30"/>
  <c r="AR33" i="30"/>
  <c r="AV25" i="30"/>
  <c r="AV28" i="30"/>
  <c r="AQ116" i="30"/>
  <c r="AQ118" i="30"/>
  <c r="AQ47" i="30"/>
  <c r="AQ48" i="30"/>
  <c r="AQ82" i="30"/>
  <c r="N71" i="30"/>
  <c r="N73" i="30"/>
  <c r="M74" i="30"/>
  <c r="M75" i="30"/>
  <c r="M76" i="30"/>
  <c r="R124" i="30"/>
  <c r="Q134" i="30"/>
  <c r="Q104" i="30"/>
  <c r="R109" i="30"/>
  <c r="P106" i="30"/>
  <c r="P133" i="30"/>
  <c r="R113" i="30"/>
  <c r="Q120" i="30"/>
  <c r="Q105" i="30"/>
  <c r="M78" i="30"/>
  <c r="M131" i="30"/>
  <c r="M135" i="30"/>
  <c r="M137" i="30"/>
  <c r="AH88" i="30"/>
  <c r="AH100" i="30"/>
  <c r="AH132" i="30"/>
  <c r="AH89" i="30"/>
  <c r="AH90" i="30"/>
  <c r="P32" i="30"/>
  <c r="P34" i="30"/>
  <c r="P129" i="30"/>
  <c r="AI100" i="30"/>
  <c r="AI132" i="30"/>
  <c r="AI89" i="30"/>
  <c r="AI90" i="30"/>
  <c r="N74" i="30"/>
  <c r="N78" i="30"/>
  <c r="N131" i="30"/>
  <c r="N135" i="30"/>
  <c r="N137" i="30"/>
  <c r="AX33" i="30"/>
  <c r="BB25" i="30"/>
  <c r="BB28" i="30"/>
  <c r="S5" i="30"/>
  <c r="S6" i="30"/>
  <c r="R7" i="30"/>
  <c r="AB89" i="30"/>
  <c r="AB90" i="30"/>
  <c r="AO82" i="30"/>
  <c r="AO47" i="30"/>
  <c r="AO48" i="30"/>
  <c r="AO116" i="30"/>
  <c r="AO118" i="30"/>
  <c r="AY33" i="30"/>
  <c r="BC25" i="30"/>
  <c r="BC28" i="30"/>
  <c r="AU47" i="30"/>
  <c r="AU48" i="30"/>
  <c r="AU116" i="30"/>
  <c r="AU118" i="30"/>
  <c r="AU82" i="30"/>
  <c r="AT82" i="30"/>
  <c r="AT116" i="30"/>
  <c r="AT118" i="30"/>
  <c r="AT47" i="30"/>
  <c r="AT48" i="30"/>
  <c r="AQ85" i="30"/>
  <c r="AG88" i="30"/>
  <c r="AJ87" i="30"/>
  <c r="W57" i="30"/>
  <c r="AW25" i="30"/>
  <c r="AW28" i="30"/>
  <c r="AS33" i="30"/>
  <c r="AZ25" i="30"/>
  <c r="AZ28" i="30"/>
  <c r="AV33" i="30"/>
  <c r="AP86" i="30"/>
  <c r="AP85" i="30"/>
  <c r="AP87" i="30"/>
  <c r="O71" i="30"/>
  <c r="O73" i="30"/>
  <c r="AK85" i="30"/>
  <c r="Q20" i="30"/>
  <c r="Q19" i="30"/>
  <c r="Q18" i="30"/>
  <c r="Q45" i="30"/>
  <c r="Q60" i="30"/>
  <c r="Q65" i="30"/>
  <c r="W51" i="30"/>
  <c r="AR47" i="30"/>
  <c r="AR48" i="30"/>
  <c r="AR116" i="30"/>
  <c r="AR118" i="30"/>
  <c r="AR82" i="30"/>
  <c r="AG100" i="30"/>
  <c r="AG132" i="30"/>
  <c r="AG89" i="30"/>
  <c r="AG90" i="30"/>
  <c r="AN85" i="30"/>
  <c r="AN86" i="30"/>
  <c r="P68" i="30"/>
  <c r="P66" i="30"/>
  <c r="P70" i="30"/>
  <c r="AM89" i="30"/>
  <c r="AM90" i="30"/>
  <c r="AM100" i="30"/>
  <c r="AM132" i="30"/>
  <c r="AL86" i="30"/>
  <c r="AJ86" i="30"/>
  <c r="N75" i="30"/>
  <c r="N76" i="30"/>
  <c r="S109" i="30"/>
  <c r="R104" i="30"/>
  <c r="Q106" i="30"/>
  <c r="Q133" i="30"/>
  <c r="R120" i="30"/>
  <c r="R105" i="30"/>
  <c r="S113" i="30"/>
  <c r="S124" i="30"/>
  <c r="R134" i="30"/>
  <c r="AP88" i="30"/>
  <c r="AP89" i="30"/>
  <c r="AP90" i="30"/>
  <c r="Q32" i="30"/>
  <c r="Q34" i="30"/>
  <c r="Q129" i="30"/>
  <c r="AK87" i="30"/>
  <c r="BC33" i="30"/>
  <c r="BG25" i="30"/>
  <c r="BG28" i="30"/>
  <c r="AY47" i="30"/>
  <c r="AY48" i="30"/>
  <c r="AY116" i="30"/>
  <c r="AY118" i="30"/>
  <c r="AY82" i="30"/>
  <c r="S7" i="30"/>
  <c r="T5" i="30"/>
  <c r="T6" i="30"/>
  <c r="AR85" i="30"/>
  <c r="P71" i="30"/>
  <c r="P73" i="30"/>
  <c r="R20" i="30"/>
  <c r="R19" i="30"/>
  <c r="R18" i="30"/>
  <c r="R45" i="30"/>
  <c r="R60" i="30"/>
  <c r="R65" i="30"/>
  <c r="AK88" i="30"/>
  <c r="BB33" i="30"/>
  <c r="BF25" i="30"/>
  <c r="BF28" i="30"/>
  <c r="Q68" i="30"/>
  <c r="Q66" i="30"/>
  <c r="Q70" i="30"/>
  <c r="O74" i="30"/>
  <c r="O75" i="30"/>
  <c r="O76" i="30"/>
  <c r="X57" i="30"/>
  <c r="AX82" i="30"/>
  <c r="AX116" i="30"/>
  <c r="AX118" i="30"/>
  <c r="AX47" i="30"/>
  <c r="AX48" i="30"/>
  <c r="AW33" i="30"/>
  <c r="BA25" i="30"/>
  <c r="BA28" i="30"/>
  <c r="AN88" i="30"/>
  <c r="AN89" i="30"/>
  <c r="AN90" i="30"/>
  <c r="AQ86" i="30"/>
  <c r="X51" i="30"/>
  <c r="AV116" i="30"/>
  <c r="AV118" i="30"/>
  <c r="AV82" i="30"/>
  <c r="AV47" i="30"/>
  <c r="AV48" i="30"/>
  <c r="AT85" i="30"/>
  <c r="AO85" i="30"/>
  <c r="AO88" i="30"/>
  <c r="AO86" i="30"/>
  <c r="AO87" i="30"/>
  <c r="AL88" i="30"/>
  <c r="AJ88" i="30"/>
  <c r="AJ100" i="30"/>
  <c r="AJ132" i="30"/>
  <c r="AZ33" i="30"/>
  <c r="BD25" i="30"/>
  <c r="BD28" i="30"/>
  <c r="AU85" i="30"/>
  <c r="AN87" i="30"/>
  <c r="AN100" i="30"/>
  <c r="AN132" i="30"/>
  <c r="AK86" i="30"/>
  <c r="AK100" i="30"/>
  <c r="AK132" i="30"/>
  <c r="AS82" i="30"/>
  <c r="AS116" i="30"/>
  <c r="AS118" i="30"/>
  <c r="AS47" i="30"/>
  <c r="AS48" i="30"/>
  <c r="AL87" i="30"/>
  <c r="T113" i="30"/>
  <c r="S120" i="30"/>
  <c r="S105" i="30"/>
  <c r="R106" i="30"/>
  <c r="R133" i="30"/>
  <c r="T109" i="30"/>
  <c r="S104" i="30"/>
  <c r="S134" i="30"/>
  <c r="T124" i="30"/>
  <c r="R32" i="30"/>
  <c r="R34" i="30"/>
  <c r="R129" i="30"/>
  <c r="AS85" i="30"/>
  <c r="AS86" i="30"/>
  <c r="AW116" i="30"/>
  <c r="AW118" i="30"/>
  <c r="AW82" i="30"/>
  <c r="AW47" i="30"/>
  <c r="AW48" i="30"/>
  <c r="AP100" i="30"/>
  <c r="AP132" i="30"/>
  <c r="Y51" i="30"/>
  <c r="AL100" i="30"/>
  <c r="AL132" i="30"/>
  <c r="AL89" i="30"/>
  <c r="AL90" i="30"/>
  <c r="AQ87" i="30"/>
  <c r="Y57" i="30"/>
  <c r="BB116" i="30"/>
  <c r="BB118" i="30"/>
  <c r="BB47" i="30"/>
  <c r="BB48" i="30"/>
  <c r="BB82" i="30"/>
  <c r="R66" i="30"/>
  <c r="R68" i="30"/>
  <c r="R70" i="30"/>
  <c r="AK89" i="30"/>
  <c r="AK90" i="30"/>
  <c r="BC47" i="30"/>
  <c r="BC48" i="30"/>
  <c r="BC116" i="30"/>
  <c r="BC118" i="30"/>
  <c r="BC82" i="30"/>
  <c r="BD33" i="30"/>
  <c r="BH25" i="30"/>
  <c r="BH28" i="30"/>
  <c r="AJ89" i="30"/>
  <c r="AJ90" i="30"/>
  <c r="AZ116" i="30"/>
  <c r="AZ118" i="30"/>
  <c r="AZ47" i="30"/>
  <c r="AZ48" i="30"/>
  <c r="AZ82" i="30"/>
  <c r="AV85" i="30"/>
  <c r="AV86" i="30"/>
  <c r="AV87" i="30"/>
  <c r="O78" i="30"/>
  <c r="O131" i="30"/>
  <c r="O135" i="30"/>
  <c r="O137" i="30"/>
  <c r="AR86" i="30"/>
  <c r="Q71" i="30"/>
  <c r="Q73" i="30"/>
  <c r="BG33" i="30"/>
  <c r="BK25" i="30"/>
  <c r="BK28" i="30"/>
  <c r="T7" i="30"/>
  <c r="U5" i="30"/>
  <c r="U6" i="30"/>
  <c r="AU86" i="30"/>
  <c r="AT86" i="30"/>
  <c r="AT87" i="30"/>
  <c r="AT88" i="30"/>
  <c r="S20" i="30"/>
  <c r="S19" i="30"/>
  <c r="S18" i="30"/>
  <c r="S45" i="30"/>
  <c r="S60" i="30"/>
  <c r="S65" i="30"/>
  <c r="BF33" i="30"/>
  <c r="BJ25" i="30"/>
  <c r="BJ28" i="30"/>
  <c r="AY85" i="30"/>
  <c r="AY86" i="30"/>
  <c r="AO89" i="30"/>
  <c r="AO90" i="30"/>
  <c r="AO100" i="30"/>
  <c r="AO132" i="30"/>
  <c r="BA33" i="30"/>
  <c r="BE25" i="30"/>
  <c r="BE28" i="30"/>
  <c r="AX86" i="30"/>
  <c r="AX87" i="30"/>
  <c r="AX85" i="30"/>
  <c r="P74" i="30"/>
  <c r="P78" i="30"/>
  <c r="P131" i="30"/>
  <c r="P135" i="30"/>
  <c r="P137" i="30"/>
  <c r="U109" i="30"/>
  <c r="T104" i="30"/>
  <c r="S106" i="30"/>
  <c r="S133" i="30"/>
  <c r="U124" i="30"/>
  <c r="T134" i="30"/>
  <c r="T120" i="30"/>
  <c r="T105" i="30"/>
  <c r="U113" i="30"/>
  <c r="S32" i="30"/>
  <c r="S34" i="30"/>
  <c r="S129" i="30"/>
  <c r="BC85" i="30"/>
  <c r="BC86" i="30"/>
  <c r="BC87" i="30"/>
  <c r="BC88" i="30"/>
  <c r="AV88" i="30"/>
  <c r="P75" i="30"/>
  <c r="P76" i="30"/>
  <c r="AT89" i="30"/>
  <c r="AT90" i="30"/>
  <c r="AT100" i="30"/>
  <c r="AT132" i="30"/>
  <c r="AU87" i="30"/>
  <c r="AU88" i="30"/>
  <c r="AS87" i="30"/>
  <c r="Z57" i="30"/>
  <c r="AY87" i="30"/>
  <c r="AY88" i="30"/>
  <c r="U7" i="30"/>
  <c r="V5" i="30"/>
  <c r="V6" i="30"/>
  <c r="BB85" i="30"/>
  <c r="BB86" i="30"/>
  <c r="AW85" i="30"/>
  <c r="AW86" i="30"/>
  <c r="AW87" i="30"/>
  <c r="AW88" i="30"/>
  <c r="S66" i="30"/>
  <c r="S68" i="30"/>
  <c r="S70" i="30"/>
  <c r="T20" i="30"/>
  <c r="T19" i="30"/>
  <c r="T18" i="30"/>
  <c r="T45" i="30"/>
  <c r="T60" i="30"/>
  <c r="T65" i="30"/>
  <c r="AV100" i="30"/>
  <c r="AV132" i="30"/>
  <c r="AV89" i="30"/>
  <c r="AV90" i="30"/>
  <c r="AQ89" i="30"/>
  <c r="AQ90" i="30"/>
  <c r="Q74" i="30"/>
  <c r="Q75" i="30"/>
  <c r="Q76" i="30"/>
  <c r="BE33" i="30"/>
  <c r="BI25" i="30"/>
  <c r="BI28" i="30"/>
  <c r="BA82" i="30"/>
  <c r="BA47" i="30"/>
  <c r="BA48" i="30"/>
  <c r="BA116" i="30"/>
  <c r="BA118" i="30"/>
  <c r="BJ33" i="30"/>
  <c r="BN25" i="30"/>
  <c r="BN28" i="30"/>
  <c r="BN33" i="30"/>
  <c r="AX88" i="30"/>
  <c r="AX89" i="30"/>
  <c r="AX90" i="30"/>
  <c r="BO25" i="30"/>
  <c r="BO28" i="30"/>
  <c r="BO33" i="30"/>
  <c r="BK33" i="30"/>
  <c r="AZ86" i="30"/>
  <c r="AZ87" i="30"/>
  <c r="AZ88" i="30"/>
  <c r="AZ85" i="30"/>
  <c r="BL25" i="30"/>
  <c r="BL28" i="30"/>
  <c r="BH33" i="30"/>
  <c r="AQ88" i="30"/>
  <c r="AQ100" i="30"/>
  <c r="AQ132" i="30"/>
  <c r="R71" i="30"/>
  <c r="R73" i="30"/>
  <c r="BF82" i="30"/>
  <c r="BF116" i="30"/>
  <c r="BF118" i="30"/>
  <c r="BF47" i="30"/>
  <c r="BF48" i="30"/>
  <c r="AX100" i="30"/>
  <c r="AX132" i="30"/>
  <c r="BG82" i="30"/>
  <c r="BG47" i="30"/>
  <c r="BG48" i="30"/>
  <c r="BG116" i="30"/>
  <c r="BG118" i="30"/>
  <c r="AR87" i="30"/>
  <c r="AR88" i="30"/>
  <c r="AR100" i="30"/>
  <c r="AR132" i="30"/>
  <c r="BD82" i="30"/>
  <c r="BD47" i="30"/>
  <c r="BD48" i="30"/>
  <c r="BD116" i="30"/>
  <c r="BD118" i="30"/>
  <c r="Z51" i="30"/>
  <c r="T106" i="30"/>
  <c r="T133" i="30"/>
  <c r="V124" i="30"/>
  <c r="U134" i="30"/>
  <c r="U120" i="30"/>
  <c r="U105" i="30"/>
  <c r="V113" i="30"/>
  <c r="Q78" i="30"/>
  <c r="Q131" i="30"/>
  <c r="Q135" i="30"/>
  <c r="Q137" i="30"/>
  <c r="V109" i="30"/>
  <c r="U104" i="30"/>
  <c r="AU89" i="30"/>
  <c r="AU90" i="30"/>
  <c r="AU100" i="30"/>
  <c r="AU132" i="30"/>
  <c r="BB87" i="30"/>
  <c r="BB88" i="30"/>
  <c r="T32" i="30"/>
  <c r="T34" i="30"/>
  <c r="T129" i="30"/>
  <c r="AY100" i="30"/>
  <c r="AY132" i="30"/>
  <c r="AY89" i="30"/>
  <c r="AY90" i="30"/>
  <c r="BF85" i="30"/>
  <c r="BF86" i="30"/>
  <c r="BF87" i="30"/>
  <c r="BF88" i="30"/>
  <c r="BK47" i="30"/>
  <c r="BK48" i="30"/>
  <c r="BK82" i="30"/>
  <c r="BK116" i="30"/>
  <c r="BK118" i="30"/>
  <c r="BI33" i="30"/>
  <c r="BM25" i="30"/>
  <c r="BM28" i="30"/>
  <c r="BM33" i="30"/>
  <c r="V7" i="30"/>
  <c r="W5" i="30"/>
  <c r="W6" i="30"/>
  <c r="AA51" i="30"/>
  <c r="BG85" i="30"/>
  <c r="BG86" i="30"/>
  <c r="BG87" i="30"/>
  <c r="BG88" i="30"/>
  <c r="BH116" i="30"/>
  <c r="BH118" i="30"/>
  <c r="BH47" i="30"/>
  <c r="BH48" i="30"/>
  <c r="BH82" i="30"/>
  <c r="BE82" i="30"/>
  <c r="BE47" i="30"/>
  <c r="BE48" i="30"/>
  <c r="BE116" i="30"/>
  <c r="BE118" i="30"/>
  <c r="S71" i="30"/>
  <c r="S73" i="30"/>
  <c r="AW100" i="30"/>
  <c r="AW132" i="30"/>
  <c r="AW89" i="30"/>
  <c r="AW90" i="30"/>
  <c r="U20" i="30"/>
  <c r="U19" i="30"/>
  <c r="U18" i="30"/>
  <c r="U45" i="30"/>
  <c r="U60" i="30"/>
  <c r="U65" i="30"/>
  <c r="BC89" i="30"/>
  <c r="BC90" i="30"/>
  <c r="BC100" i="30"/>
  <c r="BC132" i="30"/>
  <c r="AR89" i="30"/>
  <c r="AR90" i="30"/>
  <c r="BD85" i="30"/>
  <c r="BD86" i="30"/>
  <c r="R74" i="30"/>
  <c r="R78" i="30"/>
  <c r="R131" i="30"/>
  <c r="R135" i="30"/>
  <c r="R137" i="30"/>
  <c r="T68" i="30"/>
  <c r="T70" i="30"/>
  <c r="T66" i="30"/>
  <c r="BA85" i="30"/>
  <c r="BA86" i="30"/>
  <c r="BA87" i="30"/>
  <c r="BA88" i="30"/>
  <c r="BO116" i="30"/>
  <c r="BO118" i="30"/>
  <c r="BO47" i="30"/>
  <c r="BO48" i="30"/>
  <c r="BO82" i="30"/>
  <c r="BP25" i="30"/>
  <c r="BP28" i="30"/>
  <c r="BP33" i="30"/>
  <c r="BL33" i="30"/>
  <c r="AS88" i="30"/>
  <c r="AS100" i="30"/>
  <c r="AS132" i="30"/>
  <c r="AZ100" i="30"/>
  <c r="AZ132" i="30"/>
  <c r="AZ89" i="30"/>
  <c r="AZ90" i="30"/>
  <c r="BN82" i="30"/>
  <c r="BN116" i="30"/>
  <c r="BN118" i="30"/>
  <c r="BN47" i="30"/>
  <c r="BN48" i="30"/>
  <c r="BJ82" i="30"/>
  <c r="BJ47" i="30"/>
  <c r="BJ48" i="30"/>
  <c r="BJ116" i="30"/>
  <c r="BJ118" i="30"/>
  <c r="AA57" i="30"/>
  <c r="W109" i="30"/>
  <c r="V104" i="30"/>
  <c r="V120" i="30"/>
  <c r="V105" i="30"/>
  <c r="W113" i="30"/>
  <c r="U106" i="30"/>
  <c r="U133" i="30"/>
  <c r="V134" i="30"/>
  <c r="W124" i="30"/>
  <c r="R75" i="30"/>
  <c r="R76" i="30"/>
  <c r="BB89" i="30"/>
  <c r="BB90" i="30"/>
  <c r="BB100" i="30"/>
  <c r="BB132" i="30"/>
  <c r="U32" i="30"/>
  <c r="U34" i="30"/>
  <c r="U129" i="30"/>
  <c r="BH85" i="30"/>
  <c r="BH86" i="30"/>
  <c r="W7" i="30"/>
  <c r="X5" i="30"/>
  <c r="X6" i="30"/>
  <c r="V20" i="30"/>
  <c r="V19" i="30"/>
  <c r="V18" i="30"/>
  <c r="V45" i="30"/>
  <c r="V60" i="30"/>
  <c r="V65" i="30"/>
  <c r="BP47" i="30"/>
  <c r="BP48" i="30"/>
  <c r="BP82" i="30"/>
  <c r="BP116" i="30"/>
  <c r="BP118" i="30"/>
  <c r="BN85" i="30"/>
  <c r="BI82" i="30"/>
  <c r="BI116" i="30"/>
  <c r="BI118" i="30"/>
  <c r="BI47" i="30"/>
  <c r="BI48" i="30"/>
  <c r="BO85" i="30"/>
  <c r="BM116" i="30"/>
  <c r="BM118" i="30"/>
  <c r="BM47" i="30"/>
  <c r="BM48" i="30"/>
  <c r="BM82" i="30"/>
  <c r="BK86" i="30"/>
  <c r="BK87" i="30"/>
  <c r="BK85" i="30"/>
  <c r="BA100" i="30"/>
  <c r="BA132" i="30"/>
  <c r="BA89" i="30"/>
  <c r="BA90" i="30"/>
  <c r="S74" i="30"/>
  <c r="S75" i="30"/>
  <c r="S76" i="30"/>
  <c r="T71" i="30"/>
  <c r="T73" i="30"/>
  <c r="U70" i="30"/>
  <c r="U68" i="30"/>
  <c r="U66" i="30"/>
  <c r="BF100" i="30"/>
  <c r="BF132" i="30"/>
  <c r="BF89" i="30"/>
  <c r="BF90" i="30"/>
  <c r="AB57" i="30"/>
  <c r="BJ85" i="30"/>
  <c r="BJ86" i="30"/>
  <c r="BJ88" i="30"/>
  <c r="BJ87" i="30"/>
  <c r="BD87" i="30"/>
  <c r="BD88" i="30"/>
  <c r="BL47" i="30"/>
  <c r="BL48" i="30"/>
  <c r="BL82" i="30"/>
  <c r="BL116" i="30"/>
  <c r="BL118" i="30"/>
  <c r="BE85" i="30"/>
  <c r="BE86" i="30"/>
  <c r="BE87" i="30"/>
  <c r="BG89" i="30"/>
  <c r="BG90" i="30"/>
  <c r="BG100" i="30"/>
  <c r="BG132" i="30"/>
  <c r="AB51" i="30"/>
  <c r="AS89" i="30"/>
  <c r="AS90" i="30"/>
  <c r="X113" i="30"/>
  <c r="W120" i="30"/>
  <c r="W105" i="30"/>
  <c r="X124" i="30"/>
  <c r="W134" i="30"/>
  <c r="V106" i="30"/>
  <c r="V133" i="30"/>
  <c r="W104" i="30"/>
  <c r="X109" i="30"/>
  <c r="BO86" i="30"/>
  <c r="V68" i="30"/>
  <c r="V66" i="30"/>
  <c r="V70" i="30"/>
  <c r="X7" i="30"/>
  <c r="Y5" i="30"/>
  <c r="Y6" i="30"/>
  <c r="V32" i="30"/>
  <c r="V34" i="30"/>
  <c r="V129" i="30"/>
  <c r="BI85" i="30"/>
  <c r="BD89" i="30"/>
  <c r="BD90" i="30"/>
  <c r="BK88" i="30"/>
  <c r="BK100" i="30"/>
  <c r="BK132" i="30"/>
  <c r="BD100" i="30"/>
  <c r="BD132" i="30"/>
  <c r="W20" i="30"/>
  <c r="W19" i="30"/>
  <c r="W18" i="30"/>
  <c r="W45" i="30"/>
  <c r="W60" i="30"/>
  <c r="W65" i="30"/>
  <c r="BE88" i="30"/>
  <c r="BE89" i="30"/>
  <c r="BE90" i="30"/>
  <c r="BE100" i="30"/>
  <c r="BE132" i="30"/>
  <c r="AC51" i="30"/>
  <c r="BJ100" i="30"/>
  <c r="BJ132" i="30"/>
  <c r="BJ89" i="30"/>
  <c r="BJ90" i="30"/>
  <c r="S78" i="30"/>
  <c r="S131" i="30"/>
  <c r="S135" i="30"/>
  <c r="S137" i="30"/>
  <c r="BM85" i="30"/>
  <c r="BM86" i="30"/>
  <c r="BM87" i="30"/>
  <c r="BN86" i="30"/>
  <c r="T74" i="30"/>
  <c r="T75" i="30"/>
  <c r="T76" i="30"/>
  <c r="BP85" i="30"/>
  <c r="AC57" i="30"/>
  <c r="BL85" i="30"/>
  <c r="U71" i="30"/>
  <c r="U73" i="30"/>
  <c r="BH87" i="30"/>
  <c r="BH88" i="30"/>
  <c r="W106" i="30"/>
  <c r="W133" i="30"/>
  <c r="X104" i="30"/>
  <c r="Y109" i="30"/>
  <c r="T78" i="30"/>
  <c r="T131" i="30"/>
  <c r="T135" i="30"/>
  <c r="T137" i="30"/>
  <c r="Y124" i="30"/>
  <c r="X134" i="30"/>
  <c r="Y113" i="30"/>
  <c r="X120" i="30"/>
  <c r="X105" i="30"/>
  <c r="W32" i="30"/>
  <c r="W34" i="30"/>
  <c r="W129" i="30"/>
  <c r="Z5" i="30"/>
  <c r="Z6" i="30"/>
  <c r="Y7" i="30"/>
  <c r="X20" i="30"/>
  <c r="X19" i="30"/>
  <c r="X18" i="30"/>
  <c r="X45" i="30"/>
  <c r="X60" i="30"/>
  <c r="X65" i="30"/>
  <c r="AD57" i="30"/>
  <c r="V71" i="30"/>
  <c r="V73" i="30"/>
  <c r="BN87" i="30"/>
  <c r="BN88" i="30"/>
  <c r="W70" i="30"/>
  <c r="W68" i="30"/>
  <c r="W66" i="30"/>
  <c r="AD51" i="30"/>
  <c r="BM88" i="30"/>
  <c r="BP86" i="30"/>
  <c r="BK89" i="30"/>
  <c r="BK90" i="30"/>
  <c r="BL86" i="30"/>
  <c r="BM89" i="30"/>
  <c r="BM90" i="30"/>
  <c r="BM100" i="30"/>
  <c r="BM132" i="30"/>
  <c r="BO87" i="30"/>
  <c r="BO88" i="30"/>
  <c r="BI86" i="30"/>
  <c r="BH100" i="30"/>
  <c r="BH132" i="30"/>
  <c r="U74" i="30"/>
  <c r="U75" i="30"/>
  <c r="U76" i="30"/>
  <c r="BH89" i="30"/>
  <c r="BH90" i="30"/>
  <c r="Z113" i="30"/>
  <c r="Y120" i="30"/>
  <c r="Y105" i="30"/>
  <c r="Z124" i="30"/>
  <c r="Y134" i="30"/>
  <c r="Y104" i="30"/>
  <c r="Z109" i="30"/>
  <c r="X106" i="30"/>
  <c r="X133" i="30"/>
  <c r="X32" i="30"/>
  <c r="X34" i="30"/>
  <c r="X129" i="30"/>
  <c r="BI87" i="30"/>
  <c r="Y20" i="30"/>
  <c r="Y19" i="30"/>
  <c r="Y18" i="30"/>
  <c r="Y45" i="30"/>
  <c r="Y60" i="30"/>
  <c r="Y65" i="30"/>
  <c r="V74" i="30"/>
  <c r="V78" i="30"/>
  <c r="V131" i="30"/>
  <c r="V135" i="30"/>
  <c r="V137" i="30"/>
  <c r="Z7" i="30"/>
  <c r="AA5" i="30"/>
  <c r="AA6" i="30"/>
  <c r="BP87" i="30"/>
  <c r="BN100" i="30"/>
  <c r="BN132" i="30"/>
  <c r="BL87" i="30"/>
  <c r="BL88" i="30"/>
  <c r="W71" i="30"/>
  <c r="W73" i="30"/>
  <c r="U78" i="30"/>
  <c r="U131" i="30"/>
  <c r="U135" i="30"/>
  <c r="U137" i="30"/>
  <c r="BN89" i="30"/>
  <c r="BN90" i="30"/>
  <c r="AE57" i="30"/>
  <c r="BO100" i="30"/>
  <c r="BO132" i="30"/>
  <c r="BO89" i="30"/>
  <c r="BO90" i="30"/>
  <c r="AE51" i="30"/>
  <c r="X70" i="30"/>
  <c r="X68" i="30"/>
  <c r="X66" i="30"/>
  <c r="AA109" i="30"/>
  <c r="Z104" i="30"/>
  <c r="Z134" i="30"/>
  <c r="AA124" i="30"/>
  <c r="Y106" i="30"/>
  <c r="Y133" i="30"/>
  <c r="Z120" i="30"/>
  <c r="Z105" i="30"/>
  <c r="AA113" i="30"/>
  <c r="Y32" i="30"/>
  <c r="Y34" i="30"/>
  <c r="Y129" i="30"/>
  <c r="BP100" i="30"/>
  <c r="BP132" i="30"/>
  <c r="AF51" i="30"/>
  <c r="W74" i="30"/>
  <c r="W78" i="30"/>
  <c r="W131" i="30"/>
  <c r="W135" i="30"/>
  <c r="W137" i="30"/>
  <c r="X71" i="30"/>
  <c r="X73" i="30"/>
  <c r="Z20" i="30"/>
  <c r="Z19" i="30"/>
  <c r="Z18" i="30"/>
  <c r="Z45" i="30"/>
  <c r="Z60" i="30"/>
  <c r="Z65" i="30"/>
  <c r="BL89" i="30"/>
  <c r="BL90" i="30"/>
  <c r="BL100" i="30"/>
  <c r="BL132" i="30"/>
  <c r="V75" i="30"/>
  <c r="V76" i="30"/>
  <c r="AA7" i="30"/>
  <c r="AB5" i="30"/>
  <c r="AB6" i="30"/>
  <c r="BI88" i="30"/>
  <c r="BI100" i="30"/>
  <c r="BI132" i="30"/>
  <c r="BP89" i="30"/>
  <c r="BP90" i="30"/>
  <c r="AF57" i="30"/>
  <c r="BP88" i="30"/>
  <c r="Y70" i="30"/>
  <c r="Y68" i="30"/>
  <c r="Y66" i="30"/>
  <c r="Z106" i="30"/>
  <c r="Z133" i="30"/>
  <c r="AB124" i="30"/>
  <c r="AA134" i="30"/>
  <c r="AB113" i="30"/>
  <c r="AA120" i="30"/>
  <c r="AA105" i="30"/>
  <c r="W75" i="30"/>
  <c r="W76" i="30"/>
  <c r="AA104" i="30"/>
  <c r="AB109" i="30"/>
  <c r="Z32" i="30"/>
  <c r="Z34" i="30"/>
  <c r="Z129" i="30"/>
  <c r="AG57" i="30"/>
  <c r="BI89" i="30"/>
  <c r="BI90" i="30"/>
  <c r="G90" i="30"/>
  <c r="Z68" i="30"/>
  <c r="Z66" i="30"/>
  <c r="Z70" i="30"/>
  <c r="AG51" i="30"/>
  <c r="Y71" i="30"/>
  <c r="Y73" i="30"/>
  <c r="X74" i="30"/>
  <c r="X75" i="30"/>
  <c r="X76" i="30"/>
  <c r="AB7" i="30"/>
  <c r="AC5" i="30"/>
  <c r="AC6" i="30"/>
  <c r="AA20" i="30"/>
  <c r="AA19" i="30"/>
  <c r="AA18" i="30"/>
  <c r="AA45" i="30"/>
  <c r="AA60" i="30"/>
  <c r="AA65" i="30"/>
  <c r="AC109" i="30"/>
  <c r="AB104" i="30"/>
  <c r="AB120" i="30"/>
  <c r="AB105" i="30"/>
  <c r="AC113" i="30"/>
  <c r="AA106" i="30"/>
  <c r="AA133" i="30"/>
  <c r="AB134" i="30"/>
  <c r="AC124" i="30"/>
  <c r="AA32" i="30"/>
  <c r="AA34" i="30"/>
  <c r="AA129" i="30"/>
  <c r="AH51" i="30"/>
  <c r="AC7" i="30"/>
  <c r="AD5" i="30"/>
  <c r="AD6" i="30"/>
  <c r="X78" i="30"/>
  <c r="X131" i="30"/>
  <c r="X135" i="30"/>
  <c r="X137" i="30"/>
  <c r="AH57" i="30"/>
  <c r="Z71" i="30"/>
  <c r="Z73" i="30"/>
  <c r="AB20" i="30"/>
  <c r="AB19" i="30"/>
  <c r="AB18" i="30"/>
  <c r="AB45" i="30"/>
  <c r="AB60" i="30"/>
  <c r="AB65" i="30"/>
  <c r="AA70" i="30"/>
  <c r="AA68" i="30"/>
  <c r="AA66" i="30"/>
  <c r="Y74" i="30"/>
  <c r="Y75" i="30"/>
  <c r="Y76" i="30"/>
  <c r="AB106" i="30"/>
  <c r="AB133" i="30"/>
  <c r="AD113" i="30"/>
  <c r="AC120" i="30"/>
  <c r="AC105" i="30"/>
  <c r="AC134" i="30"/>
  <c r="AD124" i="30"/>
  <c r="AD109" i="30"/>
  <c r="AC104" i="30"/>
  <c r="AB32" i="30"/>
  <c r="AB34" i="30"/>
  <c r="AB129" i="30"/>
  <c r="AA71" i="30"/>
  <c r="AA73" i="30"/>
  <c r="AB68" i="30"/>
  <c r="AB70" i="30"/>
  <c r="AB66" i="30"/>
  <c r="AI57" i="30"/>
  <c r="AD7" i="30"/>
  <c r="AE5" i="30"/>
  <c r="AE6" i="30"/>
  <c r="AC20" i="30"/>
  <c r="AC19" i="30"/>
  <c r="AC18" i="30"/>
  <c r="AC45" i="30"/>
  <c r="AC60" i="30"/>
  <c r="AC65" i="30"/>
  <c r="AI51" i="30"/>
  <c r="Y78" i="30"/>
  <c r="Y131" i="30"/>
  <c r="Y135" i="30"/>
  <c r="Y137" i="30"/>
  <c r="Z74" i="30"/>
  <c r="Z78" i="30"/>
  <c r="Z131" i="30"/>
  <c r="Z135" i="30"/>
  <c r="Z137" i="30"/>
  <c r="AD134" i="30"/>
  <c r="AE124" i="30"/>
  <c r="AD104" i="30"/>
  <c r="AE109" i="30"/>
  <c r="AC106" i="30"/>
  <c r="AC133" i="30"/>
  <c r="AD120" i="30"/>
  <c r="AD105" i="30"/>
  <c r="AE113" i="30"/>
  <c r="AC32" i="30"/>
  <c r="AC34" i="30"/>
  <c r="AC129" i="30"/>
  <c r="AF5" i="30"/>
  <c r="AF6" i="30"/>
  <c r="AE7" i="30"/>
  <c r="AD20" i="30"/>
  <c r="AD19" i="30"/>
  <c r="AD18" i="30"/>
  <c r="AD45" i="30"/>
  <c r="AD60" i="30"/>
  <c r="AD65" i="30"/>
  <c r="AJ51" i="30"/>
  <c r="AC66" i="30"/>
  <c r="AC70" i="30"/>
  <c r="AC68" i="30"/>
  <c r="AA74" i="30"/>
  <c r="AA78" i="30"/>
  <c r="AA131" i="30"/>
  <c r="AA135" i="30"/>
  <c r="AA137" i="30"/>
  <c r="AJ57" i="30"/>
  <c r="Z75" i="30"/>
  <c r="Z76" i="30"/>
  <c r="AB71" i="30"/>
  <c r="AB73" i="30"/>
  <c r="AE120" i="30"/>
  <c r="AE105" i="30"/>
  <c r="AF113" i="30"/>
  <c r="AE134" i="30"/>
  <c r="AF124" i="30"/>
  <c r="AF109" i="30"/>
  <c r="AE104" i="30"/>
  <c r="AD106" i="30"/>
  <c r="AD133" i="30"/>
  <c r="AD32" i="30"/>
  <c r="AD34" i="30"/>
  <c r="AD129" i="30"/>
  <c r="AE20" i="30"/>
  <c r="AE19" i="30"/>
  <c r="AE18" i="30"/>
  <c r="AE45" i="30"/>
  <c r="AE60" i="30"/>
  <c r="AE65" i="30"/>
  <c r="AC71" i="30"/>
  <c r="AC73" i="30"/>
  <c r="AK57" i="30"/>
  <c r="AG5" i="30"/>
  <c r="AG6" i="30"/>
  <c r="AF7" i="30"/>
  <c r="AA75" i="30"/>
  <c r="AA76" i="30"/>
  <c r="AK51" i="30"/>
  <c r="AD68" i="30"/>
  <c r="AD66" i="30"/>
  <c r="AD70" i="30"/>
  <c r="AB74" i="30"/>
  <c r="AB75" i="30"/>
  <c r="AB76" i="30"/>
  <c r="AF120" i="30"/>
  <c r="AF105" i="30"/>
  <c r="AG113" i="30"/>
  <c r="AG109" i="30"/>
  <c r="AF104" i="30"/>
  <c r="AG124" i="30"/>
  <c r="AF134" i="30"/>
  <c r="AE106" i="30"/>
  <c r="AE133" i="30"/>
  <c r="AE32" i="30"/>
  <c r="AE34" i="30"/>
  <c r="AE129" i="30"/>
  <c r="AE66" i="30"/>
  <c r="AE70" i="30"/>
  <c r="AE68" i="30"/>
  <c r="AB78" i="30"/>
  <c r="AB131" i="30"/>
  <c r="AB135" i="30"/>
  <c r="AB137" i="30"/>
  <c r="AH5" i="30"/>
  <c r="AH6" i="30"/>
  <c r="AG7" i="30"/>
  <c r="AF20" i="30"/>
  <c r="AF19" i="30"/>
  <c r="AF18" i="30"/>
  <c r="AF45" i="30"/>
  <c r="AF60" i="30"/>
  <c r="AF65" i="30"/>
  <c r="AD71" i="30"/>
  <c r="AD73" i="30"/>
  <c r="AL57" i="30"/>
  <c r="AL51" i="30"/>
  <c r="AC74" i="30"/>
  <c r="AC75" i="30"/>
  <c r="AC76" i="30"/>
  <c r="AF106" i="30"/>
  <c r="AF133" i="30"/>
  <c r="AG134" i="30"/>
  <c r="AH124" i="30"/>
  <c r="AH113" i="30"/>
  <c r="AG120" i="30"/>
  <c r="AG105" i="30"/>
  <c r="AG104" i="30"/>
  <c r="AH109" i="30"/>
  <c r="AF32" i="30"/>
  <c r="AF34" i="30"/>
  <c r="AF129" i="30"/>
  <c r="AF70" i="30"/>
  <c r="AF68" i="30"/>
  <c r="AF66" i="30"/>
  <c r="AG20" i="30"/>
  <c r="AG19" i="30"/>
  <c r="AG18" i="30"/>
  <c r="AG45" i="30"/>
  <c r="AG60" i="30"/>
  <c r="AG65" i="30"/>
  <c r="AE71" i="30"/>
  <c r="AE73" i="30"/>
  <c r="AI5" i="30"/>
  <c r="AI6" i="30"/>
  <c r="AH7" i="30"/>
  <c r="AC78" i="30"/>
  <c r="AC131" i="30"/>
  <c r="AC135" i="30"/>
  <c r="AC137" i="30"/>
  <c r="AM57" i="30"/>
  <c r="AM51" i="30"/>
  <c r="AD74" i="30"/>
  <c r="AD75" i="30"/>
  <c r="AD76" i="30"/>
  <c r="AH104" i="30"/>
  <c r="AI109" i="30"/>
  <c r="AG106" i="30"/>
  <c r="AG133" i="30"/>
  <c r="AD78" i="30"/>
  <c r="AD131" i="30"/>
  <c r="AD135" i="30"/>
  <c r="AD137" i="30"/>
  <c r="AH134" i="30"/>
  <c r="AI124" i="30"/>
  <c r="AI113" i="30"/>
  <c r="AH120" i="30"/>
  <c r="AH105" i="30"/>
  <c r="AG32" i="30"/>
  <c r="AG34" i="30"/>
  <c r="AG129" i="30"/>
  <c r="AG70" i="30"/>
  <c r="AG68" i="30"/>
  <c r="AG66" i="30"/>
  <c r="AH20" i="30"/>
  <c r="AH19" i="30"/>
  <c r="AH18" i="30"/>
  <c r="AH45" i="30"/>
  <c r="AH60" i="30"/>
  <c r="AH65" i="30"/>
  <c r="AN57" i="30"/>
  <c r="AF71" i="30"/>
  <c r="AF73" i="30"/>
  <c r="AJ5" i="30"/>
  <c r="AJ6" i="30"/>
  <c r="AI7" i="30"/>
  <c r="AE74" i="30"/>
  <c r="AE75" i="30"/>
  <c r="AE76" i="30"/>
  <c r="AN51" i="30"/>
  <c r="AJ124" i="30"/>
  <c r="AI134" i="30"/>
  <c r="AI104" i="30"/>
  <c r="AJ109" i="30"/>
  <c r="AI120" i="30"/>
  <c r="AI105" i="30"/>
  <c r="AJ113" i="30"/>
  <c r="AH106" i="30"/>
  <c r="AH133" i="30"/>
  <c r="AH32" i="30"/>
  <c r="AH34" i="30"/>
  <c r="AH129" i="30"/>
  <c r="AO57" i="30"/>
  <c r="AH68" i="30"/>
  <c r="AH66" i="30"/>
  <c r="AH70" i="30"/>
  <c r="AE78" i="30"/>
  <c r="AE131" i="30"/>
  <c r="AE135" i="30"/>
  <c r="AE137" i="30"/>
  <c r="AI20" i="30"/>
  <c r="AI19" i="30"/>
  <c r="AI18" i="30"/>
  <c r="AI45" i="30"/>
  <c r="AI60" i="30"/>
  <c r="AI65" i="30"/>
  <c r="AF74" i="30"/>
  <c r="AF75" i="30"/>
  <c r="AF76" i="30"/>
  <c r="AO51" i="30"/>
  <c r="AG71" i="30"/>
  <c r="AG73" i="30"/>
  <c r="AK5" i="30"/>
  <c r="AK6" i="30"/>
  <c r="AJ7" i="30"/>
  <c r="AI106" i="30"/>
  <c r="AI133" i="30"/>
  <c r="AF78" i="30"/>
  <c r="AF131" i="30"/>
  <c r="AF135" i="30"/>
  <c r="AF137" i="30"/>
  <c r="AJ120" i="30"/>
  <c r="AJ105" i="30"/>
  <c r="AK113" i="30"/>
  <c r="AJ104" i="30"/>
  <c r="AK109" i="30"/>
  <c r="AK124" i="30"/>
  <c r="AJ134" i="30"/>
  <c r="AI32" i="30"/>
  <c r="AI34" i="30"/>
  <c r="AI129" i="30"/>
  <c r="AK7" i="30"/>
  <c r="AL5" i="30"/>
  <c r="AL6" i="30"/>
  <c r="AG74" i="30"/>
  <c r="AG78" i="30"/>
  <c r="AG131" i="30"/>
  <c r="AG135" i="30"/>
  <c r="AG137" i="30"/>
  <c r="AP57" i="30"/>
  <c r="AI70" i="30"/>
  <c r="AI66" i="30"/>
  <c r="AI68" i="30"/>
  <c r="AH71" i="30"/>
  <c r="AH73" i="30"/>
  <c r="AJ20" i="30"/>
  <c r="AJ19" i="30"/>
  <c r="AJ18" i="30"/>
  <c r="AJ45" i="30"/>
  <c r="AJ60" i="30"/>
  <c r="AJ65" i="30"/>
  <c r="AP51" i="30"/>
  <c r="AK134" i="30"/>
  <c r="AL124" i="30"/>
  <c r="AL109" i="30"/>
  <c r="AK104" i="30"/>
  <c r="AL113" i="30"/>
  <c r="AK120" i="30"/>
  <c r="AK105" i="30"/>
  <c r="AJ106" i="30"/>
  <c r="AJ133" i="30"/>
  <c r="AJ32" i="30"/>
  <c r="AJ34" i="30"/>
  <c r="AJ129" i="30"/>
  <c r="AM5" i="30"/>
  <c r="AM6" i="30"/>
  <c r="AL7" i="30"/>
  <c r="AG75" i="30"/>
  <c r="AG76" i="30"/>
  <c r="AI71" i="30"/>
  <c r="AI73" i="30"/>
  <c r="AQ57" i="30"/>
  <c r="AH74" i="30"/>
  <c r="AH75" i="30"/>
  <c r="AH76" i="30"/>
  <c r="AK20" i="30"/>
  <c r="AK19" i="30"/>
  <c r="AK18" i="30"/>
  <c r="AK45" i="30"/>
  <c r="AK60" i="30"/>
  <c r="AK65" i="30"/>
  <c r="AQ51" i="30"/>
  <c r="AJ68" i="30"/>
  <c r="AJ70" i="30"/>
  <c r="AJ66" i="30"/>
  <c r="AK106" i="30"/>
  <c r="AK133" i="30"/>
  <c r="AM124" i="30"/>
  <c r="AL134" i="30"/>
  <c r="AL120" i="30"/>
  <c r="AL105" i="30"/>
  <c r="AM113" i="30"/>
  <c r="AL104" i="30"/>
  <c r="AM109" i="30"/>
  <c r="AK32" i="30"/>
  <c r="AK34" i="30"/>
  <c r="AK129" i="30"/>
  <c r="AH78" i="30"/>
  <c r="AH131" i="30"/>
  <c r="AH135" i="30"/>
  <c r="AH137" i="30"/>
  <c r="AL20" i="30"/>
  <c r="AL19" i="30"/>
  <c r="AL18" i="30"/>
  <c r="AL45" i="30"/>
  <c r="AL60" i="30"/>
  <c r="AL65" i="30"/>
  <c r="AR57" i="30"/>
  <c r="AM7" i="30"/>
  <c r="AN5" i="30"/>
  <c r="AN6" i="30"/>
  <c r="AR51" i="30"/>
  <c r="AI74" i="30"/>
  <c r="AI78" i="30"/>
  <c r="AI131" i="30"/>
  <c r="AI135" i="30"/>
  <c r="AI137" i="30"/>
  <c r="AJ71" i="30"/>
  <c r="AJ73" i="30"/>
  <c r="AK68" i="30"/>
  <c r="AK70" i="30"/>
  <c r="AK66" i="30"/>
  <c r="AL106" i="30"/>
  <c r="AL133" i="30"/>
  <c r="AM104" i="30"/>
  <c r="AN109" i="30"/>
  <c r="AN113" i="30"/>
  <c r="AM120" i="30"/>
  <c r="AM105" i="30"/>
  <c r="AN124" i="30"/>
  <c r="AM134" i="30"/>
  <c r="AL32" i="30"/>
  <c r="AL34" i="30"/>
  <c r="AL129" i="30"/>
  <c r="AI75" i="30"/>
  <c r="AI76" i="30"/>
  <c r="AJ74" i="30"/>
  <c r="AJ75" i="30"/>
  <c r="AJ76" i="30"/>
  <c r="AS57" i="30"/>
  <c r="AM20" i="30"/>
  <c r="AM19" i="30"/>
  <c r="AM18" i="30"/>
  <c r="AM45" i="30"/>
  <c r="AM60" i="30"/>
  <c r="AM65" i="30"/>
  <c r="AK71" i="30"/>
  <c r="AK73" i="30"/>
  <c r="AS51" i="30"/>
  <c r="AL68" i="30"/>
  <c r="AL66" i="30"/>
  <c r="AL70" i="30"/>
  <c r="AN7" i="30"/>
  <c r="AO5" i="30"/>
  <c r="AO6" i="30"/>
  <c r="AM106" i="30"/>
  <c r="AM133" i="30"/>
  <c r="AJ78" i="30"/>
  <c r="AJ131" i="30"/>
  <c r="AJ135" i="30"/>
  <c r="AJ137" i="30"/>
  <c r="AO124" i="30"/>
  <c r="AN134" i="30"/>
  <c r="AN120" i="30"/>
  <c r="AN105" i="30"/>
  <c r="AO113" i="30"/>
  <c r="AO109" i="30"/>
  <c r="AN104" i="30"/>
  <c r="AN106" i="30"/>
  <c r="AN133" i="30"/>
  <c r="AM32" i="30"/>
  <c r="AM34" i="30"/>
  <c r="AM129" i="30"/>
  <c r="AK74" i="30"/>
  <c r="AK75" i="30"/>
  <c r="AK76" i="30"/>
  <c r="AM66" i="30"/>
  <c r="AM68" i="30"/>
  <c r="AM70" i="30"/>
  <c r="AL71" i="30"/>
  <c r="AL73" i="30"/>
  <c r="AN20" i="30"/>
  <c r="AN19" i="30"/>
  <c r="AN18" i="30"/>
  <c r="AN45" i="30"/>
  <c r="AN60" i="30"/>
  <c r="AN65" i="30"/>
  <c r="AT57" i="30"/>
  <c r="AO7" i="30"/>
  <c r="AP5" i="30"/>
  <c r="AP6" i="30"/>
  <c r="AT51" i="30"/>
  <c r="AP109" i="30"/>
  <c r="AO104" i="30"/>
  <c r="AP113" i="30"/>
  <c r="AO120" i="30"/>
  <c r="AO105" i="30"/>
  <c r="AP124" i="30"/>
  <c r="AO134" i="30"/>
  <c r="AN32" i="30"/>
  <c r="AN34" i="30"/>
  <c r="AN129" i="30"/>
  <c r="AM71" i="30"/>
  <c r="AM73" i="30"/>
  <c r="AK78" i="30"/>
  <c r="AK131" i="30"/>
  <c r="AK135" i="30"/>
  <c r="AK137" i="30"/>
  <c r="AN66" i="30"/>
  <c r="AN70" i="30"/>
  <c r="AN68" i="30"/>
  <c r="AU57" i="30"/>
  <c r="AU51" i="30"/>
  <c r="AL74" i="30"/>
  <c r="AL75" i="30"/>
  <c r="AL76" i="30"/>
  <c r="AO20" i="30"/>
  <c r="AO19" i="30"/>
  <c r="AO18" i="30"/>
  <c r="AO45" i="30"/>
  <c r="AO60" i="30"/>
  <c r="AO65" i="30"/>
  <c r="AQ5" i="30"/>
  <c r="AQ6" i="30"/>
  <c r="AP7" i="30"/>
  <c r="AO106" i="30"/>
  <c r="AO133" i="30"/>
  <c r="AQ124" i="30"/>
  <c r="AP134" i="30"/>
  <c r="AL78" i="30"/>
  <c r="AL131" i="30"/>
  <c r="AL135" i="30"/>
  <c r="AL137" i="30"/>
  <c r="AP120" i="30"/>
  <c r="AP105" i="30"/>
  <c r="AQ113" i="30"/>
  <c r="AP104" i="30"/>
  <c r="AQ109" i="30"/>
  <c r="AO32" i="30"/>
  <c r="AO34" i="30"/>
  <c r="AO129" i="30"/>
  <c r="AM74" i="30"/>
  <c r="AM75" i="30"/>
  <c r="AM76" i="30"/>
  <c r="AO70" i="30"/>
  <c r="AO66" i="30"/>
  <c r="AO68" i="30"/>
  <c r="AV57" i="30"/>
  <c r="AV51" i="30"/>
  <c r="AP20" i="30"/>
  <c r="AP19" i="30"/>
  <c r="AP18" i="30"/>
  <c r="AP45" i="30"/>
  <c r="AP60" i="30"/>
  <c r="AP65" i="30"/>
  <c r="AQ7" i="30"/>
  <c r="AR5" i="30"/>
  <c r="AR6" i="30"/>
  <c r="AN71" i="30"/>
  <c r="AN73" i="30"/>
  <c r="AP106" i="30"/>
  <c r="AP133" i="30"/>
  <c r="AR109" i="30"/>
  <c r="AQ104" i="30"/>
  <c r="AQ120" i="30"/>
  <c r="AQ105" i="30"/>
  <c r="AR113" i="30"/>
  <c r="AR124" i="30"/>
  <c r="AQ134" i="30"/>
  <c r="AP32" i="30"/>
  <c r="AP34" i="30"/>
  <c r="AP129" i="30"/>
  <c r="AW57" i="30"/>
  <c r="AO71" i="30"/>
  <c r="AO73" i="30"/>
  <c r="AM78" i="30"/>
  <c r="AM131" i="30"/>
  <c r="AM135" i="30"/>
  <c r="AM137" i="30"/>
  <c r="AQ20" i="30"/>
  <c r="AQ19" i="30"/>
  <c r="AQ18" i="30"/>
  <c r="AQ45" i="30"/>
  <c r="AQ60" i="30"/>
  <c r="AQ65" i="30"/>
  <c r="AN74" i="30"/>
  <c r="AN78" i="30"/>
  <c r="AN131" i="30"/>
  <c r="AN135" i="30"/>
  <c r="AN137" i="30"/>
  <c r="AP70" i="30"/>
  <c r="AP68" i="30"/>
  <c r="AP66" i="30"/>
  <c r="AW51" i="30"/>
  <c r="AR7" i="30"/>
  <c r="AS5" i="30"/>
  <c r="AS6" i="30"/>
  <c r="AQ106" i="30"/>
  <c r="AQ133" i="30"/>
  <c r="AS124" i="30"/>
  <c r="AR134" i="30"/>
  <c r="AR120" i="30"/>
  <c r="AR105" i="30"/>
  <c r="AS113" i="30"/>
  <c r="AR104" i="30"/>
  <c r="AS109" i="30"/>
  <c r="AQ32" i="30"/>
  <c r="AQ34" i="30"/>
  <c r="AQ129" i="30"/>
  <c r="AN75" i="30"/>
  <c r="AN76" i="30"/>
  <c r="AO74" i="30"/>
  <c r="AO75" i="30"/>
  <c r="AO76" i="30"/>
  <c r="AX51" i="30"/>
  <c r="AQ66" i="30"/>
  <c r="AQ70" i="30"/>
  <c r="AQ68" i="30"/>
  <c r="AX57" i="30"/>
  <c r="AT5" i="30"/>
  <c r="AT6" i="30"/>
  <c r="AS7" i="30"/>
  <c r="AP71" i="30"/>
  <c r="AP73" i="30"/>
  <c r="AR20" i="30"/>
  <c r="AR19" i="30"/>
  <c r="AR18" i="30"/>
  <c r="AR45" i="30"/>
  <c r="AR60" i="30"/>
  <c r="AR65" i="30"/>
  <c r="AR106" i="30"/>
  <c r="AR133" i="30"/>
  <c r="AT113" i="30"/>
  <c r="AS120" i="30"/>
  <c r="AS105" i="30"/>
  <c r="AS104" i="30"/>
  <c r="AT109" i="30"/>
  <c r="AS134" i="30"/>
  <c r="AT124" i="30"/>
  <c r="AR32" i="30"/>
  <c r="AR34" i="30"/>
  <c r="AR129" i="30"/>
  <c r="AS20" i="30"/>
  <c r="AS19" i="30"/>
  <c r="AS18" i="30"/>
  <c r="AS45" i="30"/>
  <c r="AS60" i="30"/>
  <c r="AS65" i="30"/>
  <c r="AP74" i="30"/>
  <c r="AP75" i="30"/>
  <c r="AP76" i="30"/>
  <c r="AT7" i="30"/>
  <c r="AU5" i="30"/>
  <c r="AU6" i="30"/>
  <c r="AR70" i="30"/>
  <c r="AR68" i="30"/>
  <c r="AR66" i="30"/>
  <c r="AY57" i="30"/>
  <c r="AO78" i="30"/>
  <c r="AO131" i="30"/>
  <c r="AO135" i="30"/>
  <c r="AO137" i="30"/>
  <c r="AY51" i="30"/>
  <c r="AQ71" i="30"/>
  <c r="AQ73" i="30"/>
  <c r="AS106" i="30"/>
  <c r="AS133" i="30"/>
  <c r="AU109" i="30"/>
  <c r="AT104" i="30"/>
  <c r="AT134" i="30"/>
  <c r="AU124" i="30"/>
  <c r="AT120" i="30"/>
  <c r="AT105" i="30"/>
  <c r="AU113" i="30"/>
  <c r="AS32" i="30"/>
  <c r="AS34" i="30"/>
  <c r="AS129" i="30"/>
  <c r="AP78" i="30"/>
  <c r="AP131" i="30"/>
  <c r="AP135" i="30"/>
  <c r="AP137" i="30"/>
  <c r="AZ57" i="30"/>
  <c r="AZ51" i="30"/>
  <c r="AR71" i="30"/>
  <c r="AR73" i="30"/>
  <c r="AS66" i="30"/>
  <c r="AS68" i="30"/>
  <c r="AS70" i="30"/>
  <c r="AQ74" i="30"/>
  <c r="AQ75" i="30"/>
  <c r="AQ76" i="30"/>
  <c r="AU7" i="30"/>
  <c r="AV5" i="30"/>
  <c r="AV6" i="30"/>
  <c r="AT20" i="30"/>
  <c r="AT19" i="30"/>
  <c r="AT18" i="30"/>
  <c r="AT45" i="30"/>
  <c r="AT60" i="30"/>
  <c r="AT65" i="30"/>
  <c r="AV113" i="30"/>
  <c r="AU120" i="30"/>
  <c r="AU105" i="30"/>
  <c r="AU134" i="30"/>
  <c r="AV124" i="30"/>
  <c r="AT106" i="30"/>
  <c r="AT133" i="30"/>
  <c r="AV109" i="30"/>
  <c r="AU104" i="30"/>
  <c r="AT32" i="30"/>
  <c r="AT34" i="30"/>
  <c r="AT129" i="30"/>
  <c r="AT66" i="30"/>
  <c r="AT68" i="30"/>
  <c r="AT70" i="30"/>
  <c r="AQ78" i="30"/>
  <c r="AQ131" i="30"/>
  <c r="AQ135" i="30"/>
  <c r="AQ137" i="30"/>
  <c r="BA51" i="30"/>
  <c r="AS71" i="30"/>
  <c r="AS73" i="30"/>
  <c r="AU20" i="30"/>
  <c r="AU19" i="30"/>
  <c r="AU18" i="30"/>
  <c r="AU45" i="30"/>
  <c r="AU60" i="30"/>
  <c r="AU65" i="30"/>
  <c r="BA57" i="30"/>
  <c r="AV7" i="30"/>
  <c r="AW5" i="30"/>
  <c r="AW6" i="30"/>
  <c r="AR74" i="30"/>
  <c r="AR78" i="30"/>
  <c r="AR131" i="30"/>
  <c r="AR135" i="30"/>
  <c r="AR137" i="30"/>
  <c r="AU106" i="30"/>
  <c r="AU133" i="30"/>
  <c r="AV134" i="30"/>
  <c r="AW124" i="30"/>
  <c r="AV104" i="30"/>
  <c r="AW109" i="30"/>
  <c r="AR75" i="30"/>
  <c r="AR76" i="30"/>
  <c r="AW113" i="30"/>
  <c r="AV120" i="30"/>
  <c r="AV105" i="30"/>
  <c r="AU32" i="30"/>
  <c r="AU34" i="30"/>
  <c r="AU129" i="30"/>
  <c r="AS74" i="30"/>
  <c r="AS78" i="30"/>
  <c r="AS131" i="30"/>
  <c r="AS135" i="30"/>
  <c r="AS137" i="30"/>
  <c r="AX5" i="30"/>
  <c r="AX6" i="30"/>
  <c r="AW7" i="30"/>
  <c r="AT71" i="30"/>
  <c r="AT73" i="30"/>
  <c r="BB57" i="30"/>
  <c r="AU68" i="30"/>
  <c r="AU70" i="30"/>
  <c r="AU66" i="30"/>
  <c r="BB51" i="30"/>
  <c r="AV20" i="30"/>
  <c r="AV19" i="30"/>
  <c r="AV18" i="30"/>
  <c r="AV45" i="30"/>
  <c r="AV60" i="30"/>
  <c r="AV65" i="30"/>
  <c r="AV106" i="30"/>
  <c r="AV133" i="30"/>
  <c r="AX124" i="30"/>
  <c r="AW134" i="30"/>
  <c r="AW120" i="30"/>
  <c r="AW105" i="30"/>
  <c r="AX113" i="30"/>
  <c r="AW104" i="30"/>
  <c r="AX109" i="30"/>
  <c r="AV32" i="30"/>
  <c r="AV34" i="30"/>
  <c r="AV129" i="30"/>
  <c r="AV66" i="30"/>
  <c r="AV70" i="30"/>
  <c r="AV68" i="30"/>
  <c r="AW20" i="30"/>
  <c r="AW19" i="30"/>
  <c r="AW18" i="30"/>
  <c r="AW45" i="30"/>
  <c r="AW60" i="30"/>
  <c r="AW65" i="30"/>
  <c r="AU71" i="30"/>
  <c r="AU73" i="30"/>
  <c r="AS75" i="30"/>
  <c r="AS76" i="30"/>
  <c r="AT74" i="30"/>
  <c r="AT78" i="30"/>
  <c r="AT131" i="30"/>
  <c r="AT135" i="30"/>
  <c r="AT137" i="30"/>
  <c r="AY5" i="30"/>
  <c r="AY6" i="30"/>
  <c r="AX7" i="30"/>
  <c r="BC57" i="30"/>
  <c r="BC51" i="30"/>
  <c r="AT75" i="30"/>
  <c r="AT76" i="30"/>
  <c r="AX104" i="30"/>
  <c r="AY109" i="30"/>
  <c r="AW106" i="30"/>
  <c r="AW133" i="30"/>
  <c r="AY113" i="30"/>
  <c r="AX120" i="30"/>
  <c r="AX105" i="30"/>
  <c r="AY124" i="30"/>
  <c r="AX134" i="30"/>
  <c r="AW32" i="30"/>
  <c r="AW34" i="30"/>
  <c r="AW129" i="30"/>
  <c r="AV71" i="30"/>
  <c r="AV73" i="30"/>
  <c r="BD51" i="30"/>
  <c r="AU74" i="30"/>
  <c r="AU78" i="30"/>
  <c r="AU131" i="30"/>
  <c r="AU135" i="30"/>
  <c r="AU137" i="30"/>
  <c r="AZ5" i="30"/>
  <c r="AZ6" i="30"/>
  <c r="AY7" i="30"/>
  <c r="AW70" i="30"/>
  <c r="AW68" i="30"/>
  <c r="AW66" i="30"/>
  <c r="BD57" i="30"/>
  <c r="AX20" i="30"/>
  <c r="AX19" i="30"/>
  <c r="AX18" i="30"/>
  <c r="AX45" i="30"/>
  <c r="AX60" i="30"/>
  <c r="AX65" i="30"/>
  <c r="AY134" i="30"/>
  <c r="AZ124" i="30"/>
  <c r="AY120" i="30"/>
  <c r="AY105" i="30"/>
  <c r="AZ113" i="30"/>
  <c r="AZ109" i="30"/>
  <c r="AY104" i="30"/>
  <c r="AX106" i="30"/>
  <c r="AX133" i="30"/>
  <c r="AX32" i="30"/>
  <c r="AX34" i="30"/>
  <c r="AX129" i="30"/>
  <c r="AU75" i="30"/>
  <c r="AU76" i="30"/>
  <c r="AV74" i="30"/>
  <c r="AV78" i="30"/>
  <c r="AV131" i="30"/>
  <c r="AV135" i="30"/>
  <c r="AV137" i="30"/>
  <c r="BA5" i="30"/>
  <c r="BA6" i="30"/>
  <c r="AZ7" i="30"/>
  <c r="AY20" i="30"/>
  <c r="AY19" i="30"/>
  <c r="AY18" i="30"/>
  <c r="AY45" i="30"/>
  <c r="AY60" i="30"/>
  <c r="AY65" i="30"/>
  <c r="BE57" i="30"/>
  <c r="BE51" i="30"/>
  <c r="AW71" i="30"/>
  <c r="AW73" i="30"/>
  <c r="AX70" i="30"/>
  <c r="AX68" i="30"/>
  <c r="AX66" i="30"/>
  <c r="AZ104" i="30"/>
  <c r="BA109" i="30"/>
  <c r="BA113" i="30"/>
  <c r="AZ120" i="30"/>
  <c r="AZ105" i="30"/>
  <c r="AY106" i="30"/>
  <c r="AY133" i="30"/>
  <c r="BA124" i="30"/>
  <c r="AZ134" i="30"/>
  <c r="AY32" i="30"/>
  <c r="AY34" i="30"/>
  <c r="AY129" i="30"/>
  <c r="BF57" i="30"/>
  <c r="AY66" i="30"/>
  <c r="AY70" i="30"/>
  <c r="AY68" i="30"/>
  <c r="AV75" i="30"/>
  <c r="AV76" i="30"/>
  <c r="AW74" i="30"/>
  <c r="AW75" i="30"/>
  <c r="AW76" i="30"/>
  <c r="BA7" i="30"/>
  <c r="BB5" i="30"/>
  <c r="BB6" i="30"/>
  <c r="AZ20" i="30"/>
  <c r="AZ19" i="30"/>
  <c r="AZ18" i="30"/>
  <c r="AZ45" i="30"/>
  <c r="AZ60" i="30"/>
  <c r="AZ65" i="30"/>
  <c r="AX71" i="30"/>
  <c r="AX73" i="30"/>
  <c r="BF51" i="30"/>
  <c r="AZ106" i="30"/>
  <c r="AZ133" i="30"/>
  <c r="BA134" i="30"/>
  <c r="BB124" i="30"/>
  <c r="BA104" i="30"/>
  <c r="BB109" i="30"/>
  <c r="BB113" i="30"/>
  <c r="BA120" i="30"/>
  <c r="BA105" i="30"/>
  <c r="BA106" i="30"/>
  <c r="BA133" i="30"/>
  <c r="AZ32" i="30"/>
  <c r="AZ34" i="30"/>
  <c r="AZ129" i="30"/>
  <c r="AY71" i="30"/>
  <c r="AY73" i="30"/>
  <c r="BA45" i="30"/>
  <c r="BA60" i="30"/>
  <c r="BA65" i="30"/>
  <c r="BA20" i="30"/>
  <c r="BA19" i="30"/>
  <c r="BA18" i="30"/>
  <c r="AZ68" i="30"/>
  <c r="AZ70" i="30"/>
  <c r="AZ66" i="30"/>
  <c r="BG57" i="30"/>
  <c r="AX74" i="30"/>
  <c r="AX75" i="30"/>
  <c r="AX76" i="30"/>
  <c r="AW78" i="30"/>
  <c r="AW131" i="30"/>
  <c r="AW135" i="30"/>
  <c r="AW137" i="30"/>
  <c r="BC5" i="30"/>
  <c r="BC6" i="30"/>
  <c r="BB7" i="30"/>
  <c r="BG51" i="30"/>
  <c r="BB134" i="30"/>
  <c r="BC124" i="30"/>
  <c r="BB120" i="30"/>
  <c r="BB105" i="30"/>
  <c r="BC113" i="30"/>
  <c r="BC109" i="30"/>
  <c r="BB104" i="30"/>
  <c r="BA32" i="30"/>
  <c r="BA34" i="30"/>
  <c r="BA129" i="30"/>
  <c r="BB20" i="30"/>
  <c r="BB19" i="30"/>
  <c r="BB18" i="30"/>
  <c r="BB45" i="30"/>
  <c r="BB60" i="30"/>
  <c r="BB65" i="30"/>
  <c r="BH51" i="30"/>
  <c r="BC7" i="30"/>
  <c r="BD5" i="30"/>
  <c r="BD6" i="30"/>
  <c r="AY74" i="30"/>
  <c r="AY75" i="30"/>
  <c r="AY76" i="30"/>
  <c r="BH57" i="30"/>
  <c r="BA68" i="30"/>
  <c r="BA70" i="30"/>
  <c r="BA66" i="30"/>
  <c r="AZ71" i="30"/>
  <c r="AZ73" i="30"/>
  <c r="AX78" i="30"/>
  <c r="AX131" i="30"/>
  <c r="AX135" i="30"/>
  <c r="AX137" i="30"/>
  <c r="BB106" i="30"/>
  <c r="BB133" i="30"/>
  <c r="BD124" i="30"/>
  <c r="BC134" i="30"/>
  <c r="BC104" i="30"/>
  <c r="BD109" i="30"/>
  <c r="BD113" i="30"/>
  <c r="BC120" i="30"/>
  <c r="BC105" i="30"/>
  <c r="BB32" i="30"/>
  <c r="BB34" i="30"/>
  <c r="BB129" i="30"/>
  <c r="BI57" i="30"/>
  <c r="BD7" i="30"/>
  <c r="BE5" i="30"/>
  <c r="BE6" i="30"/>
  <c r="AZ74" i="30"/>
  <c r="AZ75" i="30"/>
  <c r="AZ76" i="30"/>
  <c r="AY78" i="30"/>
  <c r="AY131" i="30"/>
  <c r="AY135" i="30"/>
  <c r="AY137" i="30"/>
  <c r="BC20" i="30"/>
  <c r="BC19" i="30"/>
  <c r="BC18" i="30"/>
  <c r="BC45" i="30"/>
  <c r="BC60" i="30"/>
  <c r="BC65" i="30"/>
  <c r="BB68" i="30"/>
  <c r="BB70" i="30"/>
  <c r="BB66" i="30"/>
  <c r="BA71" i="30"/>
  <c r="BA73" i="30"/>
  <c r="BI51" i="30"/>
  <c r="BD104" i="30"/>
  <c r="BE109" i="30"/>
  <c r="AZ78" i="30"/>
  <c r="AZ131" i="30"/>
  <c r="AZ135" i="30"/>
  <c r="AZ137" i="30"/>
  <c r="BC106" i="30"/>
  <c r="BC133" i="30"/>
  <c r="BE113" i="30"/>
  <c r="BD120" i="30"/>
  <c r="BD105" i="30"/>
  <c r="BD134" i="30"/>
  <c r="BE124" i="30"/>
  <c r="BC32" i="30"/>
  <c r="BC34" i="30"/>
  <c r="BC129" i="30"/>
  <c r="BA74" i="30"/>
  <c r="BA78" i="30"/>
  <c r="BA131" i="30"/>
  <c r="BA135" i="30"/>
  <c r="BA137" i="30"/>
  <c r="BD45" i="30"/>
  <c r="BD60" i="30"/>
  <c r="BD65" i="30"/>
  <c r="BD20" i="30"/>
  <c r="BD19" i="30"/>
  <c r="BD18" i="30"/>
  <c r="BJ57" i="30"/>
  <c r="BC70" i="30"/>
  <c r="BC68" i="30"/>
  <c r="BC66" i="30"/>
  <c r="BE7" i="30"/>
  <c r="BF5" i="30"/>
  <c r="BF6" i="30"/>
  <c r="BJ51" i="30"/>
  <c r="BB71" i="30"/>
  <c r="BB73" i="30"/>
  <c r="BD106" i="30"/>
  <c r="BD133" i="30"/>
  <c r="BE120" i="30"/>
  <c r="BE105" i="30"/>
  <c r="BF113" i="30"/>
  <c r="BF109" i="30"/>
  <c r="BE104" i="30"/>
  <c r="BE134" i="30"/>
  <c r="BF124" i="30"/>
  <c r="BD32" i="30"/>
  <c r="BD34" i="30"/>
  <c r="BD129" i="30"/>
  <c r="BC71" i="30"/>
  <c r="BC73" i="30"/>
  <c r="BG5" i="30"/>
  <c r="BG6" i="30"/>
  <c r="BF7" i="30"/>
  <c r="BA75" i="30"/>
  <c r="BA76" i="30"/>
  <c r="BB74" i="30"/>
  <c r="BB78" i="30"/>
  <c r="BB131" i="30"/>
  <c r="BB135" i="30"/>
  <c r="BB137" i="30"/>
  <c r="BK57" i="30"/>
  <c r="BK51" i="30"/>
  <c r="BE20" i="30"/>
  <c r="BE19" i="30"/>
  <c r="BE18" i="30"/>
  <c r="BE45" i="30"/>
  <c r="BE60" i="30"/>
  <c r="BE65" i="30"/>
  <c r="BD70" i="30"/>
  <c r="BD68" i="30"/>
  <c r="BD66" i="30"/>
  <c r="BG124" i="30"/>
  <c r="BF134" i="30"/>
  <c r="BB75" i="30"/>
  <c r="BB76" i="30"/>
  <c r="BF104" i="30"/>
  <c r="BG109" i="30"/>
  <c r="BF120" i="30"/>
  <c r="BF105" i="30"/>
  <c r="BG113" i="30"/>
  <c r="BE106" i="30"/>
  <c r="BE133" i="30"/>
  <c r="BE32" i="30"/>
  <c r="BE34" i="30"/>
  <c r="BE129" i="30"/>
  <c r="BF45" i="30"/>
  <c r="BF60" i="30"/>
  <c r="BF65" i="30"/>
  <c r="BF20" i="30"/>
  <c r="BF19" i="30"/>
  <c r="BF18" i="30"/>
  <c r="BC74" i="30"/>
  <c r="BC75" i="30"/>
  <c r="BC76" i="30"/>
  <c r="BH5" i="30"/>
  <c r="BH6" i="30"/>
  <c r="BG7" i="30"/>
  <c r="BL57" i="30"/>
  <c r="BD71" i="30"/>
  <c r="BD73" i="30"/>
  <c r="BL51" i="30"/>
  <c r="BE70" i="30"/>
  <c r="BE68" i="30"/>
  <c r="BE66" i="30"/>
  <c r="BF106" i="30"/>
  <c r="BF133" i="30"/>
  <c r="BC78" i="30"/>
  <c r="BC131" i="30"/>
  <c r="BC135" i="30"/>
  <c r="BC137" i="30"/>
  <c r="BH113" i="30"/>
  <c r="BG120" i="30"/>
  <c r="BG105" i="30"/>
  <c r="BH109" i="30"/>
  <c r="BG104" i="30"/>
  <c r="BH124" i="30"/>
  <c r="BG134" i="30"/>
  <c r="BF32" i="30"/>
  <c r="BF34" i="30"/>
  <c r="BF129" i="30"/>
  <c r="BE71" i="30"/>
  <c r="BE73" i="30"/>
  <c r="BM57" i="30"/>
  <c r="BM51" i="30"/>
  <c r="BI5" i="30"/>
  <c r="BI6" i="30"/>
  <c r="BH7" i="30"/>
  <c r="BF66" i="30"/>
  <c r="BF68" i="30"/>
  <c r="BF70" i="30"/>
  <c r="BD74" i="30"/>
  <c r="BD78" i="30"/>
  <c r="BD131" i="30"/>
  <c r="BD135" i="30"/>
  <c r="BD137" i="30"/>
  <c r="BG20" i="30"/>
  <c r="BG19" i="30"/>
  <c r="BG18" i="30"/>
  <c r="BG45" i="30"/>
  <c r="BG60" i="30"/>
  <c r="BG65" i="30"/>
  <c r="BG106" i="30"/>
  <c r="BG133" i="30"/>
  <c r="BH104" i="30"/>
  <c r="BI109" i="30"/>
  <c r="BH120" i="30"/>
  <c r="BH105" i="30"/>
  <c r="BI113" i="30"/>
  <c r="BH134" i="30"/>
  <c r="BI124" i="30"/>
  <c r="BG32" i="30"/>
  <c r="BG34" i="30"/>
  <c r="BG129" i="30"/>
  <c r="BN51" i="30"/>
  <c r="BE74" i="30"/>
  <c r="BE75" i="30"/>
  <c r="BE76" i="30"/>
  <c r="BG66" i="30"/>
  <c r="BG70" i="30"/>
  <c r="BG68" i="30"/>
  <c r="BF71" i="30"/>
  <c r="BF73" i="30"/>
  <c r="BH20" i="30"/>
  <c r="BH19" i="30"/>
  <c r="BH18" i="30"/>
  <c r="BH45" i="30"/>
  <c r="BH60" i="30"/>
  <c r="BH65" i="30"/>
  <c r="BN57" i="30"/>
  <c r="BD75" i="30"/>
  <c r="BD76" i="30"/>
  <c r="BI7" i="30"/>
  <c r="BJ5" i="30"/>
  <c r="BJ6" i="30"/>
  <c r="BH106" i="30"/>
  <c r="BH133" i="30"/>
  <c r="BI134" i="30"/>
  <c r="BJ124" i="30"/>
  <c r="BE78" i="30"/>
  <c r="BE131" i="30"/>
  <c r="BE135" i="30"/>
  <c r="BE137" i="30"/>
  <c r="BJ109" i="30"/>
  <c r="BI104" i="30"/>
  <c r="BI120" i="30"/>
  <c r="BI105" i="30"/>
  <c r="BJ113" i="30"/>
  <c r="BH32" i="30"/>
  <c r="BH34" i="30"/>
  <c r="BH129" i="30"/>
  <c r="BG71" i="30"/>
  <c r="BG73" i="30"/>
  <c r="BO51" i="30"/>
  <c r="BF74" i="30"/>
  <c r="BF75" i="30"/>
  <c r="BF76" i="30"/>
  <c r="BK5" i="30"/>
  <c r="BK6" i="30"/>
  <c r="BJ7" i="30"/>
  <c r="BO57" i="30"/>
  <c r="BH66" i="30"/>
  <c r="BH68" i="30"/>
  <c r="BH70" i="30"/>
  <c r="BI45" i="30"/>
  <c r="BI60" i="30"/>
  <c r="BI65" i="30"/>
  <c r="BI20" i="30"/>
  <c r="BI19" i="30"/>
  <c r="BI18" i="30"/>
  <c r="BI106" i="30"/>
  <c r="BI133" i="30"/>
  <c r="BJ120" i="30"/>
  <c r="BJ105" i="30"/>
  <c r="BK113" i="30"/>
  <c r="BJ104" i="30"/>
  <c r="BK109" i="30"/>
  <c r="BJ134" i="30"/>
  <c r="BK124" i="30"/>
  <c r="BI32" i="30"/>
  <c r="BI34" i="30"/>
  <c r="BI129" i="30"/>
  <c r="BK7" i="30"/>
  <c r="BL5" i="30"/>
  <c r="BL6" i="30"/>
  <c r="BI66" i="30"/>
  <c r="BI70" i="30"/>
  <c r="BI68" i="30"/>
  <c r="BP57" i="30"/>
  <c r="BG74" i="30"/>
  <c r="BG78" i="30"/>
  <c r="BG131" i="30"/>
  <c r="BG135" i="30"/>
  <c r="BG137" i="30"/>
  <c r="BF78" i="30"/>
  <c r="BF131" i="30"/>
  <c r="BF135" i="30"/>
  <c r="BF137" i="30"/>
  <c r="BP51" i="30"/>
  <c r="BJ45" i="30"/>
  <c r="BJ60" i="30"/>
  <c r="BJ65" i="30"/>
  <c r="BJ20" i="30"/>
  <c r="BJ19" i="30"/>
  <c r="BJ18" i="30"/>
  <c r="BH71" i="30"/>
  <c r="BH73" i="30"/>
  <c r="BL109" i="30"/>
  <c r="BK104" i="30"/>
  <c r="BL124" i="30"/>
  <c r="BK134" i="30"/>
  <c r="BG75" i="30"/>
  <c r="BG76" i="30"/>
  <c r="BL113" i="30"/>
  <c r="BK120" i="30"/>
  <c r="BK105" i="30"/>
  <c r="BJ106" i="30"/>
  <c r="BJ133" i="30"/>
  <c r="BJ32" i="30"/>
  <c r="BJ34" i="30"/>
  <c r="BJ129" i="30"/>
  <c r="BM5" i="30"/>
  <c r="BM6" i="30"/>
  <c r="BL7" i="30"/>
  <c r="BI71" i="30"/>
  <c r="BI73" i="30"/>
  <c r="BK20" i="30"/>
  <c r="BK19" i="30"/>
  <c r="BK18" i="30"/>
  <c r="BK45" i="30"/>
  <c r="BK60" i="30"/>
  <c r="BK65" i="30"/>
  <c r="BH74" i="30"/>
  <c r="BH78" i="30"/>
  <c r="BH131" i="30"/>
  <c r="BH135" i="30"/>
  <c r="BH137" i="30"/>
  <c r="BJ68" i="30"/>
  <c r="BJ66" i="30"/>
  <c r="BJ70" i="30"/>
  <c r="BL120" i="30"/>
  <c r="BL105" i="30"/>
  <c r="BM113" i="30"/>
  <c r="BM124" i="30"/>
  <c r="BL134" i="30"/>
  <c r="BK106" i="30"/>
  <c r="BK133" i="30"/>
  <c r="BL104" i="30"/>
  <c r="BM109" i="30"/>
  <c r="BK32" i="30"/>
  <c r="BK34" i="30"/>
  <c r="BK129" i="30"/>
  <c r="BK70" i="30"/>
  <c r="BK66" i="30"/>
  <c r="BK68" i="30"/>
  <c r="BJ71" i="30"/>
  <c r="BJ73" i="30"/>
  <c r="BI74" i="30"/>
  <c r="BI75" i="30"/>
  <c r="BI76" i="30"/>
  <c r="BH75" i="30"/>
  <c r="BH76" i="30"/>
  <c r="BN5" i="30"/>
  <c r="BN6" i="30"/>
  <c r="BM7" i="30"/>
  <c r="BL20" i="30"/>
  <c r="BL19" i="30"/>
  <c r="BL18" i="30"/>
  <c r="BL45" i="30"/>
  <c r="BL60" i="30"/>
  <c r="BL65" i="30"/>
  <c r="BL106" i="30"/>
  <c r="BL133" i="30"/>
  <c r="BN109" i="30"/>
  <c r="BM104" i="30"/>
  <c r="BN124" i="30"/>
  <c r="BM134" i="30"/>
  <c r="BI78" i="30"/>
  <c r="BI131" i="30"/>
  <c r="BI135" i="30"/>
  <c r="BI137" i="30"/>
  <c r="BN113" i="30"/>
  <c r="BM120" i="30"/>
  <c r="BM105" i="30"/>
  <c r="BL32" i="30"/>
  <c r="BL34" i="30"/>
  <c r="BL129" i="30"/>
  <c r="BL70" i="30"/>
  <c r="BL66" i="30"/>
  <c r="BL68" i="30"/>
  <c r="BO5" i="30"/>
  <c r="BO6" i="30"/>
  <c r="BN7" i="30"/>
  <c r="BJ74" i="30"/>
  <c r="BJ75" i="30"/>
  <c r="BJ76" i="30"/>
  <c r="BK71" i="30"/>
  <c r="BK73" i="30"/>
  <c r="BM20" i="30"/>
  <c r="BM19" i="30"/>
  <c r="BM18" i="30"/>
  <c r="BM45" i="30"/>
  <c r="BM60" i="30"/>
  <c r="BM65" i="30"/>
  <c r="BM106" i="30"/>
  <c r="BM133" i="30"/>
  <c r="BN134" i="30"/>
  <c r="BO124" i="30"/>
  <c r="BO113" i="30"/>
  <c r="BN120" i="30"/>
  <c r="BN105" i="30"/>
  <c r="BN104" i="30"/>
  <c r="BO109" i="30"/>
  <c r="BM32" i="30"/>
  <c r="BM34" i="30"/>
  <c r="BM129" i="30"/>
  <c r="BK74" i="30"/>
  <c r="BK75" i="30"/>
  <c r="BK76" i="30"/>
  <c r="BJ78" i="30"/>
  <c r="BJ131" i="30"/>
  <c r="BJ135" i="30"/>
  <c r="BJ137" i="30"/>
  <c r="BL71" i="30"/>
  <c r="BL73" i="30"/>
  <c r="BM70" i="30"/>
  <c r="BM68" i="30"/>
  <c r="BM66" i="30"/>
  <c r="BN20" i="30"/>
  <c r="BN19" i="30"/>
  <c r="BN18" i="30"/>
  <c r="BN45" i="30"/>
  <c r="BN60" i="30"/>
  <c r="BN65" i="30"/>
  <c r="BO7" i="30"/>
  <c r="BP5" i="30"/>
  <c r="BP6" i="30"/>
  <c r="BO104" i="30"/>
  <c r="BP109" i="30"/>
  <c r="BP104" i="30"/>
  <c r="BO120" i="30"/>
  <c r="BO105" i="30"/>
  <c r="BP113" i="30"/>
  <c r="BP120" i="30"/>
  <c r="BP105" i="30"/>
  <c r="BO134" i="30"/>
  <c r="BP124" i="30"/>
  <c r="BP134" i="30"/>
  <c r="BN106" i="30"/>
  <c r="BN133" i="30"/>
  <c r="BP7" i="30"/>
  <c r="F6" i="30"/>
  <c r="BN32" i="30"/>
  <c r="BN34" i="30"/>
  <c r="BN129" i="30"/>
  <c r="BL74" i="30"/>
  <c r="BL78" i="30"/>
  <c r="BL131" i="30"/>
  <c r="BL135" i="30"/>
  <c r="BL137" i="30"/>
  <c r="BM71" i="30"/>
  <c r="BM73" i="30"/>
  <c r="BO20" i="30"/>
  <c r="BO19" i="30"/>
  <c r="BO18" i="30"/>
  <c r="BO45" i="30"/>
  <c r="BO60" i="30"/>
  <c r="BO65" i="30"/>
  <c r="BK78" i="30"/>
  <c r="BK131" i="30"/>
  <c r="BK135" i="30"/>
  <c r="BK137" i="30"/>
  <c r="BN68" i="30"/>
  <c r="BN66" i="30"/>
  <c r="BN70" i="30"/>
  <c r="BO106" i="30"/>
  <c r="BO133" i="30"/>
  <c r="BP106" i="30"/>
  <c r="BP133" i="30"/>
  <c r="BO32" i="30"/>
  <c r="BO34" i="30"/>
  <c r="BO129" i="30"/>
  <c r="BO66" i="30"/>
  <c r="BO70" i="30"/>
  <c r="BO68" i="30"/>
  <c r="BN71" i="30"/>
  <c r="BN73" i="30"/>
  <c r="BL75" i="30"/>
  <c r="BL76" i="30"/>
  <c r="BM74" i="30"/>
  <c r="BM75" i="30"/>
  <c r="BM76" i="30"/>
  <c r="BP45" i="30"/>
  <c r="BP60" i="30"/>
  <c r="BP65" i="30"/>
  <c r="BP20" i="30"/>
  <c r="BP19" i="30"/>
  <c r="BP18" i="30"/>
  <c r="BP32" i="30"/>
  <c r="BP34" i="30"/>
  <c r="BP129" i="30"/>
  <c r="I141" i="30"/>
  <c r="BM78" i="30"/>
  <c r="BM131" i="30"/>
  <c r="BM135" i="30"/>
  <c r="BM137" i="30"/>
  <c r="BP70" i="30"/>
  <c r="BP66" i="30"/>
  <c r="BP68" i="30"/>
  <c r="I147" i="30"/>
  <c r="I148" i="30"/>
  <c r="I146" i="30"/>
  <c r="J141" i="30"/>
  <c r="I143" i="30"/>
  <c r="I145" i="30"/>
  <c r="BN74" i="30"/>
  <c r="BN75" i="30"/>
  <c r="BN76" i="30"/>
  <c r="BO71" i="30"/>
  <c r="BO73" i="30"/>
  <c r="BN78" i="30"/>
  <c r="BN131" i="30"/>
  <c r="BN135" i="30"/>
  <c r="BN137" i="30"/>
  <c r="BO74" i="30"/>
  <c r="BO78" i="30"/>
  <c r="BO131" i="30"/>
  <c r="BO135" i="30"/>
  <c r="BO137" i="30"/>
  <c r="BP71" i="30"/>
  <c r="BP73" i="30"/>
  <c r="I149" i="30"/>
  <c r="I151" i="30"/>
  <c r="J147" i="30"/>
  <c r="J148" i="30"/>
  <c r="J143" i="30"/>
  <c r="J146" i="30"/>
  <c r="K141" i="30"/>
  <c r="J145" i="30"/>
  <c r="BP74" i="30"/>
  <c r="BP75" i="30"/>
  <c r="BP76" i="30"/>
  <c r="BO75" i="30"/>
  <c r="BO76" i="30"/>
  <c r="J149" i="30"/>
  <c r="J151" i="30"/>
  <c r="K148" i="30"/>
  <c r="K147" i="30"/>
  <c r="L141" i="30"/>
  <c r="K143" i="30"/>
  <c r="K146" i="30"/>
  <c r="K145" i="30"/>
  <c r="G76" i="30"/>
  <c r="K149" i="30"/>
  <c r="K151" i="30"/>
  <c r="BP78" i="30"/>
  <c r="BP131" i="30"/>
  <c r="BP135" i="30"/>
  <c r="BP137" i="30"/>
  <c r="I155" i="30"/>
  <c r="I159" i="30"/>
  <c r="L148" i="30"/>
  <c r="L146" i="30"/>
  <c r="M141" i="30"/>
  <c r="L147" i="30"/>
  <c r="L143" i="30"/>
  <c r="L145" i="30"/>
  <c r="M147" i="30"/>
  <c r="M148" i="30"/>
  <c r="M143" i="30"/>
  <c r="M146" i="30"/>
  <c r="N141" i="30"/>
  <c r="M145" i="30"/>
  <c r="L149" i="30"/>
  <c r="L151" i="30"/>
  <c r="M149" i="30"/>
  <c r="M151" i="30"/>
  <c r="N148" i="30"/>
  <c r="N147" i="30"/>
  <c r="N143" i="30"/>
  <c r="O141" i="30"/>
  <c r="N146" i="30"/>
  <c r="N145" i="30"/>
  <c r="N149" i="30"/>
  <c r="N151" i="30"/>
  <c r="O147" i="30"/>
  <c r="O143" i="30"/>
  <c r="P141" i="30"/>
  <c r="O146" i="30"/>
  <c r="O148" i="30"/>
  <c r="O145" i="30"/>
  <c r="O149" i="30"/>
  <c r="O151" i="30"/>
  <c r="P146" i="30"/>
  <c r="Q141" i="30"/>
  <c r="P143" i="30"/>
  <c r="P147" i="30"/>
  <c r="P148" i="30"/>
  <c r="P145" i="30"/>
  <c r="P149" i="30"/>
  <c r="P151" i="30"/>
  <c r="Q147" i="30"/>
  <c r="Q146" i="30"/>
  <c r="R141" i="30"/>
  <c r="Q143" i="30"/>
  <c r="Q148" i="30"/>
  <c r="Q145" i="30"/>
  <c r="Q149" i="30"/>
  <c r="Q151" i="30"/>
  <c r="S141" i="30"/>
  <c r="R147" i="30"/>
  <c r="R148" i="30"/>
  <c r="R143" i="30"/>
  <c r="R146" i="30"/>
  <c r="R145" i="30"/>
  <c r="R149" i="30"/>
  <c r="R151" i="30"/>
  <c r="S148" i="30"/>
  <c r="S143" i="30"/>
  <c r="S146" i="30"/>
  <c r="S147" i="30"/>
  <c r="T141" i="30"/>
  <c r="S145" i="30"/>
  <c r="S149" i="30"/>
  <c r="S151" i="30"/>
  <c r="T147" i="30"/>
  <c r="T148" i="30"/>
  <c r="T143" i="30"/>
  <c r="T146" i="30"/>
  <c r="T145" i="30"/>
  <c r="U141" i="30"/>
  <c r="T149" i="30"/>
  <c r="T151" i="30"/>
  <c r="U146" i="30"/>
  <c r="V141" i="30"/>
  <c r="U147" i="30"/>
  <c r="U148" i="30"/>
  <c r="U145" i="30"/>
  <c r="U143" i="30"/>
  <c r="U149" i="30"/>
  <c r="U151" i="30"/>
  <c r="V147" i="30"/>
  <c r="V148" i="30"/>
  <c r="V143" i="30"/>
  <c r="V145" i="30"/>
  <c r="W141" i="30"/>
  <c r="V146" i="30"/>
  <c r="W146" i="30"/>
  <c r="W148" i="30"/>
  <c r="W143" i="30"/>
  <c r="W147" i="30"/>
  <c r="W145" i="30"/>
  <c r="F141" i="30"/>
  <c r="V149" i="30"/>
  <c r="V151" i="30"/>
  <c r="W149" i="30"/>
  <c r="W151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<sst xmlns="http://schemas.openxmlformats.org/spreadsheetml/2006/main" count="326" uniqueCount="205">
  <si>
    <t>Assumptions</t>
  </si>
  <si>
    <t>[$]</t>
  </si>
  <si>
    <t>[#]</t>
  </si>
  <si>
    <t>[text]</t>
  </si>
  <si>
    <t>[% p.a.]</t>
  </si>
  <si>
    <t>[date]</t>
  </si>
  <si>
    <t>[# qtrs]</t>
  </si>
  <si>
    <t>End Sheet</t>
  </si>
  <si>
    <t>Q1</t>
  </si>
  <si>
    <t>Q2</t>
  </si>
  <si>
    <t>Q3</t>
  </si>
  <si>
    <t>Q4</t>
  </si>
  <si>
    <t>Raw Materials</t>
  </si>
  <si>
    <t>Indexation</t>
  </si>
  <si>
    <t>Each item is indexed either quarterly (start of each quarter) or annually (each 1 January).</t>
  </si>
  <si>
    <t>Indexation Cases</t>
  </si>
  <si>
    <t>Indexed Item</t>
  </si>
  <si>
    <t>Compound Frequency</t>
  </si>
  <si>
    <t>1. Low</t>
  </si>
  <si>
    <t>2. Medium</t>
  </si>
  <si>
    <t>3. High</t>
  </si>
  <si>
    <t>[pick from list]</t>
  </si>
  <si>
    <t>Sales Price</t>
  </si>
  <si>
    <t>Annual</t>
  </si>
  <si>
    <t>Expense Indexations</t>
  </si>
  <si>
    <t>Quarterly</t>
  </si>
  <si>
    <t>Expenses that are indexed:</t>
  </si>
  <si>
    <t>Raw Materials - Supplier 1 (US)</t>
  </si>
  <si>
    <t>Raw Materials - Supplier 2 (Mexico)</t>
  </si>
  <si>
    <t>Note it is the Peso price that is indexed</t>
  </si>
  <si>
    <t>Manufacturing Costs</t>
  </si>
  <si>
    <t>Note that each bracket price is indexed at this rate</t>
  </si>
  <si>
    <t>Rent and Storage</t>
  </si>
  <si>
    <t>Note this applies to both the fixed and variable component.</t>
  </si>
  <si>
    <t>Staff and Other Overheads</t>
  </si>
  <si>
    <t>For example - in Q2 2020, if the indexation is quarterly and the low case of 2% is run for expenses, the manufacturing cost for the first bracket would be:</t>
  </si>
  <si>
    <t>$100 * (1+2%)^(1/4)-1 = $100.742</t>
  </si>
  <si>
    <t>Exchange Rates</t>
  </si>
  <si>
    <t>The rate is in units of Mexican Pesos per United States Dollar.</t>
  </si>
  <si>
    <t>Case Name</t>
  </si>
  <si>
    <t>FX Case 1</t>
  </si>
  <si>
    <t>[MXN per $]</t>
  </si>
  <si>
    <t>FX Case 2</t>
  </si>
  <si>
    <t>FX Case 3</t>
  </si>
  <si>
    <t>Model Timing</t>
  </si>
  <si>
    <t>Model start date (Forecast start date)</t>
  </si>
  <si>
    <t>Must be a 1 January date</t>
  </si>
  <si>
    <t>Number of quarters to forecast</t>
  </si>
  <si>
    <t>Final quarter end date (Forecast end date)</t>
  </si>
  <si>
    <t>Revenues</t>
  </si>
  <si>
    <t>Initial Sales price</t>
  </si>
  <si>
    <t>[$/slab]</t>
  </si>
  <si>
    <t>Demand in 2020 (year 1)</t>
  </si>
  <si>
    <t>[slabs]</t>
  </si>
  <si>
    <t>Demand growth Year on Year</t>
  </si>
  <si>
    <t>[% YoY]</t>
  </si>
  <si>
    <t>Example demand calculation for Q1 2021 and Q1 2022</t>
  </si>
  <si>
    <t>Q1 2021</t>
  </si>
  <si>
    <t>26,500 * 1.02 = 27,030</t>
  </si>
  <si>
    <t>Q1 2022</t>
  </si>
  <si>
    <t>Expenses</t>
  </si>
  <si>
    <t>Tonnes of raw material needed per slab manufactured</t>
  </si>
  <si>
    <t>[tonnes/slab]</t>
  </si>
  <si>
    <t>Supplier 1 (US)</t>
  </si>
  <si>
    <t>Initial cost per quarter (dollars)</t>
  </si>
  <si>
    <t>[$ / tonne]</t>
  </si>
  <si>
    <t>Maximum amount they can supply each quarter</t>
  </si>
  <si>
    <t>[tonnes]</t>
  </si>
  <si>
    <t>Supplier 2 (Mexico)</t>
  </si>
  <si>
    <t>Initial cost per quarter (pesos)</t>
  </si>
  <si>
    <t>[MXN / tonne]</t>
  </si>
  <si>
    <t>This table gives the marginal cost per quarter (in $ / slab) for each slab manufactured.</t>
  </si>
  <si>
    <t>Bracket</t>
  </si>
  <si>
    <t>From</t>
  </si>
  <si>
    <t>To</t>
  </si>
  <si>
    <t>[# slabs / qtr]</t>
  </si>
  <si>
    <t>[$ / slab]</t>
  </si>
  <si>
    <t>For example - in Q1 2020, the cost to manufacture 26,500 slabs is [25,000 * 100] + [1,500 * 90] = $2,635,000</t>
  </si>
  <si>
    <t>Initial fixed cost</t>
  </si>
  <si>
    <t>[$/qtr]</t>
  </si>
  <si>
    <t>Initial variable cost</t>
  </si>
  <si>
    <t>[$/slab/qtr]</t>
  </si>
  <si>
    <t>Variable cost applies to each slab sold per quarter above this amount:</t>
  </si>
  <si>
    <t>[# of slabs]</t>
  </si>
  <si>
    <t>No indexation is applied on 1 January 2020. Use the initial prices for this quarter.</t>
  </si>
  <si>
    <t>Rates for 3 different cases are provided.</t>
  </si>
  <si>
    <t>Initial Cost</t>
  </si>
  <si>
    <t>Per Quarter</t>
  </si>
  <si>
    <t>Period Start</t>
  </si>
  <si>
    <t>Period End</t>
  </si>
  <si>
    <t>Operating Profit</t>
  </si>
  <si>
    <t>Scenarios</t>
  </si>
  <si>
    <r>
      <t>Annual rates are provided. Quarterly indexation should be applied as (1+r)</t>
    </r>
    <r>
      <rPr>
        <vertAlign val="superscript"/>
        <sz val="10"/>
        <color theme="1"/>
        <rFont val="Arial"/>
        <family val="2"/>
      </rPr>
      <t>(1/4)</t>
    </r>
    <r>
      <rPr>
        <sz val="10"/>
        <color theme="1"/>
        <rFont val="Arial"/>
        <family val="2"/>
      </rPr>
      <t>-1 where r is the annual rate.</t>
    </r>
  </si>
  <si>
    <t>Exchange rate forecasts are given for each calendar year. 3 different cases are provided.</t>
  </si>
  <si>
    <t>Total</t>
  </si>
  <si>
    <t>Revenue</t>
  </si>
  <si>
    <t>Megabricks</t>
  </si>
  <si>
    <t>Operating Profit Model</t>
  </si>
  <si>
    <t>Year</t>
  </si>
  <si>
    <t>Period Count</t>
  </si>
  <si>
    <t>Price</t>
  </si>
  <si>
    <t>Growth Rate</t>
  </si>
  <si>
    <t>Volume</t>
  </si>
  <si>
    <t>Demand</t>
  </si>
  <si>
    <t>YoY Growth Rate</t>
  </si>
  <si>
    <t>n.a.</t>
  </si>
  <si>
    <t>Total Revenue</t>
  </si>
  <si>
    <t>Inflation</t>
  </si>
  <si>
    <t>Converstion</t>
  </si>
  <si>
    <t>Exchange Rate</t>
  </si>
  <si>
    <t>Unit Cost</t>
  </si>
  <si>
    <t>Max Capacity</t>
  </si>
  <si>
    <t>Decision</t>
  </si>
  <si>
    <t>Low Price</t>
  </si>
  <si>
    <t>High Price</t>
  </si>
  <si>
    <t>Low Price Supplier</t>
  </si>
  <si>
    <t>Low Price Capacity</t>
  </si>
  <si>
    <t>High Price Capacity</t>
  </si>
  <si>
    <t>Volume at Low Price</t>
  </si>
  <si>
    <t>Volume at Higher Price</t>
  </si>
  <si>
    <t>CHECK</t>
  </si>
  <si>
    <t>Expense</t>
  </si>
  <si>
    <t>Cost Brackets</t>
  </si>
  <si>
    <t>Unit Costs</t>
  </si>
  <si>
    <t>Infaltion</t>
  </si>
  <si>
    <t>Fixed Costs</t>
  </si>
  <si>
    <t>Variable Costs</t>
  </si>
  <si>
    <t>Threshold</t>
  </si>
  <si>
    <t>Subject to VC</t>
  </si>
  <si>
    <t>Operating Profit Schedule</t>
  </si>
  <si>
    <t>Rent &amp; Storage</t>
  </si>
  <si>
    <t>Total Expenses</t>
  </si>
  <si>
    <t>Annual Summary</t>
  </si>
  <si>
    <t>Total Operating Profit Sensitivity</t>
  </si>
  <si>
    <t>Total Operating Profit</t>
  </si>
  <si>
    <t>DROP DOWN - DO NOT DELETE</t>
  </si>
  <si>
    <t>27,030 * 1.02 = 27,571</t>
  </si>
  <si>
    <t>TMP SCHEDULE</t>
  </si>
  <si>
    <t>Company name</t>
  </si>
  <si>
    <t>Megabrick Inc.</t>
  </si>
  <si>
    <t>CFM Topic</t>
  </si>
  <si>
    <t>Costs</t>
  </si>
  <si>
    <t>Model timeline</t>
  </si>
  <si>
    <t>date</t>
  </si>
  <si>
    <t>Model period beginning</t>
  </si>
  <si>
    <t>Model period ending</t>
  </si>
  <si>
    <t>Model annual timeline</t>
  </si>
  <si>
    <t>year</t>
  </si>
  <si>
    <t>Model calendar timeline</t>
  </si>
  <si>
    <t>Number period counter</t>
  </si>
  <si>
    <t>counter</t>
  </si>
  <si>
    <t>Model period counter</t>
  </si>
  <si>
    <t>Model period label</t>
  </si>
  <si>
    <t>label</t>
  </si>
  <si>
    <t>Constant</t>
  </si>
  <si>
    <t>Unit</t>
  </si>
  <si>
    <t>slabs</t>
  </si>
  <si>
    <t>Model year counter</t>
  </si>
  <si>
    <t>flag</t>
  </si>
  <si>
    <t>tonnes</t>
  </si>
  <si>
    <t>Tonnes of raw material needed</t>
  </si>
  <si>
    <t>CALCULATION SCHEDULE</t>
  </si>
  <si>
    <t>USD / slab</t>
  </si>
  <si>
    <t>REVENUES</t>
  </si>
  <si>
    <t>Pricing scenario</t>
  </si>
  <si>
    <t>Quarterly operating flag</t>
  </si>
  <si>
    <t>Yearly operating flag</t>
  </si>
  <si>
    <t>USD m</t>
  </si>
  <si>
    <t>Expense scenario</t>
  </si>
  <si>
    <t>Exchange rate scenario</t>
  </si>
  <si>
    <t>MXN / USD</t>
  </si>
  <si>
    <t>Supplier 1 - unit price adjusted for inflation</t>
  </si>
  <si>
    <t>USD</t>
  </si>
  <si>
    <t>Supplier 2 - unit price adjusted for inflation and for fx rate</t>
  </si>
  <si>
    <t>Forecasted unit sales</t>
  </si>
  <si>
    <t>Forecasted sales price</t>
  </si>
  <si>
    <t>Forecasted revenue</t>
  </si>
  <si>
    <t>Model operating flag</t>
  </si>
  <si>
    <t>Supplier 1</t>
  </si>
  <si>
    <t>Supplier 2</t>
  </si>
  <si>
    <t>Operating expenses</t>
  </si>
  <si>
    <t>.</t>
  </si>
  <si>
    <t>RAW MATERIAL EXPENSES</t>
  </si>
  <si>
    <t>Raw material expenses</t>
  </si>
  <si>
    <t>MANUFACTORING COSTS</t>
  </si>
  <si>
    <t>Supply optimised by price and volume capacity</t>
  </si>
  <si>
    <t>Bracket 1 sales (0 – 25,000)</t>
  </si>
  <si>
    <t>Bracket 2 sales (25,001 – 30,000)</t>
  </si>
  <si>
    <t>Bracket 3 sales (30,001 – 34,000)</t>
  </si>
  <si>
    <t>Bracket 4 sales (&gt; 34,000)</t>
  </si>
  <si>
    <t>Volume brackets</t>
  </si>
  <si>
    <t>Maginal costs</t>
  </si>
  <si>
    <t>Volume per quarter</t>
  </si>
  <si>
    <t>Manufactoring costs per quarter</t>
  </si>
  <si>
    <t>RENT AND STORAGE COSTS</t>
  </si>
  <si>
    <t>Rent and storage costs</t>
  </si>
  <si>
    <t>Variable costs above threshold</t>
  </si>
  <si>
    <t>Fixed costs</t>
  </si>
  <si>
    <t>STAFF AND OVERHEAD COSTS</t>
  </si>
  <si>
    <t>Staff and overhead costs</t>
  </si>
  <si>
    <t>ANNUAL SUMMARY</t>
  </si>
  <si>
    <t>Manufactoring expenses</t>
  </si>
  <si>
    <t>Operating Costs</t>
  </si>
  <si>
    <t>Sales Price / Expense Indexations</t>
  </si>
  <si>
    <t>Operating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</si>
</sst>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&quot;Bracket &quot;0"/>
    <numFmt numFmtId="178" formatCode="#,##0_);\(#,##0\);&quot;-  &quot;;&quot; &quot;@"/>
    <numFmt numFmtId="179" formatCode="0.00%\ ;\-0.00%\ _);&quot;-  &quot;;&quot; &quot;@&quot; &quot;"/>
    <numFmt numFmtId="180" formatCode="#,##0.0000_);\(#,##0.0000\);&quot;-  &quot;;&quot; &quot;@&quot; &quot;"/>
    <numFmt numFmtId="181" formatCode="dd\ mmm\ yyyy_);\(###0\);&quot;-  &quot;;&quot; &quot;@&quot; &quot;"/>
    <numFmt numFmtId="182" formatCode="dd\ mmm\ yy_);\(###0\);&quot;-  &quot;;&quot; &quot;@&quot; &quot;"/>
    <numFmt numFmtId="183" formatCode="###0_);\(###0\);&quot;-  &quot;;&quot; &quot;@&quot; &quot;"/>
    <numFmt numFmtId="184" formatCode="#,##0.00_);\(#,##0.00\);&quot;-  &quot;;&quot; &quot;@&quot; &quot;"/>
    <numFmt numFmtId="185" formatCode="#,##0.0_);\(#,##0.0\);&quot;-  &quot;;&quot; &quot;@&quot; &quot;"/>
    <numFmt numFmtId="186" formatCode="#,##0.00_);\(#,##0.00\);&quot;-  &quot;;&quot; &quot;@"/>
    <numFmt numFmtId="187" formatCode="#,##0_);\(#,##0\);&quot;-  &quot;;&quot; &quot;@&quot; &quot;"/>
  </numFmts>
  <fonts count="39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u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rgb="FF366092"/>
      <name val="Arial"/>
      <family val="2"/>
    </font>
    <font>
      <b/>
      <sz val="16"/>
      <color theme="1"/>
      <name val="Arial"/>
      <family val="2"/>
    </font>
    <font>
      <sz val="10"/>
      <color rgb="FF008000"/>
      <name val="Arial"/>
      <family val="2"/>
    </font>
    <font>
      <b/>
      <u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D9D9D9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FF"/>
      </left>
      <right style="hair">
        <color rgb="FF0000FF"/>
      </right>
      <top style="thin">
        <color indexed="64"/>
      </top>
      <bottom style="hair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F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rgb="FF0000FF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FF"/>
      </top>
      <bottom style="hair">
        <color rgb="FF0000FF"/>
      </bottom>
      <diagonal/>
    </border>
    <border>
      <left/>
      <right style="thin">
        <color indexed="64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rgb="FF0000FF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52">
    <xf numFmtId="178" fontId="0" fillId="0" borderId="0" applyFont="0" applyFill="0" applyBorder="0" applyProtection="0">
      <alignment vertical="top"/>
    </xf>
    <xf numFmtId="0" fontId="3" fillId="0" borderId="0"/>
    <xf numFmtId="165" fontId="4" fillId="0" borderId="0" applyFont="0" applyFill="0" applyBorder="0" applyAlignment="0" applyProtection="0"/>
    <xf numFmtId="0" fontId="5" fillId="0" borderId="0" applyNumberFormat="0" applyFont="0" applyFill="0" applyBorder="0" applyProtection="0">
      <alignment horizontal="centerContinuous"/>
    </xf>
    <xf numFmtId="0" fontId="5" fillId="0" borderId="1" applyNumberFormat="0" applyFont="0" applyFill="0" applyAlignment="0" applyProtection="0"/>
    <xf numFmtId="0" fontId="5" fillId="0" borderId="0" applyNumberFormat="0" applyFont="0" applyFill="0" applyBorder="0" applyProtection="0">
      <alignment horizontal="center"/>
    </xf>
    <xf numFmtId="164" fontId="6" fillId="0" borderId="4">
      <protection locked="0"/>
    </xf>
    <xf numFmtId="0" fontId="5" fillId="0" borderId="5" applyNumberFormat="0" applyFont="0" applyFill="0" applyAlignment="0" applyProtection="0"/>
    <xf numFmtId="0" fontId="7" fillId="0" borderId="0" applyNumberFormat="0" applyFill="0" applyBorder="0" applyAlignment="0" applyProtection="0"/>
    <xf numFmtId="166" fontId="4" fillId="0" borderId="0" applyNumberFormat="0" applyFill="0" applyBorder="0" applyAlignment="0" applyProtection="0"/>
    <xf numFmtId="0" fontId="5" fillId="0" borderId="3" applyNumberFormat="0" applyFont="0" applyFill="0" applyAlignment="0" applyProtection="0"/>
    <xf numFmtId="9" fontId="3" fillId="0" borderId="0" applyFont="0" applyFill="0" applyBorder="0" applyAlignment="0" applyProtection="0"/>
    <xf numFmtId="0" fontId="11" fillId="3" borderId="0" applyNumberFormat="0" applyAlignment="0"/>
    <xf numFmtId="168" fontId="2" fillId="0" borderId="0" applyBorder="0"/>
    <xf numFmtId="4" fontId="8" fillId="4" borderId="2">
      <alignment horizontal="left"/>
    </xf>
    <xf numFmtId="167" fontId="12" fillId="0" borderId="0" applyFill="0" applyBorder="0"/>
    <xf numFmtId="168" fontId="10" fillId="0" borderId="0" applyBorder="0"/>
    <xf numFmtId="0" fontId="13" fillId="0" borderId="0" applyNumberFormat="0" applyFill="0" applyBorder="0">
      <alignment horizontal="right"/>
    </xf>
    <xf numFmtId="168" fontId="13" fillId="5" borderId="8">
      <protection locked="0"/>
    </xf>
    <xf numFmtId="169" fontId="13" fillId="5" borderId="8">
      <protection locked="0"/>
    </xf>
    <xf numFmtId="170" fontId="13" fillId="5" borderId="8">
      <protection locked="0"/>
    </xf>
    <xf numFmtId="171" fontId="2" fillId="0" borderId="0" applyBorder="0"/>
    <xf numFmtId="171" fontId="13" fillId="5" borderId="8">
      <protection locked="0"/>
    </xf>
    <xf numFmtId="168" fontId="13" fillId="0" borderId="8"/>
    <xf numFmtId="15" fontId="9" fillId="0" borderId="0" applyFill="0" applyBorder="0" applyAlignment="0"/>
    <xf numFmtId="172" fontId="14" fillId="0" borderId="9">
      <alignment horizontal="center"/>
    </xf>
    <xf numFmtId="168" fontId="15" fillId="7" borderId="0" applyBorder="0" applyAlignment="0"/>
    <xf numFmtId="172" fontId="16" fillId="8" borderId="10">
      <alignment horizontal="center"/>
    </xf>
    <xf numFmtId="0" fontId="17" fillId="0" borderId="0" applyNumberFormat="0" applyFill="0" applyBorder="0" applyAlignment="0"/>
    <xf numFmtId="0" fontId="18" fillId="0" borderId="0" applyNumberFormat="0" applyFill="0" applyBorder="0" applyAlignment="0"/>
    <xf numFmtId="167" fontId="19" fillId="6" borderId="8" applyNumberFormat="0" applyAlignment="0">
      <protection locked="0"/>
    </xf>
    <xf numFmtId="173" fontId="20" fillId="5" borderId="8">
      <alignment horizontal="center"/>
      <protection locked="0"/>
    </xf>
    <xf numFmtId="174" fontId="20" fillId="5" borderId="8">
      <alignment horizontal="center"/>
      <protection locked="0"/>
    </xf>
    <xf numFmtId="169" fontId="2" fillId="0" borderId="0" applyBorder="0"/>
    <xf numFmtId="174" fontId="21" fillId="0" borderId="11" applyFill="0">
      <alignment horizontal="center"/>
    </xf>
    <xf numFmtId="173" fontId="20" fillId="0" borderId="11">
      <alignment horizontal="center"/>
    </xf>
    <xf numFmtId="170" fontId="3" fillId="0" borderId="0" applyFill="0" applyBorder="0" applyAlignment="0"/>
    <xf numFmtId="168" fontId="2" fillId="9" borderId="11"/>
    <xf numFmtId="0" fontId="22" fillId="0" borderId="6" applyNumberFormat="0" applyFill="0" applyAlignment="0" applyProtection="0"/>
    <xf numFmtId="0" fontId="23" fillId="0" borderId="0"/>
    <xf numFmtId="0" fontId="24" fillId="2" borderId="7" applyNumberFormat="0" applyAlignment="0" applyProtection="0"/>
    <xf numFmtId="0" fontId="24" fillId="2" borderId="7" applyFill="0" applyAlignment="0" applyProtection="0"/>
    <xf numFmtId="0" fontId="2" fillId="0" borderId="0"/>
    <xf numFmtId="0" fontId="25" fillId="0" borderId="0"/>
    <xf numFmtId="175" fontId="2" fillId="0" borderId="0" applyBorder="0"/>
    <xf numFmtId="176" fontId="2" fillId="0" borderId="0" applyBorder="0"/>
    <xf numFmtId="175" fontId="13" fillId="5" borderId="8">
      <protection locked="0"/>
    </xf>
    <xf numFmtId="179" fontId="25" fillId="0" borderId="0" applyFont="0" applyFill="0" applyBorder="0" applyProtection="0">
      <alignment vertical="top"/>
    </xf>
    <xf numFmtId="180" fontId="36" fillId="0" borderId="0" applyFont="0" applyFill="0" applyBorder="0" applyProtection="0">
      <alignment vertical="top"/>
    </xf>
    <xf numFmtId="181" fontId="36" fillId="0" borderId="0" applyFont="0" applyFill="0" applyBorder="0" applyProtection="0">
      <alignment vertical="top"/>
    </xf>
    <xf numFmtId="182" fontId="36" fillId="0" borderId="0" applyFont="0" applyFill="0" applyBorder="0" applyProtection="0">
      <alignment vertical="top"/>
    </xf>
    <xf numFmtId="183" fontId="36" fillId="0" borderId="0" applyFont="0" applyFill="0" applyBorder="0" applyProtection="0">
      <alignment vertical="top"/>
    </xf>
  </cellStyleXfs>
  <cellXfs count="144">
    <xf numFmtId="178" fontId="0" fillId="0" borderId="0" xfId="0">
      <alignment vertical="top"/>
    </xf>
    <xf numFmtId="168" fontId="2" fillId="0" borderId="0" xfId="13"/>
    <xf numFmtId="168" fontId="10" fillId="0" borderId="0" xfId="13" applyFont="1"/>
    <xf numFmtId="168" fontId="26" fillId="0" borderId="0" xfId="13" applyFont="1"/>
    <xf numFmtId="168" fontId="9" fillId="0" borderId="0" xfId="13" applyFont="1"/>
    <xf numFmtId="168" fontId="27" fillId="0" borderId="0" xfId="13" applyFont="1"/>
    <xf numFmtId="168" fontId="10" fillId="0" borderId="0" xfId="16"/>
    <xf numFmtId="4" fontId="8" fillId="4" borderId="2" xfId="14">
      <alignment horizontal="left"/>
    </xf>
    <xf numFmtId="168" fontId="10" fillId="0" borderId="15" xfId="16" applyBorder="1"/>
    <xf numFmtId="168" fontId="13" fillId="0" borderId="18" xfId="17" applyNumberFormat="1" applyBorder="1" applyAlignment="1">
      <alignment horizontal="left"/>
    </xf>
    <xf numFmtId="168" fontId="2" fillId="0" borderId="15" xfId="13" applyBorder="1"/>
    <xf numFmtId="168" fontId="2" fillId="0" borderId="18" xfId="13" applyBorder="1"/>
    <xf numFmtId="168" fontId="13" fillId="0" borderId="8" xfId="23"/>
    <xf numFmtId="168" fontId="2" fillId="0" borderId="16" xfId="13" applyBorder="1"/>
    <xf numFmtId="168" fontId="2" fillId="0" borderId="1" xfId="13" applyBorder="1"/>
    <xf numFmtId="4" fontId="8" fillId="4" borderId="2" xfId="14" applyAlignment="1">
      <alignment horizontal="center"/>
    </xf>
    <xf numFmtId="168" fontId="13" fillId="0" borderId="0" xfId="17" applyNumberFormat="1" applyAlignment="1">
      <alignment horizontal="center"/>
    </xf>
    <xf numFmtId="168" fontId="2" fillId="0" borderId="0" xfId="13" applyAlignment="1">
      <alignment horizontal="center"/>
    </xf>
    <xf numFmtId="168" fontId="10" fillId="0" borderId="16" xfId="16" applyBorder="1" applyAlignment="1">
      <alignment horizontal="center"/>
    </xf>
    <xf numFmtId="168" fontId="13" fillId="0" borderId="1" xfId="17" applyNumberFormat="1" applyBorder="1" applyAlignment="1">
      <alignment horizontal="center"/>
    </xf>
    <xf numFmtId="168" fontId="2" fillId="0" borderId="16" xfId="13" applyBorder="1" applyAlignment="1">
      <alignment horizontal="center"/>
    </xf>
    <xf numFmtId="168" fontId="2" fillId="0" borderId="1" xfId="13" applyBorder="1" applyAlignment="1">
      <alignment horizontal="center"/>
    </xf>
    <xf numFmtId="176" fontId="10" fillId="0" borderId="0" xfId="45" applyFont="1" applyAlignment="1">
      <alignment horizontal="center"/>
    </xf>
    <xf numFmtId="168" fontId="13" fillId="5" borderId="8" xfId="18">
      <protection locked="0"/>
    </xf>
    <xf numFmtId="170" fontId="13" fillId="5" borderId="8" xfId="20">
      <protection locked="0"/>
    </xf>
    <xf numFmtId="168" fontId="10" fillId="0" borderId="12" xfId="16" applyBorder="1" applyAlignment="1">
      <alignment horizontal="centerContinuous"/>
    </xf>
    <xf numFmtId="168" fontId="2" fillId="0" borderId="2" xfId="13" applyBorder="1" applyAlignment="1">
      <alignment horizontal="centerContinuous"/>
    </xf>
    <xf numFmtId="168" fontId="2" fillId="0" borderId="13" xfId="13" applyBorder="1" applyAlignment="1">
      <alignment horizontal="centerContinuous"/>
    </xf>
    <xf numFmtId="168" fontId="10" fillId="0" borderId="16" xfId="16" applyBorder="1" applyAlignment="1">
      <alignment horizontal="left"/>
    </xf>
    <xf numFmtId="168" fontId="13" fillId="0" borderId="3" xfId="23" applyBorder="1" applyAlignment="1">
      <alignment horizontal="center"/>
    </xf>
    <xf numFmtId="168" fontId="13" fillId="0" borderId="1" xfId="17" applyNumberFormat="1" applyBorder="1" applyAlignment="1">
      <alignment horizontal="left"/>
    </xf>
    <xf numFmtId="168" fontId="13" fillId="0" borderId="21" xfId="17" applyNumberFormat="1" applyBorder="1" applyAlignment="1">
      <alignment horizontal="center"/>
    </xf>
    <xf numFmtId="168" fontId="13" fillId="5" borderId="22" xfId="18" applyBorder="1" applyAlignment="1">
      <alignment horizontal="center"/>
      <protection locked="0"/>
    </xf>
    <xf numFmtId="170" fontId="13" fillId="5" borderId="23" xfId="20" applyBorder="1" applyAlignment="1">
      <alignment horizontal="center"/>
      <protection locked="0"/>
    </xf>
    <xf numFmtId="168" fontId="13" fillId="5" borderId="24" xfId="18" applyBorder="1" applyAlignment="1">
      <alignment horizontal="center"/>
      <protection locked="0"/>
    </xf>
    <xf numFmtId="170" fontId="13" fillId="5" borderId="25" xfId="20" applyBorder="1" applyAlignment="1">
      <alignment horizontal="center"/>
      <protection locked="0"/>
    </xf>
    <xf numFmtId="168" fontId="2" fillId="0" borderId="0" xfId="13" applyBorder="1"/>
    <xf numFmtId="175" fontId="2" fillId="0" borderId="0" xfId="44"/>
    <xf numFmtId="169" fontId="13" fillId="5" borderId="8" xfId="19">
      <protection locked="0"/>
    </xf>
    <xf numFmtId="175" fontId="13" fillId="0" borderId="8" xfId="46" applyFill="1">
      <protection locked="0"/>
    </xf>
    <xf numFmtId="168" fontId="10" fillId="0" borderId="0" xfId="16" applyAlignment="1">
      <alignment horizontal="center"/>
    </xf>
    <xf numFmtId="168" fontId="2" fillId="0" borderId="0" xfId="13" quotePrefix="1"/>
    <xf numFmtId="168" fontId="10" fillId="0" borderId="19" xfId="16" applyBorder="1" applyAlignment="1">
      <alignment horizontal="center"/>
    </xf>
    <xf numFmtId="168" fontId="10" fillId="0" borderId="17" xfId="16" applyBorder="1" applyAlignment="1">
      <alignment horizontal="center"/>
    </xf>
    <xf numFmtId="168" fontId="10" fillId="0" borderId="20" xfId="16" applyBorder="1" applyAlignment="1">
      <alignment horizontal="center"/>
    </xf>
    <xf numFmtId="168" fontId="10" fillId="0" borderId="14" xfId="16" applyBorder="1" applyAlignment="1">
      <alignment horizontal="center"/>
    </xf>
    <xf numFmtId="168" fontId="13" fillId="0" borderId="14" xfId="17" applyNumberFormat="1" applyBorder="1" applyAlignment="1">
      <alignment horizontal="center"/>
    </xf>
    <xf numFmtId="168" fontId="2" fillId="0" borderId="26" xfId="13" applyBorder="1" applyAlignment="1">
      <alignment horizontal="center"/>
    </xf>
    <xf numFmtId="168" fontId="2" fillId="0" borderId="27" xfId="13" applyBorder="1"/>
    <xf numFmtId="168" fontId="13" fillId="5" borderId="23" xfId="18" applyBorder="1">
      <protection locked="0"/>
    </xf>
    <xf numFmtId="169" fontId="13" fillId="5" borderId="28" xfId="19" applyBorder="1">
      <protection locked="0"/>
    </xf>
    <xf numFmtId="168" fontId="2" fillId="0" borderId="29" xfId="13" applyBorder="1" applyAlignment="1">
      <alignment horizontal="center"/>
    </xf>
    <xf numFmtId="168" fontId="2" fillId="0" borderId="30" xfId="13" applyBorder="1"/>
    <xf numFmtId="168" fontId="13" fillId="5" borderId="31" xfId="18" applyBorder="1">
      <protection locked="0"/>
    </xf>
    <xf numFmtId="169" fontId="13" fillId="5" borderId="32" xfId="19" applyBorder="1">
      <protection locked="0"/>
    </xf>
    <xf numFmtId="168" fontId="2" fillId="0" borderId="33" xfId="13" applyBorder="1" applyAlignment="1">
      <alignment horizontal="center"/>
    </xf>
    <xf numFmtId="168" fontId="2" fillId="0" borderId="34" xfId="13" applyBorder="1"/>
    <xf numFmtId="168" fontId="13" fillId="5" borderId="25" xfId="18" applyBorder="1">
      <protection locked="0"/>
    </xf>
    <xf numFmtId="169" fontId="13" fillId="5" borderId="35" xfId="19" applyBorder="1">
      <protection locked="0"/>
    </xf>
    <xf numFmtId="167" fontId="29" fillId="0" borderId="0" xfId="15" applyFont="1"/>
    <xf numFmtId="0" fontId="30" fillId="0" borderId="0" xfId="42" applyFont="1"/>
    <xf numFmtId="0" fontId="2" fillId="0" borderId="0" xfId="42"/>
    <xf numFmtId="0" fontId="2" fillId="0" borderId="0" xfId="42" applyAlignment="1">
      <alignment horizontal="center"/>
    </xf>
    <xf numFmtId="175" fontId="31" fillId="0" borderId="0" xfId="44" applyFont="1" applyAlignment="1">
      <alignment horizontal="right"/>
    </xf>
    <xf numFmtId="175" fontId="2" fillId="0" borderId="0" xfId="42" applyNumberFormat="1"/>
    <xf numFmtId="175" fontId="32" fillId="0" borderId="0" xfId="44" applyFont="1" applyAlignment="1">
      <alignment horizontal="right"/>
    </xf>
    <xf numFmtId="176" fontId="2" fillId="0" borderId="0" xfId="45"/>
    <xf numFmtId="0" fontId="8" fillId="4" borderId="0" xfId="42" applyFont="1" applyFill="1"/>
    <xf numFmtId="0" fontId="33" fillId="4" borderId="0" xfId="42" applyFont="1" applyFill="1"/>
    <xf numFmtId="0" fontId="33" fillId="4" borderId="0" xfId="42" applyFont="1" applyFill="1" applyAlignment="1">
      <alignment horizontal="center"/>
    </xf>
    <xf numFmtId="0" fontId="10" fillId="0" borderId="0" xfId="42" applyFont="1"/>
    <xf numFmtId="169" fontId="31" fillId="0" borderId="0" xfId="13" applyNumberFormat="1" applyFont="1" applyBorder="1"/>
    <xf numFmtId="169" fontId="3" fillId="0" borderId="0" xfId="13" applyNumberFormat="1" applyFont="1" applyBorder="1"/>
    <xf numFmtId="0" fontId="31" fillId="0" borderId="0" xfId="42" applyFont="1" applyAlignment="1">
      <alignment horizontal="center"/>
    </xf>
    <xf numFmtId="170" fontId="2" fillId="0" borderId="0" xfId="42" applyNumberFormat="1"/>
    <xf numFmtId="170" fontId="31" fillId="0" borderId="0" xfId="20" applyFont="1" applyFill="1" applyBorder="1" applyAlignment="1">
      <alignment horizontal="center"/>
      <protection locked="0"/>
    </xf>
    <xf numFmtId="170" fontId="3" fillId="0" borderId="0" xfId="20" applyFont="1" applyFill="1" applyBorder="1" applyAlignment="1">
      <alignment horizontal="center"/>
      <protection locked="0"/>
    </xf>
    <xf numFmtId="0" fontId="2" fillId="0" borderId="38" xfId="42" applyBorder="1"/>
    <xf numFmtId="0" fontId="2" fillId="0" borderId="38" xfId="42" applyBorder="1" applyAlignment="1">
      <alignment horizontal="center"/>
    </xf>
    <xf numFmtId="0" fontId="2" fillId="0" borderId="39" xfId="42" applyBorder="1"/>
    <xf numFmtId="0" fontId="2" fillId="0" borderId="39" xfId="42" applyBorder="1" applyAlignment="1">
      <alignment horizontal="center"/>
    </xf>
    <xf numFmtId="168" fontId="31" fillId="0" borderId="0" xfId="13" applyFont="1" applyBorder="1"/>
    <xf numFmtId="168" fontId="3" fillId="0" borderId="0" xfId="13" applyFont="1" applyBorder="1"/>
    <xf numFmtId="0" fontId="2" fillId="0" borderId="0" xfId="42" applyAlignment="1">
      <alignment horizontal="right"/>
    </xf>
    <xf numFmtId="0" fontId="10" fillId="0" borderId="0" xfId="42" applyFont="1" applyAlignment="1">
      <alignment horizontal="center"/>
    </xf>
    <xf numFmtId="168" fontId="34" fillId="0" borderId="16" xfId="13" applyFont="1" applyBorder="1"/>
    <xf numFmtId="168" fontId="2" fillId="0" borderId="0" xfId="42" applyNumberFormat="1" applyAlignment="1">
      <alignment horizontal="center"/>
    </xf>
    <xf numFmtId="169" fontId="2" fillId="0" borderId="0" xfId="42" applyNumberFormat="1"/>
    <xf numFmtId="168" fontId="2" fillId="0" borderId="0" xfId="42" applyNumberFormat="1"/>
    <xf numFmtId="168" fontId="10" fillId="0" borderId="16" xfId="42" applyNumberFormat="1" applyFont="1" applyBorder="1"/>
    <xf numFmtId="169" fontId="2" fillId="0" borderId="0" xfId="42" applyNumberFormat="1" applyAlignment="1">
      <alignment wrapText="1"/>
    </xf>
    <xf numFmtId="168" fontId="2" fillId="0" borderId="16" xfId="42" applyNumberFormat="1" applyBorder="1"/>
    <xf numFmtId="0" fontId="10" fillId="0" borderId="2" xfId="42" applyFont="1" applyBorder="1"/>
    <xf numFmtId="168" fontId="10" fillId="0" borderId="2" xfId="42" applyNumberFormat="1" applyFont="1" applyBorder="1"/>
    <xf numFmtId="168" fontId="10" fillId="0" borderId="2" xfId="42" applyNumberFormat="1" applyFont="1" applyBorder="1" applyAlignment="1">
      <alignment horizontal="center"/>
    </xf>
    <xf numFmtId="177" fontId="31" fillId="0" borderId="0" xfId="42" applyNumberFormat="1" applyFont="1" applyAlignment="1">
      <alignment horizontal="left"/>
    </xf>
    <xf numFmtId="177" fontId="2" fillId="0" borderId="0" xfId="42" applyNumberFormat="1"/>
    <xf numFmtId="0" fontId="10" fillId="0" borderId="2" xfId="42" applyFont="1" applyBorder="1" applyAlignment="1">
      <alignment horizontal="center"/>
    </xf>
    <xf numFmtId="168" fontId="10" fillId="0" borderId="0" xfId="42" applyNumberFormat="1" applyFont="1"/>
    <xf numFmtId="176" fontId="2" fillId="0" borderId="0" xfId="42" applyNumberFormat="1"/>
    <xf numFmtId="0" fontId="2" fillId="0" borderId="1" xfId="42" applyBorder="1" applyAlignment="1">
      <alignment horizontal="centerContinuous"/>
    </xf>
    <xf numFmtId="0" fontId="2" fillId="0" borderId="14" xfId="42" applyBorder="1"/>
    <xf numFmtId="168" fontId="2" fillId="0" borderId="15" xfId="42" applyNumberFormat="1" applyBorder="1"/>
    <xf numFmtId="168" fontId="2" fillId="0" borderId="17" xfId="42" applyNumberFormat="1" applyBorder="1"/>
    <xf numFmtId="168" fontId="2" fillId="0" borderId="36" xfId="42" applyNumberFormat="1" applyBorder="1"/>
    <xf numFmtId="168" fontId="2" fillId="0" borderId="14" xfId="42" applyNumberFormat="1" applyBorder="1"/>
    <xf numFmtId="168" fontId="2" fillId="0" borderId="18" xfId="42" applyNumberFormat="1" applyBorder="1"/>
    <xf numFmtId="168" fontId="2" fillId="0" borderId="1" xfId="42" applyNumberFormat="1" applyBorder="1"/>
    <xf numFmtId="168" fontId="2" fillId="0" borderId="37" xfId="42" applyNumberFormat="1" applyBorder="1"/>
    <xf numFmtId="176" fontId="32" fillId="0" borderId="0" xfId="42" applyNumberFormat="1" applyFont="1" applyAlignment="1">
      <alignment horizontal="center"/>
    </xf>
    <xf numFmtId="169" fontId="31" fillId="0" borderId="0" xfId="13" applyNumberFormat="1" applyFont="1" applyBorder="1" applyAlignment="1">
      <alignment horizontal="center"/>
    </xf>
    <xf numFmtId="175" fontId="31" fillId="0" borderId="0" xfId="44" applyFont="1" applyAlignment="1">
      <alignment horizontal="center"/>
    </xf>
    <xf numFmtId="168" fontId="31" fillId="0" borderId="0" xfId="13" applyFont="1" applyBorder="1" applyAlignment="1">
      <alignment horizontal="center"/>
    </xf>
    <xf numFmtId="168" fontId="16" fillId="0" borderId="0" xfId="13" applyFont="1" applyBorder="1" applyAlignment="1">
      <alignment horizontal="center"/>
    </xf>
    <xf numFmtId="169" fontId="2" fillId="0" borderId="0" xfId="42" applyNumberFormat="1" applyAlignment="1">
      <alignment horizontal="center"/>
    </xf>
    <xf numFmtId="168" fontId="16" fillId="0" borderId="0" xfId="13" applyFont="1" applyBorder="1" applyAlignment="1">
      <alignment horizontal="left"/>
    </xf>
    <xf numFmtId="0" fontId="10" fillId="0" borderId="1" xfId="42" applyFont="1" applyBorder="1" applyAlignment="1">
      <alignment horizontal="centerContinuous"/>
    </xf>
    <xf numFmtId="178" fontId="35" fillId="10" borderId="0" xfId="0" applyFont="1" applyFill="1">
      <alignment vertical="top"/>
    </xf>
    <xf numFmtId="168" fontId="13" fillId="11" borderId="40" xfId="13" applyFont="1" applyFill="1" applyBorder="1"/>
    <xf numFmtId="168" fontId="13" fillId="11" borderId="41" xfId="13" applyFont="1" applyFill="1" applyBorder="1"/>
    <xf numFmtId="178" fontId="37" fillId="10" borderId="0" xfId="0" applyFont="1" applyFill="1">
      <alignment vertical="top"/>
    </xf>
    <xf numFmtId="178" fontId="0" fillId="0" borderId="0" xfId="0" applyFont="1">
      <alignment vertical="top"/>
    </xf>
    <xf numFmtId="178" fontId="0" fillId="12" borderId="0" xfId="0" applyFont="1" applyFill="1">
      <alignment vertical="top"/>
    </xf>
    <xf numFmtId="182" fontId="0" fillId="0" borderId="0" xfId="50" applyFont="1">
      <alignment vertical="top"/>
    </xf>
    <xf numFmtId="182" fontId="37" fillId="10" borderId="0" xfId="50" applyFont="1" applyFill="1">
      <alignment vertical="top"/>
    </xf>
    <xf numFmtId="183" fontId="0" fillId="0" borderId="0" xfId="51" applyFont="1">
      <alignment vertical="top"/>
    </xf>
    <xf numFmtId="178" fontId="0" fillId="0" borderId="0" xfId="0" applyAlignment="1">
      <alignment horizontal="right" vertical="top"/>
    </xf>
    <xf numFmtId="180" fontId="0" fillId="0" borderId="0" xfId="48" applyFont="1" applyAlignment="1">
      <alignment horizontal="right" vertical="top"/>
    </xf>
    <xf numFmtId="178" fontId="38" fillId="12" borderId="0" xfId="0" applyFont="1" applyFill="1">
      <alignment vertical="top"/>
    </xf>
    <xf numFmtId="168" fontId="10" fillId="0" borderId="0" xfId="42" applyNumberFormat="1" applyFont="1" applyAlignment="1">
      <alignment horizontal="center"/>
    </xf>
    <xf numFmtId="178" fontId="38" fillId="0" borderId="0" xfId="0" applyFont="1">
      <alignment vertical="top"/>
    </xf>
    <xf numFmtId="178" fontId="0" fillId="0" borderId="0" xfId="0" applyFont="1" applyFill="1">
      <alignment vertical="top"/>
    </xf>
    <xf numFmtId="184" fontId="0" fillId="0" borderId="0" xfId="48" applyNumberFormat="1" applyFont="1">
      <alignment vertical="top"/>
    </xf>
    <xf numFmtId="185" fontId="0" fillId="0" borderId="0" xfId="48" applyNumberFormat="1" applyFont="1">
      <alignment vertical="top"/>
    </xf>
    <xf numFmtId="186" fontId="0" fillId="0" borderId="0" xfId="0" applyNumberFormat="1" applyFont="1">
      <alignment vertical="top"/>
    </xf>
    <xf numFmtId="187" fontId="0" fillId="0" borderId="0" xfId="48" applyNumberFormat="1" applyFont="1">
      <alignment vertical="top"/>
    </xf>
    <xf numFmtId="187" fontId="0" fillId="0" borderId="0" xfId="0" applyNumberFormat="1" applyFont="1">
      <alignment vertical="top"/>
    </xf>
    <xf numFmtId="178" fontId="0" fillId="0" borderId="0" xfId="0" applyFont="1" applyBorder="1">
      <alignment vertical="top"/>
    </xf>
    <xf numFmtId="178" fontId="0" fillId="0" borderId="42" xfId="0" applyFont="1" applyBorder="1">
      <alignment vertical="top"/>
    </xf>
    <xf numFmtId="178" fontId="0" fillId="12" borderId="0" xfId="0" applyFill="1">
      <alignment vertical="top"/>
    </xf>
    <xf numFmtId="178" fontId="0" fillId="0" borderId="42" xfId="0" applyFont="1" applyFill="1" applyBorder="1">
      <alignment vertical="top"/>
    </xf>
    <xf numFmtId="178" fontId="0" fillId="0" borderId="42" xfId="0" applyBorder="1">
      <alignment vertical="top"/>
    </xf>
    <xf numFmtId="178" fontId="38" fillId="0" borderId="0" xfId="0" applyFont="1" applyAlignment="1">
      <alignment horizontal="right" vertical="top"/>
    </xf>
    <xf numFmtId="183" fontId="38" fillId="0" borderId="1" xfId="51" applyFont="1" applyBorder="1">
      <alignment vertical="top"/>
    </xf>
  </cellXfs>
  <cellStyles count="52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urrency [2]" xfId="6" xr:uid="{00000000-0005-0000-0000-000004000000}"/>
    <cellStyle name="DateLong" xfId="49" xr:uid="{F20D2B47-78C9-4B93-94BC-DCEA1F20FE56}"/>
    <cellStyle name="DateShort" xfId="50" xr:uid="{64514DD6-9025-4592-A640-3C3A50D3FCFC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48" xr:uid="{75A647B1-7418-463E-AA64-BB69AF5F355C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47" builtinId="5" customBuiltin="1"/>
    <cellStyle name="Percent 2" xfId="11" xr:uid="{00000000-0005-0000-0000-00002E000000}"/>
    <cellStyle name="Year" xfId="51" xr:uid="{22E8A3DB-9999-4932-AEEB-5E0593ADB7EF}"/>
  </cellStyles>
  <dxfs count="1"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mruColors>
      <color rgb="FF006600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31" fmlaLink="pricing_selector" fmlaRange="pricing_scenarios" noThreeD="1" sel="1" val="0"/>
</file>

<file path=xl/ctrlProps/ctrlProp2.xml><?xml version="1.0" encoding="utf-8"?>
<formControlPr xmlns="http://schemas.microsoft.com/office/spreadsheetml/2009/9/main" objectType="Drop" dropStyle="combo" dx="39" fmlaLink="expense_selector" fmlaRange="expense_scenarios" noThreeD="1" sel="1" val="0"/>
</file>

<file path=xl/ctrlProps/ctrlProp3.xml><?xml version="1.0" encoding="utf-8"?>
<formControlPr xmlns="http://schemas.microsoft.com/office/spreadsheetml/2009/9/main" objectType="Drop" dropStyle="combo" dx="39" fmlaLink="fx_rates_selector" fmlaRange="fx_rates" noThreeD="1" sel="1" val="0"/>
</file>

<file path=xl/ctrlProps/ctrlProp4.xml><?xml version="1.0" encoding="utf-8"?>
<formControlPr xmlns="http://schemas.microsoft.com/office/spreadsheetml/2009/9/main" objectType="Drop" dropStyle="combo" dx="31" fmlaLink="$G$45" fmlaRange="CaseData!$D$30:$D$32" noThreeD="1" sel="1" val="0"/>
</file>

<file path=xl/ctrlProps/ctrlProp5.xml><?xml version="1.0" encoding="utf-8"?>
<formControlPr xmlns="http://schemas.microsoft.com/office/spreadsheetml/2009/9/main" objectType="Drop" dropStyle="combo" dx="31" fmlaLink="$G$12" fmlaRange="CaseData!$L$10:$L$12" noThreeD="1" sel="1" val="0"/>
</file>

<file path=xl/ctrlProps/ctrlProp6.xml><?xml version="1.0" encoding="utf-8"?>
<formControlPr xmlns="http://schemas.microsoft.com/office/spreadsheetml/2009/9/main" objectType="Drop" dropStyle="combo" dx="31" fmlaLink="$G$12" fmlaRange="CaseData!$L$10:$L$12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2811780</xdr:colOff>
          <xdr:row>5</xdr:row>
          <xdr:rowOff>0</xdr:rowOff>
        </xdr:from>
        <xdr:to>
          <xdr:col>5</xdr:col>
          <xdr:colOff>853440</xdr:colOff>
          <xdr:row>5</xdr:row>
          <xdr:rowOff>167640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2811780</xdr:colOff>
          <xdr:row>7</xdr:row>
          <xdr:rowOff>15240</xdr:rowOff>
        </xdr:from>
        <xdr:to>
          <xdr:col>5</xdr:col>
          <xdr:colOff>868680</xdr:colOff>
          <xdr:row>8</xdr:row>
          <xdr:rowOff>15240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2811780</xdr:colOff>
          <xdr:row>28</xdr:row>
          <xdr:rowOff>7620</xdr:rowOff>
        </xdr:from>
        <xdr:to>
          <xdr:col>6</xdr:col>
          <xdr:colOff>22860</xdr:colOff>
          <xdr:row>28</xdr:row>
          <xdr:rowOff>160020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670560</xdr:colOff>
          <xdr:row>44</xdr:row>
          <xdr:rowOff>7620</xdr:rowOff>
        </xdr:from>
        <xdr:to>
          <xdr:col>6</xdr:col>
          <xdr:colOff>754380</xdr:colOff>
          <xdr:row>45</xdr:row>
          <xdr:rowOff>53340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12</xdr:row>
          <xdr:rowOff>137160</xdr:rowOff>
        </xdr:from>
        <xdr:to>
          <xdr:col>7</xdr:col>
          <xdr:colOff>160020</xdr:colOff>
          <xdr:row>14</xdr:row>
          <xdr:rowOff>30480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10</xdr:row>
          <xdr:rowOff>114300</xdr:rowOff>
        </xdr:from>
        <xdr:to>
          <xdr:col>7</xdr:col>
          <xdr:colOff>152400</xdr:colOff>
          <xdr:row>12</xdr:row>
          <xdr:rowOff>7620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84F958-BFB1-46DE-B5EE-CB98E56593C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9ba2a5b-644a-478a-ad25-82bc5fa7da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3048-B732-4523-B880-EC4B0DE14048}">
  <dimension ref="A1:BQ96"/>
  <sheetViews>
    <sheetView showGridLines="0" tabSelected="1" zoomScale="80" zoomScaleNormal="80" workbookViewId="0">
      <pane xSplit="9" ySplit="3" topLeftCell="J84" activePane="bottomRight" state="frozen"/>
      <selection activeCell="A5" sqref="A5"/>
      <selection pane="topRight" activeCell="A5" sqref="A5"/>
      <selection pane="bottomLeft" activeCell="A5" sqref="A5"/>
      <selection pane="bottomRight" activeCell="K99" sqref="K99"/>
    </sheetView>
  </sheetViews>
  <sheetFormatPr defaultColWidth="8.59765625" defaultRowHeight="13.8"/>
  <cols>
    <col min="1" max="2" width="1.59765625" style="121" customWidth="1"/>
    <col min="3" max="4" width="1.5" style="121" customWidth="1"/>
    <col min="5" max="5" width="37.19921875" style="121" customWidth="1"/>
    <col min="6" max="7" width="11.59765625" style="121" customWidth="1"/>
    <col min="8" max="8" width="12.8984375" style="121" customWidth="1"/>
    <col min="9" max="9" width="1.5" style="121" customWidth="1"/>
    <col min="10" max="11" width="12.09765625" style="121" bestFit="1" customWidth="1"/>
    <col min="12" max="12" width="13" style="121" bestFit="1" customWidth="1"/>
    <col min="13" max="13" width="12.3984375" style="121" bestFit="1" customWidth="1"/>
    <col min="14" max="15" width="12.09765625" style="121" bestFit="1" customWidth="1"/>
    <col min="16" max="16" width="13" style="121" bestFit="1" customWidth="1"/>
    <col min="17" max="17" width="12.3984375" style="121" bestFit="1" customWidth="1"/>
    <col min="18" max="19" width="12.09765625" style="121" bestFit="1" customWidth="1"/>
    <col min="20" max="20" width="13" style="121" bestFit="1" customWidth="1"/>
    <col min="21" max="21" width="12.3984375" style="121" bestFit="1" customWidth="1"/>
    <col min="22" max="23" width="12.09765625" style="121" bestFit="1" customWidth="1"/>
    <col min="24" max="24" width="13" style="121" bestFit="1" customWidth="1"/>
    <col min="25" max="25" width="12.3984375" style="121" bestFit="1" customWidth="1"/>
    <col min="26" max="27" width="12.09765625" style="121" bestFit="1" customWidth="1"/>
    <col min="28" max="28" width="13" style="121" bestFit="1" customWidth="1"/>
    <col min="29" max="29" width="12.3984375" style="121" bestFit="1" customWidth="1"/>
    <col min="30" max="31" width="12.09765625" style="121" bestFit="1" customWidth="1"/>
    <col min="32" max="32" width="13" style="121" bestFit="1" customWidth="1"/>
    <col min="33" max="33" width="12.3984375" style="121" bestFit="1" customWidth="1"/>
    <col min="34" max="35" width="12.09765625" style="121" bestFit="1" customWidth="1"/>
    <col min="36" max="36" width="13" style="121" bestFit="1" customWidth="1"/>
    <col min="37" max="37" width="12.3984375" style="121" bestFit="1" customWidth="1"/>
    <col min="38" max="39" width="12.09765625" style="121" bestFit="1" customWidth="1"/>
    <col min="40" max="40" width="13" style="121" bestFit="1" customWidth="1"/>
    <col min="41" max="41" width="12.3984375" style="121" bestFit="1" customWidth="1"/>
    <col min="42" max="43" width="12.09765625" style="121" bestFit="1" customWidth="1"/>
    <col min="44" max="44" width="13" style="121" bestFit="1" customWidth="1"/>
    <col min="45" max="45" width="12.3984375" style="121" bestFit="1" customWidth="1"/>
    <col min="46" max="47" width="12.09765625" style="121" bestFit="1" customWidth="1"/>
    <col min="48" max="48" width="13" style="121" bestFit="1" customWidth="1"/>
    <col min="49" max="49" width="12.3984375" style="121" bestFit="1" customWidth="1"/>
    <col min="50" max="51" width="12.09765625" style="121" bestFit="1" customWidth="1"/>
    <col min="52" max="52" width="13" style="121" bestFit="1" customWidth="1"/>
    <col min="53" max="53" width="12.3984375" style="121" bestFit="1" customWidth="1"/>
    <col min="54" max="55" width="12.09765625" style="121" bestFit="1" customWidth="1"/>
    <col min="56" max="56" width="13" style="121" bestFit="1" customWidth="1"/>
    <col min="57" max="57" width="12.3984375" style="121" bestFit="1" customWidth="1"/>
    <col min="58" max="59" width="12.09765625" style="121" bestFit="1" customWidth="1"/>
    <col min="60" max="60" width="13" style="121" bestFit="1" customWidth="1"/>
    <col min="61" max="61" width="12.3984375" style="121" bestFit="1" customWidth="1"/>
    <col min="62" max="63" width="12.09765625" style="121" bestFit="1" customWidth="1"/>
    <col min="64" max="64" width="13" style="121" bestFit="1" customWidth="1"/>
    <col min="65" max="65" width="12.3984375" style="121" bestFit="1" customWidth="1"/>
    <col min="66" max="67" width="12.09765625" style="121" bestFit="1" customWidth="1"/>
    <col min="68" max="68" width="13" style="121" bestFit="1" customWidth="1"/>
    <col min="69" max="69" width="12.3984375" style="121" bestFit="1" customWidth="1"/>
    <col min="70" max="16384" width="8.59765625" style="121"/>
  </cols>
  <sheetData>
    <row r="1" spans="1:69" s="120" customFormat="1">
      <c r="A1" s="120" t="str" cm="1">
        <f t="array" ref="A1">company</f>
        <v>Megabrick Inc.</v>
      </c>
    </row>
    <row r="2" spans="1:69" s="120" customFormat="1">
      <c r="A2" s="120" t="str" cm="1">
        <f t="array" ref="A2">topic</f>
        <v>CFM  Topic: Costs</v>
      </c>
      <c r="J2" s="124" cm="1">
        <f t="array" ref="J2:BQ2" xml:space="preserve"> EDATE( start_date, _xlfn.SEQUENCE( 1, periods, 0, 3 ))</f>
        <v>43831</v>
      </c>
      <c r="K2" s="124">
        <v>43922</v>
      </c>
      <c r="L2" s="124">
        <v>44013</v>
      </c>
      <c r="M2" s="124">
        <v>44105</v>
      </c>
      <c r="N2" s="124">
        <v>44197</v>
      </c>
      <c r="O2" s="124">
        <v>44287</v>
      </c>
      <c r="P2" s="124">
        <v>44378</v>
      </c>
      <c r="Q2" s="124">
        <v>44470</v>
      </c>
      <c r="R2" s="124">
        <v>44562</v>
      </c>
      <c r="S2" s="124">
        <v>44652</v>
      </c>
      <c r="T2" s="124">
        <v>44743</v>
      </c>
      <c r="U2" s="124">
        <v>44835</v>
      </c>
      <c r="V2" s="124">
        <v>44927</v>
      </c>
      <c r="W2" s="124">
        <v>45017</v>
      </c>
      <c r="X2" s="124">
        <v>45108</v>
      </c>
      <c r="Y2" s="124">
        <v>45200</v>
      </c>
      <c r="Z2" s="124">
        <v>45292</v>
      </c>
      <c r="AA2" s="124">
        <v>45383</v>
      </c>
      <c r="AB2" s="124">
        <v>45474</v>
      </c>
      <c r="AC2" s="124">
        <v>45566</v>
      </c>
      <c r="AD2" s="124">
        <v>45658</v>
      </c>
      <c r="AE2" s="124">
        <v>45748</v>
      </c>
      <c r="AF2" s="124">
        <v>45839</v>
      </c>
      <c r="AG2" s="124">
        <v>45931</v>
      </c>
      <c r="AH2" s="124">
        <v>46023</v>
      </c>
      <c r="AI2" s="124">
        <v>46113</v>
      </c>
      <c r="AJ2" s="124">
        <v>46204</v>
      </c>
      <c r="AK2" s="124">
        <v>46296</v>
      </c>
      <c r="AL2" s="124">
        <v>46388</v>
      </c>
      <c r="AM2" s="124">
        <v>46478</v>
      </c>
      <c r="AN2" s="124">
        <v>46569</v>
      </c>
      <c r="AO2" s="124">
        <v>46661</v>
      </c>
      <c r="AP2" s="124">
        <v>46753</v>
      </c>
      <c r="AQ2" s="124">
        <v>46844</v>
      </c>
      <c r="AR2" s="124">
        <v>46935</v>
      </c>
      <c r="AS2" s="124">
        <v>47027</v>
      </c>
      <c r="AT2" s="124">
        <v>47119</v>
      </c>
      <c r="AU2" s="124">
        <v>47209</v>
      </c>
      <c r="AV2" s="124">
        <v>47300</v>
      </c>
      <c r="AW2" s="124">
        <v>47392</v>
      </c>
      <c r="AX2" s="124">
        <v>47484</v>
      </c>
      <c r="AY2" s="124">
        <v>47574</v>
      </c>
      <c r="AZ2" s="124">
        <v>47665</v>
      </c>
      <c r="BA2" s="124">
        <v>47757</v>
      </c>
      <c r="BB2" s="124">
        <v>47849</v>
      </c>
      <c r="BC2" s="124">
        <v>47939</v>
      </c>
      <c r="BD2" s="124">
        <v>48030</v>
      </c>
      <c r="BE2" s="124">
        <v>48122</v>
      </c>
      <c r="BF2" s="124">
        <v>48214</v>
      </c>
      <c r="BG2" s="124">
        <v>48305</v>
      </c>
      <c r="BH2" s="124">
        <v>48396</v>
      </c>
      <c r="BI2" s="124">
        <v>48488</v>
      </c>
      <c r="BJ2" s="124">
        <v>48580</v>
      </c>
      <c r="BK2" s="124">
        <v>48670</v>
      </c>
      <c r="BL2" s="124">
        <v>48761</v>
      </c>
      <c r="BM2" s="124">
        <v>48853</v>
      </c>
      <c r="BN2" s="124">
        <v>48945</v>
      </c>
      <c r="BO2" s="124">
        <v>49035</v>
      </c>
      <c r="BP2" s="124">
        <v>49126</v>
      </c>
      <c r="BQ2" s="124">
        <v>49218</v>
      </c>
    </row>
    <row r="3" spans="1:69" s="120" customFormat="1">
      <c r="A3" s="120" t="s">
        <v>161</v>
      </c>
      <c r="F3" s="120" t="s">
        <v>154</v>
      </c>
      <c r="G3" s="120" t="s">
        <v>155</v>
      </c>
      <c r="H3" s="120" t="s">
        <v>94</v>
      </c>
      <c r="J3" s="124" cm="1">
        <f t="array" ref="J3:BQ3" xml:space="preserve"> EOMONTH( start_date, _xlfn.SEQUENCE( 1, periods, 2, 3 ))</f>
        <v>43921</v>
      </c>
      <c r="K3" s="124">
        <v>44012</v>
      </c>
      <c r="L3" s="124">
        <v>44104</v>
      </c>
      <c r="M3" s="124">
        <v>44196</v>
      </c>
      <c r="N3" s="124">
        <v>44286</v>
      </c>
      <c r="O3" s="124">
        <v>44377</v>
      </c>
      <c r="P3" s="124">
        <v>44469</v>
      </c>
      <c r="Q3" s="124">
        <v>44561</v>
      </c>
      <c r="R3" s="124">
        <v>44651</v>
      </c>
      <c r="S3" s="124">
        <v>44742</v>
      </c>
      <c r="T3" s="124">
        <v>44834</v>
      </c>
      <c r="U3" s="124">
        <v>44926</v>
      </c>
      <c r="V3" s="124">
        <v>45016</v>
      </c>
      <c r="W3" s="124">
        <v>45107</v>
      </c>
      <c r="X3" s="124">
        <v>45199</v>
      </c>
      <c r="Y3" s="124">
        <v>45291</v>
      </c>
      <c r="Z3" s="124">
        <v>45382</v>
      </c>
      <c r="AA3" s="124">
        <v>45473</v>
      </c>
      <c r="AB3" s="124">
        <v>45565</v>
      </c>
      <c r="AC3" s="124">
        <v>45657</v>
      </c>
      <c r="AD3" s="124">
        <v>45747</v>
      </c>
      <c r="AE3" s="124">
        <v>45838</v>
      </c>
      <c r="AF3" s="124">
        <v>45930</v>
      </c>
      <c r="AG3" s="124">
        <v>46022</v>
      </c>
      <c r="AH3" s="124">
        <v>46112</v>
      </c>
      <c r="AI3" s="124">
        <v>46203</v>
      </c>
      <c r="AJ3" s="124">
        <v>46295</v>
      </c>
      <c r="AK3" s="124">
        <v>46387</v>
      </c>
      <c r="AL3" s="124">
        <v>46477</v>
      </c>
      <c r="AM3" s="124">
        <v>46568</v>
      </c>
      <c r="AN3" s="124">
        <v>46660</v>
      </c>
      <c r="AO3" s="124">
        <v>46752</v>
      </c>
      <c r="AP3" s="124">
        <v>46843</v>
      </c>
      <c r="AQ3" s="124">
        <v>46934</v>
      </c>
      <c r="AR3" s="124">
        <v>47026</v>
      </c>
      <c r="AS3" s="124">
        <v>47118</v>
      </c>
      <c r="AT3" s="124">
        <v>47208</v>
      </c>
      <c r="AU3" s="124">
        <v>47299</v>
      </c>
      <c r="AV3" s="124">
        <v>47391</v>
      </c>
      <c r="AW3" s="124">
        <v>47483</v>
      </c>
      <c r="AX3" s="124">
        <v>47573</v>
      </c>
      <c r="AY3" s="124">
        <v>47664</v>
      </c>
      <c r="AZ3" s="124">
        <v>47756</v>
      </c>
      <c r="BA3" s="124">
        <v>47848</v>
      </c>
      <c r="BB3" s="124">
        <v>47938</v>
      </c>
      <c r="BC3" s="124">
        <v>48029</v>
      </c>
      <c r="BD3" s="124">
        <v>48121</v>
      </c>
      <c r="BE3" s="124">
        <v>48213</v>
      </c>
      <c r="BF3" s="124">
        <v>48304</v>
      </c>
      <c r="BG3" s="124">
        <v>48395</v>
      </c>
      <c r="BH3" s="124">
        <v>48487</v>
      </c>
      <c r="BI3" s="124">
        <v>48579</v>
      </c>
      <c r="BJ3" s="124">
        <v>48669</v>
      </c>
      <c r="BK3" s="124">
        <v>48760</v>
      </c>
      <c r="BL3" s="124">
        <v>48852</v>
      </c>
      <c r="BM3" s="124">
        <v>48944</v>
      </c>
      <c r="BN3" s="124">
        <v>49034</v>
      </c>
      <c r="BO3" s="124">
        <v>49125</v>
      </c>
      <c r="BP3" s="124">
        <v>49217</v>
      </c>
      <c r="BQ3" s="124">
        <v>49309</v>
      </c>
    </row>
    <row r="5" spans="1:69">
      <c r="B5" s="130" t="s">
        <v>91</v>
      </c>
    </row>
    <row r="6" spans="1:69">
      <c r="E6" s="121" t="s">
        <v>164</v>
      </c>
      <c r="F6" s="122">
        <v>1</v>
      </c>
    </row>
    <row r="7" spans="1:69">
      <c r="E7" s="131"/>
      <c r="F7" s="131"/>
    </row>
    <row r="8" spans="1:69">
      <c r="E8" s="131" t="s">
        <v>168</v>
      </c>
      <c r="F8" s="122">
        <v>1</v>
      </c>
    </row>
    <row r="11" spans="1:69" s="122" customFormat="1">
      <c r="A11" s="128" t="s">
        <v>163</v>
      </c>
    </row>
    <row r="13" spans="1:69">
      <c r="B13" s="130" t="s">
        <v>102</v>
      </c>
    </row>
    <row r="14" spans="1:69">
      <c r="E14" s="121" t="s">
        <v>174</v>
      </c>
      <c r="G14" s="121" t="s">
        <v>156</v>
      </c>
      <c r="H14" s="121" cm="1">
        <f t="array" ref="H14">_xlfn.BYROW(_xlfn.ANCHORARRAY( J14), _xleta.SUM )</f>
        <v>1881523.7604832654</v>
      </c>
      <c r="J14" s="121" cm="1">
        <f t="array" ref="J14:BQ14" xml:space="preserve"> _xlfn.LET(
      _xlpm.demand_constant, 1 + CaseData!$H$44,
      _xlpm.quarters_timeline,_xlfn.ANCHORARRAY( Time!J16),
      _xlpm.demand_base, INDEX( CaseData!$H$42:$K$42, 1, MOD( _xlfn.SEQUENCE( 1, periods ) - 1, 4) + 1 ),
      _xlpm.demand_factor, _xlpm.demand_constant ^ INT( _xlfn.SEQUENCE( 1, periods, 0 ) / 4 ),
      _xlpm.demand_base * _xlpm.demand_factor )</f>
        <v>26500</v>
      </c>
      <c r="K14" s="121">
        <v>28100</v>
      </c>
      <c r="L14" s="121">
        <v>29000</v>
      </c>
      <c r="M14" s="121">
        <v>25200</v>
      </c>
      <c r="N14" s="121">
        <v>27030</v>
      </c>
      <c r="O14" s="121">
        <v>28662</v>
      </c>
      <c r="P14" s="121">
        <v>29580</v>
      </c>
      <c r="Q14" s="121">
        <v>25704</v>
      </c>
      <c r="R14" s="121">
        <v>27570.6</v>
      </c>
      <c r="S14" s="121">
        <v>29235.239999999998</v>
      </c>
      <c r="T14" s="121">
        <v>30171.599999999999</v>
      </c>
      <c r="U14" s="121">
        <v>26218.079999999998</v>
      </c>
      <c r="V14" s="121">
        <v>28122.011999999999</v>
      </c>
      <c r="W14" s="121">
        <v>29819.944799999997</v>
      </c>
      <c r="X14" s="121">
        <v>30775.031999999999</v>
      </c>
      <c r="Y14" s="121">
        <v>26742.441599999998</v>
      </c>
      <c r="Z14" s="121">
        <v>28684.452239999999</v>
      </c>
      <c r="AA14" s="121">
        <v>30416.343696</v>
      </c>
      <c r="AB14" s="121">
        <v>31390.532639999998</v>
      </c>
      <c r="AC14" s="121">
        <v>27277.290431999998</v>
      </c>
      <c r="AD14" s="121">
        <v>29258.1412848</v>
      </c>
      <c r="AE14" s="121">
        <v>31024.670569919999</v>
      </c>
      <c r="AF14" s="121">
        <v>32018.3432928</v>
      </c>
      <c r="AG14" s="121">
        <v>27822.836240640001</v>
      </c>
      <c r="AH14" s="121">
        <v>29843.304110496003</v>
      </c>
      <c r="AI14" s="121">
        <v>31645.163981318401</v>
      </c>
      <c r="AJ14" s="121">
        <v>32658.710158656002</v>
      </c>
      <c r="AK14" s="121">
        <v>28379.292965452802</v>
      </c>
      <c r="AL14" s="121">
        <v>30440.170192705915</v>
      </c>
      <c r="AM14" s="121">
        <v>32278.067260944761</v>
      </c>
      <c r="AN14" s="121">
        <v>33311.884361829114</v>
      </c>
      <c r="AO14" s="121">
        <v>28946.87882476185</v>
      </c>
      <c r="AP14" s="121">
        <v>31048.973596560038</v>
      </c>
      <c r="AQ14" s="121">
        <v>32923.628606163664</v>
      </c>
      <c r="AR14" s="121">
        <v>33978.1220490657</v>
      </c>
      <c r="AS14" s="121">
        <v>29525.816401257092</v>
      </c>
      <c r="AT14" s="121">
        <v>31669.953068491239</v>
      </c>
      <c r="AU14" s="121">
        <v>33582.101178286932</v>
      </c>
      <c r="AV14" s="121">
        <v>34657.684490047017</v>
      </c>
      <c r="AW14" s="121">
        <v>30116.332729282232</v>
      </c>
      <c r="AX14" s="121">
        <v>32303.352129861065</v>
      </c>
      <c r="AY14" s="121">
        <v>34253.743201852674</v>
      </c>
      <c r="AZ14" s="121">
        <v>35350.838179847953</v>
      </c>
      <c r="BA14" s="121">
        <v>30718.659383867878</v>
      </c>
      <c r="BB14" s="121">
        <v>32949.419172458278</v>
      </c>
      <c r="BC14" s="121">
        <v>34938.818065889718</v>
      </c>
      <c r="BD14" s="121">
        <v>36057.854943444909</v>
      </c>
      <c r="BE14" s="121">
        <v>31333.032571545231</v>
      </c>
      <c r="BF14" s="121">
        <v>33608.407555907448</v>
      </c>
      <c r="BG14" s="121">
        <v>35637.594427207521</v>
      </c>
      <c r="BH14" s="121">
        <v>36779.012042313814</v>
      </c>
      <c r="BI14" s="121">
        <v>31959.693222976141</v>
      </c>
      <c r="BJ14" s="121">
        <v>34280.575707025593</v>
      </c>
      <c r="BK14" s="121">
        <v>36350.346315751667</v>
      </c>
      <c r="BL14" s="121">
        <v>37514.592283160084</v>
      </c>
      <c r="BM14" s="121">
        <v>32598.887087435662</v>
      </c>
      <c r="BN14" s="121">
        <v>34966.18722116611</v>
      </c>
      <c r="BO14" s="121">
        <v>37077.353242066711</v>
      </c>
      <c r="BP14" s="121">
        <v>38264.884128823294</v>
      </c>
      <c r="BQ14" s="121">
        <v>33250.864829184378</v>
      </c>
    </row>
    <row r="16" spans="1:69">
      <c r="B16" s="130" t="s">
        <v>22</v>
      </c>
    </row>
    <row r="17" spans="1:69">
      <c r="E17" s="121" t="s">
        <v>175</v>
      </c>
      <c r="G17" s="121" t="s">
        <v>162</v>
      </c>
      <c r="J17" s="121" cm="1">
        <f t="array" ref="J17:BQ17">_xlfn.LET(
     _xlpm.indexation_table, CaseData!$H$12:$J$13,
     _xlpm.indexation_rows, CaseData!$D$12:$D$13,
     _xlpm.indexation_columns, CaseData!$H$10:$J$10,
     _xlpm.current_scenario, INDEX( pricing_scenarios, pricing_selector ),
     _xlpm.current_item, $B$16,
     _xlpm.index, INDEX( _xlpm.indexation_table, MATCH( _xlpm.current_item, _xlpm.indexation_rows, 0 ), MATCH( _xlpm.current_scenario, _xlpm.indexation_columns, 0 ) ),
     _xlpm.compound_frequency, CaseData!$E$12,
     _xlpm.quarterly_operating_flag,_xlfn.ANCHORARRAY( Time!$J$18),
     _xlpm.yearly_operating_flag,_xlfn.ANCHORARRAY( Time!$J$19),
     _xlpm.active_operating_flag, IF( _xlpm.compound_frequency = "Annual", _xlpm.yearly_operating_flag, _xlpm.quarterly_operating_flag ),
     _xlpm.periodic_rate, IF( _xlpm.compound_frequency = "Annual", 1 + _xlpm.index, (1 + _xlpm.index ) ^ (1 / 4 ) ),
     _xlpm.indexation_count, _xlfn.SCAN( 0, _xlpm.active_operating_flag, _xlfn.LAMBDA(_xlpm.s,_xlpm.c, _xlpm.s + _xlpm.c ) ),
     _xlpm.base_price, CaseData!$H$40,
     _xlpm.base_price * _xlpm.periodic_rate ^ _xlpm.indexation_count )</f>
        <v>280</v>
      </c>
      <c r="K17" s="121">
        <v>280</v>
      </c>
      <c r="L17" s="121">
        <v>280</v>
      </c>
      <c r="M17" s="121">
        <v>280</v>
      </c>
      <c r="N17" s="121">
        <v>287</v>
      </c>
      <c r="O17" s="121">
        <v>287</v>
      </c>
      <c r="P17" s="121">
        <v>287</v>
      </c>
      <c r="Q17" s="121">
        <v>287</v>
      </c>
      <c r="R17" s="121">
        <v>294.17499999999995</v>
      </c>
      <c r="S17" s="121">
        <v>294.17499999999995</v>
      </c>
      <c r="T17" s="121">
        <v>294.17499999999995</v>
      </c>
      <c r="U17" s="121">
        <v>294.17499999999995</v>
      </c>
      <c r="V17" s="121">
        <v>301.52937499999996</v>
      </c>
      <c r="W17" s="121">
        <v>301.52937499999996</v>
      </c>
      <c r="X17" s="121">
        <v>301.52937499999996</v>
      </c>
      <c r="Y17" s="121">
        <v>301.52937499999996</v>
      </c>
      <c r="Z17" s="121">
        <v>309.06760937499996</v>
      </c>
      <c r="AA17" s="121">
        <v>309.06760937499996</v>
      </c>
      <c r="AB17" s="121">
        <v>309.06760937499996</v>
      </c>
      <c r="AC17" s="121">
        <v>309.06760937499996</v>
      </c>
      <c r="AD17" s="121">
        <v>316.79429960937489</v>
      </c>
      <c r="AE17" s="121">
        <v>316.79429960937489</v>
      </c>
      <c r="AF17" s="121">
        <v>316.79429960937489</v>
      </c>
      <c r="AG17" s="121">
        <v>316.79429960937489</v>
      </c>
      <c r="AH17" s="121">
        <v>324.71415709960922</v>
      </c>
      <c r="AI17" s="121">
        <v>324.71415709960922</v>
      </c>
      <c r="AJ17" s="121">
        <v>324.71415709960922</v>
      </c>
      <c r="AK17" s="121">
        <v>324.71415709960922</v>
      </c>
      <c r="AL17" s="121">
        <v>332.8320110270995</v>
      </c>
      <c r="AM17" s="121">
        <v>332.8320110270995</v>
      </c>
      <c r="AN17" s="121">
        <v>332.8320110270995</v>
      </c>
      <c r="AO17" s="121">
        <v>332.8320110270995</v>
      </c>
      <c r="AP17" s="121">
        <v>341.15281130277697</v>
      </c>
      <c r="AQ17" s="121">
        <v>341.15281130277697</v>
      </c>
      <c r="AR17" s="121">
        <v>341.15281130277697</v>
      </c>
      <c r="AS17" s="121">
        <v>341.15281130277697</v>
      </c>
      <c r="AT17" s="121">
        <v>349.68163158534634</v>
      </c>
      <c r="AU17" s="121">
        <v>349.68163158534634</v>
      </c>
      <c r="AV17" s="121">
        <v>349.68163158534634</v>
      </c>
      <c r="AW17" s="121">
        <v>349.68163158534634</v>
      </c>
      <c r="AX17" s="121">
        <v>358.42367237497996</v>
      </c>
      <c r="AY17" s="121">
        <v>358.42367237497996</v>
      </c>
      <c r="AZ17" s="121">
        <v>358.42367237497996</v>
      </c>
      <c r="BA17" s="121">
        <v>358.42367237497996</v>
      </c>
      <c r="BB17" s="121">
        <v>367.38426418435449</v>
      </c>
      <c r="BC17" s="121">
        <v>367.38426418435449</v>
      </c>
      <c r="BD17" s="121">
        <v>367.38426418435449</v>
      </c>
      <c r="BE17" s="121">
        <v>367.38426418435449</v>
      </c>
      <c r="BF17" s="121">
        <v>376.5688707889633</v>
      </c>
      <c r="BG17" s="121">
        <v>376.5688707889633</v>
      </c>
      <c r="BH17" s="121">
        <v>376.5688707889633</v>
      </c>
      <c r="BI17" s="121">
        <v>376.5688707889633</v>
      </c>
      <c r="BJ17" s="121">
        <v>385.98309255868736</v>
      </c>
      <c r="BK17" s="121">
        <v>385.98309255868736</v>
      </c>
      <c r="BL17" s="121">
        <v>385.98309255868736</v>
      </c>
      <c r="BM17" s="121">
        <v>385.98309255868736</v>
      </c>
      <c r="BN17" s="121">
        <v>395.6326698726545</v>
      </c>
      <c r="BO17" s="121">
        <v>395.6326698726545</v>
      </c>
      <c r="BP17" s="121">
        <v>395.6326698726545</v>
      </c>
      <c r="BQ17" s="121">
        <v>395.6326698726545</v>
      </c>
    </row>
    <row r="19" spans="1:69">
      <c r="B19" s="130" t="s">
        <v>95</v>
      </c>
    </row>
    <row r="20" spans="1:69">
      <c r="E20" s="138" t="s">
        <v>176</v>
      </c>
      <c r="F20" s="138"/>
      <c r="G20" s="138" t="s">
        <v>167</v>
      </c>
      <c r="H20" s="138" cm="1">
        <f t="array" ref="H20">_xlfn.BYROW(_xlfn.ANCHORARRAY( J20), _xleta.SUM )</f>
        <v>635538392.40372562</v>
      </c>
      <c r="I20" s="138"/>
      <c r="J20" s="138" cm="1">
        <f t="array" ref="J20:BQ20">_xlfn.ANCHORARRAY( J14) *_xlfn.ANCHORARRAY( J17)</f>
        <v>7420000</v>
      </c>
      <c r="K20" s="138">
        <v>7868000</v>
      </c>
      <c r="L20" s="138">
        <v>8120000</v>
      </c>
      <c r="M20" s="138">
        <v>7056000</v>
      </c>
      <c r="N20" s="138">
        <v>7757610</v>
      </c>
      <c r="O20" s="138">
        <v>8225994</v>
      </c>
      <c r="P20" s="138">
        <v>8489460</v>
      </c>
      <c r="Q20" s="138">
        <v>7377048</v>
      </c>
      <c r="R20" s="138">
        <v>8110581.254999998</v>
      </c>
      <c r="S20" s="138">
        <v>8600276.7269999981</v>
      </c>
      <c r="T20" s="138">
        <v>8875730.4299999978</v>
      </c>
      <c r="U20" s="138">
        <v>7712703.6839999985</v>
      </c>
      <c r="V20" s="138">
        <v>8479612.7021024991</v>
      </c>
      <c r="W20" s="138">
        <v>8991589.3180784974</v>
      </c>
      <c r="X20" s="138">
        <v>9279576.1645649988</v>
      </c>
      <c r="Y20" s="138">
        <v>8063631.7016219981</v>
      </c>
      <c r="Z20" s="138">
        <v>8865435.0800481625</v>
      </c>
      <c r="AA20" s="138">
        <v>9400706.6320510712</v>
      </c>
      <c r="AB20" s="138">
        <v>9701796.8800527062</v>
      </c>
      <c r="AC20" s="138">
        <v>8430526.9440457989</v>
      </c>
      <c r="AD20" s="138">
        <v>9268812.3761903513</v>
      </c>
      <c r="AE20" s="138">
        <v>9828438.7838093918</v>
      </c>
      <c r="AF20" s="138">
        <v>10143228.638095101</v>
      </c>
      <c r="AG20" s="138">
        <v>8814115.9199998826</v>
      </c>
      <c r="AH20" s="138">
        <v>9690543.339307012</v>
      </c>
      <c r="AI20" s="138">
        <v>10275632.748472719</v>
      </c>
      <c r="AJ20" s="138">
        <v>10604745.541128429</v>
      </c>
      <c r="AK20" s="138">
        <v>9215158.1943598762</v>
      </c>
      <c r="AL20" s="138">
        <v>10131463.061245481</v>
      </c>
      <c r="AM20" s="138">
        <v>10743174.038528226</v>
      </c>
      <c r="AN20" s="138">
        <v>11087261.463249771</v>
      </c>
      <c r="AO20" s="138">
        <v>9634447.892203249</v>
      </c>
      <c r="AP20" s="138">
        <v>10592444.630532151</v>
      </c>
      <c r="AQ20" s="138">
        <v>11231988.457281262</v>
      </c>
      <c r="AR20" s="138">
        <v>11591731.859827636</v>
      </c>
      <c r="AS20" s="138">
        <v>10072815.271298498</v>
      </c>
      <c r="AT20" s="138">
        <v>11074400.861221362</v>
      </c>
      <c r="AU20" s="138">
        <v>11743043.932087556</v>
      </c>
      <c r="AV20" s="138">
        <v>12119155.659449793</v>
      </c>
      <c r="AW20" s="138">
        <v>10531128.366142578</v>
      </c>
      <c r="AX20" s="138">
        <v>11578286.100406934</v>
      </c>
      <c r="AY20" s="138">
        <v>12277352.430997539</v>
      </c>
      <c r="AZ20" s="138">
        <v>12670577.241954755</v>
      </c>
      <c r="BA20" s="138">
        <v>11010294.706802065</v>
      </c>
      <c r="BB20" s="138">
        <v>12105098.117975447</v>
      </c>
      <c r="BC20" s="138">
        <v>12835971.966607926</v>
      </c>
      <c r="BD20" s="138">
        <v>13247088.506463697</v>
      </c>
      <c r="BE20" s="138">
        <v>11511263.115961557</v>
      </c>
      <c r="BF20" s="138">
        <v>12655880.082343329</v>
      </c>
      <c r="BG20" s="138">
        <v>13420008.691088587</v>
      </c>
      <c r="BH20" s="138">
        <v>13849831.033507796</v>
      </c>
      <c r="BI20" s="138">
        <v>12035025.587737808</v>
      </c>
      <c r="BJ20" s="138">
        <v>13231722.626089949</v>
      </c>
      <c r="BK20" s="138">
        <v>14030619.086533116</v>
      </c>
      <c r="BL20" s="138">
        <v>14479998.345532397</v>
      </c>
      <c r="BM20" s="138">
        <v>12582619.251979876</v>
      </c>
      <c r="BN20" s="138">
        <v>13833766.005577043</v>
      </c>
      <c r="BO20" s="138">
        <v>14669012.254970375</v>
      </c>
      <c r="BP20" s="138">
        <v>15138838.270254124</v>
      </c>
      <c r="BQ20" s="138">
        <v>13155128.427944962</v>
      </c>
    </row>
    <row r="21" spans="1:69"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</row>
    <row r="23" spans="1:69" s="122" customFormat="1">
      <c r="A23" s="128" t="s">
        <v>182</v>
      </c>
    </row>
    <row r="25" spans="1:69">
      <c r="B25" s="130" t="s">
        <v>103</v>
      </c>
    </row>
    <row r="26" spans="1:69">
      <c r="E26" s="121" t="s">
        <v>160</v>
      </c>
      <c r="G26" s="121" t="s">
        <v>159</v>
      </c>
      <c r="H26" s="121" cm="1">
        <f t="array" ref="H26">_xlfn.BYROW(_xlfn.ANCHORARRAY( J26), _xleta.SUM )</f>
        <v>5644571.2814497957</v>
      </c>
      <c r="J26" s="121" cm="1">
        <f t="array" ref="J26:BQ26" xml:space="preserve"> _xlfn.LET(
      _xlpm.raw_material_per_slab, CaseData!$H$52,
      _xlpm.slabs,_xlfn.ANCHORARRAY( Calculations!J14),
      _xlpm.raw_material_per_slab * _xlpm.slabs)</f>
        <v>79500</v>
      </c>
      <c r="K26" s="121">
        <v>84300</v>
      </c>
      <c r="L26" s="121">
        <v>87000</v>
      </c>
      <c r="M26" s="121">
        <v>75600</v>
      </c>
      <c r="N26" s="121">
        <v>81090</v>
      </c>
      <c r="O26" s="121">
        <v>85986</v>
      </c>
      <c r="P26" s="121">
        <v>88740</v>
      </c>
      <c r="Q26" s="121">
        <v>77112</v>
      </c>
      <c r="R26" s="121">
        <v>82711.799999999988</v>
      </c>
      <c r="S26" s="121">
        <v>87705.72</v>
      </c>
      <c r="T26" s="121">
        <v>90514.799999999988</v>
      </c>
      <c r="U26" s="121">
        <v>78654.239999999991</v>
      </c>
      <c r="V26" s="121">
        <v>84366.035999999993</v>
      </c>
      <c r="W26" s="121">
        <v>89459.834399999992</v>
      </c>
      <c r="X26" s="121">
        <v>92325.09599999999</v>
      </c>
      <c r="Y26" s="121">
        <v>80227.324800000002</v>
      </c>
      <c r="Z26" s="121">
        <v>86053.356719999996</v>
      </c>
      <c r="AA26" s="121">
        <v>91249.031088000003</v>
      </c>
      <c r="AB26" s="121">
        <v>94171.59792</v>
      </c>
      <c r="AC26" s="121">
        <v>81831.871295999998</v>
      </c>
      <c r="AD26" s="121">
        <v>87774.423854399996</v>
      </c>
      <c r="AE26" s="121">
        <v>93074.011709760001</v>
      </c>
      <c r="AF26" s="121">
        <v>96055.029878400004</v>
      </c>
      <c r="AG26" s="121">
        <v>83468.508721920007</v>
      </c>
      <c r="AH26" s="121">
        <v>89529.912331488013</v>
      </c>
      <c r="AI26" s="121">
        <v>94935.491943955203</v>
      </c>
      <c r="AJ26" s="121">
        <v>97976.130475968006</v>
      </c>
      <c r="AK26" s="121">
        <v>85137.878896358408</v>
      </c>
      <c r="AL26" s="121">
        <v>91320.510578117741</v>
      </c>
      <c r="AM26" s="121">
        <v>96834.20178283428</v>
      </c>
      <c r="AN26" s="121">
        <v>99935.653085487342</v>
      </c>
      <c r="AO26" s="121">
        <v>86840.636474285551</v>
      </c>
      <c r="AP26" s="121">
        <v>93146.920789680109</v>
      </c>
      <c r="AQ26" s="121">
        <v>98770.885818490991</v>
      </c>
      <c r="AR26" s="121">
        <v>101934.3661471971</v>
      </c>
      <c r="AS26" s="121">
        <v>88577.449203771277</v>
      </c>
      <c r="AT26" s="121">
        <v>95009.859205473709</v>
      </c>
      <c r="AU26" s="121">
        <v>100746.3035348608</v>
      </c>
      <c r="AV26" s="121">
        <v>103973.05347014105</v>
      </c>
      <c r="AW26" s="121">
        <v>90348.998187846693</v>
      </c>
      <c r="AX26" s="121">
        <v>96910.056389583187</v>
      </c>
      <c r="AY26" s="121">
        <v>102761.22960555802</v>
      </c>
      <c r="AZ26" s="121">
        <v>106052.51453954386</v>
      </c>
      <c r="BA26" s="121">
        <v>92155.978151603631</v>
      </c>
      <c r="BB26" s="121">
        <v>98848.257517374834</v>
      </c>
      <c r="BC26" s="121">
        <v>104816.45419766915</v>
      </c>
      <c r="BD26" s="121">
        <v>108173.56483033473</v>
      </c>
      <c r="BE26" s="121">
        <v>93999.097714635689</v>
      </c>
      <c r="BF26" s="121">
        <v>100825.22266772235</v>
      </c>
      <c r="BG26" s="121">
        <v>106912.78328162257</v>
      </c>
      <c r="BH26" s="121">
        <v>110337.03612694144</v>
      </c>
      <c r="BI26" s="121">
        <v>95879.079668928418</v>
      </c>
      <c r="BJ26" s="121">
        <v>102841.72712107678</v>
      </c>
      <c r="BK26" s="121">
        <v>109051.038947255</v>
      </c>
      <c r="BL26" s="121">
        <v>112543.77684948026</v>
      </c>
      <c r="BM26" s="121">
        <v>97796.661262306981</v>
      </c>
      <c r="BN26" s="121">
        <v>104898.56166349833</v>
      </c>
      <c r="BO26" s="121">
        <v>111232.05972620012</v>
      </c>
      <c r="BP26" s="121">
        <v>114794.65238646988</v>
      </c>
      <c r="BQ26" s="121">
        <v>99752.594487553142</v>
      </c>
    </row>
    <row r="28" spans="1:69">
      <c r="B28" s="130" t="s">
        <v>24</v>
      </c>
      <c r="C28" s="130"/>
    </row>
    <row r="29" spans="1:69">
      <c r="E29" s="121" t="s">
        <v>169</v>
      </c>
      <c r="F29" s="122">
        <v>1</v>
      </c>
      <c r="G29" s="121" t="s">
        <v>170</v>
      </c>
      <c r="J29" s="133" cm="1">
        <f t="array" ref="J29:BQ29" xml:space="preserve"> _xlfn.LET(
      _xlpm.fx_rates_table, CaseData!$H$30:$V$32,
      _xlpm.fx_columns, CaseData!$H$29:$V$29,
      _xlpm.fx_rate, INDEX( _xlpm.fx_rates_table, fx_rates_selector, MATCH(_xlfn.ANCHORARRAY( Time!J10), _xlpm.fx_columns, 0 ) ),
      _xlpm.fx_rate )</f>
        <v>19.5</v>
      </c>
      <c r="K29" s="133">
        <v>19.5</v>
      </c>
      <c r="L29" s="133">
        <v>19.5</v>
      </c>
      <c r="M29" s="133">
        <v>19.5</v>
      </c>
      <c r="N29" s="133">
        <v>20.09</v>
      </c>
      <c r="O29" s="133">
        <v>20.09</v>
      </c>
      <c r="P29" s="133">
        <v>20.09</v>
      </c>
      <c r="Q29" s="133">
        <v>20.09</v>
      </c>
      <c r="R29" s="133">
        <v>20.69</v>
      </c>
      <c r="S29" s="133">
        <v>20.69</v>
      </c>
      <c r="T29" s="133">
        <v>20.69</v>
      </c>
      <c r="U29" s="133">
        <v>20.69</v>
      </c>
      <c r="V29" s="133">
        <v>21.31</v>
      </c>
      <c r="W29" s="133">
        <v>21.31</v>
      </c>
      <c r="X29" s="133">
        <v>21.31</v>
      </c>
      <c r="Y29" s="133">
        <v>21.31</v>
      </c>
      <c r="Z29" s="133">
        <v>21.95</v>
      </c>
      <c r="AA29" s="133">
        <v>21.95</v>
      </c>
      <c r="AB29" s="133">
        <v>21.95</v>
      </c>
      <c r="AC29" s="133">
        <v>21.95</v>
      </c>
      <c r="AD29" s="133">
        <v>22.61</v>
      </c>
      <c r="AE29" s="133">
        <v>22.61</v>
      </c>
      <c r="AF29" s="133">
        <v>22.61</v>
      </c>
      <c r="AG29" s="133">
        <v>22.61</v>
      </c>
      <c r="AH29" s="133">
        <v>23.29</v>
      </c>
      <c r="AI29" s="133">
        <v>23.29</v>
      </c>
      <c r="AJ29" s="133">
        <v>23.29</v>
      </c>
      <c r="AK29" s="133">
        <v>23.29</v>
      </c>
      <c r="AL29" s="133">
        <v>23.99</v>
      </c>
      <c r="AM29" s="133">
        <v>23.99</v>
      </c>
      <c r="AN29" s="133">
        <v>23.99</v>
      </c>
      <c r="AO29" s="133">
        <v>23.99</v>
      </c>
      <c r="AP29" s="133">
        <v>24.71</v>
      </c>
      <c r="AQ29" s="133">
        <v>24.71</v>
      </c>
      <c r="AR29" s="133">
        <v>24.71</v>
      </c>
      <c r="AS29" s="133">
        <v>24.71</v>
      </c>
      <c r="AT29" s="133">
        <v>25.45</v>
      </c>
      <c r="AU29" s="133">
        <v>25.45</v>
      </c>
      <c r="AV29" s="133">
        <v>25.45</v>
      </c>
      <c r="AW29" s="133">
        <v>25.45</v>
      </c>
      <c r="AX29" s="133">
        <v>26.21</v>
      </c>
      <c r="AY29" s="133">
        <v>26.21</v>
      </c>
      <c r="AZ29" s="133">
        <v>26.21</v>
      </c>
      <c r="BA29" s="133">
        <v>26.21</v>
      </c>
      <c r="BB29" s="133">
        <v>27</v>
      </c>
      <c r="BC29" s="133">
        <v>27</v>
      </c>
      <c r="BD29" s="133">
        <v>27</v>
      </c>
      <c r="BE29" s="133">
        <v>27</v>
      </c>
      <c r="BF29" s="133">
        <v>27.81</v>
      </c>
      <c r="BG29" s="133">
        <v>27.81</v>
      </c>
      <c r="BH29" s="133">
        <v>27.81</v>
      </c>
      <c r="BI29" s="133">
        <v>27.81</v>
      </c>
      <c r="BJ29" s="133">
        <v>28.64</v>
      </c>
      <c r="BK29" s="133">
        <v>28.64</v>
      </c>
      <c r="BL29" s="133">
        <v>28.64</v>
      </c>
      <c r="BM29" s="133">
        <v>28.64</v>
      </c>
      <c r="BN29" s="133">
        <v>29.5</v>
      </c>
      <c r="BO29" s="133">
        <v>29.5</v>
      </c>
      <c r="BP29" s="133">
        <v>29.5</v>
      </c>
      <c r="BQ29" s="133">
        <v>29.5</v>
      </c>
    </row>
    <row r="30" spans="1:69">
      <c r="B30" s="130"/>
      <c r="C30" s="130"/>
    </row>
    <row r="31" spans="1:69">
      <c r="E31" s="121" t="s">
        <v>171</v>
      </c>
      <c r="G31" s="121" t="s">
        <v>172</v>
      </c>
      <c r="J31" s="132" cm="1">
        <f t="array" ref="J31:BQ31">_xlfn.LET(
     _xlpm.indexation_table, CaseData!$H$12:$J$13,
     _xlpm.indexation_rows, CaseData!$D$12:$D$13,
     _xlpm.indexation_columns, CaseData!$H$10:$J$10,
     _xlpm.current_scenario, INDEX( expense_scenarios, expense_selector ),
     _xlpm.current_item, $B$28,
     _xlpm.index, INDEX( _xlpm.indexation_table, MATCH( _xlpm.current_item, _xlpm.indexation_rows, 0 ), MATCH( _xlpm.current_scenario, _xlpm.indexation_columns, 0 ) ),
     _xlpm.compound_frequency, CaseData!$E$13,
     _xlpm.quarterly_operating_flag,_xlfn.ANCHORARRAY( Time!$J$18),
     _xlpm.yearly_operating_flag,_xlfn.ANCHORARRAY( Time!$J$19),
     _xlpm.active_operating_flag, IF( _xlpm.compound_frequency = "Annual", _xlpm.yearly_operating_flag, _xlpm.quarterly_operating_flag ),
     _xlpm.periodic_rate, IF( _xlpm.compound_frequency = "Annual", 1 + _xlpm.index, (1 + _xlpm.index ) ^ (1 / 4 ) ),
     _xlpm.indexation_count, _xlfn.SCAN( 0, _xlpm.active_operating_flag, _xlfn.LAMBDA(_xlpm.s,_xlpm.c, _xlpm.s + _xlpm.c ) ),
     _xlpm.base_price, CaseData!$H$55,
     _xlpm.base_price * _xlpm.periodic_rate ^ _xlpm.indexation_count )</f>
        <v>35</v>
      </c>
      <c r="K31" s="132">
        <v>35</v>
      </c>
      <c r="L31" s="132">
        <v>35</v>
      </c>
      <c r="M31" s="132">
        <v>35</v>
      </c>
      <c r="N31" s="132">
        <v>35.700000000000003</v>
      </c>
      <c r="O31" s="132">
        <v>35.700000000000003</v>
      </c>
      <c r="P31" s="132">
        <v>35.700000000000003</v>
      </c>
      <c r="Q31" s="132">
        <v>35.700000000000003</v>
      </c>
      <c r="R31" s="132">
        <v>36.414000000000001</v>
      </c>
      <c r="S31" s="132">
        <v>36.414000000000001</v>
      </c>
      <c r="T31" s="132">
        <v>36.414000000000001</v>
      </c>
      <c r="U31" s="132">
        <v>36.414000000000001</v>
      </c>
      <c r="V31" s="132">
        <v>37.14228</v>
      </c>
      <c r="W31" s="132">
        <v>37.14228</v>
      </c>
      <c r="X31" s="132">
        <v>37.14228</v>
      </c>
      <c r="Y31" s="132">
        <v>37.14228</v>
      </c>
      <c r="Z31" s="132">
        <v>37.885125600000002</v>
      </c>
      <c r="AA31" s="132">
        <v>37.885125600000002</v>
      </c>
      <c r="AB31" s="132">
        <v>37.885125600000002</v>
      </c>
      <c r="AC31" s="132">
        <v>37.885125600000002</v>
      </c>
      <c r="AD31" s="132">
        <v>38.642828112000004</v>
      </c>
      <c r="AE31" s="132">
        <v>38.642828112000004</v>
      </c>
      <c r="AF31" s="132">
        <v>38.642828112000004</v>
      </c>
      <c r="AG31" s="132">
        <v>38.642828112000004</v>
      </c>
      <c r="AH31" s="132">
        <v>39.415684674240005</v>
      </c>
      <c r="AI31" s="132">
        <v>39.415684674240005</v>
      </c>
      <c r="AJ31" s="132">
        <v>39.415684674240005</v>
      </c>
      <c r="AK31" s="132">
        <v>39.415684674240005</v>
      </c>
      <c r="AL31" s="132">
        <v>40.203998367724793</v>
      </c>
      <c r="AM31" s="132">
        <v>40.203998367724793</v>
      </c>
      <c r="AN31" s="132">
        <v>40.203998367724793</v>
      </c>
      <c r="AO31" s="132">
        <v>40.203998367724793</v>
      </c>
      <c r="AP31" s="132">
        <v>41.00807833507929</v>
      </c>
      <c r="AQ31" s="132">
        <v>41.00807833507929</v>
      </c>
      <c r="AR31" s="132">
        <v>41.00807833507929</v>
      </c>
      <c r="AS31" s="132">
        <v>41.00807833507929</v>
      </c>
      <c r="AT31" s="132">
        <v>41.828239901780876</v>
      </c>
      <c r="AU31" s="132">
        <v>41.828239901780876</v>
      </c>
      <c r="AV31" s="132">
        <v>41.828239901780876</v>
      </c>
      <c r="AW31" s="132">
        <v>41.828239901780876</v>
      </c>
      <c r="AX31" s="132">
        <v>42.6648046998165</v>
      </c>
      <c r="AY31" s="132">
        <v>42.6648046998165</v>
      </c>
      <c r="AZ31" s="132">
        <v>42.6648046998165</v>
      </c>
      <c r="BA31" s="132">
        <v>42.6648046998165</v>
      </c>
      <c r="BB31" s="132">
        <v>43.51810079381282</v>
      </c>
      <c r="BC31" s="132">
        <v>43.51810079381282</v>
      </c>
      <c r="BD31" s="132">
        <v>43.51810079381282</v>
      </c>
      <c r="BE31" s="132">
        <v>43.51810079381282</v>
      </c>
      <c r="BF31" s="132">
        <v>44.388462809689088</v>
      </c>
      <c r="BG31" s="132">
        <v>44.388462809689088</v>
      </c>
      <c r="BH31" s="132">
        <v>44.388462809689088</v>
      </c>
      <c r="BI31" s="132">
        <v>44.388462809689088</v>
      </c>
      <c r="BJ31" s="132">
        <v>45.276232065882866</v>
      </c>
      <c r="BK31" s="132">
        <v>45.276232065882866</v>
      </c>
      <c r="BL31" s="132">
        <v>45.276232065882866</v>
      </c>
      <c r="BM31" s="132">
        <v>45.276232065882866</v>
      </c>
      <c r="BN31" s="132">
        <v>46.181756707200528</v>
      </c>
      <c r="BO31" s="132">
        <v>46.181756707200528</v>
      </c>
      <c r="BP31" s="132">
        <v>46.181756707200528</v>
      </c>
      <c r="BQ31" s="132">
        <v>46.181756707200528</v>
      </c>
    </row>
    <row r="32" spans="1:69">
      <c r="E32" s="121" t="s">
        <v>173</v>
      </c>
      <c r="G32" s="121" t="s">
        <v>172</v>
      </c>
      <c r="J32" s="134" cm="1">
        <f t="array" ref="J32:BQ32">_xlfn.LET(
     _xlpm.indexation_table, CaseData!$H$12:$J$13,
     _xlpm.indexation_rows, CaseData!$D$12:$D$13,
     _xlpm.indexation_columns, CaseData!$H$10:$J$10,
     _xlpm.current_scenario, INDEX( expense_scenarios, expense_selector ),
     _xlpm.current_item, $B$28,
     _xlpm.index, INDEX( _xlpm.indexation_table, MATCH( _xlpm.current_item, _xlpm.indexation_rows, 0 ), MATCH( _xlpm.current_scenario, _xlpm.indexation_columns, 0 ) ),
     _xlpm.compound_frequency, CaseData!$E$13,
     _xlpm.quarterly_operating_flag,_xlfn.ANCHORARRAY( Time!$J$18),
     _xlpm.yearly_operating_flag,_xlfn.ANCHORARRAY( Time!$J$19),
     _xlpm.active_operating_flag, IF( _xlpm.compound_frequency = "Annual", _xlpm.yearly_operating_flag, _xlpm.quarterly_operating_flag ),
     _xlpm.periodic_rate, IF( _xlpm.compound_frequency = "Annual", 1 + _xlpm.index, (1 + _xlpm.index ) ^ (1 / 4 ) ),
     _xlpm.indexation_count, _xlfn.SCAN( 0, _xlpm.active_operating_flag, _xlfn.LAMBDA(_xlpm.s,_xlpm.c, _xlpm.s + _xlpm.c ) ),
     _xlpm.base_price, CaseData!$H$59,
     _xlpm.fx_rate,_xlfn.ANCHORARRAY( J29),
     ( _xlpm.base_price  / _xlpm.fx_rate ) * _xlpm.periodic_rate ^ _xlpm.indexation_count )</f>
        <v>41.025641025641029</v>
      </c>
      <c r="K32" s="134">
        <v>41.025641025641029</v>
      </c>
      <c r="L32" s="134">
        <v>41.025641025641029</v>
      </c>
      <c r="M32" s="134">
        <v>41.025641025641029</v>
      </c>
      <c r="N32" s="134">
        <v>40.617222498755602</v>
      </c>
      <c r="O32" s="134">
        <v>40.617222498755602</v>
      </c>
      <c r="P32" s="134">
        <v>40.617222498755602</v>
      </c>
      <c r="Q32" s="134">
        <v>40.617222498755602</v>
      </c>
      <c r="R32" s="134">
        <v>40.228129531174474</v>
      </c>
      <c r="S32" s="134">
        <v>40.228129531174474</v>
      </c>
      <c r="T32" s="134">
        <v>40.228129531174474</v>
      </c>
      <c r="U32" s="134">
        <v>40.228129531174474</v>
      </c>
      <c r="V32" s="134">
        <v>39.838873768183952</v>
      </c>
      <c r="W32" s="134">
        <v>39.838873768183952</v>
      </c>
      <c r="X32" s="134">
        <v>39.838873768183952</v>
      </c>
      <c r="Y32" s="134">
        <v>39.838873768183952</v>
      </c>
      <c r="Z32" s="134">
        <v>39.450830432801823</v>
      </c>
      <c r="AA32" s="134">
        <v>39.450830432801823</v>
      </c>
      <c r="AB32" s="134">
        <v>39.450830432801823</v>
      </c>
      <c r="AC32" s="134">
        <v>39.450830432801823</v>
      </c>
      <c r="AD32" s="134">
        <v>39.065220812030077</v>
      </c>
      <c r="AE32" s="134">
        <v>39.065220812030077</v>
      </c>
      <c r="AF32" s="134">
        <v>39.065220812030077</v>
      </c>
      <c r="AG32" s="134">
        <v>39.065220812030077</v>
      </c>
      <c r="AH32" s="134">
        <v>38.68312303182482</v>
      </c>
      <c r="AI32" s="134">
        <v>38.68312303182482</v>
      </c>
      <c r="AJ32" s="134">
        <v>38.68312303182482</v>
      </c>
      <c r="AK32" s="134">
        <v>38.68312303182482</v>
      </c>
      <c r="AL32" s="134">
        <v>38.305482872839683</v>
      </c>
      <c r="AM32" s="134">
        <v>38.305482872839683</v>
      </c>
      <c r="AN32" s="134">
        <v>38.305482872839683</v>
      </c>
      <c r="AO32" s="134">
        <v>38.305482872839683</v>
      </c>
      <c r="AP32" s="134">
        <v>37.933124435524583</v>
      </c>
      <c r="AQ32" s="134">
        <v>37.933124435524583</v>
      </c>
      <c r="AR32" s="134">
        <v>37.933124435524583</v>
      </c>
      <c r="AS32" s="134">
        <v>37.933124435524583</v>
      </c>
      <c r="AT32" s="134">
        <v>37.566760506791695</v>
      </c>
      <c r="AU32" s="134">
        <v>37.566760506791695</v>
      </c>
      <c r="AV32" s="134">
        <v>37.566760506791695</v>
      </c>
      <c r="AW32" s="134">
        <v>37.566760506791695</v>
      </c>
      <c r="AX32" s="134">
        <v>37.20700251796282</v>
      </c>
      <c r="AY32" s="134">
        <v>37.20700251796282</v>
      </c>
      <c r="AZ32" s="134">
        <v>37.20700251796282</v>
      </c>
      <c r="BA32" s="134">
        <v>37.20700251796282</v>
      </c>
      <c r="BB32" s="134">
        <v>36.840720248730427</v>
      </c>
      <c r="BC32" s="134">
        <v>36.840720248730427</v>
      </c>
      <c r="BD32" s="134">
        <v>36.840720248730427</v>
      </c>
      <c r="BE32" s="134">
        <v>36.840720248730427</v>
      </c>
      <c r="BF32" s="134">
        <v>36.483043353111697</v>
      </c>
      <c r="BG32" s="134">
        <v>36.483043353111697</v>
      </c>
      <c r="BH32" s="132">
        <v>36.483043353111697</v>
      </c>
      <c r="BI32" s="134">
        <v>36.483043353111697</v>
      </c>
      <c r="BJ32" s="134">
        <v>36.134263420497099</v>
      </c>
      <c r="BK32" s="134">
        <v>36.134263420497099</v>
      </c>
      <c r="BL32" s="134">
        <v>36.134263420497099</v>
      </c>
      <c r="BM32" s="134">
        <v>36.134263420497099</v>
      </c>
      <c r="BN32" s="134">
        <v>35.782474930518568</v>
      </c>
      <c r="BO32" s="134">
        <v>35.782474930518568</v>
      </c>
      <c r="BP32" s="134">
        <v>35.782474930518568</v>
      </c>
      <c r="BQ32" s="134">
        <v>35.782474930518568</v>
      </c>
    </row>
    <row r="34" spans="1:69">
      <c r="B34" s="130" t="s">
        <v>185</v>
      </c>
    </row>
    <row r="35" spans="1:69">
      <c r="E35" s="121" t="s">
        <v>178</v>
      </c>
      <c r="G35" s="121" t="s">
        <v>159</v>
      </c>
      <c r="J35" s="136" cm="1">
        <f t="array" ref="J35:BQ36" xml:space="preserve"> _xlfn.LET(
      _xlpm.demand,_xlfn.ANCHORARRAY( J26),
      _xlpm.supplier1_price,_xlfn.ANCHORARRAY( J31),
      _xlpm.supplier2_price,_xlfn.ANCHORARRAY( J32),
      _xlpm.supplier1_capacity, CaseData!$H$56,
      _xlpm.supplier2_capacity, CaseData!$H$60,
      _xlpm.supply, IF( _xlpm.supplier1_price &lt;= _xlpm.supplier2_price,
                  IF( _xlpm.demand &lt;= _xlpm.supplier1_capacity,
                      _xlpm.demand, _xlpm.supplier1_capacity ),
                  _xlpm.demand - IF( _xlpm.demand &lt;= _xlpm.supplier2_capacity,
                      _xlpm.demand, _xlpm.supplier2_capacity ) ),
      _xlpm.overflow, _xlpm.demand - _xlpm.supply,
      _xlfn.VSTACK( _xlpm.supply, _xlpm.overflow ) )</f>
        <v>79500</v>
      </c>
      <c r="K35" s="135">
        <v>84300</v>
      </c>
      <c r="L35" s="135">
        <v>87000</v>
      </c>
      <c r="M35" s="135">
        <v>75600</v>
      </c>
      <c r="N35" s="135">
        <v>81090</v>
      </c>
      <c r="O35" s="135">
        <v>85986</v>
      </c>
      <c r="P35" s="135">
        <v>88740</v>
      </c>
      <c r="Q35" s="135">
        <v>77112</v>
      </c>
      <c r="R35" s="135">
        <v>82711.799999999988</v>
      </c>
      <c r="S35" s="135">
        <v>87705.72</v>
      </c>
      <c r="T35" s="135">
        <v>90000</v>
      </c>
      <c r="U35" s="135">
        <v>78654.239999999991</v>
      </c>
      <c r="V35" s="135">
        <v>84366.035999999993</v>
      </c>
      <c r="W35" s="135">
        <v>89459.834399999992</v>
      </c>
      <c r="X35" s="135">
        <v>90000</v>
      </c>
      <c r="Y35" s="135">
        <v>80227.324800000002</v>
      </c>
      <c r="Z35" s="135">
        <v>86053.356719999996</v>
      </c>
      <c r="AA35" s="135">
        <v>90000</v>
      </c>
      <c r="AB35" s="135">
        <v>90000</v>
      </c>
      <c r="AC35" s="135">
        <v>81831.871295999998</v>
      </c>
      <c r="AD35" s="135">
        <v>87774.423854399996</v>
      </c>
      <c r="AE35" s="135">
        <v>90000</v>
      </c>
      <c r="AF35" s="135">
        <v>90000</v>
      </c>
      <c r="AG35" s="135">
        <v>83468.508721920007</v>
      </c>
      <c r="AH35" s="135">
        <v>19529.912331488013</v>
      </c>
      <c r="AI35" s="135">
        <v>24935.491943955203</v>
      </c>
      <c r="AJ35" s="135">
        <v>27976.130475968006</v>
      </c>
      <c r="AK35" s="135">
        <v>15137.878896358408</v>
      </c>
      <c r="AL35" s="135">
        <v>21320.510578117741</v>
      </c>
      <c r="AM35" s="135">
        <v>26834.20178283428</v>
      </c>
      <c r="AN35" s="135">
        <v>29935.653085487342</v>
      </c>
      <c r="AO35" s="135">
        <v>16840.636474285551</v>
      </c>
      <c r="AP35" s="135">
        <v>23146.920789680109</v>
      </c>
      <c r="AQ35" s="135">
        <v>28770.885818490991</v>
      </c>
      <c r="AR35" s="135">
        <v>31934.366147197099</v>
      </c>
      <c r="AS35" s="135">
        <v>18577.449203771277</v>
      </c>
      <c r="AT35" s="135">
        <v>25009.859205473709</v>
      </c>
      <c r="AU35" s="135">
        <v>30746.303534860795</v>
      </c>
      <c r="AV35" s="135">
        <v>33973.053470141051</v>
      </c>
      <c r="AW35" s="135">
        <v>20348.998187846693</v>
      </c>
      <c r="AX35" s="135">
        <v>26910.056389583187</v>
      </c>
      <c r="AY35" s="135">
        <v>32761.229605558023</v>
      </c>
      <c r="AZ35" s="135">
        <v>36052.514539543859</v>
      </c>
      <c r="BA35" s="135">
        <v>22155.978151603631</v>
      </c>
      <c r="BB35" s="135">
        <v>28848.257517374834</v>
      </c>
      <c r="BC35" s="135">
        <v>34816.454197669154</v>
      </c>
      <c r="BD35" s="135">
        <v>38173.564830334726</v>
      </c>
      <c r="BE35" s="135">
        <v>23999.097714635689</v>
      </c>
      <c r="BF35" s="135">
        <v>30825.222667722352</v>
      </c>
      <c r="BG35" s="135">
        <v>36912.783281622571</v>
      </c>
      <c r="BH35" s="135">
        <v>40337.036126941442</v>
      </c>
      <c r="BI35" s="135">
        <v>25879.079668928418</v>
      </c>
      <c r="BJ35" s="135">
        <v>32841.727121076779</v>
      </c>
      <c r="BK35" s="135">
        <v>39051.038947255001</v>
      </c>
      <c r="BL35" s="135">
        <v>42543.776849480259</v>
      </c>
      <c r="BM35" s="135">
        <v>27796.661262306981</v>
      </c>
      <c r="BN35" s="135">
        <v>34898.561663498331</v>
      </c>
      <c r="BO35" s="135">
        <v>41232.059726200125</v>
      </c>
      <c r="BP35" s="135">
        <v>44794.652386469883</v>
      </c>
      <c r="BQ35" s="135">
        <v>29752.594487553142</v>
      </c>
    </row>
    <row r="36" spans="1:69">
      <c r="E36" s="121" t="s">
        <v>179</v>
      </c>
      <c r="G36" s="121" t="s">
        <v>159</v>
      </c>
      <c r="J36" s="135">
        <v>0</v>
      </c>
      <c r="K36" s="135">
        <v>0</v>
      </c>
      <c r="L36" s="135">
        <v>0</v>
      </c>
      <c r="M36" s="135">
        <v>0</v>
      </c>
      <c r="N36" s="135">
        <v>0</v>
      </c>
      <c r="O36" s="135">
        <v>0</v>
      </c>
      <c r="P36" s="135">
        <v>0</v>
      </c>
      <c r="Q36" s="135">
        <v>0</v>
      </c>
      <c r="R36" s="135">
        <v>0</v>
      </c>
      <c r="S36" s="135">
        <v>0</v>
      </c>
      <c r="T36" s="135">
        <v>514.79999999998836</v>
      </c>
      <c r="U36" s="135">
        <v>0</v>
      </c>
      <c r="V36" s="135">
        <v>0</v>
      </c>
      <c r="W36" s="135">
        <v>0</v>
      </c>
      <c r="X36" s="135">
        <v>2325.0959999999905</v>
      </c>
      <c r="Y36" s="135">
        <v>0</v>
      </c>
      <c r="Z36" s="135">
        <v>0</v>
      </c>
      <c r="AA36" s="135">
        <v>1249.0310880000034</v>
      </c>
      <c r="AB36" s="135">
        <v>4171.5979200000002</v>
      </c>
      <c r="AC36" s="135">
        <v>0</v>
      </c>
      <c r="AD36" s="135">
        <v>0</v>
      </c>
      <c r="AE36" s="135">
        <v>3074.0117097600014</v>
      </c>
      <c r="AF36" s="135">
        <v>6055.0298784000042</v>
      </c>
      <c r="AG36" s="135">
        <v>0</v>
      </c>
      <c r="AH36" s="135">
        <v>70000</v>
      </c>
      <c r="AI36" s="135">
        <v>70000</v>
      </c>
      <c r="AJ36" s="135">
        <v>70000</v>
      </c>
      <c r="AK36" s="135">
        <v>70000</v>
      </c>
      <c r="AL36" s="135">
        <v>70000</v>
      </c>
      <c r="AM36" s="135">
        <v>70000</v>
      </c>
      <c r="AN36" s="135">
        <v>70000</v>
      </c>
      <c r="AO36" s="135">
        <v>70000</v>
      </c>
      <c r="AP36" s="135">
        <v>70000</v>
      </c>
      <c r="AQ36" s="135">
        <v>70000</v>
      </c>
      <c r="AR36" s="135">
        <v>70000</v>
      </c>
      <c r="AS36" s="135">
        <v>70000</v>
      </c>
      <c r="AT36" s="135">
        <v>70000</v>
      </c>
      <c r="AU36" s="135">
        <v>70000</v>
      </c>
      <c r="AV36" s="135">
        <v>70000</v>
      </c>
      <c r="AW36" s="135">
        <v>70000</v>
      </c>
      <c r="AX36" s="135">
        <v>70000</v>
      </c>
      <c r="AY36" s="135">
        <v>70000</v>
      </c>
      <c r="AZ36" s="135">
        <v>70000</v>
      </c>
      <c r="BA36" s="135">
        <v>70000</v>
      </c>
      <c r="BB36" s="135">
        <v>70000</v>
      </c>
      <c r="BC36" s="135">
        <v>70000</v>
      </c>
      <c r="BD36" s="135">
        <v>70000</v>
      </c>
      <c r="BE36" s="135">
        <v>70000</v>
      </c>
      <c r="BF36" s="135">
        <v>70000</v>
      </c>
      <c r="BG36" s="135">
        <v>70000</v>
      </c>
      <c r="BH36" s="135">
        <v>70000</v>
      </c>
      <c r="BI36" s="135">
        <v>70000</v>
      </c>
      <c r="BJ36" s="135">
        <v>70000</v>
      </c>
      <c r="BK36" s="135">
        <v>70000</v>
      </c>
      <c r="BL36" s="135">
        <v>70000</v>
      </c>
      <c r="BM36" s="135">
        <v>70000</v>
      </c>
      <c r="BN36" s="135">
        <v>70000</v>
      </c>
      <c r="BO36" s="135">
        <v>70000</v>
      </c>
      <c r="BP36" s="135">
        <v>70000</v>
      </c>
      <c r="BQ36" s="135">
        <v>70000</v>
      </c>
    </row>
    <row r="37" spans="1:69"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  <c r="BQ37" s="136"/>
    </row>
    <row r="38" spans="1:69">
      <c r="B38" s="130" t="s">
        <v>180</v>
      </c>
      <c r="J38" s="121" t="s">
        <v>181</v>
      </c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  <c r="BP38" s="136"/>
      <c r="BQ38" s="136"/>
    </row>
    <row r="39" spans="1:69">
      <c r="E39" s="121" t="s">
        <v>178</v>
      </c>
      <c r="G39" s="121" t="s">
        <v>172</v>
      </c>
      <c r="H39" s="121" cm="1">
        <f t="array" ref="H39:H40">_xlfn.BYROW(_xlfn.ANCHORARRAY( J39), _xleta.SUM )</f>
        <v>121111423.96295783</v>
      </c>
      <c r="J39" s="121" cm="1">
        <f t="array" ref="J39:BQ40" xml:space="preserve"> _xlfn.LET(
      _xlpm.prices, _xlfn.VSTACK(_xlfn.ANCHORARRAY( J31),_xlfn.ANCHORARRAY( J32) ),
      _xlpm.supply,_xlfn.ANCHORARRAY( J35),
      _xlpm.prices * _xlpm.supply )</f>
        <v>2782500</v>
      </c>
      <c r="K39" s="121">
        <v>2950500</v>
      </c>
      <c r="L39" s="121">
        <v>3045000</v>
      </c>
      <c r="M39" s="121">
        <v>2646000</v>
      </c>
      <c r="N39" s="121">
        <v>2894913</v>
      </c>
      <c r="O39" s="121">
        <v>3069700.2</v>
      </c>
      <c r="P39" s="121">
        <v>3168018.0000000005</v>
      </c>
      <c r="Q39" s="121">
        <v>2752898.4000000004</v>
      </c>
      <c r="R39" s="121">
        <v>3011867.4851999995</v>
      </c>
      <c r="S39" s="121">
        <v>3193716.0880800001</v>
      </c>
      <c r="T39" s="121">
        <v>3277260</v>
      </c>
      <c r="U39" s="121">
        <v>2864115.4953599996</v>
      </c>
      <c r="V39" s="121">
        <v>3133546.9316020799</v>
      </c>
      <c r="W39" s="121">
        <v>3322742.2180384318</v>
      </c>
      <c r="X39" s="121">
        <v>3342805.2</v>
      </c>
      <c r="Y39" s="121">
        <v>2979825.7613725439</v>
      </c>
      <c r="Z39" s="121">
        <v>3260142.2276388039</v>
      </c>
      <c r="AA39" s="121">
        <v>3409661.304</v>
      </c>
      <c r="AB39" s="121">
        <v>3409661.304</v>
      </c>
      <c r="AC39" s="121">
        <v>3100210.722131995</v>
      </c>
      <c r="AD39" s="121">
        <v>3391851.9736354118</v>
      </c>
      <c r="AE39" s="121">
        <v>3477854.5300800004</v>
      </c>
      <c r="AF39" s="121">
        <v>3477854.5300800004</v>
      </c>
      <c r="AG39" s="121">
        <v>3225459.2353061279</v>
      </c>
      <c r="AH39" s="121">
        <v>769784.86617348297</v>
      </c>
      <c r="AI39" s="121">
        <v>982849.48765999021</v>
      </c>
      <c r="AJ39" s="121">
        <v>1102698.3372461509</v>
      </c>
      <c r="AK39" s="121">
        <v>596669.86121569527</v>
      </c>
      <c r="AL39" s="121">
        <v>857169.77248170483</v>
      </c>
      <c r="AM39" s="121">
        <v>1078842.2046762672</v>
      </c>
      <c r="AN39" s="121">
        <v>1203532.9477857088</v>
      </c>
      <c r="AO39" s="121">
        <v>677060.92132362293</v>
      </c>
      <c r="AP39" s="121">
        <v>949210.74095907726</v>
      </c>
      <c r="AQ39" s="121">
        <v>1179838.7394143003</v>
      </c>
      <c r="AR39" s="121">
        <v>1309566.9885453628</v>
      </c>
      <c r="AS39" s="121">
        <v>761825.49221420893</v>
      </c>
      <c r="AT39" s="121">
        <v>1046118.3907563172</v>
      </c>
      <c r="AU39" s="121">
        <v>1286063.7603491307</v>
      </c>
      <c r="AV39" s="121">
        <v>1421033.0307450891</v>
      </c>
      <c r="AW39" s="121">
        <v>851162.77796215576</v>
      </c>
      <c r="AX39" s="121">
        <v>1148112.3003226158</v>
      </c>
      <c r="AY39" s="121">
        <v>1397751.4628469795</v>
      </c>
      <c r="AZ39" s="121">
        <v>1538173.4917669336</v>
      </c>
      <c r="BA39" s="121">
        <v>945280.48077157023</v>
      </c>
      <c r="BB39" s="121">
        <v>1255421.3783669865</v>
      </c>
      <c r="BC39" s="121">
        <v>1515145.9630573338</v>
      </c>
      <c r="BD39" s="121">
        <v>1661241.0419456549</v>
      </c>
      <c r="BE39" s="121">
        <v>1044395.1533060789</v>
      </c>
      <c r="BF39" s="121">
        <v>1368284.2499865787</v>
      </c>
      <c r="BG39" s="121">
        <v>1638501.7078984166</v>
      </c>
      <c r="BH39" s="121">
        <v>1790499.0279738253</v>
      </c>
      <c r="BI39" s="121">
        <v>1148732.56543321</v>
      </c>
      <c r="BJ39" s="121">
        <v>1486949.6585782715</v>
      </c>
      <c r="BK39" s="121">
        <v>1768083.9017897476</v>
      </c>
      <c r="BL39" s="121">
        <v>1926221.9135962031</v>
      </c>
      <c r="BM39" s="121">
        <v>1258528.0859689475</v>
      </c>
      <c r="BN39" s="121">
        <v>1611676.8841749153</v>
      </c>
      <c r="BO39" s="121">
        <v>1904168.9508121354</v>
      </c>
      <c r="BP39" s="121">
        <v>2068695.7382955716</v>
      </c>
      <c r="BQ39" s="121">
        <v>1374027.0800321747</v>
      </c>
    </row>
    <row r="40" spans="1:69">
      <c r="E40" s="121" t="s">
        <v>179</v>
      </c>
      <c r="G40" s="121" t="s">
        <v>172</v>
      </c>
      <c r="H40" s="121">
        <v>94465893.677387387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0</v>
      </c>
      <c r="T40" s="121">
        <v>20709.441082648151</v>
      </c>
      <c r="U40" s="121">
        <v>0</v>
      </c>
      <c r="V40" s="121">
        <v>0</v>
      </c>
      <c r="W40" s="121">
        <v>0</v>
      </c>
      <c r="X40" s="121">
        <v>92629.206042909049</v>
      </c>
      <c r="Y40" s="121">
        <v>0</v>
      </c>
      <c r="Z40" s="121">
        <v>0</v>
      </c>
      <c r="AA40" s="121">
        <v>49275.313657986102</v>
      </c>
      <c r="AB40" s="121">
        <v>164573.00217574878</v>
      </c>
      <c r="AC40" s="121">
        <v>0</v>
      </c>
      <c r="AD40" s="121">
        <v>0</v>
      </c>
      <c r="AE40" s="121">
        <v>120086.94622054057</v>
      </c>
      <c r="AF40" s="121">
        <v>236541.07922313581</v>
      </c>
      <c r="AG40" s="121">
        <v>0</v>
      </c>
      <c r="AH40" s="121">
        <v>2707818.6122277374</v>
      </c>
      <c r="AI40" s="121">
        <v>2707818.6122277374</v>
      </c>
      <c r="AJ40" s="121">
        <v>2707818.6122277374</v>
      </c>
      <c r="AK40" s="121">
        <v>2707818.6122277374</v>
      </c>
      <c r="AL40" s="121">
        <v>2681383.8010987779</v>
      </c>
      <c r="AM40" s="121">
        <v>2681383.8010987779</v>
      </c>
      <c r="AN40" s="121">
        <v>2681383.8010987779</v>
      </c>
      <c r="AO40" s="121">
        <v>2681383.8010987779</v>
      </c>
      <c r="AP40" s="121">
        <v>2655318.7104867208</v>
      </c>
      <c r="AQ40" s="121">
        <v>2655318.7104867208</v>
      </c>
      <c r="AR40" s="121">
        <v>2655318.7104867208</v>
      </c>
      <c r="AS40" s="121">
        <v>2655318.7104867208</v>
      </c>
      <c r="AT40" s="121">
        <v>2629673.2354754186</v>
      </c>
      <c r="AU40" s="121">
        <v>2629673.2354754186</v>
      </c>
      <c r="AV40" s="121">
        <v>2629673.2354754186</v>
      </c>
      <c r="AW40" s="121">
        <v>2629673.2354754186</v>
      </c>
      <c r="AX40" s="121">
        <v>2604490.1762573975</v>
      </c>
      <c r="AY40" s="121">
        <v>2604490.1762573975</v>
      </c>
      <c r="AZ40" s="121">
        <v>2604490.1762573975</v>
      </c>
      <c r="BA40" s="121">
        <v>2604490.1762573975</v>
      </c>
      <c r="BB40" s="121">
        <v>2578850.4174111299</v>
      </c>
      <c r="BC40" s="121">
        <v>2578850.4174111299</v>
      </c>
      <c r="BD40" s="121">
        <v>2578850.4174111299</v>
      </c>
      <c r="BE40" s="121">
        <v>2578850.4174111299</v>
      </c>
      <c r="BF40" s="121">
        <v>2553813.0347178187</v>
      </c>
      <c r="BG40" s="121">
        <v>2553813.0347178187</v>
      </c>
      <c r="BH40" s="121">
        <v>2553813.0347178187</v>
      </c>
      <c r="BI40" s="121">
        <v>2553813.0347178187</v>
      </c>
      <c r="BJ40" s="121">
        <v>2529398.439434797</v>
      </c>
      <c r="BK40" s="121">
        <v>2529398.439434797</v>
      </c>
      <c r="BL40" s="121">
        <v>2529398.439434797</v>
      </c>
      <c r="BM40" s="121">
        <v>2529398.439434797</v>
      </c>
      <c r="BN40" s="121">
        <v>2504773.2451362996</v>
      </c>
      <c r="BO40" s="121">
        <v>2504773.2451362996</v>
      </c>
      <c r="BP40" s="121">
        <v>2504773.2451362996</v>
      </c>
      <c r="BQ40" s="121">
        <v>2504773.2451362996</v>
      </c>
    </row>
    <row r="41" spans="1:69">
      <c r="E41" s="138" t="s">
        <v>183</v>
      </c>
      <c r="F41" s="138"/>
      <c r="G41" s="138" t="s">
        <v>172</v>
      </c>
      <c r="H41" s="138" cm="1">
        <f t="array" ref="H41">_xlfn.BYROW(_xlfn.ANCHORARRAY( J41), _xleta.SUM )</f>
        <v>215577317.64034516</v>
      </c>
      <c r="I41" s="138"/>
      <c r="J41" s="138" cm="1">
        <f t="array" ref="J41:BQ41" xml:space="preserve"> _xlfn.BYCOL(_xlfn.ANCHORARRAY( J39), _xleta.SUM )</f>
        <v>2782500</v>
      </c>
      <c r="K41" s="138">
        <v>2950500</v>
      </c>
      <c r="L41" s="138">
        <v>3045000</v>
      </c>
      <c r="M41" s="138">
        <v>2646000</v>
      </c>
      <c r="N41" s="138">
        <v>2894913</v>
      </c>
      <c r="O41" s="138">
        <v>3069700.2</v>
      </c>
      <c r="P41" s="138">
        <v>3168018.0000000005</v>
      </c>
      <c r="Q41" s="138">
        <v>2752898.4000000004</v>
      </c>
      <c r="R41" s="138">
        <v>3011867.4851999995</v>
      </c>
      <c r="S41" s="138">
        <v>3193716.0880800001</v>
      </c>
      <c r="T41" s="138">
        <v>3297969.441082648</v>
      </c>
      <c r="U41" s="138">
        <v>2864115.4953599996</v>
      </c>
      <c r="V41" s="138">
        <v>3133546.9316020799</v>
      </c>
      <c r="W41" s="138">
        <v>3322742.2180384318</v>
      </c>
      <c r="X41" s="138">
        <v>3435434.4060429092</v>
      </c>
      <c r="Y41" s="138">
        <v>2979825.7613725439</v>
      </c>
      <c r="Z41" s="138">
        <v>3260142.2276388039</v>
      </c>
      <c r="AA41" s="138">
        <v>3458936.617657986</v>
      </c>
      <c r="AB41" s="138">
        <v>3574234.3061757488</v>
      </c>
      <c r="AC41" s="138">
        <v>3100210.722131995</v>
      </c>
      <c r="AD41" s="138">
        <v>3391851.9736354118</v>
      </c>
      <c r="AE41" s="138">
        <v>3597941.4763005408</v>
      </c>
      <c r="AF41" s="138">
        <v>3714395.6093031364</v>
      </c>
      <c r="AG41" s="138">
        <v>3225459.2353061279</v>
      </c>
      <c r="AH41" s="138">
        <v>3477603.4784012204</v>
      </c>
      <c r="AI41" s="138">
        <v>3690668.0998877278</v>
      </c>
      <c r="AJ41" s="138">
        <v>3810516.9494738886</v>
      </c>
      <c r="AK41" s="138">
        <v>3304488.4734434327</v>
      </c>
      <c r="AL41" s="138">
        <v>3538553.573580483</v>
      </c>
      <c r="AM41" s="138">
        <v>3760226.0057750451</v>
      </c>
      <c r="AN41" s="138">
        <v>3884916.748884487</v>
      </c>
      <c r="AO41" s="138">
        <v>3358444.722422401</v>
      </c>
      <c r="AP41" s="138">
        <v>3604529.4514457979</v>
      </c>
      <c r="AQ41" s="138">
        <v>3835157.4499010211</v>
      </c>
      <c r="AR41" s="138">
        <v>3964885.6990320836</v>
      </c>
      <c r="AS41" s="138">
        <v>3417144.2027009297</v>
      </c>
      <c r="AT41" s="138">
        <v>3675791.6262317356</v>
      </c>
      <c r="AU41" s="138">
        <v>3915736.9958245493</v>
      </c>
      <c r="AV41" s="138">
        <v>4050706.2662205077</v>
      </c>
      <c r="AW41" s="138">
        <v>3480836.0134375743</v>
      </c>
      <c r="AX41" s="138">
        <v>3752602.4765800135</v>
      </c>
      <c r="AY41" s="138">
        <v>4002241.639104377</v>
      </c>
      <c r="AZ41" s="138">
        <v>4142663.6680243313</v>
      </c>
      <c r="BA41" s="138">
        <v>3549770.6570289675</v>
      </c>
      <c r="BB41" s="138">
        <v>3834271.7957781162</v>
      </c>
      <c r="BC41" s="138">
        <v>4093996.3804684635</v>
      </c>
      <c r="BD41" s="138">
        <v>4240091.4593567848</v>
      </c>
      <c r="BE41" s="138">
        <v>3623245.570717209</v>
      </c>
      <c r="BF41" s="138">
        <v>3922097.2847043974</v>
      </c>
      <c r="BG41" s="138">
        <v>4192314.7426162353</v>
      </c>
      <c r="BH41" s="138">
        <v>4344312.0626916438</v>
      </c>
      <c r="BI41" s="138">
        <v>3702545.6001510285</v>
      </c>
      <c r="BJ41" s="138">
        <v>4016348.0980130685</v>
      </c>
      <c r="BK41" s="138">
        <v>4297482.3412245447</v>
      </c>
      <c r="BL41" s="138">
        <v>4455620.3530310001</v>
      </c>
      <c r="BM41" s="138">
        <v>3787926.5254037445</v>
      </c>
      <c r="BN41" s="138">
        <v>4116450.1293112151</v>
      </c>
      <c r="BO41" s="138">
        <v>4408942.195948435</v>
      </c>
      <c r="BP41" s="138">
        <v>4573468.983431871</v>
      </c>
      <c r="BQ41" s="138">
        <v>3878800.3251684746</v>
      </c>
    </row>
    <row r="42" spans="1:69"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</row>
    <row r="44" spans="1:69" s="122" customFormat="1">
      <c r="A44" s="128" t="s">
        <v>184</v>
      </c>
    </row>
    <row r="46" spans="1:69">
      <c r="B46" s="130" t="s">
        <v>190</v>
      </c>
    </row>
    <row r="47" spans="1:69">
      <c r="E47" s="121" t="s">
        <v>186</v>
      </c>
      <c r="G47" s="121" t="s">
        <v>156</v>
      </c>
      <c r="H47" s="121" cm="1">
        <f t="array" ref="H47:H50">_xlfn.BYROW(_xlfn.ANCHORARRAY( J47), _xleta.SUM )</f>
        <v>1500000</v>
      </c>
      <c r="J47" s="121" cm="1">
        <f t="array" ref="J47:BQ50" xml:space="preserve"> _xlfn.LET(
      _xlpm.unit_sales,_xlfn.ANCHORARRAY( J14),
      _xlpm.upper, CaseData!$I$66:$I$69,
      _xlpm.lower, _xlfn.VSTACK( 0, CaseData!$I$66:$I$68 ),
      _xlpm.capped, IF( _xlpm.unit_sales &lt; _xlpm.upper, _xlpm.unit_sales, _xlpm.upper ),
      _xlpm.width, _xlpm.capped - _xlpm.lower,
      IF( _xlpm.width &gt; 0, _xlpm.width, 0 ) )</f>
        <v>25000</v>
      </c>
      <c r="K47" s="121">
        <v>25000</v>
      </c>
      <c r="L47" s="121">
        <v>25000</v>
      </c>
      <c r="M47" s="121">
        <v>25000</v>
      </c>
      <c r="N47" s="121">
        <v>25000</v>
      </c>
      <c r="O47" s="121">
        <v>25000</v>
      </c>
      <c r="P47" s="121">
        <v>25000</v>
      </c>
      <c r="Q47" s="121">
        <v>25000</v>
      </c>
      <c r="R47" s="121">
        <v>25000</v>
      </c>
      <c r="S47" s="121">
        <v>25000</v>
      </c>
      <c r="T47" s="121">
        <v>25000</v>
      </c>
      <c r="U47" s="121">
        <v>25000</v>
      </c>
      <c r="V47" s="121">
        <v>25000</v>
      </c>
      <c r="W47" s="121">
        <v>25000</v>
      </c>
      <c r="X47" s="121">
        <v>25000</v>
      </c>
      <c r="Y47" s="121">
        <v>25000</v>
      </c>
      <c r="Z47" s="121">
        <v>25000</v>
      </c>
      <c r="AA47" s="121">
        <v>25000</v>
      </c>
      <c r="AB47" s="121">
        <v>25000</v>
      </c>
      <c r="AC47" s="121">
        <v>25000</v>
      </c>
      <c r="AD47" s="121">
        <v>25000</v>
      </c>
      <c r="AE47" s="121">
        <v>25000</v>
      </c>
      <c r="AF47" s="121">
        <v>25000</v>
      </c>
      <c r="AG47" s="121">
        <v>25000</v>
      </c>
      <c r="AH47" s="121">
        <v>25000</v>
      </c>
      <c r="AI47" s="121">
        <v>25000</v>
      </c>
      <c r="AJ47" s="121">
        <v>25000</v>
      </c>
      <c r="AK47" s="121">
        <v>25000</v>
      </c>
      <c r="AL47" s="121">
        <v>25000</v>
      </c>
      <c r="AM47" s="121">
        <v>25000</v>
      </c>
      <c r="AN47" s="121">
        <v>25000</v>
      </c>
      <c r="AO47" s="121">
        <v>25000</v>
      </c>
      <c r="AP47" s="121">
        <v>25000</v>
      </c>
      <c r="AQ47" s="121">
        <v>25000</v>
      </c>
      <c r="AR47" s="121">
        <v>25000</v>
      </c>
      <c r="AS47" s="121">
        <v>25000</v>
      </c>
      <c r="AT47" s="121">
        <v>25000</v>
      </c>
      <c r="AU47" s="121">
        <v>25000</v>
      </c>
      <c r="AV47" s="121">
        <v>25000</v>
      </c>
      <c r="AW47" s="121">
        <v>25000</v>
      </c>
      <c r="AX47" s="121">
        <v>25000</v>
      </c>
      <c r="AY47" s="121">
        <v>25000</v>
      </c>
      <c r="AZ47" s="121">
        <v>25000</v>
      </c>
      <c r="BA47" s="121">
        <v>25000</v>
      </c>
      <c r="BB47" s="121">
        <v>25000</v>
      </c>
      <c r="BC47" s="121">
        <v>25000</v>
      </c>
      <c r="BD47" s="121">
        <v>25000</v>
      </c>
      <c r="BE47" s="121">
        <v>25000</v>
      </c>
      <c r="BF47" s="121">
        <v>25000</v>
      </c>
      <c r="BG47" s="121">
        <v>25000</v>
      </c>
      <c r="BH47" s="121">
        <v>25000</v>
      </c>
      <c r="BI47" s="121">
        <v>25000</v>
      </c>
      <c r="BJ47" s="121">
        <v>25000</v>
      </c>
      <c r="BK47" s="121">
        <v>25000</v>
      </c>
      <c r="BL47" s="121">
        <v>25000</v>
      </c>
      <c r="BM47" s="121">
        <v>25000</v>
      </c>
      <c r="BN47" s="121">
        <v>25000</v>
      </c>
      <c r="BO47" s="121">
        <v>25000</v>
      </c>
      <c r="BP47" s="121">
        <v>25000</v>
      </c>
      <c r="BQ47" s="121">
        <v>25000</v>
      </c>
    </row>
    <row r="48" spans="1:69">
      <c r="E48" s="121" t="s">
        <v>187</v>
      </c>
      <c r="G48" s="121" t="s">
        <v>156</v>
      </c>
      <c r="H48" s="121">
        <v>257222.33089940774</v>
      </c>
      <c r="J48" s="121">
        <v>1500</v>
      </c>
      <c r="K48" s="121">
        <v>3100</v>
      </c>
      <c r="L48" s="121">
        <v>4000</v>
      </c>
      <c r="M48" s="121">
        <v>200</v>
      </c>
      <c r="N48" s="121">
        <v>2030</v>
      </c>
      <c r="O48" s="121">
        <v>3662</v>
      </c>
      <c r="P48" s="121">
        <v>4580</v>
      </c>
      <c r="Q48" s="121">
        <v>704</v>
      </c>
      <c r="R48" s="121">
        <v>2570.5999999999985</v>
      </c>
      <c r="S48" s="121">
        <v>4235.239999999998</v>
      </c>
      <c r="T48" s="121">
        <v>5000</v>
      </c>
      <c r="U48" s="121">
        <v>1218.0799999999981</v>
      </c>
      <c r="V48" s="121">
        <v>3122.0119999999988</v>
      </c>
      <c r="W48" s="121">
        <v>4819.9447999999975</v>
      </c>
      <c r="X48" s="121">
        <v>5000</v>
      </c>
      <c r="Y48" s="121">
        <v>1742.4415999999983</v>
      </c>
      <c r="Z48" s="121">
        <v>3684.4522399999987</v>
      </c>
      <c r="AA48" s="121">
        <v>5000</v>
      </c>
      <c r="AB48" s="121">
        <v>5000</v>
      </c>
      <c r="AC48" s="121">
        <v>2277.290431999998</v>
      </c>
      <c r="AD48" s="121">
        <v>4258.1412848</v>
      </c>
      <c r="AE48" s="121">
        <v>5000</v>
      </c>
      <c r="AF48" s="121">
        <v>5000</v>
      </c>
      <c r="AG48" s="121">
        <v>2822.8362406400011</v>
      </c>
      <c r="AH48" s="121">
        <v>4843.304110496003</v>
      </c>
      <c r="AI48" s="121">
        <v>5000</v>
      </c>
      <c r="AJ48" s="121">
        <v>5000</v>
      </c>
      <c r="AK48" s="121">
        <v>3379.2929654528016</v>
      </c>
      <c r="AL48" s="121">
        <v>5000</v>
      </c>
      <c r="AM48" s="121">
        <v>5000</v>
      </c>
      <c r="AN48" s="121">
        <v>5000</v>
      </c>
      <c r="AO48" s="121">
        <v>3946.8788247618504</v>
      </c>
      <c r="AP48" s="121">
        <v>5000</v>
      </c>
      <c r="AQ48" s="121">
        <v>5000</v>
      </c>
      <c r="AR48" s="121">
        <v>5000</v>
      </c>
      <c r="AS48" s="121">
        <v>4525.8164012570924</v>
      </c>
      <c r="AT48" s="121">
        <v>5000</v>
      </c>
      <c r="AU48" s="121">
        <v>5000</v>
      </c>
      <c r="AV48" s="121">
        <v>5000</v>
      </c>
      <c r="AW48" s="121">
        <v>5000</v>
      </c>
      <c r="AX48" s="121">
        <v>5000</v>
      </c>
      <c r="AY48" s="121">
        <v>5000</v>
      </c>
      <c r="AZ48" s="121">
        <v>5000</v>
      </c>
      <c r="BA48" s="121">
        <v>5000</v>
      </c>
      <c r="BB48" s="121">
        <v>5000</v>
      </c>
      <c r="BC48" s="121">
        <v>5000</v>
      </c>
      <c r="BD48" s="121">
        <v>5000</v>
      </c>
      <c r="BE48" s="121">
        <v>5000</v>
      </c>
      <c r="BF48" s="121">
        <v>5000</v>
      </c>
      <c r="BG48" s="121">
        <v>5000</v>
      </c>
      <c r="BH48" s="121">
        <v>5000</v>
      </c>
      <c r="BI48" s="121">
        <v>5000</v>
      </c>
      <c r="BJ48" s="121">
        <v>5000</v>
      </c>
      <c r="BK48" s="121">
        <v>5000</v>
      </c>
      <c r="BL48" s="121">
        <v>5000</v>
      </c>
      <c r="BM48" s="121">
        <v>5000</v>
      </c>
      <c r="BN48" s="121">
        <v>5000</v>
      </c>
      <c r="BO48" s="121">
        <v>5000</v>
      </c>
      <c r="BP48" s="121">
        <v>5000</v>
      </c>
      <c r="BQ48" s="121">
        <v>5000</v>
      </c>
    </row>
    <row r="49" spans="1:69">
      <c r="E49" s="121" t="s">
        <v>188</v>
      </c>
      <c r="G49" s="121" t="s">
        <v>156</v>
      </c>
      <c r="H49" s="121">
        <v>100171.94533526007</v>
      </c>
      <c r="J49" s="121">
        <v>0</v>
      </c>
      <c r="K49" s="121">
        <v>0</v>
      </c>
      <c r="L49" s="121">
        <v>0</v>
      </c>
      <c r="M49" s="121">
        <v>0</v>
      </c>
      <c r="N49" s="121">
        <v>0</v>
      </c>
      <c r="O49" s="121">
        <v>0</v>
      </c>
      <c r="P49" s="121">
        <v>0</v>
      </c>
      <c r="Q49" s="121">
        <v>0</v>
      </c>
      <c r="R49" s="121">
        <v>0</v>
      </c>
      <c r="S49" s="121">
        <v>0</v>
      </c>
      <c r="T49" s="121">
        <v>171.59999999999854</v>
      </c>
      <c r="U49" s="121">
        <v>0</v>
      </c>
      <c r="V49" s="121">
        <v>0</v>
      </c>
      <c r="W49" s="121">
        <v>0</v>
      </c>
      <c r="X49" s="121">
        <v>775.03199999999924</v>
      </c>
      <c r="Y49" s="121">
        <v>0</v>
      </c>
      <c r="Z49" s="121">
        <v>0</v>
      </c>
      <c r="AA49" s="121">
        <v>416.34369599999991</v>
      </c>
      <c r="AB49" s="121">
        <v>1390.5326399999976</v>
      </c>
      <c r="AC49" s="121">
        <v>0</v>
      </c>
      <c r="AD49" s="121">
        <v>0</v>
      </c>
      <c r="AE49" s="121">
        <v>1024.6705699199993</v>
      </c>
      <c r="AF49" s="121">
        <v>2018.3432928000002</v>
      </c>
      <c r="AG49" s="121">
        <v>0</v>
      </c>
      <c r="AH49" s="121">
        <v>0</v>
      </c>
      <c r="AI49" s="121">
        <v>1645.1639813184011</v>
      </c>
      <c r="AJ49" s="121">
        <v>2658.710158656002</v>
      </c>
      <c r="AK49" s="121">
        <v>0</v>
      </c>
      <c r="AL49" s="121">
        <v>440.17019270591481</v>
      </c>
      <c r="AM49" s="121">
        <v>2278.0672609447611</v>
      </c>
      <c r="AN49" s="121">
        <v>3311.8843618291139</v>
      </c>
      <c r="AO49" s="121">
        <v>0</v>
      </c>
      <c r="AP49" s="121">
        <v>1048.9735965600375</v>
      </c>
      <c r="AQ49" s="121">
        <v>2923.6286061636638</v>
      </c>
      <c r="AR49" s="121">
        <v>3978.1220490656997</v>
      </c>
      <c r="AS49" s="121">
        <v>0</v>
      </c>
      <c r="AT49" s="121">
        <v>1669.9530684912388</v>
      </c>
      <c r="AU49" s="121">
        <v>3582.1011782869318</v>
      </c>
      <c r="AV49" s="121">
        <v>4000</v>
      </c>
      <c r="AW49" s="121">
        <v>116.33272928223232</v>
      </c>
      <c r="AX49" s="121">
        <v>2303.3521298610649</v>
      </c>
      <c r="AY49" s="121">
        <v>4000</v>
      </c>
      <c r="AZ49" s="121">
        <v>4000</v>
      </c>
      <c r="BA49" s="121">
        <v>718.6593838678782</v>
      </c>
      <c r="BB49" s="121">
        <v>2949.4191724582779</v>
      </c>
      <c r="BC49" s="121">
        <v>4000</v>
      </c>
      <c r="BD49" s="121">
        <v>4000</v>
      </c>
      <c r="BE49" s="121">
        <v>1333.0325715452309</v>
      </c>
      <c r="BF49" s="121">
        <v>3608.4075559074481</v>
      </c>
      <c r="BG49" s="121">
        <v>4000</v>
      </c>
      <c r="BH49" s="121">
        <v>4000</v>
      </c>
      <c r="BI49" s="121">
        <v>1959.6932229761405</v>
      </c>
      <c r="BJ49" s="121">
        <v>4000</v>
      </c>
      <c r="BK49" s="121">
        <v>4000</v>
      </c>
      <c r="BL49" s="121">
        <v>4000</v>
      </c>
      <c r="BM49" s="121">
        <v>2598.8870874356617</v>
      </c>
      <c r="BN49" s="121">
        <v>4000</v>
      </c>
      <c r="BO49" s="121">
        <v>4000</v>
      </c>
      <c r="BP49" s="121">
        <v>4000</v>
      </c>
      <c r="BQ49" s="121">
        <v>3250.8648291843783</v>
      </c>
    </row>
    <row r="50" spans="1:69">
      <c r="E50" s="121" t="s">
        <v>189</v>
      </c>
      <c r="G50" s="121" t="s">
        <v>156</v>
      </c>
      <c r="H50" s="121">
        <v>24129.484248597066</v>
      </c>
      <c r="J50" s="121">
        <v>0</v>
      </c>
      <c r="K50" s="121">
        <v>0</v>
      </c>
      <c r="L50" s="121">
        <v>0</v>
      </c>
      <c r="M50" s="121">
        <v>0</v>
      </c>
      <c r="N50" s="121">
        <v>0</v>
      </c>
      <c r="O50" s="121">
        <v>0</v>
      </c>
      <c r="P50" s="121">
        <v>0</v>
      </c>
      <c r="Q50" s="121">
        <v>0</v>
      </c>
      <c r="R50" s="121">
        <v>0</v>
      </c>
      <c r="S50" s="121">
        <v>0</v>
      </c>
      <c r="T50" s="121">
        <v>0</v>
      </c>
      <c r="U50" s="121">
        <v>0</v>
      </c>
      <c r="V50" s="121">
        <v>0</v>
      </c>
      <c r="W50" s="121">
        <v>0</v>
      </c>
      <c r="X50" s="121">
        <v>0</v>
      </c>
      <c r="Y50" s="121">
        <v>0</v>
      </c>
      <c r="Z50" s="121">
        <v>0</v>
      </c>
      <c r="AA50" s="121">
        <v>0</v>
      </c>
      <c r="AB50" s="121">
        <v>0</v>
      </c>
      <c r="AC50" s="121">
        <v>0</v>
      </c>
      <c r="AD50" s="121">
        <v>0</v>
      </c>
      <c r="AE50" s="121">
        <v>0</v>
      </c>
      <c r="AF50" s="121">
        <v>0</v>
      </c>
      <c r="AG50" s="121">
        <v>0</v>
      </c>
      <c r="AH50" s="121">
        <v>0</v>
      </c>
      <c r="AI50" s="121">
        <v>0</v>
      </c>
      <c r="AJ50" s="121">
        <v>0</v>
      </c>
      <c r="AK50" s="121">
        <v>0</v>
      </c>
      <c r="AL50" s="121">
        <v>0</v>
      </c>
      <c r="AM50" s="121">
        <v>0</v>
      </c>
      <c r="AN50" s="121">
        <v>0</v>
      </c>
      <c r="AO50" s="121">
        <v>0</v>
      </c>
      <c r="AP50" s="121">
        <v>0</v>
      </c>
      <c r="AQ50" s="121">
        <v>0</v>
      </c>
      <c r="AR50" s="121">
        <v>0</v>
      </c>
      <c r="AS50" s="121">
        <v>0</v>
      </c>
      <c r="AT50" s="121">
        <v>0</v>
      </c>
      <c r="AU50" s="121">
        <v>0</v>
      </c>
      <c r="AV50" s="121">
        <v>657.68449004701688</v>
      </c>
      <c r="AW50" s="121">
        <v>0</v>
      </c>
      <c r="AX50" s="121">
        <v>0</v>
      </c>
      <c r="AY50" s="121">
        <v>253.74320185267425</v>
      </c>
      <c r="AZ50" s="121">
        <v>1350.8381798479531</v>
      </c>
      <c r="BA50" s="121">
        <v>0</v>
      </c>
      <c r="BB50" s="121">
        <v>0</v>
      </c>
      <c r="BC50" s="121">
        <v>938.81806588971813</v>
      </c>
      <c r="BD50" s="121">
        <v>2057.8549434449087</v>
      </c>
      <c r="BE50" s="121">
        <v>0</v>
      </c>
      <c r="BF50" s="121">
        <v>0</v>
      </c>
      <c r="BG50" s="121">
        <v>1637.5944272075212</v>
      </c>
      <c r="BH50" s="121">
        <v>2779.0120423138142</v>
      </c>
      <c r="BI50" s="121">
        <v>0</v>
      </c>
      <c r="BJ50" s="121">
        <v>280.57570702559315</v>
      </c>
      <c r="BK50" s="121">
        <v>2350.3463157516671</v>
      </c>
      <c r="BL50" s="121">
        <v>3514.5922831600838</v>
      </c>
      <c r="BM50" s="121">
        <v>0</v>
      </c>
      <c r="BN50" s="121">
        <v>966.18722116611025</v>
      </c>
      <c r="BO50" s="121">
        <v>3077.3532420667107</v>
      </c>
      <c r="BP50" s="121">
        <v>4264.8841288232943</v>
      </c>
      <c r="BQ50" s="121">
        <v>0</v>
      </c>
    </row>
    <row r="51" spans="1:69">
      <c r="E51" s="121" t="s">
        <v>192</v>
      </c>
      <c r="G51" s="121" t="s">
        <v>156</v>
      </c>
      <c r="H51" s="121" cm="1">
        <f t="array" ref="H51">_xlfn.BYROW(_xlfn.ANCHORARRAY( J51), _xleta.SUM )</f>
        <v>1881523.7604832654</v>
      </c>
      <c r="J51" s="121" cm="1">
        <f t="array" ref="J51:BQ51">_xlfn.BYCOL(_xlfn.ANCHORARRAY( J47), _xleta.SUM )</f>
        <v>26500</v>
      </c>
      <c r="K51" s="121">
        <v>28100</v>
      </c>
      <c r="L51" s="121">
        <v>29000</v>
      </c>
      <c r="M51" s="121">
        <v>25200</v>
      </c>
      <c r="N51" s="121">
        <v>27030</v>
      </c>
      <c r="O51" s="121">
        <v>28662</v>
      </c>
      <c r="P51" s="121">
        <v>29580</v>
      </c>
      <c r="Q51" s="121">
        <v>25704</v>
      </c>
      <c r="R51" s="121">
        <v>27570.6</v>
      </c>
      <c r="S51" s="121">
        <v>29235.239999999998</v>
      </c>
      <c r="T51" s="121">
        <v>30171.599999999999</v>
      </c>
      <c r="U51" s="121">
        <v>26218.079999999998</v>
      </c>
      <c r="V51" s="121">
        <v>28122.011999999999</v>
      </c>
      <c r="W51" s="121">
        <v>29819.944799999997</v>
      </c>
      <c r="X51" s="121">
        <v>30775.031999999999</v>
      </c>
      <c r="Y51" s="121">
        <v>26742.441599999998</v>
      </c>
      <c r="Z51" s="121">
        <v>28684.452239999999</v>
      </c>
      <c r="AA51" s="121">
        <v>30416.343696</v>
      </c>
      <c r="AB51" s="121">
        <v>31390.532639999998</v>
      </c>
      <c r="AC51" s="121">
        <v>27277.290431999998</v>
      </c>
      <c r="AD51" s="121">
        <v>29258.1412848</v>
      </c>
      <c r="AE51" s="121">
        <v>31024.670569919999</v>
      </c>
      <c r="AF51" s="121">
        <v>32018.3432928</v>
      </c>
      <c r="AG51" s="121">
        <v>27822.836240640001</v>
      </c>
      <c r="AH51" s="121">
        <v>29843.304110496003</v>
      </c>
      <c r="AI51" s="121">
        <v>31645.163981318401</v>
      </c>
      <c r="AJ51" s="121">
        <v>32658.710158656002</v>
      </c>
      <c r="AK51" s="121">
        <v>28379.292965452802</v>
      </c>
      <c r="AL51" s="121">
        <v>30440.170192705915</v>
      </c>
      <c r="AM51" s="121">
        <v>32278.067260944761</v>
      </c>
      <c r="AN51" s="121">
        <v>33311.884361829114</v>
      </c>
      <c r="AO51" s="121">
        <v>28946.87882476185</v>
      </c>
      <c r="AP51" s="121">
        <v>31048.973596560038</v>
      </c>
      <c r="AQ51" s="121">
        <v>32923.628606163664</v>
      </c>
      <c r="AR51" s="121">
        <v>33978.1220490657</v>
      </c>
      <c r="AS51" s="121">
        <v>29525.816401257092</v>
      </c>
      <c r="AT51" s="121">
        <v>31669.953068491239</v>
      </c>
      <c r="AU51" s="121">
        <v>33582.101178286932</v>
      </c>
      <c r="AV51" s="121">
        <v>34657.684490047017</v>
      </c>
      <c r="AW51" s="121">
        <v>30116.332729282232</v>
      </c>
      <c r="AX51" s="121">
        <v>32303.352129861065</v>
      </c>
      <c r="AY51" s="121">
        <v>34253.743201852674</v>
      </c>
      <c r="AZ51" s="121">
        <v>35350.838179847953</v>
      </c>
      <c r="BA51" s="121">
        <v>30718.659383867878</v>
      </c>
      <c r="BB51" s="121">
        <v>32949.419172458278</v>
      </c>
      <c r="BC51" s="121">
        <v>34938.818065889718</v>
      </c>
      <c r="BD51" s="121">
        <v>36057.854943444909</v>
      </c>
      <c r="BE51" s="121">
        <v>31333.032571545231</v>
      </c>
      <c r="BF51" s="121">
        <v>33608.407555907448</v>
      </c>
      <c r="BG51" s="121">
        <v>35637.594427207521</v>
      </c>
      <c r="BH51" s="121">
        <v>36779.012042313814</v>
      </c>
      <c r="BI51" s="121">
        <v>31959.693222976141</v>
      </c>
      <c r="BJ51" s="121">
        <v>34280.575707025593</v>
      </c>
      <c r="BK51" s="121">
        <v>36350.346315751667</v>
      </c>
      <c r="BL51" s="121">
        <v>37514.592283160084</v>
      </c>
      <c r="BM51" s="121">
        <v>32598.887087435662</v>
      </c>
      <c r="BN51" s="121">
        <v>34966.18722116611</v>
      </c>
      <c r="BO51" s="121">
        <v>37077.353242066711</v>
      </c>
      <c r="BP51" s="121">
        <v>38264.884128823294</v>
      </c>
      <c r="BQ51" s="121">
        <v>33250.864829184378</v>
      </c>
    </row>
    <row r="52" spans="1:69">
      <c r="B52" s="130"/>
    </row>
    <row r="53" spans="1:69">
      <c r="B53" s="130" t="s">
        <v>191</v>
      </c>
    </row>
    <row r="54" spans="1:69">
      <c r="E54" s="121" t="s">
        <v>186</v>
      </c>
      <c r="G54" s="121" t="s">
        <v>172</v>
      </c>
      <c r="H54" s="121" cm="1">
        <f t="array" ref="H54:H57">_xlfn.BYROW(_xlfn.ANCHORARRAY( J54), _xleta.SUM )</f>
        <v>172934169.16206482</v>
      </c>
      <c r="J54" s="121" cm="1">
        <f t="array" ref="J54:BQ57" xml:space="preserve"> _xlfn.LET(
      _xlpm.volume,_xlfn.ANCHORARRAY( J47),
      _xlpm.bracket_id, CaseData!$G$66:$G$69,
      _xlpm.price, _xlfn.XLOOKUP( _xlpm.bracket_id, CaseData!$G$66:$G$69, CaseData!$J$66:$J$69, 0 ),
      _xlpm.indexation_table, CaseData!$H$12:$J$13,
      _xlpm.indexation_rows, CaseData!$D$12:$D$13,
      _xlpm.indexation_columns, CaseData!$H$10:$J$10,
      _xlpm.current_scenario, INDEX( expense_scenarios, expense_selector ),
      _xlpm.current_item, $B$28,
      _xlpm.index, INDEX( _xlpm.indexation_table, MATCH( _xlpm.current_item, _xlpm.indexation_rows, 0 ), MATCH( _xlpm.current_scenario, _xlpm.indexation_columns, 0 ) ),
      _xlpm.compound_frequency, CaseData!$E$13,
      _xlpm.quarterly_operating_flag,_xlfn.ANCHORARRAY( Time!$J$18),
      _xlpm.yearly_operating_flag,_xlfn.ANCHORARRAY( Time!$J$19),
      _xlpm.active_operating_flag, IF( _xlpm.compound_frequency = "Annual", _xlpm.yearly_operating_flag, _xlpm.quarterly_operating_flag ),
      _xlpm.periodic_rate, IF( _xlpm.compound_frequency = "Annual", 1 + _xlpm.index, (1 + _xlpm.index ) ^ (1 / 4 ) ),
      _xlpm.indexation_count, _xlfn.SCAN( 0, _xlpm.active_operating_flag, _xlfn.LAMBDA(_xlpm.s,_xlpm.c, _xlpm.s + _xlpm.c ) ),
      _xlpm.volume * _xlpm.price * _xlpm.periodic_rate ^ _xlpm.indexation_count)</f>
        <v>2500000</v>
      </c>
      <c r="K54" s="121">
        <v>2500000</v>
      </c>
      <c r="L54" s="121">
        <v>2500000</v>
      </c>
      <c r="M54" s="121">
        <v>2500000</v>
      </c>
      <c r="N54" s="121">
        <v>2550000</v>
      </c>
      <c r="O54" s="121">
        <v>2550000</v>
      </c>
      <c r="P54" s="121">
        <v>2550000</v>
      </c>
      <c r="Q54" s="121">
        <v>2550000</v>
      </c>
      <c r="R54" s="121">
        <v>2601000</v>
      </c>
      <c r="S54" s="121">
        <v>2601000</v>
      </c>
      <c r="T54" s="121">
        <v>2601000</v>
      </c>
      <c r="U54" s="121">
        <v>2601000</v>
      </c>
      <c r="V54" s="121">
        <v>2653020</v>
      </c>
      <c r="W54" s="121">
        <v>2653020</v>
      </c>
      <c r="X54" s="121">
        <v>2653020</v>
      </c>
      <c r="Y54" s="121">
        <v>2653020</v>
      </c>
      <c r="Z54" s="121">
        <v>2706080.4</v>
      </c>
      <c r="AA54" s="121">
        <v>2706080.4</v>
      </c>
      <c r="AB54" s="121">
        <v>2706080.4</v>
      </c>
      <c r="AC54" s="121">
        <v>2706080.4</v>
      </c>
      <c r="AD54" s="121">
        <v>2760202.0079999999</v>
      </c>
      <c r="AE54" s="121">
        <v>2760202.0079999999</v>
      </c>
      <c r="AF54" s="121">
        <v>2760202.0079999999</v>
      </c>
      <c r="AG54" s="121">
        <v>2760202.0079999999</v>
      </c>
      <c r="AH54" s="121">
        <v>2815406.0481600002</v>
      </c>
      <c r="AI54" s="121">
        <v>2815406.0481600002</v>
      </c>
      <c r="AJ54" s="121">
        <v>2815406.0481600002</v>
      </c>
      <c r="AK54" s="121">
        <v>2815406.0481600002</v>
      </c>
      <c r="AL54" s="121">
        <v>2871714.1691231998</v>
      </c>
      <c r="AM54" s="121">
        <v>2871714.1691231998</v>
      </c>
      <c r="AN54" s="121">
        <v>2871714.1691231998</v>
      </c>
      <c r="AO54" s="121">
        <v>2871714.1691231998</v>
      </c>
      <c r="AP54" s="121">
        <v>2929148.452505664</v>
      </c>
      <c r="AQ54" s="121">
        <v>2929148.452505664</v>
      </c>
      <c r="AR54" s="121">
        <v>2929148.452505664</v>
      </c>
      <c r="AS54" s="121">
        <v>2929148.452505664</v>
      </c>
      <c r="AT54" s="121">
        <v>2987731.4215557771</v>
      </c>
      <c r="AU54" s="121">
        <v>2987731.4215557771</v>
      </c>
      <c r="AV54" s="121">
        <v>2987731.4215557771</v>
      </c>
      <c r="AW54" s="121">
        <v>2987731.4215557771</v>
      </c>
      <c r="AX54" s="121">
        <v>3047486.0499868928</v>
      </c>
      <c r="AY54" s="121">
        <v>3047486.0499868928</v>
      </c>
      <c r="AZ54" s="121">
        <v>3047486.0499868928</v>
      </c>
      <c r="BA54" s="121">
        <v>3047486.0499868928</v>
      </c>
      <c r="BB54" s="121">
        <v>3108435.7709866301</v>
      </c>
      <c r="BC54" s="121">
        <v>3108435.7709866301</v>
      </c>
      <c r="BD54" s="121">
        <v>3108435.7709866301</v>
      </c>
      <c r="BE54" s="121">
        <v>3108435.7709866301</v>
      </c>
      <c r="BF54" s="121">
        <v>3170604.4864063631</v>
      </c>
      <c r="BG54" s="121">
        <v>3170604.4864063631</v>
      </c>
      <c r="BH54" s="121">
        <v>3170604.4864063631</v>
      </c>
      <c r="BI54" s="121">
        <v>3170604.4864063631</v>
      </c>
      <c r="BJ54" s="121">
        <v>3234016.5761344903</v>
      </c>
      <c r="BK54" s="121">
        <v>3234016.5761344903</v>
      </c>
      <c r="BL54" s="121">
        <v>3234016.5761344903</v>
      </c>
      <c r="BM54" s="121">
        <v>3234016.5761344903</v>
      </c>
      <c r="BN54" s="121">
        <v>3298696.9076571804</v>
      </c>
      <c r="BO54" s="121">
        <v>3298696.9076571804</v>
      </c>
      <c r="BP54" s="121">
        <v>3298696.9076571804</v>
      </c>
      <c r="BQ54" s="121">
        <v>3298696.9076571804</v>
      </c>
    </row>
    <row r="55" spans="1:69">
      <c r="E55" s="121" t="s">
        <v>187</v>
      </c>
      <c r="G55" s="121" t="s">
        <v>172</v>
      </c>
      <c r="H55" s="121">
        <v>27108367.040691711</v>
      </c>
      <c r="J55" s="121">
        <v>135000</v>
      </c>
      <c r="K55" s="121">
        <v>279000</v>
      </c>
      <c r="L55" s="121">
        <v>360000</v>
      </c>
      <c r="M55" s="121">
        <v>18000</v>
      </c>
      <c r="N55" s="121">
        <v>186354</v>
      </c>
      <c r="O55" s="121">
        <v>336171.60000000003</v>
      </c>
      <c r="P55" s="121">
        <v>420444</v>
      </c>
      <c r="Q55" s="121">
        <v>64627.200000000004</v>
      </c>
      <c r="R55" s="121">
        <v>240700.70159999988</v>
      </c>
      <c r="S55" s="121">
        <v>396570.93263999978</v>
      </c>
      <c r="T55" s="121">
        <v>468180</v>
      </c>
      <c r="U55" s="121">
        <v>114056.13887999982</v>
      </c>
      <c r="V55" s="121">
        <v>298179.36994463985</v>
      </c>
      <c r="W55" s="121">
        <v>460346.75831865572</v>
      </c>
      <c r="X55" s="121">
        <v>477543.6</v>
      </c>
      <c r="Y55" s="121">
        <v>166418.36689075181</v>
      </c>
      <c r="Z55" s="121">
        <v>358935.26369040337</v>
      </c>
      <c r="AA55" s="121">
        <v>487094.47200000001</v>
      </c>
      <c r="AB55" s="121">
        <v>487094.47200000001</v>
      </c>
      <c r="AC55" s="121">
        <v>221851.11611313818</v>
      </c>
      <c r="AD55" s="121">
        <v>423119.88448749576</v>
      </c>
      <c r="AE55" s="121">
        <v>496836.36144000001</v>
      </c>
      <c r="AF55" s="121">
        <v>496836.36144000001</v>
      </c>
      <c r="AG55" s="121">
        <v>280497.5373481093</v>
      </c>
      <c r="AH55" s="121">
        <v>490891.23668767093</v>
      </c>
      <c r="AI55" s="121">
        <v>506773.08866880002</v>
      </c>
      <c r="AJ55" s="121">
        <v>506773.08866880002</v>
      </c>
      <c r="AK55" s="121">
        <v>342506.94672385301</v>
      </c>
      <c r="AL55" s="121">
        <v>516908.55044217594</v>
      </c>
      <c r="AM55" s="121">
        <v>516908.55044217594</v>
      </c>
      <c r="AN55" s="121">
        <v>516908.55044217594</v>
      </c>
      <c r="AO55" s="121">
        <v>408035.08241571335</v>
      </c>
      <c r="AP55" s="121">
        <v>527246.72145101952</v>
      </c>
      <c r="AQ55" s="121">
        <v>527246.72145101952</v>
      </c>
      <c r="AR55" s="121">
        <v>527246.72145101952</v>
      </c>
      <c r="AS55" s="121">
        <v>477244.37189041072</v>
      </c>
      <c r="AT55" s="121">
        <v>537791.65588003991</v>
      </c>
      <c r="AU55" s="121">
        <v>537791.65588003991</v>
      </c>
      <c r="AV55" s="121">
        <v>537791.65588003991</v>
      </c>
      <c r="AW55" s="121">
        <v>537791.65588003991</v>
      </c>
      <c r="AX55" s="121">
        <v>548547.48899764067</v>
      </c>
      <c r="AY55" s="121">
        <v>548547.48899764067</v>
      </c>
      <c r="AZ55" s="121">
        <v>548547.48899764067</v>
      </c>
      <c r="BA55" s="121">
        <v>548547.48899764067</v>
      </c>
      <c r="BB55" s="121">
        <v>559518.43877759343</v>
      </c>
      <c r="BC55" s="121">
        <v>559518.43877759343</v>
      </c>
      <c r="BD55" s="121">
        <v>559518.43877759343</v>
      </c>
      <c r="BE55" s="121">
        <v>559518.43877759343</v>
      </c>
      <c r="BF55" s="121">
        <v>570708.80755314534</v>
      </c>
      <c r="BG55" s="121">
        <v>570708.80755314534</v>
      </c>
      <c r="BH55" s="121">
        <v>570708.80755314534</v>
      </c>
      <c r="BI55" s="121">
        <v>570708.80755314534</v>
      </c>
      <c r="BJ55" s="121">
        <v>582122.98370420828</v>
      </c>
      <c r="BK55" s="121">
        <v>582122.98370420828</v>
      </c>
      <c r="BL55" s="121">
        <v>582122.98370420828</v>
      </c>
      <c r="BM55" s="121">
        <v>582122.98370420828</v>
      </c>
      <c r="BN55" s="121">
        <v>593765.44337829249</v>
      </c>
      <c r="BO55" s="121">
        <v>593765.44337829249</v>
      </c>
      <c r="BP55" s="121">
        <v>593765.44337829249</v>
      </c>
      <c r="BQ55" s="121">
        <v>593765.44337829249</v>
      </c>
    </row>
    <row r="56" spans="1:69">
      <c r="E56" s="121" t="s">
        <v>188</v>
      </c>
      <c r="G56" s="121" t="s">
        <v>172</v>
      </c>
      <c r="H56" s="121">
        <v>10499647.144275911</v>
      </c>
      <c r="J56" s="121">
        <v>0</v>
      </c>
      <c r="K56" s="121">
        <v>0</v>
      </c>
      <c r="L56" s="121">
        <v>0</v>
      </c>
      <c r="M56" s="121">
        <v>0</v>
      </c>
      <c r="N56" s="121">
        <v>0</v>
      </c>
      <c r="O56" s="121">
        <v>0</v>
      </c>
      <c r="P56" s="121">
        <v>0</v>
      </c>
      <c r="Q56" s="121">
        <v>0</v>
      </c>
      <c r="R56" s="121">
        <v>0</v>
      </c>
      <c r="S56" s="121">
        <v>0</v>
      </c>
      <c r="T56" s="121">
        <v>15175.274399999871</v>
      </c>
      <c r="U56" s="121">
        <v>0</v>
      </c>
      <c r="V56" s="121">
        <v>0</v>
      </c>
      <c r="W56" s="121">
        <v>0</v>
      </c>
      <c r="X56" s="121">
        <v>69909.96348575993</v>
      </c>
      <c r="Y56" s="121">
        <v>0</v>
      </c>
      <c r="Z56" s="121">
        <v>0</v>
      </c>
      <c r="AA56" s="121">
        <v>38306.42352391137</v>
      </c>
      <c r="AB56" s="121">
        <v>127938.36617058447</v>
      </c>
      <c r="AC56" s="121">
        <v>0</v>
      </c>
      <c r="AD56" s="121">
        <v>0</v>
      </c>
      <c r="AE56" s="121">
        <v>96162.123997477334</v>
      </c>
      <c r="AF56" s="121">
        <v>189415.19712707633</v>
      </c>
      <c r="AG56" s="121">
        <v>0</v>
      </c>
      <c r="AH56" s="121">
        <v>0</v>
      </c>
      <c r="AI56" s="121">
        <v>157481.35718943962</v>
      </c>
      <c r="AJ56" s="121">
        <v>254501.85447347441</v>
      </c>
      <c r="AK56" s="121">
        <v>0</v>
      </c>
      <c r="AL56" s="121">
        <v>42977.46129345501</v>
      </c>
      <c r="AM56" s="121">
        <v>222426.57307000543</v>
      </c>
      <c r="AN56" s="121">
        <v>323366.69844431523</v>
      </c>
      <c r="AO56" s="121">
        <v>0</v>
      </c>
      <c r="AP56" s="121">
        <v>104468.37916082657</v>
      </c>
      <c r="AQ56" s="121">
        <v>291167.23505314993</v>
      </c>
      <c r="AR56" s="121">
        <v>396185.34149258147</v>
      </c>
      <c r="AS56" s="121">
        <v>0</v>
      </c>
      <c r="AT56" s="121">
        <v>169638.62267866189</v>
      </c>
      <c r="AU56" s="121">
        <v>363880.11234903452</v>
      </c>
      <c r="AV56" s="121">
        <v>406331.4733315857</v>
      </c>
      <c r="AW56" s="121">
        <v>11817.412321483489</v>
      </c>
      <c r="AX56" s="121">
        <v>238660.73845461258</v>
      </c>
      <c r="AY56" s="121">
        <v>414458.10279821744</v>
      </c>
      <c r="AZ56" s="121">
        <v>414458.10279821744</v>
      </c>
      <c r="BA56" s="121">
        <v>74463.55119900417</v>
      </c>
      <c r="BB56" s="121">
        <v>311714.72201630526</v>
      </c>
      <c r="BC56" s="121">
        <v>422747.26485418167</v>
      </c>
      <c r="BD56" s="121">
        <v>422747.26485418167</v>
      </c>
      <c r="BE56" s="121">
        <v>140883.96839557067</v>
      </c>
      <c r="BF56" s="121">
        <v>388988.32830845437</v>
      </c>
      <c r="BG56" s="121">
        <v>431202.21015126538</v>
      </c>
      <c r="BH56" s="121">
        <v>431202.21015126538</v>
      </c>
      <c r="BI56" s="121">
        <v>211256.01224144208</v>
      </c>
      <c r="BJ56" s="121">
        <v>439826.25435429066</v>
      </c>
      <c r="BK56" s="121">
        <v>439826.25435429066</v>
      </c>
      <c r="BL56" s="121">
        <v>439826.25435429066</v>
      </c>
      <c r="BM56" s="121">
        <v>285764.69328913972</v>
      </c>
      <c r="BN56" s="121">
        <v>448622.77944137651</v>
      </c>
      <c r="BO56" s="121">
        <v>448622.77944137651</v>
      </c>
      <c r="BP56" s="121">
        <v>448622.77944137651</v>
      </c>
      <c r="BQ56" s="121">
        <v>364603.00381422794</v>
      </c>
    </row>
    <row r="57" spans="1:69">
      <c r="E57" s="121" t="s">
        <v>189</v>
      </c>
      <c r="G57" s="121" t="s">
        <v>172</v>
      </c>
      <c r="H57" s="121">
        <v>2540519.7851966457</v>
      </c>
      <c r="J57" s="121">
        <v>0</v>
      </c>
      <c r="K57" s="121">
        <v>0</v>
      </c>
      <c r="L57" s="121">
        <v>0</v>
      </c>
      <c r="M57" s="121">
        <v>0</v>
      </c>
      <c r="N57" s="121">
        <v>0</v>
      </c>
      <c r="O57" s="121">
        <v>0</v>
      </c>
      <c r="P57" s="121">
        <v>0</v>
      </c>
      <c r="Q57" s="121">
        <v>0</v>
      </c>
      <c r="R57" s="121">
        <v>0</v>
      </c>
      <c r="S57" s="121">
        <v>0</v>
      </c>
      <c r="T57" s="121">
        <v>0</v>
      </c>
      <c r="U57" s="121">
        <v>0</v>
      </c>
      <c r="V57" s="121">
        <v>0</v>
      </c>
      <c r="W57" s="121">
        <v>0</v>
      </c>
      <c r="X57" s="121">
        <v>0</v>
      </c>
      <c r="Y57" s="121">
        <v>0</v>
      </c>
      <c r="Z57" s="121">
        <v>0</v>
      </c>
      <c r="AA57" s="121">
        <v>0</v>
      </c>
      <c r="AB57" s="121">
        <v>0</v>
      </c>
      <c r="AC57" s="121">
        <v>0</v>
      </c>
      <c r="AD57" s="121">
        <v>0</v>
      </c>
      <c r="AE57" s="121">
        <v>0</v>
      </c>
      <c r="AF57" s="121">
        <v>0</v>
      </c>
      <c r="AG57" s="121">
        <v>0</v>
      </c>
      <c r="AH57" s="121">
        <v>0</v>
      </c>
      <c r="AI57" s="121">
        <v>0</v>
      </c>
      <c r="AJ57" s="121">
        <v>0</v>
      </c>
      <c r="AK57" s="121">
        <v>0</v>
      </c>
      <c r="AL57" s="121">
        <v>0</v>
      </c>
      <c r="AM57" s="121">
        <v>0</v>
      </c>
      <c r="AN57" s="121">
        <v>0</v>
      </c>
      <c r="AO57" s="121">
        <v>0</v>
      </c>
      <c r="AP57" s="121">
        <v>0</v>
      </c>
      <c r="AQ57" s="121">
        <v>0</v>
      </c>
      <c r="AR57" s="121">
        <v>0</v>
      </c>
      <c r="AS57" s="121">
        <v>0</v>
      </c>
      <c r="AT57" s="121">
        <v>0</v>
      </c>
      <c r="AU57" s="121">
        <v>0</v>
      </c>
      <c r="AV57" s="121">
        <v>64451.495417374208</v>
      </c>
      <c r="AW57" s="121">
        <v>0</v>
      </c>
      <c r="AX57" s="121">
        <v>0</v>
      </c>
      <c r="AY57" s="121">
        <v>25363.546867941084</v>
      </c>
      <c r="AZ57" s="121">
        <v>135026.46469114337</v>
      </c>
      <c r="BA57" s="121">
        <v>0</v>
      </c>
      <c r="BB57" s="121">
        <v>0</v>
      </c>
      <c r="BC57" s="121">
        <v>95718.785597490714</v>
      </c>
      <c r="BD57" s="121">
        <v>209812.085300751</v>
      </c>
      <c r="BE57" s="121">
        <v>0</v>
      </c>
      <c r="BF57" s="121">
        <v>0</v>
      </c>
      <c r="BG57" s="121">
        <v>170302.98700043777</v>
      </c>
      <c r="BH57" s="121">
        <v>289005.65601170965</v>
      </c>
      <c r="BI57" s="121">
        <v>0</v>
      </c>
      <c r="BJ57" s="121">
        <v>29762.276786110662</v>
      </c>
      <c r="BK57" s="121">
        <v>249314.73338935865</v>
      </c>
      <c r="BL57" s="121">
        <v>372812.99022868561</v>
      </c>
      <c r="BM57" s="121">
        <v>0</v>
      </c>
      <c r="BN57" s="121">
        <v>104538.80859665586</v>
      </c>
      <c r="BO57" s="121">
        <v>332961.18444667564</v>
      </c>
      <c r="BP57" s="121">
        <v>461448.7708623113</v>
      </c>
      <c r="BQ57" s="121">
        <v>0</v>
      </c>
    </row>
    <row r="58" spans="1:69">
      <c r="E58" s="138" t="s">
        <v>193</v>
      </c>
      <c r="F58" s="138"/>
      <c r="G58" s="138" t="s">
        <v>172</v>
      </c>
      <c r="H58" s="138" cm="1">
        <f t="array" ref="H58">_xlfn.BYROW(_xlfn.ANCHORARRAY( J58), _xleta.SUM )</f>
        <v>213082703.13222909</v>
      </c>
      <c r="I58" s="138"/>
      <c r="J58" s="138" cm="1">
        <f t="array" ref="J58:BQ58" xml:space="preserve"> _xlfn.BYCOL(_xlfn.ANCHORARRAY( J54), _xleta.SUM )</f>
        <v>2635000</v>
      </c>
      <c r="K58" s="138">
        <v>2779000</v>
      </c>
      <c r="L58" s="138">
        <v>2860000</v>
      </c>
      <c r="M58" s="138">
        <v>2518000</v>
      </c>
      <c r="N58" s="138">
        <v>2736354</v>
      </c>
      <c r="O58" s="138">
        <v>2886171.6</v>
      </c>
      <c r="P58" s="138">
        <v>2970444</v>
      </c>
      <c r="Q58" s="138">
        <v>2614627.2000000002</v>
      </c>
      <c r="R58" s="138">
        <v>2841700.7015999998</v>
      </c>
      <c r="S58" s="138">
        <v>2997570.9326399998</v>
      </c>
      <c r="T58" s="138">
        <v>3084355.2744</v>
      </c>
      <c r="U58" s="138">
        <v>2715056.13888</v>
      </c>
      <c r="V58" s="138">
        <v>2951199.36994464</v>
      </c>
      <c r="W58" s="138">
        <v>3113366.7583186557</v>
      </c>
      <c r="X58" s="138">
        <v>3200473.5634857602</v>
      </c>
      <c r="Y58" s="138">
        <v>2819438.3668907518</v>
      </c>
      <c r="Z58" s="138">
        <v>3065015.6636904031</v>
      </c>
      <c r="AA58" s="138">
        <v>3231481.2955239112</v>
      </c>
      <c r="AB58" s="138">
        <v>3321113.2381705847</v>
      </c>
      <c r="AC58" s="138">
        <v>2927931.5161131383</v>
      </c>
      <c r="AD58" s="138">
        <v>3183321.8924874957</v>
      </c>
      <c r="AE58" s="138">
        <v>3353200.4934374774</v>
      </c>
      <c r="AF58" s="138">
        <v>3446453.5665670764</v>
      </c>
      <c r="AG58" s="138">
        <v>3040699.5453481092</v>
      </c>
      <c r="AH58" s="138">
        <v>3306297.2848476712</v>
      </c>
      <c r="AI58" s="138">
        <v>3479660.4940182399</v>
      </c>
      <c r="AJ58" s="138">
        <v>3576680.9913022746</v>
      </c>
      <c r="AK58" s="138">
        <v>3157912.994883853</v>
      </c>
      <c r="AL58" s="138">
        <v>3431600.1808588309</v>
      </c>
      <c r="AM58" s="138">
        <v>3611049.2926353812</v>
      </c>
      <c r="AN58" s="138">
        <v>3711989.4180096909</v>
      </c>
      <c r="AO58" s="138">
        <v>3279749.2515389132</v>
      </c>
      <c r="AP58" s="138">
        <v>3560863.5531175099</v>
      </c>
      <c r="AQ58" s="138">
        <v>3747562.4090098334</v>
      </c>
      <c r="AR58" s="138">
        <v>3852580.515449265</v>
      </c>
      <c r="AS58" s="138">
        <v>3406392.8243960747</v>
      </c>
      <c r="AT58" s="138">
        <v>3695161.7001144788</v>
      </c>
      <c r="AU58" s="138">
        <v>3889403.1897848519</v>
      </c>
      <c r="AV58" s="138">
        <v>3996306.0461847768</v>
      </c>
      <c r="AW58" s="138">
        <v>3537340.4897573008</v>
      </c>
      <c r="AX58" s="138">
        <v>3834694.2774391458</v>
      </c>
      <c r="AY58" s="138">
        <v>4035855.1886506919</v>
      </c>
      <c r="AZ58" s="138">
        <v>4145518.1064738943</v>
      </c>
      <c r="BA58" s="138">
        <v>3670497.0901835375</v>
      </c>
      <c r="BB58" s="138">
        <v>3979668.9317805287</v>
      </c>
      <c r="BC58" s="138">
        <v>4186420.2602158957</v>
      </c>
      <c r="BD58" s="138">
        <v>4300513.5599191561</v>
      </c>
      <c r="BE58" s="138">
        <v>3808838.1781597943</v>
      </c>
      <c r="BF58" s="138">
        <v>4130301.6222679629</v>
      </c>
      <c r="BG58" s="138">
        <v>4342818.4911112115</v>
      </c>
      <c r="BH58" s="138">
        <v>4461521.160122484</v>
      </c>
      <c r="BI58" s="138">
        <v>3952569.3062009509</v>
      </c>
      <c r="BJ58" s="138">
        <v>4285728.0909791002</v>
      </c>
      <c r="BK58" s="138">
        <v>4505280.5475823488</v>
      </c>
      <c r="BL58" s="138">
        <v>4628778.8044216754</v>
      </c>
      <c r="BM58" s="138">
        <v>4101904.2531278385</v>
      </c>
      <c r="BN58" s="138">
        <v>4445623.9390735049</v>
      </c>
      <c r="BO58" s="138">
        <v>4674046.3149235249</v>
      </c>
      <c r="BP58" s="138">
        <v>4802533.9013391603</v>
      </c>
      <c r="BQ58" s="138">
        <v>4257065.3548497008</v>
      </c>
    </row>
    <row r="61" spans="1:69" s="122" customFormat="1">
      <c r="A61" s="128" t="s">
        <v>194</v>
      </c>
    </row>
    <row r="63" spans="1:69">
      <c r="B63" s="130" t="s">
        <v>195</v>
      </c>
    </row>
    <row r="64" spans="1:69">
      <c r="E64" s="121" t="s">
        <v>197</v>
      </c>
      <c r="G64" s="121" t="s">
        <v>172</v>
      </c>
      <c r="H64" s="121" cm="1">
        <f t="array" ref="H64:H65">_xlfn.BYROW(_xlfn.ANCHORARRAY( J64), _xleta.SUM )</f>
        <v>41504200.598895542</v>
      </c>
      <c r="J64" s="121" cm="1">
        <f t="array" ref="J64:BQ65" xml:space="preserve"> _xlfn.LET(
      _xlpm.indexation_table, CaseData!$H$12:$J$13,
      _xlpm.indexation_rows, CaseData!$D$12:$D$13,
      _xlpm.indexation_columns, CaseData!$H$10:$J$10,
      _xlpm.current_scenario, INDEX( expense_scenarios, expense_selector ),
      _xlpm.current_item, $B$28,
      _xlpm.index, INDEX( _xlpm.indexation_table, MATCH( _xlpm.current_item, _xlpm.indexation_rows, 0 ), MATCH( _xlpm.current_scenario, _xlpm.indexation_columns, 0 ) ),
      _xlpm.compound_frequency, CaseData!$E$13,
      _xlpm.quarterly_operating_flag,_xlfn.ANCHORARRAY( Time!$J$18),
      _xlpm.yearly_operating_flag,_xlfn.ANCHORARRAY( Time!$J$19),
      _xlpm.active_operating_flag, IF( _xlpm.compound_frequency = "Annual", _xlpm.yearly_operating_flag, _xlpm.quarterly_operating_flag ),
      _xlpm.periodic_rate, IF( _xlpm.compound_frequency = "Annual", 1 + _xlpm.index, (1 + _xlpm.index ) ^ (1 / 4 ) ),
      _xlpm.indexation_count, _xlfn.SCAN( 0, _xlpm.active_operating_flag, _xlfn.LAMBDA(_xlpm.s,_xlpm.c, _xlpm.s + _xlpm.c ) ),
      _xlpm.initial_fixed_costs, _xlfn.SEQUENCE(1, periods, CaseData!$H$74, 0 ) * _xlpm.periodic_rate ^ _xlpm.indexation_count,
      _xlpm.initial_variable_costs, CaseData!$H$75 * _xlpm.periodic_rate ^ _xlpm.indexation_count,
      _xlpm.threshold, CaseData!$H$76,
      _xlpm.slabs_per_quarter,_xlfn.ANCHORARRAY( Calculations!J14),
      _xlpm.variable_costs_per_quarter, IF( _xlpm.slabs_per_quarter &lt;= _xlpm.threshold, 0, _xlpm.initial_variable_costs * ( _xlpm.slabs_per_quarter - _xlpm.threshold ) ),
      _xlfn.VSTACK( _xlpm.initial_fixed_costs, _xlpm.variable_costs_per_quarter ) )</f>
        <v>600000</v>
      </c>
      <c r="K64" s="121">
        <v>600000</v>
      </c>
      <c r="L64" s="121">
        <v>600000</v>
      </c>
      <c r="M64" s="121">
        <v>600000</v>
      </c>
      <c r="N64" s="121">
        <v>612000</v>
      </c>
      <c r="O64" s="121">
        <v>612000</v>
      </c>
      <c r="P64" s="121">
        <v>612000</v>
      </c>
      <c r="Q64" s="121">
        <v>612000</v>
      </c>
      <c r="R64" s="121">
        <v>624240</v>
      </c>
      <c r="S64" s="121">
        <v>624240</v>
      </c>
      <c r="T64" s="121">
        <v>624240</v>
      </c>
      <c r="U64" s="121">
        <v>624240</v>
      </c>
      <c r="V64" s="121">
        <v>636724.79999999993</v>
      </c>
      <c r="W64" s="121">
        <v>636724.79999999993</v>
      </c>
      <c r="X64" s="121">
        <v>636724.79999999993</v>
      </c>
      <c r="Y64" s="121">
        <v>636724.79999999993</v>
      </c>
      <c r="Z64" s="121">
        <v>649459.29599999997</v>
      </c>
      <c r="AA64" s="121">
        <v>649459.29599999997</v>
      </c>
      <c r="AB64" s="121">
        <v>649459.29599999997</v>
      </c>
      <c r="AC64" s="121">
        <v>649459.29599999997</v>
      </c>
      <c r="AD64" s="121">
        <v>662448.48192000005</v>
      </c>
      <c r="AE64" s="121">
        <v>662448.48192000005</v>
      </c>
      <c r="AF64" s="121">
        <v>662448.48192000005</v>
      </c>
      <c r="AG64" s="121">
        <v>662448.48192000005</v>
      </c>
      <c r="AH64" s="121">
        <v>675697.45155840006</v>
      </c>
      <c r="AI64" s="121">
        <v>675697.45155840006</v>
      </c>
      <c r="AJ64" s="121">
        <v>675697.45155840006</v>
      </c>
      <c r="AK64" s="121">
        <v>675697.45155840006</v>
      </c>
      <c r="AL64" s="121">
        <v>689211.40058956784</v>
      </c>
      <c r="AM64" s="121">
        <v>689211.40058956784</v>
      </c>
      <c r="AN64" s="121">
        <v>689211.40058956784</v>
      </c>
      <c r="AO64" s="121">
        <v>689211.40058956784</v>
      </c>
      <c r="AP64" s="121">
        <v>702995.62860135932</v>
      </c>
      <c r="AQ64" s="121">
        <v>702995.62860135932</v>
      </c>
      <c r="AR64" s="121">
        <v>702995.62860135932</v>
      </c>
      <c r="AS64" s="121">
        <v>702995.62860135932</v>
      </c>
      <c r="AT64" s="121">
        <v>717055.5411733865</v>
      </c>
      <c r="AU64" s="121">
        <v>717055.5411733865</v>
      </c>
      <c r="AV64" s="121">
        <v>717055.5411733865</v>
      </c>
      <c r="AW64" s="121">
        <v>717055.5411733865</v>
      </c>
      <c r="AX64" s="121">
        <v>731396.65199685423</v>
      </c>
      <c r="AY64" s="121">
        <v>731396.65199685423</v>
      </c>
      <c r="AZ64" s="121">
        <v>731396.65199685423</v>
      </c>
      <c r="BA64" s="121">
        <v>731396.65199685423</v>
      </c>
      <c r="BB64" s="121">
        <v>746024.58503679116</v>
      </c>
      <c r="BC64" s="121">
        <v>746024.58503679116</v>
      </c>
      <c r="BD64" s="121">
        <v>746024.58503679116</v>
      </c>
      <c r="BE64" s="121">
        <v>746024.58503679116</v>
      </c>
      <c r="BF64" s="121">
        <v>760945.07673752715</v>
      </c>
      <c r="BG64" s="121">
        <v>760945.07673752715</v>
      </c>
      <c r="BH64" s="121">
        <v>760945.07673752715</v>
      </c>
      <c r="BI64" s="121">
        <v>760945.07673752715</v>
      </c>
      <c r="BJ64" s="121">
        <v>776163.97827227763</v>
      </c>
      <c r="BK64" s="121">
        <v>776163.97827227763</v>
      </c>
      <c r="BL64" s="121">
        <v>776163.97827227763</v>
      </c>
      <c r="BM64" s="121">
        <v>776163.97827227763</v>
      </c>
      <c r="BN64" s="121">
        <v>791687.25783772324</v>
      </c>
      <c r="BO64" s="121">
        <v>791687.25783772324</v>
      </c>
      <c r="BP64" s="121">
        <v>791687.25783772324</v>
      </c>
      <c r="BQ64" s="121">
        <v>791687.25783772324</v>
      </c>
    </row>
    <row r="65" spans="1:69">
      <c r="E65" s="121" t="s">
        <v>196</v>
      </c>
      <c r="G65" s="121" t="s">
        <v>172</v>
      </c>
      <c r="H65" s="121">
        <v>1946686.5550664689</v>
      </c>
      <c r="J65" s="121">
        <v>0</v>
      </c>
      <c r="K65" s="121">
        <v>0</v>
      </c>
      <c r="L65" s="121">
        <v>0</v>
      </c>
      <c r="M65" s="121">
        <v>0</v>
      </c>
      <c r="N65" s="121">
        <v>0</v>
      </c>
      <c r="O65" s="121">
        <v>0</v>
      </c>
      <c r="P65" s="121">
        <v>0</v>
      </c>
      <c r="Q65" s="121">
        <v>0</v>
      </c>
      <c r="R65" s="121">
        <v>0</v>
      </c>
      <c r="S65" s="121">
        <v>0</v>
      </c>
      <c r="T65" s="121">
        <v>0</v>
      </c>
      <c r="U65" s="121">
        <v>0</v>
      </c>
      <c r="V65" s="121">
        <v>0</v>
      </c>
      <c r="W65" s="121">
        <v>0</v>
      </c>
      <c r="X65" s="121">
        <v>0</v>
      </c>
      <c r="Y65" s="121">
        <v>0</v>
      </c>
      <c r="Z65" s="121">
        <v>0</v>
      </c>
      <c r="AA65" s="121">
        <v>0</v>
      </c>
      <c r="AB65" s="121">
        <v>0</v>
      </c>
      <c r="AC65" s="121">
        <v>0</v>
      </c>
      <c r="AD65" s="121">
        <v>0</v>
      </c>
      <c r="AE65" s="121">
        <v>0</v>
      </c>
      <c r="AF65" s="121">
        <v>506.31193619892491</v>
      </c>
      <c r="AG65" s="121">
        <v>0</v>
      </c>
      <c r="AH65" s="121">
        <v>0</v>
      </c>
      <c r="AI65" s="121">
        <v>0</v>
      </c>
      <c r="AJ65" s="121">
        <v>18545.365646645412</v>
      </c>
      <c r="AK65" s="121">
        <v>0</v>
      </c>
      <c r="AL65" s="121">
        <v>0</v>
      </c>
      <c r="AM65" s="121">
        <v>7985.2969322434847</v>
      </c>
      <c r="AN65" s="121">
        <v>37673.569101158122</v>
      </c>
      <c r="AO65" s="121">
        <v>0</v>
      </c>
      <c r="AP65" s="121">
        <v>0</v>
      </c>
      <c r="AQ65" s="121">
        <v>27054.453024342591</v>
      </c>
      <c r="AR65" s="121">
        <v>57942.131388881273</v>
      </c>
      <c r="AS65" s="121">
        <v>0</v>
      </c>
      <c r="AT65" s="121">
        <v>0</v>
      </c>
      <c r="AU65" s="121">
        <v>47268.934024482849</v>
      </c>
      <c r="AV65" s="121">
        <v>79404.474594949148</v>
      </c>
      <c r="AW65" s="121">
        <v>0</v>
      </c>
      <c r="AX65" s="121">
        <v>9244.613839854077</v>
      </c>
      <c r="AY65" s="121">
        <v>68682.509678988194</v>
      </c>
      <c r="AZ65" s="121">
        <v>102116.32608850108</v>
      </c>
      <c r="BA65" s="121">
        <v>0</v>
      </c>
      <c r="BB65" s="121">
        <v>29512.085173298354</v>
      </c>
      <c r="BC65" s="121">
        <v>91351.272004333427</v>
      </c>
      <c r="BD65" s="121">
        <v>126135.81459679082</v>
      </c>
      <c r="BE65" s="121">
        <v>0</v>
      </c>
      <c r="BF65" s="121">
        <v>50996.24212730048</v>
      </c>
      <c r="BG65" s="121">
        <v>115333.73210630952</v>
      </c>
      <c r="BH65" s="121">
        <v>151523.57021950214</v>
      </c>
      <c r="BI65" s="121">
        <v>0</v>
      </c>
      <c r="BJ65" s="121">
        <v>73754.19639650402</v>
      </c>
      <c r="BK65" s="121">
        <v>140690.920970665</v>
      </c>
      <c r="BL65" s="121">
        <v>178342.82854363055</v>
      </c>
      <c r="BM65" s="121">
        <v>19368.107679998353</v>
      </c>
      <c r="BN65" s="121">
        <v>97845.52613992893</v>
      </c>
      <c r="BO65" s="121">
        <v>167486.49438688619</v>
      </c>
      <c r="BP65" s="121">
        <v>206659.53902579949</v>
      </c>
      <c r="BQ65" s="121">
        <v>41262.23943927636</v>
      </c>
    </row>
    <row r="66" spans="1:69">
      <c r="E66" s="138" t="s">
        <v>195</v>
      </c>
      <c r="F66" s="138"/>
      <c r="G66" s="138" t="s">
        <v>172</v>
      </c>
      <c r="H66" s="138" cm="1">
        <f t="array" ref="H66">_xlfn.BYROW(_xlfn.ANCHORARRAY( J66), _xleta.SUM )</f>
        <v>43450887.153962031</v>
      </c>
      <c r="I66" s="138"/>
      <c r="J66" s="138" cm="1">
        <f t="array" ref="J66:BQ66">_xlfn.BYCOL(_xlfn.ANCHORARRAY( J64), _xleta.SUM )</f>
        <v>600000</v>
      </c>
      <c r="K66" s="138">
        <v>600000</v>
      </c>
      <c r="L66" s="138">
        <v>600000</v>
      </c>
      <c r="M66" s="138">
        <v>600000</v>
      </c>
      <c r="N66" s="138">
        <v>612000</v>
      </c>
      <c r="O66" s="138">
        <v>612000</v>
      </c>
      <c r="P66" s="138">
        <v>612000</v>
      </c>
      <c r="Q66" s="138">
        <v>612000</v>
      </c>
      <c r="R66" s="138">
        <v>624240</v>
      </c>
      <c r="S66" s="138">
        <v>624240</v>
      </c>
      <c r="T66" s="138">
        <v>624240</v>
      </c>
      <c r="U66" s="138">
        <v>624240</v>
      </c>
      <c r="V66" s="138">
        <v>636724.79999999993</v>
      </c>
      <c r="W66" s="138">
        <v>636724.79999999993</v>
      </c>
      <c r="X66" s="138">
        <v>636724.79999999993</v>
      </c>
      <c r="Y66" s="138">
        <v>636724.79999999993</v>
      </c>
      <c r="Z66" s="138">
        <v>649459.29599999997</v>
      </c>
      <c r="AA66" s="138">
        <v>649459.29599999997</v>
      </c>
      <c r="AB66" s="138">
        <v>649459.29599999997</v>
      </c>
      <c r="AC66" s="138">
        <v>649459.29599999997</v>
      </c>
      <c r="AD66" s="138">
        <v>662448.48192000005</v>
      </c>
      <c r="AE66" s="138">
        <v>662448.48192000005</v>
      </c>
      <c r="AF66" s="138">
        <v>662954.79385619902</v>
      </c>
      <c r="AG66" s="138">
        <v>662448.48192000005</v>
      </c>
      <c r="AH66" s="138">
        <v>675697.45155840006</v>
      </c>
      <c r="AI66" s="138">
        <v>675697.45155840006</v>
      </c>
      <c r="AJ66" s="138">
        <v>694242.81720504549</v>
      </c>
      <c r="AK66" s="138">
        <v>675697.45155840006</v>
      </c>
      <c r="AL66" s="138">
        <v>689211.40058956784</v>
      </c>
      <c r="AM66" s="138">
        <v>697196.69752181135</v>
      </c>
      <c r="AN66" s="138">
        <v>726884.96969072591</v>
      </c>
      <c r="AO66" s="138">
        <v>689211.40058956784</v>
      </c>
      <c r="AP66" s="138">
        <v>702995.62860135932</v>
      </c>
      <c r="AQ66" s="138">
        <v>730050.08162570186</v>
      </c>
      <c r="AR66" s="138">
        <v>760937.75999024056</v>
      </c>
      <c r="AS66" s="138">
        <v>702995.62860135932</v>
      </c>
      <c r="AT66" s="138">
        <v>717055.5411733865</v>
      </c>
      <c r="AU66" s="138">
        <v>764324.47519786935</v>
      </c>
      <c r="AV66" s="138">
        <v>796460.01576833567</v>
      </c>
      <c r="AW66" s="138">
        <v>717055.5411733865</v>
      </c>
      <c r="AX66" s="138">
        <v>740641.26583670825</v>
      </c>
      <c r="AY66" s="138">
        <v>800079.16167584248</v>
      </c>
      <c r="AZ66" s="138">
        <v>833512.97808535537</v>
      </c>
      <c r="BA66" s="138">
        <v>731396.65199685423</v>
      </c>
      <c r="BB66" s="138">
        <v>775536.67021008953</v>
      </c>
      <c r="BC66" s="138">
        <v>837375.8570411246</v>
      </c>
      <c r="BD66" s="138">
        <v>872160.39963358198</v>
      </c>
      <c r="BE66" s="138">
        <v>746024.58503679116</v>
      </c>
      <c r="BF66" s="138">
        <v>811941.31886482763</v>
      </c>
      <c r="BG66" s="138">
        <v>876278.80884383665</v>
      </c>
      <c r="BH66" s="138">
        <v>912468.64695702936</v>
      </c>
      <c r="BI66" s="138">
        <v>760945.07673752715</v>
      </c>
      <c r="BJ66" s="138">
        <v>849918.17466878169</v>
      </c>
      <c r="BK66" s="138">
        <v>916854.89924294269</v>
      </c>
      <c r="BL66" s="138">
        <v>954506.80681590817</v>
      </c>
      <c r="BM66" s="138">
        <v>795532.08595227601</v>
      </c>
      <c r="BN66" s="138">
        <v>889532.7839776522</v>
      </c>
      <c r="BO66" s="138">
        <v>959173.75222460949</v>
      </c>
      <c r="BP66" s="138">
        <v>998346.79686352273</v>
      </c>
      <c r="BQ66" s="138">
        <v>832949.49727699964</v>
      </c>
    </row>
    <row r="69" spans="1:69" s="122" customFormat="1">
      <c r="A69" s="128" t="s">
        <v>198</v>
      </c>
    </row>
    <row r="71" spans="1:69">
      <c r="B71" s="130" t="s">
        <v>199</v>
      </c>
    </row>
    <row r="72" spans="1:69">
      <c r="E72" s="138" t="s">
        <v>199</v>
      </c>
      <c r="F72" s="138"/>
      <c r="G72" s="138" t="s">
        <v>172</v>
      </c>
      <c r="H72" s="138" cm="1">
        <f t="array" ref="H72">_xlfn.BYROW(_xlfn.ANCHORARRAY( J72), _xleta.SUM )</f>
        <v>31128150.44917167</v>
      </c>
      <c r="I72" s="138"/>
      <c r="J72" s="138" cm="1">
        <f t="array" ref="J72:BQ72" xml:space="preserve"> _xlfn.LET(
      _xlpm.indexation_table, CaseData!$H$12:$J$13,
      _xlpm.indexation_rows, CaseData!$D$12:$D$13,
      _xlpm.indexation_columns, CaseData!$H$10:$J$10,
      _xlpm.current_scenario, INDEX( expense_scenarios, expense_selector ),
      _xlpm.current_item, $B$28,
      _xlpm.index, INDEX( _xlpm.indexation_table, MATCH( _xlpm.current_item, _xlpm.indexation_rows, 0 ), MATCH( _xlpm.current_scenario, _xlpm.indexation_columns, 0 ) ),
      _xlpm.compound_frequency, CaseData!$E$13,
      _xlpm.quarterly_operating_flag,_xlfn.ANCHORARRAY( Time!$J$18),
      _xlpm.yearly_operating_flag,_xlfn.ANCHORARRAY( Time!$J$19),
      _xlpm.active_operating_flag, IF( _xlpm.compound_frequency = "Annual", _xlpm.yearly_operating_flag, _xlpm.quarterly_operating_flag ),
      _xlpm.periodic_rate, IF( _xlpm.compound_frequency = "Annual", 1 + _xlpm.index, (1 + _xlpm.index ) ^ (1 / 4 ) ),
      _xlpm.indexation_count, _xlfn.SCAN( 0, _xlpm.active_operating_flag, _xlfn.LAMBDA(_xlpm.s,_xlpm.c, _xlpm.s + _xlpm.c ) ),
      _xlfn.SEQUENCE( 1, periods, CaseData!$H$79, 0 ) * _xlpm.periodic_rate ^ _xlpm.indexation_count )</f>
        <v>450000</v>
      </c>
      <c r="K72" s="138">
        <v>450000</v>
      </c>
      <c r="L72" s="138">
        <v>450000</v>
      </c>
      <c r="M72" s="138">
        <v>450000</v>
      </c>
      <c r="N72" s="138">
        <v>459000</v>
      </c>
      <c r="O72" s="138">
        <v>459000</v>
      </c>
      <c r="P72" s="138">
        <v>459000</v>
      </c>
      <c r="Q72" s="138">
        <v>459000</v>
      </c>
      <c r="R72" s="138">
        <v>468180</v>
      </c>
      <c r="S72" s="138">
        <v>468180</v>
      </c>
      <c r="T72" s="138">
        <v>468180</v>
      </c>
      <c r="U72" s="138">
        <v>468180</v>
      </c>
      <c r="V72" s="138">
        <v>477543.6</v>
      </c>
      <c r="W72" s="138">
        <v>477543.6</v>
      </c>
      <c r="X72" s="138">
        <v>477543.6</v>
      </c>
      <c r="Y72" s="138">
        <v>477543.6</v>
      </c>
      <c r="Z72" s="138">
        <v>487094.47200000001</v>
      </c>
      <c r="AA72" s="138">
        <v>487094.47200000001</v>
      </c>
      <c r="AB72" s="138">
        <v>487094.47200000001</v>
      </c>
      <c r="AC72" s="138">
        <v>487094.47200000001</v>
      </c>
      <c r="AD72" s="138">
        <v>496836.36144000001</v>
      </c>
      <c r="AE72" s="138">
        <v>496836.36144000001</v>
      </c>
      <c r="AF72" s="138">
        <v>496836.36144000001</v>
      </c>
      <c r="AG72" s="138">
        <v>496836.36144000001</v>
      </c>
      <c r="AH72" s="138">
        <v>506773.08866880002</v>
      </c>
      <c r="AI72" s="138">
        <v>506773.08866880002</v>
      </c>
      <c r="AJ72" s="138">
        <v>506773.08866880002</v>
      </c>
      <c r="AK72" s="138">
        <v>506773.08866880002</v>
      </c>
      <c r="AL72" s="138">
        <v>516908.55044217594</v>
      </c>
      <c r="AM72" s="138">
        <v>516908.55044217594</v>
      </c>
      <c r="AN72" s="138">
        <v>516908.55044217594</v>
      </c>
      <c r="AO72" s="138">
        <v>516908.55044217594</v>
      </c>
      <c r="AP72" s="138">
        <v>527246.72145101952</v>
      </c>
      <c r="AQ72" s="138">
        <v>527246.72145101952</v>
      </c>
      <c r="AR72" s="138">
        <v>527246.72145101952</v>
      </c>
      <c r="AS72" s="138">
        <v>527246.72145101952</v>
      </c>
      <c r="AT72" s="138">
        <v>537791.65588003991</v>
      </c>
      <c r="AU72" s="138">
        <v>537791.65588003991</v>
      </c>
      <c r="AV72" s="138">
        <v>537791.65588003991</v>
      </c>
      <c r="AW72" s="138">
        <v>537791.65588003991</v>
      </c>
      <c r="AX72" s="138">
        <v>548547.48899764067</v>
      </c>
      <c r="AY72" s="138">
        <v>548547.48899764067</v>
      </c>
      <c r="AZ72" s="138">
        <v>548547.48899764067</v>
      </c>
      <c r="BA72" s="138">
        <v>548547.48899764067</v>
      </c>
      <c r="BB72" s="138">
        <v>559518.43877759343</v>
      </c>
      <c r="BC72" s="138">
        <v>559518.43877759343</v>
      </c>
      <c r="BD72" s="138">
        <v>559518.43877759343</v>
      </c>
      <c r="BE72" s="138">
        <v>559518.43877759343</v>
      </c>
      <c r="BF72" s="138">
        <v>570708.80755314534</v>
      </c>
      <c r="BG72" s="138">
        <v>570708.80755314534</v>
      </c>
      <c r="BH72" s="138">
        <v>570708.80755314534</v>
      </c>
      <c r="BI72" s="138">
        <v>570708.80755314534</v>
      </c>
      <c r="BJ72" s="138">
        <v>582122.98370420828</v>
      </c>
      <c r="BK72" s="138">
        <v>582122.98370420828</v>
      </c>
      <c r="BL72" s="138">
        <v>582122.98370420828</v>
      </c>
      <c r="BM72" s="138">
        <v>582122.98370420828</v>
      </c>
      <c r="BN72" s="138">
        <v>593765.44337829249</v>
      </c>
      <c r="BO72" s="138">
        <v>593765.44337829249</v>
      </c>
      <c r="BP72" s="138">
        <v>593765.44337829249</v>
      </c>
      <c r="BQ72" s="138">
        <v>593765.44337829249</v>
      </c>
    </row>
    <row r="75" spans="1:69" s="139" customFormat="1">
      <c r="A75" s="128" t="s">
        <v>200</v>
      </c>
    </row>
    <row r="76" spans="1:69" customFormat="1"/>
    <row r="77" spans="1:69" customFormat="1">
      <c r="J77" s="143" cm="1">
        <f t="array" ref="J77:X77">_xlfn.ANCHORARRAY( Time!$J$11)</f>
        <v>2020</v>
      </c>
      <c r="K77" s="143">
        <v>2021</v>
      </c>
      <c r="L77" s="143">
        <v>2022</v>
      </c>
      <c r="M77" s="143">
        <v>2023</v>
      </c>
      <c r="N77" s="143">
        <v>2024</v>
      </c>
      <c r="O77" s="143">
        <v>2025</v>
      </c>
      <c r="P77" s="143">
        <v>2026</v>
      </c>
      <c r="Q77" s="143">
        <v>2027</v>
      </c>
      <c r="R77" s="143">
        <v>2028</v>
      </c>
      <c r="S77" s="143">
        <v>2029</v>
      </c>
      <c r="T77" s="143">
        <v>2030</v>
      </c>
      <c r="U77" s="143">
        <v>2031</v>
      </c>
      <c r="V77" s="143">
        <v>2032</v>
      </c>
      <c r="W77" s="143">
        <v>2033</v>
      </c>
      <c r="X77" s="143">
        <v>2034</v>
      </c>
    </row>
    <row r="78" spans="1:69" customFormat="1">
      <c r="E78" s="130" t="s">
        <v>95</v>
      </c>
      <c r="F78" s="130"/>
      <c r="G78" s="130" t="s">
        <v>172</v>
      </c>
      <c r="H78" s="130" cm="1">
        <f t="array" ref="H78">_xlfn.BYROW(_xlfn.ANCHORARRAY(J78), _xleta.SUM )</f>
        <v>635538392.40372539</v>
      </c>
      <c r="I78" s="130"/>
      <c r="J78" s="130" cm="1">
        <f t="array" ref="J78:X78">SUMIFS(_xlfn.ANCHORARRAY( Calculations!J20),_xlfn.ANCHORARRAY( Time!$J$10),_xlfn.ANCHORARRAY( J77) )</f>
        <v>30464000</v>
      </c>
      <c r="K78" s="130">
        <v>31850112</v>
      </c>
      <c r="L78" s="130">
        <v>33299292.095999993</v>
      </c>
      <c r="M78" s="130">
        <v>34814409.886367992</v>
      </c>
      <c r="N78" s="130">
        <v>36398465.536197737</v>
      </c>
      <c r="O78" s="130">
        <v>38054595.718094729</v>
      </c>
      <c r="P78" s="130">
        <v>39786079.823268034</v>
      </c>
      <c r="Q78" s="130">
        <v>41596346.455226727</v>
      </c>
      <c r="R78" s="130">
        <v>43488980.21893955</v>
      </c>
      <c r="S78" s="130">
        <v>45467728.818901293</v>
      </c>
      <c r="T78" s="130">
        <v>47536510.480161287</v>
      </c>
      <c r="U78" s="130">
        <v>49699421.70700863</v>
      </c>
      <c r="V78" s="130">
        <v>51960745.39467752</v>
      </c>
      <c r="W78" s="130">
        <v>54324959.310135335</v>
      </c>
      <c r="X78" s="130">
        <v>56796744.958746508</v>
      </c>
    </row>
    <row r="79" spans="1:69" customFormat="1"/>
    <row r="80" spans="1:69" customFormat="1">
      <c r="E80" t="s">
        <v>183</v>
      </c>
      <c r="G80" t="s">
        <v>172</v>
      </c>
      <c r="H80" s="121" cm="1">
        <f t="array" ref="H80">_xlfn.BYROW(_xlfn.ANCHORARRAY(J80), _xleta.SUM )</f>
        <v>215577317.64034516</v>
      </c>
      <c r="J80" cm="1">
        <f t="array" ref="J80:X80">SUMIFS(_xlfn.ANCHORARRAY( Calculations!$J$41),_xlfn.ANCHORARRAY( Time!$J$10),_xlfn.ANCHORARRAY( $J$77) )</f>
        <v>11424000</v>
      </c>
      <c r="K80">
        <v>11885529.600000001</v>
      </c>
      <c r="L80">
        <v>12367668.509722648</v>
      </c>
      <c r="M80">
        <v>12871549.317055965</v>
      </c>
      <c r="N80">
        <v>13393523.873604534</v>
      </c>
      <c r="O80">
        <v>13929648.294545218</v>
      </c>
      <c r="P80">
        <v>14283277.001206271</v>
      </c>
      <c r="Q80">
        <v>14542141.050662415</v>
      </c>
      <c r="R80">
        <v>14821716.803079832</v>
      </c>
      <c r="S80">
        <v>15123070.901714368</v>
      </c>
      <c r="T80">
        <v>15447278.440737689</v>
      </c>
      <c r="U80">
        <v>15791605.206320573</v>
      </c>
      <c r="V80">
        <v>16161269.690163305</v>
      </c>
      <c r="W80">
        <v>16557377.317672357</v>
      </c>
      <c r="X80">
        <v>16977661.633859996</v>
      </c>
    </row>
    <row r="81" spans="5:24" customFormat="1">
      <c r="E81" t="s">
        <v>201</v>
      </c>
      <c r="G81" t="s">
        <v>172</v>
      </c>
      <c r="H81" s="121" cm="1">
        <f t="array" ref="H81">_xlfn.BYROW(_xlfn.ANCHORARRAY(J81), _xleta.SUM )</f>
        <v>213082703.13222909</v>
      </c>
      <c r="J81" cm="1">
        <f t="array" ref="J81:X81">SUMIFS(_xlfn.ANCHORARRAY( Calculations!$J$58),_xlfn.ANCHORARRAY( Time!$J$10),_xlfn.ANCHORARRAY( $J$77) )</f>
        <v>10792000</v>
      </c>
      <c r="K81">
        <v>11207596.800000001</v>
      </c>
      <c r="L81">
        <v>11638683.047519999</v>
      </c>
      <c r="M81">
        <v>12084478.058639806</v>
      </c>
      <c r="N81">
        <v>12545541.713498037</v>
      </c>
      <c r="O81">
        <v>13023675.497840159</v>
      </c>
      <c r="P81">
        <v>13520551.765052039</v>
      </c>
      <c r="Q81">
        <v>14034388.143042818</v>
      </c>
      <c r="R81">
        <v>14567399.301972684</v>
      </c>
      <c r="S81">
        <v>15118211.425841408</v>
      </c>
      <c r="T81">
        <v>15686564.662747269</v>
      </c>
      <c r="U81">
        <v>16275440.930075375</v>
      </c>
      <c r="V81">
        <v>16887210.579702608</v>
      </c>
      <c r="W81">
        <v>17521691.696110964</v>
      </c>
      <c r="X81">
        <v>18179269.51018589</v>
      </c>
    </row>
    <row r="82" spans="5:24" customFormat="1">
      <c r="E82" t="s">
        <v>195</v>
      </c>
      <c r="G82" t="s">
        <v>172</v>
      </c>
      <c r="H82" s="121" cm="1">
        <f t="array" ref="H82">_xlfn.BYROW(_xlfn.ANCHORARRAY(J82), _xleta.SUM )</f>
        <v>43450887.153962016</v>
      </c>
      <c r="J82" cm="1">
        <f t="array" ref="J82:X82">SUMIFS(_xlfn.ANCHORARRAY( Calculations!$J$66),_xlfn.ANCHORARRAY( Time!$J$10),_xlfn.ANCHORARRAY( $J$77) )</f>
        <v>2400000</v>
      </c>
      <c r="K82">
        <v>2448000</v>
      </c>
      <c r="L82">
        <v>2496960</v>
      </c>
      <c r="M82">
        <v>2546899.1999999997</v>
      </c>
      <c r="N82">
        <v>2597837.1839999999</v>
      </c>
      <c r="O82">
        <v>2650300.2396161994</v>
      </c>
      <c r="P82">
        <v>2721335.1718802457</v>
      </c>
      <c r="Q82">
        <v>2802504.4683916727</v>
      </c>
      <c r="R82">
        <v>2896979.0988186607</v>
      </c>
      <c r="S82">
        <v>2994895.5733129778</v>
      </c>
      <c r="T82">
        <v>3105630.0575947603</v>
      </c>
      <c r="U82">
        <v>3231097.5119215874</v>
      </c>
      <c r="V82">
        <v>3361633.851403221</v>
      </c>
      <c r="W82">
        <v>3516811.9666799083</v>
      </c>
      <c r="X82">
        <v>3680002.8303427841</v>
      </c>
    </row>
    <row r="83" spans="5:24" customFormat="1">
      <c r="E83" s="137" t="s">
        <v>199</v>
      </c>
      <c r="G83" t="s">
        <v>172</v>
      </c>
      <c r="H83" s="121" cm="1">
        <f t="array" ref="H83">_xlfn.BYROW(_xlfn.ANCHORARRAY(J83), _xleta.SUM )</f>
        <v>31128150.449171662</v>
      </c>
      <c r="J83" cm="1">
        <f t="array" ref="J83:X83">SUMIFS(_xlfn.ANCHORARRAY( Calculations!$J$72),_xlfn.ANCHORARRAY( Time!$J$10),_xlfn.ANCHORARRAY( $J$77) )</f>
        <v>1800000</v>
      </c>
      <c r="K83">
        <v>1836000</v>
      </c>
      <c r="L83">
        <v>1872720</v>
      </c>
      <c r="M83">
        <v>1910174.4</v>
      </c>
      <c r="N83">
        <v>1948377.888</v>
      </c>
      <c r="O83">
        <v>1987345.44576</v>
      </c>
      <c r="P83">
        <v>2027092.3546752001</v>
      </c>
      <c r="Q83">
        <v>2067634.2017687038</v>
      </c>
      <c r="R83">
        <v>2108986.8858040781</v>
      </c>
      <c r="S83">
        <v>2151166.6235201596</v>
      </c>
      <c r="T83">
        <v>2194189.9559905627</v>
      </c>
      <c r="U83">
        <v>2238073.7551103737</v>
      </c>
      <c r="V83">
        <v>2282835.2302125813</v>
      </c>
      <c r="W83">
        <v>2328491.9348168331</v>
      </c>
      <c r="X83">
        <v>2375061.77351317</v>
      </c>
    </row>
    <row r="84" spans="5:24" customFormat="1">
      <c r="E84" s="140" t="s">
        <v>202</v>
      </c>
      <c r="F84" s="141"/>
      <c r="G84" s="141" t="s">
        <v>172</v>
      </c>
      <c r="H84" s="138" cm="1">
        <f t="array" ref="H84">_xlfn.BYROW(_xlfn.ANCHORARRAY(J84), _xleta.SUM )</f>
        <v>503239058.37570786</v>
      </c>
      <c r="I84" s="141"/>
      <c r="J84" s="141" cm="1">
        <f t="array" ref="J84:X84" xml:space="preserve"> _xlfn.LET(
      _xlpm.costs, _xlfn.VSTACK(_xlfn.ANCHORARRAY( J80),_xlfn.ANCHORARRAY( J81),_xlfn.ANCHORARRAY( J82),_xlfn.ANCHORARRAY( J83) ),
      _xlfn.BYCOL( _xlpm.costs, _xleta.SUM ) )</f>
        <v>26416000</v>
      </c>
      <c r="K84" s="141">
        <v>27377126.400000002</v>
      </c>
      <c r="L84" s="141">
        <v>28376031.557242647</v>
      </c>
      <c r="M84" s="141">
        <v>29413100.97569577</v>
      </c>
      <c r="N84" s="141">
        <v>30485280.65910257</v>
      </c>
      <c r="O84" s="141">
        <v>31590969.477761578</v>
      </c>
      <c r="P84" s="141">
        <v>32552256.292813756</v>
      </c>
      <c r="Q84" s="141">
        <v>33446667.863865606</v>
      </c>
      <c r="R84" s="141">
        <v>34395082.089675255</v>
      </c>
      <c r="S84" s="141">
        <v>35387344.524388917</v>
      </c>
      <c r="T84" s="141">
        <v>36433663.11707028</v>
      </c>
      <c r="U84" s="141">
        <v>37536217.403427906</v>
      </c>
      <c r="V84" s="141">
        <v>38692949.351481721</v>
      </c>
      <c r="W84" s="141">
        <v>39924372.915280059</v>
      </c>
      <c r="X84" s="141">
        <v>41211995.747901842</v>
      </c>
    </row>
    <row r="85" spans="5:24" customFormat="1"/>
    <row r="86" spans="5:24" customFormat="1">
      <c r="E86" s="130" t="s">
        <v>90</v>
      </c>
      <c r="F86" s="130"/>
      <c r="G86" s="130" t="s">
        <v>172</v>
      </c>
      <c r="H86" s="130" cm="1">
        <f t="array" ref="H86">_xlfn.BYROW(_xlfn.ANCHORARRAY(J86), _xleta.SUM )</f>
        <v>132299334.02801743</v>
      </c>
      <c r="I86" s="130"/>
      <c r="J86" s="130" cm="1">
        <f t="array" ref="J86:X86">_xlfn.ANCHORARRAY( J78) -_xlfn.ANCHORARRAY( J84)</f>
        <v>4048000</v>
      </c>
      <c r="K86" s="130">
        <v>4472985.5999999978</v>
      </c>
      <c r="L86" s="130">
        <v>4923260.5387573466</v>
      </c>
      <c r="M86" s="130">
        <v>5401308.9106722213</v>
      </c>
      <c r="N86" s="130">
        <v>5913184.8770951666</v>
      </c>
      <c r="O86" s="130">
        <v>6463626.2403331511</v>
      </c>
      <c r="P86" s="130">
        <v>7233823.530454278</v>
      </c>
      <c r="Q86" s="130">
        <v>8149678.5913611203</v>
      </c>
      <c r="R86" s="130">
        <v>9093898.1292642951</v>
      </c>
      <c r="S86" s="130">
        <v>10080384.294512376</v>
      </c>
      <c r="T86" s="130">
        <v>11102847.363091007</v>
      </c>
      <c r="U86" s="130">
        <v>12163204.303580724</v>
      </c>
      <c r="V86" s="130">
        <v>13267796.043195799</v>
      </c>
      <c r="W86" s="130">
        <v>14400586.394855276</v>
      </c>
      <c r="X86" s="130">
        <v>15584749.210844666</v>
      </c>
    </row>
    <row r="89" spans="5:24" s="122" customFormat="1"/>
    <row r="91" spans="5:24">
      <c r="H91"/>
      <c r="I91"/>
      <c r="J91"/>
      <c r="K91" s="116" t="s">
        <v>203</v>
      </c>
      <c r="L91" s="100"/>
      <c r="M91" s="100"/>
    </row>
    <row r="92" spans="5:24">
      <c r="H92"/>
      <c r="I92"/>
      <c r="J92"/>
      <c r="K92" s="84" t="str" cm="1">
        <f t="array" ref="K92:M92">INDEX( expense_scenarios, Calculations!$K$93:$M$93)</f>
        <v>1. Low</v>
      </c>
      <c r="L92" s="84" t="str">
        <v>2. Medium</v>
      </c>
      <c r="M92" s="84" t="str">
        <v>3. High</v>
      </c>
    </row>
    <row r="93" spans="5:24">
      <c r="H93" s="142" t="s">
        <v>204</v>
      </c>
      <c r="I93" s="130"/>
      <c r="J93" s="130">
        <f>Calculations!H86</f>
        <v>132299334.02801743</v>
      </c>
      <c r="K93" s="62">
        <v>1</v>
      </c>
      <c r="L93" s="62">
        <v>2</v>
      </c>
      <c r="M93" s="62">
        <v>3</v>
      </c>
    </row>
    <row r="94" spans="5:24">
      <c r="H94" t="str">
        <f xml:space="preserve"> _xlfn.SINGLE(INDEX( fx_rates, Calculations!$J$94 ))</f>
        <v>FX Case 1</v>
      </c>
      <c r="I94"/>
      <c r="J94">
        <v>1</v>
      </c>
      <c r="K94">
        <f t="dataTable" ref="K94:M96" dt2D="1" dtr="1" r1="F29" r2="F6"/>
        <v>132299334.02801743</v>
      </c>
      <c r="L94">
        <v>143876668.50514919</v>
      </c>
      <c r="M94">
        <v>154978057.37504369</v>
      </c>
    </row>
    <row r="95" spans="5:24">
      <c r="H95" t="str">
        <f xml:space="preserve"> _xlfn.SINGLE(INDEX( fx_rates, $J$95 ))</f>
        <v>FX Case 2</v>
      </c>
      <c r="I95"/>
      <c r="J95">
        <v>2</v>
      </c>
      <c r="K95">
        <v>157106684.08924994</v>
      </c>
      <c r="L95">
        <v>168684018.56638169</v>
      </c>
      <c r="M95">
        <v>179785407.4362762</v>
      </c>
    </row>
    <row r="96" spans="5:24">
      <c r="H96" t="str">
        <f xml:space="preserve"> _xlfn.SINGLE(INDEX( fx_rates, Calculations!$J$96 ))</f>
        <v>FX Case 3</v>
      </c>
      <c r="I96"/>
      <c r="J96">
        <v>3</v>
      </c>
      <c r="K96">
        <v>167344274.19929212</v>
      </c>
      <c r="L96">
        <v>178921608.67642388</v>
      </c>
      <c r="M96">
        <v>190022997.54631838</v>
      </c>
    </row>
  </sheetData>
  <conditionalFormatting sqref="J35 K38:BQ38">
    <cfRule type="cellIs" dxfId="0" priority="1" operator="lessThan">
      <formula>0</formula>
    </cfRule>
  </conditionalFormatting>
  <printOptions horizontalCentered="1"/>
  <pageMargins left="0.15748031496062992" right="0.15748031496062992" top="0.39370078740157483" bottom="0.39370078740157483" header="0.15748031496062992" footer="0.15748031496062992"/>
  <pageSetup paperSize="9" scale="85" orientation="landscape" r:id="rId1"/>
  <headerFooter>
    <oddFooter>&amp;LFinancial Modeling Institute
CFM October 2026&amp;CPage &amp;P of &amp;N&amp;R&amp;D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4</xdr:col>
                    <xdr:colOff>2811780</xdr:colOff>
                    <xdr:row>5</xdr:row>
                    <xdr:rowOff>0</xdr:rowOff>
                  </from>
                  <to>
                    <xdr:col>5</xdr:col>
                    <xdr:colOff>853440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Drop Down 2">
              <controlPr defaultSize="0" autoLine="0" autoPict="0">
                <anchor moveWithCells="1">
                  <from>
                    <xdr:col>4</xdr:col>
                    <xdr:colOff>2811780</xdr:colOff>
                    <xdr:row>7</xdr:row>
                    <xdr:rowOff>15240</xdr:rowOff>
                  </from>
                  <to>
                    <xdr:col>5</xdr:col>
                    <xdr:colOff>868680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Drop Down 3">
              <controlPr defaultSize="0" autoLine="0" autoPict="0">
                <anchor moveWithCells="1">
                  <from>
                    <xdr:col>4</xdr:col>
                    <xdr:colOff>2811780</xdr:colOff>
                    <xdr:row>28</xdr:row>
                    <xdr:rowOff>7620</xdr:rowOff>
                  </from>
                  <to>
                    <xdr:col>6</xdr:col>
                    <xdr:colOff>22860</xdr:colOff>
                    <xdr:row>28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0DBB-6950-46D4-A758-A21147273E74}">
  <dimension ref="A1:GG19"/>
  <sheetViews>
    <sheetView zoomScale="80" zoomScaleNormal="80" workbookViewId="0">
      <pane xSplit="9" ySplit="3" topLeftCell="J9" activePane="bottomRight" state="frozen"/>
      <selection activeCell="A5" sqref="A5"/>
      <selection pane="topRight" activeCell="A5" sqref="A5"/>
      <selection pane="bottomLeft" activeCell="A5" sqref="A5"/>
      <selection pane="bottomRight" activeCell="J11" sqref="J11"/>
    </sheetView>
  </sheetViews>
  <sheetFormatPr defaultRowHeight="13.8"/>
  <cols>
    <col min="1" max="2" width="1.59765625" customWidth="1"/>
    <col min="3" max="4" width="1.5" customWidth="1"/>
    <col min="5" max="5" width="37.19921875" customWidth="1"/>
    <col min="6" max="8" width="11.59765625" customWidth="1"/>
    <col min="9" max="9" width="1.5" customWidth="1"/>
    <col min="10" max="11" width="12.09765625" bestFit="1" customWidth="1"/>
    <col min="12" max="12" width="13" bestFit="1" customWidth="1"/>
    <col min="13" max="13" width="12.3984375" bestFit="1" customWidth="1"/>
    <col min="14" max="15" width="12.09765625" bestFit="1" customWidth="1"/>
    <col min="16" max="16" width="13" bestFit="1" customWidth="1"/>
    <col min="17" max="17" width="12.3984375" bestFit="1" customWidth="1"/>
    <col min="18" max="19" width="12.09765625" bestFit="1" customWidth="1"/>
    <col min="20" max="20" width="13" bestFit="1" customWidth="1"/>
    <col min="21" max="21" width="12.3984375" bestFit="1" customWidth="1"/>
    <col min="22" max="23" width="12.09765625" bestFit="1" customWidth="1"/>
    <col min="24" max="24" width="13" bestFit="1" customWidth="1"/>
    <col min="25" max="25" width="12.3984375" bestFit="1" customWidth="1"/>
    <col min="26" max="27" width="12.09765625" bestFit="1" customWidth="1"/>
    <col min="28" max="28" width="13" bestFit="1" customWidth="1"/>
    <col min="29" max="29" width="12.3984375" bestFit="1" customWidth="1"/>
    <col min="30" max="31" width="12.09765625" bestFit="1" customWidth="1"/>
    <col min="32" max="32" width="13" bestFit="1" customWidth="1"/>
    <col min="33" max="33" width="12.3984375" bestFit="1" customWidth="1"/>
    <col min="34" max="35" width="12.09765625" bestFit="1" customWidth="1"/>
    <col min="36" max="36" width="13" bestFit="1" customWidth="1"/>
    <col min="37" max="37" width="12.3984375" bestFit="1" customWidth="1"/>
    <col min="38" max="39" width="12.09765625" bestFit="1" customWidth="1"/>
    <col min="40" max="40" width="13" bestFit="1" customWidth="1"/>
    <col min="41" max="41" width="12.3984375" bestFit="1" customWidth="1"/>
    <col min="42" max="43" width="12.09765625" bestFit="1" customWidth="1"/>
    <col min="44" max="44" width="13" bestFit="1" customWidth="1"/>
    <col min="45" max="45" width="12.3984375" bestFit="1" customWidth="1"/>
    <col min="46" max="47" width="12.09765625" bestFit="1" customWidth="1"/>
    <col min="48" max="48" width="13" bestFit="1" customWidth="1"/>
    <col min="49" max="49" width="12.3984375" bestFit="1" customWidth="1"/>
    <col min="50" max="51" width="12.09765625" bestFit="1" customWidth="1"/>
    <col min="52" max="52" width="13" bestFit="1" customWidth="1"/>
    <col min="53" max="53" width="12.3984375" bestFit="1" customWidth="1"/>
    <col min="54" max="55" width="12.09765625" bestFit="1" customWidth="1"/>
    <col min="56" max="56" width="13" bestFit="1" customWidth="1"/>
    <col min="57" max="57" width="12.3984375" bestFit="1" customWidth="1"/>
    <col min="58" max="59" width="12.09765625" bestFit="1" customWidth="1"/>
    <col min="60" max="60" width="13" bestFit="1" customWidth="1"/>
    <col min="61" max="61" width="12.3984375" bestFit="1" customWidth="1"/>
    <col min="62" max="63" width="12.09765625" bestFit="1" customWidth="1"/>
    <col min="64" max="64" width="13" bestFit="1" customWidth="1"/>
    <col min="65" max="65" width="12.3984375" bestFit="1" customWidth="1"/>
    <col min="66" max="67" width="12.09765625" bestFit="1" customWidth="1"/>
    <col min="68" max="68" width="13" bestFit="1" customWidth="1"/>
    <col min="69" max="69" width="12.3984375" bestFit="1" customWidth="1"/>
    <col min="70" max="100" width="12.09765625" bestFit="1" customWidth="1"/>
    <col min="101" max="130" width="11.59765625" bestFit="1" customWidth="1"/>
    <col min="131" max="161" width="12.3984375" bestFit="1" customWidth="1"/>
    <col min="162" max="189" width="11.8984375" bestFit="1" customWidth="1"/>
  </cols>
  <sheetData>
    <row r="1" spans="1:189" s="120" customFormat="1">
      <c r="A1" s="120" t="str" cm="1">
        <f t="array" ref="A1">company</f>
        <v>Megabrick Inc.</v>
      </c>
    </row>
    <row r="2" spans="1:189" s="120" customFormat="1">
      <c r="A2" s="120" t="str" cm="1">
        <f t="array" ref="A2">topic</f>
        <v>CFM  Topic: Costs</v>
      </c>
      <c r="J2" s="124" cm="1">
        <f t="array" ref="J2:BQ2">EDATE( start_date, _xlfn.SEQUENCE( 1, periods, 0, 3 ) )</f>
        <v>43831</v>
      </c>
      <c r="K2" s="124">
        <v>43922</v>
      </c>
      <c r="L2" s="124">
        <v>44013</v>
      </c>
      <c r="M2" s="124">
        <v>44105</v>
      </c>
      <c r="N2" s="124">
        <v>44197</v>
      </c>
      <c r="O2" s="124">
        <v>44287</v>
      </c>
      <c r="P2" s="124">
        <v>44378</v>
      </c>
      <c r="Q2" s="124">
        <v>44470</v>
      </c>
      <c r="R2" s="124">
        <v>44562</v>
      </c>
      <c r="S2" s="124">
        <v>44652</v>
      </c>
      <c r="T2" s="124">
        <v>44743</v>
      </c>
      <c r="U2" s="124">
        <v>44835</v>
      </c>
      <c r="V2" s="124">
        <v>44927</v>
      </c>
      <c r="W2" s="124">
        <v>45017</v>
      </c>
      <c r="X2" s="124">
        <v>45108</v>
      </c>
      <c r="Y2" s="124">
        <v>45200</v>
      </c>
      <c r="Z2" s="124">
        <v>45292</v>
      </c>
      <c r="AA2" s="124">
        <v>45383</v>
      </c>
      <c r="AB2" s="124">
        <v>45474</v>
      </c>
      <c r="AC2" s="124">
        <v>45566</v>
      </c>
      <c r="AD2" s="124">
        <v>45658</v>
      </c>
      <c r="AE2" s="124">
        <v>45748</v>
      </c>
      <c r="AF2" s="124">
        <v>45839</v>
      </c>
      <c r="AG2" s="124">
        <v>45931</v>
      </c>
      <c r="AH2" s="124">
        <v>46023</v>
      </c>
      <c r="AI2" s="124">
        <v>46113</v>
      </c>
      <c r="AJ2" s="124">
        <v>46204</v>
      </c>
      <c r="AK2" s="124">
        <v>46296</v>
      </c>
      <c r="AL2" s="124">
        <v>46388</v>
      </c>
      <c r="AM2" s="124">
        <v>46478</v>
      </c>
      <c r="AN2" s="124">
        <v>46569</v>
      </c>
      <c r="AO2" s="124">
        <v>46661</v>
      </c>
      <c r="AP2" s="124">
        <v>46753</v>
      </c>
      <c r="AQ2" s="124">
        <v>46844</v>
      </c>
      <c r="AR2" s="124">
        <v>46935</v>
      </c>
      <c r="AS2" s="124">
        <v>47027</v>
      </c>
      <c r="AT2" s="124">
        <v>47119</v>
      </c>
      <c r="AU2" s="124">
        <v>47209</v>
      </c>
      <c r="AV2" s="124">
        <v>47300</v>
      </c>
      <c r="AW2" s="124">
        <v>47392</v>
      </c>
      <c r="AX2" s="124">
        <v>47484</v>
      </c>
      <c r="AY2" s="124">
        <v>47574</v>
      </c>
      <c r="AZ2" s="124">
        <v>47665</v>
      </c>
      <c r="BA2" s="124">
        <v>47757</v>
      </c>
      <c r="BB2" s="124">
        <v>47849</v>
      </c>
      <c r="BC2" s="124">
        <v>47939</v>
      </c>
      <c r="BD2" s="124">
        <v>48030</v>
      </c>
      <c r="BE2" s="124">
        <v>48122</v>
      </c>
      <c r="BF2" s="124">
        <v>48214</v>
      </c>
      <c r="BG2" s="124">
        <v>48305</v>
      </c>
      <c r="BH2" s="124">
        <v>48396</v>
      </c>
      <c r="BI2" s="124">
        <v>48488</v>
      </c>
      <c r="BJ2" s="124">
        <v>48580</v>
      </c>
      <c r="BK2" s="124">
        <v>48670</v>
      </c>
      <c r="BL2" s="124">
        <v>48761</v>
      </c>
      <c r="BM2" s="124">
        <v>48853</v>
      </c>
      <c r="BN2" s="124">
        <v>48945</v>
      </c>
      <c r="BO2" s="124">
        <v>49035</v>
      </c>
      <c r="BP2" s="124">
        <v>49126</v>
      </c>
      <c r="BQ2" s="124">
        <v>49218</v>
      </c>
    </row>
    <row r="3" spans="1:189" s="120" customFormat="1">
      <c r="A3" s="120" t="s">
        <v>137</v>
      </c>
      <c r="J3" s="124" cm="1">
        <f t="array" ref="J3:BQ3">EOMONTH( start_date, _xlfn.SEQUENCE( 1, periods, 2, 3 ) )</f>
        <v>43921</v>
      </c>
      <c r="K3" s="124">
        <v>44012</v>
      </c>
      <c r="L3" s="124">
        <v>44104</v>
      </c>
      <c r="M3" s="124">
        <v>44196</v>
      </c>
      <c r="N3" s="124">
        <v>44286</v>
      </c>
      <c r="O3" s="124">
        <v>44377</v>
      </c>
      <c r="P3" s="124">
        <v>44469</v>
      </c>
      <c r="Q3" s="124">
        <v>44561</v>
      </c>
      <c r="R3" s="124">
        <v>44651</v>
      </c>
      <c r="S3" s="124">
        <v>44742</v>
      </c>
      <c r="T3" s="124">
        <v>44834</v>
      </c>
      <c r="U3" s="124">
        <v>44926</v>
      </c>
      <c r="V3" s="124">
        <v>45016</v>
      </c>
      <c r="W3" s="124">
        <v>45107</v>
      </c>
      <c r="X3" s="124">
        <v>45199</v>
      </c>
      <c r="Y3" s="124">
        <v>45291</v>
      </c>
      <c r="Z3" s="124">
        <v>45382</v>
      </c>
      <c r="AA3" s="124">
        <v>45473</v>
      </c>
      <c r="AB3" s="124">
        <v>45565</v>
      </c>
      <c r="AC3" s="124">
        <v>45657</v>
      </c>
      <c r="AD3" s="124">
        <v>45747</v>
      </c>
      <c r="AE3" s="124">
        <v>45838</v>
      </c>
      <c r="AF3" s="124">
        <v>45930</v>
      </c>
      <c r="AG3" s="124">
        <v>46022</v>
      </c>
      <c r="AH3" s="124">
        <v>46112</v>
      </c>
      <c r="AI3" s="124">
        <v>46203</v>
      </c>
      <c r="AJ3" s="124">
        <v>46295</v>
      </c>
      <c r="AK3" s="124">
        <v>46387</v>
      </c>
      <c r="AL3" s="124">
        <v>46477</v>
      </c>
      <c r="AM3" s="124">
        <v>46568</v>
      </c>
      <c r="AN3" s="124">
        <v>46660</v>
      </c>
      <c r="AO3" s="124">
        <v>46752</v>
      </c>
      <c r="AP3" s="124">
        <v>46843</v>
      </c>
      <c r="AQ3" s="124">
        <v>46934</v>
      </c>
      <c r="AR3" s="124">
        <v>47026</v>
      </c>
      <c r="AS3" s="124">
        <v>47118</v>
      </c>
      <c r="AT3" s="124">
        <v>47208</v>
      </c>
      <c r="AU3" s="124">
        <v>47299</v>
      </c>
      <c r="AV3" s="124">
        <v>47391</v>
      </c>
      <c r="AW3" s="124">
        <v>47483</v>
      </c>
      <c r="AX3" s="124">
        <v>47573</v>
      </c>
      <c r="AY3" s="124">
        <v>47664</v>
      </c>
      <c r="AZ3" s="124">
        <v>47756</v>
      </c>
      <c r="BA3" s="124">
        <v>47848</v>
      </c>
      <c r="BB3" s="124">
        <v>47938</v>
      </c>
      <c r="BC3" s="124">
        <v>48029</v>
      </c>
      <c r="BD3" s="124">
        <v>48121</v>
      </c>
      <c r="BE3" s="124">
        <v>48213</v>
      </c>
      <c r="BF3" s="124">
        <v>48304</v>
      </c>
      <c r="BG3" s="124">
        <v>48395</v>
      </c>
      <c r="BH3" s="124">
        <v>48487</v>
      </c>
      <c r="BI3" s="124">
        <v>48579</v>
      </c>
      <c r="BJ3" s="124">
        <v>48669</v>
      </c>
      <c r="BK3" s="124">
        <v>48760</v>
      </c>
      <c r="BL3" s="124">
        <v>48852</v>
      </c>
      <c r="BM3" s="124">
        <v>48944</v>
      </c>
      <c r="BN3" s="124">
        <v>49034</v>
      </c>
      <c r="BO3" s="124">
        <v>49125</v>
      </c>
      <c r="BP3" s="124">
        <v>49217</v>
      </c>
      <c r="BQ3" s="124">
        <v>49309</v>
      </c>
    </row>
    <row r="4" spans="1:189" s="121" customFormat="1"/>
    <row r="5" spans="1:189" s="122" customFormat="1">
      <c r="A5" s="122" t="s">
        <v>142</v>
      </c>
    </row>
    <row r="7" spans="1:189">
      <c r="E7" t="s">
        <v>144</v>
      </c>
      <c r="G7" t="s">
        <v>143</v>
      </c>
      <c r="J7" s="123" cm="1">
        <f t="array" ref="J7:BQ7">EDATE( start_date, _xlfn.SEQUENCE( 1, periods, 0, 3 ) )</f>
        <v>43831</v>
      </c>
      <c r="K7" s="123">
        <v>43922</v>
      </c>
      <c r="L7" s="123">
        <v>44013</v>
      </c>
      <c r="M7" s="123">
        <v>44105</v>
      </c>
      <c r="N7" s="123">
        <v>44197</v>
      </c>
      <c r="O7" s="123">
        <v>44287</v>
      </c>
      <c r="P7" s="123">
        <v>44378</v>
      </c>
      <c r="Q7" s="123">
        <v>44470</v>
      </c>
      <c r="R7" s="123">
        <v>44562</v>
      </c>
      <c r="S7" s="123">
        <v>44652</v>
      </c>
      <c r="T7" s="123">
        <v>44743</v>
      </c>
      <c r="U7" s="123">
        <v>44835</v>
      </c>
      <c r="V7" s="123">
        <v>44927</v>
      </c>
      <c r="W7" s="123">
        <v>45017</v>
      </c>
      <c r="X7" s="123">
        <v>45108</v>
      </c>
      <c r="Y7" s="123">
        <v>45200</v>
      </c>
      <c r="Z7" s="123">
        <v>45292</v>
      </c>
      <c r="AA7" s="123">
        <v>45383</v>
      </c>
      <c r="AB7" s="123">
        <v>45474</v>
      </c>
      <c r="AC7" s="123">
        <v>45566</v>
      </c>
      <c r="AD7" s="123">
        <v>45658</v>
      </c>
      <c r="AE7" s="123">
        <v>45748</v>
      </c>
      <c r="AF7" s="123">
        <v>45839</v>
      </c>
      <c r="AG7" s="123">
        <v>45931</v>
      </c>
      <c r="AH7" s="123">
        <v>46023</v>
      </c>
      <c r="AI7" s="123">
        <v>46113</v>
      </c>
      <c r="AJ7" s="123">
        <v>46204</v>
      </c>
      <c r="AK7" s="123">
        <v>46296</v>
      </c>
      <c r="AL7" s="123">
        <v>46388</v>
      </c>
      <c r="AM7" s="123">
        <v>46478</v>
      </c>
      <c r="AN7" s="123">
        <v>46569</v>
      </c>
      <c r="AO7" s="123">
        <v>46661</v>
      </c>
      <c r="AP7" s="123">
        <v>46753</v>
      </c>
      <c r="AQ7" s="123">
        <v>46844</v>
      </c>
      <c r="AR7" s="123">
        <v>46935</v>
      </c>
      <c r="AS7" s="123">
        <v>47027</v>
      </c>
      <c r="AT7" s="123">
        <v>47119</v>
      </c>
      <c r="AU7" s="123">
        <v>47209</v>
      </c>
      <c r="AV7" s="123">
        <v>47300</v>
      </c>
      <c r="AW7" s="123">
        <v>47392</v>
      </c>
      <c r="AX7" s="123">
        <v>47484</v>
      </c>
      <c r="AY7" s="123">
        <v>47574</v>
      </c>
      <c r="AZ7" s="123">
        <v>47665</v>
      </c>
      <c r="BA7" s="123">
        <v>47757</v>
      </c>
      <c r="BB7" s="123">
        <v>47849</v>
      </c>
      <c r="BC7" s="123">
        <v>47939</v>
      </c>
      <c r="BD7" s="123">
        <v>48030</v>
      </c>
      <c r="BE7" s="123">
        <v>48122</v>
      </c>
      <c r="BF7" s="123">
        <v>48214</v>
      </c>
      <c r="BG7" s="123">
        <v>48305</v>
      </c>
      <c r="BH7" s="123">
        <v>48396</v>
      </c>
      <c r="BI7" s="123">
        <v>48488</v>
      </c>
      <c r="BJ7" s="123">
        <v>48580</v>
      </c>
      <c r="BK7" s="123">
        <v>48670</v>
      </c>
      <c r="BL7" s="123">
        <v>48761</v>
      </c>
      <c r="BM7" s="123">
        <v>48853</v>
      </c>
      <c r="BN7" s="123">
        <v>48945</v>
      </c>
      <c r="BO7" s="123">
        <v>49035</v>
      </c>
      <c r="BP7" s="123">
        <v>49126</v>
      </c>
      <c r="BQ7" s="123">
        <v>49218</v>
      </c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  <c r="CO7" s="123"/>
      <c r="CP7" s="123"/>
      <c r="CQ7" s="123"/>
      <c r="CR7" s="123"/>
      <c r="CS7" s="123"/>
      <c r="CT7" s="123"/>
      <c r="CU7" s="123"/>
      <c r="CV7" s="123"/>
      <c r="CW7" s="123"/>
      <c r="CX7" s="123"/>
      <c r="CY7" s="123"/>
      <c r="CZ7" s="123"/>
      <c r="DA7" s="123"/>
      <c r="DB7" s="123"/>
      <c r="DC7" s="123"/>
      <c r="DD7" s="123"/>
      <c r="DE7" s="123"/>
      <c r="DF7" s="123"/>
      <c r="DG7" s="123"/>
      <c r="DH7" s="123"/>
      <c r="DI7" s="123"/>
      <c r="DJ7" s="123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 s="123"/>
      <c r="DV7" s="123"/>
      <c r="DW7" s="123"/>
      <c r="DX7" s="123"/>
      <c r="DY7" s="123"/>
      <c r="DZ7" s="123"/>
      <c r="EA7" s="123"/>
      <c r="EB7" s="123"/>
      <c r="EC7" s="123"/>
      <c r="ED7" s="123"/>
      <c r="EE7" s="123"/>
      <c r="EF7" s="123"/>
      <c r="EG7" s="123"/>
      <c r="EH7" s="123"/>
      <c r="EI7" s="123"/>
      <c r="EJ7" s="123"/>
      <c r="EK7" s="123"/>
      <c r="EL7" s="123"/>
      <c r="EM7" s="123"/>
      <c r="EN7" s="123"/>
      <c r="EO7" s="123"/>
      <c r="EP7" s="123"/>
      <c r="EQ7" s="123"/>
      <c r="ER7" s="123"/>
      <c r="ES7" s="123"/>
      <c r="ET7" s="123"/>
      <c r="EU7" s="123"/>
      <c r="EV7" s="123"/>
      <c r="EW7" s="123"/>
      <c r="EX7" s="123"/>
      <c r="EY7" s="123"/>
      <c r="EZ7" s="123"/>
      <c r="FA7" s="123"/>
      <c r="FB7" s="123"/>
      <c r="FC7" s="123"/>
      <c r="FD7" s="123"/>
      <c r="FE7" s="123"/>
      <c r="FF7" s="123"/>
      <c r="FG7" s="123"/>
      <c r="FH7" s="123"/>
      <c r="FI7" s="123"/>
      <c r="FJ7" s="123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</row>
    <row r="8" spans="1:189">
      <c r="E8" t="s">
        <v>145</v>
      </c>
      <c r="G8" t="s">
        <v>143</v>
      </c>
      <c r="J8" s="123" cm="1">
        <f t="array" ref="J8:BQ8">EOMONTH( start_date, _xlfn.SEQUENCE( 1, periods, 2, 3 ))</f>
        <v>43921</v>
      </c>
      <c r="K8" s="123">
        <v>44012</v>
      </c>
      <c r="L8" s="123">
        <v>44104</v>
      </c>
      <c r="M8" s="123">
        <v>44196</v>
      </c>
      <c r="N8" s="123">
        <v>44286</v>
      </c>
      <c r="O8" s="123">
        <v>44377</v>
      </c>
      <c r="P8" s="123">
        <v>44469</v>
      </c>
      <c r="Q8" s="123">
        <v>44561</v>
      </c>
      <c r="R8" s="123">
        <v>44651</v>
      </c>
      <c r="S8" s="123">
        <v>44742</v>
      </c>
      <c r="T8" s="123">
        <v>44834</v>
      </c>
      <c r="U8" s="123">
        <v>44926</v>
      </c>
      <c r="V8" s="123">
        <v>45016</v>
      </c>
      <c r="W8" s="123">
        <v>45107</v>
      </c>
      <c r="X8" s="123">
        <v>45199</v>
      </c>
      <c r="Y8" s="123">
        <v>45291</v>
      </c>
      <c r="Z8" s="123">
        <v>45382</v>
      </c>
      <c r="AA8" s="123">
        <v>45473</v>
      </c>
      <c r="AB8" s="123">
        <v>45565</v>
      </c>
      <c r="AC8" s="123">
        <v>45657</v>
      </c>
      <c r="AD8" s="123">
        <v>45747</v>
      </c>
      <c r="AE8" s="123">
        <v>45838</v>
      </c>
      <c r="AF8" s="123">
        <v>45930</v>
      </c>
      <c r="AG8" s="123">
        <v>46022</v>
      </c>
      <c r="AH8" s="123">
        <v>46112</v>
      </c>
      <c r="AI8" s="123">
        <v>46203</v>
      </c>
      <c r="AJ8" s="123">
        <v>46295</v>
      </c>
      <c r="AK8" s="123">
        <v>46387</v>
      </c>
      <c r="AL8" s="123">
        <v>46477</v>
      </c>
      <c r="AM8" s="123">
        <v>46568</v>
      </c>
      <c r="AN8" s="123">
        <v>46660</v>
      </c>
      <c r="AO8" s="123">
        <v>46752</v>
      </c>
      <c r="AP8" s="123">
        <v>46843</v>
      </c>
      <c r="AQ8" s="123">
        <v>46934</v>
      </c>
      <c r="AR8" s="123">
        <v>47026</v>
      </c>
      <c r="AS8" s="123">
        <v>47118</v>
      </c>
      <c r="AT8" s="123">
        <v>47208</v>
      </c>
      <c r="AU8" s="123">
        <v>47299</v>
      </c>
      <c r="AV8" s="123">
        <v>47391</v>
      </c>
      <c r="AW8" s="123">
        <v>47483</v>
      </c>
      <c r="AX8" s="123">
        <v>47573</v>
      </c>
      <c r="AY8" s="123">
        <v>47664</v>
      </c>
      <c r="AZ8" s="123">
        <v>47756</v>
      </c>
      <c r="BA8" s="123">
        <v>47848</v>
      </c>
      <c r="BB8" s="123">
        <v>47938</v>
      </c>
      <c r="BC8" s="123">
        <v>48029</v>
      </c>
      <c r="BD8" s="123">
        <v>48121</v>
      </c>
      <c r="BE8" s="123">
        <v>48213</v>
      </c>
      <c r="BF8" s="123">
        <v>48304</v>
      </c>
      <c r="BG8" s="123">
        <v>48395</v>
      </c>
      <c r="BH8" s="123">
        <v>48487</v>
      </c>
      <c r="BI8" s="123">
        <v>48579</v>
      </c>
      <c r="BJ8" s="123">
        <v>48669</v>
      </c>
      <c r="BK8" s="123">
        <v>48760</v>
      </c>
      <c r="BL8" s="123">
        <v>48852</v>
      </c>
      <c r="BM8" s="123">
        <v>48944</v>
      </c>
      <c r="BN8" s="123">
        <v>49034</v>
      </c>
      <c r="BO8" s="123">
        <v>49125</v>
      </c>
      <c r="BP8" s="123">
        <v>49217</v>
      </c>
      <c r="BQ8" s="123">
        <v>49309</v>
      </c>
    </row>
    <row r="10" spans="1:189">
      <c r="E10" t="s">
        <v>146</v>
      </c>
      <c r="G10" t="s">
        <v>147</v>
      </c>
      <c r="J10" s="125" cm="1">
        <f t="array" ref="J10:BQ10" xml:space="preserve"> YEAR(_xlfn.ANCHORARRAY( J8) )</f>
        <v>2020</v>
      </c>
      <c r="K10" s="125">
        <v>2020</v>
      </c>
      <c r="L10" s="125">
        <v>2020</v>
      </c>
      <c r="M10" s="125">
        <v>2020</v>
      </c>
      <c r="N10" s="125">
        <v>2021</v>
      </c>
      <c r="O10" s="125">
        <v>2021</v>
      </c>
      <c r="P10" s="125">
        <v>2021</v>
      </c>
      <c r="Q10" s="125">
        <v>2021</v>
      </c>
      <c r="R10" s="125">
        <v>2022</v>
      </c>
      <c r="S10" s="125">
        <v>2022</v>
      </c>
      <c r="T10" s="125">
        <v>2022</v>
      </c>
      <c r="U10" s="125">
        <v>2022</v>
      </c>
      <c r="V10" s="125">
        <v>2023</v>
      </c>
      <c r="W10" s="125">
        <v>2023</v>
      </c>
      <c r="X10" s="125">
        <v>2023</v>
      </c>
      <c r="Y10" s="125">
        <v>2023</v>
      </c>
      <c r="Z10" s="125">
        <v>2024</v>
      </c>
      <c r="AA10" s="125">
        <v>2024</v>
      </c>
      <c r="AB10" s="125">
        <v>2024</v>
      </c>
      <c r="AC10" s="125">
        <v>2024</v>
      </c>
      <c r="AD10" s="125">
        <v>2025</v>
      </c>
      <c r="AE10" s="125">
        <v>2025</v>
      </c>
      <c r="AF10" s="125">
        <v>2025</v>
      </c>
      <c r="AG10" s="125">
        <v>2025</v>
      </c>
      <c r="AH10" s="125">
        <v>2026</v>
      </c>
      <c r="AI10" s="125">
        <v>2026</v>
      </c>
      <c r="AJ10" s="125">
        <v>2026</v>
      </c>
      <c r="AK10" s="125">
        <v>2026</v>
      </c>
      <c r="AL10" s="125">
        <v>2027</v>
      </c>
      <c r="AM10" s="125">
        <v>2027</v>
      </c>
      <c r="AN10" s="125">
        <v>2027</v>
      </c>
      <c r="AO10" s="125">
        <v>2027</v>
      </c>
      <c r="AP10" s="125">
        <v>2028</v>
      </c>
      <c r="AQ10" s="125">
        <v>2028</v>
      </c>
      <c r="AR10" s="125">
        <v>2028</v>
      </c>
      <c r="AS10" s="125">
        <v>2028</v>
      </c>
      <c r="AT10" s="125">
        <v>2029</v>
      </c>
      <c r="AU10" s="125">
        <v>2029</v>
      </c>
      <c r="AV10" s="125">
        <v>2029</v>
      </c>
      <c r="AW10" s="125">
        <v>2029</v>
      </c>
      <c r="AX10" s="125">
        <v>2030</v>
      </c>
      <c r="AY10" s="125">
        <v>2030</v>
      </c>
      <c r="AZ10" s="125">
        <v>2030</v>
      </c>
      <c r="BA10" s="125">
        <v>2030</v>
      </c>
      <c r="BB10" s="125">
        <v>2031</v>
      </c>
      <c r="BC10" s="125">
        <v>2031</v>
      </c>
      <c r="BD10" s="125">
        <v>2031</v>
      </c>
      <c r="BE10" s="125">
        <v>2031</v>
      </c>
      <c r="BF10" s="125">
        <v>2032</v>
      </c>
      <c r="BG10" s="125">
        <v>2032</v>
      </c>
      <c r="BH10" s="125">
        <v>2032</v>
      </c>
      <c r="BI10" s="125">
        <v>2032</v>
      </c>
      <c r="BJ10" s="125">
        <v>2033</v>
      </c>
      <c r="BK10" s="125">
        <v>2033</v>
      </c>
      <c r="BL10" s="125">
        <v>2033</v>
      </c>
      <c r="BM10" s="125">
        <v>2033</v>
      </c>
      <c r="BN10" s="125">
        <v>2034</v>
      </c>
      <c r="BO10" s="125">
        <v>2034</v>
      </c>
      <c r="BP10" s="125">
        <v>2034</v>
      </c>
      <c r="BQ10" s="125">
        <v>2034</v>
      </c>
    </row>
    <row r="11" spans="1:189">
      <c r="E11" t="s">
        <v>148</v>
      </c>
      <c r="G11" t="s">
        <v>147</v>
      </c>
      <c r="J11" s="125" cm="1">
        <f t="array" ref="J11:X11" xml:space="preserve"> _xlfn.UNIQUE(_xlfn.ANCHORARRAY( J10), TRUE )</f>
        <v>2020</v>
      </c>
      <c r="K11" s="125">
        <v>2021</v>
      </c>
      <c r="L11" s="125">
        <v>2022</v>
      </c>
      <c r="M11" s="125">
        <v>2023</v>
      </c>
      <c r="N11" s="125">
        <v>2024</v>
      </c>
      <c r="O11" s="125">
        <v>2025</v>
      </c>
      <c r="P11" s="125">
        <v>2026</v>
      </c>
      <c r="Q11" s="125">
        <v>2027</v>
      </c>
      <c r="R11" s="125">
        <v>2028</v>
      </c>
      <c r="S11" s="125">
        <v>2029</v>
      </c>
      <c r="T11" s="125">
        <v>2030</v>
      </c>
      <c r="U11" s="125">
        <v>2031</v>
      </c>
      <c r="V11" s="125">
        <v>2032</v>
      </c>
      <c r="W11" s="125">
        <v>2033</v>
      </c>
      <c r="X11" s="125">
        <v>2034</v>
      </c>
    </row>
    <row r="12" spans="1:189">
      <c r="E12" t="s">
        <v>157</v>
      </c>
      <c r="G12" t="s">
        <v>150</v>
      </c>
    </row>
    <row r="13" spans="1:189">
      <c r="E13" t="s">
        <v>149</v>
      </c>
      <c r="G13" t="s">
        <v>150</v>
      </c>
      <c r="J13">
        <f>COUNTA(_xlfn.ANCHORARRAY( J11) )</f>
        <v>15</v>
      </c>
    </row>
    <row r="14" spans="1:189">
      <c r="E14" t="s">
        <v>177</v>
      </c>
      <c r="G14" t="s">
        <v>158</v>
      </c>
      <c r="J14" cm="1">
        <f t="array" ref="J14:BQ14" xml:space="preserve"> _xlfn.SEQUENCE( 1, periods, 1, 0 )</f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</row>
    <row r="15" spans="1:189">
      <c r="E15" t="s">
        <v>151</v>
      </c>
      <c r="G15" t="s">
        <v>150</v>
      </c>
      <c r="J15" cm="1">
        <f t="array" ref="J15:BQ15" xml:space="preserve"> _xlfn.SEQUENCE( 1, periods, 1, 1 )</f>
        <v>1</v>
      </c>
      <c r="K15">
        <v>2</v>
      </c>
      <c r="L15">
        <v>3</v>
      </c>
      <c r="M15">
        <v>4</v>
      </c>
      <c r="N15">
        <v>5</v>
      </c>
      <c r="O15">
        <v>6</v>
      </c>
      <c r="P15">
        <v>7</v>
      </c>
      <c r="Q15">
        <v>8</v>
      </c>
      <c r="R15">
        <v>9</v>
      </c>
      <c r="S15">
        <v>10</v>
      </c>
      <c r="T15">
        <v>11</v>
      </c>
      <c r="U15">
        <v>12</v>
      </c>
      <c r="V15">
        <v>13</v>
      </c>
      <c r="W15">
        <v>14</v>
      </c>
      <c r="X15">
        <v>15</v>
      </c>
      <c r="Y15">
        <v>16</v>
      </c>
      <c r="Z15">
        <v>17</v>
      </c>
      <c r="AA15">
        <v>18</v>
      </c>
      <c r="AB15">
        <v>19</v>
      </c>
      <c r="AC15">
        <v>20</v>
      </c>
      <c r="AD15">
        <v>21</v>
      </c>
      <c r="AE15">
        <v>22</v>
      </c>
      <c r="AF15">
        <v>23</v>
      </c>
      <c r="AG15">
        <v>24</v>
      </c>
      <c r="AH15">
        <v>25</v>
      </c>
      <c r="AI15">
        <v>26</v>
      </c>
      <c r="AJ15">
        <v>27</v>
      </c>
      <c r="AK15">
        <v>28</v>
      </c>
      <c r="AL15">
        <v>29</v>
      </c>
      <c r="AM15">
        <v>30</v>
      </c>
      <c r="AN15">
        <v>31</v>
      </c>
      <c r="AO15">
        <v>32</v>
      </c>
      <c r="AP15">
        <v>33</v>
      </c>
      <c r="AQ15">
        <v>34</v>
      </c>
      <c r="AR15">
        <v>35</v>
      </c>
      <c r="AS15">
        <v>36</v>
      </c>
      <c r="AT15">
        <v>37</v>
      </c>
      <c r="AU15">
        <v>38</v>
      </c>
      <c r="AV15">
        <v>39</v>
      </c>
      <c r="AW15">
        <v>40</v>
      </c>
      <c r="AX15">
        <v>41</v>
      </c>
      <c r="AY15">
        <v>42</v>
      </c>
      <c r="AZ15">
        <v>43</v>
      </c>
      <c r="BA15">
        <v>44</v>
      </c>
      <c r="BB15">
        <v>45</v>
      </c>
      <c r="BC15">
        <v>46</v>
      </c>
      <c r="BD15">
        <v>47</v>
      </c>
      <c r="BE15">
        <v>48</v>
      </c>
      <c r="BF15">
        <v>49</v>
      </c>
      <c r="BG15">
        <v>50</v>
      </c>
      <c r="BH15">
        <v>51</v>
      </c>
      <c r="BI15">
        <v>52</v>
      </c>
      <c r="BJ15">
        <v>53</v>
      </c>
      <c r="BK15">
        <v>54</v>
      </c>
      <c r="BL15">
        <v>55</v>
      </c>
      <c r="BM15">
        <v>56</v>
      </c>
      <c r="BN15">
        <v>57</v>
      </c>
      <c r="BO15">
        <v>58</v>
      </c>
      <c r="BP15">
        <v>59</v>
      </c>
      <c r="BQ15">
        <v>60</v>
      </c>
    </row>
    <row r="16" spans="1:189">
      <c r="E16" t="s">
        <v>152</v>
      </c>
      <c r="G16" t="s">
        <v>153</v>
      </c>
      <c r="J16" s="126" t="str" cm="1">
        <f t="array" ref="J16:BQ16" xml:space="preserve"> IF( MOD(_xlfn.ANCHORARRAY( J15), 4 ) &gt; 0, "Q"&amp;MOD(_xlfn.ANCHORARRAY( J15), 4 ), "Q4" )</f>
        <v>Q1</v>
      </c>
      <c r="K16" s="126" t="str">
        <v>Q2</v>
      </c>
      <c r="L16" s="126" t="str">
        <v>Q3</v>
      </c>
      <c r="M16" s="127" t="str">
        <v>Q4</v>
      </c>
      <c r="N16" s="126" t="str">
        <v>Q1</v>
      </c>
      <c r="O16" s="126" t="str">
        <v>Q2</v>
      </c>
      <c r="P16" s="126" t="str">
        <v>Q3</v>
      </c>
      <c r="Q16" s="126" t="str">
        <v>Q4</v>
      </c>
      <c r="R16" s="126" t="str">
        <v>Q1</v>
      </c>
      <c r="S16" s="126" t="str">
        <v>Q2</v>
      </c>
      <c r="T16" s="126" t="str">
        <v>Q3</v>
      </c>
      <c r="U16" s="126" t="str">
        <v>Q4</v>
      </c>
      <c r="V16" s="126" t="str">
        <v>Q1</v>
      </c>
      <c r="W16" s="126" t="str">
        <v>Q2</v>
      </c>
      <c r="X16" s="126" t="str">
        <v>Q3</v>
      </c>
      <c r="Y16" s="126" t="str">
        <v>Q4</v>
      </c>
      <c r="Z16" s="126" t="str">
        <v>Q1</v>
      </c>
      <c r="AA16" s="126" t="str">
        <v>Q2</v>
      </c>
      <c r="AB16" s="126" t="str">
        <v>Q3</v>
      </c>
      <c r="AC16" s="126" t="str">
        <v>Q4</v>
      </c>
      <c r="AD16" s="126" t="str">
        <v>Q1</v>
      </c>
      <c r="AE16" s="126" t="str">
        <v>Q2</v>
      </c>
      <c r="AF16" s="126" t="str">
        <v>Q3</v>
      </c>
      <c r="AG16" s="126" t="str">
        <v>Q4</v>
      </c>
      <c r="AH16" s="126" t="str">
        <v>Q1</v>
      </c>
      <c r="AI16" s="126" t="str">
        <v>Q2</v>
      </c>
      <c r="AJ16" s="126" t="str">
        <v>Q3</v>
      </c>
      <c r="AK16" s="126" t="str">
        <v>Q4</v>
      </c>
      <c r="AL16" s="126" t="str">
        <v>Q1</v>
      </c>
      <c r="AM16" s="126" t="str">
        <v>Q2</v>
      </c>
      <c r="AN16" s="126" t="str">
        <v>Q3</v>
      </c>
      <c r="AO16" s="126" t="str">
        <v>Q4</v>
      </c>
      <c r="AP16" s="126" t="str">
        <v>Q1</v>
      </c>
      <c r="AQ16" s="126" t="str">
        <v>Q2</v>
      </c>
      <c r="AR16" s="126" t="str">
        <v>Q3</v>
      </c>
      <c r="AS16" s="126" t="str">
        <v>Q4</v>
      </c>
      <c r="AT16" s="126" t="str">
        <v>Q1</v>
      </c>
      <c r="AU16" s="126" t="str">
        <v>Q2</v>
      </c>
      <c r="AV16" s="126" t="str">
        <v>Q3</v>
      </c>
      <c r="AW16" s="126" t="str">
        <v>Q4</v>
      </c>
      <c r="AX16" s="126" t="str">
        <v>Q1</v>
      </c>
      <c r="AY16" s="126" t="str">
        <v>Q2</v>
      </c>
      <c r="AZ16" s="126" t="str">
        <v>Q3</v>
      </c>
      <c r="BA16" s="126" t="str">
        <v>Q4</v>
      </c>
      <c r="BB16" s="126" t="str">
        <v>Q1</v>
      </c>
      <c r="BC16" s="126" t="str">
        <v>Q2</v>
      </c>
      <c r="BD16" s="126" t="str">
        <v>Q3</v>
      </c>
      <c r="BE16" s="126" t="str">
        <v>Q4</v>
      </c>
      <c r="BF16" s="126" t="str">
        <v>Q1</v>
      </c>
      <c r="BG16" s="126" t="str">
        <v>Q2</v>
      </c>
      <c r="BH16" s="126" t="str">
        <v>Q3</v>
      </c>
      <c r="BI16" s="126" t="str">
        <v>Q4</v>
      </c>
      <c r="BJ16" s="126" t="str">
        <v>Q1</v>
      </c>
      <c r="BK16" s="126" t="str">
        <v>Q2</v>
      </c>
      <c r="BL16" s="126" t="str">
        <v>Q3</v>
      </c>
      <c r="BM16" s="126" t="str">
        <v>Q4</v>
      </c>
      <c r="BN16" s="126" t="str">
        <v>Q1</v>
      </c>
      <c r="BO16" s="126" t="str">
        <v>Q2</v>
      </c>
      <c r="BP16" s="126" t="str">
        <v>Q3</v>
      </c>
      <c r="BQ16" s="126" t="str">
        <v>Q4</v>
      </c>
    </row>
    <row r="18" spans="5:69">
      <c r="E18" t="s">
        <v>165</v>
      </c>
      <c r="G18" t="s">
        <v>158</v>
      </c>
      <c r="J18" cm="1">
        <f t="array" ref="J18:BQ18" xml:space="preserve"> IF(_xlfn.ANCHORARRAY( J15) &lt;= 4, 0, _xlfn.SEQUENCE( 1, periods, 1,0 ) )</f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5:69">
      <c r="E19" t="s">
        <v>166</v>
      </c>
      <c r="G19" t="s">
        <v>158</v>
      </c>
      <c r="J19" cm="1">
        <f t="array" ref="J19:BQ19" xml:space="preserve"> IF(_xlfn.ANCHORARRAY( J15) &lt;= 4, 0, IF(_xlfn.ANCHORARRAY( J16) = "Q1", 1, 0 ) )</f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85" orientation="landscape" r:id="rId1"/>
  <headerFooter>
    <oddFooter>&amp;LFinancial Modeling Institute
CFM October 2026&amp;CPage &amp;P of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outlinePr summaryBelow="0"/>
    <pageSetUpPr autoPageBreaks="0"/>
  </sheetPr>
  <dimension ref="A1:V85"/>
  <sheetViews>
    <sheetView showGridLines="0" zoomScale="80" zoomScaleNormal="80" workbookViewId="0">
      <selection activeCell="D32" sqref="D32"/>
    </sheetView>
  </sheetViews>
  <sheetFormatPr defaultColWidth="12.59765625" defaultRowHeight="13.2"/>
  <cols>
    <col min="1" max="3" width="2.59765625" style="1" customWidth="1"/>
    <col min="4" max="4" width="48.59765625" style="1" customWidth="1"/>
    <col min="5" max="5" width="12.59765625" style="1"/>
    <col min="6" max="6" width="12.59765625" style="17"/>
    <col min="7" max="8" width="12.59765625" style="1"/>
    <col min="9" max="9" width="12.59765625" style="1" customWidth="1"/>
    <col min="10" max="16384" width="12.59765625" style="1"/>
  </cols>
  <sheetData>
    <row r="1" spans="1:22">
      <c r="A1" s="7" t="s">
        <v>0</v>
      </c>
      <c r="B1" s="7"/>
      <c r="C1" s="7"/>
      <c r="D1" s="7"/>
      <c r="E1" s="7"/>
      <c r="F1" s="15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3" spans="1:22">
      <c r="B3" s="59" t="s">
        <v>13</v>
      </c>
      <c r="F3" s="16"/>
    </row>
    <row r="4" spans="1:22">
      <c r="D4" s="1" t="s">
        <v>14</v>
      </c>
    </row>
    <row r="5" spans="1:22">
      <c r="D5" s="1" t="s">
        <v>84</v>
      </c>
    </row>
    <row r="6" spans="1:22" ht="15.6">
      <c r="D6" s="1" t="s">
        <v>92</v>
      </c>
    </row>
    <row r="7" spans="1:22">
      <c r="D7" s="1" t="s">
        <v>85</v>
      </c>
    </row>
    <row r="9" spans="1:22">
      <c r="H9" s="25" t="s">
        <v>15</v>
      </c>
      <c r="I9" s="26"/>
      <c r="J9" s="27"/>
      <c r="L9" s="2" t="s">
        <v>135</v>
      </c>
    </row>
    <row r="10" spans="1:22">
      <c r="D10" s="8" t="s">
        <v>16</v>
      </c>
      <c r="E10" s="28" t="s">
        <v>17</v>
      </c>
      <c r="F10" s="18"/>
      <c r="G10" s="13"/>
      <c r="H10" s="29" t="s">
        <v>18</v>
      </c>
      <c r="I10" s="29" t="s">
        <v>19</v>
      </c>
      <c r="J10" s="29" t="s">
        <v>20</v>
      </c>
      <c r="L10" s="1" t="str">
        <f>H10</f>
        <v>1. Low</v>
      </c>
    </row>
    <row r="11" spans="1:22">
      <c r="D11" s="9" t="s">
        <v>3</v>
      </c>
      <c r="E11" s="30" t="s">
        <v>21</v>
      </c>
      <c r="F11" s="19"/>
      <c r="G11" s="14"/>
      <c r="H11" s="31" t="s">
        <v>4</v>
      </c>
      <c r="I11" s="31" t="s">
        <v>4</v>
      </c>
      <c r="J11" s="31" t="s">
        <v>4</v>
      </c>
      <c r="L11" s="1" t="str">
        <f>I10</f>
        <v>2. Medium</v>
      </c>
    </row>
    <row r="12" spans="1:22">
      <c r="D12" s="10" t="s">
        <v>22</v>
      </c>
      <c r="E12" s="32" t="s">
        <v>23</v>
      </c>
      <c r="F12" s="20"/>
      <c r="G12" s="13"/>
      <c r="H12" s="33">
        <v>2.5000000000000001E-2</v>
      </c>
      <c r="I12" s="33">
        <v>0.03</v>
      </c>
      <c r="J12" s="33">
        <v>3.2000000000000001E-2</v>
      </c>
      <c r="L12" s="1" t="str">
        <f>J10</f>
        <v>3. High</v>
      </c>
    </row>
    <row r="13" spans="1:22">
      <c r="D13" s="11" t="s">
        <v>24</v>
      </c>
      <c r="E13" s="34" t="s">
        <v>23</v>
      </c>
      <c r="F13" s="21"/>
      <c r="G13" s="14"/>
      <c r="H13" s="35">
        <v>0.02</v>
      </c>
      <c r="I13" s="35">
        <v>2.5000000000000001E-2</v>
      </c>
      <c r="J13" s="35">
        <v>0.03</v>
      </c>
      <c r="K13" s="36"/>
    </row>
    <row r="15" spans="1:22">
      <c r="D15" s="2" t="s">
        <v>26</v>
      </c>
    </row>
    <row r="16" spans="1:22">
      <c r="D16" s="1" t="s">
        <v>27</v>
      </c>
    </row>
    <row r="17" spans="2:22">
      <c r="D17" s="1" t="s">
        <v>28</v>
      </c>
      <c r="E17" s="3" t="s">
        <v>29</v>
      </c>
    </row>
    <row r="18" spans="2:22">
      <c r="D18" s="1" t="s">
        <v>30</v>
      </c>
      <c r="E18" s="3" t="s">
        <v>31</v>
      </c>
    </row>
    <row r="19" spans="2:22">
      <c r="D19" s="1" t="s">
        <v>32</v>
      </c>
      <c r="E19" s="3" t="s">
        <v>33</v>
      </c>
    </row>
    <row r="20" spans="2:22">
      <c r="D20" s="1" t="s">
        <v>34</v>
      </c>
    </row>
    <row r="22" spans="2:22">
      <c r="D22" s="3" t="s">
        <v>35</v>
      </c>
    </row>
    <row r="23" spans="2:22">
      <c r="D23" s="3" t="s">
        <v>36</v>
      </c>
    </row>
    <row r="24" spans="2:22">
      <c r="D24" s="3"/>
    </row>
    <row r="25" spans="2:22">
      <c r="B25" s="59" t="s">
        <v>37</v>
      </c>
    </row>
    <row r="26" spans="2:22">
      <c r="D26" s="1" t="s">
        <v>93</v>
      </c>
      <c r="E26" s="37"/>
    </row>
    <row r="27" spans="2:22">
      <c r="D27" s="1" t="s">
        <v>38</v>
      </c>
      <c r="E27" s="37"/>
    </row>
    <row r="29" spans="2:22">
      <c r="D29" s="6" t="s">
        <v>39</v>
      </c>
      <c r="H29" s="22">
        <f>YEAR(H35)</f>
        <v>2020</v>
      </c>
      <c r="I29" s="22">
        <f t="shared" ref="I29:V29" si="0">H29+1</f>
        <v>2021</v>
      </c>
      <c r="J29" s="22">
        <f t="shared" si="0"/>
        <v>2022</v>
      </c>
      <c r="K29" s="22">
        <f t="shared" si="0"/>
        <v>2023</v>
      </c>
      <c r="L29" s="22">
        <f t="shared" si="0"/>
        <v>2024</v>
      </c>
      <c r="M29" s="22">
        <f t="shared" si="0"/>
        <v>2025</v>
      </c>
      <c r="N29" s="22">
        <f t="shared" si="0"/>
        <v>2026</v>
      </c>
      <c r="O29" s="22">
        <f t="shared" si="0"/>
        <v>2027</v>
      </c>
      <c r="P29" s="22">
        <f t="shared" si="0"/>
        <v>2028</v>
      </c>
      <c r="Q29" s="22">
        <f t="shared" si="0"/>
        <v>2029</v>
      </c>
      <c r="R29" s="22">
        <f t="shared" si="0"/>
        <v>2030</v>
      </c>
      <c r="S29" s="22">
        <f t="shared" si="0"/>
        <v>2031</v>
      </c>
      <c r="T29" s="22">
        <f t="shared" si="0"/>
        <v>2032</v>
      </c>
      <c r="U29" s="22">
        <f t="shared" si="0"/>
        <v>2033</v>
      </c>
      <c r="V29" s="22">
        <f t="shared" si="0"/>
        <v>2034</v>
      </c>
    </row>
    <row r="30" spans="2:22">
      <c r="D30" s="12" t="s">
        <v>40</v>
      </c>
      <c r="F30" s="16" t="s">
        <v>41</v>
      </c>
      <c r="H30" s="38">
        <v>19.5</v>
      </c>
      <c r="I30" s="38">
        <f t="shared" ref="I30:V30" si="1">ROUND(H30*1.03,2)</f>
        <v>20.09</v>
      </c>
      <c r="J30" s="38">
        <f t="shared" si="1"/>
        <v>20.69</v>
      </c>
      <c r="K30" s="38">
        <f t="shared" si="1"/>
        <v>21.31</v>
      </c>
      <c r="L30" s="38">
        <f t="shared" si="1"/>
        <v>21.95</v>
      </c>
      <c r="M30" s="38">
        <f t="shared" si="1"/>
        <v>22.61</v>
      </c>
      <c r="N30" s="38">
        <f t="shared" si="1"/>
        <v>23.29</v>
      </c>
      <c r="O30" s="38">
        <f t="shared" si="1"/>
        <v>23.99</v>
      </c>
      <c r="P30" s="38">
        <f t="shared" si="1"/>
        <v>24.71</v>
      </c>
      <c r="Q30" s="38">
        <f t="shared" si="1"/>
        <v>25.45</v>
      </c>
      <c r="R30" s="38">
        <f t="shared" si="1"/>
        <v>26.21</v>
      </c>
      <c r="S30" s="38">
        <f t="shared" si="1"/>
        <v>27</v>
      </c>
      <c r="T30" s="38">
        <f t="shared" si="1"/>
        <v>27.81</v>
      </c>
      <c r="U30" s="38">
        <f t="shared" si="1"/>
        <v>28.64</v>
      </c>
      <c r="V30" s="38">
        <f t="shared" si="1"/>
        <v>29.5</v>
      </c>
    </row>
    <row r="31" spans="2:22">
      <c r="D31" s="12" t="s">
        <v>42</v>
      </c>
      <c r="F31" s="16" t="s">
        <v>41</v>
      </c>
      <c r="H31" s="38">
        <v>20</v>
      </c>
      <c r="I31" s="38">
        <f t="shared" ref="I31:V31" si="2">ROUND(H31*1.04,2)</f>
        <v>20.8</v>
      </c>
      <c r="J31" s="38">
        <f t="shared" si="2"/>
        <v>21.63</v>
      </c>
      <c r="K31" s="38">
        <f t="shared" si="2"/>
        <v>22.5</v>
      </c>
      <c r="L31" s="38">
        <f t="shared" si="2"/>
        <v>23.4</v>
      </c>
      <c r="M31" s="38">
        <f t="shared" si="2"/>
        <v>24.34</v>
      </c>
      <c r="N31" s="38">
        <f t="shared" si="2"/>
        <v>25.31</v>
      </c>
      <c r="O31" s="38">
        <f t="shared" si="2"/>
        <v>26.32</v>
      </c>
      <c r="P31" s="38">
        <f t="shared" si="2"/>
        <v>27.37</v>
      </c>
      <c r="Q31" s="38">
        <f t="shared" si="2"/>
        <v>28.46</v>
      </c>
      <c r="R31" s="38">
        <f t="shared" si="2"/>
        <v>29.6</v>
      </c>
      <c r="S31" s="38">
        <f t="shared" si="2"/>
        <v>30.78</v>
      </c>
      <c r="T31" s="38">
        <f t="shared" si="2"/>
        <v>32.01</v>
      </c>
      <c r="U31" s="38">
        <f t="shared" si="2"/>
        <v>33.29</v>
      </c>
      <c r="V31" s="38">
        <f t="shared" si="2"/>
        <v>34.619999999999997</v>
      </c>
    </row>
    <row r="32" spans="2:22">
      <c r="D32" s="12" t="s">
        <v>43</v>
      </c>
      <c r="F32" s="16" t="s">
        <v>41</v>
      </c>
      <c r="H32" s="38">
        <v>20.5</v>
      </c>
      <c r="I32" s="38">
        <f t="shared" ref="I32:V32" si="3">ROUND(H32*1.05,2)</f>
        <v>21.53</v>
      </c>
      <c r="J32" s="38">
        <f t="shared" si="3"/>
        <v>22.61</v>
      </c>
      <c r="K32" s="38">
        <f t="shared" si="3"/>
        <v>23.74</v>
      </c>
      <c r="L32" s="38">
        <f t="shared" si="3"/>
        <v>24.93</v>
      </c>
      <c r="M32" s="38">
        <f t="shared" si="3"/>
        <v>26.18</v>
      </c>
      <c r="N32" s="38">
        <f t="shared" si="3"/>
        <v>27.49</v>
      </c>
      <c r="O32" s="38">
        <f t="shared" si="3"/>
        <v>28.86</v>
      </c>
      <c r="P32" s="38">
        <f t="shared" si="3"/>
        <v>30.3</v>
      </c>
      <c r="Q32" s="38">
        <f t="shared" si="3"/>
        <v>31.82</v>
      </c>
      <c r="R32" s="38">
        <f t="shared" si="3"/>
        <v>33.409999999999997</v>
      </c>
      <c r="S32" s="38">
        <f t="shared" si="3"/>
        <v>35.08</v>
      </c>
      <c r="T32" s="38">
        <f t="shared" si="3"/>
        <v>36.83</v>
      </c>
      <c r="U32" s="38">
        <f t="shared" si="3"/>
        <v>38.67</v>
      </c>
      <c r="V32" s="38">
        <f t="shared" si="3"/>
        <v>40.6</v>
      </c>
    </row>
    <row r="34" spans="2:12">
      <c r="B34" s="59" t="s">
        <v>44</v>
      </c>
    </row>
    <row r="35" spans="2:12">
      <c r="D35" s="1" t="s">
        <v>45</v>
      </c>
      <c r="F35" s="16" t="s">
        <v>5</v>
      </c>
      <c r="H35" s="39">
        <v>43831</v>
      </c>
      <c r="I35" s="3" t="s">
        <v>46</v>
      </c>
    </row>
    <row r="36" spans="2:12">
      <c r="D36" s="1" t="s">
        <v>47</v>
      </c>
      <c r="F36" s="16" t="s">
        <v>6</v>
      </c>
      <c r="H36" s="12">
        <v>60</v>
      </c>
    </row>
    <row r="37" spans="2:12">
      <c r="D37" s="1" t="s">
        <v>48</v>
      </c>
      <c r="F37" s="16" t="s">
        <v>5</v>
      </c>
      <c r="H37" s="37">
        <f>EOMONTH(H35-1,H36*3)</f>
        <v>49309</v>
      </c>
    </row>
    <row r="39" spans="2:12">
      <c r="B39" s="59" t="s">
        <v>49</v>
      </c>
    </row>
    <row r="40" spans="2:12">
      <c r="D40" s="1" t="s">
        <v>50</v>
      </c>
      <c r="F40" s="16" t="s">
        <v>51</v>
      </c>
      <c r="H40" s="38">
        <v>280</v>
      </c>
    </row>
    <row r="41" spans="2:12">
      <c r="H41" s="40" t="s">
        <v>8</v>
      </c>
      <c r="I41" s="40" t="s">
        <v>9</v>
      </c>
      <c r="J41" s="40" t="s">
        <v>10</v>
      </c>
      <c r="K41" s="40" t="s">
        <v>11</v>
      </c>
    </row>
    <row r="42" spans="2:12">
      <c r="C42" s="6"/>
      <c r="D42" s="1" t="s">
        <v>52</v>
      </c>
      <c r="F42" s="16" t="s">
        <v>53</v>
      </c>
      <c r="H42" s="23">
        <v>26500</v>
      </c>
      <c r="I42" s="23">
        <v>28100</v>
      </c>
      <c r="J42" s="23">
        <v>29000</v>
      </c>
      <c r="K42" s="23">
        <v>25200</v>
      </c>
    </row>
    <row r="43" spans="2:12">
      <c r="C43" s="6"/>
      <c r="F43" s="16"/>
    </row>
    <row r="44" spans="2:12">
      <c r="C44" s="6"/>
      <c r="D44" s="1" t="s">
        <v>54</v>
      </c>
      <c r="F44" s="16" t="s">
        <v>55</v>
      </c>
      <c r="H44" s="24">
        <v>0.02</v>
      </c>
    </row>
    <row r="45" spans="2:12">
      <c r="C45" s="6"/>
      <c r="D45" s="6"/>
    </row>
    <row r="46" spans="2:12">
      <c r="C46" s="6"/>
      <c r="D46" s="3" t="s">
        <v>56</v>
      </c>
      <c r="F46" s="16"/>
    </row>
    <row r="47" spans="2:12">
      <c r="C47" s="6"/>
      <c r="D47" s="1" t="s">
        <v>57</v>
      </c>
      <c r="F47" s="16" t="s">
        <v>53</v>
      </c>
      <c r="H47" s="41" t="s">
        <v>58</v>
      </c>
      <c r="L47" s="4"/>
    </row>
    <row r="48" spans="2:12">
      <c r="C48" s="6"/>
      <c r="D48" s="1" t="s">
        <v>59</v>
      </c>
      <c r="F48" s="16" t="s">
        <v>53</v>
      </c>
      <c r="H48" s="41" t="s">
        <v>136</v>
      </c>
      <c r="L48" s="4"/>
    </row>
    <row r="50" spans="2:10">
      <c r="B50" s="59" t="s">
        <v>60</v>
      </c>
    </row>
    <row r="51" spans="2:10">
      <c r="C51" s="6" t="s">
        <v>12</v>
      </c>
    </row>
    <row r="52" spans="2:10">
      <c r="C52" s="6"/>
      <c r="D52" s="1" t="s">
        <v>61</v>
      </c>
      <c r="F52" s="16" t="s">
        <v>62</v>
      </c>
      <c r="H52" s="38">
        <v>3</v>
      </c>
    </row>
    <row r="53" spans="2:10">
      <c r="C53" s="6"/>
      <c r="F53" s="16"/>
    </row>
    <row r="54" spans="2:10">
      <c r="C54" s="6"/>
      <c r="D54" s="5" t="s">
        <v>63</v>
      </c>
      <c r="F54" s="16"/>
    </row>
    <row r="55" spans="2:10">
      <c r="C55" s="6"/>
      <c r="D55" s="1" t="s">
        <v>64</v>
      </c>
      <c r="F55" s="16" t="s">
        <v>65</v>
      </c>
      <c r="H55" s="38">
        <v>35</v>
      </c>
    </row>
    <row r="56" spans="2:10">
      <c r="C56" s="6"/>
      <c r="D56" s="1" t="s">
        <v>66</v>
      </c>
      <c r="F56" s="16" t="s">
        <v>67</v>
      </c>
      <c r="H56" s="23">
        <v>90000</v>
      </c>
    </row>
    <row r="57" spans="2:10">
      <c r="C57" s="6"/>
      <c r="F57" s="16"/>
    </row>
    <row r="58" spans="2:10">
      <c r="C58" s="6"/>
      <c r="D58" s="5" t="s">
        <v>68</v>
      </c>
      <c r="F58" s="16"/>
    </row>
    <row r="59" spans="2:10">
      <c r="C59" s="6"/>
      <c r="D59" s="1" t="s">
        <v>69</v>
      </c>
      <c r="F59" s="16" t="s">
        <v>70</v>
      </c>
      <c r="H59" s="38">
        <v>800</v>
      </c>
    </row>
    <row r="60" spans="2:10">
      <c r="C60" s="6"/>
      <c r="D60" s="1" t="s">
        <v>66</v>
      </c>
      <c r="F60" s="16" t="s">
        <v>67</v>
      </c>
      <c r="H60" s="23">
        <v>70000</v>
      </c>
    </row>
    <row r="61" spans="2:10">
      <c r="C61" s="6"/>
      <c r="F61" s="16"/>
    </row>
    <row r="62" spans="2:10">
      <c r="C62" s="6" t="s">
        <v>30</v>
      </c>
      <c r="F62" s="16"/>
    </row>
    <row r="63" spans="2:10">
      <c r="C63" s="6"/>
      <c r="D63" s="1" t="s">
        <v>71</v>
      </c>
      <c r="F63" s="16"/>
      <c r="G63" s="42" t="s">
        <v>72</v>
      </c>
      <c r="H63" s="42" t="s">
        <v>73</v>
      </c>
      <c r="I63" s="42" t="s">
        <v>74</v>
      </c>
      <c r="J63" s="43" t="s">
        <v>86</v>
      </c>
    </row>
    <row r="64" spans="2:10">
      <c r="C64" s="6"/>
      <c r="F64" s="16"/>
      <c r="G64" s="44"/>
      <c r="H64" s="44"/>
      <c r="I64" s="44"/>
      <c r="J64" s="45" t="s">
        <v>87</v>
      </c>
    </row>
    <row r="65" spans="3:12">
      <c r="C65" s="6"/>
      <c r="F65" s="16"/>
      <c r="G65" s="31" t="s">
        <v>2</v>
      </c>
      <c r="H65" s="31" t="s">
        <v>75</v>
      </c>
      <c r="I65" s="31" t="s">
        <v>75</v>
      </c>
      <c r="J65" s="46" t="s">
        <v>76</v>
      </c>
    </row>
    <row r="66" spans="3:12">
      <c r="C66" s="6"/>
      <c r="F66" s="16"/>
      <c r="G66" s="47">
        <v>1</v>
      </c>
      <c r="H66" s="48">
        <v>0</v>
      </c>
      <c r="I66" s="49">
        <v>25000</v>
      </c>
      <c r="J66" s="50">
        <v>100</v>
      </c>
    </row>
    <row r="67" spans="3:12">
      <c r="C67" s="6"/>
      <c r="F67" s="16"/>
      <c r="G67" s="51">
        <v>2</v>
      </c>
      <c r="H67" s="52">
        <f>I66+1</f>
        <v>25001</v>
      </c>
      <c r="I67" s="53">
        <v>30000</v>
      </c>
      <c r="J67" s="54">
        <v>90</v>
      </c>
    </row>
    <row r="68" spans="3:12">
      <c r="C68" s="6"/>
      <c r="F68" s="16"/>
      <c r="G68" s="51">
        <v>3</v>
      </c>
      <c r="H68" s="52">
        <f>I67+1</f>
        <v>30001</v>
      </c>
      <c r="I68" s="53">
        <v>34000</v>
      </c>
      <c r="J68" s="54">
        <v>85</v>
      </c>
    </row>
    <row r="69" spans="3:12">
      <c r="C69" s="6"/>
      <c r="F69" s="16"/>
      <c r="G69" s="55">
        <v>4</v>
      </c>
      <c r="H69" s="56">
        <f>I68+1</f>
        <v>34001</v>
      </c>
      <c r="I69" s="57">
        <v>999999</v>
      </c>
      <c r="J69" s="58">
        <v>82</v>
      </c>
    </row>
    <row r="70" spans="3:12">
      <c r="C70" s="6"/>
      <c r="D70" s="3" t="s">
        <v>77</v>
      </c>
      <c r="F70" s="16"/>
      <c r="L70" s="4"/>
    </row>
    <row r="71" spans="3:12">
      <c r="C71" s="6"/>
      <c r="F71" s="16"/>
    </row>
    <row r="72" spans="3:12">
      <c r="C72" s="6"/>
      <c r="F72" s="16"/>
    </row>
    <row r="73" spans="3:12">
      <c r="C73" s="6" t="s">
        <v>32</v>
      </c>
      <c r="F73" s="16"/>
    </row>
    <row r="74" spans="3:12">
      <c r="C74" s="6"/>
      <c r="D74" s="1" t="s">
        <v>78</v>
      </c>
      <c r="F74" s="16" t="s">
        <v>79</v>
      </c>
      <c r="H74" s="23">
        <v>600000</v>
      </c>
    </row>
    <row r="75" spans="3:12">
      <c r="C75" s="6"/>
      <c r="D75" s="1" t="s">
        <v>80</v>
      </c>
      <c r="F75" s="16" t="s">
        <v>81</v>
      </c>
      <c r="H75" s="38">
        <v>25</v>
      </c>
    </row>
    <row r="76" spans="3:12">
      <c r="C76" s="6"/>
      <c r="D76" s="1" t="s">
        <v>82</v>
      </c>
      <c r="F76" s="16" t="s">
        <v>83</v>
      </c>
      <c r="H76" s="23">
        <v>32000</v>
      </c>
    </row>
    <row r="77" spans="3:12">
      <c r="C77" s="6"/>
      <c r="F77" s="16"/>
    </row>
    <row r="78" spans="3:12">
      <c r="C78" s="6" t="s">
        <v>34</v>
      </c>
      <c r="F78" s="16"/>
    </row>
    <row r="79" spans="3:12">
      <c r="C79" s="6"/>
      <c r="D79" s="1" t="s">
        <v>78</v>
      </c>
      <c r="F79" s="16" t="s">
        <v>79</v>
      </c>
      <c r="H79" s="23">
        <v>450000</v>
      </c>
    </row>
    <row r="80" spans="3:12">
      <c r="C80" s="6"/>
      <c r="F80" s="16"/>
    </row>
    <row r="81" spans="1:22">
      <c r="A81" s="7"/>
      <c r="B81" s="7"/>
      <c r="C81" s="7" t="s">
        <v>7</v>
      </c>
      <c r="D81" s="7"/>
      <c r="E81" s="7"/>
      <c r="F81" s="15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4" spans="1:22">
      <c r="D84" s="1" t="s">
        <v>138</v>
      </c>
      <c r="E84" s="119" t="s">
        <v>139</v>
      </c>
    </row>
    <row r="85" spans="1:22">
      <c r="D85" s="1" t="s">
        <v>140</v>
      </c>
      <c r="E85" s="118" t="s">
        <v>141</v>
      </c>
    </row>
  </sheetData>
  <dataValidations count="1">
    <dataValidation type="list" allowBlank="1" showInputMessage="1" showErrorMessage="1" sqref="E12:E13" xr:uid="{00000000-0002-0000-0300-000000000000}">
      <formula1>"Annual,Quarterly"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P162"/>
  <sheetViews>
    <sheetView showGridLines="0" zoomScale="85" zoomScaleNormal="85" workbookViewId="0">
      <pane xSplit="8" ySplit="9" topLeftCell="I153" activePane="bottomRight" state="frozen"/>
      <selection pane="topRight"/>
      <selection pane="bottomLeft"/>
      <selection pane="bottomRight" activeCell="M104" sqref="M104"/>
    </sheetView>
  </sheetViews>
  <sheetFormatPr defaultColWidth="8.59765625" defaultRowHeight="13.2"/>
  <cols>
    <col min="1" max="1" width="2.59765625" style="61" customWidth="1"/>
    <col min="2" max="4" width="1.59765625" style="61" customWidth="1"/>
    <col min="5" max="5" width="8.59765625" style="61"/>
    <col min="6" max="6" width="10.59765625" style="61" customWidth="1"/>
    <col min="7" max="7" width="10.59765625" style="62" customWidth="1"/>
    <col min="8" max="8" width="11.3984375" style="62" customWidth="1"/>
    <col min="9" max="23" width="12.59765625" style="61" customWidth="1"/>
    <col min="24" max="68" width="10.59765625" style="61" customWidth="1"/>
    <col min="69" max="16384" width="8.59765625" style="61"/>
  </cols>
  <sheetData>
    <row r="2" spans="2:68" ht="21">
      <c r="B2" s="60" t="s">
        <v>96</v>
      </c>
    </row>
    <row r="3" spans="2:68">
      <c r="B3" s="61" t="s">
        <v>97</v>
      </c>
    </row>
    <row r="5" spans="2:68">
      <c r="B5" s="61" t="s">
        <v>88</v>
      </c>
      <c r="I5" s="63">
        <f>CaseData!H35</f>
        <v>43831</v>
      </c>
      <c r="J5" s="64">
        <f>I6+1</f>
        <v>43922</v>
      </c>
      <c r="K5" s="64">
        <f t="shared" ref="K5:BP5" si="0">J6+1</f>
        <v>44013</v>
      </c>
      <c r="L5" s="64">
        <f t="shared" si="0"/>
        <v>44105</v>
      </c>
      <c r="M5" s="64">
        <f t="shared" si="0"/>
        <v>44197</v>
      </c>
      <c r="N5" s="64">
        <f t="shared" si="0"/>
        <v>44287</v>
      </c>
      <c r="O5" s="64">
        <f t="shared" si="0"/>
        <v>44378</v>
      </c>
      <c r="P5" s="64">
        <f t="shared" si="0"/>
        <v>44470</v>
      </c>
      <c r="Q5" s="64">
        <f t="shared" si="0"/>
        <v>44562</v>
      </c>
      <c r="R5" s="64">
        <f t="shared" si="0"/>
        <v>44652</v>
      </c>
      <c r="S5" s="64">
        <f t="shared" si="0"/>
        <v>44743</v>
      </c>
      <c r="T5" s="64">
        <f t="shared" si="0"/>
        <v>44835</v>
      </c>
      <c r="U5" s="64">
        <f t="shared" si="0"/>
        <v>44927</v>
      </c>
      <c r="V5" s="64">
        <f t="shared" si="0"/>
        <v>45017</v>
      </c>
      <c r="W5" s="64">
        <f t="shared" si="0"/>
        <v>45108</v>
      </c>
      <c r="X5" s="64">
        <f t="shared" si="0"/>
        <v>45200</v>
      </c>
      <c r="Y5" s="64">
        <f t="shared" si="0"/>
        <v>45292</v>
      </c>
      <c r="Z5" s="64">
        <f t="shared" si="0"/>
        <v>45383</v>
      </c>
      <c r="AA5" s="64">
        <f t="shared" si="0"/>
        <v>45474</v>
      </c>
      <c r="AB5" s="64">
        <f t="shared" si="0"/>
        <v>45566</v>
      </c>
      <c r="AC5" s="64">
        <f t="shared" si="0"/>
        <v>45658</v>
      </c>
      <c r="AD5" s="64">
        <f t="shared" si="0"/>
        <v>45748</v>
      </c>
      <c r="AE5" s="64">
        <f t="shared" si="0"/>
        <v>45839</v>
      </c>
      <c r="AF5" s="64">
        <f t="shared" si="0"/>
        <v>45931</v>
      </c>
      <c r="AG5" s="64">
        <f t="shared" si="0"/>
        <v>46023</v>
      </c>
      <c r="AH5" s="64">
        <f t="shared" si="0"/>
        <v>46113</v>
      </c>
      <c r="AI5" s="64">
        <f t="shared" si="0"/>
        <v>46204</v>
      </c>
      <c r="AJ5" s="64">
        <f t="shared" si="0"/>
        <v>46296</v>
      </c>
      <c r="AK5" s="64">
        <f t="shared" si="0"/>
        <v>46388</v>
      </c>
      <c r="AL5" s="64">
        <f t="shared" si="0"/>
        <v>46478</v>
      </c>
      <c r="AM5" s="64">
        <f t="shared" si="0"/>
        <v>46569</v>
      </c>
      <c r="AN5" s="64">
        <f t="shared" si="0"/>
        <v>46661</v>
      </c>
      <c r="AO5" s="64">
        <f t="shared" si="0"/>
        <v>46753</v>
      </c>
      <c r="AP5" s="64">
        <f t="shared" si="0"/>
        <v>46844</v>
      </c>
      <c r="AQ5" s="64">
        <f t="shared" si="0"/>
        <v>46935</v>
      </c>
      <c r="AR5" s="64">
        <f t="shared" si="0"/>
        <v>47027</v>
      </c>
      <c r="AS5" s="64">
        <f t="shared" si="0"/>
        <v>47119</v>
      </c>
      <c r="AT5" s="64">
        <f t="shared" si="0"/>
        <v>47209</v>
      </c>
      <c r="AU5" s="64">
        <f t="shared" si="0"/>
        <v>47300</v>
      </c>
      <c r="AV5" s="64">
        <f t="shared" si="0"/>
        <v>47392</v>
      </c>
      <c r="AW5" s="64">
        <f t="shared" si="0"/>
        <v>47484</v>
      </c>
      <c r="AX5" s="64">
        <f t="shared" si="0"/>
        <v>47574</v>
      </c>
      <c r="AY5" s="64">
        <f t="shared" si="0"/>
        <v>47665</v>
      </c>
      <c r="AZ5" s="64">
        <f t="shared" si="0"/>
        <v>47757</v>
      </c>
      <c r="BA5" s="64">
        <f t="shared" si="0"/>
        <v>47849</v>
      </c>
      <c r="BB5" s="64">
        <f t="shared" si="0"/>
        <v>47939</v>
      </c>
      <c r="BC5" s="64">
        <f t="shared" si="0"/>
        <v>48030</v>
      </c>
      <c r="BD5" s="64">
        <f t="shared" si="0"/>
        <v>48122</v>
      </c>
      <c r="BE5" s="64">
        <f t="shared" si="0"/>
        <v>48214</v>
      </c>
      <c r="BF5" s="64">
        <f t="shared" si="0"/>
        <v>48305</v>
      </c>
      <c r="BG5" s="64">
        <f t="shared" si="0"/>
        <v>48396</v>
      </c>
      <c r="BH5" s="64">
        <f t="shared" si="0"/>
        <v>48488</v>
      </c>
      <c r="BI5" s="64">
        <f t="shared" si="0"/>
        <v>48580</v>
      </c>
      <c r="BJ5" s="64">
        <f t="shared" si="0"/>
        <v>48670</v>
      </c>
      <c r="BK5" s="64">
        <f t="shared" si="0"/>
        <v>48761</v>
      </c>
      <c r="BL5" s="64">
        <f t="shared" si="0"/>
        <v>48853</v>
      </c>
      <c r="BM5" s="64">
        <f t="shared" si="0"/>
        <v>48945</v>
      </c>
      <c r="BN5" s="64">
        <f t="shared" si="0"/>
        <v>49035</v>
      </c>
      <c r="BO5" s="64">
        <f t="shared" si="0"/>
        <v>49126</v>
      </c>
      <c r="BP5" s="64">
        <f t="shared" si="0"/>
        <v>49218</v>
      </c>
    </row>
    <row r="6" spans="2:68">
      <c r="B6" s="61" t="s">
        <v>89</v>
      </c>
      <c r="F6" s="64">
        <f>MAX(I6:BP6)</f>
        <v>49309</v>
      </c>
      <c r="G6" s="111">
        <f>CaseData!H37</f>
        <v>49309</v>
      </c>
      <c r="I6" s="65">
        <f>EOMONTH(I5,2)</f>
        <v>43921</v>
      </c>
      <c r="J6" s="65">
        <f t="shared" ref="J6:BP6" si="1">EOMONTH(J5,2)</f>
        <v>44012</v>
      </c>
      <c r="K6" s="65">
        <f t="shared" si="1"/>
        <v>44104</v>
      </c>
      <c r="L6" s="65">
        <f t="shared" si="1"/>
        <v>44196</v>
      </c>
      <c r="M6" s="65">
        <f t="shared" si="1"/>
        <v>44286</v>
      </c>
      <c r="N6" s="65">
        <f t="shared" si="1"/>
        <v>44377</v>
      </c>
      <c r="O6" s="65">
        <f t="shared" si="1"/>
        <v>44469</v>
      </c>
      <c r="P6" s="65">
        <f t="shared" si="1"/>
        <v>44561</v>
      </c>
      <c r="Q6" s="65">
        <f t="shared" si="1"/>
        <v>44651</v>
      </c>
      <c r="R6" s="65">
        <f t="shared" si="1"/>
        <v>44742</v>
      </c>
      <c r="S6" s="65">
        <f t="shared" si="1"/>
        <v>44834</v>
      </c>
      <c r="T6" s="65">
        <f t="shared" si="1"/>
        <v>44926</v>
      </c>
      <c r="U6" s="65">
        <f t="shared" si="1"/>
        <v>45016</v>
      </c>
      <c r="V6" s="65">
        <f t="shared" si="1"/>
        <v>45107</v>
      </c>
      <c r="W6" s="65">
        <f t="shared" si="1"/>
        <v>45199</v>
      </c>
      <c r="X6" s="65">
        <f t="shared" si="1"/>
        <v>45291</v>
      </c>
      <c r="Y6" s="65">
        <f t="shared" si="1"/>
        <v>45382</v>
      </c>
      <c r="Z6" s="65">
        <f t="shared" si="1"/>
        <v>45473</v>
      </c>
      <c r="AA6" s="65">
        <f t="shared" si="1"/>
        <v>45565</v>
      </c>
      <c r="AB6" s="65">
        <f t="shared" si="1"/>
        <v>45657</v>
      </c>
      <c r="AC6" s="65">
        <f t="shared" si="1"/>
        <v>45747</v>
      </c>
      <c r="AD6" s="65">
        <f t="shared" si="1"/>
        <v>45838</v>
      </c>
      <c r="AE6" s="65">
        <f t="shared" si="1"/>
        <v>45930</v>
      </c>
      <c r="AF6" s="65">
        <f t="shared" si="1"/>
        <v>46022</v>
      </c>
      <c r="AG6" s="65">
        <f t="shared" si="1"/>
        <v>46112</v>
      </c>
      <c r="AH6" s="65">
        <f t="shared" si="1"/>
        <v>46203</v>
      </c>
      <c r="AI6" s="65">
        <f t="shared" si="1"/>
        <v>46295</v>
      </c>
      <c r="AJ6" s="65">
        <f t="shared" si="1"/>
        <v>46387</v>
      </c>
      <c r="AK6" s="65">
        <f t="shared" si="1"/>
        <v>46477</v>
      </c>
      <c r="AL6" s="65">
        <f t="shared" si="1"/>
        <v>46568</v>
      </c>
      <c r="AM6" s="65">
        <f t="shared" si="1"/>
        <v>46660</v>
      </c>
      <c r="AN6" s="65">
        <f t="shared" si="1"/>
        <v>46752</v>
      </c>
      <c r="AO6" s="65">
        <f t="shared" si="1"/>
        <v>46843</v>
      </c>
      <c r="AP6" s="65">
        <f t="shared" si="1"/>
        <v>46934</v>
      </c>
      <c r="AQ6" s="65">
        <f t="shared" si="1"/>
        <v>47026</v>
      </c>
      <c r="AR6" s="65">
        <f t="shared" si="1"/>
        <v>47118</v>
      </c>
      <c r="AS6" s="65">
        <f t="shared" si="1"/>
        <v>47208</v>
      </c>
      <c r="AT6" s="65">
        <f t="shared" si="1"/>
        <v>47299</v>
      </c>
      <c r="AU6" s="65">
        <f t="shared" si="1"/>
        <v>47391</v>
      </c>
      <c r="AV6" s="65">
        <f t="shared" si="1"/>
        <v>47483</v>
      </c>
      <c r="AW6" s="65">
        <f t="shared" si="1"/>
        <v>47573</v>
      </c>
      <c r="AX6" s="65">
        <f t="shared" si="1"/>
        <v>47664</v>
      </c>
      <c r="AY6" s="65">
        <f t="shared" si="1"/>
        <v>47756</v>
      </c>
      <c r="AZ6" s="65">
        <f t="shared" si="1"/>
        <v>47848</v>
      </c>
      <c r="BA6" s="65">
        <f t="shared" si="1"/>
        <v>47938</v>
      </c>
      <c r="BB6" s="65">
        <f t="shared" si="1"/>
        <v>48029</v>
      </c>
      <c r="BC6" s="65">
        <f t="shared" si="1"/>
        <v>48121</v>
      </c>
      <c r="BD6" s="65">
        <f t="shared" si="1"/>
        <v>48213</v>
      </c>
      <c r="BE6" s="65">
        <f t="shared" si="1"/>
        <v>48304</v>
      </c>
      <c r="BF6" s="65">
        <f t="shared" si="1"/>
        <v>48395</v>
      </c>
      <c r="BG6" s="65">
        <f t="shared" si="1"/>
        <v>48487</v>
      </c>
      <c r="BH6" s="65">
        <f t="shared" si="1"/>
        <v>48579</v>
      </c>
      <c r="BI6" s="65">
        <f t="shared" si="1"/>
        <v>48669</v>
      </c>
      <c r="BJ6" s="65">
        <f t="shared" si="1"/>
        <v>48760</v>
      </c>
      <c r="BK6" s="65">
        <f t="shared" si="1"/>
        <v>48852</v>
      </c>
      <c r="BL6" s="65">
        <f t="shared" si="1"/>
        <v>48944</v>
      </c>
      <c r="BM6" s="65">
        <f t="shared" si="1"/>
        <v>49034</v>
      </c>
      <c r="BN6" s="65">
        <f t="shared" si="1"/>
        <v>49125</v>
      </c>
      <c r="BO6" s="65">
        <f t="shared" si="1"/>
        <v>49217</v>
      </c>
      <c r="BP6" s="65">
        <f t="shared" si="1"/>
        <v>49309</v>
      </c>
    </row>
    <row r="7" spans="2:68">
      <c r="B7" s="61" t="s">
        <v>98</v>
      </c>
      <c r="F7" s="64"/>
      <c r="G7" s="111"/>
      <c r="I7" s="66">
        <f>YEAR(I6)</f>
        <v>2020</v>
      </c>
      <c r="J7" s="66">
        <f t="shared" ref="J7:BP7" si="2">YEAR(J6)</f>
        <v>2020</v>
      </c>
      <c r="K7" s="66">
        <f t="shared" si="2"/>
        <v>2020</v>
      </c>
      <c r="L7" s="66">
        <f t="shared" si="2"/>
        <v>2020</v>
      </c>
      <c r="M7" s="66">
        <f t="shared" si="2"/>
        <v>2021</v>
      </c>
      <c r="N7" s="66">
        <f t="shared" si="2"/>
        <v>2021</v>
      </c>
      <c r="O7" s="66">
        <f t="shared" si="2"/>
        <v>2021</v>
      </c>
      <c r="P7" s="66">
        <f t="shared" si="2"/>
        <v>2021</v>
      </c>
      <c r="Q7" s="66">
        <f t="shared" si="2"/>
        <v>2022</v>
      </c>
      <c r="R7" s="66">
        <f t="shared" si="2"/>
        <v>2022</v>
      </c>
      <c r="S7" s="66">
        <f t="shared" si="2"/>
        <v>2022</v>
      </c>
      <c r="T7" s="66">
        <f t="shared" si="2"/>
        <v>2022</v>
      </c>
      <c r="U7" s="66">
        <f t="shared" si="2"/>
        <v>2023</v>
      </c>
      <c r="V7" s="66">
        <f t="shared" si="2"/>
        <v>2023</v>
      </c>
      <c r="W7" s="66">
        <f t="shared" si="2"/>
        <v>2023</v>
      </c>
      <c r="X7" s="66">
        <f t="shared" si="2"/>
        <v>2023</v>
      </c>
      <c r="Y7" s="66">
        <f t="shared" si="2"/>
        <v>2024</v>
      </c>
      <c r="Z7" s="66">
        <f t="shared" si="2"/>
        <v>2024</v>
      </c>
      <c r="AA7" s="66">
        <f t="shared" si="2"/>
        <v>2024</v>
      </c>
      <c r="AB7" s="66">
        <f t="shared" si="2"/>
        <v>2024</v>
      </c>
      <c r="AC7" s="66">
        <f t="shared" si="2"/>
        <v>2025</v>
      </c>
      <c r="AD7" s="66">
        <f t="shared" si="2"/>
        <v>2025</v>
      </c>
      <c r="AE7" s="66">
        <f t="shared" si="2"/>
        <v>2025</v>
      </c>
      <c r="AF7" s="66">
        <f t="shared" si="2"/>
        <v>2025</v>
      </c>
      <c r="AG7" s="66">
        <f t="shared" si="2"/>
        <v>2026</v>
      </c>
      <c r="AH7" s="66">
        <f t="shared" si="2"/>
        <v>2026</v>
      </c>
      <c r="AI7" s="66">
        <f t="shared" si="2"/>
        <v>2026</v>
      </c>
      <c r="AJ7" s="66">
        <f t="shared" si="2"/>
        <v>2026</v>
      </c>
      <c r="AK7" s="66">
        <f t="shared" si="2"/>
        <v>2027</v>
      </c>
      <c r="AL7" s="66">
        <f t="shared" si="2"/>
        <v>2027</v>
      </c>
      <c r="AM7" s="66">
        <f t="shared" si="2"/>
        <v>2027</v>
      </c>
      <c r="AN7" s="66">
        <f t="shared" si="2"/>
        <v>2027</v>
      </c>
      <c r="AO7" s="66">
        <f t="shared" si="2"/>
        <v>2028</v>
      </c>
      <c r="AP7" s="66">
        <f t="shared" si="2"/>
        <v>2028</v>
      </c>
      <c r="AQ7" s="66">
        <f t="shared" si="2"/>
        <v>2028</v>
      </c>
      <c r="AR7" s="66">
        <f t="shared" si="2"/>
        <v>2028</v>
      </c>
      <c r="AS7" s="66">
        <f t="shared" si="2"/>
        <v>2029</v>
      </c>
      <c r="AT7" s="66">
        <f t="shared" si="2"/>
        <v>2029</v>
      </c>
      <c r="AU7" s="66">
        <f t="shared" si="2"/>
        <v>2029</v>
      </c>
      <c r="AV7" s="66">
        <f t="shared" si="2"/>
        <v>2029</v>
      </c>
      <c r="AW7" s="66">
        <f t="shared" si="2"/>
        <v>2030</v>
      </c>
      <c r="AX7" s="66">
        <f t="shared" si="2"/>
        <v>2030</v>
      </c>
      <c r="AY7" s="66">
        <f t="shared" si="2"/>
        <v>2030</v>
      </c>
      <c r="AZ7" s="66">
        <f t="shared" si="2"/>
        <v>2030</v>
      </c>
      <c r="BA7" s="66">
        <f t="shared" si="2"/>
        <v>2031</v>
      </c>
      <c r="BB7" s="66">
        <f t="shared" si="2"/>
        <v>2031</v>
      </c>
      <c r="BC7" s="66">
        <f t="shared" si="2"/>
        <v>2031</v>
      </c>
      <c r="BD7" s="66">
        <f t="shared" si="2"/>
        <v>2031</v>
      </c>
      <c r="BE7" s="66">
        <f t="shared" si="2"/>
        <v>2032</v>
      </c>
      <c r="BF7" s="66">
        <f t="shared" si="2"/>
        <v>2032</v>
      </c>
      <c r="BG7" s="66">
        <f t="shared" si="2"/>
        <v>2032</v>
      </c>
      <c r="BH7" s="66">
        <f t="shared" si="2"/>
        <v>2032</v>
      </c>
      <c r="BI7" s="66">
        <f t="shared" si="2"/>
        <v>2033</v>
      </c>
      <c r="BJ7" s="66">
        <f t="shared" si="2"/>
        <v>2033</v>
      </c>
      <c r="BK7" s="66">
        <f t="shared" si="2"/>
        <v>2033</v>
      </c>
      <c r="BL7" s="66">
        <f t="shared" si="2"/>
        <v>2033</v>
      </c>
      <c r="BM7" s="66">
        <f t="shared" si="2"/>
        <v>2034</v>
      </c>
      <c r="BN7" s="66">
        <f t="shared" si="2"/>
        <v>2034</v>
      </c>
      <c r="BO7" s="66">
        <f t="shared" si="2"/>
        <v>2034</v>
      </c>
      <c r="BP7" s="66">
        <f t="shared" si="2"/>
        <v>2034</v>
      </c>
    </row>
    <row r="8" spans="2:68">
      <c r="B8" s="61" t="s">
        <v>99</v>
      </c>
      <c r="F8" s="61">
        <f>MAX(I8:BP8)</f>
        <v>60</v>
      </c>
      <c r="G8" s="73">
        <f>CaseData!H36</f>
        <v>60</v>
      </c>
      <c r="I8" s="61">
        <v>1</v>
      </c>
      <c r="J8" s="61">
        <f>I8+1</f>
        <v>2</v>
      </c>
      <c r="K8" s="61">
        <f t="shared" ref="K8:BP8" si="3">J8+1</f>
        <v>3</v>
      </c>
      <c r="L8" s="61">
        <f t="shared" si="3"/>
        <v>4</v>
      </c>
      <c r="M8" s="61">
        <f t="shared" si="3"/>
        <v>5</v>
      </c>
      <c r="N8" s="61">
        <f t="shared" si="3"/>
        <v>6</v>
      </c>
      <c r="O8" s="61">
        <f t="shared" si="3"/>
        <v>7</v>
      </c>
      <c r="P8" s="61">
        <f t="shared" si="3"/>
        <v>8</v>
      </c>
      <c r="Q8" s="61">
        <f t="shared" si="3"/>
        <v>9</v>
      </c>
      <c r="R8" s="61">
        <f t="shared" si="3"/>
        <v>10</v>
      </c>
      <c r="S8" s="61">
        <f t="shared" si="3"/>
        <v>11</v>
      </c>
      <c r="T8" s="61">
        <f t="shared" si="3"/>
        <v>12</v>
      </c>
      <c r="U8" s="61">
        <f t="shared" si="3"/>
        <v>13</v>
      </c>
      <c r="V8" s="61">
        <f t="shared" si="3"/>
        <v>14</v>
      </c>
      <c r="W8" s="61">
        <f t="shared" si="3"/>
        <v>15</v>
      </c>
      <c r="X8" s="61">
        <f t="shared" si="3"/>
        <v>16</v>
      </c>
      <c r="Y8" s="61">
        <f t="shared" si="3"/>
        <v>17</v>
      </c>
      <c r="Z8" s="61">
        <f t="shared" si="3"/>
        <v>18</v>
      </c>
      <c r="AA8" s="61">
        <f t="shared" si="3"/>
        <v>19</v>
      </c>
      <c r="AB8" s="61">
        <f t="shared" si="3"/>
        <v>20</v>
      </c>
      <c r="AC8" s="61">
        <f t="shared" si="3"/>
        <v>21</v>
      </c>
      <c r="AD8" s="61">
        <f t="shared" si="3"/>
        <v>22</v>
      </c>
      <c r="AE8" s="61">
        <f t="shared" si="3"/>
        <v>23</v>
      </c>
      <c r="AF8" s="61">
        <f t="shared" si="3"/>
        <v>24</v>
      </c>
      <c r="AG8" s="61">
        <f t="shared" si="3"/>
        <v>25</v>
      </c>
      <c r="AH8" s="61">
        <f t="shared" si="3"/>
        <v>26</v>
      </c>
      <c r="AI8" s="61">
        <f t="shared" si="3"/>
        <v>27</v>
      </c>
      <c r="AJ8" s="61">
        <f t="shared" si="3"/>
        <v>28</v>
      </c>
      <c r="AK8" s="61">
        <f t="shared" si="3"/>
        <v>29</v>
      </c>
      <c r="AL8" s="61">
        <f t="shared" si="3"/>
        <v>30</v>
      </c>
      <c r="AM8" s="61">
        <f t="shared" si="3"/>
        <v>31</v>
      </c>
      <c r="AN8" s="61">
        <f t="shared" si="3"/>
        <v>32</v>
      </c>
      <c r="AO8" s="61">
        <f t="shared" si="3"/>
        <v>33</v>
      </c>
      <c r="AP8" s="61">
        <f t="shared" si="3"/>
        <v>34</v>
      </c>
      <c r="AQ8" s="61">
        <f t="shared" si="3"/>
        <v>35</v>
      </c>
      <c r="AR8" s="61">
        <f t="shared" si="3"/>
        <v>36</v>
      </c>
      <c r="AS8" s="61">
        <f t="shared" si="3"/>
        <v>37</v>
      </c>
      <c r="AT8" s="61">
        <f t="shared" si="3"/>
        <v>38</v>
      </c>
      <c r="AU8" s="61">
        <f t="shared" si="3"/>
        <v>39</v>
      </c>
      <c r="AV8" s="61">
        <f t="shared" si="3"/>
        <v>40</v>
      </c>
      <c r="AW8" s="61">
        <f t="shared" si="3"/>
        <v>41</v>
      </c>
      <c r="AX8" s="61">
        <f t="shared" si="3"/>
        <v>42</v>
      </c>
      <c r="AY8" s="61">
        <f t="shared" si="3"/>
        <v>43</v>
      </c>
      <c r="AZ8" s="61">
        <f t="shared" si="3"/>
        <v>44</v>
      </c>
      <c r="BA8" s="61">
        <f t="shared" si="3"/>
        <v>45</v>
      </c>
      <c r="BB8" s="61">
        <f t="shared" si="3"/>
        <v>46</v>
      </c>
      <c r="BC8" s="61">
        <f t="shared" si="3"/>
        <v>47</v>
      </c>
      <c r="BD8" s="61">
        <f t="shared" si="3"/>
        <v>48</v>
      </c>
      <c r="BE8" s="61">
        <f t="shared" si="3"/>
        <v>49</v>
      </c>
      <c r="BF8" s="61">
        <f t="shared" si="3"/>
        <v>50</v>
      </c>
      <c r="BG8" s="61">
        <f t="shared" si="3"/>
        <v>51</v>
      </c>
      <c r="BH8" s="61">
        <f t="shared" si="3"/>
        <v>52</v>
      </c>
      <c r="BI8" s="61">
        <f t="shared" si="3"/>
        <v>53</v>
      </c>
      <c r="BJ8" s="61">
        <f t="shared" si="3"/>
        <v>54</v>
      </c>
      <c r="BK8" s="61">
        <f t="shared" si="3"/>
        <v>55</v>
      </c>
      <c r="BL8" s="61">
        <f t="shared" si="3"/>
        <v>56</v>
      </c>
      <c r="BM8" s="61">
        <f t="shared" si="3"/>
        <v>57</v>
      </c>
      <c r="BN8" s="61">
        <f t="shared" si="3"/>
        <v>58</v>
      </c>
      <c r="BO8" s="61">
        <f t="shared" si="3"/>
        <v>59</v>
      </c>
      <c r="BP8" s="61">
        <f t="shared" si="3"/>
        <v>60</v>
      </c>
    </row>
    <row r="10" spans="2:68">
      <c r="B10" s="67" t="s">
        <v>91</v>
      </c>
      <c r="C10" s="68"/>
      <c r="D10" s="68"/>
      <c r="E10" s="68"/>
      <c r="F10" s="68"/>
      <c r="G10" s="69"/>
      <c r="H10" s="69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</row>
    <row r="12" spans="2:68">
      <c r="C12" s="61" t="str">
        <f>CaseData!D12</f>
        <v>Sales Price</v>
      </c>
      <c r="G12" s="62">
        <v>1</v>
      </c>
    </row>
    <row r="14" spans="2:68">
      <c r="C14" s="61" t="str">
        <f>CaseData!D13</f>
        <v>Expense Indexations</v>
      </c>
      <c r="G14" s="62">
        <f>G12</f>
        <v>1</v>
      </c>
    </row>
    <row r="16" spans="2:68">
      <c r="B16" s="67" t="s">
        <v>95</v>
      </c>
      <c r="C16" s="68"/>
      <c r="D16" s="68"/>
      <c r="E16" s="68"/>
      <c r="F16" s="68"/>
      <c r="G16" s="69"/>
      <c r="H16" s="69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</row>
    <row r="18" spans="2:68">
      <c r="C18" s="70" t="s">
        <v>100</v>
      </c>
      <c r="G18" s="110">
        <f>CaseData!H40</f>
        <v>280</v>
      </c>
      <c r="H18" s="73" t="str">
        <f>CaseData!F40</f>
        <v>[$/slab]</v>
      </c>
      <c r="I18" s="72">
        <f>G18</f>
        <v>280</v>
      </c>
      <c r="J18" s="72">
        <f>I18*(1+J19)</f>
        <v>280</v>
      </c>
      <c r="K18" s="72">
        <f t="shared" ref="K18:BP18" si="4">J18*(1+K19)</f>
        <v>280</v>
      </c>
      <c r="L18" s="72">
        <f t="shared" si="4"/>
        <v>280</v>
      </c>
      <c r="M18" s="72">
        <f t="shared" si="4"/>
        <v>287</v>
      </c>
      <c r="N18" s="72">
        <f t="shared" si="4"/>
        <v>287</v>
      </c>
      <c r="O18" s="72">
        <f t="shared" si="4"/>
        <v>287</v>
      </c>
      <c r="P18" s="72">
        <f t="shared" si="4"/>
        <v>287</v>
      </c>
      <c r="Q18" s="72">
        <f t="shared" si="4"/>
        <v>294.17499999999995</v>
      </c>
      <c r="R18" s="72">
        <f t="shared" si="4"/>
        <v>294.17499999999995</v>
      </c>
      <c r="S18" s="72">
        <f t="shared" si="4"/>
        <v>294.17499999999995</v>
      </c>
      <c r="T18" s="72">
        <f t="shared" si="4"/>
        <v>294.17499999999995</v>
      </c>
      <c r="U18" s="72">
        <f t="shared" si="4"/>
        <v>301.5293749999999</v>
      </c>
      <c r="V18" s="72">
        <f t="shared" si="4"/>
        <v>301.5293749999999</v>
      </c>
      <c r="W18" s="72">
        <f t="shared" si="4"/>
        <v>301.5293749999999</v>
      </c>
      <c r="X18" s="72">
        <f t="shared" si="4"/>
        <v>301.5293749999999</v>
      </c>
      <c r="Y18" s="72">
        <f t="shared" si="4"/>
        <v>309.06760937499985</v>
      </c>
      <c r="Z18" s="72">
        <f t="shared" si="4"/>
        <v>309.06760937499985</v>
      </c>
      <c r="AA18" s="72">
        <f t="shared" si="4"/>
        <v>309.06760937499985</v>
      </c>
      <c r="AB18" s="72">
        <f t="shared" si="4"/>
        <v>309.06760937499985</v>
      </c>
      <c r="AC18" s="72">
        <f t="shared" si="4"/>
        <v>316.79429960937483</v>
      </c>
      <c r="AD18" s="72">
        <f t="shared" si="4"/>
        <v>316.79429960937483</v>
      </c>
      <c r="AE18" s="72">
        <f t="shared" si="4"/>
        <v>316.79429960937483</v>
      </c>
      <c r="AF18" s="72">
        <f t="shared" si="4"/>
        <v>316.79429960937483</v>
      </c>
      <c r="AG18" s="72">
        <f t="shared" si="4"/>
        <v>324.71415709960917</v>
      </c>
      <c r="AH18" s="72">
        <f t="shared" si="4"/>
        <v>324.71415709960917</v>
      </c>
      <c r="AI18" s="72">
        <f t="shared" si="4"/>
        <v>324.71415709960917</v>
      </c>
      <c r="AJ18" s="72">
        <f t="shared" si="4"/>
        <v>324.71415709960917</v>
      </c>
      <c r="AK18" s="72">
        <f t="shared" si="4"/>
        <v>332.83201102709938</v>
      </c>
      <c r="AL18" s="72">
        <f t="shared" si="4"/>
        <v>332.83201102709938</v>
      </c>
      <c r="AM18" s="72">
        <f t="shared" si="4"/>
        <v>332.83201102709938</v>
      </c>
      <c r="AN18" s="72">
        <f t="shared" si="4"/>
        <v>332.83201102709938</v>
      </c>
      <c r="AO18" s="72">
        <f t="shared" si="4"/>
        <v>341.15281130277685</v>
      </c>
      <c r="AP18" s="72">
        <f t="shared" si="4"/>
        <v>341.15281130277685</v>
      </c>
      <c r="AQ18" s="72">
        <f t="shared" si="4"/>
        <v>341.15281130277685</v>
      </c>
      <c r="AR18" s="72">
        <f t="shared" si="4"/>
        <v>341.15281130277685</v>
      </c>
      <c r="AS18" s="72">
        <f t="shared" si="4"/>
        <v>349.68163158534622</v>
      </c>
      <c r="AT18" s="72">
        <f t="shared" si="4"/>
        <v>349.68163158534622</v>
      </c>
      <c r="AU18" s="72">
        <f t="shared" si="4"/>
        <v>349.68163158534622</v>
      </c>
      <c r="AV18" s="72">
        <f t="shared" si="4"/>
        <v>349.68163158534622</v>
      </c>
      <c r="AW18" s="72">
        <f t="shared" si="4"/>
        <v>358.42367237497984</v>
      </c>
      <c r="AX18" s="72">
        <f t="shared" si="4"/>
        <v>358.42367237497984</v>
      </c>
      <c r="AY18" s="72">
        <f t="shared" si="4"/>
        <v>358.42367237497984</v>
      </c>
      <c r="AZ18" s="72">
        <f t="shared" si="4"/>
        <v>358.42367237497984</v>
      </c>
      <c r="BA18" s="72">
        <f t="shared" si="4"/>
        <v>367.38426418435432</v>
      </c>
      <c r="BB18" s="72">
        <f t="shared" si="4"/>
        <v>367.38426418435432</v>
      </c>
      <c r="BC18" s="72">
        <f t="shared" si="4"/>
        <v>367.38426418435432</v>
      </c>
      <c r="BD18" s="72">
        <f t="shared" si="4"/>
        <v>367.38426418435432</v>
      </c>
      <c r="BE18" s="72">
        <f t="shared" si="4"/>
        <v>376.56887078896312</v>
      </c>
      <c r="BF18" s="72">
        <f t="shared" si="4"/>
        <v>376.56887078896312</v>
      </c>
      <c r="BG18" s="72">
        <f t="shared" si="4"/>
        <v>376.56887078896312</v>
      </c>
      <c r="BH18" s="72">
        <f t="shared" si="4"/>
        <v>376.56887078896312</v>
      </c>
      <c r="BI18" s="72">
        <f t="shared" si="4"/>
        <v>385.98309255868719</v>
      </c>
      <c r="BJ18" s="72">
        <f t="shared" si="4"/>
        <v>385.98309255868719</v>
      </c>
      <c r="BK18" s="72">
        <f t="shared" si="4"/>
        <v>385.98309255868719</v>
      </c>
      <c r="BL18" s="72">
        <f t="shared" si="4"/>
        <v>385.98309255868719</v>
      </c>
      <c r="BM18" s="72">
        <f t="shared" si="4"/>
        <v>395.63266987265433</v>
      </c>
      <c r="BN18" s="72">
        <f t="shared" si="4"/>
        <v>395.63266987265433</v>
      </c>
      <c r="BO18" s="72">
        <f t="shared" si="4"/>
        <v>395.63266987265433</v>
      </c>
      <c r="BP18" s="72">
        <f t="shared" si="4"/>
        <v>395.63266987265433</v>
      </c>
    </row>
    <row r="19" spans="2:68">
      <c r="D19" s="61" t="s">
        <v>101</v>
      </c>
      <c r="G19" s="73" t="str">
        <f>CaseData!E12</f>
        <v>Annual</v>
      </c>
      <c r="J19" s="74">
        <f>INDEX(J$20:J$21,MATCH($G19,$E$20:$E$21,0))</f>
        <v>0</v>
      </c>
      <c r="K19" s="74">
        <f t="shared" ref="K19:BP19" si="5">INDEX(K$20:K$21,MATCH($G19,$E$20:$E$21,0))</f>
        <v>0</v>
      </c>
      <c r="L19" s="74">
        <f t="shared" si="5"/>
        <v>0</v>
      </c>
      <c r="M19" s="74">
        <f t="shared" si="5"/>
        <v>2.5000000000000001E-2</v>
      </c>
      <c r="N19" s="74">
        <f t="shared" si="5"/>
        <v>0</v>
      </c>
      <c r="O19" s="74">
        <f t="shared" si="5"/>
        <v>0</v>
      </c>
      <c r="P19" s="74">
        <f t="shared" si="5"/>
        <v>0</v>
      </c>
      <c r="Q19" s="74">
        <f t="shared" si="5"/>
        <v>2.5000000000000001E-2</v>
      </c>
      <c r="R19" s="74">
        <f t="shared" si="5"/>
        <v>0</v>
      </c>
      <c r="S19" s="74">
        <f t="shared" si="5"/>
        <v>0</v>
      </c>
      <c r="T19" s="74">
        <f t="shared" si="5"/>
        <v>0</v>
      </c>
      <c r="U19" s="74">
        <f t="shared" si="5"/>
        <v>2.5000000000000001E-2</v>
      </c>
      <c r="V19" s="74">
        <f t="shared" si="5"/>
        <v>0</v>
      </c>
      <c r="W19" s="74">
        <f t="shared" si="5"/>
        <v>0</v>
      </c>
      <c r="X19" s="74">
        <f t="shared" si="5"/>
        <v>0</v>
      </c>
      <c r="Y19" s="74">
        <f t="shared" si="5"/>
        <v>2.5000000000000001E-2</v>
      </c>
      <c r="Z19" s="74">
        <f t="shared" si="5"/>
        <v>0</v>
      </c>
      <c r="AA19" s="74">
        <f t="shared" si="5"/>
        <v>0</v>
      </c>
      <c r="AB19" s="74">
        <f t="shared" si="5"/>
        <v>0</v>
      </c>
      <c r="AC19" s="74">
        <f t="shared" si="5"/>
        <v>2.5000000000000001E-2</v>
      </c>
      <c r="AD19" s="74">
        <f t="shared" si="5"/>
        <v>0</v>
      </c>
      <c r="AE19" s="74">
        <f t="shared" si="5"/>
        <v>0</v>
      </c>
      <c r="AF19" s="74">
        <f t="shared" si="5"/>
        <v>0</v>
      </c>
      <c r="AG19" s="74">
        <f t="shared" si="5"/>
        <v>2.5000000000000001E-2</v>
      </c>
      <c r="AH19" s="74">
        <f t="shared" si="5"/>
        <v>0</v>
      </c>
      <c r="AI19" s="74">
        <f t="shared" si="5"/>
        <v>0</v>
      </c>
      <c r="AJ19" s="74">
        <f t="shared" si="5"/>
        <v>0</v>
      </c>
      <c r="AK19" s="74">
        <f t="shared" si="5"/>
        <v>2.5000000000000001E-2</v>
      </c>
      <c r="AL19" s="74">
        <f t="shared" si="5"/>
        <v>0</v>
      </c>
      <c r="AM19" s="74">
        <f t="shared" si="5"/>
        <v>0</v>
      </c>
      <c r="AN19" s="74">
        <f t="shared" si="5"/>
        <v>0</v>
      </c>
      <c r="AO19" s="74">
        <f t="shared" si="5"/>
        <v>2.5000000000000001E-2</v>
      </c>
      <c r="AP19" s="74">
        <f t="shared" si="5"/>
        <v>0</v>
      </c>
      <c r="AQ19" s="74">
        <f t="shared" si="5"/>
        <v>0</v>
      </c>
      <c r="AR19" s="74">
        <f t="shared" si="5"/>
        <v>0</v>
      </c>
      <c r="AS19" s="74">
        <f t="shared" si="5"/>
        <v>2.5000000000000001E-2</v>
      </c>
      <c r="AT19" s="74">
        <f t="shared" si="5"/>
        <v>0</v>
      </c>
      <c r="AU19" s="74">
        <f t="shared" si="5"/>
        <v>0</v>
      </c>
      <c r="AV19" s="74">
        <f t="shared" si="5"/>
        <v>0</v>
      </c>
      <c r="AW19" s="74">
        <f t="shared" si="5"/>
        <v>2.5000000000000001E-2</v>
      </c>
      <c r="AX19" s="74">
        <f t="shared" si="5"/>
        <v>0</v>
      </c>
      <c r="AY19" s="74">
        <f t="shared" si="5"/>
        <v>0</v>
      </c>
      <c r="AZ19" s="74">
        <f t="shared" si="5"/>
        <v>0</v>
      </c>
      <c r="BA19" s="74">
        <f t="shared" si="5"/>
        <v>2.5000000000000001E-2</v>
      </c>
      <c r="BB19" s="74">
        <f t="shared" si="5"/>
        <v>0</v>
      </c>
      <c r="BC19" s="74">
        <f t="shared" si="5"/>
        <v>0</v>
      </c>
      <c r="BD19" s="74">
        <f t="shared" si="5"/>
        <v>0</v>
      </c>
      <c r="BE19" s="74">
        <f t="shared" si="5"/>
        <v>2.5000000000000001E-2</v>
      </c>
      <c r="BF19" s="74">
        <f t="shared" si="5"/>
        <v>0</v>
      </c>
      <c r="BG19" s="74">
        <f t="shared" si="5"/>
        <v>0</v>
      </c>
      <c r="BH19" s="74">
        <f t="shared" si="5"/>
        <v>0</v>
      </c>
      <c r="BI19" s="74">
        <f t="shared" si="5"/>
        <v>2.5000000000000001E-2</v>
      </c>
      <c r="BJ19" s="74">
        <f t="shared" si="5"/>
        <v>0</v>
      </c>
      <c r="BK19" s="74">
        <f t="shared" si="5"/>
        <v>0</v>
      </c>
      <c r="BL19" s="74">
        <f t="shared" si="5"/>
        <v>0</v>
      </c>
      <c r="BM19" s="74">
        <f t="shared" si="5"/>
        <v>2.5000000000000001E-2</v>
      </c>
      <c r="BN19" s="74">
        <f t="shared" si="5"/>
        <v>0</v>
      </c>
      <c r="BO19" s="74">
        <f t="shared" si="5"/>
        <v>0</v>
      </c>
      <c r="BP19" s="74">
        <f t="shared" si="5"/>
        <v>0</v>
      </c>
    </row>
    <row r="20" spans="2:68">
      <c r="E20" s="61" t="s">
        <v>23</v>
      </c>
      <c r="G20" s="75">
        <f>INDEX(CaseData!H12:J12,$G$12)</f>
        <v>2.5000000000000001E-2</v>
      </c>
      <c r="J20" s="74">
        <f>IF(J$7&lt;&gt;I$7,$G20,0)</f>
        <v>0</v>
      </c>
      <c r="K20" s="74">
        <f t="shared" ref="K20:BP20" si="6">IF(K$7&lt;&gt;J$7,$G20,0)</f>
        <v>0</v>
      </c>
      <c r="L20" s="74">
        <f t="shared" si="6"/>
        <v>0</v>
      </c>
      <c r="M20" s="74">
        <f t="shared" si="6"/>
        <v>2.5000000000000001E-2</v>
      </c>
      <c r="N20" s="74">
        <f t="shared" si="6"/>
        <v>0</v>
      </c>
      <c r="O20" s="74">
        <f t="shared" si="6"/>
        <v>0</v>
      </c>
      <c r="P20" s="74">
        <f t="shared" si="6"/>
        <v>0</v>
      </c>
      <c r="Q20" s="74">
        <f t="shared" si="6"/>
        <v>2.5000000000000001E-2</v>
      </c>
      <c r="R20" s="74">
        <f t="shared" si="6"/>
        <v>0</v>
      </c>
      <c r="S20" s="74">
        <f t="shared" si="6"/>
        <v>0</v>
      </c>
      <c r="T20" s="74">
        <f t="shared" si="6"/>
        <v>0</v>
      </c>
      <c r="U20" s="74">
        <f t="shared" si="6"/>
        <v>2.5000000000000001E-2</v>
      </c>
      <c r="V20" s="74">
        <f t="shared" si="6"/>
        <v>0</v>
      </c>
      <c r="W20" s="74">
        <f t="shared" si="6"/>
        <v>0</v>
      </c>
      <c r="X20" s="74">
        <f t="shared" si="6"/>
        <v>0</v>
      </c>
      <c r="Y20" s="74">
        <f t="shared" si="6"/>
        <v>2.5000000000000001E-2</v>
      </c>
      <c r="Z20" s="74">
        <f t="shared" si="6"/>
        <v>0</v>
      </c>
      <c r="AA20" s="74">
        <f t="shared" si="6"/>
        <v>0</v>
      </c>
      <c r="AB20" s="74">
        <f t="shared" si="6"/>
        <v>0</v>
      </c>
      <c r="AC20" s="74">
        <f t="shared" si="6"/>
        <v>2.5000000000000001E-2</v>
      </c>
      <c r="AD20" s="74">
        <f t="shared" si="6"/>
        <v>0</v>
      </c>
      <c r="AE20" s="74">
        <f t="shared" si="6"/>
        <v>0</v>
      </c>
      <c r="AF20" s="74">
        <f t="shared" si="6"/>
        <v>0</v>
      </c>
      <c r="AG20" s="74">
        <f t="shared" si="6"/>
        <v>2.5000000000000001E-2</v>
      </c>
      <c r="AH20" s="74">
        <f t="shared" si="6"/>
        <v>0</v>
      </c>
      <c r="AI20" s="74">
        <f t="shared" si="6"/>
        <v>0</v>
      </c>
      <c r="AJ20" s="74">
        <f t="shared" si="6"/>
        <v>0</v>
      </c>
      <c r="AK20" s="74">
        <f t="shared" si="6"/>
        <v>2.5000000000000001E-2</v>
      </c>
      <c r="AL20" s="74">
        <f t="shared" si="6"/>
        <v>0</v>
      </c>
      <c r="AM20" s="74">
        <f t="shared" si="6"/>
        <v>0</v>
      </c>
      <c r="AN20" s="74">
        <f t="shared" si="6"/>
        <v>0</v>
      </c>
      <c r="AO20" s="74">
        <f t="shared" si="6"/>
        <v>2.5000000000000001E-2</v>
      </c>
      <c r="AP20" s="74">
        <f t="shared" si="6"/>
        <v>0</v>
      </c>
      <c r="AQ20" s="74">
        <f t="shared" si="6"/>
        <v>0</v>
      </c>
      <c r="AR20" s="74">
        <f t="shared" si="6"/>
        <v>0</v>
      </c>
      <c r="AS20" s="74">
        <f t="shared" si="6"/>
        <v>2.5000000000000001E-2</v>
      </c>
      <c r="AT20" s="74">
        <f t="shared" si="6"/>
        <v>0</v>
      </c>
      <c r="AU20" s="74">
        <f t="shared" si="6"/>
        <v>0</v>
      </c>
      <c r="AV20" s="74">
        <f t="shared" si="6"/>
        <v>0</v>
      </c>
      <c r="AW20" s="74">
        <f t="shared" si="6"/>
        <v>2.5000000000000001E-2</v>
      </c>
      <c r="AX20" s="74">
        <f t="shared" si="6"/>
        <v>0</v>
      </c>
      <c r="AY20" s="74">
        <f t="shared" si="6"/>
        <v>0</v>
      </c>
      <c r="AZ20" s="74">
        <f t="shared" si="6"/>
        <v>0</v>
      </c>
      <c r="BA20" s="74">
        <f t="shared" si="6"/>
        <v>2.5000000000000001E-2</v>
      </c>
      <c r="BB20" s="74">
        <f t="shared" si="6"/>
        <v>0</v>
      </c>
      <c r="BC20" s="74">
        <f t="shared" si="6"/>
        <v>0</v>
      </c>
      <c r="BD20" s="74">
        <f t="shared" si="6"/>
        <v>0</v>
      </c>
      <c r="BE20" s="74">
        <f t="shared" si="6"/>
        <v>2.5000000000000001E-2</v>
      </c>
      <c r="BF20" s="74">
        <f t="shared" si="6"/>
        <v>0</v>
      </c>
      <c r="BG20" s="74">
        <f t="shared" si="6"/>
        <v>0</v>
      </c>
      <c r="BH20" s="74">
        <f t="shared" si="6"/>
        <v>0</v>
      </c>
      <c r="BI20" s="74">
        <f t="shared" si="6"/>
        <v>2.5000000000000001E-2</v>
      </c>
      <c r="BJ20" s="74">
        <f t="shared" si="6"/>
        <v>0</v>
      </c>
      <c r="BK20" s="74">
        <f t="shared" si="6"/>
        <v>0</v>
      </c>
      <c r="BL20" s="74">
        <f t="shared" si="6"/>
        <v>0</v>
      </c>
      <c r="BM20" s="74">
        <f t="shared" si="6"/>
        <v>2.5000000000000001E-2</v>
      </c>
      <c r="BN20" s="74">
        <f t="shared" si="6"/>
        <v>0</v>
      </c>
      <c r="BO20" s="74">
        <f t="shared" si="6"/>
        <v>0</v>
      </c>
      <c r="BP20" s="74">
        <f t="shared" si="6"/>
        <v>0</v>
      </c>
    </row>
    <row r="21" spans="2:68">
      <c r="E21" s="61" t="s">
        <v>25</v>
      </c>
      <c r="G21" s="76">
        <f>(1+G20)^(1/4)-1</f>
        <v>6.192246325636086E-3</v>
      </c>
      <c r="J21" s="74">
        <f>$G21</f>
        <v>6.192246325636086E-3</v>
      </c>
      <c r="K21" s="74">
        <f t="shared" ref="K21:BP21" si="7">$G21</f>
        <v>6.192246325636086E-3</v>
      </c>
      <c r="L21" s="74">
        <f t="shared" si="7"/>
        <v>6.192246325636086E-3</v>
      </c>
      <c r="M21" s="74">
        <f t="shared" si="7"/>
        <v>6.192246325636086E-3</v>
      </c>
      <c r="N21" s="74">
        <f t="shared" si="7"/>
        <v>6.192246325636086E-3</v>
      </c>
      <c r="O21" s="74">
        <f t="shared" si="7"/>
        <v>6.192246325636086E-3</v>
      </c>
      <c r="P21" s="74">
        <f t="shared" si="7"/>
        <v>6.192246325636086E-3</v>
      </c>
      <c r="Q21" s="74">
        <f t="shared" si="7"/>
        <v>6.192246325636086E-3</v>
      </c>
      <c r="R21" s="74">
        <f t="shared" si="7"/>
        <v>6.192246325636086E-3</v>
      </c>
      <c r="S21" s="74">
        <f t="shared" si="7"/>
        <v>6.192246325636086E-3</v>
      </c>
      <c r="T21" s="74">
        <f t="shared" si="7"/>
        <v>6.192246325636086E-3</v>
      </c>
      <c r="U21" s="74">
        <f t="shared" si="7"/>
        <v>6.192246325636086E-3</v>
      </c>
      <c r="V21" s="74">
        <f t="shared" si="7"/>
        <v>6.192246325636086E-3</v>
      </c>
      <c r="W21" s="74">
        <f t="shared" si="7"/>
        <v>6.192246325636086E-3</v>
      </c>
      <c r="X21" s="74">
        <f t="shared" si="7"/>
        <v>6.192246325636086E-3</v>
      </c>
      <c r="Y21" s="74">
        <f t="shared" si="7"/>
        <v>6.192246325636086E-3</v>
      </c>
      <c r="Z21" s="74">
        <f t="shared" si="7"/>
        <v>6.192246325636086E-3</v>
      </c>
      <c r="AA21" s="74">
        <f t="shared" si="7"/>
        <v>6.192246325636086E-3</v>
      </c>
      <c r="AB21" s="74">
        <f t="shared" si="7"/>
        <v>6.192246325636086E-3</v>
      </c>
      <c r="AC21" s="74">
        <f t="shared" si="7"/>
        <v>6.192246325636086E-3</v>
      </c>
      <c r="AD21" s="74">
        <f t="shared" si="7"/>
        <v>6.192246325636086E-3</v>
      </c>
      <c r="AE21" s="74">
        <f t="shared" si="7"/>
        <v>6.192246325636086E-3</v>
      </c>
      <c r="AF21" s="74">
        <f t="shared" si="7"/>
        <v>6.192246325636086E-3</v>
      </c>
      <c r="AG21" s="74">
        <f t="shared" si="7"/>
        <v>6.192246325636086E-3</v>
      </c>
      <c r="AH21" s="74">
        <f t="shared" si="7"/>
        <v>6.192246325636086E-3</v>
      </c>
      <c r="AI21" s="74">
        <f t="shared" si="7"/>
        <v>6.192246325636086E-3</v>
      </c>
      <c r="AJ21" s="74">
        <f t="shared" si="7"/>
        <v>6.192246325636086E-3</v>
      </c>
      <c r="AK21" s="74">
        <f t="shared" si="7"/>
        <v>6.192246325636086E-3</v>
      </c>
      <c r="AL21" s="74">
        <f t="shared" si="7"/>
        <v>6.192246325636086E-3</v>
      </c>
      <c r="AM21" s="74">
        <f t="shared" si="7"/>
        <v>6.192246325636086E-3</v>
      </c>
      <c r="AN21" s="74">
        <f t="shared" si="7"/>
        <v>6.192246325636086E-3</v>
      </c>
      <c r="AO21" s="74">
        <f t="shared" si="7"/>
        <v>6.192246325636086E-3</v>
      </c>
      <c r="AP21" s="74">
        <f t="shared" si="7"/>
        <v>6.192246325636086E-3</v>
      </c>
      <c r="AQ21" s="74">
        <f t="shared" si="7"/>
        <v>6.192246325636086E-3</v>
      </c>
      <c r="AR21" s="74">
        <f t="shared" si="7"/>
        <v>6.192246325636086E-3</v>
      </c>
      <c r="AS21" s="74">
        <f t="shared" si="7"/>
        <v>6.192246325636086E-3</v>
      </c>
      <c r="AT21" s="74">
        <f t="shared" si="7"/>
        <v>6.192246325636086E-3</v>
      </c>
      <c r="AU21" s="74">
        <f t="shared" si="7"/>
        <v>6.192246325636086E-3</v>
      </c>
      <c r="AV21" s="74">
        <f t="shared" si="7"/>
        <v>6.192246325636086E-3</v>
      </c>
      <c r="AW21" s="74">
        <f t="shared" si="7"/>
        <v>6.192246325636086E-3</v>
      </c>
      <c r="AX21" s="74">
        <f t="shared" si="7"/>
        <v>6.192246325636086E-3</v>
      </c>
      <c r="AY21" s="74">
        <f t="shared" si="7"/>
        <v>6.192246325636086E-3</v>
      </c>
      <c r="AZ21" s="74">
        <f t="shared" si="7"/>
        <v>6.192246325636086E-3</v>
      </c>
      <c r="BA21" s="74">
        <f t="shared" si="7"/>
        <v>6.192246325636086E-3</v>
      </c>
      <c r="BB21" s="74">
        <f t="shared" si="7"/>
        <v>6.192246325636086E-3</v>
      </c>
      <c r="BC21" s="74">
        <f t="shared" si="7"/>
        <v>6.192246325636086E-3</v>
      </c>
      <c r="BD21" s="74">
        <f t="shared" si="7"/>
        <v>6.192246325636086E-3</v>
      </c>
      <c r="BE21" s="74">
        <f t="shared" si="7"/>
        <v>6.192246325636086E-3</v>
      </c>
      <c r="BF21" s="74">
        <f t="shared" si="7"/>
        <v>6.192246325636086E-3</v>
      </c>
      <c r="BG21" s="74">
        <f t="shared" si="7"/>
        <v>6.192246325636086E-3</v>
      </c>
      <c r="BH21" s="74">
        <f t="shared" si="7"/>
        <v>6.192246325636086E-3</v>
      </c>
      <c r="BI21" s="74">
        <f t="shared" si="7"/>
        <v>6.192246325636086E-3</v>
      </c>
      <c r="BJ21" s="74">
        <f t="shared" si="7"/>
        <v>6.192246325636086E-3</v>
      </c>
      <c r="BK21" s="74">
        <f t="shared" si="7"/>
        <v>6.192246325636086E-3</v>
      </c>
      <c r="BL21" s="74">
        <f t="shared" si="7"/>
        <v>6.192246325636086E-3</v>
      </c>
      <c r="BM21" s="74">
        <f t="shared" si="7"/>
        <v>6.192246325636086E-3</v>
      </c>
      <c r="BN21" s="74">
        <f t="shared" si="7"/>
        <v>6.192246325636086E-3</v>
      </c>
      <c r="BO21" s="74">
        <f t="shared" si="7"/>
        <v>6.192246325636086E-3</v>
      </c>
      <c r="BP21" s="74">
        <f t="shared" si="7"/>
        <v>6.192246325636086E-3</v>
      </c>
    </row>
    <row r="22" spans="2:68">
      <c r="B22" s="77"/>
      <c r="C22" s="77"/>
      <c r="D22" s="77"/>
      <c r="E22" s="77"/>
      <c r="F22" s="77"/>
      <c r="G22" s="78"/>
      <c r="H22" s="78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</row>
    <row r="23" spans="2:68">
      <c r="B23" s="79"/>
      <c r="C23" s="79"/>
      <c r="D23" s="79"/>
      <c r="E23" s="79"/>
      <c r="F23" s="79"/>
      <c r="G23" s="80"/>
      <c r="H23" s="80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</row>
    <row r="24" spans="2:68">
      <c r="C24" s="70" t="s">
        <v>102</v>
      </c>
    </row>
    <row r="25" spans="2:68">
      <c r="D25" s="61" t="s">
        <v>103</v>
      </c>
      <c r="H25" s="73" t="str">
        <f>CaseData!F42</f>
        <v>[slabs]</v>
      </c>
      <c r="I25" s="81">
        <f>CaseData!H42</f>
        <v>26500</v>
      </c>
      <c r="J25" s="81">
        <f>CaseData!I42</f>
        <v>28100</v>
      </c>
      <c r="K25" s="81">
        <f>CaseData!J42</f>
        <v>29000</v>
      </c>
      <c r="L25" s="81">
        <f>CaseData!K42</f>
        <v>25200</v>
      </c>
      <c r="M25" s="82">
        <f t="shared" ref="M25:BP25" si="8">I28*(1+M26)</f>
        <v>27030</v>
      </c>
      <c r="N25" s="82">
        <f t="shared" si="8"/>
        <v>28662</v>
      </c>
      <c r="O25" s="82">
        <f t="shared" si="8"/>
        <v>29580</v>
      </c>
      <c r="P25" s="82">
        <f t="shared" si="8"/>
        <v>25704</v>
      </c>
      <c r="Q25" s="82">
        <f t="shared" si="8"/>
        <v>27570.600000000002</v>
      </c>
      <c r="R25" s="82">
        <f t="shared" si="8"/>
        <v>29235.24</v>
      </c>
      <c r="S25" s="82">
        <f t="shared" si="8"/>
        <v>30171.600000000002</v>
      </c>
      <c r="T25" s="82">
        <f t="shared" si="8"/>
        <v>26218.080000000002</v>
      </c>
      <c r="U25" s="82">
        <f t="shared" si="8"/>
        <v>28122.012000000002</v>
      </c>
      <c r="V25" s="82">
        <f t="shared" si="8"/>
        <v>29819.944800000001</v>
      </c>
      <c r="W25" s="82">
        <f t="shared" si="8"/>
        <v>30775.032000000003</v>
      </c>
      <c r="X25" s="82">
        <f t="shared" si="8"/>
        <v>26742.441600000002</v>
      </c>
      <c r="Y25" s="82">
        <f t="shared" si="8"/>
        <v>28684.452240000002</v>
      </c>
      <c r="Z25" s="82">
        <f t="shared" si="8"/>
        <v>30416.343696</v>
      </c>
      <c r="AA25" s="82">
        <f t="shared" si="8"/>
        <v>31390.532640000005</v>
      </c>
      <c r="AB25" s="82">
        <f t="shared" si="8"/>
        <v>27277.290432000002</v>
      </c>
      <c r="AC25" s="82">
        <f t="shared" si="8"/>
        <v>29258.141284800004</v>
      </c>
      <c r="AD25" s="82">
        <f t="shared" si="8"/>
        <v>31024.670569919999</v>
      </c>
      <c r="AE25" s="82">
        <f t="shared" si="8"/>
        <v>32018.343292800004</v>
      </c>
      <c r="AF25" s="82">
        <f t="shared" si="8"/>
        <v>27822.836240640001</v>
      </c>
      <c r="AG25" s="82">
        <f t="shared" si="8"/>
        <v>29843.304110496003</v>
      </c>
      <c r="AH25" s="82">
        <f t="shared" si="8"/>
        <v>31645.163981318401</v>
      </c>
      <c r="AI25" s="82">
        <f t="shared" si="8"/>
        <v>32658.710158656006</v>
      </c>
      <c r="AJ25" s="82">
        <f t="shared" si="8"/>
        <v>28379.292965452802</v>
      </c>
      <c r="AK25" s="82">
        <f t="shared" si="8"/>
        <v>30440.170192705922</v>
      </c>
      <c r="AL25" s="82">
        <f t="shared" si="8"/>
        <v>32278.067260944768</v>
      </c>
      <c r="AM25" s="82">
        <f t="shared" si="8"/>
        <v>33311.884361829128</v>
      </c>
      <c r="AN25" s="82">
        <f t="shared" si="8"/>
        <v>28946.878824761858</v>
      </c>
      <c r="AO25" s="82">
        <f t="shared" si="8"/>
        <v>31048.973596560041</v>
      </c>
      <c r="AP25" s="82">
        <f t="shared" si="8"/>
        <v>32923.628606163664</v>
      </c>
      <c r="AQ25" s="82">
        <f t="shared" si="8"/>
        <v>33978.122049065714</v>
      </c>
      <c r="AR25" s="82">
        <f t="shared" si="8"/>
        <v>29525.816401257096</v>
      </c>
      <c r="AS25" s="82">
        <f t="shared" si="8"/>
        <v>31669.953068491242</v>
      </c>
      <c r="AT25" s="82">
        <f t="shared" si="8"/>
        <v>33582.101178286939</v>
      </c>
      <c r="AU25" s="82">
        <f t="shared" si="8"/>
        <v>34657.684490047031</v>
      </c>
      <c r="AV25" s="82">
        <f t="shared" si="8"/>
        <v>30116.33272928224</v>
      </c>
      <c r="AW25" s="82">
        <f t="shared" si="8"/>
        <v>32303.352129861069</v>
      </c>
      <c r="AX25" s="82">
        <f t="shared" si="8"/>
        <v>34253.743201852682</v>
      </c>
      <c r="AY25" s="82">
        <f t="shared" si="8"/>
        <v>35350.838179847975</v>
      </c>
      <c r="AZ25" s="82">
        <f t="shared" si="8"/>
        <v>30718.659383867885</v>
      </c>
      <c r="BA25" s="82">
        <f t="shared" si="8"/>
        <v>32949.419172458292</v>
      </c>
      <c r="BB25" s="82">
        <f t="shared" si="8"/>
        <v>34938.818065889733</v>
      </c>
      <c r="BC25" s="82">
        <f t="shared" si="8"/>
        <v>36057.854943444938</v>
      </c>
      <c r="BD25" s="82">
        <f t="shared" si="8"/>
        <v>31333.032571545245</v>
      </c>
      <c r="BE25" s="82">
        <f t="shared" si="8"/>
        <v>33608.407555907455</v>
      </c>
      <c r="BF25" s="82">
        <f t="shared" si="8"/>
        <v>35637.594427207528</v>
      </c>
      <c r="BG25" s="82">
        <f t="shared" si="8"/>
        <v>36779.012042313836</v>
      </c>
      <c r="BH25" s="82">
        <f t="shared" si="8"/>
        <v>31959.693222976151</v>
      </c>
      <c r="BI25" s="82">
        <f t="shared" si="8"/>
        <v>34280.575707025608</v>
      </c>
      <c r="BJ25" s="82">
        <f t="shared" si="8"/>
        <v>36350.346315751682</v>
      </c>
      <c r="BK25" s="82">
        <f t="shared" si="8"/>
        <v>37514.592283160113</v>
      </c>
      <c r="BL25" s="82">
        <f t="shared" si="8"/>
        <v>32598.887087435676</v>
      </c>
      <c r="BM25" s="82">
        <f t="shared" si="8"/>
        <v>34966.187221166118</v>
      </c>
      <c r="BN25" s="82">
        <f t="shared" si="8"/>
        <v>37077.353242066718</v>
      </c>
      <c r="BO25" s="82">
        <f t="shared" si="8"/>
        <v>38264.884128823316</v>
      </c>
      <c r="BP25" s="82">
        <f t="shared" si="8"/>
        <v>33250.864829184393</v>
      </c>
    </row>
    <row r="26" spans="2:68">
      <c r="D26" s="61" t="s">
        <v>104</v>
      </c>
      <c r="G26" s="75">
        <f>CaseData!H44</f>
        <v>0.02</v>
      </c>
      <c r="H26" s="73" t="str">
        <f>CaseData!F44</f>
        <v>[% YoY]</v>
      </c>
      <c r="I26" s="83" t="s">
        <v>105</v>
      </c>
      <c r="J26" s="83" t="s">
        <v>105</v>
      </c>
      <c r="K26" s="83" t="s">
        <v>105</v>
      </c>
      <c r="L26" s="83" t="s">
        <v>105</v>
      </c>
      <c r="M26" s="74">
        <f>$G26</f>
        <v>0.02</v>
      </c>
      <c r="N26" s="74">
        <f t="shared" ref="N26:BP26" si="9">$G26</f>
        <v>0.02</v>
      </c>
      <c r="O26" s="74">
        <f t="shared" si="9"/>
        <v>0.02</v>
      </c>
      <c r="P26" s="74">
        <f t="shared" si="9"/>
        <v>0.02</v>
      </c>
      <c r="Q26" s="74">
        <f t="shared" si="9"/>
        <v>0.02</v>
      </c>
      <c r="R26" s="74">
        <f t="shared" si="9"/>
        <v>0.02</v>
      </c>
      <c r="S26" s="74">
        <f t="shared" si="9"/>
        <v>0.02</v>
      </c>
      <c r="T26" s="74">
        <f t="shared" si="9"/>
        <v>0.02</v>
      </c>
      <c r="U26" s="74">
        <f t="shared" si="9"/>
        <v>0.02</v>
      </c>
      <c r="V26" s="74">
        <f t="shared" si="9"/>
        <v>0.02</v>
      </c>
      <c r="W26" s="74">
        <f t="shared" si="9"/>
        <v>0.02</v>
      </c>
      <c r="X26" s="74">
        <f t="shared" si="9"/>
        <v>0.02</v>
      </c>
      <c r="Y26" s="74">
        <f t="shared" si="9"/>
        <v>0.02</v>
      </c>
      <c r="Z26" s="74">
        <f t="shared" si="9"/>
        <v>0.02</v>
      </c>
      <c r="AA26" s="74">
        <f t="shared" si="9"/>
        <v>0.02</v>
      </c>
      <c r="AB26" s="74">
        <f t="shared" si="9"/>
        <v>0.02</v>
      </c>
      <c r="AC26" s="74">
        <f t="shared" si="9"/>
        <v>0.02</v>
      </c>
      <c r="AD26" s="74">
        <f t="shared" si="9"/>
        <v>0.02</v>
      </c>
      <c r="AE26" s="74">
        <f t="shared" si="9"/>
        <v>0.02</v>
      </c>
      <c r="AF26" s="74">
        <f t="shared" si="9"/>
        <v>0.02</v>
      </c>
      <c r="AG26" s="74">
        <f t="shared" si="9"/>
        <v>0.02</v>
      </c>
      <c r="AH26" s="74">
        <f t="shared" si="9"/>
        <v>0.02</v>
      </c>
      <c r="AI26" s="74">
        <f t="shared" si="9"/>
        <v>0.02</v>
      </c>
      <c r="AJ26" s="74">
        <f t="shared" si="9"/>
        <v>0.02</v>
      </c>
      <c r="AK26" s="74">
        <f t="shared" si="9"/>
        <v>0.02</v>
      </c>
      <c r="AL26" s="74">
        <f t="shared" si="9"/>
        <v>0.02</v>
      </c>
      <c r="AM26" s="74">
        <f t="shared" si="9"/>
        <v>0.02</v>
      </c>
      <c r="AN26" s="74">
        <f t="shared" si="9"/>
        <v>0.02</v>
      </c>
      <c r="AO26" s="74">
        <f t="shared" si="9"/>
        <v>0.02</v>
      </c>
      <c r="AP26" s="74">
        <f t="shared" si="9"/>
        <v>0.02</v>
      </c>
      <c r="AQ26" s="74">
        <f t="shared" si="9"/>
        <v>0.02</v>
      </c>
      <c r="AR26" s="74">
        <f t="shared" si="9"/>
        <v>0.02</v>
      </c>
      <c r="AS26" s="74">
        <f t="shared" si="9"/>
        <v>0.02</v>
      </c>
      <c r="AT26" s="74">
        <f t="shared" si="9"/>
        <v>0.02</v>
      </c>
      <c r="AU26" s="74">
        <f t="shared" si="9"/>
        <v>0.02</v>
      </c>
      <c r="AV26" s="74">
        <f t="shared" si="9"/>
        <v>0.02</v>
      </c>
      <c r="AW26" s="74">
        <f t="shared" si="9"/>
        <v>0.02</v>
      </c>
      <c r="AX26" s="74">
        <f t="shared" si="9"/>
        <v>0.02</v>
      </c>
      <c r="AY26" s="74">
        <f t="shared" si="9"/>
        <v>0.02</v>
      </c>
      <c r="AZ26" s="74">
        <f t="shared" si="9"/>
        <v>0.02</v>
      </c>
      <c r="BA26" s="74">
        <f t="shared" si="9"/>
        <v>0.02</v>
      </c>
      <c r="BB26" s="74">
        <f t="shared" si="9"/>
        <v>0.02</v>
      </c>
      <c r="BC26" s="74">
        <f t="shared" si="9"/>
        <v>0.02</v>
      </c>
      <c r="BD26" s="74">
        <f t="shared" si="9"/>
        <v>0.02</v>
      </c>
      <c r="BE26" s="74">
        <f t="shared" si="9"/>
        <v>0.02</v>
      </c>
      <c r="BF26" s="74">
        <f t="shared" si="9"/>
        <v>0.02</v>
      </c>
      <c r="BG26" s="74">
        <f t="shared" si="9"/>
        <v>0.02</v>
      </c>
      <c r="BH26" s="74">
        <f t="shared" si="9"/>
        <v>0.02</v>
      </c>
      <c r="BI26" s="74">
        <f t="shared" si="9"/>
        <v>0.02</v>
      </c>
      <c r="BJ26" s="74">
        <f t="shared" si="9"/>
        <v>0.02</v>
      </c>
      <c r="BK26" s="74">
        <f t="shared" si="9"/>
        <v>0.02</v>
      </c>
      <c r="BL26" s="74">
        <f t="shared" si="9"/>
        <v>0.02</v>
      </c>
      <c r="BM26" s="74">
        <f t="shared" si="9"/>
        <v>0.02</v>
      </c>
      <c r="BN26" s="74">
        <f t="shared" si="9"/>
        <v>0.02</v>
      </c>
      <c r="BO26" s="74">
        <f t="shared" si="9"/>
        <v>0.02</v>
      </c>
      <c r="BP26" s="74">
        <f t="shared" si="9"/>
        <v>0.02</v>
      </c>
    </row>
    <row r="28" spans="2:68">
      <c r="D28" s="70" t="s">
        <v>102</v>
      </c>
      <c r="E28" s="70"/>
      <c r="F28" s="70"/>
      <c r="G28" s="84"/>
      <c r="H28" s="129"/>
      <c r="I28" s="85">
        <f>I25</f>
        <v>26500</v>
      </c>
      <c r="J28" s="85">
        <f t="shared" ref="J28:BP28" si="10">J25</f>
        <v>28100</v>
      </c>
      <c r="K28" s="85">
        <f t="shared" si="10"/>
        <v>29000</v>
      </c>
      <c r="L28" s="85">
        <f t="shared" si="10"/>
        <v>25200</v>
      </c>
      <c r="M28" s="85">
        <f t="shared" si="10"/>
        <v>27030</v>
      </c>
      <c r="N28" s="85">
        <f t="shared" si="10"/>
        <v>28662</v>
      </c>
      <c r="O28" s="85">
        <f t="shared" si="10"/>
        <v>29580</v>
      </c>
      <c r="P28" s="85">
        <f t="shared" si="10"/>
        <v>25704</v>
      </c>
      <c r="Q28" s="85">
        <f t="shared" si="10"/>
        <v>27570.600000000002</v>
      </c>
      <c r="R28" s="85">
        <f t="shared" si="10"/>
        <v>29235.24</v>
      </c>
      <c r="S28" s="85">
        <f t="shared" si="10"/>
        <v>30171.600000000002</v>
      </c>
      <c r="T28" s="85">
        <f t="shared" si="10"/>
        <v>26218.080000000002</v>
      </c>
      <c r="U28" s="85">
        <f t="shared" si="10"/>
        <v>28122.012000000002</v>
      </c>
      <c r="V28" s="85">
        <f t="shared" si="10"/>
        <v>29819.944800000001</v>
      </c>
      <c r="W28" s="85">
        <f t="shared" si="10"/>
        <v>30775.032000000003</v>
      </c>
      <c r="X28" s="85">
        <f t="shared" si="10"/>
        <v>26742.441600000002</v>
      </c>
      <c r="Y28" s="85">
        <f t="shared" si="10"/>
        <v>28684.452240000002</v>
      </c>
      <c r="Z28" s="85">
        <f t="shared" si="10"/>
        <v>30416.343696</v>
      </c>
      <c r="AA28" s="85">
        <f t="shared" si="10"/>
        <v>31390.532640000005</v>
      </c>
      <c r="AB28" s="85">
        <f t="shared" si="10"/>
        <v>27277.290432000002</v>
      </c>
      <c r="AC28" s="85">
        <f t="shared" si="10"/>
        <v>29258.141284800004</v>
      </c>
      <c r="AD28" s="85">
        <f t="shared" si="10"/>
        <v>31024.670569919999</v>
      </c>
      <c r="AE28" s="85">
        <f t="shared" si="10"/>
        <v>32018.343292800004</v>
      </c>
      <c r="AF28" s="85">
        <f t="shared" si="10"/>
        <v>27822.836240640001</v>
      </c>
      <c r="AG28" s="85">
        <f t="shared" si="10"/>
        <v>29843.304110496003</v>
      </c>
      <c r="AH28" s="85">
        <f t="shared" si="10"/>
        <v>31645.163981318401</v>
      </c>
      <c r="AI28" s="85">
        <f t="shared" si="10"/>
        <v>32658.710158656006</v>
      </c>
      <c r="AJ28" s="85">
        <f t="shared" si="10"/>
        <v>28379.292965452802</v>
      </c>
      <c r="AK28" s="85">
        <f t="shared" si="10"/>
        <v>30440.170192705922</v>
      </c>
      <c r="AL28" s="85">
        <f t="shared" si="10"/>
        <v>32278.067260944768</v>
      </c>
      <c r="AM28" s="85">
        <f t="shared" si="10"/>
        <v>33311.884361829128</v>
      </c>
      <c r="AN28" s="85">
        <f t="shared" si="10"/>
        <v>28946.878824761858</v>
      </c>
      <c r="AO28" s="85">
        <f t="shared" si="10"/>
        <v>31048.973596560041</v>
      </c>
      <c r="AP28" s="85">
        <f t="shared" si="10"/>
        <v>32923.628606163664</v>
      </c>
      <c r="AQ28" s="85">
        <f t="shared" si="10"/>
        <v>33978.122049065714</v>
      </c>
      <c r="AR28" s="85">
        <f t="shared" si="10"/>
        <v>29525.816401257096</v>
      </c>
      <c r="AS28" s="85">
        <f t="shared" si="10"/>
        <v>31669.953068491242</v>
      </c>
      <c r="AT28" s="85">
        <f t="shared" si="10"/>
        <v>33582.101178286939</v>
      </c>
      <c r="AU28" s="85">
        <f t="shared" si="10"/>
        <v>34657.684490047031</v>
      </c>
      <c r="AV28" s="85">
        <f t="shared" si="10"/>
        <v>30116.33272928224</v>
      </c>
      <c r="AW28" s="85">
        <f t="shared" si="10"/>
        <v>32303.352129861069</v>
      </c>
      <c r="AX28" s="85">
        <f t="shared" si="10"/>
        <v>34253.743201852682</v>
      </c>
      <c r="AY28" s="85">
        <f t="shared" si="10"/>
        <v>35350.838179847975</v>
      </c>
      <c r="AZ28" s="85">
        <f t="shared" si="10"/>
        <v>30718.659383867885</v>
      </c>
      <c r="BA28" s="85">
        <f t="shared" si="10"/>
        <v>32949.419172458292</v>
      </c>
      <c r="BB28" s="85">
        <f t="shared" si="10"/>
        <v>34938.818065889733</v>
      </c>
      <c r="BC28" s="85">
        <f t="shared" si="10"/>
        <v>36057.854943444938</v>
      </c>
      <c r="BD28" s="85">
        <f t="shared" si="10"/>
        <v>31333.032571545245</v>
      </c>
      <c r="BE28" s="85">
        <f t="shared" si="10"/>
        <v>33608.407555907455</v>
      </c>
      <c r="BF28" s="85">
        <f t="shared" si="10"/>
        <v>35637.594427207528</v>
      </c>
      <c r="BG28" s="85">
        <f t="shared" si="10"/>
        <v>36779.012042313836</v>
      </c>
      <c r="BH28" s="85">
        <f t="shared" si="10"/>
        <v>31959.693222976151</v>
      </c>
      <c r="BI28" s="85">
        <f t="shared" si="10"/>
        <v>34280.575707025608</v>
      </c>
      <c r="BJ28" s="85">
        <f t="shared" si="10"/>
        <v>36350.346315751682</v>
      </c>
      <c r="BK28" s="85">
        <f t="shared" si="10"/>
        <v>37514.592283160113</v>
      </c>
      <c r="BL28" s="85">
        <f t="shared" si="10"/>
        <v>32598.887087435676</v>
      </c>
      <c r="BM28" s="85">
        <f t="shared" si="10"/>
        <v>34966.187221166118</v>
      </c>
      <c r="BN28" s="85">
        <f t="shared" si="10"/>
        <v>37077.353242066718</v>
      </c>
      <c r="BO28" s="85">
        <f t="shared" si="10"/>
        <v>38264.884128823316</v>
      </c>
      <c r="BP28" s="85">
        <f t="shared" si="10"/>
        <v>33250.864829184393</v>
      </c>
    </row>
    <row r="29" spans="2:68">
      <c r="B29" s="77"/>
      <c r="C29" s="77"/>
      <c r="D29" s="77"/>
      <c r="E29" s="77"/>
      <c r="F29" s="77"/>
      <c r="G29" s="78"/>
      <c r="H29" s="78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</row>
    <row r="30" spans="2:68">
      <c r="B30" s="79"/>
      <c r="C30" s="79"/>
      <c r="D30" s="79"/>
      <c r="E30" s="79"/>
      <c r="F30" s="79"/>
      <c r="G30" s="80"/>
      <c r="H30" s="80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</row>
    <row r="31" spans="2:68">
      <c r="C31" s="70" t="s">
        <v>95</v>
      </c>
    </row>
    <row r="32" spans="2:68">
      <c r="D32" s="61" t="s">
        <v>100</v>
      </c>
      <c r="H32" s="86" t="str">
        <f>$H$18</f>
        <v>[$/slab]</v>
      </c>
      <c r="I32" s="87">
        <f t="shared" ref="I32:BP32" si="11">I18</f>
        <v>280</v>
      </c>
      <c r="J32" s="87">
        <f t="shared" si="11"/>
        <v>280</v>
      </c>
      <c r="K32" s="87">
        <f t="shared" si="11"/>
        <v>280</v>
      </c>
      <c r="L32" s="87">
        <f t="shared" si="11"/>
        <v>280</v>
      </c>
      <c r="M32" s="87">
        <f t="shared" si="11"/>
        <v>287</v>
      </c>
      <c r="N32" s="87">
        <f t="shared" si="11"/>
        <v>287</v>
      </c>
      <c r="O32" s="87">
        <f t="shared" si="11"/>
        <v>287</v>
      </c>
      <c r="P32" s="87">
        <f t="shared" si="11"/>
        <v>287</v>
      </c>
      <c r="Q32" s="87">
        <f t="shared" si="11"/>
        <v>294.17499999999995</v>
      </c>
      <c r="R32" s="87">
        <f t="shared" si="11"/>
        <v>294.17499999999995</v>
      </c>
      <c r="S32" s="87">
        <f t="shared" si="11"/>
        <v>294.17499999999995</v>
      </c>
      <c r="T32" s="87">
        <f t="shared" si="11"/>
        <v>294.17499999999995</v>
      </c>
      <c r="U32" s="87">
        <f t="shared" si="11"/>
        <v>301.5293749999999</v>
      </c>
      <c r="V32" s="87">
        <f t="shared" si="11"/>
        <v>301.5293749999999</v>
      </c>
      <c r="W32" s="87">
        <f t="shared" si="11"/>
        <v>301.5293749999999</v>
      </c>
      <c r="X32" s="87">
        <f t="shared" si="11"/>
        <v>301.5293749999999</v>
      </c>
      <c r="Y32" s="87">
        <f t="shared" si="11"/>
        <v>309.06760937499985</v>
      </c>
      <c r="Z32" s="87">
        <f t="shared" si="11"/>
        <v>309.06760937499985</v>
      </c>
      <c r="AA32" s="87">
        <f t="shared" si="11"/>
        <v>309.06760937499985</v>
      </c>
      <c r="AB32" s="87">
        <f t="shared" si="11"/>
        <v>309.06760937499985</v>
      </c>
      <c r="AC32" s="87">
        <f t="shared" si="11"/>
        <v>316.79429960937483</v>
      </c>
      <c r="AD32" s="87">
        <f t="shared" si="11"/>
        <v>316.79429960937483</v>
      </c>
      <c r="AE32" s="87">
        <f t="shared" si="11"/>
        <v>316.79429960937483</v>
      </c>
      <c r="AF32" s="87">
        <f t="shared" si="11"/>
        <v>316.79429960937483</v>
      </c>
      <c r="AG32" s="87">
        <f t="shared" si="11"/>
        <v>324.71415709960917</v>
      </c>
      <c r="AH32" s="87">
        <f t="shared" si="11"/>
        <v>324.71415709960917</v>
      </c>
      <c r="AI32" s="87">
        <f t="shared" si="11"/>
        <v>324.71415709960917</v>
      </c>
      <c r="AJ32" s="87">
        <f t="shared" si="11"/>
        <v>324.71415709960917</v>
      </c>
      <c r="AK32" s="87">
        <f t="shared" si="11"/>
        <v>332.83201102709938</v>
      </c>
      <c r="AL32" s="87">
        <f t="shared" si="11"/>
        <v>332.83201102709938</v>
      </c>
      <c r="AM32" s="87">
        <f t="shared" si="11"/>
        <v>332.83201102709938</v>
      </c>
      <c r="AN32" s="87">
        <f t="shared" si="11"/>
        <v>332.83201102709938</v>
      </c>
      <c r="AO32" s="87">
        <f t="shared" si="11"/>
        <v>341.15281130277685</v>
      </c>
      <c r="AP32" s="87">
        <f t="shared" si="11"/>
        <v>341.15281130277685</v>
      </c>
      <c r="AQ32" s="87">
        <f t="shared" si="11"/>
        <v>341.15281130277685</v>
      </c>
      <c r="AR32" s="87">
        <f t="shared" si="11"/>
        <v>341.15281130277685</v>
      </c>
      <c r="AS32" s="87">
        <f t="shared" si="11"/>
        <v>349.68163158534622</v>
      </c>
      <c r="AT32" s="87">
        <f t="shared" si="11"/>
        <v>349.68163158534622</v>
      </c>
      <c r="AU32" s="87">
        <f t="shared" si="11"/>
        <v>349.68163158534622</v>
      </c>
      <c r="AV32" s="87">
        <f t="shared" si="11"/>
        <v>349.68163158534622</v>
      </c>
      <c r="AW32" s="87">
        <f t="shared" si="11"/>
        <v>358.42367237497984</v>
      </c>
      <c r="AX32" s="87">
        <f t="shared" si="11"/>
        <v>358.42367237497984</v>
      </c>
      <c r="AY32" s="87">
        <f t="shared" si="11"/>
        <v>358.42367237497984</v>
      </c>
      <c r="AZ32" s="87">
        <f t="shared" si="11"/>
        <v>358.42367237497984</v>
      </c>
      <c r="BA32" s="87">
        <f t="shared" si="11"/>
        <v>367.38426418435432</v>
      </c>
      <c r="BB32" s="87">
        <f t="shared" si="11"/>
        <v>367.38426418435432</v>
      </c>
      <c r="BC32" s="87">
        <f t="shared" si="11"/>
        <v>367.38426418435432</v>
      </c>
      <c r="BD32" s="87">
        <f t="shared" si="11"/>
        <v>367.38426418435432</v>
      </c>
      <c r="BE32" s="87">
        <f t="shared" si="11"/>
        <v>376.56887078896312</v>
      </c>
      <c r="BF32" s="87">
        <f t="shared" si="11"/>
        <v>376.56887078896312</v>
      </c>
      <c r="BG32" s="87">
        <f t="shared" si="11"/>
        <v>376.56887078896312</v>
      </c>
      <c r="BH32" s="87">
        <f t="shared" si="11"/>
        <v>376.56887078896312</v>
      </c>
      <c r="BI32" s="87">
        <f t="shared" si="11"/>
        <v>385.98309255868719</v>
      </c>
      <c r="BJ32" s="87">
        <f t="shared" si="11"/>
        <v>385.98309255868719</v>
      </c>
      <c r="BK32" s="87">
        <f t="shared" si="11"/>
        <v>385.98309255868719</v>
      </c>
      <c r="BL32" s="87">
        <f t="shared" si="11"/>
        <v>385.98309255868719</v>
      </c>
      <c r="BM32" s="87">
        <f t="shared" si="11"/>
        <v>395.63266987265433</v>
      </c>
      <c r="BN32" s="87">
        <f t="shared" si="11"/>
        <v>395.63266987265433</v>
      </c>
      <c r="BO32" s="87">
        <f t="shared" si="11"/>
        <v>395.63266987265433</v>
      </c>
      <c r="BP32" s="87">
        <f t="shared" si="11"/>
        <v>395.63266987265433</v>
      </c>
    </row>
    <row r="33" spans="2:68">
      <c r="D33" s="61" t="s">
        <v>102</v>
      </c>
      <c r="H33" s="86" t="str">
        <f>$H$25</f>
        <v>[slabs]</v>
      </c>
      <c r="I33" s="88">
        <f>I28</f>
        <v>26500</v>
      </c>
      <c r="J33" s="88">
        <f t="shared" ref="J33:BP33" si="12">J28</f>
        <v>28100</v>
      </c>
      <c r="K33" s="88">
        <f t="shared" si="12"/>
        <v>29000</v>
      </c>
      <c r="L33" s="88">
        <f t="shared" si="12"/>
        <v>25200</v>
      </c>
      <c r="M33" s="88">
        <f t="shared" si="12"/>
        <v>27030</v>
      </c>
      <c r="N33" s="88">
        <f t="shared" si="12"/>
        <v>28662</v>
      </c>
      <c r="O33" s="88">
        <f t="shared" si="12"/>
        <v>29580</v>
      </c>
      <c r="P33" s="88">
        <f t="shared" si="12"/>
        <v>25704</v>
      </c>
      <c r="Q33" s="88">
        <f t="shared" si="12"/>
        <v>27570.600000000002</v>
      </c>
      <c r="R33" s="88">
        <f t="shared" si="12"/>
        <v>29235.24</v>
      </c>
      <c r="S33" s="88">
        <f t="shared" si="12"/>
        <v>30171.600000000002</v>
      </c>
      <c r="T33" s="88">
        <f t="shared" si="12"/>
        <v>26218.080000000002</v>
      </c>
      <c r="U33" s="88">
        <f t="shared" si="12"/>
        <v>28122.012000000002</v>
      </c>
      <c r="V33" s="88">
        <f t="shared" si="12"/>
        <v>29819.944800000001</v>
      </c>
      <c r="W33" s="88">
        <f t="shared" si="12"/>
        <v>30775.032000000003</v>
      </c>
      <c r="X33" s="88">
        <f t="shared" si="12"/>
        <v>26742.441600000002</v>
      </c>
      <c r="Y33" s="88">
        <f t="shared" si="12"/>
        <v>28684.452240000002</v>
      </c>
      <c r="Z33" s="88">
        <f t="shared" si="12"/>
        <v>30416.343696</v>
      </c>
      <c r="AA33" s="88">
        <f t="shared" si="12"/>
        <v>31390.532640000005</v>
      </c>
      <c r="AB33" s="88">
        <f t="shared" si="12"/>
        <v>27277.290432000002</v>
      </c>
      <c r="AC33" s="88">
        <f t="shared" si="12"/>
        <v>29258.141284800004</v>
      </c>
      <c r="AD33" s="88">
        <f t="shared" si="12"/>
        <v>31024.670569919999</v>
      </c>
      <c r="AE33" s="88">
        <f t="shared" si="12"/>
        <v>32018.343292800004</v>
      </c>
      <c r="AF33" s="88">
        <f t="shared" si="12"/>
        <v>27822.836240640001</v>
      </c>
      <c r="AG33" s="88">
        <f t="shared" si="12"/>
        <v>29843.304110496003</v>
      </c>
      <c r="AH33" s="88">
        <f t="shared" si="12"/>
        <v>31645.163981318401</v>
      </c>
      <c r="AI33" s="88">
        <f t="shared" si="12"/>
        <v>32658.710158656006</v>
      </c>
      <c r="AJ33" s="88">
        <f t="shared" si="12"/>
        <v>28379.292965452802</v>
      </c>
      <c r="AK33" s="88">
        <f t="shared" si="12"/>
        <v>30440.170192705922</v>
      </c>
      <c r="AL33" s="88">
        <f t="shared" si="12"/>
        <v>32278.067260944768</v>
      </c>
      <c r="AM33" s="88">
        <f t="shared" si="12"/>
        <v>33311.884361829128</v>
      </c>
      <c r="AN33" s="88">
        <f t="shared" si="12"/>
        <v>28946.878824761858</v>
      </c>
      <c r="AO33" s="88">
        <f t="shared" si="12"/>
        <v>31048.973596560041</v>
      </c>
      <c r="AP33" s="88">
        <f t="shared" si="12"/>
        <v>32923.628606163664</v>
      </c>
      <c r="AQ33" s="88">
        <f t="shared" si="12"/>
        <v>33978.122049065714</v>
      </c>
      <c r="AR33" s="88">
        <f t="shared" si="12"/>
        <v>29525.816401257096</v>
      </c>
      <c r="AS33" s="88">
        <f t="shared" si="12"/>
        <v>31669.953068491242</v>
      </c>
      <c r="AT33" s="88">
        <f t="shared" si="12"/>
        <v>33582.101178286939</v>
      </c>
      <c r="AU33" s="88">
        <f t="shared" si="12"/>
        <v>34657.684490047031</v>
      </c>
      <c r="AV33" s="88">
        <f t="shared" si="12"/>
        <v>30116.33272928224</v>
      </c>
      <c r="AW33" s="88">
        <f t="shared" si="12"/>
        <v>32303.352129861069</v>
      </c>
      <c r="AX33" s="88">
        <f t="shared" si="12"/>
        <v>34253.743201852682</v>
      </c>
      <c r="AY33" s="88">
        <f t="shared" si="12"/>
        <v>35350.838179847975</v>
      </c>
      <c r="AZ33" s="88">
        <f t="shared" si="12"/>
        <v>30718.659383867885</v>
      </c>
      <c r="BA33" s="88">
        <f t="shared" si="12"/>
        <v>32949.419172458292</v>
      </c>
      <c r="BB33" s="88">
        <f t="shared" si="12"/>
        <v>34938.818065889733</v>
      </c>
      <c r="BC33" s="88">
        <f t="shared" si="12"/>
        <v>36057.854943444938</v>
      </c>
      <c r="BD33" s="88">
        <f t="shared" si="12"/>
        <v>31333.032571545245</v>
      </c>
      <c r="BE33" s="88">
        <f t="shared" si="12"/>
        <v>33608.407555907455</v>
      </c>
      <c r="BF33" s="88">
        <f t="shared" si="12"/>
        <v>35637.594427207528</v>
      </c>
      <c r="BG33" s="88">
        <f t="shared" si="12"/>
        <v>36779.012042313836</v>
      </c>
      <c r="BH33" s="88">
        <f t="shared" si="12"/>
        <v>31959.693222976151</v>
      </c>
      <c r="BI33" s="88">
        <f t="shared" si="12"/>
        <v>34280.575707025608</v>
      </c>
      <c r="BJ33" s="88">
        <f t="shared" si="12"/>
        <v>36350.346315751682</v>
      </c>
      <c r="BK33" s="88">
        <f t="shared" si="12"/>
        <v>37514.592283160113</v>
      </c>
      <c r="BL33" s="88">
        <f t="shared" si="12"/>
        <v>32598.887087435676</v>
      </c>
      <c r="BM33" s="88">
        <f t="shared" si="12"/>
        <v>34966.187221166118</v>
      </c>
      <c r="BN33" s="88">
        <f t="shared" si="12"/>
        <v>37077.353242066718</v>
      </c>
      <c r="BO33" s="88">
        <f t="shared" si="12"/>
        <v>38264.884128823316</v>
      </c>
      <c r="BP33" s="88">
        <f t="shared" si="12"/>
        <v>33250.864829184393</v>
      </c>
    </row>
    <row r="34" spans="2:68">
      <c r="D34" s="70" t="s">
        <v>106</v>
      </c>
      <c r="E34" s="70"/>
      <c r="F34" s="70"/>
      <c r="G34" s="84"/>
      <c r="H34" s="84" t="s">
        <v>1</v>
      </c>
      <c r="I34" s="89">
        <f>I32*I33</f>
        <v>7420000</v>
      </c>
      <c r="J34" s="89">
        <f t="shared" ref="J34:BP34" si="13">J32*J33</f>
        <v>7868000</v>
      </c>
      <c r="K34" s="89">
        <f t="shared" si="13"/>
        <v>8120000</v>
      </c>
      <c r="L34" s="89">
        <f t="shared" si="13"/>
        <v>7056000</v>
      </c>
      <c r="M34" s="89">
        <f t="shared" si="13"/>
        <v>7757610</v>
      </c>
      <c r="N34" s="89">
        <f t="shared" si="13"/>
        <v>8225994</v>
      </c>
      <c r="O34" s="89">
        <f t="shared" si="13"/>
        <v>8489460</v>
      </c>
      <c r="P34" s="89">
        <f t="shared" si="13"/>
        <v>7377048</v>
      </c>
      <c r="Q34" s="89">
        <f t="shared" si="13"/>
        <v>8110581.254999999</v>
      </c>
      <c r="R34" s="89">
        <f t="shared" si="13"/>
        <v>8600276.727</v>
      </c>
      <c r="S34" s="89">
        <f t="shared" si="13"/>
        <v>8875730.4299999997</v>
      </c>
      <c r="T34" s="89">
        <f t="shared" si="13"/>
        <v>7712703.6839999994</v>
      </c>
      <c r="U34" s="89">
        <f t="shared" si="13"/>
        <v>8479612.7021024972</v>
      </c>
      <c r="V34" s="89">
        <f t="shared" si="13"/>
        <v>8991589.3180784974</v>
      </c>
      <c r="W34" s="89">
        <f t="shared" si="13"/>
        <v>9279576.164564997</v>
      </c>
      <c r="X34" s="89">
        <f t="shared" si="13"/>
        <v>8063631.7016219981</v>
      </c>
      <c r="Y34" s="89">
        <f t="shared" si="13"/>
        <v>8865435.0800481606</v>
      </c>
      <c r="Z34" s="89">
        <f t="shared" si="13"/>
        <v>9400706.6320510674</v>
      </c>
      <c r="AA34" s="89">
        <f t="shared" si="13"/>
        <v>9701796.8800527044</v>
      </c>
      <c r="AB34" s="89">
        <f t="shared" si="13"/>
        <v>8430526.944045797</v>
      </c>
      <c r="AC34" s="89">
        <f t="shared" si="13"/>
        <v>9268812.3761903513</v>
      </c>
      <c r="AD34" s="89">
        <f t="shared" si="13"/>
        <v>9828438.7838093899</v>
      </c>
      <c r="AE34" s="89">
        <f t="shared" si="13"/>
        <v>10143228.638095101</v>
      </c>
      <c r="AF34" s="89">
        <f t="shared" si="13"/>
        <v>8814115.9199998807</v>
      </c>
      <c r="AG34" s="89">
        <f t="shared" si="13"/>
        <v>9690543.339307012</v>
      </c>
      <c r="AH34" s="89">
        <f t="shared" si="13"/>
        <v>10275632.748472717</v>
      </c>
      <c r="AI34" s="89">
        <f t="shared" si="13"/>
        <v>10604745.541128429</v>
      </c>
      <c r="AJ34" s="89">
        <f t="shared" si="13"/>
        <v>9215158.1943598744</v>
      </c>
      <c r="AK34" s="89">
        <f t="shared" si="13"/>
        <v>10131463.061245479</v>
      </c>
      <c r="AL34" s="89">
        <f t="shared" si="13"/>
        <v>10743174.038528224</v>
      </c>
      <c r="AM34" s="89">
        <f t="shared" si="13"/>
        <v>11087261.463249773</v>
      </c>
      <c r="AN34" s="89">
        <f t="shared" si="13"/>
        <v>9634447.892203249</v>
      </c>
      <c r="AO34" s="89">
        <f t="shared" si="13"/>
        <v>10592444.630532149</v>
      </c>
      <c r="AP34" s="89">
        <f t="shared" si="13"/>
        <v>11231988.457281258</v>
      </c>
      <c r="AQ34" s="89">
        <f t="shared" si="13"/>
        <v>11591731.859827638</v>
      </c>
      <c r="AR34" s="89">
        <f t="shared" si="13"/>
        <v>10072815.271298496</v>
      </c>
      <c r="AS34" s="89">
        <f t="shared" si="13"/>
        <v>11074400.86122136</v>
      </c>
      <c r="AT34" s="89">
        <f t="shared" si="13"/>
        <v>11743043.932087556</v>
      </c>
      <c r="AU34" s="89">
        <f t="shared" si="13"/>
        <v>12119155.659449793</v>
      </c>
      <c r="AV34" s="89">
        <f t="shared" si="13"/>
        <v>10531128.366142577</v>
      </c>
      <c r="AW34" s="89">
        <f t="shared" si="13"/>
        <v>11578286.100406932</v>
      </c>
      <c r="AX34" s="89">
        <f t="shared" si="13"/>
        <v>12277352.430997539</v>
      </c>
      <c r="AY34" s="89">
        <f t="shared" si="13"/>
        <v>12670577.241954759</v>
      </c>
      <c r="AZ34" s="89">
        <f t="shared" si="13"/>
        <v>11010294.706802063</v>
      </c>
      <c r="BA34" s="89">
        <f t="shared" si="13"/>
        <v>12105098.117975447</v>
      </c>
      <c r="BB34" s="89">
        <f t="shared" si="13"/>
        <v>12835971.966607925</v>
      </c>
      <c r="BC34" s="89">
        <f t="shared" si="13"/>
        <v>13247088.506463701</v>
      </c>
      <c r="BD34" s="89">
        <f t="shared" si="13"/>
        <v>11511263.115961557</v>
      </c>
      <c r="BE34" s="89">
        <f t="shared" si="13"/>
        <v>12655880.082343327</v>
      </c>
      <c r="BF34" s="89">
        <f t="shared" si="13"/>
        <v>13420008.691088583</v>
      </c>
      <c r="BG34" s="89">
        <f t="shared" si="13"/>
        <v>13849831.033507798</v>
      </c>
      <c r="BH34" s="89">
        <f t="shared" si="13"/>
        <v>12035025.587737806</v>
      </c>
      <c r="BI34" s="89">
        <f t="shared" si="13"/>
        <v>13231722.626089949</v>
      </c>
      <c r="BJ34" s="89">
        <f t="shared" si="13"/>
        <v>14030619.086533114</v>
      </c>
      <c r="BK34" s="89">
        <f t="shared" si="13"/>
        <v>14479998.345532402</v>
      </c>
      <c r="BL34" s="89">
        <f t="shared" si="13"/>
        <v>12582619.251979878</v>
      </c>
      <c r="BM34" s="89">
        <f t="shared" si="13"/>
        <v>13833766.005577039</v>
      </c>
      <c r="BN34" s="89">
        <f t="shared" si="13"/>
        <v>14669012.254970372</v>
      </c>
      <c r="BO34" s="89">
        <f t="shared" si="13"/>
        <v>15138838.270254126</v>
      </c>
      <c r="BP34" s="89">
        <f t="shared" si="13"/>
        <v>13155128.427944962</v>
      </c>
    </row>
    <row r="36" spans="2:68">
      <c r="B36" s="67" t="s">
        <v>60</v>
      </c>
      <c r="C36" s="68"/>
      <c r="D36" s="68"/>
      <c r="E36" s="68"/>
      <c r="F36" s="68"/>
      <c r="G36" s="69"/>
      <c r="H36" s="69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</row>
    <row r="38" spans="2:68">
      <c r="C38" s="61" t="s">
        <v>107</v>
      </c>
      <c r="G38" s="73" t="str">
        <f>CaseData!E13</f>
        <v>Annual</v>
      </c>
      <c r="J38" s="74">
        <f>INDEX(J$39:J$40,MATCH($G38,$D$39:$D$40,0))</f>
        <v>0</v>
      </c>
      <c r="K38" s="74">
        <f t="shared" ref="K38:BP38" si="14">INDEX(K$39:K$40,MATCH($G38,$D$39:$D$40,0))</f>
        <v>0</v>
      </c>
      <c r="L38" s="74">
        <f t="shared" si="14"/>
        <v>0</v>
      </c>
      <c r="M38" s="74">
        <f t="shared" si="14"/>
        <v>0.02</v>
      </c>
      <c r="N38" s="74">
        <f t="shared" si="14"/>
        <v>0</v>
      </c>
      <c r="O38" s="74">
        <f t="shared" si="14"/>
        <v>0</v>
      </c>
      <c r="P38" s="74">
        <f t="shared" si="14"/>
        <v>0</v>
      </c>
      <c r="Q38" s="74">
        <f t="shared" si="14"/>
        <v>0.02</v>
      </c>
      <c r="R38" s="74">
        <f t="shared" si="14"/>
        <v>0</v>
      </c>
      <c r="S38" s="74">
        <f t="shared" si="14"/>
        <v>0</v>
      </c>
      <c r="T38" s="74">
        <f t="shared" si="14"/>
        <v>0</v>
      </c>
      <c r="U38" s="74">
        <f t="shared" si="14"/>
        <v>0.02</v>
      </c>
      <c r="V38" s="74">
        <f t="shared" si="14"/>
        <v>0</v>
      </c>
      <c r="W38" s="74">
        <f t="shared" si="14"/>
        <v>0</v>
      </c>
      <c r="X38" s="74">
        <f t="shared" si="14"/>
        <v>0</v>
      </c>
      <c r="Y38" s="74">
        <f t="shared" si="14"/>
        <v>0.02</v>
      </c>
      <c r="Z38" s="74">
        <f t="shared" si="14"/>
        <v>0</v>
      </c>
      <c r="AA38" s="74">
        <f t="shared" si="14"/>
        <v>0</v>
      </c>
      <c r="AB38" s="74">
        <f t="shared" si="14"/>
        <v>0</v>
      </c>
      <c r="AC38" s="74">
        <f t="shared" si="14"/>
        <v>0.02</v>
      </c>
      <c r="AD38" s="74">
        <f t="shared" si="14"/>
        <v>0</v>
      </c>
      <c r="AE38" s="74">
        <f t="shared" si="14"/>
        <v>0</v>
      </c>
      <c r="AF38" s="74">
        <f t="shared" si="14"/>
        <v>0</v>
      </c>
      <c r="AG38" s="74">
        <f t="shared" si="14"/>
        <v>0.02</v>
      </c>
      <c r="AH38" s="74">
        <f t="shared" si="14"/>
        <v>0</v>
      </c>
      <c r="AI38" s="74">
        <f t="shared" si="14"/>
        <v>0</v>
      </c>
      <c r="AJ38" s="74">
        <f t="shared" si="14"/>
        <v>0</v>
      </c>
      <c r="AK38" s="74">
        <f t="shared" si="14"/>
        <v>0.02</v>
      </c>
      <c r="AL38" s="74">
        <f t="shared" si="14"/>
        <v>0</v>
      </c>
      <c r="AM38" s="74">
        <f t="shared" si="14"/>
        <v>0</v>
      </c>
      <c r="AN38" s="74">
        <f t="shared" si="14"/>
        <v>0</v>
      </c>
      <c r="AO38" s="74">
        <f t="shared" si="14"/>
        <v>0.02</v>
      </c>
      <c r="AP38" s="74">
        <f t="shared" si="14"/>
        <v>0</v>
      </c>
      <c r="AQ38" s="74">
        <f t="shared" si="14"/>
        <v>0</v>
      </c>
      <c r="AR38" s="74">
        <f t="shared" si="14"/>
        <v>0</v>
      </c>
      <c r="AS38" s="74">
        <f t="shared" si="14"/>
        <v>0.02</v>
      </c>
      <c r="AT38" s="74">
        <f t="shared" si="14"/>
        <v>0</v>
      </c>
      <c r="AU38" s="74">
        <f t="shared" si="14"/>
        <v>0</v>
      </c>
      <c r="AV38" s="74">
        <f t="shared" si="14"/>
        <v>0</v>
      </c>
      <c r="AW38" s="74">
        <f t="shared" si="14"/>
        <v>0.02</v>
      </c>
      <c r="AX38" s="74">
        <f t="shared" si="14"/>
        <v>0</v>
      </c>
      <c r="AY38" s="74">
        <f t="shared" si="14"/>
        <v>0</v>
      </c>
      <c r="AZ38" s="74">
        <f t="shared" si="14"/>
        <v>0</v>
      </c>
      <c r="BA38" s="74">
        <f t="shared" si="14"/>
        <v>0.02</v>
      </c>
      <c r="BB38" s="74">
        <f t="shared" si="14"/>
        <v>0</v>
      </c>
      <c r="BC38" s="74">
        <f t="shared" si="14"/>
        <v>0</v>
      </c>
      <c r="BD38" s="74">
        <f t="shared" si="14"/>
        <v>0</v>
      </c>
      <c r="BE38" s="74">
        <f t="shared" si="14"/>
        <v>0.02</v>
      </c>
      <c r="BF38" s="74">
        <f t="shared" si="14"/>
        <v>0</v>
      </c>
      <c r="BG38" s="74">
        <f t="shared" si="14"/>
        <v>0</v>
      </c>
      <c r="BH38" s="74">
        <f t="shared" si="14"/>
        <v>0</v>
      </c>
      <c r="BI38" s="74">
        <f t="shared" si="14"/>
        <v>0.02</v>
      </c>
      <c r="BJ38" s="74">
        <f t="shared" si="14"/>
        <v>0</v>
      </c>
      <c r="BK38" s="74">
        <f t="shared" si="14"/>
        <v>0</v>
      </c>
      <c r="BL38" s="74">
        <f t="shared" si="14"/>
        <v>0</v>
      </c>
      <c r="BM38" s="74">
        <f t="shared" si="14"/>
        <v>0.02</v>
      </c>
      <c r="BN38" s="74">
        <f t="shared" si="14"/>
        <v>0</v>
      </c>
      <c r="BO38" s="74">
        <f t="shared" si="14"/>
        <v>0</v>
      </c>
      <c r="BP38" s="74">
        <f t="shared" si="14"/>
        <v>0</v>
      </c>
    </row>
    <row r="39" spans="2:68">
      <c r="D39" s="61" t="s">
        <v>23</v>
      </c>
      <c r="G39" s="75">
        <f>INDEX(CaseData!H13:J13,$G$14)</f>
        <v>0.02</v>
      </c>
      <c r="J39" s="74">
        <f>IF(J$7&lt;&gt;I$7,$G39,0)</f>
        <v>0</v>
      </c>
      <c r="K39" s="74">
        <f t="shared" ref="K39:BP39" si="15">IF(K$7&lt;&gt;J$7,$G39,0)</f>
        <v>0</v>
      </c>
      <c r="L39" s="74">
        <f t="shared" si="15"/>
        <v>0</v>
      </c>
      <c r="M39" s="74">
        <f t="shared" si="15"/>
        <v>0.02</v>
      </c>
      <c r="N39" s="74">
        <f t="shared" si="15"/>
        <v>0</v>
      </c>
      <c r="O39" s="74">
        <f t="shared" si="15"/>
        <v>0</v>
      </c>
      <c r="P39" s="74">
        <f t="shared" si="15"/>
        <v>0</v>
      </c>
      <c r="Q39" s="74">
        <f t="shared" si="15"/>
        <v>0.02</v>
      </c>
      <c r="R39" s="74">
        <f t="shared" si="15"/>
        <v>0</v>
      </c>
      <c r="S39" s="74">
        <f t="shared" si="15"/>
        <v>0</v>
      </c>
      <c r="T39" s="74">
        <f t="shared" si="15"/>
        <v>0</v>
      </c>
      <c r="U39" s="74">
        <f t="shared" si="15"/>
        <v>0.02</v>
      </c>
      <c r="V39" s="74">
        <f t="shared" si="15"/>
        <v>0</v>
      </c>
      <c r="W39" s="74">
        <f t="shared" si="15"/>
        <v>0</v>
      </c>
      <c r="X39" s="74">
        <f t="shared" si="15"/>
        <v>0</v>
      </c>
      <c r="Y39" s="74">
        <f t="shared" si="15"/>
        <v>0.02</v>
      </c>
      <c r="Z39" s="74">
        <f t="shared" si="15"/>
        <v>0</v>
      </c>
      <c r="AA39" s="74">
        <f t="shared" si="15"/>
        <v>0</v>
      </c>
      <c r="AB39" s="74">
        <f t="shared" si="15"/>
        <v>0</v>
      </c>
      <c r="AC39" s="74">
        <f t="shared" si="15"/>
        <v>0.02</v>
      </c>
      <c r="AD39" s="74">
        <f t="shared" si="15"/>
        <v>0</v>
      </c>
      <c r="AE39" s="74">
        <f t="shared" si="15"/>
        <v>0</v>
      </c>
      <c r="AF39" s="74">
        <f t="shared" si="15"/>
        <v>0</v>
      </c>
      <c r="AG39" s="74">
        <f t="shared" si="15"/>
        <v>0.02</v>
      </c>
      <c r="AH39" s="74">
        <f t="shared" si="15"/>
        <v>0</v>
      </c>
      <c r="AI39" s="74">
        <f t="shared" si="15"/>
        <v>0</v>
      </c>
      <c r="AJ39" s="74">
        <f t="shared" si="15"/>
        <v>0</v>
      </c>
      <c r="AK39" s="74">
        <f t="shared" si="15"/>
        <v>0.02</v>
      </c>
      <c r="AL39" s="74">
        <f t="shared" si="15"/>
        <v>0</v>
      </c>
      <c r="AM39" s="74">
        <f t="shared" si="15"/>
        <v>0</v>
      </c>
      <c r="AN39" s="74">
        <f t="shared" si="15"/>
        <v>0</v>
      </c>
      <c r="AO39" s="74">
        <f t="shared" si="15"/>
        <v>0.02</v>
      </c>
      <c r="AP39" s="74">
        <f t="shared" si="15"/>
        <v>0</v>
      </c>
      <c r="AQ39" s="74">
        <f t="shared" si="15"/>
        <v>0</v>
      </c>
      <c r="AR39" s="74">
        <f t="shared" si="15"/>
        <v>0</v>
      </c>
      <c r="AS39" s="74">
        <f t="shared" si="15"/>
        <v>0.02</v>
      </c>
      <c r="AT39" s="74">
        <f t="shared" si="15"/>
        <v>0</v>
      </c>
      <c r="AU39" s="74">
        <f t="shared" si="15"/>
        <v>0</v>
      </c>
      <c r="AV39" s="74">
        <f t="shared" si="15"/>
        <v>0</v>
      </c>
      <c r="AW39" s="74">
        <f t="shared" si="15"/>
        <v>0.02</v>
      </c>
      <c r="AX39" s="74">
        <f t="shared" si="15"/>
        <v>0</v>
      </c>
      <c r="AY39" s="74">
        <f t="shared" si="15"/>
        <v>0</v>
      </c>
      <c r="AZ39" s="74">
        <f t="shared" si="15"/>
        <v>0</v>
      </c>
      <c r="BA39" s="74">
        <f t="shared" si="15"/>
        <v>0.02</v>
      </c>
      <c r="BB39" s="74">
        <f t="shared" si="15"/>
        <v>0</v>
      </c>
      <c r="BC39" s="74">
        <f t="shared" si="15"/>
        <v>0</v>
      </c>
      <c r="BD39" s="74">
        <f t="shared" si="15"/>
        <v>0</v>
      </c>
      <c r="BE39" s="74">
        <f t="shared" si="15"/>
        <v>0.02</v>
      </c>
      <c r="BF39" s="74">
        <f t="shared" si="15"/>
        <v>0</v>
      </c>
      <c r="BG39" s="74">
        <f t="shared" si="15"/>
        <v>0</v>
      </c>
      <c r="BH39" s="74">
        <f t="shared" si="15"/>
        <v>0</v>
      </c>
      <c r="BI39" s="74">
        <f t="shared" si="15"/>
        <v>0.02</v>
      </c>
      <c r="BJ39" s="74">
        <f t="shared" si="15"/>
        <v>0</v>
      </c>
      <c r="BK39" s="74">
        <f t="shared" si="15"/>
        <v>0</v>
      </c>
      <c r="BL39" s="74">
        <f t="shared" si="15"/>
        <v>0</v>
      </c>
      <c r="BM39" s="74">
        <f t="shared" si="15"/>
        <v>0.02</v>
      </c>
      <c r="BN39" s="74">
        <f t="shared" si="15"/>
        <v>0</v>
      </c>
      <c r="BO39" s="74">
        <f t="shared" si="15"/>
        <v>0</v>
      </c>
      <c r="BP39" s="74">
        <f t="shared" si="15"/>
        <v>0</v>
      </c>
    </row>
    <row r="40" spans="2:68">
      <c r="D40" s="61" t="s">
        <v>25</v>
      </c>
      <c r="G40" s="76">
        <f>(1+G39)^(1/4)-1</f>
        <v>4.9629315732038215E-3</v>
      </c>
      <c r="J40" s="74">
        <f>$G40</f>
        <v>4.9629315732038215E-3</v>
      </c>
      <c r="K40" s="74">
        <f t="shared" ref="K40:BP40" si="16">$G40</f>
        <v>4.9629315732038215E-3</v>
      </c>
      <c r="L40" s="74">
        <f t="shared" si="16"/>
        <v>4.9629315732038215E-3</v>
      </c>
      <c r="M40" s="74">
        <f t="shared" si="16"/>
        <v>4.9629315732038215E-3</v>
      </c>
      <c r="N40" s="74">
        <f t="shared" si="16"/>
        <v>4.9629315732038215E-3</v>
      </c>
      <c r="O40" s="74">
        <f t="shared" si="16"/>
        <v>4.9629315732038215E-3</v>
      </c>
      <c r="P40" s="74">
        <f t="shared" si="16"/>
        <v>4.9629315732038215E-3</v>
      </c>
      <c r="Q40" s="74">
        <f t="shared" si="16"/>
        <v>4.9629315732038215E-3</v>
      </c>
      <c r="R40" s="74">
        <f t="shared" si="16"/>
        <v>4.9629315732038215E-3</v>
      </c>
      <c r="S40" s="74">
        <f t="shared" si="16"/>
        <v>4.9629315732038215E-3</v>
      </c>
      <c r="T40" s="74">
        <f t="shared" si="16"/>
        <v>4.9629315732038215E-3</v>
      </c>
      <c r="U40" s="74">
        <f t="shared" si="16"/>
        <v>4.9629315732038215E-3</v>
      </c>
      <c r="V40" s="74">
        <f t="shared" si="16"/>
        <v>4.9629315732038215E-3</v>
      </c>
      <c r="W40" s="74">
        <f t="shared" si="16"/>
        <v>4.9629315732038215E-3</v>
      </c>
      <c r="X40" s="74">
        <f t="shared" si="16"/>
        <v>4.9629315732038215E-3</v>
      </c>
      <c r="Y40" s="74">
        <f t="shared" si="16"/>
        <v>4.9629315732038215E-3</v>
      </c>
      <c r="Z40" s="74">
        <f t="shared" si="16"/>
        <v>4.9629315732038215E-3</v>
      </c>
      <c r="AA40" s="74">
        <f t="shared" si="16"/>
        <v>4.9629315732038215E-3</v>
      </c>
      <c r="AB40" s="74">
        <f t="shared" si="16"/>
        <v>4.9629315732038215E-3</v>
      </c>
      <c r="AC40" s="74">
        <f t="shared" si="16"/>
        <v>4.9629315732038215E-3</v>
      </c>
      <c r="AD40" s="74">
        <f t="shared" si="16"/>
        <v>4.9629315732038215E-3</v>
      </c>
      <c r="AE40" s="74">
        <f t="shared" si="16"/>
        <v>4.9629315732038215E-3</v>
      </c>
      <c r="AF40" s="74">
        <f t="shared" si="16"/>
        <v>4.9629315732038215E-3</v>
      </c>
      <c r="AG40" s="74">
        <f t="shared" si="16"/>
        <v>4.9629315732038215E-3</v>
      </c>
      <c r="AH40" s="74">
        <f t="shared" si="16"/>
        <v>4.9629315732038215E-3</v>
      </c>
      <c r="AI40" s="74">
        <f t="shared" si="16"/>
        <v>4.9629315732038215E-3</v>
      </c>
      <c r="AJ40" s="74">
        <f t="shared" si="16"/>
        <v>4.9629315732038215E-3</v>
      </c>
      <c r="AK40" s="74">
        <f t="shared" si="16"/>
        <v>4.9629315732038215E-3</v>
      </c>
      <c r="AL40" s="74">
        <f t="shared" si="16"/>
        <v>4.9629315732038215E-3</v>
      </c>
      <c r="AM40" s="74">
        <f t="shared" si="16"/>
        <v>4.9629315732038215E-3</v>
      </c>
      <c r="AN40" s="74">
        <f t="shared" si="16"/>
        <v>4.9629315732038215E-3</v>
      </c>
      <c r="AO40" s="74">
        <f t="shared" si="16"/>
        <v>4.9629315732038215E-3</v>
      </c>
      <c r="AP40" s="74">
        <f t="shared" si="16"/>
        <v>4.9629315732038215E-3</v>
      </c>
      <c r="AQ40" s="74">
        <f t="shared" si="16"/>
        <v>4.9629315732038215E-3</v>
      </c>
      <c r="AR40" s="74">
        <f t="shared" si="16"/>
        <v>4.9629315732038215E-3</v>
      </c>
      <c r="AS40" s="74">
        <f t="shared" si="16"/>
        <v>4.9629315732038215E-3</v>
      </c>
      <c r="AT40" s="74">
        <f t="shared" si="16"/>
        <v>4.9629315732038215E-3</v>
      </c>
      <c r="AU40" s="74">
        <f t="shared" si="16"/>
        <v>4.9629315732038215E-3</v>
      </c>
      <c r="AV40" s="74">
        <f t="shared" si="16"/>
        <v>4.9629315732038215E-3</v>
      </c>
      <c r="AW40" s="74">
        <f t="shared" si="16"/>
        <v>4.9629315732038215E-3</v>
      </c>
      <c r="AX40" s="74">
        <f t="shared" si="16"/>
        <v>4.9629315732038215E-3</v>
      </c>
      <c r="AY40" s="74">
        <f t="shared" si="16"/>
        <v>4.9629315732038215E-3</v>
      </c>
      <c r="AZ40" s="74">
        <f t="shared" si="16"/>
        <v>4.9629315732038215E-3</v>
      </c>
      <c r="BA40" s="74">
        <f t="shared" si="16"/>
        <v>4.9629315732038215E-3</v>
      </c>
      <c r="BB40" s="74">
        <f t="shared" si="16"/>
        <v>4.9629315732038215E-3</v>
      </c>
      <c r="BC40" s="74">
        <f t="shared" si="16"/>
        <v>4.9629315732038215E-3</v>
      </c>
      <c r="BD40" s="74">
        <f t="shared" si="16"/>
        <v>4.9629315732038215E-3</v>
      </c>
      <c r="BE40" s="74">
        <f t="shared" si="16"/>
        <v>4.9629315732038215E-3</v>
      </c>
      <c r="BF40" s="74">
        <f t="shared" si="16"/>
        <v>4.9629315732038215E-3</v>
      </c>
      <c r="BG40" s="74">
        <f t="shared" si="16"/>
        <v>4.9629315732038215E-3</v>
      </c>
      <c r="BH40" s="74">
        <f t="shared" si="16"/>
        <v>4.9629315732038215E-3</v>
      </c>
      <c r="BI40" s="74">
        <f t="shared" si="16"/>
        <v>4.9629315732038215E-3</v>
      </c>
      <c r="BJ40" s="74">
        <f t="shared" si="16"/>
        <v>4.9629315732038215E-3</v>
      </c>
      <c r="BK40" s="74">
        <f t="shared" si="16"/>
        <v>4.9629315732038215E-3</v>
      </c>
      <c r="BL40" s="74">
        <f t="shared" si="16"/>
        <v>4.9629315732038215E-3</v>
      </c>
      <c r="BM40" s="74">
        <f t="shared" si="16"/>
        <v>4.9629315732038215E-3</v>
      </c>
      <c r="BN40" s="74">
        <f t="shared" si="16"/>
        <v>4.9629315732038215E-3</v>
      </c>
      <c r="BO40" s="74">
        <f t="shared" si="16"/>
        <v>4.9629315732038215E-3</v>
      </c>
      <c r="BP40" s="74">
        <f t="shared" si="16"/>
        <v>4.9629315732038215E-3</v>
      </c>
    </row>
    <row r="41" spans="2:68">
      <c r="B41" s="77"/>
      <c r="C41" s="77"/>
      <c r="D41" s="77"/>
      <c r="E41" s="77"/>
      <c r="F41" s="77"/>
      <c r="G41" s="78"/>
      <c r="H41" s="78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</row>
    <row r="42" spans="2:68">
      <c r="B42" s="79"/>
      <c r="C42" s="79"/>
      <c r="D42" s="79"/>
      <c r="E42" s="79"/>
      <c r="F42" s="79"/>
      <c r="G42" s="80"/>
      <c r="H42" s="80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</row>
    <row r="43" spans="2:68">
      <c r="C43" s="70" t="s">
        <v>12</v>
      </c>
    </row>
    <row r="44" spans="2:68">
      <c r="C44" s="70"/>
      <c r="D44" s="61" t="s">
        <v>108</v>
      </c>
      <c r="G44" s="110">
        <f>CaseData!H52</f>
        <v>3</v>
      </c>
      <c r="H44" s="110" t="str">
        <f>CaseData!F52</f>
        <v>[tonnes/slab]</v>
      </c>
      <c r="I44" s="87">
        <f>$G44</f>
        <v>3</v>
      </c>
      <c r="J44" s="87">
        <f t="shared" ref="J44:BP44" si="17">$G44</f>
        <v>3</v>
      </c>
      <c r="K44" s="87">
        <f t="shared" si="17"/>
        <v>3</v>
      </c>
      <c r="L44" s="87">
        <f t="shared" si="17"/>
        <v>3</v>
      </c>
      <c r="M44" s="87">
        <f t="shared" si="17"/>
        <v>3</v>
      </c>
      <c r="N44" s="87">
        <f t="shared" si="17"/>
        <v>3</v>
      </c>
      <c r="O44" s="87">
        <f t="shared" si="17"/>
        <v>3</v>
      </c>
      <c r="P44" s="87">
        <f t="shared" si="17"/>
        <v>3</v>
      </c>
      <c r="Q44" s="87">
        <f t="shared" si="17"/>
        <v>3</v>
      </c>
      <c r="R44" s="87">
        <f t="shared" si="17"/>
        <v>3</v>
      </c>
      <c r="S44" s="87">
        <f t="shared" si="17"/>
        <v>3</v>
      </c>
      <c r="T44" s="87">
        <f t="shared" si="17"/>
        <v>3</v>
      </c>
      <c r="U44" s="87">
        <f t="shared" si="17"/>
        <v>3</v>
      </c>
      <c r="V44" s="87">
        <f t="shared" si="17"/>
        <v>3</v>
      </c>
      <c r="W44" s="87">
        <f t="shared" si="17"/>
        <v>3</v>
      </c>
      <c r="X44" s="87">
        <f t="shared" si="17"/>
        <v>3</v>
      </c>
      <c r="Y44" s="87">
        <f t="shared" si="17"/>
        <v>3</v>
      </c>
      <c r="Z44" s="87">
        <f t="shared" si="17"/>
        <v>3</v>
      </c>
      <c r="AA44" s="87">
        <f t="shared" si="17"/>
        <v>3</v>
      </c>
      <c r="AB44" s="87">
        <f t="shared" si="17"/>
        <v>3</v>
      </c>
      <c r="AC44" s="87">
        <f t="shared" si="17"/>
        <v>3</v>
      </c>
      <c r="AD44" s="87">
        <f t="shared" si="17"/>
        <v>3</v>
      </c>
      <c r="AE44" s="87">
        <f t="shared" si="17"/>
        <v>3</v>
      </c>
      <c r="AF44" s="87">
        <f t="shared" si="17"/>
        <v>3</v>
      </c>
      <c r="AG44" s="87">
        <f t="shared" si="17"/>
        <v>3</v>
      </c>
      <c r="AH44" s="87">
        <f t="shared" si="17"/>
        <v>3</v>
      </c>
      <c r="AI44" s="87">
        <f t="shared" si="17"/>
        <v>3</v>
      </c>
      <c r="AJ44" s="87">
        <f t="shared" si="17"/>
        <v>3</v>
      </c>
      <c r="AK44" s="87">
        <f t="shared" si="17"/>
        <v>3</v>
      </c>
      <c r="AL44" s="87">
        <f t="shared" si="17"/>
        <v>3</v>
      </c>
      <c r="AM44" s="87">
        <f t="shared" si="17"/>
        <v>3</v>
      </c>
      <c r="AN44" s="87">
        <f t="shared" si="17"/>
        <v>3</v>
      </c>
      <c r="AO44" s="87">
        <f t="shared" si="17"/>
        <v>3</v>
      </c>
      <c r="AP44" s="87">
        <f t="shared" si="17"/>
        <v>3</v>
      </c>
      <c r="AQ44" s="87">
        <f t="shared" si="17"/>
        <v>3</v>
      </c>
      <c r="AR44" s="87">
        <f t="shared" si="17"/>
        <v>3</v>
      </c>
      <c r="AS44" s="87">
        <f t="shared" si="17"/>
        <v>3</v>
      </c>
      <c r="AT44" s="87">
        <f t="shared" si="17"/>
        <v>3</v>
      </c>
      <c r="AU44" s="87">
        <f t="shared" si="17"/>
        <v>3</v>
      </c>
      <c r="AV44" s="87">
        <f t="shared" si="17"/>
        <v>3</v>
      </c>
      <c r="AW44" s="87">
        <f t="shared" si="17"/>
        <v>3</v>
      </c>
      <c r="AX44" s="87">
        <f t="shared" si="17"/>
        <v>3</v>
      </c>
      <c r="AY44" s="87">
        <f t="shared" si="17"/>
        <v>3</v>
      </c>
      <c r="AZ44" s="87">
        <f t="shared" si="17"/>
        <v>3</v>
      </c>
      <c r="BA44" s="87">
        <f t="shared" si="17"/>
        <v>3</v>
      </c>
      <c r="BB44" s="87">
        <f t="shared" si="17"/>
        <v>3</v>
      </c>
      <c r="BC44" s="87">
        <f t="shared" si="17"/>
        <v>3</v>
      </c>
      <c r="BD44" s="87">
        <f t="shared" si="17"/>
        <v>3</v>
      </c>
      <c r="BE44" s="87">
        <f t="shared" si="17"/>
        <v>3</v>
      </c>
      <c r="BF44" s="87">
        <f t="shared" si="17"/>
        <v>3</v>
      </c>
      <c r="BG44" s="87">
        <f t="shared" si="17"/>
        <v>3</v>
      </c>
      <c r="BH44" s="87">
        <f t="shared" si="17"/>
        <v>3</v>
      </c>
      <c r="BI44" s="87">
        <f t="shared" si="17"/>
        <v>3</v>
      </c>
      <c r="BJ44" s="87">
        <f t="shared" si="17"/>
        <v>3</v>
      </c>
      <c r="BK44" s="87">
        <f t="shared" si="17"/>
        <v>3</v>
      </c>
      <c r="BL44" s="87">
        <f t="shared" si="17"/>
        <v>3</v>
      </c>
      <c r="BM44" s="87">
        <f t="shared" si="17"/>
        <v>3</v>
      </c>
      <c r="BN44" s="87">
        <f t="shared" si="17"/>
        <v>3</v>
      </c>
      <c r="BO44" s="87">
        <f t="shared" si="17"/>
        <v>3</v>
      </c>
      <c r="BP44" s="87">
        <f t="shared" si="17"/>
        <v>3</v>
      </c>
    </row>
    <row r="45" spans="2:68">
      <c r="D45" s="61" t="s">
        <v>109</v>
      </c>
      <c r="G45" s="62">
        <v>1</v>
      </c>
      <c r="H45" s="110" t="str">
        <f>CaseData!F30</f>
        <v>[MXN per $]</v>
      </c>
      <c r="I45" s="71">
        <f>INDEX(CaseData!$H$30:$V$32,$G45,MATCH(I$7,CaseData!$H$29:$V$29,0))</f>
        <v>19.5</v>
      </c>
      <c r="J45" s="71">
        <f>INDEX(CaseData!$H$30:$V$32,$G45,MATCH(J$7,CaseData!$H$29:$V$29,0))</f>
        <v>19.5</v>
      </c>
      <c r="K45" s="71">
        <f>INDEX(CaseData!$H$30:$V$32,$G45,MATCH(K$7,CaseData!$H$29:$V$29,0))</f>
        <v>19.5</v>
      </c>
      <c r="L45" s="71">
        <f>INDEX(CaseData!$H$30:$V$32,$G45,MATCH(L$7,CaseData!$H$29:$V$29,0))</f>
        <v>19.5</v>
      </c>
      <c r="M45" s="71">
        <f>INDEX(CaseData!$H$30:$V$32,$G45,MATCH(M$7,CaseData!$H$29:$V$29,0))</f>
        <v>20.09</v>
      </c>
      <c r="N45" s="71">
        <f>INDEX(CaseData!$H$30:$V$32,$G45,MATCH(N$7,CaseData!$H$29:$V$29,0))</f>
        <v>20.09</v>
      </c>
      <c r="O45" s="71">
        <f>INDEX(CaseData!$H$30:$V$32,$G45,MATCH(O$7,CaseData!$H$29:$V$29,0))</f>
        <v>20.09</v>
      </c>
      <c r="P45" s="71">
        <f>INDEX(CaseData!$H$30:$V$32,$G45,MATCH(P$7,CaseData!$H$29:$V$29,0))</f>
        <v>20.09</v>
      </c>
      <c r="Q45" s="71">
        <f>INDEX(CaseData!$H$30:$V$32,$G45,MATCH(Q$7,CaseData!$H$29:$V$29,0))</f>
        <v>20.69</v>
      </c>
      <c r="R45" s="71">
        <f>INDEX(CaseData!$H$30:$V$32,$G45,MATCH(R$7,CaseData!$H$29:$V$29,0))</f>
        <v>20.69</v>
      </c>
      <c r="S45" s="71">
        <f>INDEX(CaseData!$H$30:$V$32,$G45,MATCH(S$7,CaseData!$H$29:$V$29,0))</f>
        <v>20.69</v>
      </c>
      <c r="T45" s="71">
        <f>INDEX(CaseData!$H$30:$V$32,$G45,MATCH(T$7,CaseData!$H$29:$V$29,0))</f>
        <v>20.69</v>
      </c>
      <c r="U45" s="71">
        <f>INDEX(CaseData!$H$30:$V$32,$G45,MATCH(U$7,CaseData!$H$29:$V$29,0))</f>
        <v>21.31</v>
      </c>
      <c r="V45" s="71">
        <f>INDEX(CaseData!$H$30:$V$32,$G45,MATCH(V$7,CaseData!$H$29:$V$29,0))</f>
        <v>21.31</v>
      </c>
      <c r="W45" s="71">
        <f>INDEX(CaseData!$H$30:$V$32,$G45,MATCH(W$7,CaseData!$H$29:$V$29,0))</f>
        <v>21.31</v>
      </c>
      <c r="X45" s="71">
        <f>INDEX(CaseData!$H$30:$V$32,$G45,MATCH(X$7,CaseData!$H$29:$V$29,0))</f>
        <v>21.31</v>
      </c>
      <c r="Y45" s="71">
        <f>INDEX(CaseData!$H$30:$V$32,$G45,MATCH(Y$7,CaseData!$H$29:$V$29,0))</f>
        <v>21.95</v>
      </c>
      <c r="Z45" s="71">
        <f>INDEX(CaseData!$H$30:$V$32,$G45,MATCH(Z$7,CaseData!$H$29:$V$29,0))</f>
        <v>21.95</v>
      </c>
      <c r="AA45" s="71">
        <f>INDEX(CaseData!$H$30:$V$32,$G45,MATCH(AA$7,CaseData!$H$29:$V$29,0))</f>
        <v>21.95</v>
      </c>
      <c r="AB45" s="71">
        <f>INDEX(CaseData!$H$30:$V$32,$G45,MATCH(AB$7,CaseData!$H$29:$V$29,0))</f>
        <v>21.95</v>
      </c>
      <c r="AC45" s="71">
        <f>INDEX(CaseData!$H$30:$V$32,$G45,MATCH(AC$7,CaseData!$H$29:$V$29,0))</f>
        <v>22.61</v>
      </c>
      <c r="AD45" s="71">
        <f>INDEX(CaseData!$H$30:$V$32,$G45,MATCH(AD$7,CaseData!$H$29:$V$29,0))</f>
        <v>22.61</v>
      </c>
      <c r="AE45" s="71">
        <f>INDEX(CaseData!$H$30:$V$32,$G45,MATCH(AE$7,CaseData!$H$29:$V$29,0))</f>
        <v>22.61</v>
      </c>
      <c r="AF45" s="71">
        <f>INDEX(CaseData!$H$30:$V$32,$G45,MATCH(AF$7,CaseData!$H$29:$V$29,0))</f>
        <v>22.61</v>
      </c>
      <c r="AG45" s="71">
        <f>INDEX(CaseData!$H$30:$V$32,$G45,MATCH(AG$7,CaseData!$H$29:$V$29,0))</f>
        <v>23.29</v>
      </c>
      <c r="AH45" s="71">
        <f>INDEX(CaseData!$H$30:$V$32,$G45,MATCH(AH$7,CaseData!$H$29:$V$29,0))</f>
        <v>23.29</v>
      </c>
      <c r="AI45" s="71">
        <f>INDEX(CaseData!$H$30:$V$32,$G45,MATCH(AI$7,CaseData!$H$29:$V$29,0))</f>
        <v>23.29</v>
      </c>
      <c r="AJ45" s="71">
        <f>INDEX(CaseData!$H$30:$V$32,$G45,MATCH(AJ$7,CaseData!$H$29:$V$29,0))</f>
        <v>23.29</v>
      </c>
      <c r="AK45" s="71">
        <f>INDEX(CaseData!$H$30:$V$32,$G45,MATCH(AK$7,CaseData!$H$29:$V$29,0))</f>
        <v>23.99</v>
      </c>
      <c r="AL45" s="71">
        <f>INDEX(CaseData!$H$30:$V$32,$G45,MATCH(AL$7,CaseData!$H$29:$V$29,0))</f>
        <v>23.99</v>
      </c>
      <c r="AM45" s="71">
        <f>INDEX(CaseData!$H$30:$V$32,$G45,MATCH(AM$7,CaseData!$H$29:$V$29,0))</f>
        <v>23.99</v>
      </c>
      <c r="AN45" s="71">
        <f>INDEX(CaseData!$H$30:$V$32,$G45,MATCH(AN$7,CaseData!$H$29:$V$29,0))</f>
        <v>23.99</v>
      </c>
      <c r="AO45" s="71">
        <f>INDEX(CaseData!$H$30:$V$32,$G45,MATCH(AO$7,CaseData!$H$29:$V$29,0))</f>
        <v>24.71</v>
      </c>
      <c r="AP45" s="71">
        <f>INDEX(CaseData!$H$30:$V$32,$G45,MATCH(AP$7,CaseData!$H$29:$V$29,0))</f>
        <v>24.71</v>
      </c>
      <c r="AQ45" s="71">
        <f>INDEX(CaseData!$H$30:$V$32,$G45,MATCH(AQ$7,CaseData!$H$29:$V$29,0))</f>
        <v>24.71</v>
      </c>
      <c r="AR45" s="71">
        <f>INDEX(CaseData!$H$30:$V$32,$G45,MATCH(AR$7,CaseData!$H$29:$V$29,0))</f>
        <v>24.71</v>
      </c>
      <c r="AS45" s="71">
        <f>INDEX(CaseData!$H$30:$V$32,$G45,MATCH(AS$7,CaseData!$H$29:$V$29,0))</f>
        <v>25.45</v>
      </c>
      <c r="AT45" s="71">
        <f>INDEX(CaseData!$H$30:$V$32,$G45,MATCH(AT$7,CaseData!$H$29:$V$29,0))</f>
        <v>25.45</v>
      </c>
      <c r="AU45" s="71">
        <f>INDEX(CaseData!$H$30:$V$32,$G45,MATCH(AU$7,CaseData!$H$29:$V$29,0))</f>
        <v>25.45</v>
      </c>
      <c r="AV45" s="71">
        <f>INDEX(CaseData!$H$30:$V$32,$G45,MATCH(AV$7,CaseData!$H$29:$V$29,0))</f>
        <v>25.45</v>
      </c>
      <c r="AW45" s="71">
        <f>INDEX(CaseData!$H$30:$V$32,$G45,MATCH(AW$7,CaseData!$H$29:$V$29,0))</f>
        <v>26.21</v>
      </c>
      <c r="AX45" s="71">
        <f>INDEX(CaseData!$H$30:$V$32,$G45,MATCH(AX$7,CaseData!$H$29:$V$29,0))</f>
        <v>26.21</v>
      </c>
      <c r="AY45" s="71">
        <f>INDEX(CaseData!$H$30:$V$32,$G45,MATCH(AY$7,CaseData!$H$29:$V$29,0))</f>
        <v>26.21</v>
      </c>
      <c r="AZ45" s="71">
        <f>INDEX(CaseData!$H$30:$V$32,$G45,MATCH(AZ$7,CaseData!$H$29:$V$29,0))</f>
        <v>26.21</v>
      </c>
      <c r="BA45" s="71">
        <f>INDEX(CaseData!$H$30:$V$32,$G45,MATCH(BA$7,CaseData!$H$29:$V$29,0))</f>
        <v>27</v>
      </c>
      <c r="BB45" s="71">
        <f>INDEX(CaseData!$H$30:$V$32,$G45,MATCH(BB$7,CaseData!$H$29:$V$29,0))</f>
        <v>27</v>
      </c>
      <c r="BC45" s="71">
        <f>INDEX(CaseData!$H$30:$V$32,$G45,MATCH(BC$7,CaseData!$H$29:$V$29,0))</f>
        <v>27</v>
      </c>
      <c r="BD45" s="71">
        <f>INDEX(CaseData!$H$30:$V$32,$G45,MATCH(BD$7,CaseData!$H$29:$V$29,0))</f>
        <v>27</v>
      </c>
      <c r="BE45" s="71">
        <f>INDEX(CaseData!$H$30:$V$32,$G45,MATCH(BE$7,CaseData!$H$29:$V$29,0))</f>
        <v>27.81</v>
      </c>
      <c r="BF45" s="71">
        <f>INDEX(CaseData!$H$30:$V$32,$G45,MATCH(BF$7,CaseData!$H$29:$V$29,0))</f>
        <v>27.81</v>
      </c>
      <c r="BG45" s="71">
        <f>INDEX(CaseData!$H$30:$V$32,$G45,MATCH(BG$7,CaseData!$H$29:$V$29,0))</f>
        <v>27.81</v>
      </c>
      <c r="BH45" s="71">
        <f>INDEX(CaseData!$H$30:$V$32,$G45,MATCH(BH$7,CaseData!$H$29:$V$29,0))</f>
        <v>27.81</v>
      </c>
      <c r="BI45" s="71">
        <f>INDEX(CaseData!$H$30:$V$32,$G45,MATCH(BI$7,CaseData!$H$29:$V$29,0))</f>
        <v>28.64</v>
      </c>
      <c r="BJ45" s="71">
        <f>INDEX(CaseData!$H$30:$V$32,$G45,MATCH(BJ$7,CaseData!$H$29:$V$29,0))</f>
        <v>28.64</v>
      </c>
      <c r="BK45" s="71">
        <f>INDEX(CaseData!$H$30:$V$32,$G45,MATCH(BK$7,CaseData!$H$29:$V$29,0))</f>
        <v>28.64</v>
      </c>
      <c r="BL45" s="71">
        <f>INDEX(CaseData!$H$30:$V$32,$G45,MATCH(BL$7,CaseData!$H$29:$V$29,0))</f>
        <v>28.64</v>
      </c>
      <c r="BM45" s="71">
        <f>INDEX(CaseData!$H$30:$V$32,$G45,MATCH(BM$7,CaseData!$H$29:$V$29,0))</f>
        <v>29.5</v>
      </c>
      <c r="BN45" s="71">
        <f>INDEX(CaseData!$H$30:$V$32,$G45,MATCH(BN$7,CaseData!$H$29:$V$29,0))</f>
        <v>29.5</v>
      </c>
      <c r="BO45" s="71">
        <f>INDEX(CaseData!$H$30:$V$32,$G45,MATCH(BO$7,CaseData!$H$29:$V$29,0))</f>
        <v>29.5</v>
      </c>
      <c r="BP45" s="71">
        <f>INDEX(CaseData!$H$30:$V$32,$G45,MATCH(BP$7,CaseData!$H$29:$V$29,0))</f>
        <v>29.5</v>
      </c>
    </row>
    <row r="47" spans="2:68">
      <c r="D47" s="61" t="s">
        <v>102</v>
      </c>
      <c r="H47" s="86" t="str">
        <f t="shared" ref="H47:BP47" si="18">H33</f>
        <v>[slabs]</v>
      </c>
      <c r="I47" s="88">
        <f t="shared" si="18"/>
        <v>26500</v>
      </c>
      <c r="J47" s="88">
        <f t="shared" si="18"/>
        <v>28100</v>
      </c>
      <c r="K47" s="88">
        <f t="shared" si="18"/>
        <v>29000</v>
      </c>
      <c r="L47" s="88">
        <f t="shared" si="18"/>
        <v>25200</v>
      </c>
      <c r="M47" s="88">
        <f t="shared" si="18"/>
        <v>27030</v>
      </c>
      <c r="N47" s="88">
        <f t="shared" si="18"/>
        <v>28662</v>
      </c>
      <c r="O47" s="88">
        <f t="shared" si="18"/>
        <v>29580</v>
      </c>
      <c r="P47" s="88">
        <f t="shared" si="18"/>
        <v>25704</v>
      </c>
      <c r="Q47" s="88">
        <f t="shared" si="18"/>
        <v>27570.600000000002</v>
      </c>
      <c r="R47" s="88">
        <f t="shared" si="18"/>
        <v>29235.24</v>
      </c>
      <c r="S47" s="88">
        <f t="shared" si="18"/>
        <v>30171.600000000002</v>
      </c>
      <c r="T47" s="88">
        <f t="shared" si="18"/>
        <v>26218.080000000002</v>
      </c>
      <c r="U47" s="88">
        <f t="shared" si="18"/>
        <v>28122.012000000002</v>
      </c>
      <c r="V47" s="88">
        <f t="shared" si="18"/>
        <v>29819.944800000001</v>
      </c>
      <c r="W47" s="88">
        <f t="shared" si="18"/>
        <v>30775.032000000003</v>
      </c>
      <c r="X47" s="88">
        <f t="shared" si="18"/>
        <v>26742.441600000002</v>
      </c>
      <c r="Y47" s="88">
        <f t="shared" si="18"/>
        <v>28684.452240000002</v>
      </c>
      <c r="Z47" s="88">
        <f t="shared" si="18"/>
        <v>30416.343696</v>
      </c>
      <c r="AA47" s="88">
        <f t="shared" si="18"/>
        <v>31390.532640000005</v>
      </c>
      <c r="AB47" s="88">
        <f t="shared" si="18"/>
        <v>27277.290432000002</v>
      </c>
      <c r="AC47" s="88">
        <f t="shared" si="18"/>
        <v>29258.141284800004</v>
      </c>
      <c r="AD47" s="88">
        <f t="shared" si="18"/>
        <v>31024.670569919999</v>
      </c>
      <c r="AE47" s="88">
        <f t="shared" si="18"/>
        <v>32018.343292800004</v>
      </c>
      <c r="AF47" s="88">
        <f t="shared" si="18"/>
        <v>27822.836240640001</v>
      </c>
      <c r="AG47" s="88">
        <f t="shared" si="18"/>
        <v>29843.304110496003</v>
      </c>
      <c r="AH47" s="88">
        <f t="shared" si="18"/>
        <v>31645.163981318401</v>
      </c>
      <c r="AI47" s="88">
        <f t="shared" si="18"/>
        <v>32658.710158656006</v>
      </c>
      <c r="AJ47" s="88">
        <f t="shared" si="18"/>
        <v>28379.292965452802</v>
      </c>
      <c r="AK47" s="88">
        <f t="shared" si="18"/>
        <v>30440.170192705922</v>
      </c>
      <c r="AL47" s="88">
        <f t="shared" si="18"/>
        <v>32278.067260944768</v>
      </c>
      <c r="AM47" s="88">
        <f t="shared" si="18"/>
        <v>33311.884361829128</v>
      </c>
      <c r="AN47" s="88">
        <f t="shared" si="18"/>
        <v>28946.878824761858</v>
      </c>
      <c r="AO47" s="88">
        <f t="shared" si="18"/>
        <v>31048.973596560041</v>
      </c>
      <c r="AP47" s="88">
        <f t="shared" si="18"/>
        <v>32923.628606163664</v>
      </c>
      <c r="AQ47" s="88">
        <f t="shared" si="18"/>
        <v>33978.122049065714</v>
      </c>
      <c r="AR47" s="88">
        <f t="shared" si="18"/>
        <v>29525.816401257096</v>
      </c>
      <c r="AS47" s="88">
        <f t="shared" si="18"/>
        <v>31669.953068491242</v>
      </c>
      <c r="AT47" s="88">
        <f t="shared" si="18"/>
        <v>33582.101178286939</v>
      </c>
      <c r="AU47" s="88">
        <f t="shared" si="18"/>
        <v>34657.684490047031</v>
      </c>
      <c r="AV47" s="88">
        <f t="shared" si="18"/>
        <v>30116.33272928224</v>
      </c>
      <c r="AW47" s="88">
        <f t="shared" si="18"/>
        <v>32303.352129861069</v>
      </c>
      <c r="AX47" s="88">
        <f t="shared" si="18"/>
        <v>34253.743201852682</v>
      </c>
      <c r="AY47" s="88">
        <f t="shared" si="18"/>
        <v>35350.838179847975</v>
      </c>
      <c r="AZ47" s="88">
        <f t="shared" si="18"/>
        <v>30718.659383867885</v>
      </c>
      <c r="BA47" s="88">
        <f t="shared" si="18"/>
        <v>32949.419172458292</v>
      </c>
      <c r="BB47" s="88">
        <f t="shared" si="18"/>
        <v>34938.818065889733</v>
      </c>
      <c r="BC47" s="88">
        <f t="shared" si="18"/>
        <v>36057.854943444938</v>
      </c>
      <c r="BD47" s="88">
        <f t="shared" si="18"/>
        <v>31333.032571545245</v>
      </c>
      <c r="BE47" s="88">
        <f t="shared" si="18"/>
        <v>33608.407555907455</v>
      </c>
      <c r="BF47" s="88">
        <f t="shared" si="18"/>
        <v>35637.594427207528</v>
      </c>
      <c r="BG47" s="88">
        <f t="shared" si="18"/>
        <v>36779.012042313836</v>
      </c>
      <c r="BH47" s="88">
        <f t="shared" si="18"/>
        <v>31959.693222976151</v>
      </c>
      <c r="BI47" s="88">
        <f t="shared" si="18"/>
        <v>34280.575707025608</v>
      </c>
      <c r="BJ47" s="88">
        <f t="shared" si="18"/>
        <v>36350.346315751682</v>
      </c>
      <c r="BK47" s="88">
        <f t="shared" si="18"/>
        <v>37514.592283160113</v>
      </c>
      <c r="BL47" s="88">
        <f t="shared" si="18"/>
        <v>32598.887087435676</v>
      </c>
      <c r="BM47" s="88">
        <f t="shared" si="18"/>
        <v>34966.187221166118</v>
      </c>
      <c r="BN47" s="88">
        <f t="shared" si="18"/>
        <v>37077.353242066718</v>
      </c>
      <c r="BO47" s="88">
        <f t="shared" si="18"/>
        <v>38264.884128823316</v>
      </c>
      <c r="BP47" s="88">
        <f t="shared" si="18"/>
        <v>33250.864829184393</v>
      </c>
    </row>
    <row r="48" spans="2:68">
      <c r="D48" s="61" t="s">
        <v>102</v>
      </c>
      <c r="H48" s="62" t="s">
        <v>67</v>
      </c>
      <c r="I48" s="88">
        <f t="shared" ref="I48:BP48" si="19">I44*I47</f>
        <v>79500</v>
      </c>
      <c r="J48" s="88">
        <f t="shared" si="19"/>
        <v>84300</v>
      </c>
      <c r="K48" s="88">
        <f t="shared" si="19"/>
        <v>87000</v>
      </c>
      <c r="L48" s="88">
        <f t="shared" si="19"/>
        <v>75600</v>
      </c>
      <c r="M48" s="88">
        <f t="shared" si="19"/>
        <v>81090</v>
      </c>
      <c r="N48" s="88">
        <f t="shared" si="19"/>
        <v>85986</v>
      </c>
      <c r="O48" s="88">
        <f t="shared" si="19"/>
        <v>88740</v>
      </c>
      <c r="P48" s="88">
        <f t="shared" si="19"/>
        <v>77112</v>
      </c>
      <c r="Q48" s="88">
        <f t="shared" si="19"/>
        <v>82711.8</v>
      </c>
      <c r="R48" s="88">
        <f t="shared" si="19"/>
        <v>87705.72</v>
      </c>
      <c r="S48" s="88">
        <f t="shared" si="19"/>
        <v>90514.8</v>
      </c>
      <c r="T48" s="88">
        <f t="shared" si="19"/>
        <v>78654.240000000005</v>
      </c>
      <c r="U48" s="88">
        <f t="shared" si="19"/>
        <v>84366.036000000007</v>
      </c>
      <c r="V48" s="88">
        <f t="shared" si="19"/>
        <v>89459.834400000007</v>
      </c>
      <c r="W48" s="88">
        <f t="shared" si="19"/>
        <v>92325.096000000005</v>
      </c>
      <c r="X48" s="88">
        <f t="shared" si="19"/>
        <v>80227.324800000002</v>
      </c>
      <c r="Y48" s="88">
        <f t="shared" si="19"/>
        <v>86053.356720000011</v>
      </c>
      <c r="Z48" s="88">
        <f t="shared" si="19"/>
        <v>91249.031088000003</v>
      </c>
      <c r="AA48" s="88">
        <f t="shared" si="19"/>
        <v>94171.597920000015</v>
      </c>
      <c r="AB48" s="88">
        <f t="shared" si="19"/>
        <v>81831.871295999998</v>
      </c>
      <c r="AC48" s="88">
        <f t="shared" si="19"/>
        <v>87774.423854400011</v>
      </c>
      <c r="AD48" s="88">
        <f t="shared" si="19"/>
        <v>93074.011709760001</v>
      </c>
      <c r="AE48" s="88">
        <f t="shared" si="19"/>
        <v>96055.029878400004</v>
      </c>
      <c r="AF48" s="88">
        <f t="shared" si="19"/>
        <v>83468.508721920007</v>
      </c>
      <c r="AG48" s="88">
        <f t="shared" si="19"/>
        <v>89529.912331488013</v>
      </c>
      <c r="AH48" s="88">
        <f t="shared" si="19"/>
        <v>94935.491943955203</v>
      </c>
      <c r="AI48" s="88">
        <f t="shared" si="19"/>
        <v>97976.130475968021</v>
      </c>
      <c r="AJ48" s="88">
        <f t="shared" si="19"/>
        <v>85137.878896358408</v>
      </c>
      <c r="AK48" s="88">
        <f t="shared" si="19"/>
        <v>91320.51057811777</v>
      </c>
      <c r="AL48" s="88">
        <f t="shared" si="19"/>
        <v>96834.201782834309</v>
      </c>
      <c r="AM48" s="88">
        <f t="shared" si="19"/>
        <v>99935.653085487385</v>
      </c>
      <c r="AN48" s="88">
        <f t="shared" si="19"/>
        <v>86840.636474285566</v>
      </c>
      <c r="AO48" s="88">
        <f t="shared" si="19"/>
        <v>93146.920789680124</v>
      </c>
      <c r="AP48" s="88">
        <f t="shared" si="19"/>
        <v>98770.885818490991</v>
      </c>
      <c r="AQ48" s="88">
        <f t="shared" si="19"/>
        <v>101934.36614719714</v>
      </c>
      <c r="AR48" s="88">
        <f t="shared" si="19"/>
        <v>88577.449203771292</v>
      </c>
      <c r="AS48" s="88">
        <f t="shared" si="19"/>
        <v>95009.859205473724</v>
      </c>
      <c r="AT48" s="88">
        <f t="shared" si="19"/>
        <v>100746.30353486081</v>
      </c>
      <c r="AU48" s="88">
        <f t="shared" si="19"/>
        <v>103973.05347014109</v>
      </c>
      <c r="AV48" s="88">
        <f t="shared" si="19"/>
        <v>90348.998187846722</v>
      </c>
      <c r="AW48" s="88">
        <f t="shared" si="19"/>
        <v>96910.056389583202</v>
      </c>
      <c r="AX48" s="88">
        <f t="shared" si="19"/>
        <v>102761.22960555804</v>
      </c>
      <c r="AY48" s="88">
        <f t="shared" si="19"/>
        <v>106052.51453954392</v>
      </c>
      <c r="AZ48" s="88">
        <f t="shared" si="19"/>
        <v>92155.97815160366</v>
      </c>
      <c r="BA48" s="88">
        <f t="shared" si="19"/>
        <v>98848.257517374877</v>
      </c>
      <c r="BB48" s="88">
        <f t="shared" si="19"/>
        <v>104816.4541976692</v>
      </c>
      <c r="BC48" s="88">
        <f t="shared" si="19"/>
        <v>108173.56483033481</v>
      </c>
      <c r="BD48" s="88">
        <f t="shared" si="19"/>
        <v>93999.097714635733</v>
      </c>
      <c r="BE48" s="88">
        <f t="shared" si="19"/>
        <v>100825.22266772237</v>
      </c>
      <c r="BF48" s="88">
        <f t="shared" si="19"/>
        <v>106912.78328162259</v>
      </c>
      <c r="BG48" s="88">
        <f t="shared" si="19"/>
        <v>110337.0361269415</v>
      </c>
      <c r="BH48" s="88">
        <f t="shared" si="19"/>
        <v>95879.079668928462</v>
      </c>
      <c r="BI48" s="88">
        <f t="shared" si="19"/>
        <v>102841.72712107682</v>
      </c>
      <c r="BJ48" s="88">
        <f t="shared" si="19"/>
        <v>109051.03894725505</v>
      </c>
      <c r="BK48" s="88">
        <f t="shared" si="19"/>
        <v>112543.77684948035</v>
      </c>
      <c r="BL48" s="88">
        <f t="shared" si="19"/>
        <v>97796.661262307025</v>
      </c>
      <c r="BM48" s="88">
        <f t="shared" si="19"/>
        <v>104898.56166349835</v>
      </c>
      <c r="BN48" s="88">
        <f t="shared" si="19"/>
        <v>111232.05972620015</v>
      </c>
      <c r="BO48" s="88">
        <f t="shared" si="19"/>
        <v>114794.65238646994</v>
      </c>
      <c r="BP48" s="88">
        <f t="shared" si="19"/>
        <v>99752.594487553171</v>
      </c>
    </row>
    <row r="50" spans="2:68">
      <c r="C50" s="115" t="str">
        <f>CaseData!D54</f>
        <v>Supplier 1 (US)</v>
      </c>
    </row>
    <row r="51" spans="2:68">
      <c r="D51" s="61" t="s">
        <v>110</v>
      </c>
      <c r="G51" s="112">
        <f>CaseData!H55</f>
        <v>35</v>
      </c>
      <c r="H51" s="110" t="str">
        <f>CaseData!F55</f>
        <v>[$ / tonne]</v>
      </c>
      <c r="I51" s="87">
        <f>G51</f>
        <v>35</v>
      </c>
      <c r="J51" s="87">
        <f>I51*(1+J52)</f>
        <v>35</v>
      </c>
      <c r="K51" s="87">
        <f t="shared" ref="K51:BP51" si="20">J51*(1+K52)</f>
        <v>35</v>
      </c>
      <c r="L51" s="87">
        <f t="shared" si="20"/>
        <v>35</v>
      </c>
      <c r="M51" s="87">
        <f t="shared" si="20"/>
        <v>35.700000000000003</v>
      </c>
      <c r="N51" s="87">
        <f t="shared" si="20"/>
        <v>35.700000000000003</v>
      </c>
      <c r="O51" s="87">
        <f t="shared" si="20"/>
        <v>35.700000000000003</v>
      </c>
      <c r="P51" s="87">
        <f t="shared" si="20"/>
        <v>35.700000000000003</v>
      </c>
      <c r="Q51" s="87">
        <f t="shared" si="20"/>
        <v>36.414000000000001</v>
      </c>
      <c r="R51" s="87">
        <f t="shared" si="20"/>
        <v>36.414000000000001</v>
      </c>
      <c r="S51" s="87">
        <f t="shared" si="20"/>
        <v>36.414000000000001</v>
      </c>
      <c r="T51" s="87">
        <f t="shared" si="20"/>
        <v>36.414000000000001</v>
      </c>
      <c r="U51" s="87">
        <f t="shared" si="20"/>
        <v>37.14228</v>
      </c>
      <c r="V51" s="87">
        <f t="shared" si="20"/>
        <v>37.14228</v>
      </c>
      <c r="W51" s="87">
        <f t="shared" si="20"/>
        <v>37.14228</v>
      </c>
      <c r="X51" s="87">
        <f t="shared" si="20"/>
        <v>37.14228</v>
      </c>
      <c r="Y51" s="87">
        <f t="shared" si="20"/>
        <v>37.885125600000002</v>
      </c>
      <c r="Z51" s="87">
        <f t="shared" si="20"/>
        <v>37.885125600000002</v>
      </c>
      <c r="AA51" s="87">
        <f t="shared" si="20"/>
        <v>37.885125600000002</v>
      </c>
      <c r="AB51" s="87">
        <f t="shared" si="20"/>
        <v>37.885125600000002</v>
      </c>
      <c r="AC51" s="87">
        <f t="shared" si="20"/>
        <v>38.642828112000004</v>
      </c>
      <c r="AD51" s="87">
        <f t="shared" si="20"/>
        <v>38.642828112000004</v>
      </c>
      <c r="AE51" s="87">
        <f t="shared" si="20"/>
        <v>38.642828112000004</v>
      </c>
      <c r="AF51" s="87">
        <f t="shared" si="20"/>
        <v>38.642828112000004</v>
      </c>
      <c r="AG51" s="87">
        <f t="shared" si="20"/>
        <v>39.415684674240005</v>
      </c>
      <c r="AH51" s="87">
        <f t="shared" si="20"/>
        <v>39.415684674240005</v>
      </c>
      <c r="AI51" s="87">
        <f t="shared" si="20"/>
        <v>39.415684674240005</v>
      </c>
      <c r="AJ51" s="87">
        <f t="shared" si="20"/>
        <v>39.415684674240005</v>
      </c>
      <c r="AK51" s="87">
        <f t="shared" si="20"/>
        <v>40.203998367724807</v>
      </c>
      <c r="AL51" s="87">
        <f t="shared" si="20"/>
        <v>40.203998367724807</v>
      </c>
      <c r="AM51" s="87">
        <f t="shared" si="20"/>
        <v>40.203998367724807</v>
      </c>
      <c r="AN51" s="87">
        <f t="shared" si="20"/>
        <v>40.203998367724807</v>
      </c>
      <c r="AO51" s="87">
        <f t="shared" si="20"/>
        <v>41.008078335079304</v>
      </c>
      <c r="AP51" s="87">
        <f t="shared" si="20"/>
        <v>41.008078335079304</v>
      </c>
      <c r="AQ51" s="87">
        <f t="shared" si="20"/>
        <v>41.008078335079304</v>
      </c>
      <c r="AR51" s="87">
        <f t="shared" si="20"/>
        <v>41.008078335079304</v>
      </c>
      <c r="AS51" s="87">
        <f t="shared" si="20"/>
        <v>41.82823990178089</v>
      </c>
      <c r="AT51" s="87">
        <f t="shared" si="20"/>
        <v>41.82823990178089</v>
      </c>
      <c r="AU51" s="87">
        <f t="shared" si="20"/>
        <v>41.82823990178089</v>
      </c>
      <c r="AV51" s="87">
        <f t="shared" si="20"/>
        <v>41.82823990178089</v>
      </c>
      <c r="AW51" s="87">
        <f t="shared" si="20"/>
        <v>42.664804699816507</v>
      </c>
      <c r="AX51" s="87">
        <f t="shared" si="20"/>
        <v>42.664804699816507</v>
      </c>
      <c r="AY51" s="87">
        <f t="shared" si="20"/>
        <v>42.664804699816507</v>
      </c>
      <c r="AZ51" s="87">
        <f t="shared" si="20"/>
        <v>42.664804699816507</v>
      </c>
      <c r="BA51" s="87">
        <f t="shared" si="20"/>
        <v>43.518100793812835</v>
      </c>
      <c r="BB51" s="87">
        <f t="shared" si="20"/>
        <v>43.518100793812835</v>
      </c>
      <c r="BC51" s="87">
        <f t="shared" si="20"/>
        <v>43.518100793812835</v>
      </c>
      <c r="BD51" s="87">
        <f t="shared" si="20"/>
        <v>43.518100793812835</v>
      </c>
      <c r="BE51" s="87">
        <f t="shared" si="20"/>
        <v>44.388462809689095</v>
      </c>
      <c r="BF51" s="87">
        <f t="shared" si="20"/>
        <v>44.388462809689095</v>
      </c>
      <c r="BG51" s="87">
        <f t="shared" si="20"/>
        <v>44.388462809689095</v>
      </c>
      <c r="BH51" s="87">
        <f t="shared" si="20"/>
        <v>44.388462809689095</v>
      </c>
      <c r="BI51" s="87">
        <f t="shared" si="20"/>
        <v>45.27623206588288</v>
      </c>
      <c r="BJ51" s="87">
        <f t="shared" si="20"/>
        <v>45.27623206588288</v>
      </c>
      <c r="BK51" s="87">
        <f t="shared" si="20"/>
        <v>45.27623206588288</v>
      </c>
      <c r="BL51" s="87">
        <f t="shared" si="20"/>
        <v>45.27623206588288</v>
      </c>
      <c r="BM51" s="87">
        <f t="shared" si="20"/>
        <v>46.181756707200542</v>
      </c>
      <c r="BN51" s="87">
        <f t="shared" si="20"/>
        <v>46.181756707200542</v>
      </c>
      <c r="BO51" s="87">
        <f t="shared" si="20"/>
        <v>46.181756707200542</v>
      </c>
      <c r="BP51" s="87">
        <f t="shared" si="20"/>
        <v>46.181756707200542</v>
      </c>
    </row>
    <row r="52" spans="2:68">
      <c r="D52" s="61" t="s">
        <v>107</v>
      </c>
      <c r="H52" s="110"/>
      <c r="I52" s="74">
        <f>I$38</f>
        <v>0</v>
      </c>
      <c r="J52" s="74">
        <f t="shared" ref="J52:BP52" si="21">J$38</f>
        <v>0</v>
      </c>
      <c r="K52" s="74">
        <f t="shared" si="21"/>
        <v>0</v>
      </c>
      <c r="L52" s="74">
        <f t="shared" si="21"/>
        <v>0</v>
      </c>
      <c r="M52" s="74">
        <f t="shared" si="21"/>
        <v>0.02</v>
      </c>
      <c r="N52" s="74">
        <f t="shared" si="21"/>
        <v>0</v>
      </c>
      <c r="O52" s="74">
        <f t="shared" si="21"/>
        <v>0</v>
      </c>
      <c r="P52" s="74">
        <f t="shared" si="21"/>
        <v>0</v>
      </c>
      <c r="Q52" s="74">
        <f t="shared" si="21"/>
        <v>0.02</v>
      </c>
      <c r="R52" s="74">
        <f t="shared" si="21"/>
        <v>0</v>
      </c>
      <c r="S52" s="74">
        <f t="shared" si="21"/>
        <v>0</v>
      </c>
      <c r="T52" s="74">
        <f t="shared" si="21"/>
        <v>0</v>
      </c>
      <c r="U52" s="74">
        <f t="shared" si="21"/>
        <v>0.02</v>
      </c>
      <c r="V52" s="74">
        <f t="shared" si="21"/>
        <v>0</v>
      </c>
      <c r="W52" s="74">
        <f t="shared" si="21"/>
        <v>0</v>
      </c>
      <c r="X52" s="74">
        <f t="shared" si="21"/>
        <v>0</v>
      </c>
      <c r="Y52" s="74">
        <f t="shared" si="21"/>
        <v>0.02</v>
      </c>
      <c r="Z52" s="74">
        <f t="shared" si="21"/>
        <v>0</v>
      </c>
      <c r="AA52" s="74">
        <f t="shared" si="21"/>
        <v>0</v>
      </c>
      <c r="AB52" s="74">
        <f t="shared" si="21"/>
        <v>0</v>
      </c>
      <c r="AC52" s="74">
        <f t="shared" si="21"/>
        <v>0.02</v>
      </c>
      <c r="AD52" s="74">
        <f t="shared" si="21"/>
        <v>0</v>
      </c>
      <c r="AE52" s="74">
        <f t="shared" si="21"/>
        <v>0</v>
      </c>
      <c r="AF52" s="74">
        <f t="shared" si="21"/>
        <v>0</v>
      </c>
      <c r="AG52" s="74">
        <f t="shared" si="21"/>
        <v>0.02</v>
      </c>
      <c r="AH52" s="74">
        <f t="shared" si="21"/>
        <v>0</v>
      </c>
      <c r="AI52" s="74">
        <f t="shared" si="21"/>
        <v>0</v>
      </c>
      <c r="AJ52" s="74">
        <f t="shared" si="21"/>
        <v>0</v>
      </c>
      <c r="AK52" s="74">
        <f t="shared" si="21"/>
        <v>0.02</v>
      </c>
      <c r="AL52" s="74">
        <f t="shared" si="21"/>
        <v>0</v>
      </c>
      <c r="AM52" s="74">
        <f t="shared" si="21"/>
        <v>0</v>
      </c>
      <c r="AN52" s="74">
        <f t="shared" si="21"/>
        <v>0</v>
      </c>
      <c r="AO52" s="74">
        <f t="shared" si="21"/>
        <v>0.02</v>
      </c>
      <c r="AP52" s="74">
        <f t="shared" si="21"/>
        <v>0</v>
      </c>
      <c r="AQ52" s="74">
        <f t="shared" si="21"/>
        <v>0</v>
      </c>
      <c r="AR52" s="74">
        <f t="shared" si="21"/>
        <v>0</v>
      </c>
      <c r="AS52" s="74">
        <f t="shared" si="21"/>
        <v>0.02</v>
      </c>
      <c r="AT52" s="74">
        <f t="shared" si="21"/>
        <v>0</v>
      </c>
      <c r="AU52" s="74">
        <f t="shared" si="21"/>
        <v>0</v>
      </c>
      <c r="AV52" s="74">
        <f t="shared" si="21"/>
        <v>0</v>
      </c>
      <c r="AW52" s="74">
        <f t="shared" si="21"/>
        <v>0.02</v>
      </c>
      <c r="AX52" s="74">
        <f t="shared" si="21"/>
        <v>0</v>
      </c>
      <c r="AY52" s="74">
        <f t="shared" si="21"/>
        <v>0</v>
      </c>
      <c r="AZ52" s="74">
        <f t="shared" si="21"/>
        <v>0</v>
      </c>
      <c r="BA52" s="74">
        <f t="shared" si="21"/>
        <v>0.02</v>
      </c>
      <c r="BB52" s="74">
        <f t="shared" si="21"/>
        <v>0</v>
      </c>
      <c r="BC52" s="74">
        <f t="shared" si="21"/>
        <v>0</v>
      </c>
      <c r="BD52" s="74">
        <f t="shared" si="21"/>
        <v>0</v>
      </c>
      <c r="BE52" s="74">
        <f t="shared" si="21"/>
        <v>0.02</v>
      </c>
      <c r="BF52" s="74">
        <f t="shared" si="21"/>
        <v>0</v>
      </c>
      <c r="BG52" s="74">
        <f t="shared" si="21"/>
        <v>0</v>
      </c>
      <c r="BH52" s="74">
        <f t="shared" si="21"/>
        <v>0</v>
      </c>
      <c r="BI52" s="74">
        <f t="shared" si="21"/>
        <v>0.02</v>
      </c>
      <c r="BJ52" s="74">
        <f t="shared" si="21"/>
        <v>0</v>
      </c>
      <c r="BK52" s="74">
        <f t="shared" si="21"/>
        <v>0</v>
      </c>
      <c r="BL52" s="74">
        <f t="shared" si="21"/>
        <v>0</v>
      </c>
      <c r="BM52" s="74">
        <f t="shared" si="21"/>
        <v>0.02</v>
      </c>
      <c r="BN52" s="74">
        <f t="shared" si="21"/>
        <v>0</v>
      </c>
      <c r="BO52" s="74">
        <f t="shared" si="21"/>
        <v>0</v>
      </c>
      <c r="BP52" s="74">
        <f t="shared" si="21"/>
        <v>0</v>
      </c>
    </row>
    <row r="53" spans="2:68">
      <c r="H53" s="110"/>
    </row>
    <row r="54" spans="2:68">
      <c r="D54" s="61" t="s">
        <v>111</v>
      </c>
      <c r="G54" s="112">
        <f>CaseData!H56</f>
        <v>90000</v>
      </c>
      <c r="H54" s="110" t="str">
        <f>CaseData!F56</f>
        <v>[tonnes]</v>
      </c>
      <c r="I54" s="88">
        <f>$G54</f>
        <v>90000</v>
      </c>
      <c r="J54" s="88">
        <f t="shared" ref="J54:BP54" si="22">$G54</f>
        <v>90000</v>
      </c>
      <c r="K54" s="88">
        <f t="shared" si="22"/>
        <v>90000</v>
      </c>
      <c r="L54" s="88">
        <f t="shared" si="22"/>
        <v>90000</v>
      </c>
      <c r="M54" s="88">
        <f t="shared" si="22"/>
        <v>90000</v>
      </c>
      <c r="N54" s="88">
        <f t="shared" si="22"/>
        <v>90000</v>
      </c>
      <c r="O54" s="88">
        <f t="shared" si="22"/>
        <v>90000</v>
      </c>
      <c r="P54" s="88">
        <f t="shared" si="22"/>
        <v>90000</v>
      </c>
      <c r="Q54" s="88">
        <f t="shared" si="22"/>
        <v>90000</v>
      </c>
      <c r="R54" s="88">
        <f t="shared" si="22"/>
        <v>90000</v>
      </c>
      <c r="S54" s="88">
        <f t="shared" si="22"/>
        <v>90000</v>
      </c>
      <c r="T54" s="88">
        <f t="shared" si="22"/>
        <v>90000</v>
      </c>
      <c r="U54" s="88">
        <f t="shared" si="22"/>
        <v>90000</v>
      </c>
      <c r="V54" s="88">
        <f t="shared" si="22"/>
        <v>90000</v>
      </c>
      <c r="W54" s="88">
        <f t="shared" si="22"/>
        <v>90000</v>
      </c>
      <c r="X54" s="88">
        <f t="shared" si="22"/>
        <v>90000</v>
      </c>
      <c r="Y54" s="88">
        <f t="shared" si="22"/>
        <v>90000</v>
      </c>
      <c r="Z54" s="88">
        <f t="shared" si="22"/>
        <v>90000</v>
      </c>
      <c r="AA54" s="88">
        <f t="shared" si="22"/>
        <v>90000</v>
      </c>
      <c r="AB54" s="88">
        <f t="shared" si="22"/>
        <v>90000</v>
      </c>
      <c r="AC54" s="88">
        <f t="shared" si="22"/>
        <v>90000</v>
      </c>
      <c r="AD54" s="88">
        <f t="shared" si="22"/>
        <v>90000</v>
      </c>
      <c r="AE54" s="88">
        <f t="shared" si="22"/>
        <v>90000</v>
      </c>
      <c r="AF54" s="88">
        <f t="shared" si="22"/>
        <v>90000</v>
      </c>
      <c r="AG54" s="88">
        <f t="shared" si="22"/>
        <v>90000</v>
      </c>
      <c r="AH54" s="88">
        <f t="shared" si="22"/>
        <v>90000</v>
      </c>
      <c r="AI54" s="88">
        <f t="shared" si="22"/>
        <v>90000</v>
      </c>
      <c r="AJ54" s="88">
        <f t="shared" si="22"/>
        <v>90000</v>
      </c>
      <c r="AK54" s="88">
        <f t="shared" si="22"/>
        <v>90000</v>
      </c>
      <c r="AL54" s="88">
        <f t="shared" si="22"/>
        <v>90000</v>
      </c>
      <c r="AM54" s="88">
        <f t="shared" si="22"/>
        <v>90000</v>
      </c>
      <c r="AN54" s="88">
        <f t="shared" si="22"/>
        <v>90000</v>
      </c>
      <c r="AO54" s="88">
        <f t="shared" si="22"/>
        <v>90000</v>
      </c>
      <c r="AP54" s="88">
        <f t="shared" si="22"/>
        <v>90000</v>
      </c>
      <c r="AQ54" s="88">
        <f t="shared" si="22"/>
        <v>90000</v>
      </c>
      <c r="AR54" s="88">
        <f t="shared" si="22"/>
        <v>90000</v>
      </c>
      <c r="AS54" s="88">
        <f t="shared" si="22"/>
        <v>90000</v>
      </c>
      <c r="AT54" s="88">
        <f t="shared" si="22"/>
        <v>90000</v>
      </c>
      <c r="AU54" s="88">
        <f t="shared" si="22"/>
        <v>90000</v>
      </c>
      <c r="AV54" s="88">
        <f t="shared" si="22"/>
        <v>90000</v>
      </c>
      <c r="AW54" s="88">
        <f t="shared" si="22"/>
        <v>90000</v>
      </c>
      <c r="AX54" s="88">
        <f t="shared" si="22"/>
        <v>90000</v>
      </c>
      <c r="AY54" s="88">
        <f t="shared" si="22"/>
        <v>90000</v>
      </c>
      <c r="AZ54" s="88">
        <f t="shared" si="22"/>
        <v>90000</v>
      </c>
      <c r="BA54" s="88">
        <f t="shared" si="22"/>
        <v>90000</v>
      </c>
      <c r="BB54" s="88">
        <f t="shared" si="22"/>
        <v>90000</v>
      </c>
      <c r="BC54" s="88">
        <f t="shared" si="22"/>
        <v>90000</v>
      </c>
      <c r="BD54" s="88">
        <f t="shared" si="22"/>
        <v>90000</v>
      </c>
      <c r="BE54" s="88">
        <f t="shared" si="22"/>
        <v>90000</v>
      </c>
      <c r="BF54" s="88">
        <f t="shared" si="22"/>
        <v>90000</v>
      </c>
      <c r="BG54" s="88">
        <f t="shared" si="22"/>
        <v>90000</v>
      </c>
      <c r="BH54" s="88">
        <f t="shared" si="22"/>
        <v>90000</v>
      </c>
      <c r="BI54" s="88">
        <f t="shared" si="22"/>
        <v>90000</v>
      </c>
      <c r="BJ54" s="88">
        <f t="shared" si="22"/>
        <v>90000</v>
      </c>
      <c r="BK54" s="88">
        <f t="shared" si="22"/>
        <v>90000</v>
      </c>
      <c r="BL54" s="88">
        <f t="shared" si="22"/>
        <v>90000</v>
      </c>
      <c r="BM54" s="88">
        <f t="shared" si="22"/>
        <v>90000</v>
      </c>
      <c r="BN54" s="88">
        <f t="shared" si="22"/>
        <v>90000</v>
      </c>
      <c r="BO54" s="88">
        <f t="shared" si="22"/>
        <v>90000</v>
      </c>
      <c r="BP54" s="88">
        <f t="shared" si="22"/>
        <v>90000</v>
      </c>
    </row>
    <row r="55" spans="2:68">
      <c r="H55" s="110"/>
    </row>
    <row r="56" spans="2:68">
      <c r="C56" s="115" t="str">
        <f>CaseData!D58</f>
        <v>Supplier 2 (Mexico)</v>
      </c>
      <c r="H56" s="110"/>
    </row>
    <row r="57" spans="2:68">
      <c r="D57" s="61" t="s">
        <v>110</v>
      </c>
      <c r="G57" s="112">
        <f>CaseData!H59</f>
        <v>800</v>
      </c>
      <c r="H57" s="110" t="str">
        <f>CaseData!F59</f>
        <v>[MXN / tonne]</v>
      </c>
      <c r="I57" s="87">
        <f>G57</f>
        <v>800</v>
      </c>
      <c r="J57" s="87">
        <f>I57*(1+J58)</f>
        <v>800</v>
      </c>
      <c r="K57" s="87">
        <f t="shared" ref="K57:BP57" si="23">J57*(1+K58)</f>
        <v>800</v>
      </c>
      <c r="L57" s="87">
        <f t="shared" si="23"/>
        <v>800</v>
      </c>
      <c r="M57" s="87">
        <f t="shared" si="23"/>
        <v>816</v>
      </c>
      <c r="N57" s="87">
        <f t="shared" si="23"/>
        <v>816</v>
      </c>
      <c r="O57" s="87">
        <f t="shared" si="23"/>
        <v>816</v>
      </c>
      <c r="P57" s="87">
        <f t="shared" si="23"/>
        <v>816</v>
      </c>
      <c r="Q57" s="87">
        <f t="shared" si="23"/>
        <v>832.32</v>
      </c>
      <c r="R57" s="87">
        <f t="shared" si="23"/>
        <v>832.32</v>
      </c>
      <c r="S57" s="87">
        <f t="shared" si="23"/>
        <v>832.32</v>
      </c>
      <c r="T57" s="87">
        <f t="shared" si="23"/>
        <v>832.32</v>
      </c>
      <c r="U57" s="87">
        <f t="shared" si="23"/>
        <v>848.96640000000002</v>
      </c>
      <c r="V57" s="87">
        <f t="shared" si="23"/>
        <v>848.96640000000002</v>
      </c>
      <c r="W57" s="87">
        <f t="shared" si="23"/>
        <v>848.96640000000002</v>
      </c>
      <c r="X57" s="87">
        <f t="shared" si="23"/>
        <v>848.96640000000002</v>
      </c>
      <c r="Y57" s="87">
        <f t="shared" si="23"/>
        <v>865.94572800000003</v>
      </c>
      <c r="Z57" s="87">
        <f t="shared" si="23"/>
        <v>865.94572800000003</v>
      </c>
      <c r="AA57" s="87">
        <f t="shared" si="23"/>
        <v>865.94572800000003</v>
      </c>
      <c r="AB57" s="87">
        <f t="shared" si="23"/>
        <v>865.94572800000003</v>
      </c>
      <c r="AC57" s="87">
        <f t="shared" si="23"/>
        <v>883.26464256000008</v>
      </c>
      <c r="AD57" s="87">
        <f t="shared" si="23"/>
        <v>883.26464256000008</v>
      </c>
      <c r="AE57" s="87">
        <f t="shared" si="23"/>
        <v>883.26464256000008</v>
      </c>
      <c r="AF57" s="87">
        <f t="shared" si="23"/>
        <v>883.26464256000008</v>
      </c>
      <c r="AG57" s="87">
        <f t="shared" si="23"/>
        <v>900.92993541120006</v>
      </c>
      <c r="AH57" s="87">
        <f t="shared" si="23"/>
        <v>900.92993541120006</v>
      </c>
      <c r="AI57" s="87">
        <f t="shared" si="23"/>
        <v>900.92993541120006</v>
      </c>
      <c r="AJ57" s="87">
        <f t="shared" si="23"/>
        <v>900.92993541120006</v>
      </c>
      <c r="AK57" s="87">
        <f t="shared" si="23"/>
        <v>918.94853411942404</v>
      </c>
      <c r="AL57" s="87">
        <f t="shared" si="23"/>
        <v>918.94853411942404</v>
      </c>
      <c r="AM57" s="87">
        <f t="shared" si="23"/>
        <v>918.94853411942404</v>
      </c>
      <c r="AN57" s="87">
        <f t="shared" si="23"/>
        <v>918.94853411942404</v>
      </c>
      <c r="AO57" s="87">
        <f t="shared" si="23"/>
        <v>937.32750480181255</v>
      </c>
      <c r="AP57" s="87">
        <f t="shared" si="23"/>
        <v>937.32750480181255</v>
      </c>
      <c r="AQ57" s="87">
        <f t="shared" si="23"/>
        <v>937.32750480181255</v>
      </c>
      <c r="AR57" s="87">
        <f t="shared" si="23"/>
        <v>937.32750480181255</v>
      </c>
      <c r="AS57" s="87">
        <f t="shared" si="23"/>
        <v>956.07405489784878</v>
      </c>
      <c r="AT57" s="87">
        <f t="shared" si="23"/>
        <v>956.07405489784878</v>
      </c>
      <c r="AU57" s="87">
        <f t="shared" si="23"/>
        <v>956.07405489784878</v>
      </c>
      <c r="AV57" s="87">
        <f t="shared" si="23"/>
        <v>956.07405489784878</v>
      </c>
      <c r="AW57" s="87">
        <f t="shared" si="23"/>
        <v>975.19553599580581</v>
      </c>
      <c r="AX57" s="87">
        <f t="shared" si="23"/>
        <v>975.19553599580581</v>
      </c>
      <c r="AY57" s="87">
        <f t="shared" si="23"/>
        <v>975.19553599580581</v>
      </c>
      <c r="AZ57" s="87">
        <f t="shared" si="23"/>
        <v>975.19553599580581</v>
      </c>
      <c r="BA57" s="87">
        <f t="shared" si="23"/>
        <v>994.69944671572193</v>
      </c>
      <c r="BB57" s="87">
        <f t="shared" si="23"/>
        <v>994.69944671572193</v>
      </c>
      <c r="BC57" s="87">
        <f t="shared" si="23"/>
        <v>994.69944671572193</v>
      </c>
      <c r="BD57" s="87">
        <f t="shared" si="23"/>
        <v>994.69944671572193</v>
      </c>
      <c r="BE57" s="87">
        <f t="shared" si="23"/>
        <v>1014.5934356500364</v>
      </c>
      <c r="BF57" s="87">
        <f t="shared" si="23"/>
        <v>1014.5934356500364</v>
      </c>
      <c r="BG57" s="87">
        <f t="shared" si="23"/>
        <v>1014.5934356500364</v>
      </c>
      <c r="BH57" s="87">
        <f t="shared" si="23"/>
        <v>1014.5934356500364</v>
      </c>
      <c r="BI57" s="87">
        <f t="shared" si="23"/>
        <v>1034.8853043630372</v>
      </c>
      <c r="BJ57" s="87">
        <f t="shared" si="23"/>
        <v>1034.8853043630372</v>
      </c>
      <c r="BK57" s="87">
        <f t="shared" si="23"/>
        <v>1034.8853043630372</v>
      </c>
      <c r="BL57" s="87">
        <f t="shared" si="23"/>
        <v>1034.8853043630372</v>
      </c>
      <c r="BM57" s="87">
        <f t="shared" si="23"/>
        <v>1055.5830104502979</v>
      </c>
      <c r="BN57" s="87">
        <f t="shared" si="23"/>
        <v>1055.5830104502979</v>
      </c>
      <c r="BO57" s="87">
        <f t="shared" si="23"/>
        <v>1055.5830104502979</v>
      </c>
      <c r="BP57" s="87">
        <f t="shared" si="23"/>
        <v>1055.5830104502979</v>
      </c>
    </row>
    <row r="58" spans="2:68">
      <c r="D58" s="61" t="s">
        <v>107</v>
      </c>
      <c r="I58" s="74">
        <f>I$38</f>
        <v>0</v>
      </c>
      <c r="J58" s="74">
        <f t="shared" ref="J58:BP58" si="24">J$38</f>
        <v>0</v>
      </c>
      <c r="K58" s="74">
        <f t="shared" si="24"/>
        <v>0</v>
      </c>
      <c r="L58" s="74">
        <f t="shared" si="24"/>
        <v>0</v>
      </c>
      <c r="M58" s="74">
        <f t="shared" si="24"/>
        <v>0.02</v>
      </c>
      <c r="N58" s="74">
        <f t="shared" si="24"/>
        <v>0</v>
      </c>
      <c r="O58" s="74">
        <f t="shared" si="24"/>
        <v>0</v>
      </c>
      <c r="P58" s="74">
        <f t="shared" si="24"/>
        <v>0</v>
      </c>
      <c r="Q58" s="74">
        <f t="shared" si="24"/>
        <v>0.02</v>
      </c>
      <c r="R58" s="74">
        <f t="shared" si="24"/>
        <v>0</v>
      </c>
      <c r="S58" s="74">
        <f t="shared" si="24"/>
        <v>0</v>
      </c>
      <c r="T58" s="74">
        <f t="shared" si="24"/>
        <v>0</v>
      </c>
      <c r="U58" s="74">
        <f t="shared" si="24"/>
        <v>0.02</v>
      </c>
      <c r="V58" s="74">
        <f t="shared" si="24"/>
        <v>0</v>
      </c>
      <c r="W58" s="74">
        <f t="shared" si="24"/>
        <v>0</v>
      </c>
      <c r="X58" s="74">
        <f t="shared" si="24"/>
        <v>0</v>
      </c>
      <c r="Y58" s="74">
        <f t="shared" si="24"/>
        <v>0.02</v>
      </c>
      <c r="Z58" s="74">
        <f t="shared" si="24"/>
        <v>0</v>
      </c>
      <c r="AA58" s="74">
        <f t="shared" si="24"/>
        <v>0</v>
      </c>
      <c r="AB58" s="74">
        <f t="shared" si="24"/>
        <v>0</v>
      </c>
      <c r="AC58" s="74">
        <f t="shared" si="24"/>
        <v>0.02</v>
      </c>
      <c r="AD58" s="74">
        <f t="shared" si="24"/>
        <v>0</v>
      </c>
      <c r="AE58" s="74">
        <f t="shared" si="24"/>
        <v>0</v>
      </c>
      <c r="AF58" s="74">
        <f t="shared" si="24"/>
        <v>0</v>
      </c>
      <c r="AG58" s="74">
        <f t="shared" si="24"/>
        <v>0.02</v>
      </c>
      <c r="AH58" s="74">
        <f t="shared" si="24"/>
        <v>0</v>
      </c>
      <c r="AI58" s="74">
        <f t="shared" si="24"/>
        <v>0</v>
      </c>
      <c r="AJ58" s="74">
        <f t="shared" si="24"/>
        <v>0</v>
      </c>
      <c r="AK58" s="74">
        <f t="shared" si="24"/>
        <v>0.02</v>
      </c>
      <c r="AL58" s="74">
        <f t="shared" si="24"/>
        <v>0</v>
      </c>
      <c r="AM58" s="74">
        <f t="shared" si="24"/>
        <v>0</v>
      </c>
      <c r="AN58" s="74">
        <f t="shared" si="24"/>
        <v>0</v>
      </c>
      <c r="AO58" s="74">
        <f t="shared" si="24"/>
        <v>0.02</v>
      </c>
      <c r="AP58" s="74">
        <f t="shared" si="24"/>
        <v>0</v>
      </c>
      <c r="AQ58" s="74">
        <f t="shared" si="24"/>
        <v>0</v>
      </c>
      <c r="AR58" s="74">
        <f t="shared" si="24"/>
        <v>0</v>
      </c>
      <c r="AS58" s="74">
        <f t="shared" si="24"/>
        <v>0.02</v>
      </c>
      <c r="AT58" s="74">
        <f t="shared" si="24"/>
        <v>0</v>
      </c>
      <c r="AU58" s="74">
        <f t="shared" si="24"/>
        <v>0</v>
      </c>
      <c r="AV58" s="74">
        <f t="shared" si="24"/>
        <v>0</v>
      </c>
      <c r="AW58" s="74">
        <f t="shared" si="24"/>
        <v>0.02</v>
      </c>
      <c r="AX58" s="74">
        <f t="shared" si="24"/>
        <v>0</v>
      </c>
      <c r="AY58" s="74">
        <f t="shared" si="24"/>
        <v>0</v>
      </c>
      <c r="AZ58" s="74">
        <f t="shared" si="24"/>
        <v>0</v>
      </c>
      <c r="BA58" s="74">
        <f t="shared" si="24"/>
        <v>0.02</v>
      </c>
      <c r="BB58" s="74">
        <f t="shared" si="24"/>
        <v>0</v>
      </c>
      <c r="BC58" s="74">
        <f t="shared" si="24"/>
        <v>0</v>
      </c>
      <c r="BD58" s="74">
        <f t="shared" si="24"/>
        <v>0</v>
      </c>
      <c r="BE58" s="74">
        <f t="shared" si="24"/>
        <v>0.02</v>
      </c>
      <c r="BF58" s="74">
        <f t="shared" si="24"/>
        <v>0</v>
      </c>
      <c r="BG58" s="74">
        <f t="shared" si="24"/>
        <v>0</v>
      </c>
      <c r="BH58" s="74">
        <f t="shared" si="24"/>
        <v>0</v>
      </c>
      <c r="BI58" s="74">
        <f t="shared" si="24"/>
        <v>0.02</v>
      </c>
      <c r="BJ58" s="74">
        <f t="shared" si="24"/>
        <v>0</v>
      </c>
      <c r="BK58" s="74">
        <f t="shared" si="24"/>
        <v>0</v>
      </c>
      <c r="BL58" s="74">
        <f t="shared" si="24"/>
        <v>0</v>
      </c>
      <c r="BM58" s="74">
        <f t="shared" si="24"/>
        <v>0.02</v>
      </c>
      <c r="BN58" s="74">
        <f t="shared" si="24"/>
        <v>0</v>
      </c>
      <c r="BO58" s="74">
        <f t="shared" si="24"/>
        <v>0</v>
      </c>
      <c r="BP58" s="74">
        <f t="shared" si="24"/>
        <v>0</v>
      </c>
    </row>
    <row r="60" spans="2:68">
      <c r="D60" s="61" t="s">
        <v>110</v>
      </c>
      <c r="H60" s="62" t="s">
        <v>65</v>
      </c>
      <c r="I60" s="87">
        <f t="shared" ref="I60:BP60" si="25">I57/I45</f>
        <v>41.025641025641029</v>
      </c>
      <c r="J60" s="87">
        <f t="shared" si="25"/>
        <v>41.025641025641029</v>
      </c>
      <c r="K60" s="87">
        <f t="shared" si="25"/>
        <v>41.025641025641029</v>
      </c>
      <c r="L60" s="87">
        <f t="shared" si="25"/>
        <v>41.025641025641029</v>
      </c>
      <c r="M60" s="87">
        <f t="shared" si="25"/>
        <v>40.617222498755602</v>
      </c>
      <c r="N60" s="87">
        <f t="shared" si="25"/>
        <v>40.617222498755602</v>
      </c>
      <c r="O60" s="87">
        <f t="shared" si="25"/>
        <v>40.617222498755602</v>
      </c>
      <c r="P60" s="87">
        <f t="shared" si="25"/>
        <v>40.617222498755602</v>
      </c>
      <c r="Q60" s="87">
        <f t="shared" si="25"/>
        <v>40.228129531174481</v>
      </c>
      <c r="R60" s="87">
        <f t="shared" si="25"/>
        <v>40.228129531174481</v>
      </c>
      <c r="S60" s="87">
        <f t="shared" si="25"/>
        <v>40.228129531174481</v>
      </c>
      <c r="T60" s="87">
        <f t="shared" si="25"/>
        <v>40.228129531174481</v>
      </c>
      <c r="U60" s="87">
        <f t="shared" si="25"/>
        <v>39.838873768183952</v>
      </c>
      <c r="V60" s="87">
        <f t="shared" si="25"/>
        <v>39.838873768183952</v>
      </c>
      <c r="W60" s="87">
        <f t="shared" si="25"/>
        <v>39.838873768183952</v>
      </c>
      <c r="X60" s="87">
        <f t="shared" si="25"/>
        <v>39.838873768183952</v>
      </c>
      <c r="Y60" s="87">
        <f t="shared" si="25"/>
        <v>39.450830432801823</v>
      </c>
      <c r="Z60" s="87">
        <f t="shared" si="25"/>
        <v>39.450830432801823</v>
      </c>
      <c r="AA60" s="87">
        <f t="shared" si="25"/>
        <v>39.450830432801823</v>
      </c>
      <c r="AB60" s="87">
        <f t="shared" si="25"/>
        <v>39.450830432801823</v>
      </c>
      <c r="AC60" s="87">
        <f t="shared" si="25"/>
        <v>39.065220812030077</v>
      </c>
      <c r="AD60" s="87">
        <f t="shared" si="25"/>
        <v>39.065220812030077</v>
      </c>
      <c r="AE60" s="87">
        <f t="shared" si="25"/>
        <v>39.065220812030077</v>
      </c>
      <c r="AF60" s="87">
        <f t="shared" si="25"/>
        <v>39.065220812030077</v>
      </c>
      <c r="AG60" s="87">
        <f t="shared" si="25"/>
        <v>38.68312303182482</v>
      </c>
      <c r="AH60" s="87">
        <f t="shared" si="25"/>
        <v>38.68312303182482</v>
      </c>
      <c r="AI60" s="87">
        <f t="shared" si="25"/>
        <v>38.68312303182482</v>
      </c>
      <c r="AJ60" s="87">
        <f t="shared" si="25"/>
        <v>38.68312303182482</v>
      </c>
      <c r="AK60" s="87">
        <f t="shared" si="25"/>
        <v>38.30548287283969</v>
      </c>
      <c r="AL60" s="87">
        <f t="shared" si="25"/>
        <v>38.30548287283969</v>
      </c>
      <c r="AM60" s="87">
        <f t="shared" si="25"/>
        <v>38.30548287283969</v>
      </c>
      <c r="AN60" s="87">
        <f t="shared" si="25"/>
        <v>38.30548287283969</v>
      </c>
      <c r="AO60" s="87">
        <f t="shared" si="25"/>
        <v>37.933124435524583</v>
      </c>
      <c r="AP60" s="87">
        <f t="shared" si="25"/>
        <v>37.933124435524583</v>
      </c>
      <c r="AQ60" s="87">
        <f t="shared" si="25"/>
        <v>37.933124435524583</v>
      </c>
      <c r="AR60" s="87">
        <f t="shared" si="25"/>
        <v>37.933124435524583</v>
      </c>
      <c r="AS60" s="87">
        <f t="shared" si="25"/>
        <v>37.566760506791702</v>
      </c>
      <c r="AT60" s="87">
        <f t="shared" si="25"/>
        <v>37.566760506791702</v>
      </c>
      <c r="AU60" s="87">
        <f t="shared" si="25"/>
        <v>37.566760506791702</v>
      </c>
      <c r="AV60" s="87">
        <f t="shared" si="25"/>
        <v>37.566760506791702</v>
      </c>
      <c r="AW60" s="87">
        <f t="shared" si="25"/>
        <v>37.207002517962827</v>
      </c>
      <c r="AX60" s="87">
        <f t="shared" si="25"/>
        <v>37.207002517962827</v>
      </c>
      <c r="AY60" s="87">
        <f t="shared" si="25"/>
        <v>37.207002517962827</v>
      </c>
      <c r="AZ60" s="87">
        <f t="shared" si="25"/>
        <v>37.207002517962827</v>
      </c>
      <c r="BA60" s="87">
        <f t="shared" si="25"/>
        <v>36.840720248730442</v>
      </c>
      <c r="BB60" s="87">
        <f t="shared" si="25"/>
        <v>36.840720248730442</v>
      </c>
      <c r="BC60" s="87">
        <f t="shared" si="25"/>
        <v>36.840720248730442</v>
      </c>
      <c r="BD60" s="87">
        <f t="shared" si="25"/>
        <v>36.840720248730442</v>
      </c>
      <c r="BE60" s="87">
        <f t="shared" si="25"/>
        <v>36.483043353111704</v>
      </c>
      <c r="BF60" s="87">
        <f t="shared" si="25"/>
        <v>36.483043353111704</v>
      </c>
      <c r="BG60" s="87">
        <f t="shared" si="25"/>
        <v>36.483043353111704</v>
      </c>
      <c r="BH60" s="87">
        <f t="shared" si="25"/>
        <v>36.483043353111704</v>
      </c>
      <c r="BI60" s="87">
        <f t="shared" si="25"/>
        <v>36.134263420497106</v>
      </c>
      <c r="BJ60" s="87">
        <f t="shared" si="25"/>
        <v>36.134263420497106</v>
      </c>
      <c r="BK60" s="87">
        <f t="shared" si="25"/>
        <v>36.134263420497106</v>
      </c>
      <c r="BL60" s="87">
        <f t="shared" si="25"/>
        <v>36.134263420497106</v>
      </c>
      <c r="BM60" s="87">
        <f t="shared" si="25"/>
        <v>35.782474930518575</v>
      </c>
      <c r="BN60" s="87">
        <f t="shared" si="25"/>
        <v>35.782474930518575</v>
      </c>
      <c r="BO60" s="87">
        <f t="shared" si="25"/>
        <v>35.782474930518575</v>
      </c>
      <c r="BP60" s="87">
        <f t="shared" si="25"/>
        <v>35.782474930518575</v>
      </c>
    </row>
    <row r="62" spans="2:68">
      <c r="D62" s="61" t="s">
        <v>111</v>
      </c>
      <c r="G62" s="112">
        <f>CaseData!H60</f>
        <v>70000</v>
      </c>
      <c r="H62" s="110" t="str">
        <f>CaseData!F60</f>
        <v>[tonnes]</v>
      </c>
      <c r="I62" s="88">
        <f>$G62</f>
        <v>70000</v>
      </c>
      <c r="J62" s="88">
        <f t="shared" ref="J62:BP62" si="26">$G62</f>
        <v>70000</v>
      </c>
      <c r="K62" s="88">
        <f t="shared" si="26"/>
        <v>70000</v>
      </c>
      <c r="L62" s="88">
        <f t="shared" si="26"/>
        <v>70000</v>
      </c>
      <c r="M62" s="88">
        <f t="shared" si="26"/>
        <v>70000</v>
      </c>
      <c r="N62" s="88">
        <f t="shared" si="26"/>
        <v>70000</v>
      </c>
      <c r="O62" s="88">
        <f t="shared" si="26"/>
        <v>70000</v>
      </c>
      <c r="P62" s="88">
        <f t="shared" si="26"/>
        <v>70000</v>
      </c>
      <c r="Q62" s="88">
        <f t="shared" si="26"/>
        <v>70000</v>
      </c>
      <c r="R62" s="88">
        <f t="shared" si="26"/>
        <v>70000</v>
      </c>
      <c r="S62" s="88">
        <f t="shared" si="26"/>
        <v>70000</v>
      </c>
      <c r="T62" s="88">
        <f t="shared" si="26"/>
        <v>70000</v>
      </c>
      <c r="U62" s="88">
        <f t="shared" si="26"/>
        <v>70000</v>
      </c>
      <c r="V62" s="88">
        <f t="shared" si="26"/>
        <v>70000</v>
      </c>
      <c r="W62" s="88">
        <f t="shared" si="26"/>
        <v>70000</v>
      </c>
      <c r="X62" s="88">
        <f t="shared" si="26"/>
        <v>70000</v>
      </c>
      <c r="Y62" s="88">
        <f t="shared" si="26"/>
        <v>70000</v>
      </c>
      <c r="Z62" s="88">
        <f t="shared" si="26"/>
        <v>70000</v>
      </c>
      <c r="AA62" s="88">
        <f t="shared" si="26"/>
        <v>70000</v>
      </c>
      <c r="AB62" s="88">
        <f t="shared" si="26"/>
        <v>70000</v>
      </c>
      <c r="AC62" s="88">
        <f t="shared" si="26"/>
        <v>70000</v>
      </c>
      <c r="AD62" s="88">
        <f t="shared" si="26"/>
        <v>70000</v>
      </c>
      <c r="AE62" s="88">
        <f t="shared" si="26"/>
        <v>70000</v>
      </c>
      <c r="AF62" s="88">
        <f t="shared" si="26"/>
        <v>70000</v>
      </c>
      <c r="AG62" s="88">
        <f t="shared" si="26"/>
        <v>70000</v>
      </c>
      <c r="AH62" s="88">
        <f t="shared" si="26"/>
        <v>70000</v>
      </c>
      <c r="AI62" s="88">
        <f t="shared" si="26"/>
        <v>70000</v>
      </c>
      <c r="AJ62" s="88">
        <f t="shared" si="26"/>
        <v>70000</v>
      </c>
      <c r="AK62" s="88">
        <f t="shared" si="26"/>
        <v>70000</v>
      </c>
      <c r="AL62" s="88">
        <f t="shared" si="26"/>
        <v>70000</v>
      </c>
      <c r="AM62" s="88">
        <f t="shared" si="26"/>
        <v>70000</v>
      </c>
      <c r="AN62" s="88">
        <f t="shared" si="26"/>
        <v>70000</v>
      </c>
      <c r="AO62" s="88">
        <f t="shared" si="26"/>
        <v>70000</v>
      </c>
      <c r="AP62" s="88">
        <f t="shared" si="26"/>
        <v>70000</v>
      </c>
      <c r="AQ62" s="88">
        <f t="shared" si="26"/>
        <v>70000</v>
      </c>
      <c r="AR62" s="88">
        <f t="shared" si="26"/>
        <v>70000</v>
      </c>
      <c r="AS62" s="88">
        <f t="shared" si="26"/>
        <v>70000</v>
      </c>
      <c r="AT62" s="88">
        <f t="shared" si="26"/>
        <v>70000</v>
      </c>
      <c r="AU62" s="88">
        <f t="shared" si="26"/>
        <v>70000</v>
      </c>
      <c r="AV62" s="88">
        <f t="shared" si="26"/>
        <v>70000</v>
      </c>
      <c r="AW62" s="88">
        <f t="shared" si="26"/>
        <v>70000</v>
      </c>
      <c r="AX62" s="88">
        <f t="shared" si="26"/>
        <v>70000</v>
      </c>
      <c r="AY62" s="88">
        <f t="shared" si="26"/>
        <v>70000</v>
      </c>
      <c r="AZ62" s="88">
        <f t="shared" si="26"/>
        <v>70000</v>
      </c>
      <c r="BA62" s="88">
        <f t="shared" si="26"/>
        <v>70000</v>
      </c>
      <c r="BB62" s="88">
        <f t="shared" si="26"/>
        <v>70000</v>
      </c>
      <c r="BC62" s="88">
        <f t="shared" si="26"/>
        <v>70000</v>
      </c>
      <c r="BD62" s="88">
        <f t="shared" si="26"/>
        <v>70000</v>
      </c>
      <c r="BE62" s="88">
        <f t="shared" si="26"/>
        <v>70000</v>
      </c>
      <c r="BF62" s="88">
        <f t="shared" si="26"/>
        <v>70000</v>
      </c>
      <c r="BG62" s="88">
        <f t="shared" si="26"/>
        <v>70000</v>
      </c>
      <c r="BH62" s="88">
        <f t="shared" si="26"/>
        <v>70000</v>
      </c>
      <c r="BI62" s="88">
        <f t="shared" si="26"/>
        <v>70000</v>
      </c>
      <c r="BJ62" s="88">
        <f t="shared" si="26"/>
        <v>70000</v>
      </c>
      <c r="BK62" s="88">
        <f t="shared" si="26"/>
        <v>70000</v>
      </c>
      <c r="BL62" s="88">
        <f t="shared" si="26"/>
        <v>70000</v>
      </c>
      <c r="BM62" s="88">
        <f t="shared" si="26"/>
        <v>70000</v>
      </c>
      <c r="BN62" s="88">
        <f t="shared" si="26"/>
        <v>70000</v>
      </c>
      <c r="BO62" s="88">
        <f t="shared" si="26"/>
        <v>70000</v>
      </c>
      <c r="BP62" s="88">
        <f t="shared" si="26"/>
        <v>70000</v>
      </c>
    </row>
    <row r="64" spans="2:68">
      <c r="B64" s="70" t="s">
        <v>112</v>
      </c>
    </row>
    <row r="65" spans="2:68">
      <c r="C65" s="61" t="s">
        <v>113</v>
      </c>
      <c r="H65" s="110" t="str">
        <f>CaseData!F55</f>
        <v>[$ / tonne]</v>
      </c>
      <c r="I65" s="87">
        <f t="shared" ref="I65:BP65" si="27">MIN(I51,I60)</f>
        <v>35</v>
      </c>
      <c r="J65" s="87">
        <f t="shared" si="27"/>
        <v>35</v>
      </c>
      <c r="K65" s="87">
        <f t="shared" si="27"/>
        <v>35</v>
      </c>
      <c r="L65" s="87">
        <f t="shared" si="27"/>
        <v>35</v>
      </c>
      <c r="M65" s="87">
        <f t="shared" si="27"/>
        <v>35.700000000000003</v>
      </c>
      <c r="N65" s="87">
        <f t="shared" si="27"/>
        <v>35.700000000000003</v>
      </c>
      <c r="O65" s="87">
        <f t="shared" si="27"/>
        <v>35.700000000000003</v>
      </c>
      <c r="P65" s="87">
        <f t="shared" si="27"/>
        <v>35.700000000000003</v>
      </c>
      <c r="Q65" s="87">
        <f t="shared" si="27"/>
        <v>36.414000000000001</v>
      </c>
      <c r="R65" s="87">
        <f t="shared" si="27"/>
        <v>36.414000000000001</v>
      </c>
      <c r="S65" s="87">
        <f t="shared" si="27"/>
        <v>36.414000000000001</v>
      </c>
      <c r="T65" s="87">
        <f t="shared" si="27"/>
        <v>36.414000000000001</v>
      </c>
      <c r="U65" s="87">
        <f t="shared" si="27"/>
        <v>37.14228</v>
      </c>
      <c r="V65" s="87">
        <f t="shared" si="27"/>
        <v>37.14228</v>
      </c>
      <c r="W65" s="87">
        <f t="shared" si="27"/>
        <v>37.14228</v>
      </c>
      <c r="X65" s="87">
        <f t="shared" si="27"/>
        <v>37.14228</v>
      </c>
      <c r="Y65" s="87">
        <f t="shared" si="27"/>
        <v>37.885125600000002</v>
      </c>
      <c r="Z65" s="87">
        <f t="shared" si="27"/>
        <v>37.885125600000002</v>
      </c>
      <c r="AA65" s="87">
        <f t="shared" si="27"/>
        <v>37.885125600000002</v>
      </c>
      <c r="AB65" s="87">
        <f t="shared" si="27"/>
        <v>37.885125600000002</v>
      </c>
      <c r="AC65" s="87">
        <f t="shared" si="27"/>
        <v>38.642828112000004</v>
      </c>
      <c r="AD65" s="87">
        <f t="shared" si="27"/>
        <v>38.642828112000004</v>
      </c>
      <c r="AE65" s="87">
        <f t="shared" si="27"/>
        <v>38.642828112000004</v>
      </c>
      <c r="AF65" s="87">
        <f t="shared" si="27"/>
        <v>38.642828112000004</v>
      </c>
      <c r="AG65" s="87">
        <f t="shared" si="27"/>
        <v>38.68312303182482</v>
      </c>
      <c r="AH65" s="87">
        <f t="shared" si="27"/>
        <v>38.68312303182482</v>
      </c>
      <c r="AI65" s="87">
        <f t="shared" si="27"/>
        <v>38.68312303182482</v>
      </c>
      <c r="AJ65" s="87">
        <f t="shared" si="27"/>
        <v>38.68312303182482</v>
      </c>
      <c r="AK65" s="87">
        <f t="shared" si="27"/>
        <v>38.30548287283969</v>
      </c>
      <c r="AL65" s="87">
        <f t="shared" si="27"/>
        <v>38.30548287283969</v>
      </c>
      <c r="AM65" s="87">
        <f t="shared" si="27"/>
        <v>38.30548287283969</v>
      </c>
      <c r="AN65" s="87">
        <f t="shared" si="27"/>
        <v>38.30548287283969</v>
      </c>
      <c r="AO65" s="87">
        <f t="shared" si="27"/>
        <v>37.933124435524583</v>
      </c>
      <c r="AP65" s="87">
        <f t="shared" si="27"/>
        <v>37.933124435524583</v>
      </c>
      <c r="AQ65" s="87">
        <f t="shared" si="27"/>
        <v>37.933124435524583</v>
      </c>
      <c r="AR65" s="87">
        <f t="shared" si="27"/>
        <v>37.933124435524583</v>
      </c>
      <c r="AS65" s="87">
        <f t="shared" si="27"/>
        <v>37.566760506791702</v>
      </c>
      <c r="AT65" s="87">
        <f t="shared" si="27"/>
        <v>37.566760506791702</v>
      </c>
      <c r="AU65" s="87">
        <f t="shared" si="27"/>
        <v>37.566760506791702</v>
      </c>
      <c r="AV65" s="87">
        <f t="shared" si="27"/>
        <v>37.566760506791702</v>
      </c>
      <c r="AW65" s="87">
        <f t="shared" si="27"/>
        <v>37.207002517962827</v>
      </c>
      <c r="AX65" s="87">
        <f t="shared" si="27"/>
        <v>37.207002517962827</v>
      </c>
      <c r="AY65" s="87">
        <f t="shared" si="27"/>
        <v>37.207002517962827</v>
      </c>
      <c r="AZ65" s="87">
        <f t="shared" si="27"/>
        <v>37.207002517962827</v>
      </c>
      <c r="BA65" s="87">
        <f t="shared" si="27"/>
        <v>36.840720248730442</v>
      </c>
      <c r="BB65" s="87">
        <f t="shared" si="27"/>
        <v>36.840720248730442</v>
      </c>
      <c r="BC65" s="87">
        <f t="shared" si="27"/>
        <v>36.840720248730442</v>
      </c>
      <c r="BD65" s="87">
        <f t="shared" si="27"/>
        <v>36.840720248730442</v>
      </c>
      <c r="BE65" s="87">
        <f t="shared" si="27"/>
        <v>36.483043353111704</v>
      </c>
      <c r="BF65" s="87">
        <f t="shared" si="27"/>
        <v>36.483043353111704</v>
      </c>
      <c r="BG65" s="87">
        <f t="shared" si="27"/>
        <v>36.483043353111704</v>
      </c>
      <c r="BH65" s="87">
        <f t="shared" si="27"/>
        <v>36.483043353111704</v>
      </c>
      <c r="BI65" s="87">
        <f t="shared" si="27"/>
        <v>36.134263420497106</v>
      </c>
      <c r="BJ65" s="87">
        <f t="shared" si="27"/>
        <v>36.134263420497106</v>
      </c>
      <c r="BK65" s="87">
        <f t="shared" si="27"/>
        <v>36.134263420497106</v>
      </c>
      <c r="BL65" s="87">
        <f t="shared" si="27"/>
        <v>36.134263420497106</v>
      </c>
      <c r="BM65" s="87">
        <f t="shared" si="27"/>
        <v>35.782474930518575</v>
      </c>
      <c r="BN65" s="87">
        <f t="shared" si="27"/>
        <v>35.782474930518575</v>
      </c>
      <c r="BO65" s="87">
        <f t="shared" si="27"/>
        <v>35.782474930518575</v>
      </c>
      <c r="BP65" s="87">
        <f t="shared" si="27"/>
        <v>35.782474930518575</v>
      </c>
    </row>
    <row r="66" spans="2:68">
      <c r="C66" s="61" t="s">
        <v>114</v>
      </c>
      <c r="H66" s="62" t="str">
        <f>H65</f>
        <v>[$ / tonne]</v>
      </c>
      <c r="I66" s="87">
        <f t="shared" ref="I66:BP66" si="28">IF(I65=I51,I60,I51)</f>
        <v>41.025641025641029</v>
      </c>
      <c r="J66" s="87">
        <f t="shared" si="28"/>
        <v>41.025641025641029</v>
      </c>
      <c r="K66" s="87">
        <f t="shared" si="28"/>
        <v>41.025641025641029</v>
      </c>
      <c r="L66" s="87">
        <f t="shared" si="28"/>
        <v>41.025641025641029</v>
      </c>
      <c r="M66" s="87">
        <f t="shared" si="28"/>
        <v>40.617222498755602</v>
      </c>
      <c r="N66" s="87">
        <f t="shared" si="28"/>
        <v>40.617222498755602</v>
      </c>
      <c r="O66" s="87">
        <f t="shared" si="28"/>
        <v>40.617222498755602</v>
      </c>
      <c r="P66" s="87">
        <f t="shared" si="28"/>
        <v>40.617222498755602</v>
      </c>
      <c r="Q66" s="87">
        <f t="shared" si="28"/>
        <v>40.228129531174481</v>
      </c>
      <c r="R66" s="87">
        <f t="shared" si="28"/>
        <v>40.228129531174481</v>
      </c>
      <c r="S66" s="87">
        <f t="shared" si="28"/>
        <v>40.228129531174481</v>
      </c>
      <c r="T66" s="87">
        <f t="shared" si="28"/>
        <v>40.228129531174481</v>
      </c>
      <c r="U66" s="87">
        <f t="shared" si="28"/>
        <v>39.838873768183952</v>
      </c>
      <c r="V66" s="87">
        <f t="shared" si="28"/>
        <v>39.838873768183952</v>
      </c>
      <c r="W66" s="87">
        <f t="shared" si="28"/>
        <v>39.838873768183952</v>
      </c>
      <c r="X66" s="87">
        <f t="shared" si="28"/>
        <v>39.838873768183952</v>
      </c>
      <c r="Y66" s="87">
        <f t="shared" si="28"/>
        <v>39.450830432801823</v>
      </c>
      <c r="Z66" s="87">
        <f t="shared" si="28"/>
        <v>39.450830432801823</v>
      </c>
      <c r="AA66" s="87">
        <f t="shared" si="28"/>
        <v>39.450830432801823</v>
      </c>
      <c r="AB66" s="87">
        <f t="shared" si="28"/>
        <v>39.450830432801823</v>
      </c>
      <c r="AC66" s="87">
        <f t="shared" si="28"/>
        <v>39.065220812030077</v>
      </c>
      <c r="AD66" s="87">
        <f t="shared" si="28"/>
        <v>39.065220812030077</v>
      </c>
      <c r="AE66" s="87">
        <f t="shared" si="28"/>
        <v>39.065220812030077</v>
      </c>
      <c r="AF66" s="87">
        <f t="shared" si="28"/>
        <v>39.065220812030077</v>
      </c>
      <c r="AG66" s="87">
        <f t="shared" si="28"/>
        <v>39.415684674240005</v>
      </c>
      <c r="AH66" s="87">
        <f t="shared" si="28"/>
        <v>39.415684674240005</v>
      </c>
      <c r="AI66" s="87">
        <f t="shared" si="28"/>
        <v>39.415684674240005</v>
      </c>
      <c r="AJ66" s="87">
        <f t="shared" si="28"/>
        <v>39.415684674240005</v>
      </c>
      <c r="AK66" s="87">
        <f t="shared" si="28"/>
        <v>40.203998367724807</v>
      </c>
      <c r="AL66" s="87">
        <f t="shared" si="28"/>
        <v>40.203998367724807</v>
      </c>
      <c r="AM66" s="87">
        <f t="shared" si="28"/>
        <v>40.203998367724807</v>
      </c>
      <c r="AN66" s="87">
        <f t="shared" si="28"/>
        <v>40.203998367724807</v>
      </c>
      <c r="AO66" s="87">
        <f t="shared" si="28"/>
        <v>41.008078335079304</v>
      </c>
      <c r="AP66" s="87">
        <f t="shared" si="28"/>
        <v>41.008078335079304</v>
      </c>
      <c r="AQ66" s="87">
        <f t="shared" si="28"/>
        <v>41.008078335079304</v>
      </c>
      <c r="AR66" s="87">
        <f t="shared" si="28"/>
        <v>41.008078335079304</v>
      </c>
      <c r="AS66" s="87">
        <f t="shared" si="28"/>
        <v>41.82823990178089</v>
      </c>
      <c r="AT66" s="87">
        <f t="shared" si="28"/>
        <v>41.82823990178089</v>
      </c>
      <c r="AU66" s="87">
        <f t="shared" si="28"/>
        <v>41.82823990178089</v>
      </c>
      <c r="AV66" s="87">
        <f t="shared" si="28"/>
        <v>41.82823990178089</v>
      </c>
      <c r="AW66" s="87">
        <f t="shared" si="28"/>
        <v>42.664804699816507</v>
      </c>
      <c r="AX66" s="87">
        <f t="shared" si="28"/>
        <v>42.664804699816507</v>
      </c>
      <c r="AY66" s="87">
        <f t="shared" si="28"/>
        <v>42.664804699816507</v>
      </c>
      <c r="AZ66" s="87">
        <f t="shared" si="28"/>
        <v>42.664804699816507</v>
      </c>
      <c r="BA66" s="87">
        <f t="shared" si="28"/>
        <v>43.518100793812835</v>
      </c>
      <c r="BB66" s="87">
        <f t="shared" si="28"/>
        <v>43.518100793812835</v>
      </c>
      <c r="BC66" s="87">
        <f t="shared" si="28"/>
        <v>43.518100793812835</v>
      </c>
      <c r="BD66" s="87">
        <f t="shared" si="28"/>
        <v>43.518100793812835</v>
      </c>
      <c r="BE66" s="87">
        <f t="shared" si="28"/>
        <v>44.388462809689095</v>
      </c>
      <c r="BF66" s="87">
        <f t="shared" si="28"/>
        <v>44.388462809689095</v>
      </c>
      <c r="BG66" s="87">
        <f t="shared" si="28"/>
        <v>44.388462809689095</v>
      </c>
      <c r="BH66" s="87">
        <f t="shared" si="28"/>
        <v>44.388462809689095</v>
      </c>
      <c r="BI66" s="87">
        <f t="shared" si="28"/>
        <v>45.27623206588288</v>
      </c>
      <c r="BJ66" s="87">
        <f t="shared" si="28"/>
        <v>45.27623206588288</v>
      </c>
      <c r="BK66" s="87">
        <f t="shared" si="28"/>
        <v>45.27623206588288</v>
      </c>
      <c r="BL66" s="87">
        <f t="shared" si="28"/>
        <v>45.27623206588288</v>
      </c>
      <c r="BM66" s="87">
        <f t="shared" si="28"/>
        <v>46.181756707200542</v>
      </c>
      <c r="BN66" s="87">
        <f t="shared" si="28"/>
        <v>46.181756707200542</v>
      </c>
      <c r="BO66" s="87">
        <f t="shared" si="28"/>
        <v>46.181756707200542</v>
      </c>
      <c r="BP66" s="87">
        <f t="shared" si="28"/>
        <v>46.181756707200542</v>
      </c>
    </row>
    <row r="67" spans="2:68"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</row>
    <row r="68" spans="2:68" ht="26.4">
      <c r="C68" s="61" t="s">
        <v>115</v>
      </c>
      <c r="I68" s="90" t="str">
        <f t="shared" ref="I68:BP68" si="29">IF(I65=I51,$C50,$C56)</f>
        <v>Supplier 1 (US)</v>
      </c>
      <c r="J68" s="90" t="str">
        <f t="shared" si="29"/>
        <v>Supplier 1 (US)</v>
      </c>
      <c r="K68" s="90" t="str">
        <f t="shared" si="29"/>
        <v>Supplier 1 (US)</v>
      </c>
      <c r="L68" s="90" t="str">
        <f t="shared" si="29"/>
        <v>Supplier 1 (US)</v>
      </c>
      <c r="M68" s="90" t="str">
        <f t="shared" si="29"/>
        <v>Supplier 1 (US)</v>
      </c>
      <c r="N68" s="90" t="str">
        <f t="shared" si="29"/>
        <v>Supplier 1 (US)</v>
      </c>
      <c r="O68" s="90" t="str">
        <f t="shared" si="29"/>
        <v>Supplier 1 (US)</v>
      </c>
      <c r="P68" s="90" t="str">
        <f t="shared" si="29"/>
        <v>Supplier 1 (US)</v>
      </c>
      <c r="Q68" s="90" t="str">
        <f t="shared" si="29"/>
        <v>Supplier 1 (US)</v>
      </c>
      <c r="R68" s="90" t="str">
        <f t="shared" si="29"/>
        <v>Supplier 1 (US)</v>
      </c>
      <c r="S68" s="90" t="str">
        <f t="shared" si="29"/>
        <v>Supplier 1 (US)</v>
      </c>
      <c r="T68" s="90" t="str">
        <f t="shared" si="29"/>
        <v>Supplier 1 (US)</v>
      </c>
      <c r="U68" s="90" t="str">
        <f t="shared" si="29"/>
        <v>Supplier 1 (US)</v>
      </c>
      <c r="V68" s="90" t="str">
        <f t="shared" si="29"/>
        <v>Supplier 1 (US)</v>
      </c>
      <c r="W68" s="90" t="str">
        <f t="shared" si="29"/>
        <v>Supplier 1 (US)</v>
      </c>
      <c r="X68" s="90" t="str">
        <f t="shared" si="29"/>
        <v>Supplier 1 (US)</v>
      </c>
      <c r="Y68" s="90" t="str">
        <f t="shared" si="29"/>
        <v>Supplier 1 (US)</v>
      </c>
      <c r="Z68" s="90" t="str">
        <f t="shared" si="29"/>
        <v>Supplier 1 (US)</v>
      </c>
      <c r="AA68" s="90" t="str">
        <f t="shared" si="29"/>
        <v>Supplier 1 (US)</v>
      </c>
      <c r="AB68" s="90" t="str">
        <f t="shared" si="29"/>
        <v>Supplier 1 (US)</v>
      </c>
      <c r="AC68" s="90" t="str">
        <f t="shared" si="29"/>
        <v>Supplier 1 (US)</v>
      </c>
      <c r="AD68" s="90" t="str">
        <f t="shared" si="29"/>
        <v>Supplier 1 (US)</v>
      </c>
      <c r="AE68" s="90" t="str">
        <f t="shared" si="29"/>
        <v>Supplier 1 (US)</v>
      </c>
      <c r="AF68" s="90" t="str">
        <f t="shared" si="29"/>
        <v>Supplier 1 (US)</v>
      </c>
      <c r="AG68" s="90" t="str">
        <f t="shared" si="29"/>
        <v>Supplier 2 (Mexico)</v>
      </c>
      <c r="AH68" s="90" t="str">
        <f t="shared" si="29"/>
        <v>Supplier 2 (Mexico)</v>
      </c>
      <c r="AI68" s="90" t="str">
        <f t="shared" si="29"/>
        <v>Supplier 2 (Mexico)</v>
      </c>
      <c r="AJ68" s="90" t="str">
        <f t="shared" si="29"/>
        <v>Supplier 2 (Mexico)</v>
      </c>
      <c r="AK68" s="90" t="str">
        <f t="shared" si="29"/>
        <v>Supplier 2 (Mexico)</v>
      </c>
      <c r="AL68" s="90" t="str">
        <f t="shared" si="29"/>
        <v>Supplier 2 (Mexico)</v>
      </c>
      <c r="AM68" s="90" t="str">
        <f t="shared" si="29"/>
        <v>Supplier 2 (Mexico)</v>
      </c>
      <c r="AN68" s="90" t="str">
        <f t="shared" si="29"/>
        <v>Supplier 2 (Mexico)</v>
      </c>
      <c r="AO68" s="90" t="str">
        <f t="shared" si="29"/>
        <v>Supplier 2 (Mexico)</v>
      </c>
      <c r="AP68" s="90" t="str">
        <f t="shared" si="29"/>
        <v>Supplier 2 (Mexico)</v>
      </c>
      <c r="AQ68" s="90" t="str">
        <f t="shared" si="29"/>
        <v>Supplier 2 (Mexico)</v>
      </c>
      <c r="AR68" s="90" t="str">
        <f t="shared" si="29"/>
        <v>Supplier 2 (Mexico)</v>
      </c>
      <c r="AS68" s="90" t="str">
        <f t="shared" si="29"/>
        <v>Supplier 2 (Mexico)</v>
      </c>
      <c r="AT68" s="90" t="str">
        <f t="shared" si="29"/>
        <v>Supplier 2 (Mexico)</v>
      </c>
      <c r="AU68" s="90" t="str">
        <f t="shared" si="29"/>
        <v>Supplier 2 (Mexico)</v>
      </c>
      <c r="AV68" s="90" t="str">
        <f t="shared" si="29"/>
        <v>Supplier 2 (Mexico)</v>
      </c>
      <c r="AW68" s="90" t="str">
        <f t="shared" si="29"/>
        <v>Supplier 2 (Mexico)</v>
      </c>
      <c r="AX68" s="90" t="str">
        <f t="shared" si="29"/>
        <v>Supplier 2 (Mexico)</v>
      </c>
      <c r="AY68" s="90" t="str">
        <f t="shared" si="29"/>
        <v>Supplier 2 (Mexico)</v>
      </c>
      <c r="AZ68" s="90" t="str">
        <f t="shared" si="29"/>
        <v>Supplier 2 (Mexico)</v>
      </c>
      <c r="BA68" s="90" t="str">
        <f t="shared" si="29"/>
        <v>Supplier 2 (Mexico)</v>
      </c>
      <c r="BB68" s="90" t="str">
        <f t="shared" si="29"/>
        <v>Supplier 2 (Mexico)</v>
      </c>
      <c r="BC68" s="90" t="str">
        <f t="shared" si="29"/>
        <v>Supplier 2 (Mexico)</v>
      </c>
      <c r="BD68" s="90" t="str">
        <f t="shared" si="29"/>
        <v>Supplier 2 (Mexico)</v>
      </c>
      <c r="BE68" s="90" t="str">
        <f t="shared" si="29"/>
        <v>Supplier 2 (Mexico)</v>
      </c>
      <c r="BF68" s="90" t="str">
        <f t="shared" si="29"/>
        <v>Supplier 2 (Mexico)</v>
      </c>
      <c r="BG68" s="90" t="str">
        <f t="shared" si="29"/>
        <v>Supplier 2 (Mexico)</v>
      </c>
      <c r="BH68" s="90" t="str">
        <f t="shared" si="29"/>
        <v>Supplier 2 (Mexico)</v>
      </c>
      <c r="BI68" s="90" t="str">
        <f t="shared" si="29"/>
        <v>Supplier 2 (Mexico)</v>
      </c>
      <c r="BJ68" s="90" t="str">
        <f t="shared" si="29"/>
        <v>Supplier 2 (Mexico)</v>
      </c>
      <c r="BK68" s="90" t="str">
        <f t="shared" si="29"/>
        <v>Supplier 2 (Mexico)</v>
      </c>
      <c r="BL68" s="90" t="str">
        <f t="shared" si="29"/>
        <v>Supplier 2 (Mexico)</v>
      </c>
      <c r="BM68" s="90" t="str">
        <f t="shared" si="29"/>
        <v>Supplier 2 (Mexico)</v>
      </c>
      <c r="BN68" s="90" t="str">
        <f t="shared" si="29"/>
        <v>Supplier 2 (Mexico)</v>
      </c>
      <c r="BO68" s="90" t="str">
        <f t="shared" si="29"/>
        <v>Supplier 2 (Mexico)</v>
      </c>
      <c r="BP68" s="90" t="str">
        <f t="shared" si="29"/>
        <v>Supplier 2 (Mexico)</v>
      </c>
    </row>
    <row r="69" spans="2:68"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</row>
    <row r="70" spans="2:68">
      <c r="C70" s="61" t="s">
        <v>116</v>
      </c>
      <c r="H70" s="110" t="str">
        <f>CaseData!F56</f>
        <v>[tonnes]</v>
      </c>
      <c r="I70" s="88">
        <f t="shared" ref="I70:BP70" si="30">IF(I65=I51,I54,I62)</f>
        <v>90000</v>
      </c>
      <c r="J70" s="88">
        <f t="shared" si="30"/>
        <v>90000</v>
      </c>
      <c r="K70" s="88">
        <f t="shared" si="30"/>
        <v>90000</v>
      </c>
      <c r="L70" s="88">
        <f t="shared" si="30"/>
        <v>90000</v>
      </c>
      <c r="M70" s="88">
        <f t="shared" si="30"/>
        <v>90000</v>
      </c>
      <c r="N70" s="88">
        <f t="shared" si="30"/>
        <v>90000</v>
      </c>
      <c r="O70" s="88">
        <f t="shared" si="30"/>
        <v>90000</v>
      </c>
      <c r="P70" s="88">
        <f t="shared" si="30"/>
        <v>90000</v>
      </c>
      <c r="Q70" s="88">
        <f t="shared" si="30"/>
        <v>90000</v>
      </c>
      <c r="R70" s="88">
        <f t="shared" si="30"/>
        <v>90000</v>
      </c>
      <c r="S70" s="88">
        <f t="shared" si="30"/>
        <v>90000</v>
      </c>
      <c r="T70" s="88">
        <f t="shared" si="30"/>
        <v>90000</v>
      </c>
      <c r="U70" s="88">
        <f t="shared" si="30"/>
        <v>90000</v>
      </c>
      <c r="V70" s="88">
        <f t="shared" si="30"/>
        <v>90000</v>
      </c>
      <c r="W70" s="88">
        <f t="shared" si="30"/>
        <v>90000</v>
      </c>
      <c r="X70" s="88">
        <f t="shared" si="30"/>
        <v>90000</v>
      </c>
      <c r="Y70" s="88">
        <f t="shared" si="30"/>
        <v>90000</v>
      </c>
      <c r="Z70" s="88">
        <f t="shared" si="30"/>
        <v>90000</v>
      </c>
      <c r="AA70" s="88">
        <f t="shared" si="30"/>
        <v>90000</v>
      </c>
      <c r="AB70" s="88">
        <f t="shared" si="30"/>
        <v>90000</v>
      </c>
      <c r="AC70" s="88">
        <f t="shared" si="30"/>
        <v>90000</v>
      </c>
      <c r="AD70" s="88">
        <f t="shared" si="30"/>
        <v>90000</v>
      </c>
      <c r="AE70" s="88">
        <f t="shared" si="30"/>
        <v>90000</v>
      </c>
      <c r="AF70" s="88">
        <f t="shared" si="30"/>
        <v>90000</v>
      </c>
      <c r="AG70" s="88">
        <f t="shared" si="30"/>
        <v>70000</v>
      </c>
      <c r="AH70" s="88">
        <f t="shared" si="30"/>
        <v>70000</v>
      </c>
      <c r="AI70" s="88">
        <f t="shared" si="30"/>
        <v>70000</v>
      </c>
      <c r="AJ70" s="88">
        <f t="shared" si="30"/>
        <v>70000</v>
      </c>
      <c r="AK70" s="88">
        <f t="shared" si="30"/>
        <v>70000</v>
      </c>
      <c r="AL70" s="88">
        <f t="shared" si="30"/>
        <v>70000</v>
      </c>
      <c r="AM70" s="88">
        <f t="shared" si="30"/>
        <v>70000</v>
      </c>
      <c r="AN70" s="88">
        <f t="shared" si="30"/>
        <v>70000</v>
      </c>
      <c r="AO70" s="88">
        <f t="shared" si="30"/>
        <v>70000</v>
      </c>
      <c r="AP70" s="88">
        <f t="shared" si="30"/>
        <v>70000</v>
      </c>
      <c r="AQ70" s="88">
        <f t="shared" si="30"/>
        <v>70000</v>
      </c>
      <c r="AR70" s="88">
        <f t="shared" si="30"/>
        <v>70000</v>
      </c>
      <c r="AS70" s="88">
        <f t="shared" si="30"/>
        <v>70000</v>
      </c>
      <c r="AT70" s="88">
        <f t="shared" si="30"/>
        <v>70000</v>
      </c>
      <c r="AU70" s="88">
        <f t="shared" si="30"/>
        <v>70000</v>
      </c>
      <c r="AV70" s="88">
        <f t="shared" si="30"/>
        <v>70000</v>
      </c>
      <c r="AW70" s="88">
        <f t="shared" si="30"/>
        <v>70000</v>
      </c>
      <c r="AX70" s="88">
        <f t="shared" si="30"/>
        <v>70000</v>
      </c>
      <c r="AY70" s="88">
        <f t="shared" si="30"/>
        <v>70000</v>
      </c>
      <c r="AZ70" s="88">
        <f t="shared" si="30"/>
        <v>70000</v>
      </c>
      <c r="BA70" s="88">
        <f t="shared" si="30"/>
        <v>70000</v>
      </c>
      <c r="BB70" s="88">
        <f t="shared" si="30"/>
        <v>70000</v>
      </c>
      <c r="BC70" s="88">
        <f t="shared" si="30"/>
        <v>70000</v>
      </c>
      <c r="BD70" s="88">
        <f t="shared" si="30"/>
        <v>70000</v>
      </c>
      <c r="BE70" s="88">
        <f t="shared" si="30"/>
        <v>70000</v>
      </c>
      <c r="BF70" s="88">
        <f t="shared" si="30"/>
        <v>70000</v>
      </c>
      <c r="BG70" s="88">
        <f t="shared" si="30"/>
        <v>70000</v>
      </c>
      <c r="BH70" s="88">
        <f t="shared" si="30"/>
        <v>70000</v>
      </c>
      <c r="BI70" s="88">
        <f t="shared" si="30"/>
        <v>70000</v>
      </c>
      <c r="BJ70" s="88">
        <f t="shared" si="30"/>
        <v>70000</v>
      </c>
      <c r="BK70" s="88">
        <f t="shared" si="30"/>
        <v>70000</v>
      </c>
      <c r="BL70" s="88">
        <f t="shared" si="30"/>
        <v>70000</v>
      </c>
      <c r="BM70" s="88">
        <f t="shared" si="30"/>
        <v>70000</v>
      </c>
      <c r="BN70" s="88">
        <f t="shared" si="30"/>
        <v>70000</v>
      </c>
      <c r="BO70" s="88">
        <f t="shared" si="30"/>
        <v>70000</v>
      </c>
      <c r="BP70" s="88">
        <f t="shared" si="30"/>
        <v>70000</v>
      </c>
    </row>
    <row r="71" spans="2:68">
      <c r="C71" s="61" t="s">
        <v>117</v>
      </c>
      <c r="H71" s="114" t="str">
        <f>H70</f>
        <v>[tonnes]</v>
      </c>
      <c r="I71" s="88">
        <f t="shared" ref="I71:BP71" si="31">IF(I70=I54,I62,I54)</f>
        <v>70000</v>
      </c>
      <c r="J71" s="88">
        <f t="shared" si="31"/>
        <v>70000</v>
      </c>
      <c r="K71" s="88">
        <f t="shared" si="31"/>
        <v>70000</v>
      </c>
      <c r="L71" s="88">
        <f t="shared" si="31"/>
        <v>70000</v>
      </c>
      <c r="M71" s="88">
        <f t="shared" si="31"/>
        <v>70000</v>
      </c>
      <c r="N71" s="88">
        <f t="shared" si="31"/>
        <v>70000</v>
      </c>
      <c r="O71" s="88">
        <f t="shared" si="31"/>
        <v>70000</v>
      </c>
      <c r="P71" s="88">
        <f t="shared" si="31"/>
        <v>70000</v>
      </c>
      <c r="Q71" s="88">
        <f t="shared" si="31"/>
        <v>70000</v>
      </c>
      <c r="R71" s="88">
        <f t="shared" si="31"/>
        <v>70000</v>
      </c>
      <c r="S71" s="88">
        <f t="shared" si="31"/>
        <v>70000</v>
      </c>
      <c r="T71" s="88">
        <f t="shared" si="31"/>
        <v>70000</v>
      </c>
      <c r="U71" s="88">
        <f t="shared" si="31"/>
        <v>70000</v>
      </c>
      <c r="V71" s="88">
        <f t="shared" si="31"/>
        <v>70000</v>
      </c>
      <c r="W71" s="88">
        <f t="shared" si="31"/>
        <v>70000</v>
      </c>
      <c r="X71" s="88">
        <f t="shared" si="31"/>
        <v>70000</v>
      </c>
      <c r="Y71" s="88">
        <f t="shared" si="31"/>
        <v>70000</v>
      </c>
      <c r="Z71" s="88">
        <f t="shared" si="31"/>
        <v>70000</v>
      </c>
      <c r="AA71" s="88">
        <f t="shared" si="31"/>
        <v>70000</v>
      </c>
      <c r="AB71" s="88">
        <f t="shared" si="31"/>
        <v>70000</v>
      </c>
      <c r="AC71" s="88">
        <f t="shared" si="31"/>
        <v>70000</v>
      </c>
      <c r="AD71" s="88">
        <f t="shared" si="31"/>
        <v>70000</v>
      </c>
      <c r="AE71" s="88">
        <f t="shared" si="31"/>
        <v>70000</v>
      </c>
      <c r="AF71" s="88">
        <f t="shared" si="31"/>
        <v>70000</v>
      </c>
      <c r="AG71" s="88">
        <f t="shared" si="31"/>
        <v>90000</v>
      </c>
      <c r="AH71" s="88">
        <f t="shared" si="31"/>
        <v>90000</v>
      </c>
      <c r="AI71" s="88">
        <f t="shared" si="31"/>
        <v>90000</v>
      </c>
      <c r="AJ71" s="88">
        <f t="shared" si="31"/>
        <v>90000</v>
      </c>
      <c r="AK71" s="88">
        <f t="shared" si="31"/>
        <v>90000</v>
      </c>
      <c r="AL71" s="88">
        <f t="shared" si="31"/>
        <v>90000</v>
      </c>
      <c r="AM71" s="88">
        <f t="shared" si="31"/>
        <v>90000</v>
      </c>
      <c r="AN71" s="88">
        <f t="shared" si="31"/>
        <v>90000</v>
      </c>
      <c r="AO71" s="88">
        <f t="shared" si="31"/>
        <v>90000</v>
      </c>
      <c r="AP71" s="88">
        <f t="shared" si="31"/>
        <v>90000</v>
      </c>
      <c r="AQ71" s="88">
        <f t="shared" si="31"/>
        <v>90000</v>
      </c>
      <c r="AR71" s="88">
        <f t="shared" si="31"/>
        <v>90000</v>
      </c>
      <c r="AS71" s="88">
        <f t="shared" si="31"/>
        <v>90000</v>
      </c>
      <c r="AT71" s="88">
        <f t="shared" si="31"/>
        <v>90000</v>
      </c>
      <c r="AU71" s="88">
        <f t="shared" si="31"/>
        <v>90000</v>
      </c>
      <c r="AV71" s="88">
        <f t="shared" si="31"/>
        <v>90000</v>
      </c>
      <c r="AW71" s="88">
        <f t="shared" si="31"/>
        <v>90000</v>
      </c>
      <c r="AX71" s="88">
        <f t="shared" si="31"/>
        <v>90000</v>
      </c>
      <c r="AY71" s="88">
        <f t="shared" si="31"/>
        <v>90000</v>
      </c>
      <c r="AZ71" s="88">
        <f t="shared" si="31"/>
        <v>90000</v>
      </c>
      <c r="BA71" s="88">
        <f t="shared" si="31"/>
        <v>90000</v>
      </c>
      <c r="BB71" s="88">
        <f t="shared" si="31"/>
        <v>90000</v>
      </c>
      <c r="BC71" s="88">
        <f t="shared" si="31"/>
        <v>90000</v>
      </c>
      <c r="BD71" s="88">
        <f t="shared" si="31"/>
        <v>90000</v>
      </c>
      <c r="BE71" s="88">
        <f t="shared" si="31"/>
        <v>90000</v>
      </c>
      <c r="BF71" s="88">
        <f t="shared" si="31"/>
        <v>90000</v>
      </c>
      <c r="BG71" s="88">
        <f t="shared" si="31"/>
        <v>90000</v>
      </c>
      <c r="BH71" s="88">
        <f t="shared" si="31"/>
        <v>90000</v>
      </c>
      <c r="BI71" s="88">
        <f t="shared" si="31"/>
        <v>90000</v>
      </c>
      <c r="BJ71" s="88">
        <f t="shared" si="31"/>
        <v>90000</v>
      </c>
      <c r="BK71" s="88">
        <f t="shared" si="31"/>
        <v>90000</v>
      </c>
      <c r="BL71" s="88">
        <f t="shared" si="31"/>
        <v>90000</v>
      </c>
      <c r="BM71" s="88">
        <f t="shared" si="31"/>
        <v>90000</v>
      </c>
      <c r="BN71" s="88">
        <f t="shared" si="31"/>
        <v>90000</v>
      </c>
      <c r="BO71" s="88">
        <f t="shared" si="31"/>
        <v>90000</v>
      </c>
      <c r="BP71" s="88">
        <f t="shared" si="31"/>
        <v>90000</v>
      </c>
    </row>
    <row r="73" spans="2:68">
      <c r="C73" s="61" t="s">
        <v>118</v>
      </c>
      <c r="H73" s="114" t="str">
        <f>H71</f>
        <v>[tonnes]</v>
      </c>
      <c r="I73" s="88">
        <f t="shared" ref="I73:BP73" si="32">MIN(I48,I70)</f>
        <v>79500</v>
      </c>
      <c r="J73" s="88">
        <f t="shared" si="32"/>
        <v>84300</v>
      </c>
      <c r="K73" s="88">
        <f t="shared" si="32"/>
        <v>87000</v>
      </c>
      <c r="L73" s="88">
        <f t="shared" si="32"/>
        <v>75600</v>
      </c>
      <c r="M73" s="88">
        <f t="shared" si="32"/>
        <v>81090</v>
      </c>
      <c r="N73" s="88">
        <f t="shared" si="32"/>
        <v>85986</v>
      </c>
      <c r="O73" s="88">
        <f t="shared" si="32"/>
        <v>88740</v>
      </c>
      <c r="P73" s="88">
        <f t="shared" si="32"/>
        <v>77112</v>
      </c>
      <c r="Q73" s="88">
        <f t="shared" si="32"/>
        <v>82711.8</v>
      </c>
      <c r="R73" s="88">
        <f t="shared" si="32"/>
        <v>87705.72</v>
      </c>
      <c r="S73" s="88">
        <f t="shared" si="32"/>
        <v>90000</v>
      </c>
      <c r="T73" s="88">
        <f t="shared" si="32"/>
        <v>78654.240000000005</v>
      </c>
      <c r="U73" s="88">
        <f t="shared" si="32"/>
        <v>84366.036000000007</v>
      </c>
      <c r="V73" s="88">
        <f t="shared" si="32"/>
        <v>89459.834400000007</v>
      </c>
      <c r="W73" s="88">
        <f t="shared" si="32"/>
        <v>90000</v>
      </c>
      <c r="X73" s="88">
        <f t="shared" si="32"/>
        <v>80227.324800000002</v>
      </c>
      <c r="Y73" s="88">
        <f t="shared" si="32"/>
        <v>86053.356720000011</v>
      </c>
      <c r="Z73" s="88">
        <f t="shared" si="32"/>
        <v>90000</v>
      </c>
      <c r="AA73" s="88">
        <f t="shared" si="32"/>
        <v>90000</v>
      </c>
      <c r="AB73" s="88">
        <f t="shared" si="32"/>
        <v>81831.871295999998</v>
      </c>
      <c r="AC73" s="88">
        <f t="shared" si="32"/>
        <v>87774.423854400011</v>
      </c>
      <c r="AD73" s="88">
        <f t="shared" si="32"/>
        <v>90000</v>
      </c>
      <c r="AE73" s="88">
        <f t="shared" si="32"/>
        <v>90000</v>
      </c>
      <c r="AF73" s="88">
        <f t="shared" si="32"/>
        <v>83468.508721920007</v>
      </c>
      <c r="AG73" s="88">
        <f t="shared" si="32"/>
        <v>70000</v>
      </c>
      <c r="AH73" s="88">
        <f t="shared" si="32"/>
        <v>70000</v>
      </c>
      <c r="AI73" s="88">
        <f t="shared" si="32"/>
        <v>70000</v>
      </c>
      <c r="AJ73" s="88">
        <f t="shared" si="32"/>
        <v>70000</v>
      </c>
      <c r="AK73" s="88">
        <f t="shared" si="32"/>
        <v>70000</v>
      </c>
      <c r="AL73" s="88">
        <f t="shared" si="32"/>
        <v>70000</v>
      </c>
      <c r="AM73" s="88">
        <f t="shared" si="32"/>
        <v>70000</v>
      </c>
      <c r="AN73" s="88">
        <f t="shared" si="32"/>
        <v>70000</v>
      </c>
      <c r="AO73" s="88">
        <f t="shared" si="32"/>
        <v>70000</v>
      </c>
      <c r="AP73" s="88">
        <f t="shared" si="32"/>
        <v>70000</v>
      </c>
      <c r="AQ73" s="88">
        <f t="shared" si="32"/>
        <v>70000</v>
      </c>
      <c r="AR73" s="88">
        <f t="shared" si="32"/>
        <v>70000</v>
      </c>
      <c r="AS73" s="88">
        <f t="shared" si="32"/>
        <v>70000</v>
      </c>
      <c r="AT73" s="88">
        <f t="shared" si="32"/>
        <v>70000</v>
      </c>
      <c r="AU73" s="88">
        <f t="shared" si="32"/>
        <v>70000</v>
      </c>
      <c r="AV73" s="88">
        <f t="shared" si="32"/>
        <v>70000</v>
      </c>
      <c r="AW73" s="88">
        <f t="shared" si="32"/>
        <v>70000</v>
      </c>
      <c r="AX73" s="88">
        <f t="shared" si="32"/>
        <v>70000</v>
      </c>
      <c r="AY73" s="88">
        <f t="shared" si="32"/>
        <v>70000</v>
      </c>
      <c r="AZ73" s="88">
        <f t="shared" si="32"/>
        <v>70000</v>
      </c>
      <c r="BA73" s="88">
        <f t="shared" si="32"/>
        <v>70000</v>
      </c>
      <c r="BB73" s="88">
        <f t="shared" si="32"/>
        <v>70000</v>
      </c>
      <c r="BC73" s="88">
        <f t="shared" si="32"/>
        <v>70000</v>
      </c>
      <c r="BD73" s="88">
        <f t="shared" si="32"/>
        <v>70000</v>
      </c>
      <c r="BE73" s="88">
        <f t="shared" si="32"/>
        <v>70000</v>
      </c>
      <c r="BF73" s="88">
        <f t="shared" si="32"/>
        <v>70000</v>
      </c>
      <c r="BG73" s="88">
        <f t="shared" si="32"/>
        <v>70000</v>
      </c>
      <c r="BH73" s="88">
        <f t="shared" si="32"/>
        <v>70000</v>
      </c>
      <c r="BI73" s="88">
        <f t="shared" si="32"/>
        <v>70000</v>
      </c>
      <c r="BJ73" s="88">
        <f t="shared" si="32"/>
        <v>70000</v>
      </c>
      <c r="BK73" s="88">
        <f t="shared" si="32"/>
        <v>70000</v>
      </c>
      <c r="BL73" s="88">
        <f t="shared" si="32"/>
        <v>70000</v>
      </c>
      <c r="BM73" s="88">
        <f t="shared" si="32"/>
        <v>70000</v>
      </c>
      <c r="BN73" s="88">
        <f t="shared" si="32"/>
        <v>70000</v>
      </c>
      <c r="BO73" s="88">
        <f t="shared" si="32"/>
        <v>70000</v>
      </c>
      <c r="BP73" s="88">
        <f t="shared" si="32"/>
        <v>70000</v>
      </c>
    </row>
    <row r="74" spans="2:68">
      <c r="C74" s="61" t="s">
        <v>119</v>
      </c>
      <c r="H74" s="114" t="str">
        <f>H73</f>
        <v>[tonnes]</v>
      </c>
      <c r="I74" s="88">
        <f t="shared" ref="I74:BP74" si="33">MIN(I48-I73,I71)</f>
        <v>0</v>
      </c>
      <c r="J74" s="88">
        <f t="shared" si="33"/>
        <v>0</v>
      </c>
      <c r="K74" s="88">
        <f t="shared" si="33"/>
        <v>0</v>
      </c>
      <c r="L74" s="88">
        <f t="shared" si="33"/>
        <v>0</v>
      </c>
      <c r="M74" s="88">
        <f t="shared" si="33"/>
        <v>0</v>
      </c>
      <c r="N74" s="88">
        <f t="shared" si="33"/>
        <v>0</v>
      </c>
      <c r="O74" s="88">
        <f t="shared" si="33"/>
        <v>0</v>
      </c>
      <c r="P74" s="88">
        <f t="shared" si="33"/>
        <v>0</v>
      </c>
      <c r="Q74" s="88">
        <f t="shared" si="33"/>
        <v>0</v>
      </c>
      <c r="R74" s="88">
        <f t="shared" si="33"/>
        <v>0</v>
      </c>
      <c r="S74" s="88">
        <f t="shared" si="33"/>
        <v>514.80000000000291</v>
      </c>
      <c r="T74" s="88">
        <f t="shared" si="33"/>
        <v>0</v>
      </c>
      <c r="U74" s="88">
        <f t="shared" si="33"/>
        <v>0</v>
      </c>
      <c r="V74" s="88">
        <f t="shared" si="33"/>
        <v>0</v>
      </c>
      <c r="W74" s="88">
        <f t="shared" si="33"/>
        <v>2325.096000000005</v>
      </c>
      <c r="X74" s="88">
        <f t="shared" si="33"/>
        <v>0</v>
      </c>
      <c r="Y74" s="88">
        <f t="shared" si="33"/>
        <v>0</v>
      </c>
      <c r="Z74" s="88">
        <f t="shared" si="33"/>
        <v>1249.0310880000034</v>
      </c>
      <c r="AA74" s="88">
        <f t="shared" si="33"/>
        <v>4171.5979200000147</v>
      </c>
      <c r="AB74" s="88">
        <f t="shared" si="33"/>
        <v>0</v>
      </c>
      <c r="AC74" s="88">
        <f t="shared" si="33"/>
        <v>0</v>
      </c>
      <c r="AD74" s="88">
        <f t="shared" si="33"/>
        <v>3074.0117097600014</v>
      </c>
      <c r="AE74" s="88">
        <f t="shared" si="33"/>
        <v>6055.0298784000042</v>
      </c>
      <c r="AF74" s="88">
        <f t="shared" si="33"/>
        <v>0</v>
      </c>
      <c r="AG74" s="88">
        <f t="shared" si="33"/>
        <v>19529.912331488013</v>
      </c>
      <c r="AH74" s="88">
        <f t="shared" si="33"/>
        <v>24935.491943955203</v>
      </c>
      <c r="AI74" s="88">
        <f t="shared" si="33"/>
        <v>27976.130475968021</v>
      </c>
      <c r="AJ74" s="88">
        <f t="shared" si="33"/>
        <v>15137.878896358408</v>
      </c>
      <c r="AK74" s="88">
        <f t="shared" si="33"/>
        <v>21320.51057811777</v>
      </c>
      <c r="AL74" s="88">
        <f t="shared" si="33"/>
        <v>26834.201782834309</v>
      </c>
      <c r="AM74" s="88">
        <f t="shared" si="33"/>
        <v>29935.653085487385</v>
      </c>
      <c r="AN74" s="88">
        <f t="shared" si="33"/>
        <v>16840.636474285566</v>
      </c>
      <c r="AO74" s="88">
        <f t="shared" si="33"/>
        <v>23146.920789680124</v>
      </c>
      <c r="AP74" s="88">
        <f t="shared" si="33"/>
        <v>28770.885818490991</v>
      </c>
      <c r="AQ74" s="88">
        <f t="shared" si="33"/>
        <v>31934.366147197143</v>
      </c>
      <c r="AR74" s="88">
        <f t="shared" si="33"/>
        <v>18577.449203771292</v>
      </c>
      <c r="AS74" s="88">
        <f t="shared" si="33"/>
        <v>25009.859205473724</v>
      </c>
      <c r="AT74" s="88">
        <f t="shared" si="33"/>
        <v>30746.30353486081</v>
      </c>
      <c r="AU74" s="88">
        <f t="shared" si="33"/>
        <v>33973.053470141094</v>
      </c>
      <c r="AV74" s="88">
        <f t="shared" si="33"/>
        <v>20348.998187846722</v>
      </c>
      <c r="AW74" s="88">
        <f t="shared" si="33"/>
        <v>26910.056389583202</v>
      </c>
      <c r="AX74" s="88">
        <f t="shared" si="33"/>
        <v>32761.229605558037</v>
      </c>
      <c r="AY74" s="88">
        <f t="shared" si="33"/>
        <v>36052.514539543918</v>
      </c>
      <c r="AZ74" s="88">
        <f t="shared" si="33"/>
        <v>22155.97815160366</v>
      </c>
      <c r="BA74" s="88">
        <f t="shared" si="33"/>
        <v>28848.257517374877</v>
      </c>
      <c r="BB74" s="88">
        <f t="shared" si="33"/>
        <v>34816.454197669198</v>
      </c>
      <c r="BC74" s="88">
        <f t="shared" si="33"/>
        <v>38173.564830334813</v>
      </c>
      <c r="BD74" s="88">
        <f t="shared" si="33"/>
        <v>23999.097714635733</v>
      </c>
      <c r="BE74" s="88">
        <f t="shared" si="33"/>
        <v>30825.222667722366</v>
      </c>
      <c r="BF74" s="88">
        <f t="shared" si="33"/>
        <v>36912.783281622585</v>
      </c>
      <c r="BG74" s="88">
        <f t="shared" si="33"/>
        <v>40337.036126941501</v>
      </c>
      <c r="BH74" s="88">
        <f t="shared" si="33"/>
        <v>25879.079668928462</v>
      </c>
      <c r="BI74" s="88">
        <f t="shared" si="33"/>
        <v>32841.727121076823</v>
      </c>
      <c r="BJ74" s="88">
        <f t="shared" si="33"/>
        <v>39051.038947255045</v>
      </c>
      <c r="BK74" s="88">
        <f t="shared" si="33"/>
        <v>42543.776849480346</v>
      </c>
      <c r="BL74" s="88">
        <f t="shared" si="33"/>
        <v>27796.661262307025</v>
      </c>
      <c r="BM74" s="88">
        <f t="shared" si="33"/>
        <v>34898.561663498345</v>
      </c>
      <c r="BN74" s="88">
        <f t="shared" si="33"/>
        <v>41232.059726200154</v>
      </c>
      <c r="BO74" s="88">
        <f t="shared" si="33"/>
        <v>44794.652386469941</v>
      </c>
      <c r="BP74" s="88">
        <f t="shared" si="33"/>
        <v>29752.594487553171</v>
      </c>
    </row>
    <row r="75" spans="2:68">
      <c r="C75" s="61" t="s">
        <v>94</v>
      </c>
      <c r="H75" s="114" t="str">
        <f>H74</f>
        <v>[tonnes]</v>
      </c>
      <c r="I75" s="91">
        <f>SUM(I73:I74)</f>
        <v>79500</v>
      </c>
      <c r="J75" s="91">
        <f t="shared" ref="J75:BP75" si="34">SUM(J73:J74)</f>
        <v>84300</v>
      </c>
      <c r="K75" s="91">
        <f t="shared" si="34"/>
        <v>87000</v>
      </c>
      <c r="L75" s="91">
        <f t="shared" si="34"/>
        <v>75600</v>
      </c>
      <c r="M75" s="91">
        <f t="shared" si="34"/>
        <v>81090</v>
      </c>
      <c r="N75" s="91">
        <f t="shared" si="34"/>
        <v>85986</v>
      </c>
      <c r="O75" s="91">
        <f t="shared" si="34"/>
        <v>88740</v>
      </c>
      <c r="P75" s="91">
        <f t="shared" si="34"/>
        <v>77112</v>
      </c>
      <c r="Q75" s="91">
        <f t="shared" si="34"/>
        <v>82711.8</v>
      </c>
      <c r="R75" s="91">
        <f t="shared" si="34"/>
        <v>87705.72</v>
      </c>
      <c r="S75" s="91">
        <f t="shared" si="34"/>
        <v>90514.8</v>
      </c>
      <c r="T75" s="91">
        <f t="shared" si="34"/>
        <v>78654.240000000005</v>
      </c>
      <c r="U75" s="91">
        <f t="shared" si="34"/>
        <v>84366.036000000007</v>
      </c>
      <c r="V75" s="91">
        <f t="shared" si="34"/>
        <v>89459.834400000007</v>
      </c>
      <c r="W75" s="91">
        <f t="shared" si="34"/>
        <v>92325.096000000005</v>
      </c>
      <c r="X75" s="91">
        <f t="shared" si="34"/>
        <v>80227.324800000002</v>
      </c>
      <c r="Y75" s="91">
        <f t="shared" si="34"/>
        <v>86053.356720000011</v>
      </c>
      <c r="Z75" s="91">
        <f t="shared" si="34"/>
        <v>91249.031088000003</v>
      </c>
      <c r="AA75" s="91">
        <f t="shared" si="34"/>
        <v>94171.597920000015</v>
      </c>
      <c r="AB75" s="91">
        <f t="shared" si="34"/>
        <v>81831.871295999998</v>
      </c>
      <c r="AC75" s="91">
        <f t="shared" si="34"/>
        <v>87774.423854400011</v>
      </c>
      <c r="AD75" s="91">
        <f t="shared" si="34"/>
        <v>93074.011709760001</v>
      </c>
      <c r="AE75" s="91">
        <f t="shared" si="34"/>
        <v>96055.029878400004</v>
      </c>
      <c r="AF75" s="91">
        <f t="shared" si="34"/>
        <v>83468.508721920007</v>
      </c>
      <c r="AG75" s="91">
        <f t="shared" si="34"/>
        <v>89529.912331488013</v>
      </c>
      <c r="AH75" s="91">
        <f t="shared" si="34"/>
        <v>94935.491943955203</v>
      </c>
      <c r="AI75" s="91">
        <f t="shared" si="34"/>
        <v>97976.130475968021</v>
      </c>
      <c r="AJ75" s="91">
        <f t="shared" si="34"/>
        <v>85137.878896358408</v>
      </c>
      <c r="AK75" s="91">
        <f t="shared" si="34"/>
        <v>91320.51057811777</v>
      </c>
      <c r="AL75" s="91">
        <f t="shared" si="34"/>
        <v>96834.201782834309</v>
      </c>
      <c r="AM75" s="91">
        <f t="shared" si="34"/>
        <v>99935.653085487385</v>
      </c>
      <c r="AN75" s="91">
        <f t="shared" si="34"/>
        <v>86840.636474285566</v>
      </c>
      <c r="AO75" s="91">
        <f t="shared" si="34"/>
        <v>93146.920789680124</v>
      </c>
      <c r="AP75" s="91">
        <f t="shared" si="34"/>
        <v>98770.885818490991</v>
      </c>
      <c r="AQ75" s="91">
        <f t="shared" si="34"/>
        <v>101934.36614719714</v>
      </c>
      <c r="AR75" s="91">
        <f t="shared" si="34"/>
        <v>88577.449203771292</v>
      </c>
      <c r="AS75" s="91">
        <f t="shared" si="34"/>
        <v>95009.859205473724</v>
      </c>
      <c r="AT75" s="91">
        <f t="shared" si="34"/>
        <v>100746.30353486081</v>
      </c>
      <c r="AU75" s="91">
        <f t="shared" si="34"/>
        <v>103973.05347014109</v>
      </c>
      <c r="AV75" s="91">
        <f t="shared" si="34"/>
        <v>90348.998187846722</v>
      </c>
      <c r="AW75" s="91">
        <f t="shared" si="34"/>
        <v>96910.056389583202</v>
      </c>
      <c r="AX75" s="91">
        <f t="shared" si="34"/>
        <v>102761.22960555804</v>
      </c>
      <c r="AY75" s="91">
        <f t="shared" si="34"/>
        <v>106052.51453954392</v>
      </c>
      <c r="AZ75" s="91">
        <f t="shared" si="34"/>
        <v>92155.97815160366</v>
      </c>
      <c r="BA75" s="91">
        <f t="shared" si="34"/>
        <v>98848.257517374877</v>
      </c>
      <c r="BB75" s="91">
        <f t="shared" si="34"/>
        <v>104816.4541976692</v>
      </c>
      <c r="BC75" s="91">
        <f t="shared" si="34"/>
        <v>108173.56483033481</v>
      </c>
      <c r="BD75" s="91">
        <f t="shared" si="34"/>
        <v>93999.097714635733</v>
      </c>
      <c r="BE75" s="91">
        <f t="shared" si="34"/>
        <v>100825.22266772237</v>
      </c>
      <c r="BF75" s="91">
        <f t="shared" si="34"/>
        <v>106912.78328162259</v>
      </c>
      <c r="BG75" s="91">
        <f t="shared" si="34"/>
        <v>110337.0361269415</v>
      </c>
      <c r="BH75" s="91">
        <f t="shared" si="34"/>
        <v>95879.079668928462</v>
      </c>
      <c r="BI75" s="91">
        <f t="shared" si="34"/>
        <v>102841.72712107682</v>
      </c>
      <c r="BJ75" s="91">
        <f t="shared" si="34"/>
        <v>109051.03894725505</v>
      </c>
      <c r="BK75" s="91">
        <f t="shared" si="34"/>
        <v>112543.77684948035</v>
      </c>
      <c r="BL75" s="91">
        <f t="shared" si="34"/>
        <v>97796.661262307025</v>
      </c>
      <c r="BM75" s="91">
        <f t="shared" si="34"/>
        <v>104898.56166349835</v>
      </c>
      <c r="BN75" s="91">
        <f t="shared" si="34"/>
        <v>111232.05972620015</v>
      </c>
      <c r="BO75" s="91">
        <f t="shared" si="34"/>
        <v>114794.65238646994</v>
      </c>
      <c r="BP75" s="91">
        <f t="shared" si="34"/>
        <v>99752.594487553171</v>
      </c>
    </row>
    <row r="76" spans="2:68">
      <c r="C76" s="61" t="s">
        <v>120</v>
      </c>
      <c r="G76" s="86">
        <f>MAX(I76:BP76,ABS(MIN(I76:BP76)))</f>
        <v>0</v>
      </c>
      <c r="I76" s="88">
        <f t="shared" ref="I76:BP76" si="35">I48-I75</f>
        <v>0</v>
      </c>
      <c r="J76" s="88">
        <f t="shared" si="35"/>
        <v>0</v>
      </c>
      <c r="K76" s="88">
        <f t="shared" si="35"/>
        <v>0</v>
      </c>
      <c r="L76" s="88">
        <f t="shared" si="35"/>
        <v>0</v>
      </c>
      <c r="M76" s="88">
        <f t="shared" si="35"/>
        <v>0</v>
      </c>
      <c r="N76" s="88">
        <f t="shared" si="35"/>
        <v>0</v>
      </c>
      <c r="O76" s="88">
        <f t="shared" si="35"/>
        <v>0</v>
      </c>
      <c r="P76" s="88">
        <f t="shared" si="35"/>
        <v>0</v>
      </c>
      <c r="Q76" s="88">
        <f t="shared" si="35"/>
        <v>0</v>
      </c>
      <c r="R76" s="88">
        <f t="shared" si="35"/>
        <v>0</v>
      </c>
      <c r="S76" s="88">
        <f t="shared" si="35"/>
        <v>0</v>
      </c>
      <c r="T76" s="88">
        <f t="shared" si="35"/>
        <v>0</v>
      </c>
      <c r="U76" s="88">
        <f t="shared" si="35"/>
        <v>0</v>
      </c>
      <c r="V76" s="88">
        <f t="shared" si="35"/>
        <v>0</v>
      </c>
      <c r="W76" s="88">
        <f t="shared" si="35"/>
        <v>0</v>
      </c>
      <c r="X76" s="88">
        <f t="shared" si="35"/>
        <v>0</v>
      </c>
      <c r="Y76" s="88">
        <f t="shared" si="35"/>
        <v>0</v>
      </c>
      <c r="Z76" s="88">
        <f t="shared" si="35"/>
        <v>0</v>
      </c>
      <c r="AA76" s="88">
        <f t="shared" si="35"/>
        <v>0</v>
      </c>
      <c r="AB76" s="88">
        <f t="shared" si="35"/>
        <v>0</v>
      </c>
      <c r="AC76" s="88">
        <f t="shared" si="35"/>
        <v>0</v>
      </c>
      <c r="AD76" s="88">
        <f t="shared" si="35"/>
        <v>0</v>
      </c>
      <c r="AE76" s="88">
        <f t="shared" si="35"/>
        <v>0</v>
      </c>
      <c r="AF76" s="88">
        <f t="shared" si="35"/>
        <v>0</v>
      </c>
      <c r="AG76" s="88">
        <f t="shared" si="35"/>
        <v>0</v>
      </c>
      <c r="AH76" s="88">
        <f t="shared" si="35"/>
        <v>0</v>
      </c>
      <c r="AI76" s="88">
        <f t="shared" si="35"/>
        <v>0</v>
      </c>
      <c r="AJ76" s="88">
        <f t="shared" si="35"/>
        <v>0</v>
      </c>
      <c r="AK76" s="88">
        <f t="shared" si="35"/>
        <v>0</v>
      </c>
      <c r="AL76" s="88">
        <f t="shared" si="35"/>
        <v>0</v>
      </c>
      <c r="AM76" s="88">
        <f t="shared" si="35"/>
        <v>0</v>
      </c>
      <c r="AN76" s="88">
        <f t="shared" si="35"/>
        <v>0</v>
      </c>
      <c r="AO76" s="88">
        <f t="shared" si="35"/>
        <v>0</v>
      </c>
      <c r="AP76" s="88">
        <f t="shared" si="35"/>
        <v>0</v>
      </c>
      <c r="AQ76" s="88">
        <f t="shared" si="35"/>
        <v>0</v>
      </c>
      <c r="AR76" s="88">
        <f t="shared" si="35"/>
        <v>0</v>
      </c>
      <c r="AS76" s="88">
        <f t="shared" si="35"/>
        <v>0</v>
      </c>
      <c r="AT76" s="88">
        <f t="shared" si="35"/>
        <v>0</v>
      </c>
      <c r="AU76" s="88">
        <f t="shared" si="35"/>
        <v>0</v>
      </c>
      <c r="AV76" s="88">
        <f t="shared" si="35"/>
        <v>0</v>
      </c>
      <c r="AW76" s="88">
        <f t="shared" si="35"/>
        <v>0</v>
      </c>
      <c r="AX76" s="88">
        <f t="shared" si="35"/>
        <v>0</v>
      </c>
      <c r="AY76" s="88">
        <f t="shared" si="35"/>
        <v>0</v>
      </c>
      <c r="AZ76" s="88">
        <f t="shared" si="35"/>
        <v>0</v>
      </c>
      <c r="BA76" s="88">
        <f t="shared" si="35"/>
        <v>0</v>
      </c>
      <c r="BB76" s="88">
        <f t="shared" si="35"/>
        <v>0</v>
      </c>
      <c r="BC76" s="88">
        <f t="shared" si="35"/>
        <v>0</v>
      </c>
      <c r="BD76" s="88">
        <f t="shared" si="35"/>
        <v>0</v>
      </c>
      <c r="BE76" s="88">
        <f t="shared" si="35"/>
        <v>0</v>
      </c>
      <c r="BF76" s="88">
        <f t="shared" si="35"/>
        <v>0</v>
      </c>
      <c r="BG76" s="88">
        <f t="shared" si="35"/>
        <v>0</v>
      </c>
      <c r="BH76" s="88">
        <f t="shared" si="35"/>
        <v>0</v>
      </c>
      <c r="BI76" s="88">
        <f t="shared" si="35"/>
        <v>0</v>
      </c>
      <c r="BJ76" s="88">
        <f t="shared" si="35"/>
        <v>0</v>
      </c>
      <c r="BK76" s="88">
        <f t="shared" si="35"/>
        <v>0</v>
      </c>
      <c r="BL76" s="88">
        <f t="shared" si="35"/>
        <v>0</v>
      </c>
      <c r="BM76" s="88">
        <f t="shared" si="35"/>
        <v>0</v>
      </c>
      <c r="BN76" s="88">
        <f t="shared" si="35"/>
        <v>0</v>
      </c>
      <c r="BO76" s="88">
        <f t="shared" si="35"/>
        <v>0</v>
      </c>
      <c r="BP76" s="88">
        <f t="shared" si="35"/>
        <v>0</v>
      </c>
    </row>
    <row r="77" spans="2:68">
      <c r="G77" s="86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</row>
    <row r="78" spans="2:68">
      <c r="C78" s="92" t="s">
        <v>121</v>
      </c>
      <c r="D78" s="92"/>
      <c r="E78" s="92"/>
      <c r="F78" s="92"/>
      <c r="G78" s="94"/>
      <c r="H78" s="94"/>
      <c r="I78" s="93">
        <f t="shared" ref="I78:BP78" si="36">SUMPRODUCT(I73:I74,I65:I66)</f>
        <v>2782500</v>
      </c>
      <c r="J78" s="93">
        <f t="shared" si="36"/>
        <v>2950500</v>
      </c>
      <c r="K78" s="93">
        <f t="shared" si="36"/>
        <v>3045000</v>
      </c>
      <c r="L78" s="93">
        <f t="shared" si="36"/>
        <v>2646000</v>
      </c>
      <c r="M78" s="93">
        <f t="shared" si="36"/>
        <v>2894913</v>
      </c>
      <c r="N78" s="93">
        <f t="shared" si="36"/>
        <v>3069700.2</v>
      </c>
      <c r="O78" s="93">
        <f t="shared" si="36"/>
        <v>3168018.0000000005</v>
      </c>
      <c r="P78" s="93">
        <f t="shared" si="36"/>
        <v>2752898.4000000004</v>
      </c>
      <c r="Q78" s="93">
        <f t="shared" si="36"/>
        <v>3011867.4852</v>
      </c>
      <c r="R78" s="93">
        <f t="shared" si="36"/>
        <v>3193716.0880800001</v>
      </c>
      <c r="S78" s="93">
        <f t="shared" si="36"/>
        <v>3297969.4410826489</v>
      </c>
      <c r="T78" s="93">
        <f t="shared" si="36"/>
        <v>2864115.4953600005</v>
      </c>
      <c r="U78" s="93">
        <f t="shared" si="36"/>
        <v>3133546.9316020804</v>
      </c>
      <c r="V78" s="93">
        <f t="shared" si="36"/>
        <v>3322742.2180384323</v>
      </c>
      <c r="W78" s="93">
        <f t="shared" si="36"/>
        <v>3435434.4060429097</v>
      </c>
      <c r="X78" s="93">
        <f t="shared" si="36"/>
        <v>2979825.7613725439</v>
      </c>
      <c r="Y78" s="93">
        <f t="shared" si="36"/>
        <v>3260142.2276388048</v>
      </c>
      <c r="Z78" s="93">
        <f t="shared" si="36"/>
        <v>3458936.617657986</v>
      </c>
      <c r="AA78" s="93">
        <f t="shared" si="36"/>
        <v>3574234.3061757493</v>
      </c>
      <c r="AB78" s="93">
        <f t="shared" si="36"/>
        <v>3100210.722131995</v>
      </c>
      <c r="AC78" s="93">
        <f t="shared" si="36"/>
        <v>3391851.9736354123</v>
      </c>
      <c r="AD78" s="93">
        <f t="shared" si="36"/>
        <v>3597941.4763005408</v>
      </c>
      <c r="AE78" s="93">
        <f t="shared" si="36"/>
        <v>3714395.6093031364</v>
      </c>
      <c r="AF78" s="93">
        <f t="shared" si="36"/>
        <v>3225459.2353061279</v>
      </c>
      <c r="AG78" s="93">
        <f t="shared" si="36"/>
        <v>3477603.4784012204</v>
      </c>
      <c r="AH78" s="93">
        <f t="shared" si="36"/>
        <v>3690668.0998877278</v>
      </c>
      <c r="AI78" s="93">
        <f t="shared" si="36"/>
        <v>3810516.9494738886</v>
      </c>
      <c r="AJ78" s="93">
        <f t="shared" si="36"/>
        <v>3304488.4734434327</v>
      </c>
      <c r="AK78" s="93">
        <f t="shared" si="36"/>
        <v>3538553.5735804848</v>
      </c>
      <c r="AL78" s="93">
        <f t="shared" si="36"/>
        <v>3760226.005775047</v>
      </c>
      <c r="AM78" s="93">
        <f t="shared" si="36"/>
        <v>3884916.7488844893</v>
      </c>
      <c r="AN78" s="93">
        <f t="shared" si="36"/>
        <v>3358444.7224224024</v>
      </c>
      <c r="AO78" s="93">
        <f t="shared" si="36"/>
        <v>3604529.4514457989</v>
      </c>
      <c r="AP78" s="93">
        <f t="shared" si="36"/>
        <v>3835157.4499010216</v>
      </c>
      <c r="AQ78" s="93">
        <f t="shared" si="36"/>
        <v>3964885.6990320859</v>
      </c>
      <c r="AR78" s="93">
        <f t="shared" si="36"/>
        <v>3417144.2027009306</v>
      </c>
      <c r="AS78" s="93">
        <f t="shared" si="36"/>
        <v>3675791.6262317374</v>
      </c>
      <c r="AT78" s="93">
        <f t="shared" si="36"/>
        <v>3915736.9958245507</v>
      </c>
      <c r="AU78" s="93">
        <f t="shared" si="36"/>
        <v>4050706.2662205105</v>
      </c>
      <c r="AV78" s="93">
        <f t="shared" si="36"/>
        <v>3480836.0134375766</v>
      </c>
      <c r="AW78" s="93">
        <f t="shared" si="36"/>
        <v>3752602.4765800145</v>
      </c>
      <c r="AX78" s="93">
        <f t="shared" si="36"/>
        <v>4002241.6391043784</v>
      </c>
      <c r="AY78" s="93">
        <f t="shared" si="36"/>
        <v>4142663.6680243341</v>
      </c>
      <c r="AZ78" s="93">
        <f t="shared" si="36"/>
        <v>3549770.6570289694</v>
      </c>
      <c r="BA78" s="93">
        <f t="shared" si="36"/>
        <v>3834271.7957781195</v>
      </c>
      <c r="BB78" s="93">
        <f t="shared" si="36"/>
        <v>4093996.3804684673</v>
      </c>
      <c r="BC78" s="93">
        <f t="shared" si="36"/>
        <v>4240091.4593567904</v>
      </c>
      <c r="BD78" s="93">
        <f t="shared" si="36"/>
        <v>3623245.5707172118</v>
      </c>
      <c r="BE78" s="93">
        <f t="shared" si="36"/>
        <v>3922097.2847043984</v>
      </c>
      <c r="BF78" s="93">
        <f t="shared" si="36"/>
        <v>4192314.7426162367</v>
      </c>
      <c r="BG78" s="93">
        <f t="shared" si="36"/>
        <v>4344312.0626916476</v>
      </c>
      <c r="BH78" s="93">
        <f t="shared" si="36"/>
        <v>3702545.6001510313</v>
      </c>
      <c r="BI78" s="93">
        <f t="shared" si="36"/>
        <v>4016348.0980130713</v>
      </c>
      <c r="BJ78" s="93">
        <f t="shared" si="36"/>
        <v>4297482.3412245475</v>
      </c>
      <c r="BK78" s="93">
        <f t="shared" si="36"/>
        <v>4455620.3530310057</v>
      </c>
      <c r="BL78" s="93">
        <f t="shared" si="36"/>
        <v>3787926.5254037473</v>
      </c>
      <c r="BM78" s="93">
        <f t="shared" si="36"/>
        <v>4116450.1293112165</v>
      </c>
      <c r="BN78" s="93">
        <f t="shared" si="36"/>
        <v>4408942.1959484369</v>
      </c>
      <c r="BO78" s="93">
        <f t="shared" si="36"/>
        <v>4573468.9834318748</v>
      </c>
      <c r="BP78" s="93">
        <f t="shared" si="36"/>
        <v>3878800.3251684764</v>
      </c>
    </row>
    <row r="79" spans="2:68">
      <c r="B79" s="77"/>
      <c r="C79" s="77"/>
      <c r="D79" s="77"/>
      <c r="E79" s="77"/>
      <c r="F79" s="77"/>
      <c r="G79" s="78"/>
      <c r="H79" s="78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</row>
    <row r="80" spans="2:68">
      <c r="B80" s="79"/>
      <c r="C80" s="79"/>
      <c r="D80" s="79"/>
      <c r="E80" s="79"/>
      <c r="F80" s="79"/>
      <c r="G80" s="80"/>
      <c r="H80" s="80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</row>
    <row r="81" spans="3:68">
      <c r="C81" s="70" t="s">
        <v>30</v>
      </c>
    </row>
    <row r="82" spans="3:68">
      <c r="D82" s="61" t="s">
        <v>102</v>
      </c>
      <c r="H82" s="86" t="str">
        <f>H33</f>
        <v>[slabs]</v>
      </c>
      <c r="I82" s="88">
        <f>I33</f>
        <v>26500</v>
      </c>
      <c r="J82" s="88">
        <f t="shared" ref="J82:BP82" si="37">J33</f>
        <v>28100</v>
      </c>
      <c r="K82" s="88">
        <f t="shared" si="37"/>
        <v>29000</v>
      </c>
      <c r="L82" s="88">
        <f t="shared" si="37"/>
        <v>25200</v>
      </c>
      <c r="M82" s="88">
        <f t="shared" si="37"/>
        <v>27030</v>
      </c>
      <c r="N82" s="88">
        <f t="shared" si="37"/>
        <v>28662</v>
      </c>
      <c r="O82" s="88">
        <f t="shared" si="37"/>
        <v>29580</v>
      </c>
      <c r="P82" s="88">
        <f t="shared" si="37"/>
        <v>25704</v>
      </c>
      <c r="Q82" s="88">
        <f t="shared" si="37"/>
        <v>27570.600000000002</v>
      </c>
      <c r="R82" s="88">
        <f t="shared" si="37"/>
        <v>29235.24</v>
      </c>
      <c r="S82" s="88">
        <f t="shared" si="37"/>
        <v>30171.600000000002</v>
      </c>
      <c r="T82" s="88">
        <f t="shared" si="37"/>
        <v>26218.080000000002</v>
      </c>
      <c r="U82" s="88">
        <f t="shared" si="37"/>
        <v>28122.012000000002</v>
      </c>
      <c r="V82" s="88">
        <f t="shared" si="37"/>
        <v>29819.944800000001</v>
      </c>
      <c r="W82" s="88">
        <f t="shared" si="37"/>
        <v>30775.032000000003</v>
      </c>
      <c r="X82" s="88">
        <f t="shared" si="37"/>
        <v>26742.441600000002</v>
      </c>
      <c r="Y82" s="88">
        <f t="shared" si="37"/>
        <v>28684.452240000002</v>
      </c>
      <c r="Z82" s="88">
        <f t="shared" si="37"/>
        <v>30416.343696</v>
      </c>
      <c r="AA82" s="88">
        <f t="shared" si="37"/>
        <v>31390.532640000005</v>
      </c>
      <c r="AB82" s="88">
        <f t="shared" si="37"/>
        <v>27277.290432000002</v>
      </c>
      <c r="AC82" s="88">
        <f t="shared" si="37"/>
        <v>29258.141284800004</v>
      </c>
      <c r="AD82" s="88">
        <f t="shared" si="37"/>
        <v>31024.670569919999</v>
      </c>
      <c r="AE82" s="88">
        <f t="shared" si="37"/>
        <v>32018.343292800004</v>
      </c>
      <c r="AF82" s="88">
        <f t="shared" si="37"/>
        <v>27822.836240640001</v>
      </c>
      <c r="AG82" s="88">
        <f t="shared" si="37"/>
        <v>29843.304110496003</v>
      </c>
      <c r="AH82" s="88">
        <f t="shared" si="37"/>
        <v>31645.163981318401</v>
      </c>
      <c r="AI82" s="88">
        <f t="shared" si="37"/>
        <v>32658.710158656006</v>
      </c>
      <c r="AJ82" s="88">
        <f t="shared" si="37"/>
        <v>28379.292965452802</v>
      </c>
      <c r="AK82" s="88">
        <f t="shared" si="37"/>
        <v>30440.170192705922</v>
      </c>
      <c r="AL82" s="88">
        <f t="shared" si="37"/>
        <v>32278.067260944768</v>
      </c>
      <c r="AM82" s="88">
        <f t="shared" si="37"/>
        <v>33311.884361829128</v>
      </c>
      <c r="AN82" s="88">
        <f t="shared" si="37"/>
        <v>28946.878824761858</v>
      </c>
      <c r="AO82" s="88">
        <f t="shared" si="37"/>
        <v>31048.973596560041</v>
      </c>
      <c r="AP82" s="88">
        <f t="shared" si="37"/>
        <v>32923.628606163664</v>
      </c>
      <c r="AQ82" s="88">
        <f t="shared" si="37"/>
        <v>33978.122049065714</v>
      </c>
      <c r="AR82" s="88">
        <f t="shared" si="37"/>
        <v>29525.816401257096</v>
      </c>
      <c r="AS82" s="88">
        <f t="shared" si="37"/>
        <v>31669.953068491242</v>
      </c>
      <c r="AT82" s="88">
        <f t="shared" si="37"/>
        <v>33582.101178286939</v>
      </c>
      <c r="AU82" s="88">
        <f t="shared" si="37"/>
        <v>34657.684490047031</v>
      </c>
      <c r="AV82" s="88">
        <f t="shared" si="37"/>
        <v>30116.33272928224</v>
      </c>
      <c r="AW82" s="88">
        <f t="shared" si="37"/>
        <v>32303.352129861069</v>
      </c>
      <c r="AX82" s="88">
        <f t="shared" si="37"/>
        <v>34253.743201852682</v>
      </c>
      <c r="AY82" s="88">
        <f t="shared" si="37"/>
        <v>35350.838179847975</v>
      </c>
      <c r="AZ82" s="88">
        <f t="shared" si="37"/>
        <v>30718.659383867885</v>
      </c>
      <c r="BA82" s="88">
        <f t="shared" si="37"/>
        <v>32949.419172458292</v>
      </c>
      <c r="BB82" s="88">
        <f t="shared" si="37"/>
        <v>34938.818065889733</v>
      </c>
      <c r="BC82" s="88">
        <f t="shared" si="37"/>
        <v>36057.854943444938</v>
      </c>
      <c r="BD82" s="88">
        <f t="shared" si="37"/>
        <v>31333.032571545245</v>
      </c>
      <c r="BE82" s="88">
        <f t="shared" si="37"/>
        <v>33608.407555907455</v>
      </c>
      <c r="BF82" s="88">
        <f t="shared" si="37"/>
        <v>35637.594427207528</v>
      </c>
      <c r="BG82" s="88">
        <f t="shared" si="37"/>
        <v>36779.012042313836</v>
      </c>
      <c r="BH82" s="88">
        <f t="shared" si="37"/>
        <v>31959.693222976151</v>
      </c>
      <c r="BI82" s="88">
        <f t="shared" si="37"/>
        <v>34280.575707025608</v>
      </c>
      <c r="BJ82" s="88">
        <f t="shared" si="37"/>
        <v>36350.346315751682</v>
      </c>
      <c r="BK82" s="88">
        <f t="shared" si="37"/>
        <v>37514.592283160113</v>
      </c>
      <c r="BL82" s="88">
        <f t="shared" si="37"/>
        <v>32598.887087435676</v>
      </c>
      <c r="BM82" s="88">
        <f t="shared" si="37"/>
        <v>34966.187221166118</v>
      </c>
      <c r="BN82" s="88">
        <f t="shared" si="37"/>
        <v>37077.353242066718</v>
      </c>
      <c r="BO82" s="88">
        <f t="shared" si="37"/>
        <v>38264.884128823316</v>
      </c>
      <c r="BP82" s="88">
        <f t="shared" si="37"/>
        <v>33250.864829184393</v>
      </c>
    </row>
    <row r="84" spans="3:68">
      <c r="D84" s="61" t="s">
        <v>122</v>
      </c>
    </row>
    <row r="85" spans="3:68">
      <c r="E85" s="95">
        <f>CaseData!G66</f>
        <v>1</v>
      </c>
      <c r="G85" s="112">
        <f>CaseData!I66</f>
        <v>25000</v>
      </c>
      <c r="H85" s="112" t="str">
        <f>CaseData!I65</f>
        <v>[# slabs / qtr]</v>
      </c>
      <c r="I85" s="88">
        <f>MIN($G85-$G84,I$82-SUM(I$84:I84))</f>
        <v>25000</v>
      </c>
      <c r="J85" s="88">
        <f>MIN($G85-$G84,J$82-SUM(J$84:J84))</f>
        <v>25000</v>
      </c>
      <c r="K85" s="88">
        <f>MIN($G85-$G84,K$82-SUM(K$84:K84))</f>
        <v>25000</v>
      </c>
      <c r="L85" s="88">
        <f>MIN($G85-$G84,L$82-SUM(L$84:L84))</f>
        <v>25000</v>
      </c>
      <c r="M85" s="88">
        <f>MIN($G85-$G84,M$82-SUM(M$84:M84))</f>
        <v>25000</v>
      </c>
      <c r="N85" s="88">
        <f>MIN($G85-$G84,N$82-SUM(N$84:N84))</f>
        <v>25000</v>
      </c>
      <c r="O85" s="88">
        <f>MIN($G85-$G84,O$82-SUM(O$84:O84))</f>
        <v>25000</v>
      </c>
      <c r="P85" s="88">
        <f>MIN($G85-$G84,P$82-SUM(P$84:P84))</f>
        <v>25000</v>
      </c>
      <c r="Q85" s="88">
        <f>MIN($G85-$G84,Q$82-SUM(Q$84:Q84))</f>
        <v>25000</v>
      </c>
      <c r="R85" s="88">
        <f>MIN($G85-$G84,R$82-SUM(R$84:R84))</f>
        <v>25000</v>
      </c>
      <c r="S85" s="88">
        <f>MIN($G85-$G84,S$82-SUM(S$84:S84))</f>
        <v>25000</v>
      </c>
      <c r="T85" s="88">
        <f>MIN($G85-$G84,T$82-SUM(T$84:T84))</f>
        <v>25000</v>
      </c>
      <c r="U85" s="88">
        <f>MIN($G85-$G84,U$82-SUM(U$84:U84))</f>
        <v>25000</v>
      </c>
      <c r="V85" s="88">
        <f>MIN($G85-$G84,V$82-SUM(V$84:V84))</f>
        <v>25000</v>
      </c>
      <c r="W85" s="88">
        <f>MIN($G85-$G84,W$82-SUM(W$84:W84))</f>
        <v>25000</v>
      </c>
      <c r="X85" s="88">
        <f>MIN($G85-$G84,X$82-SUM(X$84:X84))</f>
        <v>25000</v>
      </c>
      <c r="Y85" s="88">
        <f>MIN($G85-$G84,Y$82-SUM(Y$84:Y84))</f>
        <v>25000</v>
      </c>
      <c r="Z85" s="88">
        <f>MIN($G85-$G84,Z$82-SUM(Z$84:Z84))</f>
        <v>25000</v>
      </c>
      <c r="AA85" s="88">
        <f>MIN($G85-$G84,AA$82-SUM(AA$84:AA84))</f>
        <v>25000</v>
      </c>
      <c r="AB85" s="88">
        <f>MIN($G85-$G84,AB$82-SUM(AB$84:AB84))</f>
        <v>25000</v>
      </c>
      <c r="AC85" s="88">
        <f>MIN($G85-$G84,AC$82-SUM(AC$84:AC84))</f>
        <v>25000</v>
      </c>
      <c r="AD85" s="88">
        <f>MIN($G85-$G84,AD$82-SUM(AD$84:AD84))</f>
        <v>25000</v>
      </c>
      <c r="AE85" s="88">
        <f>MIN($G85-$G84,AE$82-SUM(AE$84:AE84))</f>
        <v>25000</v>
      </c>
      <c r="AF85" s="88">
        <f>MIN($G85-$G84,AF$82-SUM(AF$84:AF84))</f>
        <v>25000</v>
      </c>
      <c r="AG85" s="88">
        <f>MIN($G85-$G84,AG$82-SUM(AG$84:AG84))</f>
        <v>25000</v>
      </c>
      <c r="AH85" s="88">
        <f>MIN($G85-$G84,AH$82-SUM(AH$84:AH84))</f>
        <v>25000</v>
      </c>
      <c r="AI85" s="88">
        <f>MIN($G85-$G84,AI$82-SUM(AI$84:AI84))</f>
        <v>25000</v>
      </c>
      <c r="AJ85" s="88">
        <f>MIN($G85-$G84,AJ$82-SUM(AJ$84:AJ84))</f>
        <v>25000</v>
      </c>
      <c r="AK85" s="88">
        <f>MIN($G85-$G84,AK$82-SUM(AK$84:AK84))</f>
        <v>25000</v>
      </c>
      <c r="AL85" s="88">
        <f>MIN($G85-$G84,AL$82-SUM(AL$84:AL84))</f>
        <v>25000</v>
      </c>
      <c r="AM85" s="88">
        <f>MIN($G85-$G84,AM$82-SUM(AM$84:AM84))</f>
        <v>25000</v>
      </c>
      <c r="AN85" s="88">
        <f>MIN($G85-$G84,AN$82-SUM(AN$84:AN84))</f>
        <v>25000</v>
      </c>
      <c r="AO85" s="88">
        <f>MIN($G85-$G84,AO$82-SUM(AO$84:AO84))</f>
        <v>25000</v>
      </c>
      <c r="AP85" s="88">
        <f>MIN($G85-$G84,AP$82-SUM(AP$84:AP84))</f>
        <v>25000</v>
      </c>
      <c r="AQ85" s="88">
        <f>MIN($G85-$G84,AQ$82-SUM(AQ$84:AQ84))</f>
        <v>25000</v>
      </c>
      <c r="AR85" s="88">
        <f>MIN($G85-$G84,AR$82-SUM(AR$84:AR84))</f>
        <v>25000</v>
      </c>
      <c r="AS85" s="88">
        <f>MIN($G85-$G84,AS$82-SUM(AS$84:AS84))</f>
        <v>25000</v>
      </c>
      <c r="AT85" s="88">
        <f>MIN($G85-$G84,AT$82-SUM(AT$84:AT84))</f>
        <v>25000</v>
      </c>
      <c r="AU85" s="88">
        <f>MIN($G85-$G84,AU$82-SUM(AU$84:AU84))</f>
        <v>25000</v>
      </c>
      <c r="AV85" s="88">
        <f>MIN($G85-$G84,AV$82-SUM(AV$84:AV84))</f>
        <v>25000</v>
      </c>
      <c r="AW85" s="88">
        <f>MIN($G85-$G84,AW$82-SUM(AW$84:AW84))</f>
        <v>25000</v>
      </c>
      <c r="AX85" s="88">
        <f>MIN($G85-$G84,AX$82-SUM(AX$84:AX84))</f>
        <v>25000</v>
      </c>
      <c r="AY85" s="88">
        <f>MIN($G85-$G84,AY$82-SUM(AY$84:AY84))</f>
        <v>25000</v>
      </c>
      <c r="AZ85" s="88">
        <f>MIN($G85-$G84,AZ$82-SUM(AZ$84:AZ84))</f>
        <v>25000</v>
      </c>
      <c r="BA85" s="88">
        <f>MIN($G85-$G84,BA$82-SUM(BA$84:BA84))</f>
        <v>25000</v>
      </c>
      <c r="BB85" s="88">
        <f>MIN($G85-$G84,BB$82-SUM(BB$84:BB84))</f>
        <v>25000</v>
      </c>
      <c r="BC85" s="88">
        <f>MIN($G85-$G84,BC$82-SUM(BC$84:BC84))</f>
        <v>25000</v>
      </c>
      <c r="BD85" s="88">
        <f>MIN($G85-$G84,BD$82-SUM(BD$84:BD84))</f>
        <v>25000</v>
      </c>
      <c r="BE85" s="88">
        <f>MIN($G85-$G84,BE$82-SUM(BE$84:BE84))</f>
        <v>25000</v>
      </c>
      <c r="BF85" s="88">
        <f>MIN($G85-$G84,BF$82-SUM(BF$84:BF84))</f>
        <v>25000</v>
      </c>
      <c r="BG85" s="88">
        <f>MIN($G85-$G84,BG$82-SUM(BG$84:BG84))</f>
        <v>25000</v>
      </c>
      <c r="BH85" s="88">
        <f>MIN($G85-$G84,BH$82-SUM(BH$84:BH84))</f>
        <v>25000</v>
      </c>
      <c r="BI85" s="88">
        <f>MIN($G85-$G84,BI$82-SUM(BI$84:BI84))</f>
        <v>25000</v>
      </c>
      <c r="BJ85" s="88">
        <f>MIN($G85-$G84,BJ$82-SUM(BJ$84:BJ84))</f>
        <v>25000</v>
      </c>
      <c r="BK85" s="88">
        <f>MIN($G85-$G84,BK$82-SUM(BK$84:BK84))</f>
        <v>25000</v>
      </c>
      <c r="BL85" s="88">
        <f>MIN($G85-$G84,BL$82-SUM(BL$84:BL84))</f>
        <v>25000</v>
      </c>
      <c r="BM85" s="88">
        <f>MIN($G85-$G84,BM$82-SUM(BM$84:BM84))</f>
        <v>25000</v>
      </c>
      <c r="BN85" s="88">
        <f>MIN($G85-$G84,BN$82-SUM(BN$84:BN84))</f>
        <v>25000</v>
      </c>
      <c r="BO85" s="88">
        <f>MIN($G85-$G84,BO$82-SUM(BO$84:BO84))</f>
        <v>25000</v>
      </c>
      <c r="BP85" s="88">
        <f>MIN($G85-$G84,BP$82-SUM(BP$84:BP84))</f>
        <v>25000</v>
      </c>
    </row>
    <row r="86" spans="3:68">
      <c r="E86" s="95">
        <f>CaseData!G67</f>
        <v>2</v>
      </c>
      <c r="G86" s="112">
        <f>CaseData!I67</f>
        <v>30000</v>
      </c>
      <c r="H86" s="86" t="str">
        <f>H85</f>
        <v>[# slabs / qtr]</v>
      </c>
      <c r="I86" s="88">
        <f>MIN($G86-$G85,I$82-SUM(I$84:I85))</f>
        <v>1500</v>
      </c>
      <c r="J86" s="88">
        <f>MIN($G86-$G85,J$82-SUM(J$84:J85))</f>
        <v>3100</v>
      </c>
      <c r="K86" s="88">
        <f>MIN($G86-$G85,K$82-SUM(K$84:K85))</f>
        <v>4000</v>
      </c>
      <c r="L86" s="88">
        <f>MIN($G86-$G85,L$82-SUM(L$84:L85))</f>
        <v>200</v>
      </c>
      <c r="M86" s="88">
        <f>MIN($G86-$G85,M$82-SUM(M$84:M85))</f>
        <v>2030</v>
      </c>
      <c r="N86" s="88">
        <f>MIN($G86-$G85,N$82-SUM(N$84:N85))</f>
        <v>3662</v>
      </c>
      <c r="O86" s="88">
        <f>MIN($G86-$G85,O$82-SUM(O$84:O85))</f>
        <v>4580</v>
      </c>
      <c r="P86" s="88">
        <f>MIN($G86-$G85,P$82-SUM(P$84:P85))</f>
        <v>704</v>
      </c>
      <c r="Q86" s="88">
        <f>MIN($G86-$G85,Q$82-SUM(Q$84:Q85))</f>
        <v>2570.6000000000022</v>
      </c>
      <c r="R86" s="88">
        <f>MIN($G86-$G85,R$82-SUM(R$84:R85))</f>
        <v>4235.2400000000016</v>
      </c>
      <c r="S86" s="88">
        <f>MIN($G86-$G85,S$82-SUM(S$84:S85))</f>
        <v>5000</v>
      </c>
      <c r="T86" s="88">
        <f>MIN($G86-$G85,T$82-SUM(T$84:T85))</f>
        <v>1218.0800000000017</v>
      </c>
      <c r="U86" s="88">
        <f>MIN($G86-$G85,U$82-SUM(U$84:U85))</f>
        <v>3122.0120000000024</v>
      </c>
      <c r="V86" s="88">
        <f>MIN($G86-$G85,V$82-SUM(V$84:V85))</f>
        <v>4819.9448000000011</v>
      </c>
      <c r="W86" s="88">
        <f>MIN($G86-$G85,W$82-SUM(W$84:W85))</f>
        <v>5000</v>
      </c>
      <c r="X86" s="88">
        <f>MIN($G86-$G85,X$82-SUM(X$84:X85))</f>
        <v>1742.4416000000019</v>
      </c>
      <c r="Y86" s="88">
        <f>MIN($G86-$G85,Y$82-SUM(Y$84:Y85))</f>
        <v>3684.4522400000023</v>
      </c>
      <c r="Z86" s="88">
        <f>MIN($G86-$G85,Z$82-SUM(Z$84:Z85))</f>
        <v>5000</v>
      </c>
      <c r="AA86" s="88">
        <f>MIN($G86-$G85,AA$82-SUM(AA$84:AA85))</f>
        <v>5000</v>
      </c>
      <c r="AB86" s="88">
        <f>MIN($G86-$G85,AB$82-SUM(AB$84:AB85))</f>
        <v>2277.2904320000016</v>
      </c>
      <c r="AC86" s="88">
        <f>MIN($G86-$G85,AC$82-SUM(AC$84:AC85))</f>
        <v>4258.1412848000036</v>
      </c>
      <c r="AD86" s="88">
        <f>MIN($G86-$G85,AD$82-SUM(AD$84:AD85))</f>
        <v>5000</v>
      </c>
      <c r="AE86" s="88">
        <f>MIN($G86-$G85,AE$82-SUM(AE$84:AE85))</f>
        <v>5000</v>
      </c>
      <c r="AF86" s="88">
        <f>MIN($G86-$G85,AF$82-SUM(AF$84:AF85))</f>
        <v>2822.8362406400011</v>
      </c>
      <c r="AG86" s="88">
        <f>MIN($G86-$G85,AG$82-SUM(AG$84:AG85))</f>
        <v>4843.304110496003</v>
      </c>
      <c r="AH86" s="88">
        <f>MIN($G86-$G85,AH$82-SUM(AH$84:AH85))</f>
        <v>5000</v>
      </c>
      <c r="AI86" s="88">
        <f>MIN($G86-$G85,AI$82-SUM(AI$84:AI85))</f>
        <v>5000</v>
      </c>
      <c r="AJ86" s="88">
        <f>MIN($G86-$G85,AJ$82-SUM(AJ$84:AJ85))</f>
        <v>3379.2929654528016</v>
      </c>
      <c r="AK86" s="88">
        <f>MIN($G86-$G85,AK$82-SUM(AK$84:AK85))</f>
        <v>5000</v>
      </c>
      <c r="AL86" s="88">
        <f>MIN($G86-$G85,AL$82-SUM(AL$84:AL85))</f>
        <v>5000</v>
      </c>
      <c r="AM86" s="88">
        <f>MIN($G86-$G85,AM$82-SUM(AM$84:AM85))</f>
        <v>5000</v>
      </c>
      <c r="AN86" s="88">
        <f>MIN($G86-$G85,AN$82-SUM(AN$84:AN85))</f>
        <v>3946.8788247618577</v>
      </c>
      <c r="AO86" s="88">
        <f>MIN($G86-$G85,AO$82-SUM(AO$84:AO85))</f>
        <v>5000</v>
      </c>
      <c r="AP86" s="88">
        <f>MIN($G86-$G85,AP$82-SUM(AP$84:AP85))</f>
        <v>5000</v>
      </c>
      <c r="AQ86" s="88">
        <f>MIN($G86-$G85,AQ$82-SUM(AQ$84:AQ85))</f>
        <v>5000</v>
      </c>
      <c r="AR86" s="88">
        <f>MIN($G86-$G85,AR$82-SUM(AR$84:AR85))</f>
        <v>4525.816401257096</v>
      </c>
      <c r="AS86" s="88">
        <f>MIN($G86-$G85,AS$82-SUM(AS$84:AS85))</f>
        <v>5000</v>
      </c>
      <c r="AT86" s="88">
        <f>MIN($G86-$G85,AT$82-SUM(AT$84:AT85))</f>
        <v>5000</v>
      </c>
      <c r="AU86" s="88">
        <f>MIN($G86-$G85,AU$82-SUM(AU$84:AU85))</f>
        <v>5000</v>
      </c>
      <c r="AV86" s="88">
        <f>MIN($G86-$G85,AV$82-SUM(AV$84:AV85))</f>
        <v>5000</v>
      </c>
      <c r="AW86" s="88">
        <f>MIN($G86-$G85,AW$82-SUM(AW$84:AW85))</f>
        <v>5000</v>
      </c>
      <c r="AX86" s="88">
        <f>MIN($G86-$G85,AX$82-SUM(AX$84:AX85))</f>
        <v>5000</v>
      </c>
      <c r="AY86" s="88">
        <f>MIN($G86-$G85,AY$82-SUM(AY$84:AY85))</f>
        <v>5000</v>
      </c>
      <c r="AZ86" s="88">
        <f>MIN($G86-$G85,AZ$82-SUM(AZ$84:AZ85))</f>
        <v>5000</v>
      </c>
      <c r="BA86" s="88">
        <f>MIN($G86-$G85,BA$82-SUM(BA$84:BA85))</f>
        <v>5000</v>
      </c>
      <c r="BB86" s="88">
        <f>MIN($G86-$G85,BB$82-SUM(BB$84:BB85))</f>
        <v>5000</v>
      </c>
      <c r="BC86" s="88">
        <f>MIN($G86-$G85,BC$82-SUM(BC$84:BC85))</f>
        <v>5000</v>
      </c>
      <c r="BD86" s="88">
        <f>MIN($G86-$G85,BD$82-SUM(BD$84:BD85))</f>
        <v>5000</v>
      </c>
      <c r="BE86" s="88">
        <f>MIN($G86-$G85,BE$82-SUM(BE$84:BE85))</f>
        <v>5000</v>
      </c>
      <c r="BF86" s="88">
        <f>MIN($G86-$G85,BF$82-SUM(BF$84:BF85))</f>
        <v>5000</v>
      </c>
      <c r="BG86" s="88">
        <f>MIN($G86-$G85,BG$82-SUM(BG$84:BG85))</f>
        <v>5000</v>
      </c>
      <c r="BH86" s="88">
        <f>MIN($G86-$G85,BH$82-SUM(BH$84:BH85))</f>
        <v>5000</v>
      </c>
      <c r="BI86" s="88">
        <f>MIN($G86-$G85,BI$82-SUM(BI$84:BI85))</f>
        <v>5000</v>
      </c>
      <c r="BJ86" s="88">
        <f>MIN($G86-$G85,BJ$82-SUM(BJ$84:BJ85))</f>
        <v>5000</v>
      </c>
      <c r="BK86" s="88">
        <f>MIN($G86-$G85,BK$82-SUM(BK$84:BK85))</f>
        <v>5000</v>
      </c>
      <c r="BL86" s="88">
        <f>MIN($G86-$G85,BL$82-SUM(BL$84:BL85))</f>
        <v>5000</v>
      </c>
      <c r="BM86" s="88">
        <f>MIN($G86-$G85,BM$82-SUM(BM$84:BM85))</f>
        <v>5000</v>
      </c>
      <c r="BN86" s="88">
        <f>MIN($G86-$G85,BN$82-SUM(BN$84:BN85))</f>
        <v>5000</v>
      </c>
      <c r="BO86" s="88">
        <f>MIN($G86-$G85,BO$82-SUM(BO$84:BO85))</f>
        <v>5000</v>
      </c>
      <c r="BP86" s="88">
        <f>MIN($G86-$G85,BP$82-SUM(BP$84:BP85))</f>
        <v>5000</v>
      </c>
    </row>
    <row r="87" spans="3:68">
      <c r="E87" s="95">
        <f>CaseData!G68</f>
        <v>3</v>
      </c>
      <c r="G87" s="112">
        <f>CaseData!I68</f>
        <v>34000</v>
      </c>
      <c r="H87" s="86" t="str">
        <f t="shared" ref="H87:H88" si="38">H86</f>
        <v>[# slabs / qtr]</v>
      </c>
      <c r="I87" s="88">
        <f>MIN($G87-$G86,I$82-SUM(I$84:I86))</f>
        <v>0</v>
      </c>
      <c r="J87" s="88">
        <f>MIN($G87-$G86,J$82-SUM(J$84:J86))</f>
        <v>0</v>
      </c>
      <c r="K87" s="88">
        <f>MIN($G87-$G86,K$82-SUM(K$84:K86))</f>
        <v>0</v>
      </c>
      <c r="L87" s="88">
        <f>MIN($G87-$G86,L$82-SUM(L$84:L86))</f>
        <v>0</v>
      </c>
      <c r="M87" s="88">
        <f>MIN($G87-$G86,M$82-SUM(M$84:M86))</f>
        <v>0</v>
      </c>
      <c r="N87" s="88">
        <f>MIN($G87-$G86,N$82-SUM(N$84:N86))</f>
        <v>0</v>
      </c>
      <c r="O87" s="88">
        <f>MIN($G87-$G86,O$82-SUM(O$84:O86))</f>
        <v>0</v>
      </c>
      <c r="P87" s="88">
        <f>MIN($G87-$G86,P$82-SUM(P$84:P86))</f>
        <v>0</v>
      </c>
      <c r="Q87" s="88">
        <f>MIN($G87-$G86,Q$82-SUM(Q$84:Q86))</f>
        <v>0</v>
      </c>
      <c r="R87" s="88">
        <f>MIN($G87-$G86,R$82-SUM(R$84:R86))</f>
        <v>0</v>
      </c>
      <c r="S87" s="88">
        <f>MIN($G87-$G86,S$82-SUM(S$84:S86))</f>
        <v>171.60000000000218</v>
      </c>
      <c r="T87" s="88">
        <f>MIN($G87-$G86,T$82-SUM(T$84:T86))</f>
        <v>0</v>
      </c>
      <c r="U87" s="88">
        <f>MIN($G87-$G86,U$82-SUM(U$84:U86))</f>
        <v>0</v>
      </c>
      <c r="V87" s="88">
        <f>MIN($G87-$G86,V$82-SUM(V$84:V86))</f>
        <v>0</v>
      </c>
      <c r="W87" s="88">
        <f>MIN($G87-$G86,W$82-SUM(W$84:W86))</f>
        <v>775.03200000000288</v>
      </c>
      <c r="X87" s="88">
        <f>MIN($G87-$G86,X$82-SUM(X$84:X86))</f>
        <v>0</v>
      </c>
      <c r="Y87" s="88">
        <f>MIN($G87-$G86,Y$82-SUM(Y$84:Y86))</f>
        <v>0</v>
      </c>
      <c r="Z87" s="88">
        <f>MIN($G87-$G86,Z$82-SUM(Z$84:Z86))</f>
        <v>416.34369599999991</v>
      </c>
      <c r="AA87" s="88">
        <f>MIN($G87-$G86,AA$82-SUM(AA$84:AA86))</f>
        <v>1390.5326400000049</v>
      </c>
      <c r="AB87" s="88">
        <f>MIN($G87-$G86,AB$82-SUM(AB$84:AB86))</f>
        <v>0</v>
      </c>
      <c r="AC87" s="88">
        <f>MIN($G87-$G86,AC$82-SUM(AC$84:AC86))</f>
        <v>0</v>
      </c>
      <c r="AD87" s="88">
        <f>MIN($G87-$G86,AD$82-SUM(AD$84:AD86))</f>
        <v>1024.6705699199993</v>
      </c>
      <c r="AE87" s="88">
        <f>MIN($G87-$G86,AE$82-SUM(AE$84:AE86))</f>
        <v>2018.3432928000038</v>
      </c>
      <c r="AF87" s="88">
        <f>MIN($G87-$G86,AF$82-SUM(AF$84:AF86))</f>
        <v>0</v>
      </c>
      <c r="AG87" s="88">
        <f>MIN($G87-$G86,AG$82-SUM(AG$84:AG86))</f>
        <v>0</v>
      </c>
      <c r="AH87" s="88">
        <f>MIN($G87-$G86,AH$82-SUM(AH$84:AH86))</f>
        <v>1645.1639813184011</v>
      </c>
      <c r="AI87" s="88">
        <f>MIN($G87-$G86,AI$82-SUM(AI$84:AI86))</f>
        <v>2658.7101586560057</v>
      </c>
      <c r="AJ87" s="88">
        <f>MIN($G87-$G86,AJ$82-SUM(AJ$84:AJ86))</f>
        <v>0</v>
      </c>
      <c r="AK87" s="88">
        <f>MIN($G87-$G86,AK$82-SUM(AK$84:AK86))</f>
        <v>440.17019270592209</v>
      </c>
      <c r="AL87" s="88">
        <f>MIN($G87-$G86,AL$82-SUM(AL$84:AL86))</f>
        <v>2278.0672609447683</v>
      </c>
      <c r="AM87" s="88">
        <f>MIN($G87-$G86,AM$82-SUM(AM$84:AM86))</f>
        <v>3311.8843618291285</v>
      </c>
      <c r="AN87" s="88">
        <f>MIN($G87-$G86,AN$82-SUM(AN$84:AN86))</f>
        <v>0</v>
      </c>
      <c r="AO87" s="88">
        <f>MIN($G87-$G86,AO$82-SUM(AO$84:AO86))</f>
        <v>1048.9735965600412</v>
      </c>
      <c r="AP87" s="88">
        <f>MIN($G87-$G86,AP$82-SUM(AP$84:AP86))</f>
        <v>2923.6286061636638</v>
      </c>
      <c r="AQ87" s="88">
        <f>MIN($G87-$G86,AQ$82-SUM(AQ$84:AQ86))</f>
        <v>3978.1220490657142</v>
      </c>
      <c r="AR87" s="88">
        <f>MIN($G87-$G86,AR$82-SUM(AR$84:AR86))</f>
        <v>0</v>
      </c>
      <c r="AS87" s="88">
        <f>MIN($G87-$G86,AS$82-SUM(AS$84:AS86))</f>
        <v>1669.9530684912424</v>
      </c>
      <c r="AT87" s="88">
        <f>MIN($G87-$G86,AT$82-SUM(AT$84:AT86))</f>
        <v>3582.1011782869391</v>
      </c>
      <c r="AU87" s="88">
        <f>MIN($G87-$G86,AU$82-SUM(AU$84:AU86))</f>
        <v>4000</v>
      </c>
      <c r="AV87" s="88">
        <f>MIN($G87-$G86,AV$82-SUM(AV$84:AV86))</f>
        <v>116.3327292822396</v>
      </c>
      <c r="AW87" s="88">
        <f>MIN($G87-$G86,AW$82-SUM(AW$84:AW86))</f>
        <v>2303.3521298610685</v>
      </c>
      <c r="AX87" s="88">
        <f>MIN($G87-$G86,AX$82-SUM(AX$84:AX86))</f>
        <v>4000</v>
      </c>
      <c r="AY87" s="88">
        <f>MIN($G87-$G86,AY$82-SUM(AY$84:AY86))</f>
        <v>4000</v>
      </c>
      <c r="AZ87" s="88">
        <f>MIN($G87-$G86,AZ$82-SUM(AZ$84:AZ86))</f>
        <v>718.65938386788548</v>
      </c>
      <c r="BA87" s="88">
        <f>MIN($G87-$G86,BA$82-SUM(BA$84:BA86))</f>
        <v>2949.4191724582925</v>
      </c>
      <c r="BB87" s="88">
        <f>MIN($G87-$G86,BB$82-SUM(BB$84:BB86))</f>
        <v>4000</v>
      </c>
      <c r="BC87" s="88">
        <f>MIN($G87-$G86,BC$82-SUM(BC$84:BC86))</f>
        <v>4000</v>
      </c>
      <c r="BD87" s="88">
        <f>MIN($G87-$G86,BD$82-SUM(BD$84:BD86))</f>
        <v>1333.0325715452454</v>
      </c>
      <c r="BE87" s="88">
        <f>MIN($G87-$G86,BE$82-SUM(BE$84:BE86))</f>
        <v>3608.4075559074554</v>
      </c>
      <c r="BF87" s="88">
        <f>MIN($G87-$G86,BF$82-SUM(BF$84:BF86))</f>
        <v>4000</v>
      </c>
      <c r="BG87" s="88">
        <f>MIN($G87-$G86,BG$82-SUM(BG$84:BG86))</f>
        <v>4000</v>
      </c>
      <c r="BH87" s="88">
        <f>MIN($G87-$G86,BH$82-SUM(BH$84:BH86))</f>
        <v>1959.6932229761514</v>
      </c>
      <c r="BI87" s="88">
        <f>MIN($G87-$G86,BI$82-SUM(BI$84:BI86))</f>
        <v>4000</v>
      </c>
      <c r="BJ87" s="88">
        <f>MIN($G87-$G86,BJ$82-SUM(BJ$84:BJ86))</f>
        <v>4000</v>
      </c>
      <c r="BK87" s="88">
        <f>MIN($G87-$G86,BK$82-SUM(BK$84:BK86))</f>
        <v>4000</v>
      </c>
      <c r="BL87" s="88">
        <f>MIN($G87-$G86,BL$82-SUM(BL$84:BL86))</f>
        <v>2598.8870874356762</v>
      </c>
      <c r="BM87" s="88">
        <f>MIN($G87-$G86,BM$82-SUM(BM$84:BM86))</f>
        <v>4000</v>
      </c>
      <c r="BN87" s="88">
        <f>MIN($G87-$G86,BN$82-SUM(BN$84:BN86))</f>
        <v>4000</v>
      </c>
      <c r="BO87" s="88">
        <f>MIN($G87-$G86,BO$82-SUM(BO$84:BO86))</f>
        <v>4000</v>
      </c>
      <c r="BP87" s="88">
        <f>MIN($G87-$G86,BP$82-SUM(BP$84:BP86))</f>
        <v>3250.8648291843929</v>
      </c>
    </row>
    <row r="88" spans="3:68">
      <c r="E88" s="95">
        <f>CaseData!G69</f>
        <v>4</v>
      </c>
      <c r="G88" s="112">
        <f>CaseData!I69</f>
        <v>999999</v>
      </c>
      <c r="H88" s="86" t="str">
        <f t="shared" si="38"/>
        <v>[# slabs / qtr]</v>
      </c>
      <c r="I88" s="88">
        <f>MIN($G88-$G87,I$82-SUM(I$84:I87))</f>
        <v>0</v>
      </c>
      <c r="J88" s="88">
        <f>MIN($G88-$G87,J$82-SUM(J$84:J87))</f>
        <v>0</v>
      </c>
      <c r="K88" s="88">
        <f>MIN($G88-$G87,K$82-SUM(K$84:K87))</f>
        <v>0</v>
      </c>
      <c r="L88" s="88">
        <f>MIN($G88-$G87,L$82-SUM(L$84:L87))</f>
        <v>0</v>
      </c>
      <c r="M88" s="88">
        <f>MIN($G88-$G87,M$82-SUM(M$84:M87))</f>
        <v>0</v>
      </c>
      <c r="N88" s="88">
        <f>MIN($G88-$G87,N$82-SUM(N$84:N87))</f>
        <v>0</v>
      </c>
      <c r="O88" s="88">
        <f>MIN($G88-$G87,O$82-SUM(O$84:O87))</f>
        <v>0</v>
      </c>
      <c r="P88" s="88">
        <f>MIN($G88-$G87,P$82-SUM(P$84:P87))</f>
        <v>0</v>
      </c>
      <c r="Q88" s="88">
        <f>MIN($G88-$G87,Q$82-SUM(Q$84:Q87))</f>
        <v>0</v>
      </c>
      <c r="R88" s="88">
        <f>MIN($G88-$G87,R$82-SUM(R$84:R87))</f>
        <v>0</v>
      </c>
      <c r="S88" s="88">
        <f>MIN($G88-$G87,S$82-SUM(S$84:S87))</f>
        <v>0</v>
      </c>
      <c r="T88" s="88">
        <f>MIN($G88-$G87,T$82-SUM(T$84:T87))</f>
        <v>0</v>
      </c>
      <c r="U88" s="88">
        <f>MIN($G88-$G87,U$82-SUM(U$84:U87))</f>
        <v>0</v>
      </c>
      <c r="V88" s="88">
        <f>MIN($G88-$G87,V$82-SUM(V$84:V87))</f>
        <v>0</v>
      </c>
      <c r="W88" s="88">
        <f>MIN($G88-$G87,W$82-SUM(W$84:W87))</f>
        <v>0</v>
      </c>
      <c r="X88" s="88">
        <f>MIN($G88-$G87,X$82-SUM(X$84:X87))</f>
        <v>0</v>
      </c>
      <c r="Y88" s="88">
        <f>MIN($G88-$G87,Y$82-SUM(Y$84:Y87))</f>
        <v>0</v>
      </c>
      <c r="Z88" s="88">
        <f>MIN($G88-$G87,Z$82-SUM(Z$84:Z87))</f>
        <v>0</v>
      </c>
      <c r="AA88" s="88">
        <f>MIN($G88-$G87,AA$82-SUM(AA$84:AA87))</f>
        <v>0</v>
      </c>
      <c r="AB88" s="88">
        <f>MIN($G88-$G87,AB$82-SUM(AB$84:AB87))</f>
        <v>0</v>
      </c>
      <c r="AC88" s="88">
        <f>MIN($G88-$G87,AC$82-SUM(AC$84:AC87))</f>
        <v>0</v>
      </c>
      <c r="AD88" s="88">
        <f>MIN($G88-$G87,AD$82-SUM(AD$84:AD87))</f>
        <v>0</v>
      </c>
      <c r="AE88" s="88">
        <f>MIN($G88-$G87,AE$82-SUM(AE$84:AE87))</f>
        <v>0</v>
      </c>
      <c r="AF88" s="88">
        <f>MIN($G88-$G87,AF$82-SUM(AF$84:AF87))</f>
        <v>0</v>
      </c>
      <c r="AG88" s="88">
        <f>MIN($G88-$G87,AG$82-SUM(AG$84:AG87))</f>
        <v>0</v>
      </c>
      <c r="AH88" s="88">
        <f>MIN($G88-$G87,AH$82-SUM(AH$84:AH87))</f>
        <v>0</v>
      </c>
      <c r="AI88" s="88">
        <f>MIN($G88-$G87,AI$82-SUM(AI$84:AI87))</f>
        <v>0</v>
      </c>
      <c r="AJ88" s="88">
        <f>MIN($G88-$G87,AJ$82-SUM(AJ$84:AJ87))</f>
        <v>0</v>
      </c>
      <c r="AK88" s="88">
        <f>MIN($G88-$G87,AK$82-SUM(AK$84:AK87))</f>
        <v>0</v>
      </c>
      <c r="AL88" s="88">
        <f>MIN($G88-$G87,AL$82-SUM(AL$84:AL87))</f>
        <v>0</v>
      </c>
      <c r="AM88" s="88">
        <f>MIN($G88-$G87,AM$82-SUM(AM$84:AM87))</f>
        <v>0</v>
      </c>
      <c r="AN88" s="88">
        <f>MIN($G88-$G87,AN$82-SUM(AN$84:AN87))</f>
        <v>0</v>
      </c>
      <c r="AO88" s="88">
        <f>MIN($G88-$G87,AO$82-SUM(AO$84:AO87))</f>
        <v>0</v>
      </c>
      <c r="AP88" s="88">
        <f>MIN($G88-$G87,AP$82-SUM(AP$84:AP87))</f>
        <v>0</v>
      </c>
      <c r="AQ88" s="88">
        <f>MIN($G88-$G87,AQ$82-SUM(AQ$84:AQ87))</f>
        <v>0</v>
      </c>
      <c r="AR88" s="88">
        <f>MIN($G88-$G87,AR$82-SUM(AR$84:AR87))</f>
        <v>0</v>
      </c>
      <c r="AS88" s="88">
        <f>MIN($G88-$G87,AS$82-SUM(AS$84:AS87))</f>
        <v>0</v>
      </c>
      <c r="AT88" s="88">
        <f>MIN($G88-$G87,AT$82-SUM(AT$84:AT87))</f>
        <v>0</v>
      </c>
      <c r="AU88" s="88">
        <f>MIN($G88-$G87,AU$82-SUM(AU$84:AU87))</f>
        <v>657.68449004703143</v>
      </c>
      <c r="AV88" s="88">
        <f>MIN($G88-$G87,AV$82-SUM(AV$84:AV87))</f>
        <v>0</v>
      </c>
      <c r="AW88" s="88">
        <f>MIN($G88-$G87,AW$82-SUM(AW$84:AW87))</f>
        <v>0</v>
      </c>
      <c r="AX88" s="88">
        <f>MIN($G88-$G87,AX$82-SUM(AX$84:AX87))</f>
        <v>253.74320185268152</v>
      </c>
      <c r="AY88" s="88">
        <f>MIN($G88-$G87,AY$82-SUM(AY$84:AY87))</f>
        <v>1350.838179847975</v>
      </c>
      <c r="AZ88" s="88">
        <f>MIN($G88-$G87,AZ$82-SUM(AZ$84:AZ87))</f>
        <v>0</v>
      </c>
      <c r="BA88" s="88">
        <f>MIN($G88-$G87,BA$82-SUM(BA$84:BA87))</f>
        <v>0</v>
      </c>
      <c r="BB88" s="88">
        <f>MIN($G88-$G87,BB$82-SUM(BB$84:BB87))</f>
        <v>938.81806588973268</v>
      </c>
      <c r="BC88" s="88">
        <f>MIN($G88-$G87,BC$82-SUM(BC$84:BC87))</f>
        <v>2057.8549434449378</v>
      </c>
      <c r="BD88" s="88">
        <f>MIN($G88-$G87,BD$82-SUM(BD$84:BD87))</f>
        <v>0</v>
      </c>
      <c r="BE88" s="88">
        <f>MIN($G88-$G87,BE$82-SUM(BE$84:BE87))</f>
        <v>0</v>
      </c>
      <c r="BF88" s="88">
        <f>MIN($G88-$G87,BF$82-SUM(BF$84:BF87))</f>
        <v>1637.5944272075285</v>
      </c>
      <c r="BG88" s="88">
        <f>MIN($G88-$G87,BG$82-SUM(BG$84:BG87))</f>
        <v>2779.012042313836</v>
      </c>
      <c r="BH88" s="88">
        <f>MIN($G88-$G87,BH$82-SUM(BH$84:BH87))</f>
        <v>0</v>
      </c>
      <c r="BI88" s="88">
        <f>MIN($G88-$G87,BI$82-SUM(BI$84:BI87))</f>
        <v>280.5757070256077</v>
      </c>
      <c r="BJ88" s="88">
        <f>MIN($G88-$G87,BJ$82-SUM(BJ$84:BJ87))</f>
        <v>2350.3463157516817</v>
      </c>
      <c r="BK88" s="88">
        <f>MIN($G88-$G87,BK$82-SUM(BK$84:BK87))</f>
        <v>3514.5922831601129</v>
      </c>
      <c r="BL88" s="88">
        <f>MIN($G88-$G87,BL$82-SUM(BL$84:BL87))</f>
        <v>0</v>
      </c>
      <c r="BM88" s="88">
        <f>MIN($G88-$G87,BM$82-SUM(BM$84:BM87))</f>
        <v>966.18722116611752</v>
      </c>
      <c r="BN88" s="88">
        <f>MIN($G88-$G87,BN$82-SUM(BN$84:BN87))</f>
        <v>3077.3532420667179</v>
      </c>
      <c r="BO88" s="88">
        <f>MIN($G88-$G87,BO$82-SUM(BO$84:BO87))</f>
        <v>4264.8841288233161</v>
      </c>
      <c r="BP88" s="88">
        <f>MIN($G88-$G87,BP$82-SUM(BP$84:BP87))</f>
        <v>0</v>
      </c>
    </row>
    <row r="89" spans="3:68">
      <c r="E89" s="61" t="s">
        <v>94</v>
      </c>
      <c r="H89" s="86"/>
      <c r="I89" s="91">
        <f>SUM(I85:I88)</f>
        <v>26500</v>
      </c>
      <c r="J89" s="91">
        <f t="shared" ref="J89:BP89" si="39">SUM(J85:J88)</f>
        <v>28100</v>
      </c>
      <c r="K89" s="91">
        <f t="shared" si="39"/>
        <v>29000</v>
      </c>
      <c r="L89" s="91">
        <f t="shared" si="39"/>
        <v>25200</v>
      </c>
      <c r="M89" s="91">
        <f t="shared" si="39"/>
        <v>27030</v>
      </c>
      <c r="N89" s="91">
        <f t="shared" si="39"/>
        <v>28662</v>
      </c>
      <c r="O89" s="91">
        <f t="shared" si="39"/>
        <v>29580</v>
      </c>
      <c r="P89" s="91">
        <f t="shared" si="39"/>
        <v>25704</v>
      </c>
      <c r="Q89" s="91">
        <f t="shared" si="39"/>
        <v>27570.600000000002</v>
      </c>
      <c r="R89" s="91">
        <f t="shared" si="39"/>
        <v>29235.24</v>
      </c>
      <c r="S89" s="91">
        <f t="shared" si="39"/>
        <v>30171.600000000002</v>
      </c>
      <c r="T89" s="91">
        <f t="shared" si="39"/>
        <v>26218.080000000002</v>
      </c>
      <c r="U89" s="91">
        <f t="shared" si="39"/>
        <v>28122.012000000002</v>
      </c>
      <c r="V89" s="91">
        <f t="shared" si="39"/>
        <v>29819.944800000001</v>
      </c>
      <c r="W89" s="91">
        <f t="shared" si="39"/>
        <v>30775.032000000003</v>
      </c>
      <c r="X89" s="91">
        <f t="shared" si="39"/>
        <v>26742.441600000002</v>
      </c>
      <c r="Y89" s="91">
        <f t="shared" si="39"/>
        <v>28684.452240000002</v>
      </c>
      <c r="Z89" s="91">
        <f t="shared" si="39"/>
        <v>30416.343696</v>
      </c>
      <c r="AA89" s="91">
        <f t="shared" si="39"/>
        <v>31390.532640000005</v>
      </c>
      <c r="AB89" s="91">
        <f t="shared" si="39"/>
        <v>27277.290432000002</v>
      </c>
      <c r="AC89" s="91">
        <f t="shared" si="39"/>
        <v>29258.141284800004</v>
      </c>
      <c r="AD89" s="91">
        <f t="shared" si="39"/>
        <v>31024.670569919999</v>
      </c>
      <c r="AE89" s="91">
        <f t="shared" si="39"/>
        <v>32018.343292800004</v>
      </c>
      <c r="AF89" s="91">
        <f t="shared" si="39"/>
        <v>27822.836240640001</v>
      </c>
      <c r="AG89" s="91">
        <f t="shared" si="39"/>
        <v>29843.304110496003</v>
      </c>
      <c r="AH89" s="91">
        <f t="shared" si="39"/>
        <v>31645.163981318401</v>
      </c>
      <c r="AI89" s="91">
        <f t="shared" si="39"/>
        <v>32658.710158656006</v>
      </c>
      <c r="AJ89" s="91">
        <f t="shared" si="39"/>
        <v>28379.292965452802</v>
      </c>
      <c r="AK89" s="91">
        <f t="shared" si="39"/>
        <v>30440.170192705922</v>
      </c>
      <c r="AL89" s="91">
        <f t="shared" si="39"/>
        <v>32278.067260944768</v>
      </c>
      <c r="AM89" s="91">
        <f t="shared" si="39"/>
        <v>33311.884361829128</v>
      </c>
      <c r="AN89" s="91">
        <f t="shared" si="39"/>
        <v>28946.878824761858</v>
      </c>
      <c r="AO89" s="91">
        <f t="shared" si="39"/>
        <v>31048.973596560041</v>
      </c>
      <c r="AP89" s="91">
        <f t="shared" si="39"/>
        <v>32923.628606163664</v>
      </c>
      <c r="AQ89" s="91">
        <f t="shared" si="39"/>
        <v>33978.122049065714</v>
      </c>
      <c r="AR89" s="91">
        <f t="shared" si="39"/>
        <v>29525.816401257096</v>
      </c>
      <c r="AS89" s="91">
        <f t="shared" si="39"/>
        <v>31669.953068491242</v>
      </c>
      <c r="AT89" s="91">
        <f t="shared" si="39"/>
        <v>33582.101178286939</v>
      </c>
      <c r="AU89" s="91">
        <f t="shared" si="39"/>
        <v>34657.684490047031</v>
      </c>
      <c r="AV89" s="91">
        <f t="shared" si="39"/>
        <v>30116.33272928224</v>
      </c>
      <c r="AW89" s="91">
        <f t="shared" si="39"/>
        <v>32303.352129861069</v>
      </c>
      <c r="AX89" s="91">
        <f t="shared" si="39"/>
        <v>34253.743201852682</v>
      </c>
      <c r="AY89" s="91">
        <f t="shared" si="39"/>
        <v>35350.838179847975</v>
      </c>
      <c r="AZ89" s="91">
        <f t="shared" si="39"/>
        <v>30718.659383867885</v>
      </c>
      <c r="BA89" s="91">
        <f t="shared" si="39"/>
        <v>32949.419172458292</v>
      </c>
      <c r="BB89" s="91">
        <f t="shared" si="39"/>
        <v>34938.818065889733</v>
      </c>
      <c r="BC89" s="91">
        <f t="shared" si="39"/>
        <v>36057.854943444938</v>
      </c>
      <c r="BD89" s="91">
        <f t="shared" si="39"/>
        <v>31333.032571545245</v>
      </c>
      <c r="BE89" s="91">
        <f t="shared" si="39"/>
        <v>33608.407555907455</v>
      </c>
      <c r="BF89" s="91">
        <f t="shared" si="39"/>
        <v>35637.594427207528</v>
      </c>
      <c r="BG89" s="91">
        <f t="shared" si="39"/>
        <v>36779.012042313836</v>
      </c>
      <c r="BH89" s="91">
        <f t="shared" si="39"/>
        <v>31959.693222976151</v>
      </c>
      <c r="BI89" s="91">
        <f t="shared" si="39"/>
        <v>34280.575707025608</v>
      </c>
      <c r="BJ89" s="91">
        <f t="shared" si="39"/>
        <v>36350.346315751682</v>
      </c>
      <c r="BK89" s="91">
        <f t="shared" si="39"/>
        <v>37514.592283160113</v>
      </c>
      <c r="BL89" s="91">
        <f t="shared" si="39"/>
        <v>32598.887087435676</v>
      </c>
      <c r="BM89" s="91">
        <f t="shared" si="39"/>
        <v>34966.187221166118</v>
      </c>
      <c r="BN89" s="91">
        <f t="shared" si="39"/>
        <v>37077.353242066718</v>
      </c>
      <c r="BO89" s="91">
        <f t="shared" si="39"/>
        <v>38264.884128823316</v>
      </c>
      <c r="BP89" s="91">
        <f t="shared" si="39"/>
        <v>33250.864829184393</v>
      </c>
    </row>
    <row r="90" spans="3:68">
      <c r="E90" s="61" t="s">
        <v>120</v>
      </c>
      <c r="G90" s="86">
        <f>MAX(I90:BP90,ABS(MIN(I90:BP90)))</f>
        <v>0</v>
      </c>
      <c r="I90" s="88">
        <f>I82-I89</f>
        <v>0</v>
      </c>
      <c r="J90" s="88">
        <f t="shared" ref="J90:BP90" si="40">J82-J89</f>
        <v>0</v>
      </c>
      <c r="K90" s="88">
        <f t="shared" si="40"/>
        <v>0</v>
      </c>
      <c r="L90" s="88">
        <f t="shared" si="40"/>
        <v>0</v>
      </c>
      <c r="M90" s="88">
        <f t="shared" si="40"/>
        <v>0</v>
      </c>
      <c r="N90" s="88">
        <f t="shared" si="40"/>
        <v>0</v>
      </c>
      <c r="O90" s="88">
        <f t="shared" si="40"/>
        <v>0</v>
      </c>
      <c r="P90" s="88">
        <f t="shared" si="40"/>
        <v>0</v>
      </c>
      <c r="Q90" s="88">
        <f t="shared" si="40"/>
        <v>0</v>
      </c>
      <c r="R90" s="88">
        <f t="shared" si="40"/>
        <v>0</v>
      </c>
      <c r="S90" s="88">
        <f t="shared" si="40"/>
        <v>0</v>
      </c>
      <c r="T90" s="88">
        <f t="shared" si="40"/>
        <v>0</v>
      </c>
      <c r="U90" s="88">
        <f t="shared" si="40"/>
        <v>0</v>
      </c>
      <c r="V90" s="88">
        <f t="shared" si="40"/>
        <v>0</v>
      </c>
      <c r="W90" s="88">
        <f t="shared" si="40"/>
        <v>0</v>
      </c>
      <c r="X90" s="88">
        <f t="shared" si="40"/>
        <v>0</v>
      </c>
      <c r="Y90" s="88">
        <f t="shared" si="40"/>
        <v>0</v>
      </c>
      <c r="Z90" s="88">
        <f t="shared" si="40"/>
        <v>0</v>
      </c>
      <c r="AA90" s="88">
        <f t="shared" si="40"/>
        <v>0</v>
      </c>
      <c r="AB90" s="88">
        <f t="shared" si="40"/>
        <v>0</v>
      </c>
      <c r="AC90" s="88">
        <f t="shared" si="40"/>
        <v>0</v>
      </c>
      <c r="AD90" s="88">
        <f t="shared" si="40"/>
        <v>0</v>
      </c>
      <c r="AE90" s="88">
        <f t="shared" si="40"/>
        <v>0</v>
      </c>
      <c r="AF90" s="88">
        <f t="shared" si="40"/>
        <v>0</v>
      </c>
      <c r="AG90" s="88">
        <f t="shared" si="40"/>
        <v>0</v>
      </c>
      <c r="AH90" s="88">
        <f t="shared" si="40"/>
        <v>0</v>
      </c>
      <c r="AI90" s="88">
        <f t="shared" si="40"/>
        <v>0</v>
      </c>
      <c r="AJ90" s="88">
        <f t="shared" si="40"/>
        <v>0</v>
      </c>
      <c r="AK90" s="88">
        <f t="shared" si="40"/>
        <v>0</v>
      </c>
      <c r="AL90" s="88">
        <f t="shared" si="40"/>
        <v>0</v>
      </c>
      <c r="AM90" s="88">
        <f t="shared" si="40"/>
        <v>0</v>
      </c>
      <c r="AN90" s="88">
        <f t="shared" si="40"/>
        <v>0</v>
      </c>
      <c r="AO90" s="88">
        <f t="shared" si="40"/>
        <v>0</v>
      </c>
      <c r="AP90" s="88">
        <f t="shared" si="40"/>
        <v>0</v>
      </c>
      <c r="AQ90" s="88">
        <f t="shared" si="40"/>
        <v>0</v>
      </c>
      <c r="AR90" s="88">
        <f t="shared" si="40"/>
        <v>0</v>
      </c>
      <c r="AS90" s="88">
        <f t="shared" si="40"/>
        <v>0</v>
      </c>
      <c r="AT90" s="88">
        <f t="shared" si="40"/>
        <v>0</v>
      </c>
      <c r="AU90" s="88">
        <f t="shared" si="40"/>
        <v>0</v>
      </c>
      <c r="AV90" s="88">
        <f t="shared" si="40"/>
        <v>0</v>
      </c>
      <c r="AW90" s="88">
        <f t="shared" si="40"/>
        <v>0</v>
      </c>
      <c r="AX90" s="88">
        <f t="shared" si="40"/>
        <v>0</v>
      </c>
      <c r="AY90" s="88">
        <f t="shared" si="40"/>
        <v>0</v>
      </c>
      <c r="AZ90" s="88">
        <f t="shared" si="40"/>
        <v>0</v>
      </c>
      <c r="BA90" s="88">
        <f t="shared" si="40"/>
        <v>0</v>
      </c>
      <c r="BB90" s="88">
        <f t="shared" si="40"/>
        <v>0</v>
      </c>
      <c r="BC90" s="88">
        <f t="shared" si="40"/>
        <v>0</v>
      </c>
      <c r="BD90" s="88">
        <f t="shared" si="40"/>
        <v>0</v>
      </c>
      <c r="BE90" s="88">
        <f t="shared" si="40"/>
        <v>0</v>
      </c>
      <c r="BF90" s="88">
        <f t="shared" si="40"/>
        <v>0</v>
      </c>
      <c r="BG90" s="88">
        <f t="shared" si="40"/>
        <v>0</v>
      </c>
      <c r="BH90" s="88">
        <f t="shared" si="40"/>
        <v>0</v>
      </c>
      <c r="BI90" s="88">
        <f t="shared" si="40"/>
        <v>0</v>
      </c>
      <c r="BJ90" s="88">
        <f t="shared" si="40"/>
        <v>0</v>
      </c>
      <c r="BK90" s="88">
        <f t="shared" si="40"/>
        <v>0</v>
      </c>
      <c r="BL90" s="88">
        <f t="shared" si="40"/>
        <v>0</v>
      </c>
      <c r="BM90" s="88">
        <f t="shared" si="40"/>
        <v>0</v>
      </c>
      <c r="BN90" s="88">
        <f t="shared" si="40"/>
        <v>0</v>
      </c>
      <c r="BO90" s="88">
        <f t="shared" si="40"/>
        <v>0</v>
      </c>
      <c r="BP90" s="88">
        <f t="shared" si="40"/>
        <v>0</v>
      </c>
    </row>
    <row r="92" spans="3:68">
      <c r="D92" s="70" t="s">
        <v>123</v>
      </c>
    </row>
    <row r="93" spans="3:68">
      <c r="E93" s="61" t="s">
        <v>124</v>
      </c>
      <c r="I93" s="74">
        <f>I$38</f>
        <v>0</v>
      </c>
      <c r="J93" s="74">
        <f t="shared" ref="J93:BP93" si="41">J$38</f>
        <v>0</v>
      </c>
      <c r="K93" s="74">
        <f t="shared" si="41"/>
        <v>0</v>
      </c>
      <c r="L93" s="74">
        <f t="shared" si="41"/>
        <v>0</v>
      </c>
      <c r="M93" s="74">
        <f t="shared" si="41"/>
        <v>0.02</v>
      </c>
      <c r="N93" s="74">
        <f t="shared" si="41"/>
        <v>0</v>
      </c>
      <c r="O93" s="74">
        <f t="shared" si="41"/>
        <v>0</v>
      </c>
      <c r="P93" s="74">
        <f t="shared" si="41"/>
        <v>0</v>
      </c>
      <c r="Q93" s="74">
        <f t="shared" si="41"/>
        <v>0.02</v>
      </c>
      <c r="R93" s="74">
        <f t="shared" si="41"/>
        <v>0</v>
      </c>
      <c r="S93" s="74">
        <f t="shared" si="41"/>
        <v>0</v>
      </c>
      <c r="T93" s="74">
        <f t="shared" si="41"/>
        <v>0</v>
      </c>
      <c r="U93" s="74">
        <f t="shared" si="41"/>
        <v>0.02</v>
      </c>
      <c r="V93" s="74">
        <f t="shared" si="41"/>
        <v>0</v>
      </c>
      <c r="W93" s="74">
        <f t="shared" si="41"/>
        <v>0</v>
      </c>
      <c r="X93" s="74">
        <f t="shared" si="41"/>
        <v>0</v>
      </c>
      <c r="Y93" s="74">
        <f t="shared" si="41"/>
        <v>0.02</v>
      </c>
      <c r="Z93" s="74">
        <f t="shared" si="41"/>
        <v>0</v>
      </c>
      <c r="AA93" s="74">
        <f t="shared" si="41"/>
        <v>0</v>
      </c>
      <c r="AB93" s="74">
        <f t="shared" si="41"/>
        <v>0</v>
      </c>
      <c r="AC93" s="74">
        <f t="shared" si="41"/>
        <v>0.02</v>
      </c>
      <c r="AD93" s="74">
        <f t="shared" si="41"/>
        <v>0</v>
      </c>
      <c r="AE93" s="74">
        <f t="shared" si="41"/>
        <v>0</v>
      </c>
      <c r="AF93" s="74">
        <f t="shared" si="41"/>
        <v>0</v>
      </c>
      <c r="AG93" s="74">
        <f t="shared" si="41"/>
        <v>0.02</v>
      </c>
      <c r="AH93" s="74">
        <f t="shared" si="41"/>
        <v>0</v>
      </c>
      <c r="AI93" s="74">
        <f t="shared" si="41"/>
        <v>0</v>
      </c>
      <c r="AJ93" s="74">
        <f t="shared" si="41"/>
        <v>0</v>
      </c>
      <c r="AK93" s="74">
        <f t="shared" si="41"/>
        <v>0.02</v>
      </c>
      <c r="AL93" s="74">
        <f t="shared" si="41"/>
        <v>0</v>
      </c>
      <c r="AM93" s="74">
        <f t="shared" si="41"/>
        <v>0</v>
      </c>
      <c r="AN93" s="74">
        <f t="shared" si="41"/>
        <v>0</v>
      </c>
      <c r="AO93" s="74">
        <f t="shared" si="41"/>
        <v>0.02</v>
      </c>
      <c r="AP93" s="74">
        <f t="shared" si="41"/>
        <v>0</v>
      </c>
      <c r="AQ93" s="74">
        <f t="shared" si="41"/>
        <v>0</v>
      </c>
      <c r="AR93" s="74">
        <f t="shared" si="41"/>
        <v>0</v>
      </c>
      <c r="AS93" s="74">
        <f t="shared" si="41"/>
        <v>0.02</v>
      </c>
      <c r="AT93" s="74">
        <f t="shared" si="41"/>
        <v>0</v>
      </c>
      <c r="AU93" s="74">
        <f t="shared" si="41"/>
        <v>0</v>
      </c>
      <c r="AV93" s="74">
        <f t="shared" si="41"/>
        <v>0</v>
      </c>
      <c r="AW93" s="74">
        <f t="shared" si="41"/>
        <v>0.02</v>
      </c>
      <c r="AX93" s="74">
        <f t="shared" si="41"/>
        <v>0</v>
      </c>
      <c r="AY93" s="74">
        <f t="shared" si="41"/>
        <v>0</v>
      </c>
      <c r="AZ93" s="74">
        <f t="shared" si="41"/>
        <v>0</v>
      </c>
      <c r="BA93" s="74">
        <f t="shared" si="41"/>
        <v>0.02</v>
      </c>
      <c r="BB93" s="74">
        <f t="shared" si="41"/>
        <v>0</v>
      </c>
      <c r="BC93" s="74">
        <f t="shared" si="41"/>
        <v>0</v>
      </c>
      <c r="BD93" s="74">
        <f t="shared" si="41"/>
        <v>0</v>
      </c>
      <c r="BE93" s="74">
        <f t="shared" si="41"/>
        <v>0.02</v>
      </c>
      <c r="BF93" s="74">
        <f t="shared" si="41"/>
        <v>0</v>
      </c>
      <c r="BG93" s="74">
        <f t="shared" si="41"/>
        <v>0</v>
      </c>
      <c r="BH93" s="74">
        <f t="shared" si="41"/>
        <v>0</v>
      </c>
      <c r="BI93" s="74">
        <f t="shared" si="41"/>
        <v>0.02</v>
      </c>
      <c r="BJ93" s="74">
        <f t="shared" si="41"/>
        <v>0</v>
      </c>
      <c r="BK93" s="74">
        <f t="shared" si="41"/>
        <v>0</v>
      </c>
      <c r="BL93" s="74">
        <f t="shared" si="41"/>
        <v>0</v>
      </c>
      <c r="BM93" s="74">
        <f t="shared" si="41"/>
        <v>0.02</v>
      </c>
      <c r="BN93" s="74">
        <f t="shared" si="41"/>
        <v>0</v>
      </c>
      <c r="BO93" s="74">
        <f t="shared" si="41"/>
        <v>0</v>
      </c>
      <c r="BP93" s="74">
        <f t="shared" si="41"/>
        <v>0</v>
      </c>
    </row>
    <row r="95" spans="3:68">
      <c r="E95" s="96">
        <f>E85</f>
        <v>1</v>
      </c>
      <c r="G95" s="110">
        <f>CaseData!J66</f>
        <v>100</v>
      </c>
      <c r="H95" s="112" t="str">
        <f>CaseData!J65</f>
        <v>[$ / slab]</v>
      </c>
      <c r="I95" s="87">
        <f>G95</f>
        <v>100</v>
      </c>
      <c r="J95" s="87">
        <f>I95*(1+J$93)</f>
        <v>100</v>
      </c>
      <c r="K95" s="87">
        <f t="shared" ref="K95:Z98" si="42">J95*(1+K$93)</f>
        <v>100</v>
      </c>
      <c r="L95" s="87">
        <f t="shared" si="42"/>
        <v>100</v>
      </c>
      <c r="M95" s="87">
        <f t="shared" si="42"/>
        <v>102</v>
      </c>
      <c r="N95" s="87">
        <f t="shared" si="42"/>
        <v>102</v>
      </c>
      <c r="O95" s="87">
        <f t="shared" si="42"/>
        <v>102</v>
      </c>
      <c r="P95" s="87">
        <f t="shared" si="42"/>
        <v>102</v>
      </c>
      <c r="Q95" s="87">
        <f t="shared" si="42"/>
        <v>104.04</v>
      </c>
      <c r="R95" s="87">
        <f t="shared" si="42"/>
        <v>104.04</v>
      </c>
      <c r="S95" s="87">
        <f t="shared" si="42"/>
        <v>104.04</v>
      </c>
      <c r="T95" s="87">
        <f t="shared" si="42"/>
        <v>104.04</v>
      </c>
      <c r="U95" s="87">
        <f t="shared" si="42"/>
        <v>106.1208</v>
      </c>
      <c r="V95" s="87">
        <f t="shared" si="42"/>
        <v>106.1208</v>
      </c>
      <c r="W95" s="87">
        <f t="shared" si="42"/>
        <v>106.1208</v>
      </c>
      <c r="X95" s="87">
        <f t="shared" si="42"/>
        <v>106.1208</v>
      </c>
      <c r="Y95" s="87">
        <f t="shared" si="42"/>
        <v>108.243216</v>
      </c>
      <c r="Z95" s="87">
        <f t="shared" si="42"/>
        <v>108.243216</v>
      </c>
      <c r="AA95" s="87">
        <f t="shared" ref="AA95:AP98" si="43">Z95*(1+AA$93)</f>
        <v>108.243216</v>
      </c>
      <c r="AB95" s="87">
        <f t="shared" si="43"/>
        <v>108.243216</v>
      </c>
      <c r="AC95" s="87">
        <f t="shared" si="43"/>
        <v>110.40808032000001</v>
      </c>
      <c r="AD95" s="87">
        <f t="shared" si="43"/>
        <v>110.40808032000001</v>
      </c>
      <c r="AE95" s="87">
        <f t="shared" si="43"/>
        <v>110.40808032000001</v>
      </c>
      <c r="AF95" s="87">
        <f t="shared" si="43"/>
        <v>110.40808032000001</v>
      </c>
      <c r="AG95" s="87">
        <f t="shared" si="43"/>
        <v>112.61624192640001</v>
      </c>
      <c r="AH95" s="87">
        <f t="shared" si="43"/>
        <v>112.61624192640001</v>
      </c>
      <c r="AI95" s="87">
        <f t="shared" si="43"/>
        <v>112.61624192640001</v>
      </c>
      <c r="AJ95" s="87">
        <f t="shared" si="43"/>
        <v>112.61624192640001</v>
      </c>
      <c r="AK95" s="87">
        <f t="shared" si="43"/>
        <v>114.868566764928</v>
      </c>
      <c r="AL95" s="87">
        <f t="shared" si="43"/>
        <v>114.868566764928</v>
      </c>
      <c r="AM95" s="87">
        <f t="shared" si="43"/>
        <v>114.868566764928</v>
      </c>
      <c r="AN95" s="87">
        <f t="shared" si="43"/>
        <v>114.868566764928</v>
      </c>
      <c r="AO95" s="87">
        <f t="shared" si="43"/>
        <v>117.16593810022657</v>
      </c>
      <c r="AP95" s="87">
        <f t="shared" si="43"/>
        <v>117.16593810022657</v>
      </c>
      <c r="AQ95" s="87">
        <f t="shared" ref="AQ95:BF98" si="44">AP95*(1+AQ$93)</f>
        <v>117.16593810022657</v>
      </c>
      <c r="AR95" s="87">
        <f t="shared" si="44"/>
        <v>117.16593810022657</v>
      </c>
      <c r="AS95" s="87">
        <f t="shared" si="44"/>
        <v>119.5092568622311</v>
      </c>
      <c r="AT95" s="87">
        <f t="shared" si="44"/>
        <v>119.5092568622311</v>
      </c>
      <c r="AU95" s="87">
        <f t="shared" si="44"/>
        <v>119.5092568622311</v>
      </c>
      <c r="AV95" s="87">
        <f t="shared" si="44"/>
        <v>119.5092568622311</v>
      </c>
      <c r="AW95" s="87">
        <f t="shared" si="44"/>
        <v>121.89944199947573</v>
      </c>
      <c r="AX95" s="87">
        <f t="shared" si="44"/>
        <v>121.89944199947573</v>
      </c>
      <c r="AY95" s="87">
        <f t="shared" si="44"/>
        <v>121.89944199947573</v>
      </c>
      <c r="AZ95" s="87">
        <f t="shared" si="44"/>
        <v>121.89944199947573</v>
      </c>
      <c r="BA95" s="87">
        <f t="shared" si="44"/>
        <v>124.33743083946524</v>
      </c>
      <c r="BB95" s="87">
        <f t="shared" si="44"/>
        <v>124.33743083946524</v>
      </c>
      <c r="BC95" s="87">
        <f t="shared" si="44"/>
        <v>124.33743083946524</v>
      </c>
      <c r="BD95" s="87">
        <f t="shared" si="44"/>
        <v>124.33743083946524</v>
      </c>
      <c r="BE95" s="87">
        <f t="shared" si="44"/>
        <v>126.82417945625456</v>
      </c>
      <c r="BF95" s="87">
        <f t="shared" si="44"/>
        <v>126.82417945625456</v>
      </c>
      <c r="BG95" s="87">
        <f t="shared" ref="BG95:BP98" si="45">BF95*(1+BG$93)</f>
        <v>126.82417945625456</v>
      </c>
      <c r="BH95" s="87">
        <f t="shared" si="45"/>
        <v>126.82417945625456</v>
      </c>
      <c r="BI95" s="87">
        <f t="shared" si="45"/>
        <v>129.36066304537965</v>
      </c>
      <c r="BJ95" s="87">
        <f t="shared" si="45"/>
        <v>129.36066304537965</v>
      </c>
      <c r="BK95" s="87">
        <f t="shared" si="45"/>
        <v>129.36066304537965</v>
      </c>
      <c r="BL95" s="87">
        <f t="shared" si="45"/>
        <v>129.36066304537965</v>
      </c>
      <c r="BM95" s="87">
        <f t="shared" si="45"/>
        <v>131.94787630628724</v>
      </c>
      <c r="BN95" s="87">
        <f t="shared" si="45"/>
        <v>131.94787630628724</v>
      </c>
      <c r="BO95" s="87">
        <f t="shared" si="45"/>
        <v>131.94787630628724</v>
      </c>
      <c r="BP95" s="87">
        <f t="shared" si="45"/>
        <v>131.94787630628724</v>
      </c>
    </row>
    <row r="96" spans="3:68">
      <c r="E96" s="96">
        <f>E86</f>
        <v>2</v>
      </c>
      <c r="G96" s="110">
        <f>CaseData!J67</f>
        <v>90</v>
      </c>
      <c r="H96" s="62" t="str">
        <f>H95</f>
        <v>[$ / slab]</v>
      </c>
      <c r="I96" s="87">
        <f t="shared" ref="I96:I98" si="46">G96</f>
        <v>90</v>
      </c>
      <c r="J96" s="87">
        <f t="shared" ref="J96:Y98" si="47">I96*(1+J$93)</f>
        <v>90</v>
      </c>
      <c r="K96" s="87">
        <f t="shared" si="47"/>
        <v>90</v>
      </c>
      <c r="L96" s="87">
        <f t="shared" si="47"/>
        <v>90</v>
      </c>
      <c r="M96" s="87">
        <f t="shared" si="47"/>
        <v>91.8</v>
      </c>
      <c r="N96" s="87">
        <f t="shared" si="47"/>
        <v>91.8</v>
      </c>
      <c r="O96" s="87">
        <f t="shared" si="47"/>
        <v>91.8</v>
      </c>
      <c r="P96" s="87">
        <f t="shared" si="47"/>
        <v>91.8</v>
      </c>
      <c r="Q96" s="87">
        <f t="shared" si="47"/>
        <v>93.635999999999996</v>
      </c>
      <c r="R96" s="87">
        <f t="shared" si="47"/>
        <v>93.635999999999996</v>
      </c>
      <c r="S96" s="87">
        <f t="shared" si="47"/>
        <v>93.635999999999996</v>
      </c>
      <c r="T96" s="87">
        <f t="shared" si="47"/>
        <v>93.635999999999996</v>
      </c>
      <c r="U96" s="87">
        <f t="shared" si="47"/>
        <v>95.508719999999997</v>
      </c>
      <c r="V96" s="87">
        <f t="shared" si="47"/>
        <v>95.508719999999997</v>
      </c>
      <c r="W96" s="87">
        <f t="shared" si="47"/>
        <v>95.508719999999997</v>
      </c>
      <c r="X96" s="87">
        <f t="shared" si="47"/>
        <v>95.508719999999997</v>
      </c>
      <c r="Y96" s="87">
        <f t="shared" si="47"/>
        <v>97.418894399999999</v>
      </c>
      <c r="Z96" s="87">
        <f t="shared" si="42"/>
        <v>97.418894399999999</v>
      </c>
      <c r="AA96" s="87">
        <f t="shared" si="43"/>
        <v>97.418894399999999</v>
      </c>
      <c r="AB96" s="87">
        <f t="shared" si="43"/>
        <v>97.418894399999999</v>
      </c>
      <c r="AC96" s="87">
        <f t="shared" si="43"/>
        <v>99.367272287999995</v>
      </c>
      <c r="AD96" s="87">
        <f t="shared" si="43"/>
        <v>99.367272287999995</v>
      </c>
      <c r="AE96" s="87">
        <f t="shared" si="43"/>
        <v>99.367272287999995</v>
      </c>
      <c r="AF96" s="87">
        <f t="shared" si="43"/>
        <v>99.367272287999995</v>
      </c>
      <c r="AG96" s="87">
        <f t="shared" si="43"/>
        <v>101.35461773375999</v>
      </c>
      <c r="AH96" s="87">
        <f t="shared" si="43"/>
        <v>101.35461773375999</v>
      </c>
      <c r="AI96" s="87">
        <f t="shared" si="43"/>
        <v>101.35461773375999</v>
      </c>
      <c r="AJ96" s="87">
        <f t="shared" si="43"/>
        <v>101.35461773375999</v>
      </c>
      <c r="AK96" s="87">
        <f t="shared" si="43"/>
        <v>103.3817100884352</v>
      </c>
      <c r="AL96" s="87">
        <f t="shared" si="43"/>
        <v>103.3817100884352</v>
      </c>
      <c r="AM96" s="87">
        <f t="shared" si="43"/>
        <v>103.3817100884352</v>
      </c>
      <c r="AN96" s="87">
        <f t="shared" si="43"/>
        <v>103.3817100884352</v>
      </c>
      <c r="AO96" s="87">
        <f t="shared" si="43"/>
        <v>105.44934429020391</v>
      </c>
      <c r="AP96" s="87">
        <f t="shared" si="43"/>
        <v>105.44934429020391</v>
      </c>
      <c r="AQ96" s="87">
        <f t="shared" si="44"/>
        <v>105.44934429020391</v>
      </c>
      <c r="AR96" s="87">
        <f t="shared" si="44"/>
        <v>105.44934429020391</v>
      </c>
      <c r="AS96" s="87">
        <f t="shared" si="44"/>
        <v>107.558331176008</v>
      </c>
      <c r="AT96" s="87">
        <f t="shared" si="44"/>
        <v>107.558331176008</v>
      </c>
      <c r="AU96" s="87">
        <f t="shared" si="44"/>
        <v>107.558331176008</v>
      </c>
      <c r="AV96" s="87">
        <f t="shared" si="44"/>
        <v>107.558331176008</v>
      </c>
      <c r="AW96" s="87">
        <f t="shared" si="44"/>
        <v>109.70949779952817</v>
      </c>
      <c r="AX96" s="87">
        <f t="shared" si="44"/>
        <v>109.70949779952817</v>
      </c>
      <c r="AY96" s="87">
        <f t="shared" si="44"/>
        <v>109.70949779952817</v>
      </c>
      <c r="AZ96" s="87">
        <f t="shared" si="44"/>
        <v>109.70949779952817</v>
      </c>
      <c r="BA96" s="87">
        <f t="shared" si="44"/>
        <v>111.90368775551873</v>
      </c>
      <c r="BB96" s="87">
        <f t="shared" si="44"/>
        <v>111.90368775551873</v>
      </c>
      <c r="BC96" s="87">
        <f t="shared" si="44"/>
        <v>111.90368775551873</v>
      </c>
      <c r="BD96" s="87">
        <f t="shared" si="44"/>
        <v>111.90368775551873</v>
      </c>
      <c r="BE96" s="87">
        <f t="shared" si="44"/>
        <v>114.14176151062911</v>
      </c>
      <c r="BF96" s="87">
        <f t="shared" si="44"/>
        <v>114.14176151062911</v>
      </c>
      <c r="BG96" s="87">
        <f t="shared" si="45"/>
        <v>114.14176151062911</v>
      </c>
      <c r="BH96" s="87">
        <f t="shared" si="45"/>
        <v>114.14176151062911</v>
      </c>
      <c r="BI96" s="87">
        <f t="shared" si="45"/>
        <v>116.42459674084169</v>
      </c>
      <c r="BJ96" s="87">
        <f t="shared" si="45"/>
        <v>116.42459674084169</v>
      </c>
      <c r="BK96" s="87">
        <f t="shared" si="45"/>
        <v>116.42459674084169</v>
      </c>
      <c r="BL96" s="87">
        <f t="shared" si="45"/>
        <v>116.42459674084169</v>
      </c>
      <c r="BM96" s="87">
        <f t="shared" si="45"/>
        <v>118.75308867565853</v>
      </c>
      <c r="BN96" s="87">
        <f t="shared" si="45"/>
        <v>118.75308867565853</v>
      </c>
      <c r="BO96" s="87">
        <f t="shared" si="45"/>
        <v>118.75308867565853</v>
      </c>
      <c r="BP96" s="87">
        <f t="shared" si="45"/>
        <v>118.75308867565853</v>
      </c>
    </row>
    <row r="97" spans="2:68">
      <c r="E97" s="96">
        <f>E87</f>
        <v>3</v>
      </c>
      <c r="G97" s="110">
        <f>CaseData!J68</f>
        <v>85</v>
      </c>
      <c r="H97" s="62" t="str">
        <f t="shared" ref="H97:H98" si="48">H96</f>
        <v>[$ / slab]</v>
      </c>
      <c r="I97" s="87">
        <f t="shared" si="46"/>
        <v>85</v>
      </c>
      <c r="J97" s="87">
        <f t="shared" si="47"/>
        <v>85</v>
      </c>
      <c r="K97" s="87">
        <f t="shared" si="47"/>
        <v>85</v>
      </c>
      <c r="L97" s="87">
        <f t="shared" si="47"/>
        <v>85</v>
      </c>
      <c r="M97" s="87">
        <f t="shared" si="47"/>
        <v>86.7</v>
      </c>
      <c r="N97" s="87">
        <f t="shared" si="47"/>
        <v>86.7</v>
      </c>
      <c r="O97" s="87">
        <f t="shared" si="47"/>
        <v>86.7</v>
      </c>
      <c r="P97" s="87">
        <f t="shared" si="47"/>
        <v>86.7</v>
      </c>
      <c r="Q97" s="87">
        <f t="shared" si="47"/>
        <v>88.433999999999997</v>
      </c>
      <c r="R97" s="87">
        <f t="shared" si="47"/>
        <v>88.433999999999997</v>
      </c>
      <c r="S97" s="87">
        <f t="shared" si="47"/>
        <v>88.433999999999997</v>
      </c>
      <c r="T97" s="87">
        <f t="shared" si="47"/>
        <v>88.433999999999997</v>
      </c>
      <c r="U97" s="87">
        <f t="shared" si="47"/>
        <v>90.202680000000001</v>
      </c>
      <c r="V97" s="87">
        <f t="shared" si="47"/>
        <v>90.202680000000001</v>
      </c>
      <c r="W97" s="87">
        <f t="shared" si="47"/>
        <v>90.202680000000001</v>
      </c>
      <c r="X97" s="87">
        <f t="shared" si="47"/>
        <v>90.202680000000001</v>
      </c>
      <c r="Y97" s="87">
        <f t="shared" si="47"/>
        <v>92.006733600000004</v>
      </c>
      <c r="Z97" s="87">
        <f t="shared" si="42"/>
        <v>92.006733600000004</v>
      </c>
      <c r="AA97" s="87">
        <f t="shared" si="43"/>
        <v>92.006733600000004</v>
      </c>
      <c r="AB97" s="87">
        <f t="shared" si="43"/>
        <v>92.006733600000004</v>
      </c>
      <c r="AC97" s="87">
        <f t="shared" si="43"/>
        <v>93.846868272000009</v>
      </c>
      <c r="AD97" s="87">
        <f t="shared" si="43"/>
        <v>93.846868272000009</v>
      </c>
      <c r="AE97" s="87">
        <f t="shared" si="43"/>
        <v>93.846868272000009</v>
      </c>
      <c r="AF97" s="87">
        <f t="shared" si="43"/>
        <v>93.846868272000009</v>
      </c>
      <c r="AG97" s="87">
        <f t="shared" si="43"/>
        <v>95.723805637440009</v>
      </c>
      <c r="AH97" s="87">
        <f t="shared" si="43"/>
        <v>95.723805637440009</v>
      </c>
      <c r="AI97" s="87">
        <f t="shared" si="43"/>
        <v>95.723805637440009</v>
      </c>
      <c r="AJ97" s="87">
        <f t="shared" si="43"/>
        <v>95.723805637440009</v>
      </c>
      <c r="AK97" s="87">
        <f t="shared" si="43"/>
        <v>97.63828175018881</v>
      </c>
      <c r="AL97" s="87">
        <f t="shared" si="43"/>
        <v>97.63828175018881</v>
      </c>
      <c r="AM97" s="87">
        <f t="shared" si="43"/>
        <v>97.63828175018881</v>
      </c>
      <c r="AN97" s="87">
        <f t="shared" si="43"/>
        <v>97.63828175018881</v>
      </c>
      <c r="AO97" s="87">
        <f t="shared" si="43"/>
        <v>99.591047385192581</v>
      </c>
      <c r="AP97" s="87">
        <f t="shared" si="43"/>
        <v>99.591047385192581</v>
      </c>
      <c r="AQ97" s="87">
        <f t="shared" si="44"/>
        <v>99.591047385192581</v>
      </c>
      <c r="AR97" s="87">
        <f t="shared" si="44"/>
        <v>99.591047385192581</v>
      </c>
      <c r="AS97" s="87">
        <f t="shared" si="44"/>
        <v>101.58286833289644</v>
      </c>
      <c r="AT97" s="87">
        <f t="shared" si="44"/>
        <v>101.58286833289644</v>
      </c>
      <c r="AU97" s="87">
        <f t="shared" si="44"/>
        <v>101.58286833289644</v>
      </c>
      <c r="AV97" s="87">
        <f t="shared" si="44"/>
        <v>101.58286833289644</v>
      </c>
      <c r="AW97" s="87">
        <f t="shared" si="44"/>
        <v>103.61452569955436</v>
      </c>
      <c r="AX97" s="87">
        <f t="shared" si="44"/>
        <v>103.61452569955436</v>
      </c>
      <c r="AY97" s="87">
        <f t="shared" si="44"/>
        <v>103.61452569955436</v>
      </c>
      <c r="AZ97" s="87">
        <f t="shared" si="44"/>
        <v>103.61452569955436</v>
      </c>
      <c r="BA97" s="87">
        <f t="shared" si="44"/>
        <v>105.68681621354546</v>
      </c>
      <c r="BB97" s="87">
        <f t="shared" si="44"/>
        <v>105.68681621354546</v>
      </c>
      <c r="BC97" s="87">
        <f t="shared" si="44"/>
        <v>105.68681621354546</v>
      </c>
      <c r="BD97" s="87">
        <f t="shared" si="44"/>
        <v>105.68681621354546</v>
      </c>
      <c r="BE97" s="87">
        <f t="shared" si="44"/>
        <v>107.80055253781637</v>
      </c>
      <c r="BF97" s="87">
        <f t="shared" si="44"/>
        <v>107.80055253781637</v>
      </c>
      <c r="BG97" s="87">
        <f t="shared" si="45"/>
        <v>107.80055253781637</v>
      </c>
      <c r="BH97" s="87">
        <f t="shared" si="45"/>
        <v>107.80055253781637</v>
      </c>
      <c r="BI97" s="87">
        <f t="shared" si="45"/>
        <v>109.95656358857271</v>
      </c>
      <c r="BJ97" s="87">
        <f t="shared" si="45"/>
        <v>109.95656358857271</v>
      </c>
      <c r="BK97" s="87">
        <f t="shared" si="45"/>
        <v>109.95656358857271</v>
      </c>
      <c r="BL97" s="87">
        <f t="shared" si="45"/>
        <v>109.95656358857271</v>
      </c>
      <c r="BM97" s="87">
        <f t="shared" si="45"/>
        <v>112.15569486034416</v>
      </c>
      <c r="BN97" s="87">
        <f t="shared" si="45"/>
        <v>112.15569486034416</v>
      </c>
      <c r="BO97" s="87">
        <f t="shared" si="45"/>
        <v>112.15569486034416</v>
      </c>
      <c r="BP97" s="87">
        <f t="shared" si="45"/>
        <v>112.15569486034416</v>
      </c>
    </row>
    <row r="98" spans="2:68">
      <c r="E98" s="96">
        <f>E88</f>
        <v>4</v>
      </c>
      <c r="G98" s="110">
        <f>CaseData!J69</f>
        <v>82</v>
      </c>
      <c r="H98" s="62" t="str">
        <f t="shared" si="48"/>
        <v>[$ / slab]</v>
      </c>
      <c r="I98" s="87">
        <f t="shared" si="46"/>
        <v>82</v>
      </c>
      <c r="J98" s="87">
        <f t="shared" si="47"/>
        <v>82</v>
      </c>
      <c r="K98" s="87">
        <f t="shared" si="47"/>
        <v>82</v>
      </c>
      <c r="L98" s="87">
        <f t="shared" si="47"/>
        <v>82</v>
      </c>
      <c r="M98" s="87">
        <f t="shared" si="47"/>
        <v>83.64</v>
      </c>
      <c r="N98" s="87">
        <f t="shared" si="47"/>
        <v>83.64</v>
      </c>
      <c r="O98" s="87">
        <f t="shared" si="47"/>
        <v>83.64</v>
      </c>
      <c r="P98" s="87">
        <f t="shared" si="47"/>
        <v>83.64</v>
      </c>
      <c r="Q98" s="87">
        <f t="shared" si="47"/>
        <v>85.312799999999996</v>
      </c>
      <c r="R98" s="87">
        <f t="shared" si="47"/>
        <v>85.312799999999996</v>
      </c>
      <c r="S98" s="87">
        <f t="shared" si="47"/>
        <v>85.312799999999996</v>
      </c>
      <c r="T98" s="87">
        <f t="shared" si="47"/>
        <v>85.312799999999996</v>
      </c>
      <c r="U98" s="87">
        <f t="shared" si="47"/>
        <v>87.019055999999992</v>
      </c>
      <c r="V98" s="87">
        <f t="shared" si="47"/>
        <v>87.019055999999992</v>
      </c>
      <c r="W98" s="87">
        <f t="shared" si="47"/>
        <v>87.019055999999992</v>
      </c>
      <c r="X98" s="87">
        <f t="shared" si="47"/>
        <v>87.019055999999992</v>
      </c>
      <c r="Y98" s="87">
        <f t="shared" si="47"/>
        <v>88.759437119999987</v>
      </c>
      <c r="Z98" s="87">
        <f t="shared" si="42"/>
        <v>88.759437119999987</v>
      </c>
      <c r="AA98" s="87">
        <f t="shared" si="43"/>
        <v>88.759437119999987</v>
      </c>
      <c r="AB98" s="87">
        <f t="shared" si="43"/>
        <v>88.759437119999987</v>
      </c>
      <c r="AC98" s="87">
        <f t="shared" si="43"/>
        <v>90.534625862399992</v>
      </c>
      <c r="AD98" s="87">
        <f t="shared" si="43"/>
        <v>90.534625862399992</v>
      </c>
      <c r="AE98" s="87">
        <f t="shared" si="43"/>
        <v>90.534625862399992</v>
      </c>
      <c r="AF98" s="87">
        <f t="shared" si="43"/>
        <v>90.534625862399992</v>
      </c>
      <c r="AG98" s="87">
        <f t="shared" si="43"/>
        <v>92.345318379647992</v>
      </c>
      <c r="AH98" s="87">
        <f t="shared" si="43"/>
        <v>92.345318379647992</v>
      </c>
      <c r="AI98" s="87">
        <f t="shared" si="43"/>
        <v>92.345318379647992</v>
      </c>
      <c r="AJ98" s="87">
        <f t="shared" si="43"/>
        <v>92.345318379647992</v>
      </c>
      <c r="AK98" s="87">
        <f t="shared" si="43"/>
        <v>94.192224747240957</v>
      </c>
      <c r="AL98" s="87">
        <f t="shared" si="43"/>
        <v>94.192224747240957</v>
      </c>
      <c r="AM98" s="87">
        <f t="shared" si="43"/>
        <v>94.192224747240957</v>
      </c>
      <c r="AN98" s="87">
        <f t="shared" si="43"/>
        <v>94.192224747240957</v>
      </c>
      <c r="AO98" s="87">
        <f t="shared" si="43"/>
        <v>96.076069242185781</v>
      </c>
      <c r="AP98" s="87">
        <f t="shared" si="43"/>
        <v>96.076069242185781</v>
      </c>
      <c r="AQ98" s="87">
        <f t="shared" si="44"/>
        <v>96.076069242185781</v>
      </c>
      <c r="AR98" s="87">
        <f t="shared" si="44"/>
        <v>96.076069242185781</v>
      </c>
      <c r="AS98" s="87">
        <f t="shared" si="44"/>
        <v>97.997590627029496</v>
      </c>
      <c r="AT98" s="87">
        <f t="shared" si="44"/>
        <v>97.997590627029496</v>
      </c>
      <c r="AU98" s="87">
        <f t="shared" si="44"/>
        <v>97.997590627029496</v>
      </c>
      <c r="AV98" s="87">
        <f t="shared" si="44"/>
        <v>97.997590627029496</v>
      </c>
      <c r="AW98" s="87">
        <f t="shared" si="44"/>
        <v>99.957542439570091</v>
      </c>
      <c r="AX98" s="87">
        <f t="shared" si="44"/>
        <v>99.957542439570091</v>
      </c>
      <c r="AY98" s="87">
        <f t="shared" si="44"/>
        <v>99.957542439570091</v>
      </c>
      <c r="AZ98" s="87">
        <f t="shared" si="44"/>
        <v>99.957542439570091</v>
      </c>
      <c r="BA98" s="87">
        <f t="shared" si="44"/>
        <v>101.95669328836149</v>
      </c>
      <c r="BB98" s="87">
        <f t="shared" si="44"/>
        <v>101.95669328836149</v>
      </c>
      <c r="BC98" s="87">
        <f t="shared" si="44"/>
        <v>101.95669328836149</v>
      </c>
      <c r="BD98" s="87">
        <f t="shared" si="44"/>
        <v>101.95669328836149</v>
      </c>
      <c r="BE98" s="87">
        <f t="shared" si="44"/>
        <v>103.99582715412872</v>
      </c>
      <c r="BF98" s="87">
        <f t="shared" si="44"/>
        <v>103.99582715412872</v>
      </c>
      <c r="BG98" s="87">
        <f t="shared" si="45"/>
        <v>103.99582715412872</v>
      </c>
      <c r="BH98" s="87">
        <f t="shared" si="45"/>
        <v>103.99582715412872</v>
      </c>
      <c r="BI98" s="87">
        <f t="shared" si="45"/>
        <v>106.07574369721129</v>
      </c>
      <c r="BJ98" s="87">
        <f t="shared" si="45"/>
        <v>106.07574369721129</v>
      </c>
      <c r="BK98" s="87">
        <f t="shared" si="45"/>
        <v>106.07574369721129</v>
      </c>
      <c r="BL98" s="87">
        <f t="shared" si="45"/>
        <v>106.07574369721129</v>
      </c>
      <c r="BM98" s="87">
        <f t="shared" si="45"/>
        <v>108.19725857115552</v>
      </c>
      <c r="BN98" s="87">
        <f t="shared" si="45"/>
        <v>108.19725857115552</v>
      </c>
      <c r="BO98" s="87">
        <f t="shared" si="45"/>
        <v>108.19725857115552</v>
      </c>
      <c r="BP98" s="87">
        <f t="shared" si="45"/>
        <v>108.19725857115552</v>
      </c>
    </row>
    <row r="100" spans="2:68">
      <c r="D100" s="92" t="s">
        <v>121</v>
      </c>
      <c r="E100" s="92"/>
      <c r="F100" s="92"/>
      <c r="G100" s="97"/>
      <c r="H100" s="97"/>
      <c r="I100" s="93">
        <f>SUMPRODUCT(I85:I88,I95:I98)</f>
        <v>2635000</v>
      </c>
      <c r="J100" s="93">
        <f t="shared" ref="J100:BP100" si="49">SUMPRODUCT(J85:J88,J95:J98)</f>
        <v>2779000</v>
      </c>
      <c r="K100" s="93">
        <f t="shared" si="49"/>
        <v>2860000</v>
      </c>
      <c r="L100" s="93">
        <f t="shared" si="49"/>
        <v>2518000</v>
      </c>
      <c r="M100" s="93">
        <f t="shared" si="49"/>
        <v>2736354</v>
      </c>
      <c r="N100" s="93">
        <f t="shared" si="49"/>
        <v>2886171.6</v>
      </c>
      <c r="O100" s="93">
        <f t="shared" si="49"/>
        <v>2970444</v>
      </c>
      <c r="P100" s="93">
        <f t="shared" si="49"/>
        <v>2614627.2000000002</v>
      </c>
      <c r="Q100" s="93">
        <f t="shared" si="49"/>
        <v>2841700.7016000003</v>
      </c>
      <c r="R100" s="93">
        <f t="shared" si="49"/>
        <v>2997570.9326400002</v>
      </c>
      <c r="S100" s="93">
        <f t="shared" si="49"/>
        <v>3084355.2744</v>
      </c>
      <c r="T100" s="93">
        <f t="shared" si="49"/>
        <v>2715056.13888</v>
      </c>
      <c r="U100" s="93">
        <f t="shared" si="49"/>
        <v>2951199.3699446404</v>
      </c>
      <c r="V100" s="93">
        <f t="shared" si="49"/>
        <v>3113366.7583186561</v>
      </c>
      <c r="W100" s="93">
        <f t="shared" si="49"/>
        <v>3200473.5634857602</v>
      </c>
      <c r="X100" s="93">
        <f t="shared" si="49"/>
        <v>2819438.3668907522</v>
      </c>
      <c r="Y100" s="93">
        <f t="shared" si="49"/>
        <v>3065015.6636904036</v>
      </c>
      <c r="Z100" s="93">
        <f t="shared" si="49"/>
        <v>3231481.2955239112</v>
      </c>
      <c r="AA100" s="93">
        <f t="shared" si="49"/>
        <v>3321113.2381705851</v>
      </c>
      <c r="AB100" s="93">
        <f t="shared" si="49"/>
        <v>2927931.5161131383</v>
      </c>
      <c r="AC100" s="93">
        <f t="shared" si="49"/>
        <v>3183321.8924874966</v>
      </c>
      <c r="AD100" s="93">
        <f t="shared" si="49"/>
        <v>3353200.4934374779</v>
      </c>
      <c r="AE100" s="93">
        <f t="shared" si="49"/>
        <v>3446453.5665670773</v>
      </c>
      <c r="AF100" s="93">
        <f t="shared" si="49"/>
        <v>3040699.5453481097</v>
      </c>
      <c r="AG100" s="93">
        <f t="shared" si="49"/>
        <v>3306297.2848476712</v>
      </c>
      <c r="AH100" s="93">
        <f t="shared" si="49"/>
        <v>3479660.4940182399</v>
      </c>
      <c r="AI100" s="93">
        <f t="shared" si="49"/>
        <v>3576680.9913022751</v>
      </c>
      <c r="AJ100" s="93">
        <f t="shared" si="49"/>
        <v>3157912.994883853</v>
      </c>
      <c r="AK100" s="93">
        <f t="shared" si="49"/>
        <v>3431600.1808588319</v>
      </c>
      <c r="AL100" s="93">
        <f t="shared" si="49"/>
        <v>3611049.2926353822</v>
      </c>
      <c r="AM100" s="93">
        <f t="shared" si="49"/>
        <v>3711989.4180096928</v>
      </c>
      <c r="AN100" s="93">
        <f t="shared" si="49"/>
        <v>3279749.2515389146</v>
      </c>
      <c r="AO100" s="93">
        <f t="shared" si="49"/>
        <v>3560863.5531175109</v>
      </c>
      <c r="AP100" s="93">
        <f t="shared" si="49"/>
        <v>3747562.4090098338</v>
      </c>
      <c r="AQ100" s="93">
        <f t="shared" si="49"/>
        <v>3852580.5154492669</v>
      </c>
      <c r="AR100" s="93">
        <f t="shared" si="49"/>
        <v>3406392.8243960757</v>
      </c>
      <c r="AS100" s="93">
        <f t="shared" si="49"/>
        <v>3695161.7001144798</v>
      </c>
      <c r="AT100" s="93">
        <f t="shared" si="49"/>
        <v>3889403.1897848528</v>
      </c>
      <c r="AU100" s="93">
        <f t="shared" si="49"/>
        <v>3996306.0461847787</v>
      </c>
      <c r="AV100" s="93">
        <f t="shared" si="49"/>
        <v>3537340.4897573018</v>
      </c>
      <c r="AW100" s="93">
        <f t="shared" si="49"/>
        <v>3834694.2774391472</v>
      </c>
      <c r="AX100" s="93">
        <f t="shared" si="49"/>
        <v>4035855.1886506937</v>
      </c>
      <c r="AY100" s="93">
        <f t="shared" si="49"/>
        <v>4145518.1064738976</v>
      </c>
      <c r="AZ100" s="93">
        <f t="shared" si="49"/>
        <v>3670497.0901835393</v>
      </c>
      <c r="BA100" s="93">
        <f t="shared" si="49"/>
        <v>3979668.9317805315</v>
      </c>
      <c r="BB100" s="93">
        <f t="shared" si="49"/>
        <v>4186420.2602158985</v>
      </c>
      <c r="BC100" s="93">
        <f t="shared" si="49"/>
        <v>4300513.5599191608</v>
      </c>
      <c r="BD100" s="93">
        <f t="shared" si="49"/>
        <v>3808838.1781597966</v>
      </c>
      <c r="BE100" s="93">
        <f t="shared" si="49"/>
        <v>4130301.6222679648</v>
      </c>
      <c r="BF100" s="93">
        <f t="shared" si="49"/>
        <v>4342818.4911112133</v>
      </c>
      <c r="BG100" s="93">
        <f t="shared" si="49"/>
        <v>4461521.1601224868</v>
      </c>
      <c r="BH100" s="93">
        <f t="shared" si="49"/>
        <v>3952569.3062009527</v>
      </c>
      <c r="BI100" s="93">
        <f t="shared" si="49"/>
        <v>4285728.090979103</v>
      </c>
      <c r="BJ100" s="93">
        <f t="shared" si="49"/>
        <v>4505280.5475823507</v>
      </c>
      <c r="BK100" s="93">
        <f t="shared" si="49"/>
        <v>4628778.80442168</v>
      </c>
      <c r="BL100" s="93">
        <f t="shared" si="49"/>
        <v>4101904.2531278413</v>
      </c>
      <c r="BM100" s="93">
        <f t="shared" si="49"/>
        <v>4445623.9390735067</v>
      </c>
      <c r="BN100" s="93">
        <f t="shared" si="49"/>
        <v>4674046.3149235267</v>
      </c>
      <c r="BO100" s="93">
        <f t="shared" si="49"/>
        <v>4802533.901339164</v>
      </c>
      <c r="BP100" s="93">
        <f t="shared" si="49"/>
        <v>4257065.3548497027</v>
      </c>
    </row>
    <row r="101" spans="2:68">
      <c r="B101" s="77"/>
      <c r="C101" s="77"/>
      <c r="D101" s="77"/>
      <c r="E101" s="77"/>
      <c r="F101" s="77"/>
      <c r="G101" s="78"/>
      <c r="H101" s="78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</row>
    <row r="102" spans="2:68">
      <c r="B102" s="79"/>
      <c r="C102" s="79"/>
      <c r="D102" s="79"/>
      <c r="E102" s="79"/>
      <c r="F102" s="79"/>
      <c r="G102" s="80"/>
      <c r="H102" s="80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</row>
    <row r="103" spans="2:68">
      <c r="C103" s="70" t="s">
        <v>32</v>
      </c>
    </row>
    <row r="104" spans="2:68">
      <c r="C104" s="70"/>
      <c r="D104" s="61" t="s">
        <v>125</v>
      </c>
      <c r="I104" s="36">
        <f t="shared" ref="I104:BP104" si="50">I109</f>
        <v>600000</v>
      </c>
      <c r="J104" s="36">
        <f t="shared" si="50"/>
        <v>600000</v>
      </c>
      <c r="K104" s="36">
        <f t="shared" si="50"/>
        <v>600000</v>
      </c>
      <c r="L104" s="36">
        <f t="shared" si="50"/>
        <v>600000</v>
      </c>
      <c r="M104" s="36">
        <f t="shared" si="50"/>
        <v>612000</v>
      </c>
      <c r="N104" s="36">
        <f t="shared" si="50"/>
        <v>612000</v>
      </c>
      <c r="O104" s="36">
        <f t="shared" si="50"/>
        <v>612000</v>
      </c>
      <c r="P104" s="36">
        <f t="shared" si="50"/>
        <v>612000</v>
      </c>
      <c r="Q104" s="36">
        <f t="shared" si="50"/>
        <v>624240</v>
      </c>
      <c r="R104" s="36">
        <f t="shared" si="50"/>
        <v>624240</v>
      </c>
      <c r="S104" s="36">
        <f t="shared" si="50"/>
        <v>624240</v>
      </c>
      <c r="T104" s="36">
        <f t="shared" si="50"/>
        <v>624240</v>
      </c>
      <c r="U104" s="36">
        <f t="shared" si="50"/>
        <v>636724.80000000005</v>
      </c>
      <c r="V104" s="36">
        <f t="shared" si="50"/>
        <v>636724.80000000005</v>
      </c>
      <c r="W104" s="36">
        <f t="shared" si="50"/>
        <v>636724.80000000005</v>
      </c>
      <c r="X104" s="36">
        <f t="shared" si="50"/>
        <v>636724.80000000005</v>
      </c>
      <c r="Y104" s="36">
        <f t="shared" si="50"/>
        <v>649459.29600000009</v>
      </c>
      <c r="Z104" s="36">
        <f t="shared" si="50"/>
        <v>649459.29600000009</v>
      </c>
      <c r="AA104" s="36">
        <f t="shared" si="50"/>
        <v>649459.29600000009</v>
      </c>
      <c r="AB104" s="36">
        <f t="shared" si="50"/>
        <v>649459.29600000009</v>
      </c>
      <c r="AC104" s="36">
        <f t="shared" si="50"/>
        <v>662448.48192000005</v>
      </c>
      <c r="AD104" s="36">
        <f t="shared" si="50"/>
        <v>662448.48192000005</v>
      </c>
      <c r="AE104" s="36">
        <f t="shared" si="50"/>
        <v>662448.48192000005</v>
      </c>
      <c r="AF104" s="36">
        <f t="shared" si="50"/>
        <v>662448.48192000005</v>
      </c>
      <c r="AG104" s="36">
        <f t="shared" si="50"/>
        <v>675697.45155840006</v>
      </c>
      <c r="AH104" s="36">
        <f t="shared" si="50"/>
        <v>675697.45155840006</v>
      </c>
      <c r="AI104" s="36">
        <f t="shared" si="50"/>
        <v>675697.45155840006</v>
      </c>
      <c r="AJ104" s="36">
        <f t="shared" si="50"/>
        <v>675697.45155840006</v>
      </c>
      <c r="AK104" s="36">
        <f t="shared" si="50"/>
        <v>689211.40058956807</v>
      </c>
      <c r="AL104" s="36">
        <f t="shared" si="50"/>
        <v>689211.40058956807</v>
      </c>
      <c r="AM104" s="36">
        <f t="shared" si="50"/>
        <v>689211.40058956807</v>
      </c>
      <c r="AN104" s="36">
        <f t="shared" si="50"/>
        <v>689211.40058956807</v>
      </c>
      <c r="AO104" s="36">
        <f t="shared" si="50"/>
        <v>702995.62860135944</v>
      </c>
      <c r="AP104" s="36">
        <f t="shared" si="50"/>
        <v>702995.62860135944</v>
      </c>
      <c r="AQ104" s="36">
        <f t="shared" si="50"/>
        <v>702995.62860135944</v>
      </c>
      <c r="AR104" s="36">
        <f t="shared" si="50"/>
        <v>702995.62860135944</v>
      </c>
      <c r="AS104" s="36">
        <f t="shared" si="50"/>
        <v>717055.54117338662</v>
      </c>
      <c r="AT104" s="36">
        <f t="shared" si="50"/>
        <v>717055.54117338662</v>
      </c>
      <c r="AU104" s="36">
        <f t="shared" si="50"/>
        <v>717055.54117338662</v>
      </c>
      <c r="AV104" s="36">
        <f t="shared" si="50"/>
        <v>717055.54117338662</v>
      </c>
      <c r="AW104" s="36">
        <f t="shared" si="50"/>
        <v>731396.65199685434</v>
      </c>
      <c r="AX104" s="36">
        <f t="shared" si="50"/>
        <v>731396.65199685434</v>
      </c>
      <c r="AY104" s="36">
        <f t="shared" si="50"/>
        <v>731396.65199685434</v>
      </c>
      <c r="AZ104" s="36">
        <f t="shared" si="50"/>
        <v>731396.65199685434</v>
      </c>
      <c r="BA104" s="36">
        <f t="shared" si="50"/>
        <v>746024.5850367914</v>
      </c>
      <c r="BB104" s="36">
        <f t="shared" si="50"/>
        <v>746024.5850367914</v>
      </c>
      <c r="BC104" s="36">
        <f t="shared" si="50"/>
        <v>746024.5850367914</v>
      </c>
      <c r="BD104" s="36">
        <f t="shared" si="50"/>
        <v>746024.5850367914</v>
      </c>
      <c r="BE104" s="36">
        <f t="shared" si="50"/>
        <v>760945.07673752727</v>
      </c>
      <c r="BF104" s="36">
        <f t="shared" si="50"/>
        <v>760945.07673752727</v>
      </c>
      <c r="BG104" s="36">
        <f t="shared" si="50"/>
        <v>760945.07673752727</v>
      </c>
      <c r="BH104" s="36">
        <f t="shared" si="50"/>
        <v>760945.07673752727</v>
      </c>
      <c r="BI104" s="36">
        <f t="shared" si="50"/>
        <v>776163.97827227786</v>
      </c>
      <c r="BJ104" s="36">
        <f t="shared" si="50"/>
        <v>776163.97827227786</v>
      </c>
      <c r="BK104" s="36">
        <f t="shared" si="50"/>
        <v>776163.97827227786</v>
      </c>
      <c r="BL104" s="36">
        <f t="shared" si="50"/>
        <v>776163.97827227786</v>
      </c>
      <c r="BM104" s="36">
        <f t="shared" si="50"/>
        <v>791687.25783772347</v>
      </c>
      <c r="BN104" s="36">
        <f t="shared" si="50"/>
        <v>791687.25783772347</v>
      </c>
      <c r="BO104" s="36">
        <f t="shared" si="50"/>
        <v>791687.25783772347</v>
      </c>
      <c r="BP104" s="36">
        <f t="shared" si="50"/>
        <v>791687.25783772347</v>
      </c>
    </row>
    <row r="105" spans="2:68">
      <c r="C105" s="70"/>
      <c r="D105" s="61" t="s">
        <v>126</v>
      </c>
      <c r="I105" s="36">
        <f t="shared" ref="I105:BP105" si="51">I120</f>
        <v>0</v>
      </c>
      <c r="J105" s="36">
        <f t="shared" si="51"/>
        <v>0</v>
      </c>
      <c r="K105" s="36">
        <f t="shared" si="51"/>
        <v>0</v>
      </c>
      <c r="L105" s="36">
        <f t="shared" si="51"/>
        <v>0</v>
      </c>
      <c r="M105" s="36">
        <f t="shared" si="51"/>
        <v>0</v>
      </c>
      <c r="N105" s="36">
        <f t="shared" si="51"/>
        <v>0</v>
      </c>
      <c r="O105" s="36">
        <f t="shared" si="51"/>
        <v>0</v>
      </c>
      <c r="P105" s="36">
        <f t="shared" si="51"/>
        <v>0</v>
      </c>
      <c r="Q105" s="36">
        <f t="shared" si="51"/>
        <v>0</v>
      </c>
      <c r="R105" s="36">
        <f t="shared" si="51"/>
        <v>0</v>
      </c>
      <c r="S105" s="36">
        <f t="shared" si="51"/>
        <v>0</v>
      </c>
      <c r="T105" s="36">
        <f t="shared" si="51"/>
        <v>0</v>
      </c>
      <c r="U105" s="36">
        <f t="shared" si="51"/>
        <v>0</v>
      </c>
      <c r="V105" s="36">
        <f t="shared" si="51"/>
        <v>0</v>
      </c>
      <c r="W105" s="36">
        <f t="shared" si="51"/>
        <v>0</v>
      </c>
      <c r="X105" s="36">
        <f t="shared" si="51"/>
        <v>0</v>
      </c>
      <c r="Y105" s="36">
        <f t="shared" si="51"/>
        <v>0</v>
      </c>
      <c r="Z105" s="36">
        <f t="shared" si="51"/>
        <v>0</v>
      </c>
      <c r="AA105" s="36">
        <f t="shared" si="51"/>
        <v>0</v>
      </c>
      <c r="AB105" s="36">
        <f t="shared" si="51"/>
        <v>0</v>
      </c>
      <c r="AC105" s="36">
        <f t="shared" si="51"/>
        <v>0</v>
      </c>
      <c r="AD105" s="36">
        <f t="shared" si="51"/>
        <v>0</v>
      </c>
      <c r="AE105" s="36">
        <f t="shared" si="51"/>
        <v>506.31193619902541</v>
      </c>
      <c r="AF105" s="36">
        <f t="shared" si="51"/>
        <v>0</v>
      </c>
      <c r="AG105" s="36">
        <f t="shared" si="51"/>
        <v>0</v>
      </c>
      <c r="AH105" s="36">
        <f t="shared" si="51"/>
        <v>0</v>
      </c>
      <c r="AI105" s="36">
        <f t="shared" si="51"/>
        <v>18545.365646645518</v>
      </c>
      <c r="AJ105" s="36">
        <f t="shared" si="51"/>
        <v>0</v>
      </c>
      <c r="AK105" s="36">
        <f t="shared" si="51"/>
        <v>0</v>
      </c>
      <c r="AL105" s="36">
        <f t="shared" si="51"/>
        <v>7985.2969322436948</v>
      </c>
      <c r="AM105" s="36">
        <f t="shared" si="51"/>
        <v>37673.569101158551</v>
      </c>
      <c r="AN105" s="36">
        <f t="shared" si="51"/>
        <v>0</v>
      </c>
      <c r="AO105" s="36">
        <f t="shared" si="51"/>
        <v>0</v>
      </c>
      <c r="AP105" s="36">
        <f t="shared" si="51"/>
        <v>27054.453024342594</v>
      </c>
      <c r="AQ105" s="36">
        <f t="shared" si="51"/>
        <v>57942.131388881702</v>
      </c>
      <c r="AR105" s="36">
        <f t="shared" si="51"/>
        <v>0</v>
      </c>
      <c r="AS105" s="36">
        <f t="shared" si="51"/>
        <v>0</v>
      </c>
      <c r="AT105" s="36">
        <f t="shared" si="51"/>
        <v>47268.934024483067</v>
      </c>
      <c r="AU105" s="36">
        <f t="shared" si="51"/>
        <v>79404.474594949585</v>
      </c>
      <c r="AV105" s="36">
        <f t="shared" si="51"/>
        <v>0</v>
      </c>
      <c r="AW105" s="36">
        <f t="shared" si="51"/>
        <v>9244.613839854188</v>
      </c>
      <c r="AX105" s="36">
        <f t="shared" si="51"/>
        <v>68682.509678988412</v>
      </c>
      <c r="AY105" s="36">
        <f t="shared" si="51"/>
        <v>102116.32608850177</v>
      </c>
      <c r="AZ105" s="36">
        <f t="shared" si="51"/>
        <v>0</v>
      </c>
      <c r="BA105" s="36">
        <f t="shared" si="51"/>
        <v>29512.085173298816</v>
      </c>
      <c r="BB105" s="36">
        <f t="shared" si="51"/>
        <v>91351.272004333907</v>
      </c>
      <c r="BC105" s="36">
        <f t="shared" si="51"/>
        <v>126135.81459679178</v>
      </c>
      <c r="BD105" s="36">
        <f t="shared" si="51"/>
        <v>0</v>
      </c>
      <c r="BE105" s="36">
        <f t="shared" si="51"/>
        <v>50996.242127300728</v>
      </c>
      <c r="BF105" s="36">
        <f t="shared" si="51"/>
        <v>115333.73210630978</v>
      </c>
      <c r="BG105" s="36">
        <f t="shared" si="51"/>
        <v>151523.57021950287</v>
      </c>
      <c r="BH105" s="36">
        <f t="shared" si="51"/>
        <v>0</v>
      </c>
      <c r="BI105" s="36">
        <f t="shared" si="51"/>
        <v>73754.196396504529</v>
      </c>
      <c r="BJ105" s="36">
        <f t="shared" si="51"/>
        <v>140690.92097066552</v>
      </c>
      <c r="BK105" s="36">
        <f t="shared" si="51"/>
        <v>178342.82854363156</v>
      </c>
      <c r="BL105" s="36">
        <f t="shared" si="51"/>
        <v>19368.107679998833</v>
      </c>
      <c r="BM105" s="36">
        <f t="shared" si="51"/>
        <v>97845.526139929192</v>
      </c>
      <c r="BN105" s="36">
        <f t="shared" si="51"/>
        <v>167486.49438688645</v>
      </c>
      <c r="BO105" s="36">
        <f t="shared" si="51"/>
        <v>206659.53902580024</v>
      </c>
      <c r="BP105" s="36">
        <f t="shared" si="51"/>
        <v>41262.239439276847</v>
      </c>
    </row>
    <row r="106" spans="2:68">
      <c r="D106" s="92" t="s">
        <v>94</v>
      </c>
      <c r="E106" s="92"/>
      <c r="F106" s="92"/>
      <c r="G106" s="97"/>
      <c r="H106" s="97"/>
      <c r="I106" s="93">
        <f>SUM(I104:I105)</f>
        <v>600000</v>
      </c>
      <c r="J106" s="93">
        <f t="shared" ref="J106:BP106" si="52">SUM(J104:J105)</f>
        <v>600000</v>
      </c>
      <c r="K106" s="93">
        <f t="shared" si="52"/>
        <v>600000</v>
      </c>
      <c r="L106" s="93">
        <f t="shared" si="52"/>
        <v>600000</v>
      </c>
      <c r="M106" s="93">
        <f t="shared" si="52"/>
        <v>612000</v>
      </c>
      <c r="N106" s="93">
        <f t="shared" si="52"/>
        <v>612000</v>
      </c>
      <c r="O106" s="93">
        <f t="shared" si="52"/>
        <v>612000</v>
      </c>
      <c r="P106" s="93">
        <f t="shared" si="52"/>
        <v>612000</v>
      </c>
      <c r="Q106" s="93">
        <f t="shared" si="52"/>
        <v>624240</v>
      </c>
      <c r="R106" s="93">
        <f t="shared" si="52"/>
        <v>624240</v>
      </c>
      <c r="S106" s="93">
        <f t="shared" si="52"/>
        <v>624240</v>
      </c>
      <c r="T106" s="93">
        <f t="shared" si="52"/>
        <v>624240</v>
      </c>
      <c r="U106" s="93">
        <f t="shared" si="52"/>
        <v>636724.80000000005</v>
      </c>
      <c r="V106" s="93">
        <f t="shared" si="52"/>
        <v>636724.80000000005</v>
      </c>
      <c r="W106" s="93">
        <f t="shared" si="52"/>
        <v>636724.80000000005</v>
      </c>
      <c r="X106" s="93">
        <f t="shared" si="52"/>
        <v>636724.80000000005</v>
      </c>
      <c r="Y106" s="93">
        <f t="shared" si="52"/>
        <v>649459.29600000009</v>
      </c>
      <c r="Z106" s="93">
        <f t="shared" si="52"/>
        <v>649459.29600000009</v>
      </c>
      <c r="AA106" s="93">
        <f t="shared" si="52"/>
        <v>649459.29600000009</v>
      </c>
      <c r="AB106" s="93">
        <f t="shared" si="52"/>
        <v>649459.29600000009</v>
      </c>
      <c r="AC106" s="93">
        <f t="shared" si="52"/>
        <v>662448.48192000005</v>
      </c>
      <c r="AD106" s="93">
        <f t="shared" si="52"/>
        <v>662448.48192000005</v>
      </c>
      <c r="AE106" s="93">
        <f t="shared" si="52"/>
        <v>662954.79385619913</v>
      </c>
      <c r="AF106" s="93">
        <f t="shared" si="52"/>
        <v>662448.48192000005</v>
      </c>
      <c r="AG106" s="93">
        <f t="shared" si="52"/>
        <v>675697.45155840006</v>
      </c>
      <c r="AH106" s="93">
        <f t="shared" si="52"/>
        <v>675697.45155840006</v>
      </c>
      <c r="AI106" s="93">
        <f t="shared" si="52"/>
        <v>694242.81720504561</v>
      </c>
      <c r="AJ106" s="93">
        <f t="shared" si="52"/>
        <v>675697.45155840006</v>
      </c>
      <c r="AK106" s="93">
        <f t="shared" si="52"/>
        <v>689211.40058956807</v>
      </c>
      <c r="AL106" s="93">
        <f t="shared" si="52"/>
        <v>697196.69752181182</v>
      </c>
      <c r="AM106" s="93">
        <f t="shared" si="52"/>
        <v>726884.9696907266</v>
      </c>
      <c r="AN106" s="93">
        <f t="shared" si="52"/>
        <v>689211.40058956807</v>
      </c>
      <c r="AO106" s="93">
        <f t="shared" si="52"/>
        <v>702995.62860135944</v>
      </c>
      <c r="AP106" s="93">
        <f t="shared" si="52"/>
        <v>730050.08162570198</v>
      </c>
      <c r="AQ106" s="93">
        <f t="shared" si="52"/>
        <v>760937.75999024115</v>
      </c>
      <c r="AR106" s="93">
        <f t="shared" si="52"/>
        <v>702995.62860135944</v>
      </c>
      <c r="AS106" s="93">
        <f t="shared" si="52"/>
        <v>717055.54117338662</v>
      </c>
      <c r="AT106" s="93">
        <f t="shared" si="52"/>
        <v>764324.4751978697</v>
      </c>
      <c r="AU106" s="93">
        <f t="shared" si="52"/>
        <v>796460.01576833625</v>
      </c>
      <c r="AV106" s="93">
        <f t="shared" si="52"/>
        <v>717055.54117338662</v>
      </c>
      <c r="AW106" s="93">
        <f t="shared" si="52"/>
        <v>740641.26583670848</v>
      </c>
      <c r="AX106" s="93">
        <f t="shared" si="52"/>
        <v>800079.16167584271</v>
      </c>
      <c r="AY106" s="93">
        <f t="shared" si="52"/>
        <v>833512.97808535607</v>
      </c>
      <c r="AZ106" s="93">
        <f t="shared" si="52"/>
        <v>731396.65199685434</v>
      </c>
      <c r="BA106" s="93">
        <f t="shared" si="52"/>
        <v>775536.67021009023</v>
      </c>
      <c r="BB106" s="93">
        <f t="shared" si="52"/>
        <v>837375.8570411253</v>
      </c>
      <c r="BC106" s="93">
        <f t="shared" si="52"/>
        <v>872160.39963358315</v>
      </c>
      <c r="BD106" s="93">
        <f t="shared" si="52"/>
        <v>746024.5850367914</v>
      </c>
      <c r="BE106" s="93">
        <f t="shared" si="52"/>
        <v>811941.31886482798</v>
      </c>
      <c r="BF106" s="93">
        <f t="shared" si="52"/>
        <v>876278.808843837</v>
      </c>
      <c r="BG106" s="93">
        <f t="shared" si="52"/>
        <v>912468.64695703017</v>
      </c>
      <c r="BH106" s="93">
        <f t="shared" si="52"/>
        <v>760945.07673752727</v>
      </c>
      <c r="BI106" s="93">
        <f t="shared" si="52"/>
        <v>849918.17466878239</v>
      </c>
      <c r="BJ106" s="93">
        <f t="shared" si="52"/>
        <v>916854.89924294339</v>
      </c>
      <c r="BK106" s="93">
        <f t="shared" si="52"/>
        <v>954506.80681590945</v>
      </c>
      <c r="BL106" s="93">
        <f t="shared" si="52"/>
        <v>795532.08595227671</v>
      </c>
      <c r="BM106" s="93">
        <f t="shared" si="52"/>
        <v>889532.78397765267</v>
      </c>
      <c r="BN106" s="93">
        <f t="shared" si="52"/>
        <v>959173.75222460995</v>
      </c>
      <c r="BO106" s="93">
        <f t="shared" si="52"/>
        <v>998346.79686352378</v>
      </c>
      <c r="BP106" s="93">
        <f t="shared" si="52"/>
        <v>832949.49727700034</v>
      </c>
    </row>
    <row r="108" spans="2:68">
      <c r="D108" s="70" t="s">
        <v>125</v>
      </c>
    </row>
    <row r="109" spans="2:68">
      <c r="E109" s="61" t="s">
        <v>121</v>
      </c>
      <c r="G109" s="112">
        <f>CaseData!H74</f>
        <v>600000</v>
      </c>
      <c r="H109" s="112" t="str">
        <f>CaseData!F74</f>
        <v>[$/qtr]</v>
      </c>
      <c r="I109" s="88">
        <f>G109</f>
        <v>600000</v>
      </c>
      <c r="J109" s="88">
        <f>I109*(1+J110)</f>
        <v>600000</v>
      </c>
      <c r="K109" s="88">
        <f t="shared" ref="K109:BP109" si="53">J109*(1+K110)</f>
        <v>600000</v>
      </c>
      <c r="L109" s="88">
        <f t="shared" si="53"/>
        <v>600000</v>
      </c>
      <c r="M109" s="88">
        <f t="shared" si="53"/>
        <v>612000</v>
      </c>
      <c r="N109" s="88">
        <f t="shared" si="53"/>
        <v>612000</v>
      </c>
      <c r="O109" s="88">
        <f t="shared" si="53"/>
        <v>612000</v>
      </c>
      <c r="P109" s="88">
        <f t="shared" si="53"/>
        <v>612000</v>
      </c>
      <c r="Q109" s="88">
        <f t="shared" si="53"/>
        <v>624240</v>
      </c>
      <c r="R109" s="88">
        <f t="shared" si="53"/>
        <v>624240</v>
      </c>
      <c r="S109" s="88">
        <f t="shared" si="53"/>
        <v>624240</v>
      </c>
      <c r="T109" s="88">
        <f t="shared" si="53"/>
        <v>624240</v>
      </c>
      <c r="U109" s="88">
        <f t="shared" si="53"/>
        <v>636724.80000000005</v>
      </c>
      <c r="V109" s="88">
        <f t="shared" si="53"/>
        <v>636724.80000000005</v>
      </c>
      <c r="W109" s="88">
        <f t="shared" si="53"/>
        <v>636724.80000000005</v>
      </c>
      <c r="X109" s="88">
        <f t="shared" si="53"/>
        <v>636724.80000000005</v>
      </c>
      <c r="Y109" s="88">
        <f t="shared" si="53"/>
        <v>649459.29600000009</v>
      </c>
      <c r="Z109" s="88">
        <f t="shared" si="53"/>
        <v>649459.29600000009</v>
      </c>
      <c r="AA109" s="88">
        <f t="shared" si="53"/>
        <v>649459.29600000009</v>
      </c>
      <c r="AB109" s="88">
        <f t="shared" si="53"/>
        <v>649459.29600000009</v>
      </c>
      <c r="AC109" s="88">
        <f t="shared" si="53"/>
        <v>662448.48192000005</v>
      </c>
      <c r="AD109" s="88">
        <f t="shared" si="53"/>
        <v>662448.48192000005</v>
      </c>
      <c r="AE109" s="88">
        <f t="shared" si="53"/>
        <v>662448.48192000005</v>
      </c>
      <c r="AF109" s="88">
        <f t="shared" si="53"/>
        <v>662448.48192000005</v>
      </c>
      <c r="AG109" s="88">
        <f t="shared" si="53"/>
        <v>675697.45155840006</v>
      </c>
      <c r="AH109" s="88">
        <f t="shared" si="53"/>
        <v>675697.45155840006</v>
      </c>
      <c r="AI109" s="88">
        <f t="shared" si="53"/>
        <v>675697.45155840006</v>
      </c>
      <c r="AJ109" s="88">
        <f t="shared" si="53"/>
        <v>675697.45155840006</v>
      </c>
      <c r="AK109" s="88">
        <f t="shared" si="53"/>
        <v>689211.40058956807</v>
      </c>
      <c r="AL109" s="88">
        <f t="shared" si="53"/>
        <v>689211.40058956807</v>
      </c>
      <c r="AM109" s="88">
        <f t="shared" si="53"/>
        <v>689211.40058956807</v>
      </c>
      <c r="AN109" s="88">
        <f t="shared" si="53"/>
        <v>689211.40058956807</v>
      </c>
      <c r="AO109" s="88">
        <f t="shared" si="53"/>
        <v>702995.62860135944</v>
      </c>
      <c r="AP109" s="88">
        <f t="shared" si="53"/>
        <v>702995.62860135944</v>
      </c>
      <c r="AQ109" s="88">
        <f t="shared" si="53"/>
        <v>702995.62860135944</v>
      </c>
      <c r="AR109" s="88">
        <f t="shared" si="53"/>
        <v>702995.62860135944</v>
      </c>
      <c r="AS109" s="88">
        <f t="shared" si="53"/>
        <v>717055.54117338662</v>
      </c>
      <c r="AT109" s="88">
        <f t="shared" si="53"/>
        <v>717055.54117338662</v>
      </c>
      <c r="AU109" s="88">
        <f t="shared" si="53"/>
        <v>717055.54117338662</v>
      </c>
      <c r="AV109" s="88">
        <f t="shared" si="53"/>
        <v>717055.54117338662</v>
      </c>
      <c r="AW109" s="88">
        <f t="shared" si="53"/>
        <v>731396.65199685434</v>
      </c>
      <c r="AX109" s="88">
        <f t="shared" si="53"/>
        <v>731396.65199685434</v>
      </c>
      <c r="AY109" s="88">
        <f t="shared" si="53"/>
        <v>731396.65199685434</v>
      </c>
      <c r="AZ109" s="88">
        <f t="shared" si="53"/>
        <v>731396.65199685434</v>
      </c>
      <c r="BA109" s="88">
        <f t="shared" si="53"/>
        <v>746024.5850367914</v>
      </c>
      <c r="BB109" s="88">
        <f t="shared" si="53"/>
        <v>746024.5850367914</v>
      </c>
      <c r="BC109" s="88">
        <f t="shared" si="53"/>
        <v>746024.5850367914</v>
      </c>
      <c r="BD109" s="88">
        <f t="shared" si="53"/>
        <v>746024.5850367914</v>
      </c>
      <c r="BE109" s="88">
        <f t="shared" si="53"/>
        <v>760945.07673752727</v>
      </c>
      <c r="BF109" s="88">
        <f t="shared" si="53"/>
        <v>760945.07673752727</v>
      </c>
      <c r="BG109" s="88">
        <f t="shared" si="53"/>
        <v>760945.07673752727</v>
      </c>
      <c r="BH109" s="88">
        <f t="shared" si="53"/>
        <v>760945.07673752727</v>
      </c>
      <c r="BI109" s="88">
        <f t="shared" si="53"/>
        <v>776163.97827227786</v>
      </c>
      <c r="BJ109" s="88">
        <f t="shared" si="53"/>
        <v>776163.97827227786</v>
      </c>
      <c r="BK109" s="88">
        <f t="shared" si="53"/>
        <v>776163.97827227786</v>
      </c>
      <c r="BL109" s="88">
        <f t="shared" si="53"/>
        <v>776163.97827227786</v>
      </c>
      <c r="BM109" s="88">
        <f t="shared" si="53"/>
        <v>791687.25783772347</v>
      </c>
      <c r="BN109" s="88">
        <f t="shared" si="53"/>
        <v>791687.25783772347</v>
      </c>
      <c r="BO109" s="88">
        <f t="shared" si="53"/>
        <v>791687.25783772347</v>
      </c>
      <c r="BP109" s="88">
        <f t="shared" si="53"/>
        <v>791687.25783772347</v>
      </c>
    </row>
    <row r="110" spans="2:68">
      <c r="E110" s="61" t="s">
        <v>107</v>
      </c>
      <c r="I110" s="74">
        <f>I$38</f>
        <v>0</v>
      </c>
      <c r="J110" s="74">
        <f t="shared" ref="J110:BP110" si="54">J$38</f>
        <v>0</v>
      </c>
      <c r="K110" s="74">
        <f t="shared" si="54"/>
        <v>0</v>
      </c>
      <c r="L110" s="74">
        <f t="shared" si="54"/>
        <v>0</v>
      </c>
      <c r="M110" s="74">
        <f t="shared" si="54"/>
        <v>0.02</v>
      </c>
      <c r="N110" s="74">
        <f t="shared" si="54"/>
        <v>0</v>
      </c>
      <c r="O110" s="74">
        <f t="shared" si="54"/>
        <v>0</v>
      </c>
      <c r="P110" s="74">
        <f t="shared" si="54"/>
        <v>0</v>
      </c>
      <c r="Q110" s="74">
        <f t="shared" si="54"/>
        <v>0.02</v>
      </c>
      <c r="R110" s="74">
        <f t="shared" si="54"/>
        <v>0</v>
      </c>
      <c r="S110" s="74">
        <f t="shared" si="54"/>
        <v>0</v>
      </c>
      <c r="T110" s="74">
        <f t="shared" si="54"/>
        <v>0</v>
      </c>
      <c r="U110" s="74">
        <f t="shared" si="54"/>
        <v>0.02</v>
      </c>
      <c r="V110" s="74">
        <f t="shared" si="54"/>
        <v>0</v>
      </c>
      <c r="W110" s="74">
        <f t="shared" si="54"/>
        <v>0</v>
      </c>
      <c r="X110" s="74">
        <f t="shared" si="54"/>
        <v>0</v>
      </c>
      <c r="Y110" s="74">
        <f t="shared" si="54"/>
        <v>0.02</v>
      </c>
      <c r="Z110" s="74">
        <f t="shared" si="54"/>
        <v>0</v>
      </c>
      <c r="AA110" s="74">
        <f t="shared" si="54"/>
        <v>0</v>
      </c>
      <c r="AB110" s="74">
        <f t="shared" si="54"/>
        <v>0</v>
      </c>
      <c r="AC110" s="74">
        <f t="shared" si="54"/>
        <v>0.02</v>
      </c>
      <c r="AD110" s="74">
        <f t="shared" si="54"/>
        <v>0</v>
      </c>
      <c r="AE110" s="74">
        <f t="shared" si="54"/>
        <v>0</v>
      </c>
      <c r="AF110" s="74">
        <f t="shared" si="54"/>
        <v>0</v>
      </c>
      <c r="AG110" s="74">
        <f t="shared" si="54"/>
        <v>0.02</v>
      </c>
      <c r="AH110" s="74">
        <f t="shared" si="54"/>
        <v>0</v>
      </c>
      <c r="AI110" s="74">
        <f t="shared" si="54"/>
        <v>0</v>
      </c>
      <c r="AJ110" s="74">
        <f t="shared" si="54"/>
        <v>0</v>
      </c>
      <c r="AK110" s="74">
        <f t="shared" si="54"/>
        <v>0.02</v>
      </c>
      <c r="AL110" s="74">
        <f t="shared" si="54"/>
        <v>0</v>
      </c>
      <c r="AM110" s="74">
        <f t="shared" si="54"/>
        <v>0</v>
      </c>
      <c r="AN110" s="74">
        <f t="shared" si="54"/>
        <v>0</v>
      </c>
      <c r="AO110" s="74">
        <f t="shared" si="54"/>
        <v>0.02</v>
      </c>
      <c r="AP110" s="74">
        <f t="shared" si="54"/>
        <v>0</v>
      </c>
      <c r="AQ110" s="74">
        <f t="shared" si="54"/>
        <v>0</v>
      </c>
      <c r="AR110" s="74">
        <f t="shared" si="54"/>
        <v>0</v>
      </c>
      <c r="AS110" s="74">
        <f t="shared" si="54"/>
        <v>0.02</v>
      </c>
      <c r="AT110" s="74">
        <f t="shared" si="54"/>
        <v>0</v>
      </c>
      <c r="AU110" s="74">
        <f t="shared" si="54"/>
        <v>0</v>
      </c>
      <c r="AV110" s="74">
        <f t="shared" si="54"/>
        <v>0</v>
      </c>
      <c r="AW110" s="74">
        <f t="shared" si="54"/>
        <v>0.02</v>
      </c>
      <c r="AX110" s="74">
        <f t="shared" si="54"/>
        <v>0</v>
      </c>
      <c r="AY110" s="74">
        <f t="shared" si="54"/>
        <v>0</v>
      </c>
      <c r="AZ110" s="74">
        <f t="shared" si="54"/>
        <v>0</v>
      </c>
      <c r="BA110" s="74">
        <f t="shared" si="54"/>
        <v>0.02</v>
      </c>
      <c r="BB110" s="74">
        <f t="shared" si="54"/>
        <v>0</v>
      </c>
      <c r="BC110" s="74">
        <f t="shared" si="54"/>
        <v>0</v>
      </c>
      <c r="BD110" s="74">
        <f t="shared" si="54"/>
        <v>0</v>
      </c>
      <c r="BE110" s="74">
        <f t="shared" si="54"/>
        <v>0.02</v>
      </c>
      <c r="BF110" s="74">
        <f t="shared" si="54"/>
        <v>0</v>
      </c>
      <c r="BG110" s="74">
        <f t="shared" si="54"/>
        <v>0</v>
      </c>
      <c r="BH110" s="74">
        <f t="shared" si="54"/>
        <v>0</v>
      </c>
      <c r="BI110" s="74">
        <f t="shared" si="54"/>
        <v>0.02</v>
      </c>
      <c r="BJ110" s="74">
        <f t="shared" si="54"/>
        <v>0</v>
      </c>
      <c r="BK110" s="74">
        <f t="shared" si="54"/>
        <v>0</v>
      </c>
      <c r="BL110" s="74">
        <f t="shared" si="54"/>
        <v>0</v>
      </c>
      <c r="BM110" s="74">
        <f t="shared" si="54"/>
        <v>0.02</v>
      </c>
      <c r="BN110" s="74">
        <f t="shared" si="54"/>
        <v>0</v>
      </c>
      <c r="BO110" s="74">
        <f t="shared" si="54"/>
        <v>0</v>
      </c>
      <c r="BP110" s="74">
        <f t="shared" si="54"/>
        <v>0</v>
      </c>
    </row>
    <row r="112" spans="2:68">
      <c r="D112" s="70" t="s">
        <v>126</v>
      </c>
    </row>
    <row r="113" spans="2:68">
      <c r="E113" s="61" t="s">
        <v>110</v>
      </c>
      <c r="G113" s="112">
        <f>CaseData!H75</f>
        <v>25</v>
      </c>
      <c r="H113" s="112" t="str">
        <f>CaseData!F75</f>
        <v>[$/slab/qtr]</v>
      </c>
      <c r="I113" s="87">
        <f>G113</f>
        <v>25</v>
      </c>
      <c r="J113" s="87">
        <f>I113*(1+J114)</f>
        <v>25</v>
      </c>
      <c r="K113" s="87">
        <f t="shared" ref="K113:BP113" si="55">J113*(1+K114)</f>
        <v>25</v>
      </c>
      <c r="L113" s="87">
        <f t="shared" si="55"/>
        <v>25</v>
      </c>
      <c r="M113" s="87">
        <f t="shared" si="55"/>
        <v>25.5</v>
      </c>
      <c r="N113" s="87">
        <f t="shared" si="55"/>
        <v>25.5</v>
      </c>
      <c r="O113" s="87">
        <f t="shared" si="55"/>
        <v>25.5</v>
      </c>
      <c r="P113" s="87">
        <f t="shared" si="55"/>
        <v>25.5</v>
      </c>
      <c r="Q113" s="87">
        <f t="shared" si="55"/>
        <v>26.01</v>
      </c>
      <c r="R113" s="87">
        <f t="shared" si="55"/>
        <v>26.01</v>
      </c>
      <c r="S113" s="87">
        <f t="shared" si="55"/>
        <v>26.01</v>
      </c>
      <c r="T113" s="87">
        <f t="shared" si="55"/>
        <v>26.01</v>
      </c>
      <c r="U113" s="87">
        <f t="shared" si="55"/>
        <v>26.530200000000001</v>
      </c>
      <c r="V113" s="87">
        <f t="shared" si="55"/>
        <v>26.530200000000001</v>
      </c>
      <c r="W113" s="87">
        <f t="shared" si="55"/>
        <v>26.530200000000001</v>
      </c>
      <c r="X113" s="87">
        <f t="shared" si="55"/>
        <v>26.530200000000001</v>
      </c>
      <c r="Y113" s="87">
        <f t="shared" si="55"/>
        <v>27.060804000000001</v>
      </c>
      <c r="Z113" s="87">
        <f t="shared" si="55"/>
        <v>27.060804000000001</v>
      </c>
      <c r="AA113" s="87">
        <f t="shared" si="55"/>
        <v>27.060804000000001</v>
      </c>
      <c r="AB113" s="87">
        <f t="shared" si="55"/>
        <v>27.060804000000001</v>
      </c>
      <c r="AC113" s="87">
        <f t="shared" si="55"/>
        <v>27.602020080000003</v>
      </c>
      <c r="AD113" s="87">
        <f t="shared" si="55"/>
        <v>27.602020080000003</v>
      </c>
      <c r="AE113" s="87">
        <f t="shared" si="55"/>
        <v>27.602020080000003</v>
      </c>
      <c r="AF113" s="87">
        <f t="shared" si="55"/>
        <v>27.602020080000003</v>
      </c>
      <c r="AG113" s="87">
        <f t="shared" si="55"/>
        <v>28.154060481600002</v>
      </c>
      <c r="AH113" s="87">
        <f t="shared" si="55"/>
        <v>28.154060481600002</v>
      </c>
      <c r="AI113" s="87">
        <f t="shared" si="55"/>
        <v>28.154060481600002</v>
      </c>
      <c r="AJ113" s="87">
        <f t="shared" si="55"/>
        <v>28.154060481600002</v>
      </c>
      <c r="AK113" s="87">
        <f t="shared" si="55"/>
        <v>28.717141691232001</v>
      </c>
      <c r="AL113" s="87">
        <f t="shared" si="55"/>
        <v>28.717141691232001</v>
      </c>
      <c r="AM113" s="87">
        <f t="shared" si="55"/>
        <v>28.717141691232001</v>
      </c>
      <c r="AN113" s="87">
        <f t="shared" si="55"/>
        <v>28.717141691232001</v>
      </c>
      <c r="AO113" s="87">
        <f t="shared" si="55"/>
        <v>29.291484525056642</v>
      </c>
      <c r="AP113" s="87">
        <f t="shared" si="55"/>
        <v>29.291484525056642</v>
      </c>
      <c r="AQ113" s="87">
        <f t="shared" si="55"/>
        <v>29.291484525056642</v>
      </c>
      <c r="AR113" s="87">
        <f t="shared" si="55"/>
        <v>29.291484525056642</v>
      </c>
      <c r="AS113" s="87">
        <f t="shared" si="55"/>
        <v>29.877314215557774</v>
      </c>
      <c r="AT113" s="87">
        <f t="shared" si="55"/>
        <v>29.877314215557774</v>
      </c>
      <c r="AU113" s="87">
        <f t="shared" si="55"/>
        <v>29.877314215557774</v>
      </c>
      <c r="AV113" s="87">
        <f t="shared" si="55"/>
        <v>29.877314215557774</v>
      </c>
      <c r="AW113" s="87">
        <f t="shared" si="55"/>
        <v>30.474860499868932</v>
      </c>
      <c r="AX113" s="87">
        <f t="shared" si="55"/>
        <v>30.474860499868932</v>
      </c>
      <c r="AY113" s="87">
        <f t="shared" si="55"/>
        <v>30.474860499868932</v>
      </c>
      <c r="AZ113" s="87">
        <f t="shared" si="55"/>
        <v>30.474860499868932</v>
      </c>
      <c r="BA113" s="87">
        <f t="shared" si="55"/>
        <v>31.08435770986631</v>
      </c>
      <c r="BB113" s="87">
        <f t="shared" si="55"/>
        <v>31.08435770986631</v>
      </c>
      <c r="BC113" s="87">
        <f t="shared" si="55"/>
        <v>31.08435770986631</v>
      </c>
      <c r="BD113" s="87">
        <f t="shared" si="55"/>
        <v>31.08435770986631</v>
      </c>
      <c r="BE113" s="87">
        <f t="shared" si="55"/>
        <v>31.706044864063639</v>
      </c>
      <c r="BF113" s="87">
        <f t="shared" si="55"/>
        <v>31.706044864063639</v>
      </c>
      <c r="BG113" s="87">
        <f t="shared" si="55"/>
        <v>31.706044864063639</v>
      </c>
      <c r="BH113" s="87">
        <f t="shared" si="55"/>
        <v>31.706044864063639</v>
      </c>
      <c r="BI113" s="87">
        <f t="shared" si="55"/>
        <v>32.340165761344913</v>
      </c>
      <c r="BJ113" s="87">
        <f t="shared" si="55"/>
        <v>32.340165761344913</v>
      </c>
      <c r="BK113" s="87">
        <f t="shared" si="55"/>
        <v>32.340165761344913</v>
      </c>
      <c r="BL113" s="87">
        <f t="shared" si="55"/>
        <v>32.340165761344913</v>
      </c>
      <c r="BM113" s="87">
        <f t="shared" si="55"/>
        <v>32.98696907657181</v>
      </c>
      <c r="BN113" s="87">
        <f t="shared" si="55"/>
        <v>32.98696907657181</v>
      </c>
      <c r="BO113" s="87">
        <f t="shared" si="55"/>
        <v>32.98696907657181</v>
      </c>
      <c r="BP113" s="87">
        <f t="shared" si="55"/>
        <v>32.98696907657181</v>
      </c>
    </row>
    <row r="114" spans="2:68">
      <c r="E114" s="61" t="s">
        <v>107</v>
      </c>
      <c r="I114" s="74">
        <f>I$38</f>
        <v>0</v>
      </c>
      <c r="J114" s="74">
        <f t="shared" ref="J114:BP114" si="56">J$38</f>
        <v>0</v>
      </c>
      <c r="K114" s="74">
        <f t="shared" si="56"/>
        <v>0</v>
      </c>
      <c r="L114" s="74">
        <f t="shared" si="56"/>
        <v>0</v>
      </c>
      <c r="M114" s="74">
        <f t="shared" si="56"/>
        <v>0.02</v>
      </c>
      <c r="N114" s="74">
        <f t="shared" si="56"/>
        <v>0</v>
      </c>
      <c r="O114" s="74">
        <f t="shared" si="56"/>
        <v>0</v>
      </c>
      <c r="P114" s="74">
        <f t="shared" si="56"/>
        <v>0</v>
      </c>
      <c r="Q114" s="74">
        <f t="shared" si="56"/>
        <v>0.02</v>
      </c>
      <c r="R114" s="74">
        <f t="shared" si="56"/>
        <v>0</v>
      </c>
      <c r="S114" s="74">
        <f t="shared" si="56"/>
        <v>0</v>
      </c>
      <c r="T114" s="74">
        <f t="shared" si="56"/>
        <v>0</v>
      </c>
      <c r="U114" s="74">
        <f t="shared" si="56"/>
        <v>0.02</v>
      </c>
      <c r="V114" s="74">
        <f t="shared" si="56"/>
        <v>0</v>
      </c>
      <c r="W114" s="74">
        <f t="shared" si="56"/>
        <v>0</v>
      </c>
      <c r="X114" s="74">
        <f t="shared" si="56"/>
        <v>0</v>
      </c>
      <c r="Y114" s="74">
        <f t="shared" si="56"/>
        <v>0.02</v>
      </c>
      <c r="Z114" s="74">
        <f t="shared" si="56"/>
        <v>0</v>
      </c>
      <c r="AA114" s="74">
        <f t="shared" si="56"/>
        <v>0</v>
      </c>
      <c r="AB114" s="74">
        <f t="shared" si="56"/>
        <v>0</v>
      </c>
      <c r="AC114" s="74">
        <f t="shared" si="56"/>
        <v>0.02</v>
      </c>
      <c r="AD114" s="74">
        <f t="shared" si="56"/>
        <v>0</v>
      </c>
      <c r="AE114" s="74">
        <f t="shared" si="56"/>
        <v>0</v>
      </c>
      <c r="AF114" s="74">
        <f t="shared" si="56"/>
        <v>0</v>
      </c>
      <c r="AG114" s="74">
        <f t="shared" si="56"/>
        <v>0.02</v>
      </c>
      <c r="AH114" s="74">
        <f t="shared" si="56"/>
        <v>0</v>
      </c>
      <c r="AI114" s="74">
        <f t="shared" si="56"/>
        <v>0</v>
      </c>
      <c r="AJ114" s="74">
        <f t="shared" si="56"/>
        <v>0</v>
      </c>
      <c r="AK114" s="74">
        <f t="shared" si="56"/>
        <v>0.02</v>
      </c>
      <c r="AL114" s="74">
        <f t="shared" si="56"/>
        <v>0</v>
      </c>
      <c r="AM114" s="74">
        <f t="shared" si="56"/>
        <v>0</v>
      </c>
      <c r="AN114" s="74">
        <f t="shared" si="56"/>
        <v>0</v>
      </c>
      <c r="AO114" s="74">
        <f t="shared" si="56"/>
        <v>0.02</v>
      </c>
      <c r="AP114" s="74">
        <f t="shared" si="56"/>
        <v>0</v>
      </c>
      <c r="AQ114" s="74">
        <f t="shared" si="56"/>
        <v>0</v>
      </c>
      <c r="AR114" s="74">
        <f t="shared" si="56"/>
        <v>0</v>
      </c>
      <c r="AS114" s="74">
        <f t="shared" si="56"/>
        <v>0.02</v>
      </c>
      <c r="AT114" s="74">
        <f t="shared" si="56"/>
        <v>0</v>
      </c>
      <c r="AU114" s="74">
        <f t="shared" si="56"/>
        <v>0</v>
      </c>
      <c r="AV114" s="74">
        <f t="shared" si="56"/>
        <v>0</v>
      </c>
      <c r="AW114" s="74">
        <f t="shared" si="56"/>
        <v>0.02</v>
      </c>
      <c r="AX114" s="74">
        <f t="shared" si="56"/>
        <v>0</v>
      </c>
      <c r="AY114" s="74">
        <f t="shared" si="56"/>
        <v>0</v>
      </c>
      <c r="AZ114" s="74">
        <f t="shared" si="56"/>
        <v>0</v>
      </c>
      <c r="BA114" s="74">
        <f t="shared" si="56"/>
        <v>0.02</v>
      </c>
      <c r="BB114" s="74">
        <f t="shared" si="56"/>
        <v>0</v>
      </c>
      <c r="BC114" s="74">
        <f t="shared" si="56"/>
        <v>0</v>
      </c>
      <c r="BD114" s="74">
        <f t="shared" si="56"/>
        <v>0</v>
      </c>
      <c r="BE114" s="74">
        <f t="shared" si="56"/>
        <v>0.02</v>
      </c>
      <c r="BF114" s="74">
        <f t="shared" si="56"/>
        <v>0</v>
      </c>
      <c r="BG114" s="74">
        <f t="shared" si="56"/>
        <v>0</v>
      </c>
      <c r="BH114" s="74">
        <f t="shared" si="56"/>
        <v>0</v>
      </c>
      <c r="BI114" s="74">
        <f t="shared" si="56"/>
        <v>0.02</v>
      </c>
      <c r="BJ114" s="74">
        <f t="shared" si="56"/>
        <v>0</v>
      </c>
      <c r="BK114" s="74">
        <f t="shared" si="56"/>
        <v>0</v>
      </c>
      <c r="BL114" s="74">
        <f t="shared" si="56"/>
        <v>0</v>
      </c>
      <c r="BM114" s="74">
        <f t="shared" si="56"/>
        <v>0.02</v>
      </c>
      <c r="BN114" s="74">
        <f t="shared" si="56"/>
        <v>0</v>
      </c>
      <c r="BO114" s="74">
        <f t="shared" si="56"/>
        <v>0</v>
      </c>
      <c r="BP114" s="74">
        <f t="shared" si="56"/>
        <v>0</v>
      </c>
    </row>
    <row r="116" spans="2:68">
      <c r="E116" s="61" t="s">
        <v>102</v>
      </c>
      <c r="H116" s="86" t="str">
        <f>$H$33</f>
        <v>[slabs]</v>
      </c>
      <c r="I116" s="88">
        <f t="shared" ref="I116:BP116" si="57">I33</f>
        <v>26500</v>
      </c>
      <c r="J116" s="88">
        <f t="shared" si="57"/>
        <v>28100</v>
      </c>
      <c r="K116" s="88">
        <f t="shared" si="57"/>
        <v>29000</v>
      </c>
      <c r="L116" s="88">
        <f t="shared" si="57"/>
        <v>25200</v>
      </c>
      <c r="M116" s="88">
        <f t="shared" si="57"/>
        <v>27030</v>
      </c>
      <c r="N116" s="88">
        <f t="shared" si="57"/>
        <v>28662</v>
      </c>
      <c r="O116" s="88">
        <f t="shared" si="57"/>
        <v>29580</v>
      </c>
      <c r="P116" s="88">
        <f t="shared" si="57"/>
        <v>25704</v>
      </c>
      <c r="Q116" s="88">
        <f t="shared" si="57"/>
        <v>27570.600000000002</v>
      </c>
      <c r="R116" s="88">
        <f t="shared" si="57"/>
        <v>29235.24</v>
      </c>
      <c r="S116" s="88">
        <f t="shared" si="57"/>
        <v>30171.600000000002</v>
      </c>
      <c r="T116" s="88">
        <f t="shared" si="57"/>
        <v>26218.080000000002</v>
      </c>
      <c r="U116" s="88">
        <f t="shared" si="57"/>
        <v>28122.012000000002</v>
      </c>
      <c r="V116" s="88">
        <f t="shared" si="57"/>
        <v>29819.944800000001</v>
      </c>
      <c r="W116" s="88">
        <f t="shared" si="57"/>
        <v>30775.032000000003</v>
      </c>
      <c r="X116" s="88">
        <f t="shared" si="57"/>
        <v>26742.441600000002</v>
      </c>
      <c r="Y116" s="88">
        <f t="shared" si="57"/>
        <v>28684.452240000002</v>
      </c>
      <c r="Z116" s="88">
        <f t="shared" si="57"/>
        <v>30416.343696</v>
      </c>
      <c r="AA116" s="88">
        <f t="shared" si="57"/>
        <v>31390.532640000005</v>
      </c>
      <c r="AB116" s="88">
        <f t="shared" si="57"/>
        <v>27277.290432000002</v>
      </c>
      <c r="AC116" s="88">
        <f t="shared" si="57"/>
        <v>29258.141284800004</v>
      </c>
      <c r="AD116" s="88">
        <f t="shared" si="57"/>
        <v>31024.670569919999</v>
      </c>
      <c r="AE116" s="88">
        <f t="shared" si="57"/>
        <v>32018.343292800004</v>
      </c>
      <c r="AF116" s="88">
        <f t="shared" si="57"/>
        <v>27822.836240640001</v>
      </c>
      <c r="AG116" s="88">
        <f t="shared" si="57"/>
        <v>29843.304110496003</v>
      </c>
      <c r="AH116" s="88">
        <f t="shared" si="57"/>
        <v>31645.163981318401</v>
      </c>
      <c r="AI116" s="88">
        <f t="shared" si="57"/>
        <v>32658.710158656006</v>
      </c>
      <c r="AJ116" s="88">
        <f t="shared" si="57"/>
        <v>28379.292965452802</v>
      </c>
      <c r="AK116" s="88">
        <f t="shared" si="57"/>
        <v>30440.170192705922</v>
      </c>
      <c r="AL116" s="88">
        <f t="shared" si="57"/>
        <v>32278.067260944768</v>
      </c>
      <c r="AM116" s="88">
        <f t="shared" si="57"/>
        <v>33311.884361829128</v>
      </c>
      <c r="AN116" s="88">
        <f t="shared" si="57"/>
        <v>28946.878824761858</v>
      </c>
      <c r="AO116" s="88">
        <f t="shared" si="57"/>
        <v>31048.973596560041</v>
      </c>
      <c r="AP116" s="88">
        <f t="shared" si="57"/>
        <v>32923.628606163664</v>
      </c>
      <c r="AQ116" s="88">
        <f t="shared" si="57"/>
        <v>33978.122049065714</v>
      </c>
      <c r="AR116" s="88">
        <f t="shared" si="57"/>
        <v>29525.816401257096</v>
      </c>
      <c r="AS116" s="88">
        <f t="shared" si="57"/>
        <v>31669.953068491242</v>
      </c>
      <c r="AT116" s="88">
        <f t="shared" si="57"/>
        <v>33582.101178286939</v>
      </c>
      <c r="AU116" s="88">
        <f t="shared" si="57"/>
        <v>34657.684490047031</v>
      </c>
      <c r="AV116" s="88">
        <f t="shared" si="57"/>
        <v>30116.33272928224</v>
      </c>
      <c r="AW116" s="88">
        <f t="shared" si="57"/>
        <v>32303.352129861069</v>
      </c>
      <c r="AX116" s="88">
        <f t="shared" si="57"/>
        <v>34253.743201852682</v>
      </c>
      <c r="AY116" s="88">
        <f t="shared" si="57"/>
        <v>35350.838179847975</v>
      </c>
      <c r="AZ116" s="88">
        <f t="shared" si="57"/>
        <v>30718.659383867885</v>
      </c>
      <c r="BA116" s="88">
        <f t="shared" si="57"/>
        <v>32949.419172458292</v>
      </c>
      <c r="BB116" s="88">
        <f t="shared" si="57"/>
        <v>34938.818065889733</v>
      </c>
      <c r="BC116" s="88">
        <f t="shared" si="57"/>
        <v>36057.854943444938</v>
      </c>
      <c r="BD116" s="88">
        <f t="shared" si="57"/>
        <v>31333.032571545245</v>
      </c>
      <c r="BE116" s="88">
        <f t="shared" si="57"/>
        <v>33608.407555907455</v>
      </c>
      <c r="BF116" s="88">
        <f t="shared" si="57"/>
        <v>35637.594427207528</v>
      </c>
      <c r="BG116" s="88">
        <f t="shared" si="57"/>
        <v>36779.012042313836</v>
      </c>
      <c r="BH116" s="88">
        <f t="shared" si="57"/>
        <v>31959.693222976151</v>
      </c>
      <c r="BI116" s="88">
        <f t="shared" si="57"/>
        <v>34280.575707025608</v>
      </c>
      <c r="BJ116" s="88">
        <f t="shared" si="57"/>
        <v>36350.346315751682</v>
      </c>
      <c r="BK116" s="88">
        <f t="shared" si="57"/>
        <v>37514.592283160113</v>
      </c>
      <c r="BL116" s="88">
        <f t="shared" si="57"/>
        <v>32598.887087435676</v>
      </c>
      <c r="BM116" s="88">
        <f t="shared" si="57"/>
        <v>34966.187221166118</v>
      </c>
      <c r="BN116" s="88">
        <f t="shared" si="57"/>
        <v>37077.353242066718</v>
      </c>
      <c r="BO116" s="88">
        <f t="shared" si="57"/>
        <v>38264.884128823316</v>
      </c>
      <c r="BP116" s="88">
        <f t="shared" si="57"/>
        <v>33250.864829184393</v>
      </c>
    </row>
    <row r="117" spans="2:68">
      <c r="E117" s="61" t="s">
        <v>127</v>
      </c>
      <c r="G117" s="112">
        <f>CaseData!H76</f>
        <v>32000</v>
      </c>
      <c r="H117" s="86" t="str">
        <f>$H$33</f>
        <v>[slabs]</v>
      </c>
      <c r="I117" s="88">
        <f>$G117</f>
        <v>32000</v>
      </c>
      <c r="J117" s="88">
        <f t="shared" ref="J117:BP117" si="58">$G117</f>
        <v>32000</v>
      </c>
      <c r="K117" s="88">
        <f t="shared" si="58"/>
        <v>32000</v>
      </c>
      <c r="L117" s="88">
        <f t="shared" si="58"/>
        <v>32000</v>
      </c>
      <c r="M117" s="88">
        <f t="shared" si="58"/>
        <v>32000</v>
      </c>
      <c r="N117" s="88">
        <f t="shared" si="58"/>
        <v>32000</v>
      </c>
      <c r="O117" s="88">
        <f t="shared" si="58"/>
        <v>32000</v>
      </c>
      <c r="P117" s="88">
        <f t="shared" si="58"/>
        <v>32000</v>
      </c>
      <c r="Q117" s="88">
        <f t="shared" si="58"/>
        <v>32000</v>
      </c>
      <c r="R117" s="88">
        <f t="shared" si="58"/>
        <v>32000</v>
      </c>
      <c r="S117" s="88">
        <f t="shared" si="58"/>
        <v>32000</v>
      </c>
      <c r="T117" s="88">
        <f t="shared" si="58"/>
        <v>32000</v>
      </c>
      <c r="U117" s="88">
        <f t="shared" si="58"/>
        <v>32000</v>
      </c>
      <c r="V117" s="88">
        <f t="shared" si="58"/>
        <v>32000</v>
      </c>
      <c r="W117" s="88">
        <f t="shared" si="58"/>
        <v>32000</v>
      </c>
      <c r="X117" s="88">
        <f t="shared" si="58"/>
        <v>32000</v>
      </c>
      <c r="Y117" s="88">
        <f t="shared" si="58"/>
        <v>32000</v>
      </c>
      <c r="Z117" s="88">
        <f t="shared" si="58"/>
        <v>32000</v>
      </c>
      <c r="AA117" s="88">
        <f t="shared" si="58"/>
        <v>32000</v>
      </c>
      <c r="AB117" s="88">
        <f t="shared" si="58"/>
        <v>32000</v>
      </c>
      <c r="AC117" s="88">
        <f t="shared" si="58"/>
        <v>32000</v>
      </c>
      <c r="AD117" s="88">
        <f t="shared" si="58"/>
        <v>32000</v>
      </c>
      <c r="AE117" s="88">
        <f t="shared" si="58"/>
        <v>32000</v>
      </c>
      <c r="AF117" s="88">
        <f t="shared" si="58"/>
        <v>32000</v>
      </c>
      <c r="AG117" s="88">
        <f t="shared" si="58"/>
        <v>32000</v>
      </c>
      <c r="AH117" s="88">
        <f t="shared" si="58"/>
        <v>32000</v>
      </c>
      <c r="AI117" s="88">
        <f t="shared" si="58"/>
        <v>32000</v>
      </c>
      <c r="AJ117" s="88">
        <f t="shared" si="58"/>
        <v>32000</v>
      </c>
      <c r="AK117" s="88">
        <f t="shared" si="58"/>
        <v>32000</v>
      </c>
      <c r="AL117" s="88">
        <f t="shared" si="58"/>
        <v>32000</v>
      </c>
      <c r="AM117" s="88">
        <f t="shared" si="58"/>
        <v>32000</v>
      </c>
      <c r="AN117" s="88">
        <f t="shared" si="58"/>
        <v>32000</v>
      </c>
      <c r="AO117" s="88">
        <f t="shared" si="58"/>
        <v>32000</v>
      </c>
      <c r="AP117" s="88">
        <f t="shared" si="58"/>
        <v>32000</v>
      </c>
      <c r="AQ117" s="88">
        <f t="shared" si="58"/>
        <v>32000</v>
      </c>
      <c r="AR117" s="88">
        <f t="shared" si="58"/>
        <v>32000</v>
      </c>
      <c r="AS117" s="88">
        <f t="shared" si="58"/>
        <v>32000</v>
      </c>
      <c r="AT117" s="88">
        <f t="shared" si="58"/>
        <v>32000</v>
      </c>
      <c r="AU117" s="88">
        <f t="shared" si="58"/>
        <v>32000</v>
      </c>
      <c r="AV117" s="88">
        <f t="shared" si="58"/>
        <v>32000</v>
      </c>
      <c r="AW117" s="88">
        <f t="shared" si="58"/>
        <v>32000</v>
      </c>
      <c r="AX117" s="88">
        <f t="shared" si="58"/>
        <v>32000</v>
      </c>
      <c r="AY117" s="88">
        <f t="shared" si="58"/>
        <v>32000</v>
      </c>
      <c r="AZ117" s="88">
        <f t="shared" si="58"/>
        <v>32000</v>
      </c>
      <c r="BA117" s="88">
        <f t="shared" si="58"/>
        <v>32000</v>
      </c>
      <c r="BB117" s="88">
        <f t="shared" si="58"/>
        <v>32000</v>
      </c>
      <c r="BC117" s="88">
        <f t="shared" si="58"/>
        <v>32000</v>
      </c>
      <c r="BD117" s="88">
        <f t="shared" si="58"/>
        <v>32000</v>
      </c>
      <c r="BE117" s="88">
        <f t="shared" si="58"/>
        <v>32000</v>
      </c>
      <c r="BF117" s="88">
        <f t="shared" si="58"/>
        <v>32000</v>
      </c>
      <c r="BG117" s="88">
        <f t="shared" si="58"/>
        <v>32000</v>
      </c>
      <c r="BH117" s="88">
        <f t="shared" si="58"/>
        <v>32000</v>
      </c>
      <c r="BI117" s="88">
        <f t="shared" si="58"/>
        <v>32000</v>
      </c>
      <c r="BJ117" s="88">
        <f t="shared" si="58"/>
        <v>32000</v>
      </c>
      <c r="BK117" s="88">
        <f t="shared" si="58"/>
        <v>32000</v>
      </c>
      <c r="BL117" s="88">
        <f t="shared" si="58"/>
        <v>32000</v>
      </c>
      <c r="BM117" s="88">
        <f t="shared" si="58"/>
        <v>32000</v>
      </c>
      <c r="BN117" s="88">
        <f t="shared" si="58"/>
        <v>32000</v>
      </c>
      <c r="BO117" s="88">
        <f t="shared" si="58"/>
        <v>32000</v>
      </c>
      <c r="BP117" s="88">
        <f t="shared" si="58"/>
        <v>32000</v>
      </c>
    </row>
    <row r="118" spans="2:68">
      <c r="E118" s="61" t="s">
        <v>128</v>
      </c>
      <c r="H118" s="86" t="str">
        <f>$H$33</f>
        <v>[slabs]</v>
      </c>
      <c r="I118" s="91">
        <f>MAX(I116-I117,0)</f>
        <v>0</v>
      </c>
      <c r="J118" s="91">
        <f t="shared" ref="J118:BP118" si="59">MAX(J116-J117,0)</f>
        <v>0</v>
      </c>
      <c r="K118" s="91">
        <f t="shared" si="59"/>
        <v>0</v>
      </c>
      <c r="L118" s="91">
        <f t="shared" si="59"/>
        <v>0</v>
      </c>
      <c r="M118" s="91">
        <f t="shared" si="59"/>
        <v>0</v>
      </c>
      <c r="N118" s="91">
        <f t="shared" si="59"/>
        <v>0</v>
      </c>
      <c r="O118" s="91">
        <f t="shared" si="59"/>
        <v>0</v>
      </c>
      <c r="P118" s="91">
        <f t="shared" si="59"/>
        <v>0</v>
      </c>
      <c r="Q118" s="91">
        <f t="shared" si="59"/>
        <v>0</v>
      </c>
      <c r="R118" s="91">
        <f t="shared" si="59"/>
        <v>0</v>
      </c>
      <c r="S118" s="91">
        <f t="shared" si="59"/>
        <v>0</v>
      </c>
      <c r="T118" s="91">
        <f t="shared" si="59"/>
        <v>0</v>
      </c>
      <c r="U118" s="91">
        <f t="shared" si="59"/>
        <v>0</v>
      </c>
      <c r="V118" s="91">
        <f t="shared" si="59"/>
        <v>0</v>
      </c>
      <c r="W118" s="91">
        <f t="shared" si="59"/>
        <v>0</v>
      </c>
      <c r="X118" s="91">
        <f t="shared" si="59"/>
        <v>0</v>
      </c>
      <c r="Y118" s="91">
        <f t="shared" si="59"/>
        <v>0</v>
      </c>
      <c r="Z118" s="91">
        <f t="shared" si="59"/>
        <v>0</v>
      </c>
      <c r="AA118" s="91">
        <f t="shared" si="59"/>
        <v>0</v>
      </c>
      <c r="AB118" s="91">
        <f t="shared" si="59"/>
        <v>0</v>
      </c>
      <c r="AC118" s="91">
        <f t="shared" si="59"/>
        <v>0</v>
      </c>
      <c r="AD118" s="91">
        <f t="shared" si="59"/>
        <v>0</v>
      </c>
      <c r="AE118" s="91">
        <f t="shared" si="59"/>
        <v>18.343292800003837</v>
      </c>
      <c r="AF118" s="91">
        <f t="shared" si="59"/>
        <v>0</v>
      </c>
      <c r="AG118" s="91">
        <f t="shared" si="59"/>
        <v>0</v>
      </c>
      <c r="AH118" s="91">
        <f t="shared" si="59"/>
        <v>0</v>
      </c>
      <c r="AI118" s="91">
        <f t="shared" si="59"/>
        <v>658.71015865600566</v>
      </c>
      <c r="AJ118" s="91">
        <f t="shared" si="59"/>
        <v>0</v>
      </c>
      <c r="AK118" s="91">
        <f t="shared" si="59"/>
        <v>0</v>
      </c>
      <c r="AL118" s="91">
        <f t="shared" si="59"/>
        <v>278.06726094476835</v>
      </c>
      <c r="AM118" s="91">
        <f t="shared" si="59"/>
        <v>1311.8843618291285</v>
      </c>
      <c r="AN118" s="91">
        <f t="shared" si="59"/>
        <v>0</v>
      </c>
      <c r="AO118" s="91">
        <f t="shared" si="59"/>
        <v>0</v>
      </c>
      <c r="AP118" s="91">
        <f t="shared" si="59"/>
        <v>923.62860616366379</v>
      </c>
      <c r="AQ118" s="91">
        <f t="shared" si="59"/>
        <v>1978.1220490657142</v>
      </c>
      <c r="AR118" s="91">
        <f t="shared" si="59"/>
        <v>0</v>
      </c>
      <c r="AS118" s="91">
        <f t="shared" si="59"/>
        <v>0</v>
      </c>
      <c r="AT118" s="91">
        <f t="shared" si="59"/>
        <v>1582.1011782869391</v>
      </c>
      <c r="AU118" s="91">
        <f t="shared" si="59"/>
        <v>2657.6844900470314</v>
      </c>
      <c r="AV118" s="91">
        <f t="shared" si="59"/>
        <v>0</v>
      </c>
      <c r="AW118" s="91">
        <f t="shared" si="59"/>
        <v>303.35212986106853</v>
      </c>
      <c r="AX118" s="91">
        <f t="shared" si="59"/>
        <v>2253.7432018526815</v>
      </c>
      <c r="AY118" s="91">
        <f t="shared" si="59"/>
        <v>3350.838179847975</v>
      </c>
      <c r="AZ118" s="91">
        <f t="shared" si="59"/>
        <v>0</v>
      </c>
      <c r="BA118" s="91">
        <f t="shared" si="59"/>
        <v>949.41917245829245</v>
      </c>
      <c r="BB118" s="91">
        <f t="shared" si="59"/>
        <v>2938.8180658897327</v>
      </c>
      <c r="BC118" s="91">
        <f t="shared" si="59"/>
        <v>4057.8549434449378</v>
      </c>
      <c r="BD118" s="91">
        <f t="shared" si="59"/>
        <v>0</v>
      </c>
      <c r="BE118" s="91">
        <f t="shared" si="59"/>
        <v>1608.4075559074554</v>
      </c>
      <c r="BF118" s="91">
        <f t="shared" si="59"/>
        <v>3637.5944272075285</v>
      </c>
      <c r="BG118" s="91">
        <f t="shared" si="59"/>
        <v>4779.012042313836</v>
      </c>
      <c r="BH118" s="91">
        <f t="shared" si="59"/>
        <v>0</v>
      </c>
      <c r="BI118" s="91">
        <f t="shared" si="59"/>
        <v>2280.5757070256077</v>
      </c>
      <c r="BJ118" s="91">
        <f t="shared" si="59"/>
        <v>4350.3463157516817</v>
      </c>
      <c r="BK118" s="91">
        <f t="shared" si="59"/>
        <v>5514.5922831601129</v>
      </c>
      <c r="BL118" s="91">
        <f t="shared" si="59"/>
        <v>598.88708743567622</v>
      </c>
      <c r="BM118" s="91">
        <f t="shared" si="59"/>
        <v>2966.1872211661175</v>
      </c>
      <c r="BN118" s="91">
        <f t="shared" si="59"/>
        <v>5077.3532420667179</v>
      </c>
      <c r="BO118" s="91">
        <f t="shared" si="59"/>
        <v>6264.8841288233161</v>
      </c>
      <c r="BP118" s="91">
        <f t="shared" si="59"/>
        <v>1250.8648291843929</v>
      </c>
    </row>
    <row r="119" spans="2:68">
      <c r="H119" s="86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</row>
    <row r="120" spans="2:68">
      <c r="E120" s="61" t="s">
        <v>121</v>
      </c>
      <c r="H120" s="86"/>
      <c r="I120" s="88">
        <f>I113*I118</f>
        <v>0</v>
      </c>
      <c r="J120" s="88">
        <f t="shared" ref="J120:BP120" si="60">J113*J118</f>
        <v>0</v>
      </c>
      <c r="K120" s="88">
        <f t="shared" si="60"/>
        <v>0</v>
      </c>
      <c r="L120" s="88">
        <f t="shared" si="60"/>
        <v>0</v>
      </c>
      <c r="M120" s="88">
        <f t="shared" si="60"/>
        <v>0</v>
      </c>
      <c r="N120" s="88">
        <f t="shared" si="60"/>
        <v>0</v>
      </c>
      <c r="O120" s="88">
        <f t="shared" si="60"/>
        <v>0</v>
      </c>
      <c r="P120" s="88">
        <f t="shared" si="60"/>
        <v>0</v>
      </c>
      <c r="Q120" s="88">
        <f t="shared" si="60"/>
        <v>0</v>
      </c>
      <c r="R120" s="88">
        <f t="shared" si="60"/>
        <v>0</v>
      </c>
      <c r="S120" s="88">
        <f t="shared" si="60"/>
        <v>0</v>
      </c>
      <c r="T120" s="88">
        <f t="shared" si="60"/>
        <v>0</v>
      </c>
      <c r="U120" s="88">
        <f t="shared" si="60"/>
        <v>0</v>
      </c>
      <c r="V120" s="88">
        <f t="shared" si="60"/>
        <v>0</v>
      </c>
      <c r="W120" s="88">
        <f t="shared" si="60"/>
        <v>0</v>
      </c>
      <c r="X120" s="88">
        <f t="shared" si="60"/>
        <v>0</v>
      </c>
      <c r="Y120" s="88">
        <f t="shared" si="60"/>
        <v>0</v>
      </c>
      <c r="Z120" s="88">
        <f t="shared" si="60"/>
        <v>0</v>
      </c>
      <c r="AA120" s="88">
        <f t="shared" si="60"/>
        <v>0</v>
      </c>
      <c r="AB120" s="88">
        <f t="shared" si="60"/>
        <v>0</v>
      </c>
      <c r="AC120" s="88">
        <f t="shared" si="60"/>
        <v>0</v>
      </c>
      <c r="AD120" s="88">
        <f t="shared" si="60"/>
        <v>0</v>
      </c>
      <c r="AE120" s="88">
        <f t="shared" si="60"/>
        <v>506.31193619902541</v>
      </c>
      <c r="AF120" s="88">
        <f t="shared" si="60"/>
        <v>0</v>
      </c>
      <c r="AG120" s="88">
        <f t="shared" si="60"/>
        <v>0</v>
      </c>
      <c r="AH120" s="88">
        <f t="shared" si="60"/>
        <v>0</v>
      </c>
      <c r="AI120" s="88">
        <f t="shared" si="60"/>
        <v>18545.365646645518</v>
      </c>
      <c r="AJ120" s="88">
        <f t="shared" si="60"/>
        <v>0</v>
      </c>
      <c r="AK120" s="88">
        <f t="shared" si="60"/>
        <v>0</v>
      </c>
      <c r="AL120" s="88">
        <f t="shared" si="60"/>
        <v>7985.2969322436948</v>
      </c>
      <c r="AM120" s="88">
        <f t="shared" si="60"/>
        <v>37673.569101158551</v>
      </c>
      <c r="AN120" s="88">
        <f t="shared" si="60"/>
        <v>0</v>
      </c>
      <c r="AO120" s="88">
        <f t="shared" si="60"/>
        <v>0</v>
      </c>
      <c r="AP120" s="88">
        <f t="shared" si="60"/>
        <v>27054.453024342594</v>
      </c>
      <c r="AQ120" s="88">
        <f t="shared" si="60"/>
        <v>57942.131388881702</v>
      </c>
      <c r="AR120" s="88">
        <f t="shared" si="60"/>
        <v>0</v>
      </c>
      <c r="AS120" s="88">
        <f t="shared" si="60"/>
        <v>0</v>
      </c>
      <c r="AT120" s="88">
        <f t="shared" si="60"/>
        <v>47268.934024483067</v>
      </c>
      <c r="AU120" s="88">
        <f t="shared" si="60"/>
        <v>79404.474594949585</v>
      </c>
      <c r="AV120" s="88">
        <f t="shared" si="60"/>
        <v>0</v>
      </c>
      <c r="AW120" s="88">
        <f t="shared" si="60"/>
        <v>9244.613839854188</v>
      </c>
      <c r="AX120" s="88">
        <f t="shared" si="60"/>
        <v>68682.509678988412</v>
      </c>
      <c r="AY120" s="88">
        <f t="shared" si="60"/>
        <v>102116.32608850177</v>
      </c>
      <c r="AZ120" s="88">
        <f t="shared" si="60"/>
        <v>0</v>
      </c>
      <c r="BA120" s="88">
        <f t="shared" si="60"/>
        <v>29512.085173298816</v>
      </c>
      <c r="BB120" s="88">
        <f t="shared" si="60"/>
        <v>91351.272004333907</v>
      </c>
      <c r="BC120" s="88">
        <f t="shared" si="60"/>
        <v>126135.81459679178</v>
      </c>
      <c r="BD120" s="88">
        <f t="shared" si="60"/>
        <v>0</v>
      </c>
      <c r="BE120" s="88">
        <f t="shared" si="60"/>
        <v>50996.242127300728</v>
      </c>
      <c r="BF120" s="88">
        <f t="shared" si="60"/>
        <v>115333.73210630978</v>
      </c>
      <c r="BG120" s="88">
        <f t="shared" si="60"/>
        <v>151523.57021950287</v>
      </c>
      <c r="BH120" s="88">
        <f t="shared" si="60"/>
        <v>0</v>
      </c>
      <c r="BI120" s="88">
        <f t="shared" si="60"/>
        <v>73754.196396504529</v>
      </c>
      <c r="BJ120" s="88">
        <f t="shared" si="60"/>
        <v>140690.92097066552</v>
      </c>
      <c r="BK120" s="88">
        <f t="shared" si="60"/>
        <v>178342.82854363156</v>
      </c>
      <c r="BL120" s="88">
        <f t="shared" si="60"/>
        <v>19368.107679998833</v>
      </c>
      <c r="BM120" s="88">
        <f t="shared" si="60"/>
        <v>97845.526139929192</v>
      </c>
      <c r="BN120" s="88">
        <f t="shared" si="60"/>
        <v>167486.49438688645</v>
      </c>
      <c r="BO120" s="88">
        <f t="shared" si="60"/>
        <v>206659.53902580024</v>
      </c>
      <c r="BP120" s="88">
        <f t="shared" si="60"/>
        <v>41262.239439276847</v>
      </c>
    </row>
    <row r="121" spans="2:68">
      <c r="B121" s="77"/>
      <c r="C121" s="77"/>
      <c r="D121" s="77"/>
      <c r="E121" s="77"/>
      <c r="F121" s="77"/>
      <c r="G121" s="78"/>
      <c r="H121" s="78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77"/>
      <c r="BN121" s="77"/>
      <c r="BO121" s="77"/>
      <c r="BP121" s="77"/>
    </row>
    <row r="122" spans="2:68">
      <c r="B122" s="79"/>
      <c r="C122" s="79"/>
      <c r="D122" s="79"/>
      <c r="E122" s="79"/>
      <c r="F122" s="79"/>
      <c r="G122" s="80"/>
      <c r="H122" s="80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</row>
    <row r="123" spans="2:68">
      <c r="C123" s="70" t="s">
        <v>34</v>
      </c>
    </row>
    <row r="124" spans="2:68">
      <c r="D124" s="70" t="s">
        <v>121</v>
      </c>
      <c r="E124" s="70"/>
      <c r="F124" s="70"/>
      <c r="G124" s="113">
        <f>CaseData!H79</f>
        <v>450000</v>
      </c>
      <c r="H124" s="113" t="str">
        <f>CaseData!F79</f>
        <v>[$/qtr]</v>
      </c>
      <c r="I124" s="98">
        <f>G124</f>
        <v>450000</v>
      </c>
      <c r="J124" s="98">
        <f>I124*(1+J125)</f>
        <v>450000</v>
      </c>
      <c r="K124" s="98">
        <f t="shared" ref="K124:BP124" si="61">J124*(1+K125)</f>
        <v>450000</v>
      </c>
      <c r="L124" s="98">
        <f t="shared" si="61"/>
        <v>450000</v>
      </c>
      <c r="M124" s="98">
        <f t="shared" si="61"/>
        <v>459000</v>
      </c>
      <c r="N124" s="98">
        <f t="shared" si="61"/>
        <v>459000</v>
      </c>
      <c r="O124" s="98">
        <f t="shared" si="61"/>
        <v>459000</v>
      </c>
      <c r="P124" s="98">
        <f t="shared" si="61"/>
        <v>459000</v>
      </c>
      <c r="Q124" s="98">
        <f t="shared" si="61"/>
        <v>468180</v>
      </c>
      <c r="R124" s="98">
        <f t="shared" si="61"/>
        <v>468180</v>
      </c>
      <c r="S124" s="98">
        <f t="shared" si="61"/>
        <v>468180</v>
      </c>
      <c r="T124" s="98">
        <f t="shared" si="61"/>
        <v>468180</v>
      </c>
      <c r="U124" s="98">
        <f t="shared" si="61"/>
        <v>477543.60000000003</v>
      </c>
      <c r="V124" s="98">
        <f t="shared" si="61"/>
        <v>477543.60000000003</v>
      </c>
      <c r="W124" s="98">
        <f t="shared" si="61"/>
        <v>477543.60000000003</v>
      </c>
      <c r="X124" s="98">
        <f t="shared" si="61"/>
        <v>477543.60000000003</v>
      </c>
      <c r="Y124" s="98">
        <f t="shared" si="61"/>
        <v>487094.47200000007</v>
      </c>
      <c r="Z124" s="98">
        <f t="shared" si="61"/>
        <v>487094.47200000007</v>
      </c>
      <c r="AA124" s="98">
        <f t="shared" si="61"/>
        <v>487094.47200000007</v>
      </c>
      <c r="AB124" s="98">
        <f t="shared" si="61"/>
        <v>487094.47200000007</v>
      </c>
      <c r="AC124" s="98">
        <f t="shared" si="61"/>
        <v>496836.36144000007</v>
      </c>
      <c r="AD124" s="98">
        <f t="shared" si="61"/>
        <v>496836.36144000007</v>
      </c>
      <c r="AE124" s="98">
        <f t="shared" si="61"/>
        <v>496836.36144000007</v>
      </c>
      <c r="AF124" s="98">
        <f t="shared" si="61"/>
        <v>496836.36144000007</v>
      </c>
      <c r="AG124" s="98">
        <f t="shared" si="61"/>
        <v>506773.08866880008</v>
      </c>
      <c r="AH124" s="98">
        <f t="shared" si="61"/>
        <v>506773.08866880008</v>
      </c>
      <c r="AI124" s="98">
        <f t="shared" si="61"/>
        <v>506773.08866880008</v>
      </c>
      <c r="AJ124" s="98">
        <f t="shared" si="61"/>
        <v>506773.08866880008</v>
      </c>
      <c r="AK124" s="98">
        <f t="shared" si="61"/>
        <v>516908.55044217611</v>
      </c>
      <c r="AL124" s="98">
        <f t="shared" si="61"/>
        <v>516908.55044217611</v>
      </c>
      <c r="AM124" s="98">
        <f t="shared" si="61"/>
        <v>516908.55044217611</v>
      </c>
      <c r="AN124" s="98">
        <f t="shared" si="61"/>
        <v>516908.55044217611</v>
      </c>
      <c r="AO124" s="98">
        <f t="shared" si="61"/>
        <v>527246.72145101964</v>
      </c>
      <c r="AP124" s="98">
        <f t="shared" si="61"/>
        <v>527246.72145101964</v>
      </c>
      <c r="AQ124" s="98">
        <f t="shared" si="61"/>
        <v>527246.72145101964</v>
      </c>
      <c r="AR124" s="98">
        <f t="shared" si="61"/>
        <v>527246.72145101964</v>
      </c>
      <c r="AS124" s="98">
        <f t="shared" si="61"/>
        <v>537791.65588004002</v>
      </c>
      <c r="AT124" s="98">
        <f t="shared" si="61"/>
        <v>537791.65588004002</v>
      </c>
      <c r="AU124" s="98">
        <f t="shared" si="61"/>
        <v>537791.65588004002</v>
      </c>
      <c r="AV124" s="98">
        <f t="shared" si="61"/>
        <v>537791.65588004002</v>
      </c>
      <c r="AW124" s="98">
        <f t="shared" si="61"/>
        <v>548547.48899764079</v>
      </c>
      <c r="AX124" s="98">
        <f t="shared" si="61"/>
        <v>548547.48899764079</v>
      </c>
      <c r="AY124" s="98">
        <f t="shared" si="61"/>
        <v>548547.48899764079</v>
      </c>
      <c r="AZ124" s="98">
        <f t="shared" si="61"/>
        <v>548547.48899764079</v>
      </c>
      <c r="BA124" s="98">
        <f t="shared" si="61"/>
        <v>559518.43877759366</v>
      </c>
      <c r="BB124" s="98">
        <f t="shared" si="61"/>
        <v>559518.43877759366</v>
      </c>
      <c r="BC124" s="98">
        <f t="shared" si="61"/>
        <v>559518.43877759366</v>
      </c>
      <c r="BD124" s="98">
        <f t="shared" si="61"/>
        <v>559518.43877759366</v>
      </c>
      <c r="BE124" s="98">
        <f t="shared" si="61"/>
        <v>570708.80755314557</v>
      </c>
      <c r="BF124" s="98">
        <f t="shared" si="61"/>
        <v>570708.80755314557</v>
      </c>
      <c r="BG124" s="98">
        <f t="shared" si="61"/>
        <v>570708.80755314557</v>
      </c>
      <c r="BH124" s="98">
        <f t="shared" si="61"/>
        <v>570708.80755314557</v>
      </c>
      <c r="BI124" s="98">
        <f t="shared" si="61"/>
        <v>582122.98370420851</v>
      </c>
      <c r="BJ124" s="98">
        <f t="shared" si="61"/>
        <v>582122.98370420851</v>
      </c>
      <c r="BK124" s="98">
        <f t="shared" si="61"/>
        <v>582122.98370420851</v>
      </c>
      <c r="BL124" s="98">
        <f t="shared" si="61"/>
        <v>582122.98370420851</v>
      </c>
      <c r="BM124" s="98">
        <f t="shared" si="61"/>
        <v>593765.44337829272</v>
      </c>
      <c r="BN124" s="98">
        <f t="shared" si="61"/>
        <v>593765.44337829272</v>
      </c>
      <c r="BO124" s="98">
        <f t="shared" si="61"/>
        <v>593765.44337829272</v>
      </c>
      <c r="BP124" s="98">
        <f t="shared" si="61"/>
        <v>593765.44337829272</v>
      </c>
    </row>
    <row r="125" spans="2:68">
      <c r="D125" s="61" t="s">
        <v>107</v>
      </c>
      <c r="I125" s="74">
        <f>I$38</f>
        <v>0</v>
      </c>
      <c r="J125" s="74">
        <f t="shared" ref="J125:BP125" si="62">J$38</f>
        <v>0</v>
      </c>
      <c r="K125" s="74">
        <f t="shared" si="62"/>
        <v>0</v>
      </c>
      <c r="L125" s="74">
        <f t="shared" si="62"/>
        <v>0</v>
      </c>
      <c r="M125" s="74">
        <f t="shared" si="62"/>
        <v>0.02</v>
      </c>
      <c r="N125" s="74">
        <f t="shared" si="62"/>
        <v>0</v>
      </c>
      <c r="O125" s="74">
        <f t="shared" si="62"/>
        <v>0</v>
      </c>
      <c r="P125" s="74">
        <f t="shared" si="62"/>
        <v>0</v>
      </c>
      <c r="Q125" s="74">
        <f t="shared" si="62"/>
        <v>0.02</v>
      </c>
      <c r="R125" s="74">
        <f t="shared" si="62"/>
        <v>0</v>
      </c>
      <c r="S125" s="74">
        <f t="shared" si="62"/>
        <v>0</v>
      </c>
      <c r="T125" s="74">
        <f t="shared" si="62"/>
        <v>0</v>
      </c>
      <c r="U125" s="74">
        <f t="shared" si="62"/>
        <v>0.02</v>
      </c>
      <c r="V125" s="74">
        <f t="shared" si="62"/>
        <v>0</v>
      </c>
      <c r="W125" s="74">
        <f t="shared" si="62"/>
        <v>0</v>
      </c>
      <c r="X125" s="74">
        <f t="shared" si="62"/>
        <v>0</v>
      </c>
      <c r="Y125" s="74">
        <f t="shared" si="62"/>
        <v>0.02</v>
      </c>
      <c r="Z125" s="74">
        <f t="shared" si="62"/>
        <v>0</v>
      </c>
      <c r="AA125" s="74">
        <f t="shared" si="62"/>
        <v>0</v>
      </c>
      <c r="AB125" s="74">
        <f t="shared" si="62"/>
        <v>0</v>
      </c>
      <c r="AC125" s="74">
        <f t="shared" si="62"/>
        <v>0.02</v>
      </c>
      <c r="AD125" s="74">
        <f t="shared" si="62"/>
        <v>0</v>
      </c>
      <c r="AE125" s="74">
        <f t="shared" si="62"/>
        <v>0</v>
      </c>
      <c r="AF125" s="74">
        <f t="shared" si="62"/>
        <v>0</v>
      </c>
      <c r="AG125" s="74">
        <f t="shared" si="62"/>
        <v>0.02</v>
      </c>
      <c r="AH125" s="74">
        <f t="shared" si="62"/>
        <v>0</v>
      </c>
      <c r="AI125" s="74">
        <f t="shared" si="62"/>
        <v>0</v>
      </c>
      <c r="AJ125" s="74">
        <f t="shared" si="62"/>
        <v>0</v>
      </c>
      <c r="AK125" s="74">
        <f t="shared" si="62"/>
        <v>0.02</v>
      </c>
      <c r="AL125" s="74">
        <f t="shared" si="62"/>
        <v>0</v>
      </c>
      <c r="AM125" s="74">
        <f t="shared" si="62"/>
        <v>0</v>
      </c>
      <c r="AN125" s="74">
        <f t="shared" si="62"/>
        <v>0</v>
      </c>
      <c r="AO125" s="74">
        <f t="shared" si="62"/>
        <v>0.02</v>
      </c>
      <c r="AP125" s="74">
        <f t="shared" si="62"/>
        <v>0</v>
      </c>
      <c r="AQ125" s="74">
        <f t="shared" si="62"/>
        <v>0</v>
      </c>
      <c r="AR125" s="74">
        <f t="shared" si="62"/>
        <v>0</v>
      </c>
      <c r="AS125" s="74">
        <f t="shared" si="62"/>
        <v>0.02</v>
      </c>
      <c r="AT125" s="74">
        <f t="shared" si="62"/>
        <v>0</v>
      </c>
      <c r="AU125" s="74">
        <f t="shared" si="62"/>
        <v>0</v>
      </c>
      <c r="AV125" s="74">
        <f t="shared" si="62"/>
        <v>0</v>
      </c>
      <c r="AW125" s="74">
        <f t="shared" si="62"/>
        <v>0.02</v>
      </c>
      <c r="AX125" s="74">
        <f t="shared" si="62"/>
        <v>0</v>
      </c>
      <c r="AY125" s="74">
        <f t="shared" si="62"/>
        <v>0</v>
      </c>
      <c r="AZ125" s="74">
        <f t="shared" si="62"/>
        <v>0</v>
      </c>
      <c r="BA125" s="74">
        <f t="shared" si="62"/>
        <v>0.02</v>
      </c>
      <c r="BB125" s="74">
        <f t="shared" si="62"/>
        <v>0</v>
      </c>
      <c r="BC125" s="74">
        <f t="shared" si="62"/>
        <v>0</v>
      </c>
      <c r="BD125" s="74">
        <f t="shared" si="62"/>
        <v>0</v>
      </c>
      <c r="BE125" s="74">
        <f t="shared" si="62"/>
        <v>0.02</v>
      </c>
      <c r="BF125" s="74">
        <f t="shared" si="62"/>
        <v>0</v>
      </c>
      <c r="BG125" s="74">
        <f t="shared" si="62"/>
        <v>0</v>
      </c>
      <c r="BH125" s="74">
        <f t="shared" si="62"/>
        <v>0</v>
      </c>
      <c r="BI125" s="74">
        <f t="shared" si="62"/>
        <v>0.02</v>
      </c>
      <c r="BJ125" s="74">
        <f t="shared" si="62"/>
        <v>0</v>
      </c>
      <c r="BK125" s="74">
        <f t="shared" si="62"/>
        <v>0</v>
      </c>
      <c r="BL125" s="74">
        <f t="shared" si="62"/>
        <v>0</v>
      </c>
      <c r="BM125" s="74">
        <f t="shared" si="62"/>
        <v>0.02</v>
      </c>
      <c r="BN125" s="74">
        <f t="shared" si="62"/>
        <v>0</v>
      </c>
      <c r="BO125" s="74">
        <f t="shared" si="62"/>
        <v>0</v>
      </c>
      <c r="BP125" s="74">
        <f t="shared" si="62"/>
        <v>0</v>
      </c>
    </row>
    <row r="127" spans="2:68">
      <c r="B127" s="67" t="s">
        <v>129</v>
      </c>
      <c r="C127" s="68"/>
      <c r="D127" s="68"/>
      <c r="E127" s="68"/>
      <c r="F127" s="68"/>
      <c r="G127" s="69"/>
      <c r="H127" s="69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</row>
    <row r="129" spans="2:68">
      <c r="C129" s="61" t="s">
        <v>95</v>
      </c>
      <c r="I129" s="36">
        <f t="shared" ref="I129:BP129" si="63">I34</f>
        <v>7420000</v>
      </c>
      <c r="J129" s="36">
        <f t="shared" si="63"/>
        <v>7868000</v>
      </c>
      <c r="K129" s="36">
        <f t="shared" si="63"/>
        <v>8120000</v>
      </c>
      <c r="L129" s="36">
        <f t="shared" si="63"/>
        <v>7056000</v>
      </c>
      <c r="M129" s="36">
        <f t="shared" si="63"/>
        <v>7757610</v>
      </c>
      <c r="N129" s="36">
        <f t="shared" si="63"/>
        <v>8225994</v>
      </c>
      <c r="O129" s="36">
        <f t="shared" si="63"/>
        <v>8489460</v>
      </c>
      <c r="P129" s="36">
        <f t="shared" si="63"/>
        <v>7377048</v>
      </c>
      <c r="Q129" s="36">
        <f t="shared" si="63"/>
        <v>8110581.254999999</v>
      </c>
      <c r="R129" s="36">
        <f t="shared" si="63"/>
        <v>8600276.727</v>
      </c>
      <c r="S129" s="36">
        <f t="shared" si="63"/>
        <v>8875730.4299999997</v>
      </c>
      <c r="T129" s="36">
        <f t="shared" si="63"/>
        <v>7712703.6839999994</v>
      </c>
      <c r="U129" s="36">
        <f t="shared" si="63"/>
        <v>8479612.7021024972</v>
      </c>
      <c r="V129" s="36">
        <f t="shared" si="63"/>
        <v>8991589.3180784974</v>
      </c>
      <c r="W129" s="36">
        <f t="shared" si="63"/>
        <v>9279576.164564997</v>
      </c>
      <c r="X129" s="36">
        <f t="shared" si="63"/>
        <v>8063631.7016219981</v>
      </c>
      <c r="Y129" s="36">
        <f t="shared" si="63"/>
        <v>8865435.0800481606</v>
      </c>
      <c r="Z129" s="36">
        <f t="shared" si="63"/>
        <v>9400706.6320510674</v>
      </c>
      <c r="AA129" s="36">
        <f t="shared" si="63"/>
        <v>9701796.8800527044</v>
      </c>
      <c r="AB129" s="36">
        <f t="shared" si="63"/>
        <v>8430526.944045797</v>
      </c>
      <c r="AC129" s="36">
        <f t="shared" si="63"/>
        <v>9268812.3761903513</v>
      </c>
      <c r="AD129" s="36">
        <f t="shared" si="63"/>
        <v>9828438.7838093899</v>
      </c>
      <c r="AE129" s="36">
        <f t="shared" si="63"/>
        <v>10143228.638095101</v>
      </c>
      <c r="AF129" s="36">
        <f t="shared" si="63"/>
        <v>8814115.9199998807</v>
      </c>
      <c r="AG129" s="36">
        <f t="shared" si="63"/>
        <v>9690543.339307012</v>
      </c>
      <c r="AH129" s="36">
        <f t="shared" si="63"/>
        <v>10275632.748472717</v>
      </c>
      <c r="AI129" s="36">
        <f t="shared" si="63"/>
        <v>10604745.541128429</v>
      </c>
      <c r="AJ129" s="36">
        <f t="shared" si="63"/>
        <v>9215158.1943598744</v>
      </c>
      <c r="AK129" s="36">
        <f t="shared" si="63"/>
        <v>10131463.061245479</v>
      </c>
      <c r="AL129" s="36">
        <f t="shared" si="63"/>
        <v>10743174.038528224</v>
      </c>
      <c r="AM129" s="36">
        <f t="shared" si="63"/>
        <v>11087261.463249773</v>
      </c>
      <c r="AN129" s="36">
        <f t="shared" si="63"/>
        <v>9634447.892203249</v>
      </c>
      <c r="AO129" s="36">
        <f t="shared" si="63"/>
        <v>10592444.630532149</v>
      </c>
      <c r="AP129" s="36">
        <f t="shared" si="63"/>
        <v>11231988.457281258</v>
      </c>
      <c r="AQ129" s="36">
        <f t="shared" si="63"/>
        <v>11591731.859827638</v>
      </c>
      <c r="AR129" s="36">
        <f t="shared" si="63"/>
        <v>10072815.271298496</v>
      </c>
      <c r="AS129" s="36">
        <f t="shared" si="63"/>
        <v>11074400.86122136</v>
      </c>
      <c r="AT129" s="36">
        <f t="shared" si="63"/>
        <v>11743043.932087556</v>
      </c>
      <c r="AU129" s="36">
        <f t="shared" si="63"/>
        <v>12119155.659449793</v>
      </c>
      <c r="AV129" s="36">
        <f t="shared" si="63"/>
        <v>10531128.366142577</v>
      </c>
      <c r="AW129" s="36">
        <f t="shared" si="63"/>
        <v>11578286.100406932</v>
      </c>
      <c r="AX129" s="36">
        <f t="shared" si="63"/>
        <v>12277352.430997539</v>
      </c>
      <c r="AY129" s="36">
        <f t="shared" si="63"/>
        <v>12670577.241954759</v>
      </c>
      <c r="AZ129" s="36">
        <f t="shared" si="63"/>
        <v>11010294.706802063</v>
      </c>
      <c r="BA129" s="36">
        <f t="shared" si="63"/>
        <v>12105098.117975447</v>
      </c>
      <c r="BB129" s="36">
        <f t="shared" si="63"/>
        <v>12835971.966607925</v>
      </c>
      <c r="BC129" s="36">
        <f t="shared" si="63"/>
        <v>13247088.506463701</v>
      </c>
      <c r="BD129" s="36">
        <f t="shared" si="63"/>
        <v>11511263.115961557</v>
      </c>
      <c r="BE129" s="36">
        <f t="shared" si="63"/>
        <v>12655880.082343327</v>
      </c>
      <c r="BF129" s="36">
        <f t="shared" si="63"/>
        <v>13420008.691088583</v>
      </c>
      <c r="BG129" s="36">
        <f t="shared" si="63"/>
        <v>13849831.033507798</v>
      </c>
      <c r="BH129" s="36">
        <f t="shared" si="63"/>
        <v>12035025.587737806</v>
      </c>
      <c r="BI129" s="36">
        <f t="shared" si="63"/>
        <v>13231722.626089949</v>
      </c>
      <c r="BJ129" s="36">
        <f t="shared" si="63"/>
        <v>14030619.086533114</v>
      </c>
      <c r="BK129" s="36">
        <f t="shared" si="63"/>
        <v>14479998.345532402</v>
      </c>
      <c r="BL129" s="36">
        <f t="shared" si="63"/>
        <v>12582619.251979878</v>
      </c>
      <c r="BM129" s="36">
        <f t="shared" si="63"/>
        <v>13833766.005577039</v>
      </c>
      <c r="BN129" s="36">
        <f t="shared" si="63"/>
        <v>14669012.254970372</v>
      </c>
      <c r="BO129" s="36">
        <f t="shared" si="63"/>
        <v>15138838.270254126</v>
      </c>
      <c r="BP129" s="36">
        <f t="shared" si="63"/>
        <v>13155128.427944962</v>
      </c>
    </row>
    <row r="131" spans="2:68">
      <c r="C131" s="61" t="s">
        <v>12</v>
      </c>
      <c r="I131" s="36">
        <f t="shared" ref="I131:BP131" si="64">I78</f>
        <v>2782500</v>
      </c>
      <c r="J131" s="36">
        <f t="shared" si="64"/>
        <v>2950500</v>
      </c>
      <c r="K131" s="36">
        <f t="shared" si="64"/>
        <v>3045000</v>
      </c>
      <c r="L131" s="36">
        <f t="shared" si="64"/>
        <v>2646000</v>
      </c>
      <c r="M131" s="36">
        <f t="shared" si="64"/>
        <v>2894913</v>
      </c>
      <c r="N131" s="36">
        <f t="shared" si="64"/>
        <v>3069700.2</v>
      </c>
      <c r="O131" s="36">
        <f t="shared" si="64"/>
        <v>3168018.0000000005</v>
      </c>
      <c r="P131" s="36">
        <f t="shared" si="64"/>
        <v>2752898.4000000004</v>
      </c>
      <c r="Q131" s="36">
        <f t="shared" si="64"/>
        <v>3011867.4852</v>
      </c>
      <c r="R131" s="36">
        <f t="shared" si="64"/>
        <v>3193716.0880800001</v>
      </c>
      <c r="S131" s="36">
        <f t="shared" si="64"/>
        <v>3297969.4410826489</v>
      </c>
      <c r="T131" s="36">
        <f t="shared" si="64"/>
        <v>2864115.4953600005</v>
      </c>
      <c r="U131" s="36">
        <f t="shared" si="64"/>
        <v>3133546.9316020804</v>
      </c>
      <c r="V131" s="36">
        <f t="shared" si="64"/>
        <v>3322742.2180384323</v>
      </c>
      <c r="W131" s="36">
        <f t="shared" si="64"/>
        <v>3435434.4060429097</v>
      </c>
      <c r="X131" s="36">
        <f t="shared" si="64"/>
        <v>2979825.7613725439</v>
      </c>
      <c r="Y131" s="36">
        <f t="shared" si="64"/>
        <v>3260142.2276388048</v>
      </c>
      <c r="Z131" s="36">
        <f t="shared" si="64"/>
        <v>3458936.617657986</v>
      </c>
      <c r="AA131" s="36">
        <f t="shared" si="64"/>
        <v>3574234.3061757493</v>
      </c>
      <c r="AB131" s="36">
        <f t="shared" si="64"/>
        <v>3100210.722131995</v>
      </c>
      <c r="AC131" s="36">
        <f t="shared" si="64"/>
        <v>3391851.9736354123</v>
      </c>
      <c r="AD131" s="36">
        <f t="shared" si="64"/>
        <v>3597941.4763005408</v>
      </c>
      <c r="AE131" s="36">
        <f t="shared" si="64"/>
        <v>3714395.6093031364</v>
      </c>
      <c r="AF131" s="36">
        <f t="shared" si="64"/>
        <v>3225459.2353061279</v>
      </c>
      <c r="AG131" s="36">
        <f t="shared" si="64"/>
        <v>3477603.4784012204</v>
      </c>
      <c r="AH131" s="36">
        <f t="shared" si="64"/>
        <v>3690668.0998877278</v>
      </c>
      <c r="AI131" s="36">
        <f t="shared" si="64"/>
        <v>3810516.9494738886</v>
      </c>
      <c r="AJ131" s="36">
        <f t="shared" si="64"/>
        <v>3304488.4734434327</v>
      </c>
      <c r="AK131" s="36">
        <f t="shared" si="64"/>
        <v>3538553.5735804848</v>
      </c>
      <c r="AL131" s="36">
        <f t="shared" si="64"/>
        <v>3760226.005775047</v>
      </c>
      <c r="AM131" s="36">
        <f t="shared" si="64"/>
        <v>3884916.7488844893</v>
      </c>
      <c r="AN131" s="36">
        <f t="shared" si="64"/>
        <v>3358444.7224224024</v>
      </c>
      <c r="AO131" s="36">
        <f t="shared" si="64"/>
        <v>3604529.4514457989</v>
      </c>
      <c r="AP131" s="36">
        <f t="shared" si="64"/>
        <v>3835157.4499010216</v>
      </c>
      <c r="AQ131" s="36">
        <f t="shared" si="64"/>
        <v>3964885.6990320859</v>
      </c>
      <c r="AR131" s="36">
        <f t="shared" si="64"/>
        <v>3417144.2027009306</v>
      </c>
      <c r="AS131" s="36">
        <f t="shared" si="64"/>
        <v>3675791.6262317374</v>
      </c>
      <c r="AT131" s="36">
        <f t="shared" si="64"/>
        <v>3915736.9958245507</v>
      </c>
      <c r="AU131" s="36">
        <f t="shared" si="64"/>
        <v>4050706.2662205105</v>
      </c>
      <c r="AV131" s="36">
        <f t="shared" si="64"/>
        <v>3480836.0134375766</v>
      </c>
      <c r="AW131" s="36">
        <f t="shared" si="64"/>
        <v>3752602.4765800145</v>
      </c>
      <c r="AX131" s="36">
        <f t="shared" si="64"/>
        <v>4002241.6391043784</v>
      </c>
      <c r="AY131" s="36">
        <f t="shared" si="64"/>
        <v>4142663.6680243341</v>
      </c>
      <c r="AZ131" s="36">
        <f t="shared" si="64"/>
        <v>3549770.6570289694</v>
      </c>
      <c r="BA131" s="36">
        <f t="shared" si="64"/>
        <v>3834271.7957781195</v>
      </c>
      <c r="BB131" s="36">
        <f t="shared" si="64"/>
        <v>4093996.3804684673</v>
      </c>
      <c r="BC131" s="36">
        <f t="shared" si="64"/>
        <v>4240091.4593567904</v>
      </c>
      <c r="BD131" s="36">
        <f t="shared" si="64"/>
        <v>3623245.5707172118</v>
      </c>
      <c r="BE131" s="36">
        <f t="shared" si="64"/>
        <v>3922097.2847043984</v>
      </c>
      <c r="BF131" s="36">
        <f t="shared" si="64"/>
        <v>4192314.7426162367</v>
      </c>
      <c r="BG131" s="36">
        <f t="shared" si="64"/>
        <v>4344312.0626916476</v>
      </c>
      <c r="BH131" s="36">
        <f t="shared" si="64"/>
        <v>3702545.6001510313</v>
      </c>
      <c r="BI131" s="36">
        <f t="shared" si="64"/>
        <v>4016348.0980130713</v>
      </c>
      <c r="BJ131" s="36">
        <f t="shared" si="64"/>
        <v>4297482.3412245475</v>
      </c>
      <c r="BK131" s="36">
        <f t="shared" si="64"/>
        <v>4455620.3530310057</v>
      </c>
      <c r="BL131" s="36">
        <f t="shared" si="64"/>
        <v>3787926.5254037473</v>
      </c>
      <c r="BM131" s="36">
        <f t="shared" si="64"/>
        <v>4116450.1293112165</v>
      </c>
      <c r="BN131" s="36">
        <f t="shared" si="64"/>
        <v>4408942.1959484369</v>
      </c>
      <c r="BO131" s="36">
        <f t="shared" si="64"/>
        <v>4573468.9834318748</v>
      </c>
      <c r="BP131" s="36">
        <f t="shared" si="64"/>
        <v>3878800.3251684764</v>
      </c>
    </row>
    <row r="132" spans="2:68">
      <c r="C132" s="61" t="s">
        <v>30</v>
      </c>
      <c r="I132" s="36">
        <f t="shared" ref="I132:BP132" si="65">I100</f>
        <v>2635000</v>
      </c>
      <c r="J132" s="36">
        <f t="shared" si="65"/>
        <v>2779000</v>
      </c>
      <c r="K132" s="36">
        <f t="shared" si="65"/>
        <v>2860000</v>
      </c>
      <c r="L132" s="36">
        <f t="shared" si="65"/>
        <v>2518000</v>
      </c>
      <c r="M132" s="36">
        <f t="shared" si="65"/>
        <v>2736354</v>
      </c>
      <c r="N132" s="36">
        <f t="shared" si="65"/>
        <v>2886171.6</v>
      </c>
      <c r="O132" s="36">
        <f t="shared" si="65"/>
        <v>2970444</v>
      </c>
      <c r="P132" s="36">
        <f t="shared" si="65"/>
        <v>2614627.2000000002</v>
      </c>
      <c r="Q132" s="36">
        <f t="shared" si="65"/>
        <v>2841700.7016000003</v>
      </c>
      <c r="R132" s="36">
        <f t="shared" si="65"/>
        <v>2997570.9326400002</v>
      </c>
      <c r="S132" s="36">
        <f t="shared" si="65"/>
        <v>3084355.2744</v>
      </c>
      <c r="T132" s="36">
        <f t="shared" si="65"/>
        <v>2715056.13888</v>
      </c>
      <c r="U132" s="36">
        <f t="shared" si="65"/>
        <v>2951199.3699446404</v>
      </c>
      <c r="V132" s="36">
        <f t="shared" si="65"/>
        <v>3113366.7583186561</v>
      </c>
      <c r="W132" s="36">
        <f t="shared" si="65"/>
        <v>3200473.5634857602</v>
      </c>
      <c r="X132" s="36">
        <f t="shared" si="65"/>
        <v>2819438.3668907522</v>
      </c>
      <c r="Y132" s="36">
        <f t="shared" si="65"/>
        <v>3065015.6636904036</v>
      </c>
      <c r="Z132" s="36">
        <f t="shared" si="65"/>
        <v>3231481.2955239112</v>
      </c>
      <c r="AA132" s="36">
        <f t="shared" si="65"/>
        <v>3321113.2381705851</v>
      </c>
      <c r="AB132" s="36">
        <f t="shared" si="65"/>
        <v>2927931.5161131383</v>
      </c>
      <c r="AC132" s="36">
        <f t="shared" si="65"/>
        <v>3183321.8924874966</v>
      </c>
      <c r="AD132" s="36">
        <f t="shared" si="65"/>
        <v>3353200.4934374779</v>
      </c>
      <c r="AE132" s="36">
        <f t="shared" si="65"/>
        <v>3446453.5665670773</v>
      </c>
      <c r="AF132" s="36">
        <f t="shared" si="65"/>
        <v>3040699.5453481097</v>
      </c>
      <c r="AG132" s="36">
        <f t="shared" si="65"/>
        <v>3306297.2848476712</v>
      </c>
      <c r="AH132" s="36">
        <f t="shared" si="65"/>
        <v>3479660.4940182399</v>
      </c>
      <c r="AI132" s="36">
        <f t="shared" si="65"/>
        <v>3576680.9913022751</v>
      </c>
      <c r="AJ132" s="36">
        <f t="shared" si="65"/>
        <v>3157912.994883853</v>
      </c>
      <c r="AK132" s="36">
        <f t="shared" si="65"/>
        <v>3431600.1808588319</v>
      </c>
      <c r="AL132" s="36">
        <f t="shared" si="65"/>
        <v>3611049.2926353822</v>
      </c>
      <c r="AM132" s="36">
        <f t="shared" si="65"/>
        <v>3711989.4180096928</v>
      </c>
      <c r="AN132" s="36">
        <f t="shared" si="65"/>
        <v>3279749.2515389146</v>
      </c>
      <c r="AO132" s="36">
        <f t="shared" si="65"/>
        <v>3560863.5531175109</v>
      </c>
      <c r="AP132" s="36">
        <f t="shared" si="65"/>
        <v>3747562.4090098338</v>
      </c>
      <c r="AQ132" s="36">
        <f t="shared" si="65"/>
        <v>3852580.5154492669</v>
      </c>
      <c r="AR132" s="36">
        <f t="shared" si="65"/>
        <v>3406392.8243960757</v>
      </c>
      <c r="AS132" s="36">
        <f t="shared" si="65"/>
        <v>3695161.7001144798</v>
      </c>
      <c r="AT132" s="36">
        <f t="shared" si="65"/>
        <v>3889403.1897848528</v>
      </c>
      <c r="AU132" s="36">
        <f t="shared" si="65"/>
        <v>3996306.0461847787</v>
      </c>
      <c r="AV132" s="36">
        <f t="shared" si="65"/>
        <v>3537340.4897573018</v>
      </c>
      <c r="AW132" s="36">
        <f t="shared" si="65"/>
        <v>3834694.2774391472</v>
      </c>
      <c r="AX132" s="36">
        <f t="shared" si="65"/>
        <v>4035855.1886506937</v>
      </c>
      <c r="AY132" s="36">
        <f t="shared" si="65"/>
        <v>4145518.1064738976</v>
      </c>
      <c r="AZ132" s="36">
        <f t="shared" si="65"/>
        <v>3670497.0901835393</v>
      </c>
      <c r="BA132" s="36">
        <f t="shared" si="65"/>
        <v>3979668.9317805315</v>
      </c>
      <c r="BB132" s="36">
        <f t="shared" si="65"/>
        <v>4186420.2602158985</v>
      </c>
      <c r="BC132" s="36">
        <f t="shared" si="65"/>
        <v>4300513.5599191608</v>
      </c>
      <c r="BD132" s="36">
        <f t="shared" si="65"/>
        <v>3808838.1781597966</v>
      </c>
      <c r="BE132" s="36">
        <f t="shared" si="65"/>
        <v>4130301.6222679648</v>
      </c>
      <c r="BF132" s="36">
        <f t="shared" si="65"/>
        <v>4342818.4911112133</v>
      </c>
      <c r="BG132" s="36">
        <f t="shared" si="65"/>
        <v>4461521.1601224868</v>
      </c>
      <c r="BH132" s="36">
        <f t="shared" si="65"/>
        <v>3952569.3062009527</v>
      </c>
      <c r="BI132" s="36">
        <f t="shared" si="65"/>
        <v>4285728.090979103</v>
      </c>
      <c r="BJ132" s="36">
        <f t="shared" si="65"/>
        <v>4505280.5475823507</v>
      </c>
      <c r="BK132" s="36">
        <f t="shared" si="65"/>
        <v>4628778.80442168</v>
      </c>
      <c r="BL132" s="36">
        <f t="shared" si="65"/>
        <v>4101904.2531278413</v>
      </c>
      <c r="BM132" s="36">
        <f t="shared" si="65"/>
        <v>4445623.9390735067</v>
      </c>
      <c r="BN132" s="36">
        <f t="shared" si="65"/>
        <v>4674046.3149235267</v>
      </c>
      <c r="BO132" s="36">
        <f t="shared" si="65"/>
        <v>4802533.901339164</v>
      </c>
      <c r="BP132" s="36">
        <f t="shared" si="65"/>
        <v>4257065.3548497027</v>
      </c>
    </row>
    <row r="133" spans="2:68">
      <c r="C133" s="61" t="s">
        <v>130</v>
      </c>
      <c r="I133" s="36">
        <f t="shared" ref="I133:BP133" si="66">I106</f>
        <v>600000</v>
      </c>
      <c r="J133" s="36">
        <f t="shared" si="66"/>
        <v>600000</v>
      </c>
      <c r="K133" s="36">
        <f t="shared" si="66"/>
        <v>600000</v>
      </c>
      <c r="L133" s="36">
        <f t="shared" si="66"/>
        <v>600000</v>
      </c>
      <c r="M133" s="36">
        <f t="shared" si="66"/>
        <v>612000</v>
      </c>
      <c r="N133" s="36">
        <f t="shared" si="66"/>
        <v>612000</v>
      </c>
      <c r="O133" s="36">
        <f t="shared" si="66"/>
        <v>612000</v>
      </c>
      <c r="P133" s="36">
        <f t="shared" si="66"/>
        <v>612000</v>
      </c>
      <c r="Q133" s="36">
        <f t="shared" si="66"/>
        <v>624240</v>
      </c>
      <c r="R133" s="36">
        <f t="shared" si="66"/>
        <v>624240</v>
      </c>
      <c r="S133" s="36">
        <f t="shared" si="66"/>
        <v>624240</v>
      </c>
      <c r="T133" s="36">
        <f t="shared" si="66"/>
        <v>624240</v>
      </c>
      <c r="U133" s="36">
        <f t="shared" si="66"/>
        <v>636724.80000000005</v>
      </c>
      <c r="V133" s="36">
        <f t="shared" si="66"/>
        <v>636724.80000000005</v>
      </c>
      <c r="W133" s="36">
        <f t="shared" si="66"/>
        <v>636724.80000000005</v>
      </c>
      <c r="X133" s="36">
        <f t="shared" si="66"/>
        <v>636724.80000000005</v>
      </c>
      <c r="Y133" s="36">
        <f t="shared" si="66"/>
        <v>649459.29600000009</v>
      </c>
      <c r="Z133" s="36">
        <f t="shared" si="66"/>
        <v>649459.29600000009</v>
      </c>
      <c r="AA133" s="36">
        <f t="shared" si="66"/>
        <v>649459.29600000009</v>
      </c>
      <c r="AB133" s="36">
        <f t="shared" si="66"/>
        <v>649459.29600000009</v>
      </c>
      <c r="AC133" s="36">
        <f t="shared" si="66"/>
        <v>662448.48192000005</v>
      </c>
      <c r="AD133" s="36">
        <f t="shared" si="66"/>
        <v>662448.48192000005</v>
      </c>
      <c r="AE133" s="36">
        <f t="shared" si="66"/>
        <v>662954.79385619913</v>
      </c>
      <c r="AF133" s="36">
        <f t="shared" si="66"/>
        <v>662448.48192000005</v>
      </c>
      <c r="AG133" s="36">
        <f t="shared" si="66"/>
        <v>675697.45155840006</v>
      </c>
      <c r="AH133" s="36">
        <f t="shared" si="66"/>
        <v>675697.45155840006</v>
      </c>
      <c r="AI133" s="36">
        <f t="shared" si="66"/>
        <v>694242.81720504561</v>
      </c>
      <c r="AJ133" s="36">
        <f t="shared" si="66"/>
        <v>675697.45155840006</v>
      </c>
      <c r="AK133" s="36">
        <f t="shared" si="66"/>
        <v>689211.40058956807</v>
      </c>
      <c r="AL133" s="36">
        <f t="shared" si="66"/>
        <v>697196.69752181182</v>
      </c>
      <c r="AM133" s="36">
        <f t="shared" si="66"/>
        <v>726884.9696907266</v>
      </c>
      <c r="AN133" s="36">
        <f t="shared" si="66"/>
        <v>689211.40058956807</v>
      </c>
      <c r="AO133" s="36">
        <f t="shared" si="66"/>
        <v>702995.62860135944</v>
      </c>
      <c r="AP133" s="36">
        <f t="shared" si="66"/>
        <v>730050.08162570198</v>
      </c>
      <c r="AQ133" s="36">
        <f t="shared" si="66"/>
        <v>760937.75999024115</v>
      </c>
      <c r="AR133" s="36">
        <f t="shared" si="66"/>
        <v>702995.62860135944</v>
      </c>
      <c r="AS133" s="36">
        <f t="shared" si="66"/>
        <v>717055.54117338662</v>
      </c>
      <c r="AT133" s="36">
        <f t="shared" si="66"/>
        <v>764324.4751978697</v>
      </c>
      <c r="AU133" s="36">
        <f t="shared" si="66"/>
        <v>796460.01576833625</v>
      </c>
      <c r="AV133" s="36">
        <f t="shared" si="66"/>
        <v>717055.54117338662</v>
      </c>
      <c r="AW133" s="36">
        <f t="shared" si="66"/>
        <v>740641.26583670848</v>
      </c>
      <c r="AX133" s="36">
        <f t="shared" si="66"/>
        <v>800079.16167584271</v>
      </c>
      <c r="AY133" s="36">
        <f t="shared" si="66"/>
        <v>833512.97808535607</v>
      </c>
      <c r="AZ133" s="36">
        <f t="shared" si="66"/>
        <v>731396.65199685434</v>
      </c>
      <c r="BA133" s="36">
        <f t="shared" si="66"/>
        <v>775536.67021009023</v>
      </c>
      <c r="BB133" s="36">
        <f t="shared" si="66"/>
        <v>837375.8570411253</v>
      </c>
      <c r="BC133" s="36">
        <f t="shared" si="66"/>
        <v>872160.39963358315</v>
      </c>
      <c r="BD133" s="36">
        <f t="shared" si="66"/>
        <v>746024.5850367914</v>
      </c>
      <c r="BE133" s="36">
        <f t="shared" si="66"/>
        <v>811941.31886482798</v>
      </c>
      <c r="BF133" s="36">
        <f t="shared" si="66"/>
        <v>876278.808843837</v>
      </c>
      <c r="BG133" s="36">
        <f t="shared" si="66"/>
        <v>912468.64695703017</v>
      </c>
      <c r="BH133" s="36">
        <f t="shared" si="66"/>
        <v>760945.07673752727</v>
      </c>
      <c r="BI133" s="36">
        <f t="shared" si="66"/>
        <v>849918.17466878239</v>
      </c>
      <c r="BJ133" s="36">
        <f t="shared" si="66"/>
        <v>916854.89924294339</v>
      </c>
      <c r="BK133" s="36">
        <f t="shared" si="66"/>
        <v>954506.80681590945</v>
      </c>
      <c r="BL133" s="36">
        <f t="shared" si="66"/>
        <v>795532.08595227671</v>
      </c>
      <c r="BM133" s="36">
        <f t="shared" si="66"/>
        <v>889532.78397765267</v>
      </c>
      <c r="BN133" s="36">
        <f t="shared" si="66"/>
        <v>959173.75222460995</v>
      </c>
      <c r="BO133" s="36">
        <f t="shared" si="66"/>
        <v>998346.79686352378</v>
      </c>
      <c r="BP133" s="36">
        <f t="shared" si="66"/>
        <v>832949.49727700034</v>
      </c>
    </row>
    <row r="134" spans="2:68">
      <c r="C134" s="61" t="s">
        <v>34</v>
      </c>
      <c r="I134" s="36">
        <f t="shared" ref="I134:BP134" si="67">I124</f>
        <v>450000</v>
      </c>
      <c r="J134" s="36">
        <f t="shared" si="67"/>
        <v>450000</v>
      </c>
      <c r="K134" s="36">
        <f t="shared" si="67"/>
        <v>450000</v>
      </c>
      <c r="L134" s="36">
        <f t="shared" si="67"/>
        <v>450000</v>
      </c>
      <c r="M134" s="36">
        <f t="shared" si="67"/>
        <v>459000</v>
      </c>
      <c r="N134" s="36">
        <f t="shared" si="67"/>
        <v>459000</v>
      </c>
      <c r="O134" s="36">
        <f t="shared" si="67"/>
        <v>459000</v>
      </c>
      <c r="P134" s="36">
        <f t="shared" si="67"/>
        <v>459000</v>
      </c>
      <c r="Q134" s="36">
        <f t="shared" si="67"/>
        <v>468180</v>
      </c>
      <c r="R134" s="36">
        <f t="shared" si="67"/>
        <v>468180</v>
      </c>
      <c r="S134" s="36">
        <f t="shared" si="67"/>
        <v>468180</v>
      </c>
      <c r="T134" s="36">
        <f t="shared" si="67"/>
        <v>468180</v>
      </c>
      <c r="U134" s="36">
        <f t="shared" si="67"/>
        <v>477543.60000000003</v>
      </c>
      <c r="V134" s="36">
        <f t="shared" si="67"/>
        <v>477543.60000000003</v>
      </c>
      <c r="W134" s="36">
        <f t="shared" si="67"/>
        <v>477543.60000000003</v>
      </c>
      <c r="X134" s="36">
        <f t="shared" si="67"/>
        <v>477543.60000000003</v>
      </c>
      <c r="Y134" s="36">
        <f t="shared" si="67"/>
        <v>487094.47200000007</v>
      </c>
      <c r="Z134" s="36">
        <f t="shared" si="67"/>
        <v>487094.47200000007</v>
      </c>
      <c r="AA134" s="36">
        <f t="shared" si="67"/>
        <v>487094.47200000007</v>
      </c>
      <c r="AB134" s="36">
        <f t="shared" si="67"/>
        <v>487094.47200000007</v>
      </c>
      <c r="AC134" s="36">
        <f t="shared" si="67"/>
        <v>496836.36144000007</v>
      </c>
      <c r="AD134" s="36">
        <f t="shared" si="67"/>
        <v>496836.36144000007</v>
      </c>
      <c r="AE134" s="36">
        <f t="shared" si="67"/>
        <v>496836.36144000007</v>
      </c>
      <c r="AF134" s="36">
        <f t="shared" si="67"/>
        <v>496836.36144000007</v>
      </c>
      <c r="AG134" s="36">
        <f t="shared" si="67"/>
        <v>506773.08866880008</v>
      </c>
      <c r="AH134" s="36">
        <f t="shared" si="67"/>
        <v>506773.08866880008</v>
      </c>
      <c r="AI134" s="36">
        <f t="shared" si="67"/>
        <v>506773.08866880008</v>
      </c>
      <c r="AJ134" s="36">
        <f t="shared" si="67"/>
        <v>506773.08866880008</v>
      </c>
      <c r="AK134" s="36">
        <f t="shared" si="67"/>
        <v>516908.55044217611</v>
      </c>
      <c r="AL134" s="36">
        <f t="shared" si="67"/>
        <v>516908.55044217611</v>
      </c>
      <c r="AM134" s="36">
        <f t="shared" si="67"/>
        <v>516908.55044217611</v>
      </c>
      <c r="AN134" s="36">
        <f t="shared" si="67"/>
        <v>516908.55044217611</v>
      </c>
      <c r="AO134" s="36">
        <f t="shared" si="67"/>
        <v>527246.72145101964</v>
      </c>
      <c r="AP134" s="36">
        <f t="shared" si="67"/>
        <v>527246.72145101964</v>
      </c>
      <c r="AQ134" s="36">
        <f t="shared" si="67"/>
        <v>527246.72145101964</v>
      </c>
      <c r="AR134" s="36">
        <f t="shared" si="67"/>
        <v>527246.72145101964</v>
      </c>
      <c r="AS134" s="36">
        <f t="shared" si="67"/>
        <v>537791.65588004002</v>
      </c>
      <c r="AT134" s="36">
        <f t="shared" si="67"/>
        <v>537791.65588004002</v>
      </c>
      <c r="AU134" s="36">
        <f t="shared" si="67"/>
        <v>537791.65588004002</v>
      </c>
      <c r="AV134" s="36">
        <f t="shared" si="67"/>
        <v>537791.65588004002</v>
      </c>
      <c r="AW134" s="36">
        <f t="shared" si="67"/>
        <v>548547.48899764079</v>
      </c>
      <c r="AX134" s="36">
        <f t="shared" si="67"/>
        <v>548547.48899764079</v>
      </c>
      <c r="AY134" s="36">
        <f t="shared" si="67"/>
        <v>548547.48899764079</v>
      </c>
      <c r="AZ134" s="36">
        <f t="shared" si="67"/>
        <v>548547.48899764079</v>
      </c>
      <c r="BA134" s="36">
        <f t="shared" si="67"/>
        <v>559518.43877759366</v>
      </c>
      <c r="BB134" s="36">
        <f t="shared" si="67"/>
        <v>559518.43877759366</v>
      </c>
      <c r="BC134" s="36">
        <f t="shared" si="67"/>
        <v>559518.43877759366</v>
      </c>
      <c r="BD134" s="36">
        <f t="shared" si="67"/>
        <v>559518.43877759366</v>
      </c>
      <c r="BE134" s="36">
        <f t="shared" si="67"/>
        <v>570708.80755314557</v>
      </c>
      <c r="BF134" s="36">
        <f t="shared" si="67"/>
        <v>570708.80755314557</v>
      </c>
      <c r="BG134" s="36">
        <f t="shared" si="67"/>
        <v>570708.80755314557</v>
      </c>
      <c r="BH134" s="36">
        <f t="shared" si="67"/>
        <v>570708.80755314557</v>
      </c>
      <c r="BI134" s="36">
        <f t="shared" si="67"/>
        <v>582122.98370420851</v>
      </c>
      <c r="BJ134" s="36">
        <f t="shared" si="67"/>
        <v>582122.98370420851</v>
      </c>
      <c r="BK134" s="36">
        <f t="shared" si="67"/>
        <v>582122.98370420851</v>
      </c>
      <c r="BL134" s="36">
        <f t="shared" si="67"/>
        <v>582122.98370420851</v>
      </c>
      <c r="BM134" s="36">
        <f t="shared" si="67"/>
        <v>593765.44337829272</v>
      </c>
      <c r="BN134" s="36">
        <f t="shared" si="67"/>
        <v>593765.44337829272</v>
      </c>
      <c r="BO134" s="36">
        <f t="shared" si="67"/>
        <v>593765.44337829272</v>
      </c>
      <c r="BP134" s="36">
        <f t="shared" si="67"/>
        <v>593765.44337829272</v>
      </c>
    </row>
    <row r="135" spans="2:68">
      <c r="C135" s="70" t="s">
        <v>131</v>
      </c>
      <c r="D135" s="70"/>
      <c r="E135" s="70"/>
      <c r="F135" s="70"/>
      <c r="G135" s="84"/>
      <c r="H135" s="84"/>
      <c r="I135" s="89">
        <f>SUM(I131:I134)</f>
        <v>6467500</v>
      </c>
      <c r="J135" s="89">
        <f t="shared" ref="J135:BP135" si="68">SUM(J131:J134)</f>
        <v>6779500</v>
      </c>
      <c r="K135" s="89">
        <f t="shared" si="68"/>
        <v>6955000</v>
      </c>
      <c r="L135" s="89">
        <f t="shared" si="68"/>
        <v>6214000</v>
      </c>
      <c r="M135" s="89">
        <f t="shared" si="68"/>
        <v>6702267</v>
      </c>
      <c r="N135" s="89">
        <f t="shared" si="68"/>
        <v>7026871.8000000007</v>
      </c>
      <c r="O135" s="89">
        <f t="shared" si="68"/>
        <v>7209462</v>
      </c>
      <c r="P135" s="89">
        <f t="shared" si="68"/>
        <v>6438525.6000000006</v>
      </c>
      <c r="Q135" s="89">
        <f t="shared" si="68"/>
        <v>6945988.1868000003</v>
      </c>
      <c r="R135" s="89">
        <f t="shared" si="68"/>
        <v>7283707.0207200004</v>
      </c>
      <c r="S135" s="89">
        <f t="shared" si="68"/>
        <v>7474744.7154826485</v>
      </c>
      <c r="T135" s="89">
        <f t="shared" si="68"/>
        <v>6671591.6342400005</v>
      </c>
      <c r="U135" s="89">
        <f t="shared" si="68"/>
        <v>7199014.7015467202</v>
      </c>
      <c r="V135" s="89">
        <f t="shared" si="68"/>
        <v>7550377.3763570879</v>
      </c>
      <c r="W135" s="89">
        <f t="shared" si="68"/>
        <v>7750176.3695286689</v>
      </c>
      <c r="X135" s="89">
        <f t="shared" si="68"/>
        <v>6913532.528263296</v>
      </c>
      <c r="Y135" s="89">
        <f t="shared" si="68"/>
        <v>7461711.6593292085</v>
      </c>
      <c r="Z135" s="89">
        <f t="shared" si="68"/>
        <v>7826971.6811818974</v>
      </c>
      <c r="AA135" s="89">
        <f t="shared" si="68"/>
        <v>8031901.3123463346</v>
      </c>
      <c r="AB135" s="89">
        <f t="shared" si="68"/>
        <v>7164696.0062451335</v>
      </c>
      <c r="AC135" s="89">
        <f t="shared" si="68"/>
        <v>7734458.7094829092</v>
      </c>
      <c r="AD135" s="89">
        <f t="shared" si="68"/>
        <v>8110426.813098019</v>
      </c>
      <c r="AE135" s="89">
        <f t="shared" si="68"/>
        <v>8320640.3311664127</v>
      </c>
      <c r="AF135" s="89">
        <f t="shared" si="68"/>
        <v>7425443.6240142379</v>
      </c>
      <c r="AG135" s="89">
        <f t="shared" si="68"/>
        <v>7966371.3034760915</v>
      </c>
      <c r="AH135" s="89">
        <f t="shared" si="68"/>
        <v>8352799.1341331676</v>
      </c>
      <c r="AI135" s="89">
        <f t="shared" si="68"/>
        <v>8588213.84665001</v>
      </c>
      <c r="AJ135" s="89">
        <f t="shared" si="68"/>
        <v>7644872.0085544856</v>
      </c>
      <c r="AK135" s="89">
        <f t="shared" si="68"/>
        <v>8176273.7054710612</v>
      </c>
      <c r="AL135" s="89">
        <f t="shared" si="68"/>
        <v>8585380.546374416</v>
      </c>
      <c r="AM135" s="89">
        <f t="shared" si="68"/>
        <v>8840699.6870270856</v>
      </c>
      <c r="AN135" s="89">
        <f t="shared" si="68"/>
        <v>7844313.9249930605</v>
      </c>
      <c r="AO135" s="89">
        <f t="shared" si="68"/>
        <v>8395635.3546156883</v>
      </c>
      <c r="AP135" s="89">
        <f t="shared" si="68"/>
        <v>8840016.6619875766</v>
      </c>
      <c r="AQ135" s="89">
        <f t="shared" si="68"/>
        <v>9105650.6959226131</v>
      </c>
      <c r="AR135" s="89">
        <f t="shared" si="68"/>
        <v>8053779.3771493854</v>
      </c>
      <c r="AS135" s="89">
        <f t="shared" si="68"/>
        <v>8625800.5233996436</v>
      </c>
      <c r="AT135" s="89">
        <f t="shared" si="68"/>
        <v>9107256.3166873138</v>
      </c>
      <c r="AU135" s="89">
        <f t="shared" si="68"/>
        <v>9381263.9840536658</v>
      </c>
      <c r="AV135" s="89">
        <f t="shared" si="68"/>
        <v>8273023.7002483048</v>
      </c>
      <c r="AW135" s="89">
        <f t="shared" si="68"/>
        <v>8876485.50885351</v>
      </c>
      <c r="AX135" s="89">
        <f t="shared" si="68"/>
        <v>9386723.4784285557</v>
      </c>
      <c r="AY135" s="89">
        <f t="shared" si="68"/>
        <v>9670242.2415812276</v>
      </c>
      <c r="AZ135" s="89">
        <f t="shared" si="68"/>
        <v>8500211.8882070035</v>
      </c>
      <c r="BA135" s="89">
        <f t="shared" si="68"/>
        <v>9148995.8365463354</v>
      </c>
      <c r="BB135" s="89">
        <f t="shared" si="68"/>
        <v>9677310.9365030862</v>
      </c>
      <c r="BC135" s="89">
        <f t="shared" si="68"/>
        <v>9972283.8576871287</v>
      </c>
      <c r="BD135" s="89">
        <f t="shared" si="68"/>
        <v>8737626.7726913933</v>
      </c>
      <c r="BE135" s="89">
        <f t="shared" si="68"/>
        <v>9435049.0333903376</v>
      </c>
      <c r="BF135" s="89">
        <f t="shared" si="68"/>
        <v>9982120.8501244318</v>
      </c>
      <c r="BG135" s="89">
        <f t="shared" si="68"/>
        <v>10289010.677324312</v>
      </c>
      <c r="BH135" s="89">
        <f t="shared" si="68"/>
        <v>8986768.7906426564</v>
      </c>
      <c r="BI135" s="89">
        <f t="shared" si="68"/>
        <v>9734117.347365167</v>
      </c>
      <c r="BJ135" s="89">
        <f t="shared" si="68"/>
        <v>10301740.771754051</v>
      </c>
      <c r="BK135" s="89">
        <f t="shared" si="68"/>
        <v>10621028.947972804</v>
      </c>
      <c r="BL135" s="89">
        <f t="shared" si="68"/>
        <v>9267485.8481880743</v>
      </c>
      <c r="BM135" s="89">
        <f t="shared" si="68"/>
        <v>10045372.295740668</v>
      </c>
      <c r="BN135" s="89">
        <f t="shared" si="68"/>
        <v>10635927.706474865</v>
      </c>
      <c r="BO135" s="89">
        <f t="shared" si="68"/>
        <v>10968115.125012854</v>
      </c>
      <c r="BP135" s="89">
        <f t="shared" si="68"/>
        <v>9562580.6206734721</v>
      </c>
    </row>
    <row r="137" spans="2:68">
      <c r="C137" s="92" t="s">
        <v>90</v>
      </c>
      <c r="D137" s="92"/>
      <c r="E137" s="92"/>
      <c r="F137" s="92"/>
      <c r="G137" s="97"/>
      <c r="H137" s="97"/>
      <c r="I137" s="93">
        <f>I129-I135</f>
        <v>952500</v>
      </c>
      <c r="J137" s="93">
        <f t="shared" ref="J137:BP137" si="69">J129-J135</f>
        <v>1088500</v>
      </c>
      <c r="K137" s="93">
        <f t="shared" si="69"/>
        <v>1165000</v>
      </c>
      <c r="L137" s="93">
        <f t="shared" si="69"/>
        <v>842000</v>
      </c>
      <c r="M137" s="93">
        <f t="shared" si="69"/>
        <v>1055343</v>
      </c>
      <c r="N137" s="93">
        <f t="shared" si="69"/>
        <v>1199122.1999999993</v>
      </c>
      <c r="O137" s="93">
        <f t="shared" si="69"/>
        <v>1279998</v>
      </c>
      <c r="P137" s="93">
        <f t="shared" si="69"/>
        <v>938522.39999999944</v>
      </c>
      <c r="Q137" s="93">
        <f t="shared" si="69"/>
        <v>1164593.0681999987</v>
      </c>
      <c r="R137" s="93">
        <f t="shared" si="69"/>
        <v>1316569.7062799996</v>
      </c>
      <c r="S137" s="93">
        <f t="shared" si="69"/>
        <v>1400985.7145173512</v>
      </c>
      <c r="T137" s="93">
        <f t="shared" si="69"/>
        <v>1041112.0497599989</v>
      </c>
      <c r="U137" s="93">
        <f t="shared" si="69"/>
        <v>1280598.000555777</v>
      </c>
      <c r="V137" s="93">
        <f t="shared" si="69"/>
        <v>1441211.9417214096</v>
      </c>
      <c r="W137" s="93">
        <f t="shared" si="69"/>
        <v>1529399.795036328</v>
      </c>
      <c r="X137" s="93">
        <f t="shared" si="69"/>
        <v>1150099.1733587021</v>
      </c>
      <c r="Y137" s="93">
        <f t="shared" si="69"/>
        <v>1403723.4207189521</v>
      </c>
      <c r="Z137" s="93">
        <f t="shared" si="69"/>
        <v>1573734.95086917</v>
      </c>
      <c r="AA137" s="93">
        <f t="shared" si="69"/>
        <v>1669895.5677063698</v>
      </c>
      <c r="AB137" s="93">
        <f t="shared" si="69"/>
        <v>1265830.9378006635</v>
      </c>
      <c r="AC137" s="93">
        <f t="shared" si="69"/>
        <v>1534353.6667074421</v>
      </c>
      <c r="AD137" s="93">
        <f t="shared" si="69"/>
        <v>1718011.9707113709</v>
      </c>
      <c r="AE137" s="93">
        <f t="shared" si="69"/>
        <v>1822588.3069286887</v>
      </c>
      <c r="AF137" s="93">
        <f t="shared" si="69"/>
        <v>1388672.2959856428</v>
      </c>
      <c r="AG137" s="93">
        <f t="shared" si="69"/>
        <v>1724172.0358309206</v>
      </c>
      <c r="AH137" s="93">
        <f t="shared" si="69"/>
        <v>1922833.6143395491</v>
      </c>
      <c r="AI137" s="93">
        <f t="shared" si="69"/>
        <v>2016531.6944784187</v>
      </c>
      <c r="AJ137" s="93">
        <f t="shared" si="69"/>
        <v>1570286.1858053887</v>
      </c>
      <c r="AK137" s="93">
        <f t="shared" si="69"/>
        <v>1955189.3557744175</v>
      </c>
      <c r="AL137" s="93">
        <f t="shared" si="69"/>
        <v>2157793.4921538085</v>
      </c>
      <c r="AM137" s="93">
        <f t="shared" si="69"/>
        <v>2246561.7762226872</v>
      </c>
      <c r="AN137" s="93">
        <f t="shared" si="69"/>
        <v>1790133.9672101885</v>
      </c>
      <c r="AO137" s="93">
        <f t="shared" si="69"/>
        <v>2196809.2759164609</v>
      </c>
      <c r="AP137" s="93">
        <f t="shared" si="69"/>
        <v>2391971.7952936813</v>
      </c>
      <c r="AQ137" s="93">
        <f t="shared" si="69"/>
        <v>2486081.1639050245</v>
      </c>
      <c r="AR137" s="93">
        <f t="shared" si="69"/>
        <v>2019035.8941491107</v>
      </c>
      <c r="AS137" s="93">
        <f t="shared" si="69"/>
        <v>2448600.3378217164</v>
      </c>
      <c r="AT137" s="93">
        <f t="shared" si="69"/>
        <v>2635787.6154002417</v>
      </c>
      <c r="AU137" s="93">
        <f t="shared" si="69"/>
        <v>2737891.6753961276</v>
      </c>
      <c r="AV137" s="93">
        <f t="shared" si="69"/>
        <v>2258104.6658942718</v>
      </c>
      <c r="AW137" s="93">
        <f t="shared" si="69"/>
        <v>2701800.5915534217</v>
      </c>
      <c r="AX137" s="93">
        <f t="shared" si="69"/>
        <v>2890628.9525689837</v>
      </c>
      <c r="AY137" s="93">
        <f t="shared" si="69"/>
        <v>3000335.0003735311</v>
      </c>
      <c r="AZ137" s="93">
        <f t="shared" si="69"/>
        <v>2510082.8185950592</v>
      </c>
      <c r="BA137" s="93">
        <f t="shared" si="69"/>
        <v>2956102.281429112</v>
      </c>
      <c r="BB137" s="93">
        <f t="shared" si="69"/>
        <v>3158661.0301048383</v>
      </c>
      <c r="BC137" s="93">
        <f t="shared" si="69"/>
        <v>3274804.6487765722</v>
      </c>
      <c r="BD137" s="93">
        <f t="shared" si="69"/>
        <v>2773636.343270164</v>
      </c>
      <c r="BE137" s="93">
        <f t="shared" si="69"/>
        <v>3220831.0489529893</v>
      </c>
      <c r="BF137" s="93">
        <f t="shared" si="69"/>
        <v>3437887.8409641515</v>
      </c>
      <c r="BG137" s="93">
        <f t="shared" si="69"/>
        <v>3560820.3561834861</v>
      </c>
      <c r="BH137" s="93">
        <f t="shared" si="69"/>
        <v>3048256.7970951498</v>
      </c>
      <c r="BI137" s="93">
        <f t="shared" si="69"/>
        <v>3497605.2787247822</v>
      </c>
      <c r="BJ137" s="93">
        <f t="shared" si="69"/>
        <v>3728878.3147790637</v>
      </c>
      <c r="BK137" s="93">
        <f t="shared" si="69"/>
        <v>3858969.3975595981</v>
      </c>
      <c r="BL137" s="93">
        <f t="shared" si="69"/>
        <v>3315133.4037918039</v>
      </c>
      <c r="BM137" s="93">
        <f t="shared" si="69"/>
        <v>3788393.7098363712</v>
      </c>
      <c r="BN137" s="93">
        <f t="shared" si="69"/>
        <v>4033084.5484955069</v>
      </c>
      <c r="BO137" s="93">
        <f t="shared" si="69"/>
        <v>4170723.1452412717</v>
      </c>
      <c r="BP137" s="93">
        <f t="shared" si="69"/>
        <v>3592547.8072714899</v>
      </c>
    </row>
    <row r="139" spans="2:68">
      <c r="B139" s="67" t="s">
        <v>132</v>
      </c>
      <c r="C139" s="68"/>
      <c r="D139" s="68"/>
      <c r="E139" s="68"/>
      <c r="F139" s="68"/>
      <c r="G139" s="69"/>
      <c r="H139" s="69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</row>
    <row r="141" spans="2:68">
      <c r="C141" s="61" t="s">
        <v>98</v>
      </c>
      <c r="F141" s="99">
        <f>MAX(I141:BP141)</f>
        <v>2034</v>
      </c>
      <c r="G141" s="62">
        <f>YEAR(G6)</f>
        <v>2034</v>
      </c>
      <c r="I141" s="109">
        <f>MIN(I7:BP7)</f>
        <v>2020</v>
      </c>
      <c r="J141" s="109">
        <f>I141+1</f>
        <v>2021</v>
      </c>
      <c r="K141" s="109">
        <f t="shared" ref="K141:W141" si="70">J141+1</f>
        <v>2022</v>
      </c>
      <c r="L141" s="109">
        <f t="shared" si="70"/>
        <v>2023</v>
      </c>
      <c r="M141" s="109">
        <f t="shared" si="70"/>
        <v>2024</v>
      </c>
      <c r="N141" s="109">
        <f t="shared" si="70"/>
        <v>2025</v>
      </c>
      <c r="O141" s="109">
        <f t="shared" si="70"/>
        <v>2026</v>
      </c>
      <c r="P141" s="109">
        <f t="shared" si="70"/>
        <v>2027</v>
      </c>
      <c r="Q141" s="109">
        <f t="shared" si="70"/>
        <v>2028</v>
      </c>
      <c r="R141" s="109">
        <f t="shared" si="70"/>
        <v>2029</v>
      </c>
      <c r="S141" s="109">
        <f t="shared" si="70"/>
        <v>2030</v>
      </c>
      <c r="T141" s="109">
        <f t="shared" si="70"/>
        <v>2031</v>
      </c>
      <c r="U141" s="109">
        <f t="shared" si="70"/>
        <v>2032</v>
      </c>
      <c r="V141" s="109">
        <f t="shared" si="70"/>
        <v>2033</v>
      </c>
      <c r="W141" s="109">
        <f t="shared" si="70"/>
        <v>2034</v>
      </c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  <c r="BK141" s="99"/>
      <c r="BL141" s="99"/>
      <c r="BM141" s="99"/>
      <c r="BN141" s="99"/>
      <c r="BO141" s="99"/>
      <c r="BP141" s="99"/>
    </row>
    <row r="143" spans="2:68">
      <c r="C143" s="61" t="s">
        <v>95</v>
      </c>
      <c r="I143" s="36">
        <f t="shared" ref="I143:W143" si="71">SUMIF($I$7:$BP$7,I$141,$I129:$BP129)</f>
        <v>30464000</v>
      </c>
      <c r="J143" s="36">
        <f t="shared" si="71"/>
        <v>31850112</v>
      </c>
      <c r="K143" s="36">
        <f t="shared" si="71"/>
        <v>33299292.096000001</v>
      </c>
      <c r="L143" s="36">
        <f t="shared" si="71"/>
        <v>34814409.886367992</v>
      </c>
      <c r="M143" s="36">
        <f t="shared" si="71"/>
        <v>36398465.536197729</v>
      </c>
      <c r="N143" s="36">
        <f t="shared" si="71"/>
        <v>38054595.718094729</v>
      </c>
      <c r="O143" s="36">
        <f t="shared" si="71"/>
        <v>39786079.823268034</v>
      </c>
      <c r="P143" s="36">
        <f t="shared" si="71"/>
        <v>41596346.455226727</v>
      </c>
      <c r="Q143" s="36">
        <f t="shared" si="71"/>
        <v>43488980.218939543</v>
      </c>
      <c r="R143" s="36">
        <f t="shared" si="71"/>
        <v>45467728.818901286</v>
      </c>
      <c r="S143" s="36">
        <f t="shared" si="71"/>
        <v>47536510.480161294</v>
      </c>
      <c r="T143" s="36">
        <f t="shared" si="71"/>
        <v>49699421.70700863</v>
      </c>
      <c r="U143" s="36">
        <f t="shared" si="71"/>
        <v>51960745.394677512</v>
      </c>
      <c r="V143" s="36">
        <f t="shared" si="71"/>
        <v>54324959.310135342</v>
      </c>
      <c r="W143" s="36">
        <f t="shared" si="71"/>
        <v>56796744.958746493</v>
      </c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</row>
    <row r="145" spans="2:68">
      <c r="C145" s="61" t="s">
        <v>12</v>
      </c>
      <c r="I145" s="36">
        <f t="shared" ref="I145:W148" si="72">SUMIF($I$7:$BP$7,I$141,$I131:$BP131)</f>
        <v>11424000</v>
      </c>
      <c r="J145" s="36">
        <f t="shared" si="72"/>
        <v>11885529.600000001</v>
      </c>
      <c r="K145" s="36">
        <f t="shared" si="72"/>
        <v>12367668.509722648</v>
      </c>
      <c r="L145" s="36">
        <f t="shared" si="72"/>
        <v>12871549.317055967</v>
      </c>
      <c r="M145" s="36">
        <f t="shared" si="72"/>
        <v>13393523.873604536</v>
      </c>
      <c r="N145" s="36">
        <f t="shared" si="72"/>
        <v>13929648.294545218</v>
      </c>
      <c r="O145" s="36">
        <f t="shared" si="72"/>
        <v>14283277.001206271</v>
      </c>
      <c r="P145" s="36">
        <f t="shared" si="72"/>
        <v>14542141.050662424</v>
      </c>
      <c r="Q145" s="36">
        <f t="shared" si="72"/>
        <v>14821716.803079836</v>
      </c>
      <c r="R145" s="36">
        <f t="shared" si="72"/>
        <v>15123070.901714375</v>
      </c>
      <c r="S145" s="36">
        <f t="shared" si="72"/>
        <v>15447278.440737696</v>
      </c>
      <c r="T145" s="36">
        <f t="shared" si="72"/>
        <v>15791605.206320589</v>
      </c>
      <c r="U145" s="36">
        <f t="shared" si="72"/>
        <v>16161269.690163314</v>
      </c>
      <c r="V145" s="36">
        <f t="shared" si="72"/>
        <v>16557377.317672372</v>
      </c>
      <c r="W145" s="36">
        <f t="shared" si="72"/>
        <v>16977661.633860003</v>
      </c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</row>
    <row r="146" spans="2:68">
      <c r="C146" s="61" t="s">
        <v>30</v>
      </c>
      <c r="I146" s="36">
        <f t="shared" si="72"/>
        <v>10792000</v>
      </c>
      <c r="J146" s="36">
        <f t="shared" si="72"/>
        <v>11207596.800000001</v>
      </c>
      <c r="K146" s="36">
        <f t="shared" si="72"/>
        <v>11638683.04752</v>
      </c>
      <c r="L146" s="36">
        <f t="shared" si="72"/>
        <v>12084478.058639809</v>
      </c>
      <c r="M146" s="36">
        <f t="shared" si="72"/>
        <v>12545541.713498037</v>
      </c>
      <c r="N146" s="36">
        <f t="shared" si="72"/>
        <v>13023675.497840161</v>
      </c>
      <c r="O146" s="36">
        <f t="shared" si="72"/>
        <v>13520551.765052039</v>
      </c>
      <c r="P146" s="36">
        <f t="shared" si="72"/>
        <v>14034388.143042821</v>
      </c>
      <c r="Q146" s="36">
        <f t="shared" si="72"/>
        <v>14567399.301972687</v>
      </c>
      <c r="R146" s="36">
        <f t="shared" si="72"/>
        <v>15118211.425841412</v>
      </c>
      <c r="S146" s="36">
        <f t="shared" si="72"/>
        <v>15686564.662747277</v>
      </c>
      <c r="T146" s="36">
        <f t="shared" si="72"/>
        <v>16275440.930075388</v>
      </c>
      <c r="U146" s="36">
        <f t="shared" si="72"/>
        <v>16887210.579702616</v>
      </c>
      <c r="V146" s="36">
        <f t="shared" si="72"/>
        <v>17521691.696110975</v>
      </c>
      <c r="W146" s="36">
        <f t="shared" si="72"/>
        <v>18179269.510185901</v>
      </c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</row>
    <row r="147" spans="2:68">
      <c r="C147" s="61" t="s">
        <v>130</v>
      </c>
      <c r="I147" s="36">
        <f t="shared" si="72"/>
        <v>2400000</v>
      </c>
      <c r="J147" s="36">
        <f t="shared" si="72"/>
        <v>2448000</v>
      </c>
      <c r="K147" s="36">
        <f t="shared" si="72"/>
        <v>2496960</v>
      </c>
      <c r="L147" s="36">
        <f t="shared" si="72"/>
        <v>2546899.2000000002</v>
      </c>
      <c r="M147" s="36">
        <f t="shared" si="72"/>
        <v>2597837.1840000004</v>
      </c>
      <c r="N147" s="36">
        <f t="shared" si="72"/>
        <v>2650300.2396161994</v>
      </c>
      <c r="O147" s="36">
        <f t="shared" si="72"/>
        <v>2721335.1718802457</v>
      </c>
      <c r="P147" s="36">
        <f t="shared" si="72"/>
        <v>2802504.4683916746</v>
      </c>
      <c r="Q147" s="36">
        <f t="shared" si="72"/>
        <v>2896979.0988186616</v>
      </c>
      <c r="R147" s="36">
        <f t="shared" si="72"/>
        <v>2994895.5733129792</v>
      </c>
      <c r="S147" s="36">
        <f t="shared" si="72"/>
        <v>3105630.0575947617</v>
      </c>
      <c r="T147" s="36">
        <f t="shared" si="72"/>
        <v>3231097.5119215902</v>
      </c>
      <c r="U147" s="36">
        <f t="shared" si="72"/>
        <v>3361633.8514032224</v>
      </c>
      <c r="V147" s="36">
        <f t="shared" si="72"/>
        <v>3516811.9666799121</v>
      </c>
      <c r="W147" s="36">
        <f t="shared" si="72"/>
        <v>3680002.8303427869</v>
      </c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</row>
    <row r="148" spans="2:68">
      <c r="C148" s="61" t="s">
        <v>34</v>
      </c>
      <c r="I148" s="36">
        <f t="shared" si="72"/>
        <v>1800000</v>
      </c>
      <c r="J148" s="36">
        <f t="shared" si="72"/>
        <v>1836000</v>
      </c>
      <c r="K148" s="36">
        <f t="shared" si="72"/>
        <v>1872720</v>
      </c>
      <c r="L148" s="36">
        <f t="shared" si="72"/>
        <v>1910174.4000000001</v>
      </c>
      <c r="M148" s="36">
        <f t="shared" si="72"/>
        <v>1948377.8880000003</v>
      </c>
      <c r="N148" s="36">
        <f t="shared" si="72"/>
        <v>1987345.4457600003</v>
      </c>
      <c r="O148" s="36">
        <f t="shared" si="72"/>
        <v>2027092.3546752003</v>
      </c>
      <c r="P148" s="36">
        <f t="shared" si="72"/>
        <v>2067634.2017687045</v>
      </c>
      <c r="Q148" s="36">
        <f t="shared" si="72"/>
        <v>2108986.8858040785</v>
      </c>
      <c r="R148" s="36">
        <f t="shared" si="72"/>
        <v>2151166.6235201601</v>
      </c>
      <c r="S148" s="36">
        <f t="shared" si="72"/>
        <v>2194189.9559905631</v>
      </c>
      <c r="T148" s="36">
        <f t="shared" si="72"/>
        <v>2238073.7551103747</v>
      </c>
      <c r="U148" s="36">
        <f t="shared" si="72"/>
        <v>2282835.2302125823</v>
      </c>
      <c r="V148" s="36">
        <f t="shared" si="72"/>
        <v>2328491.9348168341</v>
      </c>
      <c r="W148" s="36">
        <f t="shared" si="72"/>
        <v>2375061.7735131709</v>
      </c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</row>
    <row r="149" spans="2:68">
      <c r="C149" s="70" t="s">
        <v>131</v>
      </c>
      <c r="D149" s="70"/>
      <c r="E149" s="70"/>
      <c r="F149" s="70"/>
      <c r="G149" s="84"/>
      <c r="H149" s="84"/>
      <c r="I149" s="89">
        <f>SUM(I145:I148)</f>
        <v>26416000</v>
      </c>
      <c r="J149" s="89">
        <f t="shared" ref="J149:W149" si="73">SUM(J145:J148)</f>
        <v>27377126.400000002</v>
      </c>
      <c r="K149" s="89">
        <f t="shared" si="73"/>
        <v>28376031.557242647</v>
      </c>
      <c r="L149" s="89">
        <f t="shared" si="73"/>
        <v>29413100.975695774</v>
      </c>
      <c r="M149" s="89">
        <f t="shared" si="73"/>
        <v>30485280.659102574</v>
      </c>
      <c r="N149" s="89">
        <f t="shared" si="73"/>
        <v>31590969.477761578</v>
      </c>
      <c r="O149" s="89">
        <f t="shared" si="73"/>
        <v>32552256.292813756</v>
      </c>
      <c r="P149" s="89">
        <f t="shared" si="73"/>
        <v>33446667.863865625</v>
      </c>
      <c r="Q149" s="89">
        <f t="shared" si="73"/>
        <v>34395082.089675263</v>
      </c>
      <c r="R149" s="89">
        <f t="shared" si="73"/>
        <v>35387344.524388924</v>
      </c>
      <c r="S149" s="89">
        <f t="shared" si="73"/>
        <v>36433663.117070295</v>
      </c>
      <c r="T149" s="89">
        <f t="shared" si="73"/>
        <v>37536217.403427944</v>
      </c>
      <c r="U149" s="89">
        <f t="shared" si="73"/>
        <v>38692949.351481736</v>
      </c>
      <c r="V149" s="89">
        <f t="shared" si="73"/>
        <v>39924372.915280104</v>
      </c>
      <c r="W149" s="89">
        <f t="shared" si="73"/>
        <v>41211995.747901857</v>
      </c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  <c r="AN149" s="98"/>
      <c r="AO149" s="98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8"/>
      <c r="BL149" s="98"/>
      <c r="BM149" s="98"/>
      <c r="BN149" s="98"/>
      <c r="BO149" s="98"/>
      <c r="BP149" s="98"/>
    </row>
    <row r="151" spans="2:68">
      <c r="C151" s="92" t="s">
        <v>90</v>
      </c>
      <c r="D151" s="92"/>
      <c r="E151" s="92"/>
      <c r="F151" s="92"/>
      <c r="G151" s="97"/>
      <c r="H151" s="97"/>
      <c r="I151" s="93">
        <f>I143-I149</f>
        <v>4048000</v>
      </c>
      <c r="J151" s="93">
        <f t="shared" ref="J151:W151" si="74">J143-J149</f>
        <v>4472985.5999999978</v>
      </c>
      <c r="K151" s="93">
        <f t="shared" si="74"/>
        <v>4923260.538757354</v>
      </c>
      <c r="L151" s="93">
        <f t="shared" si="74"/>
        <v>5401308.9106722176</v>
      </c>
      <c r="M151" s="93">
        <f t="shared" si="74"/>
        <v>5913184.8770951554</v>
      </c>
      <c r="N151" s="93">
        <f t="shared" si="74"/>
        <v>6463626.2403331511</v>
      </c>
      <c r="O151" s="93">
        <f t="shared" si="74"/>
        <v>7233823.530454278</v>
      </c>
      <c r="P151" s="93">
        <f t="shared" si="74"/>
        <v>8149678.5913611017</v>
      </c>
      <c r="Q151" s="93">
        <f t="shared" si="74"/>
        <v>9093898.1292642802</v>
      </c>
      <c r="R151" s="93">
        <f t="shared" si="74"/>
        <v>10080384.294512361</v>
      </c>
      <c r="S151" s="93">
        <f t="shared" si="74"/>
        <v>11102847.363090999</v>
      </c>
      <c r="T151" s="93">
        <f t="shared" si="74"/>
        <v>12163204.303580686</v>
      </c>
      <c r="U151" s="93">
        <f t="shared" si="74"/>
        <v>13267796.043195777</v>
      </c>
      <c r="V151" s="93">
        <f t="shared" si="74"/>
        <v>14400586.394855238</v>
      </c>
      <c r="W151" s="93">
        <f t="shared" si="74"/>
        <v>15584749.210844636</v>
      </c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  <c r="AH151" s="98"/>
      <c r="AI151" s="98"/>
      <c r="AJ151" s="98"/>
      <c r="AK151" s="98"/>
      <c r="AL151" s="98"/>
      <c r="AM151" s="98"/>
      <c r="AN151" s="98"/>
      <c r="AO151" s="98"/>
      <c r="AP151" s="98"/>
      <c r="AQ151" s="98"/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  <c r="BI151" s="98"/>
      <c r="BJ151" s="98"/>
      <c r="BK151" s="98"/>
      <c r="BL151" s="98"/>
      <c r="BM151" s="98"/>
      <c r="BN151" s="98"/>
      <c r="BO151" s="98"/>
      <c r="BP151" s="98"/>
    </row>
    <row r="153" spans="2:68">
      <c r="B153" s="67" t="s">
        <v>133</v>
      </c>
      <c r="C153" s="68"/>
      <c r="D153" s="68"/>
      <c r="E153" s="68"/>
      <c r="F153" s="68"/>
      <c r="G153" s="69"/>
      <c r="H153" s="69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</row>
    <row r="155" spans="2:68">
      <c r="C155" s="61" t="s">
        <v>134</v>
      </c>
      <c r="I155" s="36">
        <f>SUM(I137:BP137)</f>
        <v>132299334.02801722</v>
      </c>
    </row>
    <row r="157" spans="2:68">
      <c r="J157" s="116" t="str">
        <f>$C$12&amp;" / "&amp;C14</f>
        <v>Sales Price / Expense Indexations</v>
      </c>
      <c r="K157" s="100"/>
      <c r="L157" s="100"/>
    </row>
    <row r="158" spans="2:68">
      <c r="H158" s="62" t="str">
        <f>$C$14</f>
        <v>Expense Indexations</v>
      </c>
      <c r="J158" s="84" t="str">
        <f>INDEX(CaseData!$H$10:$J$10,J159)</f>
        <v>1. Low</v>
      </c>
      <c r="K158" s="84" t="str">
        <f>INDEX(CaseData!$H$10:$J$10,K159)</f>
        <v>2. Medium</v>
      </c>
      <c r="L158" s="84" t="str">
        <f>INDEX(CaseData!$H$10:$J$10,L159)</f>
        <v>3. High</v>
      </c>
    </row>
    <row r="159" spans="2:68">
      <c r="I159" s="88">
        <f>I155</f>
        <v>132299334.02801722</v>
      </c>
      <c r="J159" s="62">
        <v>1</v>
      </c>
      <c r="K159" s="62">
        <v>2</v>
      </c>
      <c r="L159" s="62">
        <v>3</v>
      </c>
    </row>
    <row r="160" spans="2:68">
      <c r="H160" s="84" t="str">
        <f>INDEX(CaseData!$D$30:$D$32,I160)</f>
        <v>FX Case 1</v>
      </c>
      <c r="I160" s="101">
        <v>1</v>
      </c>
      <c r="J160" s="102">
        <f t="dataTable" ref="J160:L162" dt2D="1" dtr="1" r1="G12" r2="G45"/>
        <v>132299334.02801722</v>
      </c>
      <c r="K160" s="91">
        <v>137997321.64850166</v>
      </c>
      <c r="L160" s="103">
        <v>128262411.2993371</v>
      </c>
    </row>
    <row r="161" spans="8:12">
      <c r="H161" s="84" t="str">
        <f>INDEX(CaseData!$D$30:$D$32,I161)</f>
        <v>FX Case 2</v>
      </c>
      <c r="I161" s="101">
        <v>2</v>
      </c>
      <c r="J161" s="104">
        <v>143876668.50514895</v>
      </c>
      <c r="K161" s="88">
        <v>150154768.43859002</v>
      </c>
      <c r="L161" s="105">
        <v>141028521.98387814</v>
      </c>
    </row>
    <row r="162" spans="8:12">
      <c r="H162" s="84" t="str">
        <f>INDEX(CaseData!$D$30:$D$32,I162)</f>
        <v>FX Case 3</v>
      </c>
      <c r="I162" s="101">
        <v>3</v>
      </c>
      <c r="J162" s="106">
        <v>154978057.37504339</v>
      </c>
      <c r="K162" s="107">
        <v>161780107.62766042</v>
      </c>
      <c r="L162" s="108">
        <v>153202859.59166265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5</xdr:col>
                    <xdr:colOff>670560</xdr:colOff>
                    <xdr:row>44</xdr:row>
                    <xdr:rowOff>7620</xdr:rowOff>
                  </from>
                  <to>
                    <xdr:col>6</xdr:col>
                    <xdr:colOff>754380</xdr:colOff>
                    <xdr:row>45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Drop Down 2">
              <controlPr defaultSize="0" autoLine="0" autoPict="0">
                <anchor moveWithCells="1">
                  <from>
                    <xdr:col>6</xdr:col>
                    <xdr:colOff>68580</xdr:colOff>
                    <xdr:row>12</xdr:row>
                    <xdr:rowOff>137160</xdr:rowOff>
                  </from>
                  <to>
                    <xdr:col>7</xdr:col>
                    <xdr:colOff>160020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Drop Down 3">
              <controlPr defaultSize="0" autoLine="0" autoPict="0">
                <anchor moveWithCells="1">
                  <from>
                    <xdr:col>6</xdr:col>
                    <xdr:colOff>68580</xdr:colOff>
                    <xdr:row>10</xdr:row>
                    <xdr:rowOff>114300</xdr:rowOff>
                  </from>
                  <to>
                    <xdr:col>7</xdr:col>
                    <xdr:colOff>152400</xdr:colOff>
                    <xdr:row>12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16A7-7C8F-4F09-94DD-C07979199BB8}">
  <dimension ref="A1:A3"/>
  <sheetViews>
    <sheetView zoomScale="80" zoomScaleNormal="80" workbookViewId="0">
      <pane xSplit="9" ySplit="3" topLeftCell="J4" activePane="bottomRight" state="frozen"/>
      <selection activeCell="A5" sqref="A5"/>
      <selection pane="topRight" activeCell="A5" sqref="A5"/>
      <selection pane="bottomLeft" activeCell="A5" sqref="A5"/>
      <selection pane="bottomRight" activeCell="A5" sqref="A5"/>
    </sheetView>
  </sheetViews>
  <sheetFormatPr defaultRowHeight="13.8"/>
  <cols>
    <col min="1" max="2" width="1.59765625" customWidth="1"/>
    <col min="3" max="4" width="1.5" customWidth="1"/>
    <col min="5" max="5" width="37.19921875" customWidth="1"/>
    <col min="6" max="8" width="11.59765625" customWidth="1"/>
    <col min="9" max="9" width="1.5" customWidth="1"/>
  </cols>
  <sheetData>
    <row r="1" spans="1:1" s="117" customFormat="1" ht="14.4">
      <c r="A1" s="117" t="str" cm="1">
        <f t="array" ref="A1">company</f>
        <v>Megabrick Inc.</v>
      </c>
    </row>
    <row r="2" spans="1:1" s="117" customFormat="1" ht="14.4">
      <c r="A2" s="117" t="str" cm="1">
        <f t="array" ref="A2">topic</f>
        <v>CFM  Topic: Costs</v>
      </c>
    </row>
    <row r="3" spans="1:1" s="117" customFormat="1" ht="14.4">
      <c r="A3" s="117" t="s">
        <v>137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85" orientation="landscape" r:id="rId1"/>
  <headerFooter>
    <oddFooter>&amp;LFinancial Modeling Institute
CFM October 2026&amp;CPage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Calculations</vt:lpstr>
      <vt:lpstr>Time</vt:lpstr>
      <vt:lpstr>CaseData</vt:lpstr>
      <vt:lpstr>CaseSolution</vt:lpstr>
      <vt:lpstr>Tmp</vt:lpstr>
      <vt:lpstr>company</vt:lpstr>
      <vt:lpstr>expense_scenarios</vt:lpstr>
      <vt:lpstr>expense_selector</vt:lpstr>
      <vt:lpstr>fx_rates</vt:lpstr>
      <vt:lpstr>fx_rates_selector</vt:lpstr>
      <vt:lpstr>periods</vt:lpstr>
      <vt:lpstr>pricing_scenarios</vt:lpstr>
      <vt:lpstr>pricing_selector</vt:lpstr>
      <vt:lpstr>Calculations!Print_Titles</vt:lpstr>
      <vt:lpstr>Time!Print_Titles</vt:lpstr>
      <vt:lpstr>Tmp!Print_Titles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2026-08-12T07:12:07Z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2026-06-22T15:09:25Z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2729914a-2b19-4738-8ee4-06706773d40f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