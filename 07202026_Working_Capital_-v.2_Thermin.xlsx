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4F703795456207/Modeling/CFM/0. Topics/4. Working Capital/4.1 Thermin Corp/"/>
    </mc:Choice>
  </mc:AlternateContent>
  <xr:revisionPtr revIDLastSave="1665" documentId="8_{0CCE4C46-BE88-43B9-8D06-68FC491B50C6}" xr6:coauthVersionLast="47" xr6:coauthVersionMax="47" xr10:uidLastSave="{17CA150C-B28C-46AE-B721-9E3A7909F8FC}"/>
  <bookViews>
    <workbookView xWindow="28680" yWindow="-120" windowWidth="29040" windowHeight="16440" activeTab="1" xr2:uid="{00000000-000D-0000-FFFF-FFFF00000000}"/>
  </bookViews>
  <sheets>
    <sheet name="Financials" sheetId="10" r:id="rId1"/>
    <sheet name="Calculations" sheetId="9" r:id="rId2"/>
    <sheet name="Case2Data" sheetId="3" r:id="rId3"/>
    <sheet name="Tmp" sheetId="8" r:id="rId4"/>
  </sheets>
  <definedNames>
    <definedName name="company">Case2Data!$D$33</definedName>
    <definedName name="_xlnm.Print_Area" localSheetId="2">Case2Data!$B$2:$I$27</definedName>
    <definedName name="_xlnm.Print_Titles" localSheetId="1">Calculations!$1:$4</definedName>
    <definedName name="_xlnm.Print_Titles" localSheetId="0">Financials!$1:$4</definedName>
    <definedName name="_xlnm.Print_Titles" localSheetId="3">Tmp!$1:$4</definedName>
    <definedName name="quarters">Case2Data!$D$36</definedName>
    <definedName name="start_date">Case2Data!$E$6</definedName>
    <definedName name="topic">"CFM Topic: " &amp; Case2Data!$D$34</definedName>
    <definedName name="years">Case2Data!$D$35</definedName>
  </definedName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6" i="9" l="1" a="1"/>
  <c r="E47" i="10"/>
  <c r="G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E48" i="10"/>
  <c r="G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E49" i="10"/>
  <c r="G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E50" i="10"/>
  <c r="G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E51" i="10"/>
  <c r="G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E39" i="10"/>
  <c r="G39" i="10"/>
  <c r="E40" i="10"/>
  <c r="G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E41" i="10"/>
  <c r="G41" i="10"/>
  <c r="E42" i="10"/>
  <c r="G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E43" i="10"/>
  <c r="G43" i="10"/>
  <c r="J20" i="9" a="1"/>
  <c r="J8" i="9" a="1"/>
  <c r="J3" i="9" a="1"/>
  <c r="J29" i="9" a="1"/>
  <c r="J28" i="9" a="1"/>
  <c r="J32" i="9" a="1"/>
  <c r="J30" i="9" a="1"/>
  <c r="J33" i="9" a="1"/>
  <c r="J34" i="9" a="1"/>
  <c r="J36" i="9" a="1"/>
  <c r="J136" i="9" a="1"/>
  <c r="J126" i="9" a="1"/>
  <c r="J10" i="9" a="1"/>
  <c r="J17" i="9" a="1"/>
  <c r="J21" i="9" a="1"/>
  <c r="J22" i="9" a="1"/>
  <c r="J19" i="9" a="1"/>
  <c r="J24" i="9" a="1"/>
  <c r="J127" i="9" a="1"/>
  <c r="J130" i="9" a="1"/>
  <c r="J137" i="9" a="1"/>
  <c r="J138" i="9" a="1"/>
  <c r="J183" i="9" a="1"/>
  <c r="G151" i="9" a="1"/>
  <c r="J41" i="9" a="1"/>
  <c r="J42" i="9" a="1"/>
  <c r="J43" i="9" a="1"/>
  <c r="J23" i="10" a="1"/>
  <c r="J27" i="10" a="1"/>
  <c r="H27" i="10" a="1"/>
  <c r="H23" i="10" a="1"/>
  <c r="J9" i="10" a="1"/>
  <c r="G74" i="9" a="1"/>
  <c r="J13" i="10" a="1"/>
  <c r="H13" i="10" a="1"/>
  <c r="H9" i="10" a="1"/>
  <c r="A2" i="10" a="1"/>
  <c r="A1" i="10"/>
  <c r="J3" i="10" a="1"/>
  <c r="J7" i="9" a="1"/>
  <c r="J2" i="10" a="1"/>
  <c r="J188" i="9" a="1"/>
  <c r="J131" i="9" a="1"/>
  <c r="J189" i="9" a="1"/>
  <c r="J190" i="9" a="1"/>
  <c r="J194" i="9" a="1"/>
  <c r="J174" i="9" a="1"/>
  <c r="J175" i="9" a="1"/>
  <c r="J50" i="9" a="1"/>
  <c r="J51" i="9" a="1"/>
  <c r="J53" i="9" a="1"/>
  <c r="J74" i="9" a="1"/>
  <c r="J75" i="9" a="1"/>
  <c r="J76" i="9" a="1"/>
  <c r="J77" i="9" a="1"/>
  <c r="J78" i="9" a="1"/>
  <c r="J79" i="9" a="1"/>
  <c r="J49" i="9" a="1"/>
  <c r="J54" i="9" a="1"/>
  <c r="J11" i="9" a="1"/>
  <c r="F66" i="9" a="1"/>
  <c r="J90" i="9"/>
  <c r="J85" i="9"/>
  <c r="K74" i="9" a="1"/>
  <c r="J86" i="9"/>
  <c r="K75" i="9" a="1"/>
  <c r="J87" i="9"/>
  <c r="K76" i="9" a="1"/>
  <c r="J88" i="9"/>
  <c r="K77" i="9" a="1"/>
  <c r="J89" i="9"/>
  <c r="K78" i="9" a="1"/>
  <c r="K79" i="9" a="1"/>
  <c r="K90" i="9"/>
  <c r="K85" i="9"/>
  <c r="L74" i="9" a="1"/>
  <c r="K86" i="9"/>
  <c r="L75" i="9" a="1"/>
  <c r="K87" i="9"/>
  <c r="L76" i="9" a="1"/>
  <c r="K88" i="9"/>
  <c r="L77" i="9" a="1"/>
  <c r="K89" i="9"/>
  <c r="L78" i="9" a="1"/>
  <c r="L79" i="9" a="1"/>
  <c r="L90" i="9"/>
  <c r="L85" i="9"/>
  <c r="M74" i="9" a="1"/>
  <c r="L86" i="9"/>
  <c r="M75" i="9" a="1"/>
  <c r="L87" i="9"/>
  <c r="M76" i="9" a="1"/>
  <c r="L88" i="9"/>
  <c r="M77" i="9" a="1"/>
  <c r="L89" i="9"/>
  <c r="M78" i="9" a="1"/>
  <c r="M79" i="9" a="1"/>
  <c r="M90" i="9"/>
  <c r="M85" i="9"/>
  <c r="N74" i="9" a="1"/>
  <c r="M86" i="9"/>
  <c r="N75" i="9" a="1"/>
  <c r="M87" i="9"/>
  <c r="N76" i="9" a="1"/>
  <c r="M88" i="9"/>
  <c r="N77" i="9" a="1"/>
  <c r="M89" i="9"/>
  <c r="N78" i="9" a="1"/>
  <c r="N79" i="9" a="1"/>
  <c r="N90" i="9"/>
  <c r="N85" i="9"/>
  <c r="O74" i="9" a="1"/>
  <c r="N86" i="9"/>
  <c r="O75" i="9" a="1"/>
  <c r="N87" i="9"/>
  <c r="O76" i="9" a="1"/>
  <c r="N88" i="9"/>
  <c r="O77" i="9" a="1"/>
  <c r="N89" i="9"/>
  <c r="O78" i="9" a="1"/>
  <c r="O79" i="9" a="1"/>
  <c r="O90" i="9"/>
  <c r="O85" i="9"/>
  <c r="P74" i="9" a="1"/>
  <c r="O86" i="9"/>
  <c r="P75" i="9" a="1"/>
  <c r="O87" i="9"/>
  <c r="P76" i="9" a="1"/>
  <c r="O88" i="9"/>
  <c r="P77" i="9" a="1"/>
  <c r="O89" i="9"/>
  <c r="P78" i="9" a="1"/>
  <c r="P79" i="9" a="1"/>
  <c r="P90" i="9"/>
  <c r="P85" i="9"/>
  <c r="Q74" i="9" a="1"/>
  <c r="P86" i="9"/>
  <c r="Q75" i="9" a="1"/>
  <c r="P87" i="9"/>
  <c r="Q76" i="9" a="1"/>
  <c r="P88" i="9"/>
  <c r="Q77" i="9" a="1"/>
  <c r="P89" i="9"/>
  <c r="Q78" i="9" a="1"/>
  <c r="Q79" i="9" a="1"/>
  <c r="Q90" i="9"/>
  <c r="Q85" i="9"/>
  <c r="R74" i="9" a="1"/>
  <c r="Q86" i="9"/>
  <c r="R75" i="9" a="1"/>
  <c r="Q87" i="9"/>
  <c r="R76" i="9" a="1"/>
  <c r="Q88" i="9"/>
  <c r="R77" i="9" a="1"/>
  <c r="Q89" i="9"/>
  <c r="R78" i="9" a="1"/>
  <c r="R79" i="9" a="1"/>
  <c r="R90" i="9"/>
  <c r="R85" i="9"/>
  <c r="S74" i="9" a="1"/>
  <c r="R86" i="9"/>
  <c r="S75" i="9" a="1"/>
  <c r="R87" i="9"/>
  <c r="S76" i="9" a="1"/>
  <c r="R88" i="9"/>
  <c r="S77" i="9" a="1"/>
  <c r="R89" i="9"/>
  <c r="S78" i="9" a="1"/>
  <c r="S79" i="9" a="1"/>
  <c r="S90" i="9"/>
  <c r="S85" i="9"/>
  <c r="T74" i="9" a="1"/>
  <c r="S86" i="9"/>
  <c r="T75" i="9" a="1"/>
  <c r="S87" i="9"/>
  <c r="T76" i="9" a="1"/>
  <c r="S88" i="9"/>
  <c r="T77" i="9" a="1"/>
  <c r="S89" i="9"/>
  <c r="T78" i="9" a="1"/>
  <c r="T79" i="9" a="1"/>
  <c r="T90" i="9"/>
  <c r="T85" i="9"/>
  <c r="U74" i="9" a="1"/>
  <c r="T86" i="9"/>
  <c r="U75" i="9" a="1"/>
  <c r="T87" i="9"/>
  <c r="U76" i="9" a="1"/>
  <c r="T88" i="9"/>
  <c r="U77" i="9" a="1"/>
  <c r="T89" i="9"/>
  <c r="U78" i="9" a="1"/>
  <c r="U79" i="9" a="1"/>
  <c r="U90" i="9"/>
  <c r="U85" i="9"/>
  <c r="V74" i="9" a="1"/>
  <c r="U86" i="9"/>
  <c r="V75" i="9" a="1"/>
  <c r="U87" i="9"/>
  <c r="V76" i="9" a="1"/>
  <c r="U88" i="9"/>
  <c r="V77" i="9" a="1"/>
  <c r="U89" i="9"/>
  <c r="V78" i="9" a="1"/>
  <c r="V79" i="9" a="1"/>
  <c r="V90" i="9"/>
  <c r="V85" i="9"/>
  <c r="W74" i="9" a="1"/>
  <c r="V86" i="9"/>
  <c r="W75" i="9" a="1"/>
  <c r="V87" i="9"/>
  <c r="W76" i="9" a="1"/>
  <c r="V88" i="9"/>
  <c r="W77" i="9" a="1"/>
  <c r="V89" i="9"/>
  <c r="W78" i="9" a="1"/>
  <c r="W79" i="9" a="1"/>
  <c r="W90" i="9"/>
  <c r="W85" i="9"/>
  <c r="X74" i="9" a="1"/>
  <c r="W86" i="9"/>
  <c r="X75" i="9" a="1"/>
  <c r="W87" i="9"/>
  <c r="X76" i="9" a="1"/>
  <c r="W88" i="9"/>
  <c r="X77" i="9" a="1"/>
  <c r="W89" i="9"/>
  <c r="X78" i="9" a="1"/>
  <c r="X79" i="9" a="1"/>
  <c r="X90" i="9"/>
  <c r="X85" i="9"/>
  <c r="Y74" i="9" a="1"/>
  <c r="X86" i="9"/>
  <c r="Y75" i="9" a="1"/>
  <c r="X87" i="9"/>
  <c r="Y76" i="9" a="1"/>
  <c r="X88" i="9"/>
  <c r="Y77" i="9" a="1"/>
  <c r="X89" i="9"/>
  <c r="Y78" i="9" a="1"/>
  <c r="Y79" i="9" a="1"/>
  <c r="Y90" i="9"/>
  <c r="Y85" i="9"/>
  <c r="Z74" i="9" a="1"/>
  <c r="Y86" i="9"/>
  <c r="Z75" i="9" a="1"/>
  <c r="Y87" i="9"/>
  <c r="Z76" i="9" a="1"/>
  <c r="Y88" i="9"/>
  <c r="Z77" i="9" a="1"/>
  <c r="Y89" i="9"/>
  <c r="Z78" i="9" a="1"/>
  <c r="Z79" i="9" a="1"/>
  <c r="Z90" i="9"/>
  <c r="Z85" i="9"/>
  <c r="AA74" i="9" a="1"/>
  <c r="Z86" i="9"/>
  <c r="AA75" i="9" a="1"/>
  <c r="Z87" i="9"/>
  <c r="AA76" i="9" a="1"/>
  <c r="Z88" i="9"/>
  <c r="AA77" i="9" a="1"/>
  <c r="Z89" i="9"/>
  <c r="AA78" i="9" a="1"/>
  <c r="AA79" i="9" a="1"/>
  <c r="AA90" i="9"/>
  <c r="AA85" i="9"/>
  <c r="AB74" i="9" a="1"/>
  <c r="AA86" i="9"/>
  <c r="AB75" i="9" a="1"/>
  <c r="AA87" i="9"/>
  <c r="AB76" i="9" a="1"/>
  <c r="AA88" i="9"/>
  <c r="AB77" i="9" a="1"/>
  <c r="AA89" i="9"/>
  <c r="AB78" i="9" a="1"/>
  <c r="AB79" i="9" a="1"/>
  <c r="AB90" i="9"/>
  <c r="AB85" i="9"/>
  <c r="AC74" i="9" a="1"/>
  <c r="AB86" i="9"/>
  <c r="AC75" i="9" a="1"/>
  <c r="AB87" i="9"/>
  <c r="AC76" i="9" a="1"/>
  <c r="AB88" i="9"/>
  <c r="AC77" i="9" a="1"/>
  <c r="AB89" i="9"/>
  <c r="AC78" i="9" a="1"/>
  <c r="AC79" i="9" a="1"/>
  <c r="AC90" i="9"/>
  <c r="AC85" i="9"/>
  <c r="AD74" i="9" a="1"/>
  <c r="AC86" i="9"/>
  <c r="AD75" i="9" a="1"/>
  <c r="AC87" i="9"/>
  <c r="AD76" i="9" a="1"/>
  <c r="AC88" i="9"/>
  <c r="AD77" i="9" a="1"/>
  <c r="AC89" i="9"/>
  <c r="AD78" i="9" a="1"/>
  <c r="AD79" i="9" a="1"/>
  <c r="AD90" i="9"/>
  <c r="AD85" i="9"/>
  <c r="AE74" i="9" a="1"/>
  <c r="AD86" i="9"/>
  <c r="AE75" i="9" a="1"/>
  <c r="AD87" i="9"/>
  <c r="AE76" i="9" a="1"/>
  <c r="AD88" i="9"/>
  <c r="AE77" i="9" a="1"/>
  <c r="AD89" i="9"/>
  <c r="AE78" i="9" a="1"/>
  <c r="AE79" i="9" a="1"/>
  <c r="AE90" i="9"/>
  <c r="AE85" i="9"/>
  <c r="AF74" i="9" a="1"/>
  <c r="AE86" i="9"/>
  <c r="AF75" i="9" a="1"/>
  <c r="AE87" i="9"/>
  <c r="AF76" i="9" a="1"/>
  <c r="AE88" i="9"/>
  <c r="AF77" i="9" a="1"/>
  <c r="AE89" i="9"/>
  <c r="AF78" i="9" a="1"/>
  <c r="AF79" i="9" a="1"/>
  <c r="AF90" i="9"/>
  <c r="AF85" i="9"/>
  <c r="AG74" i="9" a="1"/>
  <c r="AF86" i="9"/>
  <c r="AG75" i="9" a="1"/>
  <c r="AF87" i="9"/>
  <c r="AG76" i="9" a="1"/>
  <c r="AF88" i="9"/>
  <c r="AG77" i="9" a="1"/>
  <c r="AF89" i="9"/>
  <c r="AG78" i="9" a="1"/>
  <c r="AG79" i="9" a="1"/>
  <c r="F143" i="9" a="1"/>
  <c r="J143" i="9" a="1"/>
  <c r="J156" i="9"/>
  <c r="J167" i="9"/>
  <c r="K156" i="9"/>
  <c r="J155" i="9"/>
  <c r="J166" i="9"/>
  <c r="K155" i="9"/>
  <c r="J154" i="9"/>
  <c r="J165" i="9"/>
  <c r="K154" i="9"/>
  <c r="J153" i="9"/>
  <c r="J164" i="9"/>
  <c r="K153" i="9"/>
  <c r="J152" i="9"/>
  <c r="J163" i="9"/>
  <c r="K152" i="9"/>
  <c r="J151" i="9"/>
  <c r="J162" i="9"/>
  <c r="K151" i="9"/>
  <c r="K167" i="9"/>
  <c r="L156" i="9"/>
  <c r="K166" i="9"/>
  <c r="L155" i="9"/>
  <c r="K165" i="9"/>
  <c r="L154" i="9"/>
  <c r="K164" i="9"/>
  <c r="L153" i="9"/>
  <c r="K163" i="9"/>
  <c r="L152" i="9"/>
  <c r="K162" i="9"/>
  <c r="L151" i="9"/>
  <c r="L167" i="9"/>
  <c r="M156" i="9"/>
  <c r="L166" i="9"/>
  <c r="M155" i="9"/>
  <c r="L165" i="9"/>
  <c r="M154" i="9"/>
  <c r="L164" i="9"/>
  <c r="M153" i="9"/>
  <c r="L163" i="9"/>
  <c r="M152" i="9"/>
  <c r="L162" i="9"/>
  <c r="M151" i="9"/>
  <c r="M167" i="9"/>
  <c r="N156" i="9"/>
  <c r="M166" i="9"/>
  <c r="N155" i="9"/>
  <c r="M165" i="9"/>
  <c r="N154" i="9"/>
  <c r="M164" i="9"/>
  <c r="N153" i="9"/>
  <c r="M163" i="9"/>
  <c r="N152" i="9"/>
  <c r="M162" i="9"/>
  <c r="N151" i="9"/>
  <c r="N167" i="9"/>
  <c r="O156" i="9"/>
  <c r="N166" i="9"/>
  <c r="O155" i="9"/>
  <c r="N165" i="9"/>
  <c r="O154" i="9"/>
  <c r="N164" i="9"/>
  <c r="O153" i="9"/>
  <c r="N163" i="9"/>
  <c r="O152" i="9"/>
  <c r="N162" i="9"/>
  <c r="O151" i="9"/>
  <c r="O167" i="9"/>
  <c r="P156" i="9"/>
  <c r="O166" i="9"/>
  <c r="P155" i="9"/>
  <c r="O165" i="9"/>
  <c r="P154" i="9"/>
  <c r="O164" i="9"/>
  <c r="P153" i="9"/>
  <c r="O163" i="9"/>
  <c r="P152" i="9"/>
  <c r="O162" i="9"/>
  <c r="P151" i="9"/>
  <c r="P167" i="9"/>
  <c r="Q156" i="9"/>
  <c r="P166" i="9"/>
  <c r="Q155" i="9"/>
  <c r="P165" i="9"/>
  <c r="Q154" i="9"/>
  <c r="P164" i="9"/>
  <c r="Q153" i="9"/>
  <c r="P163" i="9"/>
  <c r="Q152" i="9"/>
  <c r="P162" i="9"/>
  <c r="Q151" i="9"/>
  <c r="Q167" i="9"/>
  <c r="R156" i="9"/>
  <c r="Q166" i="9"/>
  <c r="R155" i="9"/>
  <c r="Q165" i="9"/>
  <c r="R154" i="9"/>
  <c r="Q164" i="9"/>
  <c r="R153" i="9"/>
  <c r="Q163" i="9"/>
  <c r="R152" i="9"/>
  <c r="Q162" i="9"/>
  <c r="R151" i="9"/>
  <c r="R167" i="9"/>
  <c r="S156" i="9"/>
  <c r="R166" i="9"/>
  <c r="S155" i="9"/>
  <c r="R165" i="9"/>
  <c r="S154" i="9"/>
  <c r="R164" i="9"/>
  <c r="S153" i="9"/>
  <c r="R163" i="9"/>
  <c r="S152" i="9"/>
  <c r="R162" i="9"/>
  <c r="S151" i="9"/>
  <c r="S167" i="9"/>
  <c r="T156" i="9"/>
  <c r="S166" i="9"/>
  <c r="T155" i="9"/>
  <c r="S165" i="9"/>
  <c r="T154" i="9"/>
  <c r="S164" i="9"/>
  <c r="T153" i="9"/>
  <c r="S163" i="9"/>
  <c r="T152" i="9"/>
  <c r="S162" i="9"/>
  <c r="T151" i="9"/>
  <c r="T167" i="9"/>
  <c r="U156" i="9"/>
  <c r="T166" i="9"/>
  <c r="U155" i="9"/>
  <c r="T165" i="9"/>
  <c r="U154" i="9"/>
  <c r="T164" i="9"/>
  <c r="U153" i="9"/>
  <c r="T163" i="9"/>
  <c r="U152" i="9"/>
  <c r="T162" i="9"/>
  <c r="U151" i="9"/>
  <c r="U167" i="9"/>
  <c r="V156" i="9"/>
  <c r="U166" i="9"/>
  <c r="V155" i="9"/>
  <c r="U165" i="9"/>
  <c r="V154" i="9"/>
  <c r="U164" i="9"/>
  <c r="V153" i="9"/>
  <c r="U163" i="9"/>
  <c r="V152" i="9"/>
  <c r="U162" i="9"/>
  <c r="V151" i="9"/>
  <c r="V167" i="9"/>
  <c r="W156" i="9"/>
  <c r="V166" i="9"/>
  <c r="W155" i="9"/>
  <c r="V165" i="9"/>
  <c r="W154" i="9"/>
  <c r="V164" i="9"/>
  <c r="W153" i="9"/>
  <c r="V163" i="9"/>
  <c r="W152" i="9"/>
  <c r="V162" i="9"/>
  <c r="W151" i="9"/>
  <c r="W167" i="9"/>
  <c r="X156" i="9"/>
  <c r="W166" i="9"/>
  <c r="X155" i="9"/>
  <c r="W165" i="9"/>
  <c r="X154" i="9"/>
  <c r="W164" i="9"/>
  <c r="X153" i="9"/>
  <c r="W163" i="9"/>
  <c r="X152" i="9"/>
  <c r="W162" i="9"/>
  <c r="X151" i="9"/>
  <c r="X167" i="9"/>
  <c r="Y156" i="9"/>
  <c r="X166" i="9"/>
  <c r="Y155" i="9"/>
  <c r="X165" i="9"/>
  <c r="Y154" i="9"/>
  <c r="X164" i="9"/>
  <c r="Y153" i="9"/>
  <c r="X163" i="9"/>
  <c r="Y152" i="9"/>
  <c r="X162" i="9"/>
  <c r="Y151" i="9"/>
  <c r="Y167" i="9"/>
  <c r="Z156" i="9"/>
  <c r="Y166" i="9"/>
  <c r="Z155" i="9"/>
  <c r="Y165" i="9"/>
  <c r="Z154" i="9"/>
  <c r="Y164" i="9"/>
  <c r="Z153" i="9"/>
  <c r="Y163" i="9"/>
  <c r="Z152" i="9"/>
  <c r="Y162" i="9"/>
  <c r="Z151" i="9"/>
  <c r="Z167" i="9"/>
  <c r="AA156" i="9"/>
  <c r="Z166" i="9"/>
  <c r="AA155" i="9"/>
  <c r="Z165" i="9"/>
  <c r="AA154" i="9"/>
  <c r="Z164" i="9"/>
  <c r="AA153" i="9"/>
  <c r="Z163" i="9"/>
  <c r="AA152" i="9"/>
  <c r="Z162" i="9"/>
  <c r="AA151" i="9"/>
  <c r="AA167" i="9"/>
  <c r="AB156" i="9"/>
  <c r="AA166" i="9"/>
  <c r="AB155" i="9"/>
  <c r="AA165" i="9"/>
  <c r="AB154" i="9"/>
  <c r="AA164" i="9"/>
  <c r="AB153" i="9"/>
  <c r="AA163" i="9"/>
  <c r="AB152" i="9"/>
  <c r="AA162" i="9"/>
  <c r="AB151" i="9"/>
  <c r="AB167" i="9"/>
  <c r="AC156" i="9"/>
  <c r="AB166" i="9"/>
  <c r="AC155" i="9"/>
  <c r="AB165" i="9"/>
  <c r="AC154" i="9"/>
  <c r="AB164" i="9"/>
  <c r="AC153" i="9"/>
  <c r="AB163" i="9"/>
  <c r="AC152" i="9"/>
  <c r="AB162" i="9"/>
  <c r="AC151" i="9"/>
  <c r="AC167" i="9"/>
  <c r="AD156" i="9"/>
  <c r="AC166" i="9"/>
  <c r="AD155" i="9"/>
  <c r="AC165" i="9"/>
  <c r="AD154" i="9"/>
  <c r="AC164" i="9"/>
  <c r="AD153" i="9"/>
  <c r="AC163" i="9"/>
  <c r="AD152" i="9"/>
  <c r="AC162" i="9"/>
  <c r="AD151" i="9"/>
  <c r="AD167" i="9"/>
  <c r="AE156" i="9"/>
  <c r="AD166" i="9"/>
  <c r="AE155" i="9"/>
  <c r="AD165" i="9"/>
  <c r="AE154" i="9"/>
  <c r="AD164" i="9"/>
  <c r="AE153" i="9"/>
  <c r="AD163" i="9"/>
  <c r="AE152" i="9"/>
  <c r="AD162" i="9"/>
  <c r="AE151" i="9"/>
  <c r="AE167" i="9"/>
  <c r="AF156" i="9"/>
  <c r="AE166" i="9"/>
  <c r="AF155" i="9"/>
  <c r="AE165" i="9"/>
  <c r="AF154" i="9"/>
  <c r="AE164" i="9"/>
  <c r="AF153" i="9"/>
  <c r="AE163" i="9"/>
  <c r="AF152" i="9"/>
  <c r="AE162" i="9"/>
  <c r="AF151" i="9"/>
  <c r="AF167" i="9"/>
  <c r="AG156" i="9"/>
  <c r="AF166" i="9"/>
  <c r="AG155" i="9"/>
  <c r="AF165" i="9"/>
  <c r="AG154" i="9"/>
  <c r="AF164" i="9"/>
  <c r="AG153" i="9"/>
  <c r="AF163" i="9"/>
  <c r="AG152" i="9"/>
  <c r="AF162" i="9"/>
  <c r="AG151" i="9"/>
  <c r="G162" i="9" a="1"/>
  <c r="F162" i="9" a="1"/>
  <c r="F151" i="9" a="1"/>
  <c r="J60" i="9" a="1"/>
  <c r="J59" i="9" a="1"/>
  <c r="J113" i="9" a="1"/>
  <c r="J128" i="9" a="1"/>
  <c r="J61" i="9" a="1"/>
  <c r="J101" i="9" a="1"/>
  <c r="J132" i="9" a="1"/>
  <c r="J109" i="9" a="1"/>
  <c r="J114" i="9" a="1"/>
  <c r="J115" i="9" a="1"/>
  <c r="J119" i="9" a="1"/>
  <c r="J99" i="9" a="1"/>
  <c r="G85" i="9" a="1"/>
  <c r="F85" i="9" a="1"/>
  <c r="F74" i="9" a="1"/>
  <c r="J55" i="9" a="1"/>
  <c r="J37" i="9" a="1"/>
  <c r="H37" i="9" a="1"/>
  <c r="J2" i="9" a="1"/>
  <c r="A2" i="9" a="1"/>
  <c r="A1" i="9"/>
  <c r="C30" i="3"/>
  <c r="AG90" i="9"/>
  <c r="AG89" i="9"/>
  <c r="AG88" i="9"/>
  <c r="AG87" i="9"/>
  <c r="AG86" i="9"/>
  <c r="AG85" i="9"/>
  <c r="J170" i="9" a="1"/>
  <c r="J169" i="9" a="1"/>
  <c r="J168" i="9" a="1"/>
  <c r="J93" i="9" a="1"/>
  <c r="J92" i="9" a="1"/>
  <c r="J82" i="9" a="1"/>
  <c r="J91" i="9" a="1"/>
  <c r="J159" i="9" a="1"/>
  <c r="AG167" i="9"/>
  <c r="AG166" i="9"/>
  <c r="AG165" i="9"/>
  <c r="AG164" i="9"/>
  <c r="AG163" i="9"/>
  <c r="AG162" i="9"/>
  <c r="AG81" i="9"/>
  <c r="AF81" i="9"/>
  <c r="AE81" i="9"/>
  <c r="AD81" i="9"/>
  <c r="AC81" i="9"/>
  <c r="AB81" i="9"/>
  <c r="AA81" i="9"/>
  <c r="Z81" i="9"/>
  <c r="Y81" i="9"/>
  <c r="X81" i="9"/>
  <c r="W81" i="9"/>
  <c r="V81" i="9"/>
  <c r="U81" i="9"/>
  <c r="T81" i="9"/>
  <c r="S81" i="9"/>
  <c r="R81" i="9"/>
  <c r="Q81" i="9"/>
  <c r="P81" i="9"/>
  <c r="O81" i="9"/>
  <c r="N81" i="9"/>
  <c r="M81" i="9"/>
  <c r="L81" i="9"/>
  <c r="AG158" i="9"/>
  <c r="AF158" i="9"/>
  <c r="AE158" i="9"/>
  <c r="AD158" i="9"/>
  <c r="AC158" i="9"/>
  <c r="AB158" i="9"/>
  <c r="AA158" i="9"/>
  <c r="Z158" i="9"/>
  <c r="Y158" i="9"/>
  <c r="X158" i="9"/>
  <c r="W158" i="9"/>
  <c r="V158" i="9"/>
  <c r="U158" i="9"/>
  <c r="T158" i="9"/>
  <c r="S158" i="9"/>
  <c r="R158" i="9"/>
  <c r="Q158" i="9"/>
  <c r="P158" i="9"/>
  <c r="O158" i="9"/>
  <c r="N158" i="9"/>
  <c r="M158" i="9"/>
  <c r="L158" i="9"/>
  <c r="K158" i="9"/>
  <c r="J158" i="9"/>
  <c r="J184" i="9" a="1"/>
  <c r="J185" i="9" a="1"/>
  <c r="J24" i="10" a="1"/>
  <c r="J25" i="10" a="1"/>
  <c r="J28" i="10" a="1"/>
  <c r="J30" i="10" a="1"/>
  <c r="J32" i="10" a="1"/>
  <c r="H32" i="10" a="1"/>
  <c r="H30" i="10" a="1"/>
  <c r="H28" i="10" a="1"/>
  <c r="H25" i="10" a="1"/>
  <c r="H24" i="10" a="1"/>
  <c r="J81" i="9"/>
  <c r="J195" i="9" a="1"/>
  <c r="J193" i="9" a="1"/>
  <c r="J176" i="9" a="1"/>
  <c r="J177" i="9" a="1"/>
  <c r="J173" i="9" a="1"/>
  <c r="K81" i="9"/>
  <c r="J100" i="9" a="1"/>
  <c r="J102" i="9" a="1"/>
  <c r="J98" i="9" a="1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J108" i="9" a="1"/>
  <c r="J110" i="9" a="1"/>
  <c r="J10" i="10" a="1"/>
  <c r="J11" i="10" a="1"/>
  <c r="J14" i="10" a="1"/>
  <c r="J16" i="10" a="1"/>
  <c r="J18" i="10" a="1"/>
  <c r="H18" i="10" a="1"/>
  <c r="H16" i="10" a="1"/>
  <c r="H14" i="10" a="1"/>
  <c r="H11" i="10" a="1"/>
  <c r="H10" i="10" a="1"/>
  <c r="J120" i="9" a="1"/>
  <c r="J118" i="9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<sst xmlns="http://schemas.openxmlformats.org/spreadsheetml/2006/main" count="300" uniqueCount="125">
  <si>
    <t>Year</t>
  </si>
  <si>
    <t>Production</t>
  </si>
  <si>
    <t>Salaries</t>
  </si>
  <si>
    <t>Materials</t>
  </si>
  <si>
    <t>Mark-up</t>
  </si>
  <si>
    <t>Overhead</t>
  </si>
  <si>
    <t>Model start date</t>
  </si>
  <si>
    <t>Assumption</t>
  </si>
  <si>
    <t>Units</t>
  </si>
  <si>
    <t>Value</t>
  </si>
  <si>
    <t>[date]</t>
  </si>
  <si>
    <t>[units / quarter]</t>
  </si>
  <si>
    <t>Q1</t>
  </si>
  <si>
    <t>Q2</t>
  </si>
  <si>
    <t>Q3</t>
  </si>
  <si>
    <t>Q4</t>
  </si>
  <si>
    <t>[units]</t>
  </si>
  <si>
    <t>Year 1 demand</t>
  </si>
  <si>
    <t>Demand growth YoY</t>
  </si>
  <si>
    <t>[%]</t>
  </si>
  <si>
    <t>Production costs</t>
  </si>
  <si>
    <t>[$ / hr]</t>
  </si>
  <si>
    <t>Year 1</t>
  </si>
  <si>
    <t>Production time</t>
  </si>
  <si>
    <t>[hrs / unit]</t>
  </si>
  <si>
    <t>[$ / unit]</t>
  </si>
  <si>
    <t>Year 1 mark-up</t>
  </si>
  <si>
    <t>Note</t>
  </si>
  <si>
    <t>Not rounded</t>
  </si>
  <si>
    <t>YoY change</t>
  </si>
  <si>
    <t>[% pts]</t>
  </si>
  <si>
    <t>Note: final sale price rounded to nearest $0.01</t>
  </si>
  <si>
    <t>Rounded to nearest $0.01</t>
  </si>
  <si>
    <t>[$ / quarter]</t>
  </si>
  <si>
    <t>Tax rate</t>
  </si>
  <si>
    <r>
      <t xml:space="preserve">% </t>
    </r>
    <r>
      <rPr>
        <b/>
        <sz val="12"/>
        <color theme="1"/>
        <rFont val="Calibri"/>
        <family val="2"/>
      </rPr>
      <t>∆ YoY</t>
    </r>
  </si>
  <si>
    <t>Quarter</t>
  </si>
  <si>
    <t>Demand</t>
  </si>
  <si>
    <t>units</t>
  </si>
  <si>
    <t>Total</t>
  </si>
  <si>
    <t>Inventory Balance</t>
  </si>
  <si>
    <t>Revenue</t>
  </si>
  <si>
    <t>[$]</t>
  </si>
  <si>
    <t>Thermin Corp forecast model - Assumptions</t>
  </si>
  <si>
    <t>Company name</t>
  </si>
  <si>
    <t>Thermin Corp</t>
  </si>
  <si>
    <t>Topic</t>
  </si>
  <si>
    <t>Working capital</t>
  </si>
  <si>
    <t>Model timeline</t>
  </si>
  <si>
    <t>quarters</t>
  </si>
  <si>
    <t>date</t>
  </si>
  <si>
    <t>label</t>
  </si>
  <si>
    <t>Model years</t>
  </si>
  <si>
    <t>year</t>
  </si>
  <si>
    <t>Number of periods</t>
  </si>
  <si>
    <t>Constant</t>
  </si>
  <si>
    <t>Unit</t>
  </si>
  <si>
    <t>Volume</t>
  </si>
  <si>
    <t>CALCULATIONS SCHEDULE</t>
  </si>
  <si>
    <t>Units sold</t>
  </si>
  <si>
    <t>Model period beginning</t>
  </si>
  <si>
    <t>Model period ending</t>
  </si>
  <si>
    <t>Inventory ending balance</t>
  </si>
  <si>
    <t>Inventory beginning balance</t>
  </si>
  <si>
    <t>Costs of production</t>
  </si>
  <si>
    <t xml:space="preserve"> </t>
  </si>
  <si>
    <t>USD / hr</t>
  </si>
  <si>
    <t>USD / unit</t>
  </si>
  <si>
    <t>hr / unit</t>
  </si>
  <si>
    <t>Hourly salary rate</t>
  </si>
  <si>
    <t>USD m</t>
  </si>
  <si>
    <t>Cost of production</t>
  </si>
  <si>
    <t>Cost per unit</t>
  </si>
  <si>
    <t>Sell price</t>
  </si>
  <si>
    <t>Check</t>
  </si>
  <si>
    <t>FIFO Cost of Goods Sold and Inventory</t>
  </si>
  <si>
    <t>FIFO units sold</t>
  </si>
  <si>
    <t>Units sold from inventory</t>
  </si>
  <si>
    <t>Units sold from current production</t>
  </si>
  <si>
    <t>FIFO COGS</t>
  </si>
  <si>
    <t>FIFO COGS from current production</t>
  </si>
  <si>
    <t>Units added in the quarter</t>
  </si>
  <si>
    <t>Inventory ending balance by vintage</t>
  </si>
  <si>
    <t>Units sold in the quarter by vintage</t>
  </si>
  <si>
    <t>FIFO COGS from inventory</t>
  </si>
  <si>
    <t>Average FIFO cost per unit</t>
  </si>
  <si>
    <t>LIFO Cost of Goods Sold and Inventory</t>
  </si>
  <si>
    <t>FIFO Inventory</t>
  </si>
  <si>
    <t>Average FIFO inventory</t>
  </si>
  <si>
    <t>FIFO inventory</t>
  </si>
  <si>
    <t>Inventory opening balance</t>
  </si>
  <si>
    <t>Inventory closing balance</t>
  </si>
  <si>
    <t>USD</t>
  </si>
  <si>
    <t>FIFO Summary</t>
  </si>
  <si>
    <t>COGS</t>
  </si>
  <si>
    <t>Sales Volume</t>
  </si>
  <si>
    <t>FIFO from old units inventory</t>
  </si>
  <si>
    <t>FIFO from units from current production</t>
  </si>
  <si>
    <t>Average COGS</t>
  </si>
  <si>
    <t>LIFO units sold</t>
  </si>
  <si>
    <t>LIFO COGS from current production</t>
  </si>
  <si>
    <t>LIFO COGS from inventory</t>
  </si>
  <si>
    <t>Average LIFO cost per unit</t>
  </si>
  <si>
    <t>LIFO Inventory</t>
  </si>
  <si>
    <t>Average LIFO inventory</t>
  </si>
  <si>
    <t>add</t>
  </si>
  <si>
    <t>minus</t>
  </si>
  <si>
    <t>LIFO inventory</t>
  </si>
  <si>
    <t>LIFO COGS</t>
  </si>
  <si>
    <t>LIFO from old units inventory</t>
  </si>
  <si>
    <t>LIFO from units from current production</t>
  </si>
  <si>
    <t>End of schedule</t>
  </si>
  <si>
    <t>Income statement</t>
  </si>
  <si>
    <t>FIFO Cost of Goods of Sold</t>
  </si>
  <si>
    <t>FINANCIAL STATEMENTS</t>
  </si>
  <si>
    <t>Gross profit</t>
  </si>
  <si>
    <t>Overheads</t>
  </si>
  <si>
    <t>EBITDA</t>
  </si>
  <si>
    <t>Current taxes</t>
  </si>
  <si>
    <t>Net Income</t>
  </si>
  <si>
    <t>FIFO</t>
  </si>
  <si>
    <t>LIFO</t>
  </si>
  <si>
    <t>LIFO Cost of Goods of Sold</t>
  </si>
  <si>
    <t>Balance sheet - inventory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</si>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</sst>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#,##0;\-#,##0;\-"/>
    <numFmt numFmtId="165" formatCode="0.0%"/>
    <numFmt numFmtId="166" formatCode="\Q0"/>
    <numFmt numFmtId="167" formatCode="#,##0_);\(#,##0\);&quot;-  &quot;;&quot; &quot;@"/>
    <numFmt numFmtId="168" formatCode="0.00%\ ;\-0.00%\ _);&quot;-  &quot;;&quot; &quot;@&quot; &quot;"/>
    <numFmt numFmtId="169" formatCode="#,##0.0000_);\(#,##0.0000\);&quot;-  &quot;;&quot; &quot;@&quot; &quot;"/>
    <numFmt numFmtId="170" formatCode="dd\ mmm\ yyyy_);\(###0\);&quot;-  &quot;;&quot; &quot;@&quot; &quot;"/>
    <numFmt numFmtId="171" formatCode="dd\ mmm\ yy_);\(###0\);&quot;-  &quot;;&quot; &quot;@&quot; &quot;"/>
    <numFmt numFmtId="172" formatCode="###0_);\(###0\);&quot;-  &quot;;&quot; &quot;@&quot; &quot;"/>
    <numFmt numFmtId="173" formatCode="#,##0.00_);\(#,##0.00\);&quot;-  &quot;;&quot; &quot;@"/>
    <numFmt numFmtId="174" formatCode="###0.00_);\(###0.00\);&quot;-  &quot;;&quot; &quot;@&quot; &quot;"/>
    <numFmt numFmtId="175" formatCode="#,##0.00_);\(#,##0.00\);&quot;-  &quot;;&quot; &quot;@&quot; &quot;"/>
    <numFmt numFmtId="176" formatCode="#,##0;\(#,##0\);\-\-"/>
    <numFmt numFmtId="177" formatCode="&quot;$&quot;#,##0_);[Red]\(&quot;$&quot;#,##0\)"/>
  </numFmts>
  <fonts count="15" x14ac:knownFonts="1">
    <font>
      <sz val="11"/>
      <color theme="1"/>
      <name val="Arial"/>
      <family val="2"/>
    </font>
    <font>
      <b/>
      <sz val="15"/>
      <color theme="3"/>
      <name val="Calibri"/>
      <family val="2"/>
      <scheme val="minor"/>
    </font>
    <font>
      <sz val="22"/>
      <color rgb="FF3F3F76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u/>
      <sz val="11"/>
      <color theme="1"/>
      <name val="Arial"/>
      <family val="2"/>
    </font>
    <font>
      <i/>
      <sz val="11"/>
      <color theme="1"/>
      <name val="Arial"/>
      <family val="2"/>
    </font>
    <font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11">
    <xf numFmtId="167" fontId="0" fillId="0" borderId="0" applyFont="0" applyFill="0" applyBorder="0" applyProtection="0">
      <alignment vertical="top"/>
    </xf>
    <xf numFmtId="0" fontId="2" fillId="2" borderId="2" applyFill="0" applyAlignment="0" applyProtection="0"/>
    <xf numFmtId="0" fontId="7" fillId="0" borderId="0"/>
    <xf numFmtId="0" fontId="2" fillId="2" borderId="2" applyNumberFormat="0" applyAlignment="0" applyProtection="0"/>
    <xf numFmtId="0" fontId="1" fillId="0" borderId="1" applyNumberFormat="0" applyFill="0" applyAlignment="0" applyProtection="0"/>
    <xf numFmtId="0" fontId="8" fillId="0" borderId="0"/>
    <xf numFmtId="168" fontId="7" fillId="0" borderId="0" applyFont="0" applyFill="0" applyBorder="0" applyProtection="0">
      <alignment vertical="top"/>
    </xf>
    <xf numFmtId="169" fontId="9" fillId="0" borderId="0" applyFont="0" applyFill="0" applyBorder="0" applyProtection="0">
      <alignment vertical="top"/>
    </xf>
    <xf numFmtId="170" fontId="9" fillId="0" borderId="0" applyFont="0" applyFill="0" applyBorder="0" applyProtection="0">
      <alignment vertical="top"/>
    </xf>
    <xf numFmtId="171" fontId="9" fillId="0" borderId="0" applyFont="0" applyFill="0" applyBorder="0" applyProtection="0">
      <alignment vertical="top"/>
    </xf>
    <xf numFmtId="172" fontId="9" fillId="0" borderId="0" applyFont="0" applyFill="0" applyBorder="0" applyProtection="0">
      <alignment vertical="top"/>
    </xf>
  </cellStyleXfs>
  <cellXfs count="45">
    <xf numFmtId="167" fontId="0" fillId="0" borderId="0" xfId="0">
      <alignment vertical="top"/>
    </xf>
    <xf numFmtId="0" fontId="3" fillId="0" borderId="0" xfId="2" applyFont="1"/>
    <xf numFmtId="0" fontId="7" fillId="0" borderId="0" xfId="2"/>
    <xf numFmtId="0" fontId="4" fillId="0" borderId="0" xfId="2" applyFont="1"/>
    <xf numFmtId="164" fontId="5" fillId="2" borderId="2" xfId="3" applyNumberFormat="1" applyFont="1"/>
    <xf numFmtId="0" fontId="1" fillId="0" borderId="1" xfId="4"/>
    <xf numFmtId="14" fontId="5" fillId="2" borderId="2" xfId="3" applyNumberFormat="1" applyFont="1"/>
    <xf numFmtId="165" fontId="5" fillId="2" borderId="2" xfId="3" applyNumberFormat="1" applyFont="1"/>
    <xf numFmtId="4" fontId="5" fillId="2" borderId="2" xfId="3" applyNumberFormat="1" applyFont="1"/>
    <xf numFmtId="0" fontId="0" fillId="0" borderId="0" xfId="2" applyFont="1"/>
    <xf numFmtId="167" fontId="10" fillId="3" borderId="0" xfId="0" applyFont="1" applyFill="1">
      <alignment vertical="top"/>
    </xf>
    <xf numFmtId="167" fontId="11" fillId="4" borderId="0" xfId="0" applyFont="1" applyFill="1">
      <alignment vertical="top"/>
    </xf>
    <xf numFmtId="0" fontId="4" fillId="5" borderId="3" xfId="2" applyFont="1" applyFill="1" applyBorder="1"/>
    <xf numFmtId="0" fontId="4" fillId="5" borderId="4" xfId="2" applyFont="1" applyFill="1" applyBorder="1"/>
    <xf numFmtId="171" fontId="10" fillId="3" borderId="0" xfId="9" applyFont="1" applyFill="1">
      <alignment vertical="top"/>
    </xf>
    <xf numFmtId="167" fontId="12" fillId="0" borderId="0" xfId="0" applyFont="1">
      <alignment vertical="top"/>
    </xf>
    <xf numFmtId="167" fontId="0" fillId="4" borderId="0" xfId="0" applyFill="1">
      <alignment vertical="top"/>
    </xf>
    <xf numFmtId="171" fontId="0" fillId="0" borderId="0" xfId="9" applyFont="1">
      <alignment vertical="top"/>
    </xf>
    <xf numFmtId="166" fontId="0" fillId="0" borderId="0" xfId="0" applyNumberFormat="1">
      <alignment vertical="top"/>
    </xf>
    <xf numFmtId="172" fontId="0" fillId="0" borderId="0" xfId="10" applyFont="1">
      <alignment vertical="top"/>
    </xf>
    <xf numFmtId="167" fontId="11" fillId="0" borderId="0" xfId="0" applyFont="1">
      <alignment vertical="top"/>
    </xf>
    <xf numFmtId="167" fontId="0" fillId="0" borderId="0" xfId="0" applyAlignment="1">
      <alignment horizontal="left" vertical="top" indent="1"/>
    </xf>
    <xf numFmtId="167" fontId="0" fillId="0" borderId="5" xfId="0" applyBorder="1">
      <alignment vertical="top"/>
    </xf>
    <xf numFmtId="173" fontId="0" fillId="0" borderId="0" xfId="0" applyNumberFormat="1">
      <alignment vertical="top"/>
    </xf>
    <xf numFmtId="174" fontId="0" fillId="0" borderId="0" xfId="10" applyNumberFormat="1" applyFont="1">
      <alignment vertical="top"/>
    </xf>
    <xf numFmtId="175" fontId="0" fillId="0" borderId="0" xfId="7" applyNumberFormat="1" applyFont="1">
      <alignment vertical="top"/>
    </xf>
    <xf numFmtId="167" fontId="0" fillId="0" borderId="0" xfId="0" applyFont="1">
      <alignment vertical="top"/>
    </xf>
    <xf numFmtId="167" fontId="11" fillId="0" borderId="5" xfId="0" applyFont="1" applyBorder="1">
      <alignment vertical="top"/>
    </xf>
    <xf numFmtId="175" fontId="0" fillId="0" borderId="0" xfId="7" applyNumberFormat="1" applyFont="1" applyFill="1">
      <alignment vertical="top"/>
    </xf>
    <xf numFmtId="176" fontId="0" fillId="0" borderId="0" xfId="0" applyNumberFormat="1" applyAlignment="1"/>
    <xf numFmtId="167" fontId="0" fillId="0" borderId="0" xfId="0" applyAlignment="1">
      <alignment horizontal="left" vertical="top"/>
    </xf>
    <xf numFmtId="177" fontId="3" fillId="0" borderId="0" xfId="0" applyNumberFormat="1" applyFont="1" applyAlignment="1"/>
    <xf numFmtId="167" fontId="13" fillId="0" borderId="0" xfId="0" applyFont="1" applyAlignment="1">
      <alignment horizontal="left" vertical="top" indent="1"/>
    </xf>
    <xf numFmtId="167" fontId="0" fillId="0" borderId="0" xfId="0" applyAlignment="1">
      <alignment horizontal="right" vertical="top"/>
    </xf>
    <xf numFmtId="172" fontId="0" fillId="0" borderId="0" xfId="0" applyNumberFormat="1">
      <alignment vertical="top"/>
    </xf>
    <xf numFmtId="167" fontId="0" fillId="0" borderId="0" xfId="0" applyAlignment="1">
      <alignment horizontal="center" vertical="top"/>
    </xf>
    <xf numFmtId="167" fontId="0" fillId="0" borderId="0" xfId="0" applyFill="1">
      <alignment vertical="top"/>
    </xf>
    <xf numFmtId="167" fontId="11" fillId="0" borderId="0" xfId="0" applyFont="1" applyFill="1">
      <alignment vertical="top"/>
    </xf>
    <xf numFmtId="167" fontId="0" fillId="0" borderId="0" xfId="0" applyBorder="1">
      <alignment vertical="top"/>
    </xf>
    <xf numFmtId="173" fontId="0" fillId="0" borderId="0" xfId="0" applyNumberFormat="1" applyBorder="1">
      <alignment vertical="top"/>
    </xf>
    <xf numFmtId="173" fontId="0" fillId="0" borderId="0" xfId="0" applyNumberFormat="1" applyFont="1">
      <alignment vertical="top"/>
    </xf>
    <xf numFmtId="175" fontId="0" fillId="0" borderId="5" xfId="7" applyNumberFormat="1" applyFont="1" applyBorder="1">
      <alignment vertical="top"/>
    </xf>
    <xf numFmtId="167" fontId="0" fillId="6" borderId="0" xfId="0" applyFill="1">
      <alignment vertical="top"/>
    </xf>
    <xf numFmtId="167" fontId="14" fillId="0" borderId="0" xfId="0" applyFont="1" applyAlignment="1">
      <alignment horizontal="right" vertical="top"/>
    </xf>
    <xf numFmtId="167" fontId="11" fillId="0" borderId="0" xfId="0" applyFont="1" applyAlignment="1">
      <alignment horizontal="left" vertical="top"/>
    </xf>
  </cellXfs>
  <cellStyles count="11">
    <cellStyle name="DateLong" xfId="8" xr:uid="{5CF8C1AC-4581-4AB4-8BF0-A2029692B3E0}"/>
    <cellStyle name="DateShort" xfId="9" xr:uid="{C81F8C63-C1F7-4A4D-B1B9-0B2B1C3B7FE6}"/>
    <cellStyle name="Factor" xfId="7" xr:uid="{D3FF3EAC-E90C-4FA6-BCB9-9BEAAD219B79}"/>
    <cellStyle name="Fixed input" xfId="1" xr:uid="{00000000-0005-0000-0000-000000000000}"/>
    <cellStyle name="Heading 1 2" xfId="4" xr:uid="{00000000-0005-0000-0000-000001000000}"/>
    <cellStyle name="Input 2" xfId="3" xr:uid="{00000000-0005-0000-0000-000002000000}"/>
    <cellStyle name="Normal" xfId="0" builtinId="0" customBuiltin="1"/>
    <cellStyle name="Normal 3" xfId="2" xr:uid="{00000000-0005-0000-0000-000004000000}"/>
    <cellStyle name="Normal 4" xfId="5" xr:uid="{00000000-0005-0000-0000-000005000000}"/>
    <cellStyle name="Percent" xfId="6" builtinId="5" customBuiltin="1"/>
    <cellStyle name="Year" xfId="10" xr:uid="{31F37701-C1F6-4E0C-A9B3-4F866B20E8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1729739</xdr:colOff>
      <xdr:row>19</xdr:row>
      <xdr:rowOff>82588</xdr:rowOff>
    </xdr:from>
    <xdr:to>
      <xdr:col>11</xdr:col>
      <xdr:colOff>246529</xdr:colOff>
      <xdr:row>31</xdr:row>
      <xdr:rowOff>56030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5B443A-F55F-061E-6F3F-2FC28AEEDC99}"/>
            </a:ext>
          </a:extLst>
        </xdr:cNvPr>
        <xdr:cNvSpPr txBox="1"/>
      </xdr:nvSpPr>
      <xdr:spPr>
        <a:xfrm>
          <a:off x="2267621" y="3276264"/>
          <a:ext cx="5083437" cy="1990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H" sz="1100"/>
            <a:t>=LET(</a:t>
          </a:r>
        </a:p>
        <a:p>
          <a:r>
            <a:rPr lang="fr-CH" sz="1100"/>
            <a:t>      units_sold_from_inventory,   J$52,</a:t>
          </a:r>
        </a:p>
        <a:p>
          <a:r>
            <a:rPr lang="fr-CH" sz="1100"/>
            <a:t>      last_period_ending_balance,  I84:I89,</a:t>
          </a:r>
        </a:p>
        <a:p>
          <a:r>
            <a:rPr lang="fr-CH" sz="1100"/>
            <a:t>      remaining_after,             SCAN( units_sold_from_inventory, last_period_ending_balance,</a:t>
          </a:r>
        </a:p>
        <a:p>
          <a:r>
            <a:rPr lang="fr-CH" sz="1100"/>
            <a:t>                                                       LAMBDA(rem,av, rem - MIN( av, rem ) ) ),</a:t>
          </a:r>
        </a:p>
        <a:p>
          <a:r>
            <a:rPr lang="fr-CH" sz="1100"/>
            <a:t>      remaining_before,            VSTACK( units_sold_from_inventory, DROP( remaining_after, -1 ) ),</a:t>
          </a:r>
        </a:p>
        <a:p>
          <a:endParaRPr lang="fr-CH" sz="1100"/>
        </a:p>
        <a:p>
          <a:r>
            <a:rPr lang="fr-CH" sz="1100"/>
            <a:t>      remaining_before - remaining_after )</a:t>
          </a:r>
        </a:p>
        <a:p>
          <a:endParaRPr lang="en-C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E907A7B-15F9-499F-BEF3-33FAA5A177C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29dbbae-3aae-4737-8e7d-c74ed680c4f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693E2-CD5B-49A4-B99D-9DD7AC22CECB}">
  <sheetPr>
    <pageSetUpPr autoPageBreaks="0" fitToPage="1"/>
  </sheetPr>
  <dimension ref="A1:AG54"/>
  <sheetViews>
    <sheetView showGridLines="0" zoomScale="85" zoomScaleNormal="85" workbookViewId="0">
      <pane xSplit="9" ySplit="3" topLeftCell="R28" activePane="bottomRight" state="frozen"/>
      <selection pane="topRight" activeCell="J1" sqref="J1"/>
      <selection pane="bottomLeft" activeCell="A4" sqref="A4"/>
      <selection pane="bottomRight" activeCell="X28" sqref="X28"/>
    </sheetView>
  </sheetViews>
  <sheetFormatPr defaultColWidth="10.69921875" defaultRowHeight="13.8" x14ac:dyDescent="0.25"/>
  <cols>
    <col min="1" max="4" width="1.69921875" customWidth="1"/>
    <col min="5" max="5" width="30.69921875" customWidth="1"/>
    <col min="6" max="8" width="10.69921875" customWidth="1"/>
    <col min="9" max="9" width="1.69921875" customWidth="1"/>
    <col min="10" max="10" width="11.8984375" bestFit="1" customWidth="1"/>
    <col min="11" max="11" width="11.69921875" bestFit="1" customWidth="1"/>
    <col min="12" max="12" width="12.5" bestFit="1" customWidth="1"/>
    <col min="13" max="14" width="11.8984375" bestFit="1" customWidth="1"/>
    <col min="15" max="15" width="11.69921875" bestFit="1" customWidth="1"/>
    <col min="16" max="16" width="12.5" bestFit="1" customWidth="1"/>
    <col min="17" max="18" width="11.8984375" bestFit="1" customWidth="1"/>
    <col min="19" max="19" width="11.69921875" bestFit="1" customWidth="1"/>
    <col min="20" max="20" width="12.5" bestFit="1" customWidth="1"/>
    <col min="21" max="22" width="11.8984375" bestFit="1" customWidth="1"/>
    <col min="23" max="23" width="11.69921875" bestFit="1" customWidth="1"/>
    <col min="24" max="24" width="12.5" bestFit="1" customWidth="1"/>
    <col min="25" max="26" width="11.8984375" bestFit="1" customWidth="1"/>
    <col min="27" max="27" width="11.69921875" bestFit="1" customWidth="1"/>
    <col min="28" max="28" width="12.5" bestFit="1" customWidth="1"/>
    <col min="29" max="30" width="11.8984375" bestFit="1" customWidth="1"/>
    <col min="31" max="31" width="11.69921875" bestFit="1" customWidth="1"/>
    <col min="32" max="32" width="12.5" bestFit="1" customWidth="1"/>
    <col min="33" max="33" width="11.8984375" bestFit="1" customWidth="1"/>
  </cols>
  <sheetData>
    <row r="1" spans="1:33" s="10" customFormat="1" x14ac:dyDescent="0.25">
      <c r="A1" s="10" t="str">
        <f>company</f>
        <v>Thermin Corp</v>
      </c>
    </row>
    <row r="2" spans="1:33" s="10" customFormat="1" x14ac:dyDescent="0.25">
      <c r="A2" s="10" t="str" cm="1">
        <f t="array" ref="A2">topic</f>
        <v>CFM Topic: Working capital</v>
      </c>
      <c r="J2" s="14" cm="1">
        <f t="array" ref="J2:AG2">_xlfn.ANCHORARRAY( Calculations!J$7)</f>
        <v>43831</v>
      </c>
      <c r="K2" s="14">
        <v>43922</v>
      </c>
      <c r="L2" s="14">
        <v>44013</v>
      </c>
      <c r="M2" s="14">
        <v>44105</v>
      </c>
      <c r="N2" s="14">
        <v>44197</v>
      </c>
      <c r="O2" s="14">
        <v>44287</v>
      </c>
      <c r="P2" s="14">
        <v>44378</v>
      </c>
      <c r="Q2" s="14">
        <v>44470</v>
      </c>
      <c r="R2" s="14">
        <v>44562</v>
      </c>
      <c r="S2" s="14">
        <v>44652</v>
      </c>
      <c r="T2" s="14">
        <v>44743</v>
      </c>
      <c r="U2" s="14">
        <v>44835</v>
      </c>
      <c r="V2" s="14">
        <v>44927</v>
      </c>
      <c r="W2" s="14">
        <v>45017</v>
      </c>
      <c r="X2" s="14">
        <v>45108</v>
      </c>
      <c r="Y2" s="14">
        <v>45200</v>
      </c>
      <c r="Z2" s="14">
        <v>45292</v>
      </c>
      <c r="AA2" s="14">
        <v>45383</v>
      </c>
      <c r="AB2" s="14">
        <v>45474</v>
      </c>
      <c r="AC2" s="14">
        <v>45566</v>
      </c>
      <c r="AD2" s="14">
        <v>45658</v>
      </c>
      <c r="AE2" s="14">
        <v>45748</v>
      </c>
      <c r="AF2" s="14">
        <v>45839</v>
      </c>
      <c r="AG2" s="14">
        <v>45931</v>
      </c>
    </row>
    <row r="3" spans="1:33" s="10" customFormat="1" x14ac:dyDescent="0.25">
      <c r="A3" s="10" t="s">
        <v>114</v>
      </c>
      <c r="F3" s="10" t="s">
        <v>55</v>
      </c>
      <c r="G3" s="10" t="s">
        <v>56</v>
      </c>
      <c r="H3" s="10" t="s">
        <v>39</v>
      </c>
      <c r="J3" s="14" cm="1">
        <f t="array" ref="J3:AG3">_xlfn.ANCHORARRAY( Calculations!J$8)</f>
        <v>43921</v>
      </c>
      <c r="K3" s="14">
        <v>44012</v>
      </c>
      <c r="L3" s="14">
        <v>44104</v>
      </c>
      <c r="M3" s="14">
        <v>44196</v>
      </c>
      <c r="N3" s="14">
        <v>44286</v>
      </c>
      <c r="O3" s="14">
        <v>44377</v>
      </c>
      <c r="P3" s="14">
        <v>44469</v>
      </c>
      <c r="Q3" s="14">
        <v>44561</v>
      </c>
      <c r="R3" s="14">
        <v>44651</v>
      </c>
      <c r="S3" s="14">
        <v>44742</v>
      </c>
      <c r="T3" s="14">
        <v>44834</v>
      </c>
      <c r="U3" s="14">
        <v>44926</v>
      </c>
      <c r="V3" s="14">
        <v>45016</v>
      </c>
      <c r="W3" s="14">
        <v>45107</v>
      </c>
      <c r="X3" s="14">
        <v>45199</v>
      </c>
      <c r="Y3" s="14">
        <v>45291</v>
      </c>
      <c r="Z3" s="14">
        <v>45382</v>
      </c>
      <c r="AA3" s="14">
        <v>45473</v>
      </c>
      <c r="AB3" s="14">
        <v>45565</v>
      </c>
      <c r="AC3" s="14">
        <v>45657</v>
      </c>
      <c r="AD3" s="14">
        <v>45747</v>
      </c>
      <c r="AE3" s="14">
        <v>45838</v>
      </c>
      <c r="AF3" s="14">
        <v>45930</v>
      </c>
      <c r="AG3" s="14">
        <v>46022</v>
      </c>
    </row>
    <row r="5" spans="1:33" s="16" customFormat="1" x14ac:dyDescent="0.25">
      <c r="B5" s="11" t="s">
        <v>112</v>
      </c>
    </row>
    <row r="7" spans="1:33" x14ac:dyDescent="0.25">
      <c r="C7" s="20" t="s">
        <v>120</v>
      </c>
    </row>
    <row r="9" spans="1:33" x14ac:dyDescent="0.25">
      <c r="E9" s="20" t="s">
        <v>41</v>
      </c>
      <c r="F9" s="20"/>
      <c r="G9" s="20" t="s">
        <v>70</v>
      </c>
      <c r="H9" s="20" cm="1">
        <f t="array" ref="H9">_xlfn.BYROW(_xlfn.ANCHORARRAY( J9), _xleta.SUM )</f>
        <v>5392141.2923750002</v>
      </c>
      <c r="I9" s="20"/>
      <c r="J9" s="20" cm="1">
        <f t="array" ref="J9:AG9">_xlfn.ANCHORARRAY( Calculations!J$43)</f>
        <v>110644.5</v>
      </c>
      <c r="K9" s="20">
        <v>184407.5</v>
      </c>
      <c r="L9" s="20">
        <v>147526</v>
      </c>
      <c r="M9" s="20">
        <v>295052</v>
      </c>
      <c r="N9" s="20">
        <v>119334.59999999999</v>
      </c>
      <c r="O9" s="20">
        <v>198891</v>
      </c>
      <c r="P9" s="20">
        <v>159112.79999999999</v>
      </c>
      <c r="Q9" s="20">
        <v>318225.59999999998</v>
      </c>
      <c r="R9" s="20">
        <v>128722.93875</v>
      </c>
      <c r="S9" s="20">
        <v>214538.23125000001</v>
      </c>
      <c r="T9" s="20">
        <v>171630.58499999999</v>
      </c>
      <c r="U9" s="20">
        <v>343261.17</v>
      </c>
      <c r="V9" s="20">
        <v>138819.49593750003</v>
      </c>
      <c r="W9" s="20">
        <v>231365.82656250006</v>
      </c>
      <c r="X9" s="20">
        <v>185092.66125000003</v>
      </c>
      <c r="Y9" s="20">
        <v>370185.32250000007</v>
      </c>
      <c r="Z9" s="20">
        <v>149760.701803125</v>
      </c>
      <c r="AA9" s="20">
        <v>249601.16967187499</v>
      </c>
      <c r="AB9" s="20">
        <v>199680.9357375</v>
      </c>
      <c r="AC9" s="20">
        <v>399361.87147499999</v>
      </c>
      <c r="AD9" s="20">
        <v>161538.95736562501</v>
      </c>
      <c r="AE9" s="20">
        <v>269231.59560937504</v>
      </c>
      <c r="AF9" s="20">
        <v>215385.2764875</v>
      </c>
      <c r="AG9" s="20">
        <v>430770.552975</v>
      </c>
    </row>
    <row r="10" spans="1:33" x14ac:dyDescent="0.25">
      <c r="E10" t="s">
        <v>113</v>
      </c>
      <c r="G10" t="s">
        <v>70</v>
      </c>
      <c r="H10" cm="1">
        <f t="array" ref="H10">_xlfn.BYROW(_xlfn.ANCHORARRAY( J10), _xleta.SUM )</f>
        <v>4322194.7166727344</v>
      </c>
      <c r="J10" cm="1">
        <f t="array" ref="J10:AG10">_xlfn.ANCHORARRAY( Calculations!J$110)</f>
        <v>88514.999999999985</v>
      </c>
      <c r="K10">
        <v>147524.99999999997</v>
      </c>
      <c r="L10">
        <v>118019.99999999999</v>
      </c>
      <c r="M10">
        <v>236039.99999999997</v>
      </c>
      <c r="N10">
        <v>92940.749999999985</v>
      </c>
      <c r="O10">
        <v>158966.82360000003</v>
      </c>
      <c r="P10">
        <v>127801.77480000003</v>
      </c>
      <c r="Q10">
        <v>255603.54960000006</v>
      </c>
      <c r="R10">
        <v>100643.89765500002</v>
      </c>
      <c r="S10">
        <v>169481.03922260003</v>
      </c>
      <c r="T10">
        <v>138410.94881879998</v>
      </c>
      <c r="U10">
        <v>276821.89763759996</v>
      </c>
      <c r="V10">
        <v>108998.62219480501</v>
      </c>
      <c r="W10">
        <v>181969.36894050779</v>
      </c>
      <c r="X10">
        <v>149872.64124563639</v>
      </c>
      <c r="Y10">
        <v>299745.28249127278</v>
      </c>
      <c r="Z10">
        <v>118024.70498093864</v>
      </c>
      <c r="AA10">
        <v>196707.84163489775</v>
      </c>
      <c r="AB10">
        <v>162267.66897396088</v>
      </c>
      <c r="AC10">
        <v>324685.69896833837</v>
      </c>
      <c r="AD10">
        <v>127844.99396878327</v>
      </c>
      <c r="AE10">
        <v>213834.55566086384</v>
      </c>
      <c r="AF10">
        <v>175824.21875957632</v>
      </c>
      <c r="AG10">
        <v>351648.43751915265</v>
      </c>
    </row>
    <row r="11" spans="1:33" x14ac:dyDescent="0.25">
      <c r="E11" s="22" t="s">
        <v>115</v>
      </c>
      <c r="F11" s="22"/>
      <c r="G11" s="22" t="s">
        <v>70</v>
      </c>
      <c r="H11" s="22" cm="1">
        <f t="array" ref="H11">_xlfn.BYROW(_xlfn.ANCHORARRAY( J11), _xleta.SUM )</f>
        <v>1069946.5757022668</v>
      </c>
      <c r="I11" s="22"/>
      <c r="J11" s="22" cm="1">
        <f t="array" ref="J11:AG11">_xlfn.ANCHORARRAY( J9) -_xlfn.ANCHORARRAY( J10)</f>
        <v>22129.500000000015</v>
      </c>
      <c r="K11" s="22">
        <v>36882.500000000029</v>
      </c>
      <c r="L11" s="22">
        <v>29506.000000000015</v>
      </c>
      <c r="M11" s="22">
        <v>59012.000000000029</v>
      </c>
      <c r="N11" s="22">
        <v>26393.850000000006</v>
      </c>
      <c r="O11" s="22">
        <v>39924.176399999968</v>
      </c>
      <c r="P11" s="22">
        <v>31311.02519999996</v>
      </c>
      <c r="Q11" s="22">
        <v>62622.05039999992</v>
      </c>
      <c r="R11" s="22">
        <v>28079.041094999979</v>
      </c>
      <c r="S11" s="22">
        <v>45057.192027399986</v>
      </c>
      <c r="T11" s="22">
        <v>33219.63618120001</v>
      </c>
      <c r="U11" s="22">
        <v>66439.272362400021</v>
      </c>
      <c r="V11" s="22">
        <v>29820.873742695025</v>
      </c>
      <c r="W11" s="22">
        <v>49396.457621992275</v>
      </c>
      <c r="X11" s="22">
        <v>35220.020004363643</v>
      </c>
      <c r="Y11" s="22">
        <v>70440.040008727286</v>
      </c>
      <c r="Z11" s="22">
        <v>31735.996822186367</v>
      </c>
      <c r="AA11" s="22">
        <v>52893.32803697724</v>
      </c>
      <c r="AB11" s="22">
        <v>37413.266763539112</v>
      </c>
      <c r="AC11" s="22">
        <v>74676.17250666162</v>
      </c>
      <c r="AD11" s="22">
        <v>33693.963396841747</v>
      </c>
      <c r="AE11" s="22">
        <v>55397.039948511199</v>
      </c>
      <c r="AF11" s="22">
        <v>39561.057727923675</v>
      </c>
      <c r="AG11" s="22">
        <v>79122.11545584735</v>
      </c>
    </row>
    <row r="13" spans="1:33" x14ac:dyDescent="0.25">
      <c r="E13" t="s">
        <v>116</v>
      </c>
      <c r="G13" t="s">
        <v>70</v>
      </c>
      <c r="H13" cm="1">
        <f t="array" ref="H13">_xlfn.BYROW(_xlfn.ANCHORARRAY( J13), _xleta.SUM )</f>
        <v>600000</v>
      </c>
      <c r="J13" cm="1">
        <f t="array" ref="J13:AG13" xml:space="preserve"> _xlfn.SEQUENCE( 1, quarters * years, Case2Data!$E$25 / 1000, 0 )</f>
        <v>25000</v>
      </c>
      <c r="K13">
        <v>25000</v>
      </c>
      <c r="L13">
        <v>25000</v>
      </c>
      <c r="M13">
        <v>25000</v>
      </c>
      <c r="N13">
        <v>25000</v>
      </c>
      <c r="O13">
        <v>25000</v>
      </c>
      <c r="P13">
        <v>25000</v>
      </c>
      <c r="Q13">
        <v>25000</v>
      </c>
      <c r="R13">
        <v>25000</v>
      </c>
      <c r="S13">
        <v>25000</v>
      </c>
      <c r="T13">
        <v>25000</v>
      </c>
      <c r="U13">
        <v>25000</v>
      </c>
      <c r="V13">
        <v>25000</v>
      </c>
      <c r="W13">
        <v>25000</v>
      </c>
      <c r="X13">
        <v>25000</v>
      </c>
      <c r="Y13">
        <v>25000</v>
      </c>
      <c r="Z13">
        <v>25000</v>
      </c>
      <c r="AA13">
        <v>25000</v>
      </c>
      <c r="AB13">
        <v>25000</v>
      </c>
      <c r="AC13">
        <v>25000</v>
      </c>
      <c r="AD13">
        <v>25000</v>
      </c>
      <c r="AE13">
        <v>25000</v>
      </c>
      <c r="AF13">
        <v>25000</v>
      </c>
      <c r="AG13">
        <v>25000</v>
      </c>
    </row>
    <row r="14" spans="1:33" x14ac:dyDescent="0.25">
      <c r="E14" s="27" t="s">
        <v>117</v>
      </c>
      <c r="F14" s="27"/>
      <c r="G14" s="27" t="s">
        <v>70</v>
      </c>
      <c r="H14" s="27" cm="1">
        <f t="array" ref="H14">_xlfn.BYROW(_xlfn.ANCHORARRAY( J14), _xleta.SUM )</f>
        <v>469946.57570226636</v>
      </c>
      <c r="I14" s="27"/>
      <c r="J14" s="27" cm="1">
        <f t="array" ref="J14:AG14">_xlfn.ANCHORARRAY( J11) -_xlfn.ANCHORARRAY( J13)</f>
        <v>-2870.4999999999854</v>
      </c>
      <c r="K14" s="27">
        <v>11882.500000000029</v>
      </c>
      <c r="L14" s="27">
        <v>4506.0000000000146</v>
      </c>
      <c r="M14" s="27">
        <v>34012.000000000029</v>
      </c>
      <c r="N14" s="27">
        <v>1393.8500000000058</v>
      </c>
      <c r="O14" s="27">
        <v>14924.176399999968</v>
      </c>
      <c r="P14" s="27">
        <v>6311.02519999996</v>
      </c>
      <c r="Q14" s="27">
        <v>37622.05039999992</v>
      </c>
      <c r="R14" s="27">
        <v>3079.0410949999787</v>
      </c>
      <c r="S14" s="27">
        <v>20057.192027399986</v>
      </c>
      <c r="T14" s="27">
        <v>8219.6361812000105</v>
      </c>
      <c r="U14" s="27">
        <v>41439.272362400021</v>
      </c>
      <c r="V14" s="27">
        <v>4820.8737426950247</v>
      </c>
      <c r="W14" s="27">
        <v>24396.457621992275</v>
      </c>
      <c r="X14" s="27">
        <v>10220.020004363643</v>
      </c>
      <c r="Y14" s="27">
        <v>45440.040008727286</v>
      </c>
      <c r="Z14" s="27">
        <v>6735.9968221863674</v>
      </c>
      <c r="AA14" s="27">
        <v>27893.32803697724</v>
      </c>
      <c r="AB14" s="27">
        <v>12413.266763539112</v>
      </c>
      <c r="AC14" s="27">
        <v>49676.17250666162</v>
      </c>
      <c r="AD14" s="27">
        <v>8693.9633968417475</v>
      </c>
      <c r="AE14" s="27">
        <v>30397.039948511199</v>
      </c>
      <c r="AF14" s="27">
        <v>14561.057727923675</v>
      </c>
      <c r="AG14" s="27">
        <v>54122.11545584735</v>
      </c>
    </row>
    <row r="16" spans="1:33" x14ac:dyDescent="0.25">
      <c r="E16" t="s">
        <v>118</v>
      </c>
      <c r="G16" t="s">
        <v>70</v>
      </c>
      <c r="H16" cm="1">
        <f t="array" ref="H16">_xlfn.BYROW(_xlfn.ANCHORARRAY( J16), _xleta.SUM )</f>
        <v>165485.97649579326</v>
      </c>
      <c r="J16" cm="1">
        <f t="array" ref="J16:AG16" xml:space="preserve"> IF(_xlfn.ANCHORARRAY( J14) &lt; 0, 0,_xlfn.ANCHORARRAY( J14) * Case2Data!$E$27 )</f>
        <v>0</v>
      </c>
      <c r="K16">
        <v>4158.87500000001</v>
      </c>
      <c r="L16">
        <v>1577.1000000000049</v>
      </c>
      <c r="M16">
        <v>11904.20000000001</v>
      </c>
      <c r="N16">
        <v>487.84750000000201</v>
      </c>
      <c r="O16">
        <v>5223.4617399999879</v>
      </c>
      <c r="P16">
        <v>2208.8588199999858</v>
      </c>
      <c r="Q16">
        <v>13167.717639999972</v>
      </c>
      <c r="R16">
        <v>1077.6643832499924</v>
      </c>
      <c r="S16">
        <v>7020.0172095899943</v>
      </c>
      <c r="T16">
        <v>2876.8726634200034</v>
      </c>
      <c r="U16">
        <v>14503.745326840006</v>
      </c>
      <c r="V16">
        <v>1687.3058099432585</v>
      </c>
      <c r="W16">
        <v>8538.7601676972954</v>
      </c>
      <c r="X16">
        <v>3577.007001527275</v>
      </c>
      <c r="Y16">
        <v>15904.01400305455</v>
      </c>
      <c r="Z16">
        <v>2357.5988877652285</v>
      </c>
      <c r="AA16">
        <v>9762.6648129420337</v>
      </c>
      <c r="AB16">
        <v>4344.6433672386884</v>
      </c>
      <c r="AC16">
        <v>17386.660377331566</v>
      </c>
      <c r="AD16">
        <v>3042.8871888946114</v>
      </c>
      <c r="AE16">
        <v>10638.963981978919</v>
      </c>
      <c r="AF16">
        <v>5096.3702047732859</v>
      </c>
      <c r="AG16">
        <v>18942.740409546572</v>
      </c>
    </row>
    <row r="18" spans="3:33" x14ac:dyDescent="0.25">
      <c r="E18" s="27" t="s">
        <v>119</v>
      </c>
      <c r="F18" s="27"/>
      <c r="G18" s="27" t="s">
        <v>92</v>
      </c>
      <c r="H18" s="27" cm="1">
        <f t="array" ref="H18">_xlfn.BYROW(_xlfn.ANCHORARRAY( J18), _xleta.SUM )</f>
        <v>304460.59920647321</v>
      </c>
      <c r="I18" s="27"/>
      <c r="J18" s="27" cm="1">
        <f t="array" ref="J18:AG18">_xlfn.ANCHORARRAY( J14) -_xlfn.ANCHORARRAY( J16)</f>
        <v>-2870.4999999999854</v>
      </c>
      <c r="K18" s="27">
        <v>7723.6250000000191</v>
      </c>
      <c r="L18" s="27">
        <v>2928.9000000000096</v>
      </c>
      <c r="M18" s="27">
        <v>22107.800000000017</v>
      </c>
      <c r="N18" s="27">
        <v>906.00250000000381</v>
      </c>
      <c r="O18" s="27">
        <v>9700.7146599999796</v>
      </c>
      <c r="P18" s="27">
        <v>4102.1663799999742</v>
      </c>
      <c r="Q18" s="27">
        <v>24454.332759999947</v>
      </c>
      <c r="R18" s="27">
        <v>2001.3767117499863</v>
      </c>
      <c r="S18" s="27">
        <v>13037.174817809992</v>
      </c>
      <c r="T18" s="27">
        <v>5342.7635177800075</v>
      </c>
      <c r="U18" s="27">
        <v>26935.527035560015</v>
      </c>
      <c r="V18" s="27">
        <v>3133.5679327517664</v>
      </c>
      <c r="W18" s="27">
        <v>15857.697454294979</v>
      </c>
      <c r="X18" s="27">
        <v>6643.0130028363683</v>
      </c>
      <c r="Y18" s="27">
        <v>29536.026005672735</v>
      </c>
      <c r="Z18" s="27">
        <v>4378.3979344211384</v>
      </c>
      <c r="AA18" s="27">
        <v>18130.663224035205</v>
      </c>
      <c r="AB18" s="27">
        <v>8068.6233963004233</v>
      </c>
      <c r="AC18" s="27">
        <v>32289.512129330054</v>
      </c>
      <c r="AD18" s="27">
        <v>5651.076207947136</v>
      </c>
      <c r="AE18" s="27">
        <v>19758.07596653228</v>
      </c>
      <c r="AF18" s="27">
        <v>9464.6875231503891</v>
      </c>
      <c r="AG18" s="27">
        <v>35179.375046300775</v>
      </c>
    </row>
    <row r="21" spans="3:33" x14ac:dyDescent="0.25">
      <c r="C21" s="20" t="s">
        <v>121</v>
      </c>
    </row>
    <row r="23" spans="3:33" x14ac:dyDescent="0.25">
      <c r="E23" s="20" t="s">
        <v>41</v>
      </c>
      <c r="F23" s="20"/>
      <c r="G23" s="20" t="s">
        <v>70</v>
      </c>
      <c r="H23" s="20" cm="1">
        <f t="array" ref="H23">_xlfn.BYROW(_xlfn.ANCHORARRAY( J23), _xleta.SUM )</f>
        <v>5392141.2923750002</v>
      </c>
      <c r="I23" s="20"/>
      <c r="J23" s="20" cm="1">
        <f t="array" ref="J23:AG23">_xlfn.ANCHORARRAY( Calculations!J$43)</f>
        <v>110644.5</v>
      </c>
      <c r="K23" s="20">
        <v>184407.5</v>
      </c>
      <c r="L23" s="20">
        <v>147526</v>
      </c>
      <c r="M23" s="20">
        <v>295052</v>
      </c>
      <c r="N23" s="20">
        <v>119334.59999999999</v>
      </c>
      <c r="O23" s="20">
        <v>198891</v>
      </c>
      <c r="P23" s="20">
        <v>159112.79999999999</v>
      </c>
      <c r="Q23" s="20">
        <v>318225.59999999998</v>
      </c>
      <c r="R23" s="20">
        <v>128722.93875</v>
      </c>
      <c r="S23" s="20">
        <v>214538.23125000001</v>
      </c>
      <c r="T23" s="20">
        <v>171630.58499999999</v>
      </c>
      <c r="U23" s="20">
        <v>343261.17</v>
      </c>
      <c r="V23" s="20">
        <v>138819.49593750003</v>
      </c>
      <c r="W23" s="20">
        <v>231365.82656250006</v>
      </c>
      <c r="X23" s="20">
        <v>185092.66125000003</v>
      </c>
      <c r="Y23" s="20">
        <v>370185.32250000007</v>
      </c>
      <c r="Z23" s="20">
        <v>149760.701803125</v>
      </c>
      <c r="AA23" s="20">
        <v>249601.16967187499</v>
      </c>
      <c r="AB23" s="20">
        <v>199680.9357375</v>
      </c>
      <c r="AC23" s="20">
        <v>399361.87147499999</v>
      </c>
      <c r="AD23" s="20">
        <v>161538.95736562501</v>
      </c>
      <c r="AE23" s="20">
        <v>269231.59560937504</v>
      </c>
      <c r="AF23" s="20">
        <v>215385.2764875</v>
      </c>
      <c r="AG23" s="20">
        <v>430770.552975</v>
      </c>
    </row>
    <row r="24" spans="3:33" x14ac:dyDescent="0.25">
      <c r="E24" t="s">
        <v>122</v>
      </c>
      <c r="G24" t="s">
        <v>70</v>
      </c>
      <c r="H24" cm="1">
        <f t="array" ref="H24">_xlfn.BYROW(_xlfn.ANCHORARRAY( J24), _xleta.SUM )</f>
        <v>4356910.9107177192</v>
      </c>
      <c r="J24" cm="1">
        <f t="array" ref="J24:AG24">_xlfn.ANCHORARRAY( Calculations!J$185)</f>
        <v>88514.999999999985</v>
      </c>
      <c r="K24">
        <v>147524.99999999997</v>
      </c>
      <c r="L24">
        <v>118019.99999999999</v>
      </c>
      <c r="M24">
        <v>236039.99999999997</v>
      </c>
      <c r="N24">
        <v>95851.331100000025</v>
      </c>
      <c r="O24">
        <v>159752.21850000002</v>
      </c>
      <c r="P24">
        <v>127801.77480000003</v>
      </c>
      <c r="Q24">
        <v>255603.54960000003</v>
      </c>
      <c r="R24">
        <v>103808.2116141</v>
      </c>
      <c r="S24">
        <v>173013.68602349999</v>
      </c>
      <c r="T24">
        <v>138410.94881879998</v>
      </c>
      <c r="U24">
        <v>276821.89763759996</v>
      </c>
      <c r="V24">
        <v>112404.48093422731</v>
      </c>
      <c r="W24">
        <v>187340.80155704552</v>
      </c>
      <c r="X24">
        <v>149872.64124563639</v>
      </c>
      <c r="Y24">
        <v>299745.28249127278</v>
      </c>
      <c r="Z24">
        <v>121757.1371131269</v>
      </c>
      <c r="AA24">
        <v>202928.5618552115</v>
      </c>
      <c r="AB24">
        <v>162342.84948416919</v>
      </c>
      <c r="AC24">
        <v>324368.26730423549</v>
      </c>
      <c r="AD24">
        <v>131868.16406968224</v>
      </c>
      <c r="AE24">
        <v>219780.27344947041</v>
      </c>
      <c r="AF24">
        <v>175824.21875957632</v>
      </c>
      <c r="AG24">
        <v>347514.61436006497</v>
      </c>
    </row>
    <row r="25" spans="3:33" x14ac:dyDescent="0.25">
      <c r="E25" s="22" t="s">
        <v>115</v>
      </c>
      <c r="F25" s="22"/>
      <c r="G25" s="22" t="s">
        <v>70</v>
      </c>
      <c r="H25" s="22" cm="1">
        <f t="array" ref="H25">_xlfn.BYROW(_xlfn.ANCHORARRAY( J25), _xleta.SUM )</f>
        <v>1035230.3816572811</v>
      </c>
      <c r="I25" s="22"/>
      <c r="J25" s="22" cm="1">
        <f t="array" ref="J25:AG25">_xlfn.ANCHORARRAY( J23) -_xlfn.ANCHORARRAY( J24)</f>
        <v>22129.500000000015</v>
      </c>
      <c r="K25" s="22">
        <v>36882.500000000029</v>
      </c>
      <c r="L25" s="22">
        <v>29506.000000000015</v>
      </c>
      <c r="M25" s="22">
        <v>59012.000000000029</v>
      </c>
      <c r="N25" s="22">
        <v>23483.268899999966</v>
      </c>
      <c r="O25" s="22">
        <v>39138.781499999983</v>
      </c>
      <c r="P25" s="22">
        <v>31311.02519999996</v>
      </c>
      <c r="Q25" s="22">
        <v>62622.050399999949</v>
      </c>
      <c r="R25" s="22">
        <v>24914.727135900001</v>
      </c>
      <c r="S25" s="22">
        <v>41524.54522650002</v>
      </c>
      <c r="T25" s="22">
        <v>33219.63618120001</v>
      </c>
      <c r="U25" s="22">
        <v>66439.272362400021</v>
      </c>
      <c r="V25" s="22">
        <v>26415.015003272725</v>
      </c>
      <c r="W25" s="22">
        <v>44025.025005454547</v>
      </c>
      <c r="X25" s="22">
        <v>35220.020004363643</v>
      </c>
      <c r="Y25" s="22">
        <v>70440.040008727286</v>
      </c>
      <c r="Z25" s="22">
        <v>28003.564689998107</v>
      </c>
      <c r="AA25" s="22">
        <v>46672.607816663483</v>
      </c>
      <c r="AB25" s="22">
        <v>37338.08625333081</v>
      </c>
      <c r="AC25" s="22">
        <v>74993.604170764505</v>
      </c>
      <c r="AD25" s="22">
        <v>29670.793295942771</v>
      </c>
      <c r="AE25" s="22">
        <v>49451.322159904637</v>
      </c>
      <c r="AF25" s="22">
        <v>39561.057727923675</v>
      </c>
      <c r="AG25" s="22">
        <v>83255.938614935032</v>
      </c>
    </row>
    <row r="27" spans="3:33" x14ac:dyDescent="0.25">
      <c r="E27" t="s">
        <v>116</v>
      </c>
      <c r="G27" t="s">
        <v>70</v>
      </c>
      <c r="H27" cm="1">
        <f t="array" ref="H27">_xlfn.BYROW(_xlfn.ANCHORARRAY( J27), _xleta.SUM )</f>
        <v>600000</v>
      </c>
      <c r="J27" cm="1">
        <f t="array" ref="J27:AG27" xml:space="preserve"> _xlfn.SEQUENCE( 1, quarters * years, Case2Data!$E$25 / 1000, 0 )</f>
        <v>25000</v>
      </c>
      <c r="K27">
        <v>25000</v>
      </c>
      <c r="L27">
        <v>25000</v>
      </c>
      <c r="M27">
        <v>25000</v>
      </c>
      <c r="N27">
        <v>25000</v>
      </c>
      <c r="O27">
        <v>25000</v>
      </c>
      <c r="P27">
        <v>25000</v>
      </c>
      <c r="Q27">
        <v>25000</v>
      </c>
      <c r="R27">
        <v>25000</v>
      </c>
      <c r="S27">
        <v>25000</v>
      </c>
      <c r="T27">
        <v>25000</v>
      </c>
      <c r="U27">
        <v>25000</v>
      </c>
      <c r="V27">
        <v>25000</v>
      </c>
      <c r="W27">
        <v>25000</v>
      </c>
      <c r="X27">
        <v>25000</v>
      </c>
      <c r="Y27">
        <v>25000</v>
      </c>
      <c r="Z27">
        <v>25000</v>
      </c>
      <c r="AA27">
        <v>25000</v>
      </c>
      <c r="AB27">
        <v>25000</v>
      </c>
      <c r="AC27">
        <v>25000</v>
      </c>
      <c r="AD27">
        <v>25000</v>
      </c>
      <c r="AE27">
        <v>25000</v>
      </c>
      <c r="AF27">
        <v>25000</v>
      </c>
      <c r="AG27">
        <v>25000</v>
      </c>
    </row>
    <row r="28" spans="3:33" x14ac:dyDescent="0.25">
      <c r="E28" s="27" t="s">
        <v>117</v>
      </c>
      <c r="F28" s="27"/>
      <c r="G28" s="27" t="s">
        <v>70</v>
      </c>
      <c r="H28" s="27" cm="1">
        <f t="array" ref="H28">_xlfn.BYROW(_xlfn.ANCHORARRAY( J28), _xleta.SUM )</f>
        <v>435230.38165728125</v>
      </c>
      <c r="I28" s="27"/>
      <c r="J28" s="27" cm="1">
        <f t="array" ref="J28:AG28">_xlfn.ANCHORARRAY( J25) -_xlfn.ANCHORARRAY( J27)</f>
        <v>-2870.4999999999854</v>
      </c>
      <c r="K28" s="27">
        <v>11882.500000000029</v>
      </c>
      <c r="L28" s="27">
        <v>4506.0000000000146</v>
      </c>
      <c r="M28" s="27">
        <v>34012.000000000029</v>
      </c>
      <c r="N28" s="27">
        <v>-1516.7311000000336</v>
      </c>
      <c r="O28" s="27">
        <v>14138.781499999983</v>
      </c>
      <c r="P28" s="27">
        <v>6311.02519999996</v>
      </c>
      <c r="Q28" s="27">
        <v>37622.050399999949</v>
      </c>
      <c r="R28" s="27">
        <v>-85.272864099999424</v>
      </c>
      <c r="S28" s="27">
        <v>16524.54522650002</v>
      </c>
      <c r="T28" s="27">
        <v>8219.6361812000105</v>
      </c>
      <c r="U28" s="27">
        <v>41439.272362400021</v>
      </c>
      <c r="V28" s="27">
        <v>1415.0150032727252</v>
      </c>
      <c r="W28" s="27">
        <v>19025.025005454547</v>
      </c>
      <c r="X28" s="27">
        <v>10220.020004363643</v>
      </c>
      <c r="Y28" s="27">
        <v>45440.040008727286</v>
      </c>
      <c r="Z28" s="27">
        <v>3003.5646899981075</v>
      </c>
      <c r="AA28" s="27">
        <v>21672.607816663483</v>
      </c>
      <c r="AB28" s="27">
        <v>12338.08625333081</v>
      </c>
      <c r="AC28" s="27">
        <v>49993.604170764505</v>
      </c>
      <c r="AD28" s="27">
        <v>4670.7932959427708</v>
      </c>
      <c r="AE28" s="27">
        <v>24451.322159904637</v>
      </c>
      <c r="AF28" s="27">
        <v>14561.057727923675</v>
      </c>
      <c r="AG28" s="27">
        <v>58255.938614935032</v>
      </c>
    </row>
    <row r="30" spans="3:33" x14ac:dyDescent="0.25">
      <c r="E30" t="s">
        <v>118</v>
      </c>
      <c r="G30" t="s">
        <v>70</v>
      </c>
      <c r="H30" cm="1">
        <f t="array" ref="H30">_xlfn.BYROW(_xlfn.ANCHORARRAY( J30), _xleta.SUM )</f>
        <v>153896.00996748341</v>
      </c>
      <c r="J30" cm="1">
        <f t="array" ref="J30:AG30" xml:space="preserve"> IF(_xlfn.ANCHORARRAY( J28) &lt; 0, 0,_xlfn.ANCHORARRAY( J28) * Case2Data!$E$27 )</f>
        <v>0</v>
      </c>
      <c r="K30">
        <v>4158.87500000001</v>
      </c>
      <c r="L30">
        <v>1577.1000000000049</v>
      </c>
      <c r="M30">
        <v>11904.20000000001</v>
      </c>
      <c r="N30">
        <v>0</v>
      </c>
      <c r="O30">
        <v>4948.5735249999934</v>
      </c>
      <c r="P30">
        <v>2208.8588199999858</v>
      </c>
      <c r="Q30">
        <v>13167.717639999981</v>
      </c>
      <c r="R30">
        <v>0</v>
      </c>
      <c r="S30">
        <v>5783.5908292750064</v>
      </c>
      <c r="T30">
        <v>2876.8726634200034</v>
      </c>
      <c r="U30">
        <v>14503.745326840006</v>
      </c>
      <c r="V30">
        <v>495.25525114545377</v>
      </c>
      <c r="W30">
        <v>6658.7587519090912</v>
      </c>
      <c r="X30">
        <v>3577.007001527275</v>
      </c>
      <c r="Y30">
        <v>15904.01400305455</v>
      </c>
      <c r="Z30">
        <v>1051.2476414993375</v>
      </c>
      <c r="AA30">
        <v>7585.4127358322185</v>
      </c>
      <c r="AB30">
        <v>4318.3301886657828</v>
      </c>
      <c r="AC30">
        <v>17497.761459767575</v>
      </c>
      <c r="AD30">
        <v>1634.7776535799696</v>
      </c>
      <c r="AE30">
        <v>8557.9627559666224</v>
      </c>
      <c r="AF30">
        <v>5096.3702047732859</v>
      </c>
      <c r="AG30">
        <v>20389.578515227258</v>
      </c>
    </row>
    <row r="32" spans="3:33" x14ac:dyDescent="0.25">
      <c r="E32" s="27" t="s">
        <v>119</v>
      </c>
      <c r="F32" s="27"/>
      <c r="G32" s="27" t="s">
        <v>92</v>
      </c>
      <c r="H32" s="27" cm="1">
        <f t="array" ref="H32">_xlfn.BYROW(_xlfn.ANCHORARRAY( J32), _xleta.SUM )</f>
        <v>281334.37168979779</v>
      </c>
      <c r="I32" s="27"/>
      <c r="J32" s="27" cm="1">
        <f t="array" ref="J32:AG32">_xlfn.ANCHORARRAY( J28) -_xlfn.ANCHORARRAY( J30)</f>
        <v>-2870.4999999999854</v>
      </c>
      <c r="K32" s="27">
        <v>7723.6250000000191</v>
      </c>
      <c r="L32" s="27">
        <v>2928.9000000000096</v>
      </c>
      <c r="M32" s="27">
        <v>22107.800000000017</v>
      </c>
      <c r="N32" s="27">
        <v>-1516.7311000000336</v>
      </c>
      <c r="O32" s="27">
        <v>9190.2079749999903</v>
      </c>
      <c r="P32" s="27">
        <v>4102.1663799999742</v>
      </c>
      <c r="Q32" s="27">
        <v>24454.332759999968</v>
      </c>
      <c r="R32" s="27">
        <v>-85.272864099999424</v>
      </c>
      <c r="S32" s="27">
        <v>10740.954397225014</v>
      </c>
      <c r="T32" s="27">
        <v>5342.7635177800075</v>
      </c>
      <c r="U32" s="27">
        <v>26935.527035560015</v>
      </c>
      <c r="V32" s="27">
        <v>919.75975212727144</v>
      </c>
      <c r="W32" s="27">
        <v>12366.266253545455</v>
      </c>
      <c r="X32" s="27">
        <v>6643.0130028363683</v>
      </c>
      <c r="Y32" s="27">
        <v>29536.026005672735</v>
      </c>
      <c r="Z32" s="27">
        <v>1952.31704849877</v>
      </c>
      <c r="AA32" s="27">
        <v>14087.195080831265</v>
      </c>
      <c r="AB32" s="27">
        <v>8019.7560646650272</v>
      </c>
      <c r="AC32" s="27">
        <v>32495.842710996931</v>
      </c>
      <c r="AD32" s="27">
        <v>3036.0156423628014</v>
      </c>
      <c r="AE32" s="27">
        <v>15893.359403938015</v>
      </c>
      <c r="AF32" s="27">
        <v>9464.6875231503891</v>
      </c>
      <c r="AG32" s="27">
        <v>37866.360099707774</v>
      </c>
    </row>
    <row r="35" spans="2:33" s="16" customFormat="1" x14ac:dyDescent="0.25">
      <c r="B35" s="11" t="s">
        <v>123</v>
      </c>
    </row>
    <row r="37" spans="2:33" x14ac:dyDescent="0.25">
      <c r="C37" s="20" t="s">
        <v>120</v>
      </c>
    </row>
    <row r="39" spans="2:33" x14ac:dyDescent="0.25">
      <c r="D39" s="30"/>
      <c r="E39" t="str">
        <f>Calculations!E98</f>
        <v>Inventory opening balance</v>
      </c>
      <c r="G39" t="str">
        <f>Calculations!G98</f>
        <v>USD</v>
      </c>
      <c r="J39">
        <f>Calculations!J98</f>
        <v>0</v>
      </c>
      <c r="K39">
        <f>Calculations!K98</f>
        <v>88515.000000000015</v>
      </c>
      <c r="L39">
        <f>Calculations!L98</f>
        <v>118020.00000000003</v>
      </c>
      <c r="M39">
        <f>Calculations!M98</f>
        <v>177030.00000000006</v>
      </c>
      <c r="N39">
        <f>Calculations!N98</f>
        <v>118020.00000000009</v>
      </c>
      <c r="O39">
        <f>Calculations!O98</f>
        <v>207653.21400000009</v>
      </c>
      <c r="P39">
        <f>Calculations!P98</f>
        <v>231260.35440000007</v>
      </c>
      <c r="Q39">
        <f>Calculations!Q98</f>
        <v>286032.54360000003</v>
      </c>
      <c r="R39">
        <f>Calculations!R98</f>
        <v>213002.95799999998</v>
      </c>
      <c r="S39">
        <f>Calculations!S98</f>
        <v>300673.27642499993</v>
      </c>
      <c r="T39">
        <f>Calculations!T98</f>
        <v>319506.45328239992</v>
      </c>
      <c r="U39">
        <f>Calculations!U98</f>
        <v>369409.72054359992</v>
      </c>
      <c r="V39">
        <f>Calculations!V98</f>
        <v>280902.03898599994</v>
      </c>
      <c r="W39">
        <f>Calculations!W98</f>
        <v>366101.85053999489</v>
      </c>
      <c r="X39">
        <f>Calculations!X98</f>
        <v>378330.91534828709</v>
      </c>
      <c r="Y39">
        <f>Calculations!Y98</f>
        <v>422656.70785145066</v>
      </c>
      <c r="Z39">
        <f>Calculations!Z98</f>
        <v>317109.85910897783</v>
      </c>
      <c r="AA39">
        <f>Calculations!AA98</f>
        <v>399424.95018112718</v>
      </c>
      <c r="AB39">
        <f>Calculations!AB98</f>
        <v>403056.90459931741</v>
      </c>
      <c r="AC39">
        <f>Calculations!AC98</f>
        <v>441129.03167844447</v>
      </c>
      <c r="AD39">
        <f>Calculations!AD98</f>
        <v>316783.12876319408</v>
      </c>
      <c r="AE39">
        <f>Calculations!AE98</f>
        <v>395582.44893991458</v>
      </c>
      <c r="AF39">
        <f>Calculations!AF98</f>
        <v>388392.20742455451</v>
      </c>
      <c r="AG39">
        <f>Calculations!AG98</f>
        <v>419212.30281048198</v>
      </c>
    </row>
    <row r="40" spans="2:33" x14ac:dyDescent="0.25">
      <c r="D40" s="43" t="s">
        <v>105</v>
      </c>
      <c r="E40" s="21" t="str">
        <f>Calculations!E99</f>
        <v>Production</v>
      </c>
      <c r="G40" t="str">
        <f>Calculations!G99</f>
        <v>USD</v>
      </c>
      <c r="J40">
        <f>Calculations!J99</f>
        <v>177030</v>
      </c>
      <c r="K40">
        <f>Calculations!K99</f>
        <v>177030</v>
      </c>
      <c r="L40">
        <f>Calculations!L99</f>
        <v>177030</v>
      </c>
      <c r="M40">
        <f>Calculations!M99</f>
        <v>177030</v>
      </c>
      <c r="N40">
        <f>Calculations!N99</f>
        <v>182573.96400000001</v>
      </c>
      <c r="O40">
        <f>Calculations!O99</f>
        <v>182573.96400000001</v>
      </c>
      <c r="P40">
        <f>Calculations!P99</f>
        <v>182573.96400000001</v>
      </c>
      <c r="Q40">
        <f>Calculations!Q99</f>
        <v>182573.96400000001</v>
      </c>
      <c r="R40">
        <f>Calculations!R99</f>
        <v>188314.21607999998</v>
      </c>
      <c r="S40">
        <f>Calculations!S99</f>
        <v>188314.21607999998</v>
      </c>
      <c r="T40">
        <f>Calculations!T99</f>
        <v>188314.21607999998</v>
      </c>
      <c r="U40">
        <f>Calculations!U99</f>
        <v>188314.21607999998</v>
      </c>
      <c r="V40">
        <f>Calculations!V99</f>
        <v>194198.43374879996</v>
      </c>
      <c r="W40">
        <f>Calculations!W99</f>
        <v>194198.43374879996</v>
      </c>
      <c r="X40">
        <f>Calculations!X99</f>
        <v>194198.43374879996</v>
      </c>
      <c r="Y40">
        <f>Calculations!Y99</f>
        <v>194198.43374879996</v>
      </c>
      <c r="Z40">
        <f>Calculations!Z99</f>
        <v>200339.79605308798</v>
      </c>
      <c r="AA40">
        <f>Calculations!AA99</f>
        <v>200339.79605308798</v>
      </c>
      <c r="AB40">
        <f>Calculations!AB99</f>
        <v>200339.79605308798</v>
      </c>
      <c r="AC40">
        <f>Calculations!AC99</f>
        <v>200339.79605308798</v>
      </c>
      <c r="AD40">
        <f>Calculations!AD99</f>
        <v>206644.3141455038</v>
      </c>
      <c r="AE40">
        <f>Calculations!AE99</f>
        <v>206644.3141455038</v>
      </c>
      <c r="AF40">
        <f>Calculations!AF99</f>
        <v>206644.3141455038</v>
      </c>
      <c r="AG40">
        <f>Calculations!AG99</f>
        <v>206644.3141455038</v>
      </c>
    </row>
    <row r="41" spans="2:33" x14ac:dyDescent="0.25">
      <c r="D41" s="43" t="s">
        <v>106</v>
      </c>
      <c r="E41" s="21" t="str">
        <f>Calculations!E100</f>
        <v>Units sold from inventory</v>
      </c>
      <c r="G41" t="str">
        <f>Calculations!G100</f>
        <v>USD</v>
      </c>
      <c r="J41">
        <f>Calculations!J100</f>
        <v>0</v>
      </c>
      <c r="K41">
        <f>Calculations!K100</f>
        <v>-88514.999999999985</v>
      </c>
      <c r="L41">
        <f>Calculations!L100</f>
        <v>-118019.99999999999</v>
      </c>
      <c r="M41">
        <f>Calculations!M100</f>
        <v>-177029.99999999997</v>
      </c>
      <c r="N41">
        <f>Calculations!N100</f>
        <v>-92940.749999999985</v>
      </c>
      <c r="O41">
        <f>Calculations!O100</f>
        <v>-158966.82360000003</v>
      </c>
      <c r="P41">
        <f>Calculations!P100</f>
        <v>-127801.77480000003</v>
      </c>
      <c r="Q41">
        <f>Calculations!Q100</f>
        <v>-255603.54960000006</v>
      </c>
      <c r="R41">
        <f>Calculations!R100</f>
        <v>-100643.89765500002</v>
      </c>
      <c r="S41">
        <f>Calculations!S100</f>
        <v>-169481.03922260003</v>
      </c>
      <c r="T41">
        <f>Calculations!T100</f>
        <v>-138410.94881879998</v>
      </c>
      <c r="U41">
        <f>Calculations!U100</f>
        <v>-276821.89763759996</v>
      </c>
      <c r="V41">
        <f>Calculations!V100</f>
        <v>-108998.62219480501</v>
      </c>
      <c r="W41">
        <f>Calculations!W100</f>
        <v>-181969.36894050779</v>
      </c>
      <c r="X41">
        <f>Calculations!X100</f>
        <v>-149872.64124563639</v>
      </c>
      <c r="Y41">
        <f>Calculations!Y100</f>
        <v>-299745.28249127278</v>
      </c>
      <c r="Z41">
        <f>Calculations!Z100</f>
        <v>-118024.70498093864</v>
      </c>
      <c r="AA41">
        <f>Calculations!AA100</f>
        <v>-196707.84163489775</v>
      </c>
      <c r="AB41">
        <f>Calculations!AB100</f>
        <v>-162267.66897396088</v>
      </c>
      <c r="AC41">
        <f>Calculations!AC100</f>
        <v>-324685.69896833837</v>
      </c>
      <c r="AD41">
        <f>Calculations!AD100</f>
        <v>-127844.99396878327</v>
      </c>
      <c r="AE41">
        <f>Calculations!AE100</f>
        <v>-213834.55566086384</v>
      </c>
      <c r="AF41">
        <f>Calculations!AF100</f>
        <v>-175824.21875957632</v>
      </c>
      <c r="AG41">
        <f>Calculations!AG100</f>
        <v>-351648.43751915265</v>
      </c>
    </row>
    <row r="42" spans="2:33" x14ac:dyDescent="0.25">
      <c r="D42" s="43" t="s">
        <v>106</v>
      </c>
      <c r="E42" s="21" t="str">
        <f>Calculations!E101</f>
        <v>Units sold from current production</v>
      </c>
      <c r="G42" t="str">
        <f>Calculations!G101</f>
        <v>USD</v>
      </c>
      <c r="J42">
        <f>Calculations!J101</f>
        <v>-88514.999999999985</v>
      </c>
      <c r="K42">
        <f>Calculations!K101</f>
        <v>-59009.999999999993</v>
      </c>
      <c r="L42">
        <f>Calculations!L101</f>
        <v>0</v>
      </c>
      <c r="M42">
        <f>Calculations!M101</f>
        <v>-59009.999999999993</v>
      </c>
      <c r="N42">
        <f>Calculations!N101</f>
        <v>0</v>
      </c>
      <c r="O42">
        <f>Calculations!O101</f>
        <v>0</v>
      </c>
      <c r="P42">
        <f>Calculations!P101</f>
        <v>0</v>
      </c>
      <c r="Q42">
        <f>Calculations!Q101</f>
        <v>0</v>
      </c>
      <c r="R42">
        <f>Calculations!R101</f>
        <v>0</v>
      </c>
      <c r="S42">
        <f>Calculations!S101</f>
        <v>0</v>
      </c>
      <c r="T42">
        <f>Calculations!T101</f>
        <v>0</v>
      </c>
      <c r="U42">
        <f>Calculations!U101</f>
        <v>0</v>
      </c>
      <c r="V42">
        <f>Calculations!V101</f>
        <v>0</v>
      </c>
      <c r="W42">
        <f>Calculations!W101</f>
        <v>0</v>
      </c>
      <c r="X42">
        <f>Calculations!X101</f>
        <v>0</v>
      </c>
      <c r="Y42">
        <f>Calculations!Y101</f>
        <v>0</v>
      </c>
      <c r="Z42">
        <f>Calculations!Z101</f>
        <v>0</v>
      </c>
      <c r="AA42">
        <f>Calculations!AA101</f>
        <v>0</v>
      </c>
      <c r="AB42">
        <f>Calculations!AB101</f>
        <v>0</v>
      </c>
      <c r="AC42">
        <f>Calculations!AC101</f>
        <v>0</v>
      </c>
      <c r="AD42">
        <f>Calculations!AD101</f>
        <v>0</v>
      </c>
      <c r="AE42">
        <f>Calculations!AE101</f>
        <v>0</v>
      </c>
      <c r="AF42">
        <f>Calculations!AF101</f>
        <v>0</v>
      </c>
      <c r="AG42">
        <f>Calculations!AG101</f>
        <v>0</v>
      </c>
    </row>
    <row r="43" spans="2:33" x14ac:dyDescent="0.25">
      <c r="D43" s="30"/>
      <c r="E43" s="27" t="str">
        <f>Calculations!E102</f>
        <v>Inventory closing balance</v>
      </c>
      <c r="F43" s="27"/>
      <c r="G43" s="27" t="str">
        <f>Calculations!G102</f>
        <v>USD</v>
      </c>
      <c r="H43" s="27"/>
      <c r="I43" s="27"/>
      <c r="J43" s="27">
        <f>Calculations!J102</f>
        <v>88515.000000000015</v>
      </c>
      <c r="K43" s="27">
        <f>Calculations!K102</f>
        <v>118020.00000000003</v>
      </c>
      <c r="L43" s="27">
        <f>Calculations!L102</f>
        <v>177030.00000000006</v>
      </c>
      <c r="M43" s="27">
        <f>Calculations!M102</f>
        <v>118020.00000000009</v>
      </c>
      <c r="N43" s="27">
        <f>Calculations!N102</f>
        <v>207653.21400000009</v>
      </c>
      <c r="O43" s="27">
        <f>Calculations!O102</f>
        <v>231260.35440000007</v>
      </c>
      <c r="P43" s="27">
        <f>Calculations!P102</f>
        <v>286032.54360000003</v>
      </c>
      <c r="Q43" s="27">
        <f>Calculations!Q102</f>
        <v>213002.95799999998</v>
      </c>
      <c r="R43" s="27">
        <f>Calculations!R102</f>
        <v>300673.27642499993</v>
      </c>
      <c r="S43" s="27">
        <f>Calculations!S102</f>
        <v>319506.45328239992</v>
      </c>
      <c r="T43" s="27">
        <f>Calculations!T102</f>
        <v>369409.72054359992</v>
      </c>
      <c r="U43" s="27">
        <f>Calculations!U102</f>
        <v>280902.03898599994</v>
      </c>
      <c r="V43" s="27">
        <f>Calculations!V102</f>
        <v>366101.85053999489</v>
      </c>
      <c r="W43" s="27">
        <f>Calculations!W102</f>
        <v>378330.91534828709</v>
      </c>
      <c r="X43" s="27">
        <f>Calculations!X102</f>
        <v>422656.70785145066</v>
      </c>
      <c r="Y43" s="27">
        <f>Calculations!Y102</f>
        <v>317109.85910897783</v>
      </c>
      <c r="Z43" s="27">
        <f>Calculations!Z102</f>
        <v>399424.95018112718</v>
      </c>
      <c r="AA43" s="27">
        <f>Calculations!AA102</f>
        <v>403056.90459931741</v>
      </c>
      <c r="AB43" s="27">
        <f>Calculations!AB102</f>
        <v>441129.03167844447</v>
      </c>
      <c r="AC43" s="27">
        <f>Calculations!AC102</f>
        <v>316783.12876319408</v>
      </c>
      <c r="AD43" s="27">
        <f>Calculations!AD102</f>
        <v>395582.44893991458</v>
      </c>
      <c r="AE43" s="27">
        <f>Calculations!AE102</f>
        <v>388392.20742455451</v>
      </c>
      <c r="AF43" s="27">
        <f>Calculations!AF102</f>
        <v>419212.30281048198</v>
      </c>
      <c r="AG43" s="27">
        <f>Calculations!AG102</f>
        <v>274208.17943683313</v>
      </c>
    </row>
    <row r="45" spans="2:33" x14ac:dyDescent="0.25">
      <c r="C45" s="20" t="s">
        <v>121</v>
      </c>
    </row>
    <row r="47" spans="2:33" x14ac:dyDescent="0.25">
      <c r="D47" s="30"/>
      <c r="E47" t="str">
        <f>Calculations!E173</f>
        <v>Inventory opening balance</v>
      </c>
      <c r="G47" t="str">
        <f>Calculations!G173</f>
        <v>USD</v>
      </c>
      <c r="J47">
        <f>Calculations!J173</f>
        <v>0</v>
      </c>
      <c r="K47">
        <f>Calculations!K173</f>
        <v>88515.000000000015</v>
      </c>
      <c r="L47">
        <f>Calculations!L173</f>
        <v>118020.00000000004</v>
      </c>
      <c r="M47">
        <f>Calculations!M173</f>
        <v>177030.00000000006</v>
      </c>
      <c r="N47">
        <f>Calculations!N173</f>
        <v>118020.00000000009</v>
      </c>
      <c r="O47">
        <f>Calculations!O173</f>
        <v>204742.63290000008</v>
      </c>
      <c r="P47">
        <f>Calculations!P173</f>
        <v>227564.37840000007</v>
      </c>
      <c r="Q47">
        <f>Calculations!Q173</f>
        <v>282336.56760000007</v>
      </c>
      <c r="R47">
        <f>Calculations!R173</f>
        <v>209306.98200000002</v>
      </c>
      <c r="S47">
        <f>Calculations!S173</f>
        <v>293812.98646589997</v>
      </c>
      <c r="T47">
        <f>Calculations!T173</f>
        <v>309113.51652239996</v>
      </c>
      <c r="U47">
        <f>Calculations!U173</f>
        <v>359016.78378359997</v>
      </c>
      <c r="V47">
        <f>Calculations!V173</f>
        <v>270509.10222599999</v>
      </c>
      <c r="W47">
        <f>Calculations!W173</f>
        <v>352303.05504057265</v>
      </c>
      <c r="X47">
        <f>Calculations!X173</f>
        <v>359160.68723232707</v>
      </c>
      <c r="Y47">
        <f>Calculations!Y173</f>
        <v>403486.47973549063</v>
      </c>
      <c r="Z47">
        <f>Calculations!Z173</f>
        <v>297939.63099301781</v>
      </c>
      <c r="AA47">
        <f>Calculations!AA173</f>
        <v>376522.28993297892</v>
      </c>
      <c r="AB47">
        <f>Calculations!AB173</f>
        <v>373933.5241308554</v>
      </c>
      <c r="AC47">
        <f>Calculations!AC173</f>
        <v>411930.47069977422</v>
      </c>
      <c r="AD47">
        <f>Calculations!AD173</f>
        <v>287901.99944862665</v>
      </c>
      <c r="AE47">
        <f>Calculations!AE173</f>
        <v>362678.14952444821</v>
      </c>
      <c r="AF47">
        <f>Calculations!AF173</f>
        <v>349542.1902204816</v>
      </c>
      <c r="AG47">
        <f>Calculations!AG173</f>
        <v>380362.28560640907</v>
      </c>
    </row>
    <row r="48" spans="2:33" x14ac:dyDescent="0.25">
      <c r="D48" s="43" t="s">
        <v>105</v>
      </c>
      <c r="E48" s="21" t="str">
        <f>Calculations!E174</f>
        <v>Production</v>
      </c>
      <c r="G48" t="str">
        <f>Calculations!G174</f>
        <v>USD</v>
      </c>
      <c r="J48">
        <f>Calculations!J174</f>
        <v>177030</v>
      </c>
      <c r="K48">
        <f>Calculations!K174</f>
        <v>177030</v>
      </c>
      <c r="L48">
        <f>Calculations!L174</f>
        <v>177030</v>
      </c>
      <c r="M48">
        <f>Calculations!M174</f>
        <v>177030</v>
      </c>
      <c r="N48">
        <f>Calculations!N174</f>
        <v>182573.96400000001</v>
      </c>
      <c r="O48">
        <f>Calculations!O174</f>
        <v>182573.96400000001</v>
      </c>
      <c r="P48">
        <f>Calculations!P174</f>
        <v>182573.96400000001</v>
      </c>
      <c r="Q48">
        <f>Calculations!Q174</f>
        <v>182573.96400000001</v>
      </c>
      <c r="R48">
        <f>Calculations!R174</f>
        <v>188314.21607999998</v>
      </c>
      <c r="S48">
        <f>Calculations!S174</f>
        <v>188314.21607999998</v>
      </c>
      <c r="T48">
        <f>Calculations!T174</f>
        <v>188314.21607999998</v>
      </c>
      <c r="U48">
        <f>Calculations!U174</f>
        <v>188314.21607999998</v>
      </c>
      <c r="V48">
        <f>Calculations!V174</f>
        <v>194198.43374879996</v>
      </c>
      <c r="W48">
        <f>Calculations!W174</f>
        <v>194198.43374879996</v>
      </c>
      <c r="X48">
        <f>Calculations!X174</f>
        <v>194198.43374879996</v>
      </c>
      <c r="Y48">
        <f>Calculations!Y174</f>
        <v>194198.43374879996</v>
      </c>
      <c r="Z48">
        <f>Calculations!Z174</f>
        <v>200339.79605308798</v>
      </c>
      <c r="AA48">
        <f>Calculations!AA174</f>
        <v>200339.79605308798</v>
      </c>
      <c r="AB48">
        <f>Calculations!AB174</f>
        <v>200339.79605308798</v>
      </c>
      <c r="AC48">
        <f>Calculations!AC174</f>
        <v>200339.79605308798</v>
      </c>
      <c r="AD48">
        <f>Calculations!AD174</f>
        <v>206644.3141455038</v>
      </c>
      <c r="AE48">
        <f>Calculations!AE174</f>
        <v>206644.3141455038</v>
      </c>
      <c r="AF48">
        <f>Calculations!AF174</f>
        <v>206644.3141455038</v>
      </c>
      <c r="AG48">
        <f>Calculations!AG174</f>
        <v>206644.3141455038</v>
      </c>
    </row>
    <row r="49" spans="2:33" x14ac:dyDescent="0.25">
      <c r="D49" s="43" t="s">
        <v>106</v>
      </c>
      <c r="E49" s="21" t="str">
        <f>Calculations!E175</f>
        <v>Units sold from current production</v>
      </c>
      <c r="G49" t="str">
        <f>Calculations!G175</f>
        <v>USD</v>
      </c>
      <c r="J49">
        <f>Calculations!J175</f>
        <v>-88514.999999999985</v>
      </c>
      <c r="K49">
        <f>Calculations!K175</f>
        <v>-147524.99999999997</v>
      </c>
      <c r="L49">
        <f>Calculations!L175</f>
        <v>-118019.99999999999</v>
      </c>
      <c r="M49">
        <f>Calculations!M175</f>
        <v>-177029.99999999997</v>
      </c>
      <c r="N49">
        <f>Calculations!N175</f>
        <v>-95851.331100000025</v>
      </c>
      <c r="O49">
        <f>Calculations!O175</f>
        <v>-159752.21850000002</v>
      </c>
      <c r="P49">
        <f>Calculations!P175</f>
        <v>-127801.77480000003</v>
      </c>
      <c r="Q49">
        <f>Calculations!Q175</f>
        <v>-182573.96400000004</v>
      </c>
      <c r="R49">
        <f>Calculations!R175</f>
        <v>-103808.2116141</v>
      </c>
      <c r="S49">
        <f>Calculations!S175</f>
        <v>-173013.68602349999</v>
      </c>
      <c r="T49">
        <f>Calculations!T175</f>
        <v>-138410.94881879998</v>
      </c>
      <c r="U49">
        <f>Calculations!U175</f>
        <v>-188314.21607999998</v>
      </c>
      <c r="V49">
        <f>Calculations!V175</f>
        <v>-112404.48093422731</v>
      </c>
      <c r="W49">
        <f>Calculations!W175</f>
        <v>-187340.80155704552</v>
      </c>
      <c r="X49">
        <f>Calculations!X175</f>
        <v>-149872.64124563639</v>
      </c>
      <c r="Y49">
        <f>Calculations!Y175</f>
        <v>-194198.43374879999</v>
      </c>
      <c r="Z49">
        <f>Calculations!Z175</f>
        <v>-121757.1371131269</v>
      </c>
      <c r="AA49">
        <f>Calculations!AA175</f>
        <v>-200339.79605308801</v>
      </c>
      <c r="AB49">
        <f>Calculations!AB175</f>
        <v>-162342.84948416919</v>
      </c>
      <c r="AC49">
        <f>Calculations!AC175</f>
        <v>-200339.79605308801</v>
      </c>
      <c r="AD49">
        <f>Calculations!AD175</f>
        <v>-131868.16406968224</v>
      </c>
      <c r="AE49">
        <f>Calculations!AE175</f>
        <v>-206644.3141455038</v>
      </c>
      <c r="AF49">
        <f>Calculations!AF175</f>
        <v>-175824.21875957632</v>
      </c>
      <c r="AG49">
        <f>Calculations!AG175</f>
        <v>-206644.3141455038</v>
      </c>
    </row>
    <row r="50" spans="2:33" x14ac:dyDescent="0.25">
      <c r="D50" s="43" t="s">
        <v>106</v>
      </c>
      <c r="E50" s="21" t="str">
        <f>Calculations!E176</f>
        <v>Units sold from inventory</v>
      </c>
      <c r="G50" t="str">
        <f>Calculations!G176</f>
        <v>USD</v>
      </c>
      <c r="J50">
        <f>Calculations!J176</f>
        <v>0</v>
      </c>
      <c r="K50">
        <f>Calculations!K176</f>
        <v>0</v>
      </c>
      <c r="L50">
        <f>Calculations!L176</f>
        <v>0</v>
      </c>
      <c r="M50">
        <f>Calculations!M176</f>
        <v>-59009.999999999993</v>
      </c>
      <c r="N50">
        <f>Calculations!N176</f>
        <v>0</v>
      </c>
      <c r="O50">
        <f>Calculations!O176</f>
        <v>0</v>
      </c>
      <c r="P50">
        <f>Calculations!P176</f>
        <v>0</v>
      </c>
      <c r="Q50">
        <f>Calculations!Q176</f>
        <v>-73029.585600000006</v>
      </c>
      <c r="R50">
        <f>Calculations!R176</f>
        <v>0</v>
      </c>
      <c r="S50">
        <f>Calculations!S176</f>
        <v>0</v>
      </c>
      <c r="T50">
        <f>Calculations!T176</f>
        <v>0</v>
      </c>
      <c r="U50">
        <f>Calculations!U176</f>
        <v>-88507.681557599994</v>
      </c>
      <c r="V50">
        <f>Calculations!V176</f>
        <v>0</v>
      </c>
      <c r="W50">
        <f>Calculations!W176</f>
        <v>0</v>
      </c>
      <c r="X50">
        <f>Calculations!X176</f>
        <v>0</v>
      </c>
      <c r="Y50">
        <f>Calculations!Y176</f>
        <v>-105546.84874247282</v>
      </c>
      <c r="Z50">
        <f>Calculations!Z176</f>
        <v>0</v>
      </c>
      <c r="AA50">
        <f>Calculations!AA176</f>
        <v>-2588.7658021234961</v>
      </c>
      <c r="AB50">
        <f>Calculations!AB176</f>
        <v>0</v>
      </c>
      <c r="AC50">
        <f>Calculations!AC176</f>
        <v>-124028.47125114751</v>
      </c>
      <c r="AD50">
        <f>Calculations!AD176</f>
        <v>0</v>
      </c>
      <c r="AE50">
        <f>Calculations!AE176</f>
        <v>-13135.959303966609</v>
      </c>
      <c r="AF50">
        <f>Calculations!AF176</f>
        <v>0</v>
      </c>
      <c r="AG50">
        <f>Calculations!AG176</f>
        <v>-140870.30021456117</v>
      </c>
    </row>
    <row r="51" spans="2:33" x14ac:dyDescent="0.25">
      <c r="E51" s="27" t="str">
        <f>Calculations!E177</f>
        <v>Inventory closing balance</v>
      </c>
      <c r="F51" s="27"/>
      <c r="G51" s="27" t="str">
        <f>Calculations!G177</f>
        <v>USD</v>
      </c>
      <c r="H51" s="27"/>
      <c r="I51" s="27"/>
      <c r="J51" s="27">
        <f>Calculations!J177</f>
        <v>88515.000000000015</v>
      </c>
      <c r="K51" s="27">
        <f>Calculations!K177</f>
        <v>118020.00000000004</v>
      </c>
      <c r="L51" s="27">
        <f>Calculations!L177</f>
        <v>177030.00000000006</v>
      </c>
      <c r="M51" s="27">
        <f>Calculations!M177</f>
        <v>118020.00000000009</v>
      </c>
      <c r="N51" s="27">
        <f>Calculations!N177</f>
        <v>204742.63290000008</v>
      </c>
      <c r="O51" s="27">
        <f>Calculations!O177</f>
        <v>227564.37840000007</v>
      </c>
      <c r="P51" s="27">
        <f>Calculations!P177</f>
        <v>282336.56760000007</v>
      </c>
      <c r="Q51" s="27">
        <f>Calculations!Q177</f>
        <v>209306.98200000002</v>
      </c>
      <c r="R51" s="27">
        <f>Calculations!R177</f>
        <v>293812.98646589997</v>
      </c>
      <c r="S51" s="27">
        <f>Calculations!S177</f>
        <v>309113.51652239996</v>
      </c>
      <c r="T51" s="27">
        <f>Calculations!T177</f>
        <v>359016.78378359997</v>
      </c>
      <c r="U51" s="27">
        <f>Calculations!U177</f>
        <v>270509.10222599999</v>
      </c>
      <c r="V51" s="27">
        <f>Calculations!V177</f>
        <v>352303.05504057265</v>
      </c>
      <c r="W51" s="27">
        <f>Calculations!W177</f>
        <v>359160.68723232707</v>
      </c>
      <c r="X51" s="27">
        <f>Calculations!X177</f>
        <v>403486.47973549063</v>
      </c>
      <c r="Y51" s="27">
        <f>Calculations!Y177</f>
        <v>297939.63099301781</v>
      </c>
      <c r="Z51" s="27">
        <f>Calculations!Z177</f>
        <v>376522.28993297892</v>
      </c>
      <c r="AA51" s="27">
        <f>Calculations!AA177</f>
        <v>373933.5241308554</v>
      </c>
      <c r="AB51" s="27">
        <f>Calculations!AB177</f>
        <v>411930.47069977422</v>
      </c>
      <c r="AC51" s="27">
        <f>Calculations!AC177</f>
        <v>287901.99944862665</v>
      </c>
      <c r="AD51" s="27">
        <f>Calculations!AD177</f>
        <v>362678.14952444821</v>
      </c>
      <c r="AE51" s="27">
        <f>Calculations!AE177</f>
        <v>349542.1902204816</v>
      </c>
      <c r="AF51" s="27">
        <f>Calculations!AF177</f>
        <v>380362.28560640907</v>
      </c>
      <c r="AG51" s="27">
        <f>Calculations!AG177</f>
        <v>239491.98539184791</v>
      </c>
    </row>
    <row r="54" spans="2:33" s="16" customFormat="1" x14ac:dyDescent="0.25">
      <c r="B54" s="11" t="s">
        <v>124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scale="34" fitToHeight="0" orientation="landscape" r:id="rId1"/>
  <headerFooter>
    <oddFooter>&amp;LFinancial Modeling Institute
CFM October 2026&amp;CPage &amp;P of &amp;N&amp;R&amp;D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1CE27-9943-4A7A-AD70-76CFD5C02B44}">
  <sheetPr>
    <pageSetUpPr autoPageBreaks="0" fitToPage="1"/>
  </sheetPr>
  <dimension ref="A1:AG198"/>
  <sheetViews>
    <sheetView showGridLines="0" tabSelected="1" zoomScale="85" zoomScaleNormal="85" workbookViewId="0">
      <pane xSplit="9" ySplit="3" topLeftCell="J44" activePane="bottomRight" state="frozen"/>
      <selection pane="topRight" activeCell="J1" sqref="J1"/>
      <selection pane="bottomLeft" activeCell="A4" sqref="A4"/>
      <selection pane="bottomRight" activeCell="J66" sqref="J66"/>
    </sheetView>
  </sheetViews>
  <sheetFormatPr defaultColWidth="10.69921875" defaultRowHeight="13.8" x14ac:dyDescent="0.25"/>
  <cols>
    <col min="1" max="4" width="1.69921875" customWidth="1"/>
    <col min="5" max="5" width="30.69921875" customWidth="1"/>
    <col min="6" max="7" width="10.69921875" customWidth="1"/>
    <col min="8" max="8" width="5.69921875" customWidth="1"/>
    <col min="9" max="9" width="1.69921875" customWidth="1"/>
    <col min="10" max="33" width="10.69921875" customWidth="1"/>
  </cols>
  <sheetData>
    <row r="1" spans="1:33" s="10" customFormat="1" x14ac:dyDescent="0.25">
      <c r="A1" s="10" t="str">
        <f>company</f>
        <v>Thermin Corp</v>
      </c>
    </row>
    <row r="2" spans="1:33" s="10" customFormat="1" x14ac:dyDescent="0.25">
      <c r="A2" s="10" t="str" cm="1">
        <f t="array" ref="A2">topic</f>
        <v>CFM Topic: Working capital</v>
      </c>
      <c r="J2" s="14" cm="1">
        <f t="array" ref="J2:AG2">_xlfn.ANCHORARRAY( J7)</f>
        <v>43831</v>
      </c>
      <c r="K2" s="14">
        <v>43922</v>
      </c>
      <c r="L2" s="14">
        <v>44013</v>
      </c>
      <c r="M2" s="14">
        <v>44105</v>
      </c>
      <c r="N2" s="14">
        <v>44197</v>
      </c>
      <c r="O2" s="14">
        <v>44287</v>
      </c>
      <c r="P2" s="14">
        <v>44378</v>
      </c>
      <c r="Q2" s="14">
        <v>44470</v>
      </c>
      <c r="R2" s="14">
        <v>44562</v>
      </c>
      <c r="S2" s="14">
        <v>44652</v>
      </c>
      <c r="T2" s="14">
        <v>44743</v>
      </c>
      <c r="U2" s="14">
        <v>44835</v>
      </c>
      <c r="V2" s="14">
        <v>44927</v>
      </c>
      <c r="W2" s="14">
        <v>45017</v>
      </c>
      <c r="X2" s="14">
        <v>45108</v>
      </c>
      <c r="Y2" s="14">
        <v>45200</v>
      </c>
      <c r="Z2" s="14">
        <v>45292</v>
      </c>
      <c r="AA2" s="14">
        <v>45383</v>
      </c>
      <c r="AB2" s="14">
        <v>45474</v>
      </c>
      <c r="AC2" s="14">
        <v>45566</v>
      </c>
      <c r="AD2" s="14">
        <v>45658</v>
      </c>
      <c r="AE2" s="14">
        <v>45748</v>
      </c>
      <c r="AF2" s="14">
        <v>45839</v>
      </c>
      <c r="AG2" s="14">
        <v>45931</v>
      </c>
    </row>
    <row r="3" spans="1:33" s="10" customFormat="1" x14ac:dyDescent="0.25">
      <c r="A3" s="10" t="s">
        <v>58</v>
      </c>
      <c r="F3" s="10" t="s">
        <v>55</v>
      </c>
      <c r="G3" s="10" t="s">
        <v>56</v>
      </c>
      <c r="H3" s="10" t="s">
        <v>39</v>
      </c>
      <c r="J3" s="14" cm="1">
        <f t="array" ref="J3:AG3">_xlfn.ANCHORARRAY(J8)</f>
        <v>43921</v>
      </c>
      <c r="K3" s="14">
        <v>44012</v>
      </c>
      <c r="L3" s="14">
        <v>44104</v>
      </c>
      <c r="M3" s="14">
        <v>44196</v>
      </c>
      <c r="N3" s="14">
        <v>44286</v>
      </c>
      <c r="O3" s="14">
        <v>44377</v>
      </c>
      <c r="P3" s="14">
        <v>44469</v>
      </c>
      <c r="Q3" s="14">
        <v>44561</v>
      </c>
      <c r="R3" s="14">
        <v>44651</v>
      </c>
      <c r="S3" s="14">
        <v>44742</v>
      </c>
      <c r="T3" s="14">
        <v>44834</v>
      </c>
      <c r="U3" s="14">
        <v>44926</v>
      </c>
      <c r="V3" s="14">
        <v>45016</v>
      </c>
      <c r="W3" s="14">
        <v>45107</v>
      </c>
      <c r="X3" s="14">
        <v>45199</v>
      </c>
      <c r="Y3" s="14">
        <v>45291</v>
      </c>
      <c r="Z3" s="14">
        <v>45382</v>
      </c>
      <c r="AA3" s="14">
        <v>45473</v>
      </c>
      <c r="AB3" s="14">
        <v>45565</v>
      </c>
      <c r="AC3" s="14">
        <v>45657</v>
      </c>
      <c r="AD3" s="14">
        <v>45747</v>
      </c>
      <c r="AE3" s="14">
        <v>45838</v>
      </c>
      <c r="AF3" s="14">
        <v>45930</v>
      </c>
      <c r="AG3" s="14">
        <v>46022</v>
      </c>
    </row>
    <row r="5" spans="1:33" s="16" customFormat="1" x14ac:dyDescent="0.25">
      <c r="B5" s="11" t="s">
        <v>48</v>
      </c>
    </row>
    <row r="7" spans="1:33" x14ac:dyDescent="0.25">
      <c r="E7" t="s">
        <v>60</v>
      </c>
      <c r="G7" t="s">
        <v>50</v>
      </c>
      <c r="J7" s="17" cm="1">
        <f t="array" ref="J7:AG7" xml:space="preserve"> EDATE( start_date, _xlfn.SEQUENCE( 1, years * quarters, 0, 3 ) )</f>
        <v>43831</v>
      </c>
      <c r="K7" s="17">
        <v>43922</v>
      </c>
      <c r="L7" s="17">
        <v>44013</v>
      </c>
      <c r="M7" s="17">
        <v>44105</v>
      </c>
      <c r="N7" s="17">
        <v>44197</v>
      </c>
      <c r="O7" s="17">
        <v>44287</v>
      </c>
      <c r="P7" s="17">
        <v>44378</v>
      </c>
      <c r="Q7" s="17">
        <v>44470</v>
      </c>
      <c r="R7" s="17">
        <v>44562</v>
      </c>
      <c r="S7" s="17">
        <v>44652</v>
      </c>
      <c r="T7" s="17">
        <v>44743</v>
      </c>
      <c r="U7" s="17">
        <v>44835</v>
      </c>
      <c r="V7" s="17">
        <v>44927</v>
      </c>
      <c r="W7" s="17">
        <v>45017</v>
      </c>
      <c r="X7" s="17">
        <v>45108</v>
      </c>
      <c r="Y7" s="17">
        <v>45200</v>
      </c>
      <c r="Z7" s="17">
        <v>45292</v>
      </c>
      <c r="AA7" s="17">
        <v>45383</v>
      </c>
      <c r="AB7" s="17">
        <v>45474</v>
      </c>
      <c r="AC7" s="17">
        <v>45566</v>
      </c>
      <c r="AD7" s="17">
        <v>45658</v>
      </c>
      <c r="AE7" s="17">
        <v>45748</v>
      </c>
      <c r="AF7" s="17">
        <v>45839</v>
      </c>
      <c r="AG7" s="17">
        <v>45931</v>
      </c>
    </row>
    <row r="8" spans="1:33" x14ac:dyDescent="0.25">
      <c r="E8" t="s">
        <v>61</v>
      </c>
      <c r="G8" t="s">
        <v>50</v>
      </c>
      <c r="J8" s="17" cm="1">
        <f t="array" ref="J8:AG8">EOMONTH( start_date, _xlfn.SEQUENCE( 1, years * quarters, 2, 3 ) )</f>
        <v>43921</v>
      </c>
      <c r="K8" s="17">
        <v>44012</v>
      </c>
      <c r="L8" s="17">
        <v>44104</v>
      </c>
      <c r="M8" s="17">
        <v>44196</v>
      </c>
      <c r="N8" s="17">
        <v>44286</v>
      </c>
      <c r="O8" s="17">
        <v>44377</v>
      </c>
      <c r="P8" s="17">
        <v>44469</v>
      </c>
      <c r="Q8" s="17">
        <v>44561</v>
      </c>
      <c r="R8" s="17">
        <v>44651</v>
      </c>
      <c r="S8" s="17">
        <v>44742</v>
      </c>
      <c r="T8" s="17">
        <v>44834</v>
      </c>
      <c r="U8" s="17">
        <v>44926</v>
      </c>
      <c r="V8" s="17">
        <v>45016</v>
      </c>
      <c r="W8" s="17">
        <v>45107</v>
      </c>
      <c r="X8" s="17">
        <v>45199</v>
      </c>
      <c r="Y8" s="17">
        <v>45291</v>
      </c>
      <c r="Z8" s="17">
        <v>45382</v>
      </c>
      <c r="AA8" s="17">
        <v>45473</v>
      </c>
      <c r="AB8" s="17">
        <v>45565</v>
      </c>
      <c r="AC8" s="17">
        <v>45657</v>
      </c>
      <c r="AD8" s="17">
        <v>45747</v>
      </c>
      <c r="AE8" s="17">
        <v>45838</v>
      </c>
      <c r="AF8" s="17">
        <v>45930</v>
      </c>
      <c r="AG8" s="17">
        <v>46022</v>
      </c>
    </row>
    <row r="10" spans="1:33" x14ac:dyDescent="0.25">
      <c r="E10" t="s">
        <v>36</v>
      </c>
      <c r="G10" t="s">
        <v>51</v>
      </c>
      <c r="J10" s="18" cm="1">
        <f t="array" ref="J10:AG10" xml:space="preserve"> _xlfn.LET(
      _xlpm.model_period_ending,    MONTH(_xlfn.ANCHORARRAY( J8) ),
      _xlpm.model_period_ending / 3 )</f>
        <v>1</v>
      </c>
      <c r="K10" s="18">
        <v>2</v>
      </c>
      <c r="L10" s="18">
        <v>3</v>
      </c>
      <c r="M10" s="18">
        <v>4</v>
      </c>
      <c r="N10" s="18">
        <v>1</v>
      </c>
      <c r="O10" s="18">
        <v>2</v>
      </c>
      <c r="P10" s="18">
        <v>3</v>
      </c>
      <c r="Q10" s="18">
        <v>4</v>
      </c>
      <c r="R10" s="18">
        <v>1</v>
      </c>
      <c r="S10" s="18">
        <v>2</v>
      </c>
      <c r="T10" s="18">
        <v>3</v>
      </c>
      <c r="U10" s="18">
        <v>4</v>
      </c>
      <c r="V10" s="18">
        <v>1</v>
      </c>
      <c r="W10" s="18">
        <v>2</v>
      </c>
      <c r="X10" s="18">
        <v>3</v>
      </c>
      <c r="Y10" s="18">
        <v>4</v>
      </c>
      <c r="Z10" s="18">
        <v>1</v>
      </c>
      <c r="AA10" s="18">
        <v>2</v>
      </c>
      <c r="AB10" s="18">
        <v>3</v>
      </c>
      <c r="AC10" s="18">
        <v>4</v>
      </c>
      <c r="AD10" s="18">
        <v>1</v>
      </c>
      <c r="AE10" s="18">
        <v>2</v>
      </c>
      <c r="AF10" s="18">
        <v>3</v>
      </c>
      <c r="AG10" s="18">
        <v>4</v>
      </c>
    </row>
    <row r="11" spans="1:33" x14ac:dyDescent="0.25">
      <c r="E11" t="s">
        <v>0</v>
      </c>
      <c r="G11" t="s">
        <v>51</v>
      </c>
      <c r="J11" s="19" cm="1">
        <f t="array" ref="J11:AG11" xml:space="preserve"> YEAR(_xlfn.ANCHORARRAY( J8) )</f>
        <v>2020</v>
      </c>
      <c r="K11" s="19">
        <v>2020</v>
      </c>
      <c r="L11" s="19">
        <v>2020</v>
      </c>
      <c r="M11" s="19">
        <v>2020</v>
      </c>
      <c r="N11" s="19">
        <v>2021</v>
      </c>
      <c r="O11" s="19">
        <v>2021</v>
      </c>
      <c r="P11" s="19">
        <v>2021</v>
      </c>
      <c r="Q11" s="19">
        <v>2021</v>
      </c>
      <c r="R11" s="19">
        <v>2022</v>
      </c>
      <c r="S11" s="19">
        <v>2022</v>
      </c>
      <c r="T11" s="19">
        <v>2022</v>
      </c>
      <c r="U11" s="19">
        <v>2022</v>
      </c>
      <c r="V11" s="19">
        <v>2023</v>
      </c>
      <c r="W11" s="19">
        <v>2023</v>
      </c>
      <c r="X11" s="19">
        <v>2023</v>
      </c>
      <c r="Y11" s="19">
        <v>2023</v>
      </c>
      <c r="Z11" s="19">
        <v>2024</v>
      </c>
      <c r="AA11" s="19">
        <v>2024</v>
      </c>
      <c r="AB11" s="19">
        <v>2024</v>
      </c>
      <c r="AC11" s="19">
        <v>2024</v>
      </c>
      <c r="AD11" s="19">
        <v>2025</v>
      </c>
      <c r="AE11" s="19">
        <v>2025</v>
      </c>
      <c r="AF11" s="19">
        <v>2025</v>
      </c>
      <c r="AG11" s="19">
        <v>2025</v>
      </c>
    </row>
    <row r="13" spans="1:33" s="16" customFormat="1" x14ac:dyDescent="0.25">
      <c r="B13" s="11" t="s">
        <v>41</v>
      </c>
    </row>
    <row r="15" spans="1:33" x14ac:dyDescent="0.25">
      <c r="C15" s="15" t="s">
        <v>57</v>
      </c>
    </row>
    <row r="16" spans="1:33" x14ac:dyDescent="0.25">
      <c r="C16" s="15"/>
    </row>
    <row r="17" spans="3:33" x14ac:dyDescent="0.25">
      <c r="E17" s="30" t="s">
        <v>37</v>
      </c>
      <c r="G17" t="s">
        <v>38</v>
      </c>
      <c r="J17" cm="1">
        <f t="array" ref="J17:AG17" xml:space="preserve"> _xlfn.LET(
      _xlpm.first_year_demand,    Case2Data!$E$11:$H$11,
      _xlpm.first_year_quarters,  Case2Data!$E$10:$H$10,
      _xlpm.current_quarter,      "Q" &amp;_xlfn.ANCHORARRAY( Calculations!J10),
      _xlpm.demand,               INDEX( _xlpm.first_year_demand, MATCH( _xlpm.current_quarter, _xlpm.first_year_quarters, 0 ) ),
      _xlpm.growth_rate,          Case2Data!$E$13,
      _xlpm.current_year,_xlfn.ANCHORARRAY(         Calculations!J8),
      _xlpm.period,               YEAR( _xlpm.current_year ) - YEAR( start_date ),
      _xlpm.growth_factor,        IF( _xlpm.period = 0, 1, ( 1 + _xlpm.growth_rate ) ^ _xlpm.period ),
      _xlpm.demand * _xlpm.growth_factor )</f>
        <v>150000</v>
      </c>
      <c r="K17">
        <v>250000</v>
      </c>
      <c r="L17">
        <v>200000</v>
      </c>
      <c r="M17">
        <v>400000</v>
      </c>
      <c r="N17">
        <v>157500</v>
      </c>
      <c r="O17">
        <v>262500</v>
      </c>
      <c r="P17">
        <v>210000</v>
      </c>
      <c r="Q17">
        <v>420000</v>
      </c>
      <c r="R17">
        <v>165375</v>
      </c>
      <c r="S17">
        <v>275625</v>
      </c>
      <c r="T17">
        <v>220500</v>
      </c>
      <c r="U17">
        <v>441000</v>
      </c>
      <c r="V17">
        <v>173643.75000000003</v>
      </c>
      <c r="W17">
        <v>289406.25000000006</v>
      </c>
      <c r="X17">
        <v>231525.00000000003</v>
      </c>
      <c r="Y17">
        <v>463050.00000000006</v>
      </c>
      <c r="Z17">
        <v>182325.9375</v>
      </c>
      <c r="AA17">
        <v>303876.5625</v>
      </c>
      <c r="AB17">
        <v>243101.25</v>
      </c>
      <c r="AC17">
        <v>486202.5</v>
      </c>
      <c r="AD17">
        <v>191442.23437500003</v>
      </c>
      <c r="AE17">
        <v>319070.39062500006</v>
      </c>
      <c r="AF17">
        <v>255256.31250000003</v>
      </c>
      <c r="AG17">
        <v>510512.62500000006</v>
      </c>
    </row>
    <row r="19" spans="3:33" x14ac:dyDescent="0.25">
      <c r="E19" t="s">
        <v>63</v>
      </c>
      <c r="G19" t="s">
        <v>38</v>
      </c>
      <c r="J19" cm="1">
        <f t="array" ref="J19:AG19" xml:space="preserve"> _xlfn.DROP( _xlfn.HSTACK( Case2Data!$E$30,_xlfn.ANCHORARRAY( J22) ), , -1 )</f>
        <v>0</v>
      </c>
      <c r="K19">
        <v>150000</v>
      </c>
      <c r="L19">
        <v>200000</v>
      </c>
      <c r="M19">
        <v>300000</v>
      </c>
      <c r="N19">
        <v>200000</v>
      </c>
      <c r="O19">
        <v>342500</v>
      </c>
      <c r="P19">
        <v>380000</v>
      </c>
      <c r="Q19">
        <v>470000</v>
      </c>
      <c r="R19">
        <v>350000</v>
      </c>
      <c r="S19">
        <v>484625</v>
      </c>
      <c r="T19">
        <v>509000</v>
      </c>
      <c r="U19">
        <v>588500</v>
      </c>
      <c r="V19">
        <v>447500</v>
      </c>
      <c r="W19">
        <v>573856.25</v>
      </c>
      <c r="X19">
        <v>584450</v>
      </c>
      <c r="Y19">
        <v>652925</v>
      </c>
      <c r="Z19">
        <v>489874.99999999994</v>
      </c>
      <c r="AA19">
        <v>607549.0625</v>
      </c>
      <c r="AB19">
        <v>603672.5</v>
      </c>
      <c r="AC19">
        <v>660571.25</v>
      </c>
      <c r="AD19">
        <v>474368.75</v>
      </c>
      <c r="AE19">
        <v>582926.515625</v>
      </c>
      <c r="AF19">
        <v>563856.125</v>
      </c>
      <c r="AG19">
        <v>608599.8125</v>
      </c>
    </row>
    <row r="20" spans="3:33" x14ac:dyDescent="0.25">
      <c r="E20" s="21" t="s">
        <v>1</v>
      </c>
      <c r="G20" t="s">
        <v>38</v>
      </c>
      <c r="J20" cm="1">
        <f t="array" ref="J20:AG20" xml:space="preserve"> _xlfn.SEQUENCE( 1, years * quarters, Case2Data!$E$8, 0 )</f>
        <v>300000</v>
      </c>
      <c r="K20">
        <v>300000</v>
      </c>
      <c r="L20">
        <v>300000</v>
      </c>
      <c r="M20">
        <v>300000</v>
      </c>
      <c r="N20">
        <v>300000</v>
      </c>
      <c r="O20">
        <v>300000</v>
      </c>
      <c r="P20">
        <v>300000</v>
      </c>
      <c r="Q20">
        <v>300000</v>
      </c>
      <c r="R20">
        <v>300000</v>
      </c>
      <c r="S20">
        <v>300000</v>
      </c>
      <c r="T20">
        <v>300000</v>
      </c>
      <c r="U20">
        <v>300000</v>
      </c>
      <c r="V20">
        <v>300000</v>
      </c>
      <c r="W20">
        <v>300000</v>
      </c>
      <c r="X20">
        <v>300000</v>
      </c>
      <c r="Y20">
        <v>300000</v>
      </c>
      <c r="Z20">
        <v>300000</v>
      </c>
      <c r="AA20">
        <v>300000</v>
      </c>
      <c r="AB20">
        <v>300000</v>
      </c>
      <c r="AC20">
        <v>300000</v>
      </c>
      <c r="AD20">
        <v>300000</v>
      </c>
      <c r="AE20">
        <v>300000</v>
      </c>
      <c r="AF20">
        <v>300000</v>
      </c>
      <c r="AG20">
        <v>300000</v>
      </c>
    </row>
    <row r="21" spans="3:33" x14ac:dyDescent="0.25">
      <c r="E21" s="21" t="s">
        <v>37</v>
      </c>
      <c r="J21" cm="1">
        <f t="array" ref="J21:AG21">_xlfn.ANCHORARRAY( J17) * -1</f>
        <v>-150000</v>
      </c>
      <c r="K21">
        <v>-250000</v>
      </c>
      <c r="L21">
        <v>-200000</v>
      </c>
      <c r="M21">
        <v>-400000</v>
      </c>
      <c r="N21">
        <v>-157500</v>
      </c>
      <c r="O21">
        <v>-262500</v>
      </c>
      <c r="P21">
        <v>-210000</v>
      </c>
      <c r="Q21">
        <v>-420000</v>
      </c>
      <c r="R21">
        <v>-165375</v>
      </c>
      <c r="S21">
        <v>-275625</v>
      </c>
      <c r="T21">
        <v>-220500</v>
      </c>
      <c r="U21">
        <v>-441000</v>
      </c>
      <c r="V21">
        <v>-173643.75000000003</v>
      </c>
      <c r="W21">
        <v>-289406.25000000006</v>
      </c>
      <c r="X21">
        <v>-231525.00000000003</v>
      </c>
      <c r="Y21">
        <v>-463050.00000000006</v>
      </c>
      <c r="Z21">
        <v>-182325.9375</v>
      </c>
      <c r="AA21">
        <v>-303876.5625</v>
      </c>
      <c r="AB21">
        <v>-243101.25</v>
      </c>
      <c r="AC21">
        <v>-486202.5</v>
      </c>
      <c r="AD21">
        <v>-191442.23437500003</v>
      </c>
      <c r="AE21">
        <v>-319070.39062500006</v>
      </c>
      <c r="AF21">
        <v>-255256.31250000003</v>
      </c>
      <c r="AG21">
        <v>-510512.62500000006</v>
      </c>
    </row>
    <row r="22" spans="3:33" x14ac:dyDescent="0.25">
      <c r="E22" s="22" t="s">
        <v>62</v>
      </c>
      <c r="F22" s="22"/>
      <c r="G22" s="22" t="s">
        <v>38</v>
      </c>
      <c r="H22" s="22"/>
      <c r="I22" s="22"/>
      <c r="J22" s="22" cm="1">
        <f t="array" ref="J22:AG22" xml:space="preserve"> _xlfn.LET(
      _xlpm.production,_xlfn.ANCHORARRAY( J20),
      _xlpm.demand,_xlfn.ANCHORARRAY(     J21),
      _xlpm.change,     _xlpm.production + _xlpm.demand,
      _xlfn.SCAN( 0, _xlpm.change, _xleta.SUM ))</f>
        <v>150000</v>
      </c>
      <c r="K22" s="22">
        <v>200000</v>
      </c>
      <c r="L22" s="22">
        <v>300000</v>
      </c>
      <c r="M22" s="22">
        <v>200000</v>
      </c>
      <c r="N22" s="22">
        <v>342500</v>
      </c>
      <c r="O22" s="22">
        <v>380000</v>
      </c>
      <c r="P22" s="22">
        <v>470000</v>
      </c>
      <c r="Q22" s="22">
        <v>350000</v>
      </c>
      <c r="R22" s="22">
        <v>484625</v>
      </c>
      <c r="S22" s="22">
        <v>509000</v>
      </c>
      <c r="T22" s="22">
        <v>588500</v>
      </c>
      <c r="U22" s="22">
        <v>447500</v>
      </c>
      <c r="V22" s="22">
        <v>573856.25</v>
      </c>
      <c r="W22" s="22">
        <v>584450</v>
      </c>
      <c r="X22" s="22">
        <v>652925</v>
      </c>
      <c r="Y22" s="22">
        <v>489874.99999999994</v>
      </c>
      <c r="Z22" s="22">
        <v>607549.0625</v>
      </c>
      <c r="AA22" s="22">
        <v>603672.5</v>
      </c>
      <c r="AB22" s="22">
        <v>660571.25</v>
      </c>
      <c r="AC22" s="22">
        <v>474368.75</v>
      </c>
      <c r="AD22" s="22">
        <v>582926.515625</v>
      </c>
      <c r="AE22" s="22">
        <v>563856.125</v>
      </c>
      <c r="AF22" s="22">
        <v>608599.8125</v>
      </c>
      <c r="AG22" s="22">
        <v>398087.18749999994</v>
      </c>
    </row>
    <row r="24" spans="3:33" x14ac:dyDescent="0.25">
      <c r="E24" t="s">
        <v>59</v>
      </c>
      <c r="G24" t="s">
        <v>38</v>
      </c>
      <c r="J24" cm="1">
        <f t="array" ref="J24:AG24" xml:space="preserve"> _xlfn.LET(
     _xlpm.demand,_xlfn.ANCHORARRAY(                       J17),
     _xlpm.inventory_available_for_sale,_xlfn.ANCHORARRAY( J19) +_xlfn.ANCHORARRAY( J20),
     IF( _xlpm.inventory_available_for_sale &lt; _xlpm.demand,
           _xlpm.inventory_available_for_sale,
           _xlpm.demand ) )</f>
        <v>150000</v>
      </c>
      <c r="K24">
        <v>250000</v>
      </c>
      <c r="L24">
        <v>200000</v>
      </c>
      <c r="M24">
        <v>400000</v>
      </c>
      <c r="N24">
        <v>157500</v>
      </c>
      <c r="O24">
        <v>262500</v>
      </c>
      <c r="P24">
        <v>210000</v>
      </c>
      <c r="Q24">
        <v>420000</v>
      </c>
      <c r="R24">
        <v>165375</v>
      </c>
      <c r="S24">
        <v>275625</v>
      </c>
      <c r="T24">
        <v>220500</v>
      </c>
      <c r="U24">
        <v>441000</v>
      </c>
      <c r="V24">
        <v>173643.75000000003</v>
      </c>
      <c r="W24">
        <v>289406.25000000006</v>
      </c>
      <c r="X24">
        <v>231525.00000000003</v>
      </c>
      <c r="Y24">
        <v>463050.00000000006</v>
      </c>
      <c r="Z24">
        <v>182325.9375</v>
      </c>
      <c r="AA24">
        <v>303876.5625</v>
      </c>
      <c r="AB24">
        <v>243101.25</v>
      </c>
      <c r="AC24">
        <v>486202.5</v>
      </c>
      <c r="AD24">
        <v>191442.23437500003</v>
      </c>
      <c r="AE24">
        <v>319070.39062500006</v>
      </c>
      <c r="AF24">
        <v>255256.31250000003</v>
      </c>
      <c r="AG24">
        <v>510512.62500000006</v>
      </c>
    </row>
    <row r="25" spans="3:33" x14ac:dyDescent="0.25"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</row>
    <row r="26" spans="3:33" x14ac:dyDescent="0.25">
      <c r="C26" s="15" t="s">
        <v>64</v>
      </c>
    </row>
    <row r="28" spans="3:33" x14ac:dyDescent="0.25">
      <c r="E28" t="s">
        <v>69</v>
      </c>
      <c r="G28" t="s">
        <v>66</v>
      </c>
      <c r="H28" t="s">
        <v>65</v>
      </c>
      <c r="J28" s="23" cm="1">
        <f t="array" ref="J28:AG28" xml:space="preserve"> _xlfn.LET(
      _xlpm.first_year_value,      Case2Data!$E$16,
      _xlpm.year_on_year_growth,   Case2Data!$F$16,
      _xlpm.current_year,_xlfn.ANCHORARRAY(          Calculations!$J$3),
      _xlpm.period,                YEAR( _xlpm.current_year ) - YEAR( start_date ),
      _xlpm.growth_factor,         IF( _xlpm.period = 0, 1, ( 1 + _xlpm.year_on_year_growth ) ^ _xlpm.period ),
      ROUND( _xlpm.first_year_value * _xlpm.growth_factor, 2 ) )</f>
        <v>18.5</v>
      </c>
      <c r="K28" s="23">
        <v>18.5</v>
      </c>
      <c r="L28" s="23">
        <v>18.5</v>
      </c>
      <c r="M28" s="23">
        <v>18.5</v>
      </c>
      <c r="N28" s="23">
        <v>19.61</v>
      </c>
      <c r="O28" s="23">
        <v>19.61</v>
      </c>
      <c r="P28" s="23">
        <v>19.61</v>
      </c>
      <c r="Q28" s="23">
        <v>19.61</v>
      </c>
      <c r="R28" s="23">
        <v>20.79</v>
      </c>
      <c r="S28" s="23">
        <v>20.79</v>
      </c>
      <c r="T28" s="23">
        <v>20.79</v>
      </c>
      <c r="U28" s="23">
        <v>20.79</v>
      </c>
      <c r="V28" s="23">
        <v>22.03</v>
      </c>
      <c r="W28" s="23">
        <v>22.03</v>
      </c>
      <c r="X28" s="23">
        <v>22.03</v>
      </c>
      <c r="Y28" s="23">
        <v>22.03</v>
      </c>
      <c r="Z28" s="23">
        <v>23.36</v>
      </c>
      <c r="AA28" s="23">
        <v>23.36</v>
      </c>
      <c r="AB28" s="23">
        <v>23.36</v>
      </c>
      <c r="AC28" s="23">
        <v>23.36</v>
      </c>
      <c r="AD28" s="23">
        <v>24.76</v>
      </c>
      <c r="AE28" s="23">
        <v>24.76</v>
      </c>
      <c r="AF28" s="23">
        <v>24.76</v>
      </c>
      <c r="AG28" s="23">
        <v>24.76</v>
      </c>
    </row>
    <row r="29" spans="3:33" x14ac:dyDescent="0.25">
      <c r="E29" t="s">
        <v>23</v>
      </c>
      <c r="G29" t="s">
        <v>68</v>
      </c>
      <c r="J29" s="23" cm="1">
        <f t="array" ref="J29:AG29" xml:space="preserve"> _xlfn.LET(
      _xlpm.first_year_value,      Case2Data!$E$17,
      _xlpm.year_on_year_growth,   Case2Data!$F$17,
      _xlpm.current_year,_xlfn.ANCHORARRAY(          Calculations!$J$3),
      _xlpm.period,                YEAR( _xlpm.current_year ) - YEAR( start_date ),
      _xlpm.growth_factor,         IF( _xlpm.period = 0, 1, ( 1 + _xlpm.year_on_year_growth ) ^ _xlpm.period ),
      _xlpm.first_year_value * _xlpm.growth_factor )</f>
        <v>14.6</v>
      </c>
      <c r="K29" s="24">
        <v>14.6</v>
      </c>
      <c r="L29" s="24">
        <v>14.6</v>
      </c>
      <c r="M29" s="24">
        <v>14.6</v>
      </c>
      <c r="N29" s="24">
        <v>14.308</v>
      </c>
      <c r="O29" s="24">
        <v>14.308</v>
      </c>
      <c r="P29" s="24">
        <v>14.308</v>
      </c>
      <c r="Q29" s="24">
        <v>14.308</v>
      </c>
      <c r="R29" s="24">
        <v>14.021839999999999</v>
      </c>
      <c r="S29" s="24">
        <v>14.021839999999999</v>
      </c>
      <c r="T29" s="24">
        <v>14.021839999999999</v>
      </c>
      <c r="U29" s="24">
        <v>14.021839999999999</v>
      </c>
      <c r="V29" s="24">
        <v>13.741403199999999</v>
      </c>
      <c r="W29" s="24">
        <v>13.741403199999999</v>
      </c>
      <c r="X29" s="24">
        <v>13.741403199999999</v>
      </c>
      <c r="Y29" s="24">
        <v>13.741403199999999</v>
      </c>
      <c r="Z29" s="24">
        <v>13.466575135999998</v>
      </c>
      <c r="AA29" s="24">
        <v>13.466575135999998</v>
      </c>
      <c r="AB29" s="24">
        <v>13.466575135999998</v>
      </c>
      <c r="AC29" s="24">
        <v>13.466575135999998</v>
      </c>
      <c r="AD29" s="24">
        <v>13.197243633279998</v>
      </c>
      <c r="AE29" s="24">
        <v>13.197243633279998</v>
      </c>
      <c r="AF29" s="24">
        <v>13.197243633279998</v>
      </c>
      <c r="AG29" s="24">
        <v>13.197243633279998</v>
      </c>
    </row>
    <row r="30" spans="3:33" x14ac:dyDescent="0.25">
      <c r="E30" t="s">
        <v>3</v>
      </c>
      <c r="G30" t="s">
        <v>67</v>
      </c>
      <c r="J30" s="24" cm="1">
        <f t="array" ref="J30:AG30" xml:space="preserve"> _xlfn.LET(
      _xlpm.first_year_value,      Case2Data!$E$18,
      _xlpm.year_on_year_growth,   Case2Data!$F$18,
      _xlpm.current_year,_xlfn.ANCHORARRAY(          Calculations!$J$3),
      _xlpm.period,                YEAR( _xlpm.current_year ) - YEAR( start_date ),
      _xlpm.growth_factor,         IF( _xlpm.period = 0, 1, ( 1 + _xlpm.year_on_year_growth ) ^ _xlpm.period ),
      _xlpm.first_year_value * _xlpm.growth_factor )</f>
        <v>320</v>
      </c>
      <c r="K30" s="24">
        <v>320</v>
      </c>
      <c r="L30" s="24">
        <v>320</v>
      </c>
      <c r="M30" s="24">
        <v>320</v>
      </c>
      <c r="N30" s="24">
        <v>328</v>
      </c>
      <c r="O30" s="24">
        <v>328</v>
      </c>
      <c r="P30" s="24">
        <v>328</v>
      </c>
      <c r="Q30" s="24">
        <v>328</v>
      </c>
      <c r="R30" s="24">
        <v>336.2</v>
      </c>
      <c r="S30" s="24">
        <v>336.2</v>
      </c>
      <c r="T30" s="24">
        <v>336.2</v>
      </c>
      <c r="U30" s="24">
        <v>336.2</v>
      </c>
      <c r="V30" s="24">
        <v>344.60499999999996</v>
      </c>
      <c r="W30" s="24">
        <v>344.60499999999996</v>
      </c>
      <c r="X30" s="24">
        <v>344.60499999999996</v>
      </c>
      <c r="Y30" s="24">
        <v>344.60499999999996</v>
      </c>
      <c r="Z30" s="24">
        <v>353.22012499999994</v>
      </c>
      <c r="AA30" s="24">
        <v>353.22012499999994</v>
      </c>
      <c r="AB30" s="24">
        <v>353.22012499999994</v>
      </c>
      <c r="AC30" s="24">
        <v>353.22012499999994</v>
      </c>
      <c r="AD30" s="24">
        <v>362.05062812499989</v>
      </c>
      <c r="AE30" s="24">
        <v>362.05062812499989</v>
      </c>
      <c r="AF30" s="24">
        <v>362.05062812499989</v>
      </c>
      <c r="AG30" s="24">
        <v>362.05062812499989</v>
      </c>
    </row>
    <row r="32" spans="3:33" x14ac:dyDescent="0.25">
      <c r="D32" s="20"/>
      <c r="E32" t="s">
        <v>2</v>
      </c>
      <c r="G32" t="s">
        <v>70</v>
      </c>
      <c r="J32" cm="1">
        <f t="array" ref="J32:AG32" xml:space="preserve"> _xlfn.LET(
      _xlpm.production,_xlfn.ANCHORARRAY(     J20),
      _xlpm.time_per_unit,_xlfn.ANCHORARRAY(  J29),
      _xlpm.hourly_rate,_xlfn.ANCHORARRAY(    J28),
      _xlpm.production * _xlpm.time_per_unit * _xlpm.hourly_rate / 1000 )</f>
        <v>81030</v>
      </c>
      <c r="K32">
        <v>81030</v>
      </c>
      <c r="L32">
        <v>81030</v>
      </c>
      <c r="M32">
        <v>81030</v>
      </c>
      <c r="N32">
        <v>84173.964000000007</v>
      </c>
      <c r="O32">
        <v>84173.964000000007</v>
      </c>
      <c r="P32">
        <v>84173.964000000007</v>
      </c>
      <c r="Q32">
        <v>84173.964000000007</v>
      </c>
      <c r="R32">
        <v>87454.216079999998</v>
      </c>
      <c r="S32">
        <v>87454.216079999998</v>
      </c>
      <c r="T32">
        <v>87454.216079999998</v>
      </c>
      <c r="U32">
        <v>87454.216079999998</v>
      </c>
      <c r="V32">
        <v>90816.933748799987</v>
      </c>
      <c r="W32">
        <v>90816.933748799987</v>
      </c>
      <c r="X32">
        <v>90816.933748799987</v>
      </c>
      <c r="Y32">
        <v>90816.933748799987</v>
      </c>
      <c r="Z32">
        <v>94373.758553087973</v>
      </c>
      <c r="AA32">
        <v>94373.758553087973</v>
      </c>
      <c r="AB32">
        <v>94373.758553087973</v>
      </c>
      <c r="AC32">
        <v>94373.758553087973</v>
      </c>
      <c r="AD32">
        <v>98029.125708003834</v>
      </c>
      <c r="AE32">
        <v>98029.125708003834</v>
      </c>
      <c r="AF32">
        <v>98029.125708003834</v>
      </c>
      <c r="AG32">
        <v>98029.125708003834</v>
      </c>
    </row>
    <row r="33" spans="2:33" x14ac:dyDescent="0.25">
      <c r="E33" t="s">
        <v>3</v>
      </c>
      <c r="G33" t="s">
        <v>70</v>
      </c>
      <c r="J33" cm="1">
        <f t="array" ref="J33:AG33" xml:space="preserve"> _xlfn.LET(
      _xlpm.production,_xlfn.ANCHORARRAY(        J20),
      _xlpm.material_per_unit,_xlfn.ANCHORARRAY( J30),
      _xlpm.production * _xlpm.material_per_unit / 1000 )</f>
        <v>96000</v>
      </c>
      <c r="K33">
        <v>96000</v>
      </c>
      <c r="L33">
        <v>96000</v>
      </c>
      <c r="M33">
        <v>96000</v>
      </c>
      <c r="N33">
        <v>98400</v>
      </c>
      <c r="O33">
        <v>98400</v>
      </c>
      <c r="P33">
        <v>98400</v>
      </c>
      <c r="Q33">
        <v>98400</v>
      </c>
      <c r="R33">
        <v>100860</v>
      </c>
      <c r="S33">
        <v>100860</v>
      </c>
      <c r="T33">
        <v>100860</v>
      </c>
      <c r="U33">
        <v>100860</v>
      </c>
      <c r="V33">
        <v>103381.49999999999</v>
      </c>
      <c r="W33">
        <v>103381.49999999999</v>
      </c>
      <c r="X33">
        <v>103381.49999999999</v>
      </c>
      <c r="Y33">
        <v>103381.49999999999</v>
      </c>
      <c r="Z33">
        <v>105966.03749999999</v>
      </c>
      <c r="AA33">
        <v>105966.03749999999</v>
      </c>
      <c r="AB33">
        <v>105966.03749999999</v>
      </c>
      <c r="AC33">
        <v>105966.03749999999</v>
      </c>
      <c r="AD33">
        <v>108615.18843749996</v>
      </c>
      <c r="AE33">
        <v>108615.18843749996</v>
      </c>
      <c r="AF33">
        <v>108615.18843749996</v>
      </c>
      <c r="AG33">
        <v>108615.18843749996</v>
      </c>
    </row>
    <row r="34" spans="2:33" x14ac:dyDescent="0.25">
      <c r="E34" s="22" t="s">
        <v>71</v>
      </c>
      <c r="F34" s="22"/>
      <c r="G34" s="22" t="s">
        <v>70</v>
      </c>
      <c r="H34" s="22"/>
      <c r="I34" s="22"/>
      <c r="J34" s="22" cm="1">
        <f t="array" ref="J34:AG34">_xlfn.BYCOL( _xlfn.VSTACK(_xlfn.ANCHORARRAY( J32),_xlfn.ANCHORARRAY( J33) ), _xleta.SUM )</f>
        <v>177030</v>
      </c>
      <c r="K34" s="22">
        <v>177030</v>
      </c>
      <c r="L34" s="22">
        <v>177030</v>
      </c>
      <c r="M34" s="22">
        <v>177030</v>
      </c>
      <c r="N34" s="22">
        <v>182573.96400000001</v>
      </c>
      <c r="O34" s="22">
        <v>182573.96400000001</v>
      </c>
      <c r="P34" s="22">
        <v>182573.96400000001</v>
      </c>
      <c r="Q34" s="22">
        <v>182573.96400000001</v>
      </c>
      <c r="R34" s="22">
        <v>188314.21607999998</v>
      </c>
      <c r="S34" s="22">
        <v>188314.21607999998</v>
      </c>
      <c r="T34" s="22">
        <v>188314.21607999998</v>
      </c>
      <c r="U34" s="22">
        <v>188314.21607999998</v>
      </c>
      <c r="V34" s="22">
        <v>194198.43374879996</v>
      </c>
      <c r="W34" s="22">
        <v>194198.43374879996</v>
      </c>
      <c r="X34" s="22">
        <v>194198.43374879996</v>
      </c>
      <c r="Y34" s="22">
        <v>194198.43374879996</v>
      </c>
      <c r="Z34" s="22">
        <v>200339.79605308798</v>
      </c>
      <c r="AA34" s="22">
        <v>200339.79605308798</v>
      </c>
      <c r="AB34" s="22">
        <v>200339.79605308798</v>
      </c>
      <c r="AC34" s="22">
        <v>200339.79605308798</v>
      </c>
      <c r="AD34" s="22">
        <v>206644.3141455038</v>
      </c>
      <c r="AE34" s="22">
        <v>206644.3141455038</v>
      </c>
      <c r="AF34" s="22">
        <v>206644.3141455038</v>
      </c>
      <c r="AG34" s="22">
        <v>206644.3141455038</v>
      </c>
    </row>
    <row r="36" spans="2:33" x14ac:dyDescent="0.25">
      <c r="E36" t="s">
        <v>72</v>
      </c>
      <c r="G36" t="s">
        <v>67</v>
      </c>
      <c r="J36" s="23" cm="1">
        <f t="array" ref="J36:AG36" xml:space="preserve"> _xlfn.LET(
      _xlpm.production,_xlfn.ANCHORARRAY(         J20),
      _xlpm.cost_of_production,_xlfn.ANCHORARRAY( J34),
      _xlpm.cost_of_production / _xlpm.production * 1000 )</f>
        <v>590.09999999999991</v>
      </c>
      <c r="K36" s="23">
        <v>590.09999999999991</v>
      </c>
      <c r="L36" s="23">
        <v>590.09999999999991</v>
      </c>
      <c r="M36" s="23">
        <v>590.09999999999991</v>
      </c>
      <c r="N36" s="23">
        <v>608.57988000000012</v>
      </c>
      <c r="O36" s="23">
        <v>608.57988000000012</v>
      </c>
      <c r="P36" s="23">
        <v>608.57988000000012</v>
      </c>
      <c r="Q36" s="23">
        <v>608.57988000000012</v>
      </c>
      <c r="R36" s="23">
        <v>627.71405359999994</v>
      </c>
      <c r="S36" s="23">
        <v>627.71405359999994</v>
      </c>
      <c r="T36" s="23">
        <v>627.71405359999994</v>
      </c>
      <c r="U36" s="23">
        <v>627.71405359999994</v>
      </c>
      <c r="V36" s="23">
        <v>647.3281124959999</v>
      </c>
      <c r="W36" s="23">
        <v>647.3281124959999</v>
      </c>
      <c r="X36" s="23">
        <v>647.3281124959999</v>
      </c>
      <c r="Y36" s="23">
        <v>647.3281124959999</v>
      </c>
      <c r="Z36" s="23">
        <v>667.79932017696001</v>
      </c>
      <c r="AA36" s="23">
        <v>667.79932017696001</v>
      </c>
      <c r="AB36" s="23">
        <v>667.79932017696001</v>
      </c>
      <c r="AC36" s="23">
        <v>667.79932017696001</v>
      </c>
      <c r="AD36" s="23">
        <v>688.81438048501263</v>
      </c>
      <c r="AE36" s="23">
        <v>688.81438048501263</v>
      </c>
      <c r="AF36" s="23">
        <v>688.81438048501263</v>
      </c>
      <c r="AG36" s="23">
        <v>688.81438048501263</v>
      </c>
    </row>
    <row r="37" spans="2:33" ht="14.4" x14ac:dyDescent="0.25">
      <c r="E37" s="32" t="s">
        <v>74</v>
      </c>
      <c r="H37" s="33" t="str" cm="1">
        <f t="array" ref="H37">IF( _xlfn.BYROW(_xlfn.ANCHORARRAY( J37), _xleta.SUM ) = 0, "OK", "Check" )</f>
        <v>OK</v>
      </c>
      <c r="J37" s="23" cm="1">
        <f t="array" ref="J37:AG37" xml:space="preserve"> _xlfn.LET(
      _xlpm.hourly_rate,_xlfn.ANCHORARRAY(     J28),
      _xlpm.production_time,_xlfn.ANCHORARRAY( J29),
      _xlpm.salaries,        _xlpm.hourly_rate * _xlpm.production_time,
      _xlpm.material_cost,_xlfn.ANCHORARRAY(   J30),
      _xlpm.cost_per_unit,_xlfn.ANCHORARRAY(   J36),
      ROUND( _xlpm.cost_per_unit - ( _xlpm.salaries + _xlpm.material_cost ), 2 ) )</f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>
        <v>0</v>
      </c>
      <c r="AG37" s="23">
        <v>0</v>
      </c>
    </row>
    <row r="39" spans="2:33" x14ac:dyDescent="0.25">
      <c r="C39" s="15" t="s">
        <v>41</v>
      </c>
    </row>
    <row r="41" spans="2:33" x14ac:dyDescent="0.25">
      <c r="E41" t="s">
        <v>73</v>
      </c>
      <c r="G41" t="s">
        <v>67</v>
      </c>
      <c r="J41" s="28" cm="1">
        <f t="array" ref="J41:AG41" xml:space="preserve"> _xlfn.LET(
      _xlpm.unit_cost,_xlfn.ANCHORARRAY(   J36),
      _xlpm.mark_up,     Case2Data!$E$21,
      _xlpm.yoy_change,  Case2Data!$E$22,
      _xlpm.period,      YEAR(_xlfn.ANCHORARRAY( J$3) ) - YEAR( start_date ),
      _xlpm.growth_rate, 1 + ( _xlpm.mark_up + ( _xlpm.yoy_change * _xlpm.period ) ),
      ROUND( _xlpm.unit_cost * _xlpm.growth_rate, 2 ) )</f>
        <v>737.63</v>
      </c>
      <c r="K41" s="25">
        <v>737.63</v>
      </c>
      <c r="L41" s="25">
        <v>737.63</v>
      </c>
      <c r="M41" s="25">
        <v>737.63</v>
      </c>
      <c r="N41" s="25">
        <v>757.68</v>
      </c>
      <c r="O41" s="25">
        <v>757.68</v>
      </c>
      <c r="P41" s="25">
        <v>757.68</v>
      </c>
      <c r="Q41" s="25">
        <v>757.68</v>
      </c>
      <c r="R41" s="25">
        <v>778.37</v>
      </c>
      <c r="S41" s="25">
        <v>778.37</v>
      </c>
      <c r="T41" s="25">
        <v>778.37</v>
      </c>
      <c r="U41" s="25">
        <v>778.37</v>
      </c>
      <c r="V41" s="25">
        <v>799.45</v>
      </c>
      <c r="W41" s="25">
        <v>799.45</v>
      </c>
      <c r="X41" s="25">
        <v>799.45</v>
      </c>
      <c r="Y41" s="25">
        <v>799.45</v>
      </c>
      <c r="Z41" s="25">
        <v>821.39</v>
      </c>
      <c r="AA41" s="25">
        <v>821.39</v>
      </c>
      <c r="AB41" s="25">
        <v>821.39</v>
      </c>
      <c r="AC41" s="25">
        <v>821.39</v>
      </c>
      <c r="AD41" s="25">
        <v>843.8</v>
      </c>
      <c r="AE41" s="25">
        <v>843.8</v>
      </c>
      <c r="AF41" s="25">
        <v>843.8</v>
      </c>
      <c r="AG41" s="25">
        <v>843.8</v>
      </c>
    </row>
    <row r="42" spans="2:33" x14ac:dyDescent="0.25">
      <c r="E42" t="s">
        <v>59</v>
      </c>
      <c r="G42" t="s">
        <v>38</v>
      </c>
      <c r="J42" s="26" cm="1">
        <f t="array" ref="J42:AG42">_xlfn.ANCHORARRAY( J24)</f>
        <v>150000</v>
      </c>
      <c r="K42" s="26">
        <v>250000</v>
      </c>
      <c r="L42" s="26">
        <v>200000</v>
      </c>
      <c r="M42" s="26">
        <v>400000</v>
      </c>
      <c r="N42" s="26">
        <v>157500</v>
      </c>
      <c r="O42" s="26">
        <v>262500</v>
      </c>
      <c r="P42" s="26">
        <v>210000</v>
      </c>
      <c r="Q42" s="26">
        <v>420000</v>
      </c>
      <c r="R42" s="26">
        <v>165375</v>
      </c>
      <c r="S42" s="26">
        <v>275625</v>
      </c>
      <c r="T42" s="26">
        <v>220500</v>
      </c>
      <c r="U42" s="26">
        <v>441000</v>
      </c>
      <c r="V42" s="26">
        <v>173643.75000000003</v>
      </c>
      <c r="W42" s="26">
        <v>289406.25000000006</v>
      </c>
      <c r="X42" s="26">
        <v>231525.00000000003</v>
      </c>
      <c r="Y42" s="26">
        <v>463050.00000000006</v>
      </c>
      <c r="Z42" s="26">
        <v>182325.9375</v>
      </c>
      <c r="AA42" s="26">
        <v>303876.5625</v>
      </c>
      <c r="AB42" s="26">
        <v>243101.25</v>
      </c>
      <c r="AC42" s="26">
        <v>486202.5</v>
      </c>
      <c r="AD42" s="26">
        <v>191442.23437500003</v>
      </c>
      <c r="AE42" s="26">
        <v>319070.39062500006</v>
      </c>
      <c r="AF42" s="26">
        <v>255256.31250000003</v>
      </c>
      <c r="AG42" s="26">
        <v>510512.62500000006</v>
      </c>
    </row>
    <row r="43" spans="2:33" x14ac:dyDescent="0.25">
      <c r="E43" s="27" t="s">
        <v>41</v>
      </c>
      <c r="F43" s="27"/>
      <c r="G43" s="27" t="s">
        <v>70</v>
      </c>
      <c r="H43" s="27"/>
      <c r="I43" s="27"/>
      <c r="J43" s="27" cm="1">
        <f t="array" ref="J43:AG43">_xlfn.ANCHORARRAY( J41) *_xlfn.ANCHORARRAY( J42) / 1000</f>
        <v>110644.5</v>
      </c>
      <c r="K43" s="27">
        <v>184407.5</v>
      </c>
      <c r="L43" s="27">
        <v>147526</v>
      </c>
      <c r="M43" s="27">
        <v>295052</v>
      </c>
      <c r="N43" s="27">
        <v>119334.59999999999</v>
      </c>
      <c r="O43" s="27">
        <v>198891</v>
      </c>
      <c r="P43" s="27">
        <v>159112.79999999999</v>
      </c>
      <c r="Q43" s="27">
        <v>318225.59999999998</v>
      </c>
      <c r="R43" s="27">
        <v>128722.93875</v>
      </c>
      <c r="S43" s="27">
        <v>214538.23125000001</v>
      </c>
      <c r="T43" s="27">
        <v>171630.58499999999</v>
      </c>
      <c r="U43" s="27">
        <v>343261.17</v>
      </c>
      <c r="V43" s="27">
        <v>138819.49593750003</v>
      </c>
      <c r="W43" s="27">
        <v>231365.82656250006</v>
      </c>
      <c r="X43" s="27">
        <v>185092.66125000003</v>
      </c>
      <c r="Y43" s="27">
        <v>370185.32250000007</v>
      </c>
      <c r="Z43" s="27">
        <v>149760.701803125</v>
      </c>
      <c r="AA43" s="27">
        <v>249601.16967187499</v>
      </c>
      <c r="AB43" s="27">
        <v>199680.9357375</v>
      </c>
      <c r="AC43" s="27">
        <v>399361.87147499999</v>
      </c>
      <c r="AD43" s="27">
        <v>161538.95736562501</v>
      </c>
      <c r="AE43" s="27">
        <v>269231.59560937504</v>
      </c>
      <c r="AF43" s="27">
        <v>215385.2764875</v>
      </c>
      <c r="AG43" s="27">
        <v>430770.552975</v>
      </c>
    </row>
    <row r="44" spans="2:33" ht="15.6" x14ac:dyDescent="0.3"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</row>
    <row r="45" spans="2:33" s="16" customFormat="1" x14ac:dyDescent="0.25">
      <c r="B45" s="11" t="s">
        <v>75</v>
      </c>
    </row>
    <row r="46" spans="2:33" s="36" customFormat="1" x14ac:dyDescent="0.25">
      <c r="B46" s="37"/>
    </row>
    <row r="47" spans="2:33" x14ac:dyDescent="0.25">
      <c r="D47" s="20" t="s">
        <v>76</v>
      </c>
    </row>
    <row r="48" spans="2:33" x14ac:dyDescent="0.25">
      <c r="D48" s="20"/>
    </row>
    <row r="49" spans="4:33" x14ac:dyDescent="0.25">
      <c r="E49" t="s">
        <v>1</v>
      </c>
      <c r="G49" t="s">
        <v>38</v>
      </c>
      <c r="J49" cm="1">
        <f t="array" ref="J49:AG49">_xlfn.ANCHORARRAY( $J$20)</f>
        <v>300000</v>
      </c>
      <c r="K49">
        <v>300000</v>
      </c>
      <c r="L49">
        <v>300000</v>
      </c>
      <c r="M49">
        <v>300000</v>
      </c>
      <c r="N49">
        <v>300000</v>
      </c>
      <c r="O49">
        <v>300000</v>
      </c>
      <c r="P49">
        <v>300000</v>
      </c>
      <c r="Q49">
        <v>300000</v>
      </c>
      <c r="R49">
        <v>300000</v>
      </c>
      <c r="S49">
        <v>300000</v>
      </c>
      <c r="T49">
        <v>300000</v>
      </c>
      <c r="U49">
        <v>300000</v>
      </c>
      <c r="V49">
        <v>300000</v>
      </c>
      <c r="W49">
        <v>300000</v>
      </c>
      <c r="X49">
        <v>300000</v>
      </c>
      <c r="Y49">
        <v>300000</v>
      </c>
      <c r="Z49">
        <v>300000</v>
      </c>
      <c r="AA49">
        <v>300000</v>
      </c>
      <c r="AB49">
        <v>300000</v>
      </c>
      <c r="AC49">
        <v>300000</v>
      </c>
      <c r="AD49">
        <v>300000</v>
      </c>
      <c r="AE49">
        <v>300000</v>
      </c>
      <c r="AF49">
        <v>300000</v>
      </c>
      <c r="AG49">
        <v>300000</v>
      </c>
    </row>
    <row r="50" spans="4:33" x14ac:dyDescent="0.25">
      <c r="E50" t="s">
        <v>59</v>
      </c>
      <c r="G50" t="s">
        <v>38</v>
      </c>
      <c r="J50" cm="1">
        <f t="array" ref="J50:AG50">_xlfn.ANCHORARRAY( $J$24)</f>
        <v>150000</v>
      </c>
      <c r="K50">
        <v>250000</v>
      </c>
      <c r="L50">
        <v>200000</v>
      </c>
      <c r="M50">
        <v>400000</v>
      </c>
      <c r="N50">
        <v>157500</v>
      </c>
      <c r="O50">
        <v>262500</v>
      </c>
      <c r="P50">
        <v>210000</v>
      </c>
      <c r="Q50">
        <v>420000</v>
      </c>
      <c r="R50">
        <v>165375</v>
      </c>
      <c r="S50">
        <v>275625</v>
      </c>
      <c r="T50">
        <v>220500</v>
      </c>
      <c r="U50">
        <v>441000</v>
      </c>
      <c r="V50">
        <v>173643.75000000003</v>
      </c>
      <c r="W50">
        <v>289406.25000000006</v>
      </c>
      <c r="X50">
        <v>231525.00000000003</v>
      </c>
      <c r="Y50">
        <v>463050.00000000006</v>
      </c>
      <c r="Z50">
        <v>182325.9375</v>
      </c>
      <c r="AA50">
        <v>303876.5625</v>
      </c>
      <c r="AB50">
        <v>243101.25</v>
      </c>
      <c r="AC50">
        <v>486202.5</v>
      </c>
      <c r="AD50">
        <v>191442.23437500003</v>
      </c>
      <c r="AE50">
        <v>319070.39062500006</v>
      </c>
      <c r="AF50">
        <v>255256.31250000003</v>
      </c>
      <c r="AG50">
        <v>510512.62500000006</v>
      </c>
    </row>
    <row r="51" spans="4:33" x14ac:dyDescent="0.25">
      <c r="E51" t="s">
        <v>63</v>
      </c>
      <c r="G51" t="s">
        <v>38</v>
      </c>
      <c r="J51" cm="1">
        <f t="array" ref="J51:AG51">_xlfn.ANCHORARRAY( $J$19)</f>
        <v>0</v>
      </c>
      <c r="K51">
        <v>150000</v>
      </c>
      <c r="L51">
        <v>200000</v>
      </c>
      <c r="M51">
        <v>300000</v>
      </c>
      <c r="N51">
        <v>200000</v>
      </c>
      <c r="O51">
        <v>342500</v>
      </c>
      <c r="P51">
        <v>380000</v>
      </c>
      <c r="Q51">
        <v>470000</v>
      </c>
      <c r="R51">
        <v>350000</v>
      </c>
      <c r="S51">
        <v>484625</v>
      </c>
      <c r="T51">
        <v>509000</v>
      </c>
      <c r="U51">
        <v>588500</v>
      </c>
      <c r="V51">
        <v>447500</v>
      </c>
      <c r="W51">
        <v>573856.25</v>
      </c>
      <c r="X51">
        <v>584450</v>
      </c>
      <c r="Y51">
        <v>652925</v>
      </c>
      <c r="Z51">
        <v>489874.99999999994</v>
      </c>
      <c r="AA51">
        <v>607549.0625</v>
      </c>
      <c r="AB51">
        <v>603672.5</v>
      </c>
      <c r="AC51">
        <v>660571.25</v>
      </c>
      <c r="AD51">
        <v>474368.75</v>
      </c>
      <c r="AE51">
        <v>582926.515625</v>
      </c>
      <c r="AF51">
        <v>563856.125</v>
      </c>
      <c r="AG51">
        <v>608599.8125</v>
      </c>
    </row>
    <row r="53" spans="4:33" x14ac:dyDescent="0.25">
      <c r="E53" t="s">
        <v>77</v>
      </c>
      <c r="G53" t="s">
        <v>38</v>
      </c>
      <c r="J53" cm="1">
        <f t="array" ref="J53:AG53" xml:space="preserve"> _xlfn.LET(
      _xlpm.units_sold,_xlfn.ANCHORARRAY(                  J50),
      _xlpm.inventory_beginning_balance,_xlfn.ANCHORARRAY( J51),
      IF( _xlpm.inventory_beginning_balance &lt; _xlpm.units_sold,
           _xlpm.inventory_beginning_balance,
           _xlpm.units_sold ) )</f>
        <v>0</v>
      </c>
      <c r="K53">
        <v>150000</v>
      </c>
      <c r="L53">
        <v>200000</v>
      </c>
      <c r="M53">
        <v>300000</v>
      </c>
      <c r="N53">
        <v>157500</v>
      </c>
      <c r="O53">
        <v>262500</v>
      </c>
      <c r="P53">
        <v>210000</v>
      </c>
      <c r="Q53">
        <v>420000</v>
      </c>
      <c r="R53">
        <v>165375</v>
      </c>
      <c r="S53">
        <v>275625</v>
      </c>
      <c r="T53">
        <v>220500</v>
      </c>
      <c r="U53">
        <v>441000</v>
      </c>
      <c r="V53">
        <v>173643.75000000003</v>
      </c>
      <c r="W53">
        <v>289406.25000000006</v>
      </c>
      <c r="X53">
        <v>231525.00000000003</v>
      </c>
      <c r="Y53">
        <v>463050.00000000006</v>
      </c>
      <c r="Z53">
        <v>182325.9375</v>
      </c>
      <c r="AA53">
        <v>303876.5625</v>
      </c>
      <c r="AB53">
        <v>243101.25</v>
      </c>
      <c r="AC53">
        <v>486202.5</v>
      </c>
      <c r="AD53">
        <v>191442.23437500003</v>
      </c>
      <c r="AE53">
        <v>319070.39062500006</v>
      </c>
      <c r="AF53">
        <v>255256.31250000003</v>
      </c>
      <c r="AG53">
        <v>510512.62500000006</v>
      </c>
    </row>
    <row r="54" spans="4:33" x14ac:dyDescent="0.25">
      <c r="E54" t="s">
        <v>78</v>
      </c>
      <c r="G54" t="s">
        <v>38</v>
      </c>
      <c r="J54" cm="1">
        <f t="array" ref="J54:AG54" xml:space="preserve"> _xlfn.LET(
      _xlpm.units_sold,_xlfn.ANCHORARRAY(                J50),
      _xlpm.units_sold_from_inventory,_xlfn.ANCHORARRAY( J53),
      _xlpm.units_sold - _xlpm.units_sold_from_inventory )</f>
        <v>150000</v>
      </c>
      <c r="K54">
        <v>100000</v>
      </c>
      <c r="L54">
        <v>0</v>
      </c>
      <c r="M54">
        <v>100000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4:33" x14ac:dyDescent="0.25">
      <c r="E55" s="22" t="s">
        <v>76</v>
      </c>
      <c r="F55" s="22"/>
      <c r="G55" s="22" t="s">
        <v>38</v>
      </c>
      <c r="H55" s="22"/>
      <c r="I55" s="22"/>
      <c r="J55" s="22" cm="1">
        <f t="array" ref="J55:AG55">_xlfn.ANCHORARRAY( J53) +_xlfn.ANCHORARRAY( J54)</f>
        <v>150000</v>
      </c>
      <c r="K55" s="22">
        <v>250000</v>
      </c>
      <c r="L55" s="22">
        <v>200000</v>
      </c>
      <c r="M55" s="22">
        <v>400000</v>
      </c>
      <c r="N55" s="22">
        <v>157500</v>
      </c>
      <c r="O55" s="22">
        <v>262500</v>
      </c>
      <c r="P55" s="22">
        <v>210000</v>
      </c>
      <c r="Q55" s="22">
        <v>420000</v>
      </c>
      <c r="R55" s="22">
        <v>165375</v>
      </c>
      <c r="S55" s="22">
        <v>275625</v>
      </c>
      <c r="T55" s="22">
        <v>220500</v>
      </c>
      <c r="U55" s="22">
        <v>441000</v>
      </c>
      <c r="V55" s="22">
        <v>173643.75000000003</v>
      </c>
      <c r="W55" s="22">
        <v>289406.25000000006</v>
      </c>
      <c r="X55" s="22">
        <v>231525.00000000003</v>
      </c>
      <c r="Y55" s="22">
        <v>463050.00000000006</v>
      </c>
      <c r="Z55" s="22">
        <v>182325.9375</v>
      </c>
      <c r="AA55" s="22">
        <v>303876.5625</v>
      </c>
      <c r="AB55" s="22">
        <v>243101.25</v>
      </c>
      <c r="AC55" s="22">
        <v>486202.5</v>
      </c>
      <c r="AD55" s="22">
        <v>191442.23437500003</v>
      </c>
      <c r="AE55" s="22">
        <v>319070.39062500006</v>
      </c>
      <c r="AF55" s="22">
        <v>255256.31250000003</v>
      </c>
      <c r="AG55" s="22">
        <v>510512.62500000006</v>
      </c>
    </row>
    <row r="57" spans="4:33" x14ac:dyDescent="0.25">
      <c r="D57" s="20" t="s">
        <v>80</v>
      </c>
    </row>
    <row r="58" spans="4:33" x14ac:dyDescent="0.25">
      <c r="D58" s="20"/>
    </row>
    <row r="59" spans="4:33" x14ac:dyDescent="0.25">
      <c r="E59" t="s">
        <v>72</v>
      </c>
      <c r="G59" t="s">
        <v>67</v>
      </c>
      <c r="J59" s="23" cm="1">
        <f t="array" ref="J59:AG59">_xlfn.ANCHORARRAY( $J$36)</f>
        <v>590.09999999999991</v>
      </c>
      <c r="K59" s="23">
        <v>590.09999999999991</v>
      </c>
      <c r="L59" s="23">
        <v>590.09999999999991</v>
      </c>
      <c r="M59" s="23">
        <v>590.09999999999991</v>
      </c>
      <c r="N59" s="23">
        <v>608.57988000000012</v>
      </c>
      <c r="O59" s="23">
        <v>608.57988000000012</v>
      </c>
      <c r="P59" s="23">
        <v>608.57988000000012</v>
      </c>
      <c r="Q59" s="23">
        <v>608.57988000000012</v>
      </c>
      <c r="R59" s="23">
        <v>627.71405359999994</v>
      </c>
      <c r="S59" s="23">
        <v>627.71405359999994</v>
      </c>
      <c r="T59" s="23">
        <v>627.71405359999994</v>
      </c>
      <c r="U59" s="23">
        <v>627.71405359999994</v>
      </c>
      <c r="V59" s="23">
        <v>647.3281124959999</v>
      </c>
      <c r="W59" s="23">
        <v>647.3281124959999</v>
      </c>
      <c r="X59" s="23">
        <v>647.3281124959999</v>
      </c>
      <c r="Y59" s="23">
        <v>647.3281124959999</v>
      </c>
      <c r="Z59" s="23">
        <v>667.79932017696001</v>
      </c>
      <c r="AA59" s="23">
        <v>667.79932017696001</v>
      </c>
      <c r="AB59" s="23">
        <v>667.79932017696001</v>
      </c>
      <c r="AC59" s="23">
        <v>667.79932017696001</v>
      </c>
      <c r="AD59" s="23">
        <v>688.81438048501263</v>
      </c>
      <c r="AE59" s="23">
        <v>688.81438048501263</v>
      </c>
      <c r="AF59" s="23">
        <v>688.81438048501263</v>
      </c>
      <c r="AG59" s="23">
        <v>688.81438048501263</v>
      </c>
    </row>
    <row r="60" spans="4:33" x14ac:dyDescent="0.25">
      <c r="E60" t="s">
        <v>78</v>
      </c>
      <c r="G60" t="s">
        <v>38</v>
      </c>
      <c r="J60" cm="1">
        <f t="array" ref="J60:AG60">_xlfn.ANCHORARRAY( $J$54)</f>
        <v>150000</v>
      </c>
      <c r="K60">
        <v>100000</v>
      </c>
      <c r="L60">
        <v>0</v>
      </c>
      <c r="M60">
        <v>100000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4:33" x14ac:dyDescent="0.25">
      <c r="E61" s="27" t="s">
        <v>80</v>
      </c>
      <c r="F61" s="27"/>
      <c r="G61" s="27" t="s">
        <v>70</v>
      </c>
      <c r="H61" s="27"/>
      <c r="I61" s="27"/>
      <c r="J61" s="27" cm="1">
        <f t="array" ref="J61:AG61">_xlfn.ANCHORARRAY( J59) *_xlfn.ANCHORARRAY( J60) / 1000</f>
        <v>88514.999999999985</v>
      </c>
      <c r="K61" s="27">
        <v>59009.999999999993</v>
      </c>
      <c r="L61" s="27">
        <v>0</v>
      </c>
      <c r="M61" s="27">
        <v>59009.999999999993</v>
      </c>
      <c r="N61" s="27">
        <v>0</v>
      </c>
      <c r="O61" s="27">
        <v>0</v>
      </c>
      <c r="P61" s="27">
        <v>0</v>
      </c>
      <c r="Q61" s="27">
        <v>0</v>
      </c>
      <c r="R61" s="27">
        <v>0</v>
      </c>
      <c r="S61" s="27">
        <v>0</v>
      </c>
      <c r="T61" s="27">
        <v>0</v>
      </c>
      <c r="U61" s="27">
        <v>0</v>
      </c>
      <c r="V61" s="27">
        <v>0</v>
      </c>
      <c r="W61" s="27">
        <v>0</v>
      </c>
      <c r="X61" s="27">
        <v>0</v>
      </c>
      <c r="Y61" s="27">
        <v>0</v>
      </c>
      <c r="Z61" s="27">
        <v>0</v>
      </c>
      <c r="AA61" s="27">
        <v>0</v>
      </c>
      <c r="AB61" s="27">
        <v>0</v>
      </c>
      <c r="AC61" s="27">
        <v>0</v>
      </c>
      <c r="AD61" s="27">
        <v>0</v>
      </c>
      <c r="AE61" s="27">
        <v>0</v>
      </c>
      <c r="AF61" s="27">
        <v>0</v>
      </c>
      <c r="AG61" s="27">
        <v>0</v>
      </c>
    </row>
    <row r="63" spans="4:33" x14ac:dyDescent="0.25">
      <c r="D63" s="20" t="s">
        <v>84</v>
      </c>
    </row>
    <row r="65" spans="5:33" x14ac:dyDescent="0.25">
      <c r="E65" s="15" t="s">
        <v>81</v>
      </c>
    </row>
    <row r="66" spans="5:33" x14ac:dyDescent="0.25">
      <c r="F66" s="34" cm="1">
        <f t="array" ref="F66:F71">TRANSPOSE(_xlfn.UNIQUE(_xlfn.ANCHORARRAY($J$11),TRUE))</f>
        <v>2020</v>
      </c>
      <c r="G66" t="s">
        <v>38</v>
      </c>
      <c r="J66" cm="1">
        <f t="array" ref="J66:AG71">_xlfn.LET(
      _xlpm.production_added,_xlfn.ANCHORARRAY(     J49) -_xlfn.ANCHORARRAY( J54),
      _xlpm.year_added,_xlfn.ANCHORARRAY(           F66),
      _xlpm.current_year,         YEAR(_xlfn.ANCHORARRAY( $J$3) ),
      _xlpm.period,               _xlpm.current_year - _xlpm.year_added,
      IF( _xlpm.period = 0, _xlpm.production_added, 0 ) )</f>
        <v>150000</v>
      </c>
      <c r="K66">
        <v>200000</v>
      </c>
      <c r="L66">
        <v>300000</v>
      </c>
      <c r="M66">
        <v>200000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5:33" x14ac:dyDescent="0.25">
      <c r="F67" s="34">
        <v>2021</v>
      </c>
      <c r="G67" t="s">
        <v>38</v>
      </c>
      <c r="J67">
        <v>0</v>
      </c>
      <c r="K67">
        <v>0</v>
      </c>
      <c r="L67">
        <v>0</v>
      </c>
      <c r="M67">
        <v>0</v>
      </c>
      <c r="N67">
        <v>300000</v>
      </c>
      <c r="O67">
        <v>300000</v>
      </c>
      <c r="P67">
        <v>300000</v>
      </c>
      <c r="Q67">
        <v>300000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5:33" x14ac:dyDescent="0.25">
      <c r="F68" s="34">
        <v>2022</v>
      </c>
      <c r="G68" t="s">
        <v>38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300000</v>
      </c>
      <c r="S68">
        <v>300000</v>
      </c>
      <c r="T68">
        <v>300000</v>
      </c>
      <c r="U68">
        <v>300000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5:33" x14ac:dyDescent="0.25">
      <c r="F69" s="34">
        <v>2023</v>
      </c>
      <c r="G69" t="s">
        <v>38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300000</v>
      </c>
      <c r="W69">
        <v>300000</v>
      </c>
      <c r="X69">
        <v>300000</v>
      </c>
      <c r="Y69">
        <v>300000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5:33" x14ac:dyDescent="0.25">
      <c r="F70" s="34">
        <v>2024</v>
      </c>
      <c r="G70" t="s">
        <v>38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300000</v>
      </c>
      <c r="AA70">
        <v>300000</v>
      </c>
      <c r="AB70">
        <v>300000</v>
      </c>
      <c r="AC70">
        <v>300000</v>
      </c>
      <c r="AD70">
        <v>0</v>
      </c>
      <c r="AE70">
        <v>0</v>
      </c>
      <c r="AF70">
        <v>0</v>
      </c>
      <c r="AG70">
        <v>0</v>
      </c>
    </row>
    <row r="71" spans="5:33" x14ac:dyDescent="0.25">
      <c r="F71" s="34">
        <v>2025</v>
      </c>
      <c r="G71" t="s">
        <v>38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300000</v>
      </c>
      <c r="AE71">
        <v>300000</v>
      </c>
      <c r="AF71">
        <v>300000</v>
      </c>
      <c r="AG71">
        <v>300000</v>
      </c>
    </row>
    <row r="73" spans="5:33" x14ac:dyDescent="0.25">
      <c r="E73" s="15" t="s">
        <v>83</v>
      </c>
      <c r="G73" s="35" t="s">
        <v>72</v>
      </c>
    </row>
    <row r="74" spans="5:33" x14ac:dyDescent="0.25">
      <c r="F74" s="34" cm="1">
        <f t="array" ref="F74:F79">TRANSPOSE(_xlfn.UNIQUE(_xlfn.ANCHORARRAY($J$11),TRUE))</f>
        <v>2020</v>
      </c>
      <c r="G74" s="23" cm="1">
        <f t="array" ref="G74:G79" xml:space="preserve"> TRANSPOSE( _xlfn.UNIQUE(_xlfn.ANCHORARRAY($J$36),TRUE))</f>
        <v>590.09999999999991</v>
      </c>
      <c r="J74" s="42" cm="1">
        <f t="array" ref="J74" xml:space="preserve"> MIN( I85, J$53 - (J$73:J73 ) )</f>
        <v>0</v>
      </c>
      <c r="K74" s="36" cm="1">
        <f t="array" ref="K74" xml:space="preserve"> MIN( J85, K$53 - (K$73:K73 ) )</f>
        <v>150000</v>
      </c>
      <c r="L74" s="36" cm="1">
        <f t="array" ref="L74" xml:space="preserve"> MIN( K85, L$53 - (L$73:L73 ) )</f>
        <v>200000</v>
      </c>
      <c r="M74" s="36" cm="1">
        <f t="array" ref="M74" xml:space="preserve"> MIN( L85, M$53 - (M$73:M73 ) )</f>
        <v>300000</v>
      </c>
      <c r="N74" s="36" cm="1">
        <f t="array" ref="N74" xml:space="preserve"> MIN( M85, N$53 - (N$73:N73 ) )</f>
        <v>157500</v>
      </c>
      <c r="O74" s="36" cm="1">
        <f t="array" ref="O74" xml:space="preserve"> MIN( N85, O$53 - (O$73:O73 ) )</f>
        <v>42500</v>
      </c>
      <c r="P74" s="36" cm="1">
        <f t="array" ref="P74" xml:space="preserve"> MIN( O85, P$53 - (P$73:P73 ) )</f>
        <v>0</v>
      </c>
      <c r="Q74" s="36" cm="1">
        <f t="array" ref="Q74" xml:space="preserve"> MIN( P85, Q$53 - (Q$73:Q73 ) )</f>
        <v>0</v>
      </c>
      <c r="R74" s="36" cm="1">
        <f t="array" ref="R74" xml:space="preserve"> MIN( Q85, R$53 - (R$73:R73 ) )</f>
        <v>0</v>
      </c>
      <c r="S74" s="36" cm="1">
        <f t="array" ref="S74" xml:space="preserve"> MIN( R85, S$53 - (S$73:S73 ) )</f>
        <v>0</v>
      </c>
      <c r="T74" s="36" cm="1">
        <f t="array" ref="T74" xml:space="preserve"> MIN( S85, T$53 - (T$73:T73 ) )</f>
        <v>0</v>
      </c>
      <c r="U74" s="36" cm="1">
        <f t="array" ref="U74" xml:space="preserve"> MIN( T85, U$53 - (U$73:U73 ) )</f>
        <v>0</v>
      </c>
      <c r="V74" s="36" cm="1">
        <f t="array" ref="V74" xml:space="preserve"> MIN( U85, V$53 - (V$73:V73 ) )</f>
        <v>0</v>
      </c>
      <c r="W74" s="36" cm="1">
        <f t="array" ref="W74" xml:space="preserve"> MIN( V85, W$53 - (W$73:W73 ) )</f>
        <v>0</v>
      </c>
      <c r="X74" s="36" cm="1">
        <f t="array" ref="X74" xml:space="preserve"> MIN( W85, X$53 - (X$73:X73 ) )</f>
        <v>0</v>
      </c>
      <c r="Y74" s="36" cm="1">
        <f t="array" ref="Y74" xml:space="preserve"> MIN( X85, Y$53 - (Y$73:Y73 ) )</f>
        <v>0</v>
      </c>
      <c r="Z74" s="36" cm="1">
        <f t="array" ref="Z74" xml:space="preserve"> MIN( Y85, Z$53 - (Z$73:Z73 ) )</f>
        <v>0</v>
      </c>
      <c r="AA74" s="36" cm="1">
        <f t="array" ref="AA74" xml:space="preserve"> MIN( Z85, AA$53 - (AA$73:AA73 ) )</f>
        <v>0</v>
      </c>
      <c r="AB74" s="36" cm="1">
        <f t="array" ref="AB74" xml:space="preserve"> MIN( AA85, AB$53 - (AB$73:AB73 ) )</f>
        <v>0</v>
      </c>
      <c r="AC74" s="36" cm="1">
        <f t="array" ref="AC74" xml:space="preserve"> MIN( AB85, AC$53 - (AC$73:AC73 ) )</f>
        <v>0</v>
      </c>
      <c r="AD74" s="36" cm="1">
        <f t="array" ref="AD74" xml:space="preserve"> MIN( AC85, AD$53 - (AD$73:AD73 ) )</f>
        <v>0</v>
      </c>
      <c r="AE74" s="36" cm="1">
        <f t="array" ref="AE74" xml:space="preserve"> MIN( AD85, AE$53 - (AE$73:AE73 ) )</f>
        <v>0</v>
      </c>
      <c r="AF74" s="36" cm="1">
        <f t="array" ref="AF74" xml:space="preserve"> MIN( AE85, AF$53 - (AF$73:AF73 ) )</f>
        <v>0</v>
      </c>
      <c r="AG74" s="36" cm="1">
        <f t="array" ref="AG74" xml:space="preserve"> MIN( AF85, AG$53 - (AG$73:AG73 ) )</f>
        <v>0</v>
      </c>
    </row>
    <row r="75" spans="5:33" x14ac:dyDescent="0.25">
      <c r="F75" s="34">
        <v>2021</v>
      </c>
      <c r="G75" s="23">
        <v>608.57988000000012</v>
      </c>
      <c r="J75" s="36" cm="1">
        <f t="array" ref="J75" xml:space="preserve"> MIN( I86, J$53 - (J$73:J74 ) )</f>
        <v>0</v>
      </c>
      <c r="K75" s="36" cm="1">
        <f t="array" ref="K75" xml:space="preserve"> MIN( J86, K$53 - (K$73:K74 ) )</f>
        <v>0</v>
      </c>
      <c r="L75" s="36" cm="1">
        <f t="array" ref="L75" xml:space="preserve"> MIN( K86, L$53 - (L$73:L74 ) )</f>
        <v>0</v>
      </c>
      <c r="M75" s="36" cm="1">
        <f t="array" ref="M75" xml:space="preserve"> MIN( L86, M$53 - (M$73:M74 ) )</f>
        <v>0</v>
      </c>
      <c r="N75" s="36" cm="1">
        <f t="array" ref="N75" xml:space="preserve"> MIN( M86, N$53 - (N$73:N74 ) )</f>
        <v>0</v>
      </c>
      <c r="O75" s="36" cm="1">
        <f t="array" ref="O75" xml:space="preserve"> MIN( N86, O$53 - (O$73:O74 ) )</f>
        <v>220000</v>
      </c>
      <c r="P75" s="36" cm="1">
        <f t="array" ref="P75" xml:space="preserve"> MIN( O86, P$53 - (P$73:P74 ) )</f>
        <v>210000</v>
      </c>
      <c r="Q75" s="36" cm="1">
        <f t="array" ref="Q75" xml:space="preserve"> MIN( P86, Q$53 - (Q$73:Q74 ) )</f>
        <v>420000</v>
      </c>
      <c r="R75" s="36" cm="1">
        <f t="array" ref="R75" xml:space="preserve"> MIN( Q86, R$53 - (R$73:R74 ) )</f>
        <v>165375</v>
      </c>
      <c r="S75" s="36" cm="1">
        <f t="array" ref="S75" xml:space="preserve"> MIN( R86, S$53 - (S$73:S74 ) )</f>
        <v>184625</v>
      </c>
      <c r="T75" s="36" cm="1">
        <f t="array" ref="T75" xml:space="preserve"> MIN( S86, T$53 - (T$73:T74 ) )</f>
        <v>0</v>
      </c>
      <c r="U75" s="36" cm="1">
        <f t="array" ref="U75" xml:space="preserve"> MIN( T86, U$53 - (U$73:U74 ) )</f>
        <v>0</v>
      </c>
      <c r="V75" s="36" cm="1">
        <f t="array" ref="V75" xml:space="preserve"> MIN( U86, V$53 - (V$73:V74 ) )</f>
        <v>0</v>
      </c>
      <c r="W75" s="36" cm="1">
        <f t="array" ref="W75" xml:space="preserve"> MIN( V86, W$53 - (W$73:W74 ) )</f>
        <v>0</v>
      </c>
      <c r="X75" s="36" cm="1">
        <f t="array" ref="X75" xml:space="preserve"> MIN( W86, X$53 - (X$73:X74 ) )</f>
        <v>0</v>
      </c>
      <c r="Y75" s="36" cm="1">
        <f t="array" ref="Y75" xml:space="preserve"> MIN( X86, Y$53 - (Y$73:Y74 ) )</f>
        <v>0</v>
      </c>
      <c r="Z75" s="36" cm="1">
        <f t="array" ref="Z75" xml:space="preserve"> MIN( Y86, Z$53 - (Z$73:Z74 ) )</f>
        <v>0</v>
      </c>
      <c r="AA75" s="36" cm="1">
        <f t="array" ref="AA75" xml:space="preserve"> MIN( Z86, AA$53 - (AA$73:AA74 ) )</f>
        <v>0</v>
      </c>
      <c r="AB75" s="36" cm="1">
        <f t="array" ref="AB75" xml:space="preserve"> MIN( AA86, AB$53 - (AB$73:AB74 ) )</f>
        <v>0</v>
      </c>
      <c r="AC75" s="36" cm="1">
        <f t="array" ref="AC75" xml:space="preserve"> MIN( AB86, AC$53 - (AC$73:AC74 ) )</f>
        <v>0</v>
      </c>
      <c r="AD75" s="36" cm="1">
        <f t="array" ref="AD75" xml:space="preserve"> MIN( AC86, AD$53 - (AD$73:AD74 ) )</f>
        <v>0</v>
      </c>
      <c r="AE75" s="36" cm="1">
        <f t="array" ref="AE75" xml:space="preserve"> MIN( AD86, AE$53 - (AE$73:AE74 ) )</f>
        <v>0</v>
      </c>
      <c r="AF75" s="36" cm="1">
        <f t="array" ref="AF75" xml:space="preserve"> MIN( AE86, AF$53 - (AF$73:AF74 ) )</f>
        <v>0</v>
      </c>
      <c r="AG75" s="36" cm="1">
        <f t="array" ref="AG75" xml:space="preserve"> MIN( AF86, AG$53 - (AG$73:AG74 ) )</f>
        <v>0</v>
      </c>
    </row>
    <row r="76" spans="5:33" x14ac:dyDescent="0.25">
      <c r="F76" s="34">
        <v>2022</v>
      </c>
      <c r="G76" s="23">
        <v>627.71405359999994</v>
      </c>
      <c r="J76" s="36" cm="1">
        <f t="array" ref="J76" xml:space="preserve"> MIN( I87, J$53 - (J$73:J75 ) )</f>
        <v>0</v>
      </c>
      <c r="K76" s="36" cm="1">
        <f t="array" ref="K76" xml:space="preserve"> MIN( J87, K$53 - (K$73:K75 ) )</f>
        <v>0</v>
      </c>
      <c r="L76" s="36" cm="1">
        <f t="array" ref="L76" xml:space="preserve"> MIN( K87, L$53 - (L$73:L75 ) )</f>
        <v>0</v>
      </c>
      <c r="M76" s="36" cm="1">
        <f t="array" ref="M76" xml:space="preserve"> MIN( L87, M$53 - (M$73:M75 ) )</f>
        <v>0</v>
      </c>
      <c r="N76" s="36" cm="1">
        <f t="array" ref="N76" xml:space="preserve"> MIN( M87, N$53 - (N$73:N75 ) )</f>
        <v>0</v>
      </c>
      <c r="O76" s="36" cm="1">
        <f t="array" ref="O76" xml:space="preserve"> MIN( N87, O$53 - (O$73:O75 ) )</f>
        <v>0</v>
      </c>
      <c r="P76" s="36" cm="1">
        <f t="array" ref="P76" xml:space="preserve"> MIN( O87, P$53 - (P$73:P75 ) )</f>
        <v>0</v>
      </c>
      <c r="Q76" s="36" cm="1">
        <f t="array" ref="Q76" xml:space="preserve"> MIN( P87, Q$53 - (Q$73:Q75 ) )</f>
        <v>0</v>
      </c>
      <c r="R76" s="36" cm="1">
        <f t="array" ref="R76" xml:space="preserve"> MIN( Q87, R$53 - (R$73:R75 ) )</f>
        <v>0</v>
      </c>
      <c r="S76" s="36" cm="1">
        <f t="array" ref="S76" xml:space="preserve"> MIN( R87, S$53 - (S$73:S75 ) )</f>
        <v>91000</v>
      </c>
      <c r="T76" s="36" cm="1">
        <f t="array" ref="T76" xml:space="preserve"> MIN( S87, T$53 - (T$73:T75 ) )</f>
        <v>220500</v>
      </c>
      <c r="U76" s="36" cm="1">
        <f t="array" ref="U76" xml:space="preserve"> MIN( T87, U$53 - (U$73:U75 ) )</f>
        <v>441000</v>
      </c>
      <c r="V76" s="36" cm="1">
        <f t="array" ref="V76" xml:space="preserve"> MIN( U87, V$53 - (V$73:V75 ) )</f>
        <v>173643.75000000003</v>
      </c>
      <c r="W76" s="36" cm="1">
        <f t="array" ref="W76" xml:space="preserve"> MIN( V87, W$53 - (W$73:W75 ) )</f>
        <v>273856.25</v>
      </c>
      <c r="X76" s="36" cm="1">
        <f t="array" ref="X76" xml:space="preserve"> MIN( W87, X$53 - (X$73:X75 ) )</f>
        <v>0</v>
      </c>
      <c r="Y76" s="36" cm="1">
        <f t="array" ref="Y76" xml:space="preserve"> MIN( X87, Y$53 - (Y$73:Y75 ) )</f>
        <v>0</v>
      </c>
      <c r="Z76" s="36" cm="1">
        <f t="array" ref="Z76" xml:space="preserve"> MIN( Y87, Z$53 - (Z$73:Z75 ) )</f>
        <v>0</v>
      </c>
      <c r="AA76" s="36" cm="1">
        <f t="array" ref="AA76" xml:space="preserve"> MIN( Z87, AA$53 - (AA$73:AA75 ) )</f>
        <v>0</v>
      </c>
      <c r="AB76" s="36" cm="1">
        <f t="array" ref="AB76" xml:space="preserve"> MIN( AA87, AB$53 - (AB$73:AB75 ) )</f>
        <v>0</v>
      </c>
      <c r="AC76" s="36" cm="1">
        <f t="array" ref="AC76" xml:space="preserve"> MIN( AB87, AC$53 - (AC$73:AC75 ) )</f>
        <v>0</v>
      </c>
      <c r="AD76" s="36" cm="1">
        <f t="array" ref="AD76" xml:space="preserve"> MIN( AC87, AD$53 - (AD$73:AD75 ) )</f>
        <v>0</v>
      </c>
      <c r="AE76" s="36" cm="1">
        <f t="array" ref="AE76" xml:space="preserve"> MIN( AD87, AE$53 - (AE$73:AE75 ) )</f>
        <v>0</v>
      </c>
      <c r="AF76" s="36" cm="1">
        <f t="array" ref="AF76" xml:space="preserve"> MIN( AE87, AF$53 - (AF$73:AF75 ) )</f>
        <v>0</v>
      </c>
      <c r="AG76" s="36" cm="1">
        <f t="array" ref="AG76" xml:space="preserve"> MIN( AF87, AG$53 - (AG$73:AG75 ) )</f>
        <v>0</v>
      </c>
    </row>
    <row r="77" spans="5:33" x14ac:dyDescent="0.25">
      <c r="F77" s="34">
        <v>2023</v>
      </c>
      <c r="G77" s="23">
        <v>647.3281124959999</v>
      </c>
      <c r="J77" s="36" cm="1">
        <f t="array" ref="J77" xml:space="preserve"> MIN( I88, J$53 - (J$73:J76 ) )</f>
        <v>0</v>
      </c>
      <c r="K77" s="36" cm="1">
        <f t="array" ref="K77" xml:space="preserve"> MIN( J88, K$53 - (K$73:K76 ) )</f>
        <v>0</v>
      </c>
      <c r="L77" s="36" cm="1">
        <f t="array" ref="L77" xml:space="preserve"> MIN( K88, L$53 - (L$73:L76 ) )</f>
        <v>0</v>
      </c>
      <c r="M77" s="36" cm="1">
        <f t="array" ref="M77" xml:space="preserve"> MIN( L88, M$53 - (M$73:M76 ) )</f>
        <v>0</v>
      </c>
      <c r="N77" s="36" cm="1">
        <f t="array" ref="N77" xml:space="preserve"> MIN( M88, N$53 - (N$73:N76 ) )</f>
        <v>0</v>
      </c>
      <c r="O77" s="36" cm="1">
        <f t="array" ref="O77" xml:space="preserve"> MIN( N88, O$53 - (O$73:O76 ) )</f>
        <v>0</v>
      </c>
      <c r="P77" s="36" cm="1">
        <f t="array" ref="P77" xml:space="preserve"> MIN( O88, P$53 - (P$73:P76 ) )</f>
        <v>0</v>
      </c>
      <c r="Q77" s="36" cm="1">
        <f t="array" ref="Q77" xml:space="preserve"> MIN( P88, Q$53 - (Q$73:Q76 ) )</f>
        <v>0</v>
      </c>
      <c r="R77" s="36" cm="1">
        <f t="array" ref="R77" xml:space="preserve"> MIN( Q88, R$53 - (R$73:R76 ) )</f>
        <v>0</v>
      </c>
      <c r="S77" s="36" cm="1">
        <f t="array" ref="S77" xml:space="preserve"> MIN( R88, S$53 - (S$73:S76 ) )</f>
        <v>0</v>
      </c>
      <c r="T77" s="36" cm="1">
        <f t="array" ref="T77" xml:space="preserve"> MIN( S88, T$53 - (T$73:T76 ) )</f>
        <v>0</v>
      </c>
      <c r="U77" s="36" cm="1">
        <f t="array" ref="U77" xml:space="preserve"> MIN( T88, U$53 - (U$73:U76 ) )</f>
        <v>0</v>
      </c>
      <c r="V77" s="36" cm="1">
        <f t="array" ref="V77" xml:space="preserve"> MIN( U88, V$53 - (V$73:V76 ) )</f>
        <v>0</v>
      </c>
      <c r="W77" s="36" cm="1">
        <f t="array" ref="W77" xml:space="preserve"> MIN( V88, W$53 - (W$73:W76 ) )</f>
        <v>15550.000000000058</v>
      </c>
      <c r="X77" s="36" cm="1">
        <f t="array" ref="X77" xml:space="preserve"> MIN( W88, X$53 - (X$73:X76 ) )</f>
        <v>231525.00000000003</v>
      </c>
      <c r="Y77" s="36" cm="1">
        <f t="array" ref="Y77" xml:space="preserve"> MIN( X88, Y$53 - (Y$73:Y76 ) )</f>
        <v>463050.00000000006</v>
      </c>
      <c r="Z77" s="36" cm="1">
        <f t="array" ref="Z77" xml:space="preserve"> MIN( Y88, Z$53 - (Z$73:Z76 ) )</f>
        <v>182325.9375</v>
      </c>
      <c r="AA77" s="36" cm="1">
        <f t="array" ref="AA77" xml:space="preserve"> MIN( Z88, AA$53 - (AA$73:AA76 ) )</f>
        <v>303876.5625</v>
      </c>
      <c r="AB77" s="36" cm="1">
        <f t="array" ref="AB77" xml:space="preserve"> MIN( AA88, AB$53 - (AB$73:AB76 ) )</f>
        <v>3672.4999999999418</v>
      </c>
      <c r="AC77" s="36" cm="1">
        <f t="array" ref="AC77" xml:space="preserve"> MIN( AB88, AC$53 - (AC$73:AC76 ) )</f>
        <v>0</v>
      </c>
      <c r="AD77" s="36" cm="1">
        <f t="array" ref="AD77" xml:space="preserve"> MIN( AC88, AD$53 - (AD$73:AD76 ) )</f>
        <v>0</v>
      </c>
      <c r="AE77" s="36" cm="1">
        <f t="array" ref="AE77" xml:space="preserve"> MIN( AD88, AE$53 - (AE$73:AE76 ) )</f>
        <v>0</v>
      </c>
      <c r="AF77" s="36" cm="1">
        <f t="array" ref="AF77" xml:space="preserve"> MIN( AE88, AF$53 - (AF$73:AF76 ) )</f>
        <v>0</v>
      </c>
      <c r="AG77" s="36" cm="1">
        <f t="array" ref="AG77" xml:space="preserve"> MIN( AF88, AG$53 - (AG$73:AG76 ) )</f>
        <v>0</v>
      </c>
    </row>
    <row r="78" spans="5:33" x14ac:dyDescent="0.25">
      <c r="F78" s="34">
        <v>2024</v>
      </c>
      <c r="G78" s="23">
        <v>667.79932017696001</v>
      </c>
      <c r="J78" s="36" cm="1">
        <f t="array" ref="J78" xml:space="preserve"> MIN( I89, J$53 - (J$73:J77 ) )</f>
        <v>0</v>
      </c>
      <c r="K78" s="36" cm="1">
        <f t="array" ref="K78" xml:space="preserve"> MIN( J89, K$53 - (K$73:K77 ) )</f>
        <v>0</v>
      </c>
      <c r="L78" s="36" cm="1">
        <f t="array" ref="L78" xml:space="preserve"> MIN( K89, L$53 - (L$73:L77 ) )</f>
        <v>0</v>
      </c>
      <c r="M78" s="36" cm="1">
        <f t="array" ref="M78" xml:space="preserve"> MIN( L89, M$53 - (M$73:M77 ) )</f>
        <v>0</v>
      </c>
      <c r="N78" s="36" cm="1">
        <f t="array" ref="N78" xml:space="preserve"> MIN( M89, N$53 - (N$73:N77 ) )</f>
        <v>0</v>
      </c>
      <c r="O78" s="36" cm="1">
        <f t="array" ref="O78" xml:space="preserve"> MIN( N89, O$53 - (O$73:O77 ) )</f>
        <v>0</v>
      </c>
      <c r="P78" s="36" cm="1">
        <f t="array" ref="P78" xml:space="preserve"> MIN( O89, P$53 - (P$73:P77 ) )</f>
        <v>0</v>
      </c>
      <c r="Q78" s="36" cm="1">
        <f t="array" ref="Q78" xml:space="preserve"> MIN( P89, Q$53 - (Q$73:Q77 ) )</f>
        <v>0</v>
      </c>
      <c r="R78" s="36" cm="1">
        <f t="array" ref="R78" xml:space="preserve"> MIN( Q89, R$53 - (R$73:R77 ) )</f>
        <v>0</v>
      </c>
      <c r="S78" s="36" cm="1">
        <f t="array" ref="S78" xml:space="preserve"> MIN( R89, S$53 - (S$73:S77 ) )</f>
        <v>0</v>
      </c>
      <c r="T78" s="36" cm="1">
        <f t="array" ref="T78" xml:space="preserve"> MIN( S89, T$53 - (T$73:T77 ) )</f>
        <v>0</v>
      </c>
      <c r="U78" s="36" cm="1">
        <f t="array" ref="U78" xml:space="preserve"> MIN( T89, U$53 - (U$73:U77 ) )</f>
        <v>0</v>
      </c>
      <c r="V78" s="36" cm="1">
        <f t="array" ref="V78" xml:space="preserve"> MIN( U89, V$53 - (V$73:V77 ) )</f>
        <v>0</v>
      </c>
      <c r="W78" s="36" cm="1">
        <f t="array" ref="W78" xml:space="preserve"> MIN( V89, W$53 - (W$73:W77 ) )</f>
        <v>0</v>
      </c>
      <c r="X78" s="36" cm="1">
        <f t="array" ref="X78" xml:space="preserve"> MIN( W89, X$53 - (X$73:X77 ) )</f>
        <v>0</v>
      </c>
      <c r="Y78" s="36" cm="1">
        <f t="array" ref="Y78" xml:space="preserve"> MIN( X89, Y$53 - (Y$73:Y77 ) )</f>
        <v>0</v>
      </c>
      <c r="Z78" s="36" cm="1">
        <f t="array" ref="Z78" xml:space="preserve"> MIN( Y89, Z$53 - (Z$73:Z77 ) )</f>
        <v>0</v>
      </c>
      <c r="AA78" s="36" cm="1">
        <f t="array" ref="AA78" xml:space="preserve"> MIN( Z89, AA$53 - (AA$73:AA77 ) )</f>
        <v>0</v>
      </c>
      <c r="AB78" s="36" cm="1">
        <f t="array" ref="AB78" xml:space="preserve"> MIN( AA89, AB$53 - (AB$73:AB77 ) )</f>
        <v>239428.75000000006</v>
      </c>
      <c r="AC78" s="36" cm="1">
        <f t="array" ref="AC78" xml:space="preserve"> MIN( AB89, AC$53 - (AC$73:AC77 ) )</f>
        <v>486202.5</v>
      </c>
      <c r="AD78" s="36" cm="1">
        <f t="array" ref="AD78" xml:space="preserve"> MIN( AC89, AD$53 - (AD$73:AD77 ) )</f>
        <v>191442.23437500003</v>
      </c>
      <c r="AE78" s="36" cm="1">
        <f t="array" ref="AE78" xml:space="preserve"> MIN( AD89, AE$53 - (AE$73:AE77 ) )</f>
        <v>282926.515625</v>
      </c>
      <c r="AF78" s="36" cm="1">
        <f t="array" ref="AF78" xml:space="preserve"> MIN( AE89, AF$53 - (AF$73:AF77 ) )</f>
        <v>0</v>
      </c>
      <c r="AG78" s="36" cm="1">
        <f t="array" ref="AG78" xml:space="preserve"> MIN( AF89, AG$53 - (AG$73:AG77 ) )</f>
        <v>0</v>
      </c>
    </row>
    <row r="79" spans="5:33" x14ac:dyDescent="0.25">
      <c r="F79" s="34">
        <v>2025</v>
      </c>
      <c r="G79" s="23">
        <v>688.81438048501263</v>
      </c>
      <c r="J79" s="36" cm="1">
        <f t="array" ref="J79" xml:space="preserve"> MIN( I90, J$53 - (J$73:J78 ) )</f>
        <v>0</v>
      </c>
      <c r="K79" s="36" cm="1">
        <f t="array" ref="K79" xml:space="preserve"> MIN( J90, K$53 - (K$73:K78 ) )</f>
        <v>0</v>
      </c>
      <c r="L79" s="36" cm="1">
        <f t="array" ref="L79" xml:space="preserve"> MIN( K90, L$53 - (L$73:L78 ) )</f>
        <v>0</v>
      </c>
      <c r="M79" s="36" cm="1">
        <f t="array" ref="M79" xml:space="preserve"> MIN( L90, M$53 - (M$73:M78 ) )</f>
        <v>0</v>
      </c>
      <c r="N79" s="36" cm="1">
        <f t="array" ref="N79" xml:space="preserve"> MIN( M90, N$53 - (N$73:N78 ) )</f>
        <v>0</v>
      </c>
      <c r="O79" s="36" cm="1">
        <f t="array" ref="O79" xml:space="preserve"> MIN( N90, O$53 - (O$73:O78 ) )</f>
        <v>0</v>
      </c>
      <c r="P79" s="36" cm="1">
        <f t="array" ref="P79" xml:space="preserve"> MIN( O90, P$53 - (P$73:P78 ) )</f>
        <v>0</v>
      </c>
      <c r="Q79" s="36" cm="1">
        <f t="array" ref="Q79" xml:space="preserve"> MIN( P90, Q$53 - (Q$73:Q78 ) )</f>
        <v>0</v>
      </c>
      <c r="R79" s="36" cm="1">
        <f t="array" ref="R79" xml:space="preserve"> MIN( Q90, R$53 - (R$73:R78 ) )</f>
        <v>0</v>
      </c>
      <c r="S79" s="36" cm="1">
        <f t="array" ref="S79" xml:space="preserve"> MIN( R90, S$53 - (S$73:S78 ) )</f>
        <v>0</v>
      </c>
      <c r="T79" s="36" cm="1">
        <f t="array" ref="T79" xml:space="preserve"> MIN( S90, T$53 - (T$73:T78 ) )</f>
        <v>0</v>
      </c>
      <c r="U79" s="36" cm="1">
        <f t="array" ref="U79" xml:space="preserve"> MIN( T90, U$53 - (U$73:U78 ) )</f>
        <v>0</v>
      </c>
      <c r="V79" s="36" cm="1">
        <f t="array" ref="V79" xml:space="preserve"> MIN( U90, V$53 - (V$73:V78 ) )</f>
        <v>0</v>
      </c>
      <c r="W79" s="36" cm="1">
        <f t="array" ref="W79" xml:space="preserve"> MIN( V90, W$53 - (W$73:W78 ) )</f>
        <v>0</v>
      </c>
      <c r="X79" s="36" cm="1">
        <f t="array" ref="X79" xml:space="preserve"> MIN( W90, X$53 - (X$73:X78 ) )</f>
        <v>0</v>
      </c>
      <c r="Y79" s="36" cm="1">
        <f t="array" ref="Y79" xml:space="preserve"> MIN( X90, Y$53 - (Y$73:Y78 ) )</f>
        <v>0</v>
      </c>
      <c r="Z79" s="36" cm="1">
        <f t="array" ref="Z79" xml:space="preserve"> MIN( Y90, Z$53 - (Z$73:Z78 ) )</f>
        <v>0</v>
      </c>
      <c r="AA79" s="36" cm="1">
        <f t="array" ref="AA79" xml:space="preserve"> MIN( Z90, AA$53 - (AA$73:AA78 ) )</f>
        <v>0</v>
      </c>
      <c r="AB79" s="36" cm="1">
        <f t="array" ref="AB79" xml:space="preserve"> MIN( AA90, AB$53 - (AB$73:AB78 ) )</f>
        <v>0</v>
      </c>
      <c r="AC79" s="36" cm="1">
        <f t="array" ref="AC79" xml:space="preserve"> MIN( AB90, AC$53 - (AC$73:AC78 ) )</f>
        <v>0</v>
      </c>
      <c r="AD79" s="36" cm="1">
        <f t="array" ref="AD79" xml:space="preserve"> MIN( AC90, AD$53 - (AD$73:AD78 ) )</f>
        <v>0</v>
      </c>
      <c r="AE79" s="36" cm="1">
        <f t="array" ref="AE79" xml:space="preserve"> MIN( AD90, AE$53 - (AE$73:AE78 ) )</f>
        <v>36143.875000000058</v>
      </c>
      <c r="AF79" s="36" cm="1">
        <f t="array" ref="AF79" xml:space="preserve"> MIN( AE90, AF$53 - (AF$73:AF78 ) )</f>
        <v>255256.31250000003</v>
      </c>
      <c r="AG79" s="36" cm="1">
        <f t="array" ref="AG79" xml:space="preserve"> MIN( AF90, AG$53 - (AG$73:AG78 ) )</f>
        <v>510512.62500000006</v>
      </c>
    </row>
    <row r="80" spans="5:33" x14ac:dyDescent="0.25">
      <c r="F80" s="34"/>
      <c r="G80" s="23"/>
    </row>
    <row r="81" spans="4:33" ht="13.2" customHeight="1" x14ac:dyDescent="0.25">
      <c r="E81" s="27" t="s">
        <v>84</v>
      </c>
      <c r="F81" s="27"/>
      <c r="G81" s="27" t="s">
        <v>70</v>
      </c>
      <c r="H81" s="27"/>
      <c r="I81" s="27"/>
      <c r="J81" s="27">
        <f>_xlfn.LET(
      _xlpm.volume, J$74:J$79,
      _xlpm.cost,_xlfn.ANCHORARRAY(   $G$74),
      SUMPRODUCT( _xlpm.volume, _xlpm.cost ) / 1000 )</f>
        <v>0</v>
      </c>
      <c r="K81" s="27">
        <f t="shared" ref="K81:AG81" si="0">_xlfn.LET(
      _xlpm.volume, K$74:K$79,
      _xlpm.cost,_xlfn.ANCHORARRAY(   $G$74),
      SUMPRODUCT( _xlpm.volume, _xlpm.cost ) / 1000 )</f>
        <v>88514.999999999985</v>
      </c>
      <c r="L81" s="27">
        <f t="shared" si="0"/>
        <v>118019.99999999999</v>
      </c>
      <c r="M81" s="27">
        <f t="shared" si="0"/>
        <v>177029.99999999997</v>
      </c>
      <c r="N81" s="27">
        <f t="shared" si="0"/>
        <v>92940.749999999985</v>
      </c>
      <c r="O81" s="27">
        <f t="shared" si="0"/>
        <v>158966.82360000003</v>
      </c>
      <c r="P81" s="27">
        <f t="shared" si="0"/>
        <v>127801.77480000003</v>
      </c>
      <c r="Q81" s="27">
        <f t="shared" si="0"/>
        <v>255603.54960000006</v>
      </c>
      <c r="R81" s="27">
        <f t="shared" si="0"/>
        <v>100643.89765500002</v>
      </c>
      <c r="S81" s="27">
        <f t="shared" si="0"/>
        <v>169481.03922260003</v>
      </c>
      <c r="T81" s="27">
        <f t="shared" si="0"/>
        <v>138410.94881879998</v>
      </c>
      <c r="U81" s="27">
        <f t="shared" si="0"/>
        <v>276821.89763759996</v>
      </c>
      <c r="V81" s="27">
        <f t="shared" si="0"/>
        <v>108998.62219480501</v>
      </c>
      <c r="W81" s="27">
        <f t="shared" si="0"/>
        <v>181969.36894050779</v>
      </c>
      <c r="X81" s="27">
        <f t="shared" si="0"/>
        <v>149872.64124563639</v>
      </c>
      <c r="Y81" s="27">
        <f t="shared" si="0"/>
        <v>299745.28249127278</v>
      </c>
      <c r="Z81" s="27">
        <f t="shared" si="0"/>
        <v>118024.70498093864</v>
      </c>
      <c r="AA81" s="27">
        <f t="shared" si="0"/>
        <v>196707.84163489775</v>
      </c>
      <c r="AB81" s="27">
        <f t="shared" si="0"/>
        <v>162267.66897396088</v>
      </c>
      <c r="AC81" s="27">
        <f t="shared" si="0"/>
        <v>324685.69896833837</v>
      </c>
      <c r="AD81" s="27">
        <f t="shared" si="0"/>
        <v>127844.99396878327</v>
      </c>
      <c r="AE81" s="27">
        <f t="shared" si="0"/>
        <v>213834.55566086384</v>
      </c>
      <c r="AF81" s="27">
        <f t="shared" si="0"/>
        <v>175824.21875957632</v>
      </c>
      <c r="AG81" s="27">
        <f t="shared" si="0"/>
        <v>351648.43751915265</v>
      </c>
    </row>
    <row r="82" spans="4:33" x14ac:dyDescent="0.25">
      <c r="E82" t="s">
        <v>85</v>
      </c>
      <c r="G82" t="s">
        <v>67</v>
      </c>
      <c r="J82" cm="1">
        <f t="array" ref="J82:AG82">_xlfn.LET(
      _xlpm.units_sold, $J$74:$AG$79,
      _xlpm.cost,       $G$74:$G$79,
      _xlpm.avg_cost,   _xlfn.LAMBDA(_xlpm.units_col, IFERROR( SUMPRODUCT( _xlpm.units_col, _xlpm.cost ) / SUM( _xlpm.units_col ), 0 ) ),
      _xlfn.BYCOL( _xlpm.units_sold, _xlpm.avg_cost ) )</f>
        <v>0</v>
      </c>
      <c r="K82" s="23">
        <v>590.09999999999991</v>
      </c>
      <c r="L82" s="23">
        <v>590.09999999999991</v>
      </c>
      <c r="M82" s="23">
        <v>590.09999999999991</v>
      </c>
      <c r="N82" s="23">
        <v>590.09999999999991</v>
      </c>
      <c r="O82" s="23">
        <v>605.58789942857152</v>
      </c>
      <c r="P82" s="23">
        <v>608.57988000000012</v>
      </c>
      <c r="Q82" s="23">
        <v>608.57988000000012</v>
      </c>
      <c r="R82" s="23">
        <v>608.57988000000012</v>
      </c>
      <c r="S82" s="23">
        <v>614.89719445841274</v>
      </c>
      <c r="T82" s="23">
        <v>627.71405359999983</v>
      </c>
      <c r="U82" s="23">
        <v>627.71405359999983</v>
      </c>
      <c r="V82" s="23">
        <v>627.71405359999994</v>
      </c>
      <c r="W82" s="23">
        <v>628.76793068742563</v>
      </c>
      <c r="X82" s="23">
        <v>647.3281124959999</v>
      </c>
      <c r="Y82" s="23">
        <v>647.3281124959999</v>
      </c>
      <c r="Z82" s="23">
        <v>647.3281124959999</v>
      </c>
      <c r="AA82" s="23">
        <v>647.3281124959999</v>
      </c>
      <c r="AB82" s="23">
        <v>667.49006421793752</v>
      </c>
      <c r="AC82" s="23">
        <v>667.7993201769599</v>
      </c>
      <c r="AD82" s="23">
        <v>667.79932017696001</v>
      </c>
      <c r="AE82" s="23">
        <v>670.17987862177176</v>
      </c>
      <c r="AF82" s="23">
        <v>688.81438048501263</v>
      </c>
      <c r="AG82" s="23">
        <v>688.81438048501263</v>
      </c>
    </row>
    <row r="84" spans="4:33" x14ac:dyDescent="0.25">
      <c r="E84" s="15" t="s">
        <v>82</v>
      </c>
      <c r="G84" s="35" t="s">
        <v>72</v>
      </c>
    </row>
    <row r="85" spans="4:33" x14ac:dyDescent="0.25">
      <c r="F85" s="34" cm="1">
        <f t="array" ref="F85:F90">TRANSPOSE(_xlfn.UNIQUE(_xlfn.ANCHORARRAY($J$11),TRUE))</f>
        <v>2020</v>
      </c>
      <c r="G85" s="25" cm="1">
        <f t="array" ref="G85:G90" xml:space="preserve"> TRANSPOSE( _xlfn.UNIQUE(_xlfn.ANCHORARRAY($J$36),TRUE))</f>
        <v>590.09999999999991</v>
      </c>
      <c r="J85">
        <f xml:space="preserve"> I85 + Calculations!J66 - Calculations!J74</f>
        <v>150000</v>
      </c>
      <c r="K85">
        <f xml:space="preserve"> J85 + Calculations!K66 - Calculations!K74</f>
        <v>200000</v>
      </c>
      <c r="L85">
        <f xml:space="preserve"> K85 + Calculations!L66 - Calculations!L74</f>
        <v>300000</v>
      </c>
      <c r="M85">
        <f xml:space="preserve"> L85 + Calculations!M66 - Calculations!M74</f>
        <v>200000</v>
      </c>
      <c r="N85">
        <f xml:space="preserve"> M85 + Calculations!N66 - Calculations!N74</f>
        <v>42500</v>
      </c>
      <c r="O85">
        <f xml:space="preserve"> N85 + Calculations!O66 - Calculations!O74</f>
        <v>0</v>
      </c>
      <c r="P85">
        <f xml:space="preserve"> O85 + Calculations!P66 - Calculations!P74</f>
        <v>0</v>
      </c>
      <c r="Q85">
        <f xml:space="preserve"> P85 + Calculations!Q66 - Calculations!Q74</f>
        <v>0</v>
      </c>
      <c r="R85">
        <f xml:space="preserve"> Q85 + Calculations!R66 - Calculations!R74</f>
        <v>0</v>
      </c>
      <c r="S85">
        <f xml:space="preserve"> R85 + Calculations!S66 - Calculations!S74</f>
        <v>0</v>
      </c>
      <c r="T85">
        <f xml:space="preserve"> S85 + Calculations!T66 - Calculations!T74</f>
        <v>0</v>
      </c>
      <c r="U85">
        <f xml:space="preserve"> T85 + Calculations!U66 - Calculations!U74</f>
        <v>0</v>
      </c>
      <c r="V85">
        <f xml:space="preserve"> U85 + Calculations!V66 - Calculations!V74</f>
        <v>0</v>
      </c>
      <c r="W85">
        <f xml:space="preserve"> V85 + Calculations!W66 - Calculations!W74</f>
        <v>0</v>
      </c>
      <c r="X85">
        <f xml:space="preserve"> W85 + Calculations!X66 - Calculations!X74</f>
        <v>0</v>
      </c>
      <c r="Y85">
        <f xml:space="preserve"> X85 + Calculations!Y66 - Calculations!Y74</f>
        <v>0</v>
      </c>
      <c r="Z85">
        <f xml:space="preserve"> Y85 + Calculations!Z66 - Calculations!Z74</f>
        <v>0</v>
      </c>
      <c r="AA85">
        <f xml:space="preserve"> Z85 + Calculations!AA66 - Calculations!AA74</f>
        <v>0</v>
      </c>
      <c r="AB85">
        <f xml:space="preserve"> AA85 + Calculations!AB66 - Calculations!AB74</f>
        <v>0</v>
      </c>
      <c r="AC85">
        <f xml:space="preserve"> AB85 + Calculations!AC66 - Calculations!AC74</f>
        <v>0</v>
      </c>
      <c r="AD85">
        <f xml:space="preserve"> AC85 + Calculations!AD66 - Calculations!AD74</f>
        <v>0</v>
      </c>
      <c r="AE85">
        <f xml:space="preserve"> AD85 + Calculations!AE66 - Calculations!AE74</f>
        <v>0</v>
      </c>
      <c r="AF85">
        <f xml:space="preserve"> AE85 + Calculations!AF66 - Calculations!AF74</f>
        <v>0</v>
      </c>
      <c r="AG85">
        <f xml:space="preserve"> AF85 + Calculations!AG66 - Calculations!AG74</f>
        <v>0</v>
      </c>
    </row>
    <row r="86" spans="4:33" x14ac:dyDescent="0.25">
      <c r="F86" s="34">
        <v>2021</v>
      </c>
      <c r="G86" s="25">
        <v>608.57988000000012</v>
      </c>
      <c r="J86">
        <f xml:space="preserve"> I86 + Calculations!J67 - Calculations!J75</f>
        <v>0</v>
      </c>
      <c r="K86">
        <f xml:space="preserve"> J86 + Calculations!K67 - Calculations!K75</f>
        <v>0</v>
      </c>
      <c r="L86">
        <f xml:space="preserve"> K86 + Calculations!L67 - Calculations!L75</f>
        <v>0</v>
      </c>
      <c r="M86">
        <f xml:space="preserve"> L86 + Calculations!M67 - Calculations!M75</f>
        <v>0</v>
      </c>
      <c r="N86">
        <f xml:space="preserve"> M86 + Calculations!N67 - Calculations!N75</f>
        <v>300000</v>
      </c>
      <c r="O86">
        <f xml:space="preserve"> N86 + Calculations!O67 - Calculations!O75</f>
        <v>380000</v>
      </c>
      <c r="P86">
        <f xml:space="preserve"> O86 + Calculations!P67 - Calculations!P75</f>
        <v>470000</v>
      </c>
      <c r="Q86">
        <f xml:space="preserve"> P86 + Calculations!Q67 - Calculations!Q75</f>
        <v>350000</v>
      </c>
      <c r="R86">
        <f xml:space="preserve"> Q86 + Calculations!R67 - Calculations!R75</f>
        <v>184625</v>
      </c>
      <c r="S86">
        <f xml:space="preserve"> R86 + Calculations!S67 - Calculations!S75</f>
        <v>0</v>
      </c>
      <c r="T86">
        <f xml:space="preserve"> S86 + Calculations!T67 - Calculations!T75</f>
        <v>0</v>
      </c>
      <c r="U86">
        <f xml:space="preserve"> T86 + Calculations!U67 - Calculations!U75</f>
        <v>0</v>
      </c>
      <c r="V86">
        <f xml:space="preserve"> U86 + Calculations!V67 - Calculations!V75</f>
        <v>0</v>
      </c>
      <c r="W86">
        <f xml:space="preserve"> V86 + Calculations!W67 - Calculations!W75</f>
        <v>0</v>
      </c>
      <c r="X86">
        <f xml:space="preserve"> W86 + Calculations!X67 - Calculations!X75</f>
        <v>0</v>
      </c>
      <c r="Y86">
        <f xml:space="preserve"> X86 + Calculations!Y67 - Calculations!Y75</f>
        <v>0</v>
      </c>
      <c r="Z86">
        <f xml:space="preserve"> Y86 + Calculations!Z67 - Calculations!Z75</f>
        <v>0</v>
      </c>
      <c r="AA86">
        <f xml:space="preserve"> Z86 + Calculations!AA67 - Calculations!AA75</f>
        <v>0</v>
      </c>
      <c r="AB86">
        <f xml:space="preserve"> AA86 + Calculations!AB67 - Calculations!AB75</f>
        <v>0</v>
      </c>
      <c r="AC86">
        <f xml:space="preserve"> AB86 + Calculations!AC67 - Calculations!AC75</f>
        <v>0</v>
      </c>
      <c r="AD86">
        <f xml:space="preserve"> AC86 + Calculations!AD67 - Calculations!AD75</f>
        <v>0</v>
      </c>
      <c r="AE86">
        <f xml:space="preserve"> AD86 + Calculations!AE67 - Calculations!AE75</f>
        <v>0</v>
      </c>
      <c r="AF86">
        <f xml:space="preserve"> AE86 + Calculations!AF67 - Calculations!AF75</f>
        <v>0</v>
      </c>
      <c r="AG86">
        <f xml:space="preserve"> AF86 + Calculations!AG67 - Calculations!AG75</f>
        <v>0</v>
      </c>
    </row>
    <row r="87" spans="4:33" x14ac:dyDescent="0.25">
      <c r="F87" s="34">
        <v>2022</v>
      </c>
      <c r="G87" s="25">
        <v>627.71405359999994</v>
      </c>
      <c r="J87">
        <f xml:space="preserve"> I87 + Calculations!J68 - Calculations!J76</f>
        <v>0</v>
      </c>
      <c r="K87">
        <f xml:space="preserve"> J87 + Calculations!K68 - Calculations!K76</f>
        <v>0</v>
      </c>
      <c r="L87">
        <f xml:space="preserve"> K87 + Calculations!L68 - Calculations!L76</f>
        <v>0</v>
      </c>
      <c r="M87">
        <f xml:space="preserve"> L87 + Calculations!M68 - Calculations!M76</f>
        <v>0</v>
      </c>
      <c r="N87">
        <f xml:space="preserve"> M87 + Calculations!N68 - Calculations!N76</f>
        <v>0</v>
      </c>
      <c r="O87">
        <f xml:space="preserve"> N87 + Calculations!O68 - Calculations!O76</f>
        <v>0</v>
      </c>
      <c r="P87">
        <f xml:space="preserve"> O87 + Calculations!P68 - Calculations!P76</f>
        <v>0</v>
      </c>
      <c r="Q87">
        <f xml:space="preserve"> P87 + Calculations!Q68 - Calculations!Q76</f>
        <v>0</v>
      </c>
      <c r="R87">
        <f xml:space="preserve"> Q87 + Calculations!R68 - Calculations!R76</f>
        <v>300000</v>
      </c>
      <c r="S87">
        <f xml:space="preserve"> R87 + Calculations!S68 - Calculations!S76</f>
        <v>509000</v>
      </c>
      <c r="T87">
        <f xml:space="preserve"> S87 + Calculations!T68 - Calculations!T76</f>
        <v>588500</v>
      </c>
      <c r="U87">
        <f xml:space="preserve"> T87 + Calculations!U68 - Calculations!U76</f>
        <v>447500</v>
      </c>
      <c r="V87">
        <f xml:space="preserve"> U87 + Calculations!V68 - Calculations!V76</f>
        <v>273856.25</v>
      </c>
      <c r="W87">
        <f xml:space="preserve"> V87 + Calculations!W68 - Calculations!W76</f>
        <v>0</v>
      </c>
      <c r="X87">
        <f xml:space="preserve"> W87 + Calculations!X68 - Calculations!X76</f>
        <v>0</v>
      </c>
      <c r="Y87">
        <f xml:space="preserve"> X87 + Calculations!Y68 - Calculations!Y76</f>
        <v>0</v>
      </c>
      <c r="Z87">
        <f xml:space="preserve"> Y87 + Calculations!Z68 - Calculations!Z76</f>
        <v>0</v>
      </c>
      <c r="AA87">
        <f xml:space="preserve"> Z87 + Calculations!AA68 - Calculations!AA76</f>
        <v>0</v>
      </c>
      <c r="AB87">
        <f xml:space="preserve"> AA87 + Calculations!AB68 - Calculations!AB76</f>
        <v>0</v>
      </c>
      <c r="AC87">
        <f xml:space="preserve"> AB87 + Calculations!AC68 - Calculations!AC76</f>
        <v>0</v>
      </c>
      <c r="AD87">
        <f xml:space="preserve"> AC87 + Calculations!AD68 - Calculations!AD76</f>
        <v>0</v>
      </c>
      <c r="AE87">
        <f xml:space="preserve"> AD87 + Calculations!AE68 - Calculations!AE76</f>
        <v>0</v>
      </c>
      <c r="AF87">
        <f xml:space="preserve"> AE87 + Calculations!AF68 - Calculations!AF76</f>
        <v>0</v>
      </c>
      <c r="AG87">
        <f xml:space="preserve"> AF87 + Calculations!AG68 - Calculations!AG76</f>
        <v>0</v>
      </c>
    </row>
    <row r="88" spans="4:33" x14ac:dyDescent="0.25">
      <c r="F88" s="34">
        <v>2023</v>
      </c>
      <c r="G88" s="25">
        <v>647.3281124959999</v>
      </c>
      <c r="J88">
        <f xml:space="preserve"> I88 + Calculations!J69 - Calculations!J77</f>
        <v>0</v>
      </c>
      <c r="K88">
        <f xml:space="preserve"> J88 + Calculations!K69 - Calculations!K77</f>
        <v>0</v>
      </c>
      <c r="L88">
        <f xml:space="preserve"> K88 + Calculations!L69 - Calculations!L77</f>
        <v>0</v>
      </c>
      <c r="M88">
        <f xml:space="preserve"> L88 + Calculations!M69 - Calculations!M77</f>
        <v>0</v>
      </c>
      <c r="N88">
        <f xml:space="preserve"> M88 + Calculations!N69 - Calculations!N77</f>
        <v>0</v>
      </c>
      <c r="O88">
        <f xml:space="preserve"> N88 + Calculations!O69 - Calculations!O77</f>
        <v>0</v>
      </c>
      <c r="P88">
        <f xml:space="preserve"> O88 + Calculations!P69 - Calculations!P77</f>
        <v>0</v>
      </c>
      <c r="Q88">
        <f xml:space="preserve"> P88 + Calculations!Q69 - Calculations!Q77</f>
        <v>0</v>
      </c>
      <c r="R88">
        <f xml:space="preserve"> Q88 + Calculations!R69 - Calculations!R77</f>
        <v>0</v>
      </c>
      <c r="S88">
        <f xml:space="preserve"> R88 + Calculations!S69 - Calculations!S77</f>
        <v>0</v>
      </c>
      <c r="T88">
        <f xml:space="preserve"> S88 + Calculations!T69 - Calculations!T77</f>
        <v>0</v>
      </c>
      <c r="U88">
        <f xml:space="preserve"> T88 + Calculations!U69 - Calculations!U77</f>
        <v>0</v>
      </c>
      <c r="V88">
        <f xml:space="preserve"> U88 + Calculations!V69 - Calculations!V77</f>
        <v>300000</v>
      </c>
      <c r="W88">
        <f xml:space="preserve"> V88 + Calculations!W69 - Calculations!W77</f>
        <v>584450</v>
      </c>
      <c r="X88">
        <f xml:space="preserve"> W88 + Calculations!X69 - Calculations!X77</f>
        <v>652925</v>
      </c>
      <c r="Y88">
        <f xml:space="preserve"> X88 + Calculations!Y69 - Calculations!Y77</f>
        <v>489874.99999999994</v>
      </c>
      <c r="Z88">
        <f xml:space="preserve"> Y88 + Calculations!Z69 - Calculations!Z77</f>
        <v>307549.06249999994</v>
      </c>
      <c r="AA88">
        <f xml:space="preserve"> Z88 + Calculations!AA69 - Calculations!AA77</f>
        <v>3672.4999999999418</v>
      </c>
      <c r="AB88">
        <f xml:space="preserve"> AA88 + Calculations!AB69 - Calculations!AB77</f>
        <v>0</v>
      </c>
      <c r="AC88">
        <f xml:space="preserve"> AB88 + Calculations!AC69 - Calculations!AC77</f>
        <v>0</v>
      </c>
      <c r="AD88">
        <f xml:space="preserve"> AC88 + Calculations!AD69 - Calculations!AD77</f>
        <v>0</v>
      </c>
      <c r="AE88">
        <f xml:space="preserve"> AD88 + Calculations!AE69 - Calculations!AE77</f>
        <v>0</v>
      </c>
      <c r="AF88">
        <f xml:space="preserve"> AE88 + Calculations!AF69 - Calculations!AF77</f>
        <v>0</v>
      </c>
      <c r="AG88">
        <f xml:space="preserve"> AF88 + Calculations!AG69 - Calculations!AG77</f>
        <v>0</v>
      </c>
    </row>
    <row r="89" spans="4:33" x14ac:dyDescent="0.25">
      <c r="F89" s="34">
        <v>2024</v>
      </c>
      <c r="G89" s="25">
        <v>667.79932017696001</v>
      </c>
      <c r="J89">
        <f xml:space="preserve"> I89 + Calculations!J70 - Calculations!J78</f>
        <v>0</v>
      </c>
      <c r="K89">
        <f xml:space="preserve"> J89 + Calculations!K70 - Calculations!K78</f>
        <v>0</v>
      </c>
      <c r="L89">
        <f xml:space="preserve"> K89 + Calculations!L70 - Calculations!L78</f>
        <v>0</v>
      </c>
      <c r="M89">
        <f xml:space="preserve"> L89 + Calculations!M70 - Calculations!M78</f>
        <v>0</v>
      </c>
      <c r="N89">
        <f xml:space="preserve"> M89 + Calculations!N70 - Calculations!N78</f>
        <v>0</v>
      </c>
      <c r="O89">
        <f xml:space="preserve"> N89 + Calculations!O70 - Calculations!O78</f>
        <v>0</v>
      </c>
      <c r="P89">
        <f xml:space="preserve"> O89 + Calculations!P70 - Calculations!P78</f>
        <v>0</v>
      </c>
      <c r="Q89">
        <f xml:space="preserve"> P89 + Calculations!Q70 - Calculations!Q78</f>
        <v>0</v>
      </c>
      <c r="R89">
        <f xml:space="preserve"> Q89 + Calculations!R70 - Calculations!R78</f>
        <v>0</v>
      </c>
      <c r="S89">
        <f xml:space="preserve"> R89 + Calculations!S70 - Calculations!S78</f>
        <v>0</v>
      </c>
      <c r="T89">
        <f xml:space="preserve"> S89 + Calculations!T70 - Calculations!T78</f>
        <v>0</v>
      </c>
      <c r="U89">
        <f xml:space="preserve"> T89 + Calculations!U70 - Calculations!U78</f>
        <v>0</v>
      </c>
      <c r="V89">
        <f xml:space="preserve"> U89 + Calculations!V70 - Calculations!V78</f>
        <v>0</v>
      </c>
      <c r="W89">
        <f xml:space="preserve"> V89 + Calculations!W70 - Calculations!W78</f>
        <v>0</v>
      </c>
      <c r="X89">
        <f xml:space="preserve"> W89 + Calculations!X70 - Calculations!X78</f>
        <v>0</v>
      </c>
      <c r="Y89">
        <f xml:space="preserve"> X89 + Calculations!Y70 - Calculations!Y78</f>
        <v>0</v>
      </c>
      <c r="Z89">
        <f xml:space="preserve"> Y89 + Calculations!Z70 - Calculations!Z78</f>
        <v>300000</v>
      </c>
      <c r="AA89">
        <f xml:space="preserve"> Z89 + Calculations!AA70 - Calculations!AA78</f>
        <v>600000</v>
      </c>
      <c r="AB89">
        <f xml:space="preserve"> AA89 + Calculations!AB70 - Calculations!AB78</f>
        <v>660571.25</v>
      </c>
      <c r="AC89">
        <f xml:space="preserve"> AB89 + Calculations!AC70 - Calculations!AC78</f>
        <v>474368.75</v>
      </c>
      <c r="AD89">
        <f xml:space="preserve"> AC89 + Calculations!AD70 - Calculations!AD78</f>
        <v>282926.515625</v>
      </c>
      <c r="AE89">
        <f xml:space="preserve"> AD89 + Calculations!AE70 - Calculations!AE78</f>
        <v>0</v>
      </c>
      <c r="AF89">
        <f xml:space="preserve"> AE89 + Calculations!AF70 - Calculations!AF78</f>
        <v>0</v>
      </c>
      <c r="AG89">
        <f xml:space="preserve"> AF89 + Calculations!AG70 - Calculations!AG78</f>
        <v>0</v>
      </c>
    </row>
    <row r="90" spans="4:33" x14ac:dyDescent="0.25">
      <c r="F90" s="34">
        <v>2025</v>
      </c>
      <c r="G90" s="25">
        <v>688.81438048501263</v>
      </c>
      <c r="J90">
        <f xml:space="preserve"> I90 + Calculations!J71 - Calculations!J79</f>
        <v>0</v>
      </c>
      <c r="K90">
        <f xml:space="preserve"> J90 + Calculations!K71 - Calculations!K79</f>
        <v>0</v>
      </c>
      <c r="L90">
        <f xml:space="preserve"> K90 + Calculations!L71 - Calculations!L79</f>
        <v>0</v>
      </c>
      <c r="M90">
        <f xml:space="preserve"> L90 + Calculations!M71 - Calculations!M79</f>
        <v>0</v>
      </c>
      <c r="N90">
        <f xml:space="preserve"> M90 + Calculations!N71 - Calculations!N79</f>
        <v>0</v>
      </c>
      <c r="O90">
        <f xml:space="preserve"> N90 + Calculations!O71 - Calculations!O79</f>
        <v>0</v>
      </c>
      <c r="P90">
        <f xml:space="preserve"> O90 + Calculations!P71 - Calculations!P79</f>
        <v>0</v>
      </c>
      <c r="Q90">
        <f xml:space="preserve"> P90 + Calculations!Q71 - Calculations!Q79</f>
        <v>0</v>
      </c>
      <c r="R90">
        <f xml:space="preserve"> Q90 + Calculations!R71 - Calculations!R79</f>
        <v>0</v>
      </c>
      <c r="S90">
        <f xml:space="preserve"> R90 + Calculations!S71 - Calculations!S79</f>
        <v>0</v>
      </c>
      <c r="T90">
        <f xml:space="preserve"> S90 + Calculations!T71 - Calculations!T79</f>
        <v>0</v>
      </c>
      <c r="U90">
        <f xml:space="preserve"> T90 + Calculations!U71 - Calculations!U79</f>
        <v>0</v>
      </c>
      <c r="V90">
        <f xml:space="preserve"> U90 + Calculations!V71 - Calculations!V79</f>
        <v>0</v>
      </c>
      <c r="W90">
        <f xml:space="preserve"> V90 + Calculations!W71 - Calculations!W79</f>
        <v>0</v>
      </c>
      <c r="X90">
        <f xml:space="preserve"> W90 + Calculations!X71 - Calculations!X79</f>
        <v>0</v>
      </c>
      <c r="Y90">
        <f xml:space="preserve"> X90 + Calculations!Y71 - Calculations!Y79</f>
        <v>0</v>
      </c>
      <c r="Z90">
        <f xml:space="preserve"> Y90 + Calculations!Z71 - Calculations!Z79</f>
        <v>0</v>
      </c>
      <c r="AA90">
        <f xml:space="preserve"> Z90 + Calculations!AA71 - Calculations!AA79</f>
        <v>0</v>
      </c>
      <c r="AB90">
        <f xml:space="preserve"> AA90 + Calculations!AB71 - Calculations!AB79</f>
        <v>0</v>
      </c>
      <c r="AC90">
        <f xml:space="preserve"> AB90 + Calculations!AC71 - Calculations!AC79</f>
        <v>0</v>
      </c>
      <c r="AD90">
        <f xml:space="preserve"> AC90 + Calculations!AD71 - Calculations!AD79</f>
        <v>300000</v>
      </c>
      <c r="AE90">
        <f xml:space="preserve"> AD90 + Calculations!AE71 - Calculations!AE79</f>
        <v>563856.125</v>
      </c>
      <c r="AF90">
        <f xml:space="preserve"> AE90 + Calculations!AF71 - Calculations!AF79</f>
        <v>608599.8125</v>
      </c>
      <c r="AG90">
        <f xml:space="preserve"> AF90 + Calculations!AG71 - Calculations!AG79</f>
        <v>398087.18749999994</v>
      </c>
    </row>
    <row r="91" spans="4:33" x14ac:dyDescent="0.25">
      <c r="J91" cm="1">
        <f t="array" ref="J91:AG91">_xlfn.BYCOL( $J$85:$AG$90, _xleta.SUM )</f>
        <v>150000</v>
      </c>
      <c r="K91">
        <v>200000</v>
      </c>
      <c r="L91">
        <v>300000</v>
      </c>
      <c r="M91">
        <v>200000</v>
      </c>
      <c r="N91">
        <v>342500</v>
      </c>
      <c r="O91">
        <v>380000</v>
      </c>
      <c r="P91">
        <v>470000</v>
      </c>
      <c r="Q91">
        <v>350000</v>
      </c>
      <c r="R91">
        <v>484625</v>
      </c>
      <c r="S91">
        <v>509000</v>
      </c>
      <c r="T91">
        <v>588500</v>
      </c>
      <c r="U91">
        <v>447500</v>
      </c>
      <c r="V91">
        <v>573856.25</v>
      </c>
      <c r="W91">
        <v>584450</v>
      </c>
      <c r="X91">
        <v>652925</v>
      </c>
      <c r="Y91">
        <v>489874.99999999994</v>
      </c>
      <c r="Z91">
        <v>607549.0625</v>
      </c>
      <c r="AA91">
        <v>603672.5</v>
      </c>
      <c r="AB91">
        <v>660571.25</v>
      </c>
      <c r="AC91">
        <v>474368.75</v>
      </c>
      <c r="AD91">
        <v>582926.515625</v>
      </c>
      <c r="AE91">
        <v>563856.125</v>
      </c>
      <c r="AF91">
        <v>608599.8125</v>
      </c>
      <c r="AG91">
        <v>398087.18749999994</v>
      </c>
    </row>
    <row r="92" spans="4:33" x14ac:dyDescent="0.25">
      <c r="E92" s="22" t="s">
        <v>87</v>
      </c>
      <c r="F92" s="22"/>
      <c r="G92" s="22" t="s">
        <v>70</v>
      </c>
      <c r="H92" s="22"/>
      <c r="I92" s="22"/>
      <c r="J92" s="22" cm="1">
        <f t="array" ref="J92:AG92">_xlfn.LET(
      _xlpm.volume, $J$85:$AG$90,
      _xlpm.cost,_xlfn.ANCHORARRAY(   G85),
      _xlfn.BYCOL( _xlpm.volume, _xlfn.LAMBDA(_xlpm.col, SUMPRODUCT(_xlpm.col, _xlpm.cost) / 1000) ) )</f>
        <v>88514.999999999985</v>
      </c>
      <c r="K92" s="22">
        <v>118019.99999999999</v>
      </c>
      <c r="L92" s="22">
        <v>177029.99999999997</v>
      </c>
      <c r="M92" s="22">
        <v>118019.99999999999</v>
      </c>
      <c r="N92" s="22">
        <v>207653.21400000004</v>
      </c>
      <c r="O92" s="22">
        <v>231260.35440000004</v>
      </c>
      <c r="P92" s="22">
        <v>286032.54360000009</v>
      </c>
      <c r="Q92" s="22">
        <v>213002.95800000004</v>
      </c>
      <c r="R92" s="22">
        <v>300673.27642499999</v>
      </c>
      <c r="S92" s="22">
        <v>319506.45328239998</v>
      </c>
      <c r="T92" s="22">
        <v>369409.72054359998</v>
      </c>
      <c r="U92" s="22">
        <v>280902.038986</v>
      </c>
      <c r="V92" s="22">
        <v>366101.85053999495</v>
      </c>
      <c r="W92" s="22">
        <v>378330.91534828715</v>
      </c>
      <c r="X92" s="22">
        <v>422656.70785145072</v>
      </c>
      <c r="Y92" s="22">
        <v>317109.85910897789</v>
      </c>
      <c r="Z92" s="22">
        <v>399424.95018112729</v>
      </c>
      <c r="AA92" s="22">
        <v>403056.90459931752</v>
      </c>
      <c r="AB92" s="22">
        <v>441129.03167844471</v>
      </c>
      <c r="AC92" s="22">
        <v>316783.12876319431</v>
      </c>
      <c r="AD92" s="22">
        <v>395582.44893991482</v>
      </c>
      <c r="AE92" s="22">
        <v>388392.2074245548</v>
      </c>
      <c r="AF92" s="22">
        <v>419212.30281048233</v>
      </c>
      <c r="AG92" s="22">
        <v>274208.17943683348</v>
      </c>
    </row>
    <row r="93" spans="4:33" x14ac:dyDescent="0.25">
      <c r="E93" s="38" t="s">
        <v>88</v>
      </c>
      <c r="F93" s="38"/>
      <c r="G93" s="38" t="s">
        <v>67</v>
      </c>
      <c r="H93" s="38"/>
      <c r="I93" s="38"/>
      <c r="J93" s="39" cm="1">
        <f t="array" ref="J93:AG93">_xlfn.LET(
      _xlpm.inventory,  $J$85:$AG$90,
      _xlpm.cost,_xlfn.ANCHORARRAY(       G85),
      _xlpm.avg_cost,   _xlfn.LAMBDA(_xlpm.inventory, IFERROR( SUMPRODUCT( _xlpm.inventory, _xlpm.cost ) / SUM( _xlpm.inventory ), 0 ) ),
      _xlfn.BYCOL( _xlpm.inventory, _xlpm.avg_cost ) )</f>
        <v>590.09999999999991</v>
      </c>
      <c r="K93" s="39">
        <v>590.09999999999991</v>
      </c>
      <c r="L93" s="39">
        <v>590.09999999999991</v>
      </c>
      <c r="M93" s="39">
        <v>590.09999999999991</v>
      </c>
      <c r="N93" s="39">
        <v>606.28675620437969</v>
      </c>
      <c r="O93" s="39">
        <v>608.57988000000012</v>
      </c>
      <c r="P93" s="39">
        <v>608.57988000000023</v>
      </c>
      <c r="Q93" s="39">
        <v>608.57988000000012</v>
      </c>
      <c r="R93" s="39">
        <v>620.42460959504774</v>
      </c>
      <c r="S93" s="39">
        <v>627.71405359999994</v>
      </c>
      <c r="T93" s="39">
        <v>627.71405359999994</v>
      </c>
      <c r="U93" s="39">
        <v>627.71405360000006</v>
      </c>
      <c r="V93" s="39">
        <v>637.96787181457887</v>
      </c>
      <c r="W93" s="39">
        <v>647.3281124959999</v>
      </c>
      <c r="X93" s="39">
        <v>647.3281124959999</v>
      </c>
      <c r="Y93" s="39">
        <v>647.3281124959999</v>
      </c>
      <c r="Z93" s="39">
        <v>657.43653448749637</v>
      </c>
      <c r="AA93" s="39">
        <v>667.67478160644646</v>
      </c>
      <c r="AB93" s="39">
        <v>667.79932017696001</v>
      </c>
      <c r="AC93" s="39">
        <v>667.79932017696001</v>
      </c>
      <c r="AD93" s="39">
        <v>678.61460807934031</v>
      </c>
      <c r="AE93" s="39">
        <v>688.81438048501263</v>
      </c>
      <c r="AF93" s="39">
        <v>688.81438048501263</v>
      </c>
      <c r="AG93" s="39">
        <v>688.81438048501252</v>
      </c>
    </row>
    <row r="96" spans="4:33" x14ac:dyDescent="0.25">
      <c r="D96" s="20" t="s">
        <v>89</v>
      </c>
    </row>
    <row r="97" spans="4:33" x14ac:dyDescent="0.25">
      <c r="D97" s="20"/>
    </row>
    <row r="98" spans="4:33" x14ac:dyDescent="0.25">
      <c r="D98" s="30"/>
      <c r="E98" t="s">
        <v>90</v>
      </c>
      <c r="G98" t="s">
        <v>92</v>
      </c>
      <c r="J98" cm="1">
        <f t="array" ref="J98:AG98">_xlfn.DROP(  _xlfn.HSTACK( 0,_xlfn.ANCHORARRAY( J102) ),, -1 )</f>
        <v>0</v>
      </c>
      <c r="K98">
        <v>88515.000000000015</v>
      </c>
      <c r="L98">
        <v>118020.00000000003</v>
      </c>
      <c r="M98">
        <v>177030.00000000006</v>
      </c>
      <c r="N98">
        <v>118020.00000000009</v>
      </c>
      <c r="O98">
        <v>207653.21400000009</v>
      </c>
      <c r="P98">
        <v>231260.35440000007</v>
      </c>
      <c r="Q98">
        <v>286032.54360000003</v>
      </c>
      <c r="R98">
        <v>213002.95799999998</v>
      </c>
      <c r="S98">
        <v>300673.27642499993</v>
      </c>
      <c r="T98">
        <v>319506.45328239992</v>
      </c>
      <c r="U98">
        <v>369409.72054359992</v>
      </c>
      <c r="V98">
        <v>280902.03898599994</v>
      </c>
      <c r="W98">
        <v>366101.85053999489</v>
      </c>
      <c r="X98">
        <v>378330.91534828709</v>
      </c>
      <c r="Y98">
        <v>422656.70785145066</v>
      </c>
      <c r="Z98">
        <v>317109.85910897783</v>
      </c>
      <c r="AA98">
        <v>399424.95018112718</v>
      </c>
      <c r="AB98">
        <v>403056.90459931741</v>
      </c>
      <c r="AC98">
        <v>441129.03167844447</v>
      </c>
      <c r="AD98">
        <v>316783.12876319408</v>
      </c>
      <c r="AE98">
        <v>395582.44893991458</v>
      </c>
      <c r="AF98">
        <v>388392.20742455451</v>
      </c>
      <c r="AG98">
        <v>419212.30281048198</v>
      </c>
    </row>
    <row r="99" spans="4:33" x14ac:dyDescent="0.25">
      <c r="D99" s="43" t="s">
        <v>105</v>
      </c>
      <c r="E99" s="21" t="s">
        <v>1</v>
      </c>
      <c r="G99" t="s">
        <v>92</v>
      </c>
      <c r="J99" cm="1">
        <f t="array" ref="J99:AG99">_xlfn.ANCHORARRAY( J34)</f>
        <v>177030</v>
      </c>
      <c r="K99">
        <v>177030</v>
      </c>
      <c r="L99">
        <v>177030</v>
      </c>
      <c r="M99">
        <v>177030</v>
      </c>
      <c r="N99">
        <v>182573.96400000001</v>
      </c>
      <c r="O99">
        <v>182573.96400000001</v>
      </c>
      <c r="P99">
        <v>182573.96400000001</v>
      </c>
      <c r="Q99">
        <v>182573.96400000001</v>
      </c>
      <c r="R99">
        <v>188314.21607999998</v>
      </c>
      <c r="S99">
        <v>188314.21607999998</v>
      </c>
      <c r="T99">
        <v>188314.21607999998</v>
      </c>
      <c r="U99">
        <v>188314.21607999998</v>
      </c>
      <c r="V99">
        <v>194198.43374879996</v>
      </c>
      <c r="W99">
        <v>194198.43374879996</v>
      </c>
      <c r="X99">
        <v>194198.43374879996</v>
      </c>
      <c r="Y99">
        <v>194198.43374879996</v>
      </c>
      <c r="Z99">
        <v>200339.79605308798</v>
      </c>
      <c r="AA99">
        <v>200339.79605308798</v>
      </c>
      <c r="AB99">
        <v>200339.79605308798</v>
      </c>
      <c r="AC99">
        <v>200339.79605308798</v>
      </c>
      <c r="AD99">
        <v>206644.3141455038</v>
      </c>
      <c r="AE99">
        <v>206644.3141455038</v>
      </c>
      <c r="AF99">
        <v>206644.3141455038</v>
      </c>
      <c r="AG99">
        <v>206644.3141455038</v>
      </c>
    </row>
    <row r="100" spans="4:33" x14ac:dyDescent="0.25">
      <c r="D100" s="43" t="s">
        <v>106</v>
      </c>
      <c r="E100" s="21" t="s">
        <v>77</v>
      </c>
      <c r="G100" t="s">
        <v>92</v>
      </c>
      <c r="J100" cm="1">
        <f t="array" ref="J100:AG100" xml:space="preserve"> ( $J$81:$AG$81 ) * -1</f>
        <v>0</v>
      </c>
      <c r="K100">
        <v>-88514.999999999985</v>
      </c>
      <c r="L100">
        <v>-118019.99999999999</v>
      </c>
      <c r="M100">
        <v>-177029.99999999997</v>
      </c>
      <c r="N100">
        <v>-92940.749999999985</v>
      </c>
      <c r="O100">
        <v>-158966.82360000003</v>
      </c>
      <c r="P100">
        <v>-127801.77480000003</v>
      </c>
      <c r="Q100">
        <v>-255603.54960000006</v>
      </c>
      <c r="R100">
        <v>-100643.89765500002</v>
      </c>
      <c r="S100">
        <v>-169481.03922260003</v>
      </c>
      <c r="T100">
        <v>-138410.94881879998</v>
      </c>
      <c r="U100">
        <v>-276821.89763759996</v>
      </c>
      <c r="V100">
        <v>-108998.62219480501</v>
      </c>
      <c r="W100">
        <v>-181969.36894050779</v>
      </c>
      <c r="X100">
        <v>-149872.64124563639</v>
      </c>
      <c r="Y100">
        <v>-299745.28249127278</v>
      </c>
      <c r="Z100">
        <v>-118024.70498093864</v>
      </c>
      <c r="AA100">
        <v>-196707.84163489775</v>
      </c>
      <c r="AB100">
        <v>-162267.66897396088</v>
      </c>
      <c r="AC100">
        <v>-324685.69896833837</v>
      </c>
      <c r="AD100">
        <v>-127844.99396878327</v>
      </c>
      <c r="AE100">
        <v>-213834.55566086384</v>
      </c>
      <c r="AF100">
        <v>-175824.21875957632</v>
      </c>
      <c r="AG100">
        <v>-351648.43751915265</v>
      </c>
    </row>
    <row r="101" spans="4:33" x14ac:dyDescent="0.25">
      <c r="D101" s="43" t="s">
        <v>106</v>
      </c>
      <c r="E101" s="21" t="s">
        <v>78</v>
      </c>
      <c r="G101" t="s">
        <v>92</v>
      </c>
      <c r="J101" cm="1">
        <f t="array" ref="J101:AG101">_xlfn.ANCHORARRAY( J61) * -1</f>
        <v>-88514.999999999985</v>
      </c>
      <c r="K101">
        <v>-59009.999999999993</v>
      </c>
      <c r="L101">
        <v>0</v>
      </c>
      <c r="M101">
        <v>-59009.999999999993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4:33" x14ac:dyDescent="0.25">
      <c r="D102" s="30"/>
      <c r="E102" s="27" t="s">
        <v>91</v>
      </c>
      <c r="F102" s="27"/>
      <c r="G102" s="27" t="s">
        <v>92</v>
      </c>
      <c r="H102" s="27"/>
      <c r="I102" s="27"/>
      <c r="J102" s="27" cm="1">
        <f t="array" ref="J102:AG102" xml:space="preserve"> _xlfn.LET(
      _xlpm.production,_xlfn.ANCHORARRAY( J99),
      _xlpm.units_sold_from_inventory,_xlfn.ANCHORARRAY( J100),
      _xlpm.units_sold_from_production,_xlfn.ANCHORARRAY( J101),
      _xlpm.net_change, _xlpm.production + _xlpm.units_sold_from_inventory + _xlpm.units_sold_from_production,
      _xlfn.SCAN( 0, _xlpm.net_change, _xleta.SUM ) )</f>
        <v>88515.000000000015</v>
      </c>
      <c r="K102" s="27">
        <v>118020.00000000003</v>
      </c>
      <c r="L102" s="27">
        <v>177030.00000000006</v>
      </c>
      <c r="M102" s="27">
        <v>118020.00000000009</v>
      </c>
      <c r="N102" s="27">
        <v>207653.21400000009</v>
      </c>
      <c r="O102" s="27">
        <v>231260.35440000007</v>
      </c>
      <c r="P102" s="27">
        <v>286032.54360000003</v>
      </c>
      <c r="Q102" s="27">
        <v>213002.95799999998</v>
      </c>
      <c r="R102" s="27">
        <v>300673.27642499993</v>
      </c>
      <c r="S102" s="27">
        <v>319506.45328239992</v>
      </c>
      <c r="T102" s="27">
        <v>369409.72054359992</v>
      </c>
      <c r="U102" s="27">
        <v>280902.03898599994</v>
      </c>
      <c r="V102" s="27">
        <v>366101.85053999489</v>
      </c>
      <c r="W102" s="27">
        <v>378330.91534828709</v>
      </c>
      <c r="X102" s="27">
        <v>422656.70785145066</v>
      </c>
      <c r="Y102" s="27">
        <v>317109.85910897783</v>
      </c>
      <c r="Z102" s="27">
        <v>399424.95018112718</v>
      </c>
      <c r="AA102" s="27">
        <v>403056.90459931741</v>
      </c>
      <c r="AB102" s="27">
        <v>441129.03167844447</v>
      </c>
      <c r="AC102" s="27">
        <v>316783.12876319408</v>
      </c>
      <c r="AD102" s="27">
        <v>395582.44893991458</v>
      </c>
      <c r="AE102" s="27">
        <v>388392.20742455451</v>
      </c>
      <c r="AF102" s="27">
        <v>419212.30281048198</v>
      </c>
      <c r="AG102" s="27">
        <v>274208.17943683313</v>
      </c>
    </row>
    <row r="105" spans="4:33" x14ac:dyDescent="0.25">
      <c r="D105" s="20" t="s">
        <v>93</v>
      </c>
    </row>
    <row r="107" spans="4:33" x14ac:dyDescent="0.25">
      <c r="E107" s="15" t="s">
        <v>94</v>
      </c>
    </row>
    <row r="108" spans="4:33" x14ac:dyDescent="0.25">
      <c r="E108" t="s">
        <v>84</v>
      </c>
      <c r="G108" t="s">
        <v>70</v>
      </c>
      <c r="J108" cm="1">
        <f t="array" ref="J108:AG108" xml:space="preserve"> J81:AG81</f>
        <v>0</v>
      </c>
      <c r="K108">
        <v>88514.999999999985</v>
      </c>
      <c r="L108">
        <v>118019.99999999999</v>
      </c>
      <c r="M108">
        <v>177029.99999999997</v>
      </c>
      <c r="N108">
        <v>92940.749999999985</v>
      </c>
      <c r="O108">
        <v>158966.82360000003</v>
      </c>
      <c r="P108">
        <v>127801.77480000003</v>
      </c>
      <c r="Q108">
        <v>255603.54960000006</v>
      </c>
      <c r="R108">
        <v>100643.89765500002</v>
      </c>
      <c r="S108">
        <v>169481.03922260003</v>
      </c>
      <c r="T108">
        <v>138410.94881879998</v>
      </c>
      <c r="U108">
        <v>276821.89763759996</v>
      </c>
      <c r="V108">
        <v>108998.62219480501</v>
      </c>
      <c r="W108">
        <v>181969.36894050779</v>
      </c>
      <c r="X108">
        <v>149872.64124563639</v>
      </c>
      <c r="Y108">
        <v>299745.28249127278</v>
      </c>
      <c r="Z108">
        <v>118024.70498093864</v>
      </c>
      <c r="AA108">
        <v>196707.84163489775</v>
      </c>
      <c r="AB108">
        <v>162267.66897396088</v>
      </c>
      <c r="AC108">
        <v>324685.69896833837</v>
      </c>
      <c r="AD108">
        <v>127844.99396878327</v>
      </c>
      <c r="AE108">
        <v>213834.55566086384</v>
      </c>
      <c r="AF108">
        <v>175824.21875957632</v>
      </c>
      <c r="AG108">
        <v>351648.43751915265</v>
      </c>
    </row>
    <row r="109" spans="4:33" x14ac:dyDescent="0.25">
      <c r="E109" t="s">
        <v>80</v>
      </c>
      <c r="G109" t="s">
        <v>70</v>
      </c>
      <c r="J109" cm="1">
        <f t="array" ref="J109:AG109">_xlfn.ANCHORARRAY( J61)</f>
        <v>88514.999999999985</v>
      </c>
      <c r="K109">
        <v>59009.999999999993</v>
      </c>
      <c r="L109">
        <v>0</v>
      </c>
      <c r="M109">
        <v>59009.999999999993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4:33" x14ac:dyDescent="0.25">
      <c r="E110" s="22" t="s">
        <v>79</v>
      </c>
      <c r="F110" s="22"/>
      <c r="G110" s="22" t="s">
        <v>70</v>
      </c>
      <c r="H110" s="22"/>
      <c r="I110" s="22"/>
      <c r="J110" s="22" cm="1">
        <f t="array" ref="J110:AG110">_xlfn.BYCOL( J108:AG109, _xleta.SUM )</f>
        <v>88514.999999999985</v>
      </c>
      <c r="K110" s="22">
        <v>147524.99999999997</v>
      </c>
      <c r="L110" s="22">
        <v>118019.99999999999</v>
      </c>
      <c r="M110" s="22">
        <v>236039.99999999997</v>
      </c>
      <c r="N110" s="22">
        <v>92940.749999999985</v>
      </c>
      <c r="O110" s="22">
        <v>158966.82360000003</v>
      </c>
      <c r="P110" s="22">
        <v>127801.77480000003</v>
      </c>
      <c r="Q110" s="22">
        <v>255603.54960000006</v>
      </c>
      <c r="R110" s="22">
        <v>100643.89765500002</v>
      </c>
      <c r="S110" s="22">
        <v>169481.03922260003</v>
      </c>
      <c r="T110" s="22">
        <v>138410.94881879998</v>
      </c>
      <c r="U110" s="22">
        <v>276821.89763759996</v>
      </c>
      <c r="V110" s="22">
        <v>108998.62219480501</v>
      </c>
      <c r="W110" s="22">
        <v>181969.36894050779</v>
      </c>
      <c r="X110" s="22">
        <v>149872.64124563639</v>
      </c>
      <c r="Y110" s="22">
        <v>299745.28249127278</v>
      </c>
      <c r="Z110" s="22">
        <v>118024.70498093864</v>
      </c>
      <c r="AA110" s="22">
        <v>196707.84163489775</v>
      </c>
      <c r="AB110" s="22">
        <v>162267.66897396088</v>
      </c>
      <c r="AC110" s="22">
        <v>324685.69896833837</v>
      </c>
      <c r="AD110" s="22">
        <v>127844.99396878327</v>
      </c>
      <c r="AE110" s="22">
        <v>213834.55566086384</v>
      </c>
      <c r="AF110" s="22">
        <v>175824.21875957632</v>
      </c>
      <c r="AG110" s="22">
        <v>351648.43751915265</v>
      </c>
    </row>
    <row r="112" spans="4:33" x14ac:dyDescent="0.25">
      <c r="E112" s="15" t="s">
        <v>95</v>
      </c>
    </row>
    <row r="113" spans="2:33" x14ac:dyDescent="0.25">
      <c r="E113" t="s">
        <v>96</v>
      </c>
      <c r="G113" t="s">
        <v>38</v>
      </c>
      <c r="J113" cm="1">
        <f t="array" ref="J113:AG113">_xlfn.ANCHORARRAY( J53)</f>
        <v>0</v>
      </c>
      <c r="K113">
        <v>150000</v>
      </c>
      <c r="L113">
        <v>200000</v>
      </c>
      <c r="M113">
        <v>300000</v>
      </c>
      <c r="N113">
        <v>157500</v>
      </c>
      <c r="O113">
        <v>262500</v>
      </c>
      <c r="P113">
        <v>210000</v>
      </c>
      <c r="Q113">
        <v>420000</v>
      </c>
      <c r="R113">
        <v>165375</v>
      </c>
      <c r="S113">
        <v>275625</v>
      </c>
      <c r="T113">
        <v>220500</v>
      </c>
      <c r="U113">
        <v>441000</v>
      </c>
      <c r="V113">
        <v>173643.75000000003</v>
      </c>
      <c r="W113">
        <v>289406.25000000006</v>
      </c>
      <c r="X113">
        <v>231525.00000000003</v>
      </c>
      <c r="Y113">
        <v>463050.00000000006</v>
      </c>
      <c r="Z113">
        <v>182325.9375</v>
      </c>
      <c r="AA113">
        <v>303876.5625</v>
      </c>
      <c r="AB113">
        <v>243101.25</v>
      </c>
      <c r="AC113">
        <v>486202.5</v>
      </c>
      <c r="AD113">
        <v>191442.23437500003</v>
      </c>
      <c r="AE113">
        <v>319070.39062500006</v>
      </c>
      <c r="AF113">
        <v>255256.31250000003</v>
      </c>
      <c r="AG113">
        <v>510512.62500000006</v>
      </c>
    </row>
    <row r="114" spans="2:33" x14ac:dyDescent="0.25">
      <c r="E114" t="s">
        <v>97</v>
      </c>
      <c r="G114" t="s">
        <v>38</v>
      </c>
      <c r="J114" cm="1">
        <f t="array" ref="J114:AG114">_xlfn.ANCHORARRAY( J54)</f>
        <v>150000</v>
      </c>
      <c r="K114">
        <v>100000</v>
      </c>
      <c r="L114">
        <v>0</v>
      </c>
      <c r="M114">
        <v>100000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2:33" x14ac:dyDescent="0.25">
      <c r="E115" s="22" t="s">
        <v>79</v>
      </c>
      <c r="F115" s="22"/>
      <c r="G115" s="22" t="s">
        <v>38</v>
      </c>
      <c r="H115" s="22"/>
      <c r="I115" s="22"/>
      <c r="J115" s="22" cm="1">
        <f t="array" ref="J115:AG115">_xlfn.BYCOL( J113:AG114, _xleta.SUM )</f>
        <v>150000</v>
      </c>
      <c r="K115" s="22">
        <v>250000</v>
      </c>
      <c r="L115" s="22">
        <v>200000</v>
      </c>
      <c r="M115" s="22">
        <v>400000</v>
      </c>
      <c r="N115" s="22">
        <v>157500</v>
      </c>
      <c r="O115" s="22">
        <v>262500</v>
      </c>
      <c r="P115" s="22">
        <v>210000</v>
      </c>
      <c r="Q115" s="22">
        <v>420000</v>
      </c>
      <c r="R115" s="22">
        <v>165375</v>
      </c>
      <c r="S115" s="22">
        <v>275625</v>
      </c>
      <c r="T115" s="22">
        <v>220500</v>
      </c>
      <c r="U115" s="22">
        <v>441000</v>
      </c>
      <c r="V115" s="22">
        <v>173643.75000000003</v>
      </c>
      <c r="W115" s="22">
        <v>289406.25000000006</v>
      </c>
      <c r="X115" s="22">
        <v>231525.00000000003</v>
      </c>
      <c r="Y115" s="22">
        <v>463050.00000000006</v>
      </c>
      <c r="Z115" s="22">
        <v>182325.9375</v>
      </c>
      <c r="AA115" s="22">
        <v>303876.5625</v>
      </c>
      <c r="AB115" s="22">
        <v>243101.25</v>
      </c>
      <c r="AC115" s="22">
        <v>486202.5</v>
      </c>
      <c r="AD115" s="22">
        <v>191442.23437500003</v>
      </c>
      <c r="AE115" s="22">
        <v>319070.39062500006</v>
      </c>
      <c r="AF115" s="22">
        <v>255256.31250000003</v>
      </c>
      <c r="AG115" s="22">
        <v>510512.62500000006</v>
      </c>
    </row>
    <row r="117" spans="2:33" x14ac:dyDescent="0.25">
      <c r="E117" s="15" t="s">
        <v>98</v>
      </c>
    </row>
    <row r="118" spans="2:33" x14ac:dyDescent="0.25">
      <c r="E118" t="s">
        <v>84</v>
      </c>
      <c r="G118" t="s">
        <v>70</v>
      </c>
      <c r="J118" s="23" cm="1">
        <f t="array" ref="J118:AG118" xml:space="preserve"> IFERROR(_xlfn.ANCHORARRAY( J108) /_xlfn.ANCHORARRAY( J113) * 1000, 0 )</f>
        <v>0</v>
      </c>
      <c r="K118" s="23">
        <v>590.09999999999991</v>
      </c>
      <c r="L118" s="23">
        <v>590.09999999999991</v>
      </c>
      <c r="M118" s="23">
        <v>590.09999999999991</v>
      </c>
      <c r="N118" s="23">
        <v>590.09999999999991</v>
      </c>
      <c r="O118" s="23">
        <v>605.58789942857152</v>
      </c>
      <c r="P118" s="23">
        <v>608.57988000000023</v>
      </c>
      <c r="Q118" s="23">
        <v>608.57988000000023</v>
      </c>
      <c r="R118" s="23">
        <v>608.57988000000023</v>
      </c>
      <c r="S118" s="23">
        <v>614.89719445841286</v>
      </c>
      <c r="T118" s="23">
        <v>627.71405359999983</v>
      </c>
      <c r="U118" s="23">
        <v>627.71405359999983</v>
      </c>
      <c r="V118" s="23">
        <v>627.71405359999994</v>
      </c>
      <c r="W118" s="23">
        <v>628.76793068742552</v>
      </c>
      <c r="X118" s="23">
        <v>647.3281124959999</v>
      </c>
      <c r="Y118" s="23">
        <v>647.3281124959999</v>
      </c>
      <c r="Z118" s="23">
        <v>647.3281124959999</v>
      </c>
      <c r="AA118" s="23">
        <v>647.3281124959999</v>
      </c>
      <c r="AB118" s="23">
        <v>667.49006421793752</v>
      </c>
      <c r="AC118" s="23">
        <v>667.79932017696001</v>
      </c>
      <c r="AD118" s="23">
        <v>667.79932017696001</v>
      </c>
      <c r="AE118" s="23">
        <v>670.17987862177176</v>
      </c>
      <c r="AF118" s="23">
        <v>688.81438048501275</v>
      </c>
      <c r="AG118" s="23">
        <v>688.81438048501275</v>
      </c>
    </row>
    <row r="119" spans="2:33" x14ac:dyDescent="0.25">
      <c r="E119" t="s">
        <v>80</v>
      </c>
      <c r="G119" t="s">
        <v>70</v>
      </c>
      <c r="J119" s="40" cm="1">
        <f t="array" ref="J119:AG119" xml:space="preserve"> IFERROR(_xlfn.ANCHORARRAY( J109) /_xlfn.ANCHORARRAY( J114) * 1000, 0 )</f>
        <v>590.09999999999991</v>
      </c>
      <c r="K119" s="40">
        <v>590.09999999999991</v>
      </c>
      <c r="L119" s="40">
        <v>0</v>
      </c>
      <c r="M119" s="40">
        <v>590.09999999999991</v>
      </c>
      <c r="N119" s="40">
        <v>0</v>
      </c>
      <c r="O119" s="40">
        <v>0</v>
      </c>
      <c r="P119" s="40">
        <v>0</v>
      </c>
      <c r="Q119" s="40">
        <v>0</v>
      </c>
      <c r="R119" s="40">
        <v>0</v>
      </c>
      <c r="S119" s="40">
        <v>0</v>
      </c>
      <c r="T119" s="40">
        <v>0</v>
      </c>
      <c r="U119" s="40">
        <v>0</v>
      </c>
      <c r="V119" s="40">
        <v>0</v>
      </c>
      <c r="W119" s="40">
        <v>0</v>
      </c>
      <c r="X119" s="40">
        <v>0</v>
      </c>
      <c r="Y119" s="40">
        <v>0</v>
      </c>
      <c r="Z119" s="40">
        <v>0</v>
      </c>
      <c r="AA119" s="40">
        <v>0</v>
      </c>
      <c r="AB119" s="40">
        <v>0</v>
      </c>
      <c r="AC119" s="40">
        <v>0</v>
      </c>
      <c r="AD119" s="40">
        <v>0</v>
      </c>
      <c r="AE119" s="40">
        <v>0</v>
      </c>
      <c r="AF119" s="40">
        <v>0</v>
      </c>
      <c r="AG119" s="40">
        <v>0</v>
      </c>
    </row>
    <row r="120" spans="2:33" x14ac:dyDescent="0.25">
      <c r="E120" s="22" t="s">
        <v>79</v>
      </c>
      <c r="F120" s="22"/>
      <c r="G120" s="22" t="s">
        <v>70</v>
      </c>
      <c r="H120" s="22"/>
      <c r="I120" s="22"/>
      <c r="J120" s="41" cm="1">
        <f t="array" ref="J120:AG120" xml:space="preserve"> IFERROR(_xlfn.ANCHORARRAY( J110) /_xlfn.ANCHORARRAY( J115) * 1000, 0 )</f>
        <v>590.09999999999991</v>
      </c>
      <c r="K120" s="41">
        <v>590.0999999999998</v>
      </c>
      <c r="L120" s="41">
        <v>590.09999999999991</v>
      </c>
      <c r="M120" s="41">
        <v>590.09999999999991</v>
      </c>
      <c r="N120" s="41">
        <v>590.09999999999991</v>
      </c>
      <c r="O120" s="41">
        <v>605.58789942857152</v>
      </c>
      <c r="P120" s="41">
        <v>608.57988000000023</v>
      </c>
      <c r="Q120" s="41">
        <v>608.57988000000023</v>
      </c>
      <c r="R120" s="41">
        <v>608.57988000000023</v>
      </c>
      <c r="S120" s="41">
        <v>614.89719445841286</v>
      </c>
      <c r="T120" s="41">
        <v>627.71405359999983</v>
      </c>
      <c r="U120" s="41">
        <v>627.71405359999983</v>
      </c>
      <c r="V120" s="41">
        <v>627.71405359999994</v>
      </c>
      <c r="W120" s="41">
        <v>628.76793068742552</v>
      </c>
      <c r="X120" s="41">
        <v>647.3281124959999</v>
      </c>
      <c r="Y120" s="41">
        <v>647.3281124959999</v>
      </c>
      <c r="Z120" s="41">
        <v>647.3281124959999</v>
      </c>
      <c r="AA120" s="41">
        <v>647.3281124959999</v>
      </c>
      <c r="AB120" s="41">
        <v>667.49006421793752</v>
      </c>
      <c r="AC120" s="41">
        <v>667.79932017696001</v>
      </c>
      <c r="AD120" s="41">
        <v>667.79932017696001</v>
      </c>
      <c r="AE120" s="41">
        <v>670.17987862177176</v>
      </c>
      <c r="AF120" s="41">
        <v>688.81438048501275</v>
      </c>
      <c r="AG120" s="41">
        <v>688.81438048501275</v>
      </c>
    </row>
    <row r="122" spans="2:33" s="16" customFormat="1" x14ac:dyDescent="0.25">
      <c r="B122" s="11" t="s">
        <v>86</v>
      </c>
    </row>
    <row r="123" spans="2:33" x14ac:dyDescent="0.25">
      <c r="E123" s="36"/>
    </row>
    <row r="124" spans="2:33" x14ac:dyDescent="0.25">
      <c r="D124" s="20" t="s">
        <v>99</v>
      </c>
    </row>
    <row r="125" spans="2:33" x14ac:dyDescent="0.25">
      <c r="D125" s="20"/>
    </row>
    <row r="126" spans="2:33" x14ac:dyDescent="0.25">
      <c r="E126" t="s">
        <v>1</v>
      </c>
      <c r="G126" t="s">
        <v>38</v>
      </c>
      <c r="J126" cm="1">
        <f t="array" ref="J126:AG126">_xlfn.ANCHORARRAY( $J$20)</f>
        <v>300000</v>
      </c>
      <c r="K126">
        <v>300000</v>
      </c>
      <c r="L126">
        <v>300000</v>
      </c>
      <c r="M126">
        <v>300000</v>
      </c>
      <c r="N126">
        <v>300000</v>
      </c>
      <c r="O126">
        <v>300000</v>
      </c>
      <c r="P126">
        <v>300000</v>
      </c>
      <c r="Q126">
        <v>300000</v>
      </c>
      <c r="R126">
        <v>300000</v>
      </c>
      <c r="S126">
        <v>300000</v>
      </c>
      <c r="T126">
        <v>300000</v>
      </c>
      <c r="U126">
        <v>300000</v>
      </c>
      <c r="V126">
        <v>300000</v>
      </c>
      <c r="W126">
        <v>300000</v>
      </c>
      <c r="X126">
        <v>300000</v>
      </c>
      <c r="Y126">
        <v>300000</v>
      </c>
      <c r="Z126">
        <v>300000</v>
      </c>
      <c r="AA126">
        <v>300000</v>
      </c>
      <c r="AB126">
        <v>300000</v>
      </c>
      <c r="AC126">
        <v>300000</v>
      </c>
      <c r="AD126">
        <v>300000</v>
      </c>
      <c r="AE126">
        <v>300000</v>
      </c>
      <c r="AF126">
        <v>300000</v>
      </c>
      <c r="AG126">
        <v>300000</v>
      </c>
    </row>
    <row r="127" spans="2:33" x14ac:dyDescent="0.25">
      <c r="E127" t="s">
        <v>59</v>
      </c>
      <c r="G127" t="s">
        <v>38</v>
      </c>
      <c r="J127" cm="1">
        <f t="array" ref="J127:AG127">_xlfn.ANCHORARRAY( $J$24)</f>
        <v>150000</v>
      </c>
      <c r="K127">
        <v>250000</v>
      </c>
      <c r="L127">
        <v>200000</v>
      </c>
      <c r="M127">
        <v>400000</v>
      </c>
      <c r="N127">
        <v>157500</v>
      </c>
      <c r="O127">
        <v>262500</v>
      </c>
      <c r="P127">
        <v>210000</v>
      </c>
      <c r="Q127">
        <v>420000</v>
      </c>
      <c r="R127">
        <v>165375</v>
      </c>
      <c r="S127">
        <v>275625</v>
      </c>
      <c r="T127">
        <v>220500</v>
      </c>
      <c r="U127">
        <v>441000</v>
      </c>
      <c r="V127">
        <v>173643.75000000003</v>
      </c>
      <c r="W127">
        <v>289406.25000000006</v>
      </c>
      <c r="X127">
        <v>231525.00000000003</v>
      </c>
      <c r="Y127">
        <v>463050.00000000006</v>
      </c>
      <c r="Z127">
        <v>182325.9375</v>
      </c>
      <c r="AA127">
        <v>303876.5625</v>
      </c>
      <c r="AB127">
        <v>243101.25</v>
      </c>
      <c r="AC127">
        <v>486202.5</v>
      </c>
      <c r="AD127">
        <v>191442.23437500003</v>
      </c>
      <c r="AE127">
        <v>319070.39062500006</v>
      </c>
      <c r="AF127">
        <v>255256.31250000003</v>
      </c>
      <c r="AG127">
        <v>510512.62500000006</v>
      </c>
    </row>
    <row r="128" spans="2:33" x14ac:dyDescent="0.25">
      <c r="E128" t="s">
        <v>63</v>
      </c>
      <c r="G128" t="s">
        <v>38</v>
      </c>
      <c r="J128" cm="1">
        <f t="array" ref="J128:AG128">_xlfn.ANCHORARRAY( $J$19)</f>
        <v>0</v>
      </c>
      <c r="K128">
        <v>150000</v>
      </c>
      <c r="L128">
        <v>200000</v>
      </c>
      <c r="M128">
        <v>300000</v>
      </c>
      <c r="N128">
        <v>200000</v>
      </c>
      <c r="O128">
        <v>342500</v>
      </c>
      <c r="P128">
        <v>380000</v>
      </c>
      <c r="Q128">
        <v>470000</v>
      </c>
      <c r="R128">
        <v>350000</v>
      </c>
      <c r="S128">
        <v>484625</v>
      </c>
      <c r="T128">
        <v>509000</v>
      </c>
      <c r="U128">
        <v>588500</v>
      </c>
      <c r="V128">
        <v>447500</v>
      </c>
      <c r="W128">
        <v>573856.25</v>
      </c>
      <c r="X128">
        <v>584450</v>
      </c>
      <c r="Y128">
        <v>652925</v>
      </c>
      <c r="Z128">
        <v>489874.99999999994</v>
      </c>
      <c r="AA128">
        <v>607549.0625</v>
      </c>
      <c r="AB128">
        <v>603672.5</v>
      </c>
      <c r="AC128">
        <v>660571.25</v>
      </c>
      <c r="AD128">
        <v>474368.75</v>
      </c>
      <c r="AE128">
        <v>582926.515625</v>
      </c>
      <c r="AF128">
        <v>563856.125</v>
      </c>
      <c r="AG128">
        <v>608599.8125</v>
      </c>
    </row>
    <row r="130" spans="4:33" x14ac:dyDescent="0.25">
      <c r="E130" t="s">
        <v>78</v>
      </c>
      <c r="G130" t="s">
        <v>38</v>
      </c>
      <c r="J130" cm="1">
        <f t="array" ref="J130:AG130" xml:space="preserve"> _xlfn.LET(
      _xlpm.production,_xlfn.ANCHORARRAY(                  J126),
      _xlpm.units_sold,_xlfn.ANCHORARRAY(                  J127),
      IF( _xlpm.units_sold &lt; _xlpm.production,
           _xlpm.units_sold,
           _xlpm.production ) )</f>
        <v>150000</v>
      </c>
      <c r="K130">
        <v>250000</v>
      </c>
      <c r="L130">
        <v>200000</v>
      </c>
      <c r="M130">
        <v>300000</v>
      </c>
      <c r="N130">
        <v>157500</v>
      </c>
      <c r="O130">
        <v>262500</v>
      </c>
      <c r="P130">
        <v>210000</v>
      </c>
      <c r="Q130">
        <v>300000</v>
      </c>
      <c r="R130">
        <v>165375</v>
      </c>
      <c r="S130">
        <v>275625</v>
      </c>
      <c r="T130">
        <v>220500</v>
      </c>
      <c r="U130">
        <v>300000</v>
      </c>
      <c r="V130">
        <v>173643.75000000003</v>
      </c>
      <c r="W130">
        <v>289406.25000000006</v>
      </c>
      <c r="X130">
        <v>231525.00000000003</v>
      </c>
      <c r="Y130">
        <v>300000</v>
      </c>
      <c r="Z130">
        <v>182325.9375</v>
      </c>
      <c r="AA130">
        <v>300000</v>
      </c>
      <c r="AB130">
        <v>243101.25</v>
      </c>
      <c r="AC130">
        <v>300000</v>
      </c>
      <c r="AD130">
        <v>191442.23437500003</v>
      </c>
      <c r="AE130">
        <v>300000</v>
      </c>
      <c r="AF130">
        <v>255256.31250000003</v>
      </c>
      <c r="AG130">
        <v>300000</v>
      </c>
    </row>
    <row r="131" spans="4:33" x14ac:dyDescent="0.25">
      <c r="E131" t="s">
        <v>77</v>
      </c>
      <c r="G131" t="s">
        <v>38</v>
      </c>
      <c r="J131" cm="1">
        <f t="array" ref="J131:AG131" xml:space="preserve"> _xlfn.LET(
      _xlpm.units_sold,_xlfn.ANCHORARRAY(                J127),
      _xlpm.units_sold_from_inventory,_xlfn.ANCHORARRAY( J130),
      _xlpm.units_sold - _xlpm.units_sold_from_inventory )</f>
        <v>0</v>
      </c>
      <c r="K131">
        <v>0</v>
      </c>
      <c r="L131">
        <v>0</v>
      </c>
      <c r="M131">
        <v>100000</v>
      </c>
      <c r="N131">
        <v>0</v>
      </c>
      <c r="O131">
        <v>0</v>
      </c>
      <c r="P131">
        <v>0</v>
      </c>
      <c r="Q131">
        <v>120000</v>
      </c>
      <c r="R131">
        <v>0</v>
      </c>
      <c r="S131">
        <v>0</v>
      </c>
      <c r="T131">
        <v>0</v>
      </c>
      <c r="U131">
        <v>141000</v>
      </c>
      <c r="V131">
        <v>0</v>
      </c>
      <c r="W131">
        <v>0</v>
      </c>
      <c r="X131">
        <v>0</v>
      </c>
      <c r="Y131">
        <v>163050.00000000006</v>
      </c>
      <c r="Z131">
        <v>0</v>
      </c>
      <c r="AA131">
        <v>3876.5625</v>
      </c>
      <c r="AB131">
        <v>0</v>
      </c>
      <c r="AC131">
        <v>186202.5</v>
      </c>
      <c r="AD131">
        <v>0</v>
      </c>
      <c r="AE131">
        <v>19070.390625000058</v>
      </c>
      <c r="AF131">
        <v>0</v>
      </c>
      <c r="AG131">
        <v>210512.62500000006</v>
      </c>
    </row>
    <row r="132" spans="4:33" x14ac:dyDescent="0.25">
      <c r="E132" s="22" t="s">
        <v>99</v>
      </c>
      <c r="F132" s="22"/>
      <c r="G132" s="22" t="s">
        <v>38</v>
      </c>
      <c r="H132" s="22"/>
      <c r="I132" s="22"/>
      <c r="J132" s="22" cm="1">
        <f t="array" ref="J132:AG132">_xlfn.ANCHORARRAY( J130) +_xlfn.ANCHORARRAY( J131)</f>
        <v>150000</v>
      </c>
      <c r="K132" s="22">
        <v>250000</v>
      </c>
      <c r="L132" s="22">
        <v>200000</v>
      </c>
      <c r="M132" s="22">
        <v>400000</v>
      </c>
      <c r="N132" s="22">
        <v>157500</v>
      </c>
      <c r="O132" s="22">
        <v>262500</v>
      </c>
      <c r="P132" s="22">
        <v>210000</v>
      </c>
      <c r="Q132" s="22">
        <v>420000</v>
      </c>
      <c r="R132" s="22">
        <v>165375</v>
      </c>
      <c r="S132" s="22">
        <v>275625</v>
      </c>
      <c r="T132" s="22">
        <v>220500</v>
      </c>
      <c r="U132" s="22">
        <v>441000</v>
      </c>
      <c r="V132" s="22">
        <v>173643.75000000003</v>
      </c>
      <c r="W132" s="22">
        <v>289406.25000000006</v>
      </c>
      <c r="X132" s="22">
        <v>231525.00000000003</v>
      </c>
      <c r="Y132" s="22">
        <v>463050.00000000006</v>
      </c>
      <c r="Z132" s="22">
        <v>182325.9375</v>
      </c>
      <c r="AA132" s="22">
        <v>303876.5625</v>
      </c>
      <c r="AB132" s="22">
        <v>243101.25</v>
      </c>
      <c r="AC132" s="22">
        <v>486202.5</v>
      </c>
      <c r="AD132" s="22">
        <v>191442.23437500003</v>
      </c>
      <c r="AE132" s="22">
        <v>319070.39062500006</v>
      </c>
      <c r="AF132" s="22">
        <v>255256.31250000003</v>
      </c>
      <c r="AG132" s="22">
        <v>510512.62500000006</v>
      </c>
    </row>
    <row r="134" spans="4:33" x14ac:dyDescent="0.25">
      <c r="D134" s="20" t="s">
        <v>100</v>
      </c>
    </row>
    <row r="135" spans="4:33" x14ac:dyDescent="0.25">
      <c r="D135" s="20"/>
    </row>
    <row r="136" spans="4:33" x14ac:dyDescent="0.25">
      <c r="E136" t="s">
        <v>72</v>
      </c>
      <c r="G136" t="s">
        <v>67</v>
      </c>
      <c r="J136" s="25" cm="1">
        <f t="array" ref="J136:AG136">_xlfn.ANCHORARRAY( $J$36)</f>
        <v>590.09999999999991</v>
      </c>
      <c r="K136" s="25">
        <v>590.09999999999991</v>
      </c>
      <c r="L136" s="25">
        <v>590.09999999999991</v>
      </c>
      <c r="M136" s="25">
        <v>590.09999999999991</v>
      </c>
      <c r="N136" s="25">
        <v>608.57988000000012</v>
      </c>
      <c r="O136" s="25">
        <v>608.57988000000012</v>
      </c>
      <c r="P136" s="25">
        <v>608.57988000000012</v>
      </c>
      <c r="Q136" s="25">
        <v>608.57988000000012</v>
      </c>
      <c r="R136" s="25">
        <v>627.71405359999994</v>
      </c>
      <c r="S136" s="25">
        <v>627.71405359999994</v>
      </c>
      <c r="T136" s="25">
        <v>627.71405359999994</v>
      </c>
      <c r="U136" s="25">
        <v>627.71405359999994</v>
      </c>
      <c r="V136" s="25">
        <v>647.3281124959999</v>
      </c>
      <c r="W136" s="25">
        <v>647.3281124959999</v>
      </c>
      <c r="X136" s="25">
        <v>647.3281124959999</v>
      </c>
      <c r="Y136" s="25">
        <v>647.3281124959999</v>
      </c>
      <c r="Z136" s="25">
        <v>667.79932017696001</v>
      </c>
      <c r="AA136" s="25">
        <v>667.79932017696001</v>
      </c>
      <c r="AB136" s="25">
        <v>667.79932017696001</v>
      </c>
      <c r="AC136" s="25">
        <v>667.79932017696001</v>
      </c>
      <c r="AD136" s="25">
        <v>688.81438048501263</v>
      </c>
      <c r="AE136" s="25">
        <v>688.81438048501263</v>
      </c>
      <c r="AF136" s="25">
        <v>688.81438048501263</v>
      </c>
      <c r="AG136" s="25">
        <v>688.81438048501263</v>
      </c>
    </row>
    <row r="137" spans="4:33" x14ac:dyDescent="0.25">
      <c r="E137" t="s">
        <v>78</v>
      </c>
      <c r="G137" t="s">
        <v>38</v>
      </c>
      <c r="J137" s="26" cm="1">
        <f t="array" ref="J137:AG137">_xlfn.ANCHORARRAY( J130)</f>
        <v>150000</v>
      </c>
      <c r="K137" s="26">
        <v>250000</v>
      </c>
      <c r="L137" s="26">
        <v>200000</v>
      </c>
      <c r="M137" s="26">
        <v>300000</v>
      </c>
      <c r="N137" s="26">
        <v>157500</v>
      </c>
      <c r="O137" s="26">
        <v>262500</v>
      </c>
      <c r="P137" s="26">
        <v>210000</v>
      </c>
      <c r="Q137" s="26">
        <v>300000</v>
      </c>
      <c r="R137" s="26">
        <v>165375</v>
      </c>
      <c r="S137" s="26">
        <v>275625</v>
      </c>
      <c r="T137" s="26">
        <v>220500</v>
      </c>
      <c r="U137" s="26">
        <v>300000</v>
      </c>
      <c r="V137" s="26">
        <v>173643.75000000003</v>
      </c>
      <c r="W137" s="26">
        <v>289406.25000000006</v>
      </c>
      <c r="X137" s="26">
        <v>231525.00000000003</v>
      </c>
      <c r="Y137" s="26">
        <v>300000</v>
      </c>
      <c r="Z137" s="26">
        <v>182325.9375</v>
      </c>
      <c r="AA137" s="26">
        <v>300000</v>
      </c>
      <c r="AB137" s="26">
        <v>243101.25</v>
      </c>
      <c r="AC137" s="26">
        <v>300000</v>
      </c>
      <c r="AD137" s="26">
        <v>191442.23437500003</v>
      </c>
      <c r="AE137" s="26">
        <v>300000</v>
      </c>
      <c r="AF137" s="26">
        <v>255256.31250000003</v>
      </c>
      <c r="AG137" s="26">
        <v>300000</v>
      </c>
    </row>
    <row r="138" spans="4:33" x14ac:dyDescent="0.25">
      <c r="E138" s="27" t="s">
        <v>100</v>
      </c>
      <c r="F138" s="27"/>
      <c r="G138" s="27" t="s">
        <v>70</v>
      </c>
      <c r="H138" s="27"/>
      <c r="I138" s="27"/>
      <c r="J138" s="27" cm="1">
        <f t="array" ref="J138:AG138">_xlfn.ANCHORARRAY( J136) *_xlfn.ANCHORARRAY( J137) / 1000</f>
        <v>88514.999999999985</v>
      </c>
      <c r="K138" s="27">
        <v>147524.99999999997</v>
      </c>
      <c r="L138" s="27">
        <v>118019.99999999999</v>
      </c>
      <c r="M138" s="27">
        <v>177029.99999999997</v>
      </c>
      <c r="N138" s="27">
        <v>95851.331100000025</v>
      </c>
      <c r="O138" s="27">
        <v>159752.21850000002</v>
      </c>
      <c r="P138" s="27">
        <v>127801.77480000003</v>
      </c>
      <c r="Q138" s="27">
        <v>182573.96400000004</v>
      </c>
      <c r="R138" s="27">
        <v>103808.2116141</v>
      </c>
      <c r="S138" s="27">
        <v>173013.68602349999</v>
      </c>
      <c r="T138" s="27">
        <v>138410.94881879998</v>
      </c>
      <c r="U138" s="27">
        <v>188314.21607999998</v>
      </c>
      <c r="V138" s="27">
        <v>112404.48093422731</v>
      </c>
      <c r="W138" s="27">
        <v>187340.80155704552</v>
      </c>
      <c r="X138" s="27">
        <v>149872.64124563639</v>
      </c>
      <c r="Y138" s="27">
        <v>194198.43374879999</v>
      </c>
      <c r="Z138" s="27">
        <v>121757.1371131269</v>
      </c>
      <c r="AA138" s="27">
        <v>200339.79605308801</v>
      </c>
      <c r="AB138" s="27">
        <v>162342.84948416919</v>
      </c>
      <c r="AC138" s="27">
        <v>200339.79605308801</v>
      </c>
      <c r="AD138" s="27">
        <v>131868.16406968224</v>
      </c>
      <c r="AE138" s="27">
        <v>206644.3141455038</v>
      </c>
      <c r="AF138" s="27">
        <v>175824.21875957632</v>
      </c>
      <c r="AG138" s="27">
        <v>206644.3141455038</v>
      </c>
    </row>
    <row r="140" spans="4:33" x14ac:dyDescent="0.25">
      <c r="D140" s="20" t="s">
        <v>101</v>
      </c>
    </row>
    <row r="142" spans="4:33" x14ac:dyDescent="0.25">
      <c r="E142" s="15" t="s">
        <v>81</v>
      </c>
    </row>
    <row r="143" spans="4:33" x14ac:dyDescent="0.25">
      <c r="F143" s="34" cm="1">
        <f t="array" ref="F143:F148">TRANSPOSE(_xlfn.UNIQUE(_xlfn.ANCHORARRAY($J$11),TRUE))</f>
        <v>2020</v>
      </c>
      <c r="G143" t="s">
        <v>38</v>
      </c>
      <c r="J143" cm="1">
        <f t="array" ref="J143:AG148">_xlfn.LET(
      _xlpm.production_added,_xlfn.ANCHORARRAY(     J126) -_xlfn.ANCHORARRAY( J130),
      _xlpm.year_added,_xlfn.ANCHORARRAY(           F143),
      _xlpm.current_year,         YEAR(_xlfn.ANCHORARRAY( $J$3) ),
      _xlpm.period,               _xlpm.current_year - _xlpm.year_added,
      IF( _xlpm.period = 0, _xlpm.production_added, 0 ) )</f>
        <v>150000</v>
      </c>
      <c r="K143">
        <v>50000</v>
      </c>
      <c r="L143">
        <v>100000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4:33" x14ac:dyDescent="0.25">
      <c r="F144" s="34">
        <v>2021</v>
      </c>
      <c r="G144" t="s">
        <v>38</v>
      </c>
      <c r="J144">
        <v>0</v>
      </c>
      <c r="K144">
        <v>0</v>
      </c>
      <c r="L144">
        <v>0</v>
      </c>
      <c r="M144">
        <v>0</v>
      </c>
      <c r="N144">
        <v>142500</v>
      </c>
      <c r="O144">
        <v>37500</v>
      </c>
      <c r="P144">
        <v>90000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5:33" x14ac:dyDescent="0.25">
      <c r="F145" s="34">
        <v>2022</v>
      </c>
      <c r="G145" t="s">
        <v>38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134625</v>
      </c>
      <c r="S145">
        <v>24375</v>
      </c>
      <c r="T145">
        <v>79500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</row>
    <row r="146" spans="5:33" x14ac:dyDescent="0.25">
      <c r="F146" s="34">
        <v>2023</v>
      </c>
      <c r="G146" t="s">
        <v>38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126356.24999999997</v>
      </c>
      <c r="W146">
        <v>10593.749999999942</v>
      </c>
      <c r="X146">
        <v>68474.999999999971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</row>
    <row r="147" spans="5:33" x14ac:dyDescent="0.25">
      <c r="F147" s="34">
        <v>2024</v>
      </c>
      <c r="G147" t="s">
        <v>38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117674.0625</v>
      </c>
      <c r="AA147">
        <v>0</v>
      </c>
      <c r="AB147">
        <v>56898.75</v>
      </c>
      <c r="AC147">
        <v>0</v>
      </c>
      <c r="AD147">
        <v>0</v>
      </c>
      <c r="AE147">
        <v>0</v>
      </c>
      <c r="AF147">
        <v>0</v>
      </c>
      <c r="AG147">
        <v>0</v>
      </c>
    </row>
    <row r="148" spans="5:33" x14ac:dyDescent="0.25">
      <c r="F148" s="34">
        <v>2025</v>
      </c>
      <c r="G148" t="s">
        <v>38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108557.76562499997</v>
      </c>
      <c r="AE148">
        <v>0</v>
      </c>
      <c r="AF148">
        <v>44743.687499999971</v>
      </c>
      <c r="AG148">
        <v>0</v>
      </c>
    </row>
    <row r="150" spans="5:33" x14ac:dyDescent="0.25">
      <c r="E150" s="15" t="s">
        <v>83</v>
      </c>
      <c r="G150" s="35" t="s">
        <v>72</v>
      </c>
    </row>
    <row r="151" spans="5:33" x14ac:dyDescent="0.25">
      <c r="F151" s="34" cm="1">
        <f t="array" ref="F151:F156">TRANSPOSE(_xlfn.UNIQUE(_xlfn.ANCHORARRAY($J$11),TRUE))</f>
        <v>2020</v>
      </c>
      <c r="G151" s="23" cm="1">
        <f t="array" ref="G151:G156" xml:space="preserve"> TRANSPOSE( _xlfn.UNIQUE(_xlfn.ANCHORARRAY($J$36),TRUE))</f>
        <v>590.09999999999991</v>
      </c>
      <c r="J151" s="42">
        <f xml:space="preserve"> MIN( I162, J$131 - SUM( J152:J$157 ) )</f>
        <v>0</v>
      </c>
      <c r="K151">
        <f xml:space="preserve"> MIN( J162, K$131 - SUM( K152:K$157 ) )</f>
        <v>0</v>
      </c>
      <c r="L151">
        <f xml:space="preserve"> MIN( K162, L$131 - SUM( L152:L$157 ) )</f>
        <v>0</v>
      </c>
      <c r="M151">
        <f xml:space="preserve"> MIN( L162, M$131 - SUM( M152:M$157 ) )</f>
        <v>100000</v>
      </c>
      <c r="N151">
        <f xml:space="preserve"> MIN( M162, N$131 - SUM( N152:N$157 ) )</f>
        <v>0</v>
      </c>
      <c r="O151">
        <f xml:space="preserve"> MIN( N162, O$131 - SUM( O152:O$157 ) )</f>
        <v>0</v>
      </c>
      <c r="P151">
        <f xml:space="preserve"> MIN( O162, P$131 - SUM( P152:P$157 ) )</f>
        <v>0</v>
      </c>
      <c r="Q151">
        <f xml:space="preserve"> MIN( P162, Q$131 - SUM( Q152:Q$157 ) )</f>
        <v>0</v>
      </c>
      <c r="R151">
        <f xml:space="preserve"> MIN( Q162, R$131 - SUM( R152:R$157 ) )</f>
        <v>0</v>
      </c>
      <c r="S151">
        <f xml:space="preserve"> MIN( R162, S$131 - SUM( S152:S$157 ) )</f>
        <v>0</v>
      </c>
      <c r="T151">
        <f xml:space="preserve"> MIN( S162, T$131 - SUM( T152:T$157 ) )</f>
        <v>0</v>
      </c>
      <c r="U151">
        <f xml:space="preserve"> MIN( T162, U$131 - SUM( U152:U$157 ) )</f>
        <v>0</v>
      </c>
      <c r="V151">
        <f xml:space="preserve"> MIN( U162, V$131 - SUM( V152:V$157 ) )</f>
        <v>0</v>
      </c>
      <c r="W151">
        <f xml:space="preserve"> MIN( V162, W$131 - SUM( W152:W$157 ) )</f>
        <v>0</v>
      </c>
      <c r="X151">
        <f xml:space="preserve"> MIN( W162, X$131 - SUM( X152:X$157 ) )</f>
        <v>0</v>
      </c>
      <c r="Y151">
        <f xml:space="preserve"> MIN( X162, Y$131 - SUM( Y152:Y$157 ) )</f>
        <v>0</v>
      </c>
      <c r="Z151">
        <f xml:space="preserve"> MIN( Y162, Z$131 - SUM( Z152:Z$157 ) )</f>
        <v>0</v>
      </c>
      <c r="AA151">
        <f xml:space="preserve"> MIN( Z162, AA$131 - SUM( AA152:AA$157 ) )</f>
        <v>0</v>
      </c>
      <c r="AB151">
        <f xml:space="preserve"> MIN( AA162, AB$131 - SUM( AB152:AB$157 ) )</f>
        <v>0</v>
      </c>
      <c r="AC151">
        <f xml:space="preserve"> MIN( AB162, AC$131 - SUM( AC152:AC$157 ) )</f>
        <v>0</v>
      </c>
      <c r="AD151">
        <f xml:space="preserve"> MIN( AC162, AD$131 - SUM( AD152:AD$157 ) )</f>
        <v>0</v>
      </c>
      <c r="AE151">
        <f xml:space="preserve"> MIN( AD162, AE$131 - SUM( AE152:AE$157 ) )</f>
        <v>0</v>
      </c>
      <c r="AF151">
        <f xml:space="preserve"> MIN( AE162, AF$131 - SUM( AF152:AF$157 ) )</f>
        <v>0</v>
      </c>
      <c r="AG151">
        <f xml:space="preserve"> MIN( AF162, AG$131 - SUM( AG152:AG$157 ) )</f>
        <v>0</v>
      </c>
    </row>
    <row r="152" spans="5:33" x14ac:dyDescent="0.25">
      <c r="F152" s="34">
        <v>2021</v>
      </c>
      <c r="G152" s="23">
        <v>608.57988000000012</v>
      </c>
      <c r="J152">
        <f xml:space="preserve"> MIN( I163, J$131 - SUM( J153:J$157 ) )</f>
        <v>0</v>
      </c>
      <c r="K152">
        <f xml:space="preserve"> MIN( J163, K$131 - SUM( K153:K$157 ) )</f>
        <v>0</v>
      </c>
      <c r="L152">
        <f xml:space="preserve"> MIN( K163, L$131 - SUM( L153:L$157 ) )</f>
        <v>0</v>
      </c>
      <c r="M152">
        <f xml:space="preserve"> MIN( L163, M$131 - SUM( M153:M$157 ) )</f>
        <v>0</v>
      </c>
      <c r="N152">
        <f xml:space="preserve"> MIN( M163, N$131 - SUM( N153:N$157 ) )</f>
        <v>0</v>
      </c>
      <c r="O152">
        <f xml:space="preserve"> MIN( N163, O$131 - SUM( O153:O$157 ) )</f>
        <v>0</v>
      </c>
      <c r="P152">
        <f xml:space="preserve"> MIN( O163, P$131 - SUM( P153:P$157 ) )</f>
        <v>0</v>
      </c>
      <c r="Q152">
        <f xml:space="preserve"> MIN( P163, Q$131 - SUM( Q153:Q$157 ) )</f>
        <v>120000</v>
      </c>
      <c r="R152">
        <f xml:space="preserve"> MIN( Q163, R$131 - SUM( R153:R$157 ) )</f>
        <v>0</v>
      </c>
      <c r="S152">
        <f xml:space="preserve"> MIN( R163, S$131 - SUM( S153:S$157 ) )</f>
        <v>0</v>
      </c>
      <c r="T152">
        <f xml:space="preserve"> MIN( S163, T$131 - SUM( T153:T$157 ) )</f>
        <v>0</v>
      </c>
      <c r="U152">
        <f xml:space="preserve"> MIN( T163, U$131 - SUM( U153:U$157 ) )</f>
        <v>0</v>
      </c>
      <c r="V152">
        <f xml:space="preserve"> MIN( U163, V$131 - SUM( V153:V$157 ) )</f>
        <v>0</v>
      </c>
      <c r="W152">
        <f xml:space="preserve"> MIN( V163, W$131 - SUM( W153:W$157 ) )</f>
        <v>0</v>
      </c>
      <c r="X152">
        <f xml:space="preserve"> MIN( W163, X$131 - SUM( X153:X$157 ) )</f>
        <v>0</v>
      </c>
      <c r="Y152">
        <f xml:space="preserve"> MIN( X163, Y$131 - SUM( Y153:Y$157 ) )</f>
        <v>0</v>
      </c>
      <c r="Z152">
        <f xml:space="preserve"> MIN( Y163, Z$131 - SUM( Z153:Z$157 ) )</f>
        <v>0</v>
      </c>
      <c r="AA152">
        <f xml:space="preserve"> MIN( Z163, AA$131 - SUM( AA153:AA$157 ) )</f>
        <v>0</v>
      </c>
      <c r="AB152">
        <f xml:space="preserve"> MIN( AA163, AB$131 - SUM( AB153:AB$157 ) )</f>
        <v>0</v>
      </c>
      <c r="AC152">
        <f xml:space="preserve"> MIN( AB163, AC$131 - SUM( AC153:AC$157 ) )</f>
        <v>0</v>
      </c>
      <c r="AD152">
        <f xml:space="preserve"> MIN( AC163, AD$131 - SUM( AD153:AD$157 ) )</f>
        <v>0</v>
      </c>
      <c r="AE152">
        <f xml:space="preserve"> MIN( AD163, AE$131 - SUM( AE153:AE$157 ) )</f>
        <v>0</v>
      </c>
      <c r="AF152">
        <f xml:space="preserve"> MIN( AE163, AF$131 - SUM( AF153:AF$157 ) )</f>
        <v>0</v>
      </c>
      <c r="AG152">
        <f xml:space="preserve"> MIN( AF163, AG$131 - SUM( AG153:AG$157 ) )</f>
        <v>0</v>
      </c>
    </row>
    <row r="153" spans="5:33" x14ac:dyDescent="0.25">
      <c r="F153" s="34">
        <v>2022</v>
      </c>
      <c r="G153" s="23">
        <v>627.71405359999994</v>
      </c>
      <c r="J153">
        <f xml:space="preserve"> MIN( I164, J$131 - SUM( J154:J$157 ) )</f>
        <v>0</v>
      </c>
      <c r="K153">
        <f xml:space="preserve"> MIN( J164, K$131 - SUM( K154:K$157 ) )</f>
        <v>0</v>
      </c>
      <c r="L153">
        <f xml:space="preserve"> MIN( K164, L$131 - SUM( L154:L$157 ) )</f>
        <v>0</v>
      </c>
      <c r="M153">
        <f xml:space="preserve"> MIN( L164, M$131 - SUM( M154:M$157 ) )</f>
        <v>0</v>
      </c>
      <c r="N153">
        <f xml:space="preserve"> MIN( M164, N$131 - SUM( N154:N$157 ) )</f>
        <v>0</v>
      </c>
      <c r="O153">
        <f xml:space="preserve"> MIN( N164, O$131 - SUM( O154:O$157 ) )</f>
        <v>0</v>
      </c>
      <c r="P153">
        <f xml:space="preserve"> MIN( O164, P$131 - SUM( P154:P$157 ) )</f>
        <v>0</v>
      </c>
      <c r="Q153">
        <f xml:space="preserve"> MIN( P164, Q$131 - SUM( Q154:Q$157 ) )</f>
        <v>0</v>
      </c>
      <c r="R153">
        <f xml:space="preserve"> MIN( Q164, R$131 - SUM( R154:R$157 ) )</f>
        <v>0</v>
      </c>
      <c r="S153">
        <f xml:space="preserve"> MIN( R164, S$131 - SUM( S154:S$157 ) )</f>
        <v>0</v>
      </c>
      <c r="T153">
        <f xml:space="preserve"> MIN( S164, T$131 - SUM( T154:T$157 ) )</f>
        <v>0</v>
      </c>
      <c r="U153">
        <f xml:space="preserve"> MIN( T164, U$131 - SUM( U154:U$157 ) )</f>
        <v>141000</v>
      </c>
      <c r="V153">
        <f xml:space="preserve"> MIN( U164, V$131 - SUM( V154:V$157 ) )</f>
        <v>0</v>
      </c>
      <c r="W153">
        <f xml:space="preserve"> MIN( V164, W$131 - SUM( W154:W$157 ) )</f>
        <v>0</v>
      </c>
      <c r="X153">
        <f xml:space="preserve"> MIN( W164, X$131 - SUM( X154:X$157 ) )</f>
        <v>0</v>
      </c>
      <c r="Y153">
        <f xml:space="preserve"> MIN( X164, Y$131 - SUM( Y154:Y$157 ) )</f>
        <v>0</v>
      </c>
      <c r="Z153">
        <f xml:space="preserve"> MIN( Y164, Z$131 - SUM( Z154:Z$157 ) )</f>
        <v>0</v>
      </c>
      <c r="AA153">
        <f xml:space="preserve"> MIN( Z164, AA$131 - SUM( AA154:AA$157 ) )</f>
        <v>0</v>
      </c>
      <c r="AB153">
        <f xml:space="preserve"> MIN( AA164, AB$131 - SUM( AB154:AB$157 ) )</f>
        <v>0</v>
      </c>
      <c r="AC153">
        <f xml:space="preserve"> MIN( AB164, AC$131 - SUM( AC154:AC$157 ) )</f>
        <v>0</v>
      </c>
      <c r="AD153">
        <f xml:space="preserve"> MIN( AC164, AD$131 - SUM( AD154:AD$157 ) )</f>
        <v>0</v>
      </c>
      <c r="AE153">
        <f xml:space="preserve"> MIN( AD164, AE$131 - SUM( AE154:AE$157 ) )</f>
        <v>0</v>
      </c>
      <c r="AF153">
        <f xml:space="preserve"> MIN( AE164, AF$131 - SUM( AF154:AF$157 ) )</f>
        <v>0</v>
      </c>
      <c r="AG153">
        <f xml:space="preserve"> MIN( AF164, AG$131 - SUM( AG154:AG$157 ) )</f>
        <v>49412.812500000349</v>
      </c>
    </row>
    <row r="154" spans="5:33" x14ac:dyDescent="0.25">
      <c r="F154" s="34">
        <v>2023</v>
      </c>
      <c r="G154" s="23">
        <v>647.3281124959999</v>
      </c>
      <c r="J154">
        <f xml:space="preserve"> MIN( I165, J$131 - SUM( J155:J$157 ) )</f>
        <v>0</v>
      </c>
      <c r="K154">
        <f xml:space="preserve"> MIN( J165, K$131 - SUM( K155:K$157 ) )</f>
        <v>0</v>
      </c>
      <c r="L154">
        <f xml:space="preserve"> MIN( K165, L$131 - SUM( L155:L$157 ) )</f>
        <v>0</v>
      </c>
      <c r="M154">
        <f xml:space="preserve"> MIN( L165, M$131 - SUM( M155:M$157 ) )</f>
        <v>0</v>
      </c>
      <c r="N154">
        <f xml:space="preserve"> MIN( M165, N$131 - SUM( N155:N$157 ) )</f>
        <v>0</v>
      </c>
      <c r="O154">
        <f xml:space="preserve"> MIN( N165, O$131 - SUM( O155:O$157 ) )</f>
        <v>0</v>
      </c>
      <c r="P154">
        <f xml:space="preserve"> MIN( O165, P$131 - SUM( P155:P$157 ) )</f>
        <v>0</v>
      </c>
      <c r="Q154">
        <f xml:space="preserve"> MIN( P165, Q$131 - SUM( Q155:Q$157 ) )</f>
        <v>0</v>
      </c>
      <c r="R154">
        <f xml:space="preserve"> MIN( Q165, R$131 - SUM( R155:R$157 ) )</f>
        <v>0</v>
      </c>
      <c r="S154">
        <f xml:space="preserve"> MIN( R165, S$131 - SUM( S155:S$157 ) )</f>
        <v>0</v>
      </c>
      <c r="T154">
        <f xml:space="preserve"> MIN( S165, T$131 - SUM( T155:T$157 ) )</f>
        <v>0</v>
      </c>
      <c r="U154">
        <f xml:space="preserve"> MIN( T165, U$131 - SUM( U155:U$157 ) )</f>
        <v>0</v>
      </c>
      <c r="V154">
        <f xml:space="preserve"> MIN( U165, V$131 - SUM( V155:V$157 ) )</f>
        <v>0</v>
      </c>
      <c r="W154">
        <f xml:space="preserve"> MIN( V165, W$131 - SUM( W155:W$157 ) )</f>
        <v>0</v>
      </c>
      <c r="X154">
        <f xml:space="preserve"> MIN( W165, X$131 - SUM( X155:X$157 ) )</f>
        <v>0</v>
      </c>
      <c r="Y154">
        <f xml:space="preserve"> MIN( X165, Y$131 - SUM( Y155:Y$157 ) )</f>
        <v>163050.00000000006</v>
      </c>
      <c r="Z154">
        <f xml:space="preserve"> MIN( Y165, Z$131 - SUM( Z155:Z$157 ) )</f>
        <v>0</v>
      </c>
      <c r="AA154">
        <f xml:space="preserve"> MIN( Z165, AA$131 - SUM( AA155:AA$157 ) )</f>
        <v>0</v>
      </c>
      <c r="AB154">
        <f xml:space="preserve"> MIN( AA165, AB$131 - SUM( AB155:AB$157 ) )</f>
        <v>0</v>
      </c>
      <c r="AC154">
        <f xml:space="preserve"> MIN( AB165, AC$131 - SUM( AC155:AC$157 ) )</f>
        <v>15506.25</v>
      </c>
      <c r="AD154">
        <f xml:space="preserve"> MIN( AC165, AD$131 - SUM( AD155:AD$157 ) )</f>
        <v>0</v>
      </c>
      <c r="AE154">
        <f xml:space="preserve"> MIN( AD165, AE$131 - SUM( AE155:AE$157 ) )</f>
        <v>0</v>
      </c>
      <c r="AF154">
        <f xml:space="preserve"> MIN( AE165, AF$131 - SUM( AF155:AF$157 ) )</f>
        <v>0</v>
      </c>
      <c r="AG154">
        <f xml:space="preserve"> MIN( AF165, AG$131 - SUM( AG155:AG$157 ) )</f>
        <v>26868.749999999825</v>
      </c>
    </row>
    <row r="155" spans="5:33" x14ac:dyDescent="0.25">
      <c r="F155" s="34">
        <v>2024</v>
      </c>
      <c r="G155" s="23">
        <v>667.79932017696001</v>
      </c>
      <c r="J155">
        <f xml:space="preserve"> MIN( I166, J$131 - SUM( J156:J$157 ) )</f>
        <v>0</v>
      </c>
      <c r="K155">
        <f xml:space="preserve"> MIN( J166, K$131 - SUM( K156:K$157 ) )</f>
        <v>0</v>
      </c>
      <c r="L155">
        <f xml:space="preserve"> MIN( K166, L$131 - SUM( L156:L$157 ) )</f>
        <v>0</v>
      </c>
      <c r="M155">
        <f xml:space="preserve"> MIN( L166, M$131 - SUM( M156:M$157 ) )</f>
        <v>0</v>
      </c>
      <c r="N155">
        <f xml:space="preserve"> MIN( M166, N$131 - SUM( N156:N$157 ) )</f>
        <v>0</v>
      </c>
      <c r="O155">
        <f xml:space="preserve"> MIN( N166, O$131 - SUM( O156:O$157 ) )</f>
        <v>0</v>
      </c>
      <c r="P155">
        <f xml:space="preserve"> MIN( O166, P$131 - SUM( P156:P$157 ) )</f>
        <v>0</v>
      </c>
      <c r="Q155">
        <f xml:space="preserve"> MIN( P166, Q$131 - SUM( Q156:Q$157 ) )</f>
        <v>0</v>
      </c>
      <c r="R155">
        <f xml:space="preserve"> MIN( Q166, R$131 - SUM( R156:R$157 ) )</f>
        <v>0</v>
      </c>
      <c r="S155">
        <f xml:space="preserve"> MIN( R166, S$131 - SUM( S156:S$157 ) )</f>
        <v>0</v>
      </c>
      <c r="T155">
        <f xml:space="preserve"> MIN( S166, T$131 - SUM( T156:T$157 ) )</f>
        <v>0</v>
      </c>
      <c r="U155">
        <f xml:space="preserve"> MIN( T166, U$131 - SUM( U156:U$157 ) )</f>
        <v>0</v>
      </c>
      <c r="V155">
        <f xml:space="preserve"> MIN( U166, V$131 - SUM( V156:V$157 ) )</f>
        <v>0</v>
      </c>
      <c r="W155">
        <f xml:space="preserve"> MIN( V166, W$131 - SUM( W156:W$157 ) )</f>
        <v>0</v>
      </c>
      <c r="X155">
        <f xml:space="preserve"> MIN( W166, X$131 - SUM( X156:X$157 ) )</f>
        <v>0</v>
      </c>
      <c r="Y155">
        <f xml:space="preserve"> MIN( X166, Y$131 - SUM( Y156:Y$157 ) )</f>
        <v>0</v>
      </c>
      <c r="Z155">
        <f xml:space="preserve"> MIN( Y166, Z$131 - SUM( Z156:Z$157 ) )</f>
        <v>0</v>
      </c>
      <c r="AA155">
        <f xml:space="preserve"> MIN( Z166, AA$131 - SUM( AA156:AA$157 ) )</f>
        <v>3876.5625</v>
      </c>
      <c r="AB155">
        <f xml:space="preserve"> MIN( AA166, AB$131 - SUM( AB156:AB$157 ) )</f>
        <v>0</v>
      </c>
      <c r="AC155">
        <f xml:space="preserve"> MIN( AB166, AC$131 - SUM( AC156:AC$157 ) )</f>
        <v>170696.25</v>
      </c>
      <c r="AD155">
        <f xml:space="preserve"> MIN( AC166, AD$131 - SUM( AD156:AD$157 ) )</f>
        <v>0</v>
      </c>
      <c r="AE155">
        <f xml:space="preserve"> MIN( AD166, AE$131 - SUM( AE156:AE$157 ) )</f>
        <v>0</v>
      </c>
      <c r="AF155">
        <f xml:space="preserve"> MIN( AE166, AF$131 - SUM( AF156:AF$157 ) )</f>
        <v>0</v>
      </c>
      <c r="AG155">
        <f xml:space="preserve"> MIN( AF166, AG$131 - SUM( AG156:AG$157 ) )</f>
        <v>0</v>
      </c>
    </row>
    <row r="156" spans="5:33" x14ac:dyDescent="0.25">
      <c r="F156" s="34">
        <v>2025</v>
      </c>
      <c r="G156" s="23">
        <v>688.81438048501263</v>
      </c>
      <c r="J156">
        <f xml:space="preserve"> MIN( I167, J$131 - SUM( J157:J$157 ) )</f>
        <v>0</v>
      </c>
      <c r="K156">
        <f xml:space="preserve"> MIN( J167, K$131 - SUM( K157:K$157 ) )</f>
        <v>0</v>
      </c>
      <c r="L156">
        <f xml:space="preserve"> MIN( K167, L$131 - SUM( L157:L$157 ) )</f>
        <v>0</v>
      </c>
      <c r="M156">
        <f xml:space="preserve"> MIN( L167, M$131 - SUM( M157:M$157 ) )</f>
        <v>0</v>
      </c>
      <c r="N156">
        <f xml:space="preserve"> MIN( M167, N$131 - SUM( N157:N$157 ) )</f>
        <v>0</v>
      </c>
      <c r="O156">
        <f xml:space="preserve"> MIN( N167, O$131 - SUM( O157:O$157 ) )</f>
        <v>0</v>
      </c>
      <c r="P156">
        <f xml:space="preserve"> MIN( O167, P$131 - SUM( P157:P$157 ) )</f>
        <v>0</v>
      </c>
      <c r="Q156">
        <f xml:space="preserve"> MIN( P167, Q$131 - SUM( Q157:Q$157 ) )</f>
        <v>0</v>
      </c>
      <c r="R156">
        <f xml:space="preserve"> MIN( Q167, R$131 - SUM( R157:R$157 ) )</f>
        <v>0</v>
      </c>
      <c r="S156">
        <f xml:space="preserve"> MIN( R167, S$131 - SUM( S157:S$157 ) )</f>
        <v>0</v>
      </c>
      <c r="T156">
        <f xml:space="preserve"> MIN( S167, T$131 - SUM( T157:T$157 ) )</f>
        <v>0</v>
      </c>
      <c r="U156">
        <f xml:space="preserve"> MIN( T167, U$131 - SUM( U157:U$157 ) )</f>
        <v>0</v>
      </c>
      <c r="V156">
        <f xml:space="preserve"> MIN( U167, V$131 - SUM( V157:V$157 ) )</f>
        <v>0</v>
      </c>
      <c r="W156">
        <f xml:space="preserve"> MIN( V167, W$131 - SUM( W157:W$157 ) )</f>
        <v>0</v>
      </c>
      <c r="X156">
        <f xml:space="preserve"> MIN( W167, X$131 - SUM( X157:X$157 ) )</f>
        <v>0</v>
      </c>
      <c r="Y156">
        <f xml:space="preserve"> MIN( X167, Y$131 - SUM( Y157:Y$157 ) )</f>
        <v>0</v>
      </c>
      <c r="Z156">
        <f xml:space="preserve"> MIN( Y167, Z$131 - SUM( Z157:Z$157 ) )</f>
        <v>0</v>
      </c>
      <c r="AA156">
        <f xml:space="preserve"> MIN( Z167, AA$131 - SUM( AA157:AA$157 ) )</f>
        <v>0</v>
      </c>
      <c r="AB156">
        <f xml:space="preserve"> MIN( AA167, AB$131 - SUM( AB157:AB$157 ) )</f>
        <v>0</v>
      </c>
      <c r="AC156">
        <f xml:space="preserve"> MIN( AB167, AC$131 - SUM( AC157:AC$157 ) )</f>
        <v>0</v>
      </c>
      <c r="AD156">
        <f xml:space="preserve"> MIN( AC167, AD$131 - SUM( AD157:AD$157 ) )</f>
        <v>0</v>
      </c>
      <c r="AE156">
        <f xml:space="preserve"> MIN( AD167, AE$131 - SUM( AE157:AE$157 ) )</f>
        <v>19070.390625000058</v>
      </c>
      <c r="AF156">
        <f xml:space="preserve"> MIN( AE167, AF$131 - SUM( AF157:AF$157 ) )</f>
        <v>0</v>
      </c>
      <c r="AG156">
        <f xml:space="preserve"> MIN( AF167, AG$131 - SUM( AG157:AG$157 ) )</f>
        <v>134231.06249999988</v>
      </c>
    </row>
    <row r="157" spans="5:33" x14ac:dyDescent="0.25">
      <c r="F157" s="34"/>
      <c r="G157" s="23"/>
    </row>
    <row r="158" spans="5:33" ht="13.2" customHeight="1" x14ac:dyDescent="0.25">
      <c r="E158" s="27" t="s">
        <v>101</v>
      </c>
      <c r="F158" s="27"/>
      <c r="G158" s="27" t="s">
        <v>70</v>
      </c>
      <c r="H158" s="27"/>
      <c r="I158" s="27"/>
      <c r="J158" s="27">
        <f>_xlfn.LET(
      _xlpm.volume, J151:J156,
      _xlpm.cost,_xlfn.ANCHORARRAY(   $G$151),
      SUMPRODUCT( _xlpm.volume, _xlpm.cost ) / 1000 )</f>
        <v>0</v>
      </c>
      <c r="K158" s="27">
        <f t="shared" ref="K158:AG158" si="1">_xlfn.LET(
      _xlpm.volume, K151:K156,
      _xlpm.cost,_xlfn.ANCHORARRAY(   $G$151),
      SUMPRODUCT( _xlpm.volume, _xlpm.cost ) / 1000 )</f>
        <v>0</v>
      </c>
      <c r="L158" s="27">
        <f t="shared" si="1"/>
        <v>0</v>
      </c>
      <c r="M158" s="27">
        <f t="shared" si="1"/>
        <v>59009.999999999993</v>
      </c>
      <c r="N158" s="27">
        <f t="shared" si="1"/>
        <v>0</v>
      </c>
      <c r="O158" s="27">
        <f t="shared" si="1"/>
        <v>0</v>
      </c>
      <c r="P158" s="27">
        <f t="shared" si="1"/>
        <v>0</v>
      </c>
      <c r="Q158" s="27">
        <f t="shared" si="1"/>
        <v>73029.585600000006</v>
      </c>
      <c r="R158" s="27">
        <f t="shared" si="1"/>
        <v>0</v>
      </c>
      <c r="S158" s="27">
        <f t="shared" si="1"/>
        <v>0</v>
      </c>
      <c r="T158" s="27">
        <f t="shared" si="1"/>
        <v>0</v>
      </c>
      <c r="U158" s="27">
        <f t="shared" si="1"/>
        <v>88507.681557599994</v>
      </c>
      <c r="V158" s="27">
        <f t="shared" si="1"/>
        <v>0</v>
      </c>
      <c r="W158" s="27">
        <f t="shared" si="1"/>
        <v>0</v>
      </c>
      <c r="X158" s="27">
        <f t="shared" si="1"/>
        <v>0</v>
      </c>
      <c r="Y158" s="27">
        <f t="shared" si="1"/>
        <v>105546.84874247282</v>
      </c>
      <c r="Z158" s="27">
        <f t="shared" si="1"/>
        <v>0</v>
      </c>
      <c r="AA158" s="27">
        <f t="shared" si="1"/>
        <v>2588.7658021234961</v>
      </c>
      <c r="AB158" s="27">
        <f t="shared" si="1"/>
        <v>0</v>
      </c>
      <c r="AC158" s="27">
        <f t="shared" si="1"/>
        <v>124028.47125114751</v>
      </c>
      <c r="AD158" s="27">
        <f t="shared" si="1"/>
        <v>0</v>
      </c>
      <c r="AE158" s="27">
        <f t="shared" si="1"/>
        <v>13135.959303966609</v>
      </c>
      <c r="AF158" s="27">
        <f t="shared" si="1"/>
        <v>0</v>
      </c>
      <c r="AG158" s="27">
        <f t="shared" si="1"/>
        <v>140870.30021456117</v>
      </c>
    </row>
    <row r="159" spans="5:33" x14ac:dyDescent="0.25">
      <c r="E159" t="s">
        <v>102</v>
      </c>
      <c r="G159" t="s">
        <v>67</v>
      </c>
      <c r="J159" cm="1">
        <f t="array" ref="J159:AG159">_xlfn.LET(
      _xlpm.units_sold, $J$151:$AG$156,
      _xlpm.cost,_xlfn.ANCHORARRAY(       G151),
      _xlpm.avg_cost,   _xlfn.LAMBDA(_xlpm.units_col, IFERROR( SUMPRODUCT( _xlpm.units_col, _xlpm.cost ) / SUM( _xlpm.units_col ), 0 ) ),
      _xlfn.BYCOL( _xlpm.units_sold, _xlpm.avg_cost ) )</f>
        <v>0</v>
      </c>
      <c r="K159" s="23">
        <v>0</v>
      </c>
      <c r="L159" s="23">
        <v>0</v>
      </c>
      <c r="M159" s="23">
        <v>590.09999999999991</v>
      </c>
      <c r="N159" s="23">
        <v>0</v>
      </c>
      <c r="O159" s="23">
        <v>0</v>
      </c>
      <c r="P159" s="23">
        <v>0</v>
      </c>
      <c r="Q159" s="23">
        <v>608.57988000000012</v>
      </c>
      <c r="R159" s="23">
        <v>0</v>
      </c>
      <c r="S159" s="23">
        <v>0</v>
      </c>
      <c r="T159" s="23">
        <v>0</v>
      </c>
      <c r="U159" s="23">
        <v>627.71405359999994</v>
      </c>
      <c r="V159" s="23">
        <v>0</v>
      </c>
      <c r="W159" s="23">
        <v>0</v>
      </c>
      <c r="X159" s="23">
        <v>0</v>
      </c>
      <c r="Y159" s="23">
        <v>647.3281124959999</v>
      </c>
      <c r="Z159" s="23">
        <v>0</v>
      </c>
      <c r="AA159" s="23">
        <v>667.7993201769599</v>
      </c>
      <c r="AB159" s="23">
        <v>0</v>
      </c>
      <c r="AC159" s="23">
        <v>666.09455432202844</v>
      </c>
      <c r="AD159" s="23">
        <v>0</v>
      </c>
      <c r="AE159" s="23">
        <v>688.81438048501263</v>
      </c>
      <c r="AF159" s="23">
        <v>0</v>
      </c>
      <c r="AG159" s="23">
        <v>669.17744346478571</v>
      </c>
    </row>
    <row r="161" spans="4:33" x14ac:dyDescent="0.25">
      <c r="E161" s="15" t="s">
        <v>82</v>
      </c>
      <c r="G161" s="35" t="s">
        <v>72</v>
      </c>
    </row>
    <row r="162" spans="4:33" x14ac:dyDescent="0.25">
      <c r="F162" s="34" cm="1">
        <f t="array" ref="F162:F167">TRANSPOSE(_xlfn.UNIQUE(_xlfn.ANCHORARRAY($J$11),TRUE))</f>
        <v>2020</v>
      </c>
      <c r="G162" s="25" cm="1">
        <f t="array" ref="G162:G167" xml:space="preserve"> TRANSPOSE( _xlfn.UNIQUE(_xlfn.ANCHORARRAY($J$36),TRUE))</f>
        <v>590.09999999999991</v>
      </c>
      <c r="J162">
        <f xml:space="preserve"> I162 + Calculations!J143 - Calculations!J151</f>
        <v>150000</v>
      </c>
      <c r="K162">
        <f xml:space="preserve"> J162 + Calculations!K143 - Calculations!K151</f>
        <v>200000</v>
      </c>
      <c r="L162">
        <f xml:space="preserve"> K162 + Calculations!L143 - Calculations!L151</f>
        <v>300000</v>
      </c>
      <c r="M162">
        <f xml:space="preserve"> L162 + Calculations!M143 - Calculations!M151</f>
        <v>200000</v>
      </c>
      <c r="N162">
        <f xml:space="preserve"> M162 + Calculations!N143 - Calculations!N151</f>
        <v>200000</v>
      </c>
      <c r="O162">
        <f xml:space="preserve"> N162 + Calculations!O143 - Calculations!O151</f>
        <v>200000</v>
      </c>
      <c r="P162">
        <f xml:space="preserve"> O162 + Calculations!P143 - Calculations!P151</f>
        <v>200000</v>
      </c>
      <c r="Q162">
        <f xml:space="preserve"> P162 + Calculations!Q143 - Calculations!Q151</f>
        <v>200000</v>
      </c>
      <c r="R162">
        <f xml:space="preserve"> Q162 + Calculations!R143 - Calculations!R151</f>
        <v>200000</v>
      </c>
      <c r="S162">
        <f xml:space="preserve"> R162 + Calculations!S143 - Calculations!S151</f>
        <v>200000</v>
      </c>
      <c r="T162">
        <f xml:space="preserve"> S162 + Calculations!T143 - Calculations!T151</f>
        <v>200000</v>
      </c>
      <c r="U162">
        <f xml:space="preserve"> T162 + Calculations!U143 - Calculations!U151</f>
        <v>200000</v>
      </c>
      <c r="V162">
        <f xml:space="preserve"> U162 + Calculations!V143 - Calculations!V151</f>
        <v>200000</v>
      </c>
      <c r="W162">
        <f xml:space="preserve"> V162 + Calculations!W143 - Calculations!W151</f>
        <v>200000</v>
      </c>
      <c r="X162">
        <f xml:space="preserve"> W162 + Calculations!X143 - Calculations!X151</f>
        <v>200000</v>
      </c>
      <c r="Y162">
        <f xml:space="preserve"> X162 + Calculations!Y143 - Calculations!Y151</f>
        <v>200000</v>
      </c>
      <c r="Z162">
        <f xml:space="preserve"> Y162 + Calculations!Z143 - Calculations!Z151</f>
        <v>200000</v>
      </c>
      <c r="AA162">
        <f xml:space="preserve"> Z162 + Calculations!AA143 - Calculations!AA151</f>
        <v>200000</v>
      </c>
      <c r="AB162">
        <f xml:space="preserve"> AA162 + Calculations!AB143 - Calculations!AB151</f>
        <v>200000</v>
      </c>
      <c r="AC162">
        <f xml:space="preserve"> AB162 + Calculations!AC143 - Calculations!AC151</f>
        <v>200000</v>
      </c>
      <c r="AD162">
        <f xml:space="preserve"> AC162 + Calculations!AD143 - Calculations!AD151</f>
        <v>200000</v>
      </c>
      <c r="AE162">
        <f xml:space="preserve"> AD162 + Calculations!AE143 - Calculations!AE151</f>
        <v>200000</v>
      </c>
      <c r="AF162">
        <f xml:space="preserve"> AE162 + Calculations!AF143 - Calculations!AF151</f>
        <v>200000</v>
      </c>
      <c r="AG162">
        <f xml:space="preserve"> AF162 + Calculations!AG143 - Calculations!AG151</f>
        <v>200000</v>
      </c>
    </row>
    <row r="163" spans="4:33" x14ac:dyDescent="0.25">
      <c r="F163" s="34">
        <v>2021</v>
      </c>
      <c r="G163" s="25">
        <v>608.57988000000012</v>
      </c>
      <c r="J163">
        <f xml:space="preserve"> I163 + Calculations!J144 - Calculations!J152</f>
        <v>0</v>
      </c>
      <c r="K163">
        <f xml:space="preserve"> J163 + Calculations!K144 - Calculations!K152</f>
        <v>0</v>
      </c>
      <c r="L163">
        <f xml:space="preserve"> K163 + Calculations!L144 - Calculations!L152</f>
        <v>0</v>
      </c>
      <c r="M163">
        <f xml:space="preserve"> L163 + Calculations!M144 - Calculations!M152</f>
        <v>0</v>
      </c>
      <c r="N163">
        <f xml:space="preserve"> M163 + Calculations!N144 - Calculations!N152</f>
        <v>142500</v>
      </c>
      <c r="O163">
        <f xml:space="preserve"> N163 + Calculations!O144 - Calculations!O152</f>
        <v>180000</v>
      </c>
      <c r="P163">
        <f xml:space="preserve"> O163 + Calculations!P144 - Calculations!P152</f>
        <v>270000</v>
      </c>
      <c r="Q163">
        <f xml:space="preserve"> P163 + Calculations!Q144 - Calculations!Q152</f>
        <v>150000</v>
      </c>
      <c r="R163">
        <f xml:space="preserve"> Q163 + Calculations!R144 - Calculations!R152</f>
        <v>150000</v>
      </c>
      <c r="S163">
        <f xml:space="preserve"> R163 + Calculations!S144 - Calculations!S152</f>
        <v>150000</v>
      </c>
      <c r="T163">
        <f xml:space="preserve"> S163 + Calculations!T144 - Calculations!T152</f>
        <v>150000</v>
      </c>
      <c r="U163">
        <f xml:space="preserve"> T163 + Calculations!U144 - Calculations!U152</f>
        <v>150000</v>
      </c>
      <c r="V163">
        <f xml:space="preserve"> U163 + Calculations!V144 - Calculations!V152</f>
        <v>150000</v>
      </c>
      <c r="W163">
        <f xml:space="preserve"> V163 + Calculations!W144 - Calculations!W152</f>
        <v>150000</v>
      </c>
      <c r="X163">
        <f xml:space="preserve"> W163 + Calculations!X144 - Calculations!X152</f>
        <v>150000</v>
      </c>
      <c r="Y163">
        <f xml:space="preserve"> X163 + Calculations!Y144 - Calculations!Y152</f>
        <v>150000</v>
      </c>
      <c r="Z163">
        <f xml:space="preserve"> Y163 + Calculations!Z144 - Calculations!Z152</f>
        <v>150000</v>
      </c>
      <c r="AA163">
        <f xml:space="preserve"> Z163 + Calculations!AA144 - Calculations!AA152</f>
        <v>150000</v>
      </c>
      <c r="AB163">
        <f xml:space="preserve"> AA163 + Calculations!AB144 - Calculations!AB152</f>
        <v>150000</v>
      </c>
      <c r="AC163">
        <f xml:space="preserve"> AB163 + Calculations!AC144 - Calculations!AC152</f>
        <v>150000</v>
      </c>
      <c r="AD163">
        <f xml:space="preserve"> AC163 + Calculations!AD144 - Calculations!AD152</f>
        <v>150000</v>
      </c>
      <c r="AE163">
        <f xml:space="preserve"> AD163 + Calculations!AE144 - Calculations!AE152</f>
        <v>150000</v>
      </c>
      <c r="AF163">
        <f xml:space="preserve"> AE163 + Calculations!AF144 - Calculations!AF152</f>
        <v>150000</v>
      </c>
      <c r="AG163">
        <f xml:space="preserve"> AF163 + Calculations!AG144 - Calculations!AG152</f>
        <v>150000</v>
      </c>
    </row>
    <row r="164" spans="4:33" x14ac:dyDescent="0.25">
      <c r="F164" s="34">
        <v>2022</v>
      </c>
      <c r="G164" s="25">
        <v>627.71405359999994</v>
      </c>
      <c r="J164">
        <f xml:space="preserve"> I164 + Calculations!J145 - Calculations!J153</f>
        <v>0</v>
      </c>
      <c r="K164">
        <f xml:space="preserve"> J164 + Calculations!K145 - Calculations!K153</f>
        <v>0</v>
      </c>
      <c r="L164">
        <f xml:space="preserve"> K164 + Calculations!L145 - Calculations!L153</f>
        <v>0</v>
      </c>
      <c r="M164">
        <f xml:space="preserve"> L164 + Calculations!M145 - Calculations!M153</f>
        <v>0</v>
      </c>
      <c r="N164">
        <f xml:space="preserve"> M164 + Calculations!N145 - Calculations!N153</f>
        <v>0</v>
      </c>
      <c r="O164">
        <f xml:space="preserve"> N164 + Calculations!O145 - Calculations!O153</f>
        <v>0</v>
      </c>
      <c r="P164">
        <f xml:space="preserve"> O164 + Calculations!P145 - Calculations!P153</f>
        <v>0</v>
      </c>
      <c r="Q164">
        <f xml:space="preserve"> P164 + Calculations!Q145 - Calculations!Q153</f>
        <v>0</v>
      </c>
      <c r="R164">
        <f xml:space="preserve"> Q164 + Calculations!R145 - Calculations!R153</f>
        <v>134625</v>
      </c>
      <c r="S164">
        <f xml:space="preserve"> R164 + Calculations!S145 - Calculations!S153</f>
        <v>159000</v>
      </c>
      <c r="T164">
        <f xml:space="preserve"> S164 + Calculations!T145 - Calculations!T153</f>
        <v>238500</v>
      </c>
      <c r="U164">
        <f xml:space="preserve"> T164 + Calculations!U145 - Calculations!U153</f>
        <v>97500</v>
      </c>
      <c r="V164">
        <f xml:space="preserve"> U164 + Calculations!V145 - Calculations!V153</f>
        <v>97500</v>
      </c>
      <c r="W164">
        <f xml:space="preserve"> V164 + Calculations!W145 - Calculations!W153</f>
        <v>97500</v>
      </c>
      <c r="X164">
        <f xml:space="preserve"> W164 + Calculations!X145 - Calculations!X153</f>
        <v>97500</v>
      </c>
      <c r="Y164">
        <f xml:space="preserve"> X164 + Calculations!Y145 - Calculations!Y153</f>
        <v>97500</v>
      </c>
      <c r="Z164">
        <f xml:space="preserve"> Y164 + Calculations!Z145 - Calculations!Z153</f>
        <v>97500</v>
      </c>
      <c r="AA164">
        <f xml:space="preserve"> Z164 + Calculations!AA145 - Calculations!AA153</f>
        <v>97500</v>
      </c>
      <c r="AB164">
        <f xml:space="preserve"> AA164 + Calculations!AB145 - Calculations!AB153</f>
        <v>97500</v>
      </c>
      <c r="AC164">
        <f xml:space="preserve"> AB164 + Calculations!AC145 - Calculations!AC153</f>
        <v>97500</v>
      </c>
      <c r="AD164">
        <f xml:space="preserve"> AC164 + Calculations!AD145 - Calculations!AD153</f>
        <v>97500</v>
      </c>
      <c r="AE164">
        <f xml:space="preserve"> AD164 + Calculations!AE145 - Calculations!AE153</f>
        <v>97500</v>
      </c>
      <c r="AF164">
        <f xml:space="preserve"> AE164 + Calculations!AF145 - Calculations!AF153</f>
        <v>97500</v>
      </c>
      <c r="AG164">
        <f xml:space="preserve"> AF164 + Calculations!AG145 - Calculations!AG153</f>
        <v>48087.187499999651</v>
      </c>
    </row>
    <row r="165" spans="4:33" x14ac:dyDescent="0.25">
      <c r="F165" s="34">
        <v>2023</v>
      </c>
      <c r="G165" s="25">
        <v>647.3281124959999</v>
      </c>
      <c r="J165">
        <f xml:space="preserve"> I165 + Calculations!J146 - Calculations!J154</f>
        <v>0</v>
      </c>
      <c r="K165">
        <f xml:space="preserve"> J165 + Calculations!K146 - Calculations!K154</f>
        <v>0</v>
      </c>
      <c r="L165">
        <f xml:space="preserve"> K165 + Calculations!L146 - Calculations!L154</f>
        <v>0</v>
      </c>
      <c r="M165">
        <f xml:space="preserve"> L165 + Calculations!M146 - Calculations!M154</f>
        <v>0</v>
      </c>
      <c r="N165">
        <f xml:space="preserve"> M165 + Calculations!N146 - Calculations!N154</f>
        <v>0</v>
      </c>
      <c r="O165">
        <f xml:space="preserve"> N165 + Calculations!O146 - Calculations!O154</f>
        <v>0</v>
      </c>
      <c r="P165">
        <f xml:space="preserve"> O165 + Calculations!P146 - Calculations!P154</f>
        <v>0</v>
      </c>
      <c r="Q165">
        <f xml:space="preserve"> P165 + Calculations!Q146 - Calculations!Q154</f>
        <v>0</v>
      </c>
      <c r="R165">
        <f xml:space="preserve"> Q165 + Calculations!R146 - Calculations!R154</f>
        <v>0</v>
      </c>
      <c r="S165">
        <f xml:space="preserve"> R165 + Calculations!S146 - Calculations!S154</f>
        <v>0</v>
      </c>
      <c r="T165">
        <f xml:space="preserve"> S165 + Calculations!T146 - Calculations!T154</f>
        <v>0</v>
      </c>
      <c r="U165">
        <f xml:space="preserve"> T165 + Calculations!U146 - Calculations!U154</f>
        <v>0</v>
      </c>
      <c r="V165">
        <f xml:space="preserve"> U165 + Calculations!V146 - Calculations!V154</f>
        <v>126356.24999999997</v>
      </c>
      <c r="W165">
        <f xml:space="preserve"> V165 + Calculations!W146 - Calculations!W154</f>
        <v>136949.99999999991</v>
      </c>
      <c r="X165">
        <f xml:space="preserve"> W165 + Calculations!X146 - Calculations!X154</f>
        <v>205424.99999999988</v>
      </c>
      <c r="Y165">
        <f xml:space="preserve"> X165 + Calculations!Y146 - Calculations!Y154</f>
        <v>42374.999999999825</v>
      </c>
      <c r="Z165">
        <f xml:space="preserve"> Y165 + Calculations!Z146 - Calculations!Z154</f>
        <v>42374.999999999825</v>
      </c>
      <c r="AA165">
        <f xml:space="preserve"> Z165 + Calculations!AA146 - Calculations!AA154</f>
        <v>42374.999999999825</v>
      </c>
      <c r="AB165">
        <f xml:space="preserve"> AA165 + Calculations!AB146 - Calculations!AB154</f>
        <v>42374.999999999825</v>
      </c>
      <c r="AC165">
        <f xml:space="preserve"> AB165 + Calculations!AC146 - Calculations!AC154</f>
        <v>26868.749999999825</v>
      </c>
      <c r="AD165">
        <f xml:space="preserve"> AC165 + Calculations!AD146 - Calculations!AD154</f>
        <v>26868.749999999825</v>
      </c>
      <c r="AE165">
        <f xml:space="preserve"> AD165 + Calculations!AE146 - Calculations!AE154</f>
        <v>26868.749999999825</v>
      </c>
      <c r="AF165">
        <f xml:space="preserve"> AE165 + Calculations!AF146 - Calculations!AF154</f>
        <v>26868.749999999825</v>
      </c>
      <c r="AG165">
        <f xml:space="preserve"> AF165 + Calculations!AG146 - Calculations!AG154</f>
        <v>0</v>
      </c>
    </row>
    <row r="166" spans="4:33" x14ac:dyDescent="0.25">
      <c r="F166" s="34">
        <v>2024</v>
      </c>
      <c r="G166" s="25">
        <v>667.79932017696001</v>
      </c>
      <c r="J166">
        <f xml:space="preserve"> I166 + Calculations!J147 - Calculations!J155</f>
        <v>0</v>
      </c>
      <c r="K166">
        <f xml:space="preserve"> J166 + Calculations!K147 - Calculations!K155</f>
        <v>0</v>
      </c>
      <c r="L166">
        <f xml:space="preserve"> K166 + Calculations!L147 - Calculations!L155</f>
        <v>0</v>
      </c>
      <c r="M166">
        <f xml:space="preserve"> L166 + Calculations!M147 - Calculations!M155</f>
        <v>0</v>
      </c>
      <c r="N166">
        <f xml:space="preserve"> M166 + Calculations!N147 - Calculations!N155</f>
        <v>0</v>
      </c>
      <c r="O166">
        <f xml:space="preserve"> N166 + Calculations!O147 - Calculations!O155</f>
        <v>0</v>
      </c>
      <c r="P166">
        <f xml:space="preserve"> O166 + Calculations!P147 - Calculations!P155</f>
        <v>0</v>
      </c>
      <c r="Q166">
        <f xml:space="preserve"> P166 + Calculations!Q147 - Calculations!Q155</f>
        <v>0</v>
      </c>
      <c r="R166">
        <f xml:space="preserve"> Q166 + Calculations!R147 - Calculations!R155</f>
        <v>0</v>
      </c>
      <c r="S166">
        <f xml:space="preserve"> R166 + Calculations!S147 - Calculations!S155</f>
        <v>0</v>
      </c>
      <c r="T166">
        <f xml:space="preserve"> S166 + Calculations!T147 - Calculations!T155</f>
        <v>0</v>
      </c>
      <c r="U166">
        <f xml:space="preserve"> T166 + Calculations!U147 - Calculations!U155</f>
        <v>0</v>
      </c>
      <c r="V166">
        <f xml:space="preserve"> U166 + Calculations!V147 - Calculations!V155</f>
        <v>0</v>
      </c>
      <c r="W166">
        <f xml:space="preserve"> V166 + Calculations!W147 - Calculations!W155</f>
        <v>0</v>
      </c>
      <c r="X166">
        <f xml:space="preserve"> W166 + Calculations!X147 - Calculations!X155</f>
        <v>0</v>
      </c>
      <c r="Y166">
        <f xml:space="preserve"> X166 + Calculations!Y147 - Calculations!Y155</f>
        <v>0</v>
      </c>
      <c r="Z166">
        <f xml:space="preserve"> Y166 + Calculations!Z147 - Calculations!Z155</f>
        <v>117674.0625</v>
      </c>
      <c r="AA166">
        <f xml:space="preserve"> Z166 + Calculations!AA147 - Calculations!AA155</f>
        <v>113797.5</v>
      </c>
      <c r="AB166">
        <f xml:space="preserve"> AA166 + Calculations!AB147 - Calculations!AB155</f>
        <v>170696.25</v>
      </c>
      <c r="AC166">
        <f xml:space="preserve"> AB166 + Calculations!AC147 - Calculations!AC155</f>
        <v>0</v>
      </c>
      <c r="AD166">
        <f xml:space="preserve"> AC166 + Calculations!AD147 - Calculations!AD155</f>
        <v>0</v>
      </c>
      <c r="AE166">
        <f xml:space="preserve"> AD166 + Calculations!AE147 - Calculations!AE155</f>
        <v>0</v>
      </c>
      <c r="AF166">
        <f xml:space="preserve"> AE166 + Calculations!AF147 - Calculations!AF155</f>
        <v>0</v>
      </c>
      <c r="AG166">
        <f xml:space="preserve"> AF166 + Calculations!AG147 - Calculations!AG155</f>
        <v>0</v>
      </c>
    </row>
    <row r="167" spans="4:33" x14ac:dyDescent="0.25">
      <c r="F167" s="34">
        <v>2025</v>
      </c>
      <c r="G167" s="25">
        <v>688.81438048501263</v>
      </c>
      <c r="J167">
        <f xml:space="preserve"> I167 + Calculations!J148 - Calculations!J156</f>
        <v>0</v>
      </c>
      <c r="K167">
        <f xml:space="preserve"> J167 + Calculations!K148 - Calculations!K156</f>
        <v>0</v>
      </c>
      <c r="L167">
        <f xml:space="preserve"> K167 + Calculations!L148 - Calculations!L156</f>
        <v>0</v>
      </c>
      <c r="M167">
        <f xml:space="preserve"> L167 + Calculations!M148 - Calculations!M156</f>
        <v>0</v>
      </c>
      <c r="N167">
        <f xml:space="preserve"> M167 + Calculations!N148 - Calculations!N156</f>
        <v>0</v>
      </c>
      <c r="O167">
        <f xml:space="preserve"> N167 + Calculations!O148 - Calculations!O156</f>
        <v>0</v>
      </c>
      <c r="P167">
        <f xml:space="preserve"> O167 + Calculations!P148 - Calculations!P156</f>
        <v>0</v>
      </c>
      <c r="Q167">
        <f xml:space="preserve"> P167 + Calculations!Q148 - Calculations!Q156</f>
        <v>0</v>
      </c>
      <c r="R167">
        <f xml:space="preserve"> Q167 + Calculations!R148 - Calculations!R156</f>
        <v>0</v>
      </c>
      <c r="S167">
        <f xml:space="preserve"> R167 + Calculations!S148 - Calculations!S156</f>
        <v>0</v>
      </c>
      <c r="T167">
        <f xml:space="preserve"> S167 + Calculations!T148 - Calculations!T156</f>
        <v>0</v>
      </c>
      <c r="U167">
        <f xml:space="preserve"> T167 + Calculations!U148 - Calculations!U156</f>
        <v>0</v>
      </c>
      <c r="V167">
        <f xml:space="preserve"> U167 + Calculations!V148 - Calculations!V156</f>
        <v>0</v>
      </c>
      <c r="W167">
        <f xml:space="preserve"> V167 + Calculations!W148 - Calculations!W156</f>
        <v>0</v>
      </c>
      <c r="X167">
        <f xml:space="preserve"> W167 + Calculations!X148 - Calculations!X156</f>
        <v>0</v>
      </c>
      <c r="Y167">
        <f xml:space="preserve"> X167 + Calculations!Y148 - Calculations!Y156</f>
        <v>0</v>
      </c>
      <c r="Z167">
        <f xml:space="preserve"> Y167 + Calculations!Z148 - Calculations!Z156</f>
        <v>0</v>
      </c>
      <c r="AA167">
        <f xml:space="preserve"> Z167 + Calculations!AA148 - Calculations!AA156</f>
        <v>0</v>
      </c>
      <c r="AB167">
        <f xml:space="preserve"> AA167 + Calculations!AB148 - Calculations!AB156</f>
        <v>0</v>
      </c>
      <c r="AC167">
        <f xml:space="preserve"> AB167 + Calculations!AC148 - Calculations!AC156</f>
        <v>0</v>
      </c>
      <c r="AD167">
        <f xml:space="preserve"> AC167 + Calculations!AD148 - Calculations!AD156</f>
        <v>108557.76562499997</v>
      </c>
      <c r="AE167">
        <f xml:space="preserve"> AD167 + Calculations!AE148 - Calculations!AE156</f>
        <v>89487.374999999913</v>
      </c>
      <c r="AF167">
        <f xml:space="preserve"> AE167 + Calculations!AF148 - Calculations!AF156</f>
        <v>134231.06249999988</v>
      </c>
      <c r="AG167">
        <f xml:space="preserve"> AF167 + Calculations!AG148 - Calculations!AG156</f>
        <v>0</v>
      </c>
    </row>
    <row r="168" spans="4:33" x14ac:dyDescent="0.25">
      <c r="J168" cm="1">
        <f t="array" ref="J168:AG168">_xlfn.BYCOL( $J$85:$AG$90, _xleta.SUM )</f>
        <v>150000</v>
      </c>
      <c r="K168">
        <v>200000</v>
      </c>
      <c r="L168">
        <v>300000</v>
      </c>
      <c r="M168">
        <v>200000</v>
      </c>
      <c r="N168">
        <v>342500</v>
      </c>
      <c r="O168">
        <v>380000</v>
      </c>
      <c r="P168">
        <v>470000</v>
      </c>
      <c r="Q168">
        <v>350000</v>
      </c>
      <c r="R168">
        <v>484625</v>
      </c>
      <c r="S168">
        <v>509000</v>
      </c>
      <c r="T168">
        <v>588500</v>
      </c>
      <c r="U168">
        <v>447500</v>
      </c>
      <c r="V168">
        <v>573856.25</v>
      </c>
      <c r="W168">
        <v>584450</v>
      </c>
      <c r="X168">
        <v>652925</v>
      </c>
      <c r="Y168">
        <v>489874.99999999994</v>
      </c>
      <c r="Z168">
        <v>607549.0625</v>
      </c>
      <c r="AA168">
        <v>603672.5</v>
      </c>
      <c r="AB168">
        <v>660571.25</v>
      </c>
      <c r="AC168">
        <v>474368.75</v>
      </c>
      <c r="AD168">
        <v>582926.515625</v>
      </c>
      <c r="AE168">
        <v>563856.125</v>
      </c>
      <c r="AF168">
        <v>608599.8125</v>
      </c>
      <c r="AG168">
        <v>398087.18749999994</v>
      </c>
    </row>
    <row r="169" spans="4:33" x14ac:dyDescent="0.25">
      <c r="E169" s="22" t="s">
        <v>103</v>
      </c>
      <c r="F169" s="22"/>
      <c r="G169" s="22" t="s">
        <v>70</v>
      </c>
      <c r="H169" s="22"/>
      <c r="I169" s="22"/>
      <c r="J169" s="22" cm="1">
        <f t="array" ref="J169:AG169">_xlfn.LET(
      _xlpm.volume, $J$85:$AG$90,
      _xlpm.cost,_xlfn.ANCHORARRAY(   G162),
      _xlfn.BYCOL( _xlpm.volume, _xlfn.LAMBDA(_xlpm.col, SUMPRODUCT(_xlpm.col, _xlpm.cost) / 1000) ) )</f>
        <v>88514.999999999985</v>
      </c>
      <c r="K169" s="22">
        <v>118019.99999999999</v>
      </c>
      <c r="L169" s="22">
        <v>177029.99999999997</v>
      </c>
      <c r="M169" s="22">
        <v>118019.99999999999</v>
      </c>
      <c r="N169" s="22">
        <v>207653.21400000004</v>
      </c>
      <c r="O169" s="22">
        <v>231260.35440000004</v>
      </c>
      <c r="P169" s="22">
        <v>286032.54360000009</v>
      </c>
      <c r="Q169" s="22">
        <v>213002.95800000004</v>
      </c>
      <c r="R169" s="22">
        <v>300673.27642499999</v>
      </c>
      <c r="S169" s="22">
        <v>319506.45328239998</v>
      </c>
      <c r="T169" s="22">
        <v>369409.72054359998</v>
      </c>
      <c r="U169" s="22">
        <v>280902.038986</v>
      </c>
      <c r="V169" s="22">
        <v>366101.85053999495</v>
      </c>
      <c r="W169" s="22">
        <v>378330.91534828715</v>
      </c>
      <c r="X169" s="22">
        <v>422656.70785145072</v>
      </c>
      <c r="Y169" s="22">
        <v>317109.85910897789</v>
      </c>
      <c r="Z169" s="22">
        <v>399424.95018112729</v>
      </c>
      <c r="AA169" s="22">
        <v>403056.90459931752</v>
      </c>
      <c r="AB169" s="22">
        <v>441129.03167844471</v>
      </c>
      <c r="AC169" s="22">
        <v>316783.12876319431</v>
      </c>
      <c r="AD169" s="22">
        <v>395582.44893991482</v>
      </c>
      <c r="AE169" s="22">
        <v>388392.2074245548</v>
      </c>
      <c r="AF169" s="22">
        <v>419212.30281048233</v>
      </c>
      <c r="AG169" s="22">
        <v>274208.17943683348</v>
      </c>
    </row>
    <row r="170" spans="4:33" x14ac:dyDescent="0.25">
      <c r="E170" s="38" t="s">
        <v>104</v>
      </c>
      <c r="F170" s="38"/>
      <c r="G170" s="38" t="s">
        <v>67</v>
      </c>
      <c r="H170" s="38"/>
      <c r="I170" s="38"/>
      <c r="J170" s="39" cm="1">
        <f t="array" ref="J170:AG170">_xlfn.LET(
      _xlpm.inventory,  $J$85:$AG$90,
      _xlpm.cost,_xlfn.ANCHORARRAY(       G162),
      _xlpm.avg_cost,   _xlfn.LAMBDA(_xlpm.inventory, IFERROR( SUMPRODUCT( _xlpm.inventory, _xlpm.cost ) / SUM( _xlpm.inventory ), 0 ) ),
      _xlfn.BYCOL( _xlpm.inventory, _xlpm.avg_cost ) )</f>
        <v>590.09999999999991</v>
      </c>
      <c r="K170" s="39">
        <v>590.09999999999991</v>
      </c>
      <c r="L170" s="39">
        <v>590.09999999999991</v>
      </c>
      <c r="M170" s="39">
        <v>590.09999999999991</v>
      </c>
      <c r="N170" s="39">
        <v>606.28675620437969</v>
      </c>
      <c r="O170" s="39">
        <v>608.57988000000012</v>
      </c>
      <c r="P170" s="39">
        <v>608.57988000000023</v>
      </c>
      <c r="Q170" s="39">
        <v>608.57988000000012</v>
      </c>
      <c r="R170" s="39">
        <v>620.42460959504774</v>
      </c>
      <c r="S170" s="39">
        <v>627.71405359999994</v>
      </c>
      <c r="T170" s="39">
        <v>627.71405359999994</v>
      </c>
      <c r="U170" s="39">
        <v>627.71405360000006</v>
      </c>
      <c r="V170" s="39">
        <v>637.96787181457887</v>
      </c>
      <c r="W170" s="39">
        <v>647.3281124959999</v>
      </c>
      <c r="X170" s="39">
        <v>647.3281124959999</v>
      </c>
      <c r="Y170" s="39">
        <v>647.3281124959999</v>
      </c>
      <c r="Z170" s="39">
        <v>657.43653448749637</v>
      </c>
      <c r="AA170" s="39">
        <v>667.67478160644646</v>
      </c>
      <c r="AB170" s="39">
        <v>667.79932017696001</v>
      </c>
      <c r="AC170" s="39">
        <v>667.79932017696001</v>
      </c>
      <c r="AD170" s="39">
        <v>678.61460807934031</v>
      </c>
      <c r="AE170" s="39">
        <v>688.81438048501263</v>
      </c>
      <c r="AF170" s="39">
        <v>688.81438048501263</v>
      </c>
      <c r="AG170" s="39">
        <v>688.81438048501252</v>
      </c>
    </row>
    <row r="172" spans="4:33" x14ac:dyDescent="0.25">
      <c r="D172" s="20" t="s">
        <v>107</v>
      </c>
    </row>
    <row r="173" spans="4:33" x14ac:dyDescent="0.25">
      <c r="D173" s="30"/>
      <c r="E173" t="s">
        <v>90</v>
      </c>
      <c r="G173" t="s">
        <v>92</v>
      </c>
      <c r="J173" cm="1">
        <f t="array" ref="J173:AG173" xml:space="preserve"> _xlfn.DROP( _xlfn.HSTACK( 0,_xlfn.ANCHORARRAY( $J$177) ),, -1 )</f>
        <v>0</v>
      </c>
      <c r="K173">
        <v>88515.000000000015</v>
      </c>
      <c r="L173">
        <v>118020.00000000004</v>
      </c>
      <c r="M173">
        <v>177030.00000000006</v>
      </c>
      <c r="N173">
        <v>118020.00000000009</v>
      </c>
      <c r="O173">
        <v>204742.63290000008</v>
      </c>
      <c r="P173">
        <v>227564.37840000007</v>
      </c>
      <c r="Q173">
        <v>282336.56760000007</v>
      </c>
      <c r="R173">
        <v>209306.98200000002</v>
      </c>
      <c r="S173">
        <v>293812.98646589997</v>
      </c>
      <c r="T173">
        <v>309113.51652239996</v>
      </c>
      <c r="U173">
        <v>359016.78378359997</v>
      </c>
      <c r="V173">
        <v>270509.10222599999</v>
      </c>
      <c r="W173">
        <v>352303.05504057265</v>
      </c>
      <c r="X173">
        <v>359160.68723232707</v>
      </c>
      <c r="Y173">
        <v>403486.47973549063</v>
      </c>
      <c r="Z173">
        <v>297939.63099301781</v>
      </c>
      <c r="AA173">
        <v>376522.28993297892</v>
      </c>
      <c r="AB173">
        <v>373933.5241308554</v>
      </c>
      <c r="AC173">
        <v>411930.47069977422</v>
      </c>
      <c r="AD173">
        <v>287901.99944862665</v>
      </c>
      <c r="AE173">
        <v>362678.14952444821</v>
      </c>
      <c r="AF173">
        <v>349542.1902204816</v>
      </c>
      <c r="AG173">
        <v>380362.28560640907</v>
      </c>
    </row>
    <row r="174" spans="4:33" x14ac:dyDescent="0.25">
      <c r="D174" s="43" t="s">
        <v>105</v>
      </c>
      <c r="E174" s="21" t="s">
        <v>1</v>
      </c>
      <c r="G174" t="s">
        <v>92</v>
      </c>
      <c r="J174" cm="1">
        <f t="array" ref="J174:AG174">_xlfn.ANCHORARRAY( $J$34)</f>
        <v>177030</v>
      </c>
      <c r="K174">
        <v>177030</v>
      </c>
      <c r="L174">
        <v>177030</v>
      </c>
      <c r="M174">
        <v>177030</v>
      </c>
      <c r="N174">
        <v>182573.96400000001</v>
      </c>
      <c r="O174">
        <v>182573.96400000001</v>
      </c>
      <c r="P174">
        <v>182573.96400000001</v>
      </c>
      <c r="Q174">
        <v>182573.96400000001</v>
      </c>
      <c r="R174">
        <v>188314.21607999998</v>
      </c>
      <c r="S174">
        <v>188314.21607999998</v>
      </c>
      <c r="T174">
        <v>188314.21607999998</v>
      </c>
      <c r="U174">
        <v>188314.21607999998</v>
      </c>
      <c r="V174">
        <v>194198.43374879996</v>
      </c>
      <c r="W174">
        <v>194198.43374879996</v>
      </c>
      <c r="X174">
        <v>194198.43374879996</v>
      </c>
      <c r="Y174">
        <v>194198.43374879996</v>
      </c>
      <c r="Z174">
        <v>200339.79605308798</v>
      </c>
      <c r="AA174">
        <v>200339.79605308798</v>
      </c>
      <c r="AB174">
        <v>200339.79605308798</v>
      </c>
      <c r="AC174">
        <v>200339.79605308798</v>
      </c>
      <c r="AD174">
        <v>206644.3141455038</v>
      </c>
      <c r="AE174">
        <v>206644.3141455038</v>
      </c>
      <c r="AF174">
        <v>206644.3141455038</v>
      </c>
      <c r="AG174">
        <v>206644.3141455038</v>
      </c>
    </row>
    <row r="175" spans="4:33" x14ac:dyDescent="0.25">
      <c r="D175" s="43" t="s">
        <v>106</v>
      </c>
      <c r="E175" s="21" t="s">
        <v>78</v>
      </c>
      <c r="G175" t="s">
        <v>92</v>
      </c>
      <c r="J175" cm="1">
        <f t="array" ref="J175:AG175" xml:space="preserve"> (_xlfn.ANCHORARRAY( J138) ) * -1</f>
        <v>-88514.999999999985</v>
      </c>
      <c r="K175">
        <v>-147524.99999999997</v>
      </c>
      <c r="L175">
        <v>-118019.99999999999</v>
      </c>
      <c r="M175">
        <v>-177029.99999999997</v>
      </c>
      <c r="N175">
        <v>-95851.331100000025</v>
      </c>
      <c r="O175">
        <v>-159752.21850000002</v>
      </c>
      <c r="P175">
        <v>-127801.77480000003</v>
      </c>
      <c r="Q175">
        <v>-182573.96400000004</v>
      </c>
      <c r="R175">
        <v>-103808.2116141</v>
      </c>
      <c r="S175">
        <v>-173013.68602349999</v>
      </c>
      <c r="T175">
        <v>-138410.94881879998</v>
      </c>
      <c r="U175">
        <v>-188314.21607999998</v>
      </c>
      <c r="V175">
        <v>-112404.48093422731</v>
      </c>
      <c r="W175">
        <v>-187340.80155704552</v>
      </c>
      <c r="X175">
        <v>-149872.64124563639</v>
      </c>
      <c r="Y175">
        <v>-194198.43374879999</v>
      </c>
      <c r="Z175">
        <v>-121757.1371131269</v>
      </c>
      <c r="AA175">
        <v>-200339.79605308801</v>
      </c>
      <c r="AB175">
        <v>-162342.84948416919</v>
      </c>
      <c r="AC175">
        <v>-200339.79605308801</v>
      </c>
      <c r="AD175">
        <v>-131868.16406968224</v>
      </c>
      <c r="AE175">
        <v>-206644.3141455038</v>
      </c>
      <c r="AF175">
        <v>-175824.21875957632</v>
      </c>
      <c r="AG175">
        <v>-206644.3141455038</v>
      </c>
    </row>
    <row r="176" spans="4:33" x14ac:dyDescent="0.25">
      <c r="D176" s="43" t="s">
        <v>106</v>
      </c>
      <c r="E176" s="21" t="s">
        <v>77</v>
      </c>
      <c r="G176" t="s">
        <v>92</v>
      </c>
      <c r="J176" cm="1">
        <f t="array" ref="J176:AG176" xml:space="preserve"> J158:AG158 * -1</f>
        <v>0</v>
      </c>
      <c r="K176">
        <v>0</v>
      </c>
      <c r="L176">
        <v>0</v>
      </c>
      <c r="M176">
        <v>-59009.999999999993</v>
      </c>
      <c r="N176">
        <v>0</v>
      </c>
      <c r="O176">
        <v>0</v>
      </c>
      <c r="P176">
        <v>0</v>
      </c>
      <c r="Q176">
        <v>-73029.585600000006</v>
      </c>
      <c r="R176">
        <v>0</v>
      </c>
      <c r="S176">
        <v>0</v>
      </c>
      <c r="T176">
        <v>0</v>
      </c>
      <c r="U176">
        <v>-88507.681557599994</v>
      </c>
      <c r="V176">
        <v>0</v>
      </c>
      <c r="W176">
        <v>0</v>
      </c>
      <c r="X176">
        <v>0</v>
      </c>
      <c r="Y176">
        <v>-105546.84874247282</v>
      </c>
      <c r="Z176">
        <v>0</v>
      </c>
      <c r="AA176">
        <v>-2588.7658021234961</v>
      </c>
      <c r="AB176">
        <v>0</v>
      </c>
      <c r="AC176">
        <v>-124028.47125114751</v>
      </c>
      <c r="AD176">
        <v>0</v>
      </c>
      <c r="AE176">
        <v>-13135.959303966609</v>
      </c>
      <c r="AF176">
        <v>0</v>
      </c>
      <c r="AG176">
        <v>-140870.30021456117</v>
      </c>
    </row>
    <row r="177" spans="4:33" s="20" customFormat="1" x14ac:dyDescent="0.25">
      <c r="D177" s="44"/>
      <c r="E177" s="27" t="s">
        <v>91</v>
      </c>
      <c r="F177" s="27"/>
      <c r="G177" s="27" t="s">
        <v>92</v>
      </c>
      <c r="H177" s="27"/>
      <c r="I177" s="27"/>
      <c r="J177" s="27" cm="1">
        <f t="array" ref="J177:AG177" xml:space="preserve"> _xlfn.LET(
      _xlpm.production,_xlfn.ANCHORARRAY( J174),
      _xlpm.units_sold_from_inventory,_xlfn.ANCHORARRAY( J176),
      _xlpm.units_sold_from_production,_xlfn.ANCHORARRAY( J175),
      _xlpm.net_change, _xlpm.production + _xlpm.units_sold_from_production + _xlpm.units_sold_from_inventory,
      _xlfn.SCAN( 0, _xlpm.net_change, _xleta.SUM ) )</f>
        <v>88515.000000000015</v>
      </c>
      <c r="K177" s="27">
        <v>118020.00000000004</v>
      </c>
      <c r="L177" s="27">
        <v>177030.00000000006</v>
      </c>
      <c r="M177" s="27">
        <v>118020.00000000009</v>
      </c>
      <c r="N177" s="27">
        <v>204742.63290000008</v>
      </c>
      <c r="O177" s="27">
        <v>227564.37840000007</v>
      </c>
      <c r="P177" s="27">
        <v>282336.56760000007</v>
      </c>
      <c r="Q177" s="27">
        <v>209306.98200000002</v>
      </c>
      <c r="R177" s="27">
        <v>293812.98646589997</v>
      </c>
      <c r="S177" s="27">
        <v>309113.51652239996</v>
      </c>
      <c r="T177" s="27">
        <v>359016.78378359997</v>
      </c>
      <c r="U177" s="27">
        <v>270509.10222599999</v>
      </c>
      <c r="V177" s="27">
        <v>352303.05504057265</v>
      </c>
      <c r="W177" s="27">
        <v>359160.68723232707</v>
      </c>
      <c r="X177" s="27">
        <v>403486.47973549063</v>
      </c>
      <c r="Y177" s="27">
        <v>297939.63099301781</v>
      </c>
      <c r="Z177" s="27">
        <v>376522.28993297892</v>
      </c>
      <c r="AA177" s="27">
        <v>373933.5241308554</v>
      </c>
      <c r="AB177" s="27">
        <v>411930.47069977422</v>
      </c>
      <c r="AC177" s="27">
        <v>287901.99944862665</v>
      </c>
      <c r="AD177" s="27">
        <v>362678.14952444821</v>
      </c>
      <c r="AE177" s="27">
        <v>349542.1902204816</v>
      </c>
      <c r="AF177" s="27">
        <v>380362.28560640907</v>
      </c>
      <c r="AG177" s="27">
        <v>239491.98539184791</v>
      </c>
    </row>
    <row r="180" spans="4:33" x14ac:dyDescent="0.25">
      <c r="D180" s="20" t="s">
        <v>93</v>
      </c>
    </row>
    <row r="182" spans="4:33" x14ac:dyDescent="0.25">
      <c r="E182" s="15" t="s">
        <v>94</v>
      </c>
    </row>
    <row r="183" spans="4:33" x14ac:dyDescent="0.25">
      <c r="E183" t="s">
        <v>100</v>
      </c>
      <c r="G183" t="s">
        <v>70</v>
      </c>
      <c r="J183" cm="1">
        <f t="array" ref="J183:AG183">_xlfn.ANCHORARRAY( J138)</f>
        <v>88514.999999999985</v>
      </c>
      <c r="K183">
        <v>147524.99999999997</v>
      </c>
      <c r="L183">
        <v>118019.99999999999</v>
      </c>
      <c r="M183">
        <v>177029.99999999997</v>
      </c>
      <c r="N183">
        <v>95851.331100000025</v>
      </c>
      <c r="O183">
        <v>159752.21850000002</v>
      </c>
      <c r="P183">
        <v>127801.77480000003</v>
      </c>
      <c r="Q183">
        <v>182573.96400000004</v>
      </c>
      <c r="R183">
        <v>103808.2116141</v>
      </c>
      <c r="S183">
        <v>173013.68602349999</v>
      </c>
      <c r="T183">
        <v>138410.94881879998</v>
      </c>
      <c r="U183">
        <v>188314.21607999998</v>
      </c>
      <c r="V183">
        <v>112404.48093422731</v>
      </c>
      <c r="W183">
        <v>187340.80155704552</v>
      </c>
      <c r="X183">
        <v>149872.64124563639</v>
      </c>
      <c r="Y183">
        <v>194198.43374879999</v>
      </c>
      <c r="Z183">
        <v>121757.1371131269</v>
      </c>
      <c r="AA183">
        <v>200339.79605308801</v>
      </c>
      <c r="AB183">
        <v>162342.84948416919</v>
      </c>
      <c r="AC183">
        <v>200339.79605308801</v>
      </c>
      <c r="AD183">
        <v>131868.16406968224</v>
      </c>
      <c r="AE183">
        <v>206644.3141455038</v>
      </c>
      <c r="AF183">
        <v>175824.21875957632</v>
      </c>
      <c r="AG183">
        <v>206644.3141455038</v>
      </c>
    </row>
    <row r="184" spans="4:33" x14ac:dyDescent="0.25">
      <c r="E184" t="s">
        <v>101</v>
      </c>
      <c r="G184" t="s">
        <v>70</v>
      </c>
      <c r="J184" cm="1">
        <f t="array" ref="J184:AG184" xml:space="preserve"> J158:AG158</f>
        <v>0</v>
      </c>
      <c r="K184">
        <v>0</v>
      </c>
      <c r="L184">
        <v>0</v>
      </c>
      <c r="M184">
        <v>59009.999999999993</v>
      </c>
      <c r="N184">
        <v>0</v>
      </c>
      <c r="O184">
        <v>0</v>
      </c>
      <c r="P184">
        <v>0</v>
      </c>
      <c r="Q184">
        <v>73029.585600000006</v>
      </c>
      <c r="R184">
        <v>0</v>
      </c>
      <c r="S184">
        <v>0</v>
      </c>
      <c r="T184">
        <v>0</v>
      </c>
      <c r="U184">
        <v>88507.681557599994</v>
      </c>
      <c r="V184">
        <v>0</v>
      </c>
      <c r="W184">
        <v>0</v>
      </c>
      <c r="X184">
        <v>0</v>
      </c>
      <c r="Y184">
        <v>105546.84874247282</v>
      </c>
      <c r="Z184">
        <v>0</v>
      </c>
      <c r="AA184">
        <v>2588.7658021234961</v>
      </c>
      <c r="AB184">
        <v>0</v>
      </c>
      <c r="AC184">
        <v>124028.47125114751</v>
      </c>
      <c r="AD184">
        <v>0</v>
      </c>
      <c r="AE184">
        <v>13135.959303966609</v>
      </c>
      <c r="AF184">
        <v>0</v>
      </c>
      <c r="AG184">
        <v>140870.30021456117</v>
      </c>
    </row>
    <row r="185" spans="4:33" x14ac:dyDescent="0.25">
      <c r="E185" s="22" t="s">
        <v>108</v>
      </c>
      <c r="F185" s="22"/>
      <c r="G185" s="22" t="s">
        <v>70</v>
      </c>
      <c r="H185" s="22"/>
      <c r="I185" s="22"/>
      <c r="J185" s="22" cm="1">
        <f t="array" ref="J185:AG185">_xlfn.BYCOL( J183:AG184, _xleta.SUM )</f>
        <v>88514.999999999985</v>
      </c>
      <c r="K185" s="22">
        <v>147524.99999999997</v>
      </c>
      <c r="L185" s="22">
        <v>118019.99999999999</v>
      </c>
      <c r="M185" s="22">
        <v>236039.99999999997</v>
      </c>
      <c r="N185" s="22">
        <v>95851.331100000025</v>
      </c>
      <c r="O185" s="22">
        <v>159752.21850000002</v>
      </c>
      <c r="P185" s="22">
        <v>127801.77480000003</v>
      </c>
      <c r="Q185" s="22">
        <v>255603.54960000003</v>
      </c>
      <c r="R185" s="22">
        <v>103808.2116141</v>
      </c>
      <c r="S185" s="22">
        <v>173013.68602349999</v>
      </c>
      <c r="T185" s="22">
        <v>138410.94881879998</v>
      </c>
      <c r="U185" s="22">
        <v>276821.89763759996</v>
      </c>
      <c r="V185" s="22">
        <v>112404.48093422731</v>
      </c>
      <c r="W185" s="22">
        <v>187340.80155704552</v>
      </c>
      <c r="X185" s="22">
        <v>149872.64124563639</v>
      </c>
      <c r="Y185" s="22">
        <v>299745.28249127278</v>
      </c>
      <c r="Z185" s="22">
        <v>121757.1371131269</v>
      </c>
      <c r="AA185" s="22">
        <v>202928.5618552115</v>
      </c>
      <c r="AB185" s="22">
        <v>162342.84948416919</v>
      </c>
      <c r="AC185" s="22">
        <v>324368.26730423549</v>
      </c>
      <c r="AD185" s="22">
        <v>131868.16406968224</v>
      </c>
      <c r="AE185" s="22">
        <v>219780.27344947041</v>
      </c>
      <c r="AF185" s="22">
        <v>175824.21875957632</v>
      </c>
      <c r="AG185" s="22">
        <v>347514.61436006497</v>
      </c>
    </row>
    <row r="187" spans="4:33" x14ac:dyDescent="0.25">
      <c r="E187" s="15" t="s">
        <v>95</v>
      </c>
    </row>
    <row r="188" spans="4:33" x14ac:dyDescent="0.25">
      <c r="E188" t="s">
        <v>110</v>
      </c>
      <c r="G188" t="s">
        <v>38</v>
      </c>
      <c r="J188" cm="1">
        <f t="array" ref="J188:AG188">_xlfn.ANCHORARRAY( J130)</f>
        <v>150000</v>
      </c>
      <c r="K188">
        <v>250000</v>
      </c>
      <c r="L188">
        <v>200000</v>
      </c>
      <c r="M188">
        <v>300000</v>
      </c>
      <c r="N188">
        <v>157500</v>
      </c>
      <c r="O188">
        <v>262500</v>
      </c>
      <c r="P188">
        <v>210000</v>
      </c>
      <c r="Q188">
        <v>300000</v>
      </c>
      <c r="R188">
        <v>165375</v>
      </c>
      <c r="S188">
        <v>275625</v>
      </c>
      <c r="T188">
        <v>220500</v>
      </c>
      <c r="U188">
        <v>300000</v>
      </c>
      <c r="V188">
        <v>173643.75000000003</v>
      </c>
      <c r="W188">
        <v>289406.25000000006</v>
      </c>
      <c r="X188">
        <v>231525.00000000003</v>
      </c>
      <c r="Y188">
        <v>300000</v>
      </c>
      <c r="Z188">
        <v>182325.9375</v>
      </c>
      <c r="AA188">
        <v>300000</v>
      </c>
      <c r="AB188">
        <v>243101.25</v>
      </c>
      <c r="AC188">
        <v>300000</v>
      </c>
      <c r="AD188">
        <v>191442.23437500003</v>
      </c>
      <c r="AE188">
        <v>300000</v>
      </c>
      <c r="AF188">
        <v>255256.31250000003</v>
      </c>
      <c r="AG188">
        <v>300000</v>
      </c>
    </row>
    <row r="189" spans="4:33" x14ac:dyDescent="0.25">
      <c r="E189" t="s">
        <v>109</v>
      </c>
      <c r="G189" t="s">
        <v>38</v>
      </c>
      <c r="J189" cm="1">
        <f t="array" ref="J189:AG189">_xlfn.ANCHORARRAY( J131)</f>
        <v>0</v>
      </c>
      <c r="K189">
        <v>0</v>
      </c>
      <c r="L189">
        <v>0</v>
      </c>
      <c r="M189">
        <v>100000</v>
      </c>
      <c r="N189">
        <v>0</v>
      </c>
      <c r="O189">
        <v>0</v>
      </c>
      <c r="P189">
        <v>0</v>
      </c>
      <c r="Q189">
        <v>120000</v>
      </c>
      <c r="R189">
        <v>0</v>
      </c>
      <c r="S189">
        <v>0</v>
      </c>
      <c r="T189">
        <v>0</v>
      </c>
      <c r="U189">
        <v>141000</v>
      </c>
      <c r="V189">
        <v>0</v>
      </c>
      <c r="W189">
        <v>0</v>
      </c>
      <c r="X189">
        <v>0</v>
      </c>
      <c r="Y189">
        <v>163050.00000000006</v>
      </c>
      <c r="Z189">
        <v>0</v>
      </c>
      <c r="AA189">
        <v>3876.5625</v>
      </c>
      <c r="AB189">
        <v>0</v>
      </c>
      <c r="AC189">
        <v>186202.5</v>
      </c>
      <c r="AD189">
        <v>0</v>
      </c>
      <c r="AE189">
        <v>19070.390625000058</v>
      </c>
      <c r="AF189">
        <v>0</v>
      </c>
      <c r="AG189">
        <v>210512.62500000006</v>
      </c>
    </row>
    <row r="190" spans="4:33" x14ac:dyDescent="0.25">
      <c r="E190" s="22" t="s">
        <v>108</v>
      </c>
      <c r="F190" s="22"/>
      <c r="G190" s="22" t="s">
        <v>38</v>
      </c>
      <c r="H190" s="22"/>
      <c r="I190" s="22"/>
      <c r="J190" s="22" cm="1">
        <f t="array" ref="J190:AG190">_xlfn.BYCOL( J188:AG189, _xleta.SUM )</f>
        <v>150000</v>
      </c>
      <c r="K190" s="22">
        <v>250000</v>
      </c>
      <c r="L190" s="22">
        <v>200000</v>
      </c>
      <c r="M190" s="22">
        <v>400000</v>
      </c>
      <c r="N190" s="22">
        <v>157500</v>
      </c>
      <c r="O190" s="22">
        <v>262500</v>
      </c>
      <c r="P190" s="22">
        <v>210000</v>
      </c>
      <c r="Q190" s="22">
        <v>420000</v>
      </c>
      <c r="R190" s="22">
        <v>165375</v>
      </c>
      <c r="S190" s="22">
        <v>275625</v>
      </c>
      <c r="T190" s="22">
        <v>220500</v>
      </c>
      <c r="U190" s="22">
        <v>441000</v>
      </c>
      <c r="V190" s="22">
        <v>173643.75000000003</v>
      </c>
      <c r="W190" s="22">
        <v>289406.25000000006</v>
      </c>
      <c r="X190" s="22">
        <v>231525.00000000003</v>
      </c>
      <c r="Y190" s="22">
        <v>463050.00000000006</v>
      </c>
      <c r="Z190" s="22">
        <v>182325.9375</v>
      </c>
      <c r="AA190" s="22">
        <v>303876.5625</v>
      </c>
      <c r="AB190" s="22">
        <v>243101.25</v>
      </c>
      <c r="AC190" s="22">
        <v>486202.5</v>
      </c>
      <c r="AD190" s="22">
        <v>191442.23437500003</v>
      </c>
      <c r="AE190" s="22">
        <v>319070.39062500006</v>
      </c>
      <c r="AF190" s="22">
        <v>255256.31250000003</v>
      </c>
      <c r="AG190" s="22">
        <v>510512.62500000006</v>
      </c>
    </row>
    <row r="192" spans="4:33" x14ac:dyDescent="0.25">
      <c r="E192" s="15" t="s">
        <v>98</v>
      </c>
    </row>
    <row r="193" spans="2:33" x14ac:dyDescent="0.25">
      <c r="E193" t="s">
        <v>101</v>
      </c>
      <c r="G193" t="s">
        <v>70</v>
      </c>
      <c r="J193" s="23" cm="1">
        <f t="array" ref="J193:AG193" xml:space="preserve"> IFERROR(_xlfn.ANCHORARRAY( J184) /_xlfn.ANCHORARRAY( J189) * 1000, 0 )</f>
        <v>0</v>
      </c>
      <c r="K193" s="23">
        <v>0</v>
      </c>
      <c r="L193" s="23">
        <v>0</v>
      </c>
      <c r="M193" s="23">
        <v>590.09999999999991</v>
      </c>
      <c r="N193" s="23">
        <v>0</v>
      </c>
      <c r="O193" s="23">
        <v>0</v>
      </c>
      <c r="P193" s="23">
        <v>0</v>
      </c>
      <c r="Q193" s="23">
        <v>608.57988000000012</v>
      </c>
      <c r="R193" s="23">
        <v>0</v>
      </c>
      <c r="S193" s="23">
        <v>0</v>
      </c>
      <c r="T193" s="23">
        <v>0</v>
      </c>
      <c r="U193" s="23">
        <v>627.71405359999994</v>
      </c>
      <c r="V193" s="23">
        <v>0</v>
      </c>
      <c r="W193" s="23">
        <v>0</v>
      </c>
      <c r="X193" s="23">
        <v>0</v>
      </c>
      <c r="Y193" s="23">
        <v>647.3281124959999</v>
      </c>
      <c r="Z193" s="23">
        <v>0</v>
      </c>
      <c r="AA193" s="23">
        <v>667.7993201769599</v>
      </c>
      <c r="AB193" s="23">
        <v>0</v>
      </c>
      <c r="AC193" s="23">
        <v>666.09455432202844</v>
      </c>
      <c r="AD193" s="23">
        <v>0</v>
      </c>
      <c r="AE193" s="23">
        <v>688.81438048501263</v>
      </c>
      <c r="AF193" s="23">
        <v>0</v>
      </c>
      <c r="AG193" s="23">
        <v>669.17744346478571</v>
      </c>
    </row>
    <row r="194" spans="2:33" x14ac:dyDescent="0.25">
      <c r="E194" t="s">
        <v>100</v>
      </c>
      <c r="G194" t="s">
        <v>70</v>
      </c>
      <c r="J194" s="40" cm="1">
        <f t="array" ref="J194:AG194" xml:space="preserve"> IFERROR(_xlfn.ANCHORARRAY( J183) /_xlfn.ANCHORARRAY( J188) * 1000, 0 )</f>
        <v>590.09999999999991</v>
      </c>
      <c r="K194" s="40">
        <v>590.0999999999998</v>
      </c>
      <c r="L194" s="40">
        <v>590.09999999999991</v>
      </c>
      <c r="M194" s="40">
        <v>590.09999999999991</v>
      </c>
      <c r="N194" s="40">
        <v>608.57988000000023</v>
      </c>
      <c r="O194" s="40">
        <v>608.57988000000012</v>
      </c>
      <c r="P194" s="40">
        <v>608.57988000000023</v>
      </c>
      <c r="Q194" s="40">
        <v>608.57988000000012</v>
      </c>
      <c r="R194" s="40">
        <v>627.71405359999994</v>
      </c>
      <c r="S194" s="40">
        <v>627.71405359999994</v>
      </c>
      <c r="T194" s="40">
        <v>627.71405359999983</v>
      </c>
      <c r="U194" s="40">
        <v>627.71405359999994</v>
      </c>
      <c r="V194" s="40">
        <v>647.32811249600002</v>
      </c>
      <c r="W194" s="40">
        <v>647.32811249600002</v>
      </c>
      <c r="X194" s="40">
        <v>647.3281124959999</v>
      </c>
      <c r="Y194" s="40">
        <v>647.32811249600002</v>
      </c>
      <c r="Z194" s="40">
        <v>667.79932017696001</v>
      </c>
      <c r="AA194" s="40">
        <v>667.79932017696001</v>
      </c>
      <c r="AB194" s="40">
        <v>667.79932017696001</v>
      </c>
      <c r="AC194" s="40">
        <v>667.79932017696001</v>
      </c>
      <c r="AD194" s="40">
        <v>688.81438048501263</v>
      </c>
      <c r="AE194" s="40">
        <v>688.81438048501263</v>
      </c>
      <c r="AF194" s="40">
        <v>688.81438048501275</v>
      </c>
      <c r="AG194" s="40">
        <v>688.81438048501263</v>
      </c>
    </row>
    <row r="195" spans="2:33" x14ac:dyDescent="0.25">
      <c r="E195" s="22" t="s">
        <v>108</v>
      </c>
      <c r="F195" s="22"/>
      <c r="G195" s="22" t="s">
        <v>70</v>
      </c>
      <c r="H195" s="22"/>
      <c r="I195" s="22"/>
      <c r="J195" s="41" cm="1">
        <f t="array" ref="J195:AG195" xml:space="preserve"> IFERROR(_xlfn.ANCHORARRAY( J185) /_xlfn.ANCHORARRAY( J190) * 1000, 0 )</f>
        <v>590.09999999999991</v>
      </c>
      <c r="K195" s="41">
        <v>590.0999999999998</v>
      </c>
      <c r="L195" s="41">
        <v>590.09999999999991</v>
      </c>
      <c r="M195" s="41">
        <v>590.09999999999991</v>
      </c>
      <c r="N195" s="41">
        <v>608.57988000000023</v>
      </c>
      <c r="O195" s="41">
        <v>608.57988000000012</v>
      </c>
      <c r="P195" s="41">
        <v>608.57988000000023</v>
      </c>
      <c r="Q195" s="41">
        <v>608.57988000000012</v>
      </c>
      <c r="R195" s="41">
        <v>627.71405359999994</v>
      </c>
      <c r="S195" s="41">
        <v>627.71405359999994</v>
      </c>
      <c r="T195" s="41">
        <v>627.71405359999983</v>
      </c>
      <c r="U195" s="41">
        <v>627.71405359999983</v>
      </c>
      <c r="V195" s="41">
        <v>647.32811249600002</v>
      </c>
      <c r="W195" s="41">
        <v>647.32811249600002</v>
      </c>
      <c r="X195" s="41">
        <v>647.3281124959999</v>
      </c>
      <c r="Y195" s="41">
        <v>647.3281124959999</v>
      </c>
      <c r="Z195" s="41">
        <v>667.79932017696001</v>
      </c>
      <c r="AA195" s="41">
        <v>667.79932017696001</v>
      </c>
      <c r="AB195" s="41">
        <v>667.79932017696001</v>
      </c>
      <c r="AC195" s="41">
        <v>667.14644063787307</v>
      </c>
      <c r="AD195" s="41">
        <v>688.81438048501263</v>
      </c>
      <c r="AE195" s="41">
        <v>688.81438048501263</v>
      </c>
      <c r="AF195" s="41">
        <v>688.81438048501275</v>
      </c>
      <c r="AG195" s="41">
        <v>680.71698395326644</v>
      </c>
    </row>
    <row r="198" spans="2:33" s="16" customFormat="1" x14ac:dyDescent="0.25">
      <c r="B198" s="11" t="s">
        <v>111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scale="38" fitToHeight="0" orientation="landscape" r:id="rId1"/>
  <headerFooter>
    <oddFooter>&amp;LFinancial Modeling Institute
CFM October 2026&amp;CPage &amp;P of &amp;N&amp;R&amp;D</oddFooter>
  </headerFooter>
  <rowBreaks count="1" manualBreakCount="1">
    <brk id="104" max="16383" man="1"/>
  </rowBreaks>
  <colBreaks count="1" manualBreakCount="1">
    <brk id="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36"/>
  <sheetViews>
    <sheetView showGridLines="0" topLeftCell="A15" zoomScaleNormal="100" workbookViewId="0">
      <selection activeCell="E30" sqref="E30"/>
    </sheetView>
  </sheetViews>
  <sheetFormatPr defaultColWidth="8.3984375" defaultRowHeight="15.6" x14ac:dyDescent="0.3"/>
  <cols>
    <col min="1" max="1" width="5.09765625" style="2" customWidth="1"/>
    <col min="2" max="2" width="2.69921875" style="1" customWidth="1"/>
    <col min="3" max="3" width="19.296875" style="2" customWidth="1"/>
    <col min="4" max="4" width="15.296875" style="3" customWidth="1"/>
    <col min="5" max="5" width="10.296875" style="2" customWidth="1"/>
    <col min="6" max="16384" width="8.3984375" style="2"/>
  </cols>
  <sheetData>
    <row r="1" spans="1:9" x14ac:dyDescent="0.3">
      <c r="A1" s="9"/>
    </row>
    <row r="2" spans="1:9" ht="20.399999999999999" thickBot="1" x14ac:dyDescent="0.45">
      <c r="B2" s="5" t="s">
        <v>43</v>
      </c>
      <c r="C2" s="5"/>
      <c r="D2" s="5"/>
      <c r="E2" s="5"/>
      <c r="F2" s="5"/>
      <c r="G2" s="5"/>
      <c r="H2" s="5"/>
      <c r="I2" s="5"/>
    </row>
    <row r="3" spans="1:9" ht="16.2" thickTop="1" x14ac:dyDescent="0.3"/>
    <row r="4" spans="1:9" x14ac:dyDescent="0.3">
      <c r="B4" s="1" t="s">
        <v>7</v>
      </c>
      <c r="D4" s="1" t="s">
        <v>8</v>
      </c>
      <c r="E4" s="1" t="s">
        <v>9</v>
      </c>
    </row>
    <row r="6" spans="1:9" x14ac:dyDescent="0.3">
      <c r="B6" s="1" t="s">
        <v>6</v>
      </c>
      <c r="D6" s="3" t="s">
        <v>10</v>
      </c>
      <c r="E6" s="6">
        <v>43831</v>
      </c>
    </row>
    <row r="7" spans="1:9" x14ac:dyDescent="0.3">
      <c r="B7" s="2"/>
    </row>
    <row r="8" spans="1:9" x14ac:dyDescent="0.3">
      <c r="B8" s="1" t="s">
        <v>1</v>
      </c>
      <c r="D8" s="3" t="s">
        <v>11</v>
      </c>
      <c r="E8" s="4">
        <v>300000</v>
      </c>
    </row>
    <row r="10" spans="1:9" x14ac:dyDescent="0.3">
      <c r="E10" s="1" t="s">
        <v>12</v>
      </c>
      <c r="F10" s="1" t="s">
        <v>13</v>
      </c>
      <c r="G10" s="1" t="s">
        <v>14</v>
      </c>
      <c r="H10" s="1" t="s">
        <v>15</v>
      </c>
    </row>
    <row r="11" spans="1:9" x14ac:dyDescent="0.3">
      <c r="B11" s="1" t="s">
        <v>17</v>
      </c>
      <c r="D11" s="3" t="s">
        <v>16</v>
      </c>
      <c r="E11" s="4">
        <v>150000</v>
      </c>
      <c r="F11" s="4">
        <v>250000</v>
      </c>
      <c r="G11" s="4">
        <v>200000</v>
      </c>
      <c r="H11" s="4">
        <v>400000</v>
      </c>
    </row>
    <row r="13" spans="1:9" x14ac:dyDescent="0.3">
      <c r="B13" s="1" t="s">
        <v>18</v>
      </c>
      <c r="D13" s="3" t="s">
        <v>19</v>
      </c>
      <c r="E13" s="7">
        <v>0.05</v>
      </c>
    </row>
    <row r="15" spans="1:9" x14ac:dyDescent="0.3">
      <c r="B15" s="1" t="s">
        <v>20</v>
      </c>
      <c r="E15" s="1" t="s">
        <v>22</v>
      </c>
      <c r="F15" s="1" t="s">
        <v>35</v>
      </c>
      <c r="G15" s="1" t="s">
        <v>27</v>
      </c>
    </row>
    <row r="16" spans="1:9" x14ac:dyDescent="0.3">
      <c r="C16" s="2" t="s">
        <v>2</v>
      </c>
      <c r="D16" s="3" t="s">
        <v>21</v>
      </c>
      <c r="E16" s="8">
        <v>18.5</v>
      </c>
      <c r="F16" s="7">
        <v>0.06</v>
      </c>
      <c r="G16" s="2" t="s">
        <v>32</v>
      </c>
    </row>
    <row r="17" spans="2:7" x14ac:dyDescent="0.3">
      <c r="C17" s="2" t="s">
        <v>23</v>
      </c>
      <c r="D17" s="3" t="s">
        <v>24</v>
      </c>
      <c r="E17" s="8">
        <v>14.6</v>
      </c>
      <c r="F17" s="7">
        <v>-0.02</v>
      </c>
      <c r="G17" s="2" t="s">
        <v>28</v>
      </c>
    </row>
    <row r="18" spans="2:7" x14ac:dyDescent="0.3">
      <c r="C18" s="2" t="s">
        <v>3</v>
      </c>
      <c r="D18" s="3" t="s">
        <v>25</v>
      </c>
      <c r="E18" s="8">
        <v>320</v>
      </c>
      <c r="F18" s="7">
        <v>2.5000000000000001E-2</v>
      </c>
      <c r="G18" s="2" t="s">
        <v>28</v>
      </c>
    </row>
    <row r="20" spans="2:7" x14ac:dyDescent="0.3">
      <c r="B20" s="1" t="s">
        <v>4</v>
      </c>
    </row>
    <row r="21" spans="2:7" x14ac:dyDescent="0.3">
      <c r="C21" s="2" t="s">
        <v>26</v>
      </c>
      <c r="D21" s="3" t="s">
        <v>19</v>
      </c>
      <c r="E21" s="7">
        <v>0.25</v>
      </c>
    </row>
    <row r="22" spans="2:7" x14ac:dyDescent="0.3">
      <c r="C22" s="2" t="s">
        <v>29</v>
      </c>
      <c r="D22" s="3" t="s">
        <v>30</v>
      </c>
      <c r="E22" s="7">
        <v>-5.0000000000000001E-3</v>
      </c>
    </row>
    <row r="23" spans="2:7" x14ac:dyDescent="0.3">
      <c r="C23" s="2" t="s">
        <v>31</v>
      </c>
    </row>
    <row r="25" spans="2:7" x14ac:dyDescent="0.3">
      <c r="B25" s="1" t="s">
        <v>5</v>
      </c>
      <c r="D25" s="3" t="s">
        <v>33</v>
      </c>
      <c r="E25" s="4">
        <v>25000000</v>
      </c>
    </row>
    <row r="27" spans="2:7" x14ac:dyDescent="0.3">
      <c r="B27" s="1" t="s">
        <v>34</v>
      </c>
      <c r="D27" s="3" t="s">
        <v>19</v>
      </c>
      <c r="E27" s="7">
        <v>0.35</v>
      </c>
    </row>
    <row r="29" spans="2:7" x14ac:dyDescent="0.3">
      <c r="B29" s="1" t="s">
        <v>40</v>
      </c>
      <c r="D29" s="3" t="s">
        <v>42</v>
      </c>
      <c r="E29" s="4">
        <v>0</v>
      </c>
    </row>
    <row r="30" spans="2:7" x14ac:dyDescent="0.3">
      <c r="C30" s="3" t="str">
        <f>"As at "&amp;TEXT(E6,"dd-mm-yy")</f>
        <v>As at 01-01-20</v>
      </c>
      <c r="D30" s="3" t="s">
        <v>16</v>
      </c>
      <c r="E30" s="4">
        <v>0</v>
      </c>
    </row>
    <row r="33" spans="3:5" x14ac:dyDescent="0.3">
      <c r="C33" s="2" t="s">
        <v>44</v>
      </c>
      <c r="D33" s="13" t="s">
        <v>45</v>
      </c>
    </row>
    <row r="34" spans="3:5" x14ac:dyDescent="0.3">
      <c r="C34" s="2" t="s">
        <v>46</v>
      </c>
      <c r="D34" s="13" t="s">
        <v>47</v>
      </c>
    </row>
    <row r="35" spans="3:5" x14ac:dyDescent="0.3">
      <c r="C35" s="2" t="s">
        <v>52</v>
      </c>
      <c r="D35" s="13">
        <v>6</v>
      </c>
      <c r="E35" s="2" t="s">
        <v>53</v>
      </c>
    </row>
    <row r="36" spans="3:5" x14ac:dyDescent="0.3">
      <c r="C36" s="2" t="s">
        <v>54</v>
      </c>
      <c r="D36" s="12">
        <v>4</v>
      </c>
      <c r="E36" s="2" t="s">
        <v>49</v>
      </c>
    </row>
  </sheetData>
  <pageMargins left="0.4" right="0.4" top="0.5" bottom="0.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C0B47-B523-48AF-ADAB-25B84F6E2D83}">
  <sheetPr>
    <pageSetUpPr autoPageBreaks="0"/>
  </sheetPr>
  <dimension ref="A1:A3"/>
  <sheetViews>
    <sheetView zoomScale="85" zoomScaleNormal="85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K16" sqref="K16"/>
    </sheetView>
  </sheetViews>
  <sheetFormatPr defaultColWidth="10.69921875" defaultRowHeight="13.8" x14ac:dyDescent="0.25"/>
  <cols>
    <col min="1" max="4" width="1.69921875" customWidth="1"/>
    <col min="5" max="5" width="30.69921875" customWidth="1"/>
    <col min="6" max="8" width="10.69921875" customWidth="1"/>
    <col min="9" max="9" width="1.69921875" customWidth="1"/>
  </cols>
  <sheetData>
    <row r="1" s="10" customFormat="1" x14ac:dyDescent="0.25"/>
    <row r="2" s="10" customFormat="1" x14ac:dyDescent="0.25"/>
    <row r="3" s="10" customFormat="1" x14ac:dyDescent="0.25"/>
  </sheetData>
  <printOptions horizontalCentered="1"/>
  <pageMargins left="0.15748031496062992" right="0.15748031496062992" top="0.39370078740157483" bottom="0.39370078740157483" header="0.15748031496062992" footer="0.15748031496062992"/>
  <pageSetup scale="85" orientation="landscape" r:id="rId1"/>
  <headerFooter>
    <oddFooter>&amp;LFinancial Modeling Institute
CFM October 2026&amp;CPage &amp;P of &amp;N&amp;R&amp;D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Financials</vt:lpstr>
      <vt:lpstr>Calculations</vt:lpstr>
      <vt:lpstr>Case2Data</vt:lpstr>
      <vt:lpstr>Tmp</vt:lpstr>
      <vt:lpstr>company</vt:lpstr>
      <vt:lpstr>Case2Data!Print_Area</vt:lpstr>
      <vt:lpstr>Calculations!Print_Titles</vt:lpstr>
      <vt:lpstr>Financials!Print_Titles</vt:lpstr>
      <vt:lpstr>Tmp!Print_Titles</vt:lpstr>
      <vt:lpstr>quarters</vt:lpstr>
      <vt:lpstr>start_date</vt:lpstr>
      <vt:lpstr>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Diarmuid Early</dc:creator>
  <cp:lastModifiedBy>Luc Nicod</cp:lastModifiedBy>
  <cp:lastPrinted>2026-07-31T07:30:10Z</cp:lastPrinted>
  <dcterms:created xsi:type="dcterms:W3CDTF">2019-02-26T20:47:02Z</dcterms:created>
  <dcterms:modified xsi:type="dcterms:W3CDTF">2026-08-12T07:06:20Z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5a5f50-0881-436f-9c49-8a41d790817e_Enabled">
    <vt:lpwstr>true</vt:lpwstr>
  </property>
  <property fmtid="{D5CDD505-2E9C-101B-9397-08002B2CF9AE}" pid="3" name="MSIP_Label_da5a5f50-0881-436f-9c49-8a41d790817e_SetDate">
    <vt:lpwstr>2026-07-20T07:55:13Z</vt:lpwstr>
  </property>
  <property fmtid="{D5CDD505-2E9C-101B-9397-08002B2CF9AE}" pid="4" name="MSIP_Label_da5a5f50-0881-436f-9c49-8a41d790817e_Method">
    <vt:lpwstr>Privileged</vt:lpwstr>
  </property>
  <property fmtid="{D5CDD505-2E9C-101B-9397-08002B2CF9AE}" pid="5" name="MSIP_Label_da5a5f50-0881-436f-9c49-8a41d790817e_Name">
    <vt:lpwstr>L1</vt:lpwstr>
  </property>
  <property fmtid="{D5CDD505-2E9C-101B-9397-08002B2CF9AE}" pid="6" name="MSIP_Label_da5a5f50-0881-436f-9c49-8a41d790817e_SiteId">
    <vt:lpwstr>02e3c4d5-27fd-43fe-8203-97710d02fae4</vt:lpwstr>
  </property>
  <property fmtid="{D5CDD505-2E9C-101B-9397-08002B2CF9AE}" pid="7" name="MSIP_Label_da5a5f50-0881-436f-9c49-8a41d790817e_ActionId">
    <vt:lpwstr>7a94852f-78b7-4552-9926-1c9aaee348e1</vt:lpwstr>
  </property>
  <property fmtid="{D5CDD505-2E9C-101B-9397-08002B2CF9AE}" pid="8" name="MSIP_Label_da5a5f50-0881-436f-9c49-8a41d790817e_ContentBits">
    <vt:lpwstr>0</vt:lpwstr>
  </property>
  <property fmtid="{D5CDD505-2E9C-101B-9397-08002B2CF9AE}" pid="9" name="MSIP_Label_da5a5f50-0881-436f-9c49-8a41d790817e_Tag">
    <vt:lpwstr>10, 0, 1, 1</vt:lpwstr>
  </property>
</Properties>
</file>