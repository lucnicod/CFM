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 defaultThemeVersion="124226"/>
  <xr:revisionPtr revIDLastSave="809" documentId="8_{FDFE3E6C-40B5-4EEB-9DD4-815B7A4BBB6E}" xr6:coauthVersionLast="47" xr6:coauthVersionMax="47" xr10:uidLastSave="{0B37103B-EFE0-4DCB-882D-D0A502A9591D}"/>
  <bookViews>
    <workbookView xWindow="28692" yWindow="-108" windowWidth="29016" windowHeight="16416" tabRatio="741" activeTab="6" xr2:uid="{00000000-000D-0000-FFFF-FFFF00000000}"/>
  </bookViews>
  <sheets>
    <sheet name="Task1 Data" sheetId="18" r:id="rId1"/>
    <sheet name="Task1 Solution" sheetId="24" r:id="rId2"/>
    <sheet name="Task2 Data" sheetId="19" r:id="rId3"/>
    <sheet name="Task2 Solution" sheetId="25" r:id="rId4"/>
    <sheet name="Task3 Data" sheetId="20" r:id="rId5"/>
    <sheet name="Task3 Solution" sheetId="26" r:id="rId6"/>
    <sheet name="Task4 Data" sheetId="21" r:id="rId7"/>
    <sheet name="Task4 Solution" sheetId="27" r:id="rId8"/>
  </sheets>
  <definedNames>
    <definedName name="end_date">'Task3 Data'!$G$16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">VALUE( LEFT( 'Task3 Data'!$G$23, 1 ) )</definedName>
    <definedName name="start_date">'Task3 Data'!$G$15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21" l="1" a="1"/>
  <c r="I43" i="21" a="1"/>
  <c r="G44" i="21"/>
  <c r="G46" i="21"/>
  <c r="F47" i="21"/>
  <c r="F48" i="21"/>
  <c r="F49" i="21"/>
  <c r="F50" i="21"/>
  <c r="F51" i="21"/>
  <c r="F52" i="21"/>
  <c r="F53" i="21"/>
  <c r="F54" i="21"/>
  <c r="F55" i="21"/>
  <c r="F56" i="21"/>
  <c r="G23" i="21"/>
  <c r="J16" i="21"/>
  <c r="K16" i="21"/>
  <c r="L16" i="21"/>
  <c r="M16" i="21"/>
  <c r="G23" i="27"/>
  <c r="I46" i="27"/>
  <c r="J45" i="27"/>
  <c r="J46" i="27"/>
  <c r="J48" i="27"/>
  <c r="G16" i="20"/>
  <c r="G15" i="20"/>
  <c r="I38" i="20" a="1"/>
  <c r="J30" i="20"/>
  <c r="K30" i="20"/>
  <c r="L30" i="20"/>
  <c r="J37" i="19"/>
  <c r="K37" i="19"/>
  <c r="L37" i="19"/>
  <c r="M37" i="19"/>
  <c r="F43" i="25"/>
  <c r="I43" i="25"/>
  <c r="I18" i="18" a="1"/>
  <c r="G32" i="26"/>
  <c r="G31" i="26"/>
  <c r="F40" i="26"/>
  <c r="J30" i="26"/>
  <c r="K30" i="26"/>
  <c r="L30" i="26"/>
  <c r="M30" i="26"/>
  <c r="F53" i="27"/>
  <c r="F54" i="27"/>
  <c r="F55" i="27"/>
  <c r="F56" i="27"/>
  <c r="F57" i="27"/>
  <c r="F58" i="27"/>
  <c r="F59" i="27"/>
  <c r="F60" i="27"/>
  <c r="F61" i="27"/>
  <c r="F52" i="27"/>
  <c r="E51" i="27"/>
  <c r="F51" i="27"/>
  <c r="E52" i="27"/>
  <c r="J42" i="27"/>
  <c r="K41" i="27"/>
  <c r="J41" i="27"/>
  <c r="K42" i="27"/>
  <c r="L41" i="27"/>
  <c r="L42" i="27"/>
  <c r="M42" i="27"/>
  <c r="M41" i="27"/>
  <c r="N41" i="27"/>
  <c r="N42" i="27"/>
  <c r="O41" i="27"/>
  <c r="O42" i="27"/>
  <c r="P41" i="27"/>
  <c r="P42" i="27"/>
  <c r="Q41" i="27"/>
  <c r="Q42" i="27"/>
  <c r="R41" i="27"/>
  <c r="R42" i="27"/>
  <c r="S41" i="27"/>
  <c r="S42" i="27"/>
  <c r="T41" i="27"/>
  <c r="T42" i="27"/>
  <c r="U42" i="27"/>
  <c r="U41" i="27"/>
  <c r="V41" i="27"/>
  <c r="V42" i="27"/>
  <c r="W42" i="27"/>
  <c r="W41" i="27"/>
  <c r="X41" i="27"/>
  <c r="X42" i="27"/>
  <c r="Y41" i="27"/>
  <c r="Y42" i="27"/>
  <c r="Z42" i="27"/>
  <c r="Z41" i="27"/>
  <c r="AA42" i="27"/>
  <c r="AA41" i="27"/>
  <c r="AB41" i="27"/>
  <c r="AB42" i="27"/>
  <c r="AC42" i="27"/>
  <c r="AC41" i="27"/>
  <c r="AD42" i="27"/>
  <c r="AD41" i="27"/>
  <c r="AE41" i="27"/>
  <c r="AE42" i="27"/>
  <c r="AF41" i="27"/>
  <c r="AF42" i="27"/>
  <c r="AG41" i="27"/>
  <c r="AG42" i="27"/>
  <c r="AH42" i="27"/>
  <c r="AH41" i="27"/>
  <c r="AI41" i="27"/>
  <c r="AI42" i="27"/>
  <c r="AJ41" i="27"/>
  <c r="AJ42" i="27"/>
  <c r="AK42" i="27"/>
  <c r="AK41" i="27"/>
  <c r="AL41" i="27"/>
  <c r="AL42" i="27"/>
  <c r="AM42" i="27"/>
  <c r="AM41" i="27"/>
  <c r="AN41" i="27"/>
  <c r="AN42" i="27"/>
  <c r="AO41" i="27"/>
  <c r="AO42" i="27"/>
  <c r="AP41" i="27"/>
  <c r="AP42" i="27"/>
  <c r="AQ42" i="27"/>
  <c r="AQ41" i="27"/>
  <c r="AR41" i="27"/>
  <c r="AR42" i="27"/>
  <c r="AS42" i="27"/>
  <c r="AS41" i="27"/>
  <c r="AT41" i="27"/>
  <c r="AT42" i="27"/>
  <c r="AU41" i="27"/>
  <c r="AU42" i="27"/>
  <c r="AV41" i="27"/>
  <c r="AV42" i="27"/>
  <c r="AW41" i="27"/>
  <c r="AW42" i="27"/>
  <c r="AX42" i="27"/>
  <c r="AX41" i="27"/>
  <c r="AY42" i="27"/>
  <c r="AY41" i="27"/>
  <c r="AZ41" i="27"/>
  <c r="AZ42" i="27"/>
  <c r="BA42" i="27"/>
  <c r="BA41" i="27"/>
  <c r="BB41" i="27"/>
  <c r="BB42" i="27"/>
  <c r="BC42" i="27"/>
  <c r="BC41" i="27"/>
  <c r="BD41" i="27"/>
  <c r="BD42" i="27"/>
  <c r="BE41" i="27"/>
  <c r="BE42" i="27"/>
  <c r="BF41" i="27"/>
  <c r="BF42" i="27"/>
  <c r="BG42" i="27"/>
  <c r="BG41" i="27"/>
  <c r="BH41" i="27"/>
  <c r="BH42" i="27"/>
  <c r="BI42" i="27"/>
  <c r="BI41" i="27"/>
  <c r="BJ42" i="27"/>
  <c r="BJ41" i="27"/>
  <c r="BK42" i="27"/>
  <c r="BK41" i="27"/>
  <c r="BL41" i="27"/>
  <c r="BL42" i="27"/>
  <c r="BM41" i="27"/>
  <c r="BM42" i="27"/>
  <c r="BN42" i="27"/>
  <c r="BN41" i="27"/>
  <c r="BO41" i="27"/>
  <c r="BO42" i="27"/>
  <c r="BP41" i="27"/>
  <c r="BP42" i="27"/>
  <c r="BQ41" i="27"/>
  <c r="BQ42" i="27"/>
  <c r="BR41" i="27"/>
  <c r="BR42" i="27"/>
  <c r="BS42" i="27"/>
  <c r="BS41" i="27"/>
  <c r="BT41" i="27"/>
  <c r="BT42" i="27"/>
  <c r="BU41" i="27"/>
  <c r="BU42" i="27"/>
  <c r="BV41" i="27"/>
  <c r="BV42" i="27"/>
  <c r="BW41" i="27"/>
  <c r="BW42" i="27"/>
  <c r="BX41" i="27"/>
  <c r="BX42" i="27"/>
  <c r="BY42" i="27"/>
  <c r="BY41" i="27"/>
  <c r="BZ41" i="27"/>
  <c r="BZ42" i="27"/>
  <c r="CA42" i="27"/>
  <c r="CA41" i="27"/>
  <c r="CB41" i="27"/>
  <c r="CB42" i="27"/>
  <c r="CC41" i="27"/>
  <c r="CC42" i="27"/>
  <c r="CD41" i="27"/>
  <c r="CD42" i="27"/>
  <c r="CE42" i="27"/>
  <c r="CE41" i="27"/>
  <c r="CF41" i="27"/>
  <c r="CF42" i="27"/>
  <c r="CG42" i="27"/>
  <c r="CG41" i="27"/>
  <c r="CH41" i="27"/>
  <c r="CH42" i="27"/>
  <c r="CI42" i="27"/>
  <c r="CI41" i="27"/>
  <c r="CJ41" i="27"/>
  <c r="CJ42" i="27"/>
  <c r="F27" i="27"/>
  <c r="J16" i="27"/>
  <c r="K16" i="27"/>
  <c r="L16" i="27"/>
  <c r="M16" i="27"/>
  <c r="N16" i="27"/>
  <c r="O16" i="27"/>
  <c r="P16" i="27"/>
  <c r="Q16" i="27"/>
  <c r="R16" i="27"/>
  <c r="S16" i="27"/>
  <c r="T16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AK16" i="27"/>
  <c r="AL16" i="27"/>
  <c r="AM16" i="27"/>
  <c r="AN16" i="27"/>
  <c r="AO16" i="27"/>
  <c r="AP16" i="27"/>
  <c r="AQ16" i="27"/>
  <c r="AR16" i="27"/>
  <c r="AS16" i="27"/>
  <c r="AT16" i="27"/>
  <c r="AU16" i="27"/>
  <c r="AV16" i="27"/>
  <c r="AW16" i="27"/>
  <c r="AX16" i="27"/>
  <c r="AY16" i="27"/>
  <c r="AZ16" i="27"/>
  <c r="BA16" i="27"/>
  <c r="BB16" i="27"/>
  <c r="BC16" i="27"/>
  <c r="BD16" i="27"/>
  <c r="BE16" i="27"/>
  <c r="BF16" i="27"/>
  <c r="BG16" i="27"/>
  <c r="BH16" i="27"/>
  <c r="BI16" i="27"/>
  <c r="BJ16" i="27"/>
  <c r="BK16" i="27"/>
  <c r="BL16" i="27"/>
  <c r="BM16" i="27"/>
  <c r="BN16" i="27"/>
  <c r="BO16" i="27"/>
  <c r="BP16" i="27"/>
  <c r="BQ16" i="27"/>
  <c r="BR16" i="27"/>
  <c r="BS16" i="27"/>
  <c r="BT16" i="27"/>
  <c r="BU16" i="27"/>
  <c r="BV16" i="27"/>
  <c r="BW16" i="27"/>
  <c r="BX16" i="27"/>
  <c r="BY16" i="27"/>
  <c r="BZ16" i="27"/>
  <c r="CA16" i="27"/>
  <c r="CB16" i="27"/>
  <c r="CC16" i="27"/>
  <c r="CD16" i="27"/>
  <c r="CE16" i="27"/>
  <c r="CF16" i="27"/>
  <c r="CG16" i="27"/>
  <c r="CH16" i="27"/>
  <c r="CI16" i="27"/>
  <c r="CJ16" i="27"/>
  <c r="F28" i="27"/>
  <c r="E53" i="27"/>
  <c r="F29" i="27"/>
  <c r="E54" i="27"/>
  <c r="K45" i="27"/>
  <c r="K46" i="27"/>
  <c r="F30" i="27"/>
  <c r="E55" i="27"/>
  <c r="L45" i="27"/>
  <c r="K48" i="27"/>
  <c r="L46" i="27"/>
  <c r="F31" i="27"/>
  <c r="E56" i="27"/>
  <c r="L48" i="27"/>
  <c r="M46" i="27"/>
  <c r="M45" i="27"/>
  <c r="F32" i="27"/>
  <c r="E57" i="27"/>
  <c r="M48" i="27"/>
  <c r="N45" i="27"/>
  <c r="N46" i="27"/>
  <c r="F33" i="27"/>
  <c r="E58" i="27"/>
  <c r="N48" i="27"/>
  <c r="O46" i="27"/>
  <c r="O45" i="27"/>
  <c r="F34" i="27"/>
  <c r="E59" i="27"/>
  <c r="O48" i="27"/>
  <c r="P46" i="27"/>
  <c r="P45" i="27"/>
  <c r="F35" i="27"/>
  <c r="E61" i="27"/>
  <c r="E60" i="27"/>
  <c r="P48" i="27"/>
  <c r="Q45" i="27"/>
  <c r="Q46" i="27"/>
  <c r="Q48" i="27"/>
  <c r="R45" i="27"/>
  <c r="R46" i="27"/>
  <c r="R48" i="27"/>
  <c r="S46" i="27"/>
  <c r="S45" i="27"/>
  <c r="S48" i="27"/>
  <c r="T45" i="27"/>
  <c r="T46" i="27"/>
  <c r="T48" i="27"/>
  <c r="U46" i="27"/>
  <c r="U45" i="27"/>
  <c r="U48" i="27"/>
  <c r="V46" i="27"/>
  <c r="V45" i="27"/>
  <c r="V48" i="27"/>
  <c r="W46" i="27"/>
  <c r="W45" i="27"/>
  <c r="W48" i="27"/>
  <c r="X45" i="27"/>
  <c r="X46" i="27"/>
  <c r="X48" i="27"/>
  <c r="Y45" i="27"/>
  <c r="Y46" i="27"/>
  <c r="Y48" i="27"/>
  <c r="Z45" i="27"/>
  <c r="Z46" i="27"/>
  <c r="Z48" i="27"/>
  <c r="AA46" i="27"/>
  <c r="AA45" i="27"/>
  <c r="AA48" i="27"/>
  <c r="AB45" i="27"/>
  <c r="AB46" i="27"/>
  <c r="AB48" i="27"/>
  <c r="AC46" i="27"/>
  <c r="AC45" i="27"/>
  <c r="AC48" i="27"/>
  <c r="AD45" i="27"/>
  <c r="AD46" i="27"/>
  <c r="AD48" i="27"/>
  <c r="AE46" i="27"/>
  <c r="AE45" i="27"/>
  <c r="AE48" i="27"/>
  <c r="AF45" i="27"/>
  <c r="AF46" i="27"/>
  <c r="AF48" i="27"/>
  <c r="AG45" i="27"/>
  <c r="AG46" i="27"/>
  <c r="AG48" i="27"/>
  <c r="AH45" i="27"/>
  <c r="AH46" i="27"/>
  <c r="AH48" i="27"/>
  <c r="AI45" i="27"/>
  <c r="AI46" i="27"/>
  <c r="AI48" i="27"/>
  <c r="AJ45" i="27"/>
  <c r="AJ46" i="27"/>
  <c r="AJ48" i="27"/>
  <c r="AK45" i="27"/>
  <c r="AK46" i="27"/>
  <c r="AK48" i="27"/>
  <c r="AL46" i="27"/>
  <c r="AL45" i="27"/>
  <c r="AL48" i="27"/>
  <c r="AM46" i="27"/>
  <c r="AM45" i="27"/>
  <c r="AM48" i="27"/>
  <c r="AN45" i="27"/>
  <c r="AN46" i="27"/>
  <c r="AN48" i="27"/>
  <c r="AO45" i="27"/>
  <c r="AO46" i="27"/>
  <c r="AO48" i="27"/>
  <c r="AP46" i="27"/>
  <c r="AP45" i="27"/>
  <c r="AP48" i="27"/>
  <c r="AQ45" i="27"/>
  <c r="AQ46" i="27"/>
  <c r="AQ48" i="27"/>
  <c r="AR45" i="27"/>
  <c r="AR46" i="27"/>
  <c r="AR48" i="27"/>
  <c r="AS45" i="27"/>
  <c r="AS46" i="27"/>
  <c r="AS48" i="27"/>
  <c r="AT46" i="27"/>
  <c r="AT45" i="27"/>
  <c r="AT48" i="27"/>
  <c r="AU46" i="27"/>
  <c r="AU45" i="27"/>
  <c r="AU48" i="27"/>
  <c r="AV45" i="27"/>
  <c r="AV46" i="27"/>
  <c r="AV48" i="27"/>
  <c r="AW45" i="27"/>
  <c r="AW46" i="27"/>
  <c r="AW48" i="27"/>
  <c r="AX46" i="27"/>
  <c r="AX45" i="27"/>
  <c r="AX48" i="27"/>
  <c r="AY45" i="27"/>
  <c r="AY46" i="27"/>
  <c r="AY48" i="27"/>
  <c r="AZ46" i="27"/>
  <c r="AZ45" i="27"/>
  <c r="AZ48" i="27"/>
  <c r="BA46" i="27"/>
  <c r="BA45" i="27"/>
  <c r="BA48" i="27"/>
  <c r="BB45" i="27"/>
  <c r="BB46" i="27"/>
  <c r="BB48" i="27"/>
  <c r="BC46" i="27"/>
  <c r="BC45" i="27"/>
  <c r="BC48" i="27"/>
  <c r="BD45" i="27"/>
  <c r="BD46" i="27"/>
  <c r="BD48" i="27"/>
  <c r="BE45" i="27"/>
  <c r="BE46" i="27"/>
  <c r="BE48" i="27"/>
  <c r="BF46" i="27"/>
  <c r="BF45" i="27"/>
  <c r="BF48" i="27"/>
  <c r="BG45" i="27"/>
  <c r="BG46" i="27"/>
  <c r="BG48" i="27"/>
  <c r="BH45" i="27"/>
  <c r="BH46" i="27"/>
  <c r="BH48" i="27"/>
  <c r="BI45" i="27"/>
  <c r="BI46" i="27"/>
  <c r="BI48" i="27"/>
  <c r="BJ46" i="27"/>
  <c r="BJ45" i="27"/>
  <c r="BJ48" i="27"/>
  <c r="BK46" i="27"/>
  <c r="BK45" i="27"/>
  <c r="BK48" i="27"/>
  <c r="BL45" i="27"/>
  <c r="BL46" i="27"/>
  <c r="BL48" i="27"/>
  <c r="BM45" i="27"/>
  <c r="BM46" i="27"/>
  <c r="BM48" i="27"/>
  <c r="BN46" i="27"/>
  <c r="BN45" i="27"/>
  <c r="BN48" i="27"/>
  <c r="BO46" i="27"/>
  <c r="BO45" i="27"/>
  <c r="BO48" i="27"/>
  <c r="BP45" i="27"/>
  <c r="BP46" i="27"/>
  <c r="BP48" i="27"/>
  <c r="BQ45" i="27"/>
  <c r="BQ46" i="27"/>
  <c r="BQ48" i="27"/>
  <c r="BR46" i="27"/>
  <c r="BR45" i="27"/>
  <c r="BR48" i="27"/>
  <c r="BS46" i="27"/>
  <c r="BS45" i="27"/>
  <c r="BS48" i="27"/>
  <c r="BT46" i="27"/>
  <c r="BT45" i="27"/>
  <c r="BT48" i="27"/>
  <c r="BU45" i="27"/>
  <c r="BU46" i="27"/>
  <c r="BU48" i="27"/>
  <c r="BV45" i="27"/>
  <c r="BV46" i="27"/>
  <c r="BV48" i="27"/>
  <c r="BW46" i="27"/>
  <c r="BW45" i="27"/>
  <c r="BW48" i="27"/>
  <c r="BX45" i="27"/>
  <c r="BX46" i="27"/>
  <c r="BX48" i="27"/>
  <c r="BY45" i="27"/>
  <c r="BY46" i="27"/>
  <c r="BY48" i="27"/>
  <c r="BZ45" i="27"/>
  <c r="BZ46" i="27"/>
  <c r="BZ48" i="27"/>
  <c r="CA46" i="27"/>
  <c r="CA45" i="27"/>
  <c r="CA48" i="27"/>
  <c r="CB46" i="27"/>
  <c r="CB45" i="27"/>
  <c r="CB48" i="27"/>
  <c r="CC45" i="27"/>
  <c r="CC46" i="27"/>
  <c r="CC48" i="27"/>
  <c r="CD45" i="27"/>
  <c r="CD46" i="27"/>
  <c r="CD48" i="27"/>
  <c r="CE45" i="27"/>
  <c r="CE46" i="27"/>
  <c r="CE48" i="27"/>
  <c r="CF45" i="27"/>
  <c r="CF46" i="27"/>
  <c r="CF48" i="27"/>
  <c r="CG45" i="27"/>
  <c r="CG46" i="27"/>
  <c r="CG48" i="27"/>
  <c r="CH46" i="27"/>
  <c r="CH45" i="27"/>
  <c r="CH48" i="27"/>
  <c r="CI46" i="27"/>
  <c r="CI45" i="27"/>
  <c r="CI48" i="27"/>
  <c r="CJ45" i="27"/>
  <c r="CJ46" i="27"/>
  <c r="CJ48" i="27"/>
  <c r="G49" i="27"/>
  <c r="G51" i="27"/>
  <c r="G48" i="27"/>
  <c r="JK30" i="26"/>
  <c r="JL30" i="26"/>
  <c r="JM30" i="26"/>
  <c r="JN30" i="26"/>
  <c r="JO30" i="26"/>
  <c r="JP30" i="26"/>
  <c r="JQ30" i="26"/>
  <c r="JR30" i="26"/>
  <c r="JS30" i="26"/>
  <c r="JT30" i="26"/>
  <c r="JU30" i="26"/>
  <c r="JV30" i="26"/>
  <c r="JW30" i="26"/>
  <c r="JX30" i="26"/>
  <c r="JY30" i="26"/>
  <c r="JZ30" i="26"/>
  <c r="KA30" i="26"/>
  <c r="KB30" i="26"/>
  <c r="KC30" i="26"/>
  <c r="KD30" i="26"/>
  <c r="KE30" i="26"/>
  <c r="KF30" i="26"/>
  <c r="KG30" i="26"/>
  <c r="KH30" i="26"/>
  <c r="KI30" i="26"/>
  <c r="KJ30" i="26"/>
  <c r="KK30" i="26"/>
  <c r="KL30" i="26"/>
  <c r="KM30" i="26"/>
  <c r="KN30" i="26"/>
  <c r="KO30" i="26"/>
  <c r="KP30" i="26"/>
  <c r="KQ30" i="26"/>
  <c r="KR30" i="26"/>
  <c r="KS30" i="26"/>
  <c r="KT30" i="26"/>
  <c r="KU30" i="26"/>
  <c r="KV30" i="26"/>
  <c r="KW30" i="26"/>
  <c r="KX30" i="26"/>
  <c r="KY30" i="26"/>
  <c r="KZ30" i="26"/>
  <c r="LA30" i="26"/>
  <c r="LB30" i="26"/>
  <c r="LC30" i="26"/>
  <c r="LD30" i="26"/>
  <c r="LE30" i="26"/>
  <c r="LF30" i="26"/>
  <c r="LG30" i="26"/>
  <c r="LH30" i="26"/>
  <c r="LI30" i="26"/>
  <c r="LJ30" i="26"/>
  <c r="LK30" i="26"/>
  <c r="LL30" i="26"/>
  <c r="LM30" i="26"/>
  <c r="LN30" i="26"/>
  <c r="LO30" i="26"/>
  <c r="LP30" i="26"/>
  <c r="LQ30" i="26"/>
  <c r="LR30" i="26"/>
  <c r="LS30" i="26"/>
  <c r="LT30" i="26"/>
  <c r="LU30" i="26"/>
  <c r="LV30" i="26"/>
  <c r="LW30" i="26"/>
  <c r="LX30" i="26"/>
  <c r="LY30" i="26"/>
  <c r="LZ30" i="26"/>
  <c r="MA30" i="26"/>
  <c r="MB30" i="26"/>
  <c r="MC30" i="26"/>
  <c r="MD30" i="26"/>
  <c r="ME30" i="26"/>
  <c r="MF30" i="26"/>
  <c r="MG30" i="26"/>
  <c r="MH30" i="26"/>
  <c r="MI30" i="26"/>
  <c r="MJ30" i="26"/>
  <c r="MK30" i="26"/>
  <c r="ML30" i="26"/>
  <c r="MM30" i="26"/>
  <c r="MN30" i="26"/>
  <c r="MO30" i="26"/>
  <c r="MP30" i="26"/>
  <c r="MQ30" i="26"/>
  <c r="MR30" i="26"/>
  <c r="MS30" i="26"/>
  <c r="MT30" i="26"/>
  <c r="MU30" i="26"/>
  <c r="MV30" i="26"/>
  <c r="MW30" i="26"/>
  <c r="MX30" i="26"/>
  <c r="MY30" i="26"/>
  <c r="MZ30" i="26"/>
  <c r="NA30" i="26"/>
  <c r="NB30" i="26"/>
  <c r="NC30" i="26"/>
  <c r="ND30" i="26"/>
  <c r="NE30" i="26"/>
  <c r="NF30" i="26"/>
  <c r="NG30" i="26"/>
  <c r="NH30" i="26"/>
  <c r="NI30" i="26"/>
  <c r="NJ30" i="26"/>
  <c r="NK30" i="26"/>
  <c r="NL30" i="26"/>
  <c r="NM30" i="26"/>
  <c r="NN30" i="26"/>
  <c r="NO30" i="26"/>
  <c r="NP30" i="26"/>
  <c r="NQ30" i="26"/>
  <c r="NR30" i="26"/>
  <c r="NS30" i="26"/>
  <c r="NT30" i="26"/>
  <c r="NU30" i="26"/>
  <c r="NV30" i="26"/>
  <c r="NW30" i="26"/>
  <c r="NX30" i="26"/>
  <c r="NY30" i="26"/>
  <c r="NZ30" i="26"/>
  <c r="OA30" i="26"/>
  <c r="OB30" i="26"/>
  <c r="OC30" i="26"/>
  <c r="OD30" i="26"/>
  <c r="OE30" i="26"/>
  <c r="OF30" i="26"/>
  <c r="OG30" i="26"/>
  <c r="OH30" i="26"/>
  <c r="OI30" i="26"/>
  <c r="OJ30" i="26"/>
  <c r="OK30" i="26"/>
  <c r="OL30" i="26"/>
  <c r="OM30" i="26"/>
  <c r="ON30" i="26"/>
  <c r="OO30" i="26"/>
  <c r="OP30" i="26"/>
  <c r="OQ30" i="26"/>
  <c r="OR30" i="26"/>
  <c r="OS30" i="26"/>
  <c r="OT30" i="26"/>
  <c r="OU30" i="26"/>
  <c r="OV30" i="26"/>
  <c r="OW30" i="26"/>
  <c r="OX30" i="26"/>
  <c r="OY30" i="26"/>
  <c r="OZ30" i="26"/>
  <c r="PA30" i="26"/>
  <c r="PB30" i="26"/>
  <c r="PC30" i="26"/>
  <c r="PD30" i="26"/>
  <c r="PE30" i="26"/>
  <c r="PF30" i="26"/>
  <c r="PG30" i="26"/>
  <c r="PH30" i="26"/>
  <c r="PI30" i="26"/>
  <c r="PJ30" i="26"/>
  <c r="PK30" i="26"/>
  <c r="PL30" i="26"/>
  <c r="PM30" i="26"/>
  <c r="PN30" i="26"/>
  <c r="PO30" i="26"/>
  <c r="PP30" i="26"/>
  <c r="PQ30" i="26"/>
  <c r="PR30" i="26"/>
  <c r="PS30" i="26"/>
  <c r="PT30" i="26"/>
  <c r="PU30" i="26"/>
  <c r="PV30" i="26"/>
  <c r="PW30" i="26"/>
  <c r="PX30" i="26"/>
  <c r="PY30" i="26"/>
  <c r="PZ30" i="26"/>
  <c r="QA30" i="26"/>
  <c r="QB30" i="26"/>
  <c r="QC30" i="26"/>
  <c r="QD30" i="26"/>
  <c r="QE30" i="26"/>
  <c r="QF30" i="26"/>
  <c r="QG30" i="26"/>
  <c r="QH30" i="26"/>
  <c r="G20" i="26"/>
  <c r="G19" i="26"/>
  <c r="G18" i="26"/>
  <c r="N40" i="25"/>
  <c r="R40" i="25"/>
  <c r="V40" i="25"/>
  <c r="Z40" i="25"/>
  <c r="Z42" i="25"/>
  <c r="M40" i="25"/>
  <c r="M42" i="25"/>
  <c r="L42" i="25"/>
  <c r="K42" i="25"/>
  <c r="J42" i="25"/>
  <c r="I42" i="25"/>
  <c r="AD40" i="25"/>
  <c r="AH40" i="25"/>
  <c r="AL40" i="25"/>
  <c r="AP40" i="25"/>
  <c r="AT40" i="25"/>
  <c r="AX40" i="25"/>
  <c r="BB40" i="25"/>
  <c r="BF40" i="25"/>
  <c r="BJ40" i="25"/>
  <c r="BN40" i="25"/>
  <c r="BR40" i="25"/>
  <c r="BV40" i="25"/>
  <c r="BZ40" i="25"/>
  <c r="CD40" i="25"/>
  <c r="CH40" i="25"/>
  <c r="CH42" i="25"/>
  <c r="O40" i="25"/>
  <c r="S40" i="25"/>
  <c r="W40" i="25"/>
  <c r="AA40" i="25"/>
  <c r="AE40" i="25"/>
  <c r="AI40" i="25"/>
  <c r="AM40" i="25"/>
  <c r="AQ40" i="25"/>
  <c r="AU40" i="25"/>
  <c r="AY40" i="25"/>
  <c r="BC40" i="25"/>
  <c r="BG40" i="25"/>
  <c r="BK40" i="25"/>
  <c r="BO40" i="25"/>
  <c r="BS40" i="25"/>
  <c r="BW40" i="25"/>
  <c r="CA40" i="25"/>
  <c r="CE40" i="25"/>
  <c r="CI40" i="25"/>
  <c r="CI42" i="25"/>
  <c r="P40" i="25"/>
  <c r="T40" i="25"/>
  <c r="X40" i="25"/>
  <c r="AB40" i="25"/>
  <c r="AF40" i="25"/>
  <c r="AJ40" i="25"/>
  <c r="AN40" i="25"/>
  <c r="AR40" i="25"/>
  <c r="AV40" i="25"/>
  <c r="AZ40" i="25"/>
  <c r="BD40" i="25"/>
  <c r="BH40" i="25"/>
  <c r="BL40" i="25"/>
  <c r="BP40" i="25"/>
  <c r="BT40" i="25"/>
  <c r="BX40" i="25"/>
  <c r="CB40" i="25"/>
  <c r="CF40" i="25"/>
  <c r="CJ40" i="25"/>
  <c r="CJ42" i="25"/>
  <c r="Q40" i="25"/>
  <c r="U40" i="25"/>
  <c r="Y40" i="25"/>
  <c r="AC40" i="25"/>
  <c r="AG40" i="25"/>
  <c r="AK40" i="25"/>
  <c r="AO40" i="25"/>
  <c r="AS40" i="25"/>
  <c r="AW40" i="25"/>
  <c r="BA40" i="25"/>
  <c r="BE40" i="25"/>
  <c r="BI40" i="25"/>
  <c r="BM40" i="25"/>
  <c r="BQ40" i="25"/>
  <c r="BU40" i="25"/>
  <c r="BY40" i="25"/>
  <c r="CC40" i="25"/>
  <c r="CG40" i="25"/>
  <c r="CG42" i="25"/>
  <c r="I41" i="25"/>
  <c r="BB42" i="25"/>
  <c r="V42" i="25"/>
  <c r="CD42" i="25"/>
  <c r="AX42" i="25"/>
  <c r="R42" i="25"/>
  <c r="BZ42" i="25"/>
  <c r="AT42" i="25"/>
  <c r="BF42" i="25"/>
  <c r="BV42" i="25"/>
  <c r="AP42" i="25"/>
  <c r="BR42" i="25"/>
  <c r="AL42" i="25"/>
  <c r="BN42" i="25"/>
  <c r="AH42" i="25"/>
  <c r="BJ42" i="25"/>
  <c r="AD42" i="25"/>
  <c r="CE42" i="25"/>
  <c r="CA42" i="25"/>
  <c r="BW42" i="25"/>
  <c r="BS42" i="25"/>
  <c r="BO42" i="25"/>
  <c r="BK42" i="25"/>
  <c r="BG42" i="25"/>
  <c r="BC42" i="25"/>
  <c r="AY42" i="25"/>
  <c r="AU42" i="25"/>
  <c r="AQ42" i="25"/>
  <c r="AM42" i="25"/>
  <c r="AI42" i="25"/>
  <c r="AE42" i="25"/>
  <c r="AA42" i="25"/>
  <c r="W42" i="25"/>
  <c r="S42" i="25"/>
  <c r="O42" i="25"/>
  <c r="N42" i="25"/>
  <c r="CC42" i="25"/>
  <c r="BY42" i="25"/>
  <c r="BU42" i="25"/>
  <c r="BQ42" i="25"/>
  <c r="BM42" i="25"/>
  <c r="BI42" i="25"/>
  <c r="BE42" i="25"/>
  <c r="BA42" i="25"/>
  <c r="AW42" i="25"/>
  <c r="AS42" i="25"/>
  <c r="AO42" i="25"/>
  <c r="AK42" i="25"/>
  <c r="AG42" i="25"/>
  <c r="AC42" i="25"/>
  <c r="Y42" i="25"/>
  <c r="U42" i="25"/>
  <c r="Q42" i="25"/>
  <c r="CF42" i="25"/>
  <c r="CB42" i="25"/>
  <c r="BX42" i="25"/>
  <c r="BT42" i="25"/>
  <c r="BP42" i="25"/>
  <c r="BL42" i="25"/>
  <c r="BH42" i="25"/>
  <c r="BD42" i="25"/>
  <c r="AZ42" i="25"/>
  <c r="AV42" i="25"/>
  <c r="AR42" i="25"/>
  <c r="AN42" i="25"/>
  <c r="AJ42" i="25"/>
  <c r="AF42" i="25"/>
  <c r="AB42" i="25"/>
  <c r="X42" i="25"/>
  <c r="T42" i="25"/>
  <c r="P42" i="25"/>
  <c r="F46" i="25"/>
  <c r="I44" i="25"/>
  <c r="I46" i="25"/>
  <c r="J37" i="25"/>
  <c r="J36" i="25"/>
  <c r="K36" i="25"/>
  <c r="J41" i="25"/>
  <c r="J43" i="25"/>
  <c r="J44" i="25"/>
  <c r="J46" i="25"/>
  <c r="K37" i="25"/>
  <c r="K41" i="25"/>
  <c r="K43" i="25"/>
  <c r="K44" i="25"/>
  <c r="K46" i="25"/>
  <c r="R11" i="24"/>
  <c r="Q11" i="24"/>
  <c r="P11" i="24"/>
  <c r="O11" i="24"/>
  <c r="N11" i="24"/>
  <c r="M11" i="24"/>
  <c r="L11" i="24"/>
  <c r="K11" i="24"/>
  <c r="J11" i="24"/>
  <c r="I11" i="24"/>
  <c r="L36" i="25"/>
  <c r="L37" i="25"/>
  <c r="L41" i="25"/>
  <c r="L43" i="25"/>
  <c r="L44" i="25"/>
  <c r="L46" i="25"/>
  <c r="M37" i="25"/>
  <c r="M41" i="25"/>
  <c r="M43" i="25"/>
  <c r="M44" i="25"/>
  <c r="M46" i="25"/>
  <c r="M36" i="25"/>
  <c r="N36" i="25"/>
  <c r="N37" i="25"/>
  <c r="N41" i="25"/>
  <c r="N43" i="25"/>
  <c r="N44" i="25"/>
  <c r="N46" i="25"/>
  <c r="O36" i="25"/>
  <c r="O37" i="25"/>
  <c r="O41" i="25"/>
  <c r="O43" i="25"/>
  <c r="O44" i="25"/>
  <c r="O46" i="25"/>
  <c r="P36" i="25"/>
  <c r="P37" i="25"/>
  <c r="P41" i="25"/>
  <c r="P43" i="25"/>
  <c r="P44" i="25"/>
  <c r="P46" i="25"/>
  <c r="Q36" i="25"/>
  <c r="Q37" i="25"/>
  <c r="Q41" i="25"/>
  <c r="Q43" i="25"/>
  <c r="Q44" i="25"/>
  <c r="Q46" i="25"/>
  <c r="R37" i="25"/>
  <c r="R41" i="25"/>
  <c r="R43" i="25"/>
  <c r="R44" i="25"/>
  <c r="R46" i="25"/>
  <c r="R36" i="25"/>
  <c r="S37" i="25"/>
  <c r="S41" i="25"/>
  <c r="S43" i="25"/>
  <c r="S44" i="25"/>
  <c r="S46" i="25"/>
  <c r="S36" i="25"/>
  <c r="T36" i="25"/>
  <c r="T37" i="25"/>
  <c r="T41" i="25"/>
  <c r="T43" i="25"/>
  <c r="T44" i="25"/>
  <c r="T46" i="25"/>
  <c r="U37" i="25"/>
  <c r="U41" i="25"/>
  <c r="U43" i="25"/>
  <c r="U44" i="25"/>
  <c r="U46" i="25"/>
  <c r="U36" i="25"/>
  <c r="V36" i="25"/>
  <c r="V37" i="25"/>
  <c r="V41" i="25"/>
  <c r="V43" i="25"/>
  <c r="V44" i="25"/>
  <c r="V46" i="25"/>
  <c r="W36" i="25"/>
  <c r="W37" i="25"/>
  <c r="W41" i="25"/>
  <c r="W43" i="25"/>
  <c r="W44" i="25"/>
  <c r="W46" i="25"/>
  <c r="X36" i="25"/>
  <c r="X37" i="25"/>
  <c r="X41" i="25"/>
  <c r="X43" i="25"/>
  <c r="X44" i="25"/>
  <c r="X46" i="25"/>
  <c r="Y36" i="25"/>
  <c r="Y37" i="25"/>
  <c r="Y41" i="25"/>
  <c r="Y43" i="25"/>
  <c r="Y44" i="25"/>
  <c r="Y46" i="25"/>
  <c r="Z36" i="25"/>
  <c r="Z37" i="25"/>
  <c r="Z41" i="25"/>
  <c r="Z43" i="25"/>
  <c r="Z44" i="25"/>
  <c r="Z46" i="25"/>
  <c r="AA36" i="25"/>
  <c r="AA37" i="25"/>
  <c r="AA41" i="25"/>
  <c r="AA43" i="25"/>
  <c r="AA44" i="25"/>
  <c r="AA46" i="25"/>
  <c r="AB36" i="25"/>
  <c r="AB37" i="25"/>
  <c r="AB41" i="25"/>
  <c r="AB43" i="25"/>
  <c r="AB44" i="25"/>
  <c r="AB46" i="25"/>
  <c r="AC37" i="25"/>
  <c r="AC41" i="25"/>
  <c r="AC43" i="25"/>
  <c r="AC44" i="25"/>
  <c r="AC46" i="25"/>
  <c r="AC36" i="25"/>
  <c r="AD36" i="25"/>
  <c r="AD37" i="25"/>
  <c r="AD41" i="25"/>
  <c r="AD43" i="25"/>
  <c r="AD44" i="25"/>
  <c r="AD46" i="25"/>
  <c r="AE37" i="25"/>
  <c r="AE41" i="25"/>
  <c r="AE43" i="25"/>
  <c r="AE44" i="25"/>
  <c r="AE46" i="25"/>
  <c r="AE36" i="25"/>
  <c r="AF37" i="25"/>
  <c r="AF41" i="25"/>
  <c r="AF43" i="25"/>
  <c r="AF44" i="25"/>
  <c r="AF46" i="25"/>
  <c r="AF36" i="25"/>
  <c r="AG36" i="25"/>
  <c r="AG37" i="25"/>
  <c r="AG41" i="25"/>
  <c r="AG43" i="25"/>
  <c r="AG44" i="25"/>
  <c r="AG46" i="25"/>
  <c r="AH36" i="25"/>
  <c r="AH37" i="25"/>
  <c r="AH41" i="25"/>
  <c r="AH43" i="25"/>
  <c r="AH44" i="25"/>
  <c r="AH46" i="25"/>
  <c r="AI37" i="25"/>
  <c r="AI41" i="25"/>
  <c r="AI43" i="25"/>
  <c r="AI44" i="25"/>
  <c r="AI46" i="25"/>
  <c r="AI36" i="25"/>
  <c r="AJ36" i="25"/>
  <c r="AJ37" i="25"/>
  <c r="AJ41" i="25"/>
  <c r="AJ43" i="25"/>
  <c r="AJ44" i="25"/>
  <c r="AJ46" i="25"/>
  <c r="AK37" i="25"/>
  <c r="AK41" i="25"/>
  <c r="AK43" i="25"/>
  <c r="AK44" i="25"/>
  <c r="AK46" i="25"/>
  <c r="AK36" i="25"/>
  <c r="AL37" i="25"/>
  <c r="AL41" i="25"/>
  <c r="AL43" i="25"/>
  <c r="AL44" i="25"/>
  <c r="AL46" i="25"/>
  <c r="AL36" i="25"/>
  <c r="AM36" i="25"/>
  <c r="AM37" i="25"/>
  <c r="AM41" i="25"/>
  <c r="AM43" i="25"/>
  <c r="AM44" i="25"/>
  <c r="AM46" i="25"/>
  <c r="AN36" i="25"/>
  <c r="AN37" i="25"/>
  <c r="AN41" i="25"/>
  <c r="AN43" i="25"/>
  <c r="AN44" i="25"/>
  <c r="AN46" i="25"/>
  <c r="AO36" i="25"/>
  <c r="AO37" i="25"/>
  <c r="AO41" i="25"/>
  <c r="AO43" i="25"/>
  <c r="AO44" i="25"/>
  <c r="AO46" i="25"/>
  <c r="AP36" i="25"/>
  <c r="AP37" i="25"/>
  <c r="AP41" i="25"/>
  <c r="AP43" i="25"/>
  <c r="AP44" i="25"/>
  <c r="AP46" i="25"/>
  <c r="AQ36" i="25"/>
  <c r="AQ37" i="25"/>
  <c r="AQ41" i="25"/>
  <c r="AQ43" i="25"/>
  <c r="AQ44" i="25"/>
  <c r="AQ46" i="25"/>
  <c r="AR36" i="25"/>
  <c r="AR37" i="25"/>
  <c r="AR41" i="25"/>
  <c r="AR43" i="25"/>
  <c r="AR44" i="25"/>
  <c r="AR46" i="25"/>
  <c r="AS36" i="25"/>
  <c r="AS37" i="25"/>
  <c r="AS41" i="25"/>
  <c r="AS43" i="25"/>
  <c r="AS44" i="25"/>
  <c r="AS46" i="25"/>
  <c r="AT36" i="25"/>
  <c r="AT37" i="25"/>
  <c r="AT41" i="25"/>
  <c r="AT43" i="25"/>
  <c r="AT44" i="25"/>
  <c r="AT46" i="25"/>
  <c r="AU37" i="25"/>
  <c r="AU41" i="25"/>
  <c r="AU43" i="25"/>
  <c r="AU44" i="25"/>
  <c r="AU46" i="25"/>
  <c r="AU36" i="25"/>
  <c r="AV36" i="25"/>
  <c r="AV37" i="25"/>
  <c r="AV41" i="25"/>
  <c r="AV43" i="25"/>
  <c r="AV44" i="25"/>
  <c r="AV46" i="25"/>
  <c r="AW36" i="25"/>
  <c r="AW37" i="25"/>
  <c r="AW41" i="25"/>
  <c r="AW43" i="25"/>
  <c r="AW44" i="25"/>
  <c r="AW46" i="25"/>
  <c r="AX36" i="25"/>
  <c r="AX37" i="25"/>
  <c r="AX41" i="25"/>
  <c r="AX43" i="25"/>
  <c r="AX44" i="25"/>
  <c r="AX46" i="25"/>
  <c r="AY37" i="25"/>
  <c r="AY41" i="25"/>
  <c r="AY43" i="25"/>
  <c r="AY44" i="25"/>
  <c r="AY46" i="25"/>
  <c r="AY36" i="25"/>
  <c r="AZ36" i="25"/>
  <c r="AZ37" i="25"/>
  <c r="AZ41" i="25"/>
  <c r="AZ43" i="25"/>
  <c r="AZ44" i="25"/>
  <c r="AZ46" i="25"/>
  <c r="BA37" i="25"/>
  <c r="BA41" i="25"/>
  <c r="BA43" i="25"/>
  <c r="BA44" i="25"/>
  <c r="BA46" i="25"/>
  <c r="BA36" i="25"/>
  <c r="BB37" i="25"/>
  <c r="BB41" i="25"/>
  <c r="BB43" i="25"/>
  <c r="BB44" i="25"/>
  <c r="BB46" i="25"/>
  <c r="BB36" i="25"/>
  <c r="BC36" i="25"/>
  <c r="BC37" i="25"/>
  <c r="BC41" i="25"/>
  <c r="BC43" i="25"/>
  <c r="BC44" i="25"/>
  <c r="BC46" i="25"/>
  <c r="BD36" i="25"/>
  <c r="BD37" i="25"/>
  <c r="BD41" i="25"/>
  <c r="BD43" i="25"/>
  <c r="BD44" i="25"/>
  <c r="BD46" i="25"/>
  <c r="BE36" i="25"/>
  <c r="BE37" i="25"/>
  <c r="BE41" i="25"/>
  <c r="BE43" i="25"/>
  <c r="BE44" i="25"/>
  <c r="BE46" i="25"/>
  <c r="BF37" i="25"/>
  <c r="BF41" i="25"/>
  <c r="BF43" i="25"/>
  <c r="BF44" i="25"/>
  <c r="BF46" i="25"/>
  <c r="BF36" i="25"/>
  <c r="BG36" i="25"/>
  <c r="BG37" i="25"/>
  <c r="BG41" i="25"/>
  <c r="BG43" i="25"/>
  <c r="BG44" i="25"/>
  <c r="BG46" i="25"/>
  <c r="BH36" i="25"/>
  <c r="BH37" i="25"/>
  <c r="BH41" i="25"/>
  <c r="BH43" i="25"/>
  <c r="BH44" i="25"/>
  <c r="BH46" i="25"/>
  <c r="BI37" i="25"/>
  <c r="BI41" i="25"/>
  <c r="BI43" i="25"/>
  <c r="BI44" i="25"/>
  <c r="BI46" i="25"/>
  <c r="BI36" i="25"/>
  <c r="BJ37" i="25"/>
  <c r="BJ41" i="25"/>
  <c r="BJ43" i="25"/>
  <c r="BJ44" i="25"/>
  <c r="BJ46" i="25"/>
  <c r="BJ36" i="25"/>
  <c r="BK36" i="25"/>
  <c r="BK37" i="25"/>
  <c r="BK41" i="25"/>
  <c r="BK43" i="25"/>
  <c r="BK44" i="25"/>
  <c r="BK46" i="25"/>
  <c r="BL36" i="25"/>
  <c r="BL37" i="25"/>
  <c r="BL41" i="25"/>
  <c r="BL43" i="25"/>
  <c r="BL44" i="25"/>
  <c r="BL46" i="25"/>
  <c r="BM36" i="25"/>
  <c r="BM37" i="25"/>
  <c r="BM41" i="25"/>
  <c r="BM43" i="25"/>
  <c r="BM44" i="25"/>
  <c r="BM46" i="25"/>
  <c r="BN36" i="25"/>
  <c r="BN37" i="25"/>
  <c r="BN41" i="25"/>
  <c r="BN43" i="25"/>
  <c r="BN44" i="25"/>
  <c r="BN46" i="25"/>
  <c r="BO37" i="25"/>
  <c r="BO41" i="25"/>
  <c r="BO43" i="25"/>
  <c r="BO44" i="25"/>
  <c r="BO46" i="25"/>
  <c r="BO36" i="25"/>
  <c r="BP36" i="25"/>
  <c r="BP37" i="25"/>
  <c r="BP41" i="25"/>
  <c r="BP43" i="25"/>
  <c r="BP44" i="25"/>
  <c r="BP46" i="25"/>
  <c r="BQ37" i="25"/>
  <c r="BQ41" i="25"/>
  <c r="BQ43" i="25"/>
  <c r="BQ44" i="25"/>
  <c r="BQ46" i="25"/>
  <c r="BQ36" i="25"/>
  <c r="BR36" i="25"/>
  <c r="BR37" i="25"/>
  <c r="BR41" i="25"/>
  <c r="BR43" i="25"/>
  <c r="BR44" i="25"/>
  <c r="BR46" i="25"/>
  <c r="BS37" i="25"/>
  <c r="BS41" i="25"/>
  <c r="BS43" i="25"/>
  <c r="BS44" i="25"/>
  <c r="BS46" i="25"/>
  <c r="BS36" i="25"/>
  <c r="BT36" i="25"/>
  <c r="BT37" i="25"/>
  <c r="BT41" i="25"/>
  <c r="BT43" i="25"/>
  <c r="BT44" i="25"/>
  <c r="BT46" i="25"/>
  <c r="BU36" i="25"/>
  <c r="BU37" i="25"/>
  <c r="BU41" i="25"/>
  <c r="BU43" i="25"/>
  <c r="BU44" i="25"/>
  <c r="BU46" i="25"/>
  <c r="BV36" i="25"/>
  <c r="BV37" i="25"/>
  <c r="BV41" i="25"/>
  <c r="BV43" i="25"/>
  <c r="BV44" i="25"/>
  <c r="BV46" i="25"/>
  <c r="BW36" i="25"/>
  <c r="BW37" i="25"/>
  <c r="BW41" i="25"/>
  <c r="BW43" i="25"/>
  <c r="BW44" i="25"/>
  <c r="BW46" i="25"/>
  <c r="BX36" i="25"/>
  <c r="BX37" i="25"/>
  <c r="BX41" i="25"/>
  <c r="BX43" i="25"/>
  <c r="BX44" i="25"/>
  <c r="BX46" i="25"/>
  <c r="BY37" i="25"/>
  <c r="BY41" i="25"/>
  <c r="BY43" i="25"/>
  <c r="BY44" i="25"/>
  <c r="BY46" i="25"/>
  <c r="BY36" i="25"/>
  <c r="BZ37" i="25"/>
  <c r="BZ41" i="25"/>
  <c r="BZ43" i="25"/>
  <c r="BZ44" i="25"/>
  <c r="BZ46" i="25"/>
  <c r="BZ36" i="25"/>
  <c r="CA36" i="25"/>
  <c r="CA37" i="25"/>
  <c r="CA41" i="25"/>
  <c r="CA43" i="25"/>
  <c r="CA44" i="25"/>
  <c r="CA46" i="25"/>
  <c r="CB36" i="25"/>
  <c r="CB37" i="25"/>
  <c r="CB41" i="25"/>
  <c r="CB43" i="25"/>
  <c r="CB44" i="25"/>
  <c r="CB46" i="25"/>
  <c r="CC36" i="25"/>
  <c r="CC37" i="25"/>
  <c r="CC41" i="25"/>
  <c r="CC43" i="25"/>
  <c r="CC44" i="25"/>
  <c r="CC46" i="25"/>
  <c r="CD36" i="25"/>
  <c r="CD37" i="25"/>
  <c r="CD41" i="25"/>
  <c r="CD43" i="25"/>
  <c r="CD44" i="25"/>
  <c r="CD46" i="25"/>
  <c r="CE37" i="25"/>
  <c r="CE41" i="25"/>
  <c r="CE43" i="25"/>
  <c r="CE44" i="25"/>
  <c r="CE46" i="25"/>
  <c r="CE36" i="25"/>
  <c r="CF36" i="25"/>
  <c r="CF37" i="25"/>
  <c r="CF41" i="25"/>
  <c r="CF43" i="25"/>
  <c r="CF44" i="25"/>
  <c r="CF46" i="25"/>
  <c r="CG36" i="25"/>
  <c r="CG37" i="25"/>
  <c r="CG41" i="25"/>
  <c r="CG43" i="25"/>
  <c r="CG44" i="25"/>
  <c r="CG46" i="25"/>
  <c r="CH36" i="25"/>
  <c r="CH37" i="25"/>
  <c r="CH41" i="25"/>
  <c r="CH43" i="25"/>
  <c r="CH44" i="25"/>
  <c r="CH46" i="25"/>
  <c r="CI36" i="25"/>
  <c r="CI37" i="25"/>
  <c r="CI41" i="25"/>
  <c r="CI43" i="25"/>
  <c r="CI44" i="25"/>
  <c r="CI46" i="25"/>
  <c r="CJ36" i="25"/>
  <c r="CJ37" i="25"/>
  <c r="CJ41" i="25"/>
  <c r="CJ43" i="25"/>
  <c r="CJ44" i="25"/>
  <c r="CJ46" i="25"/>
  <c r="F27" i="21"/>
  <c r="F28" i="21"/>
  <c r="F29" i="21"/>
  <c r="F30" i="21"/>
  <c r="F31" i="21"/>
  <c r="F32" i="21"/>
  <c r="F33" i="21"/>
  <c r="F34" i="21"/>
  <c r="F35" i="21"/>
  <c r="JK30" i="20"/>
  <c r="JL30" i="20"/>
  <c r="JM30" i="20"/>
  <c r="JN30" i="20"/>
  <c r="JO30" i="20"/>
  <c r="JP30" i="20"/>
  <c r="JQ30" i="20"/>
  <c r="JR30" i="20"/>
  <c r="JS30" i="20"/>
  <c r="JT30" i="20"/>
  <c r="JU30" i="20"/>
  <c r="JV30" i="20"/>
  <c r="JW30" i="20"/>
  <c r="JX30" i="20"/>
  <c r="JY30" i="20"/>
  <c r="JZ30" i="20"/>
  <c r="KA30" i="20"/>
  <c r="KB30" i="20"/>
  <c r="KC30" i="20"/>
  <c r="KD30" i="20"/>
  <c r="KE30" i="20"/>
  <c r="KF30" i="20"/>
  <c r="KG30" i="20"/>
  <c r="KH30" i="20"/>
  <c r="KI30" i="20"/>
  <c r="KJ30" i="20"/>
  <c r="KK30" i="20"/>
  <c r="KL30" i="20"/>
  <c r="KM30" i="20"/>
  <c r="KN30" i="20"/>
  <c r="KO30" i="20"/>
  <c r="KP30" i="20"/>
  <c r="KQ30" i="20"/>
  <c r="KR30" i="20"/>
  <c r="KS30" i="20"/>
  <c r="KT30" i="20"/>
  <c r="KU30" i="20"/>
  <c r="KV30" i="20"/>
  <c r="KW30" i="20"/>
  <c r="KX30" i="20"/>
  <c r="KY30" i="20"/>
  <c r="KZ30" i="20"/>
  <c r="LA30" i="20"/>
  <c r="LB30" i="20"/>
  <c r="LC30" i="20"/>
  <c r="LD30" i="20"/>
  <c r="LE30" i="20"/>
  <c r="LF30" i="20"/>
  <c r="LG30" i="20"/>
  <c r="LH30" i="20"/>
  <c r="LI30" i="20"/>
  <c r="LJ30" i="20"/>
  <c r="LK30" i="20"/>
  <c r="LL30" i="20"/>
  <c r="LM30" i="20"/>
  <c r="LN30" i="20"/>
  <c r="LO30" i="20"/>
  <c r="LP30" i="20"/>
  <c r="LQ30" i="20"/>
  <c r="LR30" i="20"/>
  <c r="LS30" i="20"/>
  <c r="LT30" i="20"/>
  <c r="LU30" i="20"/>
  <c r="LV30" i="20"/>
  <c r="LW30" i="20"/>
  <c r="LX30" i="20"/>
  <c r="LY30" i="20"/>
  <c r="LZ30" i="20"/>
  <c r="MA30" i="20"/>
  <c r="MB30" i="20"/>
  <c r="MC30" i="20"/>
  <c r="MD30" i="20"/>
  <c r="ME30" i="20"/>
  <c r="MF30" i="20"/>
  <c r="MG30" i="20"/>
  <c r="MH30" i="20"/>
  <c r="MI30" i="20"/>
  <c r="MJ30" i="20"/>
  <c r="MK30" i="20"/>
  <c r="ML30" i="20"/>
  <c r="MM30" i="20"/>
  <c r="MN30" i="20"/>
  <c r="MO30" i="20"/>
  <c r="MP30" i="20"/>
  <c r="MQ30" i="20"/>
  <c r="MR30" i="20"/>
  <c r="MS30" i="20"/>
  <c r="MT30" i="20"/>
  <c r="MU30" i="20"/>
  <c r="MV30" i="20"/>
  <c r="MW30" i="20"/>
  <c r="MX30" i="20"/>
  <c r="MY30" i="20"/>
  <c r="MZ30" i="20"/>
  <c r="NA30" i="20"/>
  <c r="NB30" i="20"/>
  <c r="NC30" i="20"/>
  <c r="ND30" i="20"/>
  <c r="NE30" i="20"/>
  <c r="NF30" i="20"/>
  <c r="NG30" i="20"/>
  <c r="NH30" i="20"/>
  <c r="NI30" i="20"/>
  <c r="NJ30" i="20"/>
  <c r="NK30" i="20"/>
  <c r="NL30" i="20"/>
  <c r="NM30" i="20"/>
  <c r="NN30" i="20"/>
  <c r="NO30" i="20"/>
  <c r="NP30" i="20"/>
  <c r="NQ30" i="20"/>
  <c r="NR30" i="20"/>
  <c r="NS30" i="20"/>
  <c r="NT30" i="20"/>
  <c r="NU30" i="20"/>
  <c r="NV30" i="20"/>
  <c r="NW30" i="20"/>
  <c r="NX30" i="20"/>
  <c r="NY30" i="20"/>
  <c r="NZ30" i="20"/>
  <c r="OA30" i="20"/>
  <c r="OB30" i="20"/>
  <c r="OC30" i="20"/>
  <c r="OD30" i="20"/>
  <c r="OE30" i="20"/>
  <c r="OF30" i="20"/>
  <c r="OG30" i="20"/>
  <c r="OH30" i="20"/>
  <c r="OI30" i="20"/>
  <c r="OJ30" i="20"/>
  <c r="OK30" i="20"/>
  <c r="OL30" i="20"/>
  <c r="OM30" i="20"/>
  <c r="ON30" i="20"/>
  <c r="OO30" i="20"/>
  <c r="OP30" i="20"/>
  <c r="OQ30" i="20"/>
  <c r="OR30" i="20"/>
  <c r="OS30" i="20"/>
  <c r="OT30" i="20"/>
  <c r="OU30" i="20"/>
  <c r="OV30" i="20"/>
  <c r="OW30" i="20"/>
  <c r="OX30" i="20"/>
  <c r="OY30" i="20"/>
  <c r="OZ30" i="20"/>
  <c r="PA30" i="20"/>
  <c r="PB30" i="20"/>
  <c r="PC30" i="20"/>
  <c r="PD30" i="20"/>
  <c r="PE30" i="20"/>
  <c r="PF30" i="20"/>
  <c r="PG30" i="20"/>
  <c r="PH30" i="20"/>
  <c r="PI30" i="20"/>
  <c r="PJ30" i="20"/>
  <c r="PK30" i="20"/>
  <c r="PL30" i="20"/>
  <c r="PM30" i="20"/>
  <c r="PN30" i="20"/>
  <c r="PO30" i="20"/>
  <c r="PP30" i="20"/>
  <c r="PQ30" i="20"/>
  <c r="PR30" i="20"/>
  <c r="PS30" i="20"/>
  <c r="PT30" i="20"/>
  <c r="PU30" i="20"/>
  <c r="PV30" i="20"/>
  <c r="PW30" i="20"/>
  <c r="PX30" i="20"/>
  <c r="PY30" i="20"/>
  <c r="PZ30" i="20"/>
  <c r="QA30" i="20"/>
  <c r="QB30" i="20"/>
  <c r="QC30" i="20"/>
  <c r="QD30" i="20"/>
  <c r="QE30" i="20"/>
  <c r="QF30" i="20"/>
  <c r="QG30" i="20"/>
  <c r="QH30" i="20"/>
  <c r="G20" i="20"/>
  <c r="G19" i="20"/>
  <c r="G18" i="20"/>
  <c r="K36" i="19"/>
  <c r="J36" i="19"/>
  <c r="L36" i="19"/>
  <c r="M36" i="19"/>
  <c r="N36" i="19"/>
  <c r="G46" i="25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DS30" i="20"/>
  <c r="DT30" i="20"/>
  <c r="DU30" i="20"/>
  <c r="DV30" i="20"/>
  <c r="DW30" i="20"/>
  <c r="DX30" i="20"/>
  <c r="DY30" i="20"/>
  <c r="DZ30" i="20"/>
  <c r="EA30" i="20"/>
  <c r="EB30" i="20"/>
  <c r="EC30" i="20"/>
  <c r="ED30" i="20"/>
  <c r="EE30" i="20"/>
  <c r="EF30" i="20"/>
  <c r="EG30" i="20"/>
  <c r="EH30" i="20"/>
  <c r="EI30" i="20"/>
  <c r="EJ30" i="20"/>
  <c r="EK30" i="20"/>
  <c r="EL30" i="20"/>
  <c r="EM30" i="20"/>
  <c r="EN30" i="20"/>
  <c r="EO30" i="20"/>
  <c r="EP30" i="20"/>
  <c r="EQ30" i="20"/>
  <c r="ER30" i="20"/>
  <c r="ES30" i="20"/>
  <c r="ET30" i="20"/>
  <c r="EU30" i="20"/>
  <c r="EV30" i="20"/>
  <c r="EW30" i="20"/>
  <c r="EX30" i="20"/>
  <c r="EY30" i="20"/>
  <c r="EZ30" i="20"/>
  <c r="FA30" i="20"/>
  <c r="FB30" i="20"/>
  <c r="FC30" i="20"/>
  <c r="FD30" i="20"/>
  <c r="FE30" i="20"/>
  <c r="FF30" i="20"/>
  <c r="FG30" i="20"/>
  <c r="FH30" i="20"/>
  <c r="FI30" i="20"/>
  <c r="FJ30" i="20"/>
  <c r="FK30" i="20"/>
  <c r="FL30" i="20"/>
  <c r="FM30" i="20"/>
  <c r="FN30" i="20"/>
  <c r="FO30" i="20"/>
  <c r="FP30" i="20"/>
  <c r="FQ30" i="20"/>
  <c r="FR30" i="20"/>
  <c r="FS30" i="20"/>
  <c r="FT30" i="20"/>
  <c r="FU30" i="20"/>
  <c r="FV30" i="20"/>
  <c r="FW30" i="20"/>
  <c r="FX30" i="20"/>
  <c r="FY30" i="20"/>
  <c r="FZ30" i="20"/>
  <c r="GA30" i="20"/>
  <c r="GB30" i="20"/>
  <c r="GC30" i="20"/>
  <c r="GD30" i="20"/>
  <c r="GE30" i="20"/>
  <c r="GF30" i="20"/>
  <c r="GG30" i="20"/>
  <c r="GH30" i="20"/>
  <c r="GI30" i="20"/>
  <c r="GJ30" i="20"/>
  <c r="GK30" i="20"/>
  <c r="GL30" i="20"/>
  <c r="GM30" i="20"/>
  <c r="GN30" i="20"/>
  <c r="GO30" i="20"/>
  <c r="GP30" i="20"/>
  <c r="GQ30" i="20"/>
  <c r="GR30" i="20"/>
  <c r="GS30" i="20"/>
  <c r="GT30" i="20"/>
  <c r="GU30" i="20"/>
  <c r="GV30" i="20"/>
  <c r="GW30" i="20"/>
  <c r="GX30" i="20"/>
  <c r="GY30" i="20"/>
  <c r="GZ30" i="20"/>
  <c r="HA30" i="20"/>
  <c r="HB30" i="20"/>
  <c r="HC30" i="20"/>
  <c r="HD30" i="20"/>
  <c r="HE30" i="20"/>
  <c r="HF30" i="20"/>
  <c r="HG30" i="20"/>
  <c r="HH30" i="20"/>
  <c r="HI30" i="20"/>
  <c r="HJ30" i="20"/>
  <c r="HK30" i="20"/>
  <c r="HL30" i="20"/>
  <c r="HM30" i="20"/>
  <c r="HN30" i="20"/>
  <c r="HO30" i="20"/>
  <c r="HP30" i="20"/>
  <c r="HQ30" i="20"/>
  <c r="HR30" i="20"/>
  <c r="HS30" i="20"/>
  <c r="HT30" i="20"/>
  <c r="HU30" i="20"/>
  <c r="HV30" i="20"/>
  <c r="HW30" i="20"/>
  <c r="HX30" i="20"/>
  <c r="HY30" i="20"/>
  <c r="HZ30" i="20"/>
  <c r="IA30" i="20"/>
  <c r="IB30" i="20"/>
  <c r="IC30" i="20"/>
  <c r="ID30" i="20"/>
  <c r="IE30" i="20"/>
  <c r="IF30" i="20"/>
  <c r="IG30" i="20"/>
  <c r="IH30" i="20"/>
  <c r="II30" i="20"/>
  <c r="IJ30" i="20"/>
  <c r="IK30" i="20"/>
  <c r="IL30" i="20"/>
  <c r="IM30" i="20"/>
  <c r="IN30" i="20"/>
  <c r="IO30" i="20"/>
  <c r="IP30" i="20"/>
  <c r="IQ30" i="20"/>
  <c r="IR30" i="20"/>
  <c r="IS30" i="20"/>
  <c r="IT30" i="20"/>
  <c r="IU30" i="20"/>
  <c r="IV30" i="20"/>
  <c r="IW30" i="20"/>
  <c r="IX30" i="20"/>
  <c r="IY30" i="20"/>
  <c r="IZ30" i="20"/>
  <c r="JA30" i="20"/>
  <c r="JB30" i="20"/>
  <c r="JC30" i="20"/>
  <c r="JD30" i="20"/>
  <c r="JE30" i="20"/>
  <c r="JF30" i="20"/>
  <c r="JG30" i="20"/>
  <c r="JH30" i="20"/>
  <c r="JI30" i="20"/>
  <c r="I39" i="20" a="1"/>
  <c r="I40" i="20" a="1"/>
  <c r="I41" i="20" a="1"/>
  <c r="G41" i="20" a="1"/>
  <c r="G40" i="20" a="1"/>
  <c r="G39" i="20" a="1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AQ37" i="19"/>
  <c r="AR37" i="19"/>
  <c r="AS37" i="19"/>
  <c r="AT37" i="19"/>
  <c r="AU37" i="19"/>
  <c r="AV37" i="19"/>
  <c r="AW37" i="19"/>
  <c r="AX37" i="19"/>
  <c r="AY37" i="19"/>
  <c r="AZ37" i="19"/>
  <c r="BA37" i="19"/>
  <c r="BB37" i="19"/>
  <c r="BC37" i="19"/>
  <c r="BD37" i="19"/>
  <c r="BE37" i="19"/>
  <c r="BF37" i="19"/>
  <c r="BG37" i="19"/>
  <c r="BH37" i="19"/>
  <c r="BI37" i="19"/>
  <c r="BJ37" i="19"/>
  <c r="BK37" i="19"/>
  <c r="BL37" i="19"/>
  <c r="BM37" i="19"/>
  <c r="BN37" i="19"/>
  <c r="BO37" i="19"/>
  <c r="BP37" i="19"/>
  <c r="BQ37" i="19"/>
  <c r="BR37" i="19"/>
  <c r="BS37" i="19"/>
  <c r="BT37" i="19"/>
  <c r="BU37" i="19"/>
  <c r="BV37" i="19"/>
  <c r="BW37" i="19"/>
  <c r="BX37" i="19"/>
  <c r="BY37" i="19"/>
  <c r="BZ37" i="19"/>
  <c r="CA37" i="19"/>
  <c r="CB37" i="19"/>
  <c r="CC37" i="19"/>
  <c r="CD37" i="19"/>
  <c r="CE37" i="19"/>
  <c r="CF37" i="19"/>
  <c r="CG37" i="19"/>
  <c r="CH37" i="19"/>
  <c r="CI37" i="19"/>
  <c r="CJ37" i="19"/>
  <c r="I40" i="19" a="1"/>
  <c r="G40" i="19" a="1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AN30" i="26"/>
  <c r="AO30" i="26"/>
  <c r="AP30" i="26"/>
  <c r="AQ30" i="26"/>
  <c r="AR30" i="26"/>
  <c r="AS30" i="26"/>
  <c r="AT30" i="26"/>
  <c r="AU30" i="26"/>
  <c r="AV30" i="26"/>
  <c r="AW30" i="26"/>
  <c r="AX30" i="26"/>
  <c r="AY30" i="26"/>
  <c r="AZ30" i="26"/>
  <c r="BA30" i="26"/>
  <c r="BB30" i="26"/>
  <c r="BC30" i="26"/>
  <c r="BD30" i="26"/>
  <c r="BE30" i="26"/>
  <c r="BF30" i="26"/>
  <c r="BG30" i="26"/>
  <c r="BH30" i="26"/>
  <c r="BI30" i="26"/>
  <c r="BJ30" i="26"/>
  <c r="BK30" i="26"/>
  <c r="BL30" i="26"/>
  <c r="BM30" i="26"/>
  <c r="BN30" i="26"/>
  <c r="BO30" i="26"/>
  <c r="BP30" i="26"/>
  <c r="BQ30" i="26"/>
  <c r="BR30" i="26"/>
  <c r="BS30" i="26"/>
  <c r="BT30" i="26"/>
  <c r="BU30" i="26"/>
  <c r="BV30" i="26"/>
  <c r="BW30" i="26"/>
  <c r="BX30" i="26"/>
  <c r="BY30" i="26"/>
  <c r="BZ30" i="26"/>
  <c r="CA30" i="26"/>
  <c r="CB30" i="26"/>
  <c r="CC30" i="26"/>
  <c r="CD30" i="26"/>
  <c r="CE30" i="26"/>
  <c r="CF30" i="26"/>
  <c r="CG30" i="26"/>
  <c r="CH30" i="26"/>
  <c r="CI30" i="26"/>
  <c r="CJ30" i="26"/>
  <c r="CK30" i="26"/>
  <c r="CL30" i="26"/>
  <c r="CM30" i="26"/>
  <c r="CN30" i="26"/>
  <c r="CO30" i="26"/>
  <c r="CP30" i="26"/>
  <c r="CQ30" i="26"/>
  <c r="CR30" i="26"/>
  <c r="CS30" i="26"/>
  <c r="CT30" i="26"/>
  <c r="CU30" i="26"/>
  <c r="CV30" i="26"/>
  <c r="CW30" i="26"/>
  <c r="CX30" i="26"/>
  <c r="CY30" i="26"/>
  <c r="CZ30" i="26"/>
  <c r="DA30" i="26"/>
  <c r="DB30" i="26"/>
  <c r="DC30" i="26"/>
  <c r="DD30" i="26"/>
  <c r="DE30" i="26"/>
  <c r="DF30" i="26"/>
  <c r="DG30" i="26"/>
  <c r="DH30" i="26"/>
  <c r="DI30" i="26"/>
  <c r="DJ30" i="26"/>
  <c r="DK30" i="26"/>
  <c r="DL30" i="26"/>
  <c r="DM30" i="26"/>
  <c r="DN30" i="26"/>
  <c r="DO30" i="26"/>
  <c r="DP30" i="26"/>
  <c r="DQ30" i="26"/>
  <c r="DR30" i="26"/>
  <c r="DS30" i="26"/>
  <c r="DT30" i="26"/>
  <c r="DU30" i="26"/>
  <c r="DV30" i="26"/>
  <c r="DW30" i="26"/>
  <c r="DX30" i="26"/>
  <c r="DY30" i="26"/>
  <c r="DZ30" i="26"/>
  <c r="EA30" i="26"/>
  <c r="EB30" i="26"/>
  <c r="EC30" i="26"/>
  <c r="ED30" i="26"/>
  <c r="EE30" i="26"/>
  <c r="EF30" i="26"/>
  <c r="EG30" i="26"/>
  <c r="EH30" i="26"/>
  <c r="EI30" i="26"/>
  <c r="EJ30" i="26"/>
  <c r="EK30" i="26"/>
  <c r="EL30" i="26"/>
  <c r="EM30" i="26"/>
  <c r="EN30" i="26"/>
  <c r="EO30" i="26"/>
  <c r="EP30" i="26"/>
  <c r="EQ30" i="26"/>
  <c r="ER30" i="26"/>
  <c r="ES30" i="26"/>
  <c r="ET30" i="26"/>
  <c r="EU30" i="26"/>
  <c r="EV30" i="26"/>
  <c r="EW30" i="26"/>
  <c r="EX30" i="26"/>
  <c r="EY30" i="26"/>
  <c r="EZ30" i="26"/>
  <c r="FA30" i="26"/>
  <c r="FB30" i="26"/>
  <c r="FC30" i="26"/>
  <c r="FD30" i="26"/>
  <c r="FE30" i="26"/>
  <c r="FF30" i="26"/>
  <c r="FG30" i="26"/>
  <c r="FH30" i="26"/>
  <c r="FI30" i="26"/>
  <c r="FJ30" i="26"/>
  <c r="FK30" i="26"/>
  <c r="FL30" i="26"/>
  <c r="FM30" i="26"/>
  <c r="FN30" i="26"/>
  <c r="FO30" i="26"/>
  <c r="FP30" i="26"/>
  <c r="FQ30" i="26"/>
  <c r="FR30" i="26"/>
  <c r="FS30" i="26"/>
  <c r="FT30" i="26"/>
  <c r="FU30" i="26"/>
  <c r="FV30" i="26"/>
  <c r="FW30" i="26"/>
  <c r="FX30" i="26"/>
  <c r="FY30" i="26"/>
  <c r="FZ30" i="26"/>
  <c r="GA30" i="26"/>
  <c r="GB30" i="26"/>
  <c r="GC30" i="26"/>
  <c r="GD30" i="26"/>
  <c r="GE30" i="26"/>
  <c r="GF30" i="26"/>
  <c r="GG30" i="26"/>
  <c r="GH30" i="26"/>
  <c r="GI30" i="26"/>
  <c r="GJ30" i="26"/>
  <c r="GK30" i="26"/>
  <c r="GL30" i="26"/>
  <c r="GM30" i="26"/>
  <c r="GN30" i="26"/>
  <c r="GO30" i="26"/>
  <c r="GP30" i="26"/>
  <c r="GQ30" i="26"/>
  <c r="GR30" i="26"/>
  <c r="GS30" i="26"/>
  <c r="GT30" i="26"/>
  <c r="GU30" i="26"/>
  <c r="GV30" i="26"/>
  <c r="GW30" i="26"/>
  <c r="GX30" i="26"/>
  <c r="GY30" i="26"/>
  <c r="GZ30" i="26"/>
  <c r="HA30" i="26"/>
  <c r="HB30" i="26"/>
  <c r="HC30" i="26"/>
  <c r="HD30" i="26"/>
  <c r="HE30" i="26"/>
  <c r="HF30" i="26"/>
  <c r="HG30" i="26"/>
  <c r="HH30" i="26"/>
  <c r="HI30" i="26"/>
  <c r="HJ30" i="26"/>
  <c r="HK30" i="26"/>
  <c r="HL30" i="26"/>
  <c r="HM30" i="26"/>
  <c r="HN30" i="26"/>
  <c r="HO30" i="26"/>
  <c r="HP30" i="26"/>
  <c r="HQ30" i="26"/>
  <c r="HR30" i="26"/>
  <c r="HS30" i="26"/>
  <c r="HT30" i="26"/>
  <c r="HU30" i="26"/>
  <c r="HV30" i="26"/>
  <c r="HW30" i="26"/>
  <c r="HX30" i="26"/>
  <c r="HY30" i="26"/>
  <c r="HZ30" i="26"/>
  <c r="IA30" i="26"/>
  <c r="IB30" i="26"/>
  <c r="IC30" i="26"/>
  <c r="ID30" i="26"/>
  <c r="IE30" i="26"/>
  <c r="IF30" i="26"/>
  <c r="IG30" i="26"/>
  <c r="IH30" i="26"/>
  <c r="II30" i="26"/>
  <c r="IJ30" i="26"/>
  <c r="IK30" i="26"/>
  <c r="IL30" i="26"/>
  <c r="IM30" i="26"/>
  <c r="IN30" i="26"/>
  <c r="IO30" i="26"/>
  <c r="IP30" i="26"/>
  <c r="IQ30" i="26"/>
  <c r="IR30" i="26"/>
  <c r="IS30" i="26"/>
  <c r="IT30" i="26"/>
  <c r="IU30" i="26"/>
  <c r="IV30" i="26"/>
  <c r="IW30" i="26"/>
  <c r="IX30" i="26"/>
  <c r="IY30" i="26"/>
  <c r="IZ30" i="26"/>
  <c r="JA30" i="26"/>
  <c r="JB30" i="26"/>
  <c r="JC30" i="26"/>
  <c r="JD30" i="26"/>
  <c r="JE30" i="26"/>
  <c r="JF30" i="26"/>
  <c r="JG30" i="26"/>
  <c r="JH30" i="26"/>
  <c r="JI30" i="26"/>
  <c r="F38" i="26"/>
  <c r="I42" i="26"/>
  <c r="I43" i="26"/>
  <c r="F39" i="26"/>
  <c r="J42" i="26"/>
  <c r="J43" i="26"/>
  <c r="K42" i="26"/>
  <c r="K43" i="26"/>
  <c r="L42" i="26"/>
  <c r="L43" i="26"/>
  <c r="M42" i="26"/>
  <c r="M43" i="26"/>
  <c r="N42" i="26"/>
  <c r="N43" i="26"/>
  <c r="O42" i="26"/>
  <c r="O43" i="26"/>
  <c r="P42" i="26"/>
  <c r="P43" i="26"/>
  <c r="Q42" i="26"/>
  <c r="Q43" i="26"/>
  <c r="R42" i="26"/>
  <c r="R43" i="26"/>
  <c r="S42" i="26"/>
  <c r="S43" i="26"/>
  <c r="T42" i="26"/>
  <c r="T43" i="26"/>
  <c r="U42" i="26"/>
  <c r="U43" i="26"/>
  <c r="V42" i="26"/>
  <c r="V43" i="26"/>
  <c r="W42" i="26"/>
  <c r="W43" i="26"/>
  <c r="X42" i="26"/>
  <c r="X43" i="26"/>
  <c r="Y42" i="26"/>
  <c r="Y43" i="26"/>
  <c r="Z42" i="26"/>
  <c r="Z43" i="26"/>
  <c r="AA42" i="26"/>
  <c r="AA43" i="26"/>
  <c r="AB42" i="26"/>
  <c r="AB43" i="26"/>
  <c r="AC42" i="26"/>
  <c r="AC43" i="26"/>
  <c r="AD42" i="26"/>
  <c r="AD43" i="26"/>
  <c r="AE42" i="26"/>
  <c r="AE43" i="26"/>
  <c r="AF42" i="26"/>
  <c r="AF43" i="26"/>
  <c r="AG42" i="26"/>
  <c r="AG43" i="26"/>
  <c r="AH42" i="26"/>
  <c r="AH43" i="26"/>
  <c r="AI42" i="26"/>
  <c r="AI43" i="26"/>
  <c r="AJ42" i="26"/>
  <c r="AJ43" i="26"/>
  <c r="AK42" i="26"/>
  <c r="AK43" i="26"/>
  <c r="AL42" i="26"/>
  <c r="AL43" i="26"/>
  <c r="AM42" i="26"/>
  <c r="AM43" i="26"/>
  <c r="AN42" i="26"/>
  <c r="AN43" i="26"/>
  <c r="AO42" i="26"/>
  <c r="AO43" i="26"/>
  <c r="AP42" i="26"/>
  <c r="AP43" i="26"/>
  <c r="AQ42" i="26"/>
  <c r="AQ43" i="26"/>
  <c r="AR42" i="26"/>
  <c r="AR43" i="26"/>
  <c r="AS42" i="26"/>
  <c r="AS43" i="26"/>
  <c r="AT42" i="26"/>
  <c r="AT43" i="26"/>
  <c r="AU42" i="26"/>
  <c r="AU43" i="26"/>
  <c r="AV42" i="26"/>
  <c r="AV43" i="26"/>
  <c r="AW42" i="26"/>
  <c r="AW43" i="26"/>
  <c r="AX42" i="26"/>
  <c r="AX43" i="26"/>
  <c r="AY42" i="26"/>
  <c r="AY43" i="26"/>
  <c r="AZ42" i="26"/>
  <c r="AZ43" i="26"/>
  <c r="BA42" i="26"/>
  <c r="BA43" i="26"/>
  <c r="BB42" i="26"/>
  <c r="BB43" i="26"/>
  <c r="BC42" i="26"/>
  <c r="BC43" i="26"/>
  <c r="BD42" i="26"/>
  <c r="BD43" i="26"/>
  <c r="BE42" i="26"/>
  <c r="BE43" i="26"/>
  <c r="BF42" i="26"/>
  <c r="BF43" i="26"/>
  <c r="BG42" i="26"/>
  <c r="BG43" i="26"/>
  <c r="BH42" i="26"/>
  <c r="BH43" i="26"/>
  <c r="BI42" i="26"/>
  <c r="BI43" i="26"/>
  <c r="BJ42" i="26"/>
  <c r="BJ43" i="26"/>
  <c r="BK42" i="26"/>
  <c r="BK43" i="26"/>
  <c r="BL42" i="26"/>
  <c r="BL43" i="26"/>
  <c r="BM42" i="26"/>
  <c r="BM43" i="26"/>
  <c r="BN42" i="26"/>
  <c r="BN43" i="26"/>
  <c r="BO42" i="26"/>
  <c r="BO43" i="26"/>
  <c r="BP42" i="26"/>
  <c r="BP43" i="26"/>
  <c r="BQ42" i="26"/>
  <c r="BQ43" i="26"/>
  <c r="BR42" i="26"/>
  <c r="BR43" i="26"/>
  <c r="BS42" i="26"/>
  <c r="BS43" i="26"/>
  <c r="BT42" i="26"/>
  <c r="BT43" i="26"/>
  <c r="BU42" i="26"/>
  <c r="BU43" i="26"/>
  <c r="BV42" i="26"/>
  <c r="BV43" i="26"/>
  <c r="BW42" i="26"/>
  <c r="BW43" i="26"/>
  <c r="BX42" i="26"/>
  <c r="BX43" i="26"/>
  <c r="BY42" i="26"/>
  <c r="BY43" i="26"/>
  <c r="BZ42" i="26"/>
  <c r="BZ43" i="26"/>
  <c r="CA42" i="26"/>
  <c r="CA43" i="26"/>
  <c r="CB42" i="26"/>
  <c r="CB43" i="26"/>
  <c r="CC42" i="26"/>
  <c r="CC43" i="26"/>
  <c r="CD42" i="26"/>
  <c r="CD43" i="26"/>
  <c r="CE42" i="26"/>
  <c r="CE43" i="26"/>
  <c r="CF42" i="26"/>
  <c r="CF43" i="26"/>
  <c r="CG42" i="26"/>
  <c r="CG43" i="26"/>
  <c r="CH42" i="26"/>
  <c r="CH43" i="26"/>
  <c r="CI42" i="26"/>
  <c r="CI43" i="26"/>
  <c r="CJ42" i="26"/>
  <c r="CJ43" i="26"/>
  <c r="CK42" i="26"/>
  <c r="CK43" i="26"/>
  <c r="CL42" i="26"/>
  <c r="CL43" i="26"/>
  <c r="CM42" i="26"/>
  <c r="CM43" i="26"/>
  <c r="CN42" i="26"/>
  <c r="CN43" i="26"/>
  <c r="CO42" i="26"/>
  <c r="CO43" i="26"/>
  <c r="CP42" i="26"/>
  <c r="CP43" i="26"/>
  <c r="CQ42" i="26"/>
  <c r="CQ43" i="26"/>
  <c r="CR42" i="26"/>
  <c r="CR43" i="26"/>
  <c r="CS42" i="26"/>
  <c r="CS43" i="26"/>
  <c r="CT42" i="26"/>
  <c r="CT43" i="26"/>
  <c r="CU42" i="26"/>
  <c r="CU43" i="26"/>
  <c r="CV42" i="26"/>
  <c r="CV43" i="26"/>
  <c r="CW42" i="26"/>
  <c r="CW43" i="26"/>
  <c r="CX42" i="26"/>
  <c r="CX43" i="26"/>
  <c r="CY42" i="26"/>
  <c r="CY43" i="26"/>
  <c r="CZ42" i="26"/>
  <c r="CZ43" i="26"/>
  <c r="DA42" i="26"/>
  <c r="DA43" i="26"/>
  <c r="DB42" i="26"/>
  <c r="DB43" i="26"/>
  <c r="DC42" i="26"/>
  <c r="DC43" i="26"/>
  <c r="DD42" i="26"/>
  <c r="DD43" i="26"/>
  <c r="DE42" i="26"/>
  <c r="DE43" i="26"/>
  <c r="DF42" i="26"/>
  <c r="DF43" i="26"/>
  <c r="DG42" i="26"/>
  <c r="DG43" i="26"/>
  <c r="DH42" i="26"/>
  <c r="DH43" i="26"/>
  <c r="DI42" i="26"/>
  <c r="DI43" i="26"/>
  <c r="DJ42" i="26"/>
  <c r="DJ43" i="26"/>
  <c r="DK42" i="26"/>
  <c r="DK43" i="26"/>
  <c r="DL42" i="26"/>
  <c r="DL43" i="26"/>
  <c r="DM42" i="26"/>
  <c r="DM43" i="26"/>
  <c r="DN42" i="26"/>
  <c r="DN43" i="26"/>
  <c r="DO42" i="26"/>
  <c r="DO43" i="26"/>
  <c r="DP42" i="26"/>
  <c r="DP43" i="26"/>
  <c r="DQ42" i="26"/>
  <c r="DQ43" i="26"/>
  <c r="DR42" i="26"/>
  <c r="DR43" i="26"/>
  <c r="DS42" i="26"/>
  <c r="DS43" i="26"/>
  <c r="DT42" i="26"/>
  <c r="DT43" i="26"/>
  <c r="DU42" i="26"/>
  <c r="DU43" i="26"/>
  <c r="DV42" i="26"/>
  <c r="DV43" i="26"/>
  <c r="DW42" i="26"/>
  <c r="DW43" i="26"/>
  <c r="DX42" i="26"/>
  <c r="DX43" i="26"/>
  <c r="DY42" i="26"/>
  <c r="DY43" i="26"/>
  <c r="DZ42" i="26"/>
  <c r="DZ43" i="26"/>
  <c r="EA42" i="26"/>
  <c r="EA43" i="26"/>
  <c r="EB42" i="26"/>
  <c r="EB43" i="26"/>
  <c r="EC42" i="26"/>
  <c r="EC43" i="26"/>
  <c r="ED42" i="26"/>
  <c r="ED43" i="26"/>
  <c r="EE42" i="26"/>
  <c r="EE43" i="26"/>
  <c r="EF42" i="26"/>
  <c r="EF43" i="26"/>
  <c r="EG42" i="26"/>
  <c r="EG43" i="26"/>
  <c r="EH42" i="26"/>
  <c r="EH43" i="26"/>
  <c r="EI42" i="26"/>
  <c r="EI43" i="26"/>
  <c r="EJ42" i="26"/>
  <c r="EJ43" i="26"/>
  <c r="EK42" i="26"/>
  <c r="EK43" i="26"/>
  <c r="EL42" i="26"/>
  <c r="EL43" i="26"/>
  <c r="EM42" i="26"/>
  <c r="EM43" i="26"/>
  <c r="EN42" i="26"/>
  <c r="EN43" i="26"/>
  <c r="EO42" i="26"/>
  <c r="EO43" i="26"/>
  <c r="EP42" i="26"/>
  <c r="EP43" i="26"/>
  <c r="EQ42" i="26"/>
  <c r="EQ43" i="26"/>
  <c r="ER42" i="26"/>
  <c r="ER43" i="26"/>
  <c r="ES42" i="26"/>
  <c r="ES43" i="26"/>
  <c r="ET42" i="26"/>
  <c r="ET43" i="26"/>
  <c r="EU42" i="26"/>
  <c r="EU43" i="26"/>
  <c r="EV42" i="26"/>
  <c r="EV43" i="26"/>
  <c r="EW42" i="26"/>
  <c r="EW43" i="26"/>
  <c r="EX42" i="26"/>
  <c r="EX43" i="26"/>
  <c r="EY42" i="26"/>
  <c r="EY43" i="26"/>
  <c r="EZ42" i="26"/>
  <c r="EZ43" i="26"/>
  <c r="FA42" i="26"/>
  <c r="FA43" i="26"/>
  <c r="FB42" i="26"/>
  <c r="FB43" i="26"/>
  <c r="FC42" i="26"/>
  <c r="FC43" i="26"/>
  <c r="FD42" i="26"/>
  <c r="FD43" i="26"/>
  <c r="FE42" i="26"/>
  <c r="FE43" i="26"/>
  <c r="FF42" i="26"/>
  <c r="FF43" i="26"/>
  <c r="FG42" i="26"/>
  <c r="FG43" i="26"/>
  <c r="FH42" i="26"/>
  <c r="FH43" i="26"/>
  <c r="FI42" i="26"/>
  <c r="FI43" i="26"/>
  <c r="FJ42" i="26"/>
  <c r="FJ43" i="26"/>
  <c r="FK42" i="26"/>
  <c r="FK43" i="26"/>
  <c r="FL42" i="26"/>
  <c r="FL43" i="26"/>
  <c r="FM42" i="26"/>
  <c r="FM43" i="26"/>
  <c r="FN42" i="26"/>
  <c r="FN43" i="26"/>
  <c r="FO42" i="26"/>
  <c r="FO43" i="26"/>
  <c r="FP42" i="26"/>
  <c r="FP43" i="26"/>
  <c r="FQ42" i="26"/>
  <c r="FQ43" i="26"/>
  <c r="FR42" i="26"/>
  <c r="FR43" i="26"/>
  <c r="FS42" i="26"/>
  <c r="FS43" i="26"/>
  <c r="FT42" i="26"/>
  <c r="FT43" i="26"/>
  <c r="FU42" i="26"/>
  <c r="FU43" i="26"/>
  <c r="FV42" i="26"/>
  <c r="FV43" i="26"/>
  <c r="FW42" i="26"/>
  <c r="FW43" i="26"/>
  <c r="FX42" i="26"/>
  <c r="FX43" i="26"/>
  <c r="FY42" i="26"/>
  <c r="FY43" i="26"/>
  <c r="FZ42" i="26"/>
  <c r="FZ43" i="26"/>
  <c r="GA42" i="26"/>
  <c r="GA43" i="26"/>
  <c r="GB42" i="26"/>
  <c r="GB43" i="26"/>
  <c r="GC42" i="26"/>
  <c r="GC43" i="26"/>
  <c r="GD42" i="26"/>
  <c r="GD43" i="26"/>
  <c r="GE42" i="26"/>
  <c r="GE43" i="26"/>
  <c r="GF42" i="26"/>
  <c r="GF43" i="26"/>
  <c r="GG42" i="26"/>
  <c r="GG43" i="26"/>
  <c r="GH42" i="26"/>
  <c r="GH43" i="26"/>
  <c r="GI42" i="26"/>
  <c r="GI43" i="26"/>
  <c r="GJ42" i="26"/>
  <c r="GJ43" i="26"/>
  <c r="GK42" i="26"/>
  <c r="GK43" i="26"/>
  <c r="GL42" i="26"/>
  <c r="GL43" i="26"/>
  <c r="GM42" i="26"/>
  <c r="GM43" i="26"/>
  <c r="GN42" i="26"/>
  <c r="GN43" i="26"/>
  <c r="GO42" i="26"/>
  <c r="GO43" i="26"/>
  <c r="GP42" i="26"/>
  <c r="GP43" i="26"/>
  <c r="GQ42" i="26"/>
  <c r="GQ43" i="26"/>
  <c r="GR42" i="26"/>
  <c r="GR43" i="26"/>
  <c r="GS42" i="26"/>
  <c r="GS43" i="26"/>
  <c r="GT42" i="26"/>
  <c r="GT43" i="26"/>
  <c r="GU42" i="26"/>
  <c r="GU43" i="26"/>
  <c r="GV42" i="26"/>
  <c r="GV43" i="26"/>
  <c r="GW42" i="26"/>
  <c r="GW43" i="26"/>
  <c r="GX42" i="26"/>
  <c r="GX43" i="26"/>
  <c r="GY42" i="26"/>
  <c r="GY43" i="26"/>
  <c r="GZ42" i="26"/>
  <c r="GZ43" i="26"/>
  <c r="HA42" i="26"/>
  <c r="HA43" i="26"/>
  <c r="HB42" i="26"/>
  <c r="HB43" i="26"/>
  <c r="HC42" i="26"/>
  <c r="HC43" i="26"/>
  <c r="HD42" i="26"/>
  <c r="HD43" i="26"/>
  <c r="HE42" i="26"/>
  <c r="HE43" i="26"/>
  <c r="HF42" i="26"/>
  <c r="HF43" i="26"/>
  <c r="HG42" i="26"/>
  <c r="HG43" i="26"/>
  <c r="HH42" i="26"/>
  <c r="HH43" i="26"/>
  <c r="HI42" i="26"/>
  <c r="HI43" i="26"/>
  <c r="HJ42" i="26"/>
  <c r="HJ43" i="26"/>
  <c r="HK42" i="26"/>
  <c r="HK43" i="26"/>
  <c r="HL42" i="26"/>
  <c r="HL43" i="26"/>
  <c r="HM42" i="26"/>
  <c r="HM43" i="26"/>
  <c r="HN42" i="26"/>
  <c r="HN43" i="26"/>
  <c r="HO42" i="26"/>
  <c r="HO43" i="26"/>
  <c r="HP42" i="26"/>
  <c r="HP43" i="26"/>
  <c r="HQ42" i="26"/>
  <c r="HQ43" i="26"/>
  <c r="HR42" i="26"/>
  <c r="HR43" i="26"/>
  <c r="HS42" i="26"/>
  <c r="HS43" i="26"/>
  <c r="HT42" i="26"/>
  <c r="HT43" i="26"/>
  <c r="HU42" i="26"/>
  <c r="HU43" i="26"/>
  <c r="HV42" i="26"/>
  <c r="HV43" i="26"/>
  <c r="HW42" i="26"/>
  <c r="HW43" i="26"/>
  <c r="HX42" i="26"/>
  <c r="HX43" i="26"/>
  <c r="HY42" i="26"/>
  <c r="HY43" i="26"/>
  <c r="HZ42" i="26"/>
  <c r="HZ43" i="26"/>
  <c r="IA42" i="26"/>
  <c r="IA43" i="26"/>
  <c r="IB42" i="26"/>
  <c r="IB43" i="26"/>
  <c r="IC42" i="26"/>
  <c r="IC43" i="26"/>
  <c r="ID42" i="26"/>
  <c r="ID43" i="26"/>
  <c r="IE42" i="26"/>
  <c r="IE43" i="26"/>
  <c r="IF42" i="26"/>
  <c r="IF43" i="26"/>
  <c r="IG42" i="26"/>
  <c r="IG43" i="26"/>
  <c r="IH42" i="26"/>
  <c r="IH43" i="26"/>
  <c r="II42" i="26"/>
  <c r="II43" i="26"/>
  <c r="IJ42" i="26"/>
  <c r="IJ43" i="26"/>
  <c r="IK42" i="26"/>
  <c r="IK43" i="26"/>
  <c r="IL42" i="26"/>
  <c r="IL43" i="26"/>
  <c r="IM42" i="26"/>
  <c r="IM43" i="26"/>
  <c r="IN42" i="26"/>
  <c r="IN43" i="26"/>
  <c r="IO42" i="26"/>
  <c r="IO43" i="26"/>
  <c r="IP42" i="26"/>
  <c r="IP43" i="26"/>
  <c r="IQ42" i="26"/>
  <c r="IQ43" i="26"/>
  <c r="IR42" i="26"/>
  <c r="IR43" i="26"/>
  <c r="IS42" i="26"/>
  <c r="IS43" i="26"/>
  <c r="IT42" i="26"/>
  <c r="IT43" i="26"/>
  <c r="IU42" i="26"/>
  <c r="IU43" i="26"/>
  <c r="IV42" i="26"/>
  <c r="IV43" i="26"/>
  <c r="IW42" i="26"/>
  <c r="IW43" i="26"/>
  <c r="IX42" i="26"/>
  <c r="IX43" i="26"/>
  <c r="IY42" i="26"/>
  <c r="IY43" i="26"/>
  <c r="IZ42" i="26"/>
  <c r="IZ43" i="26"/>
  <c r="JA42" i="26"/>
  <c r="JA43" i="26"/>
  <c r="JB42" i="26"/>
  <c r="JB43" i="26"/>
  <c r="JC42" i="26"/>
  <c r="JC43" i="26"/>
  <c r="JD42" i="26"/>
  <c r="JD43" i="26"/>
  <c r="JE42" i="26"/>
  <c r="JE43" i="26"/>
  <c r="JF42" i="26"/>
  <c r="JF43" i="26"/>
  <c r="JG42" i="26"/>
  <c r="JG43" i="26"/>
  <c r="JH42" i="26"/>
  <c r="JH43" i="26"/>
  <c r="JI42" i="26"/>
  <c r="JI43" i="26"/>
  <c r="JI46" i="26"/>
  <c r="JH46" i="26"/>
  <c r="JG46" i="26"/>
  <c r="JF46" i="26"/>
  <c r="JE46" i="26"/>
  <c r="JD46" i="26"/>
  <c r="JC46" i="26"/>
  <c r="JB46" i="26"/>
  <c r="JA46" i="26"/>
  <c r="IZ46" i="26"/>
  <c r="IY46" i="26"/>
  <c r="IX46" i="26"/>
  <c r="IW46" i="26"/>
  <c r="IV46" i="26"/>
  <c r="IU46" i="26"/>
  <c r="IT46" i="26"/>
  <c r="IS46" i="26"/>
  <c r="IR46" i="26"/>
  <c r="IQ46" i="26"/>
  <c r="IP46" i="26"/>
  <c r="IO46" i="26"/>
  <c r="IN46" i="26"/>
  <c r="IM46" i="26"/>
  <c r="IL46" i="26"/>
  <c r="IK46" i="26"/>
  <c r="IJ46" i="26"/>
  <c r="II46" i="26"/>
  <c r="IH46" i="26"/>
  <c r="IG46" i="26"/>
  <c r="IF46" i="26"/>
  <c r="IE46" i="26"/>
  <c r="ID46" i="26"/>
  <c r="IC46" i="26"/>
  <c r="IB46" i="26"/>
  <c r="IA46" i="26"/>
  <c r="HZ46" i="26"/>
  <c r="HY46" i="26"/>
  <c r="HX46" i="26"/>
  <c r="HW46" i="26"/>
  <c r="HV46" i="26"/>
  <c r="HU46" i="26"/>
  <c r="HT46" i="26"/>
  <c r="HS46" i="26"/>
  <c r="HR46" i="26"/>
  <c r="HQ46" i="26"/>
  <c r="HP46" i="26"/>
  <c r="HO46" i="26"/>
  <c r="HN46" i="26"/>
  <c r="HM46" i="26"/>
  <c r="HL46" i="26"/>
  <c r="HK46" i="26"/>
  <c r="HJ46" i="26"/>
  <c r="HI46" i="26"/>
  <c r="HH46" i="26"/>
  <c r="HG46" i="26"/>
  <c r="HF46" i="26"/>
  <c r="HE46" i="26"/>
  <c r="HD46" i="26"/>
  <c r="HC46" i="26"/>
  <c r="HB46" i="26"/>
  <c r="HA46" i="26"/>
  <c r="GZ46" i="26"/>
  <c r="GY46" i="26"/>
  <c r="GX46" i="26"/>
  <c r="GW46" i="26"/>
  <c r="GV46" i="26"/>
  <c r="GU46" i="26"/>
  <c r="GT46" i="26"/>
  <c r="GS46" i="26"/>
  <c r="GR46" i="26"/>
  <c r="GQ46" i="26"/>
  <c r="GP46" i="26"/>
  <c r="GO46" i="26"/>
  <c r="GN46" i="26"/>
  <c r="GM46" i="26"/>
  <c r="GL46" i="26"/>
  <c r="GK46" i="26"/>
  <c r="GJ46" i="26"/>
  <c r="GI46" i="26"/>
  <c r="GH46" i="26"/>
  <c r="GG46" i="26"/>
  <c r="GF46" i="26"/>
  <c r="GE46" i="26"/>
  <c r="GD46" i="26"/>
  <c r="GC46" i="26"/>
  <c r="GB46" i="26"/>
  <c r="GA46" i="26"/>
  <c r="FZ46" i="26"/>
  <c r="FY46" i="26"/>
  <c r="FX46" i="26"/>
  <c r="FW46" i="26"/>
  <c r="FV46" i="26"/>
  <c r="FU46" i="26"/>
  <c r="FT46" i="26"/>
  <c r="FS46" i="26"/>
  <c r="FR46" i="26"/>
  <c r="FQ46" i="26"/>
  <c r="FP46" i="26"/>
  <c r="FO46" i="26"/>
  <c r="FN46" i="26"/>
  <c r="FM46" i="26"/>
  <c r="FL46" i="26"/>
  <c r="FK46" i="26"/>
  <c r="FJ46" i="26"/>
  <c r="FI46" i="26"/>
  <c r="FH46" i="26"/>
  <c r="FG46" i="26"/>
  <c r="FF46" i="26"/>
  <c r="FE46" i="26"/>
  <c r="FD46" i="26"/>
  <c r="FC46" i="26"/>
  <c r="FB46" i="26"/>
  <c r="FA46" i="26"/>
  <c r="EZ46" i="26"/>
  <c r="EY46" i="26"/>
  <c r="EX46" i="26"/>
  <c r="EW46" i="26"/>
  <c r="EV46" i="26"/>
  <c r="EU46" i="26"/>
  <c r="ET46" i="26"/>
  <c r="ES46" i="26"/>
  <c r="ER46" i="26"/>
  <c r="EQ46" i="26"/>
  <c r="EP46" i="26"/>
  <c r="EO46" i="26"/>
  <c r="EN46" i="26"/>
  <c r="EM46" i="26"/>
  <c r="EL46" i="26"/>
  <c r="EK46" i="26"/>
  <c r="EJ46" i="26"/>
  <c r="EI46" i="26"/>
  <c r="EH46" i="26"/>
  <c r="EG46" i="26"/>
  <c r="EF46" i="26"/>
  <c r="EE46" i="26"/>
  <c r="ED46" i="26"/>
  <c r="EC46" i="26"/>
  <c r="EB46" i="26"/>
  <c r="EA46" i="26"/>
  <c r="DZ46" i="26"/>
  <c r="DY46" i="26"/>
  <c r="DX46" i="26"/>
  <c r="DW46" i="26"/>
  <c r="DV46" i="26"/>
  <c r="DU46" i="26"/>
  <c r="DT46" i="26"/>
  <c r="DS46" i="26"/>
  <c r="DR46" i="26"/>
  <c r="DQ46" i="26"/>
  <c r="DP46" i="26"/>
  <c r="DO46" i="26"/>
  <c r="DN46" i="26"/>
  <c r="DM46" i="26"/>
  <c r="DL46" i="26"/>
  <c r="DK46" i="26"/>
  <c r="DJ46" i="26"/>
  <c r="DI46" i="26"/>
  <c r="DH46" i="26"/>
  <c r="DG46" i="26"/>
  <c r="DF46" i="26"/>
  <c r="DE46" i="26"/>
  <c r="DD46" i="26"/>
  <c r="DC46" i="26"/>
  <c r="DB46" i="26"/>
  <c r="DA46" i="26"/>
  <c r="CZ46" i="26"/>
  <c r="CY46" i="26"/>
  <c r="CX46" i="26"/>
  <c r="CW46" i="26"/>
  <c r="CV46" i="26"/>
  <c r="CU46" i="26"/>
  <c r="CT46" i="26"/>
  <c r="CS46" i="26"/>
  <c r="CR46" i="26"/>
  <c r="CQ46" i="26"/>
  <c r="CP46" i="26"/>
  <c r="CO46" i="26"/>
  <c r="CN46" i="26"/>
  <c r="CM46" i="26"/>
  <c r="CL46" i="26"/>
  <c r="CK46" i="26"/>
  <c r="CJ46" i="26"/>
  <c r="CI46" i="26"/>
  <c r="CH46" i="26"/>
  <c r="CG46" i="26"/>
  <c r="CF46" i="26"/>
  <c r="CE46" i="26"/>
  <c r="CD46" i="26"/>
  <c r="CC46" i="26"/>
  <c r="CB46" i="26"/>
  <c r="CA46" i="26"/>
  <c r="BZ46" i="26"/>
  <c r="BY46" i="26"/>
  <c r="BX46" i="26"/>
  <c r="BW46" i="26"/>
  <c r="BV46" i="26"/>
  <c r="BU46" i="26"/>
  <c r="BT46" i="26"/>
  <c r="BS46" i="26"/>
  <c r="BR46" i="26"/>
  <c r="BQ46" i="26"/>
  <c r="BP46" i="26"/>
  <c r="BO46" i="26"/>
  <c r="BN46" i="26"/>
  <c r="BM46" i="26"/>
  <c r="BL46" i="26"/>
  <c r="BK46" i="26"/>
  <c r="BJ46" i="26"/>
  <c r="BI46" i="26"/>
  <c r="BH46" i="26"/>
  <c r="BG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M46" i="26"/>
  <c r="AL46" i="26"/>
  <c r="AK46" i="26"/>
  <c r="AJ46" i="26"/>
  <c r="AI46" i="26"/>
  <c r="AH46" i="26"/>
  <c r="AG46" i="26"/>
  <c r="AF46" i="26"/>
  <c r="AE46" i="26"/>
  <c r="AD46" i="26"/>
  <c r="AC46" i="26"/>
  <c r="AB46" i="26"/>
  <c r="AA46" i="26"/>
  <c r="Z46" i="26"/>
  <c r="Y46" i="26"/>
  <c r="X46" i="26"/>
  <c r="W46" i="26"/>
  <c r="V46" i="26"/>
  <c r="U46" i="26"/>
  <c r="T46" i="26"/>
  <c r="S46" i="26"/>
  <c r="R46" i="26"/>
  <c r="Q46" i="26"/>
  <c r="P46" i="26"/>
  <c r="O46" i="26"/>
  <c r="N46" i="26"/>
  <c r="M46" i="26"/>
  <c r="L46" i="26"/>
  <c r="K46" i="26"/>
  <c r="J46" i="26"/>
  <c r="JI45" i="26"/>
  <c r="JH45" i="26"/>
  <c r="JG45" i="26"/>
  <c r="JF45" i="26"/>
  <c r="JE45" i="26"/>
  <c r="JD45" i="26"/>
  <c r="JC45" i="26"/>
  <c r="JB45" i="26"/>
  <c r="JA45" i="26"/>
  <c r="IZ45" i="26"/>
  <c r="IY45" i="26"/>
  <c r="IX45" i="26"/>
  <c r="IW45" i="26"/>
  <c r="IV45" i="26"/>
  <c r="IU45" i="26"/>
  <c r="IT45" i="26"/>
  <c r="IS45" i="26"/>
  <c r="IR45" i="26"/>
  <c r="IQ45" i="26"/>
  <c r="IP45" i="26"/>
  <c r="IO45" i="26"/>
  <c r="IN45" i="26"/>
  <c r="IM45" i="26"/>
  <c r="IL45" i="26"/>
  <c r="IK45" i="26"/>
  <c r="IJ45" i="26"/>
  <c r="II45" i="26"/>
  <c r="IH45" i="26"/>
  <c r="IG45" i="26"/>
  <c r="IF45" i="26"/>
  <c r="IE45" i="26"/>
  <c r="ID45" i="26"/>
  <c r="IC45" i="26"/>
  <c r="IB45" i="26"/>
  <c r="IA45" i="26"/>
  <c r="HZ45" i="26"/>
  <c r="HY45" i="26"/>
  <c r="HX45" i="26"/>
  <c r="HW45" i="26"/>
  <c r="HV45" i="26"/>
  <c r="HU45" i="26"/>
  <c r="HT45" i="26"/>
  <c r="HS45" i="26"/>
  <c r="HR45" i="26"/>
  <c r="HQ45" i="26"/>
  <c r="HP45" i="26"/>
  <c r="HO45" i="26"/>
  <c r="HN45" i="26"/>
  <c r="HM45" i="26"/>
  <c r="HL45" i="26"/>
  <c r="HK45" i="26"/>
  <c r="HJ45" i="26"/>
  <c r="HI45" i="26"/>
  <c r="HH45" i="26"/>
  <c r="HG45" i="26"/>
  <c r="HF45" i="26"/>
  <c r="HE45" i="26"/>
  <c r="HD45" i="26"/>
  <c r="HC45" i="26"/>
  <c r="HB45" i="26"/>
  <c r="HA45" i="26"/>
  <c r="GZ45" i="26"/>
  <c r="GY45" i="26"/>
  <c r="GX45" i="26"/>
  <c r="GW45" i="26"/>
  <c r="GV45" i="26"/>
  <c r="GU45" i="26"/>
  <c r="GT45" i="26"/>
  <c r="GS45" i="26"/>
  <c r="GR45" i="26"/>
  <c r="GQ45" i="26"/>
  <c r="GP45" i="26"/>
  <c r="GO45" i="26"/>
  <c r="GN45" i="26"/>
  <c r="GM45" i="26"/>
  <c r="GL45" i="26"/>
  <c r="GK45" i="26"/>
  <c r="GJ45" i="26"/>
  <c r="GI45" i="26"/>
  <c r="GH45" i="26"/>
  <c r="GG45" i="26"/>
  <c r="GF45" i="26"/>
  <c r="GE45" i="26"/>
  <c r="GD45" i="26"/>
  <c r="GC45" i="26"/>
  <c r="GB45" i="26"/>
  <c r="GA45" i="26"/>
  <c r="FZ45" i="26"/>
  <c r="FY45" i="26"/>
  <c r="FX45" i="26"/>
  <c r="FW45" i="26"/>
  <c r="FV45" i="26"/>
  <c r="FU45" i="26"/>
  <c r="FT45" i="26"/>
  <c r="FS45" i="26"/>
  <c r="FR45" i="26"/>
  <c r="FQ45" i="26"/>
  <c r="FP45" i="26"/>
  <c r="FO45" i="26"/>
  <c r="FN45" i="26"/>
  <c r="FM45" i="26"/>
  <c r="FL45" i="26"/>
  <c r="FK45" i="26"/>
  <c r="FJ45" i="26"/>
  <c r="FI45" i="26"/>
  <c r="FH45" i="26"/>
  <c r="FG45" i="26"/>
  <c r="FF45" i="26"/>
  <c r="FE45" i="26"/>
  <c r="FD45" i="26"/>
  <c r="FC45" i="26"/>
  <c r="FB45" i="26"/>
  <c r="FA45" i="26"/>
  <c r="EZ45" i="26"/>
  <c r="EY45" i="26"/>
  <c r="EX45" i="26"/>
  <c r="EW45" i="26"/>
  <c r="EV45" i="26"/>
  <c r="EU45" i="26"/>
  <c r="ET45" i="26"/>
  <c r="ES45" i="26"/>
  <c r="ER45" i="26"/>
  <c r="EQ45" i="26"/>
  <c r="EP45" i="26"/>
  <c r="EO45" i="26"/>
  <c r="EN45" i="26"/>
  <c r="EM45" i="26"/>
  <c r="EL45" i="26"/>
  <c r="EK45" i="26"/>
  <c r="EJ45" i="26"/>
  <c r="EI45" i="26"/>
  <c r="EH45" i="26"/>
  <c r="EG45" i="26"/>
  <c r="EF45" i="26"/>
  <c r="EE45" i="26"/>
  <c r="ED45" i="26"/>
  <c r="EC45" i="26"/>
  <c r="EB45" i="26"/>
  <c r="EA45" i="26"/>
  <c r="DZ45" i="26"/>
  <c r="DY45" i="26"/>
  <c r="DX45" i="26"/>
  <c r="DW45" i="26"/>
  <c r="DV45" i="26"/>
  <c r="DU45" i="26"/>
  <c r="DT45" i="26"/>
  <c r="DS45" i="26"/>
  <c r="DR45" i="26"/>
  <c r="DQ45" i="26"/>
  <c r="DP45" i="26"/>
  <c r="DO45" i="26"/>
  <c r="DN45" i="26"/>
  <c r="DM45" i="26"/>
  <c r="DL45" i="26"/>
  <c r="DK45" i="26"/>
  <c r="DJ45" i="26"/>
  <c r="DI45" i="26"/>
  <c r="DH45" i="26"/>
  <c r="DG45" i="26"/>
  <c r="DF45" i="26"/>
  <c r="DE45" i="26"/>
  <c r="DD45" i="26"/>
  <c r="DC45" i="26"/>
  <c r="DB45" i="26"/>
  <c r="DA45" i="26"/>
  <c r="CZ45" i="26"/>
  <c r="CY45" i="26"/>
  <c r="CX45" i="26"/>
  <c r="CW45" i="26"/>
  <c r="CV45" i="26"/>
  <c r="CU45" i="26"/>
  <c r="CT45" i="26"/>
  <c r="CS45" i="26"/>
  <c r="CR45" i="26"/>
  <c r="CQ45" i="26"/>
  <c r="CP45" i="26"/>
  <c r="CO45" i="26"/>
  <c r="CN45" i="26"/>
  <c r="CM45" i="26"/>
  <c r="CL45" i="26"/>
  <c r="CK45" i="26"/>
  <c r="CJ45" i="26"/>
  <c r="CI45" i="26"/>
  <c r="CH45" i="26"/>
  <c r="CG45" i="26"/>
  <c r="CF45" i="26"/>
  <c r="CE45" i="26"/>
  <c r="CD45" i="26"/>
  <c r="CC45" i="26"/>
  <c r="CB45" i="26"/>
  <c r="CA45" i="26"/>
  <c r="BZ45" i="26"/>
  <c r="BY45" i="26"/>
  <c r="BX45" i="26"/>
  <c r="BW45" i="26"/>
  <c r="BV45" i="26"/>
  <c r="BU45" i="26"/>
  <c r="BT45" i="26"/>
  <c r="BS45" i="26"/>
  <c r="BR45" i="26"/>
  <c r="BQ45" i="26"/>
  <c r="BP45" i="26"/>
  <c r="BO45" i="26"/>
  <c r="BN45" i="26"/>
  <c r="BM45" i="26"/>
  <c r="BL45" i="26"/>
  <c r="BK45" i="26"/>
  <c r="BJ45" i="26"/>
  <c r="BI45" i="26"/>
  <c r="BH45" i="26"/>
  <c r="BG45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6" i="26"/>
  <c r="I45" i="26"/>
  <c r="JI47" i="26"/>
  <c r="G45" i="26"/>
  <c r="G46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K47" i="26"/>
  <c r="AL47" i="26"/>
  <c r="AM47" i="26"/>
  <c r="AN47" i="26"/>
  <c r="AO47" i="26"/>
  <c r="AP47" i="26"/>
  <c r="AQ47" i="26"/>
  <c r="AR47" i="26"/>
  <c r="AS47" i="26"/>
  <c r="AT47" i="26"/>
  <c r="AU47" i="26"/>
  <c r="AV47" i="26"/>
  <c r="AW47" i="26"/>
  <c r="AX47" i="26"/>
  <c r="AY47" i="26"/>
  <c r="AZ47" i="26"/>
  <c r="BA47" i="26"/>
  <c r="BB47" i="26"/>
  <c r="BC47" i="26"/>
  <c r="BD47" i="26"/>
  <c r="BE47" i="26"/>
  <c r="BF47" i="26"/>
  <c r="BG47" i="26"/>
  <c r="BH47" i="26"/>
  <c r="BI47" i="26"/>
  <c r="BJ47" i="26"/>
  <c r="BK47" i="26"/>
  <c r="BL47" i="26"/>
  <c r="BM47" i="26"/>
  <c r="BN47" i="26"/>
  <c r="BO47" i="26"/>
  <c r="BP47" i="26"/>
  <c r="BQ47" i="26"/>
  <c r="BR47" i="26"/>
  <c r="BS47" i="26"/>
  <c r="BT47" i="26"/>
  <c r="BU47" i="26"/>
  <c r="BV47" i="26"/>
  <c r="BW47" i="26"/>
  <c r="BX47" i="26"/>
  <c r="BY47" i="26"/>
  <c r="BZ47" i="26"/>
  <c r="CA47" i="26"/>
  <c r="CB47" i="26"/>
  <c r="CC47" i="26"/>
  <c r="CD47" i="26"/>
  <c r="CE47" i="26"/>
  <c r="CF47" i="26"/>
  <c r="CG47" i="26"/>
  <c r="CH47" i="26"/>
  <c r="CI47" i="26"/>
  <c r="CJ47" i="26"/>
  <c r="CK47" i="26"/>
  <c r="CL47" i="26"/>
  <c r="CM47" i="26"/>
  <c r="CN47" i="26"/>
  <c r="CO47" i="26"/>
  <c r="CP47" i="26"/>
  <c r="CQ47" i="26"/>
  <c r="CR47" i="26"/>
  <c r="CS47" i="26"/>
  <c r="CT47" i="26"/>
  <c r="CU47" i="26"/>
  <c r="CV47" i="26"/>
  <c r="CW47" i="26"/>
  <c r="CX47" i="26"/>
  <c r="CY47" i="26"/>
  <c r="CZ47" i="26"/>
  <c r="DA47" i="26"/>
  <c r="DB47" i="26"/>
  <c r="DC47" i="26"/>
  <c r="DD47" i="26"/>
  <c r="DE47" i="26"/>
  <c r="DF47" i="26"/>
  <c r="DG47" i="26"/>
  <c r="DH47" i="26"/>
  <c r="DI47" i="26"/>
  <c r="DJ47" i="26"/>
  <c r="DK47" i="26"/>
  <c r="DL47" i="26"/>
  <c r="DM47" i="26"/>
  <c r="DN47" i="26"/>
  <c r="DO47" i="26"/>
  <c r="DP47" i="26"/>
  <c r="DQ47" i="26"/>
  <c r="DR47" i="26"/>
  <c r="DS47" i="26"/>
  <c r="DT47" i="26"/>
  <c r="DU47" i="26"/>
  <c r="DV47" i="26"/>
  <c r="DW47" i="26"/>
  <c r="DX47" i="26"/>
  <c r="DY47" i="26"/>
  <c r="DZ47" i="26"/>
  <c r="EA47" i="26"/>
  <c r="EB47" i="26"/>
  <c r="EC47" i="26"/>
  <c r="ED47" i="26"/>
  <c r="EE47" i="26"/>
  <c r="EF47" i="26"/>
  <c r="EG47" i="26"/>
  <c r="EH47" i="26"/>
  <c r="EI47" i="26"/>
  <c r="EJ47" i="26"/>
  <c r="EK47" i="26"/>
  <c r="EL47" i="26"/>
  <c r="EM47" i="26"/>
  <c r="EN47" i="26"/>
  <c r="EO47" i="26"/>
  <c r="EP47" i="26"/>
  <c r="EQ47" i="26"/>
  <c r="ER47" i="26"/>
  <c r="ES47" i="26"/>
  <c r="ET47" i="26"/>
  <c r="EU47" i="26"/>
  <c r="EV47" i="26"/>
  <c r="EW47" i="26"/>
  <c r="EX47" i="26"/>
  <c r="EY47" i="26"/>
  <c r="EZ47" i="26"/>
  <c r="FA47" i="26"/>
  <c r="FB47" i="26"/>
  <c r="FC47" i="26"/>
  <c r="FD47" i="26"/>
  <c r="FE47" i="26"/>
  <c r="FF47" i="26"/>
  <c r="FG47" i="26"/>
  <c r="FH47" i="26"/>
  <c r="FI47" i="26"/>
  <c r="FJ47" i="26"/>
  <c r="FK47" i="26"/>
  <c r="FL47" i="26"/>
  <c r="FM47" i="26"/>
  <c r="FN47" i="26"/>
  <c r="FO47" i="26"/>
  <c r="FP47" i="26"/>
  <c r="FQ47" i="26"/>
  <c r="FR47" i="26"/>
  <c r="FS47" i="26"/>
  <c r="FT47" i="26"/>
  <c r="FU47" i="26"/>
  <c r="FV47" i="26"/>
  <c r="FW47" i="26"/>
  <c r="FX47" i="26"/>
  <c r="FY47" i="26"/>
  <c r="FZ47" i="26"/>
  <c r="GA47" i="26"/>
  <c r="GB47" i="26"/>
  <c r="GC47" i="26"/>
  <c r="GD47" i="26"/>
  <c r="GE47" i="26"/>
  <c r="GF47" i="26"/>
  <c r="GG47" i="26"/>
  <c r="GH47" i="26"/>
  <c r="GI47" i="26"/>
  <c r="GJ47" i="26"/>
  <c r="GK47" i="26"/>
  <c r="GL47" i="26"/>
  <c r="GM47" i="26"/>
  <c r="GN47" i="26"/>
  <c r="GO47" i="26"/>
  <c r="GP47" i="26"/>
  <c r="GQ47" i="26"/>
  <c r="GR47" i="26"/>
  <c r="GS47" i="26"/>
  <c r="GT47" i="26"/>
  <c r="GU47" i="26"/>
  <c r="GV47" i="26"/>
  <c r="GW47" i="26"/>
  <c r="GX47" i="26"/>
  <c r="GY47" i="26"/>
  <c r="GZ47" i="26"/>
  <c r="HA47" i="26"/>
  <c r="HB47" i="26"/>
  <c r="HC47" i="26"/>
  <c r="HD47" i="26"/>
  <c r="HE47" i="26"/>
  <c r="HF47" i="26"/>
  <c r="HG47" i="26"/>
  <c r="HH47" i="26"/>
  <c r="HI47" i="26"/>
  <c r="HJ47" i="26"/>
  <c r="HK47" i="26"/>
  <c r="HL47" i="26"/>
  <c r="HM47" i="26"/>
  <c r="HN47" i="26"/>
  <c r="HO47" i="26"/>
  <c r="HP47" i="26"/>
  <c r="HQ47" i="26"/>
  <c r="HR47" i="26"/>
  <c r="HS47" i="26"/>
  <c r="HT47" i="26"/>
  <c r="HU47" i="26"/>
  <c r="HV47" i="26"/>
  <c r="HW47" i="26"/>
  <c r="HX47" i="26"/>
  <c r="HY47" i="26"/>
  <c r="HZ47" i="26"/>
  <c r="IA47" i="26"/>
  <c r="IB47" i="26"/>
  <c r="IC47" i="26"/>
  <c r="ID47" i="26"/>
  <c r="IE47" i="26"/>
  <c r="IF47" i="26"/>
  <c r="IG47" i="26"/>
  <c r="IH47" i="26"/>
  <c r="II47" i="26"/>
  <c r="IJ47" i="26"/>
  <c r="IK47" i="26"/>
  <c r="IL47" i="26"/>
  <c r="IM47" i="26"/>
  <c r="IN47" i="26"/>
  <c r="IO47" i="26"/>
  <c r="IP47" i="26"/>
  <c r="IQ47" i="26"/>
  <c r="IR47" i="26"/>
  <c r="IS47" i="26"/>
  <c r="IT47" i="26"/>
  <c r="IU47" i="26"/>
  <c r="IV47" i="26"/>
  <c r="IW47" i="26"/>
  <c r="IX47" i="26"/>
  <c r="IY47" i="26"/>
  <c r="IZ47" i="26"/>
  <c r="JA47" i="26"/>
  <c r="JB47" i="26"/>
  <c r="JC47" i="26"/>
  <c r="JD47" i="26"/>
  <c r="JE47" i="26"/>
  <c r="JF47" i="26"/>
  <c r="JG47" i="26"/>
  <c r="JH47" i="26"/>
  <c r="G47" i="26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AQ36" i="19"/>
  <c r="AR36" i="19"/>
  <c r="AS36" i="19"/>
  <c r="AT36" i="19"/>
  <c r="AU36" i="19"/>
  <c r="AV36" i="19"/>
  <c r="AW36" i="19"/>
  <c r="AX36" i="19"/>
  <c r="AY36" i="19"/>
  <c r="AZ36" i="19"/>
  <c r="BA36" i="19"/>
  <c r="BB36" i="19"/>
  <c r="BC36" i="19"/>
  <c r="BD36" i="19"/>
  <c r="BE36" i="19"/>
  <c r="BF36" i="19"/>
  <c r="BG36" i="19"/>
  <c r="BH36" i="19"/>
  <c r="BI36" i="19"/>
  <c r="BJ36" i="19"/>
  <c r="BK36" i="19"/>
  <c r="BL36" i="19"/>
  <c r="BM36" i="19"/>
  <c r="BN36" i="19"/>
  <c r="BO36" i="19"/>
  <c r="BP36" i="19"/>
  <c r="BQ36" i="19"/>
  <c r="BR36" i="19"/>
  <c r="BS36" i="19"/>
  <c r="BT36" i="19"/>
  <c r="BU36" i="19"/>
  <c r="BV36" i="19"/>
  <c r="BW36" i="19"/>
  <c r="BX36" i="19"/>
  <c r="BY36" i="19"/>
  <c r="BZ36" i="19"/>
  <c r="CA36" i="19"/>
  <c r="CB36" i="19"/>
  <c r="CC36" i="19"/>
  <c r="CD36" i="19"/>
  <c r="CE36" i="19"/>
  <c r="CF36" i="19"/>
  <c r="CG36" i="19"/>
  <c r="CH36" i="19"/>
  <c r="CI36" i="19"/>
  <c r="CJ36" i="19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V16" i="21"/>
  <c r="AW16" i="21"/>
  <c r="AX16" i="21"/>
  <c r="AY16" i="21"/>
  <c r="AZ16" i="21"/>
  <c r="BA16" i="21"/>
  <c r="BB16" i="21"/>
  <c r="BC16" i="21"/>
  <c r="BD16" i="21"/>
  <c r="BE16" i="21"/>
  <c r="BF16" i="21"/>
  <c r="BG16" i="21"/>
  <c r="BH16" i="21"/>
  <c r="BI16" i="21"/>
  <c r="BJ16" i="21"/>
  <c r="BK16" i="21"/>
  <c r="BL16" i="21"/>
  <c r="BM16" i="21"/>
  <c r="BN16" i="21"/>
  <c r="BO16" i="21"/>
  <c r="BP16" i="21"/>
  <c r="BQ16" i="21"/>
  <c r="BR16" i="21"/>
  <c r="BS16" i="21"/>
  <c r="BT16" i="21"/>
  <c r="BU16" i="21"/>
  <c r="BV16" i="21"/>
  <c r="BW16" i="21"/>
  <c r="BX16" i="21"/>
  <c r="BY16" i="21"/>
  <c r="BZ16" i="21"/>
  <c r="CA16" i="21"/>
  <c r="CB16" i="21"/>
  <c r="CC16" i="21"/>
  <c r="CD16" i="21"/>
  <c r="CE16" i="21"/>
  <c r="CF16" i="21"/>
  <c r="CG16" i="21"/>
  <c r="CH16" i="21"/>
  <c r="CI16" i="21"/>
  <c r="CJ16" i="21"/>
  <c r="G43" i="21" a="1"/>
  <c r="I64" i="21" a="1"/>
  <c r="I63" i="21" a="1"/>
  <c r="I65" i="21" a="1"/>
  <c r="I66" i="2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<sst xmlns="http://schemas.openxmlformats.org/spreadsheetml/2006/main" count="516" uniqueCount="101">
  <si>
    <t>Assumptions</t>
  </si>
  <si>
    <t>[$]</t>
  </si>
  <si>
    <t>[#]</t>
  </si>
  <si>
    <t>[% p.a.]</t>
  </si>
  <si>
    <t>[date]</t>
  </si>
  <si>
    <t>End Sheet</t>
  </si>
  <si>
    <t>[pick from list]</t>
  </si>
  <si>
    <t>Revenues</t>
  </si>
  <si>
    <t>Expenses</t>
  </si>
  <si>
    <t>Instructions</t>
  </si>
  <si>
    <t>Write a consistent formula in the boxed area that can be applied across the row, that for each Input Date</t>
  </si>
  <si>
    <t>will return the first End of Quarter date that falls on or after the Input Date.</t>
  </si>
  <si>
    <t>End of Quarter Dates are any 31 March, 30 June, 30 September or 31 December date.</t>
  </si>
  <si>
    <t>You may add any additional inputs, but solution must be in one formula in the given row.</t>
  </si>
  <si>
    <t>Workings</t>
  </si>
  <si>
    <t>Input Date</t>
  </si>
  <si>
    <t>End of quarter date</t>
  </si>
  <si>
    <t>Enter formula at this row ---&gt;</t>
  </si>
  <si>
    <t>Create a schedule that shows the Capital Expenditure each quarter to replace a $100,000 asset based on the chosen timing assumptions.</t>
  </si>
  <si>
    <t>So, if the Frequency of Replacement is 3 years, replacement will occur in 2023, 2026, 2029, 2032, 2035 and 2038.</t>
  </si>
  <si>
    <t>If the Frequency of Replacement is 7 years, replacement will occur in 2027 and 2034.</t>
  </si>
  <si>
    <t>The cost each replacement cycle will either be $100,000 in a single quarter (options 1 to 4) or $25,000 for each quarter of the calendar year (option 5).</t>
  </si>
  <si>
    <t>Hard-coded example</t>
  </si>
  <si>
    <t>This example uses a Frequency of Replacement of 3 years, with expenditure in the March quarter.</t>
  </si>
  <si>
    <t>Period Start</t>
  </si>
  <si>
    <t>Period End</t>
  </si>
  <si>
    <t>Expenditure</t>
  </si>
  <si>
    <t>Replacement Cost</t>
  </si>
  <si>
    <t>Frequency of Replacement (whole numbers only)</t>
  </si>
  <si>
    <t>[years]</t>
  </si>
  <si>
    <t>Timing of Expenditure</t>
  </si>
  <si>
    <t>1. March Qtr</t>
  </si>
  <si>
    <t>Dropdown list options</t>
  </si>
  <si>
    <t>2. June Qtr</t>
  </si>
  <si>
    <t>3. Sep Qtr</t>
  </si>
  <si>
    <t>4. Dec Qtr</t>
  </si>
  <si>
    <t>5. Equal Spread</t>
  </si>
  <si>
    <t>Do your modeling in the rows below (add rows if needed)</t>
  </si>
  <si>
    <t>You are given forecast weekly data of Revenues and Expenses for the 5 years of 2020 to 2024. (See below for the forecasted data.)</t>
  </si>
  <si>
    <t>Build a single periodic schedule across 60 columns and 5 or more rows that displays:</t>
  </si>
  <si>
    <t>(i) Period Start Date, (ii) Period End Date, (iii) Revenue in Period, (iv) Expense in Period, and (v) Operating Profit in Period</t>
  </si>
  <si>
    <t>Use the provided week-ending date to decide which period each data point belongs in.</t>
  </si>
  <si>
    <t>The frequency of the schedule (monthly, quarterly or annually) should respond to a user-variable assumption switch.</t>
  </si>
  <si>
    <t>Note that in the quarterly and annually cases, not all of the 60 columns will be needed.</t>
  </si>
  <si>
    <t>Excess columns should display zero or something similar to clearly indicate they are not used.</t>
  </si>
  <si>
    <t>This example uses the Annual switch setting</t>
  </si>
  <si>
    <t>n/a</t>
  </si>
  <si>
    <t>Operating Profit</t>
  </si>
  <si>
    <t>Schedule Type</t>
  </si>
  <si>
    <t>1. Monthly</t>
  </si>
  <si>
    <t>2. Quarterly</t>
  </si>
  <si>
    <t>3. Annually</t>
  </si>
  <si>
    <t>Weekly Revenue and Expense Forecast Data</t>
  </si>
  <si>
    <t>Week Ending</t>
  </si>
  <si>
    <t>You are given a schedule of forecast distribution payments, to be paid to an investor at the end of each quarter.</t>
  </si>
  <si>
    <t>Your task is, given a fixed discount rate and a user-variable assumption date,</t>
  </si>
  <si>
    <t>calculate the net present value at that date of distribution payments that fall on or after that date.</t>
  </si>
  <si>
    <t>Remember to discount all the way back to the actual discount date, and not just to the following distribution date.</t>
  </si>
  <si>
    <t>Build a simple model that calculates the net present value of future distributions for the chosen scenario number.</t>
  </si>
  <si>
    <t>Prepare a simple data table showing the net present value for each of the 10 scenarios.</t>
  </si>
  <si>
    <t xml:space="preserve"> Distribution Assumptions and Discount Rate</t>
  </si>
  <si>
    <t>Distribution Date (Qtr End dates)</t>
  </si>
  <si>
    <t>Distributions</t>
  </si>
  <si>
    <t>Discount Rate</t>
  </si>
  <si>
    <t>Scenarios</t>
  </si>
  <si>
    <t>Chosen Scenario</t>
  </si>
  <si>
    <t>Chosen Discount Date</t>
  </si>
  <si>
    <t>Scenario #</t>
  </si>
  <si>
    <t>Discount Date</t>
  </si>
  <si>
    <t>Task 1 - End-of-Quarter Dates</t>
  </si>
  <si>
    <t>Task 2 - Capital Expenditures</t>
  </si>
  <si>
    <t>Task 3 - Summarise Revenue and Expense Data by Month, Quarter, and Year</t>
  </si>
  <si>
    <t>Task 4 - Timing of Cash Flows</t>
  </si>
  <si>
    <t>The schedule runs from 2020 to 2039. Assume the existing asset is brand new at 1 Jan 2020. You do not need to show the cost for this.</t>
  </si>
  <si>
    <t>Hint: There should never be any expenditure in the year 2020. If the Frequency is 1 year, the first replacement will be in 2021.</t>
  </si>
  <si>
    <t>Do your modeling in the rows below. Insert more rows if you need.</t>
  </si>
  <si>
    <t>Use a discount methodology of (1+rate)^(days/365). This is also equivalent to the XNPV function.</t>
  </si>
  <si>
    <t>Quarter Number</t>
  </si>
  <si>
    <t>Year Counter</t>
  </si>
  <si>
    <t>Year Flag</t>
  </si>
  <si>
    <t>[flag]</t>
  </si>
  <si>
    <t>Quarter Flag</t>
  </si>
  <si>
    <t>Combined Flag</t>
  </si>
  <si>
    <t>Model Start</t>
  </si>
  <si>
    <t>Model End</t>
  </si>
  <si>
    <t>Increment</t>
  </si>
  <si>
    <t>[months]</t>
  </si>
  <si>
    <t>Distribution Periods</t>
  </si>
  <si>
    <t>Cash Periods</t>
  </si>
  <si>
    <t>NPV</t>
  </si>
  <si>
    <t>End of quarter dates</t>
  </si>
  <si>
    <t>Flags</t>
  </si>
  <si>
    <t>flag</t>
  </si>
  <si>
    <t>Frequency flag</t>
  </si>
  <si>
    <t>date</t>
  </si>
  <si>
    <t>Period ending date</t>
  </si>
  <si>
    <t>Model period beginning</t>
  </si>
  <si>
    <t>Model period ending</t>
  </si>
  <si>
    <t>Days in the period</t>
  </si>
  <si>
    <t>Discounted cashflow</t>
  </si>
  <si>
    <t>BELOW NOT RELEVANT TO THE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</si>
</sst>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&quot;Scenario &quot;#,##0_);\(#,##0\);\-_)"/>
    <numFmt numFmtId="178" formatCode="#,##0_);\(#,##0\);&quot;-  &quot;;&quot; &quot;@"/>
    <numFmt numFmtId="179" formatCode="0.00%\ ;\-0.00%\ _);&quot;-  &quot;;&quot; &quot;@&quot; &quot;"/>
    <numFmt numFmtId="180" formatCode="#,##0.0000_);\(#,##0.0000\);&quot;-  &quot;;&quot; &quot;@&quot; &quot;"/>
    <numFmt numFmtId="181" formatCode="dd\ mmm\ yyyy_);\(###0\);&quot;-  &quot;;&quot; &quot;@&quot; &quot;"/>
    <numFmt numFmtId="182" formatCode="dd\ mmm\ yy_);\(###0\);&quot;-  &quot;;&quot; &quot;@&quot; &quot;"/>
    <numFmt numFmtId="183" formatCode="###0_);\(###0\);&quot;-  &quot;;&quot; &quot;@&quot; &quot;"/>
  </numFmts>
  <fonts count="3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i/>
      <sz val="10"/>
      <color rgb="FFFF0000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i/>
      <u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52">
    <xf numFmtId="178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1" fillId="3" borderId="0" applyNumberFormat="0" applyAlignment="0"/>
    <xf numFmtId="168" fontId="1" fillId="0" borderId="0" applyBorder="0"/>
    <xf numFmtId="4" fontId="8" fillId="4" borderId="2">
      <alignment horizontal="left"/>
    </xf>
    <xf numFmtId="167" fontId="12" fillId="0" borderId="0" applyFill="0" applyBorder="0"/>
    <xf numFmtId="168" fontId="10" fillId="0" borderId="0" applyBorder="0"/>
    <xf numFmtId="0" fontId="13" fillId="0" borderId="0" applyNumberFormat="0" applyFill="0" applyBorder="0">
      <alignment horizontal="right"/>
    </xf>
    <xf numFmtId="168" fontId="13" fillId="5" borderId="8">
      <protection locked="0"/>
    </xf>
    <xf numFmtId="169" fontId="13" fillId="5" borderId="8">
      <protection locked="0"/>
    </xf>
    <xf numFmtId="170" fontId="13" fillId="5" borderId="8">
      <protection locked="0"/>
    </xf>
    <xf numFmtId="171" fontId="1" fillId="0" borderId="0" applyBorder="0"/>
    <xf numFmtId="171" fontId="13" fillId="5" borderId="8">
      <protection locked="0"/>
    </xf>
    <xf numFmtId="168" fontId="13" fillId="0" borderId="8"/>
    <xf numFmtId="15" fontId="9" fillId="0" borderId="0" applyFill="0" applyBorder="0" applyAlignment="0"/>
    <xf numFmtId="172" fontId="15" fillId="0" borderId="9">
      <alignment horizontal="center"/>
    </xf>
    <xf numFmtId="168" fontId="16" fillId="7" borderId="0" applyBorder="0" applyAlignment="0"/>
    <xf numFmtId="172" fontId="17" fillId="8" borderId="10">
      <alignment horizontal="center"/>
    </xf>
    <xf numFmtId="0" fontId="18" fillId="0" borderId="0" applyNumberFormat="0" applyFill="0" applyBorder="0" applyAlignment="0"/>
    <xf numFmtId="0" fontId="19" fillId="0" borderId="0" applyNumberFormat="0" applyFill="0" applyBorder="0" applyAlignment="0"/>
    <xf numFmtId="167" fontId="20" fillId="6" borderId="8" applyNumberFormat="0" applyAlignment="0">
      <protection locked="0"/>
    </xf>
    <xf numFmtId="173" fontId="21" fillId="5" borderId="8">
      <alignment horizontal="center"/>
      <protection locked="0"/>
    </xf>
    <xf numFmtId="174" fontId="21" fillId="5" borderId="8">
      <alignment horizontal="center"/>
      <protection locked="0"/>
    </xf>
    <xf numFmtId="169" fontId="1" fillId="0" borderId="0" applyBorder="0"/>
    <xf numFmtId="174" fontId="22" fillId="0" borderId="11" applyFill="0">
      <alignment horizontal="center"/>
    </xf>
    <xf numFmtId="173" fontId="21" fillId="0" borderId="11">
      <alignment horizontal="center"/>
    </xf>
    <xf numFmtId="170" fontId="2" fillId="0" borderId="0" applyFill="0" applyBorder="0" applyAlignment="0"/>
    <xf numFmtId="168" fontId="1" fillId="9" borderId="11"/>
    <xf numFmtId="0" fontId="23" fillId="0" borderId="6" applyNumberFormat="0" applyFill="0" applyAlignment="0" applyProtection="0"/>
    <xf numFmtId="0" fontId="24" fillId="0" borderId="0"/>
    <xf numFmtId="0" fontId="25" fillId="2" borderId="7" applyNumberFormat="0" applyAlignment="0" applyProtection="0"/>
    <xf numFmtId="0" fontId="25" fillId="2" borderId="7" applyFill="0" applyAlignment="0" applyProtection="0"/>
    <xf numFmtId="0" fontId="1" fillId="0" borderId="0"/>
    <xf numFmtId="0" fontId="26" fillId="0" borderId="0"/>
    <xf numFmtId="175" fontId="1" fillId="0" borderId="0" applyBorder="0"/>
    <xf numFmtId="176" fontId="1" fillId="0" borderId="0" applyBorder="0"/>
    <xf numFmtId="175" fontId="13" fillId="5" borderId="8">
      <protection locked="0"/>
    </xf>
    <xf numFmtId="179" fontId="26" fillId="0" borderId="0" applyFont="0" applyFill="0" applyBorder="0" applyProtection="0">
      <alignment vertical="top"/>
    </xf>
    <xf numFmtId="180" fontId="26" fillId="0" borderId="0" applyFont="0" applyFill="0" applyBorder="0" applyProtection="0">
      <alignment vertical="top"/>
    </xf>
    <xf numFmtId="181" fontId="26" fillId="0" borderId="0" applyFont="0" applyFill="0" applyBorder="0" applyProtection="0">
      <alignment vertical="top"/>
    </xf>
    <xf numFmtId="182" fontId="26" fillId="0" borderId="0" applyFont="0" applyFill="0" applyBorder="0" applyProtection="0">
      <alignment vertical="top"/>
    </xf>
    <xf numFmtId="183" fontId="26" fillId="0" borderId="0" applyFont="0" applyFill="0" applyBorder="0" applyProtection="0">
      <alignment vertical="top"/>
    </xf>
  </cellStyleXfs>
  <cellXfs count="71">
    <xf numFmtId="178" fontId="0" fillId="0" borderId="0" xfId="0">
      <alignment vertical="top"/>
    </xf>
    <xf numFmtId="168" fontId="1" fillId="0" borderId="0" xfId="13"/>
    <xf numFmtId="168" fontId="14" fillId="0" borderId="0" xfId="13" applyFont="1"/>
    <xf numFmtId="168" fontId="1" fillId="0" borderId="0" xfId="13" applyBorder="1"/>
    <xf numFmtId="168" fontId="10" fillId="0" borderId="0" xfId="13" applyFont="1"/>
    <xf numFmtId="168" fontId="27" fillId="0" borderId="0" xfId="13" applyFont="1"/>
    <xf numFmtId="168" fontId="10" fillId="0" borderId="0" xfId="16"/>
    <xf numFmtId="4" fontId="8" fillId="4" borderId="2" xfId="14">
      <alignment horizontal="left"/>
    </xf>
    <xf numFmtId="168" fontId="13" fillId="0" borderId="8" xfId="23"/>
    <xf numFmtId="168" fontId="13" fillId="0" borderId="0" xfId="17" applyNumberFormat="1">
      <alignment horizontal="right"/>
    </xf>
    <xf numFmtId="168" fontId="1" fillId="0" borderId="14" xfId="13" applyBorder="1"/>
    <xf numFmtId="168" fontId="9" fillId="0" borderId="0" xfId="13" applyFont="1"/>
    <xf numFmtId="175" fontId="7" fillId="0" borderId="0" xfId="44" applyFont="1"/>
    <xf numFmtId="168" fontId="28" fillId="0" borderId="0" xfId="13" applyFont="1"/>
    <xf numFmtId="175" fontId="29" fillId="0" borderId="0" xfId="44" applyFont="1"/>
    <xf numFmtId="175" fontId="10" fillId="0" borderId="0" xfId="44" applyFont="1"/>
    <xf numFmtId="175" fontId="7" fillId="0" borderId="0" xfId="44" applyFont="1" applyAlignment="1">
      <alignment horizontal="right"/>
    </xf>
    <xf numFmtId="175" fontId="7" fillId="0" borderId="0" xfId="44" quotePrefix="1" applyFont="1" applyAlignment="1">
      <alignment horizontal="right"/>
    </xf>
    <xf numFmtId="168" fontId="13" fillId="0" borderId="0" xfId="13" applyFont="1"/>
    <xf numFmtId="168" fontId="13" fillId="0" borderId="14" xfId="13" applyFont="1" applyBorder="1"/>
    <xf numFmtId="168" fontId="13" fillId="0" borderId="0" xfId="13" applyFont="1" applyBorder="1"/>
    <xf numFmtId="175" fontId="9" fillId="0" borderId="12" xfId="44" applyFont="1" applyBorder="1"/>
    <xf numFmtId="175" fontId="9" fillId="0" borderId="0" xfId="44" applyFont="1" applyBorder="1"/>
    <xf numFmtId="175" fontId="9" fillId="0" borderId="15" xfId="44" applyFont="1" applyBorder="1"/>
    <xf numFmtId="177" fontId="9" fillId="0" borderId="0" xfId="13" applyNumberFormat="1" applyFont="1"/>
    <xf numFmtId="169" fontId="1" fillId="0" borderId="0" xfId="33"/>
    <xf numFmtId="170" fontId="2" fillId="0" borderId="0" xfId="36"/>
    <xf numFmtId="168" fontId="13" fillId="5" borderId="8" xfId="18">
      <protection locked="0"/>
    </xf>
    <xf numFmtId="168" fontId="1" fillId="0" borderId="0" xfId="13" applyAlignment="1">
      <alignment horizontal="left" indent="1"/>
    </xf>
    <xf numFmtId="168" fontId="1" fillId="9" borderId="11" xfId="37"/>
    <xf numFmtId="168" fontId="1" fillId="9" borderId="19" xfId="37" applyBorder="1"/>
    <xf numFmtId="168" fontId="1" fillId="9" borderId="20" xfId="37" applyBorder="1"/>
    <xf numFmtId="170" fontId="13" fillId="5" borderId="8" xfId="20">
      <protection locked="0"/>
    </xf>
    <xf numFmtId="175" fontId="1" fillId="0" borderId="11" xfId="44" applyBorder="1"/>
    <xf numFmtId="175" fontId="1" fillId="0" borderId="0" xfId="44" applyBorder="1"/>
    <xf numFmtId="175" fontId="13" fillId="5" borderId="8" xfId="46">
      <protection locked="0"/>
    </xf>
    <xf numFmtId="177" fontId="1" fillId="0" borderId="0" xfId="13" applyNumberFormat="1"/>
    <xf numFmtId="175" fontId="13" fillId="5" borderId="18" xfId="46" applyBorder="1">
      <protection locked="0"/>
    </xf>
    <xf numFmtId="175" fontId="1" fillId="0" borderId="12" xfId="44" applyBorder="1"/>
    <xf numFmtId="175" fontId="1" fillId="0" borderId="2" xfId="44" applyBorder="1"/>
    <xf numFmtId="175" fontId="1" fillId="0" borderId="13" xfId="44" applyBorder="1"/>
    <xf numFmtId="4" fontId="8" fillId="0" borderId="0" xfId="14" applyFill="1" applyBorder="1">
      <alignment horizontal="left"/>
    </xf>
    <xf numFmtId="173" fontId="21" fillId="0" borderId="11" xfId="35">
      <alignment horizontal="center"/>
    </xf>
    <xf numFmtId="168" fontId="19" fillId="0" borderId="0" xfId="29" applyNumberFormat="1"/>
    <xf numFmtId="15" fontId="1" fillId="0" borderId="0" xfId="13" applyNumberFormat="1"/>
    <xf numFmtId="175" fontId="2" fillId="0" borderId="0" xfId="46" applyFont="1" applyFill="1" applyBorder="1">
      <protection locked="0"/>
    </xf>
    <xf numFmtId="168" fontId="1" fillId="0" borderId="15" xfId="13" applyBorder="1"/>
    <xf numFmtId="168" fontId="1" fillId="0" borderId="16" xfId="13" applyBorder="1"/>
    <xf numFmtId="168" fontId="1" fillId="0" borderId="17" xfId="13" applyBorder="1"/>
    <xf numFmtId="181" fontId="13" fillId="5" borderId="18" xfId="49" applyFont="1" applyFill="1" applyBorder="1" applyProtection="1">
      <alignment vertical="top"/>
      <protection locked="0"/>
    </xf>
    <xf numFmtId="181" fontId="1" fillId="0" borderId="12" xfId="49" applyFont="1" applyBorder="1">
      <alignment vertical="top"/>
    </xf>
    <xf numFmtId="181" fontId="1" fillId="0" borderId="2" xfId="49" applyFont="1" applyBorder="1">
      <alignment vertical="top"/>
    </xf>
    <xf numFmtId="181" fontId="1" fillId="0" borderId="13" xfId="49" applyFont="1" applyBorder="1">
      <alignment vertical="top"/>
    </xf>
    <xf numFmtId="181" fontId="13" fillId="0" borderId="0" xfId="49" applyFont="1">
      <alignment vertical="top"/>
    </xf>
    <xf numFmtId="181" fontId="29" fillId="0" borderId="0" xfId="49" applyFont="1">
      <alignment vertical="top"/>
    </xf>
    <xf numFmtId="181" fontId="10" fillId="0" borderId="0" xfId="49" applyFont="1">
      <alignment vertical="top"/>
    </xf>
    <xf numFmtId="168" fontId="1" fillId="10" borderId="0" xfId="13" applyFill="1"/>
    <xf numFmtId="181" fontId="9" fillId="11" borderId="22" xfId="49" applyFont="1" applyFill="1" applyBorder="1">
      <alignment vertical="top"/>
    </xf>
    <xf numFmtId="181" fontId="9" fillId="11" borderId="21" xfId="49" applyFont="1" applyFill="1" applyBorder="1">
      <alignment vertical="top"/>
    </xf>
    <xf numFmtId="181" fontId="1" fillId="0" borderId="0" xfId="49" applyFont="1">
      <alignment vertical="top"/>
    </xf>
    <xf numFmtId="168" fontId="13" fillId="10" borderId="0" xfId="17" applyNumberFormat="1" applyFill="1">
      <alignment horizontal="right"/>
    </xf>
    <xf numFmtId="181" fontId="1" fillId="10" borderId="0" xfId="49" applyFont="1" applyFill="1">
      <alignment vertical="top"/>
    </xf>
    <xf numFmtId="168" fontId="30" fillId="0" borderId="0" xfId="16" applyFont="1"/>
    <xf numFmtId="168" fontId="31" fillId="0" borderId="0" xfId="17" applyNumberFormat="1" applyFont="1">
      <alignment horizontal="right"/>
    </xf>
    <xf numFmtId="168" fontId="31" fillId="0" borderId="0" xfId="13" applyFont="1"/>
    <xf numFmtId="181" fontId="31" fillId="0" borderId="0" xfId="49" applyFont="1">
      <alignment vertical="top"/>
    </xf>
    <xf numFmtId="182" fontId="31" fillId="0" borderId="0" xfId="50" applyFont="1">
      <alignment vertical="top"/>
    </xf>
    <xf numFmtId="182" fontId="1" fillId="0" borderId="0" xfId="50" applyFont="1">
      <alignment vertical="top"/>
    </xf>
    <xf numFmtId="178" fontId="31" fillId="0" borderId="0" xfId="0" applyFont="1">
      <alignment vertical="top"/>
    </xf>
    <xf numFmtId="177" fontId="31" fillId="0" borderId="0" xfId="13" applyNumberFormat="1" applyFont="1"/>
    <xf numFmtId="168" fontId="32" fillId="0" borderId="0" xfId="13" applyFont="1"/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3D7DB717-D8CA-46DA-A0B6-3BF2D38DCCEB}"/>
    <cellStyle name="DateShort" xfId="50" xr:uid="{2F2E101D-E096-4993-9344-6107F9C8C2B1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B2685438-24DB-4221-A9E8-6A70BFBBF44A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DF6300E7-0A21-4CE9-8139-87948530C57A}"/>
  </cellStyles>
  <dxfs count="0"/>
  <tableStyles count="0" defaultTableStyle="TableStyleMedium2" defaultPivotStyle="PivotStyleLight16"/>
  <colors>
    <mruColors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6CDAF-2E3F-4F6B-888B-2F73C2E52E8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2e3ec31-0060-451d-b1ae-fc365887a97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  <pageSetUpPr autoPageBreaks="0"/>
  </sheetPr>
  <dimension ref="A1:CL21"/>
  <sheetViews>
    <sheetView showGridLines="0" zoomScale="90" zoomScaleNormal="90" workbookViewId="0">
      <pane xSplit="8" ySplit="1" topLeftCell="I2" activePane="bottomRight" state="frozen"/>
      <selection activeCell="G59" sqref="G59"/>
      <selection pane="topRight" activeCell="G59" sqref="G59"/>
      <selection pane="bottomLeft" activeCell="G59" sqref="G59"/>
      <selection pane="bottomRight" activeCell="I18" sqref="I18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89" width="12.6640625" style="1" customWidth="1"/>
    <col min="90" max="90" width="0" style="1" hidden="1" customWidth="1"/>
    <col min="91" max="16384" width="12.6640625" style="1" hidden="1"/>
  </cols>
  <sheetData>
    <row r="1" spans="1:89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3"/>
    </row>
    <row r="2" spans="1:89">
      <c r="D2" s="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</row>
    <row r="3" spans="1:89">
      <c r="B3" s="6" t="s">
        <v>9</v>
      </c>
      <c r="D3" s="9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</row>
    <row r="4" spans="1:89">
      <c r="C4" s="1" t="s">
        <v>10</v>
      </c>
      <c r="D4" s="9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</row>
    <row r="5" spans="1:89">
      <c r="C5" s="1" t="s">
        <v>11</v>
      </c>
      <c r="D5" s="9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</row>
    <row r="6" spans="1:89">
      <c r="C6" s="1" t="s">
        <v>12</v>
      </c>
      <c r="D6" s="9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</row>
    <row r="7" spans="1:89">
      <c r="C7" s="1" t="s">
        <v>13</v>
      </c>
      <c r="D7" s="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</row>
    <row r="8" spans="1:89">
      <c r="D8" s="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</row>
    <row r="10" spans="1:89">
      <c r="B10" s="4" t="s">
        <v>90</v>
      </c>
    </row>
    <row r="11" spans="1:89">
      <c r="C11" s="53">
        <v>43920</v>
      </c>
      <c r="D11" s="9" t="s">
        <v>4</v>
      </c>
    </row>
    <row r="12" spans="1:89">
      <c r="C12" s="53">
        <v>44012</v>
      </c>
      <c r="D12" s="9" t="s">
        <v>4</v>
      </c>
    </row>
    <row r="13" spans="1:89">
      <c r="C13" s="53">
        <v>44104</v>
      </c>
      <c r="D13" s="9" t="s">
        <v>4</v>
      </c>
    </row>
    <row r="14" spans="1:89">
      <c r="C14" s="53">
        <v>44196</v>
      </c>
      <c r="D14" s="9" t="s">
        <v>4</v>
      </c>
    </row>
    <row r="16" spans="1:89">
      <c r="B16" s="6" t="s">
        <v>14</v>
      </c>
      <c r="D16" s="9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</row>
    <row r="17" spans="1:89">
      <c r="C17" s="1" t="s">
        <v>15</v>
      </c>
      <c r="D17" s="9" t="s">
        <v>4</v>
      </c>
      <c r="G17" s="25"/>
      <c r="I17" s="49">
        <v>44085</v>
      </c>
      <c r="J17" s="49">
        <v>43875</v>
      </c>
      <c r="K17" s="49">
        <v>43952</v>
      </c>
      <c r="L17" s="49">
        <v>43884</v>
      </c>
      <c r="M17" s="49">
        <v>44005</v>
      </c>
      <c r="N17" s="49">
        <v>43939</v>
      </c>
      <c r="O17" s="49">
        <v>44029</v>
      </c>
      <c r="P17" s="49">
        <v>44131</v>
      </c>
      <c r="Q17" s="49">
        <v>44121</v>
      </c>
      <c r="R17" s="49">
        <v>44045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</row>
    <row r="18" spans="1:89">
      <c r="C18" s="1" t="s">
        <v>16</v>
      </c>
      <c r="D18" s="9" t="s">
        <v>4</v>
      </c>
      <c r="F18" s="11" t="s">
        <v>17</v>
      </c>
      <c r="G18" s="26"/>
      <c r="I18" s="50" cm="1">
        <f t="array" ref="I18:R18" xml:space="preserve"> _xlfn.XLOOKUP( $I$17:$R$17, $C$11:$C$14, $C$11:$C$14, , 1 )</f>
        <v>44104</v>
      </c>
      <c r="J18" s="51">
        <v>43920</v>
      </c>
      <c r="K18" s="51">
        <v>44012</v>
      </c>
      <c r="L18" s="51">
        <v>43920</v>
      </c>
      <c r="M18" s="51">
        <v>44012</v>
      </c>
      <c r="N18" s="51">
        <v>44012</v>
      </c>
      <c r="O18" s="51">
        <v>44104</v>
      </c>
      <c r="P18" s="51">
        <v>44196</v>
      </c>
      <c r="Q18" s="51">
        <v>44196</v>
      </c>
      <c r="R18" s="52">
        <v>44104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</row>
    <row r="19" spans="1:89">
      <c r="D19" s="9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 spans="1:89">
      <c r="D20" s="9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:89">
      <c r="A21" s="7" t="s">
        <v>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  <pageSetUpPr autoPageBreaks="0"/>
  </sheetPr>
  <dimension ref="A1:CL14"/>
  <sheetViews>
    <sheetView showGridLines="0" zoomScale="90" zoomScaleNormal="90" workbookViewId="0">
      <pane xSplit="8" ySplit="1" topLeftCell="I2" activePane="bottomRight" state="frozen"/>
      <selection activeCell="G59" sqref="G59"/>
      <selection pane="topRight" activeCell="G59" sqref="G59"/>
      <selection pane="bottomLeft" activeCell="G59" sqref="G59"/>
      <selection pane="bottomRight" activeCell="I11" sqref="I11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89" width="12.6640625" style="1" customWidth="1"/>
    <col min="90" max="90" width="0" style="1" hidden="1" customWidth="1"/>
    <col min="91" max="16384" width="12.6640625" style="1" hidden="1"/>
  </cols>
  <sheetData>
    <row r="1" spans="1:89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3"/>
    </row>
    <row r="2" spans="1:89">
      <c r="D2" s="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</row>
    <row r="3" spans="1:89">
      <c r="B3" s="6" t="s">
        <v>9</v>
      </c>
      <c r="D3" s="9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</row>
    <row r="4" spans="1:89">
      <c r="C4" s="1" t="s">
        <v>10</v>
      </c>
      <c r="D4" s="9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</row>
    <row r="5" spans="1:89">
      <c r="C5" s="1" t="s">
        <v>11</v>
      </c>
      <c r="D5" s="9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</row>
    <row r="6" spans="1:89">
      <c r="C6" s="1" t="s">
        <v>12</v>
      </c>
      <c r="D6" s="9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</row>
    <row r="7" spans="1:89">
      <c r="C7" s="1" t="s">
        <v>13</v>
      </c>
      <c r="D7" s="9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</row>
    <row r="8" spans="1:89">
      <c r="D8" s="9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</row>
    <row r="9" spans="1:89">
      <c r="B9" s="6" t="s">
        <v>14</v>
      </c>
      <c r="D9" s="9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</row>
    <row r="10" spans="1:89">
      <c r="C10" s="1" t="s">
        <v>15</v>
      </c>
      <c r="D10" s="9" t="s">
        <v>4</v>
      </c>
      <c r="G10" s="25"/>
      <c r="I10" s="37">
        <v>44085</v>
      </c>
      <c r="J10" s="37">
        <v>43875</v>
      </c>
      <c r="K10" s="37">
        <v>43952</v>
      </c>
      <c r="L10" s="37">
        <v>43884</v>
      </c>
      <c r="M10" s="37">
        <v>44005</v>
      </c>
      <c r="N10" s="37">
        <v>43939</v>
      </c>
      <c r="O10" s="37">
        <v>44029</v>
      </c>
      <c r="P10" s="37">
        <v>44131</v>
      </c>
      <c r="Q10" s="37">
        <v>44121</v>
      </c>
      <c r="R10" s="37">
        <v>44045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</row>
    <row r="11" spans="1:89">
      <c r="C11" s="1" t="s">
        <v>16</v>
      </c>
      <c r="D11" s="9" t="s">
        <v>4</v>
      </c>
      <c r="F11" s="11" t="s">
        <v>17</v>
      </c>
      <c r="G11" s="26"/>
      <c r="I11" s="38">
        <f t="shared" ref="I11:R11" si="0">EOMONTH(I10,MOD(3-MONTH(I10),3))</f>
        <v>44104</v>
      </c>
      <c r="J11" s="39">
        <f t="shared" si="0"/>
        <v>43921</v>
      </c>
      <c r="K11" s="39">
        <f t="shared" si="0"/>
        <v>44012</v>
      </c>
      <c r="L11" s="39">
        <f t="shared" si="0"/>
        <v>43921</v>
      </c>
      <c r="M11" s="39">
        <f t="shared" si="0"/>
        <v>44012</v>
      </c>
      <c r="N11" s="39">
        <f t="shared" si="0"/>
        <v>44012</v>
      </c>
      <c r="O11" s="39">
        <f t="shared" si="0"/>
        <v>44104</v>
      </c>
      <c r="P11" s="39">
        <f t="shared" si="0"/>
        <v>44196</v>
      </c>
      <c r="Q11" s="39">
        <f t="shared" si="0"/>
        <v>44196</v>
      </c>
      <c r="R11" s="40">
        <f t="shared" si="0"/>
        <v>44104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</row>
    <row r="12" spans="1:89">
      <c r="D12" s="9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</row>
    <row r="13" spans="1:89">
      <c r="D13" s="9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</row>
    <row r="14" spans="1:89">
      <c r="A14" s="7" t="s">
        <v>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  <pageSetUpPr autoPageBreaks="0"/>
  </sheetPr>
  <dimension ref="A1:CL49"/>
  <sheetViews>
    <sheetView showGridLines="0" zoomScale="90" zoomScaleNormal="90" workbookViewId="0">
      <pane xSplit="8" ySplit="1" topLeftCell="I12" activePane="bottomRight" state="frozen"/>
      <selection activeCell="G59" sqref="G59"/>
      <selection pane="topRight" activeCell="G59" sqref="G59"/>
      <selection pane="bottomLeft" activeCell="G59" sqref="G59"/>
      <selection pane="bottomRight" activeCell="F40" sqref="F40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88" width="12.6640625" style="1" customWidth="1"/>
    <col min="89" max="89" width="12.6640625" style="1" hidden="1" customWidth="1"/>
    <col min="90" max="90" width="0" style="1" hidden="1" customWidth="1"/>
    <col min="91" max="16384" width="12.6640625" style="1" hidden="1"/>
  </cols>
  <sheetData>
    <row r="1" spans="1:88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8">
      <c r="C2" s="6"/>
      <c r="D2" s="9"/>
    </row>
    <row r="3" spans="1:88">
      <c r="B3" s="6" t="s">
        <v>9</v>
      </c>
    </row>
    <row r="4" spans="1:88">
      <c r="C4" s="1" t="s">
        <v>18</v>
      </c>
    </row>
    <row r="5" spans="1:88">
      <c r="C5" s="1" t="s">
        <v>73</v>
      </c>
    </row>
    <row r="6" spans="1:88">
      <c r="C6" s="1" t="s">
        <v>19</v>
      </c>
    </row>
    <row r="7" spans="1:88">
      <c r="C7" s="1" t="s">
        <v>20</v>
      </c>
    </row>
    <row r="9" spans="1:88">
      <c r="C9" s="1" t="s">
        <v>21</v>
      </c>
    </row>
    <row r="11" spans="1:88">
      <c r="C11" s="5" t="s">
        <v>74</v>
      </c>
    </row>
    <row r="13" spans="1:88">
      <c r="B13" s="6" t="s">
        <v>22</v>
      </c>
    </row>
    <row r="14" spans="1:88">
      <c r="B14" s="6"/>
      <c r="C14" s="5" t="s">
        <v>23</v>
      </c>
      <c r="D14" s="9"/>
    </row>
    <row r="15" spans="1:88">
      <c r="B15" s="6"/>
      <c r="D15" s="9"/>
    </row>
    <row r="16" spans="1:88">
      <c r="B16" s="6"/>
      <c r="C16" s="1" t="s">
        <v>24</v>
      </c>
      <c r="D16" s="9" t="s">
        <v>4</v>
      </c>
      <c r="I16" s="12">
        <v>43831</v>
      </c>
      <c r="J16" s="12">
        <v>43922</v>
      </c>
      <c r="K16" s="12">
        <v>44013</v>
      </c>
      <c r="L16" s="12">
        <v>44105</v>
      </c>
      <c r="M16" s="12">
        <v>44197</v>
      </c>
      <c r="N16" s="12">
        <v>44287</v>
      </c>
      <c r="O16" s="12">
        <v>44378</v>
      </c>
      <c r="P16" s="12">
        <v>44470</v>
      </c>
      <c r="Q16" s="12">
        <v>44562</v>
      </c>
      <c r="R16" s="12">
        <v>44652</v>
      </c>
      <c r="S16" s="12">
        <v>44743</v>
      </c>
      <c r="T16" s="12">
        <v>44835</v>
      </c>
      <c r="U16" s="12">
        <v>44927</v>
      </c>
      <c r="V16" s="12">
        <v>45017</v>
      </c>
      <c r="W16" s="12">
        <v>45108</v>
      </c>
      <c r="X16" s="12">
        <v>45200</v>
      </c>
      <c r="Y16" s="12">
        <v>45292</v>
      </c>
      <c r="Z16" s="12">
        <v>45383</v>
      </c>
      <c r="AA16" s="12">
        <v>45474</v>
      </c>
      <c r="AB16" s="12">
        <v>45566</v>
      </c>
      <c r="AC16" s="12">
        <v>45658</v>
      </c>
      <c r="AD16" s="12">
        <v>45748</v>
      </c>
      <c r="AE16" s="12">
        <v>45839</v>
      </c>
      <c r="AF16" s="12">
        <v>45931</v>
      </c>
      <c r="AG16" s="12">
        <v>46023</v>
      </c>
      <c r="AH16" s="12">
        <v>46113</v>
      </c>
      <c r="AI16" s="12">
        <v>46204</v>
      </c>
      <c r="AJ16" s="12">
        <v>46296</v>
      </c>
      <c r="AK16" s="12">
        <v>46388</v>
      </c>
      <c r="AL16" s="12">
        <v>46478</v>
      </c>
      <c r="AM16" s="12">
        <v>46569</v>
      </c>
      <c r="AN16" s="12">
        <v>46661</v>
      </c>
      <c r="AO16" s="12">
        <v>46753</v>
      </c>
      <c r="AP16" s="12">
        <v>46844</v>
      </c>
      <c r="AQ16" s="12">
        <v>46935</v>
      </c>
      <c r="AR16" s="12">
        <v>47027</v>
      </c>
      <c r="AS16" s="12">
        <v>47119</v>
      </c>
      <c r="AT16" s="12">
        <v>47209</v>
      </c>
      <c r="AU16" s="12">
        <v>47300</v>
      </c>
      <c r="AV16" s="12">
        <v>47392</v>
      </c>
      <c r="AW16" s="12">
        <v>47484</v>
      </c>
      <c r="AX16" s="12">
        <v>47574</v>
      </c>
      <c r="AY16" s="12">
        <v>47665</v>
      </c>
      <c r="AZ16" s="12">
        <v>47757</v>
      </c>
      <c r="BA16" s="12">
        <v>47849</v>
      </c>
      <c r="BB16" s="12">
        <v>47939</v>
      </c>
      <c r="BC16" s="12">
        <v>48030</v>
      </c>
      <c r="BD16" s="12">
        <v>48122</v>
      </c>
      <c r="BE16" s="12">
        <v>48214</v>
      </c>
      <c r="BF16" s="12">
        <v>48305</v>
      </c>
      <c r="BG16" s="12">
        <v>48396</v>
      </c>
      <c r="BH16" s="12">
        <v>48488</v>
      </c>
      <c r="BI16" s="12">
        <v>48580</v>
      </c>
      <c r="BJ16" s="12">
        <v>48670</v>
      </c>
      <c r="BK16" s="12">
        <v>48761</v>
      </c>
      <c r="BL16" s="12">
        <v>48853</v>
      </c>
      <c r="BM16" s="12">
        <v>48945</v>
      </c>
      <c r="BN16" s="12">
        <v>49035</v>
      </c>
      <c r="BO16" s="12">
        <v>49126</v>
      </c>
      <c r="BP16" s="12">
        <v>49218</v>
      </c>
      <c r="BQ16" s="12">
        <v>49310</v>
      </c>
      <c r="BR16" s="12">
        <v>49400</v>
      </c>
      <c r="BS16" s="12">
        <v>49491</v>
      </c>
      <c r="BT16" s="12">
        <v>49583</v>
      </c>
      <c r="BU16" s="12">
        <v>49675</v>
      </c>
      <c r="BV16" s="12">
        <v>49766</v>
      </c>
      <c r="BW16" s="12">
        <v>49857</v>
      </c>
      <c r="BX16" s="12">
        <v>49949</v>
      </c>
      <c r="BY16" s="12">
        <v>50041</v>
      </c>
      <c r="BZ16" s="12">
        <v>50131</v>
      </c>
      <c r="CA16" s="12">
        <v>50222</v>
      </c>
      <c r="CB16" s="12">
        <v>50314</v>
      </c>
      <c r="CC16" s="12">
        <v>50406</v>
      </c>
      <c r="CD16" s="12">
        <v>50496</v>
      </c>
      <c r="CE16" s="12">
        <v>50587</v>
      </c>
      <c r="CF16" s="12">
        <v>50679</v>
      </c>
      <c r="CG16" s="12">
        <v>50771</v>
      </c>
      <c r="CH16" s="12">
        <v>50861</v>
      </c>
      <c r="CI16" s="12">
        <v>50952</v>
      </c>
      <c r="CJ16" s="12">
        <v>51044</v>
      </c>
    </row>
    <row r="17" spans="2:88">
      <c r="B17" s="6"/>
      <c r="C17" s="1" t="s">
        <v>25</v>
      </c>
      <c r="D17" s="9" t="s">
        <v>4</v>
      </c>
      <c r="I17" s="12">
        <v>43921</v>
      </c>
      <c r="J17" s="12">
        <v>44012</v>
      </c>
      <c r="K17" s="12">
        <v>44104</v>
      </c>
      <c r="L17" s="12">
        <v>44196</v>
      </c>
      <c r="M17" s="12">
        <v>44286</v>
      </c>
      <c r="N17" s="12">
        <v>44377</v>
      </c>
      <c r="O17" s="12">
        <v>44469</v>
      </c>
      <c r="P17" s="12">
        <v>44561</v>
      </c>
      <c r="Q17" s="12">
        <v>44651</v>
      </c>
      <c r="R17" s="12">
        <v>44742</v>
      </c>
      <c r="S17" s="12">
        <v>44834</v>
      </c>
      <c r="T17" s="12">
        <v>44926</v>
      </c>
      <c r="U17" s="12">
        <v>45016</v>
      </c>
      <c r="V17" s="12">
        <v>45107</v>
      </c>
      <c r="W17" s="12">
        <v>45199</v>
      </c>
      <c r="X17" s="12">
        <v>45291</v>
      </c>
      <c r="Y17" s="12">
        <v>45382</v>
      </c>
      <c r="Z17" s="12">
        <v>45473</v>
      </c>
      <c r="AA17" s="12">
        <v>45565</v>
      </c>
      <c r="AB17" s="12">
        <v>45657</v>
      </c>
      <c r="AC17" s="12">
        <v>45747</v>
      </c>
      <c r="AD17" s="12">
        <v>45838</v>
      </c>
      <c r="AE17" s="12">
        <v>45930</v>
      </c>
      <c r="AF17" s="12">
        <v>46022</v>
      </c>
      <c r="AG17" s="12">
        <v>46112</v>
      </c>
      <c r="AH17" s="12">
        <v>46203</v>
      </c>
      <c r="AI17" s="12">
        <v>46295</v>
      </c>
      <c r="AJ17" s="12">
        <v>46387</v>
      </c>
      <c r="AK17" s="12">
        <v>46477</v>
      </c>
      <c r="AL17" s="12">
        <v>46568</v>
      </c>
      <c r="AM17" s="12">
        <v>46660</v>
      </c>
      <c r="AN17" s="12">
        <v>46752</v>
      </c>
      <c r="AO17" s="12">
        <v>46843</v>
      </c>
      <c r="AP17" s="12">
        <v>46934</v>
      </c>
      <c r="AQ17" s="12">
        <v>47026</v>
      </c>
      <c r="AR17" s="12">
        <v>47118</v>
      </c>
      <c r="AS17" s="12">
        <v>47208</v>
      </c>
      <c r="AT17" s="12">
        <v>47299</v>
      </c>
      <c r="AU17" s="12">
        <v>47391</v>
      </c>
      <c r="AV17" s="12">
        <v>47483</v>
      </c>
      <c r="AW17" s="12">
        <v>47573</v>
      </c>
      <c r="AX17" s="12">
        <v>47664</v>
      </c>
      <c r="AY17" s="12">
        <v>47756</v>
      </c>
      <c r="AZ17" s="12">
        <v>47848</v>
      </c>
      <c r="BA17" s="12">
        <v>47938</v>
      </c>
      <c r="BB17" s="12">
        <v>48029</v>
      </c>
      <c r="BC17" s="12">
        <v>48121</v>
      </c>
      <c r="BD17" s="12">
        <v>48213</v>
      </c>
      <c r="BE17" s="12">
        <v>48304</v>
      </c>
      <c r="BF17" s="12">
        <v>48395</v>
      </c>
      <c r="BG17" s="12">
        <v>48487</v>
      </c>
      <c r="BH17" s="12">
        <v>48579</v>
      </c>
      <c r="BI17" s="12">
        <v>48669</v>
      </c>
      <c r="BJ17" s="12">
        <v>48760</v>
      </c>
      <c r="BK17" s="12">
        <v>48852</v>
      </c>
      <c r="BL17" s="12">
        <v>48944</v>
      </c>
      <c r="BM17" s="12">
        <v>49034</v>
      </c>
      <c r="BN17" s="12">
        <v>49125</v>
      </c>
      <c r="BO17" s="12">
        <v>49217</v>
      </c>
      <c r="BP17" s="12">
        <v>49309</v>
      </c>
      <c r="BQ17" s="12">
        <v>49399</v>
      </c>
      <c r="BR17" s="12">
        <v>49490</v>
      </c>
      <c r="BS17" s="12">
        <v>49582</v>
      </c>
      <c r="BT17" s="12">
        <v>49674</v>
      </c>
      <c r="BU17" s="12">
        <v>49765</v>
      </c>
      <c r="BV17" s="12">
        <v>49856</v>
      </c>
      <c r="BW17" s="12">
        <v>49948</v>
      </c>
      <c r="BX17" s="12">
        <v>50040</v>
      </c>
      <c r="BY17" s="12">
        <v>50130</v>
      </c>
      <c r="BZ17" s="12">
        <v>50221</v>
      </c>
      <c r="CA17" s="12">
        <v>50313</v>
      </c>
      <c r="CB17" s="12">
        <v>50405</v>
      </c>
      <c r="CC17" s="12">
        <v>50495</v>
      </c>
      <c r="CD17" s="12">
        <v>50586</v>
      </c>
      <c r="CE17" s="12">
        <v>50678</v>
      </c>
      <c r="CF17" s="12">
        <v>50770</v>
      </c>
      <c r="CG17" s="12">
        <v>50860</v>
      </c>
      <c r="CH17" s="12">
        <v>50951</v>
      </c>
      <c r="CI17" s="12">
        <v>51043</v>
      </c>
      <c r="CJ17" s="12">
        <v>51135</v>
      </c>
    </row>
    <row r="18" spans="2:88">
      <c r="B18" s="6"/>
      <c r="D18" s="9"/>
    </row>
    <row r="19" spans="2:88">
      <c r="B19" s="6"/>
      <c r="C19" s="1" t="s">
        <v>26</v>
      </c>
      <c r="D19" s="9" t="s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100000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100000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100000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100000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100000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100000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</row>
    <row r="20" spans="2:88">
      <c r="B20" s="6"/>
      <c r="D20" s="9"/>
    </row>
    <row r="21" spans="2:88">
      <c r="B21" s="6" t="s">
        <v>0</v>
      </c>
      <c r="D21" s="9"/>
    </row>
    <row r="22" spans="2:88">
      <c r="B22" s="6"/>
      <c r="C22" s="1" t="s">
        <v>27</v>
      </c>
      <c r="D22" s="9" t="s">
        <v>1</v>
      </c>
      <c r="G22" s="27">
        <v>100000</v>
      </c>
    </row>
    <row r="23" spans="2:88">
      <c r="B23" s="6"/>
      <c r="C23" s="1" t="s">
        <v>28</v>
      </c>
      <c r="D23" s="9" t="s">
        <v>29</v>
      </c>
      <c r="G23" s="27">
        <v>5</v>
      </c>
    </row>
    <row r="24" spans="2:88">
      <c r="B24" s="6"/>
      <c r="D24" s="9"/>
    </row>
    <row r="25" spans="2:88">
      <c r="B25" s="6"/>
      <c r="C25" s="1" t="s">
        <v>30</v>
      </c>
      <c r="D25" s="9" t="s">
        <v>6</v>
      </c>
      <c r="G25" s="27" t="s">
        <v>36</v>
      </c>
    </row>
    <row r="26" spans="2:88">
      <c r="B26" s="6"/>
      <c r="C26" s="13" t="s">
        <v>32</v>
      </c>
      <c r="D26" s="9"/>
    </row>
    <row r="27" spans="2:88">
      <c r="B27" s="6"/>
      <c r="C27" s="5" t="s">
        <v>31</v>
      </c>
      <c r="D27" s="9"/>
      <c r="F27" s="5"/>
    </row>
    <row r="28" spans="2:88">
      <c r="B28" s="6"/>
      <c r="C28" s="5" t="s">
        <v>33</v>
      </c>
      <c r="D28" s="9"/>
      <c r="F28" s="5"/>
    </row>
    <row r="29" spans="2:88">
      <c r="B29" s="6"/>
      <c r="C29" s="5" t="s">
        <v>34</v>
      </c>
      <c r="D29" s="9"/>
      <c r="F29" s="5"/>
    </row>
    <row r="30" spans="2:88">
      <c r="B30" s="6"/>
      <c r="C30" s="5" t="s">
        <v>35</v>
      </c>
      <c r="D30" s="9"/>
      <c r="F30" s="5"/>
    </row>
    <row r="31" spans="2:88">
      <c r="B31" s="6"/>
      <c r="C31" s="5" t="s">
        <v>36</v>
      </c>
      <c r="D31" s="9"/>
      <c r="F31" s="5"/>
    </row>
    <row r="32" spans="2:88">
      <c r="B32" s="6"/>
      <c r="D32" s="9"/>
    </row>
    <row r="33" spans="2:88">
      <c r="B33" s="6" t="s">
        <v>14</v>
      </c>
      <c r="D33" s="9"/>
    </row>
    <row r="34" spans="2:88">
      <c r="B34" s="6"/>
      <c r="C34" s="2" t="s">
        <v>37</v>
      </c>
      <c r="D34" s="9"/>
    </row>
    <row r="35" spans="2:88">
      <c r="B35" s="6"/>
      <c r="C35" s="2"/>
      <c r="D35" s="9"/>
    </row>
    <row r="36" spans="2:88">
      <c r="B36" s="6"/>
      <c r="C36" s="1" t="s">
        <v>24</v>
      </c>
      <c r="D36" s="9" t="s">
        <v>4</v>
      </c>
      <c r="I36" s="14">
        <v>43831</v>
      </c>
      <c r="J36" s="15">
        <f t="shared" ref="J36:BU36" si="0">I37+1</f>
        <v>43922</v>
      </c>
      <c r="K36" s="15">
        <f t="shared" si="0"/>
        <v>44013</v>
      </c>
      <c r="L36" s="15">
        <f t="shared" si="0"/>
        <v>44105</v>
      </c>
      <c r="M36" s="15">
        <f t="shared" si="0"/>
        <v>44197</v>
      </c>
      <c r="N36" s="15">
        <f t="shared" si="0"/>
        <v>44287</v>
      </c>
      <c r="O36" s="15">
        <f t="shared" si="0"/>
        <v>44378</v>
      </c>
      <c r="P36" s="15">
        <f t="shared" si="0"/>
        <v>44470</v>
      </c>
      <c r="Q36" s="15">
        <f t="shared" si="0"/>
        <v>44562</v>
      </c>
      <c r="R36" s="15">
        <f t="shared" si="0"/>
        <v>44652</v>
      </c>
      <c r="S36" s="15">
        <f t="shared" si="0"/>
        <v>44743</v>
      </c>
      <c r="T36" s="15">
        <f t="shared" si="0"/>
        <v>44835</v>
      </c>
      <c r="U36" s="15">
        <f t="shared" si="0"/>
        <v>44927</v>
      </c>
      <c r="V36" s="15">
        <f t="shared" si="0"/>
        <v>45017</v>
      </c>
      <c r="W36" s="15">
        <f t="shared" si="0"/>
        <v>45108</v>
      </c>
      <c r="X36" s="15">
        <f t="shared" si="0"/>
        <v>45200</v>
      </c>
      <c r="Y36" s="15">
        <f t="shared" si="0"/>
        <v>45292</v>
      </c>
      <c r="Z36" s="15">
        <f t="shared" si="0"/>
        <v>45383</v>
      </c>
      <c r="AA36" s="15">
        <f t="shared" si="0"/>
        <v>45474</v>
      </c>
      <c r="AB36" s="15">
        <f t="shared" si="0"/>
        <v>45566</v>
      </c>
      <c r="AC36" s="15">
        <f t="shared" si="0"/>
        <v>45658</v>
      </c>
      <c r="AD36" s="15">
        <f t="shared" si="0"/>
        <v>45748</v>
      </c>
      <c r="AE36" s="15">
        <f t="shared" si="0"/>
        <v>45839</v>
      </c>
      <c r="AF36" s="15">
        <f t="shared" si="0"/>
        <v>45931</v>
      </c>
      <c r="AG36" s="15">
        <f t="shared" si="0"/>
        <v>46023</v>
      </c>
      <c r="AH36" s="15">
        <f t="shared" si="0"/>
        <v>46113</v>
      </c>
      <c r="AI36" s="15">
        <f t="shared" si="0"/>
        <v>46204</v>
      </c>
      <c r="AJ36" s="15">
        <f t="shared" si="0"/>
        <v>46296</v>
      </c>
      <c r="AK36" s="15">
        <f t="shared" si="0"/>
        <v>46388</v>
      </c>
      <c r="AL36" s="15">
        <f t="shared" si="0"/>
        <v>46478</v>
      </c>
      <c r="AM36" s="15">
        <f t="shared" si="0"/>
        <v>46569</v>
      </c>
      <c r="AN36" s="15">
        <f t="shared" si="0"/>
        <v>46661</v>
      </c>
      <c r="AO36" s="15">
        <f t="shared" si="0"/>
        <v>46753</v>
      </c>
      <c r="AP36" s="15">
        <f t="shared" si="0"/>
        <v>46844</v>
      </c>
      <c r="AQ36" s="15">
        <f t="shared" si="0"/>
        <v>46935</v>
      </c>
      <c r="AR36" s="15">
        <f t="shared" si="0"/>
        <v>47027</v>
      </c>
      <c r="AS36" s="15">
        <f t="shared" si="0"/>
        <v>47119</v>
      </c>
      <c r="AT36" s="15">
        <f t="shared" si="0"/>
        <v>47209</v>
      </c>
      <c r="AU36" s="15">
        <f t="shared" si="0"/>
        <v>47300</v>
      </c>
      <c r="AV36" s="15">
        <f t="shared" si="0"/>
        <v>47392</v>
      </c>
      <c r="AW36" s="15">
        <f t="shared" si="0"/>
        <v>47484</v>
      </c>
      <c r="AX36" s="15">
        <f t="shared" si="0"/>
        <v>47574</v>
      </c>
      <c r="AY36" s="15">
        <f t="shared" si="0"/>
        <v>47665</v>
      </c>
      <c r="AZ36" s="15">
        <f t="shared" si="0"/>
        <v>47757</v>
      </c>
      <c r="BA36" s="15">
        <f t="shared" si="0"/>
        <v>47849</v>
      </c>
      <c r="BB36" s="15">
        <f t="shared" si="0"/>
        <v>47939</v>
      </c>
      <c r="BC36" s="15">
        <f t="shared" si="0"/>
        <v>48030</v>
      </c>
      <c r="BD36" s="15">
        <f t="shared" si="0"/>
        <v>48122</v>
      </c>
      <c r="BE36" s="15">
        <f t="shared" si="0"/>
        <v>48214</v>
      </c>
      <c r="BF36" s="15">
        <f t="shared" si="0"/>
        <v>48305</v>
      </c>
      <c r="BG36" s="15">
        <f t="shared" si="0"/>
        <v>48396</v>
      </c>
      <c r="BH36" s="15">
        <f t="shared" si="0"/>
        <v>48488</v>
      </c>
      <c r="BI36" s="15">
        <f t="shared" si="0"/>
        <v>48580</v>
      </c>
      <c r="BJ36" s="15">
        <f t="shared" si="0"/>
        <v>48670</v>
      </c>
      <c r="BK36" s="15">
        <f t="shared" si="0"/>
        <v>48761</v>
      </c>
      <c r="BL36" s="15">
        <f t="shared" si="0"/>
        <v>48853</v>
      </c>
      <c r="BM36" s="15">
        <f t="shared" si="0"/>
        <v>48945</v>
      </c>
      <c r="BN36" s="15">
        <f t="shared" si="0"/>
        <v>49035</v>
      </c>
      <c r="BO36" s="15">
        <f t="shared" si="0"/>
        <v>49126</v>
      </c>
      <c r="BP36" s="15">
        <f t="shared" si="0"/>
        <v>49218</v>
      </c>
      <c r="BQ36" s="15">
        <f t="shared" si="0"/>
        <v>49310</v>
      </c>
      <c r="BR36" s="15">
        <f t="shared" si="0"/>
        <v>49400</v>
      </c>
      <c r="BS36" s="15">
        <f t="shared" si="0"/>
        <v>49491</v>
      </c>
      <c r="BT36" s="15">
        <f t="shared" si="0"/>
        <v>49583</v>
      </c>
      <c r="BU36" s="15">
        <f t="shared" si="0"/>
        <v>49675</v>
      </c>
      <c r="BV36" s="15">
        <f t="shared" ref="BV36:CJ36" si="1">BU37+1</f>
        <v>49766</v>
      </c>
      <c r="BW36" s="15">
        <f t="shared" si="1"/>
        <v>49857</v>
      </c>
      <c r="BX36" s="15">
        <f t="shared" si="1"/>
        <v>49949</v>
      </c>
      <c r="BY36" s="15">
        <f t="shared" si="1"/>
        <v>50041</v>
      </c>
      <c r="BZ36" s="15">
        <f t="shared" si="1"/>
        <v>50131</v>
      </c>
      <c r="CA36" s="15">
        <f t="shared" si="1"/>
        <v>50222</v>
      </c>
      <c r="CB36" s="15">
        <f t="shared" si="1"/>
        <v>50314</v>
      </c>
      <c r="CC36" s="15">
        <f t="shared" si="1"/>
        <v>50406</v>
      </c>
      <c r="CD36" s="15">
        <f t="shared" si="1"/>
        <v>50496</v>
      </c>
      <c r="CE36" s="15">
        <f t="shared" si="1"/>
        <v>50587</v>
      </c>
      <c r="CF36" s="15">
        <f t="shared" si="1"/>
        <v>50679</v>
      </c>
      <c r="CG36" s="15">
        <f t="shared" si="1"/>
        <v>50771</v>
      </c>
      <c r="CH36" s="15">
        <f t="shared" si="1"/>
        <v>50861</v>
      </c>
      <c r="CI36" s="15">
        <f t="shared" si="1"/>
        <v>50952</v>
      </c>
      <c r="CJ36" s="15">
        <f t="shared" si="1"/>
        <v>51044</v>
      </c>
    </row>
    <row r="37" spans="2:88">
      <c r="B37" s="6"/>
      <c r="C37" s="1" t="s">
        <v>25</v>
      </c>
      <c r="D37" s="9" t="s">
        <v>4</v>
      </c>
      <c r="I37" s="54">
        <v>43921</v>
      </c>
      <c r="J37" s="55">
        <f t="shared" ref="J37:BU37" si="2">EOMONTH(I37,3)</f>
        <v>44012</v>
      </c>
      <c r="K37" s="55">
        <f t="shared" si="2"/>
        <v>44104</v>
      </c>
      <c r="L37" s="55">
        <f t="shared" si="2"/>
        <v>44196</v>
      </c>
      <c r="M37" s="55">
        <f t="shared" si="2"/>
        <v>44286</v>
      </c>
      <c r="N37" s="55">
        <f t="shared" si="2"/>
        <v>44377</v>
      </c>
      <c r="O37" s="55">
        <f t="shared" si="2"/>
        <v>44469</v>
      </c>
      <c r="P37" s="55">
        <f t="shared" si="2"/>
        <v>44561</v>
      </c>
      <c r="Q37" s="55">
        <f t="shared" si="2"/>
        <v>44651</v>
      </c>
      <c r="R37" s="55">
        <f t="shared" si="2"/>
        <v>44742</v>
      </c>
      <c r="S37" s="55">
        <f t="shared" si="2"/>
        <v>44834</v>
      </c>
      <c r="T37" s="55">
        <f t="shared" si="2"/>
        <v>44926</v>
      </c>
      <c r="U37" s="55">
        <f t="shared" si="2"/>
        <v>45016</v>
      </c>
      <c r="V37" s="55">
        <f t="shared" si="2"/>
        <v>45107</v>
      </c>
      <c r="W37" s="55">
        <f t="shared" si="2"/>
        <v>45199</v>
      </c>
      <c r="X37" s="55">
        <f t="shared" si="2"/>
        <v>45291</v>
      </c>
      <c r="Y37" s="55">
        <f t="shared" si="2"/>
        <v>45382</v>
      </c>
      <c r="Z37" s="55">
        <f t="shared" si="2"/>
        <v>45473</v>
      </c>
      <c r="AA37" s="55">
        <f t="shared" si="2"/>
        <v>45565</v>
      </c>
      <c r="AB37" s="55">
        <f t="shared" si="2"/>
        <v>45657</v>
      </c>
      <c r="AC37" s="55">
        <f t="shared" si="2"/>
        <v>45747</v>
      </c>
      <c r="AD37" s="55">
        <f t="shared" si="2"/>
        <v>45838</v>
      </c>
      <c r="AE37" s="55">
        <f t="shared" si="2"/>
        <v>45930</v>
      </c>
      <c r="AF37" s="55">
        <f t="shared" si="2"/>
        <v>46022</v>
      </c>
      <c r="AG37" s="55">
        <f t="shared" si="2"/>
        <v>46112</v>
      </c>
      <c r="AH37" s="55">
        <f t="shared" si="2"/>
        <v>46203</v>
      </c>
      <c r="AI37" s="55">
        <f t="shared" si="2"/>
        <v>46295</v>
      </c>
      <c r="AJ37" s="55">
        <f t="shared" si="2"/>
        <v>46387</v>
      </c>
      <c r="AK37" s="55">
        <f t="shared" si="2"/>
        <v>46477</v>
      </c>
      <c r="AL37" s="55">
        <f t="shared" si="2"/>
        <v>46568</v>
      </c>
      <c r="AM37" s="55">
        <f t="shared" si="2"/>
        <v>46660</v>
      </c>
      <c r="AN37" s="55">
        <f t="shared" si="2"/>
        <v>46752</v>
      </c>
      <c r="AO37" s="55">
        <f t="shared" si="2"/>
        <v>46843</v>
      </c>
      <c r="AP37" s="55">
        <f t="shared" si="2"/>
        <v>46934</v>
      </c>
      <c r="AQ37" s="55">
        <f t="shared" si="2"/>
        <v>47026</v>
      </c>
      <c r="AR37" s="55">
        <f t="shared" si="2"/>
        <v>47118</v>
      </c>
      <c r="AS37" s="55">
        <f t="shared" si="2"/>
        <v>47208</v>
      </c>
      <c r="AT37" s="55">
        <f t="shared" si="2"/>
        <v>47299</v>
      </c>
      <c r="AU37" s="55">
        <f t="shared" si="2"/>
        <v>47391</v>
      </c>
      <c r="AV37" s="55">
        <f t="shared" si="2"/>
        <v>47483</v>
      </c>
      <c r="AW37" s="55">
        <f t="shared" si="2"/>
        <v>47573</v>
      </c>
      <c r="AX37" s="55">
        <f t="shared" si="2"/>
        <v>47664</v>
      </c>
      <c r="AY37" s="55">
        <f t="shared" si="2"/>
        <v>47756</v>
      </c>
      <c r="AZ37" s="55">
        <f t="shared" si="2"/>
        <v>47848</v>
      </c>
      <c r="BA37" s="55">
        <f t="shared" si="2"/>
        <v>47938</v>
      </c>
      <c r="BB37" s="55">
        <f t="shared" si="2"/>
        <v>48029</v>
      </c>
      <c r="BC37" s="55">
        <f t="shared" si="2"/>
        <v>48121</v>
      </c>
      <c r="BD37" s="55">
        <f t="shared" si="2"/>
        <v>48213</v>
      </c>
      <c r="BE37" s="55">
        <f t="shared" si="2"/>
        <v>48304</v>
      </c>
      <c r="BF37" s="55">
        <f t="shared" si="2"/>
        <v>48395</v>
      </c>
      <c r="BG37" s="55">
        <f t="shared" si="2"/>
        <v>48487</v>
      </c>
      <c r="BH37" s="55">
        <f t="shared" si="2"/>
        <v>48579</v>
      </c>
      <c r="BI37" s="55">
        <f t="shared" si="2"/>
        <v>48669</v>
      </c>
      <c r="BJ37" s="55">
        <f t="shared" si="2"/>
        <v>48760</v>
      </c>
      <c r="BK37" s="55">
        <f t="shared" si="2"/>
        <v>48852</v>
      </c>
      <c r="BL37" s="55">
        <f t="shared" si="2"/>
        <v>48944</v>
      </c>
      <c r="BM37" s="55">
        <f t="shared" si="2"/>
        <v>49034</v>
      </c>
      <c r="BN37" s="55">
        <f t="shared" si="2"/>
        <v>49125</v>
      </c>
      <c r="BO37" s="55">
        <f t="shared" si="2"/>
        <v>49217</v>
      </c>
      <c r="BP37" s="55">
        <f t="shared" si="2"/>
        <v>49309</v>
      </c>
      <c r="BQ37" s="55">
        <f t="shared" si="2"/>
        <v>49399</v>
      </c>
      <c r="BR37" s="55">
        <f t="shared" si="2"/>
        <v>49490</v>
      </c>
      <c r="BS37" s="55">
        <f t="shared" si="2"/>
        <v>49582</v>
      </c>
      <c r="BT37" s="55">
        <f t="shared" si="2"/>
        <v>49674</v>
      </c>
      <c r="BU37" s="55">
        <f t="shared" si="2"/>
        <v>49765</v>
      </c>
      <c r="BV37" s="55">
        <f t="shared" ref="BV37:CJ37" si="3">EOMONTH(BU37,3)</f>
        <v>49856</v>
      </c>
      <c r="BW37" s="55">
        <f t="shared" si="3"/>
        <v>49948</v>
      </c>
      <c r="BX37" s="55">
        <f t="shared" si="3"/>
        <v>50040</v>
      </c>
      <c r="BY37" s="55">
        <f t="shared" si="3"/>
        <v>50130</v>
      </c>
      <c r="BZ37" s="55">
        <f t="shared" si="3"/>
        <v>50221</v>
      </c>
      <c r="CA37" s="55">
        <f t="shared" si="3"/>
        <v>50313</v>
      </c>
      <c r="CB37" s="55">
        <f t="shared" si="3"/>
        <v>50405</v>
      </c>
      <c r="CC37" s="55">
        <f t="shared" si="3"/>
        <v>50495</v>
      </c>
      <c r="CD37" s="55">
        <f t="shared" si="3"/>
        <v>50586</v>
      </c>
      <c r="CE37" s="55">
        <f t="shared" si="3"/>
        <v>50678</v>
      </c>
      <c r="CF37" s="55">
        <f t="shared" si="3"/>
        <v>50770</v>
      </c>
      <c r="CG37" s="55">
        <f t="shared" si="3"/>
        <v>50860</v>
      </c>
      <c r="CH37" s="55">
        <f t="shared" si="3"/>
        <v>50951</v>
      </c>
      <c r="CI37" s="55">
        <f t="shared" si="3"/>
        <v>51043</v>
      </c>
      <c r="CJ37" s="55">
        <f t="shared" si="3"/>
        <v>51135</v>
      </c>
    </row>
    <row r="38" spans="2:88">
      <c r="B38" s="6"/>
      <c r="D38" s="9"/>
    </row>
    <row r="39" spans="2:88">
      <c r="B39" s="6" t="s">
        <v>91</v>
      </c>
      <c r="D39" s="9"/>
    </row>
    <row r="40" spans="2:88" ht="14.4">
      <c r="B40" s="6"/>
      <c r="C40" t="s">
        <v>93</v>
      </c>
      <c r="D40" t="s">
        <v>92</v>
      </c>
      <c r="G40" s="56" cm="1">
        <f t="array" ref="G40">_xlfn.BYROW(_xlfn.ANCHORARRAY( I40), _xleta.SUM )</f>
        <v>300000</v>
      </c>
      <c r="I40" s="1" cm="1">
        <f t="array" ref="I40:CJ40" xml:space="preserve"> _xlfn.LET(
      _xlpm.timeline,      YEAR( INDEX( $I$37:$CJ$37, 0) ),
      _xlpm.start_date,    MIN( _xlpm.timeline ),
      _xlpm.years,         _xlpm.timeline - _xlpm.start_date,
      _xlpm.quarters,      MONTH( INDEX( $I$37:$CJ$37, 0) ) / 3,
      _xlpm.frequency,     $G$23,
      _xlpm.timing,        VALUE( LEFT( $G$25, 1 ) ),
      _xlpm.cost,          IF( _xlpm.timing &lt; 5, $G$22, $G$22 / 4 ),
      _xlpm.year,          IF( _xlpm.years = 0, 0, IF( MOD( _xlpm.years, _xlpm.frequency ) * (_xlpm.years &gt; 0 ) = 0, 1, 0 ) ),
      _xlpm.quarter,       IF( _xlpm.quarters = _xlpm.timing, 1, IF( _xlpm.timing = 5, 1, 0 ) ),
      _xlpm.year * _xlpm.quarter * _xlpm.cost )</f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25000</v>
      </c>
      <c r="AD40" s="1">
        <v>25000</v>
      </c>
      <c r="AE40" s="1">
        <v>25000</v>
      </c>
      <c r="AF40" s="1">
        <v>25000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25000</v>
      </c>
      <c r="AX40" s="1">
        <v>25000</v>
      </c>
      <c r="AY40" s="1">
        <v>25000</v>
      </c>
      <c r="AZ40" s="1">
        <v>25000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25000</v>
      </c>
      <c r="BR40" s="1">
        <v>25000</v>
      </c>
      <c r="BS40" s="1">
        <v>25000</v>
      </c>
      <c r="BT40" s="1">
        <v>25000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</row>
    <row r="41" spans="2:88" ht="14.4">
      <c r="B41" s="6"/>
      <c r="C41"/>
      <c r="D41"/>
    </row>
    <row r="42" spans="2:88" ht="14.4">
      <c r="B42" s="6"/>
      <c r="C42"/>
      <c r="D42"/>
    </row>
    <row r="43" spans="2:88">
      <c r="B43" s="6"/>
      <c r="D43" s="9"/>
    </row>
    <row r="44" spans="2:88">
      <c r="B44" s="6"/>
      <c r="D44" s="9"/>
    </row>
    <row r="45" spans="2:88">
      <c r="B45" s="6"/>
      <c r="D45" s="9"/>
    </row>
    <row r="46" spans="2:88">
      <c r="B46" s="6"/>
      <c r="D46" s="9"/>
    </row>
    <row r="47" spans="2:88">
      <c r="B47" s="6"/>
      <c r="D47" s="9"/>
    </row>
    <row r="48" spans="2:88">
      <c r="B48" s="6"/>
      <c r="D48" s="9"/>
    </row>
    <row r="49" spans="1:88">
      <c r="A49" s="7" t="s">
        <v>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</row>
  </sheetData>
  <dataValidations count="1">
    <dataValidation type="list" allowBlank="1" showInputMessage="1" showErrorMessage="1" sqref="G25" xr:uid="{00000000-0002-0000-0900-000000000000}">
      <formula1>$C$27:$C$31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  <pageSetUpPr autoPageBreaks="0"/>
  </sheetPr>
  <dimension ref="A1:CL49"/>
  <sheetViews>
    <sheetView showGridLines="0" zoomScale="90" zoomScaleNormal="90" workbookViewId="0">
      <pane xSplit="8" ySplit="1" topLeftCell="AA20" activePane="bottomRight" state="frozen"/>
      <selection activeCell="G59" sqref="G59"/>
      <selection pane="topRight" activeCell="G59" sqref="G59"/>
      <selection pane="bottomLeft" activeCell="G59" sqref="G59"/>
      <selection pane="bottomRight" activeCell="G25" sqref="G25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89" width="12.6640625" style="1" customWidth="1"/>
    <col min="90" max="90" width="0" style="1" hidden="1" customWidth="1"/>
    <col min="91" max="16384" width="12.6640625" style="1" hidden="1"/>
  </cols>
  <sheetData>
    <row r="1" spans="1:88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8">
      <c r="C2" s="6"/>
      <c r="D2" s="9"/>
    </row>
    <row r="3" spans="1:88">
      <c r="B3" s="6" t="s">
        <v>9</v>
      </c>
    </row>
    <row r="4" spans="1:88">
      <c r="C4" s="1" t="s">
        <v>18</v>
      </c>
    </row>
    <row r="5" spans="1:88">
      <c r="C5" s="1" t="s">
        <v>73</v>
      </c>
    </row>
    <row r="6" spans="1:88">
      <c r="C6" s="1" t="s">
        <v>19</v>
      </c>
    </row>
    <row r="7" spans="1:88">
      <c r="C7" s="1" t="s">
        <v>20</v>
      </c>
    </row>
    <row r="9" spans="1:88">
      <c r="C9" s="1" t="s">
        <v>21</v>
      </c>
    </row>
    <row r="11" spans="1:88">
      <c r="C11" s="5" t="s">
        <v>74</v>
      </c>
    </row>
    <row r="13" spans="1:88">
      <c r="B13" s="6" t="s">
        <v>22</v>
      </c>
    </row>
    <row r="14" spans="1:88">
      <c r="B14" s="6"/>
      <c r="C14" s="5" t="s">
        <v>23</v>
      </c>
      <c r="D14" s="9"/>
    </row>
    <row r="15" spans="1:88">
      <c r="B15" s="6"/>
      <c r="D15" s="9"/>
    </row>
    <row r="16" spans="1:88">
      <c r="B16" s="6"/>
      <c r="C16" s="1" t="s">
        <v>24</v>
      </c>
      <c r="D16" s="9" t="s">
        <v>4</v>
      </c>
      <c r="I16" s="12">
        <v>43831</v>
      </c>
      <c r="J16" s="12">
        <v>43922</v>
      </c>
      <c r="K16" s="12">
        <v>44013</v>
      </c>
      <c r="L16" s="12">
        <v>44105</v>
      </c>
      <c r="M16" s="12">
        <v>44197</v>
      </c>
      <c r="N16" s="12">
        <v>44287</v>
      </c>
      <c r="O16" s="12">
        <v>44378</v>
      </c>
      <c r="P16" s="12">
        <v>44470</v>
      </c>
      <c r="Q16" s="12">
        <v>44562</v>
      </c>
      <c r="R16" s="12">
        <v>44652</v>
      </c>
      <c r="S16" s="12">
        <v>44743</v>
      </c>
      <c r="T16" s="12">
        <v>44835</v>
      </c>
      <c r="U16" s="12">
        <v>44927</v>
      </c>
      <c r="V16" s="12">
        <v>45017</v>
      </c>
      <c r="W16" s="12">
        <v>45108</v>
      </c>
      <c r="X16" s="12">
        <v>45200</v>
      </c>
      <c r="Y16" s="12">
        <v>45292</v>
      </c>
      <c r="Z16" s="12">
        <v>45383</v>
      </c>
      <c r="AA16" s="12">
        <v>45474</v>
      </c>
      <c r="AB16" s="12">
        <v>45566</v>
      </c>
      <c r="AC16" s="12">
        <v>45658</v>
      </c>
      <c r="AD16" s="12">
        <v>45748</v>
      </c>
      <c r="AE16" s="12">
        <v>45839</v>
      </c>
      <c r="AF16" s="12">
        <v>45931</v>
      </c>
      <c r="AG16" s="12">
        <v>46023</v>
      </c>
      <c r="AH16" s="12">
        <v>46113</v>
      </c>
      <c r="AI16" s="12">
        <v>46204</v>
      </c>
      <c r="AJ16" s="12">
        <v>46296</v>
      </c>
      <c r="AK16" s="12">
        <v>46388</v>
      </c>
      <c r="AL16" s="12">
        <v>46478</v>
      </c>
      <c r="AM16" s="12">
        <v>46569</v>
      </c>
      <c r="AN16" s="12">
        <v>46661</v>
      </c>
      <c r="AO16" s="12">
        <v>46753</v>
      </c>
      <c r="AP16" s="12">
        <v>46844</v>
      </c>
      <c r="AQ16" s="12">
        <v>46935</v>
      </c>
      <c r="AR16" s="12">
        <v>47027</v>
      </c>
      <c r="AS16" s="12">
        <v>47119</v>
      </c>
      <c r="AT16" s="12">
        <v>47209</v>
      </c>
      <c r="AU16" s="12">
        <v>47300</v>
      </c>
      <c r="AV16" s="12">
        <v>47392</v>
      </c>
      <c r="AW16" s="12">
        <v>47484</v>
      </c>
      <c r="AX16" s="12">
        <v>47574</v>
      </c>
      <c r="AY16" s="12">
        <v>47665</v>
      </c>
      <c r="AZ16" s="12">
        <v>47757</v>
      </c>
      <c r="BA16" s="12">
        <v>47849</v>
      </c>
      <c r="BB16" s="12">
        <v>47939</v>
      </c>
      <c r="BC16" s="12">
        <v>48030</v>
      </c>
      <c r="BD16" s="12">
        <v>48122</v>
      </c>
      <c r="BE16" s="12">
        <v>48214</v>
      </c>
      <c r="BF16" s="12">
        <v>48305</v>
      </c>
      <c r="BG16" s="12">
        <v>48396</v>
      </c>
      <c r="BH16" s="12">
        <v>48488</v>
      </c>
      <c r="BI16" s="12">
        <v>48580</v>
      </c>
      <c r="BJ16" s="12">
        <v>48670</v>
      </c>
      <c r="BK16" s="12">
        <v>48761</v>
      </c>
      <c r="BL16" s="12">
        <v>48853</v>
      </c>
      <c r="BM16" s="12">
        <v>48945</v>
      </c>
      <c r="BN16" s="12">
        <v>49035</v>
      </c>
      <c r="BO16" s="12">
        <v>49126</v>
      </c>
      <c r="BP16" s="12">
        <v>49218</v>
      </c>
      <c r="BQ16" s="12">
        <v>49310</v>
      </c>
      <c r="BR16" s="12">
        <v>49400</v>
      </c>
      <c r="BS16" s="12">
        <v>49491</v>
      </c>
      <c r="BT16" s="12">
        <v>49583</v>
      </c>
      <c r="BU16" s="12">
        <v>49675</v>
      </c>
      <c r="BV16" s="12">
        <v>49766</v>
      </c>
      <c r="BW16" s="12">
        <v>49857</v>
      </c>
      <c r="BX16" s="12">
        <v>49949</v>
      </c>
      <c r="BY16" s="12">
        <v>50041</v>
      </c>
      <c r="BZ16" s="12">
        <v>50131</v>
      </c>
      <c r="CA16" s="12">
        <v>50222</v>
      </c>
      <c r="CB16" s="12">
        <v>50314</v>
      </c>
      <c r="CC16" s="12">
        <v>50406</v>
      </c>
      <c r="CD16" s="12">
        <v>50496</v>
      </c>
      <c r="CE16" s="12">
        <v>50587</v>
      </c>
      <c r="CF16" s="12">
        <v>50679</v>
      </c>
      <c r="CG16" s="12">
        <v>50771</v>
      </c>
      <c r="CH16" s="12">
        <v>50861</v>
      </c>
      <c r="CI16" s="12">
        <v>50952</v>
      </c>
      <c r="CJ16" s="12">
        <v>51044</v>
      </c>
    </row>
    <row r="17" spans="2:88">
      <c r="B17" s="6"/>
      <c r="C17" s="1" t="s">
        <v>25</v>
      </c>
      <c r="D17" s="9" t="s">
        <v>4</v>
      </c>
      <c r="I17" s="12">
        <v>43921</v>
      </c>
      <c r="J17" s="12">
        <v>44012</v>
      </c>
      <c r="K17" s="12">
        <v>44104</v>
      </c>
      <c r="L17" s="12">
        <v>44196</v>
      </c>
      <c r="M17" s="12">
        <v>44286</v>
      </c>
      <c r="N17" s="12">
        <v>44377</v>
      </c>
      <c r="O17" s="12">
        <v>44469</v>
      </c>
      <c r="P17" s="12">
        <v>44561</v>
      </c>
      <c r="Q17" s="12">
        <v>44651</v>
      </c>
      <c r="R17" s="12">
        <v>44742</v>
      </c>
      <c r="S17" s="12">
        <v>44834</v>
      </c>
      <c r="T17" s="12">
        <v>44926</v>
      </c>
      <c r="U17" s="12">
        <v>45016</v>
      </c>
      <c r="V17" s="12">
        <v>45107</v>
      </c>
      <c r="W17" s="12">
        <v>45199</v>
      </c>
      <c r="X17" s="12">
        <v>45291</v>
      </c>
      <c r="Y17" s="12">
        <v>45382</v>
      </c>
      <c r="Z17" s="12">
        <v>45473</v>
      </c>
      <c r="AA17" s="12">
        <v>45565</v>
      </c>
      <c r="AB17" s="12">
        <v>45657</v>
      </c>
      <c r="AC17" s="12">
        <v>45747</v>
      </c>
      <c r="AD17" s="12">
        <v>45838</v>
      </c>
      <c r="AE17" s="12">
        <v>45930</v>
      </c>
      <c r="AF17" s="12">
        <v>46022</v>
      </c>
      <c r="AG17" s="12">
        <v>46112</v>
      </c>
      <c r="AH17" s="12">
        <v>46203</v>
      </c>
      <c r="AI17" s="12">
        <v>46295</v>
      </c>
      <c r="AJ17" s="12">
        <v>46387</v>
      </c>
      <c r="AK17" s="12">
        <v>46477</v>
      </c>
      <c r="AL17" s="12">
        <v>46568</v>
      </c>
      <c r="AM17" s="12">
        <v>46660</v>
      </c>
      <c r="AN17" s="12">
        <v>46752</v>
      </c>
      <c r="AO17" s="12">
        <v>46843</v>
      </c>
      <c r="AP17" s="12">
        <v>46934</v>
      </c>
      <c r="AQ17" s="12">
        <v>47026</v>
      </c>
      <c r="AR17" s="12">
        <v>47118</v>
      </c>
      <c r="AS17" s="12">
        <v>47208</v>
      </c>
      <c r="AT17" s="12">
        <v>47299</v>
      </c>
      <c r="AU17" s="12">
        <v>47391</v>
      </c>
      <c r="AV17" s="12">
        <v>47483</v>
      </c>
      <c r="AW17" s="12">
        <v>47573</v>
      </c>
      <c r="AX17" s="12">
        <v>47664</v>
      </c>
      <c r="AY17" s="12">
        <v>47756</v>
      </c>
      <c r="AZ17" s="12">
        <v>47848</v>
      </c>
      <c r="BA17" s="12">
        <v>47938</v>
      </c>
      <c r="BB17" s="12">
        <v>48029</v>
      </c>
      <c r="BC17" s="12">
        <v>48121</v>
      </c>
      <c r="BD17" s="12">
        <v>48213</v>
      </c>
      <c r="BE17" s="12">
        <v>48304</v>
      </c>
      <c r="BF17" s="12">
        <v>48395</v>
      </c>
      <c r="BG17" s="12">
        <v>48487</v>
      </c>
      <c r="BH17" s="12">
        <v>48579</v>
      </c>
      <c r="BI17" s="12">
        <v>48669</v>
      </c>
      <c r="BJ17" s="12">
        <v>48760</v>
      </c>
      <c r="BK17" s="12">
        <v>48852</v>
      </c>
      <c r="BL17" s="12">
        <v>48944</v>
      </c>
      <c r="BM17" s="12">
        <v>49034</v>
      </c>
      <c r="BN17" s="12">
        <v>49125</v>
      </c>
      <c r="BO17" s="12">
        <v>49217</v>
      </c>
      <c r="BP17" s="12">
        <v>49309</v>
      </c>
      <c r="BQ17" s="12">
        <v>49399</v>
      </c>
      <c r="BR17" s="12">
        <v>49490</v>
      </c>
      <c r="BS17" s="12">
        <v>49582</v>
      </c>
      <c r="BT17" s="12">
        <v>49674</v>
      </c>
      <c r="BU17" s="12">
        <v>49765</v>
      </c>
      <c r="BV17" s="12">
        <v>49856</v>
      </c>
      <c r="BW17" s="12">
        <v>49948</v>
      </c>
      <c r="BX17" s="12">
        <v>50040</v>
      </c>
      <c r="BY17" s="12">
        <v>50130</v>
      </c>
      <c r="BZ17" s="12">
        <v>50221</v>
      </c>
      <c r="CA17" s="12">
        <v>50313</v>
      </c>
      <c r="CB17" s="12">
        <v>50405</v>
      </c>
      <c r="CC17" s="12">
        <v>50495</v>
      </c>
      <c r="CD17" s="12">
        <v>50586</v>
      </c>
      <c r="CE17" s="12">
        <v>50678</v>
      </c>
      <c r="CF17" s="12">
        <v>50770</v>
      </c>
      <c r="CG17" s="12">
        <v>50860</v>
      </c>
      <c r="CH17" s="12">
        <v>50951</v>
      </c>
      <c r="CI17" s="12">
        <v>51043</v>
      </c>
      <c r="CJ17" s="12">
        <v>51135</v>
      </c>
    </row>
    <row r="18" spans="2:88">
      <c r="B18" s="6"/>
      <c r="D18" s="9"/>
    </row>
    <row r="19" spans="2:88">
      <c r="B19" s="6"/>
      <c r="C19" s="1" t="s">
        <v>26</v>
      </c>
      <c r="D19" s="9" t="s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100000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100000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100000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100000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100000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100000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</row>
    <row r="20" spans="2:88">
      <c r="B20" s="6"/>
      <c r="D20" s="9"/>
    </row>
    <row r="21" spans="2:88">
      <c r="B21" s="6" t="s">
        <v>0</v>
      </c>
      <c r="D21" s="9"/>
    </row>
    <row r="22" spans="2:88">
      <c r="B22" s="6"/>
      <c r="C22" s="1" t="s">
        <v>27</v>
      </c>
      <c r="D22" s="9" t="s">
        <v>1</v>
      </c>
      <c r="G22" s="27">
        <v>100000</v>
      </c>
    </row>
    <row r="23" spans="2:88">
      <c r="B23" s="6"/>
      <c r="C23" s="1" t="s">
        <v>28</v>
      </c>
      <c r="D23" s="9" t="s">
        <v>29</v>
      </c>
      <c r="G23" s="27">
        <v>5</v>
      </c>
    </row>
    <row r="24" spans="2:88">
      <c r="B24" s="6"/>
      <c r="D24" s="9"/>
    </row>
    <row r="25" spans="2:88">
      <c r="B25" s="6"/>
      <c r="C25" s="1" t="s">
        <v>30</v>
      </c>
      <c r="D25" s="9" t="s">
        <v>6</v>
      </c>
      <c r="G25" s="27" t="s">
        <v>36</v>
      </c>
    </row>
    <row r="26" spans="2:88">
      <c r="B26" s="6"/>
      <c r="C26" s="13" t="s">
        <v>32</v>
      </c>
      <c r="D26" s="9"/>
    </row>
    <row r="27" spans="2:88">
      <c r="B27" s="6"/>
      <c r="C27" s="5" t="s">
        <v>31</v>
      </c>
      <c r="D27" s="27">
        <v>1</v>
      </c>
      <c r="F27" s="5"/>
    </row>
    <row r="28" spans="2:88">
      <c r="B28" s="6"/>
      <c r="C28" s="5" t="s">
        <v>33</v>
      </c>
      <c r="D28" s="27">
        <v>2</v>
      </c>
      <c r="F28" s="5"/>
    </row>
    <row r="29" spans="2:88">
      <c r="B29" s="6"/>
      <c r="C29" s="5" t="s">
        <v>34</v>
      </c>
      <c r="D29" s="27">
        <v>3</v>
      </c>
      <c r="F29" s="5"/>
    </row>
    <row r="30" spans="2:88">
      <c r="B30" s="6"/>
      <c r="C30" s="5" t="s">
        <v>35</v>
      </c>
      <c r="D30" s="27">
        <v>4</v>
      </c>
      <c r="F30" s="5"/>
    </row>
    <row r="31" spans="2:88">
      <c r="B31" s="6"/>
      <c r="C31" s="5" t="s">
        <v>36</v>
      </c>
      <c r="D31" s="27">
        <v>0</v>
      </c>
      <c r="F31" s="5"/>
    </row>
    <row r="32" spans="2:88">
      <c r="B32" s="6"/>
      <c r="D32" s="9"/>
    </row>
    <row r="33" spans="2:88">
      <c r="B33" s="6" t="s">
        <v>14</v>
      </c>
      <c r="D33" s="9"/>
    </row>
    <row r="34" spans="2:88">
      <c r="B34" s="6"/>
      <c r="C34" s="2" t="s">
        <v>37</v>
      </c>
      <c r="D34" s="9"/>
    </row>
    <row r="35" spans="2:88">
      <c r="B35" s="6"/>
      <c r="C35" s="2"/>
      <c r="D35" s="9"/>
    </row>
    <row r="36" spans="2:88">
      <c r="B36" s="6"/>
      <c r="C36" s="1" t="s">
        <v>24</v>
      </c>
      <c r="D36" s="9" t="s">
        <v>4</v>
      </c>
      <c r="I36" s="14">
        <v>43831</v>
      </c>
      <c r="J36" s="15">
        <f t="shared" ref="J36:BU36" si="0">I37+1</f>
        <v>43922</v>
      </c>
      <c r="K36" s="15">
        <f t="shared" si="0"/>
        <v>44013</v>
      </c>
      <c r="L36" s="15">
        <f t="shared" si="0"/>
        <v>44105</v>
      </c>
      <c r="M36" s="15">
        <f t="shared" si="0"/>
        <v>44197</v>
      </c>
      <c r="N36" s="15">
        <f t="shared" si="0"/>
        <v>44287</v>
      </c>
      <c r="O36" s="15">
        <f t="shared" si="0"/>
        <v>44378</v>
      </c>
      <c r="P36" s="15">
        <f t="shared" si="0"/>
        <v>44470</v>
      </c>
      <c r="Q36" s="15">
        <f t="shared" si="0"/>
        <v>44562</v>
      </c>
      <c r="R36" s="15">
        <f t="shared" si="0"/>
        <v>44652</v>
      </c>
      <c r="S36" s="15">
        <f t="shared" si="0"/>
        <v>44743</v>
      </c>
      <c r="T36" s="15">
        <f t="shared" si="0"/>
        <v>44835</v>
      </c>
      <c r="U36" s="15">
        <f t="shared" si="0"/>
        <v>44927</v>
      </c>
      <c r="V36" s="15">
        <f t="shared" si="0"/>
        <v>45017</v>
      </c>
      <c r="W36" s="15">
        <f t="shared" si="0"/>
        <v>45108</v>
      </c>
      <c r="X36" s="15">
        <f t="shared" si="0"/>
        <v>45200</v>
      </c>
      <c r="Y36" s="15">
        <f t="shared" si="0"/>
        <v>45292</v>
      </c>
      <c r="Z36" s="15">
        <f t="shared" si="0"/>
        <v>45383</v>
      </c>
      <c r="AA36" s="15">
        <f t="shared" si="0"/>
        <v>45474</v>
      </c>
      <c r="AB36" s="15">
        <f t="shared" si="0"/>
        <v>45566</v>
      </c>
      <c r="AC36" s="15">
        <f t="shared" si="0"/>
        <v>45658</v>
      </c>
      <c r="AD36" s="15">
        <f t="shared" si="0"/>
        <v>45748</v>
      </c>
      <c r="AE36" s="15">
        <f t="shared" si="0"/>
        <v>45839</v>
      </c>
      <c r="AF36" s="15">
        <f t="shared" si="0"/>
        <v>45931</v>
      </c>
      <c r="AG36" s="15">
        <f t="shared" si="0"/>
        <v>46023</v>
      </c>
      <c r="AH36" s="15">
        <f t="shared" si="0"/>
        <v>46113</v>
      </c>
      <c r="AI36" s="15">
        <f t="shared" si="0"/>
        <v>46204</v>
      </c>
      <c r="AJ36" s="15">
        <f t="shared" si="0"/>
        <v>46296</v>
      </c>
      <c r="AK36" s="15">
        <f t="shared" si="0"/>
        <v>46388</v>
      </c>
      <c r="AL36" s="15">
        <f t="shared" si="0"/>
        <v>46478</v>
      </c>
      <c r="AM36" s="15">
        <f t="shared" si="0"/>
        <v>46569</v>
      </c>
      <c r="AN36" s="15">
        <f t="shared" si="0"/>
        <v>46661</v>
      </c>
      <c r="AO36" s="15">
        <f t="shared" si="0"/>
        <v>46753</v>
      </c>
      <c r="AP36" s="15">
        <f t="shared" si="0"/>
        <v>46844</v>
      </c>
      <c r="AQ36" s="15">
        <f t="shared" si="0"/>
        <v>46935</v>
      </c>
      <c r="AR36" s="15">
        <f t="shared" si="0"/>
        <v>47027</v>
      </c>
      <c r="AS36" s="15">
        <f t="shared" si="0"/>
        <v>47119</v>
      </c>
      <c r="AT36" s="15">
        <f t="shared" si="0"/>
        <v>47209</v>
      </c>
      <c r="AU36" s="15">
        <f t="shared" si="0"/>
        <v>47300</v>
      </c>
      <c r="AV36" s="15">
        <f t="shared" si="0"/>
        <v>47392</v>
      </c>
      <c r="AW36" s="15">
        <f t="shared" si="0"/>
        <v>47484</v>
      </c>
      <c r="AX36" s="15">
        <f t="shared" si="0"/>
        <v>47574</v>
      </c>
      <c r="AY36" s="15">
        <f t="shared" si="0"/>
        <v>47665</v>
      </c>
      <c r="AZ36" s="15">
        <f t="shared" si="0"/>
        <v>47757</v>
      </c>
      <c r="BA36" s="15">
        <f t="shared" si="0"/>
        <v>47849</v>
      </c>
      <c r="BB36" s="15">
        <f t="shared" si="0"/>
        <v>47939</v>
      </c>
      <c r="BC36" s="15">
        <f t="shared" si="0"/>
        <v>48030</v>
      </c>
      <c r="BD36" s="15">
        <f t="shared" si="0"/>
        <v>48122</v>
      </c>
      <c r="BE36" s="15">
        <f t="shared" si="0"/>
        <v>48214</v>
      </c>
      <c r="BF36" s="15">
        <f t="shared" si="0"/>
        <v>48305</v>
      </c>
      <c r="BG36" s="15">
        <f t="shared" si="0"/>
        <v>48396</v>
      </c>
      <c r="BH36" s="15">
        <f t="shared" si="0"/>
        <v>48488</v>
      </c>
      <c r="BI36" s="15">
        <f t="shared" si="0"/>
        <v>48580</v>
      </c>
      <c r="BJ36" s="15">
        <f t="shared" si="0"/>
        <v>48670</v>
      </c>
      <c r="BK36" s="15">
        <f t="shared" si="0"/>
        <v>48761</v>
      </c>
      <c r="BL36" s="15">
        <f t="shared" si="0"/>
        <v>48853</v>
      </c>
      <c r="BM36" s="15">
        <f t="shared" si="0"/>
        <v>48945</v>
      </c>
      <c r="BN36" s="15">
        <f t="shared" si="0"/>
        <v>49035</v>
      </c>
      <c r="BO36" s="15">
        <f t="shared" si="0"/>
        <v>49126</v>
      </c>
      <c r="BP36" s="15">
        <f t="shared" si="0"/>
        <v>49218</v>
      </c>
      <c r="BQ36" s="15">
        <f t="shared" si="0"/>
        <v>49310</v>
      </c>
      <c r="BR36" s="15">
        <f t="shared" si="0"/>
        <v>49400</v>
      </c>
      <c r="BS36" s="15">
        <f t="shared" si="0"/>
        <v>49491</v>
      </c>
      <c r="BT36" s="15">
        <f t="shared" si="0"/>
        <v>49583</v>
      </c>
      <c r="BU36" s="15">
        <f t="shared" si="0"/>
        <v>49675</v>
      </c>
      <c r="BV36" s="15">
        <f t="shared" ref="BV36:CJ36" si="1">BU37+1</f>
        <v>49766</v>
      </c>
      <c r="BW36" s="15">
        <f t="shared" si="1"/>
        <v>49857</v>
      </c>
      <c r="BX36" s="15">
        <f t="shared" si="1"/>
        <v>49949</v>
      </c>
      <c r="BY36" s="15">
        <f t="shared" si="1"/>
        <v>50041</v>
      </c>
      <c r="BZ36" s="15">
        <f t="shared" si="1"/>
        <v>50131</v>
      </c>
      <c r="CA36" s="15">
        <f t="shared" si="1"/>
        <v>50222</v>
      </c>
      <c r="CB36" s="15">
        <f t="shared" si="1"/>
        <v>50314</v>
      </c>
      <c r="CC36" s="15">
        <f t="shared" si="1"/>
        <v>50406</v>
      </c>
      <c r="CD36" s="15">
        <f t="shared" si="1"/>
        <v>50496</v>
      </c>
      <c r="CE36" s="15">
        <f t="shared" si="1"/>
        <v>50587</v>
      </c>
      <c r="CF36" s="15">
        <f t="shared" si="1"/>
        <v>50679</v>
      </c>
      <c r="CG36" s="15">
        <f t="shared" si="1"/>
        <v>50771</v>
      </c>
      <c r="CH36" s="15">
        <f t="shared" si="1"/>
        <v>50861</v>
      </c>
      <c r="CI36" s="15">
        <f t="shared" si="1"/>
        <v>50952</v>
      </c>
      <c r="CJ36" s="15">
        <f t="shared" si="1"/>
        <v>51044</v>
      </c>
    </row>
    <row r="37" spans="2:88">
      <c r="B37" s="6"/>
      <c r="C37" s="1" t="s">
        <v>25</v>
      </c>
      <c r="D37" s="9" t="s">
        <v>4</v>
      </c>
      <c r="I37" s="14">
        <v>43921</v>
      </c>
      <c r="J37" s="15">
        <f t="shared" ref="J37:BU37" si="2">EOMONTH(I37,3)</f>
        <v>44012</v>
      </c>
      <c r="K37" s="15">
        <f t="shared" si="2"/>
        <v>44104</v>
      </c>
      <c r="L37" s="15">
        <f t="shared" si="2"/>
        <v>44196</v>
      </c>
      <c r="M37" s="15">
        <f t="shared" si="2"/>
        <v>44286</v>
      </c>
      <c r="N37" s="15">
        <f t="shared" si="2"/>
        <v>44377</v>
      </c>
      <c r="O37" s="15">
        <f t="shared" si="2"/>
        <v>44469</v>
      </c>
      <c r="P37" s="15">
        <f t="shared" si="2"/>
        <v>44561</v>
      </c>
      <c r="Q37" s="15">
        <f t="shared" si="2"/>
        <v>44651</v>
      </c>
      <c r="R37" s="15">
        <f t="shared" si="2"/>
        <v>44742</v>
      </c>
      <c r="S37" s="15">
        <f t="shared" si="2"/>
        <v>44834</v>
      </c>
      <c r="T37" s="15">
        <f t="shared" si="2"/>
        <v>44926</v>
      </c>
      <c r="U37" s="15">
        <f t="shared" si="2"/>
        <v>45016</v>
      </c>
      <c r="V37" s="15">
        <f t="shared" si="2"/>
        <v>45107</v>
      </c>
      <c r="W37" s="15">
        <f t="shared" si="2"/>
        <v>45199</v>
      </c>
      <c r="X37" s="15">
        <f t="shared" si="2"/>
        <v>45291</v>
      </c>
      <c r="Y37" s="15">
        <f t="shared" si="2"/>
        <v>45382</v>
      </c>
      <c r="Z37" s="15">
        <f t="shared" si="2"/>
        <v>45473</v>
      </c>
      <c r="AA37" s="15">
        <f t="shared" si="2"/>
        <v>45565</v>
      </c>
      <c r="AB37" s="15">
        <f t="shared" si="2"/>
        <v>45657</v>
      </c>
      <c r="AC37" s="15">
        <f t="shared" si="2"/>
        <v>45747</v>
      </c>
      <c r="AD37" s="15">
        <f t="shared" si="2"/>
        <v>45838</v>
      </c>
      <c r="AE37" s="15">
        <f t="shared" si="2"/>
        <v>45930</v>
      </c>
      <c r="AF37" s="15">
        <f t="shared" si="2"/>
        <v>46022</v>
      </c>
      <c r="AG37" s="15">
        <f t="shared" si="2"/>
        <v>46112</v>
      </c>
      <c r="AH37" s="15">
        <f t="shared" si="2"/>
        <v>46203</v>
      </c>
      <c r="AI37" s="15">
        <f t="shared" si="2"/>
        <v>46295</v>
      </c>
      <c r="AJ37" s="15">
        <f t="shared" si="2"/>
        <v>46387</v>
      </c>
      <c r="AK37" s="15">
        <f t="shared" si="2"/>
        <v>46477</v>
      </c>
      <c r="AL37" s="15">
        <f t="shared" si="2"/>
        <v>46568</v>
      </c>
      <c r="AM37" s="15">
        <f t="shared" si="2"/>
        <v>46660</v>
      </c>
      <c r="AN37" s="15">
        <f t="shared" si="2"/>
        <v>46752</v>
      </c>
      <c r="AO37" s="15">
        <f t="shared" si="2"/>
        <v>46843</v>
      </c>
      <c r="AP37" s="15">
        <f t="shared" si="2"/>
        <v>46934</v>
      </c>
      <c r="AQ37" s="15">
        <f t="shared" si="2"/>
        <v>47026</v>
      </c>
      <c r="AR37" s="15">
        <f t="shared" si="2"/>
        <v>47118</v>
      </c>
      <c r="AS37" s="15">
        <f t="shared" si="2"/>
        <v>47208</v>
      </c>
      <c r="AT37" s="15">
        <f t="shared" si="2"/>
        <v>47299</v>
      </c>
      <c r="AU37" s="15">
        <f t="shared" si="2"/>
        <v>47391</v>
      </c>
      <c r="AV37" s="15">
        <f t="shared" si="2"/>
        <v>47483</v>
      </c>
      <c r="AW37" s="15">
        <f t="shared" si="2"/>
        <v>47573</v>
      </c>
      <c r="AX37" s="15">
        <f t="shared" si="2"/>
        <v>47664</v>
      </c>
      <c r="AY37" s="15">
        <f t="shared" si="2"/>
        <v>47756</v>
      </c>
      <c r="AZ37" s="15">
        <f t="shared" si="2"/>
        <v>47848</v>
      </c>
      <c r="BA37" s="15">
        <f t="shared" si="2"/>
        <v>47938</v>
      </c>
      <c r="BB37" s="15">
        <f t="shared" si="2"/>
        <v>48029</v>
      </c>
      <c r="BC37" s="15">
        <f t="shared" si="2"/>
        <v>48121</v>
      </c>
      <c r="BD37" s="15">
        <f t="shared" si="2"/>
        <v>48213</v>
      </c>
      <c r="BE37" s="15">
        <f t="shared" si="2"/>
        <v>48304</v>
      </c>
      <c r="BF37" s="15">
        <f t="shared" si="2"/>
        <v>48395</v>
      </c>
      <c r="BG37" s="15">
        <f t="shared" si="2"/>
        <v>48487</v>
      </c>
      <c r="BH37" s="15">
        <f t="shared" si="2"/>
        <v>48579</v>
      </c>
      <c r="BI37" s="15">
        <f t="shared" si="2"/>
        <v>48669</v>
      </c>
      <c r="BJ37" s="15">
        <f t="shared" si="2"/>
        <v>48760</v>
      </c>
      <c r="BK37" s="15">
        <f t="shared" si="2"/>
        <v>48852</v>
      </c>
      <c r="BL37" s="15">
        <f t="shared" si="2"/>
        <v>48944</v>
      </c>
      <c r="BM37" s="15">
        <f t="shared" si="2"/>
        <v>49034</v>
      </c>
      <c r="BN37" s="15">
        <f t="shared" si="2"/>
        <v>49125</v>
      </c>
      <c r="BO37" s="15">
        <f t="shared" si="2"/>
        <v>49217</v>
      </c>
      <c r="BP37" s="15">
        <f t="shared" si="2"/>
        <v>49309</v>
      </c>
      <c r="BQ37" s="15">
        <f t="shared" si="2"/>
        <v>49399</v>
      </c>
      <c r="BR37" s="15">
        <f t="shared" si="2"/>
        <v>49490</v>
      </c>
      <c r="BS37" s="15">
        <f t="shared" si="2"/>
        <v>49582</v>
      </c>
      <c r="BT37" s="15">
        <f t="shared" si="2"/>
        <v>49674</v>
      </c>
      <c r="BU37" s="15">
        <f t="shared" si="2"/>
        <v>49765</v>
      </c>
      <c r="BV37" s="15">
        <f t="shared" ref="BV37:CJ37" si="3">EOMONTH(BU37,3)</f>
        <v>49856</v>
      </c>
      <c r="BW37" s="15">
        <f t="shared" si="3"/>
        <v>49948</v>
      </c>
      <c r="BX37" s="15">
        <f t="shared" si="3"/>
        <v>50040</v>
      </c>
      <c r="BY37" s="15">
        <f t="shared" si="3"/>
        <v>50130</v>
      </c>
      <c r="BZ37" s="15">
        <f t="shared" si="3"/>
        <v>50221</v>
      </c>
      <c r="CA37" s="15">
        <f t="shared" si="3"/>
        <v>50313</v>
      </c>
      <c r="CB37" s="15">
        <f t="shared" si="3"/>
        <v>50405</v>
      </c>
      <c r="CC37" s="15">
        <f t="shared" si="3"/>
        <v>50495</v>
      </c>
      <c r="CD37" s="15">
        <f t="shared" si="3"/>
        <v>50586</v>
      </c>
      <c r="CE37" s="15">
        <f t="shared" si="3"/>
        <v>50678</v>
      </c>
      <c r="CF37" s="15">
        <f t="shared" si="3"/>
        <v>50770</v>
      </c>
      <c r="CG37" s="15">
        <f t="shared" si="3"/>
        <v>50860</v>
      </c>
      <c r="CH37" s="15">
        <f t="shared" si="3"/>
        <v>50951</v>
      </c>
      <c r="CI37" s="15">
        <f t="shared" si="3"/>
        <v>51043</v>
      </c>
      <c r="CJ37" s="15">
        <f t="shared" si="3"/>
        <v>51135</v>
      </c>
    </row>
    <row r="38" spans="2:88">
      <c r="B38" s="6"/>
      <c r="D38" s="9"/>
    </row>
    <row r="39" spans="2:88">
      <c r="B39" s="6"/>
      <c r="D39" s="9"/>
    </row>
    <row r="40" spans="2:88">
      <c r="B40" s="6"/>
      <c r="C40" s="1" t="s">
        <v>78</v>
      </c>
      <c r="D40" s="9" t="s">
        <v>2</v>
      </c>
      <c r="I40" s="18">
        <v>0</v>
      </c>
      <c r="J40" s="18">
        <v>0</v>
      </c>
      <c r="K40" s="18">
        <v>0</v>
      </c>
      <c r="L40" s="18">
        <v>0</v>
      </c>
      <c r="M40" s="1">
        <f>I40+1</f>
        <v>1</v>
      </c>
      <c r="N40" s="1">
        <f t="shared" ref="N40:BY40" si="4">J40+1</f>
        <v>1</v>
      </c>
      <c r="O40" s="1">
        <f t="shared" si="4"/>
        <v>1</v>
      </c>
      <c r="P40" s="1">
        <f t="shared" si="4"/>
        <v>1</v>
      </c>
      <c r="Q40" s="1">
        <f t="shared" si="4"/>
        <v>2</v>
      </c>
      <c r="R40" s="1">
        <f t="shared" si="4"/>
        <v>2</v>
      </c>
      <c r="S40" s="1">
        <f t="shared" si="4"/>
        <v>2</v>
      </c>
      <c r="T40" s="1">
        <f t="shared" si="4"/>
        <v>2</v>
      </c>
      <c r="U40" s="1">
        <f t="shared" si="4"/>
        <v>3</v>
      </c>
      <c r="V40" s="1">
        <f t="shared" si="4"/>
        <v>3</v>
      </c>
      <c r="W40" s="1">
        <f t="shared" si="4"/>
        <v>3</v>
      </c>
      <c r="X40" s="1">
        <f t="shared" si="4"/>
        <v>3</v>
      </c>
      <c r="Y40" s="1">
        <f t="shared" si="4"/>
        <v>4</v>
      </c>
      <c r="Z40" s="1">
        <f t="shared" si="4"/>
        <v>4</v>
      </c>
      <c r="AA40" s="1">
        <f t="shared" si="4"/>
        <v>4</v>
      </c>
      <c r="AB40" s="1">
        <f t="shared" si="4"/>
        <v>4</v>
      </c>
      <c r="AC40" s="1">
        <f t="shared" si="4"/>
        <v>5</v>
      </c>
      <c r="AD40" s="1">
        <f t="shared" si="4"/>
        <v>5</v>
      </c>
      <c r="AE40" s="1">
        <f t="shared" si="4"/>
        <v>5</v>
      </c>
      <c r="AF40" s="1">
        <f t="shared" si="4"/>
        <v>5</v>
      </c>
      <c r="AG40" s="1">
        <f t="shared" si="4"/>
        <v>6</v>
      </c>
      <c r="AH40" s="1">
        <f t="shared" si="4"/>
        <v>6</v>
      </c>
      <c r="AI40" s="1">
        <f t="shared" si="4"/>
        <v>6</v>
      </c>
      <c r="AJ40" s="1">
        <f t="shared" si="4"/>
        <v>6</v>
      </c>
      <c r="AK40" s="1">
        <f t="shared" si="4"/>
        <v>7</v>
      </c>
      <c r="AL40" s="1">
        <f t="shared" si="4"/>
        <v>7</v>
      </c>
      <c r="AM40" s="1">
        <f t="shared" si="4"/>
        <v>7</v>
      </c>
      <c r="AN40" s="1">
        <f t="shared" si="4"/>
        <v>7</v>
      </c>
      <c r="AO40" s="1">
        <f t="shared" si="4"/>
        <v>8</v>
      </c>
      <c r="AP40" s="1">
        <f t="shared" si="4"/>
        <v>8</v>
      </c>
      <c r="AQ40" s="1">
        <f t="shared" si="4"/>
        <v>8</v>
      </c>
      <c r="AR40" s="1">
        <f t="shared" si="4"/>
        <v>8</v>
      </c>
      <c r="AS40" s="1">
        <f t="shared" si="4"/>
        <v>9</v>
      </c>
      <c r="AT40" s="1">
        <f t="shared" si="4"/>
        <v>9</v>
      </c>
      <c r="AU40" s="1">
        <f t="shared" si="4"/>
        <v>9</v>
      </c>
      <c r="AV40" s="1">
        <f t="shared" si="4"/>
        <v>9</v>
      </c>
      <c r="AW40" s="1">
        <f t="shared" si="4"/>
        <v>10</v>
      </c>
      <c r="AX40" s="1">
        <f t="shared" si="4"/>
        <v>10</v>
      </c>
      <c r="AY40" s="1">
        <f t="shared" si="4"/>
        <v>10</v>
      </c>
      <c r="AZ40" s="1">
        <f t="shared" si="4"/>
        <v>10</v>
      </c>
      <c r="BA40" s="1">
        <f t="shared" si="4"/>
        <v>11</v>
      </c>
      <c r="BB40" s="1">
        <f t="shared" si="4"/>
        <v>11</v>
      </c>
      <c r="BC40" s="1">
        <f t="shared" si="4"/>
        <v>11</v>
      </c>
      <c r="BD40" s="1">
        <f t="shared" si="4"/>
        <v>11</v>
      </c>
      <c r="BE40" s="1">
        <f t="shared" si="4"/>
        <v>12</v>
      </c>
      <c r="BF40" s="1">
        <f t="shared" si="4"/>
        <v>12</v>
      </c>
      <c r="BG40" s="1">
        <f t="shared" si="4"/>
        <v>12</v>
      </c>
      <c r="BH40" s="1">
        <f t="shared" si="4"/>
        <v>12</v>
      </c>
      <c r="BI40" s="1">
        <f t="shared" si="4"/>
        <v>13</v>
      </c>
      <c r="BJ40" s="1">
        <f t="shared" si="4"/>
        <v>13</v>
      </c>
      <c r="BK40" s="1">
        <f t="shared" si="4"/>
        <v>13</v>
      </c>
      <c r="BL40" s="1">
        <f t="shared" si="4"/>
        <v>13</v>
      </c>
      <c r="BM40" s="1">
        <f t="shared" si="4"/>
        <v>14</v>
      </c>
      <c r="BN40" s="1">
        <f t="shared" si="4"/>
        <v>14</v>
      </c>
      <c r="BO40" s="1">
        <f t="shared" si="4"/>
        <v>14</v>
      </c>
      <c r="BP40" s="1">
        <f t="shared" si="4"/>
        <v>14</v>
      </c>
      <c r="BQ40" s="1">
        <f t="shared" si="4"/>
        <v>15</v>
      </c>
      <c r="BR40" s="1">
        <f t="shared" si="4"/>
        <v>15</v>
      </c>
      <c r="BS40" s="1">
        <f t="shared" si="4"/>
        <v>15</v>
      </c>
      <c r="BT40" s="1">
        <f t="shared" si="4"/>
        <v>15</v>
      </c>
      <c r="BU40" s="1">
        <f t="shared" si="4"/>
        <v>16</v>
      </c>
      <c r="BV40" s="1">
        <f t="shared" si="4"/>
        <v>16</v>
      </c>
      <c r="BW40" s="1">
        <f t="shared" si="4"/>
        <v>16</v>
      </c>
      <c r="BX40" s="1">
        <f t="shared" si="4"/>
        <v>16</v>
      </c>
      <c r="BY40" s="1">
        <f t="shared" si="4"/>
        <v>17</v>
      </c>
      <c r="BZ40" s="1">
        <f t="shared" ref="BZ40:CJ40" si="5">BV40+1</f>
        <v>17</v>
      </c>
      <c r="CA40" s="1">
        <f t="shared" si="5"/>
        <v>17</v>
      </c>
      <c r="CB40" s="1">
        <f t="shared" si="5"/>
        <v>17</v>
      </c>
      <c r="CC40" s="1">
        <f t="shared" si="5"/>
        <v>18</v>
      </c>
      <c r="CD40" s="1">
        <f t="shared" si="5"/>
        <v>18</v>
      </c>
      <c r="CE40" s="1">
        <f t="shared" si="5"/>
        <v>18</v>
      </c>
      <c r="CF40" s="1">
        <f t="shared" si="5"/>
        <v>18</v>
      </c>
      <c r="CG40" s="1">
        <f t="shared" si="5"/>
        <v>19</v>
      </c>
      <c r="CH40" s="1">
        <f t="shared" si="5"/>
        <v>19</v>
      </c>
      <c r="CI40" s="1">
        <f t="shared" si="5"/>
        <v>19</v>
      </c>
      <c r="CJ40" s="1">
        <f t="shared" si="5"/>
        <v>19</v>
      </c>
    </row>
    <row r="41" spans="2:88">
      <c r="B41" s="6"/>
      <c r="C41" s="1" t="s">
        <v>77</v>
      </c>
      <c r="D41" s="9" t="s">
        <v>2</v>
      </c>
      <c r="I41" s="1">
        <f t="shared" ref="I41:AN41" si="6">MONTH(I37)/3</f>
        <v>1</v>
      </c>
      <c r="J41" s="1">
        <f t="shared" si="6"/>
        <v>2</v>
      </c>
      <c r="K41" s="1">
        <f t="shared" si="6"/>
        <v>3</v>
      </c>
      <c r="L41" s="1">
        <f t="shared" si="6"/>
        <v>4</v>
      </c>
      <c r="M41" s="1">
        <f t="shared" si="6"/>
        <v>1</v>
      </c>
      <c r="N41" s="1">
        <f t="shared" si="6"/>
        <v>2</v>
      </c>
      <c r="O41" s="1">
        <f t="shared" si="6"/>
        <v>3</v>
      </c>
      <c r="P41" s="1">
        <f t="shared" si="6"/>
        <v>4</v>
      </c>
      <c r="Q41" s="1">
        <f t="shared" si="6"/>
        <v>1</v>
      </c>
      <c r="R41" s="1">
        <f t="shared" si="6"/>
        <v>2</v>
      </c>
      <c r="S41" s="1">
        <f t="shared" si="6"/>
        <v>3</v>
      </c>
      <c r="T41" s="1">
        <f t="shared" si="6"/>
        <v>4</v>
      </c>
      <c r="U41" s="1">
        <f t="shared" si="6"/>
        <v>1</v>
      </c>
      <c r="V41" s="1">
        <f t="shared" si="6"/>
        <v>2</v>
      </c>
      <c r="W41" s="1">
        <f t="shared" si="6"/>
        <v>3</v>
      </c>
      <c r="X41" s="1">
        <f t="shared" si="6"/>
        <v>4</v>
      </c>
      <c r="Y41" s="1">
        <f t="shared" si="6"/>
        <v>1</v>
      </c>
      <c r="Z41" s="1">
        <f t="shared" si="6"/>
        <v>2</v>
      </c>
      <c r="AA41" s="1">
        <f t="shared" si="6"/>
        <v>3</v>
      </c>
      <c r="AB41" s="1">
        <f t="shared" si="6"/>
        <v>4</v>
      </c>
      <c r="AC41" s="1">
        <f t="shared" si="6"/>
        <v>1</v>
      </c>
      <c r="AD41" s="1">
        <f t="shared" si="6"/>
        <v>2</v>
      </c>
      <c r="AE41" s="1">
        <f t="shared" si="6"/>
        <v>3</v>
      </c>
      <c r="AF41" s="1">
        <f t="shared" si="6"/>
        <v>4</v>
      </c>
      <c r="AG41" s="1">
        <f t="shared" si="6"/>
        <v>1</v>
      </c>
      <c r="AH41" s="1">
        <f t="shared" si="6"/>
        <v>2</v>
      </c>
      <c r="AI41" s="1">
        <f t="shared" si="6"/>
        <v>3</v>
      </c>
      <c r="AJ41" s="1">
        <f t="shared" si="6"/>
        <v>4</v>
      </c>
      <c r="AK41" s="1">
        <f t="shared" si="6"/>
        <v>1</v>
      </c>
      <c r="AL41" s="1">
        <f t="shared" si="6"/>
        <v>2</v>
      </c>
      <c r="AM41" s="1">
        <f t="shared" si="6"/>
        <v>3</v>
      </c>
      <c r="AN41" s="1">
        <f t="shared" si="6"/>
        <v>4</v>
      </c>
      <c r="AO41" s="1">
        <f t="shared" ref="AO41:BT41" si="7">MONTH(AO37)/3</f>
        <v>1</v>
      </c>
      <c r="AP41" s="1">
        <f t="shared" si="7"/>
        <v>2</v>
      </c>
      <c r="AQ41" s="1">
        <f t="shared" si="7"/>
        <v>3</v>
      </c>
      <c r="AR41" s="1">
        <f t="shared" si="7"/>
        <v>4</v>
      </c>
      <c r="AS41" s="1">
        <f t="shared" si="7"/>
        <v>1</v>
      </c>
      <c r="AT41" s="1">
        <f t="shared" si="7"/>
        <v>2</v>
      </c>
      <c r="AU41" s="1">
        <f t="shared" si="7"/>
        <v>3</v>
      </c>
      <c r="AV41" s="1">
        <f t="shared" si="7"/>
        <v>4</v>
      </c>
      <c r="AW41" s="1">
        <f t="shared" si="7"/>
        <v>1</v>
      </c>
      <c r="AX41" s="1">
        <f t="shared" si="7"/>
        <v>2</v>
      </c>
      <c r="AY41" s="1">
        <f t="shared" si="7"/>
        <v>3</v>
      </c>
      <c r="AZ41" s="1">
        <f t="shared" si="7"/>
        <v>4</v>
      </c>
      <c r="BA41" s="1">
        <f t="shared" si="7"/>
        <v>1</v>
      </c>
      <c r="BB41" s="1">
        <f t="shared" si="7"/>
        <v>2</v>
      </c>
      <c r="BC41" s="1">
        <f t="shared" si="7"/>
        <v>3</v>
      </c>
      <c r="BD41" s="1">
        <f t="shared" si="7"/>
        <v>4</v>
      </c>
      <c r="BE41" s="1">
        <f t="shared" si="7"/>
        <v>1</v>
      </c>
      <c r="BF41" s="1">
        <f t="shared" si="7"/>
        <v>2</v>
      </c>
      <c r="BG41" s="1">
        <f t="shared" si="7"/>
        <v>3</v>
      </c>
      <c r="BH41" s="1">
        <f t="shared" si="7"/>
        <v>4</v>
      </c>
      <c r="BI41" s="1">
        <f t="shared" si="7"/>
        <v>1</v>
      </c>
      <c r="BJ41" s="1">
        <f t="shared" si="7"/>
        <v>2</v>
      </c>
      <c r="BK41" s="1">
        <f t="shared" si="7"/>
        <v>3</v>
      </c>
      <c r="BL41" s="1">
        <f t="shared" si="7"/>
        <v>4</v>
      </c>
      <c r="BM41" s="1">
        <f t="shared" si="7"/>
        <v>1</v>
      </c>
      <c r="BN41" s="1">
        <f t="shared" si="7"/>
        <v>2</v>
      </c>
      <c r="BO41" s="1">
        <f t="shared" si="7"/>
        <v>3</v>
      </c>
      <c r="BP41" s="1">
        <f t="shared" si="7"/>
        <v>4</v>
      </c>
      <c r="BQ41" s="1">
        <f t="shared" si="7"/>
        <v>1</v>
      </c>
      <c r="BR41" s="1">
        <f t="shared" si="7"/>
        <v>2</v>
      </c>
      <c r="BS41" s="1">
        <f t="shared" si="7"/>
        <v>3</v>
      </c>
      <c r="BT41" s="1">
        <f t="shared" si="7"/>
        <v>4</v>
      </c>
      <c r="BU41" s="1">
        <f t="shared" ref="BU41:CJ41" si="8">MONTH(BU37)/3</f>
        <v>1</v>
      </c>
      <c r="BV41" s="1">
        <f t="shared" si="8"/>
        <v>2</v>
      </c>
      <c r="BW41" s="1">
        <f t="shared" si="8"/>
        <v>3</v>
      </c>
      <c r="BX41" s="1">
        <f t="shared" si="8"/>
        <v>4</v>
      </c>
      <c r="BY41" s="1">
        <f t="shared" si="8"/>
        <v>1</v>
      </c>
      <c r="BZ41" s="1">
        <f t="shared" si="8"/>
        <v>2</v>
      </c>
      <c r="CA41" s="1">
        <f t="shared" si="8"/>
        <v>3</v>
      </c>
      <c r="CB41" s="1">
        <f t="shared" si="8"/>
        <v>4</v>
      </c>
      <c r="CC41" s="1">
        <f t="shared" si="8"/>
        <v>1</v>
      </c>
      <c r="CD41" s="1">
        <f t="shared" si="8"/>
        <v>2</v>
      </c>
      <c r="CE41" s="1">
        <f t="shared" si="8"/>
        <v>3</v>
      </c>
      <c r="CF41" s="1">
        <f t="shared" si="8"/>
        <v>4</v>
      </c>
      <c r="CG41" s="1">
        <f t="shared" si="8"/>
        <v>1</v>
      </c>
      <c r="CH41" s="1">
        <f t="shared" si="8"/>
        <v>2</v>
      </c>
      <c r="CI41" s="1">
        <f t="shared" si="8"/>
        <v>3</v>
      </c>
      <c r="CJ41" s="1">
        <f t="shared" si="8"/>
        <v>4</v>
      </c>
    </row>
    <row r="42" spans="2:88">
      <c r="B42" s="6"/>
      <c r="C42" s="1" t="s">
        <v>79</v>
      </c>
      <c r="D42" s="9" t="s">
        <v>80</v>
      </c>
      <c r="I42" s="42">
        <f>(MOD(I40,$G$23)=0)*(I40&gt;0)</f>
        <v>0</v>
      </c>
      <c r="J42" s="42">
        <f t="shared" ref="J42:BU42" si="9">(MOD(J40,$G$23)=0)*(J40&gt;0)</f>
        <v>0</v>
      </c>
      <c r="K42" s="42">
        <f t="shared" si="9"/>
        <v>0</v>
      </c>
      <c r="L42" s="42">
        <f t="shared" si="9"/>
        <v>0</v>
      </c>
      <c r="M42" s="42">
        <f t="shared" si="9"/>
        <v>0</v>
      </c>
      <c r="N42" s="42">
        <f t="shared" si="9"/>
        <v>0</v>
      </c>
      <c r="O42" s="42">
        <f t="shared" si="9"/>
        <v>0</v>
      </c>
      <c r="P42" s="42">
        <f t="shared" si="9"/>
        <v>0</v>
      </c>
      <c r="Q42" s="42">
        <f t="shared" si="9"/>
        <v>0</v>
      </c>
      <c r="R42" s="42">
        <f t="shared" si="9"/>
        <v>0</v>
      </c>
      <c r="S42" s="42">
        <f t="shared" si="9"/>
        <v>0</v>
      </c>
      <c r="T42" s="42">
        <f t="shared" si="9"/>
        <v>0</v>
      </c>
      <c r="U42" s="42">
        <f t="shared" si="9"/>
        <v>0</v>
      </c>
      <c r="V42" s="42">
        <f t="shared" si="9"/>
        <v>0</v>
      </c>
      <c r="W42" s="42">
        <f t="shared" si="9"/>
        <v>0</v>
      </c>
      <c r="X42" s="42">
        <f t="shared" si="9"/>
        <v>0</v>
      </c>
      <c r="Y42" s="42">
        <f t="shared" si="9"/>
        <v>0</v>
      </c>
      <c r="Z42" s="42">
        <f t="shared" si="9"/>
        <v>0</v>
      </c>
      <c r="AA42" s="42">
        <f t="shared" si="9"/>
        <v>0</v>
      </c>
      <c r="AB42" s="42">
        <f t="shared" si="9"/>
        <v>0</v>
      </c>
      <c r="AC42" s="42">
        <f t="shared" si="9"/>
        <v>1</v>
      </c>
      <c r="AD42" s="42">
        <f t="shared" si="9"/>
        <v>1</v>
      </c>
      <c r="AE42" s="42">
        <f t="shared" si="9"/>
        <v>1</v>
      </c>
      <c r="AF42" s="42">
        <f t="shared" si="9"/>
        <v>1</v>
      </c>
      <c r="AG42" s="42">
        <f t="shared" si="9"/>
        <v>0</v>
      </c>
      <c r="AH42" s="42">
        <f t="shared" si="9"/>
        <v>0</v>
      </c>
      <c r="AI42" s="42">
        <f t="shared" si="9"/>
        <v>0</v>
      </c>
      <c r="AJ42" s="42">
        <f t="shared" si="9"/>
        <v>0</v>
      </c>
      <c r="AK42" s="42">
        <f t="shared" si="9"/>
        <v>0</v>
      </c>
      <c r="AL42" s="42">
        <f t="shared" si="9"/>
        <v>0</v>
      </c>
      <c r="AM42" s="42">
        <f t="shared" si="9"/>
        <v>0</v>
      </c>
      <c r="AN42" s="42">
        <f t="shared" si="9"/>
        <v>0</v>
      </c>
      <c r="AO42" s="42">
        <f t="shared" si="9"/>
        <v>0</v>
      </c>
      <c r="AP42" s="42">
        <f t="shared" si="9"/>
        <v>0</v>
      </c>
      <c r="AQ42" s="42">
        <f t="shared" si="9"/>
        <v>0</v>
      </c>
      <c r="AR42" s="42">
        <f t="shared" si="9"/>
        <v>0</v>
      </c>
      <c r="AS42" s="42">
        <f t="shared" si="9"/>
        <v>0</v>
      </c>
      <c r="AT42" s="42">
        <f t="shared" si="9"/>
        <v>0</v>
      </c>
      <c r="AU42" s="42">
        <f t="shared" si="9"/>
        <v>0</v>
      </c>
      <c r="AV42" s="42">
        <f t="shared" si="9"/>
        <v>0</v>
      </c>
      <c r="AW42" s="42">
        <f t="shared" si="9"/>
        <v>1</v>
      </c>
      <c r="AX42" s="42">
        <f t="shared" si="9"/>
        <v>1</v>
      </c>
      <c r="AY42" s="42">
        <f t="shared" si="9"/>
        <v>1</v>
      </c>
      <c r="AZ42" s="42">
        <f t="shared" si="9"/>
        <v>1</v>
      </c>
      <c r="BA42" s="42">
        <f t="shared" si="9"/>
        <v>0</v>
      </c>
      <c r="BB42" s="42">
        <f t="shared" si="9"/>
        <v>0</v>
      </c>
      <c r="BC42" s="42">
        <f t="shared" si="9"/>
        <v>0</v>
      </c>
      <c r="BD42" s="42">
        <f t="shared" si="9"/>
        <v>0</v>
      </c>
      <c r="BE42" s="42">
        <f t="shared" si="9"/>
        <v>0</v>
      </c>
      <c r="BF42" s="42">
        <f t="shared" si="9"/>
        <v>0</v>
      </c>
      <c r="BG42" s="42">
        <f t="shared" si="9"/>
        <v>0</v>
      </c>
      <c r="BH42" s="42">
        <f t="shared" si="9"/>
        <v>0</v>
      </c>
      <c r="BI42" s="42">
        <f t="shared" si="9"/>
        <v>0</v>
      </c>
      <c r="BJ42" s="42">
        <f t="shared" si="9"/>
        <v>0</v>
      </c>
      <c r="BK42" s="42">
        <f t="shared" si="9"/>
        <v>0</v>
      </c>
      <c r="BL42" s="42">
        <f t="shared" si="9"/>
        <v>0</v>
      </c>
      <c r="BM42" s="42">
        <f t="shared" si="9"/>
        <v>0</v>
      </c>
      <c r="BN42" s="42">
        <f t="shared" si="9"/>
        <v>0</v>
      </c>
      <c r="BO42" s="42">
        <f t="shared" si="9"/>
        <v>0</v>
      </c>
      <c r="BP42" s="42">
        <f t="shared" si="9"/>
        <v>0</v>
      </c>
      <c r="BQ42" s="42">
        <f t="shared" si="9"/>
        <v>1</v>
      </c>
      <c r="BR42" s="42">
        <f t="shared" si="9"/>
        <v>1</v>
      </c>
      <c r="BS42" s="42">
        <f t="shared" si="9"/>
        <v>1</v>
      </c>
      <c r="BT42" s="42">
        <f t="shared" si="9"/>
        <v>1</v>
      </c>
      <c r="BU42" s="42">
        <f t="shared" si="9"/>
        <v>0</v>
      </c>
      <c r="BV42" s="42">
        <f t="shared" ref="BV42:CJ42" si="10">(MOD(BV40,$G$23)=0)*(BV40&gt;0)</f>
        <v>0</v>
      </c>
      <c r="BW42" s="42">
        <f t="shared" si="10"/>
        <v>0</v>
      </c>
      <c r="BX42" s="42">
        <f t="shared" si="10"/>
        <v>0</v>
      </c>
      <c r="BY42" s="42">
        <f t="shared" si="10"/>
        <v>0</v>
      </c>
      <c r="BZ42" s="42">
        <f t="shared" si="10"/>
        <v>0</v>
      </c>
      <c r="CA42" s="42">
        <f t="shared" si="10"/>
        <v>0</v>
      </c>
      <c r="CB42" s="42">
        <f t="shared" si="10"/>
        <v>0</v>
      </c>
      <c r="CC42" s="42">
        <f t="shared" si="10"/>
        <v>0</v>
      </c>
      <c r="CD42" s="42">
        <f t="shared" si="10"/>
        <v>0</v>
      </c>
      <c r="CE42" s="42">
        <f t="shared" si="10"/>
        <v>0</v>
      </c>
      <c r="CF42" s="42">
        <f t="shared" si="10"/>
        <v>0</v>
      </c>
      <c r="CG42" s="42">
        <f t="shared" si="10"/>
        <v>0</v>
      </c>
      <c r="CH42" s="42">
        <f t="shared" si="10"/>
        <v>0</v>
      </c>
      <c r="CI42" s="42">
        <f t="shared" si="10"/>
        <v>0</v>
      </c>
      <c r="CJ42" s="42">
        <f t="shared" si="10"/>
        <v>0</v>
      </c>
    </row>
    <row r="43" spans="2:88">
      <c r="B43" s="6"/>
      <c r="C43" s="1" t="s">
        <v>81</v>
      </c>
      <c r="D43" s="9" t="s">
        <v>80</v>
      </c>
      <c r="F43" s="1">
        <f>INDEX($D$27:$D$31,MATCH($G$25,$C$27:$C$31,0))</f>
        <v>0</v>
      </c>
      <c r="I43" s="42">
        <f>IF($F$43=0,1,($F$43=I41)*1)</f>
        <v>1</v>
      </c>
      <c r="J43" s="42">
        <f t="shared" ref="J43:BU43" si="11">IF($F$43=0,1,($F$43=J41)*1)</f>
        <v>1</v>
      </c>
      <c r="K43" s="42">
        <f t="shared" si="11"/>
        <v>1</v>
      </c>
      <c r="L43" s="42">
        <f t="shared" si="11"/>
        <v>1</v>
      </c>
      <c r="M43" s="42">
        <f t="shared" si="11"/>
        <v>1</v>
      </c>
      <c r="N43" s="42">
        <f t="shared" si="11"/>
        <v>1</v>
      </c>
      <c r="O43" s="42">
        <f t="shared" si="11"/>
        <v>1</v>
      </c>
      <c r="P43" s="42">
        <f t="shared" si="11"/>
        <v>1</v>
      </c>
      <c r="Q43" s="42">
        <f t="shared" si="11"/>
        <v>1</v>
      </c>
      <c r="R43" s="42">
        <f t="shared" si="11"/>
        <v>1</v>
      </c>
      <c r="S43" s="42">
        <f t="shared" si="11"/>
        <v>1</v>
      </c>
      <c r="T43" s="42">
        <f t="shared" si="11"/>
        <v>1</v>
      </c>
      <c r="U43" s="42">
        <f t="shared" si="11"/>
        <v>1</v>
      </c>
      <c r="V43" s="42">
        <f t="shared" si="11"/>
        <v>1</v>
      </c>
      <c r="W43" s="42">
        <f t="shared" si="11"/>
        <v>1</v>
      </c>
      <c r="X43" s="42">
        <f t="shared" si="11"/>
        <v>1</v>
      </c>
      <c r="Y43" s="42">
        <f t="shared" si="11"/>
        <v>1</v>
      </c>
      <c r="Z43" s="42">
        <f t="shared" si="11"/>
        <v>1</v>
      </c>
      <c r="AA43" s="42">
        <f t="shared" si="11"/>
        <v>1</v>
      </c>
      <c r="AB43" s="42">
        <f t="shared" si="11"/>
        <v>1</v>
      </c>
      <c r="AC43" s="42">
        <f t="shared" si="11"/>
        <v>1</v>
      </c>
      <c r="AD43" s="42">
        <f t="shared" si="11"/>
        <v>1</v>
      </c>
      <c r="AE43" s="42">
        <f t="shared" si="11"/>
        <v>1</v>
      </c>
      <c r="AF43" s="42">
        <f t="shared" si="11"/>
        <v>1</v>
      </c>
      <c r="AG43" s="42">
        <f t="shared" si="11"/>
        <v>1</v>
      </c>
      <c r="AH43" s="42">
        <f t="shared" si="11"/>
        <v>1</v>
      </c>
      <c r="AI43" s="42">
        <f t="shared" si="11"/>
        <v>1</v>
      </c>
      <c r="AJ43" s="42">
        <f t="shared" si="11"/>
        <v>1</v>
      </c>
      <c r="AK43" s="42">
        <f t="shared" si="11"/>
        <v>1</v>
      </c>
      <c r="AL43" s="42">
        <f t="shared" si="11"/>
        <v>1</v>
      </c>
      <c r="AM43" s="42">
        <f t="shared" si="11"/>
        <v>1</v>
      </c>
      <c r="AN43" s="42">
        <f t="shared" si="11"/>
        <v>1</v>
      </c>
      <c r="AO43" s="42">
        <f t="shared" si="11"/>
        <v>1</v>
      </c>
      <c r="AP43" s="42">
        <f t="shared" si="11"/>
        <v>1</v>
      </c>
      <c r="AQ43" s="42">
        <f t="shared" si="11"/>
        <v>1</v>
      </c>
      <c r="AR43" s="42">
        <f t="shared" si="11"/>
        <v>1</v>
      </c>
      <c r="AS43" s="42">
        <f t="shared" si="11"/>
        <v>1</v>
      </c>
      <c r="AT43" s="42">
        <f t="shared" si="11"/>
        <v>1</v>
      </c>
      <c r="AU43" s="42">
        <f t="shared" si="11"/>
        <v>1</v>
      </c>
      <c r="AV43" s="42">
        <f t="shared" si="11"/>
        <v>1</v>
      </c>
      <c r="AW43" s="42">
        <f t="shared" si="11"/>
        <v>1</v>
      </c>
      <c r="AX43" s="42">
        <f t="shared" si="11"/>
        <v>1</v>
      </c>
      <c r="AY43" s="42">
        <f t="shared" si="11"/>
        <v>1</v>
      </c>
      <c r="AZ43" s="42">
        <f t="shared" si="11"/>
        <v>1</v>
      </c>
      <c r="BA43" s="42">
        <f t="shared" si="11"/>
        <v>1</v>
      </c>
      <c r="BB43" s="42">
        <f t="shared" si="11"/>
        <v>1</v>
      </c>
      <c r="BC43" s="42">
        <f t="shared" si="11"/>
        <v>1</v>
      </c>
      <c r="BD43" s="42">
        <f t="shared" si="11"/>
        <v>1</v>
      </c>
      <c r="BE43" s="42">
        <f t="shared" si="11"/>
        <v>1</v>
      </c>
      <c r="BF43" s="42">
        <f t="shared" si="11"/>
        <v>1</v>
      </c>
      <c r="BG43" s="42">
        <f t="shared" si="11"/>
        <v>1</v>
      </c>
      <c r="BH43" s="42">
        <f t="shared" si="11"/>
        <v>1</v>
      </c>
      <c r="BI43" s="42">
        <f t="shared" si="11"/>
        <v>1</v>
      </c>
      <c r="BJ43" s="42">
        <f t="shared" si="11"/>
        <v>1</v>
      </c>
      <c r="BK43" s="42">
        <f t="shared" si="11"/>
        <v>1</v>
      </c>
      <c r="BL43" s="42">
        <f t="shared" si="11"/>
        <v>1</v>
      </c>
      <c r="BM43" s="42">
        <f t="shared" si="11"/>
        <v>1</v>
      </c>
      <c r="BN43" s="42">
        <f t="shared" si="11"/>
        <v>1</v>
      </c>
      <c r="BO43" s="42">
        <f t="shared" si="11"/>
        <v>1</v>
      </c>
      <c r="BP43" s="42">
        <f t="shared" si="11"/>
        <v>1</v>
      </c>
      <c r="BQ43" s="42">
        <f t="shared" si="11"/>
        <v>1</v>
      </c>
      <c r="BR43" s="42">
        <f t="shared" si="11"/>
        <v>1</v>
      </c>
      <c r="BS43" s="42">
        <f t="shared" si="11"/>
        <v>1</v>
      </c>
      <c r="BT43" s="42">
        <f t="shared" si="11"/>
        <v>1</v>
      </c>
      <c r="BU43" s="42">
        <f t="shared" si="11"/>
        <v>1</v>
      </c>
      <c r="BV43" s="42">
        <f t="shared" ref="BV43:CJ43" si="12">IF($F$43=0,1,($F$43=BV41)*1)</f>
        <v>1</v>
      </c>
      <c r="BW43" s="42">
        <f t="shared" si="12"/>
        <v>1</v>
      </c>
      <c r="BX43" s="42">
        <f t="shared" si="12"/>
        <v>1</v>
      </c>
      <c r="BY43" s="42">
        <f t="shared" si="12"/>
        <v>1</v>
      </c>
      <c r="BZ43" s="42">
        <f t="shared" si="12"/>
        <v>1</v>
      </c>
      <c r="CA43" s="42">
        <f t="shared" si="12"/>
        <v>1</v>
      </c>
      <c r="CB43" s="42">
        <f t="shared" si="12"/>
        <v>1</v>
      </c>
      <c r="CC43" s="42">
        <f t="shared" si="12"/>
        <v>1</v>
      </c>
      <c r="CD43" s="42">
        <f t="shared" si="12"/>
        <v>1</v>
      </c>
      <c r="CE43" s="42">
        <f t="shared" si="12"/>
        <v>1</v>
      </c>
      <c r="CF43" s="42">
        <f t="shared" si="12"/>
        <v>1</v>
      </c>
      <c r="CG43" s="42">
        <f t="shared" si="12"/>
        <v>1</v>
      </c>
      <c r="CH43" s="42">
        <f t="shared" si="12"/>
        <v>1</v>
      </c>
      <c r="CI43" s="42">
        <f t="shared" si="12"/>
        <v>1</v>
      </c>
      <c r="CJ43" s="42">
        <f t="shared" si="12"/>
        <v>1</v>
      </c>
    </row>
    <row r="44" spans="2:88">
      <c r="B44" s="6"/>
      <c r="C44" s="1" t="s">
        <v>82</v>
      </c>
      <c r="D44" s="9" t="s">
        <v>80</v>
      </c>
      <c r="I44" s="42">
        <f>I42*I43</f>
        <v>0</v>
      </c>
      <c r="J44" s="42">
        <f t="shared" ref="J44:BU44" si="13">J42*J43</f>
        <v>0</v>
      </c>
      <c r="K44" s="42">
        <f t="shared" si="13"/>
        <v>0</v>
      </c>
      <c r="L44" s="42">
        <f t="shared" si="13"/>
        <v>0</v>
      </c>
      <c r="M44" s="42">
        <f t="shared" si="13"/>
        <v>0</v>
      </c>
      <c r="N44" s="42">
        <f t="shared" si="13"/>
        <v>0</v>
      </c>
      <c r="O44" s="42">
        <f t="shared" si="13"/>
        <v>0</v>
      </c>
      <c r="P44" s="42">
        <f t="shared" si="13"/>
        <v>0</v>
      </c>
      <c r="Q44" s="42">
        <f t="shared" si="13"/>
        <v>0</v>
      </c>
      <c r="R44" s="42">
        <f t="shared" si="13"/>
        <v>0</v>
      </c>
      <c r="S44" s="42">
        <f t="shared" si="13"/>
        <v>0</v>
      </c>
      <c r="T44" s="42">
        <f t="shared" si="13"/>
        <v>0</v>
      </c>
      <c r="U44" s="42">
        <f t="shared" si="13"/>
        <v>0</v>
      </c>
      <c r="V44" s="42">
        <f t="shared" si="13"/>
        <v>0</v>
      </c>
      <c r="W44" s="42">
        <f t="shared" si="13"/>
        <v>0</v>
      </c>
      <c r="X44" s="42">
        <f t="shared" si="13"/>
        <v>0</v>
      </c>
      <c r="Y44" s="42">
        <f t="shared" si="13"/>
        <v>0</v>
      </c>
      <c r="Z44" s="42">
        <f t="shared" si="13"/>
        <v>0</v>
      </c>
      <c r="AA44" s="42">
        <f t="shared" si="13"/>
        <v>0</v>
      </c>
      <c r="AB44" s="42">
        <f t="shared" si="13"/>
        <v>0</v>
      </c>
      <c r="AC44" s="42">
        <f t="shared" si="13"/>
        <v>1</v>
      </c>
      <c r="AD44" s="42">
        <f t="shared" si="13"/>
        <v>1</v>
      </c>
      <c r="AE44" s="42">
        <f t="shared" si="13"/>
        <v>1</v>
      </c>
      <c r="AF44" s="42">
        <f t="shared" si="13"/>
        <v>1</v>
      </c>
      <c r="AG44" s="42">
        <f t="shared" si="13"/>
        <v>0</v>
      </c>
      <c r="AH44" s="42">
        <f t="shared" si="13"/>
        <v>0</v>
      </c>
      <c r="AI44" s="42">
        <f t="shared" si="13"/>
        <v>0</v>
      </c>
      <c r="AJ44" s="42">
        <f t="shared" si="13"/>
        <v>0</v>
      </c>
      <c r="AK44" s="42">
        <f t="shared" si="13"/>
        <v>0</v>
      </c>
      <c r="AL44" s="42">
        <f t="shared" si="13"/>
        <v>0</v>
      </c>
      <c r="AM44" s="42">
        <f t="shared" si="13"/>
        <v>0</v>
      </c>
      <c r="AN44" s="42">
        <f t="shared" si="13"/>
        <v>0</v>
      </c>
      <c r="AO44" s="42">
        <f t="shared" si="13"/>
        <v>0</v>
      </c>
      <c r="AP44" s="42">
        <f t="shared" si="13"/>
        <v>0</v>
      </c>
      <c r="AQ44" s="42">
        <f t="shared" si="13"/>
        <v>0</v>
      </c>
      <c r="AR44" s="42">
        <f t="shared" si="13"/>
        <v>0</v>
      </c>
      <c r="AS44" s="42">
        <f t="shared" si="13"/>
        <v>0</v>
      </c>
      <c r="AT44" s="42">
        <f t="shared" si="13"/>
        <v>0</v>
      </c>
      <c r="AU44" s="42">
        <f t="shared" si="13"/>
        <v>0</v>
      </c>
      <c r="AV44" s="42">
        <f t="shared" si="13"/>
        <v>0</v>
      </c>
      <c r="AW44" s="42">
        <f t="shared" si="13"/>
        <v>1</v>
      </c>
      <c r="AX44" s="42">
        <f t="shared" si="13"/>
        <v>1</v>
      </c>
      <c r="AY44" s="42">
        <f t="shared" si="13"/>
        <v>1</v>
      </c>
      <c r="AZ44" s="42">
        <f t="shared" si="13"/>
        <v>1</v>
      </c>
      <c r="BA44" s="42">
        <f t="shared" si="13"/>
        <v>0</v>
      </c>
      <c r="BB44" s="42">
        <f t="shared" si="13"/>
        <v>0</v>
      </c>
      <c r="BC44" s="42">
        <f t="shared" si="13"/>
        <v>0</v>
      </c>
      <c r="BD44" s="42">
        <f t="shared" si="13"/>
        <v>0</v>
      </c>
      <c r="BE44" s="42">
        <f t="shared" si="13"/>
        <v>0</v>
      </c>
      <c r="BF44" s="42">
        <f t="shared" si="13"/>
        <v>0</v>
      </c>
      <c r="BG44" s="42">
        <f t="shared" si="13"/>
        <v>0</v>
      </c>
      <c r="BH44" s="42">
        <f t="shared" si="13"/>
        <v>0</v>
      </c>
      <c r="BI44" s="42">
        <f t="shared" si="13"/>
        <v>0</v>
      </c>
      <c r="BJ44" s="42">
        <f t="shared" si="13"/>
        <v>0</v>
      </c>
      <c r="BK44" s="42">
        <f t="shared" si="13"/>
        <v>0</v>
      </c>
      <c r="BL44" s="42">
        <f t="shared" si="13"/>
        <v>0</v>
      </c>
      <c r="BM44" s="42">
        <f t="shared" si="13"/>
        <v>0</v>
      </c>
      <c r="BN44" s="42">
        <f t="shared" si="13"/>
        <v>0</v>
      </c>
      <c r="BO44" s="42">
        <f t="shared" si="13"/>
        <v>0</v>
      </c>
      <c r="BP44" s="42">
        <f t="shared" si="13"/>
        <v>0</v>
      </c>
      <c r="BQ44" s="42">
        <f t="shared" si="13"/>
        <v>1</v>
      </c>
      <c r="BR44" s="42">
        <f t="shared" si="13"/>
        <v>1</v>
      </c>
      <c r="BS44" s="42">
        <f t="shared" si="13"/>
        <v>1</v>
      </c>
      <c r="BT44" s="42">
        <f t="shared" si="13"/>
        <v>1</v>
      </c>
      <c r="BU44" s="42">
        <f t="shared" si="13"/>
        <v>0</v>
      </c>
      <c r="BV44" s="42">
        <f t="shared" ref="BV44:CJ44" si="14">BV42*BV43</f>
        <v>0</v>
      </c>
      <c r="BW44" s="42">
        <f t="shared" si="14"/>
        <v>0</v>
      </c>
      <c r="BX44" s="42">
        <f t="shared" si="14"/>
        <v>0</v>
      </c>
      <c r="BY44" s="42">
        <f t="shared" si="14"/>
        <v>0</v>
      </c>
      <c r="BZ44" s="42">
        <f t="shared" si="14"/>
        <v>0</v>
      </c>
      <c r="CA44" s="42">
        <f t="shared" si="14"/>
        <v>0</v>
      </c>
      <c r="CB44" s="42">
        <f t="shared" si="14"/>
        <v>0</v>
      </c>
      <c r="CC44" s="42">
        <f t="shared" si="14"/>
        <v>0</v>
      </c>
      <c r="CD44" s="42">
        <f t="shared" si="14"/>
        <v>0</v>
      </c>
      <c r="CE44" s="42">
        <f t="shared" si="14"/>
        <v>0</v>
      </c>
      <c r="CF44" s="42">
        <f t="shared" si="14"/>
        <v>0</v>
      </c>
      <c r="CG44" s="42">
        <f t="shared" si="14"/>
        <v>0</v>
      </c>
      <c r="CH44" s="42">
        <f t="shared" si="14"/>
        <v>0</v>
      </c>
      <c r="CI44" s="42">
        <f t="shared" si="14"/>
        <v>0</v>
      </c>
      <c r="CJ44" s="42">
        <f t="shared" si="14"/>
        <v>0</v>
      </c>
    </row>
    <row r="45" spans="2:88">
      <c r="B45" s="6"/>
      <c r="D45" s="9"/>
    </row>
    <row r="46" spans="2:88">
      <c r="B46" s="6"/>
      <c r="C46" s="1" t="s">
        <v>26</v>
      </c>
      <c r="D46" s="9" t="s">
        <v>1</v>
      </c>
      <c r="F46" s="43">
        <f>G22/IF(F43=0,4,1)</f>
        <v>25000</v>
      </c>
      <c r="G46" s="29">
        <f>SUM(I46:CJ46)</f>
        <v>300000</v>
      </c>
      <c r="I46" s="1">
        <f>$F46*I44</f>
        <v>0</v>
      </c>
      <c r="J46" s="1">
        <f t="shared" ref="J46:BU46" si="15">$F46*J44</f>
        <v>0</v>
      </c>
      <c r="K46" s="1">
        <f t="shared" si="15"/>
        <v>0</v>
      </c>
      <c r="L46" s="1">
        <f t="shared" si="15"/>
        <v>0</v>
      </c>
      <c r="M46" s="1">
        <f t="shared" si="15"/>
        <v>0</v>
      </c>
      <c r="N46" s="1">
        <f t="shared" si="15"/>
        <v>0</v>
      </c>
      <c r="O46" s="1">
        <f t="shared" si="15"/>
        <v>0</v>
      </c>
      <c r="P46" s="1">
        <f t="shared" si="15"/>
        <v>0</v>
      </c>
      <c r="Q46" s="1">
        <f t="shared" si="15"/>
        <v>0</v>
      </c>
      <c r="R46" s="1">
        <f t="shared" si="15"/>
        <v>0</v>
      </c>
      <c r="S46" s="1">
        <f t="shared" si="15"/>
        <v>0</v>
      </c>
      <c r="T46" s="1">
        <f t="shared" si="15"/>
        <v>0</v>
      </c>
      <c r="U46" s="1">
        <f t="shared" si="15"/>
        <v>0</v>
      </c>
      <c r="V46" s="1">
        <f t="shared" si="15"/>
        <v>0</v>
      </c>
      <c r="W46" s="1">
        <f t="shared" si="15"/>
        <v>0</v>
      </c>
      <c r="X46" s="1">
        <f t="shared" si="15"/>
        <v>0</v>
      </c>
      <c r="Y46" s="1">
        <f t="shared" si="15"/>
        <v>0</v>
      </c>
      <c r="Z46" s="1">
        <f t="shared" si="15"/>
        <v>0</v>
      </c>
      <c r="AA46" s="1">
        <f t="shared" si="15"/>
        <v>0</v>
      </c>
      <c r="AB46" s="1">
        <f t="shared" si="15"/>
        <v>0</v>
      </c>
      <c r="AC46" s="1">
        <f t="shared" si="15"/>
        <v>25000</v>
      </c>
      <c r="AD46" s="1">
        <f t="shared" si="15"/>
        <v>25000</v>
      </c>
      <c r="AE46" s="1">
        <f t="shared" si="15"/>
        <v>25000</v>
      </c>
      <c r="AF46" s="1">
        <f t="shared" si="15"/>
        <v>25000</v>
      </c>
      <c r="AG46" s="1">
        <f t="shared" si="15"/>
        <v>0</v>
      </c>
      <c r="AH46" s="1">
        <f t="shared" si="15"/>
        <v>0</v>
      </c>
      <c r="AI46" s="1">
        <f t="shared" si="15"/>
        <v>0</v>
      </c>
      <c r="AJ46" s="1">
        <f t="shared" si="15"/>
        <v>0</v>
      </c>
      <c r="AK46" s="1">
        <f t="shared" si="15"/>
        <v>0</v>
      </c>
      <c r="AL46" s="1">
        <f t="shared" si="15"/>
        <v>0</v>
      </c>
      <c r="AM46" s="1">
        <f t="shared" si="15"/>
        <v>0</v>
      </c>
      <c r="AN46" s="1">
        <f t="shared" si="15"/>
        <v>0</v>
      </c>
      <c r="AO46" s="1">
        <f t="shared" si="15"/>
        <v>0</v>
      </c>
      <c r="AP46" s="1">
        <f t="shared" si="15"/>
        <v>0</v>
      </c>
      <c r="AQ46" s="1">
        <f t="shared" si="15"/>
        <v>0</v>
      </c>
      <c r="AR46" s="1">
        <f t="shared" si="15"/>
        <v>0</v>
      </c>
      <c r="AS46" s="1">
        <f t="shared" si="15"/>
        <v>0</v>
      </c>
      <c r="AT46" s="1">
        <f t="shared" si="15"/>
        <v>0</v>
      </c>
      <c r="AU46" s="1">
        <f t="shared" si="15"/>
        <v>0</v>
      </c>
      <c r="AV46" s="1">
        <f t="shared" si="15"/>
        <v>0</v>
      </c>
      <c r="AW46" s="1">
        <f t="shared" si="15"/>
        <v>25000</v>
      </c>
      <c r="AX46" s="1">
        <f t="shared" si="15"/>
        <v>25000</v>
      </c>
      <c r="AY46" s="1">
        <f t="shared" si="15"/>
        <v>25000</v>
      </c>
      <c r="AZ46" s="1">
        <f t="shared" si="15"/>
        <v>25000</v>
      </c>
      <c r="BA46" s="1">
        <f t="shared" si="15"/>
        <v>0</v>
      </c>
      <c r="BB46" s="1">
        <f t="shared" si="15"/>
        <v>0</v>
      </c>
      <c r="BC46" s="1">
        <f t="shared" si="15"/>
        <v>0</v>
      </c>
      <c r="BD46" s="1">
        <f t="shared" si="15"/>
        <v>0</v>
      </c>
      <c r="BE46" s="1">
        <f t="shared" si="15"/>
        <v>0</v>
      </c>
      <c r="BF46" s="1">
        <f t="shared" si="15"/>
        <v>0</v>
      </c>
      <c r="BG46" s="1">
        <f t="shared" si="15"/>
        <v>0</v>
      </c>
      <c r="BH46" s="1">
        <f t="shared" si="15"/>
        <v>0</v>
      </c>
      <c r="BI46" s="1">
        <f t="shared" si="15"/>
        <v>0</v>
      </c>
      <c r="BJ46" s="1">
        <f t="shared" si="15"/>
        <v>0</v>
      </c>
      <c r="BK46" s="1">
        <f t="shared" si="15"/>
        <v>0</v>
      </c>
      <c r="BL46" s="1">
        <f t="shared" si="15"/>
        <v>0</v>
      </c>
      <c r="BM46" s="1">
        <f t="shared" si="15"/>
        <v>0</v>
      </c>
      <c r="BN46" s="1">
        <f t="shared" si="15"/>
        <v>0</v>
      </c>
      <c r="BO46" s="1">
        <f t="shared" si="15"/>
        <v>0</v>
      </c>
      <c r="BP46" s="1">
        <f t="shared" si="15"/>
        <v>0</v>
      </c>
      <c r="BQ46" s="1">
        <f t="shared" si="15"/>
        <v>25000</v>
      </c>
      <c r="BR46" s="1">
        <f t="shared" si="15"/>
        <v>25000</v>
      </c>
      <c r="BS46" s="1">
        <f t="shared" si="15"/>
        <v>25000</v>
      </c>
      <c r="BT46" s="1">
        <f t="shared" si="15"/>
        <v>25000</v>
      </c>
      <c r="BU46" s="1">
        <f t="shared" si="15"/>
        <v>0</v>
      </c>
      <c r="BV46" s="1">
        <f t="shared" ref="BV46:CJ46" si="16">$F46*BV44</f>
        <v>0</v>
      </c>
      <c r="BW46" s="1">
        <f t="shared" si="16"/>
        <v>0</v>
      </c>
      <c r="BX46" s="1">
        <f t="shared" si="16"/>
        <v>0</v>
      </c>
      <c r="BY46" s="1">
        <f t="shared" si="16"/>
        <v>0</v>
      </c>
      <c r="BZ46" s="1">
        <f t="shared" si="16"/>
        <v>0</v>
      </c>
      <c r="CA46" s="1">
        <f t="shared" si="16"/>
        <v>0</v>
      </c>
      <c r="CB46" s="1">
        <f t="shared" si="16"/>
        <v>0</v>
      </c>
      <c r="CC46" s="1">
        <f t="shared" si="16"/>
        <v>0</v>
      </c>
      <c r="CD46" s="1">
        <f t="shared" si="16"/>
        <v>0</v>
      </c>
      <c r="CE46" s="1">
        <f t="shared" si="16"/>
        <v>0</v>
      </c>
      <c r="CF46" s="1">
        <f t="shared" si="16"/>
        <v>0</v>
      </c>
      <c r="CG46" s="1">
        <f t="shared" si="16"/>
        <v>0</v>
      </c>
      <c r="CH46" s="1">
        <f t="shared" si="16"/>
        <v>0</v>
      </c>
      <c r="CI46" s="1">
        <f t="shared" si="16"/>
        <v>0</v>
      </c>
      <c r="CJ46" s="1">
        <f t="shared" si="16"/>
        <v>0</v>
      </c>
    </row>
    <row r="47" spans="2:88">
      <c r="B47" s="6"/>
      <c r="D47" s="9"/>
    </row>
    <row r="48" spans="2:88">
      <c r="B48" s="6"/>
      <c r="D48" s="9"/>
    </row>
    <row r="49" spans="1:88">
      <c r="A49" s="7" t="s">
        <v>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</row>
  </sheetData>
  <dataValidations count="1">
    <dataValidation type="list" allowBlank="1" showInputMessage="1" showErrorMessage="1" sqref="G25" xr:uid="{00000000-0002-0000-0A00-000000000000}">
      <formula1>$C$27:$C$31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  <pageSetUpPr autoPageBreaks="0"/>
  </sheetPr>
  <dimension ref="A1:VD49"/>
  <sheetViews>
    <sheetView showGridLines="0" zoomScale="90" zoomScaleNormal="90" workbookViewId="0">
      <pane xSplit="8" ySplit="1" topLeftCell="I6" activePane="bottomRight" state="frozen"/>
      <selection activeCell="G59" sqref="G59"/>
      <selection pane="topRight" activeCell="G59" sqref="G59"/>
      <selection pane="bottomLeft" activeCell="G59" sqref="G59"/>
      <selection pane="bottomRight" activeCell="C38" sqref="C38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270" width="12.77734375" style="1" customWidth="1"/>
    <col min="271" max="450" width="12.6640625" style="1" hidden="1" customWidth="1"/>
    <col min="451" max="576" width="0" style="1" hidden="1" customWidth="1"/>
    <col min="577" max="16384" width="12.6640625" style="1" hidden="1"/>
  </cols>
  <sheetData>
    <row r="1" spans="1:269">
      <c r="A1" s="7" t="s">
        <v>71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</row>
    <row r="2" spans="1:269">
      <c r="D2" s="9"/>
    </row>
    <row r="3" spans="1:269">
      <c r="B3" s="6" t="s">
        <v>9</v>
      </c>
      <c r="D3" s="9"/>
    </row>
    <row r="4" spans="1:269">
      <c r="C4" s="1" t="s">
        <v>38</v>
      </c>
      <c r="D4" s="9"/>
    </row>
    <row r="5" spans="1:269">
      <c r="C5" s="1" t="s">
        <v>39</v>
      </c>
      <c r="D5" s="9"/>
    </row>
    <row r="6" spans="1:269">
      <c r="C6" s="28" t="s">
        <v>40</v>
      </c>
      <c r="D6" s="9"/>
    </row>
    <row r="7" spans="1:269">
      <c r="C7" s="1" t="s">
        <v>41</v>
      </c>
      <c r="D7" s="9"/>
    </row>
    <row r="8" spans="1:269">
      <c r="D8" s="9"/>
    </row>
    <row r="9" spans="1:269">
      <c r="C9" s="1" t="s">
        <v>42</v>
      </c>
      <c r="D9" s="9"/>
    </row>
    <row r="10" spans="1:269">
      <c r="C10" s="1" t="s">
        <v>43</v>
      </c>
      <c r="D10" s="9"/>
    </row>
    <row r="11" spans="1:269">
      <c r="C11" s="1" t="s">
        <v>44</v>
      </c>
      <c r="D11" s="9"/>
    </row>
    <row r="12" spans="1:269">
      <c r="D12" s="9"/>
    </row>
    <row r="13" spans="1:269">
      <c r="B13" s="6" t="s">
        <v>22</v>
      </c>
      <c r="D13" s="9"/>
    </row>
    <row r="14" spans="1:269">
      <c r="B14" s="6"/>
      <c r="C14" s="5" t="s">
        <v>45</v>
      </c>
      <c r="D14" s="9"/>
    </row>
    <row r="15" spans="1:269">
      <c r="B15" s="6"/>
      <c r="C15" s="1" t="s">
        <v>24</v>
      </c>
      <c r="D15" s="9" t="s">
        <v>4</v>
      </c>
      <c r="G15" s="57">
        <f xml:space="preserve"> I15</f>
        <v>43831</v>
      </c>
      <c r="I15" s="16">
        <v>43831</v>
      </c>
      <c r="J15" s="16">
        <v>44197</v>
      </c>
      <c r="K15" s="16">
        <v>44562</v>
      </c>
      <c r="L15" s="16">
        <v>44927</v>
      </c>
      <c r="M15" s="16">
        <v>45292</v>
      </c>
      <c r="N15" s="17" t="s">
        <v>46</v>
      </c>
      <c r="O15" s="17" t="s">
        <v>46</v>
      </c>
      <c r="P15" s="17" t="s">
        <v>46</v>
      </c>
      <c r="Q15" s="17" t="s">
        <v>46</v>
      </c>
      <c r="R15" s="17" t="s">
        <v>46</v>
      </c>
      <c r="S15" s="17" t="s">
        <v>46</v>
      </c>
      <c r="T15" s="17" t="s">
        <v>46</v>
      </c>
      <c r="U15" s="17" t="s">
        <v>46</v>
      </c>
      <c r="V15" s="17" t="s">
        <v>46</v>
      </c>
      <c r="W15" s="17" t="s">
        <v>46</v>
      </c>
      <c r="X15" s="17" t="s">
        <v>46</v>
      </c>
      <c r="Y15" s="17" t="s">
        <v>46</v>
      </c>
      <c r="Z15" s="17" t="s">
        <v>46</v>
      </c>
      <c r="AA15" s="17" t="s">
        <v>46</v>
      </c>
      <c r="AB15" s="17" t="s">
        <v>46</v>
      </c>
      <c r="AC15" s="17" t="s">
        <v>46</v>
      </c>
      <c r="AD15" s="17" t="s">
        <v>46</v>
      </c>
      <c r="AE15" s="17" t="s">
        <v>46</v>
      </c>
      <c r="AF15" s="17" t="s">
        <v>46</v>
      </c>
      <c r="AG15" s="17" t="s">
        <v>46</v>
      </c>
      <c r="AH15" s="17" t="s">
        <v>46</v>
      </c>
      <c r="AI15" s="17" t="s">
        <v>46</v>
      </c>
      <c r="AJ15" s="17" t="s">
        <v>46</v>
      </c>
      <c r="AK15" s="17" t="s">
        <v>46</v>
      </c>
      <c r="AL15" s="17" t="s">
        <v>46</v>
      </c>
      <c r="AM15" s="17" t="s">
        <v>46</v>
      </c>
      <c r="AN15" s="17" t="s">
        <v>46</v>
      </c>
      <c r="AO15" s="17" t="s">
        <v>46</v>
      </c>
      <c r="AP15" s="17" t="s">
        <v>46</v>
      </c>
      <c r="AQ15" s="17" t="s">
        <v>46</v>
      </c>
      <c r="AR15" s="17" t="s">
        <v>46</v>
      </c>
      <c r="AS15" s="17" t="s">
        <v>46</v>
      </c>
      <c r="AT15" s="17" t="s">
        <v>46</v>
      </c>
      <c r="AU15" s="17" t="s">
        <v>46</v>
      </c>
      <c r="AV15" s="17" t="s">
        <v>46</v>
      </c>
      <c r="AW15" s="17" t="s">
        <v>46</v>
      </c>
      <c r="AX15" s="17" t="s">
        <v>46</v>
      </c>
      <c r="AY15" s="17" t="s">
        <v>46</v>
      </c>
      <c r="AZ15" s="17" t="s">
        <v>46</v>
      </c>
      <c r="BA15" s="17" t="s">
        <v>46</v>
      </c>
      <c r="BB15" s="17" t="s">
        <v>46</v>
      </c>
      <c r="BC15" s="17" t="s">
        <v>46</v>
      </c>
      <c r="BD15" s="17" t="s">
        <v>46</v>
      </c>
      <c r="BE15" s="17" t="s">
        <v>46</v>
      </c>
      <c r="BF15" s="17" t="s">
        <v>46</v>
      </c>
      <c r="BG15" s="17" t="s">
        <v>46</v>
      </c>
      <c r="BH15" s="17" t="s">
        <v>46</v>
      </c>
      <c r="BI15" s="17" t="s">
        <v>46</v>
      </c>
      <c r="BJ15" s="17" t="s">
        <v>46</v>
      </c>
      <c r="BK15" s="17" t="s">
        <v>46</v>
      </c>
      <c r="BL15" s="17" t="s">
        <v>46</v>
      </c>
      <c r="BM15" s="17" t="s">
        <v>46</v>
      </c>
      <c r="BN15" s="17" t="s">
        <v>46</v>
      </c>
      <c r="BO15" s="17" t="s">
        <v>46</v>
      </c>
      <c r="BP15" s="17" t="s">
        <v>46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</row>
    <row r="16" spans="1:269">
      <c r="B16" s="6"/>
      <c r="C16" s="1" t="s">
        <v>25</v>
      </c>
      <c r="D16" s="9" t="s">
        <v>4</v>
      </c>
      <c r="G16" s="58">
        <f>M16</f>
        <v>45657</v>
      </c>
      <c r="I16" s="16">
        <v>44196</v>
      </c>
      <c r="J16" s="16">
        <v>44561</v>
      </c>
      <c r="K16" s="16">
        <v>44926</v>
      </c>
      <c r="L16" s="16">
        <v>45291</v>
      </c>
      <c r="M16" s="16">
        <v>45657</v>
      </c>
      <c r="N16" s="17" t="s">
        <v>46</v>
      </c>
      <c r="O16" s="17" t="s">
        <v>46</v>
      </c>
      <c r="P16" s="17" t="s">
        <v>46</v>
      </c>
      <c r="Q16" s="17" t="s">
        <v>46</v>
      </c>
      <c r="R16" s="17" t="s">
        <v>46</v>
      </c>
      <c r="S16" s="17" t="s">
        <v>46</v>
      </c>
      <c r="T16" s="17" t="s">
        <v>46</v>
      </c>
      <c r="U16" s="17" t="s">
        <v>46</v>
      </c>
      <c r="V16" s="17" t="s">
        <v>46</v>
      </c>
      <c r="W16" s="17" t="s">
        <v>46</v>
      </c>
      <c r="X16" s="17" t="s">
        <v>46</v>
      </c>
      <c r="Y16" s="17" t="s">
        <v>46</v>
      </c>
      <c r="Z16" s="17" t="s">
        <v>46</v>
      </c>
      <c r="AA16" s="17" t="s">
        <v>46</v>
      </c>
      <c r="AB16" s="17" t="s">
        <v>46</v>
      </c>
      <c r="AC16" s="17" t="s">
        <v>46</v>
      </c>
      <c r="AD16" s="17" t="s">
        <v>46</v>
      </c>
      <c r="AE16" s="17" t="s">
        <v>46</v>
      </c>
      <c r="AF16" s="17" t="s">
        <v>46</v>
      </c>
      <c r="AG16" s="17" t="s">
        <v>46</v>
      </c>
      <c r="AH16" s="17" t="s">
        <v>46</v>
      </c>
      <c r="AI16" s="17" t="s">
        <v>46</v>
      </c>
      <c r="AJ16" s="17" t="s">
        <v>46</v>
      </c>
      <c r="AK16" s="17" t="s">
        <v>46</v>
      </c>
      <c r="AL16" s="17" t="s">
        <v>46</v>
      </c>
      <c r="AM16" s="17" t="s">
        <v>46</v>
      </c>
      <c r="AN16" s="17" t="s">
        <v>46</v>
      </c>
      <c r="AO16" s="17" t="s">
        <v>46</v>
      </c>
      <c r="AP16" s="17" t="s">
        <v>46</v>
      </c>
      <c r="AQ16" s="17" t="s">
        <v>46</v>
      </c>
      <c r="AR16" s="17" t="s">
        <v>46</v>
      </c>
      <c r="AS16" s="17" t="s">
        <v>46</v>
      </c>
      <c r="AT16" s="17" t="s">
        <v>46</v>
      </c>
      <c r="AU16" s="17" t="s">
        <v>46</v>
      </c>
      <c r="AV16" s="17" t="s">
        <v>46</v>
      </c>
      <c r="AW16" s="17" t="s">
        <v>46</v>
      </c>
      <c r="AX16" s="17" t="s">
        <v>46</v>
      </c>
      <c r="AY16" s="17" t="s">
        <v>46</v>
      </c>
      <c r="AZ16" s="17" t="s">
        <v>46</v>
      </c>
      <c r="BA16" s="17" t="s">
        <v>46</v>
      </c>
      <c r="BB16" s="17" t="s">
        <v>46</v>
      </c>
      <c r="BC16" s="17" t="s">
        <v>46</v>
      </c>
      <c r="BD16" s="17" t="s">
        <v>46</v>
      </c>
      <c r="BE16" s="17" t="s">
        <v>46</v>
      </c>
      <c r="BF16" s="17" t="s">
        <v>46</v>
      </c>
      <c r="BG16" s="17" t="s">
        <v>46</v>
      </c>
      <c r="BH16" s="17" t="s">
        <v>46</v>
      </c>
      <c r="BI16" s="17" t="s">
        <v>46</v>
      </c>
      <c r="BJ16" s="17" t="s">
        <v>46</v>
      </c>
      <c r="BK16" s="17" t="s">
        <v>46</v>
      </c>
      <c r="BL16" s="17" t="s">
        <v>46</v>
      </c>
      <c r="BM16" s="17" t="s">
        <v>46</v>
      </c>
      <c r="BN16" s="17" t="s">
        <v>46</v>
      </c>
      <c r="BO16" s="17" t="s">
        <v>46</v>
      </c>
      <c r="BP16" s="17" t="s">
        <v>46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</row>
    <row r="17" spans="2:450">
      <c r="B17" s="6"/>
      <c r="D17" s="9"/>
    </row>
    <row r="18" spans="2:450">
      <c r="B18" s="6"/>
      <c r="C18" s="1" t="s">
        <v>7</v>
      </c>
      <c r="D18" s="9" t="s">
        <v>1</v>
      </c>
      <c r="G18" s="29">
        <f>SUM(I18:BP18)</f>
        <v>6275620</v>
      </c>
      <c r="I18" s="18">
        <v>1181842</v>
      </c>
      <c r="J18" s="18">
        <v>1218280</v>
      </c>
      <c r="K18" s="18">
        <v>1248832</v>
      </c>
      <c r="L18" s="18">
        <v>1300969</v>
      </c>
      <c r="M18" s="18">
        <v>1325697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</row>
    <row r="19" spans="2:450">
      <c r="B19" s="6"/>
      <c r="C19" s="1" t="s">
        <v>8</v>
      </c>
      <c r="D19" s="9" t="s">
        <v>1</v>
      </c>
      <c r="G19" s="30">
        <f>SUM(I19:BP19)</f>
        <v>-5135107</v>
      </c>
      <c r="I19" s="18">
        <v>-984369</v>
      </c>
      <c r="J19" s="18">
        <v>-978469</v>
      </c>
      <c r="K19" s="18">
        <v>-1026996</v>
      </c>
      <c r="L19" s="18">
        <v>-1057654</v>
      </c>
      <c r="M19" s="18">
        <v>-1087619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</row>
    <row r="20" spans="2:450">
      <c r="B20" s="6"/>
      <c r="C20" s="10" t="s">
        <v>47</v>
      </c>
      <c r="D20" s="9" t="s">
        <v>1</v>
      </c>
      <c r="G20" s="31">
        <f>SUM(I20:BP20)</f>
        <v>1140513</v>
      </c>
      <c r="I20" s="19">
        <v>197473</v>
      </c>
      <c r="J20" s="19">
        <v>239811</v>
      </c>
      <c r="K20" s="19">
        <v>221836</v>
      </c>
      <c r="L20" s="19">
        <v>243315</v>
      </c>
      <c r="M20" s="19">
        <v>238078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</row>
    <row r="21" spans="2:450">
      <c r="B21" s="6"/>
      <c r="D21" s="9"/>
    </row>
    <row r="22" spans="2:450">
      <c r="B22" s="6" t="s">
        <v>0</v>
      </c>
      <c r="D22" s="9"/>
    </row>
    <row r="23" spans="2:450">
      <c r="B23" s="6"/>
      <c r="C23" s="1" t="s">
        <v>48</v>
      </c>
      <c r="D23" s="9" t="s">
        <v>6</v>
      </c>
      <c r="G23" s="27" t="s">
        <v>51</v>
      </c>
    </row>
    <row r="24" spans="2:450">
      <c r="B24" s="6"/>
      <c r="C24" s="13" t="s">
        <v>32</v>
      </c>
      <c r="D24" s="9"/>
    </row>
    <row r="25" spans="2:450">
      <c r="B25" s="6"/>
      <c r="C25" s="5" t="s">
        <v>49</v>
      </c>
      <c r="D25" s="9"/>
    </row>
    <row r="26" spans="2:450">
      <c r="B26" s="6"/>
      <c r="C26" s="5" t="s">
        <v>50</v>
      </c>
      <c r="D26" s="9"/>
    </row>
    <row r="27" spans="2:450">
      <c r="B27" s="6"/>
      <c r="C27" s="5" t="s">
        <v>51</v>
      </c>
      <c r="D27" s="9"/>
    </row>
    <row r="28" spans="2:450">
      <c r="B28" s="6"/>
      <c r="D28" s="9"/>
    </row>
    <row r="29" spans="2:450">
      <c r="B29" s="6" t="s">
        <v>52</v>
      </c>
      <c r="D29" s="9"/>
    </row>
    <row r="30" spans="2:450">
      <c r="B30" s="6"/>
      <c r="C30" s="1" t="s">
        <v>53</v>
      </c>
      <c r="D30" s="9" t="s">
        <v>4</v>
      </c>
      <c r="I30" s="21">
        <v>43837</v>
      </c>
      <c r="J30" s="39">
        <f t="shared" ref="J30:BU30" si="0">I30+7</f>
        <v>43844</v>
      </c>
      <c r="K30" s="39">
        <f t="shared" si="0"/>
        <v>43851</v>
      </c>
      <c r="L30" s="39">
        <f t="shared" si="0"/>
        <v>43858</v>
      </c>
      <c r="M30" s="39">
        <f t="shared" si="0"/>
        <v>43865</v>
      </c>
      <c r="N30" s="39">
        <f t="shared" si="0"/>
        <v>43872</v>
      </c>
      <c r="O30" s="39">
        <f t="shared" si="0"/>
        <v>43879</v>
      </c>
      <c r="P30" s="39">
        <f t="shared" si="0"/>
        <v>43886</v>
      </c>
      <c r="Q30" s="39">
        <f t="shared" si="0"/>
        <v>43893</v>
      </c>
      <c r="R30" s="39">
        <f t="shared" si="0"/>
        <v>43900</v>
      </c>
      <c r="S30" s="39">
        <f t="shared" si="0"/>
        <v>43907</v>
      </c>
      <c r="T30" s="39">
        <f t="shared" si="0"/>
        <v>43914</v>
      </c>
      <c r="U30" s="39">
        <f t="shared" si="0"/>
        <v>43921</v>
      </c>
      <c r="V30" s="39">
        <f t="shared" si="0"/>
        <v>43928</v>
      </c>
      <c r="W30" s="39">
        <f t="shared" si="0"/>
        <v>43935</v>
      </c>
      <c r="X30" s="39">
        <f t="shared" si="0"/>
        <v>43942</v>
      </c>
      <c r="Y30" s="39">
        <f t="shared" si="0"/>
        <v>43949</v>
      </c>
      <c r="Z30" s="39">
        <f t="shared" si="0"/>
        <v>43956</v>
      </c>
      <c r="AA30" s="39">
        <f t="shared" si="0"/>
        <v>43963</v>
      </c>
      <c r="AB30" s="39">
        <f t="shared" si="0"/>
        <v>43970</v>
      </c>
      <c r="AC30" s="39">
        <f t="shared" si="0"/>
        <v>43977</v>
      </c>
      <c r="AD30" s="39">
        <f t="shared" si="0"/>
        <v>43984</v>
      </c>
      <c r="AE30" s="39">
        <f t="shared" si="0"/>
        <v>43991</v>
      </c>
      <c r="AF30" s="39">
        <f t="shared" si="0"/>
        <v>43998</v>
      </c>
      <c r="AG30" s="39">
        <f t="shared" si="0"/>
        <v>44005</v>
      </c>
      <c r="AH30" s="39">
        <f t="shared" si="0"/>
        <v>44012</v>
      </c>
      <c r="AI30" s="39">
        <f t="shared" si="0"/>
        <v>44019</v>
      </c>
      <c r="AJ30" s="39">
        <f t="shared" si="0"/>
        <v>44026</v>
      </c>
      <c r="AK30" s="39">
        <f t="shared" si="0"/>
        <v>44033</v>
      </c>
      <c r="AL30" s="39">
        <f t="shared" si="0"/>
        <v>44040</v>
      </c>
      <c r="AM30" s="39">
        <f t="shared" si="0"/>
        <v>44047</v>
      </c>
      <c r="AN30" s="39">
        <f t="shared" si="0"/>
        <v>44054</v>
      </c>
      <c r="AO30" s="39">
        <f t="shared" si="0"/>
        <v>44061</v>
      </c>
      <c r="AP30" s="39">
        <f t="shared" si="0"/>
        <v>44068</v>
      </c>
      <c r="AQ30" s="39">
        <f t="shared" si="0"/>
        <v>44075</v>
      </c>
      <c r="AR30" s="39">
        <f t="shared" si="0"/>
        <v>44082</v>
      </c>
      <c r="AS30" s="39">
        <f t="shared" si="0"/>
        <v>44089</v>
      </c>
      <c r="AT30" s="39">
        <f t="shared" si="0"/>
        <v>44096</v>
      </c>
      <c r="AU30" s="39">
        <f t="shared" si="0"/>
        <v>44103</v>
      </c>
      <c r="AV30" s="39">
        <f t="shared" si="0"/>
        <v>44110</v>
      </c>
      <c r="AW30" s="39">
        <f t="shared" si="0"/>
        <v>44117</v>
      </c>
      <c r="AX30" s="39">
        <f t="shared" si="0"/>
        <v>44124</v>
      </c>
      <c r="AY30" s="39">
        <f t="shared" si="0"/>
        <v>44131</v>
      </c>
      <c r="AZ30" s="39">
        <f t="shared" si="0"/>
        <v>44138</v>
      </c>
      <c r="BA30" s="39">
        <f t="shared" si="0"/>
        <v>44145</v>
      </c>
      <c r="BB30" s="39">
        <f t="shared" si="0"/>
        <v>44152</v>
      </c>
      <c r="BC30" s="39">
        <f t="shared" si="0"/>
        <v>44159</v>
      </c>
      <c r="BD30" s="39">
        <f t="shared" si="0"/>
        <v>44166</v>
      </c>
      <c r="BE30" s="39">
        <f t="shared" si="0"/>
        <v>44173</v>
      </c>
      <c r="BF30" s="39">
        <f t="shared" si="0"/>
        <v>44180</v>
      </c>
      <c r="BG30" s="39">
        <f t="shared" si="0"/>
        <v>44187</v>
      </c>
      <c r="BH30" s="39">
        <f t="shared" si="0"/>
        <v>44194</v>
      </c>
      <c r="BI30" s="39">
        <f t="shared" si="0"/>
        <v>44201</v>
      </c>
      <c r="BJ30" s="39">
        <f t="shared" si="0"/>
        <v>44208</v>
      </c>
      <c r="BK30" s="39">
        <f t="shared" si="0"/>
        <v>44215</v>
      </c>
      <c r="BL30" s="39">
        <f t="shared" si="0"/>
        <v>44222</v>
      </c>
      <c r="BM30" s="39">
        <f t="shared" si="0"/>
        <v>44229</v>
      </c>
      <c r="BN30" s="39">
        <f t="shared" si="0"/>
        <v>44236</v>
      </c>
      <c r="BO30" s="39">
        <f t="shared" si="0"/>
        <v>44243</v>
      </c>
      <c r="BP30" s="39">
        <f t="shared" si="0"/>
        <v>44250</v>
      </c>
      <c r="BQ30" s="39">
        <f t="shared" si="0"/>
        <v>44257</v>
      </c>
      <c r="BR30" s="39">
        <f t="shared" si="0"/>
        <v>44264</v>
      </c>
      <c r="BS30" s="39">
        <f t="shared" si="0"/>
        <v>44271</v>
      </c>
      <c r="BT30" s="39">
        <f t="shared" si="0"/>
        <v>44278</v>
      </c>
      <c r="BU30" s="39">
        <f t="shared" si="0"/>
        <v>44285</v>
      </c>
      <c r="BV30" s="39">
        <f t="shared" ref="BV30:EG30" si="1">BU30+7</f>
        <v>44292</v>
      </c>
      <c r="BW30" s="39">
        <f t="shared" si="1"/>
        <v>44299</v>
      </c>
      <c r="BX30" s="39">
        <f t="shared" si="1"/>
        <v>44306</v>
      </c>
      <c r="BY30" s="39">
        <f t="shared" si="1"/>
        <v>44313</v>
      </c>
      <c r="BZ30" s="39">
        <f t="shared" si="1"/>
        <v>44320</v>
      </c>
      <c r="CA30" s="39">
        <f t="shared" si="1"/>
        <v>44327</v>
      </c>
      <c r="CB30" s="39">
        <f t="shared" si="1"/>
        <v>44334</v>
      </c>
      <c r="CC30" s="39">
        <f t="shared" si="1"/>
        <v>44341</v>
      </c>
      <c r="CD30" s="39">
        <f t="shared" si="1"/>
        <v>44348</v>
      </c>
      <c r="CE30" s="39">
        <f t="shared" si="1"/>
        <v>44355</v>
      </c>
      <c r="CF30" s="39">
        <f t="shared" si="1"/>
        <v>44362</v>
      </c>
      <c r="CG30" s="39">
        <f t="shared" si="1"/>
        <v>44369</v>
      </c>
      <c r="CH30" s="39">
        <f t="shared" si="1"/>
        <v>44376</v>
      </c>
      <c r="CI30" s="39">
        <f t="shared" si="1"/>
        <v>44383</v>
      </c>
      <c r="CJ30" s="39">
        <f t="shared" si="1"/>
        <v>44390</v>
      </c>
      <c r="CK30" s="39">
        <f t="shared" si="1"/>
        <v>44397</v>
      </c>
      <c r="CL30" s="39">
        <f t="shared" si="1"/>
        <v>44404</v>
      </c>
      <c r="CM30" s="39">
        <f t="shared" si="1"/>
        <v>44411</v>
      </c>
      <c r="CN30" s="39">
        <f t="shared" si="1"/>
        <v>44418</v>
      </c>
      <c r="CO30" s="39">
        <f t="shared" si="1"/>
        <v>44425</v>
      </c>
      <c r="CP30" s="39">
        <f t="shared" si="1"/>
        <v>44432</v>
      </c>
      <c r="CQ30" s="39">
        <f t="shared" si="1"/>
        <v>44439</v>
      </c>
      <c r="CR30" s="39">
        <f t="shared" si="1"/>
        <v>44446</v>
      </c>
      <c r="CS30" s="39">
        <f t="shared" si="1"/>
        <v>44453</v>
      </c>
      <c r="CT30" s="39">
        <f t="shared" si="1"/>
        <v>44460</v>
      </c>
      <c r="CU30" s="39">
        <f t="shared" si="1"/>
        <v>44467</v>
      </c>
      <c r="CV30" s="39">
        <f t="shared" si="1"/>
        <v>44474</v>
      </c>
      <c r="CW30" s="39">
        <f t="shared" si="1"/>
        <v>44481</v>
      </c>
      <c r="CX30" s="39">
        <f t="shared" si="1"/>
        <v>44488</v>
      </c>
      <c r="CY30" s="39">
        <f t="shared" si="1"/>
        <v>44495</v>
      </c>
      <c r="CZ30" s="39">
        <f t="shared" si="1"/>
        <v>44502</v>
      </c>
      <c r="DA30" s="39">
        <f t="shared" si="1"/>
        <v>44509</v>
      </c>
      <c r="DB30" s="39">
        <f t="shared" si="1"/>
        <v>44516</v>
      </c>
      <c r="DC30" s="39">
        <f t="shared" si="1"/>
        <v>44523</v>
      </c>
      <c r="DD30" s="39">
        <f t="shared" si="1"/>
        <v>44530</v>
      </c>
      <c r="DE30" s="39">
        <f t="shared" si="1"/>
        <v>44537</v>
      </c>
      <c r="DF30" s="39">
        <f t="shared" si="1"/>
        <v>44544</v>
      </c>
      <c r="DG30" s="39">
        <f t="shared" si="1"/>
        <v>44551</v>
      </c>
      <c r="DH30" s="39">
        <f t="shared" si="1"/>
        <v>44558</v>
      </c>
      <c r="DI30" s="39">
        <f t="shared" si="1"/>
        <v>44565</v>
      </c>
      <c r="DJ30" s="39">
        <f t="shared" si="1"/>
        <v>44572</v>
      </c>
      <c r="DK30" s="39">
        <f t="shared" si="1"/>
        <v>44579</v>
      </c>
      <c r="DL30" s="39">
        <f t="shared" si="1"/>
        <v>44586</v>
      </c>
      <c r="DM30" s="39">
        <f t="shared" si="1"/>
        <v>44593</v>
      </c>
      <c r="DN30" s="39">
        <f t="shared" si="1"/>
        <v>44600</v>
      </c>
      <c r="DO30" s="39">
        <f t="shared" si="1"/>
        <v>44607</v>
      </c>
      <c r="DP30" s="39">
        <f t="shared" si="1"/>
        <v>44614</v>
      </c>
      <c r="DQ30" s="39">
        <f t="shared" si="1"/>
        <v>44621</v>
      </c>
      <c r="DR30" s="39">
        <f t="shared" si="1"/>
        <v>44628</v>
      </c>
      <c r="DS30" s="39">
        <f t="shared" si="1"/>
        <v>44635</v>
      </c>
      <c r="DT30" s="39">
        <f t="shared" si="1"/>
        <v>44642</v>
      </c>
      <c r="DU30" s="39">
        <f t="shared" si="1"/>
        <v>44649</v>
      </c>
      <c r="DV30" s="39">
        <f t="shared" si="1"/>
        <v>44656</v>
      </c>
      <c r="DW30" s="39">
        <f t="shared" si="1"/>
        <v>44663</v>
      </c>
      <c r="DX30" s="39">
        <f t="shared" si="1"/>
        <v>44670</v>
      </c>
      <c r="DY30" s="39">
        <f t="shared" si="1"/>
        <v>44677</v>
      </c>
      <c r="DZ30" s="39">
        <f t="shared" si="1"/>
        <v>44684</v>
      </c>
      <c r="EA30" s="39">
        <f t="shared" si="1"/>
        <v>44691</v>
      </c>
      <c r="EB30" s="39">
        <f t="shared" si="1"/>
        <v>44698</v>
      </c>
      <c r="EC30" s="39">
        <f t="shared" si="1"/>
        <v>44705</v>
      </c>
      <c r="ED30" s="39">
        <f t="shared" si="1"/>
        <v>44712</v>
      </c>
      <c r="EE30" s="39">
        <f t="shared" si="1"/>
        <v>44719</v>
      </c>
      <c r="EF30" s="39">
        <f t="shared" si="1"/>
        <v>44726</v>
      </c>
      <c r="EG30" s="39">
        <f t="shared" si="1"/>
        <v>44733</v>
      </c>
      <c r="EH30" s="39">
        <f t="shared" ref="EH30:GS30" si="2">EG30+7</f>
        <v>44740</v>
      </c>
      <c r="EI30" s="39">
        <f t="shared" si="2"/>
        <v>44747</v>
      </c>
      <c r="EJ30" s="39">
        <f t="shared" si="2"/>
        <v>44754</v>
      </c>
      <c r="EK30" s="39">
        <f t="shared" si="2"/>
        <v>44761</v>
      </c>
      <c r="EL30" s="39">
        <f t="shared" si="2"/>
        <v>44768</v>
      </c>
      <c r="EM30" s="39">
        <f t="shared" si="2"/>
        <v>44775</v>
      </c>
      <c r="EN30" s="39">
        <f t="shared" si="2"/>
        <v>44782</v>
      </c>
      <c r="EO30" s="39">
        <f t="shared" si="2"/>
        <v>44789</v>
      </c>
      <c r="EP30" s="39">
        <f t="shared" si="2"/>
        <v>44796</v>
      </c>
      <c r="EQ30" s="39">
        <f t="shared" si="2"/>
        <v>44803</v>
      </c>
      <c r="ER30" s="39">
        <f t="shared" si="2"/>
        <v>44810</v>
      </c>
      <c r="ES30" s="39">
        <f t="shared" si="2"/>
        <v>44817</v>
      </c>
      <c r="ET30" s="39">
        <f t="shared" si="2"/>
        <v>44824</v>
      </c>
      <c r="EU30" s="39">
        <f t="shared" si="2"/>
        <v>44831</v>
      </c>
      <c r="EV30" s="39">
        <f t="shared" si="2"/>
        <v>44838</v>
      </c>
      <c r="EW30" s="39">
        <f t="shared" si="2"/>
        <v>44845</v>
      </c>
      <c r="EX30" s="39">
        <f t="shared" si="2"/>
        <v>44852</v>
      </c>
      <c r="EY30" s="39">
        <f t="shared" si="2"/>
        <v>44859</v>
      </c>
      <c r="EZ30" s="39">
        <f t="shared" si="2"/>
        <v>44866</v>
      </c>
      <c r="FA30" s="39">
        <f t="shared" si="2"/>
        <v>44873</v>
      </c>
      <c r="FB30" s="39">
        <f t="shared" si="2"/>
        <v>44880</v>
      </c>
      <c r="FC30" s="39">
        <f t="shared" si="2"/>
        <v>44887</v>
      </c>
      <c r="FD30" s="39">
        <f t="shared" si="2"/>
        <v>44894</v>
      </c>
      <c r="FE30" s="39">
        <f t="shared" si="2"/>
        <v>44901</v>
      </c>
      <c r="FF30" s="39">
        <f t="shared" si="2"/>
        <v>44908</v>
      </c>
      <c r="FG30" s="39">
        <f t="shared" si="2"/>
        <v>44915</v>
      </c>
      <c r="FH30" s="39">
        <f t="shared" si="2"/>
        <v>44922</v>
      </c>
      <c r="FI30" s="39">
        <f t="shared" si="2"/>
        <v>44929</v>
      </c>
      <c r="FJ30" s="39">
        <f t="shared" si="2"/>
        <v>44936</v>
      </c>
      <c r="FK30" s="39">
        <f t="shared" si="2"/>
        <v>44943</v>
      </c>
      <c r="FL30" s="39">
        <f t="shared" si="2"/>
        <v>44950</v>
      </c>
      <c r="FM30" s="39">
        <f t="shared" si="2"/>
        <v>44957</v>
      </c>
      <c r="FN30" s="39">
        <f t="shared" si="2"/>
        <v>44964</v>
      </c>
      <c r="FO30" s="39">
        <f t="shared" si="2"/>
        <v>44971</v>
      </c>
      <c r="FP30" s="39">
        <f t="shared" si="2"/>
        <v>44978</v>
      </c>
      <c r="FQ30" s="39">
        <f t="shared" si="2"/>
        <v>44985</v>
      </c>
      <c r="FR30" s="39">
        <f t="shared" si="2"/>
        <v>44992</v>
      </c>
      <c r="FS30" s="39">
        <f t="shared" si="2"/>
        <v>44999</v>
      </c>
      <c r="FT30" s="39">
        <f t="shared" si="2"/>
        <v>45006</v>
      </c>
      <c r="FU30" s="39">
        <f t="shared" si="2"/>
        <v>45013</v>
      </c>
      <c r="FV30" s="39">
        <f t="shared" si="2"/>
        <v>45020</v>
      </c>
      <c r="FW30" s="39">
        <f t="shared" si="2"/>
        <v>45027</v>
      </c>
      <c r="FX30" s="39">
        <f t="shared" si="2"/>
        <v>45034</v>
      </c>
      <c r="FY30" s="39">
        <f t="shared" si="2"/>
        <v>45041</v>
      </c>
      <c r="FZ30" s="39">
        <f t="shared" si="2"/>
        <v>45048</v>
      </c>
      <c r="GA30" s="39">
        <f t="shared" si="2"/>
        <v>45055</v>
      </c>
      <c r="GB30" s="39">
        <f t="shared" si="2"/>
        <v>45062</v>
      </c>
      <c r="GC30" s="39">
        <f t="shared" si="2"/>
        <v>45069</v>
      </c>
      <c r="GD30" s="39">
        <f t="shared" si="2"/>
        <v>45076</v>
      </c>
      <c r="GE30" s="39">
        <f t="shared" si="2"/>
        <v>45083</v>
      </c>
      <c r="GF30" s="39">
        <f t="shared" si="2"/>
        <v>45090</v>
      </c>
      <c r="GG30" s="39">
        <f t="shared" si="2"/>
        <v>45097</v>
      </c>
      <c r="GH30" s="39">
        <f t="shared" si="2"/>
        <v>45104</v>
      </c>
      <c r="GI30" s="39">
        <f t="shared" si="2"/>
        <v>45111</v>
      </c>
      <c r="GJ30" s="39">
        <f t="shared" si="2"/>
        <v>45118</v>
      </c>
      <c r="GK30" s="39">
        <f t="shared" si="2"/>
        <v>45125</v>
      </c>
      <c r="GL30" s="39">
        <f t="shared" si="2"/>
        <v>45132</v>
      </c>
      <c r="GM30" s="39">
        <f t="shared" si="2"/>
        <v>45139</v>
      </c>
      <c r="GN30" s="39">
        <f t="shared" si="2"/>
        <v>45146</v>
      </c>
      <c r="GO30" s="39">
        <f t="shared" si="2"/>
        <v>45153</v>
      </c>
      <c r="GP30" s="39">
        <f t="shared" si="2"/>
        <v>45160</v>
      </c>
      <c r="GQ30" s="39">
        <f t="shared" si="2"/>
        <v>45167</v>
      </c>
      <c r="GR30" s="39">
        <f t="shared" si="2"/>
        <v>45174</v>
      </c>
      <c r="GS30" s="39">
        <f t="shared" si="2"/>
        <v>45181</v>
      </c>
      <c r="GT30" s="39">
        <f t="shared" ref="GT30:JE30" si="3">GS30+7</f>
        <v>45188</v>
      </c>
      <c r="GU30" s="39">
        <f t="shared" si="3"/>
        <v>45195</v>
      </c>
      <c r="GV30" s="39">
        <f t="shared" si="3"/>
        <v>45202</v>
      </c>
      <c r="GW30" s="39">
        <f t="shared" si="3"/>
        <v>45209</v>
      </c>
      <c r="GX30" s="39">
        <f t="shared" si="3"/>
        <v>45216</v>
      </c>
      <c r="GY30" s="39">
        <f t="shared" si="3"/>
        <v>45223</v>
      </c>
      <c r="GZ30" s="39">
        <f t="shared" si="3"/>
        <v>45230</v>
      </c>
      <c r="HA30" s="39">
        <f t="shared" si="3"/>
        <v>45237</v>
      </c>
      <c r="HB30" s="39">
        <f t="shared" si="3"/>
        <v>45244</v>
      </c>
      <c r="HC30" s="39">
        <f t="shared" si="3"/>
        <v>45251</v>
      </c>
      <c r="HD30" s="39">
        <f t="shared" si="3"/>
        <v>45258</v>
      </c>
      <c r="HE30" s="39">
        <f t="shared" si="3"/>
        <v>45265</v>
      </c>
      <c r="HF30" s="39">
        <f t="shared" si="3"/>
        <v>45272</v>
      </c>
      <c r="HG30" s="39">
        <f t="shared" si="3"/>
        <v>45279</v>
      </c>
      <c r="HH30" s="39">
        <f t="shared" si="3"/>
        <v>45286</v>
      </c>
      <c r="HI30" s="39">
        <f t="shared" si="3"/>
        <v>45293</v>
      </c>
      <c r="HJ30" s="39">
        <f t="shared" si="3"/>
        <v>45300</v>
      </c>
      <c r="HK30" s="39">
        <f t="shared" si="3"/>
        <v>45307</v>
      </c>
      <c r="HL30" s="39">
        <f t="shared" si="3"/>
        <v>45314</v>
      </c>
      <c r="HM30" s="39">
        <f t="shared" si="3"/>
        <v>45321</v>
      </c>
      <c r="HN30" s="39">
        <f t="shared" si="3"/>
        <v>45328</v>
      </c>
      <c r="HO30" s="39">
        <f t="shared" si="3"/>
        <v>45335</v>
      </c>
      <c r="HP30" s="39">
        <f t="shared" si="3"/>
        <v>45342</v>
      </c>
      <c r="HQ30" s="39">
        <f t="shared" si="3"/>
        <v>45349</v>
      </c>
      <c r="HR30" s="39">
        <f t="shared" si="3"/>
        <v>45356</v>
      </c>
      <c r="HS30" s="39">
        <f t="shared" si="3"/>
        <v>45363</v>
      </c>
      <c r="HT30" s="39">
        <f t="shared" si="3"/>
        <v>45370</v>
      </c>
      <c r="HU30" s="39">
        <f t="shared" si="3"/>
        <v>45377</v>
      </c>
      <c r="HV30" s="39">
        <f t="shared" si="3"/>
        <v>45384</v>
      </c>
      <c r="HW30" s="39">
        <f t="shared" si="3"/>
        <v>45391</v>
      </c>
      <c r="HX30" s="39">
        <f t="shared" si="3"/>
        <v>45398</v>
      </c>
      <c r="HY30" s="39">
        <f t="shared" si="3"/>
        <v>45405</v>
      </c>
      <c r="HZ30" s="39">
        <f t="shared" si="3"/>
        <v>45412</v>
      </c>
      <c r="IA30" s="39">
        <f t="shared" si="3"/>
        <v>45419</v>
      </c>
      <c r="IB30" s="39">
        <f t="shared" si="3"/>
        <v>45426</v>
      </c>
      <c r="IC30" s="39">
        <f t="shared" si="3"/>
        <v>45433</v>
      </c>
      <c r="ID30" s="39">
        <f t="shared" si="3"/>
        <v>45440</v>
      </c>
      <c r="IE30" s="39">
        <f t="shared" si="3"/>
        <v>45447</v>
      </c>
      <c r="IF30" s="39">
        <f t="shared" si="3"/>
        <v>45454</v>
      </c>
      <c r="IG30" s="39">
        <f t="shared" si="3"/>
        <v>45461</v>
      </c>
      <c r="IH30" s="39">
        <f t="shared" si="3"/>
        <v>45468</v>
      </c>
      <c r="II30" s="39">
        <f t="shared" si="3"/>
        <v>45475</v>
      </c>
      <c r="IJ30" s="39">
        <f t="shared" si="3"/>
        <v>45482</v>
      </c>
      <c r="IK30" s="39">
        <f t="shared" si="3"/>
        <v>45489</v>
      </c>
      <c r="IL30" s="39">
        <f t="shared" si="3"/>
        <v>45496</v>
      </c>
      <c r="IM30" s="39">
        <f t="shared" si="3"/>
        <v>45503</v>
      </c>
      <c r="IN30" s="39">
        <f t="shared" si="3"/>
        <v>45510</v>
      </c>
      <c r="IO30" s="39">
        <f t="shared" si="3"/>
        <v>45517</v>
      </c>
      <c r="IP30" s="39">
        <f t="shared" si="3"/>
        <v>45524</v>
      </c>
      <c r="IQ30" s="39">
        <f t="shared" si="3"/>
        <v>45531</v>
      </c>
      <c r="IR30" s="39">
        <f t="shared" si="3"/>
        <v>45538</v>
      </c>
      <c r="IS30" s="39">
        <f t="shared" si="3"/>
        <v>45545</v>
      </c>
      <c r="IT30" s="39">
        <f t="shared" si="3"/>
        <v>45552</v>
      </c>
      <c r="IU30" s="39">
        <f t="shared" si="3"/>
        <v>45559</v>
      </c>
      <c r="IV30" s="39">
        <f t="shared" si="3"/>
        <v>45566</v>
      </c>
      <c r="IW30" s="39">
        <f t="shared" si="3"/>
        <v>45573</v>
      </c>
      <c r="IX30" s="39">
        <f t="shared" si="3"/>
        <v>45580</v>
      </c>
      <c r="IY30" s="39">
        <f t="shared" si="3"/>
        <v>45587</v>
      </c>
      <c r="IZ30" s="39">
        <f t="shared" si="3"/>
        <v>45594</v>
      </c>
      <c r="JA30" s="39">
        <f t="shared" si="3"/>
        <v>45601</v>
      </c>
      <c r="JB30" s="39">
        <f t="shared" si="3"/>
        <v>45608</v>
      </c>
      <c r="JC30" s="39">
        <f t="shared" si="3"/>
        <v>45615</v>
      </c>
      <c r="JD30" s="39">
        <f t="shared" si="3"/>
        <v>45622</v>
      </c>
      <c r="JE30" s="39">
        <f t="shared" si="3"/>
        <v>45629</v>
      </c>
      <c r="JF30" s="39">
        <f t="shared" ref="JF30:JI30" si="4">JE30+7</f>
        <v>45636</v>
      </c>
      <c r="JG30" s="39">
        <f t="shared" si="4"/>
        <v>45643</v>
      </c>
      <c r="JH30" s="39">
        <f t="shared" si="4"/>
        <v>45650</v>
      </c>
      <c r="JI30" s="40">
        <f t="shared" si="4"/>
        <v>45657</v>
      </c>
      <c r="JJ30" s="22"/>
      <c r="JK30" s="23">
        <f t="shared" ref="JK30:LV30" si="5">JJ30+7</f>
        <v>7</v>
      </c>
      <c r="JL30" s="23">
        <f t="shared" si="5"/>
        <v>14</v>
      </c>
      <c r="JM30" s="23">
        <f t="shared" si="5"/>
        <v>21</v>
      </c>
      <c r="JN30" s="23">
        <f t="shared" si="5"/>
        <v>28</v>
      </c>
      <c r="JO30" s="23">
        <f t="shared" si="5"/>
        <v>35</v>
      </c>
      <c r="JP30" s="23">
        <f t="shared" si="5"/>
        <v>42</v>
      </c>
      <c r="JQ30" s="23">
        <f t="shared" si="5"/>
        <v>49</v>
      </c>
      <c r="JR30" s="23">
        <f t="shared" si="5"/>
        <v>56</v>
      </c>
      <c r="JS30" s="23">
        <f t="shared" si="5"/>
        <v>63</v>
      </c>
      <c r="JT30" s="23">
        <f t="shared" si="5"/>
        <v>70</v>
      </c>
      <c r="JU30" s="23">
        <f t="shared" si="5"/>
        <v>77</v>
      </c>
      <c r="JV30" s="23">
        <f t="shared" si="5"/>
        <v>84</v>
      </c>
      <c r="JW30" s="23">
        <f t="shared" si="5"/>
        <v>91</v>
      </c>
      <c r="JX30" s="23">
        <f t="shared" si="5"/>
        <v>98</v>
      </c>
      <c r="JY30" s="23">
        <f t="shared" si="5"/>
        <v>105</v>
      </c>
      <c r="JZ30" s="23">
        <f t="shared" si="5"/>
        <v>112</v>
      </c>
      <c r="KA30" s="23">
        <f t="shared" si="5"/>
        <v>119</v>
      </c>
      <c r="KB30" s="23">
        <f t="shared" si="5"/>
        <v>126</v>
      </c>
      <c r="KC30" s="23">
        <f t="shared" si="5"/>
        <v>133</v>
      </c>
      <c r="KD30" s="23">
        <f t="shared" si="5"/>
        <v>140</v>
      </c>
      <c r="KE30" s="23">
        <f t="shared" si="5"/>
        <v>147</v>
      </c>
      <c r="KF30" s="23">
        <f t="shared" si="5"/>
        <v>154</v>
      </c>
      <c r="KG30" s="23">
        <f t="shared" si="5"/>
        <v>161</v>
      </c>
      <c r="KH30" s="23">
        <f t="shared" si="5"/>
        <v>168</v>
      </c>
      <c r="KI30" s="23">
        <f t="shared" si="5"/>
        <v>175</v>
      </c>
      <c r="KJ30" s="23">
        <f t="shared" si="5"/>
        <v>182</v>
      </c>
      <c r="KK30" s="23">
        <f t="shared" si="5"/>
        <v>189</v>
      </c>
      <c r="KL30" s="23">
        <f t="shared" si="5"/>
        <v>196</v>
      </c>
      <c r="KM30" s="23">
        <f t="shared" si="5"/>
        <v>203</v>
      </c>
      <c r="KN30" s="23">
        <f t="shared" si="5"/>
        <v>210</v>
      </c>
      <c r="KO30" s="23">
        <f t="shared" si="5"/>
        <v>217</v>
      </c>
      <c r="KP30" s="23">
        <f t="shared" si="5"/>
        <v>224</v>
      </c>
      <c r="KQ30" s="23">
        <f t="shared" si="5"/>
        <v>231</v>
      </c>
      <c r="KR30" s="23">
        <f t="shared" si="5"/>
        <v>238</v>
      </c>
      <c r="KS30" s="23">
        <f t="shared" si="5"/>
        <v>245</v>
      </c>
      <c r="KT30" s="23">
        <f t="shared" si="5"/>
        <v>252</v>
      </c>
      <c r="KU30" s="23">
        <f t="shared" si="5"/>
        <v>259</v>
      </c>
      <c r="KV30" s="23">
        <f t="shared" si="5"/>
        <v>266</v>
      </c>
      <c r="KW30" s="23">
        <f t="shared" si="5"/>
        <v>273</v>
      </c>
      <c r="KX30" s="23">
        <f t="shared" si="5"/>
        <v>280</v>
      </c>
      <c r="KY30" s="23">
        <f t="shared" si="5"/>
        <v>287</v>
      </c>
      <c r="KZ30" s="23">
        <f t="shared" si="5"/>
        <v>294</v>
      </c>
      <c r="LA30" s="23">
        <f t="shared" si="5"/>
        <v>301</v>
      </c>
      <c r="LB30" s="23">
        <f t="shared" si="5"/>
        <v>308</v>
      </c>
      <c r="LC30" s="23">
        <f t="shared" si="5"/>
        <v>315</v>
      </c>
      <c r="LD30" s="23">
        <f t="shared" si="5"/>
        <v>322</v>
      </c>
      <c r="LE30" s="23">
        <f t="shared" si="5"/>
        <v>329</v>
      </c>
      <c r="LF30" s="23">
        <f t="shared" si="5"/>
        <v>336</v>
      </c>
      <c r="LG30" s="23">
        <f t="shared" si="5"/>
        <v>343</v>
      </c>
      <c r="LH30" s="23">
        <f t="shared" si="5"/>
        <v>350</v>
      </c>
      <c r="LI30" s="23">
        <f t="shared" si="5"/>
        <v>357</v>
      </c>
      <c r="LJ30" s="23">
        <f t="shared" si="5"/>
        <v>364</v>
      </c>
      <c r="LK30" s="23">
        <f t="shared" si="5"/>
        <v>371</v>
      </c>
      <c r="LL30" s="23">
        <f t="shared" si="5"/>
        <v>378</v>
      </c>
      <c r="LM30" s="23">
        <f t="shared" si="5"/>
        <v>385</v>
      </c>
      <c r="LN30" s="23">
        <f t="shared" si="5"/>
        <v>392</v>
      </c>
      <c r="LO30" s="23">
        <f t="shared" si="5"/>
        <v>399</v>
      </c>
      <c r="LP30" s="23">
        <f t="shared" si="5"/>
        <v>406</v>
      </c>
      <c r="LQ30" s="23">
        <f t="shared" si="5"/>
        <v>413</v>
      </c>
      <c r="LR30" s="23">
        <f t="shared" si="5"/>
        <v>420</v>
      </c>
      <c r="LS30" s="23">
        <f t="shared" si="5"/>
        <v>427</v>
      </c>
      <c r="LT30" s="23">
        <f t="shared" si="5"/>
        <v>434</v>
      </c>
      <c r="LU30" s="23">
        <f t="shared" si="5"/>
        <v>441</v>
      </c>
      <c r="LV30" s="23">
        <f t="shared" si="5"/>
        <v>448</v>
      </c>
      <c r="LW30" s="23">
        <f t="shared" ref="LW30:OH30" si="6">LV30+7</f>
        <v>455</v>
      </c>
      <c r="LX30" s="23">
        <f t="shared" si="6"/>
        <v>462</v>
      </c>
      <c r="LY30" s="23">
        <f t="shared" si="6"/>
        <v>469</v>
      </c>
      <c r="LZ30" s="23">
        <f t="shared" si="6"/>
        <v>476</v>
      </c>
      <c r="MA30" s="23">
        <f t="shared" si="6"/>
        <v>483</v>
      </c>
      <c r="MB30" s="23">
        <f t="shared" si="6"/>
        <v>490</v>
      </c>
      <c r="MC30" s="23">
        <f t="shared" si="6"/>
        <v>497</v>
      </c>
      <c r="MD30" s="23">
        <f t="shared" si="6"/>
        <v>504</v>
      </c>
      <c r="ME30" s="23">
        <f t="shared" si="6"/>
        <v>511</v>
      </c>
      <c r="MF30" s="23">
        <f t="shared" si="6"/>
        <v>518</v>
      </c>
      <c r="MG30" s="23">
        <f t="shared" si="6"/>
        <v>525</v>
      </c>
      <c r="MH30" s="23">
        <f t="shared" si="6"/>
        <v>532</v>
      </c>
      <c r="MI30" s="23">
        <f t="shared" si="6"/>
        <v>539</v>
      </c>
      <c r="MJ30" s="23">
        <f t="shared" si="6"/>
        <v>546</v>
      </c>
      <c r="MK30" s="23">
        <f t="shared" si="6"/>
        <v>553</v>
      </c>
      <c r="ML30" s="23">
        <f t="shared" si="6"/>
        <v>560</v>
      </c>
      <c r="MM30" s="23">
        <f t="shared" si="6"/>
        <v>567</v>
      </c>
      <c r="MN30" s="23">
        <f t="shared" si="6"/>
        <v>574</v>
      </c>
      <c r="MO30" s="23">
        <f t="shared" si="6"/>
        <v>581</v>
      </c>
      <c r="MP30" s="23">
        <f t="shared" si="6"/>
        <v>588</v>
      </c>
      <c r="MQ30" s="23">
        <f t="shared" si="6"/>
        <v>595</v>
      </c>
      <c r="MR30" s="23">
        <f t="shared" si="6"/>
        <v>602</v>
      </c>
      <c r="MS30" s="23">
        <f t="shared" si="6"/>
        <v>609</v>
      </c>
      <c r="MT30" s="23">
        <f t="shared" si="6"/>
        <v>616</v>
      </c>
      <c r="MU30" s="23">
        <f t="shared" si="6"/>
        <v>623</v>
      </c>
      <c r="MV30" s="23">
        <f t="shared" si="6"/>
        <v>630</v>
      </c>
      <c r="MW30" s="23">
        <f t="shared" si="6"/>
        <v>637</v>
      </c>
      <c r="MX30" s="23">
        <f t="shared" si="6"/>
        <v>644</v>
      </c>
      <c r="MY30" s="23">
        <f t="shared" si="6"/>
        <v>651</v>
      </c>
      <c r="MZ30" s="23">
        <f t="shared" si="6"/>
        <v>658</v>
      </c>
      <c r="NA30" s="23">
        <f t="shared" si="6"/>
        <v>665</v>
      </c>
      <c r="NB30" s="23">
        <f t="shared" si="6"/>
        <v>672</v>
      </c>
      <c r="NC30" s="23">
        <f t="shared" si="6"/>
        <v>679</v>
      </c>
      <c r="ND30" s="23">
        <f t="shared" si="6"/>
        <v>686</v>
      </c>
      <c r="NE30" s="23">
        <f t="shared" si="6"/>
        <v>693</v>
      </c>
      <c r="NF30" s="23">
        <f t="shared" si="6"/>
        <v>700</v>
      </c>
      <c r="NG30" s="23">
        <f t="shared" si="6"/>
        <v>707</v>
      </c>
      <c r="NH30" s="23">
        <f t="shared" si="6"/>
        <v>714</v>
      </c>
      <c r="NI30" s="23">
        <f t="shared" si="6"/>
        <v>721</v>
      </c>
      <c r="NJ30" s="23">
        <f t="shared" si="6"/>
        <v>728</v>
      </c>
      <c r="NK30" s="23">
        <f t="shared" si="6"/>
        <v>735</v>
      </c>
      <c r="NL30" s="23">
        <f t="shared" si="6"/>
        <v>742</v>
      </c>
      <c r="NM30" s="23">
        <f t="shared" si="6"/>
        <v>749</v>
      </c>
      <c r="NN30" s="23">
        <f t="shared" si="6"/>
        <v>756</v>
      </c>
      <c r="NO30" s="23">
        <f t="shared" si="6"/>
        <v>763</v>
      </c>
      <c r="NP30" s="23">
        <f t="shared" si="6"/>
        <v>770</v>
      </c>
      <c r="NQ30" s="23">
        <f t="shared" si="6"/>
        <v>777</v>
      </c>
      <c r="NR30" s="23">
        <f t="shared" si="6"/>
        <v>784</v>
      </c>
      <c r="NS30" s="23">
        <f t="shared" si="6"/>
        <v>791</v>
      </c>
      <c r="NT30" s="23">
        <f t="shared" si="6"/>
        <v>798</v>
      </c>
      <c r="NU30" s="23">
        <f t="shared" si="6"/>
        <v>805</v>
      </c>
      <c r="NV30" s="23">
        <f t="shared" si="6"/>
        <v>812</v>
      </c>
      <c r="NW30" s="23">
        <f t="shared" si="6"/>
        <v>819</v>
      </c>
      <c r="NX30" s="23">
        <f t="shared" si="6"/>
        <v>826</v>
      </c>
      <c r="NY30" s="23">
        <f t="shared" si="6"/>
        <v>833</v>
      </c>
      <c r="NZ30" s="23">
        <f t="shared" si="6"/>
        <v>840</v>
      </c>
      <c r="OA30" s="23">
        <f t="shared" si="6"/>
        <v>847</v>
      </c>
      <c r="OB30" s="23">
        <f t="shared" si="6"/>
        <v>854</v>
      </c>
      <c r="OC30" s="23">
        <f t="shared" si="6"/>
        <v>861</v>
      </c>
      <c r="OD30" s="23">
        <f t="shared" si="6"/>
        <v>868</v>
      </c>
      <c r="OE30" s="23">
        <f t="shared" si="6"/>
        <v>875</v>
      </c>
      <c r="OF30" s="23">
        <f t="shared" si="6"/>
        <v>882</v>
      </c>
      <c r="OG30" s="23">
        <f t="shared" si="6"/>
        <v>889</v>
      </c>
      <c r="OH30" s="23">
        <f t="shared" si="6"/>
        <v>896</v>
      </c>
      <c r="OI30" s="23">
        <f t="shared" ref="OI30:QH30" si="7">OH30+7</f>
        <v>903</v>
      </c>
      <c r="OJ30" s="23">
        <f t="shared" si="7"/>
        <v>910</v>
      </c>
      <c r="OK30" s="23">
        <f t="shared" si="7"/>
        <v>917</v>
      </c>
      <c r="OL30" s="23">
        <f t="shared" si="7"/>
        <v>924</v>
      </c>
      <c r="OM30" s="23">
        <f t="shared" si="7"/>
        <v>931</v>
      </c>
      <c r="ON30" s="23">
        <f t="shared" si="7"/>
        <v>938</v>
      </c>
      <c r="OO30" s="23">
        <f t="shared" si="7"/>
        <v>945</v>
      </c>
      <c r="OP30" s="23">
        <f t="shared" si="7"/>
        <v>952</v>
      </c>
      <c r="OQ30" s="23">
        <f t="shared" si="7"/>
        <v>959</v>
      </c>
      <c r="OR30" s="23">
        <f t="shared" si="7"/>
        <v>966</v>
      </c>
      <c r="OS30" s="23">
        <f t="shared" si="7"/>
        <v>973</v>
      </c>
      <c r="OT30" s="23">
        <f t="shared" si="7"/>
        <v>980</v>
      </c>
      <c r="OU30" s="23">
        <f t="shared" si="7"/>
        <v>987</v>
      </c>
      <c r="OV30" s="23">
        <f t="shared" si="7"/>
        <v>994</v>
      </c>
      <c r="OW30" s="23">
        <f t="shared" si="7"/>
        <v>1001</v>
      </c>
      <c r="OX30" s="23">
        <f t="shared" si="7"/>
        <v>1008</v>
      </c>
      <c r="OY30" s="23">
        <f t="shared" si="7"/>
        <v>1015</v>
      </c>
      <c r="OZ30" s="23">
        <f t="shared" si="7"/>
        <v>1022</v>
      </c>
      <c r="PA30" s="23">
        <f t="shared" si="7"/>
        <v>1029</v>
      </c>
      <c r="PB30" s="23">
        <f t="shared" si="7"/>
        <v>1036</v>
      </c>
      <c r="PC30" s="23">
        <f t="shared" si="7"/>
        <v>1043</v>
      </c>
      <c r="PD30" s="23">
        <f t="shared" si="7"/>
        <v>1050</v>
      </c>
      <c r="PE30" s="23">
        <f t="shared" si="7"/>
        <v>1057</v>
      </c>
      <c r="PF30" s="23">
        <f t="shared" si="7"/>
        <v>1064</v>
      </c>
      <c r="PG30" s="23">
        <f t="shared" si="7"/>
        <v>1071</v>
      </c>
      <c r="PH30" s="23">
        <f t="shared" si="7"/>
        <v>1078</v>
      </c>
      <c r="PI30" s="23">
        <f t="shared" si="7"/>
        <v>1085</v>
      </c>
      <c r="PJ30" s="23">
        <f t="shared" si="7"/>
        <v>1092</v>
      </c>
      <c r="PK30" s="23">
        <f t="shared" si="7"/>
        <v>1099</v>
      </c>
      <c r="PL30" s="23">
        <f t="shared" si="7"/>
        <v>1106</v>
      </c>
      <c r="PM30" s="23">
        <f t="shared" si="7"/>
        <v>1113</v>
      </c>
      <c r="PN30" s="23">
        <f t="shared" si="7"/>
        <v>1120</v>
      </c>
      <c r="PO30" s="23">
        <f t="shared" si="7"/>
        <v>1127</v>
      </c>
      <c r="PP30" s="23">
        <f t="shared" si="7"/>
        <v>1134</v>
      </c>
      <c r="PQ30" s="23">
        <f t="shared" si="7"/>
        <v>1141</v>
      </c>
      <c r="PR30" s="23">
        <f t="shared" si="7"/>
        <v>1148</v>
      </c>
      <c r="PS30" s="23">
        <f t="shared" si="7"/>
        <v>1155</v>
      </c>
      <c r="PT30" s="23">
        <f t="shared" si="7"/>
        <v>1162</v>
      </c>
      <c r="PU30" s="23">
        <f t="shared" si="7"/>
        <v>1169</v>
      </c>
      <c r="PV30" s="23">
        <f t="shared" si="7"/>
        <v>1176</v>
      </c>
      <c r="PW30" s="23">
        <f t="shared" si="7"/>
        <v>1183</v>
      </c>
      <c r="PX30" s="23">
        <f t="shared" si="7"/>
        <v>1190</v>
      </c>
      <c r="PY30" s="23">
        <f t="shared" si="7"/>
        <v>1197</v>
      </c>
      <c r="PZ30" s="23">
        <f t="shared" si="7"/>
        <v>1204</v>
      </c>
      <c r="QA30" s="23">
        <f t="shared" si="7"/>
        <v>1211</v>
      </c>
      <c r="QB30" s="23">
        <f t="shared" si="7"/>
        <v>1218</v>
      </c>
      <c r="QC30" s="23">
        <f t="shared" si="7"/>
        <v>1225</v>
      </c>
      <c r="QD30" s="23">
        <f t="shared" si="7"/>
        <v>1232</v>
      </c>
      <c r="QE30" s="23">
        <f t="shared" si="7"/>
        <v>1239</v>
      </c>
      <c r="QF30" s="23">
        <f t="shared" si="7"/>
        <v>1246</v>
      </c>
      <c r="QG30" s="23">
        <f t="shared" si="7"/>
        <v>1253</v>
      </c>
      <c r="QH30" s="23">
        <f t="shared" si="7"/>
        <v>1260</v>
      </c>
    </row>
    <row r="31" spans="2:450">
      <c r="B31" s="6"/>
      <c r="C31" s="1" t="s">
        <v>7</v>
      </c>
      <c r="D31" s="9" t="s">
        <v>1</v>
      </c>
      <c r="I31" s="18">
        <v>24497</v>
      </c>
      <c r="J31" s="18">
        <v>21809</v>
      </c>
      <c r="K31" s="18">
        <v>20597</v>
      </c>
      <c r="L31" s="18">
        <v>23119</v>
      </c>
      <c r="M31" s="18">
        <v>20914</v>
      </c>
      <c r="N31" s="18">
        <v>23222</v>
      </c>
      <c r="O31" s="18">
        <v>23510</v>
      </c>
      <c r="P31" s="18">
        <v>22362</v>
      </c>
      <c r="Q31" s="18">
        <v>22815</v>
      </c>
      <c r="R31" s="18">
        <v>20146</v>
      </c>
      <c r="S31" s="18">
        <v>20813</v>
      </c>
      <c r="T31" s="18">
        <v>24264</v>
      </c>
      <c r="U31" s="18">
        <v>23027</v>
      </c>
      <c r="V31" s="18">
        <v>23204</v>
      </c>
      <c r="W31" s="18">
        <v>22437</v>
      </c>
      <c r="X31" s="18">
        <v>24965</v>
      </c>
      <c r="Y31" s="18">
        <v>20301</v>
      </c>
      <c r="Z31" s="18">
        <v>21531</v>
      </c>
      <c r="AA31" s="18">
        <v>20888</v>
      </c>
      <c r="AB31" s="18">
        <v>20398</v>
      </c>
      <c r="AC31" s="18">
        <v>24494</v>
      </c>
      <c r="AD31" s="18">
        <v>21029</v>
      </c>
      <c r="AE31" s="18">
        <v>22415</v>
      </c>
      <c r="AF31" s="18">
        <v>22322</v>
      </c>
      <c r="AG31" s="18">
        <v>24864</v>
      </c>
      <c r="AH31" s="18">
        <v>23255</v>
      </c>
      <c r="AI31" s="18">
        <v>24923</v>
      </c>
      <c r="AJ31" s="18">
        <v>21695</v>
      </c>
      <c r="AK31" s="18">
        <v>21410</v>
      </c>
      <c r="AL31" s="18">
        <v>24059</v>
      </c>
      <c r="AM31" s="18">
        <v>24498</v>
      </c>
      <c r="AN31" s="18">
        <v>25305</v>
      </c>
      <c r="AO31" s="18">
        <v>23151</v>
      </c>
      <c r="AP31" s="18">
        <v>21923</v>
      </c>
      <c r="AQ31" s="18">
        <v>25265</v>
      </c>
      <c r="AR31" s="18">
        <v>24420</v>
      </c>
      <c r="AS31" s="18">
        <v>22331</v>
      </c>
      <c r="AT31" s="18">
        <v>24341</v>
      </c>
      <c r="AU31" s="18">
        <v>20902</v>
      </c>
      <c r="AV31" s="18">
        <v>22564</v>
      </c>
      <c r="AW31" s="18">
        <v>22565</v>
      </c>
      <c r="AX31" s="18">
        <v>21619</v>
      </c>
      <c r="AY31" s="18">
        <v>24006</v>
      </c>
      <c r="AZ31" s="18">
        <v>21625</v>
      </c>
      <c r="BA31" s="18">
        <v>23028</v>
      </c>
      <c r="BB31" s="18">
        <v>21567</v>
      </c>
      <c r="BC31" s="18">
        <v>20952</v>
      </c>
      <c r="BD31" s="18">
        <v>23608</v>
      </c>
      <c r="BE31" s="18">
        <v>24529</v>
      </c>
      <c r="BF31" s="18">
        <v>21558</v>
      </c>
      <c r="BG31" s="18">
        <v>24755</v>
      </c>
      <c r="BH31" s="18">
        <v>22045</v>
      </c>
      <c r="BI31" s="18">
        <v>21411</v>
      </c>
      <c r="BJ31" s="18">
        <v>25093</v>
      </c>
      <c r="BK31" s="18">
        <v>21261</v>
      </c>
      <c r="BL31" s="18">
        <v>21945</v>
      </c>
      <c r="BM31" s="18">
        <v>25607</v>
      </c>
      <c r="BN31" s="18">
        <v>20642</v>
      </c>
      <c r="BO31" s="18">
        <v>25471</v>
      </c>
      <c r="BP31" s="18">
        <v>24962</v>
      </c>
      <c r="BQ31" s="18">
        <v>22129</v>
      </c>
      <c r="BR31" s="18">
        <v>23255</v>
      </c>
      <c r="BS31" s="18">
        <v>25503</v>
      </c>
      <c r="BT31" s="18">
        <v>22185</v>
      </c>
      <c r="BU31" s="18">
        <v>21610</v>
      </c>
      <c r="BV31" s="18">
        <v>22772</v>
      </c>
      <c r="BW31" s="18">
        <v>25285</v>
      </c>
      <c r="BX31" s="18">
        <v>21092</v>
      </c>
      <c r="BY31" s="18">
        <v>22260</v>
      </c>
      <c r="BZ31" s="18">
        <v>21952</v>
      </c>
      <c r="CA31" s="18">
        <v>24697</v>
      </c>
      <c r="CB31" s="18">
        <v>24168</v>
      </c>
      <c r="CC31" s="18">
        <v>25488</v>
      </c>
      <c r="CD31" s="18">
        <v>23630</v>
      </c>
      <c r="CE31" s="18">
        <v>21205</v>
      </c>
      <c r="CF31" s="18">
        <v>25523</v>
      </c>
      <c r="CG31" s="18">
        <v>21586</v>
      </c>
      <c r="CH31" s="18">
        <v>24377</v>
      </c>
      <c r="CI31" s="18">
        <v>25771</v>
      </c>
      <c r="CJ31" s="18">
        <v>22892</v>
      </c>
      <c r="CK31" s="18">
        <v>23559</v>
      </c>
      <c r="CL31" s="18">
        <v>21625</v>
      </c>
      <c r="CM31" s="18">
        <v>23785</v>
      </c>
      <c r="CN31" s="18">
        <v>25777</v>
      </c>
      <c r="CO31" s="18">
        <v>22134</v>
      </c>
      <c r="CP31" s="18">
        <v>22669</v>
      </c>
      <c r="CQ31" s="18">
        <v>21250</v>
      </c>
      <c r="CR31" s="18">
        <v>21396</v>
      </c>
      <c r="CS31" s="18">
        <v>22803</v>
      </c>
      <c r="CT31" s="18">
        <v>22670</v>
      </c>
      <c r="CU31" s="18">
        <v>22910</v>
      </c>
      <c r="CV31" s="18">
        <v>25209</v>
      </c>
      <c r="CW31" s="18">
        <v>21081</v>
      </c>
      <c r="CX31" s="18">
        <v>25154</v>
      </c>
      <c r="CY31" s="18">
        <v>22712</v>
      </c>
      <c r="CZ31" s="18">
        <v>25146</v>
      </c>
      <c r="DA31" s="18">
        <v>22373</v>
      </c>
      <c r="DB31" s="18">
        <v>24582</v>
      </c>
      <c r="DC31" s="18">
        <v>24988</v>
      </c>
      <c r="DD31" s="18">
        <v>24953</v>
      </c>
      <c r="DE31" s="18">
        <v>26183</v>
      </c>
      <c r="DF31" s="18">
        <v>21548</v>
      </c>
      <c r="DG31" s="18">
        <v>24661</v>
      </c>
      <c r="DH31" s="18">
        <v>25340</v>
      </c>
      <c r="DI31" s="18">
        <v>24463</v>
      </c>
      <c r="DJ31" s="18">
        <v>21949</v>
      </c>
      <c r="DK31" s="18">
        <v>21349</v>
      </c>
      <c r="DL31" s="18">
        <v>25314</v>
      </c>
      <c r="DM31" s="18">
        <v>25507</v>
      </c>
      <c r="DN31" s="18">
        <v>22178</v>
      </c>
      <c r="DO31" s="18">
        <v>24973</v>
      </c>
      <c r="DP31" s="18">
        <v>23252</v>
      </c>
      <c r="DQ31" s="18">
        <v>23035</v>
      </c>
      <c r="DR31" s="18">
        <v>24668</v>
      </c>
      <c r="DS31" s="18">
        <v>23961</v>
      </c>
      <c r="DT31" s="18">
        <v>23001</v>
      </c>
      <c r="DU31" s="18">
        <v>22513</v>
      </c>
      <c r="DV31" s="18">
        <v>25191</v>
      </c>
      <c r="DW31" s="18">
        <v>25962</v>
      </c>
      <c r="DX31" s="18">
        <v>25966</v>
      </c>
      <c r="DY31" s="18">
        <v>26229</v>
      </c>
      <c r="DZ31" s="18">
        <v>22278</v>
      </c>
      <c r="EA31" s="18">
        <v>24688</v>
      </c>
      <c r="EB31" s="18">
        <v>21457</v>
      </c>
      <c r="EC31" s="18">
        <v>22681</v>
      </c>
      <c r="ED31" s="18">
        <v>23827</v>
      </c>
      <c r="EE31" s="18">
        <v>25257</v>
      </c>
      <c r="EF31" s="18">
        <v>24696</v>
      </c>
      <c r="EG31" s="18">
        <v>26068</v>
      </c>
      <c r="EH31" s="18">
        <v>23292</v>
      </c>
      <c r="EI31" s="18">
        <v>25791</v>
      </c>
      <c r="EJ31" s="18">
        <v>26541</v>
      </c>
      <c r="EK31" s="18">
        <v>23817</v>
      </c>
      <c r="EL31" s="18">
        <v>22043</v>
      </c>
      <c r="EM31" s="18">
        <v>25854</v>
      </c>
      <c r="EN31" s="18">
        <v>25793</v>
      </c>
      <c r="EO31" s="18">
        <v>23997</v>
      </c>
      <c r="EP31" s="18">
        <v>22666</v>
      </c>
      <c r="EQ31" s="18">
        <v>24549</v>
      </c>
      <c r="ER31" s="18">
        <v>22292</v>
      </c>
      <c r="ES31" s="18">
        <v>22700</v>
      </c>
      <c r="ET31" s="18">
        <v>23659</v>
      </c>
      <c r="EU31" s="18">
        <v>23312</v>
      </c>
      <c r="EV31" s="18">
        <v>21770</v>
      </c>
      <c r="EW31" s="18">
        <v>26777</v>
      </c>
      <c r="EX31" s="18">
        <v>26439</v>
      </c>
      <c r="EY31" s="18">
        <v>23420</v>
      </c>
      <c r="EZ31" s="18">
        <v>25428</v>
      </c>
      <c r="FA31" s="18">
        <v>21737</v>
      </c>
      <c r="FB31" s="18">
        <v>23466</v>
      </c>
      <c r="FC31" s="18">
        <v>26834</v>
      </c>
      <c r="FD31" s="18">
        <v>22383</v>
      </c>
      <c r="FE31" s="18">
        <v>22411</v>
      </c>
      <c r="FF31" s="18">
        <v>22994</v>
      </c>
      <c r="FG31" s="18">
        <v>21667</v>
      </c>
      <c r="FH31" s="18">
        <v>26737</v>
      </c>
      <c r="FI31" s="18">
        <v>26545</v>
      </c>
      <c r="FJ31" s="18">
        <v>23905</v>
      </c>
      <c r="FK31" s="18">
        <v>22118</v>
      </c>
      <c r="FL31" s="18">
        <v>25080</v>
      </c>
      <c r="FM31" s="18">
        <v>26740</v>
      </c>
      <c r="FN31" s="18">
        <v>24877</v>
      </c>
      <c r="FO31" s="18">
        <v>26492</v>
      </c>
      <c r="FP31" s="18">
        <v>27024</v>
      </c>
      <c r="FQ31" s="18">
        <v>26212</v>
      </c>
      <c r="FR31" s="18">
        <v>26968</v>
      </c>
      <c r="FS31" s="18">
        <v>25080</v>
      </c>
      <c r="FT31" s="18">
        <v>26401</v>
      </c>
      <c r="FU31" s="18">
        <v>24120</v>
      </c>
      <c r="FV31" s="18">
        <v>22728</v>
      </c>
      <c r="FW31" s="18">
        <v>26792</v>
      </c>
      <c r="FX31" s="18">
        <v>24638</v>
      </c>
      <c r="FY31" s="18">
        <v>24576</v>
      </c>
      <c r="FZ31" s="18">
        <v>24731</v>
      </c>
      <c r="GA31" s="18">
        <v>26442</v>
      </c>
      <c r="GB31" s="18">
        <v>22196</v>
      </c>
      <c r="GC31" s="18">
        <v>22230</v>
      </c>
      <c r="GD31" s="18">
        <v>24789</v>
      </c>
      <c r="GE31" s="18">
        <v>25646</v>
      </c>
      <c r="GF31" s="18">
        <v>22835</v>
      </c>
      <c r="GG31" s="18">
        <v>22049</v>
      </c>
      <c r="GH31" s="18">
        <v>23378</v>
      </c>
      <c r="GI31" s="18">
        <v>26104</v>
      </c>
      <c r="GJ31" s="18">
        <v>23543</v>
      </c>
      <c r="GK31" s="18">
        <v>23851</v>
      </c>
      <c r="GL31" s="18">
        <v>26065</v>
      </c>
      <c r="GM31" s="18">
        <v>24427</v>
      </c>
      <c r="GN31" s="18">
        <v>25988</v>
      </c>
      <c r="GO31" s="18">
        <v>23631</v>
      </c>
      <c r="GP31" s="18">
        <v>26123</v>
      </c>
      <c r="GQ31" s="18">
        <v>27392</v>
      </c>
      <c r="GR31" s="18">
        <v>25902</v>
      </c>
      <c r="GS31" s="18">
        <v>22518</v>
      </c>
      <c r="GT31" s="18">
        <v>22784</v>
      </c>
      <c r="GU31" s="18">
        <v>25792</v>
      </c>
      <c r="GV31" s="18">
        <v>26895</v>
      </c>
      <c r="GW31" s="18">
        <v>26714</v>
      </c>
      <c r="GX31" s="18">
        <v>24675</v>
      </c>
      <c r="GY31" s="18">
        <v>25184</v>
      </c>
      <c r="GZ31" s="18">
        <v>26033</v>
      </c>
      <c r="HA31" s="18">
        <v>26354</v>
      </c>
      <c r="HB31" s="18">
        <v>24247</v>
      </c>
      <c r="HC31" s="18">
        <v>24365</v>
      </c>
      <c r="HD31" s="18">
        <v>22518</v>
      </c>
      <c r="HE31" s="18">
        <v>25458</v>
      </c>
      <c r="HF31" s="18">
        <v>27584</v>
      </c>
      <c r="HG31" s="18">
        <v>25894</v>
      </c>
      <c r="HH31" s="18">
        <v>26336</v>
      </c>
      <c r="HI31" s="18">
        <v>22620</v>
      </c>
      <c r="HJ31" s="18">
        <v>25539</v>
      </c>
      <c r="HK31" s="18">
        <v>26131</v>
      </c>
      <c r="HL31" s="18">
        <v>23089</v>
      </c>
      <c r="HM31" s="18">
        <v>25494</v>
      </c>
      <c r="HN31" s="18">
        <v>24387</v>
      </c>
      <c r="HO31" s="18">
        <v>25606</v>
      </c>
      <c r="HP31" s="18">
        <v>23673</v>
      </c>
      <c r="HQ31" s="18">
        <v>26096</v>
      </c>
      <c r="HR31" s="18">
        <v>23333</v>
      </c>
      <c r="HS31" s="18">
        <v>27564</v>
      </c>
      <c r="HT31" s="18">
        <v>25201</v>
      </c>
      <c r="HU31" s="18">
        <v>26652</v>
      </c>
      <c r="HV31" s="18">
        <v>24269</v>
      </c>
      <c r="HW31" s="18">
        <v>23340</v>
      </c>
      <c r="HX31" s="18">
        <v>24422</v>
      </c>
      <c r="HY31" s="18">
        <v>25241</v>
      </c>
      <c r="HZ31" s="18">
        <v>23932</v>
      </c>
      <c r="IA31" s="18">
        <v>26705</v>
      </c>
      <c r="IB31" s="18">
        <v>26256</v>
      </c>
      <c r="IC31" s="18">
        <v>27383</v>
      </c>
      <c r="ID31" s="18">
        <v>27179</v>
      </c>
      <c r="IE31" s="18">
        <v>22615</v>
      </c>
      <c r="IF31" s="18">
        <v>23176</v>
      </c>
      <c r="IG31" s="18">
        <v>23441</v>
      </c>
      <c r="IH31" s="18">
        <v>27083</v>
      </c>
      <c r="II31" s="18">
        <v>24595</v>
      </c>
      <c r="IJ31" s="18">
        <v>25392</v>
      </c>
      <c r="IK31" s="18">
        <v>24864</v>
      </c>
      <c r="IL31" s="18">
        <v>27319</v>
      </c>
      <c r="IM31" s="18">
        <v>25499</v>
      </c>
      <c r="IN31" s="18">
        <v>27918</v>
      </c>
      <c r="IO31" s="18">
        <v>27695</v>
      </c>
      <c r="IP31" s="18">
        <v>25747</v>
      </c>
      <c r="IQ31" s="18">
        <v>24190</v>
      </c>
      <c r="IR31" s="18">
        <v>23646</v>
      </c>
      <c r="IS31" s="18">
        <v>23234</v>
      </c>
      <c r="IT31" s="18">
        <v>25546</v>
      </c>
      <c r="IU31" s="18">
        <v>23953</v>
      </c>
      <c r="IV31" s="18">
        <v>24624</v>
      </c>
      <c r="IW31" s="18">
        <v>23289</v>
      </c>
      <c r="IX31" s="18">
        <v>24995</v>
      </c>
      <c r="IY31" s="18">
        <v>23440</v>
      </c>
      <c r="IZ31" s="18">
        <v>23429</v>
      </c>
      <c r="JA31" s="18">
        <v>25961</v>
      </c>
      <c r="JB31" s="18">
        <v>25422</v>
      </c>
      <c r="JC31" s="18">
        <v>27649</v>
      </c>
      <c r="JD31" s="18">
        <v>25724</v>
      </c>
      <c r="JE31" s="18">
        <v>24289</v>
      </c>
      <c r="JF31" s="18">
        <v>23497</v>
      </c>
      <c r="JG31" s="18">
        <v>22765</v>
      </c>
      <c r="JH31" s="18">
        <v>25575</v>
      </c>
      <c r="JI31" s="18">
        <v>25013</v>
      </c>
    </row>
    <row r="32" spans="2:450">
      <c r="B32" s="6"/>
      <c r="C32" s="1" t="s">
        <v>8</v>
      </c>
      <c r="D32" s="9" t="s">
        <v>1</v>
      </c>
      <c r="I32" s="18">
        <v>17282</v>
      </c>
      <c r="J32" s="18">
        <v>18370</v>
      </c>
      <c r="K32" s="18">
        <v>16228</v>
      </c>
      <c r="L32" s="18">
        <v>16628</v>
      </c>
      <c r="M32" s="18">
        <v>20070</v>
      </c>
      <c r="N32" s="18">
        <v>17800</v>
      </c>
      <c r="O32" s="18">
        <v>17381</v>
      </c>
      <c r="P32" s="18">
        <v>20520</v>
      </c>
      <c r="Q32" s="18">
        <v>20734</v>
      </c>
      <c r="R32" s="18">
        <v>20747</v>
      </c>
      <c r="S32" s="18">
        <v>18553</v>
      </c>
      <c r="T32" s="18">
        <v>17121</v>
      </c>
      <c r="U32" s="18">
        <v>19273</v>
      </c>
      <c r="V32" s="18">
        <v>20359</v>
      </c>
      <c r="W32" s="18">
        <v>18129</v>
      </c>
      <c r="X32" s="18">
        <v>17323</v>
      </c>
      <c r="Y32" s="18">
        <v>19928</v>
      </c>
      <c r="Z32" s="18">
        <v>20790</v>
      </c>
      <c r="AA32" s="18">
        <v>16816</v>
      </c>
      <c r="AB32" s="18">
        <v>18538</v>
      </c>
      <c r="AC32" s="18">
        <v>19908</v>
      </c>
      <c r="AD32" s="18">
        <v>19090</v>
      </c>
      <c r="AE32" s="18">
        <v>19478</v>
      </c>
      <c r="AF32" s="18">
        <v>20956</v>
      </c>
      <c r="AG32" s="18">
        <v>16963</v>
      </c>
      <c r="AH32" s="18">
        <v>20718</v>
      </c>
      <c r="AI32" s="18">
        <v>20668</v>
      </c>
      <c r="AJ32" s="18">
        <v>18823</v>
      </c>
      <c r="AK32" s="18">
        <v>18397</v>
      </c>
      <c r="AL32" s="18">
        <v>19184</v>
      </c>
      <c r="AM32" s="18">
        <v>19052</v>
      </c>
      <c r="AN32" s="18">
        <v>21133</v>
      </c>
      <c r="AO32" s="18">
        <v>18677</v>
      </c>
      <c r="AP32" s="18">
        <v>18084</v>
      </c>
      <c r="AQ32" s="18">
        <v>19614</v>
      </c>
      <c r="AR32" s="18">
        <v>19602</v>
      </c>
      <c r="AS32" s="18">
        <v>19733</v>
      </c>
      <c r="AT32" s="18">
        <v>16619</v>
      </c>
      <c r="AU32" s="18">
        <v>20330</v>
      </c>
      <c r="AV32" s="18">
        <v>17281</v>
      </c>
      <c r="AW32" s="18">
        <v>21131</v>
      </c>
      <c r="AX32" s="18">
        <v>16896</v>
      </c>
      <c r="AY32" s="18">
        <v>16637</v>
      </c>
      <c r="AZ32" s="18">
        <v>19322</v>
      </c>
      <c r="BA32" s="18">
        <v>19763</v>
      </c>
      <c r="BB32" s="18">
        <v>18142</v>
      </c>
      <c r="BC32" s="18">
        <v>20378</v>
      </c>
      <c r="BD32" s="18">
        <v>20016</v>
      </c>
      <c r="BE32" s="18">
        <v>17916</v>
      </c>
      <c r="BF32" s="18">
        <v>21249</v>
      </c>
      <c r="BG32" s="18">
        <v>18574</v>
      </c>
      <c r="BH32" s="18">
        <v>17445</v>
      </c>
      <c r="BI32" s="18">
        <v>18480</v>
      </c>
      <c r="BJ32" s="18">
        <v>19516</v>
      </c>
      <c r="BK32" s="18">
        <v>17586</v>
      </c>
      <c r="BL32" s="18">
        <v>18521</v>
      </c>
      <c r="BM32" s="18">
        <v>18523</v>
      </c>
      <c r="BN32" s="18">
        <v>19085</v>
      </c>
      <c r="BO32" s="18">
        <v>17536</v>
      </c>
      <c r="BP32" s="18">
        <v>18178</v>
      </c>
      <c r="BQ32" s="18">
        <v>18387</v>
      </c>
      <c r="BR32" s="18">
        <v>18814</v>
      </c>
      <c r="BS32" s="18">
        <v>17440</v>
      </c>
      <c r="BT32" s="18">
        <v>19258</v>
      </c>
      <c r="BU32" s="18">
        <v>16871</v>
      </c>
      <c r="BV32" s="18">
        <v>16750</v>
      </c>
      <c r="BW32" s="18">
        <v>20982</v>
      </c>
      <c r="BX32" s="18">
        <v>19600</v>
      </c>
      <c r="BY32" s="18">
        <v>17134</v>
      </c>
      <c r="BZ32" s="18">
        <v>16744</v>
      </c>
      <c r="CA32" s="18">
        <v>19175</v>
      </c>
      <c r="CB32" s="18">
        <v>17060</v>
      </c>
      <c r="CC32" s="18">
        <v>19751</v>
      </c>
      <c r="CD32" s="18">
        <v>17717</v>
      </c>
      <c r="CE32" s="18">
        <v>19997</v>
      </c>
      <c r="CF32" s="18">
        <v>18659</v>
      </c>
      <c r="CG32" s="18">
        <v>17765</v>
      </c>
      <c r="CH32" s="18">
        <v>18984</v>
      </c>
      <c r="CI32" s="18">
        <v>20599</v>
      </c>
      <c r="CJ32" s="18">
        <v>17006</v>
      </c>
      <c r="CK32" s="18">
        <v>18824</v>
      </c>
      <c r="CL32" s="18">
        <v>19587</v>
      </c>
      <c r="CM32" s="18">
        <v>18457</v>
      </c>
      <c r="CN32" s="18">
        <v>18874</v>
      </c>
      <c r="CO32" s="18">
        <v>21269</v>
      </c>
      <c r="CP32" s="18">
        <v>17083</v>
      </c>
      <c r="CQ32" s="18">
        <v>17671</v>
      </c>
      <c r="CR32" s="18">
        <v>20573</v>
      </c>
      <c r="CS32" s="18">
        <v>19526</v>
      </c>
      <c r="CT32" s="18">
        <v>21207</v>
      </c>
      <c r="CU32" s="18">
        <v>21243</v>
      </c>
      <c r="CV32" s="18">
        <v>18480</v>
      </c>
      <c r="CW32" s="18">
        <v>18222</v>
      </c>
      <c r="CX32" s="18">
        <v>19205</v>
      </c>
      <c r="CY32" s="18">
        <v>18210</v>
      </c>
      <c r="CZ32" s="18">
        <v>21577</v>
      </c>
      <c r="DA32" s="18">
        <v>17091</v>
      </c>
      <c r="DB32" s="18">
        <v>18019</v>
      </c>
      <c r="DC32" s="18">
        <v>21120</v>
      </c>
      <c r="DD32" s="18">
        <v>20677</v>
      </c>
      <c r="DE32" s="18">
        <v>19569</v>
      </c>
      <c r="DF32" s="18">
        <v>18183</v>
      </c>
      <c r="DG32" s="18">
        <v>16943</v>
      </c>
      <c r="DH32" s="18">
        <v>20741</v>
      </c>
      <c r="DI32" s="18">
        <v>18540</v>
      </c>
      <c r="DJ32" s="18">
        <v>18333</v>
      </c>
      <c r="DK32" s="18">
        <v>18953</v>
      </c>
      <c r="DL32" s="18">
        <v>21088</v>
      </c>
      <c r="DM32" s="18">
        <v>17120</v>
      </c>
      <c r="DN32" s="18">
        <v>21042</v>
      </c>
      <c r="DO32" s="18">
        <v>19698</v>
      </c>
      <c r="DP32" s="18">
        <v>21649</v>
      </c>
      <c r="DQ32" s="18">
        <v>20376</v>
      </c>
      <c r="DR32" s="18">
        <v>19493</v>
      </c>
      <c r="DS32" s="18">
        <v>18106</v>
      </c>
      <c r="DT32" s="18">
        <v>22074</v>
      </c>
      <c r="DU32" s="18">
        <v>17944</v>
      </c>
      <c r="DV32" s="18">
        <v>20626</v>
      </c>
      <c r="DW32" s="18">
        <v>20566</v>
      </c>
      <c r="DX32" s="18">
        <v>19681</v>
      </c>
      <c r="DY32" s="18">
        <v>21355</v>
      </c>
      <c r="DZ32" s="18">
        <v>17268</v>
      </c>
      <c r="EA32" s="18">
        <v>21544</v>
      </c>
      <c r="EB32" s="18">
        <v>18026</v>
      </c>
      <c r="EC32" s="18">
        <v>18638</v>
      </c>
      <c r="ED32" s="18">
        <v>21487</v>
      </c>
      <c r="EE32" s="18">
        <v>22002</v>
      </c>
      <c r="EF32" s="18">
        <v>21295</v>
      </c>
      <c r="EG32" s="18">
        <v>19652</v>
      </c>
      <c r="EH32" s="18">
        <v>21499</v>
      </c>
      <c r="EI32" s="18">
        <v>21738</v>
      </c>
      <c r="EJ32" s="18">
        <v>17125</v>
      </c>
      <c r="EK32" s="18">
        <v>17125</v>
      </c>
      <c r="EL32" s="18">
        <v>21015</v>
      </c>
      <c r="EM32" s="18">
        <v>18168</v>
      </c>
      <c r="EN32" s="18">
        <v>18245</v>
      </c>
      <c r="EO32" s="18">
        <v>18781</v>
      </c>
      <c r="EP32" s="18">
        <v>19218</v>
      </c>
      <c r="EQ32" s="18">
        <v>17430</v>
      </c>
      <c r="ER32" s="18">
        <v>20887</v>
      </c>
      <c r="ES32" s="18">
        <v>21639</v>
      </c>
      <c r="ET32" s="18">
        <v>19850</v>
      </c>
      <c r="EU32" s="18">
        <v>22144</v>
      </c>
      <c r="EV32" s="18">
        <v>20316</v>
      </c>
      <c r="EW32" s="18">
        <v>21304</v>
      </c>
      <c r="EX32" s="18">
        <v>20587</v>
      </c>
      <c r="EY32" s="18">
        <v>17974</v>
      </c>
      <c r="EZ32" s="18">
        <v>19857</v>
      </c>
      <c r="FA32" s="18">
        <v>18822</v>
      </c>
      <c r="FB32" s="18">
        <v>17559</v>
      </c>
      <c r="FC32" s="18">
        <v>20879</v>
      </c>
      <c r="FD32" s="18">
        <v>22044</v>
      </c>
      <c r="FE32" s="18">
        <v>20216</v>
      </c>
      <c r="FF32" s="18">
        <v>20736</v>
      </c>
      <c r="FG32" s="18">
        <v>17773</v>
      </c>
      <c r="FH32" s="18">
        <v>17509</v>
      </c>
      <c r="FI32" s="18">
        <v>18132</v>
      </c>
      <c r="FJ32" s="18">
        <v>22391</v>
      </c>
      <c r="FK32" s="18">
        <v>19126</v>
      </c>
      <c r="FL32" s="18">
        <v>18777</v>
      </c>
      <c r="FM32" s="18">
        <v>21746</v>
      </c>
      <c r="FN32" s="18">
        <v>22478</v>
      </c>
      <c r="FO32" s="18">
        <v>21977</v>
      </c>
      <c r="FP32" s="18">
        <v>19661</v>
      </c>
      <c r="FQ32" s="18">
        <v>20614</v>
      </c>
      <c r="FR32" s="18">
        <v>18230</v>
      </c>
      <c r="FS32" s="18">
        <v>18738</v>
      </c>
      <c r="FT32" s="18">
        <v>17978</v>
      </c>
      <c r="FU32" s="18">
        <v>19820</v>
      </c>
      <c r="FV32" s="18">
        <v>22089</v>
      </c>
      <c r="FW32" s="18">
        <v>22200</v>
      </c>
      <c r="FX32" s="18">
        <v>22149</v>
      </c>
      <c r="FY32" s="18">
        <v>19700</v>
      </c>
      <c r="FZ32" s="18">
        <v>19503</v>
      </c>
      <c r="GA32" s="18">
        <v>18459</v>
      </c>
      <c r="GB32" s="18">
        <v>20386</v>
      </c>
      <c r="GC32" s="18">
        <v>19495</v>
      </c>
      <c r="GD32" s="18">
        <v>20809</v>
      </c>
      <c r="GE32" s="18">
        <v>19218</v>
      </c>
      <c r="GF32" s="18">
        <v>19874</v>
      </c>
      <c r="GG32" s="18">
        <v>21170</v>
      </c>
      <c r="GH32" s="18">
        <v>20236</v>
      </c>
      <c r="GI32" s="18">
        <v>21052</v>
      </c>
      <c r="GJ32" s="18">
        <v>20897</v>
      </c>
      <c r="GK32" s="18">
        <v>19123</v>
      </c>
      <c r="GL32" s="18">
        <v>21530</v>
      </c>
      <c r="GM32" s="18">
        <v>21677</v>
      </c>
      <c r="GN32" s="18">
        <v>22451</v>
      </c>
      <c r="GO32" s="18">
        <v>22599</v>
      </c>
      <c r="GP32" s="18">
        <v>19141</v>
      </c>
      <c r="GQ32" s="18">
        <v>18705</v>
      </c>
      <c r="GR32" s="18">
        <v>22053</v>
      </c>
      <c r="GS32" s="18">
        <v>22661</v>
      </c>
      <c r="GT32" s="18">
        <v>18056</v>
      </c>
      <c r="GU32" s="18">
        <v>17799</v>
      </c>
      <c r="GV32" s="18">
        <v>19637</v>
      </c>
      <c r="GW32" s="18">
        <v>18918</v>
      </c>
      <c r="GX32" s="18">
        <v>22853</v>
      </c>
      <c r="GY32" s="18">
        <v>19110</v>
      </c>
      <c r="GZ32" s="18">
        <v>18838</v>
      </c>
      <c r="HA32" s="18">
        <v>21045</v>
      </c>
      <c r="HB32" s="18">
        <v>22049</v>
      </c>
      <c r="HC32" s="18">
        <v>21170</v>
      </c>
      <c r="HD32" s="18">
        <v>23113</v>
      </c>
      <c r="HE32" s="18">
        <v>19121</v>
      </c>
      <c r="HF32" s="18">
        <v>21539</v>
      </c>
      <c r="HG32" s="18">
        <v>19438</v>
      </c>
      <c r="HH32" s="18">
        <v>18123</v>
      </c>
      <c r="HI32" s="18">
        <v>20649</v>
      </c>
      <c r="HJ32" s="18">
        <v>23080</v>
      </c>
      <c r="HK32" s="18">
        <v>18819</v>
      </c>
      <c r="HL32" s="18">
        <v>18234</v>
      </c>
      <c r="HM32" s="18">
        <v>22696</v>
      </c>
      <c r="HN32" s="18">
        <v>19313</v>
      </c>
      <c r="HO32" s="18">
        <v>21650</v>
      </c>
      <c r="HP32" s="18">
        <v>19821</v>
      </c>
      <c r="HQ32" s="18">
        <v>22848</v>
      </c>
      <c r="HR32" s="18">
        <v>19676</v>
      </c>
      <c r="HS32" s="18">
        <v>21266</v>
      </c>
      <c r="HT32" s="18">
        <v>23385</v>
      </c>
      <c r="HU32" s="18">
        <v>21008</v>
      </c>
      <c r="HV32" s="18">
        <v>21862</v>
      </c>
      <c r="HW32" s="18">
        <v>20453</v>
      </c>
      <c r="HX32" s="18">
        <v>21073</v>
      </c>
      <c r="HY32" s="18">
        <v>18909</v>
      </c>
      <c r="HZ32" s="18">
        <v>18842</v>
      </c>
      <c r="IA32" s="18">
        <v>21524</v>
      </c>
      <c r="IB32" s="18">
        <v>21348</v>
      </c>
      <c r="IC32" s="18">
        <v>20673</v>
      </c>
      <c r="ID32" s="18">
        <v>23273</v>
      </c>
      <c r="IE32" s="18">
        <v>21189</v>
      </c>
      <c r="IF32" s="18">
        <v>18173</v>
      </c>
      <c r="IG32" s="18">
        <v>18743</v>
      </c>
      <c r="IH32" s="18">
        <v>21168</v>
      </c>
      <c r="II32" s="18">
        <v>22727</v>
      </c>
      <c r="IJ32" s="18">
        <v>18113</v>
      </c>
      <c r="IK32" s="18">
        <v>20709</v>
      </c>
      <c r="IL32" s="18">
        <v>19371</v>
      </c>
      <c r="IM32" s="18">
        <v>21890</v>
      </c>
      <c r="IN32" s="18">
        <v>18383</v>
      </c>
      <c r="IO32" s="18">
        <v>19918</v>
      </c>
      <c r="IP32" s="18">
        <v>19391</v>
      </c>
      <c r="IQ32" s="18">
        <v>20227</v>
      </c>
      <c r="IR32" s="18">
        <v>19555</v>
      </c>
      <c r="IS32" s="18">
        <v>18961</v>
      </c>
      <c r="IT32" s="18">
        <v>18706</v>
      </c>
      <c r="IU32" s="18">
        <v>21563</v>
      </c>
      <c r="IV32" s="18">
        <v>21240</v>
      </c>
      <c r="IW32" s="18">
        <v>19163</v>
      </c>
      <c r="IX32" s="18">
        <v>18188</v>
      </c>
      <c r="IY32" s="18">
        <v>19805</v>
      </c>
      <c r="IZ32" s="18">
        <v>22349</v>
      </c>
      <c r="JA32" s="18">
        <v>20600</v>
      </c>
      <c r="JB32" s="18">
        <v>21588</v>
      </c>
      <c r="JC32" s="18">
        <v>21835</v>
      </c>
      <c r="JD32" s="18">
        <v>20556</v>
      </c>
      <c r="JE32" s="18">
        <v>22298</v>
      </c>
      <c r="JF32" s="18">
        <v>20555</v>
      </c>
      <c r="JG32" s="18">
        <v>20155</v>
      </c>
      <c r="JH32" s="18">
        <v>19679</v>
      </c>
      <c r="JI32" s="18">
        <v>20419</v>
      </c>
    </row>
    <row r="33" spans="2:68">
      <c r="B33" s="6"/>
      <c r="D33" s="9"/>
    </row>
    <row r="34" spans="2:68">
      <c r="B34" s="6"/>
      <c r="D34" s="9"/>
    </row>
    <row r="35" spans="2:68">
      <c r="B35" s="6" t="s">
        <v>14</v>
      </c>
      <c r="D35" s="9"/>
    </row>
    <row r="36" spans="2:68">
      <c r="B36" s="6"/>
      <c r="C36" s="2" t="s">
        <v>37</v>
      </c>
      <c r="D36" s="9"/>
    </row>
    <row r="37" spans="2:68">
      <c r="B37" s="6"/>
      <c r="D37" s="9"/>
    </row>
    <row r="38" spans="2:68">
      <c r="B38" s="6"/>
      <c r="C38" s="1" t="s">
        <v>95</v>
      </c>
      <c r="D38" s="9" t="s">
        <v>94</v>
      </c>
      <c r="I38" s="59" cm="1">
        <f t="array" ref="I38:M38" xml:space="preserve"> _xlfn.LET(
      _xlpm.years,     YEAR( end_date ) - YEAR( start_date ) + 1,
      _xlpm.months,    _xlpm.years * 12,
      _xlpm.quarters,  _xlpm.years * 4,
      IF( period = 1,
          EOMONTH( start_date, _xlfn.SEQUENCE( 1, _xlpm.months, 0, 1 ) ),
          IF( period = 2, EOMONTH( start_date, _xlfn.SEQUENCE(1, _xlpm.quarters, 2, 3) ),
              EOMONTH( start_date, _xlfn.SEQUENCE( 1, _xlpm.years, 11, 12 ) ) ) ) )</f>
        <v>44196</v>
      </c>
      <c r="J38" s="59">
        <v>44561</v>
      </c>
      <c r="K38" s="59">
        <v>44926</v>
      </c>
      <c r="L38" s="59">
        <v>45291</v>
      </c>
      <c r="M38" s="59">
        <v>45657</v>
      </c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</row>
    <row r="39" spans="2:68">
      <c r="B39" s="6"/>
      <c r="C39" s="1" t="s">
        <v>7</v>
      </c>
      <c r="D39" s="9" t="s">
        <v>1</v>
      </c>
      <c r="G39" s="29" cm="1">
        <f t="array" ref="G39">_xlfn.BYROW(_xlfn.ANCHORARRAY( $I$39), _xleta.SUM )</f>
        <v>6275620</v>
      </c>
      <c r="I39" s="1" cm="1">
        <f t="array" ref="I39:M39">_xlfn.LET(
     _xlpm.date_range,_xlfn.ANCHORARRAY( I38),
     _xlpm.dates,      $I$30:$JI$30,
     _xlpm.data_range, $I$31:$JI$31,
     _xlpm.prev_range, _xlfn.HSTACK( 0, _xlfn.DROP( _xlpm.date_range, 0, -1 ) ),
     SUMIFS( _xlpm.data_range, _xlpm.dates, "&lt;=" &amp; _xlpm.date_range, _xlpm.dates, "&gt;" &amp; _xlpm.prev_range ) )</f>
        <v>1181842</v>
      </c>
      <c r="J39" s="1">
        <v>1218280</v>
      </c>
      <c r="K39" s="1">
        <v>1248832</v>
      </c>
      <c r="L39" s="1">
        <v>1300969</v>
      </c>
      <c r="M39" s="1">
        <v>1325697</v>
      </c>
    </row>
    <row r="40" spans="2:68">
      <c r="B40" s="6"/>
      <c r="C40" s="1" t="s">
        <v>8</v>
      </c>
      <c r="D40" s="9" t="s">
        <v>1</v>
      </c>
      <c r="G40" s="30" cm="1">
        <f t="array" ref="G40">_xlfn.BYROW(_xlfn.ANCHORARRAY( $I$40), _xleta.SUM )</f>
        <v>-5135107</v>
      </c>
      <c r="I40" s="1" cm="1">
        <f t="array" ref="I40:M40">_xlfn.LET(
     _xlpm.date_range,_xlfn.ANCHORARRAY( I38),
     _xlpm.dates,      $I$30:$JI$30,
     _xlpm.data_range, $I$32:$JI$32,
     _xlpm.prev_range, _xlfn.HSTACK( 0, _xlfn.DROP( _xlpm.date_range, 0,-1 ) ),
     SUMIFS( _xlpm.data_range, _xlpm.dates, "&lt;=" &amp; _xlpm.date_range, _xlpm.dates, "&gt;" &amp; _xlpm.prev_range ) * - 1)</f>
        <v>-984369</v>
      </c>
      <c r="J40" s="1">
        <v>-978469</v>
      </c>
      <c r="K40" s="1">
        <v>-1026996</v>
      </c>
      <c r="L40" s="1">
        <v>-1057654</v>
      </c>
      <c r="M40" s="1">
        <v>-1087619</v>
      </c>
    </row>
    <row r="41" spans="2:68">
      <c r="B41" s="6"/>
      <c r="C41" s="10" t="s">
        <v>47</v>
      </c>
      <c r="D41" s="9" t="s">
        <v>1</v>
      </c>
      <c r="G41" s="31" cm="1">
        <f t="array" ref="G41">_xlfn.BYROW(_xlfn.ANCHORARRAY( $I$41), _xleta.SUM )</f>
        <v>1140513</v>
      </c>
      <c r="I41" s="10" cm="1">
        <f t="array" ref="I41:M41" xml:space="preserve"> _xlfn.BYCOL(_xlfn.ANCHORARRAY( I39):_xlfn.ANCHORARRAY(I40), _xleta.SUM )</f>
        <v>197473</v>
      </c>
      <c r="J41" s="10">
        <v>239811</v>
      </c>
      <c r="K41" s="10">
        <v>221836</v>
      </c>
      <c r="L41" s="10">
        <v>243315</v>
      </c>
      <c r="M41" s="10">
        <v>238078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2:68">
      <c r="B42" s="6"/>
      <c r="D42" s="9"/>
    </row>
    <row r="43" spans="2:68">
      <c r="B43" s="6"/>
      <c r="D43" s="9"/>
    </row>
    <row r="44" spans="2:68">
      <c r="B44" s="6"/>
      <c r="D44" s="9"/>
    </row>
    <row r="45" spans="2:68">
      <c r="B45" s="6"/>
      <c r="D45" s="9"/>
    </row>
    <row r="46" spans="2:68">
      <c r="B46" s="6"/>
      <c r="D46" s="9"/>
    </row>
    <row r="47" spans="2:68">
      <c r="D47" s="9"/>
    </row>
    <row r="48" spans="2:68">
      <c r="D48" s="9"/>
    </row>
    <row r="49" spans="1:269">
      <c r="A49" s="7" t="s">
        <v>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</row>
  </sheetData>
  <dataValidations count="1">
    <dataValidation type="list" allowBlank="1" showInputMessage="1" showErrorMessage="1" sqref="G23" xr:uid="{00000000-0002-0000-0B00-000000000000}">
      <formula1>$C$25:$C$27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  <pageSetUpPr autoPageBreaks="0"/>
  </sheetPr>
  <dimension ref="A1:VD50"/>
  <sheetViews>
    <sheetView showGridLines="0" zoomScale="90" zoomScaleNormal="90" workbookViewId="0">
      <pane xSplit="8" ySplit="1" topLeftCell="I17" activePane="bottomRight" state="frozen"/>
      <selection activeCell="I2" sqref="I2"/>
      <selection pane="topRight" activeCell="I2" sqref="I2"/>
      <selection pane="bottomLeft" activeCell="I2" sqref="I2"/>
      <selection pane="bottomRight" activeCell="I43" sqref="I43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68" width="10.109375" style="1" bestFit="1" customWidth="1"/>
    <col min="69" max="269" width="10.109375" style="1" customWidth="1"/>
    <col min="270" max="270" width="12.6640625" style="1" customWidth="1"/>
    <col min="271" max="450" width="12.6640625" style="1" hidden="1" customWidth="1"/>
    <col min="451" max="576" width="0" style="1" hidden="1" customWidth="1"/>
    <col min="577" max="16384" width="12.6640625" style="1" hidden="1"/>
  </cols>
  <sheetData>
    <row r="1" spans="1:269">
      <c r="A1" s="7" t="s">
        <v>71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</row>
    <row r="2" spans="1:269">
      <c r="D2" s="9"/>
    </row>
    <row r="3" spans="1:269">
      <c r="B3" s="6" t="s">
        <v>9</v>
      </c>
      <c r="D3" s="9"/>
    </row>
    <row r="4" spans="1:269">
      <c r="C4" s="1" t="s">
        <v>38</v>
      </c>
      <c r="D4" s="9"/>
    </row>
    <row r="5" spans="1:269">
      <c r="C5" s="1" t="s">
        <v>39</v>
      </c>
      <c r="D5" s="9"/>
    </row>
    <row r="6" spans="1:269">
      <c r="C6" s="28" t="s">
        <v>40</v>
      </c>
      <c r="D6" s="9"/>
    </row>
    <row r="7" spans="1:269">
      <c r="C7" s="1" t="s">
        <v>41</v>
      </c>
      <c r="D7" s="9"/>
    </row>
    <row r="8" spans="1:269">
      <c r="D8" s="9"/>
    </row>
    <row r="9" spans="1:269">
      <c r="C9" s="1" t="s">
        <v>42</v>
      </c>
      <c r="D9" s="9"/>
    </row>
    <row r="10" spans="1:269">
      <c r="C10" s="1" t="s">
        <v>43</v>
      </c>
      <c r="D10" s="9"/>
    </row>
    <row r="11" spans="1:269">
      <c r="C11" s="1" t="s">
        <v>44</v>
      </c>
      <c r="D11" s="9"/>
    </row>
    <row r="12" spans="1:269">
      <c r="D12" s="9"/>
    </row>
    <row r="13" spans="1:269">
      <c r="B13" s="6" t="s">
        <v>22</v>
      </c>
      <c r="D13" s="9"/>
    </row>
    <row r="14" spans="1:269">
      <c r="B14" s="6"/>
      <c r="C14" s="5" t="s">
        <v>45</v>
      </c>
      <c r="D14" s="9"/>
    </row>
    <row r="15" spans="1:269">
      <c r="B15" s="6"/>
      <c r="C15" s="1" t="s">
        <v>24</v>
      </c>
      <c r="D15" s="9" t="s">
        <v>4</v>
      </c>
      <c r="I15" s="16">
        <v>43831</v>
      </c>
      <c r="J15" s="16">
        <v>44197</v>
      </c>
      <c r="K15" s="16">
        <v>44562</v>
      </c>
      <c r="L15" s="16">
        <v>44927</v>
      </c>
      <c r="M15" s="16">
        <v>45292</v>
      </c>
      <c r="N15" s="17" t="s">
        <v>46</v>
      </c>
      <c r="O15" s="17" t="s">
        <v>46</v>
      </c>
      <c r="P15" s="17" t="s">
        <v>46</v>
      </c>
      <c r="Q15" s="17" t="s">
        <v>46</v>
      </c>
      <c r="R15" s="17" t="s">
        <v>46</v>
      </c>
      <c r="S15" s="17" t="s">
        <v>46</v>
      </c>
      <c r="T15" s="17" t="s">
        <v>46</v>
      </c>
      <c r="U15" s="17" t="s">
        <v>46</v>
      </c>
      <c r="V15" s="17" t="s">
        <v>46</v>
      </c>
      <c r="W15" s="17" t="s">
        <v>46</v>
      </c>
      <c r="X15" s="17" t="s">
        <v>46</v>
      </c>
      <c r="Y15" s="17" t="s">
        <v>46</v>
      </c>
      <c r="Z15" s="17" t="s">
        <v>46</v>
      </c>
      <c r="AA15" s="17" t="s">
        <v>46</v>
      </c>
      <c r="AB15" s="17" t="s">
        <v>46</v>
      </c>
      <c r="AC15" s="17" t="s">
        <v>46</v>
      </c>
      <c r="AD15" s="17" t="s">
        <v>46</v>
      </c>
      <c r="AE15" s="17" t="s">
        <v>46</v>
      </c>
      <c r="AF15" s="17" t="s">
        <v>46</v>
      </c>
      <c r="AG15" s="17" t="s">
        <v>46</v>
      </c>
      <c r="AH15" s="17" t="s">
        <v>46</v>
      </c>
      <c r="AI15" s="17" t="s">
        <v>46</v>
      </c>
      <c r="AJ15" s="17" t="s">
        <v>46</v>
      </c>
      <c r="AK15" s="17" t="s">
        <v>46</v>
      </c>
      <c r="AL15" s="17" t="s">
        <v>46</v>
      </c>
      <c r="AM15" s="17" t="s">
        <v>46</v>
      </c>
      <c r="AN15" s="17" t="s">
        <v>46</v>
      </c>
      <c r="AO15" s="17" t="s">
        <v>46</v>
      </c>
      <c r="AP15" s="17" t="s">
        <v>46</v>
      </c>
      <c r="AQ15" s="17" t="s">
        <v>46</v>
      </c>
      <c r="AR15" s="17" t="s">
        <v>46</v>
      </c>
      <c r="AS15" s="17" t="s">
        <v>46</v>
      </c>
      <c r="AT15" s="17" t="s">
        <v>46</v>
      </c>
      <c r="AU15" s="17" t="s">
        <v>46</v>
      </c>
      <c r="AV15" s="17" t="s">
        <v>46</v>
      </c>
      <c r="AW15" s="17" t="s">
        <v>46</v>
      </c>
      <c r="AX15" s="17" t="s">
        <v>46</v>
      </c>
      <c r="AY15" s="17" t="s">
        <v>46</v>
      </c>
      <c r="AZ15" s="17" t="s">
        <v>46</v>
      </c>
      <c r="BA15" s="17" t="s">
        <v>46</v>
      </c>
      <c r="BB15" s="17" t="s">
        <v>46</v>
      </c>
      <c r="BC15" s="17" t="s">
        <v>46</v>
      </c>
      <c r="BD15" s="17" t="s">
        <v>46</v>
      </c>
      <c r="BE15" s="17" t="s">
        <v>46</v>
      </c>
      <c r="BF15" s="17" t="s">
        <v>46</v>
      </c>
      <c r="BG15" s="17" t="s">
        <v>46</v>
      </c>
      <c r="BH15" s="17" t="s">
        <v>46</v>
      </c>
      <c r="BI15" s="17" t="s">
        <v>46</v>
      </c>
      <c r="BJ15" s="17" t="s">
        <v>46</v>
      </c>
      <c r="BK15" s="17" t="s">
        <v>46</v>
      </c>
      <c r="BL15" s="17" t="s">
        <v>46</v>
      </c>
      <c r="BM15" s="17" t="s">
        <v>46</v>
      </c>
      <c r="BN15" s="17" t="s">
        <v>46</v>
      </c>
      <c r="BO15" s="17" t="s">
        <v>46</v>
      </c>
      <c r="BP15" s="17" t="s">
        <v>46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</row>
    <row r="16" spans="1:269">
      <c r="B16" s="6"/>
      <c r="C16" s="1" t="s">
        <v>25</v>
      </c>
      <c r="D16" s="9" t="s">
        <v>4</v>
      </c>
      <c r="I16" s="16">
        <v>44196</v>
      </c>
      <c r="J16" s="16">
        <v>44561</v>
      </c>
      <c r="K16" s="16">
        <v>44926</v>
      </c>
      <c r="L16" s="16">
        <v>45291</v>
      </c>
      <c r="M16" s="16">
        <v>45657</v>
      </c>
      <c r="N16" s="17" t="s">
        <v>46</v>
      </c>
      <c r="O16" s="17" t="s">
        <v>46</v>
      </c>
      <c r="P16" s="17" t="s">
        <v>46</v>
      </c>
      <c r="Q16" s="17" t="s">
        <v>46</v>
      </c>
      <c r="R16" s="17" t="s">
        <v>46</v>
      </c>
      <c r="S16" s="17" t="s">
        <v>46</v>
      </c>
      <c r="T16" s="17" t="s">
        <v>46</v>
      </c>
      <c r="U16" s="17" t="s">
        <v>46</v>
      </c>
      <c r="V16" s="17" t="s">
        <v>46</v>
      </c>
      <c r="W16" s="17" t="s">
        <v>46</v>
      </c>
      <c r="X16" s="17" t="s">
        <v>46</v>
      </c>
      <c r="Y16" s="17" t="s">
        <v>46</v>
      </c>
      <c r="Z16" s="17" t="s">
        <v>46</v>
      </c>
      <c r="AA16" s="17" t="s">
        <v>46</v>
      </c>
      <c r="AB16" s="17" t="s">
        <v>46</v>
      </c>
      <c r="AC16" s="17" t="s">
        <v>46</v>
      </c>
      <c r="AD16" s="17" t="s">
        <v>46</v>
      </c>
      <c r="AE16" s="17" t="s">
        <v>46</v>
      </c>
      <c r="AF16" s="17" t="s">
        <v>46</v>
      </c>
      <c r="AG16" s="17" t="s">
        <v>46</v>
      </c>
      <c r="AH16" s="17" t="s">
        <v>46</v>
      </c>
      <c r="AI16" s="17" t="s">
        <v>46</v>
      </c>
      <c r="AJ16" s="17" t="s">
        <v>46</v>
      </c>
      <c r="AK16" s="17" t="s">
        <v>46</v>
      </c>
      <c r="AL16" s="17" t="s">
        <v>46</v>
      </c>
      <c r="AM16" s="17" t="s">
        <v>46</v>
      </c>
      <c r="AN16" s="17" t="s">
        <v>46</v>
      </c>
      <c r="AO16" s="17" t="s">
        <v>46</v>
      </c>
      <c r="AP16" s="17" t="s">
        <v>46</v>
      </c>
      <c r="AQ16" s="17" t="s">
        <v>46</v>
      </c>
      <c r="AR16" s="17" t="s">
        <v>46</v>
      </c>
      <c r="AS16" s="17" t="s">
        <v>46</v>
      </c>
      <c r="AT16" s="17" t="s">
        <v>46</v>
      </c>
      <c r="AU16" s="17" t="s">
        <v>46</v>
      </c>
      <c r="AV16" s="17" t="s">
        <v>46</v>
      </c>
      <c r="AW16" s="17" t="s">
        <v>46</v>
      </c>
      <c r="AX16" s="17" t="s">
        <v>46</v>
      </c>
      <c r="AY16" s="17" t="s">
        <v>46</v>
      </c>
      <c r="AZ16" s="17" t="s">
        <v>46</v>
      </c>
      <c r="BA16" s="17" t="s">
        <v>46</v>
      </c>
      <c r="BB16" s="17" t="s">
        <v>46</v>
      </c>
      <c r="BC16" s="17" t="s">
        <v>46</v>
      </c>
      <c r="BD16" s="17" t="s">
        <v>46</v>
      </c>
      <c r="BE16" s="17" t="s">
        <v>46</v>
      </c>
      <c r="BF16" s="17" t="s">
        <v>46</v>
      </c>
      <c r="BG16" s="17" t="s">
        <v>46</v>
      </c>
      <c r="BH16" s="17" t="s">
        <v>46</v>
      </c>
      <c r="BI16" s="17" t="s">
        <v>46</v>
      </c>
      <c r="BJ16" s="17" t="s">
        <v>46</v>
      </c>
      <c r="BK16" s="17" t="s">
        <v>46</v>
      </c>
      <c r="BL16" s="17" t="s">
        <v>46</v>
      </c>
      <c r="BM16" s="17" t="s">
        <v>46</v>
      </c>
      <c r="BN16" s="17" t="s">
        <v>46</v>
      </c>
      <c r="BO16" s="17" t="s">
        <v>46</v>
      </c>
      <c r="BP16" s="17" t="s">
        <v>46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</row>
    <row r="17" spans="2:450">
      <c r="B17" s="6"/>
      <c r="D17" s="9"/>
    </row>
    <row r="18" spans="2:450">
      <c r="B18" s="6"/>
      <c r="C18" s="1" t="s">
        <v>7</v>
      </c>
      <c r="D18" s="9" t="s">
        <v>1</v>
      </c>
      <c r="G18" s="29">
        <f>SUM(I18:BP18)</f>
        <v>6275620</v>
      </c>
      <c r="I18" s="18">
        <v>1181842</v>
      </c>
      <c r="J18" s="18">
        <v>1218280</v>
      </c>
      <c r="K18" s="18">
        <v>1248832</v>
      </c>
      <c r="L18" s="18">
        <v>1300969</v>
      </c>
      <c r="M18" s="18">
        <v>1325697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</row>
    <row r="19" spans="2:450">
      <c r="B19" s="6"/>
      <c r="C19" s="1" t="s">
        <v>8</v>
      </c>
      <c r="D19" s="9" t="s">
        <v>1</v>
      </c>
      <c r="G19" s="30">
        <f>SUM(I19:BP19)</f>
        <v>-5135107</v>
      </c>
      <c r="I19" s="18">
        <v>-984369</v>
      </c>
      <c r="J19" s="18">
        <v>-978469</v>
      </c>
      <c r="K19" s="18">
        <v>-1026996</v>
      </c>
      <c r="L19" s="18">
        <v>-1057654</v>
      </c>
      <c r="M19" s="18">
        <v>-1087619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</row>
    <row r="20" spans="2:450">
      <c r="B20" s="6"/>
      <c r="C20" s="10" t="s">
        <v>47</v>
      </c>
      <c r="D20" s="9" t="s">
        <v>1</v>
      </c>
      <c r="G20" s="31">
        <f>SUM(I20:BP20)</f>
        <v>1140513</v>
      </c>
      <c r="I20" s="19">
        <v>197473</v>
      </c>
      <c r="J20" s="19">
        <v>239811</v>
      </c>
      <c r="K20" s="19">
        <v>221836</v>
      </c>
      <c r="L20" s="19">
        <v>243315</v>
      </c>
      <c r="M20" s="19">
        <v>238078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</row>
    <row r="21" spans="2:450">
      <c r="B21" s="6"/>
      <c r="D21" s="9"/>
    </row>
    <row r="22" spans="2:450">
      <c r="B22" s="6" t="s">
        <v>0</v>
      </c>
      <c r="D22" s="9"/>
    </row>
    <row r="23" spans="2:450">
      <c r="B23" s="6"/>
      <c r="C23" s="1" t="s">
        <v>48</v>
      </c>
      <c r="D23" s="9" t="s">
        <v>6</v>
      </c>
      <c r="G23" s="27" t="s">
        <v>49</v>
      </c>
    </row>
    <row r="24" spans="2:450">
      <c r="B24" s="6"/>
      <c r="C24" s="13" t="s">
        <v>32</v>
      </c>
      <c r="D24" s="9"/>
    </row>
    <row r="25" spans="2:450">
      <c r="B25" s="6"/>
      <c r="C25" s="5" t="s">
        <v>49</v>
      </c>
      <c r="D25" s="27">
        <v>1</v>
      </c>
    </row>
    <row r="26" spans="2:450">
      <c r="B26" s="6"/>
      <c r="C26" s="5" t="s">
        <v>50</v>
      </c>
      <c r="D26" s="27">
        <v>3</v>
      </c>
    </row>
    <row r="27" spans="2:450">
      <c r="B27" s="6"/>
      <c r="C27" s="5" t="s">
        <v>51</v>
      </c>
      <c r="D27" s="27">
        <v>12</v>
      </c>
    </row>
    <row r="28" spans="2:450">
      <c r="B28" s="6"/>
      <c r="D28" s="9"/>
    </row>
    <row r="29" spans="2:450">
      <c r="B29" s="6" t="s">
        <v>52</v>
      </c>
      <c r="D29" s="9"/>
    </row>
    <row r="30" spans="2:450">
      <c r="B30" s="6"/>
      <c r="C30" s="1" t="s">
        <v>53</v>
      </c>
      <c r="D30" s="9" t="s">
        <v>4</v>
      </c>
      <c r="I30" s="21">
        <v>43837</v>
      </c>
      <c r="J30" s="39">
        <f t="shared" ref="J30:BU30" si="0">I30+7</f>
        <v>43844</v>
      </c>
      <c r="K30" s="39">
        <f t="shared" si="0"/>
        <v>43851</v>
      </c>
      <c r="L30" s="39">
        <f t="shared" si="0"/>
        <v>43858</v>
      </c>
      <c r="M30" s="39">
        <f t="shared" si="0"/>
        <v>43865</v>
      </c>
      <c r="N30" s="39">
        <f t="shared" si="0"/>
        <v>43872</v>
      </c>
      <c r="O30" s="39">
        <f t="shared" si="0"/>
        <v>43879</v>
      </c>
      <c r="P30" s="39">
        <f t="shared" si="0"/>
        <v>43886</v>
      </c>
      <c r="Q30" s="39">
        <f t="shared" si="0"/>
        <v>43893</v>
      </c>
      <c r="R30" s="39">
        <f t="shared" si="0"/>
        <v>43900</v>
      </c>
      <c r="S30" s="39">
        <f t="shared" si="0"/>
        <v>43907</v>
      </c>
      <c r="T30" s="39">
        <f t="shared" si="0"/>
        <v>43914</v>
      </c>
      <c r="U30" s="39">
        <f t="shared" si="0"/>
        <v>43921</v>
      </c>
      <c r="V30" s="39">
        <f t="shared" si="0"/>
        <v>43928</v>
      </c>
      <c r="W30" s="39">
        <f t="shared" si="0"/>
        <v>43935</v>
      </c>
      <c r="X30" s="39">
        <f t="shared" si="0"/>
        <v>43942</v>
      </c>
      <c r="Y30" s="39">
        <f t="shared" si="0"/>
        <v>43949</v>
      </c>
      <c r="Z30" s="39">
        <f t="shared" si="0"/>
        <v>43956</v>
      </c>
      <c r="AA30" s="39">
        <f t="shared" si="0"/>
        <v>43963</v>
      </c>
      <c r="AB30" s="39">
        <f t="shared" si="0"/>
        <v>43970</v>
      </c>
      <c r="AC30" s="39">
        <f t="shared" si="0"/>
        <v>43977</v>
      </c>
      <c r="AD30" s="39">
        <f t="shared" si="0"/>
        <v>43984</v>
      </c>
      <c r="AE30" s="39">
        <f t="shared" si="0"/>
        <v>43991</v>
      </c>
      <c r="AF30" s="39">
        <f t="shared" si="0"/>
        <v>43998</v>
      </c>
      <c r="AG30" s="39">
        <f t="shared" si="0"/>
        <v>44005</v>
      </c>
      <c r="AH30" s="39">
        <f t="shared" si="0"/>
        <v>44012</v>
      </c>
      <c r="AI30" s="39">
        <f t="shared" si="0"/>
        <v>44019</v>
      </c>
      <c r="AJ30" s="39">
        <f t="shared" si="0"/>
        <v>44026</v>
      </c>
      <c r="AK30" s="39">
        <f t="shared" si="0"/>
        <v>44033</v>
      </c>
      <c r="AL30" s="39">
        <f t="shared" si="0"/>
        <v>44040</v>
      </c>
      <c r="AM30" s="39">
        <f t="shared" si="0"/>
        <v>44047</v>
      </c>
      <c r="AN30" s="39">
        <f t="shared" si="0"/>
        <v>44054</v>
      </c>
      <c r="AO30" s="39">
        <f t="shared" si="0"/>
        <v>44061</v>
      </c>
      <c r="AP30" s="39">
        <f t="shared" si="0"/>
        <v>44068</v>
      </c>
      <c r="AQ30" s="39">
        <f t="shared" si="0"/>
        <v>44075</v>
      </c>
      <c r="AR30" s="39">
        <f t="shared" si="0"/>
        <v>44082</v>
      </c>
      <c r="AS30" s="39">
        <f t="shared" si="0"/>
        <v>44089</v>
      </c>
      <c r="AT30" s="39">
        <f t="shared" si="0"/>
        <v>44096</v>
      </c>
      <c r="AU30" s="39">
        <f t="shared" si="0"/>
        <v>44103</v>
      </c>
      <c r="AV30" s="39">
        <f t="shared" si="0"/>
        <v>44110</v>
      </c>
      <c r="AW30" s="39">
        <f t="shared" si="0"/>
        <v>44117</v>
      </c>
      <c r="AX30" s="39">
        <f t="shared" si="0"/>
        <v>44124</v>
      </c>
      <c r="AY30" s="39">
        <f t="shared" si="0"/>
        <v>44131</v>
      </c>
      <c r="AZ30" s="39">
        <f t="shared" si="0"/>
        <v>44138</v>
      </c>
      <c r="BA30" s="39">
        <f t="shared" si="0"/>
        <v>44145</v>
      </c>
      <c r="BB30" s="39">
        <f t="shared" si="0"/>
        <v>44152</v>
      </c>
      <c r="BC30" s="39">
        <f t="shared" si="0"/>
        <v>44159</v>
      </c>
      <c r="BD30" s="39">
        <f t="shared" si="0"/>
        <v>44166</v>
      </c>
      <c r="BE30" s="39">
        <f t="shared" si="0"/>
        <v>44173</v>
      </c>
      <c r="BF30" s="39">
        <f t="shared" si="0"/>
        <v>44180</v>
      </c>
      <c r="BG30" s="39">
        <f t="shared" si="0"/>
        <v>44187</v>
      </c>
      <c r="BH30" s="39">
        <f t="shared" si="0"/>
        <v>44194</v>
      </c>
      <c r="BI30" s="39">
        <f t="shared" si="0"/>
        <v>44201</v>
      </c>
      <c r="BJ30" s="39">
        <f t="shared" si="0"/>
        <v>44208</v>
      </c>
      <c r="BK30" s="39">
        <f t="shared" si="0"/>
        <v>44215</v>
      </c>
      <c r="BL30" s="39">
        <f t="shared" si="0"/>
        <v>44222</v>
      </c>
      <c r="BM30" s="39">
        <f t="shared" si="0"/>
        <v>44229</v>
      </c>
      <c r="BN30" s="39">
        <f t="shared" si="0"/>
        <v>44236</v>
      </c>
      <c r="BO30" s="39">
        <f t="shared" si="0"/>
        <v>44243</v>
      </c>
      <c r="BP30" s="39">
        <f t="shared" si="0"/>
        <v>44250</v>
      </c>
      <c r="BQ30" s="39">
        <f t="shared" si="0"/>
        <v>44257</v>
      </c>
      <c r="BR30" s="39">
        <f t="shared" si="0"/>
        <v>44264</v>
      </c>
      <c r="BS30" s="39">
        <f t="shared" si="0"/>
        <v>44271</v>
      </c>
      <c r="BT30" s="39">
        <f t="shared" si="0"/>
        <v>44278</v>
      </c>
      <c r="BU30" s="39">
        <f t="shared" si="0"/>
        <v>44285</v>
      </c>
      <c r="BV30" s="39">
        <f t="shared" ref="BV30:EG30" si="1">BU30+7</f>
        <v>44292</v>
      </c>
      <c r="BW30" s="39">
        <f t="shared" si="1"/>
        <v>44299</v>
      </c>
      <c r="BX30" s="39">
        <f t="shared" si="1"/>
        <v>44306</v>
      </c>
      <c r="BY30" s="39">
        <f t="shared" si="1"/>
        <v>44313</v>
      </c>
      <c r="BZ30" s="39">
        <f t="shared" si="1"/>
        <v>44320</v>
      </c>
      <c r="CA30" s="39">
        <f t="shared" si="1"/>
        <v>44327</v>
      </c>
      <c r="CB30" s="39">
        <f t="shared" si="1"/>
        <v>44334</v>
      </c>
      <c r="CC30" s="39">
        <f t="shared" si="1"/>
        <v>44341</v>
      </c>
      <c r="CD30" s="39">
        <f t="shared" si="1"/>
        <v>44348</v>
      </c>
      <c r="CE30" s="39">
        <f t="shared" si="1"/>
        <v>44355</v>
      </c>
      <c r="CF30" s="39">
        <f t="shared" si="1"/>
        <v>44362</v>
      </c>
      <c r="CG30" s="39">
        <f t="shared" si="1"/>
        <v>44369</v>
      </c>
      <c r="CH30" s="39">
        <f t="shared" si="1"/>
        <v>44376</v>
      </c>
      <c r="CI30" s="39">
        <f t="shared" si="1"/>
        <v>44383</v>
      </c>
      <c r="CJ30" s="39">
        <f t="shared" si="1"/>
        <v>44390</v>
      </c>
      <c r="CK30" s="39">
        <f t="shared" si="1"/>
        <v>44397</v>
      </c>
      <c r="CL30" s="39">
        <f t="shared" si="1"/>
        <v>44404</v>
      </c>
      <c r="CM30" s="39">
        <f t="shared" si="1"/>
        <v>44411</v>
      </c>
      <c r="CN30" s="39">
        <f t="shared" si="1"/>
        <v>44418</v>
      </c>
      <c r="CO30" s="39">
        <f t="shared" si="1"/>
        <v>44425</v>
      </c>
      <c r="CP30" s="39">
        <f t="shared" si="1"/>
        <v>44432</v>
      </c>
      <c r="CQ30" s="39">
        <f t="shared" si="1"/>
        <v>44439</v>
      </c>
      <c r="CR30" s="39">
        <f t="shared" si="1"/>
        <v>44446</v>
      </c>
      <c r="CS30" s="39">
        <f t="shared" si="1"/>
        <v>44453</v>
      </c>
      <c r="CT30" s="39">
        <f t="shared" si="1"/>
        <v>44460</v>
      </c>
      <c r="CU30" s="39">
        <f t="shared" si="1"/>
        <v>44467</v>
      </c>
      <c r="CV30" s="39">
        <f t="shared" si="1"/>
        <v>44474</v>
      </c>
      <c r="CW30" s="39">
        <f t="shared" si="1"/>
        <v>44481</v>
      </c>
      <c r="CX30" s="39">
        <f t="shared" si="1"/>
        <v>44488</v>
      </c>
      <c r="CY30" s="39">
        <f t="shared" si="1"/>
        <v>44495</v>
      </c>
      <c r="CZ30" s="39">
        <f t="shared" si="1"/>
        <v>44502</v>
      </c>
      <c r="DA30" s="39">
        <f t="shared" si="1"/>
        <v>44509</v>
      </c>
      <c r="DB30" s="39">
        <f t="shared" si="1"/>
        <v>44516</v>
      </c>
      <c r="DC30" s="39">
        <f t="shared" si="1"/>
        <v>44523</v>
      </c>
      <c r="DD30" s="39">
        <f t="shared" si="1"/>
        <v>44530</v>
      </c>
      <c r="DE30" s="39">
        <f t="shared" si="1"/>
        <v>44537</v>
      </c>
      <c r="DF30" s="39">
        <f t="shared" si="1"/>
        <v>44544</v>
      </c>
      <c r="DG30" s="39">
        <f t="shared" si="1"/>
        <v>44551</v>
      </c>
      <c r="DH30" s="39">
        <f t="shared" si="1"/>
        <v>44558</v>
      </c>
      <c r="DI30" s="39">
        <f t="shared" si="1"/>
        <v>44565</v>
      </c>
      <c r="DJ30" s="39">
        <f t="shared" si="1"/>
        <v>44572</v>
      </c>
      <c r="DK30" s="39">
        <f t="shared" si="1"/>
        <v>44579</v>
      </c>
      <c r="DL30" s="39">
        <f t="shared" si="1"/>
        <v>44586</v>
      </c>
      <c r="DM30" s="39">
        <f t="shared" si="1"/>
        <v>44593</v>
      </c>
      <c r="DN30" s="39">
        <f t="shared" si="1"/>
        <v>44600</v>
      </c>
      <c r="DO30" s="39">
        <f t="shared" si="1"/>
        <v>44607</v>
      </c>
      <c r="DP30" s="39">
        <f t="shared" si="1"/>
        <v>44614</v>
      </c>
      <c r="DQ30" s="39">
        <f t="shared" si="1"/>
        <v>44621</v>
      </c>
      <c r="DR30" s="39">
        <f t="shared" si="1"/>
        <v>44628</v>
      </c>
      <c r="DS30" s="39">
        <f t="shared" si="1"/>
        <v>44635</v>
      </c>
      <c r="DT30" s="39">
        <f t="shared" si="1"/>
        <v>44642</v>
      </c>
      <c r="DU30" s="39">
        <f t="shared" si="1"/>
        <v>44649</v>
      </c>
      <c r="DV30" s="39">
        <f t="shared" si="1"/>
        <v>44656</v>
      </c>
      <c r="DW30" s="39">
        <f t="shared" si="1"/>
        <v>44663</v>
      </c>
      <c r="DX30" s="39">
        <f t="shared" si="1"/>
        <v>44670</v>
      </c>
      <c r="DY30" s="39">
        <f t="shared" si="1"/>
        <v>44677</v>
      </c>
      <c r="DZ30" s="39">
        <f t="shared" si="1"/>
        <v>44684</v>
      </c>
      <c r="EA30" s="39">
        <f t="shared" si="1"/>
        <v>44691</v>
      </c>
      <c r="EB30" s="39">
        <f t="shared" si="1"/>
        <v>44698</v>
      </c>
      <c r="EC30" s="39">
        <f t="shared" si="1"/>
        <v>44705</v>
      </c>
      <c r="ED30" s="39">
        <f t="shared" si="1"/>
        <v>44712</v>
      </c>
      <c r="EE30" s="39">
        <f t="shared" si="1"/>
        <v>44719</v>
      </c>
      <c r="EF30" s="39">
        <f t="shared" si="1"/>
        <v>44726</v>
      </c>
      <c r="EG30" s="39">
        <f t="shared" si="1"/>
        <v>44733</v>
      </c>
      <c r="EH30" s="39">
        <f t="shared" ref="EH30:GS30" si="2">EG30+7</f>
        <v>44740</v>
      </c>
      <c r="EI30" s="39">
        <f t="shared" si="2"/>
        <v>44747</v>
      </c>
      <c r="EJ30" s="39">
        <f t="shared" si="2"/>
        <v>44754</v>
      </c>
      <c r="EK30" s="39">
        <f t="shared" si="2"/>
        <v>44761</v>
      </c>
      <c r="EL30" s="39">
        <f t="shared" si="2"/>
        <v>44768</v>
      </c>
      <c r="EM30" s="39">
        <f t="shared" si="2"/>
        <v>44775</v>
      </c>
      <c r="EN30" s="39">
        <f t="shared" si="2"/>
        <v>44782</v>
      </c>
      <c r="EO30" s="39">
        <f t="shared" si="2"/>
        <v>44789</v>
      </c>
      <c r="EP30" s="39">
        <f t="shared" si="2"/>
        <v>44796</v>
      </c>
      <c r="EQ30" s="39">
        <f t="shared" si="2"/>
        <v>44803</v>
      </c>
      <c r="ER30" s="39">
        <f t="shared" si="2"/>
        <v>44810</v>
      </c>
      <c r="ES30" s="39">
        <f t="shared" si="2"/>
        <v>44817</v>
      </c>
      <c r="ET30" s="39">
        <f t="shared" si="2"/>
        <v>44824</v>
      </c>
      <c r="EU30" s="39">
        <f t="shared" si="2"/>
        <v>44831</v>
      </c>
      <c r="EV30" s="39">
        <f t="shared" si="2"/>
        <v>44838</v>
      </c>
      <c r="EW30" s="39">
        <f t="shared" si="2"/>
        <v>44845</v>
      </c>
      <c r="EX30" s="39">
        <f t="shared" si="2"/>
        <v>44852</v>
      </c>
      <c r="EY30" s="39">
        <f t="shared" si="2"/>
        <v>44859</v>
      </c>
      <c r="EZ30" s="39">
        <f t="shared" si="2"/>
        <v>44866</v>
      </c>
      <c r="FA30" s="39">
        <f t="shared" si="2"/>
        <v>44873</v>
      </c>
      <c r="FB30" s="39">
        <f t="shared" si="2"/>
        <v>44880</v>
      </c>
      <c r="FC30" s="39">
        <f t="shared" si="2"/>
        <v>44887</v>
      </c>
      <c r="FD30" s="39">
        <f t="shared" si="2"/>
        <v>44894</v>
      </c>
      <c r="FE30" s="39">
        <f t="shared" si="2"/>
        <v>44901</v>
      </c>
      <c r="FF30" s="39">
        <f t="shared" si="2"/>
        <v>44908</v>
      </c>
      <c r="FG30" s="39">
        <f t="shared" si="2"/>
        <v>44915</v>
      </c>
      <c r="FH30" s="39">
        <f t="shared" si="2"/>
        <v>44922</v>
      </c>
      <c r="FI30" s="39">
        <f t="shared" si="2"/>
        <v>44929</v>
      </c>
      <c r="FJ30" s="39">
        <f t="shared" si="2"/>
        <v>44936</v>
      </c>
      <c r="FK30" s="39">
        <f t="shared" si="2"/>
        <v>44943</v>
      </c>
      <c r="FL30" s="39">
        <f t="shared" si="2"/>
        <v>44950</v>
      </c>
      <c r="FM30" s="39">
        <f t="shared" si="2"/>
        <v>44957</v>
      </c>
      <c r="FN30" s="39">
        <f t="shared" si="2"/>
        <v>44964</v>
      </c>
      <c r="FO30" s="39">
        <f t="shared" si="2"/>
        <v>44971</v>
      </c>
      <c r="FP30" s="39">
        <f t="shared" si="2"/>
        <v>44978</v>
      </c>
      <c r="FQ30" s="39">
        <f t="shared" si="2"/>
        <v>44985</v>
      </c>
      <c r="FR30" s="39">
        <f t="shared" si="2"/>
        <v>44992</v>
      </c>
      <c r="FS30" s="39">
        <f t="shared" si="2"/>
        <v>44999</v>
      </c>
      <c r="FT30" s="39">
        <f t="shared" si="2"/>
        <v>45006</v>
      </c>
      <c r="FU30" s="39">
        <f t="shared" si="2"/>
        <v>45013</v>
      </c>
      <c r="FV30" s="39">
        <f t="shared" si="2"/>
        <v>45020</v>
      </c>
      <c r="FW30" s="39">
        <f t="shared" si="2"/>
        <v>45027</v>
      </c>
      <c r="FX30" s="39">
        <f t="shared" si="2"/>
        <v>45034</v>
      </c>
      <c r="FY30" s="39">
        <f t="shared" si="2"/>
        <v>45041</v>
      </c>
      <c r="FZ30" s="39">
        <f t="shared" si="2"/>
        <v>45048</v>
      </c>
      <c r="GA30" s="39">
        <f t="shared" si="2"/>
        <v>45055</v>
      </c>
      <c r="GB30" s="39">
        <f t="shared" si="2"/>
        <v>45062</v>
      </c>
      <c r="GC30" s="39">
        <f t="shared" si="2"/>
        <v>45069</v>
      </c>
      <c r="GD30" s="39">
        <f t="shared" si="2"/>
        <v>45076</v>
      </c>
      <c r="GE30" s="39">
        <f t="shared" si="2"/>
        <v>45083</v>
      </c>
      <c r="GF30" s="39">
        <f t="shared" si="2"/>
        <v>45090</v>
      </c>
      <c r="GG30" s="39">
        <f t="shared" si="2"/>
        <v>45097</v>
      </c>
      <c r="GH30" s="39">
        <f t="shared" si="2"/>
        <v>45104</v>
      </c>
      <c r="GI30" s="39">
        <f t="shared" si="2"/>
        <v>45111</v>
      </c>
      <c r="GJ30" s="39">
        <f t="shared" si="2"/>
        <v>45118</v>
      </c>
      <c r="GK30" s="39">
        <f t="shared" si="2"/>
        <v>45125</v>
      </c>
      <c r="GL30" s="39">
        <f t="shared" si="2"/>
        <v>45132</v>
      </c>
      <c r="GM30" s="39">
        <f t="shared" si="2"/>
        <v>45139</v>
      </c>
      <c r="GN30" s="39">
        <f t="shared" si="2"/>
        <v>45146</v>
      </c>
      <c r="GO30" s="39">
        <f t="shared" si="2"/>
        <v>45153</v>
      </c>
      <c r="GP30" s="39">
        <f t="shared" si="2"/>
        <v>45160</v>
      </c>
      <c r="GQ30" s="39">
        <f t="shared" si="2"/>
        <v>45167</v>
      </c>
      <c r="GR30" s="39">
        <f t="shared" si="2"/>
        <v>45174</v>
      </c>
      <c r="GS30" s="39">
        <f t="shared" si="2"/>
        <v>45181</v>
      </c>
      <c r="GT30" s="39">
        <f t="shared" ref="GT30:JE30" si="3">GS30+7</f>
        <v>45188</v>
      </c>
      <c r="GU30" s="39">
        <f t="shared" si="3"/>
        <v>45195</v>
      </c>
      <c r="GV30" s="39">
        <f t="shared" si="3"/>
        <v>45202</v>
      </c>
      <c r="GW30" s="39">
        <f t="shared" si="3"/>
        <v>45209</v>
      </c>
      <c r="GX30" s="39">
        <f t="shared" si="3"/>
        <v>45216</v>
      </c>
      <c r="GY30" s="39">
        <f t="shared" si="3"/>
        <v>45223</v>
      </c>
      <c r="GZ30" s="39">
        <f t="shared" si="3"/>
        <v>45230</v>
      </c>
      <c r="HA30" s="39">
        <f t="shared" si="3"/>
        <v>45237</v>
      </c>
      <c r="HB30" s="39">
        <f t="shared" si="3"/>
        <v>45244</v>
      </c>
      <c r="HC30" s="39">
        <f t="shared" si="3"/>
        <v>45251</v>
      </c>
      <c r="HD30" s="39">
        <f t="shared" si="3"/>
        <v>45258</v>
      </c>
      <c r="HE30" s="39">
        <f t="shared" si="3"/>
        <v>45265</v>
      </c>
      <c r="HF30" s="39">
        <f t="shared" si="3"/>
        <v>45272</v>
      </c>
      <c r="HG30" s="39">
        <f t="shared" si="3"/>
        <v>45279</v>
      </c>
      <c r="HH30" s="39">
        <f t="shared" si="3"/>
        <v>45286</v>
      </c>
      <c r="HI30" s="39">
        <f t="shared" si="3"/>
        <v>45293</v>
      </c>
      <c r="HJ30" s="39">
        <f t="shared" si="3"/>
        <v>45300</v>
      </c>
      <c r="HK30" s="39">
        <f t="shared" si="3"/>
        <v>45307</v>
      </c>
      <c r="HL30" s="39">
        <f t="shared" si="3"/>
        <v>45314</v>
      </c>
      <c r="HM30" s="39">
        <f t="shared" si="3"/>
        <v>45321</v>
      </c>
      <c r="HN30" s="39">
        <f t="shared" si="3"/>
        <v>45328</v>
      </c>
      <c r="HO30" s="39">
        <f t="shared" si="3"/>
        <v>45335</v>
      </c>
      <c r="HP30" s="39">
        <f t="shared" si="3"/>
        <v>45342</v>
      </c>
      <c r="HQ30" s="39">
        <f t="shared" si="3"/>
        <v>45349</v>
      </c>
      <c r="HR30" s="39">
        <f t="shared" si="3"/>
        <v>45356</v>
      </c>
      <c r="HS30" s="39">
        <f t="shared" si="3"/>
        <v>45363</v>
      </c>
      <c r="HT30" s="39">
        <f t="shared" si="3"/>
        <v>45370</v>
      </c>
      <c r="HU30" s="39">
        <f t="shared" si="3"/>
        <v>45377</v>
      </c>
      <c r="HV30" s="39">
        <f t="shared" si="3"/>
        <v>45384</v>
      </c>
      <c r="HW30" s="39">
        <f t="shared" si="3"/>
        <v>45391</v>
      </c>
      <c r="HX30" s="39">
        <f t="shared" si="3"/>
        <v>45398</v>
      </c>
      <c r="HY30" s="39">
        <f t="shared" si="3"/>
        <v>45405</v>
      </c>
      <c r="HZ30" s="39">
        <f t="shared" si="3"/>
        <v>45412</v>
      </c>
      <c r="IA30" s="39">
        <f t="shared" si="3"/>
        <v>45419</v>
      </c>
      <c r="IB30" s="39">
        <f t="shared" si="3"/>
        <v>45426</v>
      </c>
      <c r="IC30" s="39">
        <f t="shared" si="3"/>
        <v>45433</v>
      </c>
      <c r="ID30" s="39">
        <f t="shared" si="3"/>
        <v>45440</v>
      </c>
      <c r="IE30" s="39">
        <f t="shared" si="3"/>
        <v>45447</v>
      </c>
      <c r="IF30" s="39">
        <f t="shared" si="3"/>
        <v>45454</v>
      </c>
      <c r="IG30" s="39">
        <f t="shared" si="3"/>
        <v>45461</v>
      </c>
      <c r="IH30" s="39">
        <f t="shared" si="3"/>
        <v>45468</v>
      </c>
      <c r="II30" s="39">
        <f t="shared" si="3"/>
        <v>45475</v>
      </c>
      <c r="IJ30" s="39">
        <f t="shared" si="3"/>
        <v>45482</v>
      </c>
      <c r="IK30" s="39">
        <f t="shared" si="3"/>
        <v>45489</v>
      </c>
      <c r="IL30" s="39">
        <f t="shared" si="3"/>
        <v>45496</v>
      </c>
      <c r="IM30" s="39">
        <f t="shared" si="3"/>
        <v>45503</v>
      </c>
      <c r="IN30" s="39">
        <f t="shared" si="3"/>
        <v>45510</v>
      </c>
      <c r="IO30" s="39">
        <f t="shared" si="3"/>
        <v>45517</v>
      </c>
      <c r="IP30" s="39">
        <f t="shared" si="3"/>
        <v>45524</v>
      </c>
      <c r="IQ30" s="39">
        <f t="shared" si="3"/>
        <v>45531</v>
      </c>
      <c r="IR30" s="39">
        <f t="shared" si="3"/>
        <v>45538</v>
      </c>
      <c r="IS30" s="39">
        <f t="shared" si="3"/>
        <v>45545</v>
      </c>
      <c r="IT30" s="39">
        <f t="shared" si="3"/>
        <v>45552</v>
      </c>
      <c r="IU30" s="39">
        <f t="shared" si="3"/>
        <v>45559</v>
      </c>
      <c r="IV30" s="39">
        <f t="shared" si="3"/>
        <v>45566</v>
      </c>
      <c r="IW30" s="39">
        <f t="shared" si="3"/>
        <v>45573</v>
      </c>
      <c r="IX30" s="39">
        <f t="shared" si="3"/>
        <v>45580</v>
      </c>
      <c r="IY30" s="39">
        <f t="shared" si="3"/>
        <v>45587</v>
      </c>
      <c r="IZ30" s="39">
        <f t="shared" si="3"/>
        <v>45594</v>
      </c>
      <c r="JA30" s="39">
        <f t="shared" si="3"/>
        <v>45601</v>
      </c>
      <c r="JB30" s="39">
        <f t="shared" si="3"/>
        <v>45608</v>
      </c>
      <c r="JC30" s="39">
        <f t="shared" si="3"/>
        <v>45615</v>
      </c>
      <c r="JD30" s="39">
        <f t="shared" si="3"/>
        <v>45622</v>
      </c>
      <c r="JE30" s="39">
        <f t="shared" si="3"/>
        <v>45629</v>
      </c>
      <c r="JF30" s="39">
        <f t="shared" ref="JF30:JI30" si="4">JE30+7</f>
        <v>45636</v>
      </c>
      <c r="JG30" s="39">
        <f t="shared" si="4"/>
        <v>45643</v>
      </c>
      <c r="JH30" s="39">
        <f t="shared" si="4"/>
        <v>45650</v>
      </c>
      <c r="JI30" s="40">
        <f t="shared" si="4"/>
        <v>45657</v>
      </c>
      <c r="JJ30" s="22"/>
      <c r="JK30" s="23">
        <f t="shared" ref="JK30:LV30" si="5">JJ30+7</f>
        <v>7</v>
      </c>
      <c r="JL30" s="23">
        <f t="shared" si="5"/>
        <v>14</v>
      </c>
      <c r="JM30" s="23">
        <f t="shared" si="5"/>
        <v>21</v>
      </c>
      <c r="JN30" s="23">
        <f t="shared" si="5"/>
        <v>28</v>
      </c>
      <c r="JO30" s="23">
        <f t="shared" si="5"/>
        <v>35</v>
      </c>
      <c r="JP30" s="23">
        <f t="shared" si="5"/>
        <v>42</v>
      </c>
      <c r="JQ30" s="23">
        <f t="shared" si="5"/>
        <v>49</v>
      </c>
      <c r="JR30" s="23">
        <f t="shared" si="5"/>
        <v>56</v>
      </c>
      <c r="JS30" s="23">
        <f t="shared" si="5"/>
        <v>63</v>
      </c>
      <c r="JT30" s="23">
        <f t="shared" si="5"/>
        <v>70</v>
      </c>
      <c r="JU30" s="23">
        <f t="shared" si="5"/>
        <v>77</v>
      </c>
      <c r="JV30" s="23">
        <f t="shared" si="5"/>
        <v>84</v>
      </c>
      <c r="JW30" s="23">
        <f t="shared" si="5"/>
        <v>91</v>
      </c>
      <c r="JX30" s="23">
        <f t="shared" si="5"/>
        <v>98</v>
      </c>
      <c r="JY30" s="23">
        <f t="shared" si="5"/>
        <v>105</v>
      </c>
      <c r="JZ30" s="23">
        <f t="shared" si="5"/>
        <v>112</v>
      </c>
      <c r="KA30" s="23">
        <f t="shared" si="5"/>
        <v>119</v>
      </c>
      <c r="KB30" s="23">
        <f t="shared" si="5"/>
        <v>126</v>
      </c>
      <c r="KC30" s="23">
        <f t="shared" si="5"/>
        <v>133</v>
      </c>
      <c r="KD30" s="23">
        <f t="shared" si="5"/>
        <v>140</v>
      </c>
      <c r="KE30" s="23">
        <f t="shared" si="5"/>
        <v>147</v>
      </c>
      <c r="KF30" s="23">
        <f t="shared" si="5"/>
        <v>154</v>
      </c>
      <c r="KG30" s="23">
        <f t="shared" si="5"/>
        <v>161</v>
      </c>
      <c r="KH30" s="23">
        <f t="shared" si="5"/>
        <v>168</v>
      </c>
      <c r="KI30" s="23">
        <f t="shared" si="5"/>
        <v>175</v>
      </c>
      <c r="KJ30" s="23">
        <f t="shared" si="5"/>
        <v>182</v>
      </c>
      <c r="KK30" s="23">
        <f t="shared" si="5"/>
        <v>189</v>
      </c>
      <c r="KL30" s="23">
        <f t="shared" si="5"/>
        <v>196</v>
      </c>
      <c r="KM30" s="23">
        <f t="shared" si="5"/>
        <v>203</v>
      </c>
      <c r="KN30" s="23">
        <f t="shared" si="5"/>
        <v>210</v>
      </c>
      <c r="KO30" s="23">
        <f t="shared" si="5"/>
        <v>217</v>
      </c>
      <c r="KP30" s="23">
        <f t="shared" si="5"/>
        <v>224</v>
      </c>
      <c r="KQ30" s="23">
        <f t="shared" si="5"/>
        <v>231</v>
      </c>
      <c r="KR30" s="23">
        <f t="shared" si="5"/>
        <v>238</v>
      </c>
      <c r="KS30" s="23">
        <f t="shared" si="5"/>
        <v>245</v>
      </c>
      <c r="KT30" s="23">
        <f t="shared" si="5"/>
        <v>252</v>
      </c>
      <c r="KU30" s="23">
        <f t="shared" si="5"/>
        <v>259</v>
      </c>
      <c r="KV30" s="23">
        <f t="shared" si="5"/>
        <v>266</v>
      </c>
      <c r="KW30" s="23">
        <f t="shared" si="5"/>
        <v>273</v>
      </c>
      <c r="KX30" s="23">
        <f t="shared" si="5"/>
        <v>280</v>
      </c>
      <c r="KY30" s="23">
        <f t="shared" si="5"/>
        <v>287</v>
      </c>
      <c r="KZ30" s="23">
        <f t="shared" si="5"/>
        <v>294</v>
      </c>
      <c r="LA30" s="23">
        <f t="shared" si="5"/>
        <v>301</v>
      </c>
      <c r="LB30" s="23">
        <f t="shared" si="5"/>
        <v>308</v>
      </c>
      <c r="LC30" s="23">
        <f t="shared" si="5"/>
        <v>315</v>
      </c>
      <c r="LD30" s="23">
        <f t="shared" si="5"/>
        <v>322</v>
      </c>
      <c r="LE30" s="23">
        <f t="shared" si="5"/>
        <v>329</v>
      </c>
      <c r="LF30" s="23">
        <f t="shared" si="5"/>
        <v>336</v>
      </c>
      <c r="LG30" s="23">
        <f t="shared" si="5"/>
        <v>343</v>
      </c>
      <c r="LH30" s="23">
        <f t="shared" si="5"/>
        <v>350</v>
      </c>
      <c r="LI30" s="23">
        <f t="shared" si="5"/>
        <v>357</v>
      </c>
      <c r="LJ30" s="23">
        <f t="shared" si="5"/>
        <v>364</v>
      </c>
      <c r="LK30" s="23">
        <f t="shared" si="5"/>
        <v>371</v>
      </c>
      <c r="LL30" s="23">
        <f t="shared" si="5"/>
        <v>378</v>
      </c>
      <c r="LM30" s="23">
        <f t="shared" si="5"/>
        <v>385</v>
      </c>
      <c r="LN30" s="23">
        <f t="shared" si="5"/>
        <v>392</v>
      </c>
      <c r="LO30" s="23">
        <f t="shared" si="5"/>
        <v>399</v>
      </c>
      <c r="LP30" s="23">
        <f t="shared" si="5"/>
        <v>406</v>
      </c>
      <c r="LQ30" s="23">
        <f t="shared" si="5"/>
        <v>413</v>
      </c>
      <c r="LR30" s="23">
        <f t="shared" si="5"/>
        <v>420</v>
      </c>
      <c r="LS30" s="23">
        <f t="shared" si="5"/>
        <v>427</v>
      </c>
      <c r="LT30" s="23">
        <f t="shared" si="5"/>
        <v>434</v>
      </c>
      <c r="LU30" s="23">
        <f t="shared" si="5"/>
        <v>441</v>
      </c>
      <c r="LV30" s="23">
        <f t="shared" si="5"/>
        <v>448</v>
      </c>
      <c r="LW30" s="23">
        <f t="shared" ref="LW30:OH30" si="6">LV30+7</f>
        <v>455</v>
      </c>
      <c r="LX30" s="23">
        <f t="shared" si="6"/>
        <v>462</v>
      </c>
      <c r="LY30" s="23">
        <f t="shared" si="6"/>
        <v>469</v>
      </c>
      <c r="LZ30" s="23">
        <f t="shared" si="6"/>
        <v>476</v>
      </c>
      <c r="MA30" s="23">
        <f t="shared" si="6"/>
        <v>483</v>
      </c>
      <c r="MB30" s="23">
        <f t="shared" si="6"/>
        <v>490</v>
      </c>
      <c r="MC30" s="23">
        <f t="shared" si="6"/>
        <v>497</v>
      </c>
      <c r="MD30" s="23">
        <f t="shared" si="6"/>
        <v>504</v>
      </c>
      <c r="ME30" s="23">
        <f t="shared" si="6"/>
        <v>511</v>
      </c>
      <c r="MF30" s="23">
        <f t="shared" si="6"/>
        <v>518</v>
      </c>
      <c r="MG30" s="23">
        <f t="shared" si="6"/>
        <v>525</v>
      </c>
      <c r="MH30" s="23">
        <f t="shared" si="6"/>
        <v>532</v>
      </c>
      <c r="MI30" s="23">
        <f t="shared" si="6"/>
        <v>539</v>
      </c>
      <c r="MJ30" s="23">
        <f t="shared" si="6"/>
        <v>546</v>
      </c>
      <c r="MK30" s="23">
        <f t="shared" si="6"/>
        <v>553</v>
      </c>
      <c r="ML30" s="23">
        <f t="shared" si="6"/>
        <v>560</v>
      </c>
      <c r="MM30" s="23">
        <f t="shared" si="6"/>
        <v>567</v>
      </c>
      <c r="MN30" s="23">
        <f t="shared" si="6"/>
        <v>574</v>
      </c>
      <c r="MO30" s="23">
        <f t="shared" si="6"/>
        <v>581</v>
      </c>
      <c r="MP30" s="23">
        <f t="shared" si="6"/>
        <v>588</v>
      </c>
      <c r="MQ30" s="23">
        <f t="shared" si="6"/>
        <v>595</v>
      </c>
      <c r="MR30" s="23">
        <f t="shared" si="6"/>
        <v>602</v>
      </c>
      <c r="MS30" s="23">
        <f t="shared" si="6"/>
        <v>609</v>
      </c>
      <c r="MT30" s="23">
        <f t="shared" si="6"/>
        <v>616</v>
      </c>
      <c r="MU30" s="23">
        <f t="shared" si="6"/>
        <v>623</v>
      </c>
      <c r="MV30" s="23">
        <f t="shared" si="6"/>
        <v>630</v>
      </c>
      <c r="MW30" s="23">
        <f t="shared" si="6"/>
        <v>637</v>
      </c>
      <c r="MX30" s="23">
        <f t="shared" si="6"/>
        <v>644</v>
      </c>
      <c r="MY30" s="23">
        <f t="shared" si="6"/>
        <v>651</v>
      </c>
      <c r="MZ30" s="23">
        <f t="shared" si="6"/>
        <v>658</v>
      </c>
      <c r="NA30" s="23">
        <f t="shared" si="6"/>
        <v>665</v>
      </c>
      <c r="NB30" s="23">
        <f t="shared" si="6"/>
        <v>672</v>
      </c>
      <c r="NC30" s="23">
        <f t="shared" si="6"/>
        <v>679</v>
      </c>
      <c r="ND30" s="23">
        <f t="shared" si="6"/>
        <v>686</v>
      </c>
      <c r="NE30" s="23">
        <f t="shared" si="6"/>
        <v>693</v>
      </c>
      <c r="NF30" s="23">
        <f t="shared" si="6"/>
        <v>700</v>
      </c>
      <c r="NG30" s="23">
        <f t="shared" si="6"/>
        <v>707</v>
      </c>
      <c r="NH30" s="23">
        <f t="shared" si="6"/>
        <v>714</v>
      </c>
      <c r="NI30" s="23">
        <f t="shared" si="6"/>
        <v>721</v>
      </c>
      <c r="NJ30" s="23">
        <f t="shared" si="6"/>
        <v>728</v>
      </c>
      <c r="NK30" s="23">
        <f t="shared" si="6"/>
        <v>735</v>
      </c>
      <c r="NL30" s="23">
        <f t="shared" si="6"/>
        <v>742</v>
      </c>
      <c r="NM30" s="23">
        <f t="shared" si="6"/>
        <v>749</v>
      </c>
      <c r="NN30" s="23">
        <f t="shared" si="6"/>
        <v>756</v>
      </c>
      <c r="NO30" s="23">
        <f t="shared" si="6"/>
        <v>763</v>
      </c>
      <c r="NP30" s="23">
        <f t="shared" si="6"/>
        <v>770</v>
      </c>
      <c r="NQ30" s="23">
        <f t="shared" si="6"/>
        <v>777</v>
      </c>
      <c r="NR30" s="23">
        <f t="shared" si="6"/>
        <v>784</v>
      </c>
      <c r="NS30" s="23">
        <f t="shared" si="6"/>
        <v>791</v>
      </c>
      <c r="NT30" s="23">
        <f t="shared" si="6"/>
        <v>798</v>
      </c>
      <c r="NU30" s="23">
        <f t="shared" si="6"/>
        <v>805</v>
      </c>
      <c r="NV30" s="23">
        <f t="shared" si="6"/>
        <v>812</v>
      </c>
      <c r="NW30" s="23">
        <f t="shared" si="6"/>
        <v>819</v>
      </c>
      <c r="NX30" s="23">
        <f t="shared" si="6"/>
        <v>826</v>
      </c>
      <c r="NY30" s="23">
        <f t="shared" si="6"/>
        <v>833</v>
      </c>
      <c r="NZ30" s="23">
        <f t="shared" si="6"/>
        <v>840</v>
      </c>
      <c r="OA30" s="23">
        <f t="shared" si="6"/>
        <v>847</v>
      </c>
      <c r="OB30" s="23">
        <f t="shared" si="6"/>
        <v>854</v>
      </c>
      <c r="OC30" s="23">
        <f t="shared" si="6"/>
        <v>861</v>
      </c>
      <c r="OD30" s="23">
        <f t="shared" si="6"/>
        <v>868</v>
      </c>
      <c r="OE30" s="23">
        <f t="shared" si="6"/>
        <v>875</v>
      </c>
      <c r="OF30" s="23">
        <f t="shared" si="6"/>
        <v>882</v>
      </c>
      <c r="OG30" s="23">
        <f t="shared" si="6"/>
        <v>889</v>
      </c>
      <c r="OH30" s="23">
        <f t="shared" si="6"/>
        <v>896</v>
      </c>
      <c r="OI30" s="23">
        <f t="shared" ref="OI30:QH30" si="7">OH30+7</f>
        <v>903</v>
      </c>
      <c r="OJ30" s="23">
        <f t="shared" si="7"/>
        <v>910</v>
      </c>
      <c r="OK30" s="23">
        <f t="shared" si="7"/>
        <v>917</v>
      </c>
      <c r="OL30" s="23">
        <f t="shared" si="7"/>
        <v>924</v>
      </c>
      <c r="OM30" s="23">
        <f t="shared" si="7"/>
        <v>931</v>
      </c>
      <c r="ON30" s="23">
        <f t="shared" si="7"/>
        <v>938</v>
      </c>
      <c r="OO30" s="23">
        <f t="shared" si="7"/>
        <v>945</v>
      </c>
      <c r="OP30" s="23">
        <f t="shared" si="7"/>
        <v>952</v>
      </c>
      <c r="OQ30" s="23">
        <f t="shared" si="7"/>
        <v>959</v>
      </c>
      <c r="OR30" s="23">
        <f t="shared" si="7"/>
        <v>966</v>
      </c>
      <c r="OS30" s="23">
        <f t="shared" si="7"/>
        <v>973</v>
      </c>
      <c r="OT30" s="23">
        <f t="shared" si="7"/>
        <v>980</v>
      </c>
      <c r="OU30" s="23">
        <f t="shared" si="7"/>
        <v>987</v>
      </c>
      <c r="OV30" s="23">
        <f t="shared" si="7"/>
        <v>994</v>
      </c>
      <c r="OW30" s="23">
        <f t="shared" si="7"/>
        <v>1001</v>
      </c>
      <c r="OX30" s="23">
        <f t="shared" si="7"/>
        <v>1008</v>
      </c>
      <c r="OY30" s="23">
        <f t="shared" si="7"/>
        <v>1015</v>
      </c>
      <c r="OZ30" s="23">
        <f t="shared" si="7"/>
        <v>1022</v>
      </c>
      <c r="PA30" s="23">
        <f t="shared" si="7"/>
        <v>1029</v>
      </c>
      <c r="PB30" s="23">
        <f t="shared" si="7"/>
        <v>1036</v>
      </c>
      <c r="PC30" s="23">
        <f t="shared" si="7"/>
        <v>1043</v>
      </c>
      <c r="PD30" s="23">
        <f t="shared" si="7"/>
        <v>1050</v>
      </c>
      <c r="PE30" s="23">
        <f t="shared" si="7"/>
        <v>1057</v>
      </c>
      <c r="PF30" s="23">
        <f t="shared" si="7"/>
        <v>1064</v>
      </c>
      <c r="PG30" s="23">
        <f t="shared" si="7"/>
        <v>1071</v>
      </c>
      <c r="PH30" s="23">
        <f t="shared" si="7"/>
        <v>1078</v>
      </c>
      <c r="PI30" s="23">
        <f t="shared" si="7"/>
        <v>1085</v>
      </c>
      <c r="PJ30" s="23">
        <f t="shared" si="7"/>
        <v>1092</v>
      </c>
      <c r="PK30" s="23">
        <f t="shared" si="7"/>
        <v>1099</v>
      </c>
      <c r="PL30" s="23">
        <f t="shared" si="7"/>
        <v>1106</v>
      </c>
      <c r="PM30" s="23">
        <f t="shared" si="7"/>
        <v>1113</v>
      </c>
      <c r="PN30" s="23">
        <f t="shared" si="7"/>
        <v>1120</v>
      </c>
      <c r="PO30" s="23">
        <f t="shared" si="7"/>
        <v>1127</v>
      </c>
      <c r="PP30" s="23">
        <f t="shared" si="7"/>
        <v>1134</v>
      </c>
      <c r="PQ30" s="23">
        <f t="shared" si="7"/>
        <v>1141</v>
      </c>
      <c r="PR30" s="23">
        <f t="shared" si="7"/>
        <v>1148</v>
      </c>
      <c r="PS30" s="23">
        <f t="shared" si="7"/>
        <v>1155</v>
      </c>
      <c r="PT30" s="23">
        <f t="shared" si="7"/>
        <v>1162</v>
      </c>
      <c r="PU30" s="23">
        <f t="shared" si="7"/>
        <v>1169</v>
      </c>
      <c r="PV30" s="23">
        <f t="shared" si="7"/>
        <v>1176</v>
      </c>
      <c r="PW30" s="23">
        <f t="shared" si="7"/>
        <v>1183</v>
      </c>
      <c r="PX30" s="23">
        <f t="shared" si="7"/>
        <v>1190</v>
      </c>
      <c r="PY30" s="23">
        <f t="shared" si="7"/>
        <v>1197</v>
      </c>
      <c r="PZ30" s="23">
        <f t="shared" si="7"/>
        <v>1204</v>
      </c>
      <c r="QA30" s="23">
        <f t="shared" si="7"/>
        <v>1211</v>
      </c>
      <c r="QB30" s="23">
        <f t="shared" si="7"/>
        <v>1218</v>
      </c>
      <c r="QC30" s="23">
        <f t="shared" si="7"/>
        <v>1225</v>
      </c>
      <c r="QD30" s="23">
        <f t="shared" si="7"/>
        <v>1232</v>
      </c>
      <c r="QE30" s="23">
        <f t="shared" si="7"/>
        <v>1239</v>
      </c>
      <c r="QF30" s="23">
        <f t="shared" si="7"/>
        <v>1246</v>
      </c>
      <c r="QG30" s="23">
        <f t="shared" si="7"/>
        <v>1253</v>
      </c>
      <c r="QH30" s="23">
        <f t="shared" si="7"/>
        <v>1260</v>
      </c>
    </row>
    <row r="31" spans="2:450">
      <c r="B31" s="6"/>
      <c r="C31" s="1" t="s">
        <v>7</v>
      </c>
      <c r="D31" s="9" t="s">
        <v>1</v>
      </c>
      <c r="G31" s="29">
        <f>SUM(I31:JI31)</f>
        <v>6275620</v>
      </c>
      <c r="I31" s="18">
        <v>24497</v>
      </c>
      <c r="J31" s="18">
        <v>21809</v>
      </c>
      <c r="K31" s="18">
        <v>20597</v>
      </c>
      <c r="L31" s="18">
        <v>23119</v>
      </c>
      <c r="M31" s="18">
        <v>20914</v>
      </c>
      <c r="N31" s="18">
        <v>23222</v>
      </c>
      <c r="O31" s="18">
        <v>23510</v>
      </c>
      <c r="P31" s="18">
        <v>22362</v>
      </c>
      <c r="Q31" s="18">
        <v>22815</v>
      </c>
      <c r="R31" s="18">
        <v>20146</v>
      </c>
      <c r="S31" s="18">
        <v>20813</v>
      </c>
      <c r="T31" s="18">
        <v>24264</v>
      </c>
      <c r="U31" s="18">
        <v>23027</v>
      </c>
      <c r="V31" s="18">
        <v>23204</v>
      </c>
      <c r="W31" s="18">
        <v>22437</v>
      </c>
      <c r="X31" s="18">
        <v>24965</v>
      </c>
      <c r="Y31" s="18">
        <v>20301</v>
      </c>
      <c r="Z31" s="18">
        <v>21531</v>
      </c>
      <c r="AA31" s="18">
        <v>20888</v>
      </c>
      <c r="AB31" s="18">
        <v>20398</v>
      </c>
      <c r="AC31" s="18">
        <v>24494</v>
      </c>
      <c r="AD31" s="18">
        <v>21029</v>
      </c>
      <c r="AE31" s="18">
        <v>22415</v>
      </c>
      <c r="AF31" s="18">
        <v>22322</v>
      </c>
      <c r="AG31" s="18">
        <v>24864</v>
      </c>
      <c r="AH31" s="18">
        <v>23255</v>
      </c>
      <c r="AI31" s="18">
        <v>24923</v>
      </c>
      <c r="AJ31" s="18">
        <v>21695</v>
      </c>
      <c r="AK31" s="18">
        <v>21410</v>
      </c>
      <c r="AL31" s="18">
        <v>24059</v>
      </c>
      <c r="AM31" s="18">
        <v>24498</v>
      </c>
      <c r="AN31" s="18">
        <v>25305</v>
      </c>
      <c r="AO31" s="18">
        <v>23151</v>
      </c>
      <c r="AP31" s="18">
        <v>21923</v>
      </c>
      <c r="AQ31" s="18">
        <v>25265</v>
      </c>
      <c r="AR31" s="18">
        <v>24420</v>
      </c>
      <c r="AS31" s="18">
        <v>22331</v>
      </c>
      <c r="AT31" s="18">
        <v>24341</v>
      </c>
      <c r="AU31" s="18">
        <v>20902</v>
      </c>
      <c r="AV31" s="18">
        <v>22564</v>
      </c>
      <c r="AW31" s="18">
        <v>22565</v>
      </c>
      <c r="AX31" s="18">
        <v>21619</v>
      </c>
      <c r="AY31" s="18">
        <v>24006</v>
      </c>
      <c r="AZ31" s="18">
        <v>21625</v>
      </c>
      <c r="BA31" s="18">
        <v>23028</v>
      </c>
      <c r="BB31" s="18">
        <v>21567</v>
      </c>
      <c r="BC31" s="18">
        <v>20952</v>
      </c>
      <c r="BD31" s="18">
        <v>23608</v>
      </c>
      <c r="BE31" s="18">
        <v>24529</v>
      </c>
      <c r="BF31" s="18">
        <v>21558</v>
      </c>
      <c r="BG31" s="18">
        <v>24755</v>
      </c>
      <c r="BH31" s="18">
        <v>22045</v>
      </c>
      <c r="BI31" s="18">
        <v>21411</v>
      </c>
      <c r="BJ31" s="18">
        <v>25093</v>
      </c>
      <c r="BK31" s="18">
        <v>21261</v>
      </c>
      <c r="BL31" s="18">
        <v>21945</v>
      </c>
      <c r="BM31" s="18">
        <v>25607</v>
      </c>
      <c r="BN31" s="18">
        <v>20642</v>
      </c>
      <c r="BO31" s="18">
        <v>25471</v>
      </c>
      <c r="BP31" s="18">
        <v>24962</v>
      </c>
      <c r="BQ31" s="18">
        <v>22129</v>
      </c>
      <c r="BR31" s="18">
        <v>23255</v>
      </c>
      <c r="BS31" s="18">
        <v>25503</v>
      </c>
      <c r="BT31" s="18">
        <v>22185</v>
      </c>
      <c r="BU31" s="18">
        <v>21610</v>
      </c>
      <c r="BV31" s="18">
        <v>22772</v>
      </c>
      <c r="BW31" s="18">
        <v>25285</v>
      </c>
      <c r="BX31" s="18">
        <v>21092</v>
      </c>
      <c r="BY31" s="18">
        <v>22260</v>
      </c>
      <c r="BZ31" s="18">
        <v>21952</v>
      </c>
      <c r="CA31" s="18">
        <v>24697</v>
      </c>
      <c r="CB31" s="18">
        <v>24168</v>
      </c>
      <c r="CC31" s="18">
        <v>25488</v>
      </c>
      <c r="CD31" s="18">
        <v>23630</v>
      </c>
      <c r="CE31" s="18">
        <v>21205</v>
      </c>
      <c r="CF31" s="18">
        <v>25523</v>
      </c>
      <c r="CG31" s="18">
        <v>21586</v>
      </c>
      <c r="CH31" s="18">
        <v>24377</v>
      </c>
      <c r="CI31" s="18">
        <v>25771</v>
      </c>
      <c r="CJ31" s="18">
        <v>22892</v>
      </c>
      <c r="CK31" s="18">
        <v>23559</v>
      </c>
      <c r="CL31" s="18">
        <v>21625</v>
      </c>
      <c r="CM31" s="18">
        <v>23785</v>
      </c>
      <c r="CN31" s="18">
        <v>25777</v>
      </c>
      <c r="CO31" s="18">
        <v>22134</v>
      </c>
      <c r="CP31" s="18">
        <v>22669</v>
      </c>
      <c r="CQ31" s="18">
        <v>21250</v>
      </c>
      <c r="CR31" s="18">
        <v>21396</v>
      </c>
      <c r="CS31" s="18">
        <v>22803</v>
      </c>
      <c r="CT31" s="18">
        <v>22670</v>
      </c>
      <c r="CU31" s="18">
        <v>22910</v>
      </c>
      <c r="CV31" s="18">
        <v>25209</v>
      </c>
      <c r="CW31" s="18">
        <v>21081</v>
      </c>
      <c r="CX31" s="18">
        <v>25154</v>
      </c>
      <c r="CY31" s="18">
        <v>22712</v>
      </c>
      <c r="CZ31" s="18">
        <v>25146</v>
      </c>
      <c r="DA31" s="18">
        <v>22373</v>
      </c>
      <c r="DB31" s="18">
        <v>24582</v>
      </c>
      <c r="DC31" s="18">
        <v>24988</v>
      </c>
      <c r="DD31" s="18">
        <v>24953</v>
      </c>
      <c r="DE31" s="18">
        <v>26183</v>
      </c>
      <c r="DF31" s="18">
        <v>21548</v>
      </c>
      <c r="DG31" s="18">
        <v>24661</v>
      </c>
      <c r="DH31" s="18">
        <v>25340</v>
      </c>
      <c r="DI31" s="18">
        <v>24463</v>
      </c>
      <c r="DJ31" s="18">
        <v>21949</v>
      </c>
      <c r="DK31" s="18">
        <v>21349</v>
      </c>
      <c r="DL31" s="18">
        <v>25314</v>
      </c>
      <c r="DM31" s="18">
        <v>25507</v>
      </c>
      <c r="DN31" s="18">
        <v>22178</v>
      </c>
      <c r="DO31" s="18">
        <v>24973</v>
      </c>
      <c r="DP31" s="18">
        <v>23252</v>
      </c>
      <c r="DQ31" s="18">
        <v>23035</v>
      </c>
      <c r="DR31" s="18">
        <v>24668</v>
      </c>
      <c r="DS31" s="18">
        <v>23961</v>
      </c>
      <c r="DT31" s="18">
        <v>23001</v>
      </c>
      <c r="DU31" s="18">
        <v>22513</v>
      </c>
      <c r="DV31" s="18">
        <v>25191</v>
      </c>
      <c r="DW31" s="18">
        <v>25962</v>
      </c>
      <c r="DX31" s="18">
        <v>25966</v>
      </c>
      <c r="DY31" s="18">
        <v>26229</v>
      </c>
      <c r="DZ31" s="18">
        <v>22278</v>
      </c>
      <c r="EA31" s="18">
        <v>24688</v>
      </c>
      <c r="EB31" s="18">
        <v>21457</v>
      </c>
      <c r="EC31" s="18">
        <v>22681</v>
      </c>
      <c r="ED31" s="18">
        <v>23827</v>
      </c>
      <c r="EE31" s="18">
        <v>25257</v>
      </c>
      <c r="EF31" s="18">
        <v>24696</v>
      </c>
      <c r="EG31" s="18">
        <v>26068</v>
      </c>
      <c r="EH31" s="18">
        <v>23292</v>
      </c>
      <c r="EI31" s="18">
        <v>25791</v>
      </c>
      <c r="EJ31" s="18">
        <v>26541</v>
      </c>
      <c r="EK31" s="18">
        <v>23817</v>
      </c>
      <c r="EL31" s="18">
        <v>22043</v>
      </c>
      <c r="EM31" s="18">
        <v>25854</v>
      </c>
      <c r="EN31" s="18">
        <v>25793</v>
      </c>
      <c r="EO31" s="18">
        <v>23997</v>
      </c>
      <c r="EP31" s="18">
        <v>22666</v>
      </c>
      <c r="EQ31" s="18">
        <v>24549</v>
      </c>
      <c r="ER31" s="18">
        <v>22292</v>
      </c>
      <c r="ES31" s="18">
        <v>22700</v>
      </c>
      <c r="ET31" s="18">
        <v>23659</v>
      </c>
      <c r="EU31" s="18">
        <v>23312</v>
      </c>
      <c r="EV31" s="18">
        <v>21770</v>
      </c>
      <c r="EW31" s="18">
        <v>26777</v>
      </c>
      <c r="EX31" s="18">
        <v>26439</v>
      </c>
      <c r="EY31" s="18">
        <v>23420</v>
      </c>
      <c r="EZ31" s="18">
        <v>25428</v>
      </c>
      <c r="FA31" s="18">
        <v>21737</v>
      </c>
      <c r="FB31" s="18">
        <v>23466</v>
      </c>
      <c r="FC31" s="18">
        <v>26834</v>
      </c>
      <c r="FD31" s="18">
        <v>22383</v>
      </c>
      <c r="FE31" s="18">
        <v>22411</v>
      </c>
      <c r="FF31" s="18">
        <v>22994</v>
      </c>
      <c r="FG31" s="18">
        <v>21667</v>
      </c>
      <c r="FH31" s="18">
        <v>26737</v>
      </c>
      <c r="FI31" s="18">
        <v>26545</v>
      </c>
      <c r="FJ31" s="18">
        <v>23905</v>
      </c>
      <c r="FK31" s="18">
        <v>22118</v>
      </c>
      <c r="FL31" s="18">
        <v>25080</v>
      </c>
      <c r="FM31" s="18">
        <v>26740</v>
      </c>
      <c r="FN31" s="18">
        <v>24877</v>
      </c>
      <c r="FO31" s="18">
        <v>26492</v>
      </c>
      <c r="FP31" s="18">
        <v>27024</v>
      </c>
      <c r="FQ31" s="18">
        <v>26212</v>
      </c>
      <c r="FR31" s="18">
        <v>26968</v>
      </c>
      <c r="FS31" s="18">
        <v>25080</v>
      </c>
      <c r="FT31" s="18">
        <v>26401</v>
      </c>
      <c r="FU31" s="18">
        <v>24120</v>
      </c>
      <c r="FV31" s="18">
        <v>22728</v>
      </c>
      <c r="FW31" s="18">
        <v>26792</v>
      </c>
      <c r="FX31" s="18">
        <v>24638</v>
      </c>
      <c r="FY31" s="18">
        <v>24576</v>
      </c>
      <c r="FZ31" s="18">
        <v>24731</v>
      </c>
      <c r="GA31" s="18">
        <v>26442</v>
      </c>
      <c r="GB31" s="18">
        <v>22196</v>
      </c>
      <c r="GC31" s="18">
        <v>22230</v>
      </c>
      <c r="GD31" s="18">
        <v>24789</v>
      </c>
      <c r="GE31" s="18">
        <v>25646</v>
      </c>
      <c r="GF31" s="18">
        <v>22835</v>
      </c>
      <c r="GG31" s="18">
        <v>22049</v>
      </c>
      <c r="GH31" s="18">
        <v>23378</v>
      </c>
      <c r="GI31" s="18">
        <v>26104</v>
      </c>
      <c r="GJ31" s="18">
        <v>23543</v>
      </c>
      <c r="GK31" s="18">
        <v>23851</v>
      </c>
      <c r="GL31" s="18">
        <v>26065</v>
      </c>
      <c r="GM31" s="18">
        <v>24427</v>
      </c>
      <c r="GN31" s="18">
        <v>25988</v>
      </c>
      <c r="GO31" s="18">
        <v>23631</v>
      </c>
      <c r="GP31" s="18">
        <v>26123</v>
      </c>
      <c r="GQ31" s="18">
        <v>27392</v>
      </c>
      <c r="GR31" s="18">
        <v>25902</v>
      </c>
      <c r="GS31" s="18">
        <v>22518</v>
      </c>
      <c r="GT31" s="18">
        <v>22784</v>
      </c>
      <c r="GU31" s="18">
        <v>25792</v>
      </c>
      <c r="GV31" s="18">
        <v>26895</v>
      </c>
      <c r="GW31" s="18">
        <v>26714</v>
      </c>
      <c r="GX31" s="18">
        <v>24675</v>
      </c>
      <c r="GY31" s="18">
        <v>25184</v>
      </c>
      <c r="GZ31" s="18">
        <v>26033</v>
      </c>
      <c r="HA31" s="18">
        <v>26354</v>
      </c>
      <c r="HB31" s="18">
        <v>24247</v>
      </c>
      <c r="HC31" s="18">
        <v>24365</v>
      </c>
      <c r="HD31" s="18">
        <v>22518</v>
      </c>
      <c r="HE31" s="18">
        <v>25458</v>
      </c>
      <c r="HF31" s="18">
        <v>27584</v>
      </c>
      <c r="HG31" s="18">
        <v>25894</v>
      </c>
      <c r="HH31" s="18">
        <v>26336</v>
      </c>
      <c r="HI31" s="18">
        <v>22620</v>
      </c>
      <c r="HJ31" s="18">
        <v>25539</v>
      </c>
      <c r="HK31" s="18">
        <v>26131</v>
      </c>
      <c r="HL31" s="18">
        <v>23089</v>
      </c>
      <c r="HM31" s="18">
        <v>25494</v>
      </c>
      <c r="HN31" s="18">
        <v>24387</v>
      </c>
      <c r="HO31" s="18">
        <v>25606</v>
      </c>
      <c r="HP31" s="18">
        <v>23673</v>
      </c>
      <c r="HQ31" s="18">
        <v>26096</v>
      </c>
      <c r="HR31" s="18">
        <v>23333</v>
      </c>
      <c r="HS31" s="18">
        <v>27564</v>
      </c>
      <c r="HT31" s="18">
        <v>25201</v>
      </c>
      <c r="HU31" s="18">
        <v>26652</v>
      </c>
      <c r="HV31" s="18">
        <v>24269</v>
      </c>
      <c r="HW31" s="18">
        <v>23340</v>
      </c>
      <c r="HX31" s="18">
        <v>24422</v>
      </c>
      <c r="HY31" s="18">
        <v>25241</v>
      </c>
      <c r="HZ31" s="18">
        <v>23932</v>
      </c>
      <c r="IA31" s="18">
        <v>26705</v>
      </c>
      <c r="IB31" s="18">
        <v>26256</v>
      </c>
      <c r="IC31" s="18">
        <v>27383</v>
      </c>
      <c r="ID31" s="18">
        <v>27179</v>
      </c>
      <c r="IE31" s="18">
        <v>22615</v>
      </c>
      <c r="IF31" s="18">
        <v>23176</v>
      </c>
      <c r="IG31" s="18">
        <v>23441</v>
      </c>
      <c r="IH31" s="18">
        <v>27083</v>
      </c>
      <c r="II31" s="18">
        <v>24595</v>
      </c>
      <c r="IJ31" s="18">
        <v>25392</v>
      </c>
      <c r="IK31" s="18">
        <v>24864</v>
      </c>
      <c r="IL31" s="18">
        <v>27319</v>
      </c>
      <c r="IM31" s="18">
        <v>25499</v>
      </c>
      <c r="IN31" s="18">
        <v>27918</v>
      </c>
      <c r="IO31" s="18">
        <v>27695</v>
      </c>
      <c r="IP31" s="18">
        <v>25747</v>
      </c>
      <c r="IQ31" s="18">
        <v>24190</v>
      </c>
      <c r="IR31" s="18">
        <v>23646</v>
      </c>
      <c r="IS31" s="18">
        <v>23234</v>
      </c>
      <c r="IT31" s="18">
        <v>25546</v>
      </c>
      <c r="IU31" s="18">
        <v>23953</v>
      </c>
      <c r="IV31" s="18">
        <v>24624</v>
      </c>
      <c r="IW31" s="18">
        <v>23289</v>
      </c>
      <c r="IX31" s="18">
        <v>24995</v>
      </c>
      <c r="IY31" s="18">
        <v>23440</v>
      </c>
      <c r="IZ31" s="18">
        <v>23429</v>
      </c>
      <c r="JA31" s="18">
        <v>25961</v>
      </c>
      <c r="JB31" s="18">
        <v>25422</v>
      </c>
      <c r="JC31" s="18">
        <v>27649</v>
      </c>
      <c r="JD31" s="18">
        <v>25724</v>
      </c>
      <c r="JE31" s="18">
        <v>24289</v>
      </c>
      <c r="JF31" s="18">
        <v>23497</v>
      </c>
      <c r="JG31" s="18">
        <v>22765</v>
      </c>
      <c r="JH31" s="18">
        <v>25575</v>
      </c>
      <c r="JI31" s="18">
        <v>25013</v>
      </c>
    </row>
    <row r="32" spans="2:450">
      <c r="B32" s="6"/>
      <c r="C32" s="1" t="s">
        <v>8</v>
      </c>
      <c r="D32" s="9" t="s">
        <v>1</v>
      </c>
      <c r="G32" s="29">
        <f>SUM(I32:JI32)</f>
        <v>5135107</v>
      </c>
      <c r="I32" s="18">
        <v>17282</v>
      </c>
      <c r="J32" s="18">
        <v>18370</v>
      </c>
      <c r="K32" s="18">
        <v>16228</v>
      </c>
      <c r="L32" s="18">
        <v>16628</v>
      </c>
      <c r="M32" s="18">
        <v>20070</v>
      </c>
      <c r="N32" s="18">
        <v>17800</v>
      </c>
      <c r="O32" s="18">
        <v>17381</v>
      </c>
      <c r="P32" s="18">
        <v>20520</v>
      </c>
      <c r="Q32" s="18">
        <v>20734</v>
      </c>
      <c r="R32" s="18">
        <v>20747</v>
      </c>
      <c r="S32" s="18">
        <v>18553</v>
      </c>
      <c r="T32" s="18">
        <v>17121</v>
      </c>
      <c r="U32" s="18">
        <v>19273</v>
      </c>
      <c r="V32" s="18">
        <v>20359</v>
      </c>
      <c r="W32" s="18">
        <v>18129</v>
      </c>
      <c r="X32" s="18">
        <v>17323</v>
      </c>
      <c r="Y32" s="18">
        <v>19928</v>
      </c>
      <c r="Z32" s="18">
        <v>20790</v>
      </c>
      <c r="AA32" s="18">
        <v>16816</v>
      </c>
      <c r="AB32" s="18">
        <v>18538</v>
      </c>
      <c r="AC32" s="18">
        <v>19908</v>
      </c>
      <c r="AD32" s="18">
        <v>19090</v>
      </c>
      <c r="AE32" s="18">
        <v>19478</v>
      </c>
      <c r="AF32" s="18">
        <v>20956</v>
      </c>
      <c r="AG32" s="18">
        <v>16963</v>
      </c>
      <c r="AH32" s="18">
        <v>20718</v>
      </c>
      <c r="AI32" s="18">
        <v>20668</v>
      </c>
      <c r="AJ32" s="18">
        <v>18823</v>
      </c>
      <c r="AK32" s="18">
        <v>18397</v>
      </c>
      <c r="AL32" s="18">
        <v>19184</v>
      </c>
      <c r="AM32" s="18">
        <v>19052</v>
      </c>
      <c r="AN32" s="18">
        <v>21133</v>
      </c>
      <c r="AO32" s="18">
        <v>18677</v>
      </c>
      <c r="AP32" s="18">
        <v>18084</v>
      </c>
      <c r="AQ32" s="18">
        <v>19614</v>
      </c>
      <c r="AR32" s="18">
        <v>19602</v>
      </c>
      <c r="AS32" s="18">
        <v>19733</v>
      </c>
      <c r="AT32" s="18">
        <v>16619</v>
      </c>
      <c r="AU32" s="18">
        <v>20330</v>
      </c>
      <c r="AV32" s="18">
        <v>17281</v>
      </c>
      <c r="AW32" s="18">
        <v>21131</v>
      </c>
      <c r="AX32" s="18">
        <v>16896</v>
      </c>
      <c r="AY32" s="18">
        <v>16637</v>
      </c>
      <c r="AZ32" s="18">
        <v>19322</v>
      </c>
      <c r="BA32" s="18">
        <v>19763</v>
      </c>
      <c r="BB32" s="18">
        <v>18142</v>
      </c>
      <c r="BC32" s="18">
        <v>20378</v>
      </c>
      <c r="BD32" s="18">
        <v>20016</v>
      </c>
      <c r="BE32" s="18">
        <v>17916</v>
      </c>
      <c r="BF32" s="18">
        <v>21249</v>
      </c>
      <c r="BG32" s="18">
        <v>18574</v>
      </c>
      <c r="BH32" s="18">
        <v>17445</v>
      </c>
      <c r="BI32" s="18">
        <v>18480</v>
      </c>
      <c r="BJ32" s="18">
        <v>19516</v>
      </c>
      <c r="BK32" s="18">
        <v>17586</v>
      </c>
      <c r="BL32" s="18">
        <v>18521</v>
      </c>
      <c r="BM32" s="18">
        <v>18523</v>
      </c>
      <c r="BN32" s="18">
        <v>19085</v>
      </c>
      <c r="BO32" s="18">
        <v>17536</v>
      </c>
      <c r="BP32" s="18">
        <v>18178</v>
      </c>
      <c r="BQ32" s="18">
        <v>18387</v>
      </c>
      <c r="BR32" s="18">
        <v>18814</v>
      </c>
      <c r="BS32" s="18">
        <v>17440</v>
      </c>
      <c r="BT32" s="18">
        <v>19258</v>
      </c>
      <c r="BU32" s="18">
        <v>16871</v>
      </c>
      <c r="BV32" s="18">
        <v>16750</v>
      </c>
      <c r="BW32" s="18">
        <v>20982</v>
      </c>
      <c r="BX32" s="18">
        <v>19600</v>
      </c>
      <c r="BY32" s="18">
        <v>17134</v>
      </c>
      <c r="BZ32" s="18">
        <v>16744</v>
      </c>
      <c r="CA32" s="18">
        <v>19175</v>
      </c>
      <c r="CB32" s="18">
        <v>17060</v>
      </c>
      <c r="CC32" s="18">
        <v>19751</v>
      </c>
      <c r="CD32" s="18">
        <v>17717</v>
      </c>
      <c r="CE32" s="18">
        <v>19997</v>
      </c>
      <c r="CF32" s="18">
        <v>18659</v>
      </c>
      <c r="CG32" s="18">
        <v>17765</v>
      </c>
      <c r="CH32" s="18">
        <v>18984</v>
      </c>
      <c r="CI32" s="18">
        <v>20599</v>
      </c>
      <c r="CJ32" s="18">
        <v>17006</v>
      </c>
      <c r="CK32" s="18">
        <v>18824</v>
      </c>
      <c r="CL32" s="18">
        <v>19587</v>
      </c>
      <c r="CM32" s="18">
        <v>18457</v>
      </c>
      <c r="CN32" s="18">
        <v>18874</v>
      </c>
      <c r="CO32" s="18">
        <v>21269</v>
      </c>
      <c r="CP32" s="18">
        <v>17083</v>
      </c>
      <c r="CQ32" s="18">
        <v>17671</v>
      </c>
      <c r="CR32" s="18">
        <v>20573</v>
      </c>
      <c r="CS32" s="18">
        <v>19526</v>
      </c>
      <c r="CT32" s="18">
        <v>21207</v>
      </c>
      <c r="CU32" s="18">
        <v>21243</v>
      </c>
      <c r="CV32" s="18">
        <v>18480</v>
      </c>
      <c r="CW32" s="18">
        <v>18222</v>
      </c>
      <c r="CX32" s="18">
        <v>19205</v>
      </c>
      <c r="CY32" s="18">
        <v>18210</v>
      </c>
      <c r="CZ32" s="18">
        <v>21577</v>
      </c>
      <c r="DA32" s="18">
        <v>17091</v>
      </c>
      <c r="DB32" s="18">
        <v>18019</v>
      </c>
      <c r="DC32" s="18">
        <v>21120</v>
      </c>
      <c r="DD32" s="18">
        <v>20677</v>
      </c>
      <c r="DE32" s="18">
        <v>19569</v>
      </c>
      <c r="DF32" s="18">
        <v>18183</v>
      </c>
      <c r="DG32" s="18">
        <v>16943</v>
      </c>
      <c r="DH32" s="18">
        <v>20741</v>
      </c>
      <c r="DI32" s="18">
        <v>18540</v>
      </c>
      <c r="DJ32" s="18">
        <v>18333</v>
      </c>
      <c r="DK32" s="18">
        <v>18953</v>
      </c>
      <c r="DL32" s="18">
        <v>21088</v>
      </c>
      <c r="DM32" s="18">
        <v>17120</v>
      </c>
      <c r="DN32" s="18">
        <v>21042</v>
      </c>
      <c r="DO32" s="18">
        <v>19698</v>
      </c>
      <c r="DP32" s="18">
        <v>21649</v>
      </c>
      <c r="DQ32" s="18">
        <v>20376</v>
      </c>
      <c r="DR32" s="18">
        <v>19493</v>
      </c>
      <c r="DS32" s="18">
        <v>18106</v>
      </c>
      <c r="DT32" s="18">
        <v>22074</v>
      </c>
      <c r="DU32" s="18">
        <v>17944</v>
      </c>
      <c r="DV32" s="18">
        <v>20626</v>
      </c>
      <c r="DW32" s="18">
        <v>20566</v>
      </c>
      <c r="DX32" s="18">
        <v>19681</v>
      </c>
      <c r="DY32" s="18">
        <v>21355</v>
      </c>
      <c r="DZ32" s="18">
        <v>17268</v>
      </c>
      <c r="EA32" s="18">
        <v>21544</v>
      </c>
      <c r="EB32" s="18">
        <v>18026</v>
      </c>
      <c r="EC32" s="18">
        <v>18638</v>
      </c>
      <c r="ED32" s="18">
        <v>21487</v>
      </c>
      <c r="EE32" s="18">
        <v>22002</v>
      </c>
      <c r="EF32" s="18">
        <v>21295</v>
      </c>
      <c r="EG32" s="18">
        <v>19652</v>
      </c>
      <c r="EH32" s="18">
        <v>21499</v>
      </c>
      <c r="EI32" s="18">
        <v>21738</v>
      </c>
      <c r="EJ32" s="18">
        <v>17125</v>
      </c>
      <c r="EK32" s="18">
        <v>17125</v>
      </c>
      <c r="EL32" s="18">
        <v>21015</v>
      </c>
      <c r="EM32" s="18">
        <v>18168</v>
      </c>
      <c r="EN32" s="18">
        <v>18245</v>
      </c>
      <c r="EO32" s="18">
        <v>18781</v>
      </c>
      <c r="EP32" s="18">
        <v>19218</v>
      </c>
      <c r="EQ32" s="18">
        <v>17430</v>
      </c>
      <c r="ER32" s="18">
        <v>20887</v>
      </c>
      <c r="ES32" s="18">
        <v>21639</v>
      </c>
      <c r="ET32" s="18">
        <v>19850</v>
      </c>
      <c r="EU32" s="18">
        <v>22144</v>
      </c>
      <c r="EV32" s="18">
        <v>20316</v>
      </c>
      <c r="EW32" s="18">
        <v>21304</v>
      </c>
      <c r="EX32" s="18">
        <v>20587</v>
      </c>
      <c r="EY32" s="18">
        <v>17974</v>
      </c>
      <c r="EZ32" s="18">
        <v>19857</v>
      </c>
      <c r="FA32" s="18">
        <v>18822</v>
      </c>
      <c r="FB32" s="18">
        <v>17559</v>
      </c>
      <c r="FC32" s="18">
        <v>20879</v>
      </c>
      <c r="FD32" s="18">
        <v>22044</v>
      </c>
      <c r="FE32" s="18">
        <v>20216</v>
      </c>
      <c r="FF32" s="18">
        <v>20736</v>
      </c>
      <c r="FG32" s="18">
        <v>17773</v>
      </c>
      <c r="FH32" s="18">
        <v>17509</v>
      </c>
      <c r="FI32" s="18">
        <v>18132</v>
      </c>
      <c r="FJ32" s="18">
        <v>22391</v>
      </c>
      <c r="FK32" s="18">
        <v>19126</v>
      </c>
      <c r="FL32" s="18">
        <v>18777</v>
      </c>
      <c r="FM32" s="18">
        <v>21746</v>
      </c>
      <c r="FN32" s="18">
        <v>22478</v>
      </c>
      <c r="FO32" s="18">
        <v>21977</v>
      </c>
      <c r="FP32" s="18">
        <v>19661</v>
      </c>
      <c r="FQ32" s="18">
        <v>20614</v>
      </c>
      <c r="FR32" s="18">
        <v>18230</v>
      </c>
      <c r="FS32" s="18">
        <v>18738</v>
      </c>
      <c r="FT32" s="18">
        <v>17978</v>
      </c>
      <c r="FU32" s="18">
        <v>19820</v>
      </c>
      <c r="FV32" s="18">
        <v>22089</v>
      </c>
      <c r="FW32" s="18">
        <v>22200</v>
      </c>
      <c r="FX32" s="18">
        <v>22149</v>
      </c>
      <c r="FY32" s="18">
        <v>19700</v>
      </c>
      <c r="FZ32" s="18">
        <v>19503</v>
      </c>
      <c r="GA32" s="18">
        <v>18459</v>
      </c>
      <c r="GB32" s="18">
        <v>20386</v>
      </c>
      <c r="GC32" s="18">
        <v>19495</v>
      </c>
      <c r="GD32" s="18">
        <v>20809</v>
      </c>
      <c r="GE32" s="18">
        <v>19218</v>
      </c>
      <c r="GF32" s="18">
        <v>19874</v>
      </c>
      <c r="GG32" s="18">
        <v>21170</v>
      </c>
      <c r="GH32" s="18">
        <v>20236</v>
      </c>
      <c r="GI32" s="18">
        <v>21052</v>
      </c>
      <c r="GJ32" s="18">
        <v>20897</v>
      </c>
      <c r="GK32" s="18">
        <v>19123</v>
      </c>
      <c r="GL32" s="18">
        <v>21530</v>
      </c>
      <c r="GM32" s="18">
        <v>21677</v>
      </c>
      <c r="GN32" s="18">
        <v>22451</v>
      </c>
      <c r="GO32" s="18">
        <v>22599</v>
      </c>
      <c r="GP32" s="18">
        <v>19141</v>
      </c>
      <c r="GQ32" s="18">
        <v>18705</v>
      </c>
      <c r="GR32" s="18">
        <v>22053</v>
      </c>
      <c r="GS32" s="18">
        <v>22661</v>
      </c>
      <c r="GT32" s="18">
        <v>18056</v>
      </c>
      <c r="GU32" s="18">
        <v>17799</v>
      </c>
      <c r="GV32" s="18">
        <v>19637</v>
      </c>
      <c r="GW32" s="18">
        <v>18918</v>
      </c>
      <c r="GX32" s="18">
        <v>22853</v>
      </c>
      <c r="GY32" s="18">
        <v>19110</v>
      </c>
      <c r="GZ32" s="18">
        <v>18838</v>
      </c>
      <c r="HA32" s="18">
        <v>21045</v>
      </c>
      <c r="HB32" s="18">
        <v>22049</v>
      </c>
      <c r="HC32" s="18">
        <v>21170</v>
      </c>
      <c r="HD32" s="18">
        <v>23113</v>
      </c>
      <c r="HE32" s="18">
        <v>19121</v>
      </c>
      <c r="HF32" s="18">
        <v>21539</v>
      </c>
      <c r="HG32" s="18">
        <v>19438</v>
      </c>
      <c r="HH32" s="18">
        <v>18123</v>
      </c>
      <c r="HI32" s="18">
        <v>20649</v>
      </c>
      <c r="HJ32" s="18">
        <v>23080</v>
      </c>
      <c r="HK32" s="18">
        <v>18819</v>
      </c>
      <c r="HL32" s="18">
        <v>18234</v>
      </c>
      <c r="HM32" s="18">
        <v>22696</v>
      </c>
      <c r="HN32" s="18">
        <v>19313</v>
      </c>
      <c r="HO32" s="18">
        <v>21650</v>
      </c>
      <c r="HP32" s="18">
        <v>19821</v>
      </c>
      <c r="HQ32" s="18">
        <v>22848</v>
      </c>
      <c r="HR32" s="18">
        <v>19676</v>
      </c>
      <c r="HS32" s="18">
        <v>21266</v>
      </c>
      <c r="HT32" s="18">
        <v>23385</v>
      </c>
      <c r="HU32" s="18">
        <v>21008</v>
      </c>
      <c r="HV32" s="18">
        <v>21862</v>
      </c>
      <c r="HW32" s="18">
        <v>20453</v>
      </c>
      <c r="HX32" s="18">
        <v>21073</v>
      </c>
      <c r="HY32" s="18">
        <v>18909</v>
      </c>
      <c r="HZ32" s="18">
        <v>18842</v>
      </c>
      <c r="IA32" s="18">
        <v>21524</v>
      </c>
      <c r="IB32" s="18">
        <v>21348</v>
      </c>
      <c r="IC32" s="18">
        <v>20673</v>
      </c>
      <c r="ID32" s="18">
        <v>23273</v>
      </c>
      <c r="IE32" s="18">
        <v>21189</v>
      </c>
      <c r="IF32" s="18">
        <v>18173</v>
      </c>
      <c r="IG32" s="18">
        <v>18743</v>
      </c>
      <c r="IH32" s="18">
        <v>21168</v>
      </c>
      <c r="II32" s="18">
        <v>22727</v>
      </c>
      <c r="IJ32" s="18">
        <v>18113</v>
      </c>
      <c r="IK32" s="18">
        <v>20709</v>
      </c>
      <c r="IL32" s="18">
        <v>19371</v>
      </c>
      <c r="IM32" s="18">
        <v>21890</v>
      </c>
      <c r="IN32" s="18">
        <v>18383</v>
      </c>
      <c r="IO32" s="18">
        <v>19918</v>
      </c>
      <c r="IP32" s="18">
        <v>19391</v>
      </c>
      <c r="IQ32" s="18">
        <v>20227</v>
      </c>
      <c r="IR32" s="18">
        <v>19555</v>
      </c>
      <c r="IS32" s="18">
        <v>18961</v>
      </c>
      <c r="IT32" s="18">
        <v>18706</v>
      </c>
      <c r="IU32" s="18">
        <v>21563</v>
      </c>
      <c r="IV32" s="18">
        <v>21240</v>
      </c>
      <c r="IW32" s="18">
        <v>19163</v>
      </c>
      <c r="IX32" s="18">
        <v>18188</v>
      </c>
      <c r="IY32" s="18">
        <v>19805</v>
      </c>
      <c r="IZ32" s="18">
        <v>22349</v>
      </c>
      <c r="JA32" s="18">
        <v>20600</v>
      </c>
      <c r="JB32" s="18">
        <v>21588</v>
      </c>
      <c r="JC32" s="18">
        <v>21835</v>
      </c>
      <c r="JD32" s="18">
        <v>20556</v>
      </c>
      <c r="JE32" s="18">
        <v>22298</v>
      </c>
      <c r="JF32" s="18">
        <v>20555</v>
      </c>
      <c r="JG32" s="18">
        <v>20155</v>
      </c>
      <c r="JH32" s="18">
        <v>19679</v>
      </c>
      <c r="JI32" s="18">
        <v>20419</v>
      </c>
    </row>
    <row r="33" spans="2:269">
      <c r="B33" s="6"/>
      <c r="D33" s="9"/>
    </row>
    <row r="34" spans="2:269">
      <c r="B34" s="6"/>
      <c r="D34" s="9"/>
    </row>
    <row r="35" spans="2:269">
      <c r="B35" s="6" t="s">
        <v>14</v>
      </c>
      <c r="D35" s="9"/>
    </row>
    <row r="36" spans="2:269">
      <c r="B36" s="6"/>
      <c r="C36" s="2" t="s">
        <v>37</v>
      </c>
      <c r="D36" s="9"/>
    </row>
    <row r="37" spans="2:269">
      <c r="B37" s="6"/>
      <c r="D37" s="9"/>
    </row>
    <row r="38" spans="2:269">
      <c r="B38" s="6"/>
      <c r="C38" s="1" t="s">
        <v>83</v>
      </c>
      <c r="D38" s="9" t="s">
        <v>4</v>
      </c>
      <c r="F38" s="44">
        <f>EOMONTH(MIN(I30:JI30),-1)+1</f>
        <v>43831</v>
      </c>
    </row>
    <row r="39" spans="2:269">
      <c r="B39" s="6"/>
      <c r="C39" s="1" t="s">
        <v>84</v>
      </c>
      <c r="D39" s="9" t="s">
        <v>4</v>
      </c>
      <c r="F39" s="44">
        <f>MAX(I30:JI30)</f>
        <v>45657</v>
      </c>
    </row>
    <row r="40" spans="2:269">
      <c r="B40" s="6"/>
      <c r="C40" s="1" t="s">
        <v>85</v>
      </c>
      <c r="D40" s="9" t="s">
        <v>86</v>
      </c>
      <c r="F40" s="1">
        <f>INDEX($D$25:$D$27,MATCH($G$23,$C$25:$C$27,0))</f>
        <v>1</v>
      </c>
    </row>
    <row r="41" spans="2:269">
      <c r="B41" s="6"/>
      <c r="D41" s="9"/>
    </row>
    <row r="42" spans="2:269">
      <c r="B42" s="6"/>
      <c r="C42" s="1" t="s">
        <v>24</v>
      </c>
      <c r="D42" s="9" t="s">
        <v>4</v>
      </c>
      <c r="I42" s="44">
        <f>$F$38</f>
        <v>43831</v>
      </c>
      <c r="J42" s="44">
        <f>IF(I43&lt;$F$39,I43+1,"n/a")</f>
        <v>43862</v>
      </c>
      <c r="K42" s="44">
        <f t="shared" ref="K42:BV42" si="8">IF(J43&lt;$F$39,J43+1,"n/a")</f>
        <v>43891</v>
      </c>
      <c r="L42" s="44">
        <f t="shared" si="8"/>
        <v>43922</v>
      </c>
      <c r="M42" s="44">
        <f t="shared" si="8"/>
        <v>43952</v>
      </c>
      <c r="N42" s="44">
        <f t="shared" si="8"/>
        <v>43983</v>
      </c>
      <c r="O42" s="44">
        <f t="shared" si="8"/>
        <v>44013</v>
      </c>
      <c r="P42" s="44">
        <f t="shared" si="8"/>
        <v>44044</v>
      </c>
      <c r="Q42" s="44">
        <f t="shared" si="8"/>
        <v>44075</v>
      </c>
      <c r="R42" s="44">
        <f t="shared" si="8"/>
        <v>44105</v>
      </c>
      <c r="S42" s="44">
        <f t="shared" si="8"/>
        <v>44136</v>
      </c>
      <c r="T42" s="44">
        <f t="shared" si="8"/>
        <v>44166</v>
      </c>
      <c r="U42" s="44">
        <f t="shared" si="8"/>
        <v>44197</v>
      </c>
      <c r="V42" s="44">
        <f t="shared" si="8"/>
        <v>44228</v>
      </c>
      <c r="W42" s="44">
        <f t="shared" si="8"/>
        <v>44256</v>
      </c>
      <c r="X42" s="44">
        <f t="shared" si="8"/>
        <v>44287</v>
      </c>
      <c r="Y42" s="44">
        <f t="shared" si="8"/>
        <v>44317</v>
      </c>
      <c r="Z42" s="44">
        <f t="shared" si="8"/>
        <v>44348</v>
      </c>
      <c r="AA42" s="44">
        <f t="shared" si="8"/>
        <v>44378</v>
      </c>
      <c r="AB42" s="44">
        <f t="shared" si="8"/>
        <v>44409</v>
      </c>
      <c r="AC42" s="44">
        <f t="shared" si="8"/>
        <v>44440</v>
      </c>
      <c r="AD42" s="44">
        <f t="shared" si="8"/>
        <v>44470</v>
      </c>
      <c r="AE42" s="44">
        <f t="shared" si="8"/>
        <v>44501</v>
      </c>
      <c r="AF42" s="44">
        <f t="shared" si="8"/>
        <v>44531</v>
      </c>
      <c r="AG42" s="44">
        <f t="shared" si="8"/>
        <v>44562</v>
      </c>
      <c r="AH42" s="44">
        <f t="shared" si="8"/>
        <v>44593</v>
      </c>
      <c r="AI42" s="44">
        <f t="shared" si="8"/>
        <v>44621</v>
      </c>
      <c r="AJ42" s="44">
        <f t="shared" si="8"/>
        <v>44652</v>
      </c>
      <c r="AK42" s="44">
        <f t="shared" si="8"/>
        <v>44682</v>
      </c>
      <c r="AL42" s="44">
        <f t="shared" si="8"/>
        <v>44713</v>
      </c>
      <c r="AM42" s="44">
        <f t="shared" si="8"/>
        <v>44743</v>
      </c>
      <c r="AN42" s="44">
        <f t="shared" si="8"/>
        <v>44774</v>
      </c>
      <c r="AO42" s="44">
        <f t="shared" si="8"/>
        <v>44805</v>
      </c>
      <c r="AP42" s="44">
        <f t="shared" si="8"/>
        <v>44835</v>
      </c>
      <c r="AQ42" s="44">
        <f t="shared" si="8"/>
        <v>44866</v>
      </c>
      <c r="AR42" s="44">
        <f t="shared" si="8"/>
        <v>44896</v>
      </c>
      <c r="AS42" s="44">
        <f t="shared" si="8"/>
        <v>44927</v>
      </c>
      <c r="AT42" s="44">
        <f t="shared" si="8"/>
        <v>44958</v>
      </c>
      <c r="AU42" s="44">
        <f t="shared" si="8"/>
        <v>44986</v>
      </c>
      <c r="AV42" s="44">
        <f t="shared" si="8"/>
        <v>45017</v>
      </c>
      <c r="AW42" s="44">
        <f t="shared" si="8"/>
        <v>45047</v>
      </c>
      <c r="AX42" s="44">
        <f t="shared" si="8"/>
        <v>45078</v>
      </c>
      <c r="AY42" s="44">
        <f t="shared" si="8"/>
        <v>45108</v>
      </c>
      <c r="AZ42" s="44">
        <f t="shared" si="8"/>
        <v>45139</v>
      </c>
      <c r="BA42" s="44">
        <f t="shared" si="8"/>
        <v>45170</v>
      </c>
      <c r="BB42" s="44">
        <f t="shared" si="8"/>
        <v>45200</v>
      </c>
      <c r="BC42" s="44">
        <f t="shared" si="8"/>
        <v>45231</v>
      </c>
      <c r="BD42" s="44">
        <f t="shared" si="8"/>
        <v>45261</v>
      </c>
      <c r="BE42" s="44">
        <f t="shared" si="8"/>
        <v>45292</v>
      </c>
      <c r="BF42" s="44">
        <f t="shared" si="8"/>
        <v>45323</v>
      </c>
      <c r="BG42" s="44">
        <f t="shared" si="8"/>
        <v>45352</v>
      </c>
      <c r="BH42" s="44">
        <f t="shared" si="8"/>
        <v>45383</v>
      </c>
      <c r="BI42" s="44">
        <f t="shared" si="8"/>
        <v>45413</v>
      </c>
      <c r="BJ42" s="44">
        <f t="shared" si="8"/>
        <v>45444</v>
      </c>
      <c r="BK42" s="44">
        <f t="shared" si="8"/>
        <v>45474</v>
      </c>
      <c r="BL42" s="44">
        <f t="shared" si="8"/>
        <v>45505</v>
      </c>
      <c r="BM42" s="44">
        <f t="shared" si="8"/>
        <v>45536</v>
      </c>
      <c r="BN42" s="44">
        <f t="shared" si="8"/>
        <v>45566</v>
      </c>
      <c r="BO42" s="44">
        <f t="shared" si="8"/>
        <v>45597</v>
      </c>
      <c r="BP42" s="44">
        <f t="shared" si="8"/>
        <v>45627</v>
      </c>
      <c r="BQ42" s="44" t="str">
        <f t="shared" si="8"/>
        <v>n/a</v>
      </c>
      <c r="BR42" s="44" t="str">
        <f t="shared" si="8"/>
        <v>n/a</v>
      </c>
      <c r="BS42" s="44" t="str">
        <f t="shared" si="8"/>
        <v>n/a</v>
      </c>
      <c r="BT42" s="44" t="str">
        <f t="shared" si="8"/>
        <v>n/a</v>
      </c>
      <c r="BU42" s="44" t="str">
        <f t="shared" si="8"/>
        <v>n/a</v>
      </c>
      <c r="BV42" s="44" t="str">
        <f t="shared" si="8"/>
        <v>n/a</v>
      </c>
      <c r="BW42" s="44" t="str">
        <f t="shared" ref="BW42:EH42" si="9">IF(BV43&lt;$F$39,BV43+1,"n/a")</f>
        <v>n/a</v>
      </c>
      <c r="BX42" s="44" t="str">
        <f t="shared" si="9"/>
        <v>n/a</v>
      </c>
      <c r="BY42" s="44" t="str">
        <f t="shared" si="9"/>
        <v>n/a</v>
      </c>
      <c r="BZ42" s="44" t="str">
        <f t="shared" si="9"/>
        <v>n/a</v>
      </c>
      <c r="CA42" s="44" t="str">
        <f t="shared" si="9"/>
        <v>n/a</v>
      </c>
      <c r="CB42" s="44" t="str">
        <f t="shared" si="9"/>
        <v>n/a</v>
      </c>
      <c r="CC42" s="44" t="str">
        <f t="shared" si="9"/>
        <v>n/a</v>
      </c>
      <c r="CD42" s="44" t="str">
        <f t="shared" si="9"/>
        <v>n/a</v>
      </c>
      <c r="CE42" s="44" t="str">
        <f t="shared" si="9"/>
        <v>n/a</v>
      </c>
      <c r="CF42" s="44" t="str">
        <f t="shared" si="9"/>
        <v>n/a</v>
      </c>
      <c r="CG42" s="44" t="str">
        <f t="shared" si="9"/>
        <v>n/a</v>
      </c>
      <c r="CH42" s="44" t="str">
        <f t="shared" si="9"/>
        <v>n/a</v>
      </c>
      <c r="CI42" s="44" t="str">
        <f t="shared" si="9"/>
        <v>n/a</v>
      </c>
      <c r="CJ42" s="44" t="str">
        <f t="shared" si="9"/>
        <v>n/a</v>
      </c>
      <c r="CK42" s="44" t="str">
        <f t="shared" si="9"/>
        <v>n/a</v>
      </c>
      <c r="CL42" s="44" t="str">
        <f t="shared" si="9"/>
        <v>n/a</v>
      </c>
      <c r="CM42" s="44" t="str">
        <f t="shared" si="9"/>
        <v>n/a</v>
      </c>
      <c r="CN42" s="44" t="str">
        <f t="shared" si="9"/>
        <v>n/a</v>
      </c>
      <c r="CO42" s="44" t="str">
        <f t="shared" si="9"/>
        <v>n/a</v>
      </c>
      <c r="CP42" s="44" t="str">
        <f t="shared" si="9"/>
        <v>n/a</v>
      </c>
      <c r="CQ42" s="44" t="str">
        <f t="shared" si="9"/>
        <v>n/a</v>
      </c>
      <c r="CR42" s="44" t="str">
        <f t="shared" si="9"/>
        <v>n/a</v>
      </c>
      <c r="CS42" s="44" t="str">
        <f t="shared" si="9"/>
        <v>n/a</v>
      </c>
      <c r="CT42" s="44" t="str">
        <f t="shared" si="9"/>
        <v>n/a</v>
      </c>
      <c r="CU42" s="44" t="str">
        <f t="shared" si="9"/>
        <v>n/a</v>
      </c>
      <c r="CV42" s="44" t="str">
        <f t="shared" si="9"/>
        <v>n/a</v>
      </c>
      <c r="CW42" s="44" t="str">
        <f t="shared" si="9"/>
        <v>n/a</v>
      </c>
      <c r="CX42" s="44" t="str">
        <f t="shared" si="9"/>
        <v>n/a</v>
      </c>
      <c r="CY42" s="44" t="str">
        <f t="shared" si="9"/>
        <v>n/a</v>
      </c>
      <c r="CZ42" s="44" t="str">
        <f t="shared" si="9"/>
        <v>n/a</v>
      </c>
      <c r="DA42" s="44" t="str">
        <f t="shared" si="9"/>
        <v>n/a</v>
      </c>
      <c r="DB42" s="44" t="str">
        <f t="shared" si="9"/>
        <v>n/a</v>
      </c>
      <c r="DC42" s="44" t="str">
        <f t="shared" si="9"/>
        <v>n/a</v>
      </c>
      <c r="DD42" s="44" t="str">
        <f t="shared" si="9"/>
        <v>n/a</v>
      </c>
      <c r="DE42" s="44" t="str">
        <f t="shared" si="9"/>
        <v>n/a</v>
      </c>
      <c r="DF42" s="44" t="str">
        <f t="shared" si="9"/>
        <v>n/a</v>
      </c>
      <c r="DG42" s="44" t="str">
        <f t="shared" si="9"/>
        <v>n/a</v>
      </c>
      <c r="DH42" s="44" t="str">
        <f t="shared" si="9"/>
        <v>n/a</v>
      </c>
      <c r="DI42" s="44" t="str">
        <f t="shared" si="9"/>
        <v>n/a</v>
      </c>
      <c r="DJ42" s="44" t="str">
        <f t="shared" si="9"/>
        <v>n/a</v>
      </c>
      <c r="DK42" s="44" t="str">
        <f t="shared" si="9"/>
        <v>n/a</v>
      </c>
      <c r="DL42" s="44" t="str">
        <f t="shared" si="9"/>
        <v>n/a</v>
      </c>
      <c r="DM42" s="44" t="str">
        <f t="shared" si="9"/>
        <v>n/a</v>
      </c>
      <c r="DN42" s="44" t="str">
        <f t="shared" si="9"/>
        <v>n/a</v>
      </c>
      <c r="DO42" s="44" t="str">
        <f t="shared" si="9"/>
        <v>n/a</v>
      </c>
      <c r="DP42" s="44" t="str">
        <f t="shared" si="9"/>
        <v>n/a</v>
      </c>
      <c r="DQ42" s="44" t="str">
        <f t="shared" si="9"/>
        <v>n/a</v>
      </c>
      <c r="DR42" s="44" t="str">
        <f t="shared" si="9"/>
        <v>n/a</v>
      </c>
      <c r="DS42" s="44" t="str">
        <f t="shared" si="9"/>
        <v>n/a</v>
      </c>
      <c r="DT42" s="44" t="str">
        <f t="shared" si="9"/>
        <v>n/a</v>
      </c>
      <c r="DU42" s="44" t="str">
        <f t="shared" si="9"/>
        <v>n/a</v>
      </c>
      <c r="DV42" s="44" t="str">
        <f t="shared" si="9"/>
        <v>n/a</v>
      </c>
      <c r="DW42" s="44" t="str">
        <f t="shared" si="9"/>
        <v>n/a</v>
      </c>
      <c r="DX42" s="44" t="str">
        <f t="shared" si="9"/>
        <v>n/a</v>
      </c>
      <c r="DY42" s="44" t="str">
        <f t="shared" si="9"/>
        <v>n/a</v>
      </c>
      <c r="DZ42" s="44" t="str">
        <f t="shared" si="9"/>
        <v>n/a</v>
      </c>
      <c r="EA42" s="44" t="str">
        <f t="shared" si="9"/>
        <v>n/a</v>
      </c>
      <c r="EB42" s="44" t="str">
        <f t="shared" si="9"/>
        <v>n/a</v>
      </c>
      <c r="EC42" s="44" t="str">
        <f t="shared" si="9"/>
        <v>n/a</v>
      </c>
      <c r="ED42" s="44" t="str">
        <f t="shared" si="9"/>
        <v>n/a</v>
      </c>
      <c r="EE42" s="44" t="str">
        <f t="shared" si="9"/>
        <v>n/a</v>
      </c>
      <c r="EF42" s="44" t="str">
        <f t="shared" si="9"/>
        <v>n/a</v>
      </c>
      <c r="EG42" s="44" t="str">
        <f t="shared" si="9"/>
        <v>n/a</v>
      </c>
      <c r="EH42" s="44" t="str">
        <f t="shared" si="9"/>
        <v>n/a</v>
      </c>
      <c r="EI42" s="44" t="str">
        <f t="shared" ref="EI42:GT42" si="10">IF(EH43&lt;$F$39,EH43+1,"n/a")</f>
        <v>n/a</v>
      </c>
      <c r="EJ42" s="44" t="str">
        <f t="shared" si="10"/>
        <v>n/a</v>
      </c>
      <c r="EK42" s="44" t="str">
        <f t="shared" si="10"/>
        <v>n/a</v>
      </c>
      <c r="EL42" s="44" t="str">
        <f t="shared" si="10"/>
        <v>n/a</v>
      </c>
      <c r="EM42" s="44" t="str">
        <f t="shared" si="10"/>
        <v>n/a</v>
      </c>
      <c r="EN42" s="44" t="str">
        <f t="shared" si="10"/>
        <v>n/a</v>
      </c>
      <c r="EO42" s="44" t="str">
        <f t="shared" si="10"/>
        <v>n/a</v>
      </c>
      <c r="EP42" s="44" t="str">
        <f t="shared" si="10"/>
        <v>n/a</v>
      </c>
      <c r="EQ42" s="44" t="str">
        <f t="shared" si="10"/>
        <v>n/a</v>
      </c>
      <c r="ER42" s="44" t="str">
        <f t="shared" si="10"/>
        <v>n/a</v>
      </c>
      <c r="ES42" s="44" t="str">
        <f t="shared" si="10"/>
        <v>n/a</v>
      </c>
      <c r="ET42" s="44" t="str">
        <f t="shared" si="10"/>
        <v>n/a</v>
      </c>
      <c r="EU42" s="44" t="str">
        <f t="shared" si="10"/>
        <v>n/a</v>
      </c>
      <c r="EV42" s="44" t="str">
        <f t="shared" si="10"/>
        <v>n/a</v>
      </c>
      <c r="EW42" s="44" t="str">
        <f t="shared" si="10"/>
        <v>n/a</v>
      </c>
      <c r="EX42" s="44" t="str">
        <f t="shared" si="10"/>
        <v>n/a</v>
      </c>
      <c r="EY42" s="44" t="str">
        <f t="shared" si="10"/>
        <v>n/a</v>
      </c>
      <c r="EZ42" s="44" t="str">
        <f t="shared" si="10"/>
        <v>n/a</v>
      </c>
      <c r="FA42" s="44" t="str">
        <f t="shared" si="10"/>
        <v>n/a</v>
      </c>
      <c r="FB42" s="44" t="str">
        <f t="shared" si="10"/>
        <v>n/a</v>
      </c>
      <c r="FC42" s="44" t="str">
        <f t="shared" si="10"/>
        <v>n/a</v>
      </c>
      <c r="FD42" s="44" t="str">
        <f t="shared" si="10"/>
        <v>n/a</v>
      </c>
      <c r="FE42" s="44" t="str">
        <f t="shared" si="10"/>
        <v>n/a</v>
      </c>
      <c r="FF42" s="44" t="str">
        <f t="shared" si="10"/>
        <v>n/a</v>
      </c>
      <c r="FG42" s="44" t="str">
        <f t="shared" si="10"/>
        <v>n/a</v>
      </c>
      <c r="FH42" s="44" t="str">
        <f t="shared" si="10"/>
        <v>n/a</v>
      </c>
      <c r="FI42" s="44" t="str">
        <f t="shared" si="10"/>
        <v>n/a</v>
      </c>
      <c r="FJ42" s="44" t="str">
        <f t="shared" si="10"/>
        <v>n/a</v>
      </c>
      <c r="FK42" s="44" t="str">
        <f t="shared" si="10"/>
        <v>n/a</v>
      </c>
      <c r="FL42" s="44" t="str">
        <f t="shared" si="10"/>
        <v>n/a</v>
      </c>
      <c r="FM42" s="44" t="str">
        <f t="shared" si="10"/>
        <v>n/a</v>
      </c>
      <c r="FN42" s="44" t="str">
        <f t="shared" si="10"/>
        <v>n/a</v>
      </c>
      <c r="FO42" s="44" t="str">
        <f t="shared" si="10"/>
        <v>n/a</v>
      </c>
      <c r="FP42" s="44" t="str">
        <f t="shared" si="10"/>
        <v>n/a</v>
      </c>
      <c r="FQ42" s="44" t="str">
        <f t="shared" si="10"/>
        <v>n/a</v>
      </c>
      <c r="FR42" s="44" t="str">
        <f t="shared" si="10"/>
        <v>n/a</v>
      </c>
      <c r="FS42" s="44" t="str">
        <f t="shared" si="10"/>
        <v>n/a</v>
      </c>
      <c r="FT42" s="44" t="str">
        <f t="shared" si="10"/>
        <v>n/a</v>
      </c>
      <c r="FU42" s="44" t="str">
        <f t="shared" si="10"/>
        <v>n/a</v>
      </c>
      <c r="FV42" s="44" t="str">
        <f t="shared" si="10"/>
        <v>n/a</v>
      </c>
      <c r="FW42" s="44" t="str">
        <f t="shared" si="10"/>
        <v>n/a</v>
      </c>
      <c r="FX42" s="44" t="str">
        <f t="shared" si="10"/>
        <v>n/a</v>
      </c>
      <c r="FY42" s="44" t="str">
        <f t="shared" si="10"/>
        <v>n/a</v>
      </c>
      <c r="FZ42" s="44" t="str">
        <f t="shared" si="10"/>
        <v>n/a</v>
      </c>
      <c r="GA42" s="44" t="str">
        <f t="shared" si="10"/>
        <v>n/a</v>
      </c>
      <c r="GB42" s="44" t="str">
        <f t="shared" si="10"/>
        <v>n/a</v>
      </c>
      <c r="GC42" s="44" t="str">
        <f t="shared" si="10"/>
        <v>n/a</v>
      </c>
      <c r="GD42" s="44" t="str">
        <f t="shared" si="10"/>
        <v>n/a</v>
      </c>
      <c r="GE42" s="44" t="str">
        <f t="shared" si="10"/>
        <v>n/a</v>
      </c>
      <c r="GF42" s="44" t="str">
        <f t="shared" si="10"/>
        <v>n/a</v>
      </c>
      <c r="GG42" s="44" t="str">
        <f t="shared" si="10"/>
        <v>n/a</v>
      </c>
      <c r="GH42" s="44" t="str">
        <f t="shared" si="10"/>
        <v>n/a</v>
      </c>
      <c r="GI42" s="44" t="str">
        <f t="shared" si="10"/>
        <v>n/a</v>
      </c>
      <c r="GJ42" s="44" t="str">
        <f t="shared" si="10"/>
        <v>n/a</v>
      </c>
      <c r="GK42" s="44" t="str">
        <f t="shared" si="10"/>
        <v>n/a</v>
      </c>
      <c r="GL42" s="44" t="str">
        <f t="shared" si="10"/>
        <v>n/a</v>
      </c>
      <c r="GM42" s="44" t="str">
        <f t="shared" si="10"/>
        <v>n/a</v>
      </c>
      <c r="GN42" s="44" t="str">
        <f t="shared" si="10"/>
        <v>n/a</v>
      </c>
      <c r="GO42" s="44" t="str">
        <f t="shared" si="10"/>
        <v>n/a</v>
      </c>
      <c r="GP42" s="44" t="str">
        <f t="shared" si="10"/>
        <v>n/a</v>
      </c>
      <c r="GQ42" s="44" t="str">
        <f t="shared" si="10"/>
        <v>n/a</v>
      </c>
      <c r="GR42" s="44" t="str">
        <f t="shared" si="10"/>
        <v>n/a</v>
      </c>
      <c r="GS42" s="44" t="str">
        <f t="shared" si="10"/>
        <v>n/a</v>
      </c>
      <c r="GT42" s="44" t="str">
        <f t="shared" si="10"/>
        <v>n/a</v>
      </c>
      <c r="GU42" s="44" t="str">
        <f t="shared" ref="GU42:JF42" si="11">IF(GT43&lt;$F$39,GT43+1,"n/a")</f>
        <v>n/a</v>
      </c>
      <c r="GV42" s="44" t="str">
        <f t="shared" si="11"/>
        <v>n/a</v>
      </c>
      <c r="GW42" s="44" t="str">
        <f t="shared" si="11"/>
        <v>n/a</v>
      </c>
      <c r="GX42" s="44" t="str">
        <f t="shared" si="11"/>
        <v>n/a</v>
      </c>
      <c r="GY42" s="44" t="str">
        <f t="shared" si="11"/>
        <v>n/a</v>
      </c>
      <c r="GZ42" s="44" t="str">
        <f t="shared" si="11"/>
        <v>n/a</v>
      </c>
      <c r="HA42" s="44" t="str">
        <f t="shared" si="11"/>
        <v>n/a</v>
      </c>
      <c r="HB42" s="44" t="str">
        <f t="shared" si="11"/>
        <v>n/a</v>
      </c>
      <c r="HC42" s="44" t="str">
        <f t="shared" si="11"/>
        <v>n/a</v>
      </c>
      <c r="HD42" s="44" t="str">
        <f t="shared" si="11"/>
        <v>n/a</v>
      </c>
      <c r="HE42" s="44" t="str">
        <f t="shared" si="11"/>
        <v>n/a</v>
      </c>
      <c r="HF42" s="44" t="str">
        <f t="shared" si="11"/>
        <v>n/a</v>
      </c>
      <c r="HG42" s="44" t="str">
        <f t="shared" si="11"/>
        <v>n/a</v>
      </c>
      <c r="HH42" s="44" t="str">
        <f t="shared" si="11"/>
        <v>n/a</v>
      </c>
      <c r="HI42" s="44" t="str">
        <f t="shared" si="11"/>
        <v>n/a</v>
      </c>
      <c r="HJ42" s="44" t="str">
        <f t="shared" si="11"/>
        <v>n/a</v>
      </c>
      <c r="HK42" s="44" t="str">
        <f t="shared" si="11"/>
        <v>n/a</v>
      </c>
      <c r="HL42" s="44" t="str">
        <f t="shared" si="11"/>
        <v>n/a</v>
      </c>
      <c r="HM42" s="44" t="str">
        <f t="shared" si="11"/>
        <v>n/a</v>
      </c>
      <c r="HN42" s="44" t="str">
        <f t="shared" si="11"/>
        <v>n/a</v>
      </c>
      <c r="HO42" s="44" t="str">
        <f t="shared" si="11"/>
        <v>n/a</v>
      </c>
      <c r="HP42" s="44" t="str">
        <f t="shared" si="11"/>
        <v>n/a</v>
      </c>
      <c r="HQ42" s="44" t="str">
        <f t="shared" si="11"/>
        <v>n/a</v>
      </c>
      <c r="HR42" s="44" t="str">
        <f t="shared" si="11"/>
        <v>n/a</v>
      </c>
      <c r="HS42" s="44" t="str">
        <f t="shared" si="11"/>
        <v>n/a</v>
      </c>
      <c r="HT42" s="44" t="str">
        <f t="shared" si="11"/>
        <v>n/a</v>
      </c>
      <c r="HU42" s="44" t="str">
        <f t="shared" si="11"/>
        <v>n/a</v>
      </c>
      <c r="HV42" s="44" t="str">
        <f t="shared" si="11"/>
        <v>n/a</v>
      </c>
      <c r="HW42" s="44" t="str">
        <f t="shared" si="11"/>
        <v>n/a</v>
      </c>
      <c r="HX42" s="44" t="str">
        <f t="shared" si="11"/>
        <v>n/a</v>
      </c>
      <c r="HY42" s="44" t="str">
        <f t="shared" si="11"/>
        <v>n/a</v>
      </c>
      <c r="HZ42" s="44" t="str">
        <f t="shared" si="11"/>
        <v>n/a</v>
      </c>
      <c r="IA42" s="44" t="str">
        <f t="shared" si="11"/>
        <v>n/a</v>
      </c>
      <c r="IB42" s="44" t="str">
        <f t="shared" si="11"/>
        <v>n/a</v>
      </c>
      <c r="IC42" s="44" t="str">
        <f t="shared" si="11"/>
        <v>n/a</v>
      </c>
      <c r="ID42" s="44" t="str">
        <f t="shared" si="11"/>
        <v>n/a</v>
      </c>
      <c r="IE42" s="44" t="str">
        <f t="shared" si="11"/>
        <v>n/a</v>
      </c>
      <c r="IF42" s="44" t="str">
        <f t="shared" si="11"/>
        <v>n/a</v>
      </c>
      <c r="IG42" s="44" t="str">
        <f t="shared" si="11"/>
        <v>n/a</v>
      </c>
      <c r="IH42" s="44" t="str">
        <f t="shared" si="11"/>
        <v>n/a</v>
      </c>
      <c r="II42" s="44" t="str">
        <f t="shared" si="11"/>
        <v>n/a</v>
      </c>
      <c r="IJ42" s="44" t="str">
        <f t="shared" si="11"/>
        <v>n/a</v>
      </c>
      <c r="IK42" s="44" t="str">
        <f t="shared" si="11"/>
        <v>n/a</v>
      </c>
      <c r="IL42" s="44" t="str">
        <f t="shared" si="11"/>
        <v>n/a</v>
      </c>
      <c r="IM42" s="44" t="str">
        <f t="shared" si="11"/>
        <v>n/a</v>
      </c>
      <c r="IN42" s="44" t="str">
        <f t="shared" si="11"/>
        <v>n/a</v>
      </c>
      <c r="IO42" s="44" t="str">
        <f t="shared" si="11"/>
        <v>n/a</v>
      </c>
      <c r="IP42" s="44" t="str">
        <f t="shared" si="11"/>
        <v>n/a</v>
      </c>
      <c r="IQ42" s="44" t="str">
        <f t="shared" si="11"/>
        <v>n/a</v>
      </c>
      <c r="IR42" s="44" t="str">
        <f t="shared" si="11"/>
        <v>n/a</v>
      </c>
      <c r="IS42" s="44" t="str">
        <f t="shared" si="11"/>
        <v>n/a</v>
      </c>
      <c r="IT42" s="44" t="str">
        <f t="shared" si="11"/>
        <v>n/a</v>
      </c>
      <c r="IU42" s="44" t="str">
        <f t="shared" si="11"/>
        <v>n/a</v>
      </c>
      <c r="IV42" s="44" t="str">
        <f t="shared" si="11"/>
        <v>n/a</v>
      </c>
      <c r="IW42" s="44" t="str">
        <f t="shared" si="11"/>
        <v>n/a</v>
      </c>
      <c r="IX42" s="44" t="str">
        <f t="shared" si="11"/>
        <v>n/a</v>
      </c>
      <c r="IY42" s="44" t="str">
        <f t="shared" si="11"/>
        <v>n/a</v>
      </c>
      <c r="IZ42" s="44" t="str">
        <f t="shared" si="11"/>
        <v>n/a</v>
      </c>
      <c r="JA42" s="44" t="str">
        <f t="shared" si="11"/>
        <v>n/a</v>
      </c>
      <c r="JB42" s="44" t="str">
        <f t="shared" si="11"/>
        <v>n/a</v>
      </c>
      <c r="JC42" s="44" t="str">
        <f t="shared" si="11"/>
        <v>n/a</v>
      </c>
      <c r="JD42" s="44" t="str">
        <f t="shared" si="11"/>
        <v>n/a</v>
      </c>
      <c r="JE42" s="44" t="str">
        <f t="shared" si="11"/>
        <v>n/a</v>
      </c>
      <c r="JF42" s="44" t="str">
        <f t="shared" si="11"/>
        <v>n/a</v>
      </c>
      <c r="JG42" s="44" t="str">
        <f t="shared" ref="JG42:JI42" si="12">IF(JF43&lt;$F$39,JF43+1,"n/a")</f>
        <v>n/a</v>
      </c>
      <c r="JH42" s="44" t="str">
        <f t="shared" si="12"/>
        <v>n/a</v>
      </c>
      <c r="JI42" s="44" t="str">
        <f t="shared" si="12"/>
        <v>n/a</v>
      </c>
    </row>
    <row r="43" spans="2:269">
      <c r="B43" s="6"/>
      <c r="C43" s="1" t="s">
        <v>25</v>
      </c>
      <c r="D43" s="9" t="s">
        <v>4</v>
      </c>
      <c r="I43" s="44">
        <f>IFERROR(EOMONTH(I42,$F$40-1),"n/a")</f>
        <v>43861</v>
      </c>
      <c r="J43" s="44">
        <f t="shared" ref="J43:BU43" si="13">IFERROR(EOMONTH(J42,$F$40-1),"n/a")</f>
        <v>43890</v>
      </c>
      <c r="K43" s="44">
        <f t="shared" si="13"/>
        <v>43921</v>
      </c>
      <c r="L43" s="44">
        <f t="shared" si="13"/>
        <v>43951</v>
      </c>
      <c r="M43" s="44">
        <f t="shared" si="13"/>
        <v>43982</v>
      </c>
      <c r="N43" s="44">
        <f t="shared" si="13"/>
        <v>44012</v>
      </c>
      <c r="O43" s="44">
        <f t="shared" si="13"/>
        <v>44043</v>
      </c>
      <c r="P43" s="44">
        <f t="shared" si="13"/>
        <v>44074</v>
      </c>
      <c r="Q43" s="44">
        <f t="shared" si="13"/>
        <v>44104</v>
      </c>
      <c r="R43" s="44">
        <f t="shared" si="13"/>
        <v>44135</v>
      </c>
      <c r="S43" s="44">
        <f t="shared" si="13"/>
        <v>44165</v>
      </c>
      <c r="T43" s="44">
        <f t="shared" si="13"/>
        <v>44196</v>
      </c>
      <c r="U43" s="44">
        <f t="shared" si="13"/>
        <v>44227</v>
      </c>
      <c r="V43" s="44">
        <f t="shared" si="13"/>
        <v>44255</v>
      </c>
      <c r="W43" s="44">
        <f t="shared" si="13"/>
        <v>44286</v>
      </c>
      <c r="X43" s="44">
        <f t="shared" si="13"/>
        <v>44316</v>
      </c>
      <c r="Y43" s="44">
        <f t="shared" si="13"/>
        <v>44347</v>
      </c>
      <c r="Z43" s="44">
        <f t="shared" si="13"/>
        <v>44377</v>
      </c>
      <c r="AA43" s="44">
        <f t="shared" si="13"/>
        <v>44408</v>
      </c>
      <c r="AB43" s="44">
        <f t="shared" si="13"/>
        <v>44439</v>
      </c>
      <c r="AC43" s="44">
        <f t="shared" si="13"/>
        <v>44469</v>
      </c>
      <c r="AD43" s="44">
        <f t="shared" si="13"/>
        <v>44500</v>
      </c>
      <c r="AE43" s="44">
        <f t="shared" si="13"/>
        <v>44530</v>
      </c>
      <c r="AF43" s="44">
        <f t="shared" si="13"/>
        <v>44561</v>
      </c>
      <c r="AG43" s="44">
        <f t="shared" si="13"/>
        <v>44592</v>
      </c>
      <c r="AH43" s="44">
        <f t="shared" si="13"/>
        <v>44620</v>
      </c>
      <c r="AI43" s="44">
        <f t="shared" si="13"/>
        <v>44651</v>
      </c>
      <c r="AJ43" s="44">
        <f t="shared" si="13"/>
        <v>44681</v>
      </c>
      <c r="AK43" s="44">
        <f t="shared" si="13"/>
        <v>44712</v>
      </c>
      <c r="AL43" s="44">
        <f t="shared" si="13"/>
        <v>44742</v>
      </c>
      <c r="AM43" s="44">
        <f t="shared" si="13"/>
        <v>44773</v>
      </c>
      <c r="AN43" s="44">
        <f t="shared" si="13"/>
        <v>44804</v>
      </c>
      <c r="AO43" s="44">
        <f t="shared" si="13"/>
        <v>44834</v>
      </c>
      <c r="AP43" s="44">
        <f t="shared" si="13"/>
        <v>44865</v>
      </c>
      <c r="AQ43" s="44">
        <f t="shared" si="13"/>
        <v>44895</v>
      </c>
      <c r="AR43" s="44">
        <f t="shared" si="13"/>
        <v>44926</v>
      </c>
      <c r="AS43" s="44">
        <f t="shared" si="13"/>
        <v>44957</v>
      </c>
      <c r="AT43" s="44">
        <f t="shared" si="13"/>
        <v>44985</v>
      </c>
      <c r="AU43" s="44">
        <f t="shared" si="13"/>
        <v>45016</v>
      </c>
      <c r="AV43" s="44">
        <f t="shared" si="13"/>
        <v>45046</v>
      </c>
      <c r="AW43" s="44">
        <f t="shared" si="13"/>
        <v>45077</v>
      </c>
      <c r="AX43" s="44">
        <f t="shared" si="13"/>
        <v>45107</v>
      </c>
      <c r="AY43" s="44">
        <f t="shared" si="13"/>
        <v>45138</v>
      </c>
      <c r="AZ43" s="44">
        <f t="shared" si="13"/>
        <v>45169</v>
      </c>
      <c r="BA43" s="44">
        <f t="shared" si="13"/>
        <v>45199</v>
      </c>
      <c r="BB43" s="44">
        <f t="shared" si="13"/>
        <v>45230</v>
      </c>
      <c r="BC43" s="44">
        <f t="shared" si="13"/>
        <v>45260</v>
      </c>
      <c r="BD43" s="44">
        <f t="shared" si="13"/>
        <v>45291</v>
      </c>
      <c r="BE43" s="44">
        <f t="shared" si="13"/>
        <v>45322</v>
      </c>
      <c r="BF43" s="44">
        <f t="shared" si="13"/>
        <v>45351</v>
      </c>
      <c r="BG43" s="44">
        <f t="shared" si="13"/>
        <v>45382</v>
      </c>
      <c r="BH43" s="44">
        <f t="shared" si="13"/>
        <v>45412</v>
      </c>
      <c r="BI43" s="44">
        <f t="shared" si="13"/>
        <v>45443</v>
      </c>
      <c r="BJ43" s="44">
        <f t="shared" si="13"/>
        <v>45473</v>
      </c>
      <c r="BK43" s="44">
        <f t="shared" si="13"/>
        <v>45504</v>
      </c>
      <c r="BL43" s="44">
        <f t="shared" si="13"/>
        <v>45535</v>
      </c>
      <c r="BM43" s="44">
        <f t="shared" si="13"/>
        <v>45565</v>
      </c>
      <c r="BN43" s="44">
        <f t="shared" si="13"/>
        <v>45596</v>
      </c>
      <c r="BO43" s="44">
        <f t="shared" si="13"/>
        <v>45626</v>
      </c>
      <c r="BP43" s="44">
        <f t="shared" si="13"/>
        <v>45657</v>
      </c>
      <c r="BQ43" s="44" t="str">
        <f t="shared" si="13"/>
        <v>n/a</v>
      </c>
      <c r="BR43" s="44" t="str">
        <f t="shared" si="13"/>
        <v>n/a</v>
      </c>
      <c r="BS43" s="44" t="str">
        <f t="shared" si="13"/>
        <v>n/a</v>
      </c>
      <c r="BT43" s="44" t="str">
        <f t="shared" si="13"/>
        <v>n/a</v>
      </c>
      <c r="BU43" s="44" t="str">
        <f t="shared" si="13"/>
        <v>n/a</v>
      </c>
      <c r="BV43" s="44" t="str">
        <f t="shared" ref="BV43:EG43" si="14">IFERROR(EOMONTH(BV42,$F$40-1),"n/a")</f>
        <v>n/a</v>
      </c>
      <c r="BW43" s="44" t="str">
        <f t="shared" si="14"/>
        <v>n/a</v>
      </c>
      <c r="BX43" s="44" t="str">
        <f t="shared" si="14"/>
        <v>n/a</v>
      </c>
      <c r="BY43" s="44" t="str">
        <f t="shared" si="14"/>
        <v>n/a</v>
      </c>
      <c r="BZ43" s="44" t="str">
        <f t="shared" si="14"/>
        <v>n/a</v>
      </c>
      <c r="CA43" s="44" t="str">
        <f t="shared" si="14"/>
        <v>n/a</v>
      </c>
      <c r="CB43" s="44" t="str">
        <f t="shared" si="14"/>
        <v>n/a</v>
      </c>
      <c r="CC43" s="44" t="str">
        <f t="shared" si="14"/>
        <v>n/a</v>
      </c>
      <c r="CD43" s="44" t="str">
        <f t="shared" si="14"/>
        <v>n/a</v>
      </c>
      <c r="CE43" s="44" t="str">
        <f t="shared" si="14"/>
        <v>n/a</v>
      </c>
      <c r="CF43" s="44" t="str">
        <f t="shared" si="14"/>
        <v>n/a</v>
      </c>
      <c r="CG43" s="44" t="str">
        <f t="shared" si="14"/>
        <v>n/a</v>
      </c>
      <c r="CH43" s="44" t="str">
        <f t="shared" si="14"/>
        <v>n/a</v>
      </c>
      <c r="CI43" s="44" t="str">
        <f t="shared" si="14"/>
        <v>n/a</v>
      </c>
      <c r="CJ43" s="44" t="str">
        <f t="shared" si="14"/>
        <v>n/a</v>
      </c>
      <c r="CK43" s="44" t="str">
        <f t="shared" si="14"/>
        <v>n/a</v>
      </c>
      <c r="CL43" s="44" t="str">
        <f t="shared" si="14"/>
        <v>n/a</v>
      </c>
      <c r="CM43" s="44" t="str">
        <f t="shared" si="14"/>
        <v>n/a</v>
      </c>
      <c r="CN43" s="44" t="str">
        <f t="shared" si="14"/>
        <v>n/a</v>
      </c>
      <c r="CO43" s="44" t="str">
        <f t="shared" si="14"/>
        <v>n/a</v>
      </c>
      <c r="CP43" s="44" t="str">
        <f t="shared" si="14"/>
        <v>n/a</v>
      </c>
      <c r="CQ43" s="44" t="str">
        <f t="shared" si="14"/>
        <v>n/a</v>
      </c>
      <c r="CR43" s="44" t="str">
        <f t="shared" si="14"/>
        <v>n/a</v>
      </c>
      <c r="CS43" s="44" t="str">
        <f t="shared" si="14"/>
        <v>n/a</v>
      </c>
      <c r="CT43" s="44" t="str">
        <f t="shared" si="14"/>
        <v>n/a</v>
      </c>
      <c r="CU43" s="44" t="str">
        <f t="shared" si="14"/>
        <v>n/a</v>
      </c>
      <c r="CV43" s="44" t="str">
        <f t="shared" si="14"/>
        <v>n/a</v>
      </c>
      <c r="CW43" s="44" t="str">
        <f t="shared" si="14"/>
        <v>n/a</v>
      </c>
      <c r="CX43" s="44" t="str">
        <f t="shared" si="14"/>
        <v>n/a</v>
      </c>
      <c r="CY43" s="44" t="str">
        <f t="shared" si="14"/>
        <v>n/a</v>
      </c>
      <c r="CZ43" s="44" t="str">
        <f t="shared" si="14"/>
        <v>n/a</v>
      </c>
      <c r="DA43" s="44" t="str">
        <f t="shared" si="14"/>
        <v>n/a</v>
      </c>
      <c r="DB43" s="44" t="str">
        <f t="shared" si="14"/>
        <v>n/a</v>
      </c>
      <c r="DC43" s="44" t="str">
        <f t="shared" si="14"/>
        <v>n/a</v>
      </c>
      <c r="DD43" s="44" t="str">
        <f t="shared" si="14"/>
        <v>n/a</v>
      </c>
      <c r="DE43" s="44" t="str">
        <f t="shared" si="14"/>
        <v>n/a</v>
      </c>
      <c r="DF43" s="44" t="str">
        <f t="shared" si="14"/>
        <v>n/a</v>
      </c>
      <c r="DG43" s="44" t="str">
        <f t="shared" si="14"/>
        <v>n/a</v>
      </c>
      <c r="DH43" s="44" t="str">
        <f t="shared" si="14"/>
        <v>n/a</v>
      </c>
      <c r="DI43" s="44" t="str">
        <f t="shared" si="14"/>
        <v>n/a</v>
      </c>
      <c r="DJ43" s="44" t="str">
        <f t="shared" si="14"/>
        <v>n/a</v>
      </c>
      <c r="DK43" s="44" t="str">
        <f t="shared" si="14"/>
        <v>n/a</v>
      </c>
      <c r="DL43" s="44" t="str">
        <f t="shared" si="14"/>
        <v>n/a</v>
      </c>
      <c r="DM43" s="44" t="str">
        <f t="shared" si="14"/>
        <v>n/a</v>
      </c>
      <c r="DN43" s="44" t="str">
        <f t="shared" si="14"/>
        <v>n/a</v>
      </c>
      <c r="DO43" s="44" t="str">
        <f t="shared" si="14"/>
        <v>n/a</v>
      </c>
      <c r="DP43" s="44" t="str">
        <f t="shared" si="14"/>
        <v>n/a</v>
      </c>
      <c r="DQ43" s="44" t="str">
        <f t="shared" si="14"/>
        <v>n/a</v>
      </c>
      <c r="DR43" s="44" t="str">
        <f t="shared" si="14"/>
        <v>n/a</v>
      </c>
      <c r="DS43" s="44" t="str">
        <f t="shared" si="14"/>
        <v>n/a</v>
      </c>
      <c r="DT43" s="44" t="str">
        <f t="shared" si="14"/>
        <v>n/a</v>
      </c>
      <c r="DU43" s="44" t="str">
        <f t="shared" si="14"/>
        <v>n/a</v>
      </c>
      <c r="DV43" s="44" t="str">
        <f t="shared" si="14"/>
        <v>n/a</v>
      </c>
      <c r="DW43" s="44" t="str">
        <f t="shared" si="14"/>
        <v>n/a</v>
      </c>
      <c r="DX43" s="44" t="str">
        <f t="shared" si="14"/>
        <v>n/a</v>
      </c>
      <c r="DY43" s="44" t="str">
        <f t="shared" si="14"/>
        <v>n/a</v>
      </c>
      <c r="DZ43" s="44" t="str">
        <f t="shared" si="14"/>
        <v>n/a</v>
      </c>
      <c r="EA43" s="44" t="str">
        <f t="shared" si="14"/>
        <v>n/a</v>
      </c>
      <c r="EB43" s="44" t="str">
        <f t="shared" si="14"/>
        <v>n/a</v>
      </c>
      <c r="EC43" s="44" t="str">
        <f t="shared" si="14"/>
        <v>n/a</v>
      </c>
      <c r="ED43" s="44" t="str">
        <f t="shared" si="14"/>
        <v>n/a</v>
      </c>
      <c r="EE43" s="44" t="str">
        <f t="shared" si="14"/>
        <v>n/a</v>
      </c>
      <c r="EF43" s="44" t="str">
        <f t="shared" si="14"/>
        <v>n/a</v>
      </c>
      <c r="EG43" s="44" t="str">
        <f t="shared" si="14"/>
        <v>n/a</v>
      </c>
      <c r="EH43" s="44" t="str">
        <f t="shared" ref="EH43:GS43" si="15">IFERROR(EOMONTH(EH42,$F$40-1),"n/a")</f>
        <v>n/a</v>
      </c>
      <c r="EI43" s="44" t="str">
        <f t="shared" si="15"/>
        <v>n/a</v>
      </c>
      <c r="EJ43" s="44" t="str">
        <f t="shared" si="15"/>
        <v>n/a</v>
      </c>
      <c r="EK43" s="44" t="str">
        <f t="shared" si="15"/>
        <v>n/a</v>
      </c>
      <c r="EL43" s="44" t="str">
        <f t="shared" si="15"/>
        <v>n/a</v>
      </c>
      <c r="EM43" s="44" t="str">
        <f t="shared" si="15"/>
        <v>n/a</v>
      </c>
      <c r="EN43" s="44" t="str">
        <f t="shared" si="15"/>
        <v>n/a</v>
      </c>
      <c r="EO43" s="44" t="str">
        <f t="shared" si="15"/>
        <v>n/a</v>
      </c>
      <c r="EP43" s="44" t="str">
        <f t="shared" si="15"/>
        <v>n/a</v>
      </c>
      <c r="EQ43" s="44" t="str">
        <f t="shared" si="15"/>
        <v>n/a</v>
      </c>
      <c r="ER43" s="44" t="str">
        <f t="shared" si="15"/>
        <v>n/a</v>
      </c>
      <c r="ES43" s="44" t="str">
        <f t="shared" si="15"/>
        <v>n/a</v>
      </c>
      <c r="ET43" s="44" t="str">
        <f t="shared" si="15"/>
        <v>n/a</v>
      </c>
      <c r="EU43" s="44" t="str">
        <f t="shared" si="15"/>
        <v>n/a</v>
      </c>
      <c r="EV43" s="44" t="str">
        <f t="shared" si="15"/>
        <v>n/a</v>
      </c>
      <c r="EW43" s="44" t="str">
        <f t="shared" si="15"/>
        <v>n/a</v>
      </c>
      <c r="EX43" s="44" t="str">
        <f t="shared" si="15"/>
        <v>n/a</v>
      </c>
      <c r="EY43" s="44" t="str">
        <f t="shared" si="15"/>
        <v>n/a</v>
      </c>
      <c r="EZ43" s="44" t="str">
        <f t="shared" si="15"/>
        <v>n/a</v>
      </c>
      <c r="FA43" s="44" t="str">
        <f t="shared" si="15"/>
        <v>n/a</v>
      </c>
      <c r="FB43" s="44" t="str">
        <f t="shared" si="15"/>
        <v>n/a</v>
      </c>
      <c r="FC43" s="44" t="str">
        <f t="shared" si="15"/>
        <v>n/a</v>
      </c>
      <c r="FD43" s="44" t="str">
        <f t="shared" si="15"/>
        <v>n/a</v>
      </c>
      <c r="FE43" s="44" t="str">
        <f t="shared" si="15"/>
        <v>n/a</v>
      </c>
      <c r="FF43" s="44" t="str">
        <f t="shared" si="15"/>
        <v>n/a</v>
      </c>
      <c r="FG43" s="44" t="str">
        <f t="shared" si="15"/>
        <v>n/a</v>
      </c>
      <c r="FH43" s="44" t="str">
        <f t="shared" si="15"/>
        <v>n/a</v>
      </c>
      <c r="FI43" s="44" t="str">
        <f t="shared" si="15"/>
        <v>n/a</v>
      </c>
      <c r="FJ43" s="44" t="str">
        <f t="shared" si="15"/>
        <v>n/a</v>
      </c>
      <c r="FK43" s="44" t="str">
        <f t="shared" si="15"/>
        <v>n/a</v>
      </c>
      <c r="FL43" s="44" t="str">
        <f t="shared" si="15"/>
        <v>n/a</v>
      </c>
      <c r="FM43" s="44" t="str">
        <f t="shared" si="15"/>
        <v>n/a</v>
      </c>
      <c r="FN43" s="44" t="str">
        <f t="shared" si="15"/>
        <v>n/a</v>
      </c>
      <c r="FO43" s="44" t="str">
        <f t="shared" si="15"/>
        <v>n/a</v>
      </c>
      <c r="FP43" s="44" t="str">
        <f t="shared" si="15"/>
        <v>n/a</v>
      </c>
      <c r="FQ43" s="44" t="str">
        <f t="shared" si="15"/>
        <v>n/a</v>
      </c>
      <c r="FR43" s="44" t="str">
        <f t="shared" si="15"/>
        <v>n/a</v>
      </c>
      <c r="FS43" s="44" t="str">
        <f t="shared" si="15"/>
        <v>n/a</v>
      </c>
      <c r="FT43" s="44" t="str">
        <f t="shared" si="15"/>
        <v>n/a</v>
      </c>
      <c r="FU43" s="44" t="str">
        <f t="shared" si="15"/>
        <v>n/a</v>
      </c>
      <c r="FV43" s="44" t="str">
        <f t="shared" si="15"/>
        <v>n/a</v>
      </c>
      <c r="FW43" s="44" t="str">
        <f t="shared" si="15"/>
        <v>n/a</v>
      </c>
      <c r="FX43" s="44" t="str">
        <f t="shared" si="15"/>
        <v>n/a</v>
      </c>
      <c r="FY43" s="44" t="str">
        <f t="shared" si="15"/>
        <v>n/a</v>
      </c>
      <c r="FZ43" s="44" t="str">
        <f t="shared" si="15"/>
        <v>n/a</v>
      </c>
      <c r="GA43" s="44" t="str">
        <f t="shared" si="15"/>
        <v>n/a</v>
      </c>
      <c r="GB43" s="44" t="str">
        <f t="shared" si="15"/>
        <v>n/a</v>
      </c>
      <c r="GC43" s="44" t="str">
        <f t="shared" si="15"/>
        <v>n/a</v>
      </c>
      <c r="GD43" s="44" t="str">
        <f t="shared" si="15"/>
        <v>n/a</v>
      </c>
      <c r="GE43" s="44" t="str">
        <f t="shared" si="15"/>
        <v>n/a</v>
      </c>
      <c r="GF43" s="44" t="str">
        <f t="shared" si="15"/>
        <v>n/a</v>
      </c>
      <c r="GG43" s="44" t="str">
        <f t="shared" si="15"/>
        <v>n/a</v>
      </c>
      <c r="GH43" s="44" t="str">
        <f t="shared" si="15"/>
        <v>n/a</v>
      </c>
      <c r="GI43" s="44" t="str">
        <f t="shared" si="15"/>
        <v>n/a</v>
      </c>
      <c r="GJ43" s="44" t="str">
        <f t="shared" si="15"/>
        <v>n/a</v>
      </c>
      <c r="GK43" s="44" t="str">
        <f t="shared" si="15"/>
        <v>n/a</v>
      </c>
      <c r="GL43" s="44" t="str">
        <f t="shared" si="15"/>
        <v>n/a</v>
      </c>
      <c r="GM43" s="44" t="str">
        <f t="shared" si="15"/>
        <v>n/a</v>
      </c>
      <c r="GN43" s="44" t="str">
        <f t="shared" si="15"/>
        <v>n/a</v>
      </c>
      <c r="GO43" s="44" t="str">
        <f t="shared" si="15"/>
        <v>n/a</v>
      </c>
      <c r="GP43" s="44" t="str">
        <f t="shared" si="15"/>
        <v>n/a</v>
      </c>
      <c r="GQ43" s="44" t="str">
        <f t="shared" si="15"/>
        <v>n/a</v>
      </c>
      <c r="GR43" s="44" t="str">
        <f t="shared" si="15"/>
        <v>n/a</v>
      </c>
      <c r="GS43" s="44" t="str">
        <f t="shared" si="15"/>
        <v>n/a</v>
      </c>
      <c r="GT43" s="44" t="str">
        <f t="shared" ref="GT43:JE43" si="16">IFERROR(EOMONTH(GT42,$F$40-1),"n/a")</f>
        <v>n/a</v>
      </c>
      <c r="GU43" s="44" t="str">
        <f t="shared" si="16"/>
        <v>n/a</v>
      </c>
      <c r="GV43" s="44" t="str">
        <f t="shared" si="16"/>
        <v>n/a</v>
      </c>
      <c r="GW43" s="44" t="str">
        <f t="shared" si="16"/>
        <v>n/a</v>
      </c>
      <c r="GX43" s="44" t="str">
        <f t="shared" si="16"/>
        <v>n/a</v>
      </c>
      <c r="GY43" s="44" t="str">
        <f t="shared" si="16"/>
        <v>n/a</v>
      </c>
      <c r="GZ43" s="44" t="str">
        <f t="shared" si="16"/>
        <v>n/a</v>
      </c>
      <c r="HA43" s="44" t="str">
        <f t="shared" si="16"/>
        <v>n/a</v>
      </c>
      <c r="HB43" s="44" t="str">
        <f t="shared" si="16"/>
        <v>n/a</v>
      </c>
      <c r="HC43" s="44" t="str">
        <f t="shared" si="16"/>
        <v>n/a</v>
      </c>
      <c r="HD43" s="44" t="str">
        <f t="shared" si="16"/>
        <v>n/a</v>
      </c>
      <c r="HE43" s="44" t="str">
        <f t="shared" si="16"/>
        <v>n/a</v>
      </c>
      <c r="HF43" s="44" t="str">
        <f t="shared" si="16"/>
        <v>n/a</v>
      </c>
      <c r="HG43" s="44" t="str">
        <f t="shared" si="16"/>
        <v>n/a</v>
      </c>
      <c r="HH43" s="44" t="str">
        <f t="shared" si="16"/>
        <v>n/a</v>
      </c>
      <c r="HI43" s="44" t="str">
        <f t="shared" si="16"/>
        <v>n/a</v>
      </c>
      <c r="HJ43" s="44" t="str">
        <f t="shared" si="16"/>
        <v>n/a</v>
      </c>
      <c r="HK43" s="44" t="str">
        <f t="shared" si="16"/>
        <v>n/a</v>
      </c>
      <c r="HL43" s="44" t="str">
        <f t="shared" si="16"/>
        <v>n/a</v>
      </c>
      <c r="HM43" s="44" t="str">
        <f t="shared" si="16"/>
        <v>n/a</v>
      </c>
      <c r="HN43" s="44" t="str">
        <f t="shared" si="16"/>
        <v>n/a</v>
      </c>
      <c r="HO43" s="44" t="str">
        <f t="shared" si="16"/>
        <v>n/a</v>
      </c>
      <c r="HP43" s="44" t="str">
        <f t="shared" si="16"/>
        <v>n/a</v>
      </c>
      <c r="HQ43" s="44" t="str">
        <f t="shared" si="16"/>
        <v>n/a</v>
      </c>
      <c r="HR43" s="44" t="str">
        <f t="shared" si="16"/>
        <v>n/a</v>
      </c>
      <c r="HS43" s="44" t="str">
        <f t="shared" si="16"/>
        <v>n/a</v>
      </c>
      <c r="HT43" s="44" t="str">
        <f t="shared" si="16"/>
        <v>n/a</v>
      </c>
      <c r="HU43" s="44" t="str">
        <f t="shared" si="16"/>
        <v>n/a</v>
      </c>
      <c r="HV43" s="44" t="str">
        <f t="shared" si="16"/>
        <v>n/a</v>
      </c>
      <c r="HW43" s="44" t="str">
        <f t="shared" si="16"/>
        <v>n/a</v>
      </c>
      <c r="HX43" s="44" t="str">
        <f t="shared" si="16"/>
        <v>n/a</v>
      </c>
      <c r="HY43" s="44" t="str">
        <f t="shared" si="16"/>
        <v>n/a</v>
      </c>
      <c r="HZ43" s="44" t="str">
        <f t="shared" si="16"/>
        <v>n/a</v>
      </c>
      <c r="IA43" s="44" t="str">
        <f t="shared" si="16"/>
        <v>n/a</v>
      </c>
      <c r="IB43" s="44" t="str">
        <f t="shared" si="16"/>
        <v>n/a</v>
      </c>
      <c r="IC43" s="44" t="str">
        <f t="shared" si="16"/>
        <v>n/a</v>
      </c>
      <c r="ID43" s="44" t="str">
        <f t="shared" si="16"/>
        <v>n/a</v>
      </c>
      <c r="IE43" s="44" t="str">
        <f t="shared" si="16"/>
        <v>n/a</v>
      </c>
      <c r="IF43" s="44" t="str">
        <f t="shared" si="16"/>
        <v>n/a</v>
      </c>
      <c r="IG43" s="44" t="str">
        <f t="shared" si="16"/>
        <v>n/a</v>
      </c>
      <c r="IH43" s="44" t="str">
        <f t="shared" si="16"/>
        <v>n/a</v>
      </c>
      <c r="II43" s="44" t="str">
        <f t="shared" si="16"/>
        <v>n/a</v>
      </c>
      <c r="IJ43" s="44" t="str">
        <f t="shared" si="16"/>
        <v>n/a</v>
      </c>
      <c r="IK43" s="44" t="str">
        <f t="shared" si="16"/>
        <v>n/a</v>
      </c>
      <c r="IL43" s="44" t="str">
        <f t="shared" si="16"/>
        <v>n/a</v>
      </c>
      <c r="IM43" s="44" t="str">
        <f t="shared" si="16"/>
        <v>n/a</v>
      </c>
      <c r="IN43" s="44" t="str">
        <f t="shared" si="16"/>
        <v>n/a</v>
      </c>
      <c r="IO43" s="44" t="str">
        <f t="shared" si="16"/>
        <v>n/a</v>
      </c>
      <c r="IP43" s="44" t="str">
        <f t="shared" si="16"/>
        <v>n/a</v>
      </c>
      <c r="IQ43" s="44" t="str">
        <f t="shared" si="16"/>
        <v>n/a</v>
      </c>
      <c r="IR43" s="44" t="str">
        <f t="shared" si="16"/>
        <v>n/a</v>
      </c>
      <c r="IS43" s="44" t="str">
        <f t="shared" si="16"/>
        <v>n/a</v>
      </c>
      <c r="IT43" s="44" t="str">
        <f t="shared" si="16"/>
        <v>n/a</v>
      </c>
      <c r="IU43" s="44" t="str">
        <f t="shared" si="16"/>
        <v>n/a</v>
      </c>
      <c r="IV43" s="44" t="str">
        <f t="shared" si="16"/>
        <v>n/a</v>
      </c>
      <c r="IW43" s="44" t="str">
        <f t="shared" si="16"/>
        <v>n/a</v>
      </c>
      <c r="IX43" s="44" t="str">
        <f t="shared" si="16"/>
        <v>n/a</v>
      </c>
      <c r="IY43" s="44" t="str">
        <f t="shared" si="16"/>
        <v>n/a</v>
      </c>
      <c r="IZ43" s="44" t="str">
        <f t="shared" si="16"/>
        <v>n/a</v>
      </c>
      <c r="JA43" s="44" t="str">
        <f t="shared" si="16"/>
        <v>n/a</v>
      </c>
      <c r="JB43" s="44" t="str">
        <f t="shared" si="16"/>
        <v>n/a</v>
      </c>
      <c r="JC43" s="44" t="str">
        <f t="shared" si="16"/>
        <v>n/a</v>
      </c>
      <c r="JD43" s="44" t="str">
        <f t="shared" si="16"/>
        <v>n/a</v>
      </c>
      <c r="JE43" s="44" t="str">
        <f t="shared" si="16"/>
        <v>n/a</v>
      </c>
      <c r="JF43" s="44" t="str">
        <f t="shared" ref="JF43:JH43" si="17">IFERROR(EOMONTH(JF42,$F$40-1),"n/a")</f>
        <v>n/a</v>
      </c>
      <c r="JG43" s="44" t="str">
        <f t="shared" si="17"/>
        <v>n/a</v>
      </c>
      <c r="JH43" s="44" t="str">
        <f t="shared" si="17"/>
        <v>n/a</v>
      </c>
      <c r="JI43" s="44" t="str">
        <f t="shared" ref="JI43" si="18">IFERROR(EOMONTH(JI42,$F$40-1),"n/a")</f>
        <v>n/a</v>
      </c>
    </row>
    <row r="44" spans="2:269">
      <c r="B44" s="6"/>
      <c r="D44" s="9"/>
    </row>
    <row r="45" spans="2:269">
      <c r="B45" s="6"/>
      <c r="C45" s="1" t="s">
        <v>7</v>
      </c>
      <c r="D45" s="9" t="s">
        <v>1</v>
      </c>
      <c r="G45" s="29">
        <f>SUM(I45:JI45)</f>
        <v>6275620</v>
      </c>
      <c r="I45" s="1">
        <f>SUMIFS($I31:$JI31,$I$30:$JI$30,"&gt;="&amp;I$42,$I$30:$JI$30,"&lt;="&amp;I$43)</f>
        <v>90022</v>
      </c>
      <c r="J45" s="1">
        <f t="shared" ref="J45:BU45" si="19">SUMIFS($I31:$JI31,$I$30:$JI$30,"&gt;="&amp;J$42,$I$30:$JI$30,"&lt;="&amp;J$43)</f>
        <v>90008</v>
      </c>
      <c r="K45" s="1">
        <f t="shared" si="19"/>
        <v>111065</v>
      </c>
      <c r="L45" s="1">
        <f t="shared" si="19"/>
        <v>90907</v>
      </c>
      <c r="M45" s="1">
        <f t="shared" si="19"/>
        <v>87311</v>
      </c>
      <c r="N45" s="1">
        <f t="shared" si="19"/>
        <v>113885</v>
      </c>
      <c r="O45" s="1">
        <f t="shared" si="19"/>
        <v>92087</v>
      </c>
      <c r="P45" s="1">
        <f t="shared" si="19"/>
        <v>94877</v>
      </c>
      <c r="Q45" s="1">
        <f t="shared" si="19"/>
        <v>117259</v>
      </c>
      <c r="R45" s="1">
        <f t="shared" si="19"/>
        <v>90754</v>
      </c>
      <c r="S45" s="1">
        <f t="shared" si="19"/>
        <v>87172</v>
      </c>
      <c r="T45" s="1">
        <f t="shared" si="19"/>
        <v>116495</v>
      </c>
      <c r="U45" s="1">
        <f t="shared" si="19"/>
        <v>89710</v>
      </c>
      <c r="V45" s="1">
        <f t="shared" si="19"/>
        <v>96682</v>
      </c>
      <c r="W45" s="1">
        <f t="shared" si="19"/>
        <v>114682</v>
      </c>
      <c r="X45" s="1">
        <f t="shared" si="19"/>
        <v>91409</v>
      </c>
      <c r="Y45" s="1">
        <f t="shared" si="19"/>
        <v>96305</v>
      </c>
      <c r="Z45" s="1">
        <f t="shared" si="19"/>
        <v>116321</v>
      </c>
      <c r="AA45" s="1">
        <f t="shared" si="19"/>
        <v>93847</v>
      </c>
      <c r="AB45" s="1">
        <f t="shared" si="19"/>
        <v>115615</v>
      </c>
      <c r="AC45" s="1">
        <f t="shared" si="19"/>
        <v>89779</v>
      </c>
      <c r="AD45" s="1">
        <f t="shared" si="19"/>
        <v>94156</v>
      </c>
      <c r="AE45" s="1">
        <f t="shared" si="19"/>
        <v>122042</v>
      </c>
      <c r="AF45" s="1">
        <f t="shared" si="19"/>
        <v>97732</v>
      </c>
      <c r="AG45" s="1">
        <f t="shared" si="19"/>
        <v>93075</v>
      </c>
      <c r="AH45" s="1">
        <f t="shared" si="19"/>
        <v>95910</v>
      </c>
      <c r="AI45" s="1">
        <f t="shared" si="19"/>
        <v>117178</v>
      </c>
      <c r="AJ45" s="1">
        <f t="shared" si="19"/>
        <v>103348</v>
      </c>
      <c r="AK45" s="1">
        <f t="shared" si="19"/>
        <v>114931</v>
      </c>
      <c r="AL45" s="1">
        <f t="shared" si="19"/>
        <v>99313</v>
      </c>
      <c r="AM45" s="1">
        <f t="shared" si="19"/>
        <v>98192</v>
      </c>
      <c r="AN45" s="1">
        <f t="shared" si="19"/>
        <v>122859</v>
      </c>
      <c r="AO45" s="1">
        <f t="shared" si="19"/>
        <v>91963</v>
      </c>
      <c r="AP45" s="1">
        <f t="shared" si="19"/>
        <v>98406</v>
      </c>
      <c r="AQ45" s="1">
        <f t="shared" si="19"/>
        <v>119848</v>
      </c>
      <c r="AR45" s="1">
        <f t="shared" si="19"/>
        <v>93809</v>
      </c>
      <c r="AS45" s="1">
        <f t="shared" si="19"/>
        <v>124388</v>
      </c>
      <c r="AT45" s="1">
        <f t="shared" si="19"/>
        <v>104605</v>
      </c>
      <c r="AU45" s="1">
        <f t="shared" si="19"/>
        <v>102569</v>
      </c>
      <c r="AV45" s="1">
        <f t="shared" si="19"/>
        <v>98734</v>
      </c>
      <c r="AW45" s="1">
        <f t="shared" si="19"/>
        <v>120388</v>
      </c>
      <c r="AX45" s="1">
        <f t="shared" si="19"/>
        <v>93908</v>
      </c>
      <c r="AY45" s="1">
        <f t="shared" si="19"/>
        <v>99563</v>
      </c>
      <c r="AZ45" s="1">
        <f t="shared" si="19"/>
        <v>127561</v>
      </c>
      <c r="BA45" s="1">
        <f t="shared" si="19"/>
        <v>96996</v>
      </c>
      <c r="BB45" s="1">
        <f t="shared" si="19"/>
        <v>129501</v>
      </c>
      <c r="BC45" s="1">
        <f t="shared" si="19"/>
        <v>97484</v>
      </c>
      <c r="BD45" s="1">
        <f t="shared" si="19"/>
        <v>105272</v>
      </c>
      <c r="BE45" s="1">
        <f t="shared" si="19"/>
        <v>122873</v>
      </c>
      <c r="BF45" s="1">
        <f t="shared" si="19"/>
        <v>99762</v>
      </c>
      <c r="BG45" s="1">
        <f t="shared" si="19"/>
        <v>102750</v>
      </c>
      <c r="BH45" s="1">
        <f t="shared" si="19"/>
        <v>121204</v>
      </c>
      <c r="BI45" s="1">
        <f t="shared" si="19"/>
        <v>107523</v>
      </c>
      <c r="BJ45" s="1">
        <f t="shared" si="19"/>
        <v>96315</v>
      </c>
      <c r="BK45" s="1">
        <f t="shared" si="19"/>
        <v>127669</v>
      </c>
      <c r="BL45" s="1">
        <f t="shared" si="19"/>
        <v>105550</v>
      </c>
      <c r="BM45" s="1">
        <f t="shared" si="19"/>
        <v>96379</v>
      </c>
      <c r="BN45" s="1">
        <f t="shared" si="19"/>
        <v>119777</v>
      </c>
      <c r="BO45" s="1">
        <f t="shared" si="19"/>
        <v>104756</v>
      </c>
      <c r="BP45" s="1">
        <f t="shared" si="19"/>
        <v>121139</v>
      </c>
      <c r="BQ45" s="1">
        <f t="shared" si="19"/>
        <v>0</v>
      </c>
      <c r="BR45" s="1">
        <f t="shared" si="19"/>
        <v>0</v>
      </c>
      <c r="BS45" s="1">
        <f t="shared" si="19"/>
        <v>0</v>
      </c>
      <c r="BT45" s="1">
        <f t="shared" si="19"/>
        <v>0</v>
      </c>
      <c r="BU45" s="1">
        <f t="shared" si="19"/>
        <v>0</v>
      </c>
      <c r="BV45" s="1">
        <f t="shared" ref="BV45:EG45" si="20">SUMIFS($I31:$JI31,$I$30:$JI$30,"&gt;="&amp;BV$42,$I$30:$JI$30,"&lt;="&amp;BV$43)</f>
        <v>0</v>
      </c>
      <c r="BW45" s="1">
        <f t="shared" si="20"/>
        <v>0</v>
      </c>
      <c r="BX45" s="1">
        <f t="shared" si="20"/>
        <v>0</v>
      </c>
      <c r="BY45" s="1">
        <f t="shared" si="20"/>
        <v>0</v>
      </c>
      <c r="BZ45" s="1">
        <f t="shared" si="20"/>
        <v>0</v>
      </c>
      <c r="CA45" s="1">
        <f t="shared" si="20"/>
        <v>0</v>
      </c>
      <c r="CB45" s="1">
        <f t="shared" si="20"/>
        <v>0</v>
      </c>
      <c r="CC45" s="1">
        <f t="shared" si="20"/>
        <v>0</v>
      </c>
      <c r="CD45" s="1">
        <f t="shared" si="20"/>
        <v>0</v>
      </c>
      <c r="CE45" s="1">
        <f t="shared" si="20"/>
        <v>0</v>
      </c>
      <c r="CF45" s="1">
        <f t="shared" si="20"/>
        <v>0</v>
      </c>
      <c r="CG45" s="1">
        <f t="shared" si="20"/>
        <v>0</v>
      </c>
      <c r="CH45" s="1">
        <f t="shared" si="20"/>
        <v>0</v>
      </c>
      <c r="CI45" s="1">
        <f t="shared" si="20"/>
        <v>0</v>
      </c>
      <c r="CJ45" s="1">
        <f t="shared" si="20"/>
        <v>0</v>
      </c>
      <c r="CK45" s="1">
        <f t="shared" si="20"/>
        <v>0</v>
      </c>
      <c r="CL45" s="1">
        <f t="shared" si="20"/>
        <v>0</v>
      </c>
      <c r="CM45" s="1">
        <f t="shared" si="20"/>
        <v>0</v>
      </c>
      <c r="CN45" s="1">
        <f t="shared" si="20"/>
        <v>0</v>
      </c>
      <c r="CO45" s="1">
        <f t="shared" si="20"/>
        <v>0</v>
      </c>
      <c r="CP45" s="1">
        <f t="shared" si="20"/>
        <v>0</v>
      </c>
      <c r="CQ45" s="1">
        <f t="shared" si="20"/>
        <v>0</v>
      </c>
      <c r="CR45" s="1">
        <f t="shared" si="20"/>
        <v>0</v>
      </c>
      <c r="CS45" s="1">
        <f t="shared" si="20"/>
        <v>0</v>
      </c>
      <c r="CT45" s="1">
        <f t="shared" si="20"/>
        <v>0</v>
      </c>
      <c r="CU45" s="1">
        <f t="shared" si="20"/>
        <v>0</v>
      </c>
      <c r="CV45" s="1">
        <f t="shared" si="20"/>
        <v>0</v>
      </c>
      <c r="CW45" s="1">
        <f t="shared" si="20"/>
        <v>0</v>
      </c>
      <c r="CX45" s="1">
        <f t="shared" si="20"/>
        <v>0</v>
      </c>
      <c r="CY45" s="1">
        <f t="shared" si="20"/>
        <v>0</v>
      </c>
      <c r="CZ45" s="1">
        <f t="shared" si="20"/>
        <v>0</v>
      </c>
      <c r="DA45" s="1">
        <f t="shared" si="20"/>
        <v>0</v>
      </c>
      <c r="DB45" s="1">
        <f t="shared" si="20"/>
        <v>0</v>
      </c>
      <c r="DC45" s="1">
        <f t="shared" si="20"/>
        <v>0</v>
      </c>
      <c r="DD45" s="1">
        <f t="shared" si="20"/>
        <v>0</v>
      </c>
      <c r="DE45" s="1">
        <f t="shared" si="20"/>
        <v>0</v>
      </c>
      <c r="DF45" s="1">
        <f t="shared" si="20"/>
        <v>0</v>
      </c>
      <c r="DG45" s="1">
        <f t="shared" si="20"/>
        <v>0</v>
      </c>
      <c r="DH45" s="1">
        <f t="shared" si="20"/>
        <v>0</v>
      </c>
      <c r="DI45" s="1">
        <f t="shared" si="20"/>
        <v>0</v>
      </c>
      <c r="DJ45" s="1">
        <f t="shared" si="20"/>
        <v>0</v>
      </c>
      <c r="DK45" s="1">
        <f t="shared" si="20"/>
        <v>0</v>
      </c>
      <c r="DL45" s="1">
        <f t="shared" si="20"/>
        <v>0</v>
      </c>
      <c r="DM45" s="1">
        <f t="shared" si="20"/>
        <v>0</v>
      </c>
      <c r="DN45" s="1">
        <f t="shared" si="20"/>
        <v>0</v>
      </c>
      <c r="DO45" s="1">
        <f t="shared" si="20"/>
        <v>0</v>
      </c>
      <c r="DP45" s="1">
        <f t="shared" si="20"/>
        <v>0</v>
      </c>
      <c r="DQ45" s="1">
        <f t="shared" si="20"/>
        <v>0</v>
      </c>
      <c r="DR45" s="1">
        <f t="shared" si="20"/>
        <v>0</v>
      </c>
      <c r="DS45" s="1">
        <f t="shared" si="20"/>
        <v>0</v>
      </c>
      <c r="DT45" s="1">
        <f t="shared" si="20"/>
        <v>0</v>
      </c>
      <c r="DU45" s="1">
        <f t="shared" si="20"/>
        <v>0</v>
      </c>
      <c r="DV45" s="1">
        <f t="shared" si="20"/>
        <v>0</v>
      </c>
      <c r="DW45" s="1">
        <f t="shared" si="20"/>
        <v>0</v>
      </c>
      <c r="DX45" s="1">
        <f t="shared" si="20"/>
        <v>0</v>
      </c>
      <c r="DY45" s="1">
        <f t="shared" si="20"/>
        <v>0</v>
      </c>
      <c r="DZ45" s="1">
        <f t="shared" si="20"/>
        <v>0</v>
      </c>
      <c r="EA45" s="1">
        <f t="shared" si="20"/>
        <v>0</v>
      </c>
      <c r="EB45" s="1">
        <f t="shared" si="20"/>
        <v>0</v>
      </c>
      <c r="EC45" s="1">
        <f t="shared" si="20"/>
        <v>0</v>
      </c>
      <c r="ED45" s="1">
        <f t="shared" si="20"/>
        <v>0</v>
      </c>
      <c r="EE45" s="1">
        <f t="shared" si="20"/>
        <v>0</v>
      </c>
      <c r="EF45" s="1">
        <f t="shared" si="20"/>
        <v>0</v>
      </c>
      <c r="EG45" s="1">
        <f t="shared" si="20"/>
        <v>0</v>
      </c>
      <c r="EH45" s="1">
        <f t="shared" ref="EH45:GS45" si="21">SUMIFS($I31:$JI31,$I$30:$JI$30,"&gt;="&amp;EH$42,$I$30:$JI$30,"&lt;="&amp;EH$43)</f>
        <v>0</v>
      </c>
      <c r="EI45" s="1">
        <f t="shared" si="21"/>
        <v>0</v>
      </c>
      <c r="EJ45" s="1">
        <f t="shared" si="21"/>
        <v>0</v>
      </c>
      <c r="EK45" s="1">
        <f t="shared" si="21"/>
        <v>0</v>
      </c>
      <c r="EL45" s="1">
        <f t="shared" si="21"/>
        <v>0</v>
      </c>
      <c r="EM45" s="1">
        <f t="shared" si="21"/>
        <v>0</v>
      </c>
      <c r="EN45" s="1">
        <f t="shared" si="21"/>
        <v>0</v>
      </c>
      <c r="EO45" s="1">
        <f t="shared" si="21"/>
        <v>0</v>
      </c>
      <c r="EP45" s="1">
        <f t="shared" si="21"/>
        <v>0</v>
      </c>
      <c r="EQ45" s="1">
        <f t="shared" si="21"/>
        <v>0</v>
      </c>
      <c r="ER45" s="1">
        <f t="shared" si="21"/>
        <v>0</v>
      </c>
      <c r="ES45" s="1">
        <f t="shared" si="21"/>
        <v>0</v>
      </c>
      <c r="ET45" s="1">
        <f t="shared" si="21"/>
        <v>0</v>
      </c>
      <c r="EU45" s="1">
        <f t="shared" si="21"/>
        <v>0</v>
      </c>
      <c r="EV45" s="1">
        <f t="shared" si="21"/>
        <v>0</v>
      </c>
      <c r="EW45" s="1">
        <f t="shared" si="21"/>
        <v>0</v>
      </c>
      <c r="EX45" s="1">
        <f t="shared" si="21"/>
        <v>0</v>
      </c>
      <c r="EY45" s="1">
        <f t="shared" si="21"/>
        <v>0</v>
      </c>
      <c r="EZ45" s="1">
        <f t="shared" si="21"/>
        <v>0</v>
      </c>
      <c r="FA45" s="1">
        <f t="shared" si="21"/>
        <v>0</v>
      </c>
      <c r="FB45" s="1">
        <f t="shared" si="21"/>
        <v>0</v>
      </c>
      <c r="FC45" s="1">
        <f t="shared" si="21"/>
        <v>0</v>
      </c>
      <c r="FD45" s="1">
        <f t="shared" si="21"/>
        <v>0</v>
      </c>
      <c r="FE45" s="1">
        <f t="shared" si="21"/>
        <v>0</v>
      </c>
      <c r="FF45" s="1">
        <f t="shared" si="21"/>
        <v>0</v>
      </c>
      <c r="FG45" s="1">
        <f t="shared" si="21"/>
        <v>0</v>
      </c>
      <c r="FH45" s="1">
        <f t="shared" si="21"/>
        <v>0</v>
      </c>
      <c r="FI45" s="1">
        <f t="shared" si="21"/>
        <v>0</v>
      </c>
      <c r="FJ45" s="1">
        <f t="shared" si="21"/>
        <v>0</v>
      </c>
      <c r="FK45" s="1">
        <f t="shared" si="21"/>
        <v>0</v>
      </c>
      <c r="FL45" s="1">
        <f t="shared" si="21"/>
        <v>0</v>
      </c>
      <c r="FM45" s="1">
        <f t="shared" si="21"/>
        <v>0</v>
      </c>
      <c r="FN45" s="1">
        <f t="shared" si="21"/>
        <v>0</v>
      </c>
      <c r="FO45" s="1">
        <f t="shared" si="21"/>
        <v>0</v>
      </c>
      <c r="FP45" s="1">
        <f t="shared" si="21"/>
        <v>0</v>
      </c>
      <c r="FQ45" s="1">
        <f t="shared" si="21"/>
        <v>0</v>
      </c>
      <c r="FR45" s="1">
        <f t="shared" si="21"/>
        <v>0</v>
      </c>
      <c r="FS45" s="1">
        <f t="shared" si="21"/>
        <v>0</v>
      </c>
      <c r="FT45" s="1">
        <f t="shared" si="21"/>
        <v>0</v>
      </c>
      <c r="FU45" s="1">
        <f t="shared" si="21"/>
        <v>0</v>
      </c>
      <c r="FV45" s="1">
        <f t="shared" si="21"/>
        <v>0</v>
      </c>
      <c r="FW45" s="1">
        <f t="shared" si="21"/>
        <v>0</v>
      </c>
      <c r="FX45" s="1">
        <f t="shared" si="21"/>
        <v>0</v>
      </c>
      <c r="FY45" s="1">
        <f t="shared" si="21"/>
        <v>0</v>
      </c>
      <c r="FZ45" s="1">
        <f t="shared" si="21"/>
        <v>0</v>
      </c>
      <c r="GA45" s="1">
        <f t="shared" si="21"/>
        <v>0</v>
      </c>
      <c r="GB45" s="1">
        <f t="shared" si="21"/>
        <v>0</v>
      </c>
      <c r="GC45" s="1">
        <f t="shared" si="21"/>
        <v>0</v>
      </c>
      <c r="GD45" s="1">
        <f t="shared" si="21"/>
        <v>0</v>
      </c>
      <c r="GE45" s="1">
        <f t="shared" si="21"/>
        <v>0</v>
      </c>
      <c r="GF45" s="1">
        <f t="shared" si="21"/>
        <v>0</v>
      </c>
      <c r="GG45" s="1">
        <f t="shared" si="21"/>
        <v>0</v>
      </c>
      <c r="GH45" s="1">
        <f t="shared" si="21"/>
        <v>0</v>
      </c>
      <c r="GI45" s="1">
        <f t="shared" si="21"/>
        <v>0</v>
      </c>
      <c r="GJ45" s="1">
        <f t="shared" si="21"/>
        <v>0</v>
      </c>
      <c r="GK45" s="1">
        <f t="shared" si="21"/>
        <v>0</v>
      </c>
      <c r="GL45" s="1">
        <f t="shared" si="21"/>
        <v>0</v>
      </c>
      <c r="GM45" s="1">
        <f t="shared" si="21"/>
        <v>0</v>
      </c>
      <c r="GN45" s="1">
        <f t="shared" si="21"/>
        <v>0</v>
      </c>
      <c r="GO45" s="1">
        <f t="shared" si="21"/>
        <v>0</v>
      </c>
      <c r="GP45" s="1">
        <f t="shared" si="21"/>
        <v>0</v>
      </c>
      <c r="GQ45" s="1">
        <f t="shared" si="21"/>
        <v>0</v>
      </c>
      <c r="GR45" s="1">
        <f t="shared" si="21"/>
        <v>0</v>
      </c>
      <c r="GS45" s="1">
        <f t="shared" si="21"/>
        <v>0</v>
      </c>
      <c r="GT45" s="1">
        <f t="shared" ref="GT45:JE45" si="22">SUMIFS($I31:$JI31,$I$30:$JI$30,"&gt;="&amp;GT$42,$I$30:$JI$30,"&lt;="&amp;GT$43)</f>
        <v>0</v>
      </c>
      <c r="GU45" s="1">
        <f t="shared" si="22"/>
        <v>0</v>
      </c>
      <c r="GV45" s="1">
        <f t="shared" si="22"/>
        <v>0</v>
      </c>
      <c r="GW45" s="1">
        <f t="shared" si="22"/>
        <v>0</v>
      </c>
      <c r="GX45" s="1">
        <f t="shared" si="22"/>
        <v>0</v>
      </c>
      <c r="GY45" s="1">
        <f t="shared" si="22"/>
        <v>0</v>
      </c>
      <c r="GZ45" s="1">
        <f t="shared" si="22"/>
        <v>0</v>
      </c>
      <c r="HA45" s="1">
        <f t="shared" si="22"/>
        <v>0</v>
      </c>
      <c r="HB45" s="1">
        <f t="shared" si="22"/>
        <v>0</v>
      </c>
      <c r="HC45" s="1">
        <f t="shared" si="22"/>
        <v>0</v>
      </c>
      <c r="HD45" s="1">
        <f t="shared" si="22"/>
        <v>0</v>
      </c>
      <c r="HE45" s="1">
        <f t="shared" si="22"/>
        <v>0</v>
      </c>
      <c r="HF45" s="1">
        <f t="shared" si="22"/>
        <v>0</v>
      </c>
      <c r="HG45" s="1">
        <f t="shared" si="22"/>
        <v>0</v>
      </c>
      <c r="HH45" s="1">
        <f t="shared" si="22"/>
        <v>0</v>
      </c>
      <c r="HI45" s="1">
        <f t="shared" si="22"/>
        <v>0</v>
      </c>
      <c r="HJ45" s="1">
        <f t="shared" si="22"/>
        <v>0</v>
      </c>
      <c r="HK45" s="1">
        <f t="shared" si="22"/>
        <v>0</v>
      </c>
      <c r="HL45" s="1">
        <f t="shared" si="22"/>
        <v>0</v>
      </c>
      <c r="HM45" s="1">
        <f t="shared" si="22"/>
        <v>0</v>
      </c>
      <c r="HN45" s="1">
        <f t="shared" si="22"/>
        <v>0</v>
      </c>
      <c r="HO45" s="1">
        <f t="shared" si="22"/>
        <v>0</v>
      </c>
      <c r="HP45" s="1">
        <f t="shared" si="22"/>
        <v>0</v>
      </c>
      <c r="HQ45" s="1">
        <f t="shared" si="22"/>
        <v>0</v>
      </c>
      <c r="HR45" s="1">
        <f t="shared" si="22"/>
        <v>0</v>
      </c>
      <c r="HS45" s="1">
        <f t="shared" si="22"/>
        <v>0</v>
      </c>
      <c r="HT45" s="1">
        <f t="shared" si="22"/>
        <v>0</v>
      </c>
      <c r="HU45" s="1">
        <f t="shared" si="22"/>
        <v>0</v>
      </c>
      <c r="HV45" s="1">
        <f t="shared" si="22"/>
        <v>0</v>
      </c>
      <c r="HW45" s="1">
        <f t="shared" si="22"/>
        <v>0</v>
      </c>
      <c r="HX45" s="1">
        <f t="shared" si="22"/>
        <v>0</v>
      </c>
      <c r="HY45" s="1">
        <f t="shared" si="22"/>
        <v>0</v>
      </c>
      <c r="HZ45" s="1">
        <f t="shared" si="22"/>
        <v>0</v>
      </c>
      <c r="IA45" s="1">
        <f t="shared" si="22"/>
        <v>0</v>
      </c>
      <c r="IB45" s="1">
        <f t="shared" si="22"/>
        <v>0</v>
      </c>
      <c r="IC45" s="1">
        <f t="shared" si="22"/>
        <v>0</v>
      </c>
      <c r="ID45" s="1">
        <f t="shared" si="22"/>
        <v>0</v>
      </c>
      <c r="IE45" s="1">
        <f t="shared" si="22"/>
        <v>0</v>
      </c>
      <c r="IF45" s="1">
        <f t="shared" si="22"/>
        <v>0</v>
      </c>
      <c r="IG45" s="1">
        <f t="shared" si="22"/>
        <v>0</v>
      </c>
      <c r="IH45" s="1">
        <f t="shared" si="22"/>
        <v>0</v>
      </c>
      <c r="II45" s="1">
        <f t="shared" si="22"/>
        <v>0</v>
      </c>
      <c r="IJ45" s="1">
        <f t="shared" si="22"/>
        <v>0</v>
      </c>
      <c r="IK45" s="1">
        <f t="shared" si="22"/>
        <v>0</v>
      </c>
      <c r="IL45" s="1">
        <f t="shared" si="22"/>
        <v>0</v>
      </c>
      <c r="IM45" s="1">
        <f t="shared" si="22"/>
        <v>0</v>
      </c>
      <c r="IN45" s="1">
        <f t="shared" si="22"/>
        <v>0</v>
      </c>
      <c r="IO45" s="1">
        <f t="shared" si="22"/>
        <v>0</v>
      </c>
      <c r="IP45" s="1">
        <f t="shared" si="22"/>
        <v>0</v>
      </c>
      <c r="IQ45" s="1">
        <f t="shared" si="22"/>
        <v>0</v>
      </c>
      <c r="IR45" s="1">
        <f t="shared" si="22"/>
        <v>0</v>
      </c>
      <c r="IS45" s="1">
        <f t="shared" si="22"/>
        <v>0</v>
      </c>
      <c r="IT45" s="1">
        <f t="shared" si="22"/>
        <v>0</v>
      </c>
      <c r="IU45" s="1">
        <f t="shared" si="22"/>
        <v>0</v>
      </c>
      <c r="IV45" s="1">
        <f t="shared" si="22"/>
        <v>0</v>
      </c>
      <c r="IW45" s="1">
        <f t="shared" si="22"/>
        <v>0</v>
      </c>
      <c r="IX45" s="1">
        <f t="shared" si="22"/>
        <v>0</v>
      </c>
      <c r="IY45" s="1">
        <f t="shared" si="22"/>
        <v>0</v>
      </c>
      <c r="IZ45" s="1">
        <f t="shared" si="22"/>
        <v>0</v>
      </c>
      <c r="JA45" s="1">
        <f t="shared" si="22"/>
        <v>0</v>
      </c>
      <c r="JB45" s="1">
        <f t="shared" si="22"/>
        <v>0</v>
      </c>
      <c r="JC45" s="1">
        <f t="shared" si="22"/>
        <v>0</v>
      </c>
      <c r="JD45" s="1">
        <f t="shared" si="22"/>
        <v>0</v>
      </c>
      <c r="JE45" s="1">
        <f t="shared" si="22"/>
        <v>0</v>
      </c>
      <c r="JF45" s="1">
        <f t="shared" ref="JF45:JI45" si="23">SUMIFS($I31:$JI31,$I$30:$JI$30,"&gt;="&amp;JF$42,$I$30:$JI$30,"&lt;="&amp;JF$43)</f>
        <v>0</v>
      </c>
      <c r="JG45" s="1">
        <f t="shared" si="23"/>
        <v>0</v>
      </c>
      <c r="JH45" s="1">
        <f t="shared" si="23"/>
        <v>0</v>
      </c>
      <c r="JI45" s="1">
        <f t="shared" si="23"/>
        <v>0</v>
      </c>
    </row>
    <row r="46" spans="2:269">
      <c r="B46" s="6"/>
      <c r="C46" s="1" t="s">
        <v>8</v>
      </c>
      <c r="D46" s="9" t="s">
        <v>1</v>
      </c>
      <c r="G46" s="30">
        <f t="shared" ref="G46:G47" si="24">SUM(I46:JI46)</f>
        <v>-5135107</v>
      </c>
      <c r="I46" s="1">
        <f>-SUMIFS($I32:$JI32,$I$30:$JI$30,"&gt;="&amp;I$42,$I$30:$JI$30,"&lt;="&amp;I$43)</f>
        <v>-68508</v>
      </c>
      <c r="J46" s="1">
        <f t="shared" ref="J46:BU46" si="25">-SUMIFS($I32:$JI32,$I$30:$JI$30,"&gt;="&amp;J$42,$I$30:$JI$30,"&lt;="&amp;J$43)</f>
        <v>-75771</v>
      </c>
      <c r="K46" s="1">
        <f t="shared" si="25"/>
        <v>-96428</v>
      </c>
      <c r="L46" s="1">
        <f t="shared" si="25"/>
        <v>-75739</v>
      </c>
      <c r="M46" s="1">
        <f t="shared" si="25"/>
        <v>-76052</v>
      </c>
      <c r="N46" s="1">
        <f t="shared" si="25"/>
        <v>-97205</v>
      </c>
      <c r="O46" s="1">
        <f t="shared" si="25"/>
        <v>-77072</v>
      </c>
      <c r="P46" s="1">
        <f t="shared" si="25"/>
        <v>-76946</v>
      </c>
      <c r="Q46" s="1">
        <f t="shared" si="25"/>
        <v>-95898</v>
      </c>
      <c r="R46" s="1">
        <f t="shared" si="25"/>
        <v>-71945</v>
      </c>
      <c r="S46" s="1">
        <f t="shared" si="25"/>
        <v>-77605</v>
      </c>
      <c r="T46" s="1">
        <f t="shared" si="25"/>
        <v>-95200</v>
      </c>
      <c r="U46" s="1">
        <f t="shared" si="25"/>
        <v>-74103</v>
      </c>
      <c r="V46" s="1">
        <f t="shared" si="25"/>
        <v>-73322</v>
      </c>
      <c r="W46" s="1">
        <f t="shared" si="25"/>
        <v>-90770</v>
      </c>
      <c r="X46" s="1">
        <f t="shared" si="25"/>
        <v>-74466</v>
      </c>
      <c r="Y46" s="1">
        <f t="shared" si="25"/>
        <v>-72730</v>
      </c>
      <c r="Z46" s="1">
        <f t="shared" si="25"/>
        <v>-93122</v>
      </c>
      <c r="AA46" s="1">
        <f t="shared" si="25"/>
        <v>-76016</v>
      </c>
      <c r="AB46" s="1">
        <f t="shared" si="25"/>
        <v>-93354</v>
      </c>
      <c r="AC46" s="1">
        <f t="shared" si="25"/>
        <v>-82549</v>
      </c>
      <c r="AD46" s="1">
        <f t="shared" si="25"/>
        <v>-74117</v>
      </c>
      <c r="AE46" s="1">
        <f t="shared" si="25"/>
        <v>-98484</v>
      </c>
      <c r="AF46" s="1">
        <f t="shared" si="25"/>
        <v>-75436</v>
      </c>
      <c r="AG46" s="1">
        <f t="shared" si="25"/>
        <v>-76914</v>
      </c>
      <c r="AH46" s="1">
        <f t="shared" si="25"/>
        <v>-79509</v>
      </c>
      <c r="AI46" s="1">
        <f t="shared" si="25"/>
        <v>-97993</v>
      </c>
      <c r="AJ46" s="1">
        <f t="shared" si="25"/>
        <v>-82228</v>
      </c>
      <c r="AK46" s="1">
        <f t="shared" si="25"/>
        <v>-96963</v>
      </c>
      <c r="AL46" s="1">
        <f t="shared" si="25"/>
        <v>-84448</v>
      </c>
      <c r="AM46" s="1">
        <f t="shared" si="25"/>
        <v>-77003</v>
      </c>
      <c r="AN46" s="1">
        <f t="shared" si="25"/>
        <v>-91842</v>
      </c>
      <c r="AO46" s="1">
        <f t="shared" si="25"/>
        <v>-84520</v>
      </c>
      <c r="AP46" s="1">
        <f t="shared" si="25"/>
        <v>-80181</v>
      </c>
      <c r="AQ46" s="1">
        <f t="shared" si="25"/>
        <v>-99161</v>
      </c>
      <c r="AR46" s="1">
        <f t="shared" si="25"/>
        <v>-76234</v>
      </c>
      <c r="AS46" s="1">
        <f t="shared" si="25"/>
        <v>-100172</v>
      </c>
      <c r="AT46" s="1">
        <f t="shared" si="25"/>
        <v>-84730</v>
      </c>
      <c r="AU46" s="1">
        <f t="shared" si="25"/>
        <v>-74766</v>
      </c>
      <c r="AV46" s="1">
        <f t="shared" si="25"/>
        <v>-86138</v>
      </c>
      <c r="AW46" s="1">
        <f t="shared" si="25"/>
        <v>-98652</v>
      </c>
      <c r="AX46" s="1">
        <f t="shared" si="25"/>
        <v>-80498</v>
      </c>
      <c r="AY46" s="1">
        <f t="shared" si="25"/>
        <v>-82602</v>
      </c>
      <c r="AZ46" s="1">
        <f t="shared" si="25"/>
        <v>-104573</v>
      </c>
      <c r="BA46" s="1">
        <f t="shared" si="25"/>
        <v>-80569</v>
      </c>
      <c r="BB46" s="1">
        <f t="shared" si="25"/>
        <v>-99356</v>
      </c>
      <c r="BC46" s="1">
        <f t="shared" si="25"/>
        <v>-87377</v>
      </c>
      <c r="BD46" s="1">
        <f t="shared" si="25"/>
        <v>-78221</v>
      </c>
      <c r="BE46" s="1">
        <f t="shared" si="25"/>
        <v>-103478</v>
      </c>
      <c r="BF46" s="1">
        <f t="shared" si="25"/>
        <v>-83632</v>
      </c>
      <c r="BG46" s="1">
        <f t="shared" si="25"/>
        <v>-85335</v>
      </c>
      <c r="BH46" s="1">
        <f t="shared" si="25"/>
        <v>-101139</v>
      </c>
      <c r="BI46" s="1">
        <f t="shared" si="25"/>
        <v>-86818</v>
      </c>
      <c r="BJ46" s="1">
        <f t="shared" si="25"/>
        <v>-79273</v>
      </c>
      <c r="BK46" s="1">
        <f t="shared" si="25"/>
        <v>-102810</v>
      </c>
      <c r="BL46" s="1">
        <f t="shared" si="25"/>
        <v>-77919</v>
      </c>
      <c r="BM46" s="1">
        <f t="shared" si="25"/>
        <v>-78785</v>
      </c>
      <c r="BN46" s="1">
        <f t="shared" si="25"/>
        <v>-100745</v>
      </c>
      <c r="BO46" s="1">
        <f t="shared" si="25"/>
        <v>-84579</v>
      </c>
      <c r="BP46" s="1">
        <f t="shared" si="25"/>
        <v>-103106</v>
      </c>
      <c r="BQ46" s="1">
        <f t="shared" si="25"/>
        <v>0</v>
      </c>
      <c r="BR46" s="1">
        <f t="shared" si="25"/>
        <v>0</v>
      </c>
      <c r="BS46" s="1">
        <f t="shared" si="25"/>
        <v>0</v>
      </c>
      <c r="BT46" s="1">
        <f t="shared" si="25"/>
        <v>0</v>
      </c>
      <c r="BU46" s="1">
        <f t="shared" si="25"/>
        <v>0</v>
      </c>
      <c r="BV46" s="1">
        <f t="shared" ref="BV46:EG46" si="26">-SUMIFS($I32:$JI32,$I$30:$JI$30,"&gt;="&amp;BV$42,$I$30:$JI$30,"&lt;="&amp;BV$43)</f>
        <v>0</v>
      </c>
      <c r="BW46" s="1">
        <f t="shared" si="26"/>
        <v>0</v>
      </c>
      <c r="BX46" s="1">
        <f t="shared" si="26"/>
        <v>0</v>
      </c>
      <c r="BY46" s="1">
        <f t="shared" si="26"/>
        <v>0</v>
      </c>
      <c r="BZ46" s="1">
        <f t="shared" si="26"/>
        <v>0</v>
      </c>
      <c r="CA46" s="1">
        <f t="shared" si="26"/>
        <v>0</v>
      </c>
      <c r="CB46" s="1">
        <f t="shared" si="26"/>
        <v>0</v>
      </c>
      <c r="CC46" s="1">
        <f t="shared" si="26"/>
        <v>0</v>
      </c>
      <c r="CD46" s="1">
        <f t="shared" si="26"/>
        <v>0</v>
      </c>
      <c r="CE46" s="1">
        <f t="shared" si="26"/>
        <v>0</v>
      </c>
      <c r="CF46" s="1">
        <f t="shared" si="26"/>
        <v>0</v>
      </c>
      <c r="CG46" s="1">
        <f t="shared" si="26"/>
        <v>0</v>
      </c>
      <c r="CH46" s="1">
        <f t="shared" si="26"/>
        <v>0</v>
      </c>
      <c r="CI46" s="1">
        <f t="shared" si="26"/>
        <v>0</v>
      </c>
      <c r="CJ46" s="1">
        <f t="shared" si="26"/>
        <v>0</v>
      </c>
      <c r="CK46" s="1">
        <f t="shared" si="26"/>
        <v>0</v>
      </c>
      <c r="CL46" s="1">
        <f t="shared" si="26"/>
        <v>0</v>
      </c>
      <c r="CM46" s="1">
        <f t="shared" si="26"/>
        <v>0</v>
      </c>
      <c r="CN46" s="1">
        <f t="shared" si="26"/>
        <v>0</v>
      </c>
      <c r="CO46" s="1">
        <f t="shared" si="26"/>
        <v>0</v>
      </c>
      <c r="CP46" s="1">
        <f t="shared" si="26"/>
        <v>0</v>
      </c>
      <c r="CQ46" s="1">
        <f t="shared" si="26"/>
        <v>0</v>
      </c>
      <c r="CR46" s="1">
        <f t="shared" si="26"/>
        <v>0</v>
      </c>
      <c r="CS46" s="1">
        <f t="shared" si="26"/>
        <v>0</v>
      </c>
      <c r="CT46" s="1">
        <f t="shared" si="26"/>
        <v>0</v>
      </c>
      <c r="CU46" s="1">
        <f t="shared" si="26"/>
        <v>0</v>
      </c>
      <c r="CV46" s="1">
        <f t="shared" si="26"/>
        <v>0</v>
      </c>
      <c r="CW46" s="1">
        <f t="shared" si="26"/>
        <v>0</v>
      </c>
      <c r="CX46" s="1">
        <f t="shared" si="26"/>
        <v>0</v>
      </c>
      <c r="CY46" s="1">
        <f t="shared" si="26"/>
        <v>0</v>
      </c>
      <c r="CZ46" s="1">
        <f t="shared" si="26"/>
        <v>0</v>
      </c>
      <c r="DA46" s="1">
        <f t="shared" si="26"/>
        <v>0</v>
      </c>
      <c r="DB46" s="1">
        <f t="shared" si="26"/>
        <v>0</v>
      </c>
      <c r="DC46" s="1">
        <f t="shared" si="26"/>
        <v>0</v>
      </c>
      <c r="DD46" s="1">
        <f t="shared" si="26"/>
        <v>0</v>
      </c>
      <c r="DE46" s="1">
        <f t="shared" si="26"/>
        <v>0</v>
      </c>
      <c r="DF46" s="1">
        <f t="shared" si="26"/>
        <v>0</v>
      </c>
      <c r="DG46" s="1">
        <f t="shared" si="26"/>
        <v>0</v>
      </c>
      <c r="DH46" s="1">
        <f t="shared" si="26"/>
        <v>0</v>
      </c>
      <c r="DI46" s="1">
        <f t="shared" si="26"/>
        <v>0</v>
      </c>
      <c r="DJ46" s="1">
        <f t="shared" si="26"/>
        <v>0</v>
      </c>
      <c r="DK46" s="1">
        <f t="shared" si="26"/>
        <v>0</v>
      </c>
      <c r="DL46" s="1">
        <f t="shared" si="26"/>
        <v>0</v>
      </c>
      <c r="DM46" s="1">
        <f t="shared" si="26"/>
        <v>0</v>
      </c>
      <c r="DN46" s="1">
        <f t="shared" si="26"/>
        <v>0</v>
      </c>
      <c r="DO46" s="1">
        <f t="shared" si="26"/>
        <v>0</v>
      </c>
      <c r="DP46" s="1">
        <f t="shared" si="26"/>
        <v>0</v>
      </c>
      <c r="DQ46" s="1">
        <f t="shared" si="26"/>
        <v>0</v>
      </c>
      <c r="DR46" s="1">
        <f t="shared" si="26"/>
        <v>0</v>
      </c>
      <c r="DS46" s="1">
        <f t="shared" si="26"/>
        <v>0</v>
      </c>
      <c r="DT46" s="1">
        <f t="shared" si="26"/>
        <v>0</v>
      </c>
      <c r="DU46" s="1">
        <f t="shared" si="26"/>
        <v>0</v>
      </c>
      <c r="DV46" s="1">
        <f t="shared" si="26"/>
        <v>0</v>
      </c>
      <c r="DW46" s="1">
        <f t="shared" si="26"/>
        <v>0</v>
      </c>
      <c r="DX46" s="1">
        <f t="shared" si="26"/>
        <v>0</v>
      </c>
      <c r="DY46" s="1">
        <f t="shared" si="26"/>
        <v>0</v>
      </c>
      <c r="DZ46" s="1">
        <f t="shared" si="26"/>
        <v>0</v>
      </c>
      <c r="EA46" s="1">
        <f t="shared" si="26"/>
        <v>0</v>
      </c>
      <c r="EB46" s="1">
        <f t="shared" si="26"/>
        <v>0</v>
      </c>
      <c r="EC46" s="1">
        <f t="shared" si="26"/>
        <v>0</v>
      </c>
      <c r="ED46" s="1">
        <f t="shared" si="26"/>
        <v>0</v>
      </c>
      <c r="EE46" s="1">
        <f t="shared" si="26"/>
        <v>0</v>
      </c>
      <c r="EF46" s="1">
        <f t="shared" si="26"/>
        <v>0</v>
      </c>
      <c r="EG46" s="1">
        <f t="shared" si="26"/>
        <v>0</v>
      </c>
      <c r="EH46" s="1">
        <f t="shared" ref="EH46:GS46" si="27">-SUMIFS($I32:$JI32,$I$30:$JI$30,"&gt;="&amp;EH$42,$I$30:$JI$30,"&lt;="&amp;EH$43)</f>
        <v>0</v>
      </c>
      <c r="EI46" s="1">
        <f t="shared" si="27"/>
        <v>0</v>
      </c>
      <c r="EJ46" s="1">
        <f t="shared" si="27"/>
        <v>0</v>
      </c>
      <c r="EK46" s="1">
        <f t="shared" si="27"/>
        <v>0</v>
      </c>
      <c r="EL46" s="1">
        <f t="shared" si="27"/>
        <v>0</v>
      </c>
      <c r="EM46" s="1">
        <f t="shared" si="27"/>
        <v>0</v>
      </c>
      <c r="EN46" s="1">
        <f t="shared" si="27"/>
        <v>0</v>
      </c>
      <c r="EO46" s="1">
        <f t="shared" si="27"/>
        <v>0</v>
      </c>
      <c r="EP46" s="1">
        <f t="shared" si="27"/>
        <v>0</v>
      </c>
      <c r="EQ46" s="1">
        <f t="shared" si="27"/>
        <v>0</v>
      </c>
      <c r="ER46" s="1">
        <f t="shared" si="27"/>
        <v>0</v>
      </c>
      <c r="ES46" s="1">
        <f t="shared" si="27"/>
        <v>0</v>
      </c>
      <c r="ET46" s="1">
        <f t="shared" si="27"/>
        <v>0</v>
      </c>
      <c r="EU46" s="1">
        <f t="shared" si="27"/>
        <v>0</v>
      </c>
      <c r="EV46" s="1">
        <f t="shared" si="27"/>
        <v>0</v>
      </c>
      <c r="EW46" s="1">
        <f t="shared" si="27"/>
        <v>0</v>
      </c>
      <c r="EX46" s="1">
        <f t="shared" si="27"/>
        <v>0</v>
      </c>
      <c r="EY46" s="1">
        <f t="shared" si="27"/>
        <v>0</v>
      </c>
      <c r="EZ46" s="1">
        <f t="shared" si="27"/>
        <v>0</v>
      </c>
      <c r="FA46" s="1">
        <f t="shared" si="27"/>
        <v>0</v>
      </c>
      <c r="FB46" s="1">
        <f t="shared" si="27"/>
        <v>0</v>
      </c>
      <c r="FC46" s="1">
        <f t="shared" si="27"/>
        <v>0</v>
      </c>
      <c r="FD46" s="1">
        <f t="shared" si="27"/>
        <v>0</v>
      </c>
      <c r="FE46" s="1">
        <f t="shared" si="27"/>
        <v>0</v>
      </c>
      <c r="FF46" s="1">
        <f t="shared" si="27"/>
        <v>0</v>
      </c>
      <c r="FG46" s="1">
        <f t="shared" si="27"/>
        <v>0</v>
      </c>
      <c r="FH46" s="1">
        <f t="shared" si="27"/>
        <v>0</v>
      </c>
      <c r="FI46" s="1">
        <f t="shared" si="27"/>
        <v>0</v>
      </c>
      <c r="FJ46" s="1">
        <f t="shared" si="27"/>
        <v>0</v>
      </c>
      <c r="FK46" s="1">
        <f t="shared" si="27"/>
        <v>0</v>
      </c>
      <c r="FL46" s="1">
        <f t="shared" si="27"/>
        <v>0</v>
      </c>
      <c r="FM46" s="1">
        <f t="shared" si="27"/>
        <v>0</v>
      </c>
      <c r="FN46" s="1">
        <f t="shared" si="27"/>
        <v>0</v>
      </c>
      <c r="FO46" s="1">
        <f t="shared" si="27"/>
        <v>0</v>
      </c>
      <c r="FP46" s="1">
        <f t="shared" si="27"/>
        <v>0</v>
      </c>
      <c r="FQ46" s="1">
        <f t="shared" si="27"/>
        <v>0</v>
      </c>
      <c r="FR46" s="1">
        <f t="shared" si="27"/>
        <v>0</v>
      </c>
      <c r="FS46" s="1">
        <f t="shared" si="27"/>
        <v>0</v>
      </c>
      <c r="FT46" s="1">
        <f t="shared" si="27"/>
        <v>0</v>
      </c>
      <c r="FU46" s="1">
        <f t="shared" si="27"/>
        <v>0</v>
      </c>
      <c r="FV46" s="1">
        <f t="shared" si="27"/>
        <v>0</v>
      </c>
      <c r="FW46" s="1">
        <f t="shared" si="27"/>
        <v>0</v>
      </c>
      <c r="FX46" s="1">
        <f t="shared" si="27"/>
        <v>0</v>
      </c>
      <c r="FY46" s="1">
        <f t="shared" si="27"/>
        <v>0</v>
      </c>
      <c r="FZ46" s="1">
        <f t="shared" si="27"/>
        <v>0</v>
      </c>
      <c r="GA46" s="1">
        <f t="shared" si="27"/>
        <v>0</v>
      </c>
      <c r="GB46" s="1">
        <f t="shared" si="27"/>
        <v>0</v>
      </c>
      <c r="GC46" s="1">
        <f t="shared" si="27"/>
        <v>0</v>
      </c>
      <c r="GD46" s="1">
        <f t="shared" si="27"/>
        <v>0</v>
      </c>
      <c r="GE46" s="1">
        <f t="shared" si="27"/>
        <v>0</v>
      </c>
      <c r="GF46" s="1">
        <f t="shared" si="27"/>
        <v>0</v>
      </c>
      <c r="GG46" s="1">
        <f t="shared" si="27"/>
        <v>0</v>
      </c>
      <c r="GH46" s="1">
        <f t="shared" si="27"/>
        <v>0</v>
      </c>
      <c r="GI46" s="1">
        <f t="shared" si="27"/>
        <v>0</v>
      </c>
      <c r="GJ46" s="1">
        <f t="shared" si="27"/>
        <v>0</v>
      </c>
      <c r="GK46" s="1">
        <f t="shared" si="27"/>
        <v>0</v>
      </c>
      <c r="GL46" s="1">
        <f t="shared" si="27"/>
        <v>0</v>
      </c>
      <c r="GM46" s="1">
        <f t="shared" si="27"/>
        <v>0</v>
      </c>
      <c r="GN46" s="1">
        <f t="shared" si="27"/>
        <v>0</v>
      </c>
      <c r="GO46" s="1">
        <f t="shared" si="27"/>
        <v>0</v>
      </c>
      <c r="GP46" s="1">
        <f t="shared" si="27"/>
        <v>0</v>
      </c>
      <c r="GQ46" s="1">
        <f t="shared" si="27"/>
        <v>0</v>
      </c>
      <c r="GR46" s="1">
        <f t="shared" si="27"/>
        <v>0</v>
      </c>
      <c r="GS46" s="1">
        <f t="shared" si="27"/>
        <v>0</v>
      </c>
      <c r="GT46" s="1">
        <f t="shared" ref="GT46:JE46" si="28">-SUMIFS($I32:$JI32,$I$30:$JI$30,"&gt;="&amp;GT$42,$I$30:$JI$30,"&lt;="&amp;GT$43)</f>
        <v>0</v>
      </c>
      <c r="GU46" s="1">
        <f t="shared" si="28"/>
        <v>0</v>
      </c>
      <c r="GV46" s="1">
        <f t="shared" si="28"/>
        <v>0</v>
      </c>
      <c r="GW46" s="1">
        <f t="shared" si="28"/>
        <v>0</v>
      </c>
      <c r="GX46" s="1">
        <f t="shared" si="28"/>
        <v>0</v>
      </c>
      <c r="GY46" s="1">
        <f t="shared" si="28"/>
        <v>0</v>
      </c>
      <c r="GZ46" s="1">
        <f t="shared" si="28"/>
        <v>0</v>
      </c>
      <c r="HA46" s="1">
        <f t="shared" si="28"/>
        <v>0</v>
      </c>
      <c r="HB46" s="1">
        <f t="shared" si="28"/>
        <v>0</v>
      </c>
      <c r="HC46" s="1">
        <f t="shared" si="28"/>
        <v>0</v>
      </c>
      <c r="HD46" s="1">
        <f t="shared" si="28"/>
        <v>0</v>
      </c>
      <c r="HE46" s="1">
        <f t="shared" si="28"/>
        <v>0</v>
      </c>
      <c r="HF46" s="1">
        <f t="shared" si="28"/>
        <v>0</v>
      </c>
      <c r="HG46" s="1">
        <f t="shared" si="28"/>
        <v>0</v>
      </c>
      <c r="HH46" s="1">
        <f t="shared" si="28"/>
        <v>0</v>
      </c>
      <c r="HI46" s="1">
        <f t="shared" si="28"/>
        <v>0</v>
      </c>
      <c r="HJ46" s="1">
        <f t="shared" si="28"/>
        <v>0</v>
      </c>
      <c r="HK46" s="1">
        <f t="shared" si="28"/>
        <v>0</v>
      </c>
      <c r="HL46" s="1">
        <f t="shared" si="28"/>
        <v>0</v>
      </c>
      <c r="HM46" s="1">
        <f t="shared" si="28"/>
        <v>0</v>
      </c>
      <c r="HN46" s="1">
        <f t="shared" si="28"/>
        <v>0</v>
      </c>
      <c r="HO46" s="1">
        <f t="shared" si="28"/>
        <v>0</v>
      </c>
      <c r="HP46" s="1">
        <f t="shared" si="28"/>
        <v>0</v>
      </c>
      <c r="HQ46" s="1">
        <f t="shared" si="28"/>
        <v>0</v>
      </c>
      <c r="HR46" s="1">
        <f t="shared" si="28"/>
        <v>0</v>
      </c>
      <c r="HS46" s="1">
        <f t="shared" si="28"/>
        <v>0</v>
      </c>
      <c r="HT46" s="1">
        <f t="shared" si="28"/>
        <v>0</v>
      </c>
      <c r="HU46" s="1">
        <f t="shared" si="28"/>
        <v>0</v>
      </c>
      <c r="HV46" s="1">
        <f t="shared" si="28"/>
        <v>0</v>
      </c>
      <c r="HW46" s="1">
        <f t="shared" si="28"/>
        <v>0</v>
      </c>
      <c r="HX46" s="1">
        <f t="shared" si="28"/>
        <v>0</v>
      </c>
      <c r="HY46" s="1">
        <f t="shared" si="28"/>
        <v>0</v>
      </c>
      <c r="HZ46" s="1">
        <f t="shared" si="28"/>
        <v>0</v>
      </c>
      <c r="IA46" s="1">
        <f t="shared" si="28"/>
        <v>0</v>
      </c>
      <c r="IB46" s="1">
        <f t="shared" si="28"/>
        <v>0</v>
      </c>
      <c r="IC46" s="1">
        <f t="shared" si="28"/>
        <v>0</v>
      </c>
      <c r="ID46" s="1">
        <f t="shared" si="28"/>
        <v>0</v>
      </c>
      <c r="IE46" s="1">
        <f t="shared" si="28"/>
        <v>0</v>
      </c>
      <c r="IF46" s="1">
        <f t="shared" si="28"/>
        <v>0</v>
      </c>
      <c r="IG46" s="1">
        <f t="shared" si="28"/>
        <v>0</v>
      </c>
      <c r="IH46" s="1">
        <f t="shared" si="28"/>
        <v>0</v>
      </c>
      <c r="II46" s="1">
        <f t="shared" si="28"/>
        <v>0</v>
      </c>
      <c r="IJ46" s="1">
        <f t="shared" si="28"/>
        <v>0</v>
      </c>
      <c r="IK46" s="1">
        <f t="shared" si="28"/>
        <v>0</v>
      </c>
      <c r="IL46" s="1">
        <f t="shared" si="28"/>
        <v>0</v>
      </c>
      <c r="IM46" s="1">
        <f t="shared" si="28"/>
        <v>0</v>
      </c>
      <c r="IN46" s="1">
        <f t="shared" si="28"/>
        <v>0</v>
      </c>
      <c r="IO46" s="1">
        <f t="shared" si="28"/>
        <v>0</v>
      </c>
      <c r="IP46" s="1">
        <f t="shared" si="28"/>
        <v>0</v>
      </c>
      <c r="IQ46" s="1">
        <f t="shared" si="28"/>
        <v>0</v>
      </c>
      <c r="IR46" s="1">
        <f t="shared" si="28"/>
        <v>0</v>
      </c>
      <c r="IS46" s="1">
        <f t="shared" si="28"/>
        <v>0</v>
      </c>
      <c r="IT46" s="1">
        <f t="shared" si="28"/>
        <v>0</v>
      </c>
      <c r="IU46" s="1">
        <f t="shared" si="28"/>
        <v>0</v>
      </c>
      <c r="IV46" s="1">
        <f t="shared" si="28"/>
        <v>0</v>
      </c>
      <c r="IW46" s="1">
        <f t="shared" si="28"/>
        <v>0</v>
      </c>
      <c r="IX46" s="1">
        <f t="shared" si="28"/>
        <v>0</v>
      </c>
      <c r="IY46" s="1">
        <f t="shared" si="28"/>
        <v>0</v>
      </c>
      <c r="IZ46" s="1">
        <f t="shared" si="28"/>
        <v>0</v>
      </c>
      <c r="JA46" s="1">
        <f t="shared" si="28"/>
        <v>0</v>
      </c>
      <c r="JB46" s="1">
        <f t="shared" si="28"/>
        <v>0</v>
      </c>
      <c r="JC46" s="1">
        <f t="shared" si="28"/>
        <v>0</v>
      </c>
      <c r="JD46" s="1">
        <f t="shared" si="28"/>
        <v>0</v>
      </c>
      <c r="JE46" s="1">
        <f t="shared" si="28"/>
        <v>0</v>
      </c>
      <c r="JF46" s="1">
        <f t="shared" ref="JF46:JI46" si="29">-SUMIFS($I32:$JI32,$I$30:$JI$30,"&gt;="&amp;JF$42,$I$30:$JI$30,"&lt;="&amp;JF$43)</f>
        <v>0</v>
      </c>
      <c r="JG46" s="1">
        <f t="shared" si="29"/>
        <v>0</v>
      </c>
      <c r="JH46" s="1">
        <f t="shared" si="29"/>
        <v>0</v>
      </c>
      <c r="JI46" s="1">
        <f t="shared" si="29"/>
        <v>0</v>
      </c>
    </row>
    <row r="47" spans="2:269">
      <c r="C47" s="10" t="s">
        <v>47</v>
      </c>
      <c r="D47" s="9" t="s">
        <v>1</v>
      </c>
      <c r="G47" s="31">
        <f t="shared" si="24"/>
        <v>1140513</v>
      </c>
      <c r="I47" s="10">
        <f>SUM(I45:I46)</f>
        <v>21514</v>
      </c>
      <c r="J47" s="10">
        <f t="shared" ref="J47:BU47" si="30">SUM(J45:J46)</f>
        <v>14237</v>
      </c>
      <c r="K47" s="10">
        <f t="shared" si="30"/>
        <v>14637</v>
      </c>
      <c r="L47" s="10">
        <f t="shared" si="30"/>
        <v>15168</v>
      </c>
      <c r="M47" s="10">
        <f t="shared" si="30"/>
        <v>11259</v>
      </c>
      <c r="N47" s="10">
        <f t="shared" si="30"/>
        <v>16680</v>
      </c>
      <c r="O47" s="10">
        <f t="shared" si="30"/>
        <v>15015</v>
      </c>
      <c r="P47" s="10">
        <f t="shared" si="30"/>
        <v>17931</v>
      </c>
      <c r="Q47" s="10">
        <f t="shared" si="30"/>
        <v>21361</v>
      </c>
      <c r="R47" s="10">
        <f t="shared" si="30"/>
        <v>18809</v>
      </c>
      <c r="S47" s="10">
        <f t="shared" si="30"/>
        <v>9567</v>
      </c>
      <c r="T47" s="10">
        <f t="shared" si="30"/>
        <v>21295</v>
      </c>
      <c r="U47" s="10">
        <f t="shared" si="30"/>
        <v>15607</v>
      </c>
      <c r="V47" s="10">
        <f t="shared" si="30"/>
        <v>23360</v>
      </c>
      <c r="W47" s="10">
        <f t="shared" si="30"/>
        <v>23912</v>
      </c>
      <c r="X47" s="10">
        <f t="shared" si="30"/>
        <v>16943</v>
      </c>
      <c r="Y47" s="10">
        <f t="shared" si="30"/>
        <v>23575</v>
      </c>
      <c r="Z47" s="10">
        <f t="shared" si="30"/>
        <v>23199</v>
      </c>
      <c r="AA47" s="10">
        <f t="shared" si="30"/>
        <v>17831</v>
      </c>
      <c r="AB47" s="10">
        <f t="shared" si="30"/>
        <v>22261</v>
      </c>
      <c r="AC47" s="10">
        <f t="shared" si="30"/>
        <v>7230</v>
      </c>
      <c r="AD47" s="10">
        <f t="shared" si="30"/>
        <v>20039</v>
      </c>
      <c r="AE47" s="10">
        <f t="shared" si="30"/>
        <v>23558</v>
      </c>
      <c r="AF47" s="10">
        <f t="shared" si="30"/>
        <v>22296</v>
      </c>
      <c r="AG47" s="10">
        <f t="shared" si="30"/>
        <v>16161</v>
      </c>
      <c r="AH47" s="10">
        <f t="shared" si="30"/>
        <v>16401</v>
      </c>
      <c r="AI47" s="10">
        <f t="shared" si="30"/>
        <v>19185</v>
      </c>
      <c r="AJ47" s="10">
        <f t="shared" si="30"/>
        <v>21120</v>
      </c>
      <c r="AK47" s="10">
        <f t="shared" si="30"/>
        <v>17968</v>
      </c>
      <c r="AL47" s="10">
        <f t="shared" si="30"/>
        <v>14865</v>
      </c>
      <c r="AM47" s="10">
        <f t="shared" si="30"/>
        <v>21189</v>
      </c>
      <c r="AN47" s="10">
        <f t="shared" si="30"/>
        <v>31017</v>
      </c>
      <c r="AO47" s="10">
        <f t="shared" si="30"/>
        <v>7443</v>
      </c>
      <c r="AP47" s="10">
        <f t="shared" si="30"/>
        <v>18225</v>
      </c>
      <c r="AQ47" s="10">
        <f t="shared" si="30"/>
        <v>20687</v>
      </c>
      <c r="AR47" s="10">
        <f t="shared" si="30"/>
        <v>17575</v>
      </c>
      <c r="AS47" s="10">
        <f t="shared" si="30"/>
        <v>24216</v>
      </c>
      <c r="AT47" s="10">
        <f t="shared" si="30"/>
        <v>19875</v>
      </c>
      <c r="AU47" s="10">
        <f t="shared" si="30"/>
        <v>27803</v>
      </c>
      <c r="AV47" s="10">
        <f t="shared" si="30"/>
        <v>12596</v>
      </c>
      <c r="AW47" s="10">
        <f t="shared" si="30"/>
        <v>21736</v>
      </c>
      <c r="AX47" s="10">
        <f t="shared" si="30"/>
        <v>13410</v>
      </c>
      <c r="AY47" s="10">
        <f t="shared" si="30"/>
        <v>16961</v>
      </c>
      <c r="AZ47" s="10">
        <f t="shared" si="30"/>
        <v>22988</v>
      </c>
      <c r="BA47" s="10">
        <f t="shared" si="30"/>
        <v>16427</v>
      </c>
      <c r="BB47" s="10">
        <f t="shared" si="30"/>
        <v>30145</v>
      </c>
      <c r="BC47" s="10">
        <f t="shared" si="30"/>
        <v>10107</v>
      </c>
      <c r="BD47" s="10">
        <f t="shared" si="30"/>
        <v>27051</v>
      </c>
      <c r="BE47" s="10">
        <f t="shared" si="30"/>
        <v>19395</v>
      </c>
      <c r="BF47" s="10">
        <f t="shared" si="30"/>
        <v>16130</v>
      </c>
      <c r="BG47" s="10">
        <f t="shared" si="30"/>
        <v>17415</v>
      </c>
      <c r="BH47" s="10">
        <f t="shared" si="30"/>
        <v>20065</v>
      </c>
      <c r="BI47" s="10">
        <f t="shared" si="30"/>
        <v>20705</v>
      </c>
      <c r="BJ47" s="10">
        <f t="shared" si="30"/>
        <v>17042</v>
      </c>
      <c r="BK47" s="10">
        <f t="shared" si="30"/>
        <v>24859</v>
      </c>
      <c r="BL47" s="10">
        <f t="shared" si="30"/>
        <v>27631</v>
      </c>
      <c r="BM47" s="10">
        <f t="shared" si="30"/>
        <v>17594</v>
      </c>
      <c r="BN47" s="10">
        <f t="shared" si="30"/>
        <v>19032</v>
      </c>
      <c r="BO47" s="10">
        <f t="shared" si="30"/>
        <v>20177</v>
      </c>
      <c r="BP47" s="10">
        <f t="shared" si="30"/>
        <v>18033</v>
      </c>
      <c r="BQ47" s="10">
        <f t="shared" si="30"/>
        <v>0</v>
      </c>
      <c r="BR47" s="10">
        <f t="shared" si="30"/>
        <v>0</v>
      </c>
      <c r="BS47" s="10">
        <f t="shared" si="30"/>
        <v>0</v>
      </c>
      <c r="BT47" s="10">
        <f t="shared" si="30"/>
        <v>0</v>
      </c>
      <c r="BU47" s="10">
        <f t="shared" si="30"/>
        <v>0</v>
      </c>
      <c r="BV47" s="10">
        <f t="shared" ref="BV47:EG47" si="31">SUM(BV45:BV46)</f>
        <v>0</v>
      </c>
      <c r="BW47" s="10">
        <f t="shared" si="31"/>
        <v>0</v>
      </c>
      <c r="BX47" s="10">
        <f t="shared" si="31"/>
        <v>0</v>
      </c>
      <c r="BY47" s="10">
        <f t="shared" si="31"/>
        <v>0</v>
      </c>
      <c r="BZ47" s="10">
        <f t="shared" si="31"/>
        <v>0</v>
      </c>
      <c r="CA47" s="10">
        <f t="shared" si="31"/>
        <v>0</v>
      </c>
      <c r="CB47" s="10">
        <f t="shared" si="31"/>
        <v>0</v>
      </c>
      <c r="CC47" s="10">
        <f t="shared" si="31"/>
        <v>0</v>
      </c>
      <c r="CD47" s="10">
        <f t="shared" si="31"/>
        <v>0</v>
      </c>
      <c r="CE47" s="10">
        <f t="shared" si="31"/>
        <v>0</v>
      </c>
      <c r="CF47" s="10">
        <f t="shared" si="31"/>
        <v>0</v>
      </c>
      <c r="CG47" s="10">
        <f t="shared" si="31"/>
        <v>0</v>
      </c>
      <c r="CH47" s="10">
        <f t="shared" si="31"/>
        <v>0</v>
      </c>
      <c r="CI47" s="10">
        <f t="shared" si="31"/>
        <v>0</v>
      </c>
      <c r="CJ47" s="10">
        <f t="shared" si="31"/>
        <v>0</v>
      </c>
      <c r="CK47" s="10">
        <f t="shared" si="31"/>
        <v>0</v>
      </c>
      <c r="CL47" s="10">
        <f t="shared" si="31"/>
        <v>0</v>
      </c>
      <c r="CM47" s="10">
        <f t="shared" si="31"/>
        <v>0</v>
      </c>
      <c r="CN47" s="10">
        <f t="shared" si="31"/>
        <v>0</v>
      </c>
      <c r="CO47" s="10">
        <f t="shared" si="31"/>
        <v>0</v>
      </c>
      <c r="CP47" s="10">
        <f t="shared" si="31"/>
        <v>0</v>
      </c>
      <c r="CQ47" s="10">
        <f t="shared" si="31"/>
        <v>0</v>
      </c>
      <c r="CR47" s="10">
        <f t="shared" si="31"/>
        <v>0</v>
      </c>
      <c r="CS47" s="10">
        <f t="shared" si="31"/>
        <v>0</v>
      </c>
      <c r="CT47" s="10">
        <f t="shared" si="31"/>
        <v>0</v>
      </c>
      <c r="CU47" s="10">
        <f t="shared" si="31"/>
        <v>0</v>
      </c>
      <c r="CV47" s="10">
        <f t="shared" si="31"/>
        <v>0</v>
      </c>
      <c r="CW47" s="10">
        <f t="shared" si="31"/>
        <v>0</v>
      </c>
      <c r="CX47" s="10">
        <f t="shared" si="31"/>
        <v>0</v>
      </c>
      <c r="CY47" s="10">
        <f t="shared" si="31"/>
        <v>0</v>
      </c>
      <c r="CZ47" s="10">
        <f t="shared" si="31"/>
        <v>0</v>
      </c>
      <c r="DA47" s="10">
        <f t="shared" si="31"/>
        <v>0</v>
      </c>
      <c r="DB47" s="10">
        <f t="shared" si="31"/>
        <v>0</v>
      </c>
      <c r="DC47" s="10">
        <f t="shared" si="31"/>
        <v>0</v>
      </c>
      <c r="DD47" s="10">
        <f t="shared" si="31"/>
        <v>0</v>
      </c>
      <c r="DE47" s="10">
        <f t="shared" si="31"/>
        <v>0</v>
      </c>
      <c r="DF47" s="10">
        <f t="shared" si="31"/>
        <v>0</v>
      </c>
      <c r="DG47" s="10">
        <f t="shared" si="31"/>
        <v>0</v>
      </c>
      <c r="DH47" s="10">
        <f t="shared" si="31"/>
        <v>0</v>
      </c>
      <c r="DI47" s="10">
        <f t="shared" si="31"/>
        <v>0</v>
      </c>
      <c r="DJ47" s="10">
        <f t="shared" si="31"/>
        <v>0</v>
      </c>
      <c r="DK47" s="10">
        <f t="shared" si="31"/>
        <v>0</v>
      </c>
      <c r="DL47" s="10">
        <f t="shared" si="31"/>
        <v>0</v>
      </c>
      <c r="DM47" s="10">
        <f t="shared" si="31"/>
        <v>0</v>
      </c>
      <c r="DN47" s="10">
        <f t="shared" si="31"/>
        <v>0</v>
      </c>
      <c r="DO47" s="10">
        <f t="shared" si="31"/>
        <v>0</v>
      </c>
      <c r="DP47" s="10">
        <f t="shared" si="31"/>
        <v>0</v>
      </c>
      <c r="DQ47" s="10">
        <f t="shared" si="31"/>
        <v>0</v>
      </c>
      <c r="DR47" s="10">
        <f t="shared" si="31"/>
        <v>0</v>
      </c>
      <c r="DS47" s="10">
        <f t="shared" si="31"/>
        <v>0</v>
      </c>
      <c r="DT47" s="10">
        <f t="shared" si="31"/>
        <v>0</v>
      </c>
      <c r="DU47" s="10">
        <f t="shared" si="31"/>
        <v>0</v>
      </c>
      <c r="DV47" s="10">
        <f t="shared" si="31"/>
        <v>0</v>
      </c>
      <c r="DW47" s="10">
        <f t="shared" si="31"/>
        <v>0</v>
      </c>
      <c r="DX47" s="10">
        <f t="shared" si="31"/>
        <v>0</v>
      </c>
      <c r="DY47" s="10">
        <f t="shared" si="31"/>
        <v>0</v>
      </c>
      <c r="DZ47" s="10">
        <f t="shared" si="31"/>
        <v>0</v>
      </c>
      <c r="EA47" s="10">
        <f t="shared" si="31"/>
        <v>0</v>
      </c>
      <c r="EB47" s="10">
        <f t="shared" si="31"/>
        <v>0</v>
      </c>
      <c r="EC47" s="10">
        <f t="shared" si="31"/>
        <v>0</v>
      </c>
      <c r="ED47" s="10">
        <f t="shared" si="31"/>
        <v>0</v>
      </c>
      <c r="EE47" s="10">
        <f t="shared" si="31"/>
        <v>0</v>
      </c>
      <c r="EF47" s="10">
        <f t="shared" si="31"/>
        <v>0</v>
      </c>
      <c r="EG47" s="10">
        <f t="shared" si="31"/>
        <v>0</v>
      </c>
      <c r="EH47" s="10">
        <f t="shared" ref="EH47:GS47" si="32">SUM(EH45:EH46)</f>
        <v>0</v>
      </c>
      <c r="EI47" s="10">
        <f t="shared" si="32"/>
        <v>0</v>
      </c>
      <c r="EJ47" s="10">
        <f t="shared" si="32"/>
        <v>0</v>
      </c>
      <c r="EK47" s="10">
        <f t="shared" si="32"/>
        <v>0</v>
      </c>
      <c r="EL47" s="10">
        <f t="shared" si="32"/>
        <v>0</v>
      </c>
      <c r="EM47" s="10">
        <f t="shared" si="32"/>
        <v>0</v>
      </c>
      <c r="EN47" s="10">
        <f t="shared" si="32"/>
        <v>0</v>
      </c>
      <c r="EO47" s="10">
        <f t="shared" si="32"/>
        <v>0</v>
      </c>
      <c r="EP47" s="10">
        <f t="shared" si="32"/>
        <v>0</v>
      </c>
      <c r="EQ47" s="10">
        <f t="shared" si="32"/>
        <v>0</v>
      </c>
      <c r="ER47" s="10">
        <f t="shared" si="32"/>
        <v>0</v>
      </c>
      <c r="ES47" s="10">
        <f t="shared" si="32"/>
        <v>0</v>
      </c>
      <c r="ET47" s="10">
        <f t="shared" si="32"/>
        <v>0</v>
      </c>
      <c r="EU47" s="10">
        <f t="shared" si="32"/>
        <v>0</v>
      </c>
      <c r="EV47" s="10">
        <f t="shared" si="32"/>
        <v>0</v>
      </c>
      <c r="EW47" s="10">
        <f t="shared" si="32"/>
        <v>0</v>
      </c>
      <c r="EX47" s="10">
        <f t="shared" si="32"/>
        <v>0</v>
      </c>
      <c r="EY47" s="10">
        <f t="shared" si="32"/>
        <v>0</v>
      </c>
      <c r="EZ47" s="10">
        <f t="shared" si="32"/>
        <v>0</v>
      </c>
      <c r="FA47" s="10">
        <f t="shared" si="32"/>
        <v>0</v>
      </c>
      <c r="FB47" s="10">
        <f t="shared" si="32"/>
        <v>0</v>
      </c>
      <c r="FC47" s="10">
        <f t="shared" si="32"/>
        <v>0</v>
      </c>
      <c r="FD47" s="10">
        <f t="shared" si="32"/>
        <v>0</v>
      </c>
      <c r="FE47" s="10">
        <f t="shared" si="32"/>
        <v>0</v>
      </c>
      <c r="FF47" s="10">
        <f t="shared" si="32"/>
        <v>0</v>
      </c>
      <c r="FG47" s="10">
        <f t="shared" si="32"/>
        <v>0</v>
      </c>
      <c r="FH47" s="10">
        <f t="shared" si="32"/>
        <v>0</v>
      </c>
      <c r="FI47" s="10">
        <f t="shared" si="32"/>
        <v>0</v>
      </c>
      <c r="FJ47" s="10">
        <f t="shared" si="32"/>
        <v>0</v>
      </c>
      <c r="FK47" s="10">
        <f t="shared" si="32"/>
        <v>0</v>
      </c>
      <c r="FL47" s="10">
        <f t="shared" si="32"/>
        <v>0</v>
      </c>
      <c r="FM47" s="10">
        <f t="shared" si="32"/>
        <v>0</v>
      </c>
      <c r="FN47" s="10">
        <f t="shared" si="32"/>
        <v>0</v>
      </c>
      <c r="FO47" s="10">
        <f t="shared" si="32"/>
        <v>0</v>
      </c>
      <c r="FP47" s="10">
        <f t="shared" si="32"/>
        <v>0</v>
      </c>
      <c r="FQ47" s="10">
        <f t="shared" si="32"/>
        <v>0</v>
      </c>
      <c r="FR47" s="10">
        <f t="shared" si="32"/>
        <v>0</v>
      </c>
      <c r="FS47" s="10">
        <f t="shared" si="32"/>
        <v>0</v>
      </c>
      <c r="FT47" s="10">
        <f t="shared" si="32"/>
        <v>0</v>
      </c>
      <c r="FU47" s="10">
        <f t="shared" si="32"/>
        <v>0</v>
      </c>
      <c r="FV47" s="10">
        <f t="shared" si="32"/>
        <v>0</v>
      </c>
      <c r="FW47" s="10">
        <f t="shared" si="32"/>
        <v>0</v>
      </c>
      <c r="FX47" s="10">
        <f t="shared" si="32"/>
        <v>0</v>
      </c>
      <c r="FY47" s="10">
        <f t="shared" si="32"/>
        <v>0</v>
      </c>
      <c r="FZ47" s="10">
        <f t="shared" si="32"/>
        <v>0</v>
      </c>
      <c r="GA47" s="10">
        <f t="shared" si="32"/>
        <v>0</v>
      </c>
      <c r="GB47" s="10">
        <f t="shared" si="32"/>
        <v>0</v>
      </c>
      <c r="GC47" s="10">
        <f t="shared" si="32"/>
        <v>0</v>
      </c>
      <c r="GD47" s="10">
        <f t="shared" si="32"/>
        <v>0</v>
      </c>
      <c r="GE47" s="10">
        <f t="shared" si="32"/>
        <v>0</v>
      </c>
      <c r="GF47" s="10">
        <f t="shared" si="32"/>
        <v>0</v>
      </c>
      <c r="GG47" s="10">
        <f t="shared" si="32"/>
        <v>0</v>
      </c>
      <c r="GH47" s="10">
        <f t="shared" si="32"/>
        <v>0</v>
      </c>
      <c r="GI47" s="10">
        <f t="shared" si="32"/>
        <v>0</v>
      </c>
      <c r="GJ47" s="10">
        <f t="shared" si="32"/>
        <v>0</v>
      </c>
      <c r="GK47" s="10">
        <f t="shared" si="32"/>
        <v>0</v>
      </c>
      <c r="GL47" s="10">
        <f t="shared" si="32"/>
        <v>0</v>
      </c>
      <c r="GM47" s="10">
        <f t="shared" si="32"/>
        <v>0</v>
      </c>
      <c r="GN47" s="10">
        <f t="shared" si="32"/>
        <v>0</v>
      </c>
      <c r="GO47" s="10">
        <f t="shared" si="32"/>
        <v>0</v>
      </c>
      <c r="GP47" s="10">
        <f t="shared" si="32"/>
        <v>0</v>
      </c>
      <c r="GQ47" s="10">
        <f t="shared" si="32"/>
        <v>0</v>
      </c>
      <c r="GR47" s="10">
        <f t="shared" si="32"/>
        <v>0</v>
      </c>
      <c r="GS47" s="10">
        <f t="shared" si="32"/>
        <v>0</v>
      </c>
      <c r="GT47" s="10">
        <f t="shared" ref="GT47:JE47" si="33">SUM(GT45:GT46)</f>
        <v>0</v>
      </c>
      <c r="GU47" s="10">
        <f t="shared" si="33"/>
        <v>0</v>
      </c>
      <c r="GV47" s="10">
        <f t="shared" si="33"/>
        <v>0</v>
      </c>
      <c r="GW47" s="10">
        <f t="shared" si="33"/>
        <v>0</v>
      </c>
      <c r="GX47" s="10">
        <f t="shared" si="33"/>
        <v>0</v>
      </c>
      <c r="GY47" s="10">
        <f t="shared" si="33"/>
        <v>0</v>
      </c>
      <c r="GZ47" s="10">
        <f t="shared" si="33"/>
        <v>0</v>
      </c>
      <c r="HA47" s="10">
        <f t="shared" si="33"/>
        <v>0</v>
      </c>
      <c r="HB47" s="10">
        <f t="shared" si="33"/>
        <v>0</v>
      </c>
      <c r="HC47" s="10">
        <f t="shared" si="33"/>
        <v>0</v>
      </c>
      <c r="HD47" s="10">
        <f t="shared" si="33"/>
        <v>0</v>
      </c>
      <c r="HE47" s="10">
        <f t="shared" si="33"/>
        <v>0</v>
      </c>
      <c r="HF47" s="10">
        <f t="shared" si="33"/>
        <v>0</v>
      </c>
      <c r="HG47" s="10">
        <f t="shared" si="33"/>
        <v>0</v>
      </c>
      <c r="HH47" s="10">
        <f t="shared" si="33"/>
        <v>0</v>
      </c>
      <c r="HI47" s="10">
        <f t="shared" si="33"/>
        <v>0</v>
      </c>
      <c r="HJ47" s="10">
        <f t="shared" si="33"/>
        <v>0</v>
      </c>
      <c r="HK47" s="10">
        <f t="shared" si="33"/>
        <v>0</v>
      </c>
      <c r="HL47" s="10">
        <f t="shared" si="33"/>
        <v>0</v>
      </c>
      <c r="HM47" s="10">
        <f t="shared" si="33"/>
        <v>0</v>
      </c>
      <c r="HN47" s="10">
        <f t="shared" si="33"/>
        <v>0</v>
      </c>
      <c r="HO47" s="10">
        <f t="shared" si="33"/>
        <v>0</v>
      </c>
      <c r="HP47" s="10">
        <f t="shared" si="33"/>
        <v>0</v>
      </c>
      <c r="HQ47" s="10">
        <f t="shared" si="33"/>
        <v>0</v>
      </c>
      <c r="HR47" s="10">
        <f t="shared" si="33"/>
        <v>0</v>
      </c>
      <c r="HS47" s="10">
        <f t="shared" si="33"/>
        <v>0</v>
      </c>
      <c r="HT47" s="10">
        <f t="shared" si="33"/>
        <v>0</v>
      </c>
      <c r="HU47" s="10">
        <f t="shared" si="33"/>
        <v>0</v>
      </c>
      <c r="HV47" s="10">
        <f t="shared" si="33"/>
        <v>0</v>
      </c>
      <c r="HW47" s="10">
        <f t="shared" si="33"/>
        <v>0</v>
      </c>
      <c r="HX47" s="10">
        <f t="shared" si="33"/>
        <v>0</v>
      </c>
      <c r="HY47" s="10">
        <f t="shared" si="33"/>
        <v>0</v>
      </c>
      <c r="HZ47" s="10">
        <f t="shared" si="33"/>
        <v>0</v>
      </c>
      <c r="IA47" s="10">
        <f t="shared" si="33"/>
        <v>0</v>
      </c>
      <c r="IB47" s="10">
        <f t="shared" si="33"/>
        <v>0</v>
      </c>
      <c r="IC47" s="10">
        <f t="shared" si="33"/>
        <v>0</v>
      </c>
      <c r="ID47" s="10">
        <f t="shared" si="33"/>
        <v>0</v>
      </c>
      <c r="IE47" s="10">
        <f t="shared" si="33"/>
        <v>0</v>
      </c>
      <c r="IF47" s="10">
        <f t="shared" si="33"/>
        <v>0</v>
      </c>
      <c r="IG47" s="10">
        <f t="shared" si="33"/>
        <v>0</v>
      </c>
      <c r="IH47" s="10">
        <f t="shared" si="33"/>
        <v>0</v>
      </c>
      <c r="II47" s="10">
        <f t="shared" si="33"/>
        <v>0</v>
      </c>
      <c r="IJ47" s="10">
        <f t="shared" si="33"/>
        <v>0</v>
      </c>
      <c r="IK47" s="10">
        <f t="shared" si="33"/>
        <v>0</v>
      </c>
      <c r="IL47" s="10">
        <f t="shared" si="33"/>
        <v>0</v>
      </c>
      <c r="IM47" s="10">
        <f t="shared" si="33"/>
        <v>0</v>
      </c>
      <c r="IN47" s="10">
        <f t="shared" si="33"/>
        <v>0</v>
      </c>
      <c r="IO47" s="10">
        <f t="shared" si="33"/>
        <v>0</v>
      </c>
      <c r="IP47" s="10">
        <f t="shared" si="33"/>
        <v>0</v>
      </c>
      <c r="IQ47" s="10">
        <f t="shared" si="33"/>
        <v>0</v>
      </c>
      <c r="IR47" s="10">
        <f t="shared" si="33"/>
        <v>0</v>
      </c>
      <c r="IS47" s="10">
        <f t="shared" si="33"/>
        <v>0</v>
      </c>
      <c r="IT47" s="10">
        <f t="shared" si="33"/>
        <v>0</v>
      </c>
      <c r="IU47" s="10">
        <f t="shared" si="33"/>
        <v>0</v>
      </c>
      <c r="IV47" s="10">
        <f t="shared" si="33"/>
        <v>0</v>
      </c>
      <c r="IW47" s="10">
        <f t="shared" si="33"/>
        <v>0</v>
      </c>
      <c r="IX47" s="10">
        <f t="shared" si="33"/>
        <v>0</v>
      </c>
      <c r="IY47" s="10">
        <f t="shared" si="33"/>
        <v>0</v>
      </c>
      <c r="IZ47" s="10">
        <f t="shared" si="33"/>
        <v>0</v>
      </c>
      <c r="JA47" s="10">
        <f t="shared" si="33"/>
        <v>0</v>
      </c>
      <c r="JB47" s="10">
        <f t="shared" si="33"/>
        <v>0</v>
      </c>
      <c r="JC47" s="10">
        <f t="shared" si="33"/>
        <v>0</v>
      </c>
      <c r="JD47" s="10">
        <f t="shared" si="33"/>
        <v>0</v>
      </c>
      <c r="JE47" s="10">
        <f t="shared" si="33"/>
        <v>0</v>
      </c>
      <c r="JF47" s="10">
        <f t="shared" ref="JF47:JH47" si="34">SUM(JF45:JF46)</f>
        <v>0</v>
      </c>
      <c r="JG47" s="10">
        <f t="shared" si="34"/>
        <v>0</v>
      </c>
      <c r="JH47" s="10">
        <f t="shared" si="34"/>
        <v>0</v>
      </c>
      <c r="JI47" s="10">
        <f t="shared" ref="JI47" si="35">SUM(JI45:JI46)</f>
        <v>0</v>
      </c>
    </row>
    <row r="48" spans="2:269">
      <c r="D48" s="9"/>
    </row>
    <row r="49" spans="1:269">
      <c r="D49" s="9"/>
    </row>
    <row r="50" spans="1:269">
      <c r="A50" s="7" t="s">
        <v>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</row>
  </sheetData>
  <dataValidations count="1">
    <dataValidation type="list" allowBlank="1" showInputMessage="1" showErrorMessage="1" sqref="G23" xr:uid="{00000000-0002-0000-0C00-000000000000}">
      <formula1>$C$25:$C$27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  <pageSetUpPr autoPageBreaks="0"/>
  </sheetPr>
  <dimension ref="A1:CL73"/>
  <sheetViews>
    <sheetView showGridLines="0" tabSelected="1" zoomScale="90" zoomScaleNormal="90" workbookViewId="0">
      <pane xSplit="8" ySplit="1" topLeftCell="I3" activePane="bottomRight" state="frozen"/>
      <selection activeCell="G59" sqref="G59"/>
      <selection pane="topRight" activeCell="G59" sqref="G59"/>
      <selection pane="bottomLeft" activeCell="G59" sqref="G59"/>
      <selection pane="bottomRight" activeCell="I65" sqref="I65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89" width="12.6640625" style="1" customWidth="1"/>
    <col min="90" max="90" width="0" style="1" hidden="1" customWidth="1"/>
    <col min="91" max="16384" width="12.6640625" style="1" hidden="1"/>
  </cols>
  <sheetData>
    <row r="1" spans="1:88">
      <c r="A1" s="7" t="s">
        <v>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8">
      <c r="D2" s="9"/>
    </row>
    <row r="3" spans="1:88">
      <c r="B3" s="6" t="s">
        <v>9</v>
      </c>
      <c r="D3" s="9"/>
    </row>
    <row r="4" spans="1:88">
      <c r="C4" s="1" t="s">
        <v>54</v>
      </c>
      <c r="D4" s="9"/>
    </row>
    <row r="5" spans="1:88">
      <c r="C5" s="1" t="s">
        <v>55</v>
      </c>
      <c r="D5" s="9"/>
    </row>
    <row r="6" spans="1:88">
      <c r="C6" s="1" t="s">
        <v>56</v>
      </c>
      <c r="D6" s="9"/>
    </row>
    <row r="7" spans="1:88">
      <c r="D7" s="9"/>
    </row>
    <row r="8" spans="1:88">
      <c r="C8" s="1" t="s">
        <v>76</v>
      </c>
      <c r="D8" s="9"/>
    </row>
    <row r="9" spans="1:88">
      <c r="C9" s="1" t="s">
        <v>57</v>
      </c>
      <c r="D9" s="9"/>
    </row>
    <row r="10" spans="1:88">
      <c r="D10" s="9"/>
    </row>
    <row r="11" spans="1:88">
      <c r="C11" s="1" t="s">
        <v>58</v>
      </c>
      <c r="D11" s="9"/>
    </row>
    <row r="12" spans="1:88">
      <c r="C12" s="1" t="s">
        <v>59</v>
      </c>
      <c r="D12" s="9"/>
    </row>
    <row r="13" spans="1:88">
      <c r="B13" s="6"/>
      <c r="D13" s="9"/>
    </row>
    <row r="14" spans="1:88">
      <c r="B14" s="6"/>
      <c r="D14" s="9"/>
    </row>
    <row r="15" spans="1:88">
      <c r="B15" s="6" t="s">
        <v>60</v>
      </c>
      <c r="D15" s="9"/>
    </row>
    <row r="16" spans="1:88">
      <c r="B16" s="6"/>
      <c r="C16" s="1" t="s">
        <v>61</v>
      </c>
      <c r="D16" s="9" t="s">
        <v>4</v>
      </c>
      <c r="I16" s="14">
        <v>43921</v>
      </c>
      <c r="J16" s="15">
        <f t="shared" ref="J16:BU16" si="0">EOMONTH(I16,3)</f>
        <v>44012</v>
      </c>
      <c r="K16" s="15">
        <f t="shared" si="0"/>
        <v>44104</v>
      </c>
      <c r="L16" s="15">
        <f t="shared" si="0"/>
        <v>44196</v>
      </c>
      <c r="M16" s="15">
        <f t="shared" si="0"/>
        <v>44286</v>
      </c>
      <c r="N16" s="15">
        <f t="shared" si="0"/>
        <v>44377</v>
      </c>
      <c r="O16" s="15">
        <f t="shared" si="0"/>
        <v>44469</v>
      </c>
      <c r="P16" s="15">
        <f t="shared" si="0"/>
        <v>44561</v>
      </c>
      <c r="Q16" s="15">
        <f t="shared" si="0"/>
        <v>44651</v>
      </c>
      <c r="R16" s="15">
        <f t="shared" si="0"/>
        <v>44742</v>
      </c>
      <c r="S16" s="15">
        <f t="shared" si="0"/>
        <v>44834</v>
      </c>
      <c r="T16" s="15">
        <f t="shared" si="0"/>
        <v>44926</v>
      </c>
      <c r="U16" s="15">
        <f t="shared" si="0"/>
        <v>45016</v>
      </c>
      <c r="V16" s="15">
        <f t="shared" si="0"/>
        <v>45107</v>
      </c>
      <c r="W16" s="15">
        <f t="shared" si="0"/>
        <v>45199</v>
      </c>
      <c r="X16" s="15">
        <f t="shared" si="0"/>
        <v>45291</v>
      </c>
      <c r="Y16" s="15">
        <f t="shared" si="0"/>
        <v>45382</v>
      </c>
      <c r="Z16" s="15">
        <f t="shared" si="0"/>
        <v>45473</v>
      </c>
      <c r="AA16" s="15">
        <f t="shared" si="0"/>
        <v>45565</v>
      </c>
      <c r="AB16" s="15">
        <f t="shared" si="0"/>
        <v>45657</v>
      </c>
      <c r="AC16" s="15">
        <f t="shared" si="0"/>
        <v>45747</v>
      </c>
      <c r="AD16" s="15">
        <f t="shared" si="0"/>
        <v>45838</v>
      </c>
      <c r="AE16" s="15">
        <f t="shared" si="0"/>
        <v>45930</v>
      </c>
      <c r="AF16" s="15">
        <f t="shared" si="0"/>
        <v>46022</v>
      </c>
      <c r="AG16" s="15">
        <f t="shared" si="0"/>
        <v>46112</v>
      </c>
      <c r="AH16" s="15">
        <f t="shared" si="0"/>
        <v>46203</v>
      </c>
      <c r="AI16" s="15">
        <f t="shared" si="0"/>
        <v>46295</v>
      </c>
      <c r="AJ16" s="15">
        <f t="shared" si="0"/>
        <v>46387</v>
      </c>
      <c r="AK16" s="15">
        <f t="shared" si="0"/>
        <v>46477</v>
      </c>
      <c r="AL16" s="15">
        <f t="shared" si="0"/>
        <v>46568</v>
      </c>
      <c r="AM16" s="15">
        <f t="shared" si="0"/>
        <v>46660</v>
      </c>
      <c r="AN16" s="15">
        <f t="shared" si="0"/>
        <v>46752</v>
      </c>
      <c r="AO16" s="15">
        <f t="shared" si="0"/>
        <v>46843</v>
      </c>
      <c r="AP16" s="15">
        <f t="shared" si="0"/>
        <v>46934</v>
      </c>
      <c r="AQ16" s="15">
        <f t="shared" si="0"/>
        <v>47026</v>
      </c>
      <c r="AR16" s="15">
        <f t="shared" si="0"/>
        <v>47118</v>
      </c>
      <c r="AS16" s="15">
        <f t="shared" si="0"/>
        <v>47208</v>
      </c>
      <c r="AT16" s="15">
        <f t="shared" si="0"/>
        <v>47299</v>
      </c>
      <c r="AU16" s="15">
        <f t="shared" si="0"/>
        <v>47391</v>
      </c>
      <c r="AV16" s="15">
        <f t="shared" si="0"/>
        <v>47483</v>
      </c>
      <c r="AW16" s="15">
        <f t="shared" si="0"/>
        <v>47573</v>
      </c>
      <c r="AX16" s="15">
        <f t="shared" si="0"/>
        <v>47664</v>
      </c>
      <c r="AY16" s="15">
        <f t="shared" si="0"/>
        <v>47756</v>
      </c>
      <c r="AZ16" s="15">
        <f t="shared" si="0"/>
        <v>47848</v>
      </c>
      <c r="BA16" s="15">
        <f t="shared" si="0"/>
        <v>47938</v>
      </c>
      <c r="BB16" s="15">
        <f t="shared" si="0"/>
        <v>48029</v>
      </c>
      <c r="BC16" s="15">
        <f t="shared" si="0"/>
        <v>48121</v>
      </c>
      <c r="BD16" s="15">
        <f t="shared" si="0"/>
        <v>48213</v>
      </c>
      <c r="BE16" s="15">
        <f t="shared" si="0"/>
        <v>48304</v>
      </c>
      <c r="BF16" s="15">
        <f t="shared" si="0"/>
        <v>48395</v>
      </c>
      <c r="BG16" s="15">
        <f t="shared" si="0"/>
        <v>48487</v>
      </c>
      <c r="BH16" s="15">
        <f t="shared" si="0"/>
        <v>48579</v>
      </c>
      <c r="BI16" s="15">
        <f t="shared" si="0"/>
        <v>48669</v>
      </c>
      <c r="BJ16" s="15">
        <f t="shared" si="0"/>
        <v>48760</v>
      </c>
      <c r="BK16" s="15">
        <f t="shared" si="0"/>
        <v>48852</v>
      </c>
      <c r="BL16" s="15">
        <f t="shared" si="0"/>
        <v>48944</v>
      </c>
      <c r="BM16" s="15">
        <f t="shared" si="0"/>
        <v>49034</v>
      </c>
      <c r="BN16" s="15">
        <f t="shared" si="0"/>
        <v>49125</v>
      </c>
      <c r="BO16" s="15">
        <f t="shared" si="0"/>
        <v>49217</v>
      </c>
      <c r="BP16" s="15">
        <f t="shared" si="0"/>
        <v>49309</v>
      </c>
      <c r="BQ16" s="15">
        <f t="shared" si="0"/>
        <v>49399</v>
      </c>
      <c r="BR16" s="15">
        <f t="shared" si="0"/>
        <v>49490</v>
      </c>
      <c r="BS16" s="15">
        <f t="shared" si="0"/>
        <v>49582</v>
      </c>
      <c r="BT16" s="15">
        <f t="shared" si="0"/>
        <v>49674</v>
      </c>
      <c r="BU16" s="15">
        <f t="shared" si="0"/>
        <v>49765</v>
      </c>
      <c r="BV16" s="15">
        <f t="shared" ref="BV16:CJ16" si="1">EOMONTH(BU16,3)</f>
        <v>49856</v>
      </c>
      <c r="BW16" s="15">
        <f t="shared" si="1"/>
        <v>49948</v>
      </c>
      <c r="BX16" s="15">
        <f t="shared" si="1"/>
        <v>50040</v>
      </c>
      <c r="BY16" s="15">
        <f t="shared" si="1"/>
        <v>50130</v>
      </c>
      <c r="BZ16" s="15">
        <f t="shared" si="1"/>
        <v>50221</v>
      </c>
      <c r="CA16" s="15">
        <f t="shared" si="1"/>
        <v>50313</v>
      </c>
      <c r="CB16" s="15">
        <f t="shared" si="1"/>
        <v>50405</v>
      </c>
      <c r="CC16" s="15">
        <f t="shared" si="1"/>
        <v>50495</v>
      </c>
      <c r="CD16" s="15">
        <f t="shared" si="1"/>
        <v>50586</v>
      </c>
      <c r="CE16" s="15">
        <f t="shared" si="1"/>
        <v>50678</v>
      </c>
      <c r="CF16" s="15">
        <f t="shared" si="1"/>
        <v>50770</v>
      </c>
      <c r="CG16" s="15">
        <f t="shared" si="1"/>
        <v>50860</v>
      </c>
      <c r="CH16" s="15">
        <f t="shared" si="1"/>
        <v>50951</v>
      </c>
      <c r="CI16" s="15">
        <f t="shared" si="1"/>
        <v>51043</v>
      </c>
      <c r="CJ16" s="15">
        <f t="shared" si="1"/>
        <v>51135</v>
      </c>
    </row>
    <row r="17" spans="2:88">
      <c r="B17" s="6"/>
      <c r="C17" s="1" t="s">
        <v>62</v>
      </c>
      <c r="D17" s="9" t="s">
        <v>1</v>
      </c>
      <c r="I17" s="27">
        <v>13587</v>
      </c>
      <c r="J17" s="27">
        <v>13437</v>
      </c>
      <c r="K17" s="27">
        <v>13713</v>
      </c>
      <c r="L17" s="27">
        <v>13154</v>
      </c>
      <c r="M17" s="27">
        <v>10601</v>
      </c>
      <c r="N17" s="27">
        <v>13236</v>
      </c>
      <c r="O17" s="27">
        <v>11528</v>
      </c>
      <c r="P17" s="27">
        <v>13305</v>
      </c>
      <c r="Q17" s="27">
        <v>12137</v>
      </c>
      <c r="R17" s="27">
        <v>12048</v>
      </c>
      <c r="S17" s="27">
        <v>13048</v>
      </c>
      <c r="T17" s="27">
        <v>13423</v>
      </c>
      <c r="U17" s="27">
        <v>12310</v>
      </c>
      <c r="V17" s="27">
        <v>10598</v>
      </c>
      <c r="W17" s="27">
        <v>11489</v>
      </c>
      <c r="X17" s="27">
        <v>13959</v>
      </c>
      <c r="Y17" s="27">
        <v>10556</v>
      </c>
      <c r="Z17" s="27">
        <v>13607</v>
      </c>
      <c r="AA17" s="27">
        <v>10599</v>
      </c>
      <c r="AB17" s="27">
        <v>10631</v>
      </c>
      <c r="AC17" s="27">
        <v>10584</v>
      </c>
      <c r="AD17" s="27">
        <v>13486</v>
      </c>
      <c r="AE17" s="27">
        <v>11308</v>
      </c>
      <c r="AF17" s="27">
        <v>10658</v>
      </c>
      <c r="AG17" s="27">
        <v>10094</v>
      </c>
      <c r="AH17" s="27">
        <v>12870</v>
      </c>
      <c r="AI17" s="27">
        <v>10136</v>
      </c>
      <c r="AJ17" s="27">
        <v>12372</v>
      </c>
      <c r="AK17" s="27">
        <v>13154</v>
      </c>
      <c r="AL17" s="27">
        <v>12825</v>
      </c>
      <c r="AM17" s="27">
        <v>13134</v>
      </c>
      <c r="AN17" s="27">
        <v>10577</v>
      </c>
      <c r="AO17" s="27">
        <v>12040</v>
      </c>
      <c r="AP17" s="27">
        <v>10630</v>
      </c>
      <c r="AQ17" s="27">
        <v>13313</v>
      </c>
      <c r="AR17" s="27">
        <v>12510</v>
      </c>
      <c r="AS17" s="27">
        <v>11080</v>
      </c>
      <c r="AT17" s="27">
        <v>11627</v>
      </c>
      <c r="AU17" s="27">
        <v>11402</v>
      </c>
      <c r="AV17" s="27">
        <v>10504</v>
      </c>
      <c r="AW17" s="27">
        <v>11751</v>
      </c>
      <c r="AX17" s="27">
        <v>10715</v>
      </c>
      <c r="AY17" s="27">
        <v>12319</v>
      </c>
      <c r="AZ17" s="27">
        <v>10141</v>
      </c>
      <c r="BA17" s="27">
        <v>12458</v>
      </c>
      <c r="BB17" s="27">
        <v>13335</v>
      </c>
      <c r="BC17" s="27">
        <v>11013</v>
      </c>
      <c r="BD17" s="27">
        <v>11334</v>
      </c>
      <c r="BE17" s="27">
        <v>12730</v>
      </c>
      <c r="BF17" s="27">
        <v>10877</v>
      </c>
      <c r="BG17" s="27">
        <v>10854</v>
      </c>
      <c r="BH17" s="27">
        <v>13089</v>
      </c>
      <c r="BI17" s="27">
        <v>10478</v>
      </c>
      <c r="BJ17" s="27">
        <v>13701</v>
      </c>
      <c r="BK17" s="27">
        <v>13992</v>
      </c>
      <c r="BL17" s="27">
        <v>12163</v>
      </c>
      <c r="BM17" s="27">
        <v>10517</v>
      </c>
      <c r="BN17" s="27">
        <v>13941</v>
      </c>
      <c r="BO17" s="27">
        <v>10754</v>
      </c>
      <c r="BP17" s="27">
        <v>12548</v>
      </c>
      <c r="BQ17" s="27">
        <v>12526</v>
      </c>
      <c r="BR17" s="27">
        <v>12793</v>
      </c>
      <c r="BS17" s="27">
        <v>13559</v>
      </c>
      <c r="BT17" s="27">
        <v>11515</v>
      </c>
      <c r="BU17" s="27">
        <v>11726</v>
      </c>
      <c r="BV17" s="27">
        <v>12539</v>
      </c>
      <c r="BW17" s="27">
        <v>13047</v>
      </c>
      <c r="BX17" s="27">
        <v>10743</v>
      </c>
      <c r="BY17" s="27">
        <v>10569</v>
      </c>
      <c r="BZ17" s="27">
        <v>12506</v>
      </c>
      <c r="CA17" s="27">
        <v>11796</v>
      </c>
      <c r="CB17" s="27">
        <v>11464</v>
      </c>
      <c r="CC17" s="27">
        <v>11500</v>
      </c>
      <c r="CD17" s="27">
        <v>10676</v>
      </c>
      <c r="CE17" s="27">
        <v>11633</v>
      </c>
      <c r="CF17" s="27">
        <v>11475</v>
      </c>
      <c r="CG17" s="27">
        <v>10016</v>
      </c>
      <c r="CH17" s="27">
        <v>12456</v>
      </c>
      <c r="CI17" s="27">
        <v>13413</v>
      </c>
      <c r="CJ17" s="27">
        <v>11857</v>
      </c>
    </row>
    <row r="18" spans="2:88">
      <c r="B18" s="6"/>
      <c r="D18" s="9"/>
    </row>
    <row r="19" spans="2:88">
      <c r="B19" s="6"/>
      <c r="C19" s="1" t="s">
        <v>63</v>
      </c>
      <c r="D19" s="9" t="s">
        <v>3</v>
      </c>
      <c r="G19" s="32">
        <v>0.1</v>
      </c>
    </row>
    <row r="20" spans="2:88">
      <c r="B20" s="6"/>
      <c r="D20" s="9"/>
    </row>
    <row r="21" spans="2:88">
      <c r="B21" s="6" t="s">
        <v>64</v>
      </c>
      <c r="D21" s="9"/>
    </row>
    <row r="22" spans="2:88">
      <c r="B22" s="6"/>
      <c r="C22" s="1" t="s">
        <v>65</v>
      </c>
      <c r="D22" s="9" t="s">
        <v>6</v>
      </c>
      <c r="G22" s="27">
        <v>1</v>
      </c>
    </row>
    <row r="23" spans="2:88">
      <c r="B23" s="6"/>
      <c r="C23" s="1" t="s">
        <v>66</v>
      </c>
      <c r="D23" s="9" t="s">
        <v>4</v>
      </c>
      <c r="F23" s="4"/>
      <c r="G23" s="33">
        <f>INDEX($G$26:$G$35,MATCH(G22,$F$26:$F$35,0))</f>
        <v>44173</v>
      </c>
    </row>
    <row r="24" spans="2:88">
      <c r="B24" s="6"/>
      <c r="D24" s="9"/>
      <c r="F24" s="4"/>
      <c r="G24" s="34"/>
    </row>
    <row r="25" spans="2:88">
      <c r="B25" s="6"/>
      <c r="D25" s="9"/>
      <c r="F25" s="4" t="s">
        <v>67</v>
      </c>
      <c r="G25" s="4" t="s">
        <v>68</v>
      </c>
    </row>
    <row r="26" spans="2:88">
      <c r="B26" s="6"/>
      <c r="D26" s="9"/>
      <c r="F26" s="24">
        <v>1</v>
      </c>
      <c r="G26" s="35">
        <v>44173</v>
      </c>
    </row>
    <row r="27" spans="2:88">
      <c r="B27" s="6"/>
      <c r="D27" s="9"/>
      <c r="F27" s="36">
        <f>F26+1</f>
        <v>2</v>
      </c>
      <c r="G27" s="35">
        <v>47326</v>
      </c>
    </row>
    <row r="28" spans="2:88">
      <c r="B28" s="6"/>
      <c r="D28" s="9"/>
      <c r="F28" s="36">
        <f t="shared" ref="F28:F35" si="2">F27+1</f>
        <v>3</v>
      </c>
      <c r="G28" s="35">
        <v>45306</v>
      </c>
    </row>
    <row r="29" spans="2:88">
      <c r="B29" s="6"/>
      <c r="D29" s="9"/>
      <c r="F29" s="36">
        <f t="shared" si="2"/>
        <v>4</v>
      </c>
      <c r="G29" s="35">
        <v>45556</v>
      </c>
    </row>
    <row r="30" spans="2:88">
      <c r="B30" s="6"/>
      <c r="D30" s="9"/>
      <c r="F30" s="36">
        <f t="shared" si="2"/>
        <v>5</v>
      </c>
      <c r="G30" s="35">
        <v>45128</v>
      </c>
    </row>
    <row r="31" spans="2:88">
      <c r="B31" s="6"/>
      <c r="D31" s="9"/>
      <c r="F31" s="36">
        <f t="shared" si="2"/>
        <v>6</v>
      </c>
      <c r="G31" s="35">
        <v>44941</v>
      </c>
    </row>
    <row r="32" spans="2:88">
      <c r="B32" s="6"/>
      <c r="D32" s="9"/>
      <c r="F32" s="36">
        <f t="shared" si="2"/>
        <v>7</v>
      </c>
      <c r="G32" s="35">
        <v>44241</v>
      </c>
    </row>
    <row r="33" spans="2:88">
      <c r="B33" s="6"/>
      <c r="D33" s="9"/>
      <c r="F33" s="36">
        <f t="shared" si="2"/>
        <v>8</v>
      </c>
      <c r="G33" s="35">
        <v>44427</v>
      </c>
    </row>
    <row r="34" spans="2:88">
      <c r="B34" s="6"/>
      <c r="D34" s="9"/>
      <c r="F34" s="36">
        <f t="shared" si="2"/>
        <v>9</v>
      </c>
      <c r="G34" s="35">
        <v>44724</v>
      </c>
    </row>
    <row r="35" spans="2:88">
      <c r="B35" s="6"/>
      <c r="D35" s="9"/>
      <c r="F35" s="36">
        <f t="shared" si="2"/>
        <v>10</v>
      </c>
      <c r="G35" s="35">
        <v>45965</v>
      </c>
    </row>
    <row r="36" spans="2:88">
      <c r="B36" s="6"/>
      <c r="D36" s="9"/>
    </row>
    <row r="37" spans="2:88">
      <c r="B37" s="6"/>
      <c r="D37" s="9"/>
    </row>
    <row r="38" spans="2:88">
      <c r="B38" s="6" t="s">
        <v>14</v>
      </c>
      <c r="D38" s="9"/>
    </row>
    <row r="39" spans="2:88">
      <c r="B39" s="6"/>
      <c r="C39" s="2" t="s">
        <v>75</v>
      </c>
      <c r="D39" s="9"/>
    </row>
    <row r="40" spans="2:88" s="64" customFormat="1">
      <c r="B40" s="62"/>
      <c r="D40" s="63"/>
    </row>
    <row r="41" spans="2:88" s="64" customFormat="1">
      <c r="B41" s="62"/>
      <c r="D41" s="63"/>
    </row>
    <row r="42" spans="2:88">
      <c r="C42" s="64" t="s">
        <v>97</v>
      </c>
      <c r="I42" s="67" cm="1">
        <f t="array" ref="I42:CH42" xml:space="preserve"> _xlfn.LET(
      _xlpm.start_date,    $G$23,
      _xlpm.timeline,      $I$16:$CJ$16,
      _xlpm.discount_date, $G$23,
      _xlpm.periods,       IF( _xlpm.timeline &gt;= _xlpm.discount_date, _xlpm.timeline, "" ),
      _xlfn.HSTACK( _xlpm.start_date, _xlfn._xlws.FILTER( _xlpm.periods, _xlpm.periods &lt;&gt;"" ) ) )</f>
        <v>44173</v>
      </c>
      <c r="J42" s="67">
        <v>44196</v>
      </c>
      <c r="K42" s="67">
        <v>44286</v>
      </c>
      <c r="L42" s="67">
        <v>44377</v>
      </c>
      <c r="M42" s="67">
        <v>44469</v>
      </c>
      <c r="N42" s="67">
        <v>44561</v>
      </c>
      <c r="O42" s="67">
        <v>44651</v>
      </c>
      <c r="P42" s="67">
        <v>44742</v>
      </c>
      <c r="Q42" s="67">
        <v>44834</v>
      </c>
      <c r="R42" s="67">
        <v>44926</v>
      </c>
      <c r="S42" s="67">
        <v>45016</v>
      </c>
      <c r="T42" s="67">
        <v>45107</v>
      </c>
      <c r="U42" s="67">
        <v>45199</v>
      </c>
      <c r="V42" s="67">
        <v>45291</v>
      </c>
      <c r="W42" s="67">
        <v>45382</v>
      </c>
      <c r="X42" s="67">
        <v>45473</v>
      </c>
      <c r="Y42" s="67">
        <v>45565</v>
      </c>
      <c r="Z42" s="67">
        <v>45657</v>
      </c>
      <c r="AA42" s="67">
        <v>45747</v>
      </c>
      <c r="AB42" s="67">
        <v>45838</v>
      </c>
      <c r="AC42" s="67">
        <v>45930</v>
      </c>
      <c r="AD42" s="67">
        <v>46022</v>
      </c>
      <c r="AE42" s="67">
        <v>46112</v>
      </c>
      <c r="AF42" s="67">
        <v>46203</v>
      </c>
      <c r="AG42" s="67">
        <v>46295</v>
      </c>
      <c r="AH42" s="67">
        <v>46387</v>
      </c>
      <c r="AI42" s="67">
        <v>46477</v>
      </c>
      <c r="AJ42" s="67">
        <v>46568</v>
      </c>
      <c r="AK42" s="67">
        <v>46660</v>
      </c>
      <c r="AL42" s="67">
        <v>46752</v>
      </c>
      <c r="AM42" s="67">
        <v>46843</v>
      </c>
      <c r="AN42" s="67">
        <v>46934</v>
      </c>
      <c r="AO42" s="67">
        <v>47026</v>
      </c>
      <c r="AP42" s="67">
        <v>47118</v>
      </c>
      <c r="AQ42" s="67">
        <v>47208</v>
      </c>
      <c r="AR42" s="67">
        <v>47299</v>
      </c>
      <c r="AS42" s="67">
        <v>47391</v>
      </c>
      <c r="AT42" s="67">
        <v>47483</v>
      </c>
      <c r="AU42" s="67">
        <v>47573</v>
      </c>
      <c r="AV42" s="67">
        <v>47664</v>
      </c>
      <c r="AW42" s="67">
        <v>47756</v>
      </c>
      <c r="AX42" s="67">
        <v>47848</v>
      </c>
      <c r="AY42" s="67">
        <v>47938</v>
      </c>
      <c r="AZ42" s="67">
        <v>48029</v>
      </c>
      <c r="BA42" s="67">
        <v>48121</v>
      </c>
      <c r="BB42" s="67">
        <v>48213</v>
      </c>
      <c r="BC42" s="67">
        <v>48304</v>
      </c>
      <c r="BD42" s="67">
        <v>48395</v>
      </c>
      <c r="BE42" s="67">
        <v>48487</v>
      </c>
      <c r="BF42" s="67">
        <v>48579</v>
      </c>
      <c r="BG42" s="67">
        <v>48669</v>
      </c>
      <c r="BH42" s="67">
        <v>48760</v>
      </c>
      <c r="BI42" s="67">
        <v>48852</v>
      </c>
      <c r="BJ42" s="67">
        <v>48944</v>
      </c>
      <c r="BK42" s="67">
        <v>49034</v>
      </c>
      <c r="BL42" s="67">
        <v>49125</v>
      </c>
      <c r="BM42" s="67">
        <v>49217</v>
      </c>
      <c r="BN42" s="67">
        <v>49309</v>
      </c>
      <c r="BO42" s="67">
        <v>49399</v>
      </c>
      <c r="BP42" s="67">
        <v>49490</v>
      </c>
      <c r="BQ42" s="67">
        <v>49582</v>
      </c>
      <c r="BR42" s="67">
        <v>49674</v>
      </c>
      <c r="BS42" s="67">
        <v>49765</v>
      </c>
      <c r="BT42" s="67">
        <v>49856</v>
      </c>
      <c r="BU42" s="67">
        <v>49948</v>
      </c>
      <c r="BV42" s="67">
        <v>50040</v>
      </c>
      <c r="BW42" s="67">
        <v>50130</v>
      </c>
      <c r="BX42" s="67">
        <v>50221</v>
      </c>
      <c r="BY42" s="67">
        <v>50313</v>
      </c>
      <c r="BZ42" s="67">
        <v>50405</v>
      </c>
      <c r="CA42" s="67">
        <v>50495</v>
      </c>
      <c r="CB42" s="67">
        <v>50586</v>
      </c>
      <c r="CC42" s="67">
        <v>50678</v>
      </c>
      <c r="CD42" s="67">
        <v>50770</v>
      </c>
      <c r="CE42" s="67">
        <v>50860</v>
      </c>
      <c r="CF42" s="67">
        <v>50951</v>
      </c>
      <c r="CG42" s="67">
        <v>51043</v>
      </c>
      <c r="CH42" s="1">
        <v>51135</v>
      </c>
    </row>
    <row r="43" spans="2:88" s="64" customFormat="1">
      <c r="B43" s="62"/>
      <c r="C43" s="64" t="s">
        <v>62</v>
      </c>
      <c r="D43" s="63"/>
      <c r="G43" s="64" cm="1">
        <f t="array" ref="G43" xml:space="preserve"> _xlfn.BYROW(_xlfn.ANCHORARRAY( I43), _xleta.SUM )</f>
        <v>917052</v>
      </c>
      <c r="I43" s="68" cm="1">
        <f t="array" ref="I43:CH43" xml:space="preserve"> _xlfn.IFNA( _xlfn.XLOOKUP(_xlfn.ANCHORARRAY( $I$42), $I$16:$CJ$16, $I$17:$CJ$17,, 0 ), 0 )</f>
        <v>0</v>
      </c>
      <c r="J43" s="68">
        <v>13154</v>
      </c>
      <c r="K43" s="68">
        <v>10601</v>
      </c>
      <c r="L43" s="68">
        <v>13236</v>
      </c>
      <c r="M43" s="68">
        <v>11528</v>
      </c>
      <c r="N43" s="68">
        <v>13305</v>
      </c>
      <c r="O43" s="68">
        <v>12137</v>
      </c>
      <c r="P43" s="68">
        <v>12048</v>
      </c>
      <c r="Q43" s="68">
        <v>13048</v>
      </c>
      <c r="R43" s="68">
        <v>13423</v>
      </c>
      <c r="S43" s="68">
        <v>12310</v>
      </c>
      <c r="T43" s="68">
        <v>10598</v>
      </c>
      <c r="U43" s="68">
        <v>11489</v>
      </c>
      <c r="V43" s="68">
        <v>13959</v>
      </c>
      <c r="W43" s="68">
        <v>10556</v>
      </c>
      <c r="X43" s="68">
        <v>13607</v>
      </c>
      <c r="Y43" s="68">
        <v>10599</v>
      </c>
      <c r="Z43" s="68">
        <v>10631</v>
      </c>
      <c r="AA43" s="68">
        <v>10584</v>
      </c>
      <c r="AB43" s="68">
        <v>13486</v>
      </c>
      <c r="AC43" s="68">
        <v>11308</v>
      </c>
      <c r="AD43" s="68">
        <v>10658</v>
      </c>
      <c r="AE43" s="68">
        <v>10094</v>
      </c>
      <c r="AF43" s="68">
        <v>12870</v>
      </c>
      <c r="AG43" s="68">
        <v>10136</v>
      </c>
      <c r="AH43" s="68">
        <v>12372</v>
      </c>
      <c r="AI43" s="68">
        <v>13154</v>
      </c>
      <c r="AJ43" s="68">
        <v>12825</v>
      </c>
      <c r="AK43" s="68">
        <v>13134</v>
      </c>
      <c r="AL43" s="68">
        <v>10577</v>
      </c>
      <c r="AM43" s="68">
        <v>12040</v>
      </c>
      <c r="AN43" s="68">
        <v>10630</v>
      </c>
      <c r="AO43" s="68">
        <v>13313</v>
      </c>
      <c r="AP43" s="68">
        <v>12510</v>
      </c>
      <c r="AQ43" s="68">
        <v>11080</v>
      </c>
      <c r="AR43" s="68">
        <v>11627</v>
      </c>
      <c r="AS43" s="68">
        <v>11402</v>
      </c>
      <c r="AT43" s="68">
        <v>10504</v>
      </c>
      <c r="AU43" s="68">
        <v>11751</v>
      </c>
      <c r="AV43" s="68">
        <v>10715</v>
      </c>
      <c r="AW43" s="68">
        <v>12319</v>
      </c>
      <c r="AX43" s="68">
        <v>10141</v>
      </c>
      <c r="AY43" s="68">
        <v>12458</v>
      </c>
      <c r="AZ43" s="68">
        <v>13335</v>
      </c>
      <c r="BA43" s="68">
        <v>11013</v>
      </c>
      <c r="BB43" s="68">
        <v>11334</v>
      </c>
      <c r="BC43" s="68">
        <v>12730</v>
      </c>
      <c r="BD43" s="68">
        <v>10877</v>
      </c>
      <c r="BE43" s="68">
        <v>10854</v>
      </c>
      <c r="BF43" s="68">
        <v>13089</v>
      </c>
      <c r="BG43" s="68">
        <v>10478</v>
      </c>
      <c r="BH43" s="68">
        <v>13701</v>
      </c>
      <c r="BI43" s="68">
        <v>13992</v>
      </c>
      <c r="BJ43" s="68">
        <v>12163</v>
      </c>
      <c r="BK43" s="68">
        <v>10517</v>
      </c>
      <c r="BL43" s="68">
        <v>13941</v>
      </c>
      <c r="BM43" s="68">
        <v>10754</v>
      </c>
      <c r="BN43" s="68">
        <v>12548</v>
      </c>
      <c r="BO43" s="68">
        <v>12526</v>
      </c>
      <c r="BP43" s="68">
        <v>12793</v>
      </c>
      <c r="BQ43" s="68">
        <v>13559</v>
      </c>
      <c r="BR43" s="68">
        <v>11515</v>
      </c>
      <c r="BS43" s="68">
        <v>11726</v>
      </c>
      <c r="BT43" s="68">
        <v>12539</v>
      </c>
      <c r="BU43" s="68">
        <v>13047</v>
      </c>
      <c r="BV43" s="68">
        <v>10743</v>
      </c>
      <c r="BW43" s="68">
        <v>10569</v>
      </c>
      <c r="BX43" s="68">
        <v>12506</v>
      </c>
      <c r="BY43" s="68">
        <v>11796</v>
      </c>
      <c r="BZ43" s="68">
        <v>11464</v>
      </c>
      <c r="CA43" s="68">
        <v>11500</v>
      </c>
      <c r="CB43" s="68">
        <v>10676</v>
      </c>
      <c r="CC43" s="68">
        <v>11633</v>
      </c>
      <c r="CD43" s="68">
        <v>11475</v>
      </c>
      <c r="CE43" s="68">
        <v>10016</v>
      </c>
      <c r="CF43" s="68">
        <v>12456</v>
      </c>
      <c r="CG43" s="68">
        <v>13413</v>
      </c>
      <c r="CH43" s="66">
        <v>11857</v>
      </c>
      <c r="CI43" s="66"/>
      <c r="CJ43" s="66"/>
    </row>
    <row r="44" spans="2:88" s="64" customFormat="1">
      <c r="B44" s="62"/>
      <c r="C44" s="64" t="s">
        <v>89</v>
      </c>
      <c r="D44" s="63"/>
      <c r="G44" s="68">
        <f>XNPV( $G$19,_xlfn.ANCHORARRAY( $I$43),_xlfn.ANCHORARRAY( $I$42) )</f>
        <v>423949.71898109413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</row>
    <row r="45" spans="2:88" s="64" customFormat="1">
      <c r="B45" s="62"/>
      <c r="D45" s="63"/>
    </row>
    <row r="46" spans="2:88" s="64" customFormat="1">
      <c r="B46" s="62"/>
      <c r="D46" s="63"/>
      <c r="G46" s="64">
        <f xml:space="preserve"> $G$44</f>
        <v>423949.71898109413</v>
      </c>
    </row>
    <row r="47" spans="2:88" s="64" customFormat="1">
      <c r="B47" s="62"/>
      <c r="D47" s="63"/>
      <c r="E47" s="69">
        <v>1</v>
      </c>
      <c r="F47" s="65">
        <f t="shared" ref="F47:F56" si="3">G26</f>
        <v>44173</v>
      </c>
      <c r="G47" s="64">
        <f t="dataTable" ref="G47:G56" dt2D="0" dtr="0" r1="G23"/>
        <v>423949.71898109413</v>
      </c>
    </row>
    <row r="48" spans="2:88" s="64" customFormat="1">
      <c r="B48" s="62"/>
      <c r="D48" s="63"/>
      <c r="E48" s="36">
        <v>2</v>
      </c>
      <c r="F48" s="65">
        <f t="shared" si="3"/>
        <v>47326</v>
      </c>
      <c r="G48" s="64">
        <v>312570.16893781634</v>
      </c>
    </row>
    <row r="49" spans="2:88" s="64" customFormat="1">
      <c r="B49" s="62"/>
      <c r="D49" s="63"/>
      <c r="E49" s="36">
        <v>3</v>
      </c>
      <c r="F49" s="65">
        <f t="shared" si="3"/>
        <v>45306</v>
      </c>
      <c r="G49" s="64">
        <v>382901.67493148864</v>
      </c>
    </row>
    <row r="50" spans="2:88" s="64" customFormat="1">
      <c r="B50" s="62"/>
      <c r="D50" s="63"/>
      <c r="E50" s="36">
        <v>4</v>
      </c>
      <c r="F50" s="65">
        <f t="shared" si="3"/>
        <v>45556</v>
      </c>
      <c r="G50" s="64">
        <v>383779.98535737785</v>
      </c>
    </row>
    <row r="51" spans="2:88" s="64" customFormat="1">
      <c r="B51" s="62"/>
      <c r="D51" s="63"/>
      <c r="E51" s="36">
        <v>5</v>
      </c>
      <c r="F51" s="65">
        <f t="shared" si="3"/>
        <v>45128</v>
      </c>
      <c r="G51" s="64">
        <v>390166.95331006777</v>
      </c>
    </row>
    <row r="52" spans="2:88" s="64" customFormat="1">
      <c r="B52" s="62"/>
      <c r="D52" s="63"/>
      <c r="E52" s="36">
        <v>6</v>
      </c>
      <c r="F52" s="65">
        <f t="shared" si="3"/>
        <v>44941</v>
      </c>
      <c r="G52" s="64">
        <v>393792.40802555921</v>
      </c>
    </row>
    <row r="53" spans="2:88" s="64" customFormat="1">
      <c r="B53" s="62"/>
      <c r="D53" s="63"/>
      <c r="E53" s="36">
        <v>7</v>
      </c>
      <c r="F53" s="65">
        <f t="shared" si="3"/>
        <v>44241</v>
      </c>
      <c r="G53" s="64">
        <v>418235.29927610239</v>
      </c>
    </row>
    <row r="54" spans="2:88" s="64" customFormat="1">
      <c r="B54" s="62"/>
      <c r="D54" s="63"/>
      <c r="E54" s="36">
        <v>8</v>
      </c>
      <c r="F54" s="65">
        <f t="shared" si="3"/>
        <v>44427</v>
      </c>
      <c r="G54" s="64">
        <v>414641.42999292223</v>
      </c>
    </row>
    <row r="55" spans="2:88" s="64" customFormat="1">
      <c r="B55" s="62"/>
      <c r="D55" s="63"/>
      <c r="E55" s="36">
        <v>9</v>
      </c>
      <c r="F55" s="65">
        <f t="shared" si="3"/>
        <v>44724</v>
      </c>
      <c r="G55" s="64">
        <v>409502.40561734274</v>
      </c>
    </row>
    <row r="56" spans="2:88" s="64" customFormat="1">
      <c r="B56" s="62"/>
      <c r="D56" s="63"/>
      <c r="E56" s="36">
        <v>10</v>
      </c>
      <c r="F56" s="65">
        <f t="shared" si="3"/>
        <v>45965</v>
      </c>
      <c r="G56" s="64">
        <v>367192.51545012533</v>
      </c>
    </row>
    <row r="57" spans="2:88" s="64" customFormat="1">
      <c r="B57" s="62"/>
      <c r="D57" s="63"/>
    </row>
    <row r="58" spans="2:88" s="64" customFormat="1">
      <c r="B58" s="62"/>
      <c r="D58" s="63"/>
    </row>
    <row r="59" spans="2:88" s="64" customFormat="1">
      <c r="B59" s="62"/>
      <c r="D59" s="63"/>
    </row>
    <row r="60" spans="2:88" s="64" customFormat="1">
      <c r="B60" s="62"/>
      <c r="D60" s="63"/>
    </row>
    <row r="61" spans="2:88" s="64" customFormat="1">
      <c r="B61" s="62"/>
      <c r="C61" s="70" t="s">
        <v>100</v>
      </c>
      <c r="D61" s="63"/>
    </row>
    <row r="62" spans="2:88" s="64" customFormat="1">
      <c r="B62" s="62"/>
      <c r="D62" s="63"/>
    </row>
    <row r="63" spans="2:88">
      <c r="C63" s="56" t="s">
        <v>96</v>
      </c>
      <c r="D63" s="60"/>
      <c r="E63" s="56"/>
      <c r="F63" s="56"/>
      <c r="G63" s="56"/>
      <c r="H63" s="56"/>
      <c r="I63" s="61" cm="1">
        <f t="array" ref="I63:L63" xml:space="preserve"> _xlfn.LET(
      _xlpm.period_end,   _xlfn._xlws.FILTER(_xlfn.ANCHORARRAY( I64),_xlfn.ANCHORARRAY( I64) &lt;&gt; "" ),
      EOMONTH( _xlpm.period_end, - 3 ) + 1 )</f>
        <v>43831</v>
      </c>
      <c r="J63" s="61">
        <v>43922</v>
      </c>
      <c r="K63" s="61">
        <v>44013</v>
      </c>
      <c r="L63" s="61">
        <v>44105</v>
      </c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</row>
    <row r="64" spans="2:88">
      <c r="C64" s="56" t="s">
        <v>97</v>
      </c>
      <c r="D64" s="60"/>
      <c r="E64" s="56"/>
      <c r="F64" s="56"/>
      <c r="G64" s="56"/>
      <c r="H64" s="56"/>
      <c r="I64" s="61" cm="1">
        <f t="array" ref="I64:L64" xml:space="preserve"> _xlfn.LET(
      _xlpm.timeline,      $I$16:$CJ$16,
      _xlpm.discount_date, $G$23,
      _xlpm.periods,       IF( _xlpm.timeline &lt;= _xlpm.discount_date, _xlpm.timeline, IF( _xlpm.timeline &lt;= _xlfn.XLOOKUP( _xlpm.discount_date, _xlpm.timeline, _xlpm.timeline,, 1), _xlpm.discount_date, "" ) ),
      _xlfn._xlws.FILTER( _xlpm.periods, _xlpm.periods &lt;&gt;"" ) )</f>
        <v>43921</v>
      </c>
      <c r="J64" s="61">
        <v>44012</v>
      </c>
      <c r="K64" s="61">
        <v>44104</v>
      </c>
      <c r="L64" s="61">
        <v>44173</v>
      </c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</row>
    <row r="65" spans="1:88">
      <c r="C65" s="56" t="s">
        <v>98</v>
      </c>
      <c r="D65" s="56"/>
      <c r="E65" s="56"/>
      <c r="F65" s="56"/>
      <c r="G65" s="56"/>
      <c r="H65" s="56"/>
      <c r="I65" s="56" cm="1">
        <f t="array" ref="I65:L65" xml:space="preserve"> _xlfn.LET(
      _xlpm.period_beg,_xlfn.ANCHORARRAY( I63),
      _xlpm.period_end,_xlfn.ANCHORARRAY( I64),
      _xlpm.period_end - _xlpm.period_beg + 1 )</f>
        <v>91</v>
      </c>
      <c r="J65" s="56">
        <v>91</v>
      </c>
      <c r="K65" s="56">
        <v>92</v>
      </c>
      <c r="L65" s="56">
        <v>69</v>
      </c>
    </row>
    <row r="66" spans="1:88">
      <c r="C66" s="56" t="s">
        <v>99</v>
      </c>
      <c r="D66" s="60"/>
      <c r="E66" s="56"/>
      <c r="F66" s="56"/>
      <c r="G66" s="56"/>
      <c r="H66" s="56"/>
      <c r="I66" s="56" cm="1">
        <f t="array" ref="I66:CJ66" xml:space="preserve"> _xlfn.LET(
      _xlpm.rate,    $G$19,
      _xlpm.cash,    $I$17:$CJ$17,
      _xlpm.days,_xlfn.ANCHORARRAY(    I65),
      _xlfn.IFNA( _xlpm.cash * ( 1 + _xlpm.rate ) ^ (_xlpm.days / 365 ), "" ) )</f>
        <v>13913.724362866464</v>
      </c>
      <c r="J66" s="56">
        <v>13760.1173374429</v>
      </c>
      <c r="K66" s="56">
        <v>14046.421640100043</v>
      </c>
      <c r="L66" s="56">
        <v>13393.150716481037</v>
      </c>
      <c r="M66" s="1" t="str">
        <v/>
      </c>
      <c r="N66" s="1" t="str">
        <v/>
      </c>
      <c r="O66" s="1" t="str">
        <v/>
      </c>
      <c r="P66" s="1" t="str">
        <v/>
      </c>
      <c r="Q66" s="1" t="str">
        <v/>
      </c>
      <c r="R66" s="1" t="str">
        <v/>
      </c>
      <c r="S66" s="1" t="str">
        <v/>
      </c>
      <c r="T66" s="1" t="str">
        <v/>
      </c>
      <c r="U66" s="1" t="str">
        <v/>
      </c>
      <c r="V66" s="1" t="str">
        <v/>
      </c>
      <c r="W66" s="1" t="str">
        <v/>
      </c>
      <c r="X66" s="1" t="str">
        <v/>
      </c>
      <c r="Y66" s="1" t="str">
        <v/>
      </c>
      <c r="Z66" s="1" t="str">
        <v/>
      </c>
      <c r="AA66" s="1" t="str">
        <v/>
      </c>
      <c r="AB66" s="1" t="str">
        <v/>
      </c>
      <c r="AC66" s="1" t="str">
        <v/>
      </c>
      <c r="AD66" s="1" t="str">
        <v/>
      </c>
      <c r="AE66" s="1" t="str">
        <v/>
      </c>
      <c r="AF66" s="1" t="str">
        <v/>
      </c>
      <c r="AG66" s="1" t="str">
        <v/>
      </c>
      <c r="AH66" s="1" t="str">
        <v/>
      </c>
      <c r="AI66" s="1" t="str">
        <v/>
      </c>
      <c r="AJ66" s="1" t="str">
        <v/>
      </c>
      <c r="AK66" s="1" t="str">
        <v/>
      </c>
      <c r="AL66" s="1" t="str">
        <v/>
      </c>
      <c r="AM66" s="1" t="str">
        <v/>
      </c>
      <c r="AN66" s="1" t="str">
        <v/>
      </c>
      <c r="AO66" s="1" t="str">
        <v/>
      </c>
      <c r="AP66" s="1" t="str">
        <v/>
      </c>
      <c r="AQ66" s="1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s="1" t="str">
        <v/>
      </c>
      <c r="AW66" s="1" t="str">
        <v/>
      </c>
      <c r="AX66" s="1" t="str">
        <v/>
      </c>
      <c r="AY66" s="1" t="str">
        <v/>
      </c>
      <c r="AZ66" s="1" t="str">
        <v/>
      </c>
      <c r="BA66" s="1" t="str">
        <v/>
      </c>
      <c r="BB66" s="1" t="str">
        <v/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s="1" t="str">
        <v/>
      </c>
      <c r="BM66" s="1" t="str">
        <v/>
      </c>
      <c r="BN66" s="1" t="str">
        <v/>
      </c>
      <c r="BO66" s="1" t="str">
        <v/>
      </c>
      <c r="BP66" s="1" t="str">
        <v/>
      </c>
      <c r="BQ66" s="1" t="str">
        <v/>
      </c>
      <c r="BR66" s="1" t="str">
        <v/>
      </c>
      <c r="BS66" s="1" t="str">
        <v/>
      </c>
      <c r="BT66" s="1" t="str">
        <v/>
      </c>
      <c r="BU66" s="1" t="str">
        <v/>
      </c>
      <c r="BV66" s="1" t="str">
        <v/>
      </c>
      <c r="BW66" s="1" t="str">
        <v/>
      </c>
      <c r="BX66" s="1" t="str">
        <v/>
      </c>
      <c r="BY66" s="1" t="str">
        <v/>
      </c>
      <c r="BZ66" s="1" t="str">
        <v/>
      </c>
      <c r="CA66" s="1" t="str">
        <v/>
      </c>
      <c r="CB66" s="1" t="str">
        <v/>
      </c>
      <c r="CC66" s="1" t="str">
        <v/>
      </c>
      <c r="CD66" s="1" t="str">
        <v/>
      </c>
      <c r="CE66" s="1" t="str">
        <v/>
      </c>
      <c r="CF66" s="1" t="str">
        <v/>
      </c>
      <c r="CG66" s="1" t="str">
        <v/>
      </c>
      <c r="CH66" s="1" t="str">
        <v/>
      </c>
      <c r="CI66" s="1" t="str">
        <v/>
      </c>
      <c r="CJ66" s="1" t="str">
        <v/>
      </c>
    </row>
    <row r="67" spans="1:88">
      <c r="D67" s="9"/>
    </row>
    <row r="68" spans="1:88">
      <c r="D68" s="9"/>
    </row>
    <row r="69" spans="1:88">
      <c r="D69" s="9"/>
    </row>
    <row r="70" spans="1:88">
      <c r="D70" s="9"/>
    </row>
    <row r="71" spans="1:88">
      <c r="D71" s="9"/>
    </row>
    <row r="72" spans="1:88">
      <c r="D72" s="9"/>
    </row>
    <row r="73" spans="1:88">
      <c r="A73" s="7" t="s">
        <v>5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</row>
  </sheetData>
  <dataValidations count="1">
    <dataValidation type="list" allowBlank="1" showInputMessage="1" showErrorMessage="1" sqref="G22" xr:uid="{00000000-0002-0000-0D00-000000000000}">
      <formula1>$F$26:$F$35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  <pageSetUpPr autoPageBreaks="0"/>
  </sheetPr>
  <dimension ref="A1:CL64"/>
  <sheetViews>
    <sheetView showGridLines="0" zoomScale="90" zoomScaleNormal="90" workbookViewId="0">
      <pane xSplit="8" ySplit="1" topLeftCell="I23" activePane="bottomRight" state="frozen"/>
      <selection activeCell="G59" sqref="G59"/>
      <selection pane="topRight" activeCell="G59" sqref="G59"/>
      <selection pane="bottomLeft" activeCell="G59" sqref="G59"/>
      <selection pane="bottomRight" activeCell="I59" sqref="I59"/>
    </sheetView>
  </sheetViews>
  <sheetFormatPr defaultColWidth="0" defaultRowHeight="13.2"/>
  <cols>
    <col min="1" max="2" width="2.5546875" style="1" customWidth="1"/>
    <col min="3" max="3" width="48.6640625" style="1" customWidth="1"/>
    <col min="4" max="7" width="12.6640625" style="1" customWidth="1"/>
    <col min="8" max="8" width="3.6640625" style="1" customWidth="1"/>
    <col min="9" max="89" width="12.6640625" style="1" customWidth="1"/>
    <col min="90" max="90" width="0" style="1" hidden="1" customWidth="1"/>
    <col min="91" max="16384" width="12.6640625" style="1" hidden="1"/>
  </cols>
  <sheetData>
    <row r="1" spans="1:88">
      <c r="A1" s="7" t="s">
        <v>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</row>
    <row r="2" spans="1:88">
      <c r="D2" s="9"/>
    </row>
    <row r="3" spans="1:88">
      <c r="B3" s="6" t="s">
        <v>9</v>
      </c>
      <c r="D3" s="9"/>
    </row>
    <row r="4" spans="1:88">
      <c r="C4" s="1" t="s">
        <v>54</v>
      </c>
      <c r="D4" s="9"/>
    </row>
    <row r="5" spans="1:88">
      <c r="C5" s="1" t="s">
        <v>55</v>
      </c>
      <c r="D5" s="9"/>
    </row>
    <row r="6" spans="1:88">
      <c r="C6" s="1" t="s">
        <v>56</v>
      </c>
      <c r="D6" s="9"/>
    </row>
    <row r="7" spans="1:88">
      <c r="D7" s="9"/>
    </row>
    <row r="8" spans="1:88">
      <c r="C8" s="1" t="s">
        <v>76</v>
      </c>
      <c r="D8" s="9"/>
    </row>
    <row r="9" spans="1:88">
      <c r="C9" s="1" t="s">
        <v>57</v>
      </c>
      <c r="D9" s="9"/>
    </row>
    <row r="10" spans="1:88">
      <c r="D10" s="9"/>
    </row>
    <row r="11" spans="1:88">
      <c r="C11" s="1" t="s">
        <v>58</v>
      </c>
      <c r="D11" s="9"/>
    </row>
    <row r="12" spans="1:88">
      <c r="C12" s="1" t="s">
        <v>59</v>
      </c>
      <c r="D12" s="9"/>
    </row>
    <row r="13" spans="1:88">
      <c r="B13" s="6"/>
      <c r="D13" s="9"/>
    </row>
    <row r="14" spans="1:88">
      <c r="B14" s="6"/>
      <c r="D14" s="9"/>
    </row>
    <row r="15" spans="1:88">
      <c r="B15" s="6" t="s">
        <v>60</v>
      </c>
      <c r="D15" s="9"/>
    </row>
    <row r="16" spans="1:88">
      <c r="B16" s="6"/>
      <c r="C16" s="1" t="s">
        <v>61</v>
      </c>
      <c r="D16" s="9" t="s">
        <v>4</v>
      </c>
      <c r="I16" s="14">
        <v>43921</v>
      </c>
      <c r="J16" s="15">
        <f t="shared" ref="J16:BU16" si="0">EOMONTH(I16,3)</f>
        <v>44012</v>
      </c>
      <c r="K16" s="15">
        <f t="shared" si="0"/>
        <v>44104</v>
      </c>
      <c r="L16" s="15">
        <f t="shared" si="0"/>
        <v>44196</v>
      </c>
      <c r="M16" s="15">
        <f t="shared" si="0"/>
        <v>44286</v>
      </c>
      <c r="N16" s="15">
        <f t="shared" si="0"/>
        <v>44377</v>
      </c>
      <c r="O16" s="15">
        <f t="shared" si="0"/>
        <v>44469</v>
      </c>
      <c r="P16" s="15">
        <f t="shared" si="0"/>
        <v>44561</v>
      </c>
      <c r="Q16" s="15">
        <f t="shared" si="0"/>
        <v>44651</v>
      </c>
      <c r="R16" s="15">
        <f t="shared" si="0"/>
        <v>44742</v>
      </c>
      <c r="S16" s="15">
        <f t="shared" si="0"/>
        <v>44834</v>
      </c>
      <c r="T16" s="15">
        <f t="shared" si="0"/>
        <v>44926</v>
      </c>
      <c r="U16" s="15">
        <f t="shared" si="0"/>
        <v>45016</v>
      </c>
      <c r="V16" s="15">
        <f t="shared" si="0"/>
        <v>45107</v>
      </c>
      <c r="W16" s="15">
        <f t="shared" si="0"/>
        <v>45199</v>
      </c>
      <c r="X16" s="15">
        <f t="shared" si="0"/>
        <v>45291</v>
      </c>
      <c r="Y16" s="15">
        <f t="shared" si="0"/>
        <v>45382</v>
      </c>
      <c r="Z16" s="15">
        <f t="shared" si="0"/>
        <v>45473</v>
      </c>
      <c r="AA16" s="15">
        <f t="shared" si="0"/>
        <v>45565</v>
      </c>
      <c r="AB16" s="15">
        <f t="shared" si="0"/>
        <v>45657</v>
      </c>
      <c r="AC16" s="15">
        <f t="shared" si="0"/>
        <v>45747</v>
      </c>
      <c r="AD16" s="15">
        <f t="shared" si="0"/>
        <v>45838</v>
      </c>
      <c r="AE16" s="15">
        <f t="shared" si="0"/>
        <v>45930</v>
      </c>
      <c r="AF16" s="15">
        <f t="shared" si="0"/>
        <v>46022</v>
      </c>
      <c r="AG16" s="15">
        <f t="shared" si="0"/>
        <v>46112</v>
      </c>
      <c r="AH16" s="15">
        <f t="shared" si="0"/>
        <v>46203</v>
      </c>
      <c r="AI16" s="15">
        <f t="shared" si="0"/>
        <v>46295</v>
      </c>
      <c r="AJ16" s="15">
        <f t="shared" si="0"/>
        <v>46387</v>
      </c>
      <c r="AK16" s="15">
        <f t="shared" si="0"/>
        <v>46477</v>
      </c>
      <c r="AL16" s="15">
        <f t="shared" si="0"/>
        <v>46568</v>
      </c>
      <c r="AM16" s="15">
        <f t="shared" si="0"/>
        <v>46660</v>
      </c>
      <c r="AN16" s="15">
        <f t="shared" si="0"/>
        <v>46752</v>
      </c>
      <c r="AO16" s="15">
        <f t="shared" si="0"/>
        <v>46843</v>
      </c>
      <c r="AP16" s="15">
        <f t="shared" si="0"/>
        <v>46934</v>
      </c>
      <c r="AQ16" s="15">
        <f t="shared" si="0"/>
        <v>47026</v>
      </c>
      <c r="AR16" s="15">
        <f t="shared" si="0"/>
        <v>47118</v>
      </c>
      <c r="AS16" s="15">
        <f t="shared" si="0"/>
        <v>47208</v>
      </c>
      <c r="AT16" s="15">
        <f t="shared" si="0"/>
        <v>47299</v>
      </c>
      <c r="AU16" s="15">
        <f t="shared" si="0"/>
        <v>47391</v>
      </c>
      <c r="AV16" s="15">
        <f t="shared" si="0"/>
        <v>47483</v>
      </c>
      <c r="AW16" s="15">
        <f t="shared" si="0"/>
        <v>47573</v>
      </c>
      <c r="AX16" s="15">
        <f t="shared" si="0"/>
        <v>47664</v>
      </c>
      <c r="AY16" s="15">
        <f t="shared" si="0"/>
        <v>47756</v>
      </c>
      <c r="AZ16" s="15">
        <f t="shared" si="0"/>
        <v>47848</v>
      </c>
      <c r="BA16" s="15">
        <f t="shared" si="0"/>
        <v>47938</v>
      </c>
      <c r="BB16" s="15">
        <f t="shared" si="0"/>
        <v>48029</v>
      </c>
      <c r="BC16" s="15">
        <f t="shared" si="0"/>
        <v>48121</v>
      </c>
      <c r="BD16" s="15">
        <f t="shared" si="0"/>
        <v>48213</v>
      </c>
      <c r="BE16" s="15">
        <f t="shared" si="0"/>
        <v>48304</v>
      </c>
      <c r="BF16" s="15">
        <f t="shared" si="0"/>
        <v>48395</v>
      </c>
      <c r="BG16" s="15">
        <f t="shared" si="0"/>
        <v>48487</v>
      </c>
      <c r="BH16" s="15">
        <f t="shared" si="0"/>
        <v>48579</v>
      </c>
      <c r="BI16" s="15">
        <f t="shared" si="0"/>
        <v>48669</v>
      </c>
      <c r="BJ16" s="15">
        <f t="shared" si="0"/>
        <v>48760</v>
      </c>
      <c r="BK16" s="15">
        <f t="shared" si="0"/>
        <v>48852</v>
      </c>
      <c r="BL16" s="15">
        <f t="shared" si="0"/>
        <v>48944</v>
      </c>
      <c r="BM16" s="15">
        <f t="shared" si="0"/>
        <v>49034</v>
      </c>
      <c r="BN16" s="15">
        <f t="shared" si="0"/>
        <v>49125</v>
      </c>
      <c r="BO16" s="15">
        <f t="shared" si="0"/>
        <v>49217</v>
      </c>
      <c r="BP16" s="15">
        <f t="shared" si="0"/>
        <v>49309</v>
      </c>
      <c r="BQ16" s="15">
        <f t="shared" si="0"/>
        <v>49399</v>
      </c>
      <c r="BR16" s="15">
        <f t="shared" si="0"/>
        <v>49490</v>
      </c>
      <c r="BS16" s="15">
        <f t="shared" si="0"/>
        <v>49582</v>
      </c>
      <c r="BT16" s="15">
        <f t="shared" si="0"/>
        <v>49674</v>
      </c>
      <c r="BU16" s="15">
        <f t="shared" si="0"/>
        <v>49765</v>
      </c>
      <c r="BV16" s="15">
        <f t="shared" ref="BV16:CJ16" si="1">EOMONTH(BU16,3)</f>
        <v>49856</v>
      </c>
      <c r="BW16" s="15">
        <f t="shared" si="1"/>
        <v>49948</v>
      </c>
      <c r="BX16" s="15">
        <f t="shared" si="1"/>
        <v>50040</v>
      </c>
      <c r="BY16" s="15">
        <f t="shared" si="1"/>
        <v>50130</v>
      </c>
      <c r="BZ16" s="15">
        <f t="shared" si="1"/>
        <v>50221</v>
      </c>
      <c r="CA16" s="15">
        <f t="shared" si="1"/>
        <v>50313</v>
      </c>
      <c r="CB16" s="15">
        <f t="shared" si="1"/>
        <v>50405</v>
      </c>
      <c r="CC16" s="15">
        <f t="shared" si="1"/>
        <v>50495</v>
      </c>
      <c r="CD16" s="15">
        <f t="shared" si="1"/>
        <v>50586</v>
      </c>
      <c r="CE16" s="15">
        <f t="shared" si="1"/>
        <v>50678</v>
      </c>
      <c r="CF16" s="15">
        <f t="shared" si="1"/>
        <v>50770</v>
      </c>
      <c r="CG16" s="15">
        <f t="shared" si="1"/>
        <v>50860</v>
      </c>
      <c r="CH16" s="15">
        <f t="shared" si="1"/>
        <v>50951</v>
      </c>
      <c r="CI16" s="15">
        <f t="shared" si="1"/>
        <v>51043</v>
      </c>
      <c r="CJ16" s="15">
        <f t="shared" si="1"/>
        <v>51135</v>
      </c>
    </row>
    <row r="17" spans="2:88">
      <c r="B17" s="6"/>
      <c r="C17" s="1" t="s">
        <v>62</v>
      </c>
      <c r="D17" s="9" t="s">
        <v>1</v>
      </c>
      <c r="I17" s="27">
        <v>13587</v>
      </c>
      <c r="J17" s="27">
        <v>13437</v>
      </c>
      <c r="K17" s="27">
        <v>13713</v>
      </c>
      <c r="L17" s="27">
        <v>13154</v>
      </c>
      <c r="M17" s="27">
        <v>10601</v>
      </c>
      <c r="N17" s="27">
        <v>13236</v>
      </c>
      <c r="O17" s="27">
        <v>11528</v>
      </c>
      <c r="P17" s="27">
        <v>13305</v>
      </c>
      <c r="Q17" s="27">
        <v>12137</v>
      </c>
      <c r="R17" s="27">
        <v>12048</v>
      </c>
      <c r="S17" s="27">
        <v>13048</v>
      </c>
      <c r="T17" s="27">
        <v>13423</v>
      </c>
      <c r="U17" s="27">
        <v>12310</v>
      </c>
      <c r="V17" s="27">
        <v>10598</v>
      </c>
      <c r="W17" s="27">
        <v>11489</v>
      </c>
      <c r="X17" s="27">
        <v>13959</v>
      </c>
      <c r="Y17" s="27">
        <v>10556</v>
      </c>
      <c r="Z17" s="27">
        <v>13607</v>
      </c>
      <c r="AA17" s="27">
        <v>10599</v>
      </c>
      <c r="AB17" s="27">
        <v>10631</v>
      </c>
      <c r="AC17" s="27">
        <v>10584</v>
      </c>
      <c r="AD17" s="27">
        <v>13486</v>
      </c>
      <c r="AE17" s="27">
        <v>11308</v>
      </c>
      <c r="AF17" s="27">
        <v>10658</v>
      </c>
      <c r="AG17" s="27">
        <v>10094</v>
      </c>
      <c r="AH17" s="27">
        <v>12870</v>
      </c>
      <c r="AI17" s="27">
        <v>10136</v>
      </c>
      <c r="AJ17" s="27">
        <v>12372</v>
      </c>
      <c r="AK17" s="27">
        <v>13154</v>
      </c>
      <c r="AL17" s="27">
        <v>12825</v>
      </c>
      <c r="AM17" s="27">
        <v>13134</v>
      </c>
      <c r="AN17" s="27">
        <v>10577</v>
      </c>
      <c r="AO17" s="27">
        <v>12040</v>
      </c>
      <c r="AP17" s="27">
        <v>10630</v>
      </c>
      <c r="AQ17" s="27">
        <v>13313</v>
      </c>
      <c r="AR17" s="27">
        <v>12510</v>
      </c>
      <c r="AS17" s="27">
        <v>11080</v>
      </c>
      <c r="AT17" s="27">
        <v>11627</v>
      </c>
      <c r="AU17" s="27">
        <v>11402</v>
      </c>
      <c r="AV17" s="27">
        <v>10504</v>
      </c>
      <c r="AW17" s="27">
        <v>11751</v>
      </c>
      <c r="AX17" s="27">
        <v>10715</v>
      </c>
      <c r="AY17" s="27">
        <v>12319</v>
      </c>
      <c r="AZ17" s="27">
        <v>10141</v>
      </c>
      <c r="BA17" s="27">
        <v>12458</v>
      </c>
      <c r="BB17" s="27">
        <v>13335</v>
      </c>
      <c r="BC17" s="27">
        <v>11013</v>
      </c>
      <c r="BD17" s="27">
        <v>11334</v>
      </c>
      <c r="BE17" s="27">
        <v>12730</v>
      </c>
      <c r="BF17" s="27">
        <v>10877</v>
      </c>
      <c r="BG17" s="27">
        <v>10854</v>
      </c>
      <c r="BH17" s="27">
        <v>13089</v>
      </c>
      <c r="BI17" s="27">
        <v>10478</v>
      </c>
      <c r="BJ17" s="27">
        <v>13701</v>
      </c>
      <c r="BK17" s="27">
        <v>13992</v>
      </c>
      <c r="BL17" s="27">
        <v>12163</v>
      </c>
      <c r="BM17" s="27">
        <v>10517</v>
      </c>
      <c r="BN17" s="27">
        <v>13941</v>
      </c>
      <c r="BO17" s="27">
        <v>10754</v>
      </c>
      <c r="BP17" s="27">
        <v>12548</v>
      </c>
      <c r="BQ17" s="27">
        <v>12526</v>
      </c>
      <c r="BR17" s="27">
        <v>12793</v>
      </c>
      <c r="BS17" s="27">
        <v>13559</v>
      </c>
      <c r="BT17" s="27">
        <v>11515</v>
      </c>
      <c r="BU17" s="27">
        <v>11726</v>
      </c>
      <c r="BV17" s="27">
        <v>12539</v>
      </c>
      <c r="BW17" s="27">
        <v>13047</v>
      </c>
      <c r="BX17" s="27">
        <v>10743</v>
      </c>
      <c r="BY17" s="27">
        <v>10569</v>
      </c>
      <c r="BZ17" s="27">
        <v>12506</v>
      </c>
      <c r="CA17" s="27">
        <v>11796</v>
      </c>
      <c r="CB17" s="27">
        <v>11464</v>
      </c>
      <c r="CC17" s="27">
        <v>11500</v>
      </c>
      <c r="CD17" s="27">
        <v>10676</v>
      </c>
      <c r="CE17" s="27">
        <v>11633</v>
      </c>
      <c r="CF17" s="27">
        <v>11475</v>
      </c>
      <c r="CG17" s="27">
        <v>10016</v>
      </c>
      <c r="CH17" s="27">
        <v>12456</v>
      </c>
      <c r="CI17" s="27">
        <v>13413</v>
      </c>
      <c r="CJ17" s="27">
        <v>11857</v>
      </c>
    </row>
    <row r="18" spans="2:88">
      <c r="B18" s="6"/>
      <c r="D18" s="9"/>
    </row>
    <row r="19" spans="2:88">
      <c r="B19" s="6"/>
      <c r="C19" s="1" t="s">
        <v>63</v>
      </c>
      <c r="D19" s="9" t="s">
        <v>3</v>
      </c>
      <c r="G19" s="32">
        <v>0.1</v>
      </c>
    </row>
    <row r="20" spans="2:88">
      <c r="B20" s="6"/>
      <c r="D20" s="9"/>
    </row>
    <row r="21" spans="2:88">
      <c r="B21" s="6" t="s">
        <v>64</v>
      </c>
      <c r="D21" s="9"/>
    </row>
    <row r="22" spans="2:88">
      <c r="B22" s="6"/>
      <c r="C22" s="1" t="s">
        <v>65</v>
      </c>
      <c r="D22" s="9" t="s">
        <v>6</v>
      </c>
      <c r="G22" s="27">
        <v>1</v>
      </c>
    </row>
    <row r="23" spans="2:88">
      <c r="B23" s="6"/>
      <c r="C23" s="1" t="s">
        <v>66</v>
      </c>
      <c r="D23" s="9" t="s">
        <v>4</v>
      </c>
      <c r="F23" s="4"/>
      <c r="G23" s="33">
        <f>INDEX($G$26:$G$35,MATCH(G22,$F$26:$F$35,0))</f>
        <v>44173</v>
      </c>
    </row>
    <row r="24" spans="2:88">
      <c r="B24" s="6"/>
      <c r="D24" s="9"/>
      <c r="F24" s="4"/>
      <c r="G24" s="34"/>
    </row>
    <row r="25" spans="2:88">
      <c r="B25" s="6"/>
      <c r="D25" s="9"/>
      <c r="F25" s="4" t="s">
        <v>67</v>
      </c>
      <c r="G25" s="4" t="s">
        <v>68</v>
      </c>
    </row>
    <row r="26" spans="2:88">
      <c r="B26" s="6"/>
      <c r="D26" s="9"/>
      <c r="F26" s="24">
        <v>1</v>
      </c>
      <c r="G26" s="35">
        <v>44173</v>
      </c>
    </row>
    <row r="27" spans="2:88">
      <c r="B27" s="6"/>
      <c r="D27" s="9"/>
      <c r="F27" s="36">
        <f>F26+1</f>
        <v>2</v>
      </c>
      <c r="G27" s="35">
        <v>47326</v>
      </c>
    </row>
    <row r="28" spans="2:88">
      <c r="B28" s="6"/>
      <c r="D28" s="9"/>
      <c r="F28" s="36">
        <f t="shared" ref="F28:F35" si="2">F27+1</f>
        <v>3</v>
      </c>
      <c r="G28" s="35">
        <v>45306</v>
      </c>
    </row>
    <row r="29" spans="2:88">
      <c r="B29" s="6"/>
      <c r="D29" s="9"/>
      <c r="F29" s="36">
        <f t="shared" si="2"/>
        <v>4</v>
      </c>
      <c r="G29" s="35">
        <v>45556</v>
      </c>
    </row>
    <row r="30" spans="2:88">
      <c r="B30" s="6"/>
      <c r="D30" s="9"/>
      <c r="F30" s="36">
        <f t="shared" si="2"/>
        <v>5</v>
      </c>
      <c r="G30" s="35">
        <v>45128</v>
      </c>
    </row>
    <row r="31" spans="2:88">
      <c r="B31" s="6"/>
      <c r="D31" s="9"/>
      <c r="F31" s="36">
        <f t="shared" si="2"/>
        <v>6</v>
      </c>
      <c r="G31" s="35">
        <v>44941</v>
      </c>
    </row>
    <row r="32" spans="2:88">
      <c r="B32" s="6"/>
      <c r="D32" s="9"/>
      <c r="F32" s="36">
        <f t="shared" si="2"/>
        <v>7</v>
      </c>
      <c r="G32" s="35">
        <v>44241</v>
      </c>
    </row>
    <row r="33" spans="2:88">
      <c r="B33" s="6"/>
      <c r="D33" s="9"/>
      <c r="F33" s="36">
        <f t="shared" si="2"/>
        <v>8</v>
      </c>
      <c r="G33" s="35">
        <v>44427</v>
      </c>
    </row>
    <row r="34" spans="2:88">
      <c r="B34" s="6"/>
      <c r="D34" s="9"/>
      <c r="F34" s="36">
        <f t="shared" si="2"/>
        <v>9</v>
      </c>
      <c r="G34" s="35">
        <v>44724</v>
      </c>
    </row>
    <row r="35" spans="2:88">
      <c r="B35" s="6"/>
      <c r="D35" s="9"/>
      <c r="F35" s="36">
        <f t="shared" si="2"/>
        <v>10</v>
      </c>
      <c r="G35" s="35">
        <v>45965</v>
      </c>
    </row>
    <row r="36" spans="2:88">
      <c r="B36" s="6"/>
      <c r="D36" s="9"/>
    </row>
    <row r="37" spans="2:88">
      <c r="B37" s="6"/>
      <c r="D37" s="9"/>
    </row>
    <row r="38" spans="2:88">
      <c r="B38" s="6" t="s">
        <v>14</v>
      </c>
      <c r="D38" s="9"/>
    </row>
    <row r="39" spans="2:88">
      <c r="B39" s="6"/>
      <c r="C39" s="2" t="s">
        <v>75</v>
      </c>
      <c r="D39" s="9"/>
    </row>
    <row r="40" spans="2:88">
      <c r="B40" s="6"/>
      <c r="C40" s="4" t="s">
        <v>87</v>
      </c>
      <c r="D40" s="9"/>
    </row>
    <row r="41" spans="2:88">
      <c r="C41" s="1" t="s">
        <v>24</v>
      </c>
      <c r="D41" s="9" t="s">
        <v>4</v>
      </c>
      <c r="I41" s="14">
        <v>43831</v>
      </c>
      <c r="J41" s="15">
        <f t="shared" ref="J41:BU41" si="3">I42+1</f>
        <v>43922</v>
      </c>
      <c r="K41" s="15">
        <f t="shared" si="3"/>
        <v>44013</v>
      </c>
      <c r="L41" s="15">
        <f t="shared" si="3"/>
        <v>44105</v>
      </c>
      <c r="M41" s="15">
        <f t="shared" si="3"/>
        <v>44197</v>
      </c>
      <c r="N41" s="15">
        <f t="shared" si="3"/>
        <v>44287</v>
      </c>
      <c r="O41" s="15">
        <f t="shared" si="3"/>
        <v>44378</v>
      </c>
      <c r="P41" s="15">
        <f t="shared" si="3"/>
        <v>44470</v>
      </c>
      <c r="Q41" s="15">
        <f t="shared" si="3"/>
        <v>44562</v>
      </c>
      <c r="R41" s="15">
        <f t="shared" si="3"/>
        <v>44652</v>
      </c>
      <c r="S41" s="15">
        <f t="shared" si="3"/>
        <v>44743</v>
      </c>
      <c r="T41" s="15">
        <f t="shared" si="3"/>
        <v>44835</v>
      </c>
      <c r="U41" s="15">
        <f t="shared" si="3"/>
        <v>44927</v>
      </c>
      <c r="V41" s="15">
        <f t="shared" si="3"/>
        <v>45017</v>
      </c>
      <c r="W41" s="15">
        <f t="shared" si="3"/>
        <v>45108</v>
      </c>
      <c r="X41" s="15">
        <f t="shared" si="3"/>
        <v>45200</v>
      </c>
      <c r="Y41" s="15">
        <f t="shared" si="3"/>
        <v>45292</v>
      </c>
      <c r="Z41" s="15">
        <f t="shared" si="3"/>
        <v>45383</v>
      </c>
      <c r="AA41" s="15">
        <f t="shared" si="3"/>
        <v>45474</v>
      </c>
      <c r="AB41" s="15">
        <f t="shared" si="3"/>
        <v>45566</v>
      </c>
      <c r="AC41" s="15">
        <f t="shared" si="3"/>
        <v>45658</v>
      </c>
      <c r="AD41" s="15">
        <f t="shared" si="3"/>
        <v>45748</v>
      </c>
      <c r="AE41" s="15">
        <f t="shared" si="3"/>
        <v>45839</v>
      </c>
      <c r="AF41" s="15">
        <f t="shared" si="3"/>
        <v>45931</v>
      </c>
      <c r="AG41" s="15">
        <f t="shared" si="3"/>
        <v>46023</v>
      </c>
      <c r="AH41" s="15">
        <f t="shared" si="3"/>
        <v>46113</v>
      </c>
      <c r="AI41" s="15">
        <f t="shared" si="3"/>
        <v>46204</v>
      </c>
      <c r="AJ41" s="15">
        <f t="shared" si="3"/>
        <v>46296</v>
      </c>
      <c r="AK41" s="15">
        <f t="shared" si="3"/>
        <v>46388</v>
      </c>
      <c r="AL41" s="15">
        <f t="shared" si="3"/>
        <v>46478</v>
      </c>
      <c r="AM41" s="15">
        <f t="shared" si="3"/>
        <v>46569</v>
      </c>
      <c r="AN41" s="15">
        <f t="shared" si="3"/>
        <v>46661</v>
      </c>
      <c r="AO41" s="15">
        <f t="shared" si="3"/>
        <v>46753</v>
      </c>
      <c r="AP41" s="15">
        <f t="shared" si="3"/>
        <v>46844</v>
      </c>
      <c r="AQ41" s="15">
        <f t="shared" si="3"/>
        <v>46935</v>
      </c>
      <c r="AR41" s="15">
        <f t="shared" si="3"/>
        <v>47027</v>
      </c>
      <c r="AS41" s="15">
        <f t="shared" si="3"/>
        <v>47119</v>
      </c>
      <c r="AT41" s="15">
        <f t="shared" si="3"/>
        <v>47209</v>
      </c>
      <c r="AU41" s="15">
        <f t="shared" si="3"/>
        <v>47300</v>
      </c>
      <c r="AV41" s="15">
        <f t="shared" si="3"/>
        <v>47392</v>
      </c>
      <c r="AW41" s="15">
        <f t="shared" si="3"/>
        <v>47484</v>
      </c>
      <c r="AX41" s="15">
        <f t="shared" si="3"/>
        <v>47574</v>
      </c>
      <c r="AY41" s="15">
        <f t="shared" si="3"/>
        <v>47665</v>
      </c>
      <c r="AZ41" s="15">
        <f t="shared" si="3"/>
        <v>47757</v>
      </c>
      <c r="BA41" s="15">
        <f t="shared" si="3"/>
        <v>47849</v>
      </c>
      <c r="BB41" s="15">
        <f t="shared" si="3"/>
        <v>47939</v>
      </c>
      <c r="BC41" s="15">
        <f t="shared" si="3"/>
        <v>48030</v>
      </c>
      <c r="BD41" s="15">
        <f t="shared" si="3"/>
        <v>48122</v>
      </c>
      <c r="BE41" s="15">
        <f t="shared" si="3"/>
        <v>48214</v>
      </c>
      <c r="BF41" s="15">
        <f t="shared" si="3"/>
        <v>48305</v>
      </c>
      <c r="BG41" s="15">
        <f t="shared" si="3"/>
        <v>48396</v>
      </c>
      <c r="BH41" s="15">
        <f t="shared" si="3"/>
        <v>48488</v>
      </c>
      <c r="BI41" s="15">
        <f t="shared" si="3"/>
        <v>48580</v>
      </c>
      <c r="BJ41" s="15">
        <f t="shared" si="3"/>
        <v>48670</v>
      </c>
      <c r="BK41" s="15">
        <f t="shared" si="3"/>
        <v>48761</v>
      </c>
      <c r="BL41" s="15">
        <f t="shared" si="3"/>
        <v>48853</v>
      </c>
      <c r="BM41" s="15">
        <f t="shared" si="3"/>
        <v>48945</v>
      </c>
      <c r="BN41" s="15">
        <f t="shared" si="3"/>
        <v>49035</v>
      </c>
      <c r="BO41" s="15">
        <f t="shared" si="3"/>
        <v>49126</v>
      </c>
      <c r="BP41" s="15">
        <f t="shared" si="3"/>
        <v>49218</v>
      </c>
      <c r="BQ41" s="15">
        <f t="shared" si="3"/>
        <v>49310</v>
      </c>
      <c r="BR41" s="15">
        <f t="shared" si="3"/>
        <v>49400</v>
      </c>
      <c r="BS41" s="15">
        <f t="shared" si="3"/>
        <v>49491</v>
      </c>
      <c r="BT41" s="15">
        <f t="shared" si="3"/>
        <v>49583</v>
      </c>
      <c r="BU41" s="15">
        <f t="shared" si="3"/>
        <v>49675</v>
      </c>
      <c r="BV41" s="15">
        <f t="shared" ref="BV41:CJ41" si="4">BU42+1</f>
        <v>49766</v>
      </c>
      <c r="BW41" s="15">
        <f t="shared" si="4"/>
        <v>49857</v>
      </c>
      <c r="BX41" s="15">
        <f t="shared" si="4"/>
        <v>49949</v>
      </c>
      <c r="BY41" s="15">
        <f t="shared" si="4"/>
        <v>50041</v>
      </c>
      <c r="BZ41" s="15">
        <f t="shared" si="4"/>
        <v>50131</v>
      </c>
      <c r="CA41" s="15">
        <f t="shared" si="4"/>
        <v>50222</v>
      </c>
      <c r="CB41" s="15">
        <f t="shared" si="4"/>
        <v>50314</v>
      </c>
      <c r="CC41" s="15">
        <f t="shared" si="4"/>
        <v>50406</v>
      </c>
      <c r="CD41" s="15">
        <f t="shared" si="4"/>
        <v>50496</v>
      </c>
      <c r="CE41" s="15">
        <f t="shared" si="4"/>
        <v>50587</v>
      </c>
      <c r="CF41" s="15">
        <f t="shared" si="4"/>
        <v>50679</v>
      </c>
      <c r="CG41" s="15">
        <f t="shared" si="4"/>
        <v>50771</v>
      </c>
      <c r="CH41" s="15">
        <f t="shared" si="4"/>
        <v>50861</v>
      </c>
      <c r="CI41" s="15">
        <f t="shared" si="4"/>
        <v>50952</v>
      </c>
      <c r="CJ41" s="15">
        <f t="shared" si="4"/>
        <v>51044</v>
      </c>
    </row>
    <row r="42" spans="2:88">
      <c r="C42" s="1" t="s">
        <v>25</v>
      </c>
      <c r="D42" s="9" t="s">
        <v>4</v>
      </c>
      <c r="I42" s="14">
        <v>43921</v>
      </c>
      <c r="J42" s="15">
        <f t="shared" ref="J42:BU42" si="5">EOMONTH(I42,3)</f>
        <v>44012</v>
      </c>
      <c r="K42" s="15">
        <f t="shared" si="5"/>
        <v>44104</v>
      </c>
      <c r="L42" s="15">
        <f t="shared" si="5"/>
        <v>44196</v>
      </c>
      <c r="M42" s="15">
        <f t="shared" si="5"/>
        <v>44286</v>
      </c>
      <c r="N42" s="15">
        <f t="shared" si="5"/>
        <v>44377</v>
      </c>
      <c r="O42" s="15">
        <f t="shared" si="5"/>
        <v>44469</v>
      </c>
      <c r="P42" s="15">
        <f t="shared" si="5"/>
        <v>44561</v>
      </c>
      <c r="Q42" s="15">
        <f t="shared" si="5"/>
        <v>44651</v>
      </c>
      <c r="R42" s="15">
        <f t="shared" si="5"/>
        <v>44742</v>
      </c>
      <c r="S42" s="15">
        <f t="shared" si="5"/>
        <v>44834</v>
      </c>
      <c r="T42" s="15">
        <f t="shared" si="5"/>
        <v>44926</v>
      </c>
      <c r="U42" s="15">
        <f t="shared" si="5"/>
        <v>45016</v>
      </c>
      <c r="V42" s="15">
        <f t="shared" si="5"/>
        <v>45107</v>
      </c>
      <c r="W42" s="15">
        <f t="shared" si="5"/>
        <v>45199</v>
      </c>
      <c r="X42" s="15">
        <f t="shared" si="5"/>
        <v>45291</v>
      </c>
      <c r="Y42" s="15">
        <f t="shared" si="5"/>
        <v>45382</v>
      </c>
      <c r="Z42" s="15">
        <f t="shared" si="5"/>
        <v>45473</v>
      </c>
      <c r="AA42" s="15">
        <f t="shared" si="5"/>
        <v>45565</v>
      </c>
      <c r="AB42" s="15">
        <f t="shared" si="5"/>
        <v>45657</v>
      </c>
      <c r="AC42" s="15">
        <f t="shared" si="5"/>
        <v>45747</v>
      </c>
      <c r="AD42" s="15">
        <f t="shared" si="5"/>
        <v>45838</v>
      </c>
      <c r="AE42" s="15">
        <f t="shared" si="5"/>
        <v>45930</v>
      </c>
      <c r="AF42" s="15">
        <f t="shared" si="5"/>
        <v>46022</v>
      </c>
      <c r="AG42" s="15">
        <f t="shared" si="5"/>
        <v>46112</v>
      </c>
      <c r="AH42" s="15">
        <f t="shared" si="5"/>
        <v>46203</v>
      </c>
      <c r="AI42" s="15">
        <f t="shared" si="5"/>
        <v>46295</v>
      </c>
      <c r="AJ42" s="15">
        <f t="shared" si="5"/>
        <v>46387</v>
      </c>
      <c r="AK42" s="15">
        <f t="shared" si="5"/>
        <v>46477</v>
      </c>
      <c r="AL42" s="15">
        <f t="shared" si="5"/>
        <v>46568</v>
      </c>
      <c r="AM42" s="15">
        <f t="shared" si="5"/>
        <v>46660</v>
      </c>
      <c r="AN42" s="15">
        <f t="shared" si="5"/>
        <v>46752</v>
      </c>
      <c r="AO42" s="15">
        <f t="shared" si="5"/>
        <v>46843</v>
      </c>
      <c r="AP42" s="15">
        <f t="shared" si="5"/>
        <v>46934</v>
      </c>
      <c r="AQ42" s="15">
        <f t="shared" si="5"/>
        <v>47026</v>
      </c>
      <c r="AR42" s="15">
        <f t="shared" si="5"/>
        <v>47118</v>
      </c>
      <c r="AS42" s="15">
        <f t="shared" si="5"/>
        <v>47208</v>
      </c>
      <c r="AT42" s="15">
        <f t="shared" si="5"/>
        <v>47299</v>
      </c>
      <c r="AU42" s="15">
        <f t="shared" si="5"/>
        <v>47391</v>
      </c>
      <c r="AV42" s="15">
        <f t="shared" si="5"/>
        <v>47483</v>
      </c>
      <c r="AW42" s="15">
        <f t="shared" si="5"/>
        <v>47573</v>
      </c>
      <c r="AX42" s="15">
        <f t="shared" si="5"/>
        <v>47664</v>
      </c>
      <c r="AY42" s="15">
        <f t="shared" si="5"/>
        <v>47756</v>
      </c>
      <c r="AZ42" s="15">
        <f t="shared" si="5"/>
        <v>47848</v>
      </c>
      <c r="BA42" s="15">
        <f t="shared" si="5"/>
        <v>47938</v>
      </c>
      <c r="BB42" s="15">
        <f t="shared" si="5"/>
        <v>48029</v>
      </c>
      <c r="BC42" s="15">
        <f t="shared" si="5"/>
        <v>48121</v>
      </c>
      <c r="BD42" s="15">
        <f t="shared" si="5"/>
        <v>48213</v>
      </c>
      <c r="BE42" s="15">
        <f t="shared" si="5"/>
        <v>48304</v>
      </c>
      <c r="BF42" s="15">
        <f t="shared" si="5"/>
        <v>48395</v>
      </c>
      <c r="BG42" s="15">
        <f t="shared" si="5"/>
        <v>48487</v>
      </c>
      <c r="BH42" s="15">
        <f t="shared" si="5"/>
        <v>48579</v>
      </c>
      <c r="BI42" s="15">
        <f t="shared" si="5"/>
        <v>48669</v>
      </c>
      <c r="BJ42" s="15">
        <f t="shared" si="5"/>
        <v>48760</v>
      </c>
      <c r="BK42" s="15">
        <f t="shared" si="5"/>
        <v>48852</v>
      </c>
      <c r="BL42" s="15">
        <f t="shared" si="5"/>
        <v>48944</v>
      </c>
      <c r="BM42" s="15">
        <f t="shared" si="5"/>
        <v>49034</v>
      </c>
      <c r="BN42" s="15">
        <f t="shared" si="5"/>
        <v>49125</v>
      </c>
      <c r="BO42" s="15">
        <f t="shared" si="5"/>
        <v>49217</v>
      </c>
      <c r="BP42" s="15">
        <f t="shared" si="5"/>
        <v>49309</v>
      </c>
      <c r="BQ42" s="15">
        <f t="shared" si="5"/>
        <v>49399</v>
      </c>
      <c r="BR42" s="15">
        <f t="shared" si="5"/>
        <v>49490</v>
      </c>
      <c r="BS42" s="15">
        <f t="shared" si="5"/>
        <v>49582</v>
      </c>
      <c r="BT42" s="15">
        <f t="shared" si="5"/>
        <v>49674</v>
      </c>
      <c r="BU42" s="15">
        <f t="shared" si="5"/>
        <v>49765</v>
      </c>
      <c r="BV42" s="15">
        <f t="shared" ref="BV42:CJ42" si="6">EOMONTH(BU42,3)</f>
        <v>49856</v>
      </c>
      <c r="BW42" s="15">
        <f t="shared" si="6"/>
        <v>49948</v>
      </c>
      <c r="BX42" s="15">
        <f t="shared" si="6"/>
        <v>50040</v>
      </c>
      <c r="BY42" s="15">
        <f t="shared" si="6"/>
        <v>50130</v>
      </c>
      <c r="BZ42" s="15">
        <f t="shared" si="6"/>
        <v>50221</v>
      </c>
      <c r="CA42" s="15">
        <f t="shared" si="6"/>
        <v>50313</v>
      </c>
      <c r="CB42" s="15">
        <f t="shared" si="6"/>
        <v>50405</v>
      </c>
      <c r="CC42" s="15">
        <f t="shared" si="6"/>
        <v>50495</v>
      </c>
      <c r="CD42" s="15">
        <f t="shared" si="6"/>
        <v>50586</v>
      </c>
      <c r="CE42" s="15">
        <f t="shared" si="6"/>
        <v>50678</v>
      </c>
      <c r="CF42" s="15">
        <f t="shared" si="6"/>
        <v>50770</v>
      </c>
      <c r="CG42" s="15">
        <f t="shared" si="6"/>
        <v>50860</v>
      </c>
      <c r="CH42" s="15">
        <f t="shared" si="6"/>
        <v>50951</v>
      </c>
      <c r="CI42" s="15">
        <f t="shared" si="6"/>
        <v>51043</v>
      </c>
      <c r="CJ42" s="15">
        <f t="shared" si="6"/>
        <v>51135</v>
      </c>
    </row>
    <row r="43" spans="2:88">
      <c r="D43" s="9"/>
    </row>
    <row r="44" spans="2:88">
      <c r="C44" s="4" t="s">
        <v>88</v>
      </c>
      <c r="D44" s="9"/>
    </row>
    <row r="45" spans="2:88">
      <c r="C45" s="1" t="s">
        <v>24</v>
      </c>
      <c r="D45" s="9" t="s">
        <v>4</v>
      </c>
      <c r="J45" s="15">
        <f>INDEX($I$41:$CJ$41,MATCH(I46,$I$41:$CJ$41,1))</f>
        <v>44105</v>
      </c>
      <c r="K45" s="15">
        <f t="shared" ref="K45:BV45" si="7">J46+1</f>
        <v>44197</v>
      </c>
      <c r="L45" s="15">
        <f t="shared" si="7"/>
        <v>44287</v>
      </c>
      <c r="M45" s="15">
        <f t="shared" si="7"/>
        <v>44378</v>
      </c>
      <c r="N45" s="15">
        <f t="shared" si="7"/>
        <v>44470</v>
      </c>
      <c r="O45" s="15">
        <f t="shared" si="7"/>
        <v>44562</v>
      </c>
      <c r="P45" s="15">
        <f t="shared" si="7"/>
        <v>44652</v>
      </c>
      <c r="Q45" s="15">
        <f t="shared" si="7"/>
        <v>44743</v>
      </c>
      <c r="R45" s="15">
        <f t="shared" si="7"/>
        <v>44835</v>
      </c>
      <c r="S45" s="15">
        <f t="shared" si="7"/>
        <v>44927</v>
      </c>
      <c r="T45" s="15">
        <f t="shared" si="7"/>
        <v>45017</v>
      </c>
      <c r="U45" s="15">
        <f t="shared" si="7"/>
        <v>45108</v>
      </c>
      <c r="V45" s="15">
        <f t="shared" si="7"/>
        <v>45200</v>
      </c>
      <c r="W45" s="15">
        <f t="shared" si="7"/>
        <v>45292</v>
      </c>
      <c r="X45" s="15">
        <f t="shared" si="7"/>
        <v>45383</v>
      </c>
      <c r="Y45" s="15">
        <f t="shared" si="7"/>
        <v>45474</v>
      </c>
      <c r="Z45" s="15">
        <f t="shared" si="7"/>
        <v>45566</v>
      </c>
      <c r="AA45" s="15">
        <f t="shared" si="7"/>
        <v>45658</v>
      </c>
      <c r="AB45" s="15">
        <f t="shared" si="7"/>
        <v>45748</v>
      </c>
      <c r="AC45" s="15">
        <f t="shared" si="7"/>
        <v>45839</v>
      </c>
      <c r="AD45" s="15">
        <f t="shared" si="7"/>
        <v>45931</v>
      </c>
      <c r="AE45" s="15">
        <f t="shared" si="7"/>
        <v>46023</v>
      </c>
      <c r="AF45" s="15">
        <f t="shared" si="7"/>
        <v>46113</v>
      </c>
      <c r="AG45" s="15">
        <f t="shared" si="7"/>
        <v>46204</v>
      </c>
      <c r="AH45" s="15">
        <f t="shared" si="7"/>
        <v>46296</v>
      </c>
      <c r="AI45" s="15">
        <f t="shared" si="7"/>
        <v>46388</v>
      </c>
      <c r="AJ45" s="15">
        <f t="shared" si="7"/>
        <v>46478</v>
      </c>
      <c r="AK45" s="15">
        <f t="shared" si="7"/>
        <v>46569</v>
      </c>
      <c r="AL45" s="15">
        <f t="shared" si="7"/>
        <v>46661</v>
      </c>
      <c r="AM45" s="15">
        <f t="shared" si="7"/>
        <v>46753</v>
      </c>
      <c r="AN45" s="15">
        <f t="shared" si="7"/>
        <v>46844</v>
      </c>
      <c r="AO45" s="15">
        <f t="shared" si="7"/>
        <v>46935</v>
      </c>
      <c r="AP45" s="15">
        <f t="shared" si="7"/>
        <v>47027</v>
      </c>
      <c r="AQ45" s="15">
        <f t="shared" si="7"/>
        <v>47119</v>
      </c>
      <c r="AR45" s="15">
        <f t="shared" si="7"/>
        <v>47209</v>
      </c>
      <c r="AS45" s="15">
        <f t="shared" si="7"/>
        <v>47300</v>
      </c>
      <c r="AT45" s="15">
        <f t="shared" si="7"/>
        <v>47392</v>
      </c>
      <c r="AU45" s="15">
        <f t="shared" si="7"/>
        <v>47484</v>
      </c>
      <c r="AV45" s="15">
        <f t="shared" si="7"/>
        <v>47574</v>
      </c>
      <c r="AW45" s="15">
        <f t="shared" si="7"/>
        <v>47665</v>
      </c>
      <c r="AX45" s="15">
        <f t="shared" si="7"/>
        <v>47757</v>
      </c>
      <c r="AY45" s="15">
        <f t="shared" si="7"/>
        <v>47849</v>
      </c>
      <c r="AZ45" s="15">
        <f t="shared" si="7"/>
        <v>47939</v>
      </c>
      <c r="BA45" s="15">
        <f t="shared" si="7"/>
        <v>48030</v>
      </c>
      <c r="BB45" s="15">
        <f t="shared" si="7"/>
        <v>48122</v>
      </c>
      <c r="BC45" s="15">
        <f t="shared" si="7"/>
        <v>48214</v>
      </c>
      <c r="BD45" s="15">
        <f t="shared" si="7"/>
        <v>48305</v>
      </c>
      <c r="BE45" s="15">
        <f t="shared" si="7"/>
        <v>48396</v>
      </c>
      <c r="BF45" s="15">
        <f t="shared" si="7"/>
        <v>48488</v>
      </c>
      <c r="BG45" s="15">
        <f t="shared" si="7"/>
        <v>48580</v>
      </c>
      <c r="BH45" s="15">
        <f t="shared" si="7"/>
        <v>48670</v>
      </c>
      <c r="BI45" s="15">
        <f t="shared" si="7"/>
        <v>48761</v>
      </c>
      <c r="BJ45" s="15">
        <f t="shared" si="7"/>
        <v>48853</v>
      </c>
      <c r="BK45" s="15">
        <f t="shared" si="7"/>
        <v>48945</v>
      </c>
      <c r="BL45" s="15">
        <f t="shared" si="7"/>
        <v>49035</v>
      </c>
      <c r="BM45" s="15">
        <f t="shared" si="7"/>
        <v>49126</v>
      </c>
      <c r="BN45" s="15">
        <f t="shared" si="7"/>
        <v>49218</v>
      </c>
      <c r="BO45" s="15">
        <f t="shared" si="7"/>
        <v>49310</v>
      </c>
      <c r="BP45" s="15">
        <f t="shared" si="7"/>
        <v>49400</v>
      </c>
      <c r="BQ45" s="15">
        <f t="shared" si="7"/>
        <v>49491</v>
      </c>
      <c r="BR45" s="15">
        <f t="shared" si="7"/>
        <v>49583</v>
      </c>
      <c r="BS45" s="15">
        <f t="shared" si="7"/>
        <v>49675</v>
      </c>
      <c r="BT45" s="15">
        <f t="shared" si="7"/>
        <v>49766</v>
      </c>
      <c r="BU45" s="15">
        <f t="shared" si="7"/>
        <v>49857</v>
      </c>
      <c r="BV45" s="15">
        <f t="shared" si="7"/>
        <v>49949</v>
      </c>
      <c r="BW45" s="15">
        <f t="shared" ref="BW45:CJ45" si="8">BV46+1</f>
        <v>50041</v>
      </c>
      <c r="BX45" s="15">
        <f t="shared" si="8"/>
        <v>50131</v>
      </c>
      <c r="BY45" s="15">
        <f t="shared" si="8"/>
        <v>50222</v>
      </c>
      <c r="BZ45" s="15">
        <f t="shared" si="8"/>
        <v>50314</v>
      </c>
      <c r="CA45" s="15">
        <f t="shared" si="8"/>
        <v>50406</v>
      </c>
      <c r="CB45" s="15">
        <f t="shared" si="8"/>
        <v>50496</v>
      </c>
      <c r="CC45" s="15">
        <f t="shared" si="8"/>
        <v>50587</v>
      </c>
      <c r="CD45" s="15">
        <f t="shared" si="8"/>
        <v>50679</v>
      </c>
      <c r="CE45" s="15">
        <f t="shared" si="8"/>
        <v>50771</v>
      </c>
      <c r="CF45" s="15">
        <f t="shared" si="8"/>
        <v>50861</v>
      </c>
      <c r="CG45" s="15">
        <f t="shared" si="8"/>
        <v>50952</v>
      </c>
      <c r="CH45" s="15">
        <f t="shared" si="8"/>
        <v>51044</v>
      </c>
      <c r="CI45" s="15">
        <f t="shared" si="8"/>
        <v>51136</v>
      </c>
      <c r="CJ45" s="15">
        <f t="shared" si="8"/>
        <v>51227</v>
      </c>
    </row>
    <row r="46" spans="2:88">
      <c r="C46" s="1" t="s">
        <v>25</v>
      </c>
      <c r="D46" s="9" t="s">
        <v>4</v>
      </c>
      <c r="I46" s="15">
        <f>G23</f>
        <v>44173</v>
      </c>
      <c r="J46" s="15">
        <f>INDEX($I$42:$CJ$42,MATCH(J45,$I$41:$CJ$41,0))</f>
        <v>44196</v>
      </c>
      <c r="K46" s="15">
        <f t="shared" ref="K46:BV46" si="9">EOMONTH(J46,3)</f>
        <v>44286</v>
      </c>
      <c r="L46" s="15">
        <f t="shared" si="9"/>
        <v>44377</v>
      </c>
      <c r="M46" s="15">
        <f t="shared" si="9"/>
        <v>44469</v>
      </c>
      <c r="N46" s="15">
        <f t="shared" si="9"/>
        <v>44561</v>
      </c>
      <c r="O46" s="15">
        <f t="shared" si="9"/>
        <v>44651</v>
      </c>
      <c r="P46" s="15">
        <f t="shared" si="9"/>
        <v>44742</v>
      </c>
      <c r="Q46" s="15">
        <f t="shared" si="9"/>
        <v>44834</v>
      </c>
      <c r="R46" s="15">
        <f t="shared" si="9"/>
        <v>44926</v>
      </c>
      <c r="S46" s="15">
        <f t="shared" si="9"/>
        <v>45016</v>
      </c>
      <c r="T46" s="15">
        <f t="shared" si="9"/>
        <v>45107</v>
      </c>
      <c r="U46" s="15">
        <f t="shared" si="9"/>
        <v>45199</v>
      </c>
      <c r="V46" s="15">
        <f t="shared" si="9"/>
        <v>45291</v>
      </c>
      <c r="W46" s="15">
        <f t="shared" si="9"/>
        <v>45382</v>
      </c>
      <c r="X46" s="15">
        <f t="shared" si="9"/>
        <v>45473</v>
      </c>
      <c r="Y46" s="15">
        <f t="shared" si="9"/>
        <v>45565</v>
      </c>
      <c r="Z46" s="15">
        <f t="shared" si="9"/>
        <v>45657</v>
      </c>
      <c r="AA46" s="15">
        <f t="shared" si="9"/>
        <v>45747</v>
      </c>
      <c r="AB46" s="15">
        <f t="shared" si="9"/>
        <v>45838</v>
      </c>
      <c r="AC46" s="15">
        <f t="shared" si="9"/>
        <v>45930</v>
      </c>
      <c r="AD46" s="15">
        <f t="shared" si="9"/>
        <v>46022</v>
      </c>
      <c r="AE46" s="15">
        <f t="shared" si="9"/>
        <v>46112</v>
      </c>
      <c r="AF46" s="15">
        <f t="shared" si="9"/>
        <v>46203</v>
      </c>
      <c r="AG46" s="15">
        <f t="shared" si="9"/>
        <v>46295</v>
      </c>
      <c r="AH46" s="15">
        <f t="shared" si="9"/>
        <v>46387</v>
      </c>
      <c r="AI46" s="15">
        <f t="shared" si="9"/>
        <v>46477</v>
      </c>
      <c r="AJ46" s="15">
        <f t="shared" si="9"/>
        <v>46568</v>
      </c>
      <c r="AK46" s="15">
        <f t="shared" si="9"/>
        <v>46660</v>
      </c>
      <c r="AL46" s="15">
        <f t="shared" si="9"/>
        <v>46752</v>
      </c>
      <c r="AM46" s="15">
        <f t="shared" si="9"/>
        <v>46843</v>
      </c>
      <c r="AN46" s="15">
        <f t="shared" si="9"/>
        <v>46934</v>
      </c>
      <c r="AO46" s="15">
        <f t="shared" si="9"/>
        <v>47026</v>
      </c>
      <c r="AP46" s="15">
        <f t="shared" si="9"/>
        <v>47118</v>
      </c>
      <c r="AQ46" s="15">
        <f t="shared" si="9"/>
        <v>47208</v>
      </c>
      <c r="AR46" s="15">
        <f t="shared" si="9"/>
        <v>47299</v>
      </c>
      <c r="AS46" s="15">
        <f t="shared" si="9"/>
        <v>47391</v>
      </c>
      <c r="AT46" s="15">
        <f t="shared" si="9"/>
        <v>47483</v>
      </c>
      <c r="AU46" s="15">
        <f t="shared" si="9"/>
        <v>47573</v>
      </c>
      <c r="AV46" s="15">
        <f t="shared" si="9"/>
        <v>47664</v>
      </c>
      <c r="AW46" s="15">
        <f t="shared" si="9"/>
        <v>47756</v>
      </c>
      <c r="AX46" s="15">
        <f t="shared" si="9"/>
        <v>47848</v>
      </c>
      <c r="AY46" s="15">
        <f t="shared" si="9"/>
        <v>47938</v>
      </c>
      <c r="AZ46" s="15">
        <f t="shared" si="9"/>
        <v>48029</v>
      </c>
      <c r="BA46" s="15">
        <f t="shared" si="9"/>
        <v>48121</v>
      </c>
      <c r="BB46" s="15">
        <f t="shared" si="9"/>
        <v>48213</v>
      </c>
      <c r="BC46" s="15">
        <f t="shared" si="9"/>
        <v>48304</v>
      </c>
      <c r="BD46" s="15">
        <f t="shared" si="9"/>
        <v>48395</v>
      </c>
      <c r="BE46" s="15">
        <f t="shared" si="9"/>
        <v>48487</v>
      </c>
      <c r="BF46" s="15">
        <f t="shared" si="9"/>
        <v>48579</v>
      </c>
      <c r="BG46" s="15">
        <f t="shared" si="9"/>
        <v>48669</v>
      </c>
      <c r="BH46" s="15">
        <f t="shared" si="9"/>
        <v>48760</v>
      </c>
      <c r="BI46" s="15">
        <f t="shared" si="9"/>
        <v>48852</v>
      </c>
      <c r="BJ46" s="15">
        <f t="shared" si="9"/>
        <v>48944</v>
      </c>
      <c r="BK46" s="15">
        <f t="shared" si="9"/>
        <v>49034</v>
      </c>
      <c r="BL46" s="15">
        <f t="shared" si="9"/>
        <v>49125</v>
      </c>
      <c r="BM46" s="15">
        <f t="shared" si="9"/>
        <v>49217</v>
      </c>
      <c r="BN46" s="15">
        <f t="shared" si="9"/>
        <v>49309</v>
      </c>
      <c r="BO46" s="15">
        <f t="shared" si="9"/>
        <v>49399</v>
      </c>
      <c r="BP46" s="15">
        <f t="shared" si="9"/>
        <v>49490</v>
      </c>
      <c r="BQ46" s="15">
        <f t="shared" si="9"/>
        <v>49582</v>
      </c>
      <c r="BR46" s="15">
        <f t="shared" si="9"/>
        <v>49674</v>
      </c>
      <c r="BS46" s="15">
        <f t="shared" si="9"/>
        <v>49765</v>
      </c>
      <c r="BT46" s="15">
        <f t="shared" si="9"/>
        <v>49856</v>
      </c>
      <c r="BU46" s="15">
        <f t="shared" si="9"/>
        <v>49948</v>
      </c>
      <c r="BV46" s="15">
        <f t="shared" si="9"/>
        <v>50040</v>
      </c>
      <c r="BW46" s="15">
        <f t="shared" ref="BW46:CJ46" si="10">EOMONTH(BV46,3)</f>
        <v>50130</v>
      </c>
      <c r="BX46" s="15">
        <f t="shared" si="10"/>
        <v>50221</v>
      </c>
      <c r="BY46" s="15">
        <f t="shared" si="10"/>
        <v>50313</v>
      </c>
      <c r="BZ46" s="15">
        <f t="shared" si="10"/>
        <v>50405</v>
      </c>
      <c r="CA46" s="15">
        <f t="shared" si="10"/>
        <v>50495</v>
      </c>
      <c r="CB46" s="15">
        <f t="shared" si="10"/>
        <v>50586</v>
      </c>
      <c r="CC46" s="15">
        <f t="shared" si="10"/>
        <v>50678</v>
      </c>
      <c r="CD46" s="15">
        <f t="shared" si="10"/>
        <v>50770</v>
      </c>
      <c r="CE46" s="15">
        <f t="shared" si="10"/>
        <v>50860</v>
      </c>
      <c r="CF46" s="15">
        <f t="shared" si="10"/>
        <v>50951</v>
      </c>
      <c r="CG46" s="15">
        <f t="shared" si="10"/>
        <v>51043</v>
      </c>
      <c r="CH46" s="15">
        <f t="shared" si="10"/>
        <v>51135</v>
      </c>
      <c r="CI46" s="15">
        <f t="shared" si="10"/>
        <v>51226</v>
      </c>
      <c r="CJ46" s="15">
        <f t="shared" si="10"/>
        <v>51317</v>
      </c>
    </row>
    <row r="47" spans="2:88">
      <c r="D47" s="9"/>
    </row>
    <row r="48" spans="2:88">
      <c r="C48" s="1" t="s">
        <v>62</v>
      </c>
      <c r="D48" s="9" t="s">
        <v>1</v>
      </c>
      <c r="G48" s="1">
        <f>SUM(I48:CJ48)</f>
        <v>917052</v>
      </c>
      <c r="I48" s="1">
        <v>0</v>
      </c>
      <c r="J48" s="1">
        <f>SUMIF($I$16:$CJ$16,J$46,$I$17:$CJ$17)</f>
        <v>13154</v>
      </c>
      <c r="K48" s="1">
        <f t="shared" ref="K48:BV48" si="11">SUMIF($I$16:$CJ$16,K$46,$I$17:$CJ$17)</f>
        <v>10601</v>
      </c>
      <c r="L48" s="1">
        <f t="shared" si="11"/>
        <v>13236</v>
      </c>
      <c r="M48" s="1">
        <f t="shared" si="11"/>
        <v>11528</v>
      </c>
      <c r="N48" s="1">
        <f t="shared" si="11"/>
        <v>13305</v>
      </c>
      <c r="O48" s="1">
        <f t="shared" si="11"/>
        <v>12137</v>
      </c>
      <c r="P48" s="1">
        <f t="shared" si="11"/>
        <v>12048</v>
      </c>
      <c r="Q48" s="1">
        <f t="shared" si="11"/>
        <v>13048</v>
      </c>
      <c r="R48" s="1">
        <f t="shared" si="11"/>
        <v>13423</v>
      </c>
      <c r="S48" s="1">
        <f t="shared" si="11"/>
        <v>12310</v>
      </c>
      <c r="T48" s="1">
        <f t="shared" si="11"/>
        <v>10598</v>
      </c>
      <c r="U48" s="1">
        <f t="shared" si="11"/>
        <v>11489</v>
      </c>
      <c r="V48" s="1">
        <f t="shared" si="11"/>
        <v>13959</v>
      </c>
      <c r="W48" s="1">
        <f t="shared" si="11"/>
        <v>10556</v>
      </c>
      <c r="X48" s="1">
        <f t="shared" si="11"/>
        <v>13607</v>
      </c>
      <c r="Y48" s="1">
        <f t="shared" si="11"/>
        <v>10599</v>
      </c>
      <c r="Z48" s="1">
        <f t="shared" si="11"/>
        <v>10631</v>
      </c>
      <c r="AA48" s="1">
        <f t="shared" si="11"/>
        <v>10584</v>
      </c>
      <c r="AB48" s="1">
        <f t="shared" si="11"/>
        <v>13486</v>
      </c>
      <c r="AC48" s="1">
        <f t="shared" si="11"/>
        <v>11308</v>
      </c>
      <c r="AD48" s="1">
        <f t="shared" si="11"/>
        <v>10658</v>
      </c>
      <c r="AE48" s="1">
        <f t="shared" si="11"/>
        <v>10094</v>
      </c>
      <c r="AF48" s="1">
        <f t="shared" si="11"/>
        <v>12870</v>
      </c>
      <c r="AG48" s="1">
        <f t="shared" si="11"/>
        <v>10136</v>
      </c>
      <c r="AH48" s="1">
        <f t="shared" si="11"/>
        <v>12372</v>
      </c>
      <c r="AI48" s="1">
        <f t="shared" si="11"/>
        <v>13154</v>
      </c>
      <c r="AJ48" s="1">
        <f t="shared" si="11"/>
        <v>12825</v>
      </c>
      <c r="AK48" s="1">
        <f t="shared" si="11"/>
        <v>13134</v>
      </c>
      <c r="AL48" s="1">
        <f t="shared" si="11"/>
        <v>10577</v>
      </c>
      <c r="AM48" s="1">
        <f t="shared" si="11"/>
        <v>12040</v>
      </c>
      <c r="AN48" s="1">
        <f t="shared" si="11"/>
        <v>10630</v>
      </c>
      <c r="AO48" s="1">
        <f t="shared" si="11"/>
        <v>13313</v>
      </c>
      <c r="AP48" s="1">
        <f t="shared" si="11"/>
        <v>12510</v>
      </c>
      <c r="AQ48" s="1">
        <f t="shared" si="11"/>
        <v>11080</v>
      </c>
      <c r="AR48" s="1">
        <f t="shared" si="11"/>
        <v>11627</v>
      </c>
      <c r="AS48" s="1">
        <f t="shared" si="11"/>
        <v>11402</v>
      </c>
      <c r="AT48" s="1">
        <f t="shared" si="11"/>
        <v>10504</v>
      </c>
      <c r="AU48" s="1">
        <f t="shared" si="11"/>
        <v>11751</v>
      </c>
      <c r="AV48" s="1">
        <f t="shared" si="11"/>
        <v>10715</v>
      </c>
      <c r="AW48" s="1">
        <f t="shared" si="11"/>
        <v>12319</v>
      </c>
      <c r="AX48" s="1">
        <f t="shared" si="11"/>
        <v>10141</v>
      </c>
      <c r="AY48" s="1">
        <f t="shared" si="11"/>
        <v>12458</v>
      </c>
      <c r="AZ48" s="1">
        <f t="shared" si="11"/>
        <v>13335</v>
      </c>
      <c r="BA48" s="1">
        <f t="shared" si="11"/>
        <v>11013</v>
      </c>
      <c r="BB48" s="1">
        <f t="shared" si="11"/>
        <v>11334</v>
      </c>
      <c r="BC48" s="1">
        <f t="shared" si="11"/>
        <v>12730</v>
      </c>
      <c r="BD48" s="1">
        <f t="shared" si="11"/>
        <v>10877</v>
      </c>
      <c r="BE48" s="1">
        <f t="shared" si="11"/>
        <v>10854</v>
      </c>
      <c r="BF48" s="1">
        <f t="shared" si="11"/>
        <v>13089</v>
      </c>
      <c r="BG48" s="1">
        <f t="shared" si="11"/>
        <v>10478</v>
      </c>
      <c r="BH48" s="1">
        <f t="shared" si="11"/>
        <v>13701</v>
      </c>
      <c r="BI48" s="1">
        <f t="shared" si="11"/>
        <v>13992</v>
      </c>
      <c r="BJ48" s="1">
        <f t="shared" si="11"/>
        <v>12163</v>
      </c>
      <c r="BK48" s="1">
        <f t="shared" si="11"/>
        <v>10517</v>
      </c>
      <c r="BL48" s="1">
        <f t="shared" si="11"/>
        <v>13941</v>
      </c>
      <c r="BM48" s="1">
        <f t="shared" si="11"/>
        <v>10754</v>
      </c>
      <c r="BN48" s="1">
        <f t="shared" si="11"/>
        <v>12548</v>
      </c>
      <c r="BO48" s="1">
        <f t="shared" si="11"/>
        <v>12526</v>
      </c>
      <c r="BP48" s="1">
        <f t="shared" si="11"/>
        <v>12793</v>
      </c>
      <c r="BQ48" s="1">
        <f t="shared" si="11"/>
        <v>13559</v>
      </c>
      <c r="BR48" s="1">
        <f t="shared" si="11"/>
        <v>11515</v>
      </c>
      <c r="BS48" s="1">
        <f t="shared" si="11"/>
        <v>11726</v>
      </c>
      <c r="BT48" s="1">
        <f t="shared" si="11"/>
        <v>12539</v>
      </c>
      <c r="BU48" s="1">
        <f t="shared" si="11"/>
        <v>13047</v>
      </c>
      <c r="BV48" s="1">
        <f t="shared" si="11"/>
        <v>10743</v>
      </c>
      <c r="BW48" s="1">
        <f t="shared" ref="BW48:CJ48" si="12">SUMIF($I$16:$CJ$16,BW$46,$I$17:$CJ$17)</f>
        <v>10569</v>
      </c>
      <c r="BX48" s="1">
        <f t="shared" si="12"/>
        <v>12506</v>
      </c>
      <c r="BY48" s="1">
        <f t="shared" si="12"/>
        <v>11796</v>
      </c>
      <c r="BZ48" s="1">
        <f t="shared" si="12"/>
        <v>11464</v>
      </c>
      <c r="CA48" s="1">
        <f t="shared" si="12"/>
        <v>11500</v>
      </c>
      <c r="CB48" s="1">
        <f t="shared" si="12"/>
        <v>10676</v>
      </c>
      <c r="CC48" s="1">
        <f t="shared" si="12"/>
        <v>11633</v>
      </c>
      <c r="CD48" s="1">
        <f t="shared" si="12"/>
        <v>11475</v>
      </c>
      <c r="CE48" s="1">
        <f t="shared" si="12"/>
        <v>10016</v>
      </c>
      <c r="CF48" s="1">
        <f t="shared" si="12"/>
        <v>12456</v>
      </c>
      <c r="CG48" s="1">
        <f t="shared" si="12"/>
        <v>13413</v>
      </c>
      <c r="CH48" s="1">
        <f t="shared" si="12"/>
        <v>11857</v>
      </c>
      <c r="CI48" s="1">
        <f t="shared" si="12"/>
        <v>0</v>
      </c>
      <c r="CJ48" s="1">
        <f t="shared" si="12"/>
        <v>0</v>
      </c>
    </row>
    <row r="49" spans="1:88">
      <c r="C49" s="1" t="s">
        <v>89</v>
      </c>
      <c r="D49" s="9" t="s">
        <v>1</v>
      </c>
      <c r="G49" s="1">
        <f>XNPV($G$19,$I$48:$CJ$48,$I$46:$CJ$46)</f>
        <v>423949.71898109413</v>
      </c>
    </row>
    <row r="50" spans="1:88">
      <c r="D50" s="9"/>
    </row>
    <row r="51" spans="1:88">
      <c r="D51" s="9"/>
      <c r="E51" s="4" t="str">
        <f t="shared" ref="E51:F61" si="13">F25</f>
        <v>Scenario #</v>
      </c>
      <c r="F51" s="4" t="str">
        <f t="shared" si="13"/>
        <v>Discount Date</v>
      </c>
      <c r="G51" s="1">
        <f>G49</f>
        <v>423949.71898109413</v>
      </c>
    </row>
    <row r="52" spans="1:88">
      <c r="D52" s="9"/>
      <c r="E52" s="24">
        <f t="shared" si="13"/>
        <v>1</v>
      </c>
      <c r="F52" s="45">
        <f t="shared" si="13"/>
        <v>44173</v>
      </c>
      <c r="G52" s="46">
        <f t="dataTable" ref="G52:G61" dt2D="0" dtr="0" r1="G23"/>
        <v>423949.71898109413</v>
      </c>
    </row>
    <row r="53" spans="1:88">
      <c r="D53" s="9"/>
      <c r="E53" s="36">
        <f t="shared" si="13"/>
        <v>2</v>
      </c>
      <c r="F53" s="45">
        <f t="shared" si="13"/>
        <v>47326</v>
      </c>
      <c r="G53" s="47">
        <v>312570.16893781634</v>
      </c>
    </row>
    <row r="54" spans="1:88">
      <c r="D54" s="9"/>
      <c r="E54" s="36">
        <f t="shared" si="13"/>
        <v>3</v>
      </c>
      <c r="F54" s="45">
        <f t="shared" si="13"/>
        <v>45306</v>
      </c>
      <c r="G54" s="47">
        <v>382901.67493148864</v>
      </c>
    </row>
    <row r="55" spans="1:88">
      <c r="D55" s="9"/>
      <c r="E55" s="36">
        <f t="shared" si="13"/>
        <v>4</v>
      </c>
      <c r="F55" s="45">
        <f t="shared" si="13"/>
        <v>45556</v>
      </c>
      <c r="G55" s="47">
        <v>383779.98535737785</v>
      </c>
    </row>
    <row r="56" spans="1:88">
      <c r="D56" s="9"/>
      <c r="E56" s="36">
        <f t="shared" si="13"/>
        <v>5</v>
      </c>
      <c r="F56" s="45">
        <f t="shared" si="13"/>
        <v>45128</v>
      </c>
      <c r="G56" s="47">
        <v>390166.95331006777</v>
      </c>
    </row>
    <row r="57" spans="1:88">
      <c r="D57" s="9"/>
      <c r="E57" s="36">
        <f t="shared" si="13"/>
        <v>6</v>
      </c>
      <c r="F57" s="45">
        <f t="shared" si="13"/>
        <v>44941</v>
      </c>
      <c r="G57" s="47">
        <v>393792.40802555921</v>
      </c>
    </row>
    <row r="58" spans="1:88">
      <c r="D58" s="9"/>
      <c r="E58" s="36">
        <f t="shared" si="13"/>
        <v>7</v>
      </c>
      <c r="F58" s="45">
        <f t="shared" si="13"/>
        <v>44241</v>
      </c>
      <c r="G58" s="47">
        <v>418235.29927610239</v>
      </c>
    </row>
    <row r="59" spans="1:88">
      <c r="D59" s="9"/>
      <c r="E59" s="36">
        <f t="shared" si="13"/>
        <v>8</v>
      </c>
      <c r="F59" s="45">
        <f t="shared" si="13"/>
        <v>44427</v>
      </c>
      <c r="G59" s="47">
        <v>414641.42999292223</v>
      </c>
    </row>
    <row r="60" spans="1:88">
      <c r="D60" s="9"/>
      <c r="E60" s="36">
        <f t="shared" si="13"/>
        <v>9</v>
      </c>
      <c r="F60" s="45">
        <f t="shared" si="13"/>
        <v>44724</v>
      </c>
      <c r="G60" s="47">
        <v>409502.40561734274</v>
      </c>
    </row>
    <row r="61" spans="1:88">
      <c r="D61" s="9"/>
      <c r="E61" s="36">
        <f t="shared" si="13"/>
        <v>10</v>
      </c>
      <c r="F61" s="45">
        <f t="shared" si="13"/>
        <v>45965</v>
      </c>
      <c r="G61" s="48">
        <v>367192.51545012533</v>
      </c>
    </row>
    <row r="62" spans="1:88">
      <c r="D62" s="9"/>
    </row>
    <row r="63" spans="1:88">
      <c r="D63" s="9"/>
    </row>
    <row r="64" spans="1:88">
      <c r="A64" s="7" t="s">
        <v>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</row>
  </sheetData>
  <dataValidations count="1">
    <dataValidation type="list" allowBlank="1" showInputMessage="1" showErrorMessage="1" sqref="G22" xr:uid="{00000000-0002-0000-0E00-000000000000}">
      <formula1>$F$26:$F$35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Task1 Data</vt:lpstr>
      <vt:lpstr>Task1 Solution</vt:lpstr>
      <vt:lpstr>Task2 Data</vt:lpstr>
      <vt:lpstr>Task2 Solution</vt:lpstr>
      <vt:lpstr>Task3 Data</vt:lpstr>
      <vt:lpstr>Task3 Solution</vt:lpstr>
      <vt:lpstr>Task4 Data</vt:lpstr>
      <vt:lpstr>Task4 Solution</vt:lpstr>
      <vt:lpstr>end_date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2026-10-01T07:23:17Z</dcterms:modified>
</cp:coreProperties>
</file>